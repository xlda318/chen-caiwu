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陈玉洪\成本\2021\2021年1月成本核算\1月双流\"/>
    </mc:Choice>
  </mc:AlternateContent>
  <bookViews>
    <workbookView xWindow="0" yWindow="0" windowWidth="24228" windowHeight="12540" activeTab="2"/>
  </bookViews>
  <sheets>
    <sheet name="数据源" sheetId="1" r:id="rId1"/>
    <sheet name="数据源 (整理)" sheetId="5" r:id="rId2"/>
    <sheet name="Sheet2" sheetId="6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数据源!$A$1:$X$757</definedName>
    <definedName name="_xlnm._FilterDatabase" localSheetId="1" hidden="1">'数据源 (整理)'!$A$1:$Y$757</definedName>
  </definedNames>
  <calcPr calcId="162913"/>
</workbook>
</file>

<file path=xl/calcChain.xml><?xml version="1.0" encoding="utf-8"?>
<calcChain xmlns="http://schemas.openxmlformats.org/spreadsheetml/2006/main">
  <c r="D755" i="5" l="1"/>
  <c r="G755" i="5" s="1"/>
  <c r="D690" i="5"/>
  <c r="G690" i="5" s="1"/>
  <c r="D88" i="5"/>
  <c r="D31" i="5"/>
  <c r="G31" i="5" s="1"/>
  <c r="D657" i="5"/>
  <c r="G657" i="5" s="1"/>
  <c r="D512" i="5"/>
  <c r="G512" i="5" s="1"/>
  <c r="D47" i="5"/>
  <c r="G47" i="5" s="1"/>
  <c r="D46" i="5"/>
  <c r="G46" i="5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6" i="5"/>
  <c r="G757" i="5"/>
  <c r="G2" i="5"/>
  <c r="U757" i="1" l="1"/>
  <c r="F757" i="1"/>
  <c r="P756" i="1" a="1"/>
  <c r="P756" i="1" s="1"/>
  <c r="U756" i="1" s="1"/>
  <c r="U755" i="1"/>
  <c r="I755" i="1" a="1"/>
  <c r="I755" i="1" s="1"/>
  <c r="F755" i="1"/>
  <c r="U754" i="1"/>
  <c r="I754" i="1" a="1"/>
  <c r="I754" i="1" s="1"/>
  <c r="U753" i="1"/>
  <c r="I753" i="1" a="1"/>
  <c r="I753" i="1"/>
  <c r="F753" i="1"/>
  <c r="P752" i="1" a="1"/>
  <c r="P752" i="1" s="1"/>
  <c r="U752" i="1" s="1"/>
  <c r="I752" i="1" a="1"/>
  <c r="I752" i="1" s="1"/>
  <c r="F752" i="1"/>
  <c r="U751" i="1"/>
  <c r="I751" i="1" a="1"/>
  <c r="I751" i="1" s="1"/>
  <c r="F751" i="1"/>
  <c r="U750" i="1"/>
  <c r="I750" i="1" a="1"/>
  <c r="I750" i="1" s="1"/>
  <c r="F750" i="1"/>
  <c r="U749" i="1"/>
  <c r="I749" i="1" a="1"/>
  <c r="I749" i="1" s="1"/>
  <c r="F749" i="1"/>
  <c r="P748" i="1" a="1"/>
  <c r="P748" i="1" s="1"/>
  <c r="U748" i="1" s="1"/>
  <c r="I748" i="1" a="1"/>
  <c r="I748" i="1" s="1"/>
  <c r="F748" i="1"/>
  <c r="E748" i="1" s="1"/>
  <c r="P747" i="1" a="1"/>
  <c r="P747" i="1"/>
  <c r="U747" i="1" s="1"/>
  <c r="I747" i="1" a="1"/>
  <c r="I747" i="1"/>
  <c r="F747" i="1"/>
  <c r="E747" i="1"/>
  <c r="U746" i="1"/>
  <c r="I746" i="1" a="1"/>
  <c r="I746" i="1" s="1"/>
  <c r="F746" i="1"/>
  <c r="E746" i="1" s="1"/>
  <c r="U745" i="1"/>
  <c r="I745" i="1" a="1"/>
  <c r="I745" i="1" s="1"/>
  <c r="F745" i="1"/>
  <c r="E745" i="1" s="1"/>
  <c r="U744" i="1"/>
  <c r="I744" i="1" a="1"/>
  <c r="I744" i="1" s="1"/>
  <c r="F744" i="1"/>
  <c r="U743" i="1"/>
  <c r="I743" i="1" a="1"/>
  <c r="I743" i="1" s="1"/>
  <c r="F743" i="1"/>
  <c r="P742" i="1" a="1"/>
  <c r="P742" i="1" s="1"/>
  <c r="U742" i="1" s="1"/>
  <c r="I742" i="1" a="1"/>
  <c r="I742" i="1" s="1"/>
  <c r="F742" i="1"/>
  <c r="P741" i="1" a="1"/>
  <c r="P741" i="1"/>
  <c r="U741" i="1" s="1"/>
  <c r="I741" i="1" a="1"/>
  <c r="I741" i="1" s="1"/>
  <c r="F741" i="1"/>
  <c r="P740" i="1" a="1"/>
  <c r="P740" i="1" s="1"/>
  <c r="U740" i="1" s="1"/>
  <c r="I740" i="1" a="1"/>
  <c r="I740" i="1" s="1"/>
  <c r="F740" i="1"/>
  <c r="P739" i="1" a="1"/>
  <c r="P739" i="1" s="1"/>
  <c r="U739" i="1" s="1"/>
  <c r="I739" i="1" a="1"/>
  <c r="I739" i="1" s="1"/>
  <c r="F739" i="1"/>
  <c r="E739" i="1" s="1"/>
  <c r="P738" i="1" a="1"/>
  <c r="P738" i="1" s="1"/>
  <c r="U738" i="1" s="1"/>
  <c r="I738" i="1" a="1"/>
  <c r="I738" i="1" s="1"/>
  <c r="F738" i="1"/>
  <c r="E738" i="1"/>
  <c r="U737" i="1"/>
  <c r="P737" i="1" a="1"/>
  <c r="P737" i="1" s="1"/>
  <c r="I737" i="1" a="1"/>
  <c r="I737" i="1" s="1"/>
  <c r="F737" i="1"/>
  <c r="E737" i="1" s="1"/>
  <c r="P736" i="1" a="1"/>
  <c r="P736" i="1" s="1"/>
  <c r="U736" i="1" s="1"/>
  <c r="I736" i="1" a="1"/>
  <c r="I736" i="1" s="1"/>
  <c r="F736" i="1"/>
  <c r="E736" i="1" s="1"/>
  <c r="U735" i="1"/>
  <c r="I735" i="1" a="1"/>
  <c r="I735" i="1" s="1"/>
  <c r="F735" i="1"/>
  <c r="U734" i="1"/>
  <c r="I734" i="1" a="1"/>
  <c r="I734" i="1" s="1"/>
  <c r="F734" i="1"/>
  <c r="P733" i="1" a="1"/>
  <c r="P733" i="1" s="1"/>
  <c r="U733" i="1" s="1"/>
  <c r="I733" i="1" a="1"/>
  <c r="I733" i="1" s="1"/>
  <c r="F733" i="1"/>
  <c r="P732" i="1" a="1"/>
  <c r="P732" i="1" s="1"/>
  <c r="U732" i="1" s="1"/>
  <c r="I732" i="1" a="1"/>
  <c r="I732" i="1" s="1"/>
  <c r="F732" i="1"/>
  <c r="E732" i="1" s="1"/>
  <c r="P731" i="1" a="1"/>
  <c r="P731" i="1" s="1"/>
  <c r="U731" i="1" s="1"/>
  <c r="I731" i="1" a="1"/>
  <c r="I731" i="1"/>
  <c r="F731" i="1"/>
  <c r="E731" i="1" s="1"/>
  <c r="P730" i="1" a="1"/>
  <c r="P730" i="1" s="1"/>
  <c r="U730" i="1" s="1"/>
  <c r="I730" i="1" a="1"/>
  <c r="I730" i="1" s="1"/>
  <c r="F730" i="1"/>
  <c r="E730" i="1"/>
  <c r="P729" i="1" a="1"/>
  <c r="P729" i="1"/>
  <c r="U729" i="1" s="1"/>
  <c r="I729" i="1" a="1"/>
  <c r="I729" i="1" s="1"/>
  <c r="F729" i="1"/>
  <c r="E729" i="1" s="1"/>
  <c r="P728" i="1" a="1"/>
  <c r="P728" i="1" s="1"/>
  <c r="U728" i="1" s="1"/>
  <c r="I728" i="1" a="1"/>
  <c r="I728" i="1" s="1"/>
  <c r="F728" i="1"/>
  <c r="U727" i="1"/>
  <c r="I727" i="1" a="1"/>
  <c r="I727" i="1" s="1"/>
  <c r="F727" i="1"/>
  <c r="P726" i="1" a="1"/>
  <c r="P726" i="1"/>
  <c r="U726" i="1" s="1"/>
  <c r="I726" i="1" a="1"/>
  <c r="I726" i="1" s="1"/>
  <c r="F726" i="1"/>
  <c r="P725" i="1" a="1"/>
  <c r="P725" i="1" s="1"/>
  <c r="U725" i="1" s="1"/>
  <c r="I725" i="1" a="1"/>
  <c r="I725" i="1"/>
  <c r="F725" i="1"/>
  <c r="U724" i="1"/>
  <c r="I724" i="1" a="1"/>
  <c r="I724" i="1"/>
  <c r="F724" i="1"/>
  <c r="P723" i="1" a="1"/>
  <c r="P723" i="1" s="1"/>
  <c r="U723" i="1" s="1"/>
  <c r="I723" i="1" a="1"/>
  <c r="I723" i="1" s="1"/>
  <c r="F723" i="1"/>
  <c r="U722" i="1"/>
  <c r="I722" i="1" a="1"/>
  <c r="I722" i="1" s="1"/>
  <c r="F722" i="1"/>
  <c r="P721" i="1" a="1"/>
  <c r="P721" i="1" s="1"/>
  <c r="U721" i="1" s="1"/>
  <c r="I721" i="1" a="1"/>
  <c r="I721" i="1"/>
  <c r="F721" i="1"/>
  <c r="P720" i="1" a="1"/>
  <c r="P720" i="1" s="1"/>
  <c r="U720" i="1" s="1"/>
  <c r="I720" i="1" a="1"/>
  <c r="I720" i="1" s="1"/>
  <c r="F720" i="1"/>
  <c r="U719" i="1"/>
  <c r="I719" i="1" a="1"/>
  <c r="I719" i="1" s="1"/>
  <c r="F719" i="1"/>
  <c r="P718" i="1" a="1"/>
  <c r="P718" i="1" s="1"/>
  <c r="U718" i="1" s="1"/>
  <c r="I718" i="1" a="1"/>
  <c r="I718" i="1" s="1"/>
  <c r="F718" i="1"/>
  <c r="U717" i="1"/>
  <c r="I717" i="1" a="1"/>
  <c r="I717" i="1" s="1"/>
  <c r="F717" i="1"/>
  <c r="U716" i="1"/>
  <c r="I716" i="1" a="1"/>
  <c r="I716" i="1" s="1"/>
  <c r="F716" i="1"/>
  <c r="U715" i="1"/>
  <c r="I715" i="1" a="1"/>
  <c r="I715" i="1" s="1"/>
  <c r="F715" i="1"/>
  <c r="U714" i="1"/>
  <c r="I714" i="1" a="1"/>
  <c r="I714" i="1" s="1"/>
  <c r="F714" i="1"/>
  <c r="U713" i="1"/>
  <c r="I713" i="1" a="1"/>
  <c r="I713" i="1" s="1"/>
  <c r="F713" i="1"/>
  <c r="U712" i="1"/>
  <c r="I712" i="1" a="1"/>
  <c r="I712" i="1" s="1"/>
  <c r="F712" i="1"/>
  <c r="U711" i="1"/>
  <c r="I711" i="1" a="1"/>
  <c r="I711" i="1" s="1"/>
  <c r="F711" i="1"/>
  <c r="U710" i="1"/>
  <c r="I710" i="1" a="1"/>
  <c r="I710" i="1" s="1"/>
  <c r="F710" i="1"/>
  <c r="U709" i="1"/>
  <c r="I709" i="1" a="1"/>
  <c r="I709" i="1" s="1"/>
  <c r="F709" i="1"/>
  <c r="U708" i="1"/>
  <c r="I708" i="1" a="1"/>
  <c r="I708" i="1" s="1"/>
  <c r="F708" i="1"/>
  <c r="P707" i="1" a="1"/>
  <c r="P707" i="1"/>
  <c r="U707" i="1" s="1"/>
  <c r="I707" i="1" a="1"/>
  <c r="I707" i="1" s="1"/>
  <c r="F707" i="1"/>
  <c r="U706" i="1"/>
  <c r="I706" i="1" a="1"/>
  <c r="I706" i="1" s="1"/>
  <c r="F706" i="1"/>
  <c r="U705" i="1"/>
  <c r="I705" i="1" a="1"/>
  <c r="I705" i="1" s="1"/>
  <c r="F705" i="1"/>
  <c r="U704" i="1"/>
  <c r="P704" i="1" a="1"/>
  <c r="P704" i="1" s="1"/>
  <c r="I704" i="1" a="1"/>
  <c r="I704" i="1"/>
  <c r="F704" i="1"/>
  <c r="P703" i="1" a="1"/>
  <c r="P703" i="1"/>
  <c r="U703" i="1" s="1"/>
  <c r="I703" i="1" a="1"/>
  <c r="I703" i="1" s="1"/>
  <c r="F703" i="1"/>
  <c r="P702" i="1" a="1"/>
  <c r="P702" i="1" s="1"/>
  <c r="U702" i="1" s="1"/>
  <c r="I702" i="1" a="1"/>
  <c r="I702" i="1" s="1"/>
  <c r="F702" i="1"/>
  <c r="P701" i="1" a="1"/>
  <c r="P701" i="1" s="1"/>
  <c r="U701" i="1" s="1"/>
  <c r="I701" i="1" a="1"/>
  <c r="I701" i="1" s="1"/>
  <c r="F701" i="1"/>
  <c r="U700" i="1"/>
  <c r="I700" i="1" a="1"/>
  <c r="I700" i="1" s="1"/>
  <c r="F700" i="1"/>
  <c r="U699" i="1"/>
  <c r="I699" i="1" a="1"/>
  <c r="I699" i="1" s="1"/>
  <c r="F699" i="1"/>
  <c r="U698" i="1"/>
  <c r="I698" i="1" a="1"/>
  <c r="I698" i="1" s="1"/>
  <c r="F698" i="1"/>
  <c r="U697" i="1"/>
  <c r="I697" i="1" a="1"/>
  <c r="I697" i="1" s="1"/>
  <c r="F697" i="1"/>
  <c r="U696" i="1"/>
  <c r="I696" i="1" a="1"/>
  <c r="I696" i="1" s="1"/>
  <c r="F696" i="1"/>
  <c r="U695" i="1"/>
  <c r="I695" i="1" a="1"/>
  <c r="I695" i="1" s="1"/>
  <c r="F695" i="1"/>
  <c r="U694" i="1"/>
  <c r="I694" i="1" a="1"/>
  <c r="I694" i="1" s="1"/>
  <c r="F694" i="1"/>
  <c r="U693" i="1"/>
  <c r="I693" i="1" a="1"/>
  <c r="I693" i="1" s="1"/>
  <c r="F693" i="1"/>
  <c r="U692" i="1"/>
  <c r="I692" i="1" a="1"/>
  <c r="I692" i="1" s="1"/>
  <c r="F692" i="1"/>
  <c r="U691" i="1"/>
  <c r="I691" i="1" a="1"/>
  <c r="I691" i="1" s="1"/>
  <c r="F691" i="1"/>
  <c r="U690" i="1"/>
  <c r="I690" i="1" a="1"/>
  <c r="I690" i="1" s="1"/>
  <c r="F690" i="1"/>
  <c r="P689" i="1" a="1"/>
  <c r="P689" i="1" s="1"/>
  <c r="U689" i="1" s="1"/>
  <c r="I689" i="1" a="1"/>
  <c r="I689" i="1" s="1"/>
  <c r="F689" i="1"/>
  <c r="P688" i="1" a="1"/>
  <c r="P688" i="1" s="1"/>
  <c r="U688" i="1" s="1"/>
  <c r="I688" i="1" a="1"/>
  <c r="I688" i="1" s="1"/>
  <c r="F688" i="1"/>
  <c r="P687" i="1" a="1"/>
  <c r="P687" i="1" s="1"/>
  <c r="U687" i="1" s="1"/>
  <c r="I687" i="1" a="1"/>
  <c r="I687" i="1" s="1"/>
  <c r="F687" i="1"/>
  <c r="P686" i="1" a="1"/>
  <c r="P686" i="1"/>
  <c r="U686" i="1" s="1"/>
  <c r="I686" i="1" a="1"/>
  <c r="I686" i="1" s="1"/>
  <c r="F686" i="1"/>
  <c r="U685" i="1"/>
  <c r="I685" i="1" a="1"/>
  <c r="I685" i="1" s="1"/>
  <c r="F685" i="1"/>
  <c r="U684" i="1"/>
  <c r="I684" i="1" a="1"/>
  <c r="I684" i="1" s="1"/>
  <c r="F684" i="1"/>
  <c r="U683" i="1"/>
  <c r="P683" i="1" a="1"/>
  <c r="P683" i="1" s="1"/>
  <c r="I683" i="1" a="1"/>
  <c r="I683" i="1"/>
  <c r="F683" i="1"/>
  <c r="P682" i="1" a="1"/>
  <c r="P682" i="1"/>
  <c r="U682" i="1" s="1"/>
  <c r="I682" i="1" a="1"/>
  <c r="I682" i="1" s="1"/>
  <c r="F682" i="1"/>
  <c r="U681" i="1"/>
  <c r="I681" i="1" a="1"/>
  <c r="I681" i="1" s="1"/>
  <c r="F681" i="1"/>
  <c r="U680" i="1"/>
  <c r="P680" i="1" a="1"/>
  <c r="P680" i="1" s="1"/>
  <c r="I680" i="1" a="1"/>
  <c r="I680" i="1"/>
  <c r="F680" i="1"/>
  <c r="P679" i="1" a="1"/>
  <c r="P679" i="1"/>
  <c r="U679" i="1" s="1"/>
  <c r="I679" i="1" a="1"/>
  <c r="I679" i="1" s="1"/>
  <c r="F679" i="1"/>
  <c r="U678" i="1"/>
  <c r="I678" i="1" a="1"/>
  <c r="I678" i="1" s="1"/>
  <c r="F678" i="1"/>
  <c r="U677" i="1"/>
  <c r="I677" i="1" a="1"/>
  <c r="I677" i="1" s="1"/>
  <c r="F677" i="1"/>
  <c r="P676" i="1" a="1"/>
  <c r="P676" i="1" s="1"/>
  <c r="U676" i="1" s="1"/>
  <c r="I676" i="1" a="1"/>
  <c r="I676" i="1" s="1"/>
  <c r="F676" i="1"/>
  <c r="P675" i="1" a="1"/>
  <c r="P675" i="1" s="1"/>
  <c r="U675" i="1" s="1"/>
  <c r="I675" i="1" a="1"/>
  <c r="I675" i="1" s="1"/>
  <c r="F675" i="1"/>
  <c r="P674" i="1" a="1"/>
  <c r="P674" i="1" s="1"/>
  <c r="U674" i="1" s="1"/>
  <c r="I674" i="1" a="1"/>
  <c r="I674" i="1" s="1"/>
  <c r="F674" i="1"/>
  <c r="P673" i="1" a="1"/>
  <c r="P673" i="1" s="1"/>
  <c r="U673" i="1" s="1"/>
  <c r="I673" i="1" a="1"/>
  <c r="I673" i="1" s="1"/>
  <c r="F673" i="1"/>
  <c r="P672" i="1" a="1"/>
  <c r="P672" i="1" s="1"/>
  <c r="U672" i="1" s="1"/>
  <c r="I672" i="1" a="1"/>
  <c r="I672" i="1" s="1"/>
  <c r="F672" i="1"/>
  <c r="P671" i="1" a="1"/>
  <c r="P671" i="1" s="1"/>
  <c r="U671" i="1" s="1"/>
  <c r="I671" i="1" a="1"/>
  <c r="I671" i="1" s="1"/>
  <c r="F671" i="1"/>
  <c r="U670" i="1"/>
  <c r="I670" i="1" a="1"/>
  <c r="I670" i="1" s="1"/>
  <c r="F670" i="1"/>
  <c r="U669" i="1"/>
  <c r="I669" i="1" a="1"/>
  <c r="I669" i="1" s="1"/>
  <c r="F669" i="1"/>
  <c r="U668" i="1"/>
  <c r="I668" i="1" a="1"/>
  <c r="I668" i="1" s="1"/>
  <c r="F668" i="1"/>
  <c r="P667" i="1" a="1"/>
  <c r="P667" i="1" s="1"/>
  <c r="U667" i="1" s="1"/>
  <c r="I667" i="1" a="1"/>
  <c r="I667" i="1" s="1"/>
  <c r="F667" i="1"/>
  <c r="P666" i="1" a="1"/>
  <c r="P666" i="1" s="1"/>
  <c r="U666" i="1" s="1"/>
  <c r="I666" i="1" a="1"/>
  <c r="I666" i="1" s="1"/>
  <c r="F666" i="1"/>
  <c r="P665" i="1" a="1"/>
  <c r="P665" i="1" s="1"/>
  <c r="U665" i="1" s="1"/>
  <c r="I665" i="1" a="1"/>
  <c r="I665" i="1" s="1"/>
  <c r="F665" i="1"/>
  <c r="P664" i="1" a="1"/>
  <c r="P664" i="1" s="1"/>
  <c r="U664" i="1" s="1"/>
  <c r="I664" i="1" a="1"/>
  <c r="I664" i="1" s="1"/>
  <c r="F664" i="1"/>
  <c r="P663" i="1" a="1"/>
  <c r="P663" i="1" s="1"/>
  <c r="U663" i="1" s="1"/>
  <c r="I663" i="1" a="1"/>
  <c r="I663" i="1" s="1"/>
  <c r="F663" i="1"/>
  <c r="U662" i="1"/>
  <c r="I662" i="1" a="1"/>
  <c r="I662" i="1" s="1"/>
  <c r="U661" i="1"/>
  <c r="I661" i="1" a="1"/>
  <c r="I661" i="1"/>
  <c r="U660" i="1"/>
  <c r="I660" i="1" a="1"/>
  <c r="I660" i="1"/>
  <c r="U659" i="1"/>
  <c r="K659" i="1"/>
  <c r="I659" i="1" a="1"/>
  <c r="I659" i="1"/>
  <c r="U658" i="1"/>
  <c r="K658" i="1"/>
  <c r="I658" i="1" a="1"/>
  <c r="I658" i="1"/>
  <c r="U657" i="1"/>
  <c r="I657" i="1" a="1"/>
  <c r="I657" i="1" s="1"/>
  <c r="F657" i="1"/>
  <c r="P656" i="1" a="1"/>
  <c r="P656" i="1" s="1"/>
  <c r="U656" i="1" s="1"/>
  <c r="I656" i="1" a="1"/>
  <c r="I656" i="1"/>
  <c r="F656" i="1"/>
  <c r="P655" i="1" a="1"/>
  <c r="P655" i="1"/>
  <c r="U655" i="1" s="1"/>
  <c r="I655" i="1" a="1"/>
  <c r="I655" i="1" s="1"/>
  <c r="F655" i="1"/>
  <c r="P654" i="1" a="1"/>
  <c r="P654" i="1" s="1"/>
  <c r="U654" i="1" s="1"/>
  <c r="I654" i="1" a="1"/>
  <c r="I654" i="1" s="1"/>
  <c r="F654" i="1"/>
  <c r="P653" i="1" a="1"/>
  <c r="P653" i="1" s="1"/>
  <c r="U653" i="1" s="1"/>
  <c r="I653" i="1" a="1"/>
  <c r="I653" i="1" s="1"/>
  <c r="F653" i="1"/>
  <c r="P652" i="1" a="1"/>
  <c r="P652" i="1" s="1"/>
  <c r="U652" i="1" s="1"/>
  <c r="I652" i="1" a="1"/>
  <c r="I652" i="1" s="1"/>
  <c r="F652" i="1"/>
  <c r="P651" i="1" a="1"/>
  <c r="P651" i="1" s="1"/>
  <c r="U651" i="1" s="1"/>
  <c r="I651" i="1" a="1"/>
  <c r="I651" i="1"/>
  <c r="F651" i="1"/>
  <c r="P650" i="1" a="1"/>
  <c r="P650" i="1"/>
  <c r="U650" i="1" s="1"/>
  <c r="I650" i="1" a="1"/>
  <c r="I650" i="1" s="1"/>
  <c r="F650" i="1"/>
  <c r="P649" i="1" a="1"/>
  <c r="P649" i="1" s="1"/>
  <c r="U649" i="1" s="1"/>
  <c r="I649" i="1" a="1"/>
  <c r="I649" i="1"/>
  <c r="F649" i="1"/>
  <c r="U648" i="1"/>
  <c r="P648" i="1" a="1"/>
  <c r="P648" i="1"/>
  <c r="I648" i="1" a="1"/>
  <c r="I648" i="1" s="1"/>
  <c r="F648" i="1"/>
  <c r="P647" i="1" a="1"/>
  <c r="P647" i="1" s="1"/>
  <c r="U647" i="1" s="1"/>
  <c r="I647" i="1" a="1"/>
  <c r="I647" i="1" s="1"/>
  <c r="F647" i="1"/>
  <c r="P646" i="1" a="1"/>
  <c r="P646" i="1" s="1"/>
  <c r="U646" i="1" s="1"/>
  <c r="I646" i="1" a="1"/>
  <c r="I646" i="1" s="1"/>
  <c r="F646" i="1"/>
  <c r="P645" i="1" a="1"/>
  <c r="P645" i="1"/>
  <c r="U645" i="1" s="1"/>
  <c r="I645" i="1" a="1"/>
  <c r="I645" i="1" s="1"/>
  <c r="F645" i="1"/>
  <c r="P644" i="1" a="1"/>
  <c r="P644" i="1" s="1"/>
  <c r="U644" i="1" s="1"/>
  <c r="I644" i="1" a="1"/>
  <c r="I644" i="1" s="1"/>
  <c r="F644" i="1"/>
  <c r="P643" i="1" a="1"/>
  <c r="P643" i="1" s="1"/>
  <c r="U643" i="1" s="1"/>
  <c r="I643" i="1" a="1"/>
  <c r="I643" i="1" s="1"/>
  <c r="F643" i="1"/>
  <c r="U642" i="1"/>
  <c r="I642" i="1" a="1"/>
  <c r="I642" i="1" s="1"/>
  <c r="F642" i="1"/>
  <c r="P641" i="1" a="1"/>
  <c r="P641" i="1" s="1"/>
  <c r="U641" i="1" s="1"/>
  <c r="I641" i="1" a="1"/>
  <c r="I641" i="1" s="1"/>
  <c r="F641" i="1"/>
  <c r="P640" i="1" a="1"/>
  <c r="P640" i="1" s="1"/>
  <c r="U640" i="1" s="1"/>
  <c r="I640" i="1" a="1"/>
  <c r="I640" i="1" s="1"/>
  <c r="F640" i="1"/>
  <c r="U639" i="1"/>
  <c r="P639" i="1" a="1"/>
  <c r="P639" i="1" s="1"/>
  <c r="I639" i="1" a="1"/>
  <c r="I639" i="1" s="1"/>
  <c r="F639" i="1"/>
  <c r="U638" i="1"/>
  <c r="I638" i="1" a="1"/>
  <c r="I638" i="1" s="1"/>
  <c r="F638" i="1"/>
  <c r="P637" i="1" a="1"/>
  <c r="P637" i="1" s="1"/>
  <c r="U637" i="1" s="1"/>
  <c r="I637" i="1" a="1"/>
  <c r="I637" i="1" s="1"/>
  <c r="F637" i="1"/>
  <c r="P636" i="1" a="1"/>
  <c r="P636" i="1" s="1"/>
  <c r="U636" i="1" s="1"/>
  <c r="I636" i="1" a="1"/>
  <c r="I636" i="1" s="1"/>
  <c r="F636" i="1"/>
  <c r="P635" i="1" a="1"/>
  <c r="P635" i="1" s="1"/>
  <c r="U635" i="1" s="1"/>
  <c r="I635" i="1" a="1"/>
  <c r="I635" i="1" s="1"/>
  <c r="F635" i="1"/>
  <c r="U634" i="1"/>
  <c r="I634" i="1" a="1"/>
  <c r="I634" i="1" s="1"/>
  <c r="F634" i="1"/>
  <c r="U633" i="1"/>
  <c r="I633" i="1" a="1"/>
  <c r="I633" i="1" s="1"/>
  <c r="F633" i="1"/>
  <c r="U632" i="1"/>
  <c r="I632" i="1" a="1"/>
  <c r="I632" i="1" s="1"/>
  <c r="F632" i="1"/>
  <c r="U631" i="1"/>
  <c r="I631" i="1" a="1"/>
  <c r="I631" i="1" s="1"/>
  <c r="F631" i="1"/>
  <c r="P630" i="1" a="1"/>
  <c r="P630" i="1" s="1"/>
  <c r="U630" i="1" s="1"/>
  <c r="I630" i="1" a="1"/>
  <c r="I630" i="1" s="1"/>
  <c r="F630" i="1"/>
  <c r="U629" i="1"/>
  <c r="I629" i="1" a="1"/>
  <c r="I629" i="1" s="1"/>
  <c r="F629" i="1"/>
  <c r="U628" i="1"/>
  <c r="I628" i="1" a="1"/>
  <c r="I628" i="1" s="1"/>
  <c r="F628" i="1"/>
  <c r="P627" i="1" a="1"/>
  <c r="P627" i="1" s="1"/>
  <c r="U627" i="1" s="1"/>
  <c r="I627" i="1" a="1"/>
  <c r="I627" i="1" s="1"/>
  <c r="F627" i="1"/>
  <c r="U626" i="1"/>
  <c r="I626" i="1" a="1"/>
  <c r="I626" i="1" s="1"/>
  <c r="F626" i="1"/>
  <c r="P625" i="1" a="1"/>
  <c r="P625" i="1" s="1"/>
  <c r="U625" i="1" s="1"/>
  <c r="I625" i="1" a="1"/>
  <c r="I625" i="1" s="1"/>
  <c r="F625" i="1"/>
  <c r="P624" i="1" a="1"/>
  <c r="P624" i="1"/>
  <c r="U624" i="1" s="1"/>
  <c r="I624" i="1" a="1"/>
  <c r="I624" i="1" s="1"/>
  <c r="F624" i="1"/>
  <c r="P623" i="1" a="1"/>
  <c r="P623" i="1" s="1"/>
  <c r="U623" i="1" s="1"/>
  <c r="I623" i="1" a="1"/>
  <c r="I623" i="1" s="1"/>
  <c r="F623" i="1"/>
  <c r="U622" i="1"/>
  <c r="I622" i="1" a="1"/>
  <c r="I622" i="1" s="1"/>
  <c r="F622" i="1"/>
  <c r="P621" i="1" a="1"/>
  <c r="P621" i="1" s="1"/>
  <c r="U621" i="1" s="1"/>
  <c r="I621" i="1" a="1"/>
  <c r="I621" i="1" s="1"/>
  <c r="F621" i="1"/>
  <c r="P620" i="1" a="1"/>
  <c r="P620" i="1" s="1"/>
  <c r="U620" i="1" s="1"/>
  <c r="I620" i="1" a="1"/>
  <c r="I620" i="1" s="1"/>
  <c r="F620" i="1"/>
  <c r="P619" i="1" a="1"/>
  <c r="P619" i="1" s="1"/>
  <c r="U619" i="1" s="1"/>
  <c r="I619" i="1" a="1"/>
  <c r="I619" i="1" s="1"/>
  <c r="F619" i="1"/>
  <c r="P618" i="1" a="1"/>
  <c r="P618" i="1" s="1"/>
  <c r="U618" i="1" s="1"/>
  <c r="I618" i="1" a="1"/>
  <c r="I618" i="1" s="1"/>
  <c r="F618" i="1"/>
  <c r="P617" i="1" a="1"/>
  <c r="P617" i="1" s="1"/>
  <c r="U617" i="1" s="1"/>
  <c r="I617" i="1" a="1"/>
  <c r="I617" i="1" s="1"/>
  <c r="F617" i="1"/>
  <c r="P616" i="1" a="1"/>
  <c r="P616" i="1" s="1"/>
  <c r="U616" i="1" s="1"/>
  <c r="I616" i="1" a="1"/>
  <c r="I616" i="1" s="1"/>
  <c r="F616" i="1"/>
  <c r="P615" i="1" a="1"/>
  <c r="P615" i="1"/>
  <c r="U615" i="1" s="1"/>
  <c r="I615" i="1" a="1"/>
  <c r="I615" i="1" s="1"/>
  <c r="F615" i="1"/>
  <c r="P614" i="1" a="1"/>
  <c r="P614" i="1" s="1"/>
  <c r="U614" i="1" s="1"/>
  <c r="I614" i="1" a="1"/>
  <c r="I614" i="1" s="1"/>
  <c r="F614" i="1"/>
  <c r="U613" i="1"/>
  <c r="I613" i="1" a="1"/>
  <c r="I613" i="1" s="1"/>
  <c r="F613" i="1"/>
  <c r="P612" i="1" a="1"/>
  <c r="P612" i="1" s="1"/>
  <c r="U612" i="1" s="1"/>
  <c r="I612" i="1" a="1"/>
  <c r="I612" i="1" s="1"/>
  <c r="F612" i="1"/>
  <c r="U611" i="1"/>
  <c r="P611" i="1" a="1"/>
  <c r="P611" i="1" s="1"/>
  <c r="I611" i="1" a="1"/>
  <c r="I611" i="1"/>
  <c r="F611" i="1"/>
  <c r="P610" i="1" a="1"/>
  <c r="P610" i="1" s="1"/>
  <c r="U610" i="1" s="1"/>
  <c r="I610" i="1" a="1"/>
  <c r="I610" i="1" s="1"/>
  <c r="F610" i="1"/>
  <c r="U609" i="1"/>
  <c r="P609" i="1" a="1"/>
  <c r="P609" i="1" s="1"/>
  <c r="I609" i="1" a="1"/>
  <c r="I609" i="1"/>
  <c r="F609" i="1"/>
  <c r="P608" i="1" a="1"/>
  <c r="P608" i="1" s="1"/>
  <c r="U608" i="1" s="1"/>
  <c r="I608" i="1" a="1"/>
  <c r="I608" i="1" s="1"/>
  <c r="F608" i="1"/>
  <c r="U607" i="1"/>
  <c r="I607" i="1" a="1"/>
  <c r="I607" i="1" s="1"/>
  <c r="F607" i="1"/>
  <c r="U606" i="1"/>
  <c r="P606" i="1" a="1"/>
  <c r="P606" i="1" s="1"/>
  <c r="I606" i="1" a="1"/>
  <c r="I606" i="1"/>
  <c r="F606" i="1"/>
  <c r="P605" i="1" a="1"/>
  <c r="P605" i="1" s="1"/>
  <c r="U605" i="1" s="1"/>
  <c r="I605" i="1" a="1"/>
  <c r="I605" i="1" s="1"/>
  <c r="F605" i="1"/>
  <c r="P604" i="1" a="1"/>
  <c r="P604" i="1" s="1"/>
  <c r="U604" i="1" s="1"/>
  <c r="I604" i="1" a="1"/>
  <c r="I604" i="1" s="1"/>
  <c r="F604" i="1"/>
  <c r="P603" i="1" a="1"/>
  <c r="P603" i="1" s="1"/>
  <c r="U603" i="1" s="1"/>
  <c r="I603" i="1" a="1"/>
  <c r="I603" i="1" s="1"/>
  <c r="F603" i="1"/>
  <c r="P602" i="1" a="1"/>
  <c r="P602" i="1" s="1"/>
  <c r="U602" i="1" s="1"/>
  <c r="I602" i="1" a="1"/>
  <c r="I602" i="1" s="1"/>
  <c r="F602" i="1"/>
  <c r="P601" i="1" a="1"/>
  <c r="P601" i="1" s="1"/>
  <c r="U601" i="1" s="1"/>
  <c r="I601" i="1" a="1"/>
  <c r="I601" i="1" s="1"/>
  <c r="F601" i="1"/>
  <c r="P600" i="1" a="1"/>
  <c r="P600" i="1" s="1"/>
  <c r="U600" i="1" s="1"/>
  <c r="I600" i="1" a="1"/>
  <c r="I600" i="1" s="1"/>
  <c r="F600" i="1"/>
  <c r="P599" i="1" a="1"/>
  <c r="P599" i="1" s="1"/>
  <c r="U599" i="1" s="1"/>
  <c r="I599" i="1" a="1"/>
  <c r="I599" i="1" s="1"/>
  <c r="F599" i="1"/>
  <c r="U598" i="1"/>
  <c r="I598" i="1" a="1"/>
  <c r="I598" i="1" s="1"/>
  <c r="F598" i="1"/>
  <c r="U597" i="1"/>
  <c r="P597" i="1" a="1"/>
  <c r="P597" i="1" s="1"/>
  <c r="I597" i="1" a="1"/>
  <c r="I597" i="1"/>
  <c r="F597" i="1"/>
  <c r="P596" i="1" a="1"/>
  <c r="P596" i="1" s="1"/>
  <c r="U596" i="1" s="1"/>
  <c r="I596" i="1" a="1"/>
  <c r="I596" i="1" s="1"/>
  <c r="F596" i="1"/>
  <c r="U595" i="1"/>
  <c r="P595" i="1" a="1"/>
  <c r="P595" i="1" s="1"/>
  <c r="I595" i="1" a="1"/>
  <c r="I595" i="1"/>
  <c r="F595" i="1"/>
  <c r="P594" i="1" a="1"/>
  <c r="P594" i="1"/>
  <c r="U594" i="1" s="1"/>
  <c r="I594" i="1" a="1"/>
  <c r="I594" i="1" s="1"/>
  <c r="F594" i="1"/>
  <c r="P593" i="1" a="1"/>
  <c r="P593" i="1" s="1"/>
  <c r="U593" i="1" s="1"/>
  <c r="I593" i="1" a="1"/>
  <c r="I593" i="1" s="1"/>
  <c r="F593" i="1"/>
  <c r="P592" i="1" a="1"/>
  <c r="P592" i="1" s="1"/>
  <c r="U592" i="1" s="1"/>
  <c r="I592" i="1" a="1"/>
  <c r="I592" i="1" s="1"/>
  <c r="F592" i="1"/>
  <c r="U591" i="1"/>
  <c r="I591" i="1" a="1"/>
  <c r="I591" i="1" s="1"/>
  <c r="F591" i="1"/>
  <c r="P590" i="1" a="1"/>
  <c r="P590" i="1" s="1"/>
  <c r="U590" i="1" s="1"/>
  <c r="I590" i="1" a="1"/>
  <c r="I590" i="1" s="1"/>
  <c r="F590" i="1"/>
  <c r="P589" i="1" a="1"/>
  <c r="P589" i="1"/>
  <c r="U589" i="1" s="1"/>
  <c r="I589" i="1" a="1"/>
  <c r="I589" i="1" s="1"/>
  <c r="F589" i="1"/>
  <c r="P588" i="1" a="1"/>
  <c r="P588" i="1" s="1"/>
  <c r="U588" i="1" s="1"/>
  <c r="I588" i="1" a="1"/>
  <c r="I588" i="1" s="1"/>
  <c r="F588" i="1"/>
  <c r="P587" i="1" a="1"/>
  <c r="P587" i="1" s="1"/>
  <c r="U587" i="1" s="1"/>
  <c r="I587" i="1" a="1"/>
  <c r="I587" i="1" s="1"/>
  <c r="F587" i="1"/>
  <c r="U586" i="1"/>
  <c r="I586" i="1" a="1"/>
  <c r="I586" i="1" s="1"/>
  <c r="F586" i="1"/>
  <c r="P585" i="1" a="1"/>
  <c r="P585" i="1" s="1"/>
  <c r="U585" i="1" s="1"/>
  <c r="I585" i="1" a="1"/>
  <c r="I585" i="1" s="1"/>
  <c r="F585" i="1"/>
  <c r="U584" i="1"/>
  <c r="I584" i="1" a="1"/>
  <c r="I584" i="1" s="1"/>
  <c r="F584" i="1"/>
  <c r="U583" i="1"/>
  <c r="I583" i="1" a="1"/>
  <c r="I583" i="1" s="1"/>
  <c r="F583" i="1"/>
  <c r="U582" i="1"/>
  <c r="I582" i="1" a="1"/>
  <c r="I582" i="1" s="1"/>
  <c r="F582" i="1"/>
  <c r="U581" i="1"/>
  <c r="I581" i="1" a="1"/>
  <c r="I581" i="1" s="1"/>
  <c r="F581" i="1"/>
  <c r="U580" i="1"/>
  <c r="I580" i="1" a="1"/>
  <c r="I580" i="1" s="1"/>
  <c r="F580" i="1"/>
  <c r="U579" i="1"/>
  <c r="I579" i="1" a="1"/>
  <c r="I579" i="1" s="1"/>
  <c r="F579" i="1"/>
  <c r="U578" i="1"/>
  <c r="I578" i="1" a="1"/>
  <c r="I578" i="1" s="1"/>
  <c r="F578" i="1"/>
  <c r="U577" i="1"/>
  <c r="I577" i="1" a="1"/>
  <c r="I577" i="1" s="1"/>
  <c r="F577" i="1"/>
  <c r="U576" i="1"/>
  <c r="I576" i="1" a="1"/>
  <c r="I576" i="1" s="1"/>
  <c r="F576" i="1"/>
  <c r="U575" i="1"/>
  <c r="I575" i="1" a="1"/>
  <c r="I575" i="1" s="1"/>
  <c r="F575" i="1"/>
  <c r="U574" i="1"/>
  <c r="I574" i="1" a="1"/>
  <c r="I574" i="1" s="1"/>
  <c r="F574" i="1"/>
  <c r="U573" i="1"/>
  <c r="I573" i="1" a="1"/>
  <c r="I573" i="1" s="1"/>
  <c r="F573" i="1"/>
  <c r="U572" i="1"/>
  <c r="I572" i="1" a="1"/>
  <c r="I572" i="1" s="1"/>
  <c r="F572" i="1"/>
  <c r="U571" i="1"/>
  <c r="I571" i="1" a="1"/>
  <c r="I571" i="1" s="1"/>
  <c r="F571" i="1"/>
  <c r="U570" i="1"/>
  <c r="I570" i="1" a="1"/>
  <c r="I570" i="1" s="1"/>
  <c r="F570" i="1"/>
  <c r="U569" i="1"/>
  <c r="I569" i="1" a="1"/>
  <c r="I569" i="1" s="1"/>
  <c r="F569" i="1"/>
  <c r="U568" i="1"/>
  <c r="I568" i="1" a="1"/>
  <c r="I568" i="1" s="1"/>
  <c r="F568" i="1"/>
  <c r="P567" i="1" a="1"/>
  <c r="P567" i="1"/>
  <c r="U567" i="1" s="1"/>
  <c r="I567" i="1" a="1"/>
  <c r="I567" i="1" s="1"/>
  <c r="F567" i="1"/>
  <c r="P566" i="1" a="1"/>
  <c r="P566" i="1" s="1"/>
  <c r="U566" i="1" s="1"/>
  <c r="I566" i="1" a="1"/>
  <c r="I566" i="1"/>
  <c r="F566" i="1"/>
  <c r="U565" i="1"/>
  <c r="I565" i="1" a="1"/>
  <c r="I565" i="1"/>
  <c r="F565" i="1"/>
  <c r="P564" i="1" a="1"/>
  <c r="P564" i="1" s="1"/>
  <c r="U564" i="1" s="1"/>
  <c r="I564" i="1" a="1"/>
  <c r="I564" i="1" s="1"/>
  <c r="F564" i="1"/>
  <c r="U563" i="1"/>
  <c r="P563" i="1" a="1"/>
  <c r="P563" i="1" s="1"/>
  <c r="I563" i="1" a="1"/>
  <c r="I563" i="1"/>
  <c r="F563" i="1"/>
  <c r="P562" i="1" a="1"/>
  <c r="P562" i="1"/>
  <c r="U562" i="1" s="1"/>
  <c r="I562" i="1" a="1"/>
  <c r="I562" i="1" s="1"/>
  <c r="F562" i="1"/>
  <c r="U561" i="1"/>
  <c r="I561" i="1" a="1"/>
  <c r="I561" i="1" s="1"/>
  <c r="F561" i="1"/>
  <c r="U560" i="1"/>
  <c r="I560" i="1" a="1"/>
  <c r="I560" i="1" s="1"/>
  <c r="F560" i="1"/>
  <c r="P559" i="1" a="1"/>
  <c r="P559" i="1" s="1"/>
  <c r="U559" i="1" s="1"/>
  <c r="I559" i="1" a="1"/>
  <c r="I559" i="1" s="1"/>
  <c r="F559" i="1"/>
  <c r="U558" i="1"/>
  <c r="I558" i="1" a="1"/>
  <c r="I558" i="1" s="1"/>
  <c r="F558" i="1"/>
  <c r="U557" i="1"/>
  <c r="I557" i="1" a="1"/>
  <c r="I557" i="1" s="1"/>
  <c r="F557" i="1"/>
  <c r="P556" i="1" a="1"/>
  <c r="P556" i="1" s="1"/>
  <c r="U556" i="1" s="1"/>
  <c r="I556" i="1" a="1"/>
  <c r="I556" i="1" s="1"/>
  <c r="F556" i="1"/>
  <c r="U555" i="1"/>
  <c r="I555" i="1" a="1"/>
  <c r="I555" i="1" s="1"/>
  <c r="F555" i="1"/>
  <c r="P554" i="1" a="1"/>
  <c r="P554" i="1" s="1"/>
  <c r="U554" i="1" s="1"/>
  <c r="I554" i="1" a="1"/>
  <c r="I554" i="1"/>
  <c r="F554" i="1"/>
  <c r="P553" i="1" a="1"/>
  <c r="P553" i="1" s="1"/>
  <c r="U553" i="1" s="1"/>
  <c r="I553" i="1" a="1"/>
  <c r="I553" i="1" s="1"/>
  <c r="F553" i="1"/>
  <c r="U552" i="1"/>
  <c r="P552" i="1" a="1"/>
  <c r="P552" i="1" s="1"/>
  <c r="I552" i="1" a="1"/>
  <c r="I552" i="1"/>
  <c r="F552" i="1"/>
  <c r="U551" i="1"/>
  <c r="I551" i="1" a="1"/>
  <c r="I551" i="1"/>
  <c r="F551" i="1"/>
  <c r="P550" i="1" a="1"/>
  <c r="P550" i="1"/>
  <c r="U550" i="1" s="1"/>
  <c r="I550" i="1" a="1"/>
  <c r="I550" i="1" s="1"/>
  <c r="F550" i="1"/>
  <c r="P549" i="1" a="1"/>
  <c r="P549" i="1" s="1"/>
  <c r="U549" i="1" s="1"/>
  <c r="I549" i="1" a="1"/>
  <c r="I549" i="1"/>
  <c r="F549" i="1"/>
  <c r="U548" i="1"/>
  <c r="I548" i="1" a="1"/>
  <c r="I548" i="1"/>
  <c r="F548" i="1"/>
  <c r="U547" i="1"/>
  <c r="I547" i="1" a="1"/>
  <c r="I547" i="1"/>
  <c r="F547" i="1"/>
  <c r="P546" i="1" a="1"/>
  <c r="P546" i="1"/>
  <c r="U546" i="1" s="1"/>
  <c r="I546" i="1" a="1"/>
  <c r="I546" i="1" s="1"/>
  <c r="F546" i="1"/>
  <c r="P545" i="1" a="1"/>
  <c r="P545" i="1" s="1"/>
  <c r="U545" i="1" s="1"/>
  <c r="I545" i="1" a="1"/>
  <c r="I545" i="1" s="1"/>
  <c r="F545" i="1"/>
  <c r="P544" i="1" a="1"/>
  <c r="P544" i="1" s="1"/>
  <c r="U544" i="1" s="1"/>
  <c r="I544" i="1" a="1"/>
  <c r="I544" i="1" s="1"/>
  <c r="F544" i="1"/>
  <c r="U543" i="1"/>
  <c r="I543" i="1" a="1"/>
  <c r="I543" i="1" s="1"/>
  <c r="F543" i="1"/>
  <c r="P542" i="1" a="1"/>
  <c r="P542" i="1" s="1"/>
  <c r="U542" i="1" s="1"/>
  <c r="I542" i="1" a="1"/>
  <c r="I542" i="1" s="1"/>
  <c r="F542" i="1"/>
  <c r="U541" i="1"/>
  <c r="I541" i="1" a="1"/>
  <c r="I541" i="1" s="1"/>
  <c r="F541" i="1"/>
  <c r="P540" i="1" a="1"/>
  <c r="P540" i="1" s="1"/>
  <c r="U540" i="1" s="1"/>
  <c r="I540" i="1" a="1"/>
  <c r="I540" i="1" s="1"/>
  <c r="F540" i="1"/>
  <c r="U539" i="1"/>
  <c r="P539" i="1" a="1"/>
  <c r="P539" i="1" s="1"/>
  <c r="I539" i="1" a="1"/>
  <c r="I539" i="1"/>
  <c r="F539" i="1"/>
  <c r="P538" i="1" a="1"/>
  <c r="P538" i="1" s="1"/>
  <c r="U538" i="1" s="1"/>
  <c r="I538" i="1" a="1"/>
  <c r="I538" i="1" s="1"/>
  <c r="F538" i="1"/>
  <c r="U537" i="1"/>
  <c r="P537" i="1" a="1"/>
  <c r="P537" i="1" s="1"/>
  <c r="I537" i="1" a="1"/>
  <c r="I537" i="1"/>
  <c r="F537" i="1"/>
  <c r="P536" i="1" a="1"/>
  <c r="P536" i="1"/>
  <c r="U536" i="1" s="1"/>
  <c r="I536" i="1" a="1"/>
  <c r="I536" i="1" s="1"/>
  <c r="F536" i="1"/>
  <c r="P535" i="1" a="1"/>
  <c r="P535" i="1" s="1"/>
  <c r="U535" i="1" s="1"/>
  <c r="I535" i="1" a="1"/>
  <c r="I535" i="1" s="1"/>
  <c r="F535" i="1"/>
  <c r="P534" i="1" a="1"/>
  <c r="P534" i="1" s="1"/>
  <c r="U534" i="1" s="1"/>
  <c r="I534" i="1" a="1"/>
  <c r="I534" i="1" s="1"/>
  <c r="F534" i="1"/>
  <c r="P533" i="1" a="1"/>
  <c r="P533" i="1" s="1"/>
  <c r="U533" i="1" s="1"/>
  <c r="I533" i="1" a="1"/>
  <c r="I533" i="1" s="1"/>
  <c r="F533" i="1"/>
  <c r="U532" i="1"/>
  <c r="I532" i="1" a="1"/>
  <c r="I532" i="1" s="1"/>
  <c r="F532" i="1"/>
  <c r="U531" i="1"/>
  <c r="I531" i="1" a="1"/>
  <c r="I531" i="1" s="1"/>
  <c r="F531" i="1"/>
  <c r="P530" i="1" a="1"/>
  <c r="P530" i="1" s="1"/>
  <c r="U530" i="1" s="1"/>
  <c r="I530" i="1" a="1"/>
  <c r="I530" i="1" s="1"/>
  <c r="F530" i="1"/>
  <c r="U529" i="1"/>
  <c r="P529" i="1" a="1"/>
  <c r="P529" i="1" s="1"/>
  <c r="I529" i="1" a="1"/>
  <c r="I529" i="1"/>
  <c r="F529" i="1"/>
  <c r="U528" i="1"/>
  <c r="I528" i="1" a="1"/>
  <c r="I528" i="1" s="1"/>
  <c r="F528" i="1"/>
  <c r="P527" i="1" a="1"/>
  <c r="P527" i="1" s="1"/>
  <c r="U527" i="1" s="1"/>
  <c r="I527" i="1" a="1"/>
  <c r="I527" i="1" s="1"/>
  <c r="F527" i="1"/>
  <c r="U526" i="1"/>
  <c r="P526" i="1" a="1"/>
  <c r="P526" i="1" s="1"/>
  <c r="I526" i="1" a="1"/>
  <c r="I526" i="1"/>
  <c r="F526" i="1"/>
  <c r="U525" i="1"/>
  <c r="I525" i="1" a="1"/>
  <c r="I525" i="1"/>
  <c r="F525" i="1"/>
  <c r="P524" i="1" a="1"/>
  <c r="P524" i="1" s="1"/>
  <c r="U524" i="1" s="1"/>
  <c r="I524" i="1" a="1"/>
  <c r="I524" i="1" s="1"/>
  <c r="F524" i="1"/>
  <c r="P523" i="1" a="1"/>
  <c r="P523" i="1" s="1"/>
  <c r="U523" i="1" s="1"/>
  <c r="I523" i="1" a="1"/>
  <c r="I523" i="1"/>
  <c r="F523" i="1"/>
  <c r="P522" i="1" a="1"/>
  <c r="P522" i="1" s="1"/>
  <c r="U522" i="1" s="1"/>
  <c r="I522" i="1" a="1"/>
  <c r="I522" i="1" s="1"/>
  <c r="F522" i="1"/>
  <c r="P521" i="1" a="1"/>
  <c r="P521" i="1" s="1"/>
  <c r="U521" i="1" s="1"/>
  <c r="I521" i="1" a="1"/>
  <c r="I521" i="1" s="1"/>
  <c r="F521" i="1"/>
  <c r="U520" i="1"/>
  <c r="I520" i="1" a="1"/>
  <c r="I520" i="1" s="1"/>
  <c r="F520" i="1"/>
  <c r="U519" i="1"/>
  <c r="I519" i="1" a="1"/>
  <c r="I519" i="1" s="1"/>
  <c r="F519" i="1"/>
  <c r="U518" i="1"/>
  <c r="I518" i="1" a="1"/>
  <c r="I518" i="1" s="1"/>
  <c r="F518" i="1"/>
  <c r="U517" i="1"/>
  <c r="I517" i="1" a="1"/>
  <c r="I517" i="1" s="1"/>
  <c r="F517" i="1"/>
  <c r="U516" i="1"/>
  <c r="I516" i="1" a="1"/>
  <c r="I516" i="1" s="1"/>
  <c r="F516" i="1"/>
  <c r="U515" i="1"/>
  <c r="I515" i="1" a="1"/>
  <c r="I515" i="1" s="1"/>
  <c r="F515" i="1"/>
  <c r="U514" i="1"/>
  <c r="I514" i="1" a="1"/>
  <c r="I514" i="1" s="1"/>
  <c r="F514" i="1"/>
  <c r="P513" i="1" a="1"/>
  <c r="P513" i="1" s="1"/>
  <c r="U513" i="1" s="1"/>
  <c r="I513" i="1" a="1"/>
  <c r="I513" i="1" s="1"/>
  <c r="F513" i="1"/>
  <c r="U512" i="1"/>
  <c r="I512" i="1" a="1"/>
  <c r="I512" i="1" s="1"/>
  <c r="F512" i="1"/>
  <c r="P511" i="1" a="1"/>
  <c r="P511" i="1" s="1"/>
  <c r="U511" i="1" s="1"/>
  <c r="I511" i="1" a="1"/>
  <c r="I511" i="1" s="1"/>
  <c r="F511" i="1"/>
  <c r="U510" i="1"/>
  <c r="I510" i="1" a="1"/>
  <c r="I510" i="1" s="1"/>
  <c r="F510" i="1"/>
  <c r="P509" i="1" a="1"/>
  <c r="P509" i="1" s="1"/>
  <c r="U509" i="1" s="1"/>
  <c r="I509" i="1" a="1"/>
  <c r="I509" i="1" s="1"/>
  <c r="F509" i="1"/>
  <c r="U508" i="1"/>
  <c r="P508" i="1" a="1"/>
  <c r="P508" i="1" s="1"/>
  <c r="I508" i="1" a="1"/>
  <c r="I508" i="1"/>
  <c r="F508" i="1"/>
  <c r="U507" i="1"/>
  <c r="I507" i="1" a="1"/>
  <c r="I507" i="1" s="1"/>
  <c r="F507" i="1"/>
  <c r="P506" i="1" a="1"/>
  <c r="P506" i="1" s="1"/>
  <c r="U506" i="1" s="1"/>
  <c r="I506" i="1" a="1"/>
  <c r="I506" i="1" s="1"/>
  <c r="F506" i="1"/>
  <c r="P505" i="1" a="1"/>
  <c r="P505" i="1" s="1"/>
  <c r="U505" i="1" s="1"/>
  <c r="I505" i="1" a="1"/>
  <c r="I505" i="1" s="1"/>
  <c r="F505" i="1"/>
  <c r="P504" i="1" a="1"/>
  <c r="P504" i="1" s="1"/>
  <c r="U504" i="1" s="1"/>
  <c r="I504" i="1" a="1"/>
  <c r="I504" i="1" s="1"/>
  <c r="F504" i="1"/>
  <c r="P503" i="1" a="1"/>
  <c r="P503" i="1" s="1"/>
  <c r="U503" i="1" s="1"/>
  <c r="I503" i="1" a="1"/>
  <c r="I503" i="1" s="1"/>
  <c r="F503" i="1"/>
  <c r="P502" i="1" a="1"/>
  <c r="P502" i="1" s="1"/>
  <c r="U502" i="1" s="1"/>
  <c r="I502" i="1" a="1"/>
  <c r="I502" i="1" s="1"/>
  <c r="F502" i="1"/>
  <c r="U501" i="1"/>
  <c r="P501" i="1" a="1"/>
  <c r="P501" i="1" s="1"/>
  <c r="I501" i="1" a="1"/>
  <c r="I501" i="1" s="1"/>
  <c r="F501" i="1"/>
  <c r="U500" i="1"/>
  <c r="P500" i="1" a="1"/>
  <c r="P500" i="1" s="1"/>
  <c r="I500" i="1" a="1"/>
  <c r="I500" i="1" s="1"/>
  <c r="F500" i="1"/>
  <c r="P499" i="1" a="1"/>
  <c r="P499" i="1" s="1"/>
  <c r="U499" i="1" s="1"/>
  <c r="I499" i="1" a="1"/>
  <c r="I499" i="1" s="1"/>
  <c r="F499" i="1"/>
  <c r="U498" i="1"/>
  <c r="I498" i="1" a="1"/>
  <c r="I498" i="1" s="1"/>
  <c r="F498" i="1"/>
  <c r="P497" i="1" a="1"/>
  <c r="P497" i="1" s="1"/>
  <c r="U497" i="1" s="1"/>
  <c r="I497" i="1" a="1"/>
  <c r="I497" i="1" s="1"/>
  <c r="F497" i="1"/>
  <c r="P496" i="1" a="1"/>
  <c r="P496" i="1" s="1"/>
  <c r="U496" i="1" s="1"/>
  <c r="I496" i="1" a="1"/>
  <c r="I496" i="1" s="1"/>
  <c r="F496" i="1"/>
  <c r="P495" i="1" a="1"/>
  <c r="P495" i="1" s="1"/>
  <c r="U495" i="1" s="1"/>
  <c r="I495" i="1" a="1"/>
  <c r="I495" i="1" s="1"/>
  <c r="F495" i="1"/>
  <c r="U494" i="1"/>
  <c r="I494" i="1" a="1"/>
  <c r="I494" i="1" s="1"/>
  <c r="F494" i="1"/>
  <c r="P493" i="1" a="1"/>
  <c r="P493" i="1" s="1"/>
  <c r="U493" i="1" s="1"/>
  <c r="I493" i="1" a="1"/>
  <c r="I493" i="1" s="1"/>
  <c r="F493" i="1"/>
  <c r="P492" i="1" a="1"/>
  <c r="P492" i="1" s="1"/>
  <c r="U492" i="1" s="1"/>
  <c r="I492" i="1" a="1"/>
  <c r="I492" i="1" s="1"/>
  <c r="F492" i="1"/>
  <c r="P491" i="1" a="1"/>
  <c r="P491" i="1"/>
  <c r="U491" i="1" s="1"/>
  <c r="I491" i="1" a="1"/>
  <c r="I491" i="1" s="1"/>
  <c r="F491" i="1"/>
  <c r="P490" i="1" a="1"/>
  <c r="P490" i="1" s="1"/>
  <c r="U490" i="1" s="1"/>
  <c r="I490" i="1" a="1"/>
  <c r="I490" i="1" s="1"/>
  <c r="F490" i="1"/>
  <c r="U489" i="1"/>
  <c r="I489" i="1" a="1"/>
  <c r="I489" i="1" s="1"/>
  <c r="F489" i="1"/>
  <c r="U488" i="1"/>
  <c r="I488" i="1" a="1"/>
  <c r="I488" i="1" s="1"/>
  <c r="F488" i="1"/>
  <c r="U487" i="1"/>
  <c r="I487" i="1" a="1"/>
  <c r="I487" i="1" s="1"/>
  <c r="F487" i="1"/>
  <c r="U486" i="1"/>
  <c r="I486" i="1" a="1"/>
  <c r="I486" i="1" s="1"/>
  <c r="F486" i="1"/>
  <c r="U485" i="1"/>
  <c r="I485" i="1" a="1"/>
  <c r="I485" i="1" s="1"/>
  <c r="F485" i="1"/>
  <c r="U484" i="1"/>
  <c r="I484" i="1" a="1"/>
  <c r="I484" i="1" s="1"/>
  <c r="F484" i="1"/>
  <c r="U483" i="1"/>
  <c r="I483" i="1" a="1"/>
  <c r="I483" i="1" s="1"/>
  <c r="F483" i="1"/>
  <c r="U482" i="1"/>
  <c r="I482" i="1" a="1"/>
  <c r="I482" i="1" s="1"/>
  <c r="F482" i="1"/>
  <c r="P481" i="1" a="1"/>
  <c r="P481" i="1" s="1"/>
  <c r="U481" i="1" s="1"/>
  <c r="I481" i="1" a="1"/>
  <c r="I481" i="1" s="1"/>
  <c r="F481" i="1"/>
  <c r="P480" i="1" a="1"/>
  <c r="P480" i="1" s="1"/>
  <c r="U480" i="1" s="1"/>
  <c r="I480" i="1" a="1"/>
  <c r="I480" i="1" s="1"/>
  <c r="F480" i="1"/>
  <c r="P479" i="1" a="1"/>
  <c r="P479" i="1" s="1"/>
  <c r="U479" i="1" s="1"/>
  <c r="I479" i="1" a="1"/>
  <c r="I479" i="1" s="1"/>
  <c r="F479" i="1"/>
  <c r="P478" i="1" a="1"/>
  <c r="P478" i="1" s="1"/>
  <c r="U478" i="1" s="1"/>
  <c r="I478" i="1" a="1"/>
  <c r="I478" i="1" s="1"/>
  <c r="F478" i="1"/>
  <c r="P477" i="1" a="1"/>
  <c r="P477" i="1" s="1"/>
  <c r="U477" i="1" s="1"/>
  <c r="I477" i="1" a="1"/>
  <c r="I477" i="1" s="1"/>
  <c r="F477" i="1"/>
  <c r="U476" i="1"/>
  <c r="I476" i="1" a="1"/>
  <c r="I476" i="1" s="1"/>
  <c r="F476" i="1"/>
  <c r="U475" i="1"/>
  <c r="I475" i="1" a="1"/>
  <c r="I475" i="1" s="1"/>
  <c r="F475" i="1"/>
  <c r="U474" i="1"/>
  <c r="I474" i="1" a="1"/>
  <c r="I474" i="1" s="1"/>
  <c r="F474" i="1"/>
  <c r="U473" i="1"/>
  <c r="I473" i="1" a="1"/>
  <c r="I473" i="1" s="1"/>
  <c r="F473" i="1"/>
  <c r="U472" i="1"/>
  <c r="I472" i="1" a="1"/>
  <c r="I472" i="1" s="1"/>
  <c r="F472" i="1"/>
  <c r="U471" i="1"/>
  <c r="I471" i="1" a="1"/>
  <c r="I471" i="1" s="1"/>
  <c r="F471" i="1"/>
  <c r="U470" i="1"/>
  <c r="I470" i="1" a="1"/>
  <c r="I470" i="1" s="1"/>
  <c r="F470" i="1"/>
  <c r="P469" i="1" a="1"/>
  <c r="P469" i="1" s="1"/>
  <c r="U469" i="1" s="1"/>
  <c r="I469" i="1" a="1"/>
  <c r="I469" i="1" s="1"/>
  <c r="F469" i="1"/>
  <c r="P468" i="1" a="1"/>
  <c r="P468" i="1" s="1"/>
  <c r="U468" i="1" s="1"/>
  <c r="I468" i="1" a="1"/>
  <c r="I468" i="1" s="1"/>
  <c r="F468" i="1"/>
  <c r="P467" i="1" a="1"/>
  <c r="P467" i="1" s="1"/>
  <c r="U467" i="1" s="1"/>
  <c r="I467" i="1" a="1"/>
  <c r="I467" i="1" s="1"/>
  <c r="F467" i="1"/>
  <c r="P466" i="1" a="1"/>
  <c r="P466" i="1" s="1"/>
  <c r="U466" i="1" s="1"/>
  <c r="I466" i="1" a="1"/>
  <c r="I466" i="1" s="1"/>
  <c r="F466" i="1"/>
  <c r="P465" i="1" a="1"/>
  <c r="P465" i="1" s="1"/>
  <c r="U465" i="1" s="1"/>
  <c r="I465" i="1" a="1"/>
  <c r="I465" i="1" s="1"/>
  <c r="F465" i="1"/>
  <c r="U464" i="1"/>
  <c r="I464" i="1" a="1"/>
  <c r="I464" i="1" s="1"/>
  <c r="F464" i="1"/>
  <c r="P463" i="1" a="1"/>
  <c r="P463" i="1" s="1"/>
  <c r="U463" i="1" s="1"/>
  <c r="I463" i="1" a="1"/>
  <c r="I463" i="1" s="1"/>
  <c r="F463" i="1"/>
  <c r="U462" i="1"/>
  <c r="I462" i="1" a="1"/>
  <c r="I462" i="1" s="1"/>
  <c r="F462" i="1"/>
  <c r="P461" i="1" a="1"/>
  <c r="P461" i="1" s="1"/>
  <c r="U461" i="1" s="1"/>
  <c r="I461" i="1" a="1"/>
  <c r="I461" i="1" s="1"/>
  <c r="F461" i="1"/>
  <c r="P460" i="1" a="1"/>
  <c r="P460" i="1" s="1"/>
  <c r="U460" i="1" s="1"/>
  <c r="I460" i="1" a="1"/>
  <c r="I460" i="1" s="1"/>
  <c r="F460" i="1"/>
  <c r="P459" i="1" a="1"/>
  <c r="P459" i="1" s="1"/>
  <c r="U459" i="1" s="1"/>
  <c r="I459" i="1" a="1"/>
  <c r="I459" i="1" s="1"/>
  <c r="F459" i="1"/>
  <c r="U458" i="1"/>
  <c r="I458" i="1" a="1"/>
  <c r="I458" i="1" s="1"/>
  <c r="F458" i="1"/>
  <c r="P457" i="1" a="1"/>
  <c r="P457" i="1"/>
  <c r="U457" i="1" s="1"/>
  <c r="I457" i="1" a="1"/>
  <c r="I457" i="1" s="1"/>
  <c r="F457" i="1"/>
  <c r="P456" i="1" a="1"/>
  <c r="P456" i="1" s="1"/>
  <c r="U456" i="1" s="1"/>
  <c r="I456" i="1" a="1"/>
  <c r="I456" i="1" s="1"/>
  <c r="F456" i="1"/>
  <c r="U455" i="1"/>
  <c r="I455" i="1" a="1"/>
  <c r="I455" i="1" s="1"/>
  <c r="F455" i="1"/>
  <c r="U454" i="1"/>
  <c r="I454" i="1" a="1"/>
  <c r="I454" i="1" s="1"/>
  <c r="F454" i="1"/>
  <c r="U453" i="1"/>
  <c r="I453" i="1" a="1"/>
  <c r="I453" i="1" s="1"/>
  <c r="F453" i="1"/>
  <c r="U452" i="1"/>
  <c r="I452" i="1" a="1"/>
  <c r="I452" i="1" s="1"/>
  <c r="F452" i="1"/>
  <c r="U451" i="1"/>
  <c r="I451" i="1" a="1"/>
  <c r="I451" i="1" s="1"/>
  <c r="F451" i="1"/>
  <c r="U450" i="1"/>
  <c r="I450" i="1" a="1"/>
  <c r="I450" i="1" s="1"/>
  <c r="F450" i="1"/>
  <c r="U449" i="1"/>
  <c r="I449" i="1" a="1"/>
  <c r="I449" i="1" s="1"/>
  <c r="F449" i="1"/>
  <c r="P448" i="1" a="1"/>
  <c r="P448" i="1"/>
  <c r="U448" i="1" s="1"/>
  <c r="I448" i="1" a="1"/>
  <c r="I448" i="1" s="1"/>
  <c r="F448" i="1"/>
  <c r="U447" i="1"/>
  <c r="I447" i="1" a="1"/>
  <c r="I447" i="1" s="1"/>
  <c r="F447" i="1"/>
  <c r="U446" i="1"/>
  <c r="I446" i="1" a="1"/>
  <c r="I446" i="1" s="1"/>
  <c r="F446" i="1"/>
  <c r="U445" i="1"/>
  <c r="I445" i="1" a="1"/>
  <c r="I445" i="1" s="1"/>
  <c r="F445" i="1"/>
  <c r="U444" i="1"/>
  <c r="I444" i="1" a="1"/>
  <c r="I444" i="1" s="1"/>
  <c r="F444" i="1"/>
  <c r="U443" i="1"/>
  <c r="I443" i="1" a="1"/>
  <c r="I443" i="1" s="1"/>
  <c r="F443" i="1"/>
  <c r="U442" i="1"/>
  <c r="I442" i="1" a="1"/>
  <c r="I442" i="1" s="1"/>
  <c r="F442" i="1"/>
  <c r="P441" i="1" a="1"/>
  <c r="P441" i="1" s="1"/>
  <c r="U441" i="1" s="1"/>
  <c r="I441" i="1" a="1"/>
  <c r="I441" i="1" s="1"/>
  <c r="F441" i="1"/>
  <c r="U440" i="1"/>
  <c r="I440" i="1" a="1"/>
  <c r="I440" i="1" s="1"/>
  <c r="F440" i="1"/>
  <c r="P439" i="1" a="1"/>
  <c r="P439" i="1"/>
  <c r="U439" i="1" s="1"/>
  <c r="I439" i="1" a="1"/>
  <c r="I439" i="1" s="1"/>
  <c r="F439" i="1"/>
  <c r="U438" i="1"/>
  <c r="I438" i="1" a="1"/>
  <c r="I438" i="1" s="1"/>
  <c r="F438" i="1"/>
  <c r="U437" i="1"/>
  <c r="I437" i="1" a="1"/>
  <c r="I437" i="1" s="1"/>
  <c r="F437" i="1"/>
  <c r="U436" i="1"/>
  <c r="I436" i="1" a="1"/>
  <c r="I436" i="1" s="1"/>
  <c r="F436" i="1"/>
  <c r="U435" i="1"/>
  <c r="I435" i="1" a="1"/>
  <c r="I435" i="1" s="1"/>
  <c r="F435" i="1"/>
  <c r="U434" i="1"/>
  <c r="I434" i="1" a="1"/>
  <c r="I434" i="1" s="1"/>
  <c r="F434" i="1"/>
  <c r="U433" i="1"/>
  <c r="I433" i="1" a="1"/>
  <c r="I433" i="1" s="1"/>
  <c r="F433" i="1"/>
  <c r="U432" i="1"/>
  <c r="I432" i="1" a="1"/>
  <c r="I432" i="1" s="1"/>
  <c r="F432" i="1"/>
  <c r="U431" i="1"/>
  <c r="P431" i="1" a="1"/>
  <c r="P431" i="1" s="1"/>
  <c r="I431" i="1" a="1"/>
  <c r="I431" i="1"/>
  <c r="F431" i="1"/>
  <c r="P430" i="1" a="1"/>
  <c r="P430" i="1" s="1"/>
  <c r="U430" i="1" s="1"/>
  <c r="I430" i="1" a="1"/>
  <c r="I430" i="1" s="1"/>
  <c r="F430" i="1"/>
  <c r="U429" i="1"/>
  <c r="P429" i="1" a="1"/>
  <c r="P429" i="1" s="1"/>
  <c r="I429" i="1" a="1"/>
  <c r="I429" i="1"/>
  <c r="F429" i="1"/>
  <c r="P428" i="1" a="1"/>
  <c r="P428" i="1" s="1"/>
  <c r="U428" i="1" s="1"/>
  <c r="I428" i="1" a="1"/>
  <c r="I428" i="1" s="1"/>
  <c r="F428" i="1"/>
  <c r="P427" i="1" a="1"/>
  <c r="P427" i="1" s="1"/>
  <c r="U427" i="1" s="1"/>
  <c r="I427" i="1" a="1"/>
  <c r="I427" i="1" s="1"/>
  <c r="F427" i="1"/>
  <c r="P426" i="1" a="1"/>
  <c r="P426" i="1" s="1"/>
  <c r="U426" i="1" s="1"/>
  <c r="I426" i="1" a="1"/>
  <c r="I426" i="1" s="1"/>
  <c r="F426" i="1"/>
  <c r="P425" i="1" a="1"/>
  <c r="P425" i="1" s="1"/>
  <c r="U425" i="1" s="1"/>
  <c r="I425" i="1" a="1"/>
  <c r="I425" i="1" s="1"/>
  <c r="F425" i="1"/>
  <c r="P424" i="1" a="1"/>
  <c r="P424" i="1" s="1"/>
  <c r="U424" i="1" s="1"/>
  <c r="I424" i="1" a="1"/>
  <c r="I424" i="1" s="1"/>
  <c r="F424" i="1"/>
  <c r="P423" i="1" a="1"/>
  <c r="P423" i="1" s="1"/>
  <c r="U423" i="1" s="1"/>
  <c r="I423" i="1" a="1"/>
  <c r="I423" i="1" s="1"/>
  <c r="F423" i="1"/>
  <c r="P422" i="1" a="1"/>
  <c r="P422" i="1" s="1"/>
  <c r="U422" i="1" s="1"/>
  <c r="I422" i="1" a="1"/>
  <c r="I422" i="1" s="1"/>
  <c r="F422" i="1"/>
  <c r="P421" i="1" a="1"/>
  <c r="P421" i="1" s="1"/>
  <c r="U421" i="1" s="1"/>
  <c r="I421" i="1" a="1"/>
  <c r="I421" i="1" s="1"/>
  <c r="F421" i="1"/>
  <c r="P420" i="1" a="1"/>
  <c r="P420" i="1"/>
  <c r="U420" i="1" s="1"/>
  <c r="I420" i="1" a="1"/>
  <c r="I420" i="1" s="1"/>
  <c r="F420" i="1"/>
  <c r="P419" i="1" a="1"/>
  <c r="P419" i="1" s="1"/>
  <c r="U419" i="1" s="1"/>
  <c r="I419" i="1" a="1"/>
  <c r="I419" i="1" s="1"/>
  <c r="F419" i="1"/>
  <c r="P418" i="1" a="1"/>
  <c r="P418" i="1"/>
  <c r="U418" i="1" s="1"/>
  <c r="I418" i="1" a="1"/>
  <c r="I418" i="1" s="1"/>
  <c r="F418" i="1"/>
  <c r="P417" i="1" a="1"/>
  <c r="P417" i="1" s="1"/>
  <c r="U417" i="1" s="1"/>
  <c r="I417" i="1" a="1"/>
  <c r="I417" i="1" s="1"/>
  <c r="F417" i="1"/>
  <c r="P416" i="1" a="1"/>
  <c r="P416" i="1" s="1"/>
  <c r="U416" i="1" s="1"/>
  <c r="I416" i="1" a="1"/>
  <c r="I416" i="1" s="1"/>
  <c r="F416" i="1"/>
  <c r="U415" i="1"/>
  <c r="I415" i="1" a="1"/>
  <c r="I415" i="1" s="1"/>
  <c r="F415" i="1"/>
  <c r="U414" i="1"/>
  <c r="I414" i="1" a="1"/>
  <c r="I414" i="1" s="1"/>
  <c r="F414" i="1"/>
  <c r="U413" i="1"/>
  <c r="I413" i="1" a="1"/>
  <c r="I413" i="1" s="1"/>
  <c r="F413" i="1"/>
  <c r="U412" i="1"/>
  <c r="I412" i="1" a="1"/>
  <c r="I412" i="1" s="1"/>
  <c r="F412" i="1"/>
  <c r="U411" i="1"/>
  <c r="I411" i="1" a="1"/>
  <c r="I411" i="1" s="1"/>
  <c r="F411" i="1"/>
  <c r="U410" i="1"/>
  <c r="I410" i="1" a="1"/>
  <c r="I410" i="1" s="1"/>
  <c r="F410" i="1"/>
  <c r="U409" i="1"/>
  <c r="I409" i="1" a="1"/>
  <c r="I409" i="1" s="1"/>
  <c r="F409" i="1"/>
  <c r="U408" i="1"/>
  <c r="P408" i="1" a="1"/>
  <c r="P408" i="1" s="1"/>
  <c r="I408" i="1" a="1"/>
  <c r="I408" i="1"/>
  <c r="F408" i="1"/>
  <c r="U407" i="1"/>
  <c r="I407" i="1" a="1"/>
  <c r="I407" i="1"/>
  <c r="F407" i="1"/>
  <c r="U406" i="1"/>
  <c r="I406" i="1" a="1"/>
  <c r="I406" i="1"/>
  <c r="F406" i="1"/>
  <c r="U405" i="1"/>
  <c r="I405" i="1" a="1"/>
  <c r="I405" i="1"/>
  <c r="F405" i="1"/>
  <c r="U404" i="1"/>
  <c r="I404" i="1" a="1"/>
  <c r="I404" i="1"/>
  <c r="F404" i="1"/>
  <c r="U403" i="1"/>
  <c r="I403" i="1" a="1"/>
  <c r="I403" i="1"/>
  <c r="F403" i="1"/>
  <c r="U402" i="1"/>
  <c r="I402" i="1" a="1"/>
  <c r="I402" i="1"/>
  <c r="F402" i="1"/>
  <c r="U401" i="1"/>
  <c r="I401" i="1" a="1"/>
  <c r="I401" i="1"/>
  <c r="F401" i="1"/>
  <c r="U400" i="1"/>
  <c r="I400" i="1" a="1"/>
  <c r="I400" i="1"/>
  <c r="F400" i="1"/>
  <c r="U399" i="1"/>
  <c r="I399" i="1" a="1"/>
  <c r="I399" i="1"/>
  <c r="F399" i="1"/>
  <c r="U398" i="1"/>
  <c r="I398" i="1" a="1"/>
  <c r="I398" i="1"/>
  <c r="F398" i="1"/>
  <c r="P397" i="1" a="1"/>
  <c r="P397" i="1"/>
  <c r="U397" i="1" s="1"/>
  <c r="I397" i="1" a="1"/>
  <c r="I397" i="1" s="1"/>
  <c r="F397" i="1"/>
  <c r="U396" i="1"/>
  <c r="I396" i="1" a="1"/>
  <c r="I396" i="1" s="1"/>
  <c r="F396" i="1"/>
  <c r="U395" i="1"/>
  <c r="P395" i="1" a="1"/>
  <c r="P395" i="1" s="1"/>
  <c r="I395" i="1" a="1"/>
  <c r="I395" i="1"/>
  <c r="F395" i="1"/>
  <c r="P394" i="1" a="1"/>
  <c r="P394" i="1"/>
  <c r="U394" i="1" s="1"/>
  <c r="I394" i="1" a="1"/>
  <c r="I394" i="1" s="1"/>
  <c r="F394" i="1"/>
  <c r="U393" i="1"/>
  <c r="I393" i="1" a="1"/>
  <c r="I393" i="1" s="1"/>
  <c r="F393" i="1"/>
  <c r="U392" i="1"/>
  <c r="I392" i="1" a="1"/>
  <c r="I392" i="1" s="1"/>
  <c r="F392" i="1"/>
  <c r="U391" i="1"/>
  <c r="I391" i="1" a="1"/>
  <c r="I391" i="1" s="1"/>
  <c r="F391" i="1"/>
  <c r="U390" i="1"/>
  <c r="I390" i="1" a="1"/>
  <c r="I390" i="1" s="1"/>
  <c r="F390" i="1"/>
  <c r="U389" i="1"/>
  <c r="I389" i="1" a="1"/>
  <c r="I389" i="1" s="1"/>
  <c r="F389" i="1"/>
  <c r="U388" i="1"/>
  <c r="I388" i="1" a="1"/>
  <c r="I388" i="1" s="1"/>
  <c r="F388" i="1"/>
  <c r="U387" i="1"/>
  <c r="I387" i="1" a="1"/>
  <c r="I387" i="1" s="1"/>
  <c r="F387" i="1"/>
  <c r="U386" i="1"/>
  <c r="I386" i="1" a="1"/>
  <c r="I386" i="1" s="1"/>
  <c r="F386" i="1"/>
  <c r="U385" i="1"/>
  <c r="I385" i="1" a="1"/>
  <c r="I385" i="1" s="1"/>
  <c r="F385" i="1"/>
  <c r="U384" i="1"/>
  <c r="I384" i="1" a="1"/>
  <c r="I384" i="1" s="1"/>
  <c r="F384" i="1"/>
  <c r="U383" i="1"/>
  <c r="I383" i="1" a="1"/>
  <c r="I383" i="1" s="1"/>
  <c r="F383" i="1"/>
  <c r="U382" i="1"/>
  <c r="I382" i="1" a="1"/>
  <c r="I382" i="1" s="1"/>
  <c r="F382" i="1"/>
  <c r="U381" i="1"/>
  <c r="I381" i="1" a="1"/>
  <c r="I381" i="1" s="1"/>
  <c r="F381" i="1"/>
  <c r="U380" i="1"/>
  <c r="P380" i="1" a="1"/>
  <c r="P380" i="1" s="1"/>
  <c r="I380" i="1" a="1"/>
  <c r="I380" i="1"/>
  <c r="F380" i="1"/>
  <c r="U379" i="1"/>
  <c r="I379" i="1" a="1"/>
  <c r="I379" i="1"/>
  <c r="F379" i="1"/>
  <c r="P378" i="1" a="1"/>
  <c r="P378" i="1"/>
  <c r="U378" i="1" s="1"/>
  <c r="I378" i="1" a="1"/>
  <c r="I378" i="1" s="1"/>
  <c r="F378" i="1"/>
  <c r="P377" i="1" a="1"/>
  <c r="P377" i="1" s="1"/>
  <c r="U377" i="1" s="1"/>
  <c r="I377" i="1" a="1"/>
  <c r="I377" i="1" s="1"/>
  <c r="F377" i="1"/>
  <c r="U376" i="1"/>
  <c r="I376" i="1" a="1"/>
  <c r="I376" i="1" s="1"/>
  <c r="F376" i="1"/>
  <c r="U375" i="1"/>
  <c r="I375" i="1" a="1"/>
  <c r="I375" i="1" s="1"/>
  <c r="F375" i="1"/>
  <c r="U374" i="1"/>
  <c r="I374" i="1" a="1"/>
  <c r="I374" i="1" s="1"/>
  <c r="F374" i="1"/>
  <c r="P373" i="1" a="1"/>
  <c r="P373" i="1"/>
  <c r="U373" i="1" s="1"/>
  <c r="I373" i="1" a="1"/>
  <c r="I373" i="1" s="1"/>
  <c r="F373" i="1"/>
  <c r="U372" i="1"/>
  <c r="I372" i="1" a="1"/>
  <c r="I372" i="1" s="1"/>
  <c r="F372" i="1"/>
  <c r="U371" i="1"/>
  <c r="I371" i="1" a="1"/>
  <c r="I371" i="1" s="1"/>
  <c r="F371" i="1"/>
  <c r="U370" i="1"/>
  <c r="I370" i="1" a="1"/>
  <c r="I370" i="1" s="1"/>
  <c r="F370" i="1"/>
  <c r="U369" i="1"/>
  <c r="I369" i="1" a="1"/>
  <c r="I369" i="1" s="1"/>
  <c r="F369" i="1"/>
  <c r="P368" i="1" a="1"/>
  <c r="P368" i="1" s="1"/>
  <c r="U368" i="1" s="1"/>
  <c r="I368" i="1" a="1"/>
  <c r="I368" i="1" s="1"/>
  <c r="F368" i="1"/>
  <c r="P367" i="1" a="1"/>
  <c r="P367" i="1" s="1"/>
  <c r="U367" i="1" s="1"/>
  <c r="I367" i="1" a="1"/>
  <c r="I367" i="1" s="1"/>
  <c r="F367" i="1"/>
  <c r="U366" i="1"/>
  <c r="P366" i="1" a="1"/>
  <c r="P366" i="1" s="1"/>
  <c r="I366" i="1" a="1"/>
  <c r="I366" i="1"/>
  <c r="F366" i="1"/>
  <c r="U365" i="1"/>
  <c r="I365" i="1" a="1"/>
  <c r="I365" i="1"/>
  <c r="F365" i="1"/>
  <c r="U364" i="1"/>
  <c r="I364" i="1" a="1"/>
  <c r="I364" i="1"/>
  <c r="F364" i="1"/>
  <c r="U363" i="1"/>
  <c r="I363" i="1" a="1"/>
  <c r="I363" i="1"/>
  <c r="F363" i="1"/>
  <c r="U362" i="1"/>
  <c r="I362" i="1" a="1"/>
  <c r="I362" i="1"/>
  <c r="F362" i="1"/>
  <c r="U361" i="1"/>
  <c r="I361" i="1" a="1"/>
  <c r="I361" i="1"/>
  <c r="F361" i="1"/>
  <c r="U360" i="1"/>
  <c r="I360" i="1" a="1"/>
  <c r="I360" i="1"/>
  <c r="F360" i="1"/>
  <c r="P359" i="1" a="1"/>
  <c r="P359" i="1" s="1"/>
  <c r="U359" i="1" s="1"/>
  <c r="I359" i="1" a="1"/>
  <c r="I359" i="1" s="1"/>
  <c r="F359" i="1"/>
  <c r="U358" i="1"/>
  <c r="I358" i="1" a="1"/>
  <c r="I358" i="1" s="1"/>
  <c r="F358" i="1"/>
  <c r="U357" i="1"/>
  <c r="I357" i="1" a="1"/>
  <c r="I357" i="1" s="1"/>
  <c r="F357" i="1"/>
  <c r="P356" i="1" a="1"/>
  <c r="P356" i="1" s="1"/>
  <c r="U356" i="1" s="1"/>
  <c r="I356" i="1" a="1"/>
  <c r="I356" i="1" s="1"/>
  <c r="F356" i="1"/>
  <c r="P355" i="1" a="1"/>
  <c r="P355" i="1" s="1"/>
  <c r="U355" i="1" s="1"/>
  <c r="I355" i="1" a="1"/>
  <c r="I355" i="1" s="1"/>
  <c r="F355" i="1"/>
  <c r="U354" i="1"/>
  <c r="P354" i="1" a="1"/>
  <c r="P354" i="1" s="1"/>
  <c r="I354" i="1" a="1"/>
  <c r="I354" i="1"/>
  <c r="F354" i="1"/>
  <c r="U353" i="1"/>
  <c r="I353" i="1" a="1"/>
  <c r="I353" i="1"/>
  <c r="F353" i="1"/>
  <c r="U352" i="1"/>
  <c r="I352" i="1" a="1"/>
  <c r="I352" i="1"/>
  <c r="F352" i="1"/>
  <c r="U351" i="1"/>
  <c r="I351" i="1" a="1"/>
  <c r="I351" i="1"/>
  <c r="F351" i="1"/>
  <c r="U350" i="1"/>
  <c r="I350" i="1" a="1"/>
  <c r="I350" i="1"/>
  <c r="F350" i="1"/>
  <c r="U349" i="1"/>
  <c r="I349" i="1" a="1"/>
  <c r="I349" i="1"/>
  <c r="F349" i="1"/>
  <c r="U348" i="1"/>
  <c r="I348" i="1" a="1"/>
  <c r="I348" i="1"/>
  <c r="F348" i="1"/>
  <c r="P347" i="1" a="1"/>
  <c r="P347" i="1" s="1"/>
  <c r="U347" i="1" s="1"/>
  <c r="I347" i="1" a="1"/>
  <c r="I347" i="1" s="1"/>
  <c r="F347" i="1"/>
  <c r="U346" i="1"/>
  <c r="P346" i="1" a="1"/>
  <c r="P346" i="1" s="1"/>
  <c r="I346" i="1" a="1"/>
  <c r="I346" i="1" s="1"/>
  <c r="F346" i="1"/>
  <c r="P345" i="1" a="1"/>
  <c r="P345" i="1" s="1"/>
  <c r="U345" i="1" s="1"/>
  <c r="I345" i="1" a="1"/>
  <c r="I345" i="1" s="1"/>
  <c r="F345" i="1"/>
  <c r="P344" i="1" a="1"/>
  <c r="P344" i="1" s="1"/>
  <c r="U344" i="1" s="1"/>
  <c r="I344" i="1" a="1"/>
  <c r="I344" i="1" s="1"/>
  <c r="F344" i="1"/>
  <c r="P343" i="1" a="1"/>
  <c r="P343" i="1" s="1"/>
  <c r="U343" i="1" s="1"/>
  <c r="I343" i="1" a="1"/>
  <c r="I343" i="1" s="1"/>
  <c r="F343" i="1"/>
  <c r="P342" i="1" a="1"/>
  <c r="P342" i="1" s="1"/>
  <c r="U342" i="1" s="1"/>
  <c r="I342" i="1" a="1"/>
  <c r="I342" i="1" s="1"/>
  <c r="F342" i="1"/>
  <c r="P341" i="1" a="1"/>
  <c r="P341" i="1" s="1"/>
  <c r="U341" i="1" s="1"/>
  <c r="I341" i="1" a="1"/>
  <c r="I341" i="1" s="1"/>
  <c r="F341" i="1"/>
  <c r="U340" i="1"/>
  <c r="I340" i="1" a="1"/>
  <c r="I340" i="1" s="1"/>
  <c r="F340" i="1"/>
  <c r="P339" i="1" a="1"/>
  <c r="P339" i="1" s="1"/>
  <c r="U339" i="1" s="1"/>
  <c r="I339" i="1" a="1"/>
  <c r="I339" i="1" s="1"/>
  <c r="F339" i="1"/>
  <c r="P338" i="1" a="1"/>
  <c r="P338" i="1" s="1"/>
  <c r="U338" i="1" s="1"/>
  <c r="I338" i="1" a="1"/>
  <c r="I338" i="1" s="1"/>
  <c r="F338" i="1"/>
  <c r="U337" i="1"/>
  <c r="I337" i="1" a="1"/>
  <c r="I337" i="1" s="1"/>
  <c r="F337" i="1"/>
  <c r="P336" i="1" a="1"/>
  <c r="P336" i="1" s="1"/>
  <c r="U336" i="1" s="1"/>
  <c r="I336" i="1" a="1"/>
  <c r="I336" i="1" s="1"/>
  <c r="F336" i="1"/>
  <c r="P335" i="1" a="1"/>
  <c r="P335" i="1" s="1"/>
  <c r="U335" i="1" s="1"/>
  <c r="I335" i="1" a="1"/>
  <c r="I335" i="1" s="1"/>
  <c r="F335" i="1"/>
  <c r="U334" i="1"/>
  <c r="I334" i="1" a="1"/>
  <c r="I334" i="1" s="1"/>
  <c r="F334" i="1"/>
  <c r="P333" i="1" a="1"/>
  <c r="P333" i="1" s="1"/>
  <c r="U333" i="1" s="1"/>
  <c r="I333" i="1" a="1"/>
  <c r="I333" i="1" s="1"/>
  <c r="F333" i="1"/>
  <c r="P332" i="1" a="1"/>
  <c r="P332" i="1" s="1"/>
  <c r="U332" i="1" s="1"/>
  <c r="I332" i="1" a="1"/>
  <c r="I332" i="1" s="1"/>
  <c r="F332" i="1"/>
  <c r="U331" i="1"/>
  <c r="I331" i="1" a="1"/>
  <c r="I331" i="1" s="1"/>
  <c r="F331" i="1"/>
  <c r="U330" i="1"/>
  <c r="I330" i="1" a="1"/>
  <c r="I330" i="1" s="1"/>
  <c r="F330" i="1"/>
  <c r="P329" i="1" a="1"/>
  <c r="P329" i="1" s="1"/>
  <c r="U329" i="1" s="1"/>
  <c r="I329" i="1" a="1"/>
  <c r="I329" i="1" s="1"/>
  <c r="F329" i="1"/>
  <c r="U328" i="1"/>
  <c r="I328" i="1" a="1"/>
  <c r="I328" i="1" s="1"/>
  <c r="F328" i="1"/>
  <c r="P327" i="1" a="1"/>
  <c r="P327" i="1" s="1"/>
  <c r="U327" i="1" s="1"/>
  <c r="I327" i="1" a="1"/>
  <c r="I327" i="1" s="1"/>
  <c r="F327" i="1"/>
  <c r="U326" i="1"/>
  <c r="I326" i="1" a="1"/>
  <c r="I326" i="1" s="1"/>
  <c r="F326" i="1"/>
  <c r="P325" i="1" a="1"/>
  <c r="P325" i="1" s="1"/>
  <c r="U325" i="1" s="1"/>
  <c r="I325" i="1" a="1"/>
  <c r="I325" i="1" s="1"/>
  <c r="F325" i="1"/>
  <c r="U324" i="1"/>
  <c r="I324" i="1" a="1"/>
  <c r="I324" i="1" s="1"/>
  <c r="F324" i="1"/>
  <c r="U323" i="1"/>
  <c r="I323" i="1" a="1"/>
  <c r="I323" i="1" s="1"/>
  <c r="F323" i="1"/>
  <c r="U322" i="1"/>
  <c r="I322" i="1" a="1"/>
  <c r="I322" i="1" s="1"/>
  <c r="F322" i="1"/>
  <c r="P321" i="1" a="1"/>
  <c r="P321" i="1" s="1"/>
  <c r="U321" i="1" s="1"/>
  <c r="I321" i="1" a="1"/>
  <c r="I321" i="1" s="1"/>
  <c r="F321" i="1"/>
  <c r="P320" i="1" a="1"/>
  <c r="P320" i="1" s="1"/>
  <c r="U320" i="1" s="1"/>
  <c r="I320" i="1" a="1"/>
  <c r="I320" i="1" s="1"/>
  <c r="F320" i="1"/>
  <c r="U319" i="1"/>
  <c r="I319" i="1" a="1"/>
  <c r="I319" i="1" s="1"/>
  <c r="F319" i="1"/>
  <c r="U318" i="1"/>
  <c r="I318" i="1" a="1"/>
  <c r="I318" i="1" s="1"/>
  <c r="F318" i="1"/>
  <c r="U317" i="1"/>
  <c r="I317" i="1" a="1"/>
  <c r="I317" i="1" s="1"/>
  <c r="F317" i="1"/>
  <c r="P316" i="1" a="1"/>
  <c r="P316" i="1" s="1"/>
  <c r="U316" i="1" s="1"/>
  <c r="I316" i="1" a="1"/>
  <c r="I316" i="1" s="1"/>
  <c r="F316" i="1"/>
  <c r="P315" i="1" a="1"/>
  <c r="P315" i="1" s="1"/>
  <c r="U315" i="1" s="1"/>
  <c r="I315" i="1" a="1"/>
  <c r="I315" i="1" s="1"/>
  <c r="F315" i="1"/>
  <c r="P314" i="1" a="1"/>
  <c r="P314" i="1" s="1"/>
  <c r="U314" i="1" s="1"/>
  <c r="I314" i="1" a="1"/>
  <c r="I314" i="1" s="1"/>
  <c r="F314" i="1"/>
  <c r="P313" i="1" a="1"/>
  <c r="P313" i="1" s="1"/>
  <c r="U313" i="1" s="1"/>
  <c r="I313" i="1" a="1"/>
  <c r="I313" i="1" s="1"/>
  <c r="F313" i="1"/>
  <c r="P312" i="1" a="1"/>
  <c r="P312" i="1" s="1"/>
  <c r="U312" i="1" s="1"/>
  <c r="I312" i="1" a="1"/>
  <c r="I312" i="1" s="1"/>
  <c r="F312" i="1"/>
  <c r="P311" i="1" a="1"/>
  <c r="P311" i="1" s="1"/>
  <c r="U311" i="1" s="1"/>
  <c r="I311" i="1" a="1"/>
  <c r="I311" i="1" s="1"/>
  <c r="F311" i="1"/>
  <c r="P310" i="1" a="1"/>
  <c r="P310" i="1"/>
  <c r="U310" i="1" s="1"/>
  <c r="I310" i="1" a="1"/>
  <c r="I310" i="1" s="1"/>
  <c r="F310" i="1"/>
  <c r="P309" i="1" a="1"/>
  <c r="P309" i="1" s="1"/>
  <c r="U309" i="1" s="1"/>
  <c r="I309" i="1" a="1"/>
  <c r="I309" i="1" s="1"/>
  <c r="F309" i="1"/>
  <c r="U308" i="1"/>
  <c r="I308" i="1" a="1"/>
  <c r="I308" i="1" s="1"/>
  <c r="F308" i="1"/>
  <c r="P307" i="1" a="1"/>
  <c r="P307" i="1" s="1"/>
  <c r="U307" i="1" s="1"/>
  <c r="I307" i="1" a="1"/>
  <c r="I307" i="1" s="1"/>
  <c r="F307" i="1"/>
  <c r="U306" i="1"/>
  <c r="P306" i="1" a="1"/>
  <c r="P306" i="1" s="1"/>
  <c r="I306" i="1" a="1"/>
  <c r="I306" i="1" s="1"/>
  <c r="F306" i="1"/>
  <c r="P305" i="1" a="1"/>
  <c r="P305" i="1" s="1"/>
  <c r="U305" i="1" s="1"/>
  <c r="I305" i="1" a="1"/>
  <c r="I305" i="1" s="1"/>
  <c r="F305" i="1"/>
  <c r="U304" i="1"/>
  <c r="P304" i="1" a="1"/>
  <c r="P304" i="1" s="1"/>
  <c r="I304" i="1" a="1"/>
  <c r="I304" i="1" s="1"/>
  <c r="F304" i="1"/>
  <c r="U303" i="1"/>
  <c r="I303" i="1" a="1"/>
  <c r="I303" i="1" s="1"/>
  <c r="F303" i="1"/>
  <c r="U302" i="1"/>
  <c r="I302" i="1" a="1"/>
  <c r="I302" i="1" s="1"/>
  <c r="F302" i="1"/>
  <c r="U301" i="1"/>
  <c r="I301" i="1" a="1"/>
  <c r="I301" i="1" s="1"/>
  <c r="F301" i="1"/>
  <c r="U300" i="1"/>
  <c r="I300" i="1" a="1"/>
  <c r="I300" i="1" s="1"/>
  <c r="F300" i="1"/>
  <c r="U299" i="1"/>
  <c r="I299" i="1" a="1"/>
  <c r="I299" i="1" s="1"/>
  <c r="F299" i="1"/>
  <c r="U298" i="1"/>
  <c r="I298" i="1" a="1"/>
  <c r="I298" i="1" s="1"/>
  <c r="F298" i="1"/>
  <c r="P297" i="1" a="1"/>
  <c r="P297" i="1" s="1"/>
  <c r="U297" i="1" s="1"/>
  <c r="I297" i="1" a="1"/>
  <c r="I297" i="1" s="1"/>
  <c r="F297" i="1"/>
  <c r="P296" i="1" a="1"/>
  <c r="P296" i="1" s="1"/>
  <c r="U296" i="1" s="1"/>
  <c r="I296" i="1" a="1"/>
  <c r="I296" i="1" s="1"/>
  <c r="F296" i="1"/>
  <c r="P295" i="1" a="1"/>
  <c r="P295" i="1" s="1"/>
  <c r="U295" i="1" s="1"/>
  <c r="I295" i="1" a="1"/>
  <c r="I295" i="1" s="1"/>
  <c r="F295" i="1"/>
  <c r="U294" i="1"/>
  <c r="I294" i="1" a="1"/>
  <c r="I294" i="1" s="1"/>
  <c r="F294" i="1"/>
  <c r="P293" i="1" a="1"/>
  <c r="P293" i="1" s="1"/>
  <c r="U293" i="1" s="1"/>
  <c r="I293" i="1" a="1"/>
  <c r="I293" i="1" s="1"/>
  <c r="F293" i="1"/>
  <c r="U292" i="1"/>
  <c r="I292" i="1" a="1"/>
  <c r="I292" i="1" s="1"/>
  <c r="F292" i="1"/>
  <c r="P291" i="1" a="1"/>
  <c r="P291" i="1" s="1"/>
  <c r="U291" i="1" s="1"/>
  <c r="I291" i="1" a="1"/>
  <c r="I291" i="1" s="1"/>
  <c r="F291" i="1"/>
  <c r="P290" i="1" a="1"/>
  <c r="P290" i="1" s="1"/>
  <c r="U290" i="1" s="1"/>
  <c r="I290" i="1" a="1"/>
  <c r="I290" i="1" s="1"/>
  <c r="F290" i="1"/>
  <c r="P289" i="1" a="1"/>
  <c r="P289" i="1" s="1"/>
  <c r="U289" i="1" s="1"/>
  <c r="I289" i="1" a="1"/>
  <c r="I289" i="1" s="1"/>
  <c r="F289" i="1"/>
  <c r="P288" i="1" a="1"/>
  <c r="P288" i="1" s="1"/>
  <c r="U288" i="1" s="1"/>
  <c r="I288" i="1" a="1"/>
  <c r="I288" i="1" s="1"/>
  <c r="F288" i="1"/>
  <c r="U287" i="1"/>
  <c r="I287" i="1" a="1"/>
  <c r="I287" i="1" s="1"/>
  <c r="F287" i="1"/>
  <c r="P286" i="1" a="1"/>
  <c r="P286" i="1" s="1"/>
  <c r="U286" i="1" s="1"/>
  <c r="I286" i="1" a="1"/>
  <c r="I286" i="1" s="1"/>
  <c r="F286" i="1"/>
  <c r="P285" i="1" a="1"/>
  <c r="P285" i="1" s="1"/>
  <c r="U285" i="1" s="1"/>
  <c r="I285" i="1" a="1"/>
  <c r="I285" i="1" s="1"/>
  <c r="F285" i="1"/>
  <c r="P284" i="1" a="1"/>
  <c r="P284" i="1" s="1"/>
  <c r="U284" i="1" s="1"/>
  <c r="I284" i="1" a="1"/>
  <c r="I284" i="1" s="1"/>
  <c r="F284" i="1"/>
  <c r="P283" i="1" a="1"/>
  <c r="P283" i="1" s="1"/>
  <c r="U283" i="1" s="1"/>
  <c r="I283" i="1" a="1"/>
  <c r="I283" i="1" s="1"/>
  <c r="F283" i="1"/>
  <c r="P282" i="1" a="1"/>
  <c r="P282" i="1"/>
  <c r="U282" i="1" s="1"/>
  <c r="I282" i="1" a="1"/>
  <c r="I282" i="1" s="1"/>
  <c r="F282" i="1"/>
  <c r="P281" i="1" a="1"/>
  <c r="P281" i="1" s="1"/>
  <c r="U281" i="1" s="1"/>
  <c r="I281" i="1" a="1"/>
  <c r="I281" i="1" s="1"/>
  <c r="F281" i="1"/>
  <c r="P280" i="1" a="1"/>
  <c r="P280" i="1" s="1"/>
  <c r="U280" i="1" s="1"/>
  <c r="I280" i="1" a="1"/>
  <c r="I280" i="1" s="1"/>
  <c r="F280" i="1"/>
  <c r="U279" i="1"/>
  <c r="P279" i="1" a="1"/>
  <c r="P279" i="1" s="1"/>
  <c r="I279" i="1" a="1"/>
  <c r="I279" i="1"/>
  <c r="F279" i="1"/>
  <c r="P278" i="1" a="1"/>
  <c r="P278" i="1" s="1"/>
  <c r="U278" i="1" s="1"/>
  <c r="I278" i="1" a="1"/>
  <c r="I278" i="1" s="1"/>
  <c r="F278" i="1"/>
  <c r="U277" i="1"/>
  <c r="P277" i="1" a="1"/>
  <c r="P277" i="1" s="1"/>
  <c r="I277" i="1" a="1"/>
  <c r="I277" i="1"/>
  <c r="F277" i="1"/>
  <c r="U276" i="1"/>
  <c r="I276" i="1" a="1"/>
  <c r="I276" i="1"/>
  <c r="F276" i="1"/>
  <c r="P275" i="1" a="1"/>
  <c r="P275" i="1" s="1"/>
  <c r="U275" i="1" s="1"/>
  <c r="I275" i="1" a="1"/>
  <c r="I275" i="1" s="1"/>
  <c r="F275" i="1"/>
  <c r="U274" i="1"/>
  <c r="I274" i="1" a="1"/>
  <c r="I274" i="1" s="1"/>
  <c r="F274" i="1"/>
  <c r="U273" i="1"/>
  <c r="P273" i="1" a="1"/>
  <c r="P273" i="1" s="1"/>
  <c r="I273" i="1" a="1"/>
  <c r="I273" i="1"/>
  <c r="F273" i="1"/>
  <c r="P272" i="1" a="1"/>
  <c r="P272" i="1" s="1"/>
  <c r="U272" i="1" s="1"/>
  <c r="I272" i="1" a="1"/>
  <c r="I272" i="1" s="1"/>
  <c r="F272" i="1"/>
  <c r="P271" i="1" a="1"/>
  <c r="P271" i="1" s="1"/>
  <c r="U271" i="1" s="1"/>
  <c r="I271" i="1" a="1"/>
  <c r="I271" i="1" s="1"/>
  <c r="F271" i="1"/>
  <c r="P270" i="1" a="1"/>
  <c r="P270" i="1" s="1"/>
  <c r="U270" i="1" s="1"/>
  <c r="I270" i="1" a="1"/>
  <c r="I270" i="1" s="1"/>
  <c r="F270" i="1"/>
  <c r="P269" i="1" a="1"/>
  <c r="P269" i="1" s="1"/>
  <c r="U269" i="1" s="1"/>
  <c r="I269" i="1" a="1"/>
  <c r="I269" i="1" s="1"/>
  <c r="F269" i="1"/>
  <c r="U268" i="1"/>
  <c r="I268" i="1" a="1"/>
  <c r="I268" i="1" s="1"/>
  <c r="F268" i="1"/>
  <c r="U267" i="1"/>
  <c r="I267" i="1" a="1"/>
  <c r="I267" i="1" s="1"/>
  <c r="F267" i="1"/>
  <c r="U266" i="1"/>
  <c r="I266" i="1" a="1"/>
  <c r="I266" i="1" s="1"/>
  <c r="F266" i="1"/>
  <c r="P265" i="1" a="1"/>
  <c r="P265" i="1" s="1"/>
  <c r="U265" i="1" s="1"/>
  <c r="I265" i="1" a="1"/>
  <c r="I265" i="1" s="1"/>
  <c r="F265" i="1"/>
  <c r="U264" i="1"/>
  <c r="I264" i="1" a="1"/>
  <c r="I264" i="1" s="1"/>
  <c r="F264" i="1"/>
  <c r="P263" i="1" a="1"/>
  <c r="P263" i="1" s="1"/>
  <c r="U263" i="1" s="1"/>
  <c r="I263" i="1" a="1"/>
  <c r="I263" i="1" s="1"/>
  <c r="F263" i="1"/>
  <c r="P262" i="1" a="1"/>
  <c r="P262" i="1" s="1"/>
  <c r="U262" i="1" s="1"/>
  <c r="I262" i="1" a="1"/>
  <c r="I262" i="1" s="1"/>
  <c r="F262" i="1"/>
  <c r="U261" i="1"/>
  <c r="P261" i="1" a="1"/>
  <c r="P261" i="1" s="1"/>
  <c r="I261" i="1" a="1"/>
  <c r="I261" i="1"/>
  <c r="F261" i="1"/>
  <c r="P260" i="1" a="1"/>
  <c r="P260" i="1" s="1"/>
  <c r="U260" i="1" s="1"/>
  <c r="I260" i="1" a="1"/>
  <c r="I260" i="1" s="1"/>
  <c r="F260" i="1"/>
  <c r="U259" i="1"/>
  <c r="P259" i="1" a="1"/>
  <c r="P259" i="1" s="1"/>
  <c r="I259" i="1" a="1"/>
  <c r="I259" i="1"/>
  <c r="F259" i="1"/>
  <c r="U258" i="1"/>
  <c r="I258" i="1" a="1"/>
  <c r="I258" i="1"/>
  <c r="F258" i="1"/>
  <c r="U257" i="1"/>
  <c r="I257" i="1" a="1"/>
  <c r="I257" i="1"/>
  <c r="F257" i="1"/>
  <c r="U256" i="1"/>
  <c r="I256" i="1" a="1"/>
  <c r="I256" i="1"/>
  <c r="F256" i="1"/>
  <c r="P255" i="1" a="1"/>
  <c r="P255" i="1" s="1"/>
  <c r="U255" i="1" s="1"/>
  <c r="I255" i="1" a="1"/>
  <c r="I255" i="1" s="1"/>
  <c r="F255" i="1"/>
  <c r="U254" i="1"/>
  <c r="I254" i="1" a="1"/>
  <c r="I254" i="1" s="1"/>
  <c r="F254" i="1"/>
  <c r="U253" i="1"/>
  <c r="P253" i="1" a="1"/>
  <c r="P253" i="1" s="1"/>
  <c r="I253" i="1" a="1"/>
  <c r="I253" i="1"/>
  <c r="F253" i="1"/>
  <c r="U252" i="1"/>
  <c r="I252" i="1" a="1"/>
  <c r="I252" i="1"/>
  <c r="F252" i="1"/>
  <c r="U251" i="1"/>
  <c r="I251" i="1" a="1"/>
  <c r="I251" i="1"/>
  <c r="F251" i="1"/>
  <c r="P250" i="1" a="1"/>
  <c r="P250" i="1" s="1"/>
  <c r="U250" i="1" s="1"/>
  <c r="I250" i="1" a="1"/>
  <c r="I250" i="1" s="1"/>
  <c r="F250" i="1"/>
  <c r="U249" i="1"/>
  <c r="I249" i="1" a="1"/>
  <c r="I249" i="1" s="1"/>
  <c r="F249" i="1"/>
  <c r="U248" i="1"/>
  <c r="P248" i="1" a="1"/>
  <c r="P248" i="1" s="1"/>
  <c r="I248" i="1" a="1"/>
  <c r="I248" i="1"/>
  <c r="F248" i="1"/>
  <c r="P247" i="1" a="1"/>
  <c r="P247" i="1" s="1"/>
  <c r="U247" i="1" s="1"/>
  <c r="I247" i="1" a="1"/>
  <c r="I247" i="1" s="1"/>
  <c r="F247" i="1"/>
  <c r="P246" i="1" a="1"/>
  <c r="P246" i="1" s="1"/>
  <c r="U246" i="1" s="1"/>
  <c r="I246" i="1" a="1"/>
  <c r="I246" i="1" s="1"/>
  <c r="F246" i="1"/>
  <c r="P245" i="1" a="1"/>
  <c r="P245" i="1" s="1"/>
  <c r="U245" i="1" s="1"/>
  <c r="I245" i="1" a="1"/>
  <c r="I245" i="1" s="1"/>
  <c r="F245" i="1"/>
  <c r="P244" i="1" a="1"/>
  <c r="P244" i="1" s="1"/>
  <c r="U244" i="1" s="1"/>
  <c r="I244" i="1" a="1"/>
  <c r="I244" i="1" s="1"/>
  <c r="F244" i="1"/>
  <c r="U243" i="1"/>
  <c r="I243" i="1" a="1"/>
  <c r="I243" i="1" s="1"/>
  <c r="F243" i="1"/>
  <c r="U242" i="1"/>
  <c r="I242" i="1" a="1"/>
  <c r="I242" i="1" s="1"/>
  <c r="F242" i="1"/>
  <c r="P241" i="1" a="1"/>
  <c r="P241" i="1" s="1"/>
  <c r="U241" i="1" s="1"/>
  <c r="I241" i="1" a="1"/>
  <c r="I241" i="1" s="1"/>
  <c r="F241" i="1"/>
  <c r="U240" i="1"/>
  <c r="P240" i="1" a="1"/>
  <c r="P240" i="1" s="1"/>
  <c r="I240" i="1" a="1"/>
  <c r="I240" i="1"/>
  <c r="F240" i="1"/>
  <c r="P239" i="1" a="1"/>
  <c r="P239" i="1" s="1"/>
  <c r="U239" i="1" s="1"/>
  <c r="I239" i="1" a="1"/>
  <c r="I239" i="1" s="1"/>
  <c r="F239" i="1"/>
  <c r="U238" i="1"/>
  <c r="P238" i="1" a="1"/>
  <c r="P238" i="1" s="1"/>
  <c r="I238" i="1" a="1"/>
  <c r="I238" i="1"/>
  <c r="F238" i="1"/>
  <c r="P237" i="1" a="1"/>
  <c r="P237" i="1" s="1"/>
  <c r="U237" i="1" s="1"/>
  <c r="I237" i="1" a="1"/>
  <c r="I237" i="1" s="1"/>
  <c r="F237" i="1"/>
  <c r="P236" i="1" a="1"/>
  <c r="P236" i="1" s="1"/>
  <c r="U236" i="1" s="1"/>
  <c r="I236" i="1" a="1"/>
  <c r="I236" i="1" s="1"/>
  <c r="F236" i="1"/>
  <c r="P235" i="1" a="1"/>
  <c r="P235" i="1" s="1"/>
  <c r="U235" i="1" s="1"/>
  <c r="I235" i="1" a="1"/>
  <c r="I235" i="1" s="1"/>
  <c r="F235" i="1"/>
  <c r="P234" i="1" a="1"/>
  <c r="P234" i="1" s="1"/>
  <c r="U234" i="1" s="1"/>
  <c r="I234" i="1" a="1"/>
  <c r="I234" i="1" s="1"/>
  <c r="F234" i="1"/>
  <c r="P233" i="1" a="1"/>
  <c r="P233" i="1" s="1"/>
  <c r="U233" i="1" s="1"/>
  <c r="I233" i="1" a="1"/>
  <c r="I233" i="1" s="1"/>
  <c r="F233" i="1"/>
  <c r="U232" i="1"/>
  <c r="I232" i="1" a="1"/>
  <c r="I232" i="1" s="1"/>
  <c r="F232" i="1"/>
  <c r="P231" i="1" a="1"/>
  <c r="P231" i="1" s="1"/>
  <c r="U231" i="1" s="1"/>
  <c r="I231" i="1" a="1"/>
  <c r="I231" i="1" s="1"/>
  <c r="F231" i="1"/>
  <c r="U230" i="1"/>
  <c r="I230" i="1" a="1"/>
  <c r="I230" i="1" s="1"/>
  <c r="F230" i="1"/>
  <c r="U229" i="1"/>
  <c r="I229" i="1" a="1"/>
  <c r="I229" i="1" s="1"/>
  <c r="F229" i="1"/>
  <c r="P228" i="1" a="1"/>
  <c r="P228" i="1"/>
  <c r="U228" i="1" s="1"/>
  <c r="I228" i="1" a="1"/>
  <c r="I228" i="1" s="1"/>
  <c r="F228" i="1"/>
  <c r="P227" i="1" a="1"/>
  <c r="P227" i="1" s="1"/>
  <c r="U227" i="1" s="1"/>
  <c r="I227" i="1" a="1"/>
  <c r="I227" i="1" s="1"/>
  <c r="F227" i="1"/>
  <c r="P226" i="1" a="1"/>
  <c r="P226" i="1" s="1"/>
  <c r="U226" i="1" s="1"/>
  <c r="I226" i="1" a="1"/>
  <c r="I226" i="1" s="1"/>
  <c r="F226" i="1"/>
  <c r="P225" i="1" a="1"/>
  <c r="P225" i="1" s="1"/>
  <c r="U225" i="1" s="1"/>
  <c r="I225" i="1" a="1"/>
  <c r="I225" i="1" s="1"/>
  <c r="F225" i="1"/>
  <c r="P224" i="1" a="1"/>
  <c r="P224" i="1"/>
  <c r="U224" i="1" s="1"/>
  <c r="I224" i="1" a="1"/>
  <c r="I224" i="1" s="1"/>
  <c r="F224" i="1"/>
  <c r="P223" i="1" a="1"/>
  <c r="P223" i="1" s="1"/>
  <c r="U223" i="1" s="1"/>
  <c r="I223" i="1" a="1"/>
  <c r="I223" i="1" s="1"/>
  <c r="F223" i="1"/>
  <c r="P222" i="1" a="1"/>
  <c r="P222" i="1" s="1"/>
  <c r="U222" i="1" s="1"/>
  <c r="I222" i="1" a="1"/>
  <c r="I222" i="1" s="1"/>
  <c r="F222" i="1"/>
  <c r="P221" i="1" a="1"/>
  <c r="P221" i="1" s="1"/>
  <c r="U221" i="1" s="1"/>
  <c r="I221" i="1" a="1"/>
  <c r="I221" i="1"/>
  <c r="F221" i="1"/>
  <c r="U220" i="1"/>
  <c r="P220" i="1" a="1"/>
  <c r="P220" i="1"/>
  <c r="I220" i="1" a="1"/>
  <c r="I220" i="1" s="1"/>
  <c r="F220" i="1"/>
  <c r="P219" i="1" a="1"/>
  <c r="P219" i="1"/>
  <c r="U219" i="1" s="1"/>
  <c r="I219" i="1" a="1"/>
  <c r="I219" i="1" s="1"/>
  <c r="F219" i="1"/>
  <c r="P218" i="1" a="1"/>
  <c r="P218" i="1" s="1"/>
  <c r="U218" i="1" s="1"/>
  <c r="I218" i="1" a="1"/>
  <c r="I218" i="1"/>
  <c r="F218" i="1"/>
  <c r="P217" i="1" a="1"/>
  <c r="P217" i="1" s="1"/>
  <c r="U217" i="1" s="1"/>
  <c r="I217" i="1" a="1"/>
  <c r="I217" i="1"/>
  <c r="F217" i="1"/>
  <c r="P216" i="1" a="1"/>
  <c r="P216" i="1"/>
  <c r="U216" i="1" s="1"/>
  <c r="I216" i="1" a="1"/>
  <c r="I216" i="1" s="1"/>
  <c r="F216" i="1"/>
  <c r="P215" i="1" a="1"/>
  <c r="P215" i="1" s="1"/>
  <c r="U215" i="1" s="1"/>
  <c r="I215" i="1" a="1"/>
  <c r="I215" i="1" s="1"/>
  <c r="F215" i="1"/>
  <c r="P214" i="1" a="1"/>
  <c r="P214" i="1" s="1"/>
  <c r="U214" i="1" s="1"/>
  <c r="I214" i="1" a="1"/>
  <c r="I214" i="1" s="1"/>
  <c r="F214" i="1"/>
  <c r="U213" i="1"/>
  <c r="I213" i="1" a="1"/>
  <c r="I213" i="1" s="1"/>
  <c r="F213" i="1"/>
  <c r="P212" i="1" a="1"/>
  <c r="P212" i="1" s="1"/>
  <c r="U212" i="1" s="1"/>
  <c r="I212" i="1" a="1"/>
  <c r="I212" i="1" s="1"/>
  <c r="F212" i="1"/>
  <c r="P211" i="1" a="1"/>
  <c r="P211" i="1" s="1"/>
  <c r="U211" i="1" s="1"/>
  <c r="I211" i="1" a="1"/>
  <c r="I211" i="1" s="1"/>
  <c r="F211" i="1"/>
  <c r="P210" i="1" a="1"/>
  <c r="P210" i="1" s="1"/>
  <c r="U210" i="1" s="1"/>
  <c r="I210" i="1" a="1"/>
  <c r="I210" i="1"/>
  <c r="F210" i="1"/>
  <c r="P209" i="1" a="1"/>
  <c r="P209" i="1"/>
  <c r="U209" i="1" s="1"/>
  <c r="I209" i="1" a="1"/>
  <c r="I209" i="1" s="1"/>
  <c r="F209" i="1"/>
  <c r="P208" i="1" a="1"/>
  <c r="P208" i="1"/>
  <c r="U208" i="1" s="1"/>
  <c r="I208" i="1" a="1"/>
  <c r="I208" i="1"/>
  <c r="F208" i="1"/>
  <c r="U207" i="1"/>
  <c r="P207" i="1" a="1"/>
  <c r="P207" i="1"/>
  <c r="I207" i="1" a="1"/>
  <c r="I207" i="1"/>
  <c r="F207" i="1"/>
  <c r="P206" i="1" a="1"/>
  <c r="P206" i="1" s="1"/>
  <c r="U206" i="1" s="1"/>
  <c r="I206" i="1" a="1"/>
  <c r="I206" i="1" s="1"/>
  <c r="F206" i="1"/>
  <c r="P205" i="1" a="1"/>
  <c r="P205" i="1" s="1"/>
  <c r="U205" i="1" s="1"/>
  <c r="I205" i="1" a="1"/>
  <c r="I205" i="1" s="1"/>
  <c r="F205" i="1"/>
  <c r="P204" i="1" a="1"/>
  <c r="P204" i="1" s="1"/>
  <c r="U204" i="1" s="1"/>
  <c r="I204" i="1" a="1"/>
  <c r="I204" i="1" s="1"/>
  <c r="F204" i="1"/>
  <c r="P203" i="1" a="1"/>
  <c r="P203" i="1" s="1"/>
  <c r="U203" i="1" s="1"/>
  <c r="I203" i="1" a="1"/>
  <c r="I203" i="1" s="1"/>
  <c r="F203" i="1"/>
  <c r="P202" i="1" a="1"/>
  <c r="P202" i="1" s="1"/>
  <c r="U202" i="1" s="1"/>
  <c r="I202" i="1" a="1"/>
  <c r="I202" i="1"/>
  <c r="F202" i="1"/>
  <c r="P201" i="1" a="1"/>
  <c r="P201" i="1"/>
  <c r="U201" i="1" s="1"/>
  <c r="I201" i="1" a="1"/>
  <c r="I201" i="1" s="1"/>
  <c r="F201" i="1"/>
  <c r="U200" i="1"/>
  <c r="I200" i="1" a="1"/>
  <c r="I200" i="1" s="1"/>
  <c r="F200" i="1"/>
  <c r="P199" i="1" a="1"/>
  <c r="P199" i="1"/>
  <c r="U199" i="1" s="1"/>
  <c r="I199" i="1" a="1"/>
  <c r="I199" i="1"/>
  <c r="F199" i="1"/>
  <c r="U198" i="1"/>
  <c r="P198" i="1" a="1"/>
  <c r="P198" i="1"/>
  <c r="I198" i="1" a="1"/>
  <c r="I198" i="1"/>
  <c r="F198" i="1"/>
  <c r="P197" i="1" a="1"/>
  <c r="P197" i="1" s="1"/>
  <c r="U197" i="1" s="1"/>
  <c r="I197" i="1" a="1"/>
  <c r="I197" i="1"/>
  <c r="F197" i="1"/>
  <c r="P196" i="1" a="1"/>
  <c r="P196" i="1"/>
  <c r="U196" i="1" s="1"/>
  <c r="I196" i="1" a="1"/>
  <c r="I196" i="1" s="1"/>
  <c r="F196" i="1"/>
  <c r="P195" i="1" a="1"/>
  <c r="P195" i="1" s="1"/>
  <c r="U195" i="1" s="1"/>
  <c r="I195" i="1" a="1"/>
  <c r="I195" i="1" s="1"/>
  <c r="F195" i="1"/>
  <c r="U194" i="1"/>
  <c r="I194" i="1" a="1"/>
  <c r="I194" i="1" s="1"/>
  <c r="F194" i="1"/>
  <c r="U193" i="1"/>
  <c r="I193" i="1" a="1"/>
  <c r="I193" i="1" s="1"/>
  <c r="F193" i="1"/>
  <c r="U192" i="1"/>
  <c r="I192" i="1" a="1"/>
  <c r="I192" i="1" s="1"/>
  <c r="F192" i="1"/>
  <c r="P191" i="1" a="1"/>
  <c r="P191" i="1" s="1"/>
  <c r="U191" i="1" s="1"/>
  <c r="I191" i="1" a="1"/>
  <c r="I191" i="1" s="1"/>
  <c r="F191" i="1"/>
  <c r="P190" i="1" a="1"/>
  <c r="P190" i="1" s="1"/>
  <c r="U190" i="1" s="1"/>
  <c r="I190" i="1" a="1"/>
  <c r="I190" i="1" s="1"/>
  <c r="F190" i="1"/>
  <c r="P189" i="1" a="1"/>
  <c r="P189" i="1"/>
  <c r="U189" i="1" s="1"/>
  <c r="I189" i="1" a="1"/>
  <c r="I189" i="1" s="1"/>
  <c r="F189" i="1"/>
  <c r="P188" i="1" a="1"/>
  <c r="P188" i="1" s="1"/>
  <c r="U188" i="1" s="1"/>
  <c r="I188" i="1" a="1"/>
  <c r="I188" i="1"/>
  <c r="F188" i="1"/>
  <c r="P187" i="1" a="1"/>
  <c r="P187" i="1"/>
  <c r="U187" i="1" s="1"/>
  <c r="I187" i="1" a="1"/>
  <c r="I187" i="1" s="1"/>
  <c r="F187" i="1"/>
  <c r="P186" i="1" a="1"/>
  <c r="P186" i="1" s="1"/>
  <c r="U186" i="1" s="1"/>
  <c r="I186" i="1" a="1"/>
  <c r="I186" i="1" s="1"/>
  <c r="F186" i="1"/>
  <c r="U185" i="1"/>
  <c r="I185" i="1" a="1"/>
  <c r="I185" i="1" s="1"/>
  <c r="F185" i="1"/>
  <c r="U184" i="1"/>
  <c r="P184" i="1" a="1"/>
  <c r="P184" i="1" s="1"/>
  <c r="I184" i="1" a="1"/>
  <c r="I184" i="1" s="1"/>
  <c r="F184" i="1"/>
  <c r="U183" i="1"/>
  <c r="I183" i="1" a="1"/>
  <c r="I183" i="1" s="1"/>
  <c r="F183" i="1"/>
  <c r="P182" i="1" a="1"/>
  <c r="P182" i="1" s="1"/>
  <c r="U182" i="1" s="1"/>
  <c r="I182" i="1" a="1"/>
  <c r="I182" i="1" s="1"/>
  <c r="F182" i="1"/>
  <c r="U181" i="1"/>
  <c r="P181" i="1" a="1"/>
  <c r="P181" i="1" s="1"/>
  <c r="I181" i="1" a="1"/>
  <c r="I181" i="1" s="1"/>
  <c r="F181" i="1"/>
  <c r="U180" i="1"/>
  <c r="I180" i="1" a="1"/>
  <c r="I180" i="1" s="1"/>
  <c r="F180" i="1"/>
  <c r="P179" i="1" a="1"/>
  <c r="P179" i="1"/>
  <c r="U179" i="1" s="1"/>
  <c r="I179" i="1" a="1"/>
  <c r="I179" i="1" s="1"/>
  <c r="F179" i="1"/>
  <c r="P178" i="1" a="1"/>
  <c r="P178" i="1" s="1"/>
  <c r="U178" i="1" s="1"/>
  <c r="I178" i="1" a="1"/>
  <c r="I178" i="1" s="1"/>
  <c r="F178" i="1"/>
  <c r="P177" i="1" a="1"/>
  <c r="P177" i="1" s="1"/>
  <c r="U177" i="1" s="1"/>
  <c r="I177" i="1" a="1"/>
  <c r="I177" i="1" s="1"/>
  <c r="F177" i="1"/>
  <c r="U176" i="1"/>
  <c r="I176" i="1" a="1"/>
  <c r="I176" i="1" s="1"/>
  <c r="F176" i="1"/>
  <c r="P175" i="1" a="1"/>
  <c r="P175" i="1" s="1"/>
  <c r="U175" i="1" s="1"/>
  <c r="I175" i="1" a="1"/>
  <c r="I175" i="1" s="1"/>
  <c r="F175" i="1"/>
  <c r="P174" i="1" a="1"/>
  <c r="P174" i="1"/>
  <c r="U174" i="1" s="1"/>
  <c r="I174" i="1" a="1"/>
  <c r="I174" i="1" s="1"/>
  <c r="F174" i="1"/>
  <c r="P173" i="1" a="1"/>
  <c r="P173" i="1" s="1"/>
  <c r="U173" i="1" s="1"/>
  <c r="I173" i="1" a="1"/>
  <c r="I173" i="1" s="1"/>
  <c r="F173" i="1"/>
  <c r="P172" i="1" a="1"/>
  <c r="P172" i="1" s="1"/>
  <c r="U172" i="1" s="1"/>
  <c r="I172" i="1" a="1"/>
  <c r="I172" i="1" s="1"/>
  <c r="F172" i="1"/>
  <c r="U171" i="1"/>
  <c r="P171" i="1" a="1"/>
  <c r="P171" i="1" s="1"/>
  <c r="I171" i="1" a="1"/>
  <c r="I171" i="1"/>
  <c r="F171" i="1"/>
  <c r="U170" i="1"/>
  <c r="I170" i="1" a="1"/>
  <c r="I170" i="1"/>
  <c r="F170" i="1"/>
  <c r="P169" i="1" a="1"/>
  <c r="P169" i="1" s="1"/>
  <c r="U169" i="1" s="1"/>
  <c r="I169" i="1" a="1"/>
  <c r="I169" i="1" s="1"/>
  <c r="F169" i="1"/>
  <c r="U168" i="1"/>
  <c r="I168" i="1" a="1"/>
  <c r="I168" i="1" s="1"/>
  <c r="F168" i="1"/>
  <c r="U167" i="1"/>
  <c r="I167" i="1" a="1"/>
  <c r="I167" i="1" s="1"/>
  <c r="F167" i="1"/>
  <c r="P166" i="1" a="1"/>
  <c r="P166" i="1" s="1"/>
  <c r="U166" i="1" s="1"/>
  <c r="I166" i="1" a="1"/>
  <c r="I166" i="1" s="1"/>
  <c r="F166" i="1"/>
  <c r="U165" i="1"/>
  <c r="I165" i="1" a="1"/>
  <c r="I165" i="1" s="1"/>
  <c r="F165" i="1"/>
  <c r="P164" i="1" a="1"/>
  <c r="P164" i="1" s="1"/>
  <c r="U164" i="1" s="1"/>
  <c r="I164" i="1" a="1"/>
  <c r="I164" i="1" s="1"/>
  <c r="F164" i="1"/>
  <c r="U163" i="1"/>
  <c r="P163" i="1" a="1"/>
  <c r="P163" i="1" s="1"/>
  <c r="I163" i="1" a="1"/>
  <c r="I163" i="1"/>
  <c r="F163" i="1"/>
  <c r="P162" i="1" a="1"/>
  <c r="P162" i="1" s="1"/>
  <c r="U162" i="1" s="1"/>
  <c r="I162" i="1" a="1"/>
  <c r="I162" i="1" s="1"/>
  <c r="F162" i="1"/>
  <c r="U161" i="1"/>
  <c r="I161" i="1" a="1"/>
  <c r="I161" i="1" s="1"/>
  <c r="F161" i="1"/>
  <c r="P160" i="1" a="1"/>
  <c r="P160" i="1" s="1"/>
  <c r="U160" i="1" s="1"/>
  <c r="I160" i="1" a="1"/>
  <c r="I160" i="1"/>
  <c r="F160" i="1"/>
  <c r="P159" i="1" a="1"/>
  <c r="P159" i="1" s="1"/>
  <c r="U159" i="1" s="1"/>
  <c r="I159" i="1" a="1"/>
  <c r="I159" i="1" s="1"/>
  <c r="F159" i="1"/>
  <c r="P158" i="1" a="1"/>
  <c r="P158" i="1" s="1"/>
  <c r="U158" i="1" s="1"/>
  <c r="I158" i="1" a="1"/>
  <c r="I158" i="1" s="1"/>
  <c r="F158" i="1"/>
  <c r="U157" i="1"/>
  <c r="I157" i="1" a="1"/>
  <c r="I157" i="1" s="1"/>
  <c r="F157" i="1"/>
  <c r="P156" i="1" a="1"/>
  <c r="P156" i="1" s="1"/>
  <c r="U156" i="1" s="1"/>
  <c r="I156" i="1" a="1"/>
  <c r="I156" i="1" s="1"/>
  <c r="F156" i="1"/>
  <c r="U155" i="1"/>
  <c r="I155" i="1" a="1"/>
  <c r="I155" i="1" s="1"/>
  <c r="F155" i="1"/>
  <c r="U154" i="1"/>
  <c r="I154" i="1" a="1"/>
  <c r="I154" i="1" s="1"/>
  <c r="F154" i="1"/>
  <c r="U153" i="1"/>
  <c r="I153" i="1" a="1"/>
  <c r="I153" i="1" s="1"/>
  <c r="F153" i="1"/>
  <c r="U152" i="1"/>
  <c r="I152" i="1" a="1"/>
  <c r="I152" i="1" s="1"/>
  <c r="F152" i="1"/>
  <c r="P151" i="1" a="1"/>
  <c r="P151" i="1" s="1"/>
  <c r="U151" i="1" s="1"/>
  <c r="I151" i="1" a="1"/>
  <c r="I151" i="1" s="1"/>
  <c r="F151" i="1"/>
  <c r="P150" i="1" a="1"/>
  <c r="P150" i="1" s="1"/>
  <c r="U150" i="1" s="1"/>
  <c r="I150" i="1" a="1"/>
  <c r="I150" i="1" s="1"/>
  <c r="F150" i="1"/>
  <c r="P149" i="1" a="1"/>
  <c r="P149" i="1" s="1"/>
  <c r="U149" i="1" s="1"/>
  <c r="I149" i="1" a="1"/>
  <c r="I149" i="1" s="1"/>
  <c r="F149" i="1"/>
  <c r="P148" i="1" a="1"/>
  <c r="P148" i="1" s="1"/>
  <c r="U148" i="1" s="1"/>
  <c r="I148" i="1" a="1"/>
  <c r="I148" i="1"/>
  <c r="F148" i="1"/>
  <c r="U147" i="1"/>
  <c r="I147" i="1" a="1"/>
  <c r="I147" i="1"/>
  <c r="F147" i="1"/>
  <c r="P146" i="1" a="1"/>
  <c r="P146" i="1"/>
  <c r="U146" i="1" s="1"/>
  <c r="I146" i="1" a="1"/>
  <c r="I146" i="1" s="1"/>
  <c r="F146" i="1"/>
  <c r="U145" i="1"/>
  <c r="I145" i="1" a="1"/>
  <c r="I145" i="1" s="1"/>
  <c r="F145" i="1"/>
  <c r="P144" i="1" a="1"/>
  <c r="P144" i="1" s="1"/>
  <c r="U144" i="1" s="1"/>
  <c r="I144" i="1" a="1"/>
  <c r="I144" i="1"/>
  <c r="F144" i="1"/>
  <c r="U143" i="1"/>
  <c r="I143" i="1" a="1"/>
  <c r="I143" i="1" s="1"/>
  <c r="F143" i="1"/>
  <c r="P142" i="1" a="1"/>
  <c r="P142" i="1" s="1"/>
  <c r="U142" i="1" s="1"/>
  <c r="I142" i="1" a="1"/>
  <c r="I142" i="1" s="1"/>
  <c r="F142" i="1"/>
  <c r="P141" i="1" a="1"/>
  <c r="P141" i="1" s="1"/>
  <c r="U141" i="1" s="1"/>
  <c r="I141" i="1" a="1"/>
  <c r="I141" i="1" s="1"/>
  <c r="F141" i="1"/>
  <c r="P140" i="1" a="1"/>
  <c r="P140" i="1" s="1"/>
  <c r="U140" i="1" s="1"/>
  <c r="I140" i="1" a="1"/>
  <c r="I140" i="1" s="1"/>
  <c r="F140" i="1"/>
  <c r="U139" i="1"/>
  <c r="I139" i="1" a="1"/>
  <c r="I139" i="1" s="1"/>
  <c r="F139" i="1"/>
  <c r="U138" i="1"/>
  <c r="I138" i="1" a="1"/>
  <c r="I138" i="1" s="1"/>
  <c r="F138" i="1"/>
  <c r="P137" i="1" a="1"/>
  <c r="P137" i="1" s="1"/>
  <c r="U137" i="1" s="1"/>
  <c r="I137" i="1" a="1"/>
  <c r="I137" i="1" s="1"/>
  <c r="F137" i="1"/>
  <c r="U136" i="1"/>
  <c r="I136" i="1" a="1"/>
  <c r="I136" i="1" s="1"/>
  <c r="F136" i="1"/>
  <c r="P135" i="1" a="1"/>
  <c r="P135" i="1" s="1"/>
  <c r="U135" i="1" s="1"/>
  <c r="I135" i="1" a="1"/>
  <c r="I135" i="1" s="1"/>
  <c r="F135" i="1"/>
  <c r="U134" i="1"/>
  <c r="I134" i="1" a="1"/>
  <c r="I134" i="1" s="1"/>
  <c r="F134" i="1"/>
  <c r="U133" i="1"/>
  <c r="I133" i="1" a="1"/>
  <c r="I133" i="1" s="1"/>
  <c r="F133" i="1"/>
  <c r="P132" i="1" a="1"/>
  <c r="P132" i="1" s="1"/>
  <c r="U132" i="1" s="1"/>
  <c r="I132" i="1" a="1"/>
  <c r="I132" i="1" s="1"/>
  <c r="F132" i="1"/>
  <c r="U131" i="1"/>
  <c r="P131" i="1" a="1"/>
  <c r="P131" i="1" s="1"/>
  <c r="I131" i="1" a="1"/>
  <c r="I131" i="1"/>
  <c r="F131" i="1"/>
  <c r="P130" i="1" a="1"/>
  <c r="P130" i="1" s="1"/>
  <c r="U130" i="1" s="1"/>
  <c r="I130" i="1" a="1"/>
  <c r="I130" i="1" s="1"/>
  <c r="F130" i="1"/>
  <c r="U129" i="1"/>
  <c r="P129" i="1" a="1"/>
  <c r="P129" i="1" s="1"/>
  <c r="I129" i="1" a="1"/>
  <c r="I129" i="1" s="1"/>
  <c r="F129" i="1"/>
  <c r="U128" i="1"/>
  <c r="I128" i="1" a="1"/>
  <c r="I128" i="1" s="1"/>
  <c r="F128" i="1"/>
  <c r="P127" i="1" a="1"/>
  <c r="P127" i="1"/>
  <c r="U127" i="1" s="1"/>
  <c r="I127" i="1" a="1"/>
  <c r="I127" i="1" s="1"/>
  <c r="F127" i="1"/>
  <c r="P126" i="1" a="1"/>
  <c r="P126" i="1" s="1"/>
  <c r="U126" i="1" s="1"/>
  <c r="I126" i="1" a="1"/>
  <c r="I126" i="1" s="1"/>
  <c r="F126" i="1"/>
  <c r="P125" i="1" a="1"/>
  <c r="P125" i="1" s="1"/>
  <c r="U125" i="1" s="1"/>
  <c r="I125" i="1" a="1"/>
  <c r="I125" i="1" s="1"/>
  <c r="F125" i="1"/>
  <c r="U124" i="1"/>
  <c r="P124" i="1" a="1"/>
  <c r="P124" i="1" s="1"/>
  <c r="I124" i="1" a="1"/>
  <c r="I124" i="1" s="1"/>
  <c r="F124" i="1"/>
  <c r="P123" i="1" a="1"/>
  <c r="P123" i="1" s="1"/>
  <c r="U123" i="1" s="1"/>
  <c r="I123" i="1" a="1"/>
  <c r="I123" i="1" s="1"/>
  <c r="F123" i="1"/>
  <c r="U122" i="1"/>
  <c r="P122" i="1" a="1"/>
  <c r="P122" i="1" s="1"/>
  <c r="I122" i="1" a="1"/>
  <c r="I122" i="1"/>
  <c r="F122" i="1"/>
  <c r="U121" i="1"/>
  <c r="I121" i="1" a="1"/>
  <c r="I121" i="1"/>
  <c r="F121" i="1"/>
  <c r="P120" i="1" a="1"/>
  <c r="P120" i="1" s="1"/>
  <c r="U120" i="1" s="1"/>
  <c r="I120" i="1" a="1"/>
  <c r="I120" i="1" s="1"/>
  <c r="F120" i="1"/>
  <c r="P119" i="1" a="1"/>
  <c r="P119" i="1" s="1"/>
  <c r="U119" i="1" s="1"/>
  <c r="I119" i="1" a="1"/>
  <c r="I119" i="1" s="1"/>
  <c r="F119" i="1"/>
  <c r="P118" i="1" a="1"/>
  <c r="P118" i="1"/>
  <c r="U118" i="1" s="1"/>
  <c r="I118" i="1" a="1"/>
  <c r="I118" i="1" s="1"/>
  <c r="F118" i="1"/>
  <c r="P117" i="1" a="1"/>
  <c r="P117" i="1" s="1"/>
  <c r="U117" i="1" s="1"/>
  <c r="I117" i="1" a="1"/>
  <c r="I117" i="1" s="1"/>
  <c r="F117" i="1"/>
  <c r="P116" i="1" a="1"/>
  <c r="P116" i="1" s="1"/>
  <c r="U116" i="1" s="1"/>
  <c r="I116" i="1" a="1"/>
  <c r="I116" i="1" s="1"/>
  <c r="F116" i="1"/>
  <c r="P115" i="1" a="1"/>
  <c r="P115" i="1" s="1"/>
  <c r="U115" i="1" s="1"/>
  <c r="I115" i="1" a="1"/>
  <c r="I115" i="1" s="1"/>
  <c r="F115" i="1"/>
  <c r="P114" i="1" a="1"/>
  <c r="P114" i="1" s="1"/>
  <c r="U114" i="1" s="1"/>
  <c r="I114" i="1" a="1"/>
  <c r="I114" i="1" s="1"/>
  <c r="F114" i="1"/>
  <c r="P113" i="1" a="1"/>
  <c r="P113" i="1" s="1"/>
  <c r="U113" i="1" s="1"/>
  <c r="I113" i="1" a="1"/>
  <c r="I113" i="1" s="1"/>
  <c r="F113" i="1"/>
  <c r="P112" i="1" a="1"/>
  <c r="P112" i="1" s="1"/>
  <c r="U112" i="1" s="1"/>
  <c r="I112" i="1" a="1"/>
  <c r="I112" i="1" s="1"/>
  <c r="F112" i="1"/>
  <c r="P111" i="1" a="1"/>
  <c r="P111" i="1" s="1"/>
  <c r="U111" i="1" s="1"/>
  <c r="I111" i="1" a="1"/>
  <c r="I111" i="1" s="1"/>
  <c r="F111" i="1"/>
  <c r="P110" i="1" a="1"/>
  <c r="P110" i="1"/>
  <c r="U110" i="1" s="1"/>
  <c r="I110" i="1" a="1"/>
  <c r="I110" i="1" s="1"/>
  <c r="F110" i="1"/>
  <c r="P109" i="1" a="1"/>
  <c r="P109" i="1" s="1"/>
  <c r="U109" i="1" s="1"/>
  <c r="I109" i="1" a="1"/>
  <c r="I109" i="1" s="1"/>
  <c r="F109" i="1"/>
  <c r="P108" i="1" a="1"/>
  <c r="P108" i="1" s="1"/>
  <c r="U108" i="1" s="1"/>
  <c r="I108" i="1" a="1"/>
  <c r="I108" i="1" s="1"/>
  <c r="F108" i="1"/>
  <c r="U107" i="1"/>
  <c r="P107" i="1" a="1"/>
  <c r="P107" i="1" s="1"/>
  <c r="I107" i="1" a="1"/>
  <c r="I107" i="1" s="1"/>
  <c r="F107" i="1"/>
  <c r="U106" i="1"/>
  <c r="I106" i="1" a="1"/>
  <c r="I106" i="1" s="1"/>
  <c r="F106" i="1"/>
  <c r="U105" i="1"/>
  <c r="I105" i="1" a="1"/>
  <c r="I105" i="1" s="1"/>
  <c r="F105" i="1"/>
  <c r="P104" i="1" a="1"/>
  <c r="P104" i="1" s="1"/>
  <c r="U104" i="1" s="1"/>
  <c r="I104" i="1" a="1"/>
  <c r="I104" i="1" s="1"/>
  <c r="F104" i="1"/>
  <c r="U103" i="1"/>
  <c r="P103" i="1" a="1"/>
  <c r="P103" i="1" s="1"/>
  <c r="I103" i="1" a="1"/>
  <c r="I103" i="1"/>
  <c r="F103" i="1"/>
  <c r="P102" i="1" a="1"/>
  <c r="P102" i="1" s="1"/>
  <c r="U102" i="1" s="1"/>
  <c r="I102" i="1" a="1"/>
  <c r="I102" i="1" s="1"/>
  <c r="F102" i="1"/>
  <c r="P101" i="1" a="1"/>
  <c r="P101" i="1" s="1"/>
  <c r="U101" i="1" s="1"/>
  <c r="I101" i="1" a="1"/>
  <c r="I101" i="1" s="1"/>
  <c r="F101" i="1"/>
  <c r="P100" i="1" a="1"/>
  <c r="P100" i="1"/>
  <c r="U100" i="1" s="1"/>
  <c r="I100" i="1" a="1"/>
  <c r="I100" i="1" s="1"/>
  <c r="F100" i="1"/>
  <c r="P99" i="1" a="1"/>
  <c r="P99" i="1" s="1"/>
  <c r="U99" i="1" s="1"/>
  <c r="I99" i="1" a="1"/>
  <c r="I99" i="1" s="1"/>
  <c r="F99" i="1"/>
  <c r="P98" i="1" a="1"/>
  <c r="P98" i="1" s="1"/>
  <c r="U98" i="1" s="1"/>
  <c r="I98" i="1" a="1"/>
  <c r="I98" i="1" s="1"/>
  <c r="F98" i="1"/>
  <c r="P97" i="1" a="1"/>
  <c r="P97" i="1" s="1"/>
  <c r="U97" i="1" s="1"/>
  <c r="I97" i="1" a="1"/>
  <c r="I97" i="1" s="1"/>
  <c r="F97" i="1"/>
  <c r="P96" i="1" a="1"/>
  <c r="P96" i="1" s="1"/>
  <c r="U96" i="1" s="1"/>
  <c r="I96" i="1" a="1"/>
  <c r="I96" i="1" s="1"/>
  <c r="F96" i="1"/>
  <c r="P95" i="1" a="1"/>
  <c r="P95" i="1" s="1"/>
  <c r="U95" i="1" s="1"/>
  <c r="I95" i="1" a="1"/>
  <c r="I95" i="1" s="1"/>
  <c r="F95" i="1"/>
  <c r="P94" i="1" a="1"/>
  <c r="P94" i="1" s="1"/>
  <c r="U94" i="1" s="1"/>
  <c r="I94" i="1" a="1"/>
  <c r="I94" i="1" s="1"/>
  <c r="F94" i="1"/>
  <c r="P93" i="1" a="1"/>
  <c r="P93" i="1" s="1"/>
  <c r="U93" i="1" s="1"/>
  <c r="I93" i="1" a="1"/>
  <c r="I93" i="1" s="1"/>
  <c r="F93" i="1"/>
  <c r="P92" i="1" a="1"/>
  <c r="P92" i="1"/>
  <c r="U92" i="1" s="1"/>
  <c r="I92" i="1" a="1"/>
  <c r="I92" i="1" s="1"/>
  <c r="F92" i="1"/>
  <c r="P91" i="1" a="1"/>
  <c r="P91" i="1" s="1"/>
  <c r="U91" i="1" s="1"/>
  <c r="I91" i="1" a="1"/>
  <c r="I91" i="1" s="1"/>
  <c r="F91" i="1"/>
  <c r="P90" i="1" a="1"/>
  <c r="P90" i="1" s="1"/>
  <c r="U90" i="1" s="1"/>
  <c r="I90" i="1" a="1"/>
  <c r="I90" i="1" s="1"/>
  <c r="F90" i="1"/>
  <c r="U89" i="1"/>
  <c r="P89" i="1" a="1"/>
  <c r="P89" i="1" s="1"/>
  <c r="I89" i="1" a="1"/>
  <c r="I89" i="1" s="1"/>
  <c r="F89" i="1"/>
  <c r="U88" i="1"/>
  <c r="I88" i="1" a="1"/>
  <c r="I88" i="1" s="1"/>
  <c r="F88" i="1"/>
  <c r="U87" i="1"/>
  <c r="I87" i="1" a="1"/>
  <c r="I87" i="1" s="1"/>
  <c r="F87" i="1"/>
  <c r="U86" i="1"/>
  <c r="I86" i="1" a="1"/>
  <c r="I86" i="1" s="1"/>
  <c r="F86" i="1"/>
  <c r="P85" i="1" a="1"/>
  <c r="P85" i="1" s="1"/>
  <c r="U85" i="1" s="1"/>
  <c r="I85" i="1" a="1"/>
  <c r="I85" i="1" s="1"/>
  <c r="F85" i="1"/>
  <c r="U84" i="1"/>
  <c r="P84" i="1" a="1"/>
  <c r="P84" i="1" s="1"/>
  <c r="I84" i="1" a="1"/>
  <c r="I84" i="1"/>
  <c r="F84" i="1"/>
  <c r="P83" i="1" a="1"/>
  <c r="P83" i="1" s="1"/>
  <c r="U83" i="1" s="1"/>
  <c r="I83" i="1" a="1"/>
  <c r="I83" i="1" s="1"/>
  <c r="F83" i="1"/>
  <c r="U82" i="1"/>
  <c r="I82" i="1" a="1"/>
  <c r="I82" i="1" s="1"/>
  <c r="F82" i="1"/>
  <c r="U81" i="1"/>
  <c r="I81" i="1" a="1"/>
  <c r="I81" i="1" s="1"/>
  <c r="F81" i="1"/>
  <c r="U80" i="1"/>
  <c r="I80" i="1" a="1"/>
  <c r="I80" i="1" s="1"/>
  <c r="F80" i="1"/>
  <c r="U79" i="1"/>
  <c r="I79" i="1" a="1"/>
  <c r="I79" i="1" s="1"/>
  <c r="F79" i="1"/>
  <c r="U78" i="1"/>
  <c r="P78" i="1" a="1"/>
  <c r="P78" i="1" s="1"/>
  <c r="I78" i="1" a="1"/>
  <c r="I78" i="1" s="1"/>
  <c r="F78" i="1"/>
  <c r="U77" i="1"/>
  <c r="I77" i="1" a="1"/>
  <c r="I77" i="1" s="1"/>
  <c r="F77" i="1"/>
  <c r="P76" i="1" a="1"/>
  <c r="P76" i="1"/>
  <c r="U76" i="1" s="1"/>
  <c r="I76" i="1" a="1"/>
  <c r="I76" i="1" s="1"/>
  <c r="F76" i="1"/>
  <c r="U75" i="1"/>
  <c r="I75" i="1" a="1"/>
  <c r="I75" i="1" s="1"/>
  <c r="F75" i="1"/>
  <c r="U74" i="1"/>
  <c r="I74" i="1" a="1"/>
  <c r="I74" i="1" s="1"/>
  <c r="F74" i="1"/>
  <c r="U73" i="1"/>
  <c r="I73" i="1" a="1"/>
  <c r="I73" i="1" s="1"/>
  <c r="F73" i="1"/>
  <c r="U72" i="1"/>
  <c r="I72" i="1" a="1"/>
  <c r="I72" i="1" s="1"/>
  <c r="F72" i="1"/>
  <c r="U71" i="1"/>
  <c r="I71" i="1" a="1"/>
  <c r="I71" i="1" s="1"/>
  <c r="F71" i="1"/>
  <c r="U70" i="1"/>
  <c r="I70" i="1" a="1"/>
  <c r="I70" i="1" s="1"/>
  <c r="F70" i="1"/>
  <c r="U69" i="1"/>
  <c r="I69" i="1" a="1"/>
  <c r="I69" i="1" s="1"/>
  <c r="F69" i="1"/>
  <c r="U68" i="1"/>
  <c r="I68" i="1" a="1"/>
  <c r="I68" i="1" s="1"/>
  <c r="F68" i="1"/>
  <c r="U67" i="1"/>
  <c r="I67" i="1" a="1"/>
  <c r="I67" i="1" s="1"/>
  <c r="F67" i="1"/>
  <c r="U66" i="1"/>
  <c r="I66" i="1" a="1"/>
  <c r="I66" i="1" s="1"/>
  <c r="F66" i="1"/>
  <c r="U65" i="1"/>
  <c r="I65" i="1" a="1"/>
  <c r="I65" i="1" s="1"/>
  <c r="F65" i="1"/>
  <c r="U64" i="1"/>
  <c r="I64" i="1" a="1"/>
  <c r="I64" i="1" s="1"/>
  <c r="F64" i="1"/>
  <c r="P63" i="1" a="1"/>
  <c r="P63" i="1" s="1"/>
  <c r="U63" i="1" s="1"/>
  <c r="I63" i="1" a="1"/>
  <c r="I63" i="1" s="1"/>
  <c r="F63" i="1"/>
  <c r="U62" i="1"/>
  <c r="I62" i="1" a="1"/>
  <c r="I62" i="1" s="1"/>
  <c r="F62" i="1"/>
  <c r="U61" i="1"/>
  <c r="I61" i="1" a="1"/>
  <c r="I61" i="1" s="1"/>
  <c r="F61" i="1"/>
  <c r="P60" i="1" a="1"/>
  <c r="P60" i="1" s="1"/>
  <c r="U60" i="1" s="1"/>
  <c r="I60" i="1" a="1"/>
  <c r="I60" i="1" s="1"/>
  <c r="F60" i="1"/>
  <c r="P59" i="1" a="1"/>
  <c r="P59" i="1" s="1"/>
  <c r="U59" i="1" s="1"/>
  <c r="I59" i="1" a="1"/>
  <c r="I59" i="1" s="1"/>
  <c r="F59" i="1"/>
  <c r="P58" i="1" a="1"/>
  <c r="P58" i="1" s="1"/>
  <c r="U58" i="1" s="1"/>
  <c r="I58" i="1" a="1"/>
  <c r="I58" i="1" s="1"/>
  <c r="F58" i="1"/>
  <c r="U57" i="1"/>
  <c r="I57" i="1" a="1"/>
  <c r="I57" i="1" s="1"/>
  <c r="F57" i="1"/>
  <c r="P56" i="1" a="1"/>
  <c r="P56" i="1" s="1"/>
  <c r="U56" i="1" s="1"/>
  <c r="I56" i="1" a="1"/>
  <c r="I56" i="1" s="1"/>
  <c r="F56" i="1"/>
  <c r="P55" i="1" a="1"/>
  <c r="P55" i="1" s="1"/>
  <c r="U55" i="1" s="1"/>
  <c r="I55" i="1" a="1"/>
  <c r="I55" i="1" s="1"/>
  <c r="F55" i="1"/>
  <c r="P54" i="1" a="1"/>
  <c r="P54" i="1" s="1"/>
  <c r="U54" i="1" s="1"/>
  <c r="I54" i="1" a="1"/>
  <c r="I54" i="1" s="1"/>
  <c r="F54" i="1"/>
  <c r="P53" i="1" a="1"/>
  <c r="P53" i="1" s="1"/>
  <c r="U53" i="1" s="1"/>
  <c r="I53" i="1" a="1"/>
  <c r="I53" i="1" s="1"/>
  <c r="F53" i="1"/>
  <c r="P52" i="1" a="1"/>
  <c r="P52" i="1" s="1"/>
  <c r="U52" i="1" s="1"/>
  <c r="I52" i="1" a="1"/>
  <c r="I52" i="1" s="1"/>
  <c r="F52" i="1"/>
  <c r="P51" i="1" a="1"/>
  <c r="P51" i="1"/>
  <c r="U51" i="1" s="1"/>
  <c r="I51" i="1" a="1"/>
  <c r="I51" i="1" s="1"/>
  <c r="F51" i="1"/>
  <c r="P50" i="1" a="1"/>
  <c r="P50" i="1" s="1"/>
  <c r="U50" i="1" s="1"/>
  <c r="I50" i="1" a="1"/>
  <c r="I50" i="1" s="1"/>
  <c r="F50" i="1"/>
  <c r="P49" i="1" a="1"/>
  <c r="P49" i="1"/>
  <c r="U49" i="1" s="1"/>
  <c r="I49" i="1" a="1"/>
  <c r="I49" i="1" s="1"/>
  <c r="F49" i="1"/>
  <c r="U48" i="1"/>
  <c r="I48" i="1" a="1"/>
  <c r="I48" i="1" s="1"/>
  <c r="F48" i="1"/>
  <c r="U47" i="1"/>
  <c r="I47" i="1" a="1"/>
  <c r="I47" i="1" s="1"/>
  <c r="F47" i="1"/>
  <c r="U46" i="1"/>
  <c r="I46" i="1" a="1"/>
  <c r="I46" i="1" s="1"/>
  <c r="F46" i="1"/>
  <c r="U45" i="1"/>
  <c r="I45" i="1" a="1"/>
  <c r="I45" i="1" s="1"/>
  <c r="F45" i="1"/>
  <c r="U44" i="1"/>
  <c r="I44" i="1" a="1"/>
  <c r="I44" i="1" s="1"/>
  <c r="F44" i="1"/>
  <c r="U43" i="1"/>
  <c r="I43" i="1" a="1"/>
  <c r="I43" i="1" s="1"/>
  <c r="F43" i="1"/>
  <c r="U42" i="1"/>
  <c r="I42" i="1" a="1"/>
  <c r="I42" i="1" s="1"/>
  <c r="F42" i="1"/>
  <c r="P41" i="1" a="1"/>
  <c r="P41" i="1" s="1"/>
  <c r="U41" i="1" s="1"/>
  <c r="I41" i="1" a="1"/>
  <c r="I41" i="1" s="1"/>
  <c r="F41" i="1"/>
  <c r="P40" i="1" a="1"/>
  <c r="P40" i="1" s="1"/>
  <c r="U40" i="1" s="1"/>
  <c r="I40" i="1" a="1"/>
  <c r="I40" i="1" s="1"/>
  <c r="F40" i="1"/>
  <c r="P39" i="1" a="1"/>
  <c r="P39" i="1" s="1"/>
  <c r="U39" i="1" s="1"/>
  <c r="I39" i="1" a="1"/>
  <c r="I39" i="1" s="1"/>
  <c r="F39" i="1"/>
  <c r="P38" i="1" a="1"/>
  <c r="P38" i="1" s="1"/>
  <c r="U38" i="1" s="1"/>
  <c r="I38" i="1" a="1"/>
  <c r="I38" i="1" s="1"/>
  <c r="F38" i="1"/>
  <c r="U37" i="1"/>
  <c r="I37" i="1" a="1"/>
  <c r="I37" i="1" s="1"/>
  <c r="F37" i="1"/>
  <c r="U36" i="1"/>
  <c r="I36" i="1" a="1"/>
  <c r="I36" i="1" s="1"/>
  <c r="F36" i="1"/>
  <c r="U35" i="1"/>
  <c r="I35" i="1" a="1"/>
  <c r="I35" i="1" s="1"/>
  <c r="F35" i="1"/>
  <c r="P34" i="1" a="1"/>
  <c r="P34" i="1" s="1"/>
  <c r="U34" i="1" s="1"/>
  <c r="I34" i="1" a="1"/>
  <c r="I34" i="1" s="1"/>
  <c r="F34" i="1"/>
  <c r="P33" i="1" a="1"/>
  <c r="P33" i="1" s="1"/>
  <c r="U33" i="1" s="1"/>
  <c r="I33" i="1" a="1"/>
  <c r="I33" i="1" s="1"/>
  <c r="F33" i="1"/>
  <c r="P32" i="1" a="1"/>
  <c r="P32" i="1" s="1"/>
  <c r="U32" i="1" s="1"/>
  <c r="I32" i="1" a="1"/>
  <c r="I32" i="1" s="1"/>
  <c r="F32" i="1"/>
  <c r="U31" i="1"/>
  <c r="I31" i="1" a="1"/>
  <c r="I31" i="1" s="1"/>
  <c r="F31" i="1"/>
  <c r="U30" i="1"/>
  <c r="I30" i="1" a="1"/>
  <c r="I30" i="1" s="1"/>
  <c r="F30" i="1"/>
  <c r="P29" i="1" a="1"/>
  <c r="P29" i="1" s="1"/>
  <c r="U29" i="1" s="1"/>
  <c r="I29" i="1" a="1"/>
  <c r="I29" i="1" s="1"/>
  <c r="F29" i="1"/>
  <c r="U28" i="1"/>
  <c r="I28" i="1" a="1"/>
  <c r="I28" i="1" s="1"/>
  <c r="F28" i="1"/>
  <c r="U27" i="1"/>
  <c r="I27" i="1" a="1"/>
  <c r="I27" i="1" s="1"/>
  <c r="F27" i="1"/>
  <c r="P26" i="1" a="1"/>
  <c r="P26" i="1" s="1"/>
  <c r="U26" i="1" s="1"/>
  <c r="I26" i="1" a="1"/>
  <c r="I26" i="1" s="1"/>
  <c r="F26" i="1"/>
  <c r="P25" i="1" a="1"/>
  <c r="P25" i="1" s="1"/>
  <c r="U25" i="1" s="1"/>
  <c r="I25" i="1" a="1"/>
  <c r="I25" i="1" s="1"/>
  <c r="F25" i="1"/>
  <c r="P24" i="1" a="1"/>
  <c r="P24" i="1" s="1"/>
  <c r="U24" i="1" s="1"/>
  <c r="I24" i="1" a="1"/>
  <c r="I24" i="1" s="1"/>
  <c r="F24" i="1"/>
  <c r="P23" i="1" a="1"/>
  <c r="P23" i="1" s="1"/>
  <c r="U23" i="1" s="1"/>
  <c r="I23" i="1" a="1"/>
  <c r="I23" i="1" s="1"/>
  <c r="F23" i="1"/>
  <c r="P22" i="1" a="1"/>
  <c r="P22" i="1" s="1"/>
  <c r="U22" i="1" s="1"/>
  <c r="I22" i="1" a="1"/>
  <c r="I22" i="1" s="1"/>
  <c r="F22" i="1"/>
  <c r="P21" i="1" a="1"/>
  <c r="P21" i="1"/>
  <c r="U21" i="1" s="1"/>
  <c r="I21" i="1" a="1"/>
  <c r="I21" i="1" s="1"/>
  <c r="F21" i="1"/>
  <c r="P20" i="1" a="1"/>
  <c r="P20" i="1" s="1"/>
  <c r="U20" i="1" s="1"/>
  <c r="I20" i="1" a="1"/>
  <c r="I20" i="1" s="1"/>
  <c r="F20" i="1"/>
  <c r="P19" i="1" a="1"/>
  <c r="P19" i="1"/>
  <c r="U19" i="1" s="1"/>
  <c r="I19" i="1" a="1"/>
  <c r="I19" i="1" s="1"/>
  <c r="F19" i="1"/>
  <c r="P18" i="1" a="1"/>
  <c r="P18" i="1" s="1"/>
  <c r="U18" i="1" s="1"/>
  <c r="I18" i="1" a="1"/>
  <c r="I18" i="1" s="1"/>
  <c r="F18" i="1"/>
  <c r="P17" i="1" a="1"/>
  <c r="P17" i="1" s="1"/>
  <c r="U17" i="1" s="1"/>
  <c r="I17" i="1" a="1"/>
  <c r="I17" i="1" s="1"/>
  <c r="F17" i="1"/>
  <c r="U16" i="1"/>
  <c r="P16" i="1" a="1"/>
  <c r="P16" i="1" s="1"/>
  <c r="I16" i="1" a="1"/>
  <c r="I16" i="1"/>
  <c r="F16" i="1"/>
  <c r="P15" i="1" a="1"/>
  <c r="P15" i="1" s="1"/>
  <c r="U15" i="1" s="1"/>
  <c r="I15" i="1" a="1"/>
  <c r="I15" i="1" s="1"/>
  <c r="F15" i="1"/>
  <c r="U14" i="1"/>
  <c r="P14" i="1" a="1"/>
  <c r="P14" i="1" s="1"/>
  <c r="I14" i="1" a="1"/>
  <c r="I14" i="1"/>
  <c r="F14" i="1"/>
  <c r="P13" i="1" a="1"/>
  <c r="P13" i="1"/>
  <c r="U13" i="1" s="1"/>
  <c r="I13" i="1" a="1"/>
  <c r="I13" i="1" s="1"/>
  <c r="F13" i="1"/>
  <c r="P12" i="1" a="1"/>
  <c r="P12" i="1" s="1"/>
  <c r="U12" i="1" s="1"/>
  <c r="I12" i="1" a="1"/>
  <c r="I12" i="1" s="1"/>
  <c r="F12" i="1"/>
  <c r="P11" i="1" a="1"/>
  <c r="P11" i="1" s="1"/>
  <c r="U11" i="1" s="1"/>
  <c r="I11" i="1" a="1"/>
  <c r="I11" i="1" s="1"/>
  <c r="F11" i="1"/>
  <c r="P10" i="1" a="1"/>
  <c r="P10" i="1" s="1"/>
  <c r="U10" i="1" s="1"/>
  <c r="I10" i="1" a="1"/>
  <c r="I10" i="1" s="1"/>
  <c r="F10" i="1"/>
  <c r="P9" i="1" a="1"/>
  <c r="P9" i="1" s="1"/>
  <c r="U9" i="1" s="1"/>
  <c r="I9" i="1" a="1"/>
  <c r="I9" i="1" s="1"/>
  <c r="F9" i="1"/>
  <c r="P8" i="1" a="1"/>
  <c r="P8" i="1" s="1"/>
  <c r="U8" i="1" s="1"/>
  <c r="I8" i="1" a="1"/>
  <c r="I8" i="1" s="1"/>
  <c r="F8" i="1"/>
  <c r="P7" i="1" a="1"/>
  <c r="P7" i="1"/>
  <c r="U7" i="1" s="1"/>
  <c r="I7" i="1" a="1"/>
  <c r="I7" i="1" s="1"/>
  <c r="F7" i="1"/>
  <c r="P6" i="1" a="1"/>
  <c r="P6" i="1" s="1"/>
  <c r="U6" i="1" s="1"/>
  <c r="I6" i="1" a="1"/>
  <c r="I6" i="1" s="1"/>
  <c r="F6" i="1"/>
  <c r="P5" i="1" a="1"/>
  <c r="P5" i="1"/>
  <c r="U5" i="1" s="1"/>
  <c r="I5" i="1" a="1"/>
  <c r="I5" i="1" s="1"/>
  <c r="F5" i="1"/>
  <c r="P4" i="1" a="1"/>
  <c r="P4" i="1" s="1"/>
  <c r="U4" i="1" s="1"/>
  <c r="I4" i="1" a="1"/>
  <c r="I4" i="1" s="1"/>
  <c r="F4" i="1"/>
  <c r="P3" i="1" a="1"/>
  <c r="P3" i="1"/>
  <c r="U3" i="1" s="1"/>
  <c r="I3" i="1" a="1"/>
  <c r="I3" i="1" s="1"/>
  <c r="F3" i="1"/>
  <c r="P2" i="1" a="1"/>
  <c r="P2" i="1" s="1"/>
  <c r="U2" i="1" s="1"/>
  <c r="I2" i="1"/>
  <c r="F2" i="1"/>
</calcChain>
</file>

<file path=xl/comments1.xml><?xml version="1.0" encoding="utf-8"?>
<comments xmlns="http://schemas.openxmlformats.org/spreadsheetml/2006/main">
  <authors>
    <author>Administrator</author>
  </authors>
  <commentList>
    <comment ref="C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G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L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M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V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X1" authorId="0" shapeId="0">
      <text>
        <r>
          <rPr>
            <sz val="9"/>
            <rFont val="宋体"/>
            <family val="3"/>
            <charset val="134"/>
          </rPr>
          <t xml:space="preserve">微软用户:
请在此签字
</t>
        </r>
      </text>
    </comment>
    <comment ref="D590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市场部有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H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M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N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W1" authorId="0" shapeId="0">
      <text>
        <r>
          <rPr>
            <sz val="9"/>
            <rFont val="宋体"/>
            <family val="3"/>
            <charset val="134"/>
          </rPr>
          <t xml:space="preserve">Administrator:
</t>
        </r>
      </text>
    </comment>
    <comment ref="Y1" authorId="0" shapeId="0">
      <text>
        <r>
          <rPr>
            <sz val="9"/>
            <rFont val="宋体"/>
            <family val="3"/>
            <charset val="134"/>
          </rPr>
          <t xml:space="preserve">微软用户:
请在此签字
</t>
        </r>
      </text>
    </comment>
    <comment ref="D590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市场部有
</t>
        </r>
      </text>
    </comment>
  </commentList>
</comments>
</file>

<file path=xl/sharedStrings.xml><?xml version="1.0" encoding="utf-8"?>
<sst xmlns="http://schemas.openxmlformats.org/spreadsheetml/2006/main" count="11337" uniqueCount="1205">
  <si>
    <t>曾云江</t>
  </si>
  <si>
    <t>曾云江/黄庆</t>
  </si>
  <si>
    <t>邓长安</t>
  </si>
  <si>
    <t>黄大剑</t>
  </si>
  <si>
    <t>黄庆</t>
  </si>
  <si>
    <t>黄鑫</t>
  </si>
  <si>
    <t>李加云</t>
  </si>
  <si>
    <t>李伟</t>
  </si>
  <si>
    <t>卢吉洪</t>
  </si>
  <si>
    <t>毛波</t>
  </si>
  <si>
    <t>任俊帆</t>
  </si>
  <si>
    <t>孙重渝</t>
  </si>
  <si>
    <t>肖波</t>
  </si>
  <si>
    <t>肖德仪</t>
  </si>
  <si>
    <t>张定杨/谢敏</t>
  </si>
  <si>
    <t>赵帮成</t>
  </si>
  <si>
    <t>唐茂文</t>
  </si>
  <si>
    <t>李伟/刘定全</t>
  </si>
  <si>
    <t>总计</t>
  </si>
  <si>
    <t xml:space="preserve"> 日 期</t>
  </si>
  <si>
    <t>班次</t>
  </si>
  <si>
    <t>机床号</t>
  </si>
  <si>
    <t>图       号</t>
  </si>
  <si>
    <t>零件名称</t>
  </si>
  <si>
    <t>校对</t>
  </si>
  <si>
    <t>版次</t>
  </si>
  <si>
    <t>工  序</t>
  </si>
  <si>
    <t>工序内容</t>
  </si>
  <si>
    <t>计划数量</t>
  </si>
  <si>
    <t>完成数量</t>
  </si>
  <si>
    <t>首检</t>
  </si>
  <si>
    <t>批检</t>
  </si>
  <si>
    <t>质量编号</t>
  </si>
  <si>
    <t>输入程序时间</t>
  </si>
  <si>
    <t>程序时间</t>
  </si>
  <si>
    <t>准备工时</t>
  </si>
  <si>
    <t>输入准备工时</t>
  </si>
  <si>
    <t>调序</t>
  </si>
  <si>
    <t>辅助工时</t>
  </si>
  <si>
    <t>合计</t>
  </si>
  <si>
    <t>操作者</t>
  </si>
  <si>
    <t>备注</t>
  </si>
  <si>
    <t>负责人签字</t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</si>
  <si>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/3</t>
    </r>
  </si>
  <si>
    <t>CB2284460-007-001</t>
  </si>
  <si>
    <t>四通接头</t>
  </si>
  <si>
    <t>B</t>
  </si>
  <si>
    <t>6P001 6P003</t>
  </si>
  <si>
    <t>1/4</t>
  </si>
  <si>
    <t>DD-J10-21102-33-Z</t>
  </si>
  <si>
    <t>10460上接头</t>
  </si>
  <si>
    <t>D</t>
  </si>
  <si>
    <t>C7P007-C7P008</t>
  </si>
  <si>
    <t>1/5</t>
  </si>
  <si>
    <t>CB221T3LG-002-001</t>
  </si>
  <si>
    <t>接头</t>
  </si>
  <si>
    <t>6P001</t>
  </si>
  <si>
    <t>Q 去毛刺 打钢印 5根料</t>
  </si>
  <si>
    <t>1/7</t>
  </si>
  <si>
    <t>CB22836Y6-003-001</t>
  </si>
  <si>
    <t>轴</t>
  </si>
  <si>
    <t>1P004 2P004</t>
  </si>
  <si>
    <t>CB2283664-002-001</t>
  </si>
  <si>
    <t>法兰</t>
  </si>
  <si>
    <t>C</t>
  </si>
  <si>
    <t>1/8</t>
  </si>
  <si>
    <t>DD-J10-21102-32-Y</t>
  </si>
  <si>
    <t>10060下接头</t>
  </si>
  <si>
    <t>C7P001 C7P002</t>
  </si>
  <si>
    <t>CB5350500-010L006</t>
  </si>
  <si>
    <t>1号护板维型肋左件</t>
  </si>
  <si>
    <t>1/9</t>
  </si>
  <si>
    <t>CB2747GA0-002-002</t>
  </si>
  <si>
    <t>扩压式管接头</t>
  </si>
  <si>
    <t>1/11</t>
  </si>
  <si>
    <t>DD-J10B-94076-2031/3</t>
  </si>
  <si>
    <t>接管嘴</t>
  </si>
  <si>
    <t>6P003 6P005</t>
  </si>
  <si>
    <t>5317C23409G70</t>
  </si>
  <si>
    <t>立柱加强接头</t>
  </si>
  <si>
    <t>A</t>
  </si>
  <si>
    <t>3A</t>
  </si>
  <si>
    <t>1/12</t>
  </si>
  <si>
    <t>DD-J10B-94076-501-Y</t>
  </si>
  <si>
    <t>拉杆支座</t>
  </si>
  <si>
    <t>6P005</t>
  </si>
  <si>
    <t>DD-J10B-61041-18</t>
  </si>
  <si>
    <t>管接头</t>
  </si>
  <si>
    <t>6P004</t>
  </si>
  <si>
    <t>1/13</t>
  </si>
  <si>
    <t>CB5811100-010-001</t>
  </si>
  <si>
    <t>螺栓</t>
  </si>
  <si>
    <t xml:space="preserve">6P001 </t>
  </si>
  <si>
    <t>C256300800-003-001</t>
  </si>
  <si>
    <t>垫圈</t>
  </si>
  <si>
    <t>00P001</t>
  </si>
  <si>
    <t>D 打钢印 2根料</t>
  </si>
  <si>
    <t>5319C96017G70</t>
  </si>
  <si>
    <t>短框连接块</t>
  </si>
  <si>
    <t>C7P003-C7P008</t>
  </si>
  <si>
    <t>1/14</t>
  </si>
  <si>
    <t>DD-J10-61101-5001/16</t>
  </si>
  <si>
    <t>C6P004</t>
  </si>
  <si>
    <t>1/15</t>
  </si>
  <si>
    <t>DD-J10-61052-172</t>
  </si>
  <si>
    <t>C6P005</t>
  </si>
  <si>
    <t>C221069811-001-001</t>
  </si>
  <si>
    <t>平管嘴</t>
  </si>
  <si>
    <t>00P001 00P002</t>
  </si>
  <si>
    <t>1/16</t>
  </si>
  <si>
    <t>CB221T2LN-001-001</t>
  </si>
  <si>
    <t>BC221T1BB-001-001</t>
  </si>
  <si>
    <t>2P004</t>
  </si>
  <si>
    <t>DD-J10B-61201-12</t>
  </si>
  <si>
    <t>E</t>
  </si>
  <si>
    <t>7P003</t>
  </si>
  <si>
    <t>1/18</t>
  </si>
  <si>
    <t>DD-J10B-94091-24G2</t>
  </si>
  <si>
    <t>20-28变径直通接头</t>
  </si>
  <si>
    <t>5319C22035G70</t>
  </si>
  <si>
    <t>支架</t>
  </si>
  <si>
    <t>1/3</t>
  </si>
  <si>
    <t>CB5323210-005L065</t>
  </si>
  <si>
    <t>9350-11140左侧上梁</t>
  </si>
  <si>
    <t>5P009 5P011 5P013 5P020</t>
  </si>
  <si>
    <t>XXX-600-00</t>
  </si>
  <si>
    <t>XXXXXXX离心夹具3组合件</t>
  </si>
  <si>
    <t>2020-10-N-75</t>
  </si>
  <si>
    <t>CB5327110-003R002</t>
  </si>
  <si>
    <t>8635右隔框</t>
  </si>
  <si>
    <t>5P008 5P017-5P018</t>
  </si>
  <si>
    <t>DD-J10S-06021-107</t>
  </si>
  <si>
    <t>后隔框</t>
  </si>
  <si>
    <t>A-1</t>
  </si>
  <si>
    <t>4P015</t>
  </si>
  <si>
    <t>XXX-000-06</t>
  </si>
  <si>
    <t>D 导向块</t>
  </si>
  <si>
    <t>2020-09-n-47</t>
  </si>
  <si>
    <t>CB5327110-003L002</t>
  </si>
  <si>
    <t>8635左隔框</t>
  </si>
  <si>
    <t xml:space="preserve">5P002 5P016 5P018 </t>
  </si>
  <si>
    <t>5P009</t>
  </si>
  <si>
    <t>5P011</t>
  </si>
  <si>
    <t>4P016</t>
  </si>
  <si>
    <t>1/14-1/15</t>
  </si>
  <si>
    <t>CB5327120-003R006</t>
  </si>
  <si>
    <t>8270侧隔框</t>
  </si>
  <si>
    <t>F</t>
  </si>
  <si>
    <t>5P010-5P011 5P017</t>
  </si>
  <si>
    <t>CB5327120-003L006</t>
  </si>
  <si>
    <t>6P002-6P006</t>
  </si>
  <si>
    <t>XXX-100-01</t>
  </si>
  <si>
    <t>Z振动夹具</t>
  </si>
  <si>
    <t>CB5323220-052-024</t>
  </si>
  <si>
    <t>9350-11140右侧上梁</t>
  </si>
  <si>
    <t>G</t>
  </si>
  <si>
    <t>5P005</t>
  </si>
  <si>
    <t>1/17</t>
  </si>
  <si>
    <t>XXX-3310000-01</t>
  </si>
  <si>
    <t>卡接连接件I</t>
  </si>
  <si>
    <t>2020-11-N-21</t>
  </si>
  <si>
    <t>XXX-3320000-01</t>
  </si>
  <si>
    <t>卡接连接件II</t>
  </si>
  <si>
    <t>XXX-381000-12</t>
  </si>
  <si>
    <t>介质固定块A</t>
  </si>
  <si>
    <t>2020-04-N-71</t>
  </si>
  <si>
    <t>外加修理R接刀痕</t>
  </si>
  <si>
    <t>XXX-382000-12</t>
  </si>
  <si>
    <t>介质固定块B</t>
  </si>
  <si>
    <t>BC2332H01-008-001</t>
  </si>
  <si>
    <t>衬套</t>
  </si>
  <si>
    <t>1P005</t>
  </si>
  <si>
    <t>1根料</t>
  </si>
  <si>
    <t>CB5512300-004L002</t>
  </si>
  <si>
    <t>根肋前段</t>
  </si>
  <si>
    <t>5P012-5P013 5P016 5P019 4P013 4P015</t>
  </si>
  <si>
    <t>5P014 5P018 5P010</t>
  </si>
  <si>
    <t>大件</t>
  </si>
  <si>
    <t>CB5512300-005L002</t>
  </si>
  <si>
    <t>根肋后段</t>
  </si>
  <si>
    <t>4P019-4P020 4P015 5P002-5P004 5P009</t>
  </si>
  <si>
    <t>CB5512300-005R002</t>
  </si>
  <si>
    <t>5P003 5P014 5P005</t>
  </si>
  <si>
    <t>BC5822100-007-001</t>
  </si>
  <si>
    <t>3P042-3P145</t>
  </si>
  <si>
    <t>回丝 去除毛刺</t>
  </si>
  <si>
    <t xml:space="preserve">5p002 </t>
  </si>
  <si>
    <t xml:space="preserve">5P011 5P015 5P017 </t>
  </si>
  <si>
    <t>DD-J10B-94076-802</t>
  </si>
  <si>
    <t>7P002</t>
  </si>
  <si>
    <t>XXX-000-07</t>
  </si>
  <si>
    <t>M密封盒</t>
  </si>
  <si>
    <t>2020-10-N-35</t>
  </si>
  <si>
    <t>Q 去毛刺除所有毛刺，腐蚀</t>
  </si>
  <si>
    <t>DD-J10-55023-632</t>
  </si>
  <si>
    <t>小衬套</t>
  </si>
  <si>
    <t xml:space="preserve">C7P001 </t>
  </si>
  <si>
    <t>C4P005</t>
  </si>
  <si>
    <t>CB2285758-004-001</t>
  </si>
  <si>
    <t>Q 去毛刺除 钻孔</t>
  </si>
  <si>
    <t>试棒</t>
  </si>
  <si>
    <t>钳工</t>
  </si>
  <si>
    <t>3D打印</t>
  </si>
  <si>
    <t>X许阳波</t>
  </si>
  <si>
    <t>DD-J10-54231-2-Z-GZ01</t>
  </si>
  <si>
    <t>鸭翼伺服作动器安装支座</t>
  </si>
  <si>
    <t>/</t>
  </si>
  <si>
    <t>攻M6 112个孔 各8件 去除所有毛刺</t>
  </si>
  <si>
    <t>1-3-1/4</t>
  </si>
  <si>
    <t>X箱体</t>
  </si>
  <si>
    <t>3D打印 去支撑 打磨</t>
  </si>
  <si>
    <t>G格栅</t>
  </si>
  <si>
    <t>3D打印 打磨 修配</t>
  </si>
  <si>
    <t>1/6</t>
  </si>
  <si>
    <t>C53221700-005-001-ZM01
C532221700-005-001-ZM01-FJ01</t>
  </si>
  <si>
    <t>3D打印 格栅 钻模</t>
  </si>
  <si>
    <t>圆饼</t>
  </si>
  <si>
    <t>3D打印 打磨 抛光</t>
  </si>
  <si>
    <t>钛合金</t>
  </si>
  <si>
    <t>3D打印 校形</t>
  </si>
  <si>
    <t>J机匣</t>
  </si>
  <si>
    <t>3D打印 去支撑 打磨 抛光</t>
  </si>
  <si>
    <t>Y 圆饼</t>
  </si>
  <si>
    <t>3D打印 打磨 配模</t>
  </si>
  <si>
    <t>R热校模</t>
  </si>
  <si>
    <t>3D打印 去毛刺 打磨</t>
  </si>
  <si>
    <t>M模型</t>
  </si>
  <si>
    <t>132 支撑 打磨 抛光</t>
  </si>
  <si>
    <t>XXX-300-00</t>
  </si>
  <si>
    <t>XXXXW3XXX振动夹具组合件</t>
  </si>
  <si>
    <t>XXX-300-01</t>
  </si>
  <si>
    <t>XXX-200-03</t>
  </si>
  <si>
    <t>光开关盖</t>
  </si>
  <si>
    <t>维修工装</t>
  </si>
  <si>
    <t>H合计8H</t>
  </si>
  <si>
    <t>x许阳波</t>
  </si>
  <si>
    <t>XXX-300-03</t>
  </si>
  <si>
    <t>J绝缘板</t>
  </si>
  <si>
    <t>DD-J10B-86051-2</t>
  </si>
  <si>
    <t>激励器转接件</t>
  </si>
  <si>
    <t>XXX-100-00</t>
  </si>
  <si>
    <t>XXXXW1XXXX振动夹具组合件</t>
  </si>
  <si>
    <t>XXX-500-01</t>
  </si>
  <si>
    <t>XXXXXXX离心夹具</t>
  </si>
  <si>
    <t>XXX-500-00</t>
  </si>
  <si>
    <t>DD-J10-94021-730-3</t>
  </si>
  <si>
    <t>环</t>
  </si>
  <si>
    <t>三批次</t>
  </si>
  <si>
    <t>BC5525200-003-002</t>
  </si>
  <si>
    <t>对穿螺栓</t>
  </si>
  <si>
    <t>1P067 -1P070</t>
  </si>
  <si>
    <t>DD-J10B-77101-963</t>
  </si>
  <si>
    <t>卡箍扣</t>
  </si>
  <si>
    <t>DD-J10-61001-3</t>
  </si>
  <si>
    <t>支座</t>
  </si>
  <si>
    <t>M每件70分钟</t>
  </si>
  <si>
    <t>5319C02301G70</t>
  </si>
  <si>
    <t>M每件15分钟</t>
  </si>
  <si>
    <t>DD-J10-21102-274</t>
  </si>
  <si>
    <t>4#下垫片</t>
  </si>
  <si>
    <t>C7P007</t>
  </si>
  <si>
    <t>C7P006</t>
  </si>
  <si>
    <t>C7P005</t>
  </si>
  <si>
    <t>C7P004</t>
  </si>
  <si>
    <t>C7P003</t>
  </si>
  <si>
    <t>DD-J10-21102-273</t>
  </si>
  <si>
    <t>4#上垫片</t>
  </si>
  <si>
    <t>DD-J10S-96011-1202</t>
  </si>
  <si>
    <t>接嘴</t>
  </si>
  <si>
    <t>DD-J10S-96011-1811</t>
  </si>
  <si>
    <t>转接嘴</t>
  </si>
  <si>
    <t>DD-J10S-96011-1201</t>
  </si>
  <si>
    <t>三通管</t>
  </si>
  <si>
    <t>DD-J10-78140-2110-1</t>
  </si>
  <si>
    <t>铰链</t>
  </si>
  <si>
    <t>C4P302</t>
  </si>
  <si>
    <t>BC2712542-001-001</t>
  </si>
  <si>
    <t>带耳螺栓</t>
  </si>
  <si>
    <t>00P010</t>
  </si>
  <si>
    <t>DD-J10-91001-1</t>
  </si>
  <si>
    <t>C5P003</t>
  </si>
  <si>
    <t>XXXXXXX离心夹具2组合件</t>
  </si>
  <si>
    <t>DD-J10-55015-5503-Y</t>
  </si>
  <si>
    <t>C6P006</t>
  </si>
  <si>
    <t>DD-J10-61031-44</t>
  </si>
  <si>
    <t>压板</t>
  </si>
  <si>
    <t>C6P007</t>
  </si>
  <si>
    <t>C6P008</t>
  </si>
  <si>
    <t>DD-J10-41173-141</t>
  </si>
  <si>
    <t>拨叉</t>
  </si>
  <si>
    <t>J</t>
  </si>
  <si>
    <t>C6P301-C6P303</t>
  </si>
  <si>
    <t>12/31</t>
  </si>
  <si>
    <t>DD-J10-05156-1-Y</t>
  </si>
  <si>
    <t>外侧梁主件（右件）</t>
  </si>
  <si>
    <t>C6P003</t>
  </si>
  <si>
    <t>CB5324420-001L/R003</t>
  </si>
  <si>
    <t>侧下梁</t>
  </si>
  <si>
    <t>5P009 5P010</t>
  </si>
  <si>
    <t>CB5315191-014L004</t>
  </si>
  <si>
    <t>排气下侧壁</t>
  </si>
  <si>
    <t>CB5512300-014L001</t>
  </si>
  <si>
    <t>角盒</t>
  </si>
  <si>
    <t>6P001 6P002</t>
  </si>
  <si>
    <t>1/2</t>
  </si>
  <si>
    <t>BC5333100-006L001</t>
  </si>
  <si>
    <t>口框梁</t>
  </si>
  <si>
    <t>3P019-3P022</t>
  </si>
  <si>
    <t>DD-J10-05156-1-Z</t>
  </si>
  <si>
    <t xml:space="preserve">外侧梁主件（左件） </t>
  </si>
  <si>
    <t>DD-J10S-04031-1</t>
  </si>
  <si>
    <t>8700框</t>
  </si>
  <si>
    <t>4P020</t>
  </si>
  <si>
    <t>缘条过切4处</t>
  </si>
  <si>
    <t>DD-J10-05156-1-Y/Z</t>
  </si>
  <si>
    <t>外侧梁主件（左/右件）</t>
  </si>
  <si>
    <t>c6p005</t>
  </si>
  <si>
    <t>右件精孔被处理过</t>
  </si>
  <si>
    <t>CB5714200-005L002</t>
  </si>
  <si>
    <t>2470肋五段</t>
  </si>
  <si>
    <t>CB5323210-002-028</t>
  </si>
  <si>
    <t>10540中框</t>
  </si>
  <si>
    <t>5P018-5P020</t>
  </si>
  <si>
    <t>CB5714200-005R002</t>
  </si>
  <si>
    <t>5P004</t>
  </si>
  <si>
    <t>CB5326200-134L/R002</t>
  </si>
  <si>
    <t>9010 4号加强筋</t>
  </si>
  <si>
    <t>5P014</t>
  </si>
  <si>
    <t>CB5325210-001-004</t>
  </si>
  <si>
    <t>辅助动力舱口盖前段</t>
  </si>
  <si>
    <t>5P016</t>
  </si>
  <si>
    <t>成重18g</t>
  </si>
  <si>
    <t>DD-J10B-25002-30G2-1G2-Y</t>
  </si>
  <si>
    <t>梁（右件）</t>
  </si>
  <si>
    <t>7P001 7P002</t>
  </si>
  <si>
    <t>7P003-7P004</t>
  </si>
  <si>
    <t>4p019-4p020</t>
  </si>
  <si>
    <t>缘条过切 6H</t>
  </si>
  <si>
    <t>CB5322400-017-061</t>
  </si>
  <si>
    <t>11140框右下半框</t>
  </si>
  <si>
    <t>Q钳工</t>
  </si>
  <si>
    <t>M每件90分钟</t>
  </si>
  <si>
    <t>CB5714200-005L/R002</t>
  </si>
  <si>
    <t>5P003 5P004</t>
  </si>
  <si>
    <t>M每件45分钟</t>
  </si>
  <si>
    <t>Y20-5312224004-001</t>
  </si>
  <si>
    <t>18框前33长桁</t>
  </si>
  <si>
    <t>6P008</t>
  </si>
  <si>
    <t>C533114600-004R001
C533114600-004L001</t>
  </si>
  <si>
    <t>00P003 00P004</t>
  </si>
  <si>
    <t>7P001 7P004</t>
  </si>
  <si>
    <t>M每件120分钟</t>
  </si>
  <si>
    <t>CB5324500-003L002</t>
  </si>
  <si>
    <t>前端框</t>
  </si>
  <si>
    <t>6P002</t>
  </si>
  <si>
    <t>CB5324500-004R004</t>
  </si>
  <si>
    <t>后端框</t>
  </si>
  <si>
    <t>5P003</t>
  </si>
  <si>
    <t>C532111100-001L/R001</t>
  </si>
  <si>
    <t>外侧梁</t>
  </si>
  <si>
    <t>00P003</t>
  </si>
  <si>
    <t>5P009 5P011</t>
  </si>
  <si>
    <t>M每件240分钟</t>
  </si>
  <si>
    <t>CB5324500-003R002</t>
  </si>
  <si>
    <t>C533114600-004L/R001</t>
  </si>
  <si>
    <t>CB5327120-003L/R006</t>
  </si>
  <si>
    <t>5P017</t>
  </si>
  <si>
    <t>5P010 5P011</t>
  </si>
  <si>
    <t>1/10</t>
  </si>
  <si>
    <t>6P006 6P007</t>
  </si>
  <si>
    <t>5317C11005G71</t>
  </si>
  <si>
    <t>Y20-5317001074-501/502</t>
  </si>
  <si>
    <t>1#竖梁</t>
  </si>
  <si>
    <t>7P003 7P004</t>
  </si>
  <si>
    <t>CB5315193-005-003</t>
  </si>
  <si>
    <t>口盖</t>
  </si>
  <si>
    <t>5P002</t>
  </si>
  <si>
    <t>M每件25分钟</t>
  </si>
  <si>
    <t>S首鉴</t>
  </si>
  <si>
    <t>CB5714100-003R003</t>
  </si>
  <si>
    <t>根肋三段</t>
  </si>
  <si>
    <t>返槽宽 返尺寸</t>
  </si>
  <si>
    <t>DD-J10-21102-2-Z</t>
  </si>
  <si>
    <t>1号下壁板</t>
  </si>
  <si>
    <t>C6P005-C6P006</t>
  </si>
  <si>
    <t>H</t>
  </si>
  <si>
    <t>CB5327120-010L015</t>
  </si>
  <si>
    <t>9555侧隔框</t>
  </si>
  <si>
    <t>6P004-6P007</t>
  </si>
  <si>
    <t>00P004</t>
  </si>
  <si>
    <t>钛20kg</t>
  </si>
  <si>
    <t>CB5327120-010R015</t>
  </si>
  <si>
    <t>6P006</t>
  </si>
  <si>
    <t>C6P001-C6P002</t>
  </si>
  <si>
    <t>12/30</t>
  </si>
  <si>
    <t>DD-J10B-55121-6</t>
  </si>
  <si>
    <t>角片</t>
  </si>
  <si>
    <t>Q去除材料确检交余量</t>
  </si>
  <si>
    <t>CB5714200-001R001</t>
  </si>
  <si>
    <t>2470肋一段</t>
  </si>
  <si>
    <t>F返修底座R3</t>
  </si>
  <si>
    <t>BC552B300-002-001</t>
  </si>
  <si>
    <t>前肋</t>
  </si>
  <si>
    <t>2P005</t>
  </si>
  <si>
    <t>CB2284761-003-001</t>
  </si>
  <si>
    <t>主动油总管四通</t>
  </si>
  <si>
    <t>CB5323400-008R001</t>
  </si>
  <si>
    <t>外侧轴承盖</t>
  </si>
  <si>
    <t>5P018</t>
  </si>
  <si>
    <t>立板超厚0.05~0.07 内孔台阶（四个边孔）</t>
  </si>
  <si>
    <t>Y20-4354233101-001</t>
  </si>
  <si>
    <t>氧气瓶支架</t>
  </si>
  <si>
    <t>6P013 6P014</t>
  </si>
  <si>
    <t>C532210921-001L001</t>
  </si>
  <si>
    <t>左外侧接头</t>
  </si>
  <si>
    <t>C532210921-001R001</t>
  </si>
  <si>
    <t>右外侧接头</t>
  </si>
  <si>
    <t>DD-J10B-54601-10-1</t>
  </si>
  <si>
    <t>过渡板</t>
  </si>
  <si>
    <t>GC7P002</t>
  </si>
  <si>
    <t>C532210912-001-001</t>
  </si>
  <si>
    <t>卡环</t>
  </si>
  <si>
    <t>00P015</t>
  </si>
  <si>
    <t>C533114600-005L001</t>
  </si>
  <si>
    <t>钳工 打磨内孔2-φ30内接</t>
  </si>
  <si>
    <t>DD-J10B-21002-2-Y</t>
  </si>
  <si>
    <t>4号下壁板（右件）</t>
  </si>
  <si>
    <t>GC7P009-GC7P010 GC7P001-GC7P002</t>
  </si>
  <si>
    <t>DD-J10B-34303-11G2</t>
  </si>
  <si>
    <t>第4隔板</t>
  </si>
  <si>
    <t>6P041</t>
  </si>
  <si>
    <t>C7P0098-C7P008</t>
  </si>
  <si>
    <t>5317C11003G71</t>
  </si>
  <si>
    <t>DD-J10B-21002-2-Z</t>
  </si>
  <si>
    <t>4号下壁板（左件）</t>
  </si>
  <si>
    <t>GC7P003-GC7P004</t>
  </si>
  <si>
    <t>CB5327120-013R015</t>
  </si>
  <si>
    <t>10150侧隔框</t>
  </si>
  <si>
    <t>6P002 6P004</t>
  </si>
  <si>
    <t>CB5327120-013L015</t>
  </si>
  <si>
    <t xml:space="preserve">6P002 </t>
  </si>
  <si>
    <t>DD-J10B-21402-10G2-1G2-Z</t>
  </si>
  <si>
    <t>固定前缘边肋（左件）</t>
  </si>
  <si>
    <t>6P040</t>
  </si>
  <si>
    <t>L零件表面腐蚀</t>
  </si>
  <si>
    <t>BC2712521-001-004</t>
  </si>
  <si>
    <t>摇臂</t>
  </si>
  <si>
    <t>C533114600-005R001</t>
  </si>
  <si>
    <t>CB5324310-016-006</t>
  </si>
  <si>
    <t>带板</t>
  </si>
  <si>
    <t>6P007-6P010</t>
  </si>
  <si>
    <t>531A9110-001-001</t>
  </si>
  <si>
    <t>前起落架舱门结构支撑梁</t>
  </si>
  <si>
    <t>8B</t>
  </si>
  <si>
    <t>φ80 φ4 精孔内划伤</t>
  </si>
  <si>
    <t>C552004000-001L001</t>
  </si>
  <si>
    <t>C552004000-001R001</t>
  </si>
  <si>
    <t>6P008-6P009</t>
  </si>
  <si>
    <t>C532111100-008R001</t>
  </si>
  <si>
    <t>C532111100-008L001</t>
  </si>
  <si>
    <t>DD-J10-21102-33-Y</t>
  </si>
  <si>
    <t>CB229C050-002-003</t>
  </si>
  <si>
    <t>拔杆</t>
  </si>
  <si>
    <t>3P004</t>
  </si>
  <si>
    <t>3P005</t>
  </si>
  <si>
    <t>CB5315191-012R003</t>
  </si>
  <si>
    <t>进气下侧壁</t>
  </si>
  <si>
    <t>M每件30分钟</t>
  </si>
  <si>
    <t>BC5333100-007-001</t>
  </si>
  <si>
    <t>下大梁</t>
  </si>
  <si>
    <t>3P015-3P019</t>
  </si>
  <si>
    <t>M每件60分钟</t>
  </si>
  <si>
    <t>CB5322400-016-061</t>
  </si>
  <si>
    <t>11140框左下半框</t>
  </si>
  <si>
    <t>6P003</t>
  </si>
  <si>
    <t>6P017-6P020</t>
  </si>
  <si>
    <t>6P007-6P011</t>
  </si>
  <si>
    <t>6P012-6P016</t>
  </si>
  <si>
    <t>6P003-6P006</t>
  </si>
  <si>
    <t>cb5714200-005l002</t>
  </si>
  <si>
    <t>DD-J10-21102-60/-1/3-z</t>
  </si>
  <si>
    <t>11968下口盖</t>
  </si>
  <si>
    <t>DD-J10-21102-60/-1/3-Y</t>
  </si>
  <si>
    <t>DD-J10-21102-60/-1/2-Y</t>
  </si>
  <si>
    <t>CB5326200-134L002</t>
  </si>
  <si>
    <t>M每件20分钟</t>
  </si>
  <si>
    <t>CB5324413-004-002</t>
  </si>
  <si>
    <t>油箱底板（中）</t>
  </si>
  <si>
    <t>6P001-6P004</t>
  </si>
  <si>
    <t>CB5326200-133L002</t>
  </si>
  <si>
    <t>8815 4号加强筋</t>
  </si>
  <si>
    <t>5P008</t>
  </si>
  <si>
    <t>CB5822016-029R001</t>
  </si>
  <si>
    <t>6P001-6P005</t>
  </si>
  <si>
    <t>6P016-6P020</t>
  </si>
  <si>
    <t>6P011-6P015</t>
  </si>
  <si>
    <t>6P006-6P010</t>
  </si>
  <si>
    <t xml:space="preserve">5P012-5P013 </t>
  </si>
  <si>
    <t>5P021</t>
  </si>
  <si>
    <t>5P020</t>
  </si>
  <si>
    <t>00P16-00P018</t>
  </si>
  <si>
    <t>6P006-6P015</t>
  </si>
  <si>
    <t>F返尺寸</t>
  </si>
  <si>
    <t>00P013-00P014</t>
  </si>
  <si>
    <t>5317C11004G71</t>
  </si>
  <si>
    <t>GC7P009-GC7P010</t>
  </si>
  <si>
    <t>6P0043-6P006</t>
  </si>
  <si>
    <t>打磨L零件腐蚀</t>
  </si>
  <si>
    <t>5P001</t>
  </si>
  <si>
    <t>F返腐蚀</t>
  </si>
  <si>
    <t>1/1</t>
  </si>
  <si>
    <t>M每件5分钟</t>
  </si>
  <si>
    <t>CB5314107-001-003</t>
  </si>
  <si>
    <t>5550上框（精加工）</t>
  </si>
  <si>
    <t>5P008-5P009</t>
  </si>
  <si>
    <t>铲刮底面</t>
  </si>
  <si>
    <t>Z总计4H</t>
  </si>
  <si>
    <t>DD-J10-96011-12</t>
  </si>
  <si>
    <t>M每件10分钟</t>
  </si>
  <si>
    <t>C6P002-C6P003</t>
  </si>
  <si>
    <t>C6P002</t>
  </si>
  <si>
    <t>DD-J10-62021-7</t>
  </si>
  <si>
    <t>CB2747R00-002-001</t>
  </si>
  <si>
    <t>三通管接头</t>
  </si>
  <si>
    <t>DD-J10-55014-2131</t>
  </si>
  <si>
    <t>C6P007-C6P009</t>
  </si>
  <si>
    <t>DD-J10-55165-331</t>
  </si>
  <si>
    <t>BC221T1AC-003-001</t>
  </si>
  <si>
    <t>传感器座</t>
  </si>
  <si>
    <t>2P003</t>
  </si>
  <si>
    <t>DD-J10B-55181-19</t>
  </si>
  <si>
    <t>转接管接头</t>
  </si>
  <si>
    <t>CB5822016-034R/L001</t>
  </si>
  <si>
    <t>6P001-6P005 6P011-6P015</t>
  </si>
  <si>
    <t>6P006-6P009 6P016-6P019</t>
  </si>
  <si>
    <t>C551005000-002L/R001</t>
  </si>
  <si>
    <t>DD-J10-61041-2</t>
  </si>
  <si>
    <t>CB5350500-016R006</t>
  </si>
  <si>
    <t>7号护板维型肋右件</t>
  </si>
  <si>
    <t>DD-J10-55181-16</t>
  </si>
  <si>
    <t>变径三通管接头</t>
  </si>
  <si>
    <t>CB229C440-002R001</t>
  </si>
  <si>
    <t>CB2248145-001-006</t>
  </si>
  <si>
    <t>支片5</t>
  </si>
  <si>
    <t>5P003 6P001</t>
  </si>
  <si>
    <t>M每件50分钟</t>
  </si>
  <si>
    <t>DD-J10-62021-11106</t>
  </si>
  <si>
    <t>壳体</t>
  </si>
  <si>
    <t>DD-J10-55121-2</t>
  </si>
  <si>
    <t>DD-J10-55055-2611</t>
  </si>
  <si>
    <t>C7P001 HY0053</t>
  </si>
  <si>
    <t>C6P005 C4P301</t>
  </si>
  <si>
    <t>DD-J10-55181-14</t>
  </si>
  <si>
    <t>变径四通管接头</t>
  </si>
  <si>
    <t>DD-J10-55014-3101</t>
  </si>
  <si>
    <t>C6P009-C6P010</t>
  </si>
  <si>
    <t>5319C55013G70</t>
  </si>
  <si>
    <t>连接接头</t>
  </si>
  <si>
    <t>8A</t>
  </si>
  <si>
    <t>DD-J10B-55141-111</t>
  </si>
  <si>
    <t>90°弯管接头</t>
  </si>
  <si>
    <t>7P001-1</t>
  </si>
  <si>
    <t>1/19</t>
  </si>
  <si>
    <t>DD-J10-55015-5102</t>
  </si>
  <si>
    <t>CB22109MN-001-003</t>
  </si>
  <si>
    <t>变径直通接头</t>
  </si>
  <si>
    <t>12/31-1/3</t>
  </si>
  <si>
    <t>DD-J10-41123-1111</t>
  </si>
  <si>
    <t>销子</t>
  </si>
  <si>
    <t>202002-3 202005-2 202005-3 202004-1</t>
  </si>
  <si>
    <t>1/4-1/8</t>
  </si>
  <si>
    <t>XXX-000-01</t>
  </si>
  <si>
    <t>外罩</t>
  </si>
  <si>
    <t>2020-12-N-04</t>
  </si>
  <si>
    <t>1/7-19</t>
  </si>
  <si>
    <t>BC2716320-001-003</t>
  </si>
  <si>
    <t>插槽</t>
  </si>
  <si>
    <t>1/9-1/10</t>
  </si>
  <si>
    <t>CB2284450-001-001</t>
  </si>
  <si>
    <t>穿框管接头</t>
  </si>
  <si>
    <t>1/11-1/13</t>
  </si>
  <si>
    <t>XXX-3330000-01</t>
  </si>
  <si>
    <t>卡接连接件III</t>
  </si>
  <si>
    <t>1/14-1/16</t>
  </si>
  <si>
    <t>1/16-1/17</t>
  </si>
  <si>
    <t>3P047-3P144</t>
  </si>
  <si>
    <t>1/18-1/20</t>
  </si>
  <si>
    <t>XXX-000-08</t>
  </si>
  <si>
    <t>插座板</t>
  </si>
  <si>
    <t>DD-J10-61001-722</t>
  </si>
  <si>
    <t>C6P003  C4P006</t>
  </si>
  <si>
    <t>3P015-3P018</t>
  </si>
  <si>
    <t>CB229C070-001R001</t>
  </si>
  <si>
    <t>DD-J10-55181-2540-2</t>
  </si>
  <si>
    <t>小轴</t>
  </si>
  <si>
    <t>C532222810-015-001</t>
  </si>
  <si>
    <t>口框</t>
  </si>
  <si>
    <t>00P003-00P004</t>
  </si>
  <si>
    <t>CB5324310-003-099</t>
  </si>
  <si>
    <t>6P001-6P020</t>
  </si>
  <si>
    <t>DD-J10S-91001-1</t>
  </si>
  <si>
    <t>4P301</t>
  </si>
  <si>
    <t>6P001 6P004-6P005</t>
  </si>
  <si>
    <t>CB5512300-014R001</t>
  </si>
  <si>
    <t>6P011-6P020</t>
  </si>
  <si>
    <t>DD-J10-61001-7001</t>
  </si>
  <si>
    <t>XXX-F2</t>
  </si>
  <si>
    <t>M 模拟拔销器</t>
  </si>
  <si>
    <t>XXX-F1</t>
  </si>
  <si>
    <t>提手</t>
  </si>
  <si>
    <t>XXX-F3</t>
  </si>
  <si>
    <t>固定栓</t>
  </si>
  <si>
    <t>DD-FC1-41123-1111</t>
  </si>
  <si>
    <t>201911-1</t>
  </si>
  <si>
    <t>CB5315191-014R004</t>
  </si>
  <si>
    <t>F返表面压伤</t>
  </si>
  <si>
    <t>返工尺寸 4-φ5.1 孔小</t>
  </si>
  <si>
    <t>返工尺寸 3+0.1-0.2 实测3.14  6.5+0.1-0.2 实测 6.68</t>
  </si>
  <si>
    <t>5P008 5P017</t>
  </si>
  <si>
    <t>C532210911-001R/L001</t>
  </si>
  <si>
    <t>右内侧接头</t>
  </si>
  <si>
    <t>5P015 5P019 5P016</t>
  </si>
  <si>
    <t>5P017-5P018</t>
  </si>
  <si>
    <t>CB5327110-003R/L002</t>
  </si>
  <si>
    <t>F返尺寸 φ3.05+0.06 孔</t>
  </si>
  <si>
    <t>BC22971A1-005-001</t>
  </si>
  <si>
    <t>缓冲头</t>
  </si>
  <si>
    <t>F返尺寸 82.8-0.25</t>
  </si>
  <si>
    <t>6p003 5P002</t>
  </si>
  <si>
    <t>DD-J10B-02121-1AG2-Y</t>
  </si>
  <si>
    <t>BL280侧壁（右件）</t>
  </si>
  <si>
    <t>DD-J10B-02121-1AG2-Z</t>
  </si>
  <si>
    <t>BL280侧壁（左件）</t>
  </si>
  <si>
    <t>7P007-7P008</t>
  </si>
  <si>
    <t>Y20-5312225701-001</t>
  </si>
  <si>
    <t>纵向加强件</t>
  </si>
  <si>
    <t>6P009</t>
  </si>
  <si>
    <t>DD-J10B-65000-1710G2-1</t>
  </si>
  <si>
    <t>连杆</t>
  </si>
  <si>
    <t>CB5323400-008L001</t>
  </si>
  <si>
    <t>CB22956R1-001R001</t>
  </si>
  <si>
    <t>座子</t>
  </si>
  <si>
    <t>CB5326200-133L/R002</t>
  </si>
  <si>
    <t>5P013 5P016 5P019</t>
  </si>
  <si>
    <t>DD-J10-34003-2</t>
  </si>
  <si>
    <t>后梁</t>
  </si>
  <si>
    <t>CB5327120-002L033</t>
  </si>
  <si>
    <t>8120侧隔框</t>
  </si>
  <si>
    <t>5P02 6P003</t>
  </si>
  <si>
    <t>走丝加工</t>
  </si>
  <si>
    <t>Jφ1.254*8</t>
  </si>
  <si>
    <t>J九院试件</t>
  </si>
  <si>
    <t>X线</t>
  </si>
  <si>
    <t>3DDY-YZ</t>
  </si>
  <si>
    <t>Y 圆柱</t>
  </si>
  <si>
    <t>KHG2-G2-JJ-GZ02</t>
  </si>
  <si>
    <t>G 管子夹具</t>
  </si>
  <si>
    <t>G工装</t>
  </si>
  <si>
    <t>DD-J10B-02081-61-Z</t>
  </si>
  <si>
    <t>角材</t>
  </si>
  <si>
    <t>7P004</t>
  </si>
  <si>
    <t>7P006</t>
  </si>
  <si>
    <t>7P005</t>
  </si>
  <si>
    <t>4P002</t>
  </si>
  <si>
    <t>531A9100-007-001</t>
  </si>
  <si>
    <t>前起落架水平接头</t>
  </si>
  <si>
    <t>DD-J10B-02081-61-Y</t>
  </si>
  <si>
    <t>12/16-1/8</t>
  </si>
  <si>
    <t>BC2712522-001-004</t>
  </si>
  <si>
    <t>S 输入机匣</t>
  </si>
  <si>
    <t>Jφ1.5-3</t>
  </si>
  <si>
    <t>5613A380025G010</t>
  </si>
  <si>
    <t>圆柱销</t>
  </si>
  <si>
    <t>7D</t>
  </si>
  <si>
    <t>DD-J10-55181-6742</t>
  </si>
  <si>
    <t>收紧螺母</t>
  </si>
  <si>
    <t>C4P301</t>
  </si>
  <si>
    <t>DD-J10B-94076-803</t>
  </si>
  <si>
    <t>CB2263280-001-002</t>
  </si>
  <si>
    <t>喷嘴</t>
  </si>
  <si>
    <t>DD-J10-05346-3-Y</t>
  </si>
  <si>
    <t>受剪接头</t>
  </si>
  <si>
    <t>C7P021-C7P024</t>
  </si>
  <si>
    <t>DD-J10-05346-3-Z</t>
  </si>
  <si>
    <t>C7P024</t>
  </si>
  <si>
    <t>C7P022</t>
  </si>
  <si>
    <t>C7P023</t>
  </si>
  <si>
    <t>DD-J10B-65000-1720G2-1</t>
  </si>
  <si>
    <t>管子</t>
  </si>
  <si>
    <t>DD-FC1-41153-21</t>
  </si>
  <si>
    <t>单耳接头</t>
  </si>
  <si>
    <t>201912-1</t>
  </si>
  <si>
    <t>C4P006</t>
  </si>
  <si>
    <t>临时工艺</t>
  </si>
  <si>
    <t>C6P009</t>
  </si>
  <si>
    <t>5317C23403G70</t>
  </si>
  <si>
    <t>回收锁销接头</t>
  </si>
  <si>
    <t>8C</t>
  </si>
  <si>
    <t>C6P010</t>
  </si>
  <si>
    <t>C7P002</t>
  </si>
  <si>
    <t>C7P001</t>
  </si>
  <si>
    <t>x线</t>
  </si>
  <si>
    <t>Jφ2.0-6</t>
  </si>
  <si>
    <t>C7P021-C7P033</t>
  </si>
  <si>
    <t>1/10-1/20</t>
  </si>
  <si>
    <t>锋钢条刮刀</t>
  </si>
  <si>
    <t>王总需求</t>
  </si>
  <si>
    <t>1/1-1/10</t>
  </si>
  <si>
    <t>PR2021-01</t>
  </si>
  <si>
    <t>S试杆件</t>
  </si>
  <si>
    <t xml:space="preserve">临时计划急件 </t>
  </si>
  <si>
    <t>DD-J10-21102-272</t>
  </si>
  <si>
    <t>3#下垫片</t>
  </si>
  <si>
    <t>C7P008</t>
  </si>
  <si>
    <t>DD-J10-21102-271</t>
  </si>
  <si>
    <t>3#上垫片</t>
  </si>
  <si>
    <t>DD-J10-55014-2160-1</t>
  </si>
  <si>
    <t>耳环螺栓</t>
  </si>
  <si>
    <t>C6P061</t>
  </si>
  <si>
    <t>CB2284480-003-001</t>
  </si>
  <si>
    <t>CB229C050-007-003</t>
  </si>
  <si>
    <t>4P001</t>
  </si>
  <si>
    <t>Jφ6*4 修腰形槽</t>
  </si>
  <si>
    <t>C成品校形</t>
  </si>
  <si>
    <t>DD-J10B-67011-20010-2</t>
  </si>
  <si>
    <t>弓形件</t>
  </si>
  <si>
    <t>X校</t>
  </si>
  <si>
    <t>7p002</t>
  </si>
  <si>
    <t>X修外形伤</t>
  </si>
  <si>
    <t>Jφ6孔 未钻穿 孔小</t>
  </si>
  <si>
    <t>CB5822016-034L/R001</t>
  </si>
  <si>
    <t>6P004 6P007</t>
  </si>
  <si>
    <t>Z总计6H</t>
  </si>
  <si>
    <t>Z朱建</t>
  </si>
  <si>
    <t>1/5-1/6</t>
  </si>
  <si>
    <t>7P003  7P004</t>
  </si>
  <si>
    <t>M毛培校形</t>
  </si>
  <si>
    <t>DD-J10-55181-2540-1</t>
  </si>
  <si>
    <t>M6螺纹 长度不够 成飞返回返工</t>
  </si>
  <si>
    <t>线切割变形</t>
  </si>
  <si>
    <t>DD-J10B-26002-1G2-Y</t>
  </si>
  <si>
    <t>1+1+1+1+1+1+1+1+1+1+1+1+1+1 成飞返回返工</t>
  </si>
  <si>
    <t>成飞出差 返工零件</t>
  </si>
  <si>
    <t>CB5324420-001R003</t>
  </si>
  <si>
    <t>成飞返回返工 点孔位</t>
  </si>
  <si>
    <t>CB5324420-001L003</t>
  </si>
  <si>
    <t>CB229C050-014-003</t>
  </si>
  <si>
    <t>Z支架</t>
  </si>
  <si>
    <t>加工变形 尺寸超差</t>
  </si>
  <si>
    <t>Y20-5317001074-502</t>
  </si>
  <si>
    <t>Y20-5317001074-501</t>
  </si>
  <si>
    <t>Jφ80精孔小 研磨φ80+0.01</t>
  </si>
  <si>
    <t>5P007</t>
  </si>
  <si>
    <t>Jφ4精孔小返校</t>
  </si>
  <si>
    <t>Y20-5318100045-001</t>
  </si>
  <si>
    <t>加强件</t>
  </si>
  <si>
    <t>6P011-6P013</t>
  </si>
  <si>
    <t>6P011-6P017</t>
  </si>
  <si>
    <t>DM打磨表面面</t>
  </si>
  <si>
    <t>1/20</t>
  </si>
  <si>
    <t>DM打磨全面</t>
  </si>
  <si>
    <t>5311C11108G73</t>
  </si>
  <si>
    <t>垫板</t>
  </si>
  <si>
    <t>3A 3B 3C</t>
  </si>
  <si>
    <t>1/21</t>
  </si>
  <si>
    <t>202005-3 202004-1-2</t>
  </si>
  <si>
    <t>1/22</t>
  </si>
  <si>
    <t>Q除铁锈 伤痕</t>
  </si>
  <si>
    <t>DD-J10B-65000-1901G2</t>
  </si>
  <si>
    <t>固定板</t>
  </si>
  <si>
    <t>6P004-6P009</t>
  </si>
  <si>
    <t>5319C28057G70</t>
  </si>
  <si>
    <t>DD-J10-55014-2010-1</t>
  </si>
  <si>
    <t>C6P001</t>
  </si>
  <si>
    <t>DD-J10B-94076-620-4</t>
  </si>
  <si>
    <t>7P001</t>
  </si>
  <si>
    <t>DD-J10-55181-710-1</t>
  </si>
  <si>
    <t>DD-J10B-94076-220-2</t>
  </si>
  <si>
    <t>M每件16分钟</t>
  </si>
  <si>
    <t>521A4260-000-003</t>
  </si>
  <si>
    <t>7C</t>
  </si>
  <si>
    <t>CB5811100-003-001</t>
  </si>
  <si>
    <t>DD-J10-61101-15</t>
  </si>
  <si>
    <t xml:space="preserve">C6P005 </t>
  </si>
  <si>
    <t>6P001 4P003</t>
  </si>
  <si>
    <t>C 出差</t>
  </si>
  <si>
    <t>3D打印 生产部校对零件</t>
  </si>
  <si>
    <t>1/13-1/14</t>
  </si>
  <si>
    <t>匣体</t>
  </si>
  <si>
    <t>ZM钻模</t>
  </si>
  <si>
    <t>3D打印 钻孔 攻丝</t>
  </si>
  <si>
    <t>3D打印  攻丝</t>
  </si>
  <si>
    <t>3D打印 钻孔 修边</t>
  </si>
  <si>
    <t>F飞机模型</t>
  </si>
  <si>
    <t>DD-J10-55014-1102</t>
  </si>
  <si>
    <t>CB2263268-001-002</t>
  </si>
  <si>
    <t>CB5512300-015R001</t>
  </si>
  <si>
    <t>6P016-6020</t>
  </si>
  <si>
    <t>XXX-000-05</t>
  </si>
  <si>
    <t>Z支柱</t>
  </si>
  <si>
    <t>5317C09035G71</t>
  </si>
  <si>
    <t>5317C09037G71</t>
  </si>
  <si>
    <t>1/1-1/24</t>
  </si>
  <si>
    <t>XXX-000-04</t>
  </si>
  <si>
    <t>锁销塞</t>
  </si>
  <si>
    <t>Q 去毛刺 抛光</t>
  </si>
  <si>
    <t>CB2297120-005-002</t>
  </si>
  <si>
    <t>CB5522200-020L001</t>
  </si>
  <si>
    <t>实心块</t>
  </si>
  <si>
    <t>CB5522200-020R001</t>
  </si>
  <si>
    <t>5319C28033G70</t>
  </si>
  <si>
    <t>5319C28059G70</t>
  </si>
  <si>
    <t>C7P020-C7P041</t>
  </si>
  <si>
    <t>DD-J10B-94011-582G2</t>
  </si>
  <si>
    <t>堵头</t>
  </si>
  <si>
    <t>1/21-1/22</t>
  </si>
  <si>
    <t>DD-J10-68095-1400-1</t>
  </si>
  <si>
    <t>套筒</t>
  </si>
  <si>
    <t>CB2294456-001-001</t>
  </si>
  <si>
    <t>盖</t>
  </si>
  <si>
    <t>DD-J10-55014-3200-1</t>
  </si>
  <si>
    <t>Z总计2H</t>
  </si>
  <si>
    <t>XXX-3820000-05</t>
  </si>
  <si>
    <t>2020-01-N-71</t>
  </si>
  <si>
    <t>DD-J10-55015-6100-1</t>
  </si>
  <si>
    <t>C6P188-C6213</t>
  </si>
  <si>
    <t>C4P005 C7P001</t>
  </si>
  <si>
    <t>2710A400004G010</t>
  </si>
  <si>
    <t>M每件6分钟</t>
  </si>
  <si>
    <t>202005-2</t>
  </si>
  <si>
    <t>DD-J10-63001-511</t>
  </si>
  <si>
    <t>阳密封式法兰盘</t>
  </si>
  <si>
    <t>4P014 4P016</t>
  </si>
  <si>
    <t>4P015-4P017</t>
  </si>
  <si>
    <t>DD-J10B-04321-1-Y</t>
  </si>
  <si>
    <t>斜横梁</t>
  </si>
  <si>
    <t>7P001-7P004</t>
  </si>
  <si>
    <t>DD-J10B-04321-1-Z</t>
  </si>
  <si>
    <t>CB5512300-004R/L002</t>
  </si>
  <si>
    <t>4P013 4P015</t>
  </si>
  <si>
    <t>1/23</t>
  </si>
  <si>
    <t>DD-J10B-02161-501</t>
  </si>
  <si>
    <t>5755横框</t>
  </si>
  <si>
    <t>GC7P028-GC7P031</t>
  </si>
  <si>
    <t>5319C60011G70</t>
  </si>
  <si>
    <t>DD-J10-21102-250-2-Y</t>
  </si>
  <si>
    <t>11900梁二段（右件）</t>
  </si>
  <si>
    <t>C7P001-C7P004</t>
  </si>
  <si>
    <t>6P001-6P002</t>
  </si>
  <si>
    <t>6P001-6P006</t>
  </si>
  <si>
    <t>DD-J10-21102-390-1-Z</t>
  </si>
  <si>
    <t>1150肋九段（左件）</t>
  </si>
  <si>
    <t>6P004-6P05-6P007</t>
  </si>
  <si>
    <t>4P016 4P018</t>
  </si>
  <si>
    <t>CB2295170-001-002</t>
  </si>
  <si>
    <t>安装支座</t>
  </si>
  <si>
    <t>CB5714100-003L003</t>
  </si>
  <si>
    <t>4P017 4P016</t>
  </si>
  <si>
    <t>DD-J10-21102-410-1-Y</t>
  </si>
  <si>
    <t>1150肋根肋（右件）</t>
  </si>
  <si>
    <t>4P017</t>
  </si>
  <si>
    <t>1/19-1/20</t>
  </si>
  <si>
    <t>DD-J10-21102-2-Y</t>
  </si>
  <si>
    <t>C6P003-C6P006</t>
  </si>
  <si>
    <t>返修筋条面铣刀</t>
  </si>
  <si>
    <t>5319C97005G71</t>
  </si>
  <si>
    <t>底部连接接头</t>
  </si>
  <si>
    <t>CB5326200-133R002</t>
  </si>
  <si>
    <t>5P013</t>
  </si>
  <si>
    <t>F返尺寸2+0.1-0.2 实测2.12-2.14</t>
  </si>
  <si>
    <t>DD-J10-34103-4</t>
  </si>
  <si>
    <t>上边肋</t>
  </si>
  <si>
    <t xml:space="preserve">GC7P009-GC7P010 </t>
  </si>
  <si>
    <t>GC7P0011-GC7P012</t>
  </si>
  <si>
    <t>7P012</t>
  </si>
  <si>
    <t>C铲刮底面</t>
  </si>
  <si>
    <t>1/24</t>
  </si>
  <si>
    <t>C571110500-002L/R001</t>
  </si>
  <si>
    <t>前梁二段</t>
  </si>
  <si>
    <t>1/25</t>
  </si>
  <si>
    <t>CB5314240-012-003</t>
  </si>
  <si>
    <t>后顶板</t>
  </si>
  <si>
    <t>00P003-00P005</t>
  </si>
  <si>
    <t>F返筋条表面 粗糙</t>
  </si>
  <si>
    <t>C6P003-C6P004</t>
  </si>
  <si>
    <t>CB5326200-125L/R002</t>
  </si>
  <si>
    <t>9200 3号加强筋</t>
  </si>
  <si>
    <t>5P020-5P017</t>
  </si>
  <si>
    <t>5319C02201G70</t>
  </si>
  <si>
    <t>5P016-5P015</t>
  </si>
  <si>
    <t>DD-J10B-63001-651</t>
  </si>
  <si>
    <t>法兰盘</t>
  </si>
  <si>
    <t>6P014</t>
  </si>
  <si>
    <t>BC2281650-006-003</t>
  </si>
  <si>
    <t>支臂</t>
  </si>
  <si>
    <t>2P001</t>
  </si>
  <si>
    <t>BC5812812-001-001</t>
  </si>
  <si>
    <t>3P002</t>
  </si>
  <si>
    <t>L临时工艺</t>
  </si>
  <si>
    <t>Q钳工倒角刀杆</t>
  </si>
  <si>
    <t>Q钳工钻模</t>
  </si>
  <si>
    <t>中支丝加工</t>
  </si>
  <si>
    <t>5319C28039G70</t>
  </si>
  <si>
    <t>DD-J10-86011-3100-3</t>
  </si>
  <si>
    <t>凸台</t>
  </si>
  <si>
    <t>C7P021-C7P032</t>
  </si>
  <si>
    <t>5319C19021G70</t>
  </si>
  <si>
    <t>5319C97004G71</t>
  </si>
  <si>
    <t>5319C28041G70</t>
  </si>
  <si>
    <t>CB5714100-001R004</t>
  </si>
  <si>
    <t>根肋一段</t>
  </si>
  <si>
    <t>4P003</t>
  </si>
  <si>
    <t>DM打磨腐蚀</t>
  </si>
  <si>
    <t>DD-J10B-05236-111-Y</t>
  </si>
  <si>
    <t>前隔框</t>
  </si>
  <si>
    <t>7P009</t>
  </si>
  <si>
    <t>DD-J10B-05236-111-Z</t>
  </si>
  <si>
    <t>DD-J10B-71031-110-1</t>
  </si>
  <si>
    <t>樑</t>
  </si>
  <si>
    <t>7P001-7P008</t>
  </si>
  <si>
    <t>BC5327100-010R002</t>
  </si>
  <si>
    <t>7515隔框</t>
  </si>
  <si>
    <t>3P0063P009P010-3P012</t>
  </si>
  <si>
    <t>CB22956R1-001L001</t>
  </si>
  <si>
    <t>M每件8分钟</t>
  </si>
  <si>
    <t>CB5714200-001L001</t>
  </si>
  <si>
    <t xml:space="preserve">5P003 </t>
  </si>
  <si>
    <t>CB5326200-134R002</t>
  </si>
  <si>
    <t>CB5314300-025-003</t>
  </si>
  <si>
    <t>蒙皮加强件</t>
  </si>
  <si>
    <t>CB5323120-001R005</t>
  </si>
  <si>
    <t>7820~8270侧上梁</t>
  </si>
  <si>
    <t>6P011-6P012 6P015 6P018</t>
  </si>
  <si>
    <t>CB5822016-029L001</t>
  </si>
  <si>
    <t>6P001-6P010 5P021-5P022</t>
  </si>
  <si>
    <t>GC7P011-GC7P014</t>
  </si>
  <si>
    <t>6P003 6P005-6P006</t>
  </si>
  <si>
    <t>5P021 6P001-6P004 6P009 6P0106P007</t>
  </si>
  <si>
    <t>C532210931-001-001</t>
  </si>
  <si>
    <t>中推力销支座接头</t>
  </si>
  <si>
    <t>Y20-5312225701-002</t>
  </si>
  <si>
    <t>5P017-5P019</t>
  </si>
  <si>
    <t>CB5324310-011L/R006</t>
  </si>
  <si>
    <t>型材</t>
  </si>
  <si>
    <t xml:space="preserve">6P001-6P020 4P012-4P013 </t>
  </si>
  <si>
    <t>5211C41003G70</t>
  </si>
  <si>
    <t>球形杯</t>
  </si>
  <si>
    <t>5317C09031G71</t>
  </si>
  <si>
    <t>GCC7P013-GCC7P014</t>
  </si>
  <si>
    <t>CB5714100-002L003</t>
  </si>
  <si>
    <t>根肋二段</t>
  </si>
  <si>
    <t>5P005 5P003</t>
  </si>
  <si>
    <t>3B</t>
  </si>
  <si>
    <t>x修碰外伤</t>
  </si>
  <si>
    <t>5P006 5P010</t>
  </si>
  <si>
    <t>转孔 修外伤</t>
  </si>
  <si>
    <t>DD-J10-55165-703</t>
  </si>
  <si>
    <t>5P012</t>
  </si>
  <si>
    <t>钻孔</t>
  </si>
  <si>
    <t>1/12-1/25</t>
  </si>
  <si>
    <t>4P015-4P019</t>
  </si>
  <si>
    <t>钻孔 校孔 研磨 做道具</t>
  </si>
  <si>
    <t>5312C02301G70</t>
  </si>
  <si>
    <t>DD-J10-67096-50-1</t>
  </si>
  <si>
    <t>压板组件 Z型件</t>
  </si>
  <si>
    <t>GC7P015-GC7P020</t>
  </si>
  <si>
    <t>Q</t>
  </si>
  <si>
    <t>6P001 5P002-5P003</t>
  </si>
  <si>
    <t>5317C05047G71</t>
  </si>
  <si>
    <t>雷达罩导销</t>
  </si>
  <si>
    <t>5311C11107G72</t>
  </si>
  <si>
    <t>3D</t>
  </si>
  <si>
    <t>3C</t>
  </si>
  <si>
    <t>DD-J10-04401-104</t>
  </si>
  <si>
    <t>C232800600-003-001</t>
  </si>
  <si>
    <t>D 打钢印 3根料</t>
  </si>
  <si>
    <t>7P002 7P003</t>
  </si>
  <si>
    <t>C232332210-005-001</t>
  </si>
  <si>
    <t>心轴</t>
  </si>
  <si>
    <t>DD-J10-21102-32-Z</t>
  </si>
  <si>
    <t>C7P015-C7P020</t>
  </si>
  <si>
    <t>J绝套筒</t>
  </si>
  <si>
    <t>1/1-1/25</t>
  </si>
  <si>
    <t>吊牌</t>
  </si>
  <si>
    <t>试块</t>
  </si>
  <si>
    <t>1/10-1/25</t>
  </si>
  <si>
    <t>XXX-310-01</t>
  </si>
  <si>
    <t>XXX插头盖板</t>
  </si>
  <si>
    <t>2020-12N-01 2020-12-N-10</t>
  </si>
  <si>
    <t>去132协助修配反射角片1天</t>
  </si>
  <si>
    <t>3D打印零件核对工艺半天</t>
  </si>
  <si>
    <t>5319C55017G70-18G70</t>
  </si>
  <si>
    <t>CB5324500-004L004</t>
  </si>
  <si>
    <t>7P011</t>
  </si>
  <si>
    <t>C532111100-002L/R001</t>
  </si>
  <si>
    <t>内测梁</t>
  </si>
  <si>
    <t>00p003-00p004</t>
  </si>
  <si>
    <t>6P006-6P008</t>
  </si>
  <si>
    <t>6P005-6P007</t>
  </si>
  <si>
    <t>6P006-6P009</t>
  </si>
  <si>
    <t>CB5322400-016-061
CB5322400-017-061</t>
  </si>
  <si>
    <t>11140框左/右下半框</t>
  </si>
  <si>
    <t>6P005-6P010</t>
  </si>
  <si>
    <t>M每件40分钟</t>
  </si>
  <si>
    <t>5P005-5P007</t>
  </si>
  <si>
    <t>CB5326200-131L/R002</t>
  </si>
  <si>
    <t>8455 4号加强筋</t>
  </si>
  <si>
    <t>5P018-5P019</t>
  </si>
  <si>
    <t xml:space="preserve">5P010 </t>
  </si>
  <si>
    <t>4P019</t>
  </si>
  <si>
    <t>M每件480分钟</t>
  </si>
  <si>
    <t>6P301-6P303</t>
  </si>
  <si>
    <t>DD-J10-41153-105</t>
  </si>
  <si>
    <t>联锁摇臂</t>
  </si>
  <si>
    <t>M每件3分钟</t>
  </si>
  <si>
    <t>CB2297012-001-001</t>
  </si>
  <si>
    <t>5P002 4P003</t>
  </si>
  <si>
    <t>C7P001/C7P053</t>
  </si>
  <si>
    <t>C6P006-C6P008</t>
  </si>
  <si>
    <t>CB22110LAN002-001</t>
  </si>
  <si>
    <t>管嘴</t>
  </si>
  <si>
    <t>CB5326200-131L002</t>
  </si>
  <si>
    <t>CB5326200-131R002</t>
  </si>
  <si>
    <t>5319C97007G71</t>
  </si>
  <si>
    <t>底板连接接头</t>
  </si>
  <si>
    <t>CB2294170-003-001</t>
  </si>
  <si>
    <t>1/19-1/22</t>
  </si>
  <si>
    <t>XXX-210-02</t>
  </si>
  <si>
    <t>惯性筒</t>
  </si>
  <si>
    <t>插头盖板</t>
  </si>
  <si>
    <t>2020-12-N-01</t>
  </si>
  <si>
    <t>XXX/F4</t>
  </si>
  <si>
    <t>转换安装工装</t>
  </si>
  <si>
    <t>XXX/F1</t>
  </si>
  <si>
    <t>打磨所有线切割 保尺寸3.2 去毛刺</t>
  </si>
  <si>
    <t>2020-12-N-01 
2020-12-N-10</t>
  </si>
  <si>
    <t>线切割外形加工 尺寸超10丝 返修打磨及表面腐蚀</t>
  </si>
  <si>
    <t>1/20-1/21</t>
  </si>
  <si>
    <t>2020-12-N-10</t>
  </si>
  <si>
    <t>3D打印 打磨 修边 钻孔</t>
  </si>
  <si>
    <t>F反射角片</t>
  </si>
  <si>
    <t>Y 圆盒</t>
  </si>
  <si>
    <t>DD-J10-55222-3106</t>
  </si>
  <si>
    <t>30°拧入式管接头</t>
  </si>
  <si>
    <t>BC3101242-013L001</t>
  </si>
  <si>
    <t>Q除铁锈</t>
  </si>
  <si>
    <t>DD-J10B-41045-8</t>
  </si>
  <si>
    <t>5317C09033G71</t>
  </si>
  <si>
    <t>5317C03015G71</t>
  </si>
  <si>
    <t>5317C03017G71</t>
  </si>
  <si>
    <t>5317C09011G70</t>
  </si>
  <si>
    <t>F返修筋条面 内腔铣刀纹</t>
  </si>
  <si>
    <t>CB5714100-002R003</t>
  </si>
  <si>
    <t>5P003-5P004</t>
  </si>
  <si>
    <t>5P016-5P017</t>
  </si>
  <si>
    <t xml:space="preserve">5P006 </t>
  </si>
  <si>
    <t>主板超厚.04-0.06</t>
  </si>
  <si>
    <t>F返修 槽腐蚀</t>
  </si>
  <si>
    <t>5317C03019G71</t>
  </si>
  <si>
    <t>5317C09013G70</t>
  </si>
  <si>
    <t>5319C22021G71</t>
  </si>
  <si>
    <t>5319C49005G70</t>
  </si>
  <si>
    <t>BC5819311-001-001</t>
  </si>
  <si>
    <t>1P007</t>
  </si>
  <si>
    <t>BC221T2MF-002-001</t>
  </si>
  <si>
    <t>传感器底座</t>
  </si>
  <si>
    <t>1P106</t>
  </si>
  <si>
    <t>5P006</t>
  </si>
  <si>
    <t>返修过切处</t>
  </si>
  <si>
    <t>40/钳工</t>
  </si>
  <si>
    <t>10/钳工</t>
  </si>
  <si>
    <t>15/钳工</t>
  </si>
  <si>
    <t>35/钳工</t>
  </si>
  <si>
    <t>45/钳工</t>
  </si>
  <si>
    <t>35</t>
  </si>
  <si>
    <t>35钳工</t>
  </si>
  <si>
    <t>80/检验</t>
  </si>
  <si>
    <t>50/钳工</t>
  </si>
  <si>
    <t>10钳工</t>
  </si>
  <si>
    <t>30/钳工</t>
  </si>
  <si>
    <t>20</t>
  </si>
  <si>
    <t>10/钳毛刺</t>
  </si>
  <si>
    <t>25钳工</t>
  </si>
  <si>
    <t>45/钳钻孔</t>
  </si>
  <si>
    <t>密封圈3</t>
  </si>
  <si>
    <t>75/钳工</t>
  </si>
  <si>
    <t>55/钳工</t>
  </si>
  <si>
    <t>衬片</t>
  </si>
  <si>
    <t>35/五轴15</t>
  </si>
  <si>
    <t>挡板</t>
  </si>
  <si>
    <t>盖板</t>
  </si>
  <si>
    <t>65/钳工</t>
  </si>
  <si>
    <t>XXX阴极座</t>
  </si>
  <si>
    <t>5/钳工</t>
  </si>
  <si>
    <t>35数车10</t>
  </si>
  <si>
    <t>60</t>
  </si>
  <si>
    <t>20/钳工</t>
  </si>
  <si>
    <t>15钳工</t>
  </si>
  <si>
    <t>30</t>
  </si>
  <si>
    <t>25/钳工</t>
  </si>
  <si>
    <t>60/钳工</t>
  </si>
  <si>
    <t>75钳工</t>
  </si>
  <si>
    <t>外侧梁主件（左件）</t>
  </si>
  <si>
    <t>70/钳工</t>
  </si>
  <si>
    <t>100钳工</t>
  </si>
  <si>
    <t>20钳工</t>
  </si>
  <si>
    <t>45钳工</t>
  </si>
  <si>
    <t>80钳工</t>
  </si>
  <si>
    <t>110/钳工</t>
  </si>
  <si>
    <t>47/数铣</t>
  </si>
  <si>
    <t>05/钳工</t>
  </si>
  <si>
    <t>30/钳回牙</t>
  </si>
  <si>
    <t>10</t>
  </si>
  <si>
    <t>30/数车20</t>
  </si>
  <si>
    <t>30钳工</t>
  </si>
  <si>
    <t>小盖板一</t>
  </si>
  <si>
    <t>钳标牌</t>
  </si>
  <si>
    <t>30称重</t>
  </si>
  <si>
    <t>测试拉杆2</t>
  </si>
  <si>
    <t>测试拉杆1</t>
  </si>
  <si>
    <t>25/线切割</t>
  </si>
  <si>
    <t>55/穿孔机</t>
  </si>
  <si>
    <t>5/线切割</t>
  </si>
  <si>
    <t>20/线切割</t>
  </si>
  <si>
    <t>30/线切割</t>
  </si>
  <si>
    <t>20线切割</t>
  </si>
  <si>
    <t>35/穿孔</t>
  </si>
  <si>
    <t>15/穿孔</t>
  </si>
  <si>
    <t>50线切割</t>
  </si>
  <si>
    <t>25/穿孔</t>
  </si>
  <si>
    <t>35/线切割</t>
  </si>
  <si>
    <t>40/线切割</t>
  </si>
  <si>
    <t>45/线切割</t>
  </si>
  <si>
    <t>30/穿孔</t>
  </si>
  <si>
    <t>10线切割</t>
  </si>
  <si>
    <t>30/数铣15</t>
  </si>
  <si>
    <t>30/穿孔机</t>
  </si>
  <si>
    <t>40/穿孔</t>
  </si>
  <si>
    <t>15/线切割</t>
  </si>
  <si>
    <t>15线切割</t>
  </si>
  <si>
    <t>00领料</t>
  </si>
  <si>
    <t>10/线切割</t>
  </si>
  <si>
    <t>40钳工</t>
  </si>
  <si>
    <t>65钳工</t>
  </si>
  <si>
    <t>85/钳工</t>
  </si>
  <si>
    <t>5/校形</t>
  </si>
  <si>
    <t>密封圈2</t>
  </si>
  <si>
    <t>密封圈1</t>
  </si>
  <si>
    <t>65/钳去工艺台</t>
  </si>
  <si>
    <t>20/数铣</t>
  </si>
  <si>
    <t>05线切割</t>
  </si>
  <si>
    <t>55钳工</t>
  </si>
  <si>
    <t>70钳工</t>
  </si>
  <si>
    <t>65/钳铰孔</t>
  </si>
  <si>
    <t>50钳工</t>
  </si>
  <si>
    <t>80/钳工</t>
  </si>
  <si>
    <t>55/数铣5</t>
  </si>
  <si>
    <t>XXX插头绝缘子</t>
  </si>
  <si>
    <t>45</t>
  </si>
  <si>
    <t>20钳毛刺</t>
  </si>
  <si>
    <t>3D</t>
    <phoneticPr fontId="12" type="noConversion"/>
  </si>
  <si>
    <t>工装</t>
  </si>
  <si>
    <t>工装</t>
    <phoneticPr fontId="12" type="noConversion"/>
  </si>
  <si>
    <t>2020-12-N-10</t>
    <phoneticPr fontId="12" type="noConversion"/>
  </si>
  <si>
    <t>2020-12-N-01</t>
    <phoneticPr fontId="12" type="noConversion"/>
  </si>
  <si>
    <t>成本核对</t>
    <phoneticPr fontId="12" type="noConversion"/>
  </si>
  <si>
    <t>2020-04-N-39</t>
  </si>
  <si>
    <t>2020-01-N-03</t>
  </si>
  <si>
    <t>2020-01-N-12</t>
  </si>
  <si>
    <t>2020-07-N-67</t>
  </si>
  <si>
    <t>DD-J10-54231-2-Z</t>
  </si>
  <si>
    <t>DD-J10-54231-2-Z</t>
    <phoneticPr fontId="12" type="noConversion"/>
  </si>
  <si>
    <t>GU5336113-001L001</t>
  </si>
  <si>
    <t>梁（右件）</t>
    <phoneticPr fontId="12" type="noConversion"/>
  </si>
  <si>
    <t>DD-J10B-25002-30G2-1G2-Z</t>
  </si>
  <si>
    <t>DD-J10-41173-147</t>
  </si>
  <si>
    <t>30°拧入式管接头</t>
    <phoneticPr fontId="12" type="noConversion"/>
  </si>
  <si>
    <t>CB5327110-002L002</t>
  </si>
  <si>
    <t>CB5327110-002R002</t>
  </si>
  <si>
    <t>CB5714100-001L004</t>
  </si>
  <si>
    <t>CB5714100-001L004</t>
    <phoneticPr fontId="12" type="noConversion"/>
  </si>
  <si>
    <t>DD-J10-21002-1-Y</t>
  </si>
  <si>
    <t>DD-J10-21002-1-Z</t>
  </si>
  <si>
    <t>DD-J10B-94011-701</t>
  </si>
  <si>
    <t>固定前缘边肋（左件）</t>
    <phoneticPr fontId="12" type="noConversion"/>
  </si>
  <si>
    <t>CB5715000-001L002</t>
  </si>
  <si>
    <t>管嘴</t>
    <phoneticPr fontId="12" type="noConversion"/>
  </si>
  <si>
    <t>5319C55017G70/18G70</t>
  </si>
  <si>
    <t>5319C55017G70/18G70</t>
    <phoneticPr fontId="12" type="noConversion"/>
  </si>
  <si>
    <t>DD-J10B-94076-501-Z</t>
  </si>
  <si>
    <t>外侧梁主件（右件）</t>
    <phoneticPr fontId="12" type="noConversion"/>
  </si>
  <si>
    <t>C532111100-001L001</t>
  </si>
  <si>
    <t>C532111100-001R001</t>
  </si>
  <si>
    <t>C532111100-001R001</t>
    <phoneticPr fontId="12" type="noConversion"/>
  </si>
  <si>
    <t>C532111100-001L001</t>
    <phoneticPr fontId="12" type="noConversion"/>
  </si>
  <si>
    <t>下大梁</t>
    <phoneticPr fontId="12" type="noConversion"/>
  </si>
  <si>
    <t>DD-J10B-61001-1</t>
  </si>
  <si>
    <t>CB5322400-016-061/CB5322400-017-061</t>
  </si>
  <si>
    <t>CB5322400-016-061/CB5322400-017-061</t>
    <phoneticPr fontId="12" type="noConversion"/>
  </si>
  <si>
    <t>C533114600-004R001/C533114600-004L001</t>
  </si>
  <si>
    <t>C533114600-004R001/C533114600-004L001</t>
    <phoneticPr fontId="12" type="noConversion"/>
  </si>
  <si>
    <t>数量</t>
  </si>
  <si>
    <t>工时</t>
  </si>
  <si>
    <t>占比</t>
  </si>
  <si>
    <t>费用分摊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</si>
</sst>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8" formatCode="0.0%"/>
  </numFmts>
  <fonts count="13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/>
    </xf>
    <xf numFmtId="17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43" fontId="0" fillId="6" borderId="0" xfId="1" applyFont="1" applyFill="1">
      <alignment vertical="center"/>
    </xf>
    <xf numFmtId="43" fontId="0" fillId="6" borderId="0" xfId="1" applyFont="1" applyFill="1" applyAlignment="1">
      <alignment horizontal="center" vertical="center"/>
    </xf>
    <xf numFmtId="178" fontId="0" fillId="6" borderId="0" xfId="2" applyNumberFormat="1" applyFont="1" applyFill="1">
      <alignment vertical="center"/>
    </xf>
    <xf numFmtId="43" fontId="0" fillId="0" borderId="0" xfId="1" applyFo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4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0"/>
        </patternFill>
      </fill>
    </dxf>
    <dxf>
      <fill>
        <patternFill patternType="solid">
          <bgColor indexed="4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&#24066;&#22330;&#37096;\&#24066;&#22330;&#37096;&#39033;&#30446;&#27719;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6102;&#23450;&#39069;/&#24037;&#26102;&#23450;&#39069;&#27719;&#2463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134;&#31179;&#25991;&#20214;/&#20911;&#29748;(A85E455A7688)/1&#26376;&#38067;&#24037;&#24037;&#26102;&#24405;&#208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134;&#31179;&#25991;&#20214;/&#20911;&#29748;(A85E455A7688)/1&#26376;&#38067;&#24037;&#24037;&#2610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021&#24180;1&#26376;&#25104;&#26412;&#26680;&#31639;&#34920;-&#21452;&#27969;&#65288;&#30830;&#23450;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数控厂扫二维码清单"/>
      <sheetName val="数控厂来料后返专业厂二维码清单"/>
      <sheetName val="Sheet2"/>
      <sheetName val="Sheet9"/>
      <sheetName val="Sheet3"/>
      <sheetName val="Sheet8"/>
      <sheetName val="Sheet6"/>
      <sheetName val="Sheet5"/>
      <sheetName val="Sheet4"/>
    </sheetNames>
    <sheetDataSet>
      <sheetData sheetId="0">
        <row r="2">
          <cell r="D2" t="str">
            <v>图号</v>
          </cell>
          <cell r="E2" t="str">
            <v>产品名称</v>
          </cell>
        </row>
        <row r="3">
          <cell r="D3" t="str">
            <v>DD-J10-05156-1-Z</v>
          </cell>
          <cell r="E3" t="str">
            <v>外侧梁主件（左件）</v>
          </cell>
        </row>
        <row r="4">
          <cell r="D4" t="str">
            <v>DD-J10-05156-1-Z</v>
          </cell>
          <cell r="E4" t="str">
            <v>外侧梁主件（左件）</v>
          </cell>
        </row>
        <row r="5">
          <cell r="D5" t="str">
            <v>DD-J10-05156-1-Z</v>
          </cell>
          <cell r="E5" t="str">
            <v>外侧梁主件（左件）</v>
          </cell>
        </row>
        <row r="6">
          <cell r="D6" t="str">
            <v>DD-J10-05156-1-Z</v>
          </cell>
          <cell r="E6" t="str">
            <v>外侧梁主件（左件）</v>
          </cell>
        </row>
        <row r="7">
          <cell r="D7" t="str">
            <v>DD-J10-05156-1-Z</v>
          </cell>
          <cell r="E7" t="str">
            <v>外侧梁主件（左件）</v>
          </cell>
        </row>
        <row r="8">
          <cell r="D8" t="str">
            <v>DD-J10-05156-1-Z</v>
          </cell>
          <cell r="E8" t="str">
            <v>外侧梁主件（左件）</v>
          </cell>
        </row>
        <row r="9">
          <cell r="D9" t="str">
            <v>DD-J10-05156-1-Z</v>
          </cell>
          <cell r="E9" t="str">
            <v>外侧梁主件（左件）</v>
          </cell>
        </row>
        <row r="10">
          <cell r="D10" t="str">
            <v>DD-J10-05156-1-Z</v>
          </cell>
          <cell r="E10" t="str">
            <v>外侧梁主件（左件）</v>
          </cell>
        </row>
        <row r="11">
          <cell r="D11" t="str">
            <v>DD-J10-05156-1-Y</v>
          </cell>
          <cell r="E11" t="str">
            <v>外侧梁主件（右件）</v>
          </cell>
        </row>
        <row r="12">
          <cell r="D12" t="str">
            <v>DD-J10-05156-1-Y</v>
          </cell>
          <cell r="E12" t="str">
            <v>外侧梁主件（右件）</v>
          </cell>
        </row>
        <row r="13">
          <cell r="D13" t="str">
            <v>DD-J10-05156-1-Y</v>
          </cell>
          <cell r="E13" t="str">
            <v>外侧梁主件（右件）</v>
          </cell>
        </row>
        <row r="14">
          <cell r="D14" t="str">
            <v>DD-J10-05156-1-Y</v>
          </cell>
          <cell r="E14" t="str">
            <v>外侧梁主件（右件）</v>
          </cell>
        </row>
        <row r="15">
          <cell r="D15" t="str">
            <v>DD-J10-05156-1-Y</v>
          </cell>
          <cell r="E15" t="str">
            <v>外侧梁主件（右件）</v>
          </cell>
        </row>
        <row r="16">
          <cell r="D16" t="str">
            <v>DD-J10-05156-1-Y</v>
          </cell>
          <cell r="E16" t="str">
            <v>外侧梁主件（右件）</v>
          </cell>
        </row>
        <row r="17">
          <cell r="D17" t="str">
            <v>DD-J10-05156-1-Y</v>
          </cell>
          <cell r="E17" t="str">
            <v>外侧梁主件（右件）</v>
          </cell>
        </row>
        <row r="18">
          <cell r="D18" t="str">
            <v>DD-J10-05156-1-Y</v>
          </cell>
          <cell r="E18" t="str">
            <v>外侧梁主件（右件）</v>
          </cell>
        </row>
        <row r="19">
          <cell r="D19" t="str">
            <v>DD-J10-21102-150-1-Z</v>
          </cell>
          <cell r="E19" t="str">
            <v>10060梁（左件）</v>
          </cell>
        </row>
        <row r="20">
          <cell r="D20" t="str">
            <v>DD-J10-21102-150-1-Z</v>
          </cell>
          <cell r="E20" t="str">
            <v>10060梁（左件）</v>
          </cell>
        </row>
        <row r="21">
          <cell r="D21" t="str">
            <v>DD-J10-21102-150-1-Z</v>
          </cell>
          <cell r="E21" t="str">
            <v>10060梁（左件）</v>
          </cell>
        </row>
        <row r="22">
          <cell r="D22" t="str">
            <v>DD-J10-21102-150-1-Z</v>
          </cell>
          <cell r="E22" t="str">
            <v>10060梁（左件）</v>
          </cell>
        </row>
        <row r="23">
          <cell r="D23" t="str">
            <v>DD-J10-21102-150-1-Z</v>
          </cell>
          <cell r="E23" t="str">
            <v>10060梁（左件）</v>
          </cell>
        </row>
        <row r="24">
          <cell r="D24" t="str">
            <v>DD-J10-21102-150-1-Z</v>
          </cell>
          <cell r="E24" t="str">
            <v>10060梁（左件）</v>
          </cell>
        </row>
        <row r="25">
          <cell r="D25" t="str">
            <v>DD-J10-21102-150-1-Y</v>
          </cell>
          <cell r="E25" t="str">
            <v>10060梁（右件）</v>
          </cell>
        </row>
        <row r="26">
          <cell r="D26" t="str">
            <v>DD-J10-21102-150-1-Y</v>
          </cell>
          <cell r="E26" t="str">
            <v>10060梁（右件）</v>
          </cell>
        </row>
        <row r="27">
          <cell r="D27" t="str">
            <v>DD-J10-21102-150-1-Y</v>
          </cell>
          <cell r="E27" t="str">
            <v>10060梁（右件）</v>
          </cell>
        </row>
        <row r="28">
          <cell r="D28" t="str">
            <v>DD-J10-21102-150-1-Y</v>
          </cell>
          <cell r="E28" t="str">
            <v>10060梁（右件）</v>
          </cell>
        </row>
        <row r="29">
          <cell r="D29" t="str">
            <v>DD-J10-21102-150-1-Y</v>
          </cell>
          <cell r="E29" t="str">
            <v>10060梁（右件）</v>
          </cell>
        </row>
        <row r="30">
          <cell r="D30" t="str">
            <v>DD-J10-21102-150-1-Y</v>
          </cell>
          <cell r="E30" t="str">
            <v>10060梁（右件）</v>
          </cell>
        </row>
        <row r="31">
          <cell r="D31" t="str">
            <v>DD-J10-21102-160-1-Y</v>
          </cell>
          <cell r="E31" t="str">
            <v>10260梁（右件）</v>
          </cell>
        </row>
        <row r="32">
          <cell r="D32" t="str">
            <v>DD-J10-21102-160-1-Y</v>
          </cell>
          <cell r="E32" t="str">
            <v>10260梁（右件）</v>
          </cell>
        </row>
        <row r="33">
          <cell r="D33" t="str">
            <v>DD-J10-21102-160-1-Y</v>
          </cell>
          <cell r="E33" t="str">
            <v>10260梁（右件）</v>
          </cell>
        </row>
        <row r="34">
          <cell r="D34" t="str">
            <v>DD-J10-21102-160-1-Y</v>
          </cell>
          <cell r="E34" t="str">
            <v>10260梁（右件）</v>
          </cell>
        </row>
        <row r="35">
          <cell r="D35" t="str">
            <v>DD-J10-21102-160-1-Y</v>
          </cell>
          <cell r="E35" t="str">
            <v>10260梁（右件）</v>
          </cell>
        </row>
        <row r="36">
          <cell r="D36" t="str">
            <v>DD-J10-21102-160-1-Y</v>
          </cell>
          <cell r="E36" t="str">
            <v>10260梁（右件）</v>
          </cell>
        </row>
        <row r="37">
          <cell r="D37" t="str">
            <v>DD-J10-21102-160-1-Z</v>
          </cell>
          <cell r="E37" t="str">
            <v>10260梁（左件）</v>
          </cell>
        </row>
        <row r="38">
          <cell r="D38" t="str">
            <v>DD-J10-21102-160-1-Z</v>
          </cell>
          <cell r="E38" t="str">
            <v>10260梁（左件）</v>
          </cell>
        </row>
        <row r="39">
          <cell r="D39" t="str">
            <v>DD-J10-21102-160-1-Z</v>
          </cell>
          <cell r="E39" t="str">
            <v>10260梁（左件）</v>
          </cell>
        </row>
        <row r="40">
          <cell r="D40" t="str">
            <v>DD-J10-21102-160-1-Z</v>
          </cell>
          <cell r="E40" t="str">
            <v>10260梁（左件）</v>
          </cell>
        </row>
        <row r="41">
          <cell r="D41" t="str">
            <v>DD-J10-21102-160-1-Z</v>
          </cell>
          <cell r="E41" t="str">
            <v>10260梁（左件）</v>
          </cell>
        </row>
        <row r="42">
          <cell r="D42" t="str">
            <v>DD-J10-21102-140-1-Z</v>
          </cell>
          <cell r="E42" t="str">
            <v>9860梁（左件）</v>
          </cell>
        </row>
        <row r="43">
          <cell r="D43" t="str">
            <v>DD-J10-21102-140-1-Z</v>
          </cell>
          <cell r="E43" t="str">
            <v>9860梁（左件）</v>
          </cell>
        </row>
        <row r="44">
          <cell r="D44" t="str">
            <v>DD-J10-21102-140-1-Z</v>
          </cell>
          <cell r="E44" t="str">
            <v>9860梁（左件）</v>
          </cell>
        </row>
        <row r="45">
          <cell r="D45" t="str">
            <v>DD-J10-21102-140-1-Z</v>
          </cell>
          <cell r="E45" t="str">
            <v>9860梁（左件）</v>
          </cell>
        </row>
        <row r="46">
          <cell r="D46" t="str">
            <v>DD-J10-21102-140-1-Z</v>
          </cell>
          <cell r="E46" t="str">
            <v>9860梁（左件）</v>
          </cell>
        </row>
        <row r="47">
          <cell r="D47" t="str">
            <v>DD-J10-21102-140-1-Z</v>
          </cell>
          <cell r="E47" t="str">
            <v>9860梁（左件）</v>
          </cell>
        </row>
        <row r="48">
          <cell r="D48" t="str">
            <v>DD-J10-21102-140-1-Y</v>
          </cell>
          <cell r="E48" t="str">
            <v>9860梁（右件）</v>
          </cell>
        </row>
        <row r="49">
          <cell r="D49" t="str">
            <v>DD-J10-21102-140-1-Y</v>
          </cell>
          <cell r="E49" t="str">
            <v>9860梁（右件）</v>
          </cell>
        </row>
        <row r="50">
          <cell r="D50" t="str">
            <v>DD-J10-21102-140-1-Y</v>
          </cell>
          <cell r="E50" t="str">
            <v>9860梁（右件）</v>
          </cell>
        </row>
        <row r="51">
          <cell r="D51" t="str">
            <v>DD-J10-21102-140-1-Y</v>
          </cell>
          <cell r="E51" t="str">
            <v>9860梁（右件）</v>
          </cell>
        </row>
        <row r="52">
          <cell r="D52" t="str">
            <v>DD-J10-21102-140-1-Y</v>
          </cell>
          <cell r="E52" t="str">
            <v>9860梁（右件）</v>
          </cell>
        </row>
        <row r="53">
          <cell r="D53" t="str">
            <v>DD-J10-21102-140-1-Y</v>
          </cell>
          <cell r="E53" t="str">
            <v>9860梁（右件）</v>
          </cell>
        </row>
        <row r="54">
          <cell r="D54" t="str">
            <v>DD-J10-05236-13-Z</v>
          </cell>
          <cell r="E54" t="str">
            <v>腹鳍后接头（左件）</v>
          </cell>
        </row>
        <row r="55">
          <cell r="D55" t="str">
            <v>DD-J10-05236-13-Y</v>
          </cell>
          <cell r="E55" t="str">
            <v>腹鳍后接头（右件）</v>
          </cell>
        </row>
        <row r="56">
          <cell r="D56" t="str">
            <v>DD-J10-05236-1-Z</v>
          </cell>
          <cell r="E56" t="str">
            <v>腹鳍前接头（左件）</v>
          </cell>
        </row>
        <row r="57">
          <cell r="D57" t="str">
            <v>DD-J10-05236-1-Y</v>
          </cell>
          <cell r="E57" t="str">
            <v>腹鳍前接头（右件）</v>
          </cell>
        </row>
        <row r="58">
          <cell r="D58" t="str">
            <v>DD-J10-05236-15-Z</v>
          </cell>
          <cell r="E58" t="str">
            <v>角材（左件）</v>
          </cell>
        </row>
        <row r="59">
          <cell r="D59" t="str">
            <v>DD-J10-05236-15-Y</v>
          </cell>
          <cell r="E59" t="str">
            <v>角材（右件）</v>
          </cell>
        </row>
        <row r="60">
          <cell r="D60" t="str">
            <v>DD-J10B-04501-10-1-Y</v>
          </cell>
          <cell r="E60" t="str">
            <v>BL900侧梁</v>
          </cell>
        </row>
        <row r="61">
          <cell r="D61" t="str">
            <v>DD-J10B-04501-10-1-Y</v>
          </cell>
          <cell r="E61" t="str">
            <v>BL900侧梁</v>
          </cell>
        </row>
        <row r="62">
          <cell r="D62" t="str">
            <v>DD-J10B-04501-10-1-Y</v>
          </cell>
          <cell r="E62" t="str">
            <v>BL900侧梁</v>
          </cell>
        </row>
        <row r="63">
          <cell r="D63" t="str">
            <v>DD-J10B-04501-10-1-Y</v>
          </cell>
          <cell r="E63" t="str">
            <v>BL900侧梁</v>
          </cell>
        </row>
        <row r="64">
          <cell r="D64" t="str">
            <v>DD-J10B-04501-10-1-Z</v>
          </cell>
          <cell r="E64" t="str">
            <v>BL900侧梁</v>
          </cell>
        </row>
        <row r="65">
          <cell r="D65" t="str">
            <v>DD-J10B-04501-10-1-Z</v>
          </cell>
          <cell r="E65" t="str">
            <v>BL900侧梁</v>
          </cell>
        </row>
        <row r="66">
          <cell r="D66" t="str">
            <v>DD-J10B-04501-10-1-Z</v>
          </cell>
          <cell r="E66" t="str">
            <v>BL900侧梁</v>
          </cell>
        </row>
        <row r="67">
          <cell r="D67" t="str">
            <v>DD-J10B-04501-10-1-Z</v>
          </cell>
          <cell r="E67" t="str">
            <v>BL900侧梁</v>
          </cell>
        </row>
        <row r="68">
          <cell r="D68" t="str">
            <v>DD-J10-21102-555-Z</v>
          </cell>
          <cell r="E68" t="str">
            <v>1780肋五段（左件）</v>
          </cell>
        </row>
        <row r="69">
          <cell r="D69" t="str">
            <v>DD-J10-21102-555-Z</v>
          </cell>
          <cell r="E69" t="str">
            <v>1780肋五段（左件）</v>
          </cell>
        </row>
        <row r="70">
          <cell r="D70" t="str">
            <v>DD-J10-21102-555-Y</v>
          </cell>
          <cell r="E70" t="str">
            <v>1780肋五段（右件）</v>
          </cell>
        </row>
        <row r="71">
          <cell r="D71" t="str">
            <v>DD-J10-21102-555-Y</v>
          </cell>
          <cell r="E71" t="str">
            <v>1780肋五段（右件）</v>
          </cell>
        </row>
        <row r="72">
          <cell r="D72" t="str">
            <v>DD-J10-21102-554-Y</v>
          </cell>
          <cell r="E72" t="str">
            <v>1780肋四段（右件）</v>
          </cell>
        </row>
        <row r="73">
          <cell r="D73" t="str">
            <v>DD-J10-21102-554-Z</v>
          </cell>
          <cell r="E73" t="str">
            <v>1780肋四段（左件）</v>
          </cell>
        </row>
        <row r="74">
          <cell r="D74" t="str">
            <v>DD-J10-21102-553-Z</v>
          </cell>
          <cell r="E74" t="str">
            <v>1780肋三段（左件）</v>
          </cell>
        </row>
        <row r="75">
          <cell r="D75" t="str">
            <v>DD-J10-21102-553-Y</v>
          </cell>
          <cell r="E75" t="str">
            <v>1780肋三段（右件）</v>
          </cell>
        </row>
        <row r="76">
          <cell r="D76" t="str">
            <v>DD-J10-04021-3</v>
          </cell>
          <cell r="E76" t="str">
            <v>角盒</v>
          </cell>
        </row>
        <row r="77">
          <cell r="D77" t="str">
            <v>DD-J10-04021-3</v>
          </cell>
          <cell r="E77" t="str">
            <v>角盒</v>
          </cell>
        </row>
        <row r="78">
          <cell r="D78" t="str">
            <v>DD-J10-04021-3</v>
          </cell>
          <cell r="E78" t="str">
            <v>角盒</v>
          </cell>
        </row>
        <row r="79">
          <cell r="D79" t="str">
            <v>DD-J10-04021-4</v>
          </cell>
          <cell r="E79" t="str">
            <v>角盒</v>
          </cell>
        </row>
        <row r="80">
          <cell r="D80" t="str">
            <v>DD-J10-04021-4</v>
          </cell>
          <cell r="E80" t="str">
            <v>角盒</v>
          </cell>
        </row>
        <row r="81">
          <cell r="D81" t="str">
            <v>DD-J10-04021-4</v>
          </cell>
          <cell r="E81" t="str">
            <v>角盒</v>
          </cell>
        </row>
        <row r="82">
          <cell r="D82" t="str">
            <v>DD-J10B-04321-30-1-Y</v>
          </cell>
          <cell r="E82" t="str">
            <v>侧下梁（右件）</v>
          </cell>
        </row>
        <row r="83">
          <cell r="D83" t="str">
            <v>DD-J10B-04321-30-1-Y</v>
          </cell>
          <cell r="E83" t="str">
            <v>侧下梁（右件）</v>
          </cell>
        </row>
        <row r="84">
          <cell r="D84" t="str">
            <v>DD-J10B-04321-30-1-Y</v>
          </cell>
          <cell r="E84" t="str">
            <v>侧下梁（右件）</v>
          </cell>
        </row>
        <row r="85">
          <cell r="D85" t="str">
            <v>DD-J10B-04321-30-1-Y</v>
          </cell>
          <cell r="E85" t="str">
            <v>侧下梁（右件）</v>
          </cell>
        </row>
        <row r="86">
          <cell r="D86" t="str">
            <v>DD-J10B-04321-30-1-Z</v>
          </cell>
          <cell r="E86" t="str">
            <v>侧下梁（左件）</v>
          </cell>
        </row>
        <row r="87">
          <cell r="D87" t="str">
            <v>DD-J10B-04321-30-1-Z</v>
          </cell>
          <cell r="E87" t="str">
            <v>侧下梁（左件）</v>
          </cell>
        </row>
        <row r="88">
          <cell r="D88" t="str">
            <v>DD-J10B-04321-30-1-Z</v>
          </cell>
          <cell r="E88" t="str">
            <v>侧下梁（左件）</v>
          </cell>
        </row>
        <row r="89">
          <cell r="D89" t="str">
            <v>DD-J10B-04321-30-1-Z</v>
          </cell>
          <cell r="E89" t="str">
            <v>侧下梁（左件）</v>
          </cell>
        </row>
        <row r="90">
          <cell r="D90" t="str">
            <v>DD-J10-21102-410-1-Z</v>
          </cell>
          <cell r="E90" t="str">
            <v>1150肋根肋（左件）</v>
          </cell>
        </row>
        <row r="91">
          <cell r="D91" t="str">
            <v>DD-J10-21102-410-1-Z</v>
          </cell>
          <cell r="E91" t="str">
            <v>1150肋根肋（左件）</v>
          </cell>
        </row>
        <row r="92">
          <cell r="D92" t="str">
            <v>DD-J10-21102-390-1-Z</v>
          </cell>
          <cell r="E92" t="str">
            <v>1150肋九段（左件）</v>
          </cell>
        </row>
        <row r="93">
          <cell r="D93" t="str">
            <v>DD-J10-21102-390-1-Z</v>
          </cell>
          <cell r="E93" t="str">
            <v>1150肋九段（左件）</v>
          </cell>
        </row>
        <row r="94">
          <cell r="D94" t="str">
            <v>DD-J10-21102-390-1-Z</v>
          </cell>
          <cell r="E94" t="str">
            <v>1150肋九段（左件）</v>
          </cell>
        </row>
        <row r="95">
          <cell r="D95" t="str">
            <v>DD-J10-21102-390-1-Y</v>
          </cell>
          <cell r="E95" t="str">
            <v>1150肋九段（右件）</v>
          </cell>
        </row>
        <row r="96">
          <cell r="D96" t="str">
            <v>DD-J10-21102-390-1-Y</v>
          </cell>
          <cell r="E96" t="str">
            <v>1150肋九段（右件）</v>
          </cell>
        </row>
        <row r="97">
          <cell r="D97" t="str">
            <v>DD-J10-21102-390-1-Y</v>
          </cell>
          <cell r="E97" t="str">
            <v>1150肋九段（右件）</v>
          </cell>
        </row>
        <row r="98">
          <cell r="D98" t="str">
            <v>DD-J10-21102-410-1-Y</v>
          </cell>
          <cell r="E98" t="str">
            <v>1150肋根肋（右件）</v>
          </cell>
        </row>
        <row r="99">
          <cell r="D99" t="str">
            <v>DD-J10-21102-410-1-Y</v>
          </cell>
          <cell r="E99" t="str">
            <v>1150肋根肋（右件）</v>
          </cell>
        </row>
        <row r="100">
          <cell r="D100" t="str">
            <v>DD-J10-05156-1-Z</v>
          </cell>
          <cell r="E100" t="str">
            <v>外侧梁主件（左件）</v>
          </cell>
        </row>
        <row r="101">
          <cell r="D101" t="str">
            <v>DD-J10-05156-1-Z</v>
          </cell>
          <cell r="E101" t="str">
            <v>外侧梁主件（左件）</v>
          </cell>
        </row>
        <row r="102">
          <cell r="D102" t="str">
            <v>DD-J10-05156-1-Y</v>
          </cell>
          <cell r="E102" t="str">
            <v>外侧梁主件（右件）</v>
          </cell>
        </row>
        <row r="103">
          <cell r="D103" t="str">
            <v>DD-J10-05156-1-Y</v>
          </cell>
          <cell r="E103" t="str">
            <v>外侧梁主件（右件）</v>
          </cell>
        </row>
        <row r="104">
          <cell r="D104" t="str">
            <v>DD-J10-21002-1-Y</v>
          </cell>
          <cell r="E104" t="str">
            <v>4号上壁板（右件）</v>
          </cell>
        </row>
        <row r="105">
          <cell r="D105" t="str">
            <v>DD-J10-21002-1-Y</v>
          </cell>
          <cell r="E105" t="str">
            <v>4号上壁板（右件）</v>
          </cell>
        </row>
        <row r="106">
          <cell r="D106" t="str">
            <v>DD-J10-21002-1-Z</v>
          </cell>
          <cell r="E106" t="str">
            <v>4号上壁板（左件）</v>
          </cell>
        </row>
        <row r="107">
          <cell r="D107" t="str">
            <v>DD-J10-21002-1-Z</v>
          </cell>
          <cell r="E107" t="str">
            <v>4号上壁板（左件）</v>
          </cell>
        </row>
        <row r="108">
          <cell r="D108" t="str">
            <v>DD-J10-21102-160-1-Z</v>
          </cell>
          <cell r="E108" t="str">
            <v>10260梁（左件）</v>
          </cell>
        </row>
        <row r="109">
          <cell r="D109" t="str">
            <v>DD-J10-21102-250-1-Z</v>
          </cell>
          <cell r="E109" t="str">
            <v>11900梁一段（左件）</v>
          </cell>
        </row>
        <row r="110">
          <cell r="D110" t="str">
            <v>DD-J10-21102-250-1-Z</v>
          </cell>
          <cell r="E110" t="str">
            <v>11900梁一段（左件）</v>
          </cell>
        </row>
        <row r="111">
          <cell r="D111" t="str">
            <v>DD-J10-21102-250-1-Y</v>
          </cell>
          <cell r="E111" t="str">
            <v>11900梁一段（右件）</v>
          </cell>
        </row>
        <row r="112">
          <cell r="D112" t="str">
            <v>DD-J10-34003-2</v>
          </cell>
          <cell r="E112" t="str">
            <v>后梁</v>
          </cell>
        </row>
        <row r="113">
          <cell r="D113" t="str">
            <v>DD-J10-34103-4</v>
          </cell>
          <cell r="E113" t="str">
            <v>上边肋</v>
          </cell>
        </row>
        <row r="114">
          <cell r="D114" t="str">
            <v>DD-J10B-02121-1AG2-Z</v>
          </cell>
          <cell r="E114" t="str">
            <v>BL280侧壁（左件）</v>
          </cell>
        </row>
        <row r="115">
          <cell r="D115" t="str">
            <v>DD-J10B-02121-1AG2-Y</v>
          </cell>
          <cell r="E115" t="str">
            <v>BL280侧壁（右件）</v>
          </cell>
        </row>
        <row r="116">
          <cell r="D116" t="str">
            <v>DD-J10B-02121-1AG2-Y</v>
          </cell>
          <cell r="E116" t="str">
            <v>BL280侧壁（右件）</v>
          </cell>
        </row>
        <row r="117">
          <cell r="D117" t="str">
            <v>DD-J10-21102-250-2-Y</v>
          </cell>
          <cell r="E117" t="str">
            <v>11900梁二段（右件）</v>
          </cell>
        </row>
        <row r="118">
          <cell r="D118" t="str">
            <v>DD-J10-21102-250-2-Z</v>
          </cell>
          <cell r="E118" t="str">
            <v>11900梁二段（左件）</v>
          </cell>
        </row>
        <row r="119">
          <cell r="D119" t="str">
            <v>DD-J10B-21002-2-Y</v>
          </cell>
          <cell r="E119" t="str">
            <v>4号下壁板（右件）</v>
          </cell>
        </row>
        <row r="120">
          <cell r="D120" t="str">
            <v>DD-J10B-21002-2-Y</v>
          </cell>
          <cell r="E120" t="str">
            <v>4号下壁板（右件）</v>
          </cell>
        </row>
        <row r="121">
          <cell r="D121" t="str">
            <v>DD-J10B-21002-2-Z</v>
          </cell>
          <cell r="E121" t="str">
            <v>4号下壁板（左件）</v>
          </cell>
        </row>
        <row r="122">
          <cell r="D122" t="str">
            <v>DD-J10B-21002-2-Z</v>
          </cell>
          <cell r="E122" t="str">
            <v>4号下壁板（左件）</v>
          </cell>
        </row>
        <row r="123">
          <cell r="D123" t="str">
            <v>DD-J10-34103-4</v>
          </cell>
          <cell r="E123" t="str">
            <v>上边肋</v>
          </cell>
        </row>
        <row r="124">
          <cell r="D124" t="str">
            <v>DD-J10-34103-4</v>
          </cell>
          <cell r="E124" t="str">
            <v>上边肋</v>
          </cell>
        </row>
        <row r="125">
          <cell r="D125" t="str">
            <v>DD-J10-34103-4</v>
          </cell>
          <cell r="E125" t="str">
            <v>上边肋</v>
          </cell>
        </row>
        <row r="126">
          <cell r="D126" t="str">
            <v>DD-J10-34103-4</v>
          </cell>
          <cell r="E126" t="str">
            <v>上边肋</v>
          </cell>
        </row>
        <row r="127">
          <cell r="D127" t="str">
            <v>DD-J10-21102-390-1-Z</v>
          </cell>
          <cell r="E127" t="str">
            <v>1150肋九段（左件）</v>
          </cell>
        </row>
        <row r="128">
          <cell r="D128" t="str">
            <v>DD-J10-21102-390-1-Z</v>
          </cell>
          <cell r="E128" t="str">
            <v>1150肋九段（左件）</v>
          </cell>
        </row>
        <row r="129">
          <cell r="D129" t="str">
            <v>DD-J10-21002-1-Y</v>
          </cell>
          <cell r="E129" t="str">
            <v>4号上壁板（右件）</v>
          </cell>
        </row>
        <row r="130">
          <cell r="D130" t="str">
            <v>DD-J10-21002-1-Y</v>
          </cell>
          <cell r="E130" t="str">
            <v>4号上壁板（右件）</v>
          </cell>
        </row>
        <row r="131">
          <cell r="D131" t="str">
            <v>DD-J10-21002-1-Z</v>
          </cell>
          <cell r="E131" t="str">
            <v>4号上壁板（左件）</v>
          </cell>
        </row>
        <row r="132">
          <cell r="D132" t="str">
            <v>DD-J10-21002-1-Z</v>
          </cell>
          <cell r="E132" t="str">
            <v>4号上壁板（左件）</v>
          </cell>
        </row>
        <row r="133">
          <cell r="D133" t="str">
            <v>DD-J10-21102-410-1-Y</v>
          </cell>
          <cell r="E133" t="str">
            <v>1150肋根肋（右件）</v>
          </cell>
        </row>
        <row r="134">
          <cell r="D134" t="str">
            <v>DD-FC1-41153-21</v>
          </cell>
          <cell r="E134" t="str">
            <v>单耳接头</v>
          </cell>
        </row>
        <row r="135">
          <cell r="D135" t="str">
            <v>CB2280231-004-001</v>
          </cell>
          <cell r="E135" t="str">
            <v>轴</v>
          </cell>
        </row>
        <row r="136">
          <cell r="D136" t="str">
            <v>CB22877Y5-009-002</v>
          </cell>
          <cell r="E136" t="str">
            <v>轴</v>
          </cell>
        </row>
        <row r="137">
          <cell r="D137" t="str">
            <v>CB2293181-004-001</v>
          </cell>
          <cell r="E137" t="str">
            <v>衬套</v>
          </cell>
        </row>
        <row r="138">
          <cell r="D138" t="str">
            <v>DD-J10-04401-103</v>
          </cell>
          <cell r="E138" t="str">
            <v>接头</v>
          </cell>
        </row>
        <row r="139">
          <cell r="D139" t="str">
            <v>DD-J10-04401-104</v>
          </cell>
          <cell r="E139" t="str">
            <v>接头</v>
          </cell>
        </row>
        <row r="140">
          <cell r="D140" t="str">
            <v>DD-J10-05156-2-Z</v>
          </cell>
          <cell r="E140" t="str">
            <v>前接头上件（左件）</v>
          </cell>
        </row>
        <row r="141">
          <cell r="D141" t="str">
            <v>DD-J10-05156-3-Y</v>
          </cell>
          <cell r="E141" t="str">
            <v>前接头下件</v>
          </cell>
        </row>
        <row r="142">
          <cell r="D142" t="str">
            <v>DD-J10-05156-3-Z</v>
          </cell>
          <cell r="E142" t="str">
            <v>前接头下件</v>
          </cell>
        </row>
        <row r="143">
          <cell r="D143" t="str">
            <v>DD-J10-05216-32</v>
          </cell>
          <cell r="E143" t="str">
            <v>转接头</v>
          </cell>
        </row>
        <row r="144">
          <cell r="D144" t="str">
            <v>DD-J10-05216-32</v>
          </cell>
          <cell r="E144" t="str">
            <v>转接头</v>
          </cell>
        </row>
        <row r="145">
          <cell r="D145" t="str">
            <v>DD-J10-05216-32</v>
          </cell>
          <cell r="E145" t="str">
            <v>转接头</v>
          </cell>
        </row>
        <row r="146">
          <cell r="D146" t="str">
            <v>DD-J10-04401-103</v>
          </cell>
          <cell r="E146" t="str">
            <v>接头</v>
          </cell>
        </row>
        <row r="147">
          <cell r="D147" t="str">
            <v>DD-J10-04401-104</v>
          </cell>
          <cell r="E147" t="str">
            <v>接头</v>
          </cell>
        </row>
        <row r="148">
          <cell r="D148" t="str">
            <v>DD-J10B-02041-202G2</v>
          </cell>
          <cell r="E148" t="str">
            <v>地板</v>
          </cell>
        </row>
        <row r="149">
          <cell r="D149" t="str">
            <v>J10B-26002-100G2-1G2-Z</v>
          </cell>
          <cell r="E149" t="str">
            <v>翼尖接头</v>
          </cell>
        </row>
        <row r="150">
          <cell r="D150" t="str">
            <v>J10B-26002-100G2-1G2-Z</v>
          </cell>
          <cell r="E150" t="str">
            <v>翼尖接头</v>
          </cell>
        </row>
        <row r="151">
          <cell r="D151" t="str">
            <v>J10B-26002-100G2-1G2-Z</v>
          </cell>
          <cell r="E151" t="str">
            <v>翼尖接头</v>
          </cell>
        </row>
        <row r="152">
          <cell r="D152" t="str">
            <v>J10B-26002-100G2-1G2-Y</v>
          </cell>
          <cell r="E152" t="str">
            <v>翼尖接头</v>
          </cell>
        </row>
        <row r="153">
          <cell r="D153" t="str">
            <v>J10B-26002-100G2-1G2-Y</v>
          </cell>
          <cell r="E153" t="str">
            <v>翼尖接头</v>
          </cell>
        </row>
        <row r="154">
          <cell r="D154" t="str">
            <v>J10B-26002-100G2-1G2-Y</v>
          </cell>
          <cell r="E154" t="str">
            <v>翼尖接头</v>
          </cell>
        </row>
        <row r="155">
          <cell r="D155" t="str">
            <v>DD-J10-41173-141</v>
          </cell>
          <cell r="E155" t="str">
            <v>拨叉</v>
          </cell>
        </row>
        <row r="156">
          <cell r="D156" t="str">
            <v>DD-J10-41173-147</v>
          </cell>
          <cell r="E156" t="str">
            <v>拨叉</v>
          </cell>
        </row>
        <row r="157">
          <cell r="D157" t="str">
            <v>DD-J10-41173-147</v>
          </cell>
          <cell r="E157" t="str">
            <v>拨叉</v>
          </cell>
        </row>
        <row r="158">
          <cell r="D158" t="str">
            <v>DD-J10S-65011-101</v>
          </cell>
          <cell r="E158" t="str">
            <v>前油门台体</v>
          </cell>
        </row>
        <row r="159">
          <cell r="D159" t="str">
            <v>DD-J10B-54601-10-1</v>
          </cell>
          <cell r="E159" t="str">
            <v>过渡板</v>
          </cell>
        </row>
        <row r="160">
          <cell r="D160" t="str">
            <v>DD-J10B-54601-10-1</v>
          </cell>
          <cell r="E160" t="str">
            <v>过渡板</v>
          </cell>
        </row>
        <row r="161">
          <cell r="D161" t="str">
            <v>DD-J10B-54601-10-1</v>
          </cell>
          <cell r="E161" t="str">
            <v>过渡板</v>
          </cell>
        </row>
        <row r="162">
          <cell r="D162" t="str">
            <v>DD-J10B-61001-2</v>
          </cell>
          <cell r="E162" t="str">
            <v>接头</v>
          </cell>
        </row>
        <row r="163">
          <cell r="D163" t="str">
            <v>DD-J10B-65000-1810G2-1</v>
          </cell>
          <cell r="E163" t="str">
            <v>支座</v>
          </cell>
        </row>
        <row r="164">
          <cell r="D164" t="str">
            <v>DD-J10B-65000-1820G2-1</v>
          </cell>
          <cell r="E164" t="str">
            <v>摇臂</v>
          </cell>
        </row>
        <row r="165">
          <cell r="D165" t="str">
            <v>DD-J10B-02041-74</v>
          </cell>
          <cell r="E165" t="str">
            <v>手柄</v>
          </cell>
        </row>
        <row r="166">
          <cell r="D166" t="str">
            <v>DD-J10B-61201-12</v>
          </cell>
          <cell r="E166" t="str">
            <v>接头</v>
          </cell>
        </row>
        <row r="167">
          <cell r="D167" t="str">
            <v>DD-J10B-67011-20010-2</v>
          </cell>
          <cell r="E167" t="str">
            <v>弓形件</v>
          </cell>
        </row>
        <row r="168">
          <cell r="D168" t="str">
            <v>DD-J10B-61001-8001</v>
          </cell>
          <cell r="E168" t="str">
            <v>卡片</v>
          </cell>
        </row>
        <row r="169">
          <cell r="D169" t="str">
            <v>DD-J10B-73010-310G2-1</v>
          </cell>
          <cell r="E169" t="str">
            <v>过渡板</v>
          </cell>
        </row>
        <row r="170">
          <cell r="D170" t="str">
            <v>DD-J10B-73010-310G2-1</v>
          </cell>
          <cell r="E170" t="str">
            <v>过渡板</v>
          </cell>
        </row>
        <row r="171">
          <cell r="D171" t="str">
            <v>DD-J10S-68311-120</v>
          </cell>
          <cell r="E171" t="str">
            <v>支架</v>
          </cell>
        </row>
        <row r="172">
          <cell r="D172" t="str">
            <v>DD-J10S-68311-120</v>
          </cell>
          <cell r="E172" t="str">
            <v>支架</v>
          </cell>
        </row>
        <row r="173">
          <cell r="D173" t="str">
            <v>DD-J10B-06061-22</v>
          </cell>
          <cell r="E173" t="str">
            <v>摇臂</v>
          </cell>
        </row>
        <row r="174">
          <cell r="D174" t="str">
            <v>DD-J10B-78001-460-1</v>
          </cell>
          <cell r="E174" t="str">
            <v>铰链</v>
          </cell>
        </row>
        <row r="175">
          <cell r="D175" t="str">
            <v>DD-J10B-86051-2</v>
          </cell>
          <cell r="E175" t="str">
            <v>激励器转接件</v>
          </cell>
        </row>
        <row r="176">
          <cell r="D176" t="str">
            <v>DD-J10B-94061-401</v>
          </cell>
          <cell r="E176" t="str">
            <v>支架</v>
          </cell>
        </row>
        <row r="177">
          <cell r="D177" t="str">
            <v>DD-J10B-94076-802</v>
          </cell>
          <cell r="E177" t="str">
            <v>支架</v>
          </cell>
        </row>
        <row r="178">
          <cell r="D178" t="str">
            <v>DD-J10B-94076-803</v>
          </cell>
          <cell r="E178" t="str">
            <v>支架</v>
          </cell>
        </row>
        <row r="179">
          <cell r="D179" t="str">
            <v>DD-J10-61031-804</v>
          </cell>
          <cell r="E179" t="str">
            <v>支臂</v>
          </cell>
        </row>
        <row r="180">
          <cell r="D180" t="str">
            <v>DD-J10-41153-105</v>
          </cell>
          <cell r="E180" t="str">
            <v>联锁摇臂</v>
          </cell>
        </row>
        <row r="181">
          <cell r="D181" t="str">
            <v>DD-J10-41153-140-1</v>
          </cell>
          <cell r="E181" t="str">
            <v>开锁摇臂</v>
          </cell>
        </row>
        <row r="182">
          <cell r="D182" t="str">
            <v>DD-J10-64016-210-1</v>
          </cell>
          <cell r="E182" t="str">
            <v>管子</v>
          </cell>
        </row>
        <row r="183">
          <cell r="D183" t="str">
            <v>DD-J10-67096-50-1</v>
          </cell>
          <cell r="E183" t="str">
            <v>压板组件 Z型件</v>
          </cell>
        </row>
        <row r="184">
          <cell r="D184" t="str">
            <v>DD-J10-06051-24</v>
          </cell>
          <cell r="E184" t="str">
            <v>手柄</v>
          </cell>
        </row>
        <row r="185">
          <cell r="D185" t="str">
            <v>DD-J10-54101-201</v>
          </cell>
          <cell r="E185" t="str">
            <v>支座</v>
          </cell>
        </row>
        <row r="186">
          <cell r="D186" t="str">
            <v>DD-J10-91001-1</v>
          </cell>
          <cell r="E186" t="str">
            <v>支座</v>
          </cell>
        </row>
        <row r="187">
          <cell r="D187" t="str">
            <v>DD-J10-05216-32</v>
          </cell>
          <cell r="E187" t="str">
            <v>转接头</v>
          </cell>
        </row>
        <row r="188">
          <cell r="D188" t="str">
            <v>DD-J10-05216-32</v>
          </cell>
          <cell r="E188" t="str">
            <v>转接头</v>
          </cell>
        </row>
        <row r="189">
          <cell r="D189" t="str">
            <v>DD-J10B-02081-404</v>
          </cell>
          <cell r="E189" t="str">
            <v>支座</v>
          </cell>
        </row>
        <row r="190">
          <cell r="D190" t="str">
            <v>DD-J10-04401-104</v>
          </cell>
          <cell r="E190" t="str">
            <v>接头</v>
          </cell>
        </row>
        <row r="191">
          <cell r="D191" t="str">
            <v>DD-J10-04401-104</v>
          </cell>
          <cell r="E191" t="str">
            <v>接头</v>
          </cell>
        </row>
        <row r="192">
          <cell r="D192" t="str">
            <v>DD-J10-04401-103</v>
          </cell>
          <cell r="E192" t="str">
            <v>接头</v>
          </cell>
        </row>
        <row r="193">
          <cell r="D193" t="str">
            <v>DD-J10-04401-103</v>
          </cell>
          <cell r="E193" t="str">
            <v>接头</v>
          </cell>
        </row>
        <row r="194">
          <cell r="D194" t="str">
            <v>DD-J10B-02021-3/1-Z</v>
          </cell>
          <cell r="E194" t="str">
            <v>雷达罩锁支座</v>
          </cell>
        </row>
        <row r="195">
          <cell r="D195" t="str">
            <v>DD-J10B-02021-3/1-Y</v>
          </cell>
          <cell r="E195" t="str">
            <v>雷达罩锁支座</v>
          </cell>
        </row>
        <row r="196">
          <cell r="D196" t="str">
            <v>DD-J10B-02021-3/2-Z</v>
          </cell>
          <cell r="E196" t="str">
            <v>雷达罩锁支座</v>
          </cell>
        </row>
        <row r="197">
          <cell r="D197" t="str">
            <v>DD-J10B-02021-3/2-Y</v>
          </cell>
          <cell r="E197" t="str">
            <v>雷达罩锁支座</v>
          </cell>
        </row>
        <row r="198">
          <cell r="D198" t="str">
            <v>DD-J10B-02041-202G2</v>
          </cell>
          <cell r="E198" t="str">
            <v>地板</v>
          </cell>
        </row>
        <row r="199">
          <cell r="D199" t="str">
            <v>DD-J10B-02041-202G2</v>
          </cell>
          <cell r="E199" t="str">
            <v>地板</v>
          </cell>
        </row>
        <row r="200">
          <cell r="D200" t="str">
            <v>DD-J10B-02041-202G2</v>
          </cell>
          <cell r="E200" t="str">
            <v>地板</v>
          </cell>
        </row>
        <row r="201">
          <cell r="D201" t="str">
            <v>DD-J10B-02041-202G2</v>
          </cell>
          <cell r="E201" t="str">
            <v>地板</v>
          </cell>
        </row>
        <row r="202">
          <cell r="D202" t="str">
            <v>Y20-4383220005-001</v>
          </cell>
          <cell r="E202" t="str">
            <v>支架</v>
          </cell>
        </row>
        <row r="203">
          <cell r="D203" t="str">
            <v>Y20-4761200088-001</v>
          </cell>
          <cell r="E203" t="str">
            <v>支架悬挂横梁</v>
          </cell>
        </row>
        <row r="204">
          <cell r="D204" t="str">
            <v>Y20-4761200093-001</v>
          </cell>
          <cell r="E204" t="str">
            <v>支架悬挂横梁</v>
          </cell>
        </row>
        <row r="205">
          <cell r="D205" t="str">
            <v>Y20-5311121033-002</v>
          </cell>
          <cell r="E205" t="str">
            <v>21框5到10长桁外缘加强件</v>
          </cell>
        </row>
        <row r="206">
          <cell r="D206" t="str">
            <v>Y20-5311121033-001</v>
          </cell>
          <cell r="E206" t="str">
            <v>21框5到10长桁外缘加强件</v>
          </cell>
        </row>
        <row r="207">
          <cell r="D207" t="str">
            <v>Y20-4383220003-001</v>
          </cell>
          <cell r="E207" t="str">
            <v>支架</v>
          </cell>
        </row>
        <row r="208">
          <cell r="D208" t="str">
            <v>Y20-5316100301-001</v>
          </cell>
          <cell r="E208" t="str">
            <v>地板纵向件</v>
          </cell>
        </row>
        <row r="209">
          <cell r="D209" t="str">
            <v>Y20-5316100300-001</v>
          </cell>
          <cell r="E209" t="str">
            <v>地板纵向件</v>
          </cell>
        </row>
        <row r="210">
          <cell r="D210" t="str">
            <v>Y20-5311123023-002</v>
          </cell>
          <cell r="E210" t="str">
            <v>口框加强件</v>
          </cell>
        </row>
        <row r="211">
          <cell r="D211" t="str">
            <v>Y20-5311123023-001</v>
          </cell>
          <cell r="E211" t="str">
            <v>口框加强件</v>
          </cell>
        </row>
        <row r="212">
          <cell r="D212" t="str">
            <v>Y20-5312100064-001</v>
          </cell>
          <cell r="E212" t="str">
            <v>型材</v>
          </cell>
        </row>
        <row r="213">
          <cell r="D213" t="str">
            <v>Y20-5314118004-001</v>
          </cell>
          <cell r="E213" t="str">
            <v>对接角片</v>
          </cell>
        </row>
        <row r="214">
          <cell r="D214" t="str">
            <v>Y20-5314118004-002</v>
          </cell>
          <cell r="E214" t="str">
            <v>对接角片</v>
          </cell>
        </row>
        <row r="215">
          <cell r="D215" t="str">
            <v>Y20-5314120012-002</v>
          </cell>
          <cell r="E215" t="str">
            <v>对接角片</v>
          </cell>
        </row>
        <row r="216">
          <cell r="D216" t="str">
            <v>Y20-5314120012-001</v>
          </cell>
          <cell r="E216" t="str">
            <v>对接角片</v>
          </cell>
        </row>
        <row r="217">
          <cell r="D217" t="str">
            <v>Y20-5316100319-001</v>
          </cell>
          <cell r="E217" t="str">
            <v>地板纵向件</v>
          </cell>
        </row>
        <row r="218">
          <cell r="D218" t="str">
            <v>Y20-5312225027-001</v>
          </cell>
          <cell r="E218" t="str">
            <v>纵向加强筋</v>
          </cell>
        </row>
        <row r="219">
          <cell r="D219" t="str">
            <v>Y20-5312225027-002</v>
          </cell>
          <cell r="E219" t="str">
            <v>纵向加强筋</v>
          </cell>
        </row>
        <row r="220">
          <cell r="D220" t="str">
            <v>Y20-5311123015-001</v>
          </cell>
          <cell r="E220" t="str">
            <v>应急救生船抛放口盖</v>
          </cell>
        </row>
        <row r="221">
          <cell r="D221" t="str">
            <v>Y20-5312225025-001</v>
          </cell>
          <cell r="E221" t="str">
            <v>纵向加强件</v>
          </cell>
        </row>
        <row r="222">
          <cell r="D222" t="str">
            <v>Y20-5312225025-002</v>
          </cell>
          <cell r="E222" t="str">
            <v>纵向加强件</v>
          </cell>
        </row>
        <row r="223">
          <cell r="D223" t="str">
            <v>Y20-5312225026-001</v>
          </cell>
          <cell r="E223" t="str">
            <v>纵向加强件</v>
          </cell>
        </row>
        <row r="224">
          <cell r="D224" t="str">
            <v>Y20-5312225026-002</v>
          </cell>
          <cell r="E224" t="str">
            <v>纵向加强件</v>
          </cell>
        </row>
        <row r="225">
          <cell r="D225" t="str">
            <v>Y20-5312225029-001</v>
          </cell>
          <cell r="E225" t="str">
            <v>纵向加强件</v>
          </cell>
        </row>
        <row r="226">
          <cell r="D226" t="str">
            <v>Y20-5312225029-002</v>
          </cell>
          <cell r="E226" t="str">
            <v>纵向加强件</v>
          </cell>
        </row>
        <row r="227">
          <cell r="D227" t="str">
            <v>Y20-5314117012-001</v>
          </cell>
          <cell r="E227" t="str">
            <v>对接角片</v>
          </cell>
        </row>
        <row r="228">
          <cell r="D228" t="str">
            <v>Y20-5314117012-002</v>
          </cell>
          <cell r="E228" t="str">
            <v>对接角片</v>
          </cell>
        </row>
        <row r="229">
          <cell r="D229" t="str">
            <v>Y20-5314117013-001</v>
          </cell>
          <cell r="E229" t="str">
            <v>对接角片</v>
          </cell>
        </row>
        <row r="230">
          <cell r="D230" t="str">
            <v>Y20-5314117013-002</v>
          </cell>
          <cell r="E230" t="str">
            <v>对接角片</v>
          </cell>
        </row>
        <row r="231">
          <cell r="D231" t="str">
            <v>CB5326100-112R003</v>
          </cell>
          <cell r="E231" t="str">
            <v>8120 2号加强筋</v>
          </cell>
        </row>
        <row r="232">
          <cell r="D232" t="str">
            <v>CB5326100-112L003</v>
          </cell>
          <cell r="E232" t="str">
            <v>8121 2号加强筋</v>
          </cell>
        </row>
        <row r="233">
          <cell r="D233" t="str">
            <v>CB5327510-002-006</v>
          </cell>
          <cell r="E233" t="str">
            <v>辅助舱门旋臂</v>
          </cell>
        </row>
        <row r="234">
          <cell r="D234" t="str">
            <v>CB5327510-002-006</v>
          </cell>
          <cell r="E234" t="str">
            <v>辅助舱门旋臂</v>
          </cell>
        </row>
        <row r="235">
          <cell r="D235" t="str">
            <v>DD-J10-21102-410-1-Y</v>
          </cell>
          <cell r="E235" t="str">
            <v>1150肋根肋（右件）</v>
          </cell>
        </row>
        <row r="236">
          <cell r="D236" t="str">
            <v>CB5327120-010L015</v>
          </cell>
          <cell r="E236" t="str">
            <v>9555侧隔框</v>
          </cell>
        </row>
        <row r="237">
          <cell r="D237" t="str">
            <v>CB5327120-010L015</v>
          </cell>
          <cell r="E237" t="str">
            <v>9555侧隔框</v>
          </cell>
        </row>
        <row r="238">
          <cell r="D238" t="str">
            <v>CB5327120-010L015</v>
          </cell>
          <cell r="E238" t="str">
            <v>9555侧隔框</v>
          </cell>
        </row>
        <row r="239">
          <cell r="D239" t="str">
            <v>CB5327120-010R015</v>
          </cell>
          <cell r="E239" t="str">
            <v>9555侧隔框</v>
          </cell>
        </row>
        <row r="240">
          <cell r="D240" t="str">
            <v>CB5327120-010R015</v>
          </cell>
          <cell r="E240" t="str">
            <v>9555侧隔框</v>
          </cell>
        </row>
        <row r="241">
          <cell r="D241" t="str">
            <v>CB5327120-010R015</v>
          </cell>
          <cell r="E241" t="str">
            <v>9555侧隔框</v>
          </cell>
        </row>
        <row r="242">
          <cell r="D242" t="str">
            <v>DD-J10-21102-160-1-Z</v>
          </cell>
          <cell r="E242" t="str">
            <v>10260梁（左件）</v>
          </cell>
        </row>
        <row r="243">
          <cell r="D243" t="str">
            <v>DD-J10-21102-410-1-Z</v>
          </cell>
          <cell r="E243" t="str">
            <v>1150肋根肋（左件）</v>
          </cell>
        </row>
        <row r="244">
          <cell r="D244" t="str">
            <v>DD-J10-21102-160-1-Y</v>
          </cell>
          <cell r="E244" t="str">
            <v>10260梁（右件）</v>
          </cell>
        </row>
        <row r="245">
          <cell r="D245" t="str">
            <v>DD-J10-21102-250-1-Z</v>
          </cell>
          <cell r="E245" t="str">
            <v>11900梁一段（左件）</v>
          </cell>
        </row>
        <row r="246">
          <cell r="D246" t="str">
            <v>DD-J10-21102-250-1-Y</v>
          </cell>
          <cell r="E246" t="str">
            <v>11900梁一段（右件）</v>
          </cell>
        </row>
        <row r="247">
          <cell r="D247" t="str">
            <v>DD-J10-21102-250-1-Y</v>
          </cell>
          <cell r="E247" t="str">
            <v>11900梁一段（右件）</v>
          </cell>
        </row>
        <row r="248">
          <cell r="D248" t="str">
            <v>DD-J10-34003-2</v>
          </cell>
          <cell r="E248" t="str">
            <v>后梁</v>
          </cell>
        </row>
        <row r="249">
          <cell r="D249" t="str">
            <v>DD-J10B-02121-1AG2-Z</v>
          </cell>
          <cell r="E249" t="str">
            <v>BL280侧壁（左件）</v>
          </cell>
        </row>
        <row r="250">
          <cell r="D250" t="str">
            <v>DD-J10B-02121-1AG2-Z</v>
          </cell>
          <cell r="E250" t="str">
            <v>BL280侧壁（左件）</v>
          </cell>
        </row>
        <row r="251">
          <cell r="D251" t="str">
            <v>DD-J10B-02121-1AG2-Y</v>
          </cell>
          <cell r="E251" t="str">
            <v>BL280侧壁（右件）</v>
          </cell>
        </row>
        <row r="252">
          <cell r="D252" t="str">
            <v>DD-J10-21102-250-2-Y</v>
          </cell>
          <cell r="E252" t="str">
            <v>11900梁二段（右件）</v>
          </cell>
        </row>
        <row r="253">
          <cell r="D253" t="str">
            <v>DD-J10-21102-250-2-Y</v>
          </cell>
          <cell r="E253" t="str">
            <v>11900梁二段（右件）</v>
          </cell>
        </row>
        <row r="254">
          <cell r="D254" t="str">
            <v>DD-J10-21102-250-2-Z</v>
          </cell>
          <cell r="E254" t="str">
            <v>11900梁二段（左件）</v>
          </cell>
        </row>
        <row r="255">
          <cell r="D255" t="str">
            <v>DD-J10-21102-250-2-Z</v>
          </cell>
          <cell r="E255" t="str">
            <v>11900梁二段（左件）</v>
          </cell>
        </row>
        <row r="256">
          <cell r="D256" t="str">
            <v>DD-J10-21102-410-1-Z</v>
          </cell>
          <cell r="E256" t="str">
            <v>1150肋根肋（左件）</v>
          </cell>
        </row>
        <row r="257">
          <cell r="D257" t="str">
            <v>DD-J10-21102-410-1-Z</v>
          </cell>
          <cell r="E257" t="str">
            <v>1150肋根肋（左件）</v>
          </cell>
        </row>
        <row r="258">
          <cell r="D258" t="str">
            <v>DD-J10-21102-410-1-Z</v>
          </cell>
          <cell r="E258" t="str">
            <v>1150肋根肋（左件）</v>
          </cell>
        </row>
        <row r="259">
          <cell r="D259" t="str">
            <v>DD-J10-21102-410-1-Z</v>
          </cell>
          <cell r="E259" t="str">
            <v>1150肋根肋（左件）</v>
          </cell>
        </row>
        <row r="260">
          <cell r="D260" t="str">
            <v>DD-J10-21102-410-1-Z</v>
          </cell>
          <cell r="E260" t="str">
            <v>1150肋根肋（左件）</v>
          </cell>
        </row>
        <row r="261">
          <cell r="D261" t="str">
            <v>DD-J10B-02121-1AG2-Y</v>
          </cell>
          <cell r="E261" t="str">
            <v>BL280侧壁（右件）</v>
          </cell>
        </row>
        <row r="262">
          <cell r="D262" t="str">
            <v>DD-J10B-02121-1AG2-Y</v>
          </cell>
          <cell r="E262" t="str">
            <v>BL280侧壁（右件）</v>
          </cell>
        </row>
        <row r="263">
          <cell r="D263" t="str">
            <v>DD-J10B-02121-1AG2-Z</v>
          </cell>
          <cell r="E263" t="str">
            <v>BL280侧壁（左件）</v>
          </cell>
        </row>
        <row r="264">
          <cell r="D264" t="str">
            <v>DD-J10B-02121-1AG2-Z</v>
          </cell>
          <cell r="E264" t="str">
            <v>BL280侧壁（左件）</v>
          </cell>
        </row>
        <row r="265">
          <cell r="D265" t="str">
            <v>DD-J10B-21002-2-Y</v>
          </cell>
          <cell r="E265" t="str">
            <v>4号下壁板（右件）</v>
          </cell>
        </row>
        <row r="266">
          <cell r="D266" t="str">
            <v>DD-J10B-21002-2-Z</v>
          </cell>
          <cell r="E266" t="str">
            <v>4号下壁板（左件）</v>
          </cell>
        </row>
        <row r="267">
          <cell r="D267" t="str">
            <v>DD-J10-21102-410-1-Y</v>
          </cell>
          <cell r="E267" t="str">
            <v>1150肋根肋（右件）</v>
          </cell>
        </row>
        <row r="268">
          <cell r="D268" t="str">
            <v>DD-J10-21102-410-1-Y</v>
          </cell>
          <cell r="E268" t="str">
            <v>1150肋根肋（右件）</v>
          </cell>
        </row>
        <row r="269">
          <cell r="D269" t="str">
            <v>DD-J10-21102-410-1-Y</v>
          </cell>
          <cell r="E269" t="str">
            <v>1150肋根肋（右件）</v>
          </cell>
        </row>
        <row r="270">
          <cell r="D270" t="str">
            <v>DD-J10-21102-410-1-Y</v>
          </cell>
          <cell r="E270" t="str">
            <v>1150肋根肋（右件）</v>
          </cell>
        </row>
        <row r="271">
          <cell r="D271" t="str">
            <v>DD-J10-21102-410-1-Y</v>
          </cell>
          <cell r="E271" t="str">
            <v>1150肋根肋（右件）</v>
          </cell>
        </row>
        <row r="272">
          <cell r="D272" t="str">
            <v>DD-J10-21102-390-1-Y</v>
          </cell>
          <cell r="E272" t="str">
            <v>1150肋九段（右件）</v>
          </cell>
        </row>
        <row r="273">
          <cell r="D273" t="str">
            <v>DD-J10-21102-390-1-Y</v>
          </cell>
          <cell r="E273" t="str">
            <v>1150肋九段（右件）</v>
          </cell>
        </row>
        <row r="274">
          <cell r="D274" t="str">
            <v>DD-J10-21102-390-1-Y</v>
          </cell>
          <cell r="E274" t="str">
            <v>1150肋九段（右件）</v>
          </cell>
        </row>
        <row r="275">
          <cell r="D275" t="str">
            <v>DD-J10-21102-390-1-Y</v>
          </cell>
          <cell r="E275" t="str">
            <v>1150肋九段（右件）</v>
          </cell>
        </row>
        <row r="276">
          <cell r="D276" t="str">
            <v>DD-J10-21102-390-1-Z</v>
          </cell>
          <cell r="E276" t="str">
            <v>1150肋九段（左件）</v>
          </cell>
        </row>
        <row r="277">
          <cell r="D277" t="str">
            <v>DD-J10-21102-390-1-Z</v>
          </cell>
          <cell r="E277" t="str">
            <v>1150肋九段（左件）</v>
          </cell>
        </row>
        <row r="278">
          <cell r="D278" t="str">
            <v>DD-J10B-21402-10G2-1G2-Y</v>
          </cell>
          <cell r="E278" t="str">
            <v>固定前缘边肋（右件）</v>
          </cell>
        </row>
        <row r="279">
          <cell r="D279" t="str">
            <v>DD-J10B-21402-10G2-1G2-Y</v>
          </cell>
          <cell r="E279" t="str">
            <v>固定前缘边肋（右件）</v>
          </cell>
        </row>
        <row r="280">
          <cell r="D280" t="str">
            <v>DD-J10B-21402-10G2-1G2-Y</v>
          </cell>
          <cell r="E280" t="str">
            <v>固定前缘边肋（右件）</v>
          </cell>
        </row>
        <row r="281">
          <cell r="D281" t="str">
            <v>DD-J10B-21402-10G2-1G2-Y</v>
          </cell>
          <cell r="E281" t="str">
            <v>固定前缘边肋（右件）</v>
          </cell>
        </row>
        <row r="282">
          <cell r="D282" t="str">
            <v>DD-J10B-21402-10G2-1G2-Y</v>
          </cell>
          <cell r="E282" t="str">
            <v>固定前缘边肋（右件）</v>
          </cell>
        </row>
        <row r="283">
          <cell r="D283" t="str">
            <v>DD-J10B-21402-10G2-1G2-Z</v>
          </cell>
          <cell r="E283" t="str">
            <v>固定前缘边肋（左件）</v>
          </cell>
        </row>
        <row r="284">
          <cell r="D284" t="str">
            <v>DD-J10B-21402-10G2-1G2-Z</v>
          </cell>
          <cell r="E284" t="str">
            <v>固定前缘边肋（左件）</v>
          </cell>
        </row>
        <row r="285">
          <cell r="D285" t="str">
            <v>DD-J10B-21402-10G2-1G2-Z</v>
          </cell>
          <cell r="E285" t="str">
            <v>固定前缘边肋（左件）</v>
          </cell>
        </row>
        <row r="286">
          <cell r="D286" t="str">
            <v>DD-J10B-21402-10G2-1G2-Z</v>
          </cell>
          <cell r="E286" t="str">
            <v>固定前缘边肋（左件）</v>
          </cell>
        </row>
        <row r="287">
          <cell r="D287" t="str">
            <v>DD-J10B-21402-10G2-1G2-Z</v>
          </cell>
          <cell r="E287" t="str">
            <v>固定前缘边肋（左件）</v>
          </cell>
        </row>
        <row r="288">
          <cell r="D288" t="str">
            <v>DD-J10B-21402-90G2-1G2-Z</v>
          </cell>
          <cell r="E288" t="str">
            <v>固定前缘端肋（左件）</v>
          </cell>
        </row>
        <row r="289">
          <cell r="D289" t="str">
            <v>DD-J10B-21402-90G2-1G2-Z</v>
          </cell>
          <cell r="E289" t="str">
            <v>固定前缘端肋（左件）</v>
          </cell>
        </row>
        <row r="290">
          <cell r="D290" t="str">
            <v>DD-J10B-21402-90G2-1G2-Z</v>
          </cell>
          <cell r="E290" t="str">
            <v>固定前缘端肋（左件）</v>
          </cell>
        </row>
        <row r="291">
          <cell r="D291" t="str">
            <v>DD-J10B-21402-90G2-1G2-Z</v>
          </cell>
          <cell r="E291" t="str">
            <v>固定前缘端肋（左件）</v>
          </cell>
        </row>
        <row r="292">
          <cell r="D292" t="str">
            <v>DD-J10B-21402-90G2-1G2-Z</v>
          </cell>
          <cell r="E292" t="str">
            <v>固定前缘端肋（左件）</v>
          </cell>
        </row>
        <row r="293">
          <cell r="D293" t="str">
            <v>DD-J10B-21402-90G2-1G2-Y</v>
          </cell>
          <cell r="E293" t="str">
            <v>固定前缘端肋（右件）</v>
          </cell>
        </row>
        <row r="294">
          <cell r="D294" t="str">
            <v>DD-J10B-21402-90G2-1G2-Y</v>
          </cell>
          <cell r="E294" t="str">
            <v>固定前缘端肋（右件）</v>
          </cell>
        </row>
        <row r="295">
          <cell r="D295" t="str">
            <v>DD-J10B-21402-90G2-1G2-Y</v>
          </cell>
          <cell r="E295" t="str">
            <v>固定前缘端肋（右件）</v>
          </cell>
        </row>
        <row r="296">
          <cell r="D296" t="str">
            <v>DD-J10B-21402-90G2-1G2-Y</v>
          </cell>
          <cell r="E296" t="str">
            <v>固定前缘端肋（右件）</v>
          </cell>
        </row>
        <row r="297">
          <cell r="D297" t="str">
            <v>DD-J10B-21402-90G2-1G2-Y</v>
          </cell>
          <cell r="E297" t="str">
            <v>固定前缘端肋（右件）</v>
          </cell>
        </row>
        <row r="298">
          <cell r="D298" t="str">
            <v>DD-J10B-04061-1</v>
          </cell>
          <cell r="E298" t="str">
            <v>10860框</v>
          </cell>
        </row>
        <row r="299">
          <cell r="D299" t="str">
            <v>DD-J10B-04061-1</v>
          </cell>
          <cell r="E299" t="str">
            <v>10860框</v>
          </cell>
        </row>
        <row r="300">
          <cell r="D300" t="str">
            <v>DD-J10B-26002-1G2-Y</v>
          </cell>
          <cell r="E300" t="str">
            <v>梁（右件）</v>
          </cell>
        </row>
        <row r="301">
          <cell r="D301" t="str">
            <v>DD-J10B-26002-1G2-Y</v>
          </cell>
          <cell r="E301" t="str">
            <v>梁（右件）</v>
          </cell>
        </row>
        <row r="302">
          <cell r="D302" t="str">
            <v>DD-J10B-26002-1G2-Y</v>
          </cell>
          <cell r="E302" t="str">
            <v>梁（右件）</v>
          </cell>
        </row>
        <row r="303">
          <cell r="D303" t="str">
            <v>DD-J10B-26002-1G2-Y</v>
          </cell>
          <cell r="E303" t="str">
            <v>梁（右件）</v>
          </cell>
        </row>
        <row r="304">
          <cell r="D304" t="str">
            <v>DD-J10B-26002-1G2-Z</v>
          </cell>
          <cell r="E304" t="str">
            <v>梁（左件）</v>
          </cell>
        </row>
        <row r="305">
          <cell r="D305" t="str">
            <v>DD-J10B-26002-1G2-Z</v>
          </cell>
          <cell r="E305" t="str">
            <v>梁（左件）</v>
          </cell>
        </row>
        <row r="306">
          <cell r="D306" t="str">
            <v>DD-J10B-26002-1G2-Z</v>
          </cell>
          <cell r="E306" t="str">
            <v>梁（左件）</v>
          </cell>
        </row>
        <row r="307">
          <cell r="D307" t="str">
            <v>DD-J10B-26002-1G2-Z</v>
          </cell>
          <cell r="E307" t="str">
            <v>梁（左件）</v>
          </cell>
        </row>
        <row r="308">
          <cell r="D308" t="str">
            <v>DD-J10B-04051-1</v>
          </cell>
          <cell r="E308" t="str">
            <v>10460框</v>
          </cell>
        </row>
        <row r="309">
          <cell r="D309" t="str">
            <v>DD-J10B-04041-1</v>
          </cell>
          <cell r="E309" t="str">
            <v>10060框</v>
          </cell>
        </row>
        <row r="310">
          <cell r="D310" t="str">
            <v>DD-J10-21102-410-1-Z</v>
          </cell>
          <cell r="E310" t="str">
            <v>1150肋根肋（左件）</v>
          </cell>
        </row>
        <row r="311">
          <cell r="D311" t="str">
            <v>DD-J10-21102-410-1-Z</v>
          </cell>
          <cell r="E311" t="str">
            <v>1150肋根肋（左件）</v>
          </cell>
        </row>
        <row r="312">
          <cell r="D312" t="str">
            <v>DD-J10-21102-410-1-Z</v>
          </cell>
          <cell r="E312" t="str">
            <v>1150肋根肋（左件）</v>
          </cell>
        </row>
        <row r="313">
          <cell r="D313" t="str">
            <v>DD-J10-21102-410-1-Z</v>
          </cell>
          <cell r="E313" t="str">
            <v>1150肋根肋（左件）</v>
          </cell>
        </row>
        <row r="314">
          <cell r="D314" t="str">
            <v>DD-J10-21102-410-1-Z</v>
          </cell>
          <cell r="E314" t="str">
            <v>1150肋根肋（左件）</v>
          </cell>
        </row>
        <row r="315">
          <cell r="D315" t="str">
            <v>DD-J10-21102-410-1-Z</v>
          </cell>
          <cell r="E315" t="str">
            <v>1150肋根肋（左件）</v>
          </cell>
        </row>
        <row r="316">
          <cell r="D316" t="str">
            <v>DD-J10-21102-410-1-Y</v>
          </cell>
          <cell r="E316" t="str">
            <v>1150肋根肋（右件）</v>
          </cell>
        </row>
        <row r="317">
          <cell r="D317" t="str">
            <v>DD-J10-21102-410-1-Y</v>
          </cell>
          <cell r="E317" t="str">
            <v>1150肋根肋（右件）</v>
          </cell>
        </row>
        <row r="318">
          <cell r="D318" t="str">
            <v>DD-J10-21102-410-1-Y</v>
          </cell>
          <cell r="E318" t="str">
            <v>1150肋根肋（右件）</v>
          </cell>
        </row>
        <row r="319">
          <cell r="D319" t="str">
            <v>DD-J10-21102-410-1-Y</v>
          </cell>
          <cell r="E319" t="str">
            <v>1150肋根肋（右件）</v>
          </cell>
        </row>
        <row r="320">
          <cell r="D320" t="str">
            <v>DD-J10-21102-410-1-Y</v>
          </cell>
          <cell r="E320" t="str">
            <v>1150肋根肋（右件）</v>
          </cell>
        </row>
        <row r="321">
          <cell r="D321" t="str">
            <v>DD-J10-21102-410-1-Y</v>
          </cell>
          <cell r="E321" t="str">
            <v>1150肋根肋（右件）</v>
          </cell>
        </row>
        <row r="322">
          <cell r="D322" t="str">
            <v>DD-J10B-94076-811</v>
          </cell>
          <cell r="E322" t="str">
            <v>法兰盘</v>
          </cell>
        </row>
        <row r="323">
          <cell r="D323" t="str">
            <v>DD-J10-96031-104</v>
          </cell>
          <cell r="E323" t="str">
            <v>接管嘴</v>
          </cell>
        </row>
        <row r="324">
          <cell r="D324" t="str">
            <v>DD-J10-86041-1</v>
          </cell>
          <cell r="E324" t="str">
            <v>齿纹垫圈</v>
          </cell>
        </row>
        <row r="325">
          <cell r="D325" t="str">
            <v>DD-J10-41123-1103</v>
          </cell>
          <cell r="E325" t="str">
            <v>螺帽</v>
          </cell>
        </row>
        <row r="326">
          <cell r="D326" t="str">
            <v>DD-J10-55025-704</v>
          </cell>
          <cell r="E326" t="str">
            <v>套筒</v>
          </cell>
        </row>
        <row r="327">
          <cell r="D327" t="str">
            <v>DD-J10-96031-121</v>
          </cell>
          <cell r="E327" t="str">
            <v>销棒</v>
          </cell>
        </row>
        <row r="328">
          <cell r="D328" t="str">
            <v>DD-J10-55055-2620-3</v>
          </cell>
          <cell r="E328" t="str">
            <v>衬套</v>
          </cell>
        </row>
        <row r="329">
          <cell r="D329" t="str">
            <v>DD-J10-41123-1103</v>
          </cell>
          <cell r="E329" t="str">
            <v>螺帽</v>
          </cell>
        </row>
        <row r="330">
          <cell r="D330" t="str">
            <v>DD-J10-55051-6110-3</v>
          </cell>
          <cell r="E330" t="str">
            <v>衬套</v>
          </cell>
        </row>
        <row r="331">
          <cell r="D331" t="str">
            <v>CB271227P-003-001</v>
          </cell>
          <cell r="E331" t="str">
            <v>滑动件</v>
          </cell>
        </row>
        <row r="332">
          <cell r="D332" t="str">
            <v>DD-FC1-86031-2</v>
          </cell>
          <cell r="E332" t="str">
            <v>齿纹垫片</v>
          </cell>
        </row>
        <row r="333">
          <cell r="D333" t="str">
            <v>DD-J10-41163-30-1</v>
          </cell>
          <cell r="E333" t="str">
            <v>管子</v>
          </cell>
        </row>
        <row r="334">
          <cell r="D334" t="str">
            <v>DD-J10-41163-30-1</v>
          </cell>
          <cell r="E334" t="str">
            <v>管子</v>
          </cell>
        </row>
        <row r="335">
          <cell r="D335" t="str">
            <v>DD-J10-41123-1101</v>
          </cell>
          <cell r="E335" t="str">
            <v>壳体</v>
          </cell>
        </row>
        <row r="336">
          <cell r="D336" t="str">
            <v>DD-J10-41123-1101</v>
          </cell>
          <cell r="E336" t="str">
            <v>壳体</v>
          </cell>
        </row>
        <row r="337">
          <cell r="D337" t="str">
            <v>DD-J10-41123-1101</v>
          </cell>
          <cell r="E337" t="str">
            <v>壳体</v>
          </cell>
        </row>
        <row r="338">
          <cell r="D338" t="str">
            <v>DD-J10-41123-1101</v>
          </cell>
          <cell r="E338" t="str">
            <v>壳体</v>
          </cell>
        </row>
        <row r="339">
          <cell r="D339" t="str">
            <v>DD-J10-41153-130-2</v>
          </cell>
          <cell r="E339" t="str">
            <v>管子</v>
          </cell>
        </row>
        <row r="340">
          <cell r="D340" t="str">
            <v>DD-J10-05316-101</v>
          </cell>
          <cell r="E340" t="str">
            <v>转轴</v>
          </cell>
        </row>
        <row r="341">
          <cell r="D341" t="str">
            <v>CB229445B-002-001</v>
          </cell>
          <cell r="E341" t="str">
            <v>管子</v>
          </cell>
        </row>
        <row r="342">
          <cell r="D342" t="str">
            <v>CB22921F1-004-001</v>
          </cell>
          <cell r="E342" t="str">
            <v>衬套</v>
          </cell>
        </row>
        <row r="343">
          <cell r="D343" t="str">
            <v>DD-FC1-55135-7110-1</v>
          </cell>
          <cell r="E343" t="str">
            <v>衬套</v>
          </cell>
        </row>
        <row r="344">
          <cell r="D344" t="str">
            <v>DD-J10-68095-1400-1</v>
          </cell>
          <cell r="E344" t="str">
            <v>套筒</v>
          </cell>
        </row>
        <row r="345">
          <cell r="D345" t="str">
            <v>DD-J10B-94061-1061/3</v>
          </cell>
          <cell r="E345" t="str">
            <v>法兰盘</v>
          </cell>
        </row>
        <row r="346">
          <cell r="D346" t="str">
            <v>DD-FC1-41035-122</v>
          </cell>
          <cell r="E346" t="str">
            <v>底座</v>
          </cell>
        </row>
        <row r="347">
          <cell r="D347" t="str">
            <v>DD-J10B-65000-1820G2-1</v>
          </cell>
          <cell r="E347" t="str">
            <v>摇臂</v>
          </cell>
        </row>
        <row r="348">
          <cell r="D348" t="str">
            <v>DD-J10B-65000-1710G2-1</v>
          </cell>
          <cell r="E348" t="str">
            <v>连杆</v>
          </cell>
        </row>
        <row r="349">
          <cell r="D349" t="str">
            <v>CB5523000-005R004</v>
          </cell>
          <cell r="E349" t="str">
            <v>隔框</v>
          </cell>
        </row>
        <row r="350">
          <cell r="D350" t="str">
            <v>CB5523000-005L004</v>
          </cell>
          <cell r="E350" t="str">
            <v>隔框</v>
          </cell>
        </row>
        <row r="351">
          <cell r="D351" t="str">
            <v>DD-J10B-65000-1720G2-1</v>
          </cell>
          <cell r="E351" t="str">
            <v>管子</v>
          </cell>
        </row>
        <row r="352">
          <cell r="D352" t="str">
            <v>DD-J10B-65000-1720G2-1</v>
          </cell>
          <cell r="E352" t="str">
            <v>管子</v>
          </cell>
        </row>
        <row r="353">
          <cell r="D353" t="str">
            <v>DD-J10B-61001-2</v>
          </cell>
          <cell r="E353" t="str">
            <v>接头</v>
          </cell>
        </row>
        <row r="354">
          <cell r="D354" t="str">
            <v>DD-J10B-04011-1</v>
          </cell>
          <cell r="E354" t="str">
            <v>7100框</v>
          </cell>
        </row>
        <row r="355">
          <cell r="D355" t="str">
            <v>DD-J10-21102-390-1-Y</v>
          </cell>
          <cell r="E355" t="str">
            <v>1150肋九段</v>
          </cell>
        </row>
        <row r="356">
          <cell r="D356" t="str">
            <v>DD-J10B-94076-2031/1</v>
          </cell>
          <cell r="E356" t="str">
            <v>接管嘴</v>
          </cell>
        </row>
        <row r="357">
          <cell r="D357" t="str">
            <v>DD-J10B-94076-2051</v>
          </cell>
          <cell r="E357" t="str">
            <v>外套螺母</v>
          </cell>
        </row>
        <row r="358">
          <cell r="D358" t="str">
            <v>DD-J10B-94076-2051</v>
          </cell>
          <cell r="E358" t="str">
            <v>外套螺母</v>
          </cell>
        </row>
        <row r="359">
          <cell r="D359" t="str">
            <v>DD-J10B-94076-2051</v>
          </cell>
          <cell r="E359" t="str">
            <v>外套螺母</v>
          </cell>
        </row>
        <row r="360">
          <cell r="D360" t="str">
            <v>DD-J10B-94061-1061/1</v>
          </cell>
          <cell r="E360" t="str">
            <v>法兰盘</v>
          </cell>
        </row>
        <row r="361">
          <cell r="D361" t="str">
            <v>DD-J10B-94076-1391</v>
          </cell>
          <cell r="E361" t="str">
            <v>法兰盘</v>
          </cell>
        </row>
        <row r="362">
          <cell r="D362" t="str">
            <v>DD-J10B-94076-2051</v>
          </cell>
          <cell r="E362" t="str">
            <v>外套螺母</v>
          </cell>
        </row>
        <row r="363">
          <cell r="D363" t="str">
            <v>DD-J10-64031-1221</v>
          </cell>
          <cell r="E363" t="str">
            <v>耳片</v>
          </cell>
        </row>
        <row r="364">
          <cell r="D364" t="str">
            <v>DD-J10B-94076-2031/3</v>
          </cell>
          <cell r="E364" t="str">
            <v>接管嘴</v>
          </cell>
        </row>
        <row r="365">
          <cell r="D365" t="str">
            <v>DD-J10B-94076-2031/2</v>
          </cell>
          <cell r="E365" t="str">
            <v>接管嘴</v>
          </cell>
        </row>
        <row r="366">
          <cell r="D366" t="str">
            <v>DD-J10B-94076-2031/1</v>
          </cell>
          <cell r="E366" t="str">
            <v>接管嘴</v>
          </cell>
        </row>
        <row r="367">
          <cell r="D367" t="str">
            <v>CB5314107-001-002</v>
          </cell>
          <cell r="E367" t="str">
            <v>5550上框</v>
          </cell>
        </row>
        <row r="368">
          <cell r="D368" t="str">
            <v>CB5314107-001-002</v>
          </cell>
          <cell r="E368" t="str">
            <v>5550上框</v>
          </cell>
        </row>
        <row r="369">
          <cell r="D369" t="str">
            <v>DD-J10-34103-4</v>
          </cell>
          <cell r="E369" t="str">
            <v>上边肋</v>
          </cell>
        </row>
        <row r="370">
          <cell r="D370" t="str">
            <v>DD-J10-34103-4</v>
          </cell>
          <cell r="E370" t="str">
            <v>上边肋</v>
          </cell>
        </row>
        <row r="371">
          <cell r="D371" t="str">
            <v>DD-J10-34103-4</v>
          </cell>
          <cell r="E371" t="str">
            <v>上边肋</v>
          </cell>
        </row>
        <row r="372">
          <cell r="D372" t="str">
            <v>DD-J10-34003-2</v>
          </cell>
          <cell r="E372" t="str">
            <v>后梁</v>
          </cell>
        </row>
        <row r="373">
          <cell r="D373" t="str">
            <v>DD-J10-34003-2</v>
          </cell>
          <cell r="E373" t="str">
            <v>后梁</v>
          </cell>
        </row>
        <row r="374">
          <cell r="D374" t="str">
            <v>DD-J10-34003-2</v>
          </cell>
          <cell r="E374" t="str">
            <v>后梁</v>
          </cell>
        </row>
        <row r="375">
          <cell r="D375" t="str">
            <v>DD-J10-21102-250-1-Z</v>
          </cell>
          <cell r="E375" t="str">
            <v>11900梁一段（左件）</v>
          </cell>
        </row>
        <row r="376">
          <cell r="D376" t="str">
            <v>DD-J10-21102-250-2-Z</v>
          </cell>
          <cell r="E376" t="str">
            <v>11900梁二段（左件）</v>
          </cell>
        </row>
        <row r="377">
          <cell r="D377" t="str">
            <v>DD-J10-21102-250-2-Z</v>
          </cell>
          <cell r="E377" t="str">
            <v>11900梁二段（左件）</v>
          </cell>
        </row>
        <row r="378">
          <cell r="D378" t="str">
            <v>DD-J10-21102-250-2-Z</v>
          </cell>
          <cell r="E378" t="str">
            <v>11900梁二段（左件）</v>
          </cell>
        </row>
        <row r="379">
          <cell r="D379" t="str">
            <v>DD-J10-21102-250-2-Z</v>
          </cell>
          <cell r="E379" t="str">
            <v>11900梁二段（左件）</v>
          </cell>
        </row>
        <row r="380">
          <cell r="D380" t="str">
            <v>DD-J10-21102-250-2-Z</v>
          </cell>
          <cell r="E380" t="str">
            <v>11900梁二段（左件）</v>
          </cell>
        </row>
        <row r="381">
          <cell r="D381" t="str">
            <v>DD-J10-21102-250-2-Z</v>
          </cell>
          <cell r="E381" t="str">
            <v>11900梁二段（左件）</v>
          </cell>
        </row>
        <row r="382">
          <cell r="D382" t="str">
            <v>DD-J10-21102-250-2-Y</v>
          </cell>
          <cell r="E382" t="str">
            <v>11900梁二段（右件）</v>
          </cell>
        </row>
        <row r="383">
          <cell r="D383" t="str">
            <v>DD-J10-21102-250-2-Y</v>
          </cell>
          <cell r="E383" t="str">
            <v>11900梁二段（右件）</v>
          </cell>
        </row>
        <row r="384">
          <cell r="D384" t="str">
            <v>DD-J10-21102-250-2-Y</v>
          </cell>
          <cell r="E384" t="str">
            <v>11900梁二段（右件）</v>
          </cell>
        </row>
        <row r="385">
          <cell r="D385" t="str">
            <v>DD-J10-21102-250-2-Y</v>
          </cell>
          <cell r="E385" t="str">
            <v>11900梁二段（右件）</v>
          </cell>
        </row>
        <row r="386">
          <cell r="D386" t="str">
            <v>DD-J10-21102-250-2-Y</v>
          </cell>
          <cell r="E386" t="str">
            <v>11900梁二段（右件）</v>
          </cell>
        </row>
        <row r="387">
          <cell r="D387" t="str">
            <v>DD-J10-21102-250-1-Y</v>
          </cell>
          <cell r="E387" t="str">
            <v>11900梁二段（右件）</v>
          </cell>
        </row>
        <row r="388">
          <cell r="D388" t="str">
            <v>DD-J10-21102-250-1-Y</v>
          </cell>
          <cell r="E388" t="str">
            <v>11900梁一段（右件）</v>
          </cell>
        </row>
        <row r="389">
          <cell r="D389" t="str">
            <v>DD-J10-21102-250-1-Y</v>
          </cell>
          <cell r="E389" t="str">
            <v>11900梁一段（右件）</v>
          </cell>
        </row>
        <row r="390">
          <cell r="D390" t="str">
            <v>DD-J10-21102-250-1-Y</v>
          </cell>
          <cell r="E390" t="str">
            <v>11900梁一段（右件）</v>
          </cell>
        </row>
        <row r="391">
          <cell r="D391" t="str">
            <v>DD-J10-21102-250-1-Y</v>
          </cell>
          <cell r="E391" t="str">
            <v>11900梁一段（右件）</v>
          </cell>
        </row>
        <row r="392">
          <cell r="D392" t="str">
            <v>DD-J10-21102-250-1-Y</v>
          </cell>
          <cell r="E392" t="str">
            <v>11900梁一段（右件）</v>
          </cell>
        </row>
        <row r="393">
          <cell r="D393" t="str">
            <v>DD-J10-21102-250-1-Z</v>
          </cell>
          <cell r="E393" t="str">
            <v>11900梁一段（左件）</v>
          </cell>
        </row>
        <row r="394">
          <cell r="D394" t="str">
            <v>DD-J10-21102-250-1-Z</v>
          </cell>
          <cell r="E394" t="str">
            <v>11900梁一段（左件）</v>
          </cell>
        </row>
        <row r="395">
          <cell r="D395" t="str">
            <v>DD-J10-21102-250-1-Z</v>
          </cell>
          <cell r="E395" t="str">
            <v>11900梁一段（左件）</v>
          </cell>
        </row>
        <row r="396">
          <cell r="D396" t="str">
            <v>DD-J10-21102-250-1-Z</v>
          </cell>
          <cell r="E396" t="str">
            <v>11900梁一段（左件）</v>
          </cell>
        </row>
        <row r="397">
          <cell r="D397" t="str">
            <v>DD-J10-21102-250-1-Z</v>
          </cell>
          <cell r="E397" t="str">
            <v>11900梁一段（左件）</v>
          </cell>
        </row>
        <row r="398">
          <cell r="D398" t="str">
            <v>DD-J10B-04051-1</v>
          </cell>
          <cell r="E398" t="str">
            <v>10460框</v>
          </cell>
        </row>
        <row r="399">
          <cell r="D399" t="str">
            <v>DD-J10B-04321-30-1-Y</v>
          </cell>
          <cell r="E399" t="str">
            <v>侧下梁（右件）</v>
          </cell>
        </row>
        <row r="400">
          <cell r="D400" t="str">
            <v>DD-J10B-04321-30-1-Y</v>
          </cell>
          <cell r="E400" t="str">
            <v>侧下梁（右件）</v>
          </cell>
        </row>
        <row r="401">
          <cell r="D401" t="str">
            <v>DD-J10B-04321-30-1-Y</v>
          </cell>
          <cell r="E401" t="str">
            <v>侧下梁（右件）</v>
          </cell>
        </row>
        <row r="402">
          <cell r="D402" t="str">
            <v>DD-J10B-04321-30-1-Y</v>
          </cell>
          <cell r="E402" t="str">
            <v>侧下梁（右件）</v>
          </cell>
        </row>
        <row r="403">
          <cell r="D403" t="str">
            <v>DD-J10B-04321-30-1-Z</v>
          </cell>
          <cell r="E403" t="str">
            <v>侧下梁（左件）</v>
          </cell>
        </row>
        <row r="404">
          <cell r="D404" t="str">
            <v>DD-J10B-04321-30-1-Z</v>
          </cell>
          <cell r="E404" t="str">
            <v>侧下梁（左件）</v>
          </cell>
        </row>
        <row r="405">
          <cell r="D405" t="str">
            <v>DD-J10B-04321-30-1-Z</v>
          </cell>
          <cell r="E405" t="str">
            <v>侧下梁（左件）</v>
          </cell>
        </row>
        <row r="406">
          <cell r="D406" t="str">
            <v>DD-J10B-04321-30-1-Z</v>
          </cell>
          <cell r="E406" t="str">
            <v>侧下梁（左件）</v>
          </cell>
        </row>
        <row r="407">
          <cell r="D407" t="str">
            <v>DD-J10-91001-1</v>
          </cell>
          <cell r="E407" t="str">
            <v>支座</v>
          </cell>
        </row>
        <row r="408">
          <cell r="D408" t="str">
            <v>GU5322320-002R001</v>
          </cell>
          <cell r="E408" t="str">
            <v>后端梁</v>
          </cell>
        </row>
        <row r="409">
          <cell r="D409" t="str">
            <v>GU5322320-002L001</v>
          </cell>
          <cell r="E409" t="str">
            <v>后端梁</v>
          </cell>
        </row>
        <row r="410">
          <cell r="D410" t="str">
            <v>DD-J10B-41163-30-3</v>
          </cell>
          <cell r="E410" t="str">
            <v>片</v>
          </cell>
        </row>
        <row r="411">
          <cell r="D411" t="str">
            <v>DD-J10B-21402-90G2-1G2-Y</v>
          </cell>
          <cell r="E411" t="str">
            <v>固定前缘端肋（右件）</v>
          </cell>
        </row>
        <row r="412">
          <cell r="D412" t="str">
            <v>DD-J10B-21402-90G2-1G2-Y</v>
          </cell>
          <cell r="E412" t="str">
            <v>固定前缘端肋（右件）</v>
          </cell>
        </row>
        <row r="413">
          <cell r="D413" t="str">
            <v>DD-J10B-21402-90G2-1G2-Y</v>
          </cell>
          <cell r="E413" t="str">
            <v>固定前缘端肋（右件）</v>
          </cell>
        </row>
        <row r="414">
          <cell r="D414" t="str">
            <v>DD-J10B-21402-90G2-1G2-Y</v>
          </cell>
          <cell r="E414" t="str">
            <v>固定前缘端肋（右件）</v>
          </cell>
        </row>
        <row r="415">
          <cell r="D415" t="str">
            <v>DD-J10B-21402-90G2-1G2-Y</v>
          </cell>
          <cell r="E415" t="str">
            <v>固定前缘端肋（右件）</v>
          </cell>
        </row>
        <row r="416">
          <cell r="D416" t="str">
            <v>DD-J10B-21402-90G2-1G2-Z</v>
          </cell>
          <cell r="E416" t="str">
            <v>固定前缘端肋（左件）</v>
          </cell>
        </row>
        <row r="417">
          <cell r="D417" t="str">
            <v>DD-J10B-21402-90G2-1G2-Z</v>
          </cell>
          <cell r="E417" t="str">
            <v>固定前缘端肋（左件）</v>
          </cell>
        </row>
        <row r="418">
          <cell r="D418" t="str">
            <v>DD-J10B-21402-90G2-1G2-Z</v>
          </cell>
          <cell r="E418" t="str">
            <v>固定前缘端肋（左件）</v>
          </cell>
        </row>
        <row r="419">
          <cell r="D419" t="str">
            <v>DD-J10B-21402-90G2-1G2-Z</v>
          </cell>
          <cell r="E419" t="str">
            <v>固定前缘端肋（左件）</v>
          </cell>
        </row>
        <row r="420">
          <cell r="D420" t="str">
            <v>DD-J10B-21402-90G2-1G2-Z</v>
          </cell>
          <cell r="E420" t="str">
            <v>固定前缘端肋（左件）</v>
          </cell>
        </row>
        <row r="421">
          <cell r="D421" t="str">
            <v>DD-J10B-04011-1</v>
          </cell>
          <cell r="E421" t="str">
            <v>7100框</v>
          </cell>
        </row>
        <row r="422">
          <cell r="D422" t="str">
            <v>J10B-26002-100G2-1G2-Z</v>
          </cell>
          <cell r="E422" t="str">
            <v>翼尖接头</v>
          </cell>
        </row>
        <row r="423">
          <cell r="D423" t="str">
            <v>J10B-26002-100G2-1G2-Z</v>
          </cell>
          <cell r="E423" t="str">
            <v>翼尖接头</v>
          </cell>
        </row>
        <row r="424">
          <cell r="D424" t="str">
            <v>J10B-26002-100G2-1G2-Y</v>
          </cell>
          <cell r="E424" t="str">
            <v>翼尖接头</v>
          </cell>
        </row>
        <row r="425">
          <cell r="D425" t="str">
            <v>J10B-26002-100G2-1G2-Y</v>
          </cell>
          <cell r="E425" t="str">
            <v>翼尖接头</v>
          </cell>
        </row>
        <row r="426">
          <cell r="D426" t="str">
            <v>DD-J10B-02181-6-Y</v>
          </cell>
          <cell r="E426" t="str">
            <v>盒子</v>
          </cell>
        </row>
        <row r="427">
          <cell r="D427" t="str">
            <v>DD-J10B-02181-6-Z</v>
          </cell>
          <cell r="E427" t="str">
            <v>盒子</v>
          </cell>
        </row>
        <row r="428">
          <cell r="D428" t="str">
            <v>DD-J10B-04501-10-1-Y</v>
          </cell>
          <cell r="E428" t="str">
            <v>BL900侧梁</v>
          </cell>
        </row>
        <row r="429">
          <cell r="D429" t="str">
            <v>DD-J10B-04501-10-1-Y</v>
          </cell>
          <cell r="E429" t="str">
            <v>BL900侧梁</v>
          </cell>
        </row>
        <row r="430">
          <cell r="D430" t="str">
            <v>DD-J10B-04501-10-1-Y</v>
          </cell>
          <cell r="E430" t="str">
            <v>BL900侧梁</v>
          </cell>
        </row>
        <row r="431">
          <cell r="D431" t="str">
            <v>DD-J10B-04501-10-1-Y</v>
          </cell>
          <cell r="E431" t="str">
            <v>BL900侧梁</v>
          </cell>
        </row>
        <row r="432">
          <cell r="D432" t="str">
            <v>DD-J10B-04501-10-1-Z</v>
          </cell>
          <cell r="E432" t="str">
            <v>BL900侧梁</v>
          </cell>
        </row>
        <row r="433">
          <cell r="D433" t="str">
            <v>DD-J10B-04501-10-1-Z</v>
          </cell>
          <cell r="E433" t="str">
            <v>BL900侧梁</v>
          </cell>
        </row>
        <row r="434">
          <cell r="D434" t="str">
            <v>DD-J10B-04501-10-1-Z</v>
          </cell>
          <cell r="E434" t="str">
            <v>BL900侧梁</v>
          </cell>
        </row>
        <row r="435">
          <cell r="D435" t="str">
            <v>DD-J10B-04501-10-1-Z</v>
          </cell>
          <cell r="E435" t="str">
            <v>BL900侧梁</v>
          </cell>
        </row>
        <row r="436">
          <cell r="D436" t="str">
            <v>DD-J10B-02021-52/1-Z</v>
          </cell>
          <cell r="E436" t="str">
            <v>锁芯</v>
          </cell>
        </row>
        <row r="437">
          <cell r="D437" t="str">
            <v>DD-J10B-02021-52/1-Y</v>
          </cell>
          <cell r="E437" t="str">
            <v>锁芯</v>
          </cell>
        </row>
        <row r="438">
          <cell r="D438" t="str">
            <v>DD-J10B-02021-52/2-Z</v>
          </cell>
          <cell r="E438" t="str">
            <v>锁芯</v>
          </cell>
        </row>
        <row r="439">
          <cell r="D439" t="str">
            <v>DD-J10B-02021-52/2-Y</v>
          </cell>
          <cell r="E439" t="str">
            <v>锁芯</v>
          </cell>
        </row>
        <row r="440">
          <cell r="D440" t="str">
            <v>DD-J10-41153-140-1</v>
          </cell>
          <cell r="E440" t="str">
            <v>开锁摇臂</v>
          </cell>
        </row>
        <row r="441">
          <cell r="D441" t="str">
            <v>DD-J10B-21002-2-Y</v>
          </cell>
          <cell r="E441" t="str">
            <v>4号下壁板（右件）</v>
          </cell>
        </row>
        <row r="442">
          <cell r="D442" t="str">
            <v>DD-J10B-21002-2-Y</v>
          </cell>
          <cell r="E442" t="str">
            <v>4号下壁板（右件）</v>
          </cell>
        </row>
        <row r="443">
          <cell r="D443" t="str">
            <v>DD-J10B-21002-2-Y</v>
          </cell>
          <cell r="E443" t="str">
            <v>4号下壁板（右件）</v>
          </cell>
        </row>
        <row r="444">
          <cell r="D444" t="str">
            <v>DD-J10B-21002-2-Y</v>
          </cell>
          <cell r="E444" t="str">
            <v>4号下壁板（右件）</v>
          </cell>
        </row>
        <row r="445">
          <cell r="D445" t="str">
            <v>DD-J10-21102-390-1-Z</v>
          </cell>
          <cell r="E445" t="str">
            <v>1150肋九段（左件）</v>
          </cell>
        </row>
        <row r="446">
          <cell r="D446" t="str">
            <v>DD-J10-21102-390-1-Z</v>
          </cell>
          <cell r="E446" t="str">
            <v>1150肋九段（左件）</v>
          </cell>
        </row>
        <row r="447">
          <cell r="D447" t="str">
            <v>DD-J10-21102-390-1-Z</v>
          </cell>
          <cell r="E447" t="str">
            <v>1150肋九段（左件）</v>
          </cell>
        </row>
        <row r="448">
          <cell r="D448" t="str">
            <v>DD-J10-21102-390-1-Z</v>
          </cell>
          <cell r="E448" t="str">
            <v>1150肋九段（左件）</v>
          </cell>
        </row>
        <row r="449">
          <cell r="D449" t="str">
            <v>DD-J10-21102-390-1-Z</v>
          </cell>
          <cell r="E449" t="str">
            <v>1150肋九段（左件）</v>
          </cell>
        </row>
        <row r="450">
          <cell r="D450" t="str">
            <v>DD-J10-21102-390-1-Y</v>
          </cell>
          <cell r="E450" t="str">
            <v>1150肋九段（右件）</v>
          </cell>
        </row>
        <row r="451">
          <cell r="D451" t="str">
            <v>DD-J10-21102-390-1-Y</v>
          </cell>
          <cell r="E451" t="str">
            <v>1150肋九段（右件）</v>
          </cell>
        </row>
        <row r="452">
          <cell r="D452" t="str">
            <v>DD-J10-21102-390-1-Y</v>
          </cell>
          <cell r="E452" t="str">
            <v>1150肋九段（右件）</v>
          </cell>
        </row>
        <row r="453">
          <cell r="D453" t="str">
            <v>DD-J10-21102-390-1-Y</v>
          </cell>
          <cell r="E453" t="str">
            <v>1150肋九段（右件）</v>
          </cell>
        </row>
        <row r="454">
          <cell r="D454" t="str">
            <v>DD-J10-21102-390-1-Y</v>
          </cell>
          <cell r="E454" t="str">
            <v>1150肋九段（右件）</v>
          </cell>
        </row>
        <row r="455">
          <cell r="D455" t="str">
            <v>DD-J10B-02121-1AG2-Z</v>
          </cell>
          <cell r="E455" t="str">
            <v>BL280侧壁（左件）</v>
          </cell>
        </row>
        <row r="456">
          <cell r="D456" t="str">
            <v>DD-J10B-02121-1AG2-Z</v>
          </cell>
          <cell r="E456" t="str">
            <v>BL280侧壁（左件）</v>
          </cell>
        </row>
        <row r="457">
          <cell r="D457" t="str">
            <v>DD-J10B-02121-1AG2-Z</v>
          </cell>
          <cell r="E457" t="str">
            <v>BL280侧壁（左件）</v>
          </cell>
        </row>
        <row r="458">
          <cell r="D458" t="str">
            <v>DD-J10B-02121-1AG2-Y</v>
          </cell>
          <cell r="E458" t="str">
            <v>BL280侧壁（右件）</v>
          </cell>
        </row>
        <row r="459">
          <cell r="D459" t="str">
            <v>DD-J10B-02121-1AG2-Y</v>
          </cell>
          <cell r="E459" t="str">
            <v>BL280侧壁（右件）</v>
          </cell>
        </row>
        <row r="460">
          <cell r="D460" t="str">
            <v>DD-J10B-02121-1AG2-Y</v>
          </cell>
          <cell r="E460" t="str">
            <v>BL280侧壁（右件）</v>
          </cell>
        </row>
        <row r="461">
          <cell r="D461" t="str">
            <v>Y20-5312225027-002</v>
          </cell>
          <cell r="E461" t="str">
            <v>纵向加强件</v>
          </cell>
        </row>
        <row r="462">
          <cell r="D462" t="str">
            <v>Y20-5312225027-001</v>
          </cell>
          <cell r="E462" t="str">
            <v>纵向加强件</v>
          </cell>
        </row>
        <row r="463">
          <cell r="D463" t="str">
            <v>Y20-5312225025-002</v>
          </cell>
          <cell r="E463" t="str">
            <v>纵向加强件</v>
          </cell>
        </row>
        <row r="464">
          <cell r="D464" t="str">
            <v>Y20-5312225025-001</v>
          </cell>
          <cell r="E464" t="str">
            <v>纵向加强件</v>
          </cell>
        </row>
        <row r="465">
          <cell r="D465" t="str">
            <v>Y20-5312225029-002</v>
          </cell>
          <cell r="E465" t="str">
            <v>纵向加强件</v>
          </cell>
        </row>
        <row r="466">
          <cell r="D466" t="str">
            <v>Y20-5312225029-001</v>
          </cell>
          <cell r="E466" t="str">
            <v>纵向加强件</v>
          </cell>
        </row>
        <row r="467">
          <cell r="D467" t="str">
            <v>DD-J10B-02021-3/1-Z</v>
          </cell>
          <cell r="E467" t="str">
            <v>雷达罩锁支座</v>
          </cell>
        </row>
        <row r="468">
          <cell r="D468" t="str">
            <v>DD-J10B-02081-404</v>
          </cell>
          <cell r="E468" t="str">
            <v>支座</v>
          </cell>
        </row>
        <row r="469">
          <cell r="D469" t="str">
            <v>DD-J10B-21002-2-Z</v>
          </cell>
          <cell r="E469" t="str">
            <v>4号下壁板（左件）</v>
          </cell>
        </row>
        <row r="470">
          <cell r="D470" t="str">
            <v>DD-J10B-21002-2-Z</v>
          </cell>
          <cell r="E470" t="str">
            <v>4号下壁板（左件）</v>
          </cell>
        </row>
        <row r="471">
          <cell r="D471" t="str">
            <v>DD-J10B-21002-2-Z</v>
          </cell>
          <cell r="E471" t="str">
            <v>4号下壁板（左件）</v>
          </cell>
        </row>
        <row r="472">
          <cell r="D472" t="str">
            <v>DD-J10B-26002-1G2-Y</v>
          </cell>
          <cell r="E472" t="str">
            <v>梁（右件）</v>
          </cell>
        </row>
        <row r="473">
          <cell r="D473" t="str">
            <v>DD-J10B-26002-1G2-Y</v>
          </cell>
          <cell r="E473" t="str">
            <v>梁（右件）</v>
          </cell>
        </row>
        <row r="474">
          <cell r="D474" t="str">
            <v>DD-J10B-26002-1G2-Y</v>
          </cell>
          <cell r="E474" t="str">
            <v>梁（右件）</v>
          </cell>
        </row>
        <row r="475">
          <cell r="D475" t="str">
            <v>DD-J10B-26002-1G2-Y</v>
          </cell>
          <cell r="E475" t="str">
            <v>梁（右件）</v>
          </cell>
        </row>
        <row r="476">
          <cell r="D476" t="str">
            <v>DD-J10B-26002-1G2-Y</v>
          </cell>
          <cell r="E476" t="str">
            <v>梁（右件）</v>
          </cell>
        </row>
        <row r="477">
          <cell r="D477" t="str">
            <v>DD-J10B-26002-1G2-Z</v>
          </cell>
          <cell r="E477" t="str">
            <v>梁（左件）</v>
          </cell>
        </row>
        <row r="478">
          <cell r="D478" t="str">
            <v>DD-J10B-26002-1G2-Z</v>
          </cell>
          <cell r="E478" t="str">
            <v>梁（左件）</v>
          </cell>
        </row>
        <row r="479">
          <cell r="D479" t="str">
            <v>DD-J10B-26002-1G2-Z</v>
          </cell>
          <cell r="E479" t="str">
            <v>梁（左件）</v>
          </cell>
        </row>
        <row r="480">
          <cell r="D480" t="str">
            <v>DD-J10B-26002-1G2-Z</v>
          </cell>
          <cell r="E480" t="str">
            <v>梁（左件）</v>
          </cell>
        </row>
        <row r="481">
          <cell r="D481" t="str">
            <v>DD-J10B-26002-1G2-Z</v>
          </cell>
          <cell r="E481" t="str">
            <v>梁（左件）</v>
          </cell>
        </row>
        <row r="482">
          <cell r="D482" t="str">
            <v>DD-J10B-04011-1</v>
          </cell>
          <cell r="E482" t="str">
            <v>7100框</v>
          </cell>
        </row>
        <row r="483">
          <cell r="D483" t="str">
            <v>DD-J10B-04011-1</v>
          </cell>
          <cell r="E483" t="str">
            <v>7100框</v>
          </cell>
        </row>
        <row r="484">
          <cell r="D484" t="str">
            <v>DD-J10B-04011-1</v>
          </cell>
          <cell r="E484" t="str">
            <v>7100框</v>
          </cell>
        </row>
        <row r="485">
          <cell r="D485" t="str">
            <v>DD-J10B-04011-1</v>
          </cell>
          <cell r="E485" t="str">
            <v>7100框</v>
          </cell>
        </row>
        <row r="486">
          <cell r="D486" t="str">
            <v>DD-J10B-04051-1</v>
          </cell>
          <cell r="E486" t="str">
            <v>10460框</v>
          </cell>
        </row>
        <row r="487">
          <cell r="D487" t="str">
            <v>DD-J10B-04051-1</v>
          </cell>
          <cell r="E487" t="str">
            <v>10460框</v>
          </cell>
        </row>
        <row r="488">
          <cell r="D488" t="str">
            <v>DD-J10B-04051-1</v>
          </cell>
          <cell r="E488" t="str">
            <v>10460框</v>
          </cell>
        </row>
        <row r="489">
          <cell r="D489" t="str">
            <v>DD-J10B-04051-1</v>
          </cell>
          <cell r="E489" t="str">
            <v>10460框</v>
          </cell>
        </row>
        <row r="490">
          <cell r="D490" t="str">
            <v>DD-J10B-02111-2-Z</v>
          </cell>
          <cell r="E490" t="str">
            <v>角盒</v>
          </cell>
        </row>
        <row r="491">
          <cell r="D491" t="str">
            <v>DD-J10B-02111-2-Z</v>
          </cell>
          <cell r="E491" t="str">
            <v>角盒</v>
          </cell>
        </row>
        <row r="492">
          <cell r="D492" t="str">
            <v>DD-J10B-02111-2-Y</v>
          </cell>
          <cell r="E492" t="str">
            <v>角盒</v>
          </cell>
        </row>
        <row r="493">
          <cell r="D493" t="str">
            <v>DD-J10B-02111-2-Y</v>
          </cell>
          <cell r="E493" t="str">
            <v>角盒</v>
          </cell>
        </row>
        <row r="494">
          <cell r="D494" t="str">
            <v>DD-J10B-02181-6-Z</v>
          </cell>
          <cell r="E494" t="str">
            <v>盒子</v>
          </cell>
        </row>
        <row r="495">
          <cell r="D495" t="str">
            <v>DD-J10B-02181-6-Y</v>
          </cell>
          <cell r="E495" t="str">
            <v>盒子</v>
          </cell>
        </row>
        <row r="496">
          <cell r="D496" t="str">
            <v>DD-J10B-94076-2031/2</v>
          </cell>
          <cell r="E496" t="str">
            <v>接管嘴</v>
          </cell>
        </row>
        <row r="497">
          <cell r="D497" t="str">
            <v>DD-J10B-94076-2031/2</v>
          </cell>
          <cell r="E497" t="str">
            <v>接管嘴</v>
          </cell>
        </row>
        <row r="498">
          <cell r="D498" t="str">
            <v>DD-J10B-94076-1391</v>
          </cell>
          <cell r="E498" t="str">
            <v>法兰盘</v>
          </cell>
        </row>
        <row r="499">
          <cell r="D499" t="str">
            <v>DD-J10B-94076-940-1</v>
          </cell>
          <cell r="E499" t="str">
            <v>法兰盘</v>
          </cell>
        </row>
        <row r="500">
          <cell r="D500" t="str">
            <v>DD-J10-41153-120-2</v>
          </cell>
          <cell r="E500" t="str">
            <v>档销</v>
          </cell>
        </row>
        <row r="501">
          <cell r="D501" t="str">
            <v>DD-J10S-96011-4221</v>
          </cell>
          <cell r="E501" t="str">
            <v>螺母</v>
          </cell>
        </row>
        <row r="502">
          <cell r="D502" t="str">
            <v>DD-J10-96031-121</v>
          </cell>
          <cell r="E502" t="str">
            <v>销棒</v>
          </cell>
        </row>
        <row r="503">
          <cell r="D503" t="str">
            <v>DD-J10-42074-150-1</v>
          </cell>
          <cell r="E503" t="str">
            <v>管子</v>
          </cell>
        </row>
        <row r="504">
          <cell r="D504" t="str">
            <v>DD-J10-94076-2104</v>
          </cell>
          <cell r="E504" t="str">
            <v>套管</v>
          </cell>
        </row>
        <row r="505">
          <cell r="D505" t="str">
            <v>Y20-5312100023-001</v>
          </cell>
          <cell r="E505" t="str">
            <v>边梁</v>
          </cell>
        </row>
        <row r="506">
          <cell r="D506" t="str">
            <v>Y20-5312100023-002</v>
          </cell>
          <cell r="E506" t="str">
            <v>边梁</v>
          </cell>
        </row>
        <row r="507">
          <cell r="D507" t="str">
            <v>DD-J10B-02041-202G2</v>
          </cell>
          <cell r="E507" t="str">
            <v>地板</v>
          </cell>
        </row>
        <row r="508">
          <cell r="D508" t="str">
            <v>DD-J10B-02041-202G2</v>
          </cell>
          <cell r="E508" t="str">
            <v>地板</v>
          </cell>
        </row>
        <row r="509">
          <cell r="D509" t="str">
            <v>DD-J10S-02121-3-Z</v>
          </cell>
          <cell r="E509" t="str">
            <v>助力器边梁（左件）</v>
          </cell>
        </row>
        <row r="510">
          <cell r="D510" t="str">
            <v>DD-J10S-02121-3-Z</v>
          </cell>
          <cell r="E510" t="str">
            <v>助力器边梁（左件）</v>
          </cell>
        </row>
        <row r="511">
          <cell r="D511" t="str">
            <v>DD-J10S-02121-3-Z</v>
          </cell>
          <cell r="E511" t="str">
            <v>助力器边梁（左件）</v>
          </cell>
        </row>
        <row r="512">
          <cell r="D512" t="str">
            <v>DD-J10S-02121-3-Z</v>
          </cell>
          <cell r="E512" t="str">
            <v>助力器边梁（左件）</v>
          </cell>
        </row>
        <row r="513">
          <cell r="D513" t="str">
            <v>DD-J10S-02121-3-Z</v>
          </cell>
          <cell r="E513" t="str">
            <v>助力器边梁（左件）</v>
          </cell>
        </row>
        <row r="514">
          <cell r="D514" t="str">
            <v>DD-J10S-02121-3-Z</v>
          </cell>
          <cell r="E514" t="str">
            <v>助力器边梁（左件）</v>
          </cell>
        </row>
        <row r="515">
          <cell r="D515" t="str">
            <v>DD-J10S-02121-3-Y</v>
          </cell>
          <cell r="E515" t="str">
            <v>助力器边梁（右件）</v>
          </cell>
        </row>
        <row r="516">
          <cell r="D516" t="str">
            <v>DD-J10S-02121-3-Y</v>
          </cell>
          <cell r="E516" t="str">
            <v>助力器边梁（右件）</v>
          </cell>
        </row>
        <row r="517">
          <cell r="D517" t="str">
            <v>DD-J10S-02121-3-Y</v>
          </cell>
          <cell r="E517" t="str">
            <v>助力器边梁（右件）</v>
          </cell>
        </row>
        <row r="518">
          <cell r="D518" t="str">
            <v>DD-J10S-02121-3-Y</v>
          </cell>
          <cell r="E518" t="str">
            <v>助力器边梁（右件）</v>
          </cell>
        </row>
        <row r="519">
          <cell r="D519" t="str">
            <v>DD-J10S-02121-3-Y</v>
          </cell>
          <cell r="E519" t="str">
            <v>助力器边梁（右件）</v>
          </cell>
        </row>
        <row r="520">
          <cell r="D520" t="str">
            <v>DD-J10S-02121-3-Y</v>
          </cell>
          <cell r="E520" t="str">
            <v>助力器边梁（右件）</v>
          </cell>
        </row>
        <row r="521">
          <cell r="D521" t="str">
            <v>DD-J10B-21402-10G2-1G2-Y</v>
          </cell>
          <cell r="E521" t="str">
            <v>固定前缘边肋（右件）</v>
          </cell>
        </row>
        <row r="522">
          <cell r="D522" t="str">
            <v>DD-J10B-21402-10G2-1G2-Y</v>
          </cell>
          <cell r="E522" t="str">
            <v>固定前缘边肋（右件）</v>
          </cell>
        </row>
        <row r="523">
          <cell r="D523" t="str">
            <v>DD-J10B-21402-10G2-1G2-Y</v>
          </cell>
          <cell r="E523" t="str">
            <v>固定前缘边肋（右件）</v>
          </cell>
        </row>
        <row r="524">
          <cell r="D524" t="str">
            <v>DD-J10B-21402-10G2-1G2-Y</v>
          </cell>
          <cell r="E524" t="str">
            <v>固定前缘边肋（右件）</v>
          </cell>
        </row>
        <row r="525">
          <cell r="D525" t="str">
            <v>DD-J10B-21402-10G2-1G2-Y</v>
          </cell>
          <cell r="E525" t="str">
            <v>固定前缘边肋（右件）</v>
          </cell>
        </row>
        <row r="526">
          <cell r="D526" t="str">
            <v>DD-J10B-21402-10G2-1G2-Y</v>
          </cell>
          <cell r="E526" t="str">
            <v>固定前缘边肋（右件）</v>
          </cell>
        </row>
        <row r="527">
          <cell r="D527" t="str">
            <v>DD-J10B-21402-10G2-1G2-Z</v>
          </cell>
          <cell r="E527" t="str">
            <v>固定前缘边肋（左件）</v>
          </cell>
        </row>
        <row r="528">
          <cell r="D528" t="str">
            <v>DD-J10B-21402-10G2-1G2-Z</v>
          </cell>
          <cell r="E528" t="str">
            <v>固定前缘边肋（左件）</v>
          </cell>
        </row>
        <row r="529">
          <cell r="D529" t="str">
            <v>DD-J10B-21402-10G2-1G2-Z</v>
          </cell>
          <cell r="E529" t="str">
            <v>固定前缘边肋（左件）</v>
          </cell>
        </row>
        <row r="530">
          <cell r="D530" t="str">
            <v>DD-J10B-21402-10G2-1G2-Z</v>
          </cell>
          <cell r="E530" t="str">
            <v>固定前缘边肋（左件）</v>
          </cell>
        </row>
        <row r="531">
          <cell r="D531" t="str">
            <v>DD-J10B-21402-10G2-1G2-Z</v>
          </cell>
          <cell r="E531" t="str">
            <v>固定前缘边肋（左件）</v>
          </cell>
        </row>
        <row r="532">
          <cell r="D532" t="str">
            <v>DD-J10B-21402-10G2-1G2-Z</v>
          </cell>
          <cell r="E532" t="str">
            <v>固定前缘边肋（左件）</v>
          </cell>
        </row>
        <row r="533">
          <cell r="D533" t="str">
            <v>DD-J10B-21402-90G2-1G2-Y</v>
          </cell>
          <cell r="E533" t="str">
            <v>固定前缘端肋（右件）</v>
          </cell>
        </row>
        <row r="534">
          <cell r="D534" t="str">
            <v>DD-J10B-21402-90G2-1G2-Y</v>
          </cell>
          <cell r="E534" t="str">
            <v>固定前缘端肋（右件）</v>
          </cell>
        </row>
        <row r="535">
          <cell r="D535" t="str">
            <v>DD-J10B-21402-90G2-1G2-Y</v>
          </cell>
          <cell r="E535" t="str">
            <v>固定前缘端肋（右件）</v>
          </cell>
        </row>
        <row r="536">
          <cell r="D536" t="str">
            <v>DD-J10B-21402-90G2-1G2-Y</v>
          </cell>
          <cell r="E536" t="str">
            <v>固定前缘端肋（右件）</v>
          </cell>
        </row>
        <row r="537">
          <cell r="D537" t="str">
            <v>DD-J10B-21402-90G2-1G2-Y</v>
          </cell>
          <cell r="E537" t="str">
            <v>固定前缘端肋（右件）</v>
          </cell>
        </row>
        <row r="538">
          <cell r="D538" t="str">
            <v>DD-J10B-21402-90G2-1G2-Y</v>
          </cell>
          <cell r="E538" t="str">
            <v>固定前缘端肋（右件）</v>
          </cell>
        </row>
        <row r="539">
          <cell r="D539" t="str">
            <v>GU5714000-005R001</v>
          </cell>
          <cell r="E539" t="str">
            <v>4500肋</v>
          </cell>
        </row>
        <row r="540">
          <cell r="D540" t="str">
            <v>GU5714000-005R001</v>
          </cell>
          <cell r="E540" t="str">
            <v>4500肋</v>
          </cell>
        </row>
        <row r="541">
          <cell r="D541" t="str">
            <v>GU5714000-005L001</v>
          </cell>
          <cell r="E541" t="str">
            <v>4500肋</v>
          </cell>
        </row>
        <row r="542">
          <cell r="D542" t="str">
            <v>GU5714000-005L001</v>
          </cell>
          <cell r="E542" t="str">
            <v>4500肋</v>
          </cell>
        </row>
        <row r="543">
          <cell r="D543" t="str">
            <v>GU5714000-006R001</v>
          </cell>
          <cell r="E543" t="str">
            <v>5500肋</v>
          </cell>
        </row>
        <row r="544">
          <cell r="D544" t="str">
            <v>GU5714000-006R001</v>
          </cell>
          <cell r="E544" t="str">
            <v>5500肋</v>
          </cell>
        </row>
        <row r="545">
          <cell r="D545" t="str">
            <v>GU5714000-006L001</v>
          </cell>
          <cell r="E545" t="str">
            <v>5500肋</v>
          </cell>
        </row>
        <row r="546">
          <cell r="D546" t="str">
            <v>GU5714000-006L001</v>
          </cell>
          <cell r="E546" t="str">
            <v>5500肋</v>
          </cell>
        </row>
        <row r="547">
          <cell r="D547" t="str">
            <v>Y20-4212300016-002</v>
          </cell>
          <cell r="E547" t="str">
            <v>支架</v>
          </cell>
        </row>
        <row r="548">
          <cell r="D548" t="str">
            <v>Y20-4212300016-001</v>
          </cell>
          <cell r="E548" t="str">
            <v>支架</v>
          </cell>
        </row>
        <row r="549">
          <cell r="D549" t="str">
            <v>DD-J10B-94061-1061/3</v>
          </cell>
          <cell r="E549" t="str">
            <v>法兰盘</v>
          </cell>
        </row>
        <row r="550">
          <cell r="D550" t="str">
            <v>DD-J10-21002-1-Z</v>
          </cell>
          <cell r="E550" t="str">
            <v>4号上壁板（左件）</v>
          </cell>
        </row>
        <row r="551">
          <cell r="D551" t="str">
            <v>DD-J10-21002-1-Z</v>
          </cell>
          <cell r="E551" t="str">
            <v>4号上壁板（左件）</v>
          </cell>
        </row>
        <row r="552">
          <cell r="D552" t="str">
            <v>DD-J10-21002-1-Z</v>
          </cell>
          <cell r="E552" t="str">
            <v>4号上壁板（左件）</v>
          </cell>
        </row>
        <row r="553">
          <cell r="D553" t="str">
            <v>DD-J10-21002-1-Z</v>
          </cell>
          <cell r="E553" t="str">
            <v>4号上壁板（左件）</v>
          </cell>
        </row>
        <row r="554">
          <cell r="D554" t="str">
            <v>DD-J10-21002-1-Y</v>
          </cell>
          <cell r="E554" t="str">
            <v>4号上壁板（右件）</v>
          </cell>
        </row>
        <row r="555">
          <cell r="D555" t="str">
            <v>DD-J10-21002-1-Y</v>
          </cell>
          <cell r="E555" t="str">
            <v>4号上壁板（右件）</v>
          </cell>
        </row>
        <row r="556">
          <cell r="D556" t="str">
            <v>DD-J10-21002-1-Y</v>
          </cell>
          <cell r="E556" t="str">
            <v>4号上壁板（右件）</v>
          </cell>
        </row>
        <row r="557">
          <cell r="D557" t="str">
            <v>DD-J10-21002-1-Y</v>
          </cell>
          <cell r="E557" t="str">
            <v>4号上壁板（右件）</v>
          </cell>
        </row>
        <row r="558">
          <cell r="D558" t="str">
            <v>DD-J10B-04321-30-1-Z</v>
          </cell>
          <cell r="E558" t="str">
            <v>侧下梁（左件）</v>
          </cell>
        </row>
        <row r="559">
          <cell r="D559" t="str">
            <v>DD-J10B-04321-30-1-Z</v>
          </cell>
          <cell r="E559" t="str">
            <v>侧下梁（左件）</v>
          </cell>
        </row>
        <row r="560">
          <cell r="D560" t="str">
            <v>DD-J10B-04321-30-1-Z</v>
          </cell>
          <cell r="E560" t="str">
            <v>侧下梁（左件）</v>
          </cell>
        </row>
        <row r="561">
          <cell r="D561" t="str">
            <v>DD-J10B-04321-30-1-Z</v>
          </cell>
          <cell r="E561" t="str">
            <v>侧下梁（左件）</v>
          </cell>
        </row>
        <row r="562">
          <cell r="D562" t="str">
            <v>DD-J10B-04321-30-1-Y</v>
          </cell>
          <cell r="E562" t="str">
            <v>侧下梁（右件）</v>
          </cell>
        </row>
        <row r="563">
          <cell r="D563" t="str">
            <v>DD-J10B-04321-30-1-Y</v>
          </cell>
          <cell r="E563" t="str">
            <v>侧下梁（右件）</v>
          </cell>
        </row>
        <row r="564">
          <cell r="D564" t="str">
            <v>DD-J10B-04321-30-1-Y</v>
          </cell>
          <cell r="E564" t="str">
            <v>侧下梁（右件）</v>
          </cell>
        </row>
        <row r="565">
          <cell r="D565" t="str">
            <v>DD-J10B-04321-30-1-Y</v>
          </cell>
          <cell r="E565" t="str">
            <v>侧下梁（右件）</v>
          </cell>
        </row>
        <row r="566">
          <cell r="D566" t="str">
            <v>DD-J10-55165-703</v>
          </cell>
          <cell r="E566" t="str">
            <v>摇臂</v>
          </cell>
        </row>
        <row r="567">
          <cell r="D567" t="str">
            <v>DD-J10-55165-703</v>
          </cell>
          <cell r="E567" t="str">
            <v>摇臂</v>
          </cell>
        </row>
        <row r="568">
          <cell r="D568" t="str">
            <v>W1-GU5714000-009R001</v>
          </cell>
          <cell r="E568" t="str">
            <v>端肋</v>
          </cell>
        </row>
        <row r="569">
          <cell r="D569" t="str">
            <v>DD-J10B-04061-1</v>
          </cell>
          <cell r="E569" t="str">
            <v>10860框</v>
          </cell>
        </row>
        <row r="570">
          <cell r="D570" t="str">
            <v>DD-J10B-04061-1</v>
          </cell>
          <cell r="E570" t="str">
            <v>10860框</v>
          </cell>
        </row>
        <row r="571">
          <cell r="D571" t="str">
            <v>DD-J10B-04041-1</v>
          </cell>
          <cell r="E571" t="str">
            <v>10060框</v>
          </cell>
        </row>
        <row r="572">
          <cell r="D572" t="str">
            <v>DD-J10B-04041-1</v>
          </cell>
          <cell r="E572" t="str">
            <v>10060框</v>
          </cell>
        </row>
        <row r="573">
          <cell r="D573" t="str">
            <v>DD-J10B-04041-1</v>
          </cell>
          <cell r="E573" t="str">
            <v>10060框</v>
          </cell>
        </row>
        <row r="574">
          <cell r="D574" t="str">
            <v>DD-J10B-04041-1</v>
          </cell>
          <cell r="E574" t="str">
            <v>10060框</v>
          </cell>
        </row>
        <row r="575">
          <cell r="D575" t="str">
            <v>DD-J10B-04051-1</v>
          </cell>
          <cell r="E575" t="str">
            <v>10460框</v>
          </cell>
        </row>
        <row r="576">
          <cell r="D576" t="str">
            <v>DD-J10B-04051-1</v>
          </cell>
          <cell r="E576" t="str">
            <v>10460框</v>
          </cell>
        </row>
        <row r="577">
          <cell r="D577" t="str">
            <v>DD-J10B-04051-1</v>
          </cell>
          <cell r="E577" t="str">
            <v>10460框</v>
          </cell>
        </row>
        <row r="578">
          <cell r="D578" t="str">
            <v>DD-J10B-04051-1</v>
          </cell>
          <cell r="E578" t="str">
            <v>10460框</v>
          </cell>
        </row>
        <row r="579">
          <cell r="D579" t="str">
            <v>DD-J10B-21002-2-Z</v>
          </cell>
          <cell r="E579" t="str">
            <v>4号下壁板（左件）</v>
          </cell>
        </row>
        <row r="580">
          <cell r="D580" t="str">
            <v>DD-J10-21102-555-Y</v>
          </cell>
          <cell r="E580" t="str">
            <v>1780肋五段（右件）</v>
          </cell>
        </row>
        <row r="581">
          <cell r="D581" t="str">
            <v>DD-J10-21102-555-Z</v>
          </cell>
          <cell r="E581" t="str">
            <v>1780肋五段（左件）</v>
          </cell>
        </row>
        <row r="582">
          <cell r="D582" t="str">
            <v>DD-J10-21102-554-Z</v>
          </cell>
          <cell r="E582" t="str">
            <v>1780肋四段（左件）</v>
          </cell>
        </row>
        <row r="583">
          <cell r="D583" t="str">
            <v>DD-J10-21102-554-Z</v>
          </cell>
          <cell r="E583" t="str">
            <v>1780肋四段（左件）</v>
          </cell>
        </row>
        <row r="584">
          <cell r="D584" t="str">
            <v>DD-J10-21102-554-Z</v>
          </cell>
          <cell r="E584" t="str">
            <v>1780肋四段（左件）</v>
          </cell>
        </row>
        <row r="585">
          <cell r="D585" t="str">
            <v>DD-J10-21102-554-Y</v>
          </cell>
          <cell r="E585" t="str">
            <v>1780肋四段（右件）</v>
          </cell>
        </row>
        <row r="586">
          <cell r="D586" t="str">
            <v>DD-J10-21102-554-Y</v>
          </cell>
          <cell r="E586" t="str">
            <v>1780肋四段（右件）</v>
          </cell>
        </row>
        <row r="587">
          <cell r="D587" t="str">
            <v>DD-J10-21102-554-Y</v>
          </cell>
          <cell r="E587" t="str">
            <v>1780肋四段（右件）</v>
          </cell>
        </row>
        <row r="588">
          <cell r="D588" t="str">
            <v>DD-J10-05156-1-Z</v>
          </cell>
          <cell r="E588" t="str">
            <v>外侧梁主件(左件）</v>
          </cell>
        </row>
        <row r="589">
          <cell r="D589" t="str">
            <v>DD-J10-05156-1-Z</v>
          </cell>
          <cell r="E589" t="str">
            <v>外侧梁主件(左件）</v>
          </cell>
        </row>
        <row r="590">
          <cell r="D590" t="str">
            <v>DD-J10-05156-1-Z</v>
          </cell>
          <cell r="E590" t="str">
            <v>外侧梁主件(左件）</v>
          </cell>
        </row>
        <row r="591">
          <cell r="D591" t="str">
            <v>DD-J10-05156-1-Z</v>
          </cell>
          <cell r="E591" t="str">
            <v>外侧梁主件(左件）</v>
          </cell>
        </row>
        <row r="592">
          <cell r="D592" t="str">
            <v>DD-J10-05156-1-Y</v>
          </cell>
          <cell r="E592" t="str">
            <v>外侧梁主件(右件）</v>
          </cell>
        </row>
        <row r="593">
          <cell r="D593" t="str">
            <v>DD-J10-05156-1-Y</v>
          </cell>
          <cell r="E593" t="str">
            <v>外侧梁主件(右件）</v>
          </cell>
        </row>
        <row r="594">
          <cell r="D594" t="str">
            <v>DD-J10-05156-1-Y</v>
          </cell>
          <cell r="E594" t="str">
            <v>外侧梁主件(右件）</v>
          </cell>
        </row>
        <row r="595">
          <cell r="D595" t="str">
            <v>DD-J10-05156-1-Y</v>
          </cell>
          <cell r="E595" t="str">
            <v>外侧梁主件(右件）</v>
          </cell>
        </row>
        <row r="596">
          <cell r="D596" t="str">
            <v>DD-J10-04021-4</v>
          </cell>
          <cell r="E596" t="str">
            <v>角盒</v>
          </cell>
        </row>
        <row r="597">
          <cell r="D597" t="str">
            <v>DD-J10-04021-4</v>
          </cell>
          <cell r="E597" t="str">
            <v>角盒</v>
          </cell>
        </row>
        <row r="598">
          <cell r="D598" t="str">
            <v>DD-J10-04021-4</v>
          </cell>
          <cell r="E598" t="str">
            <v>角盒</v>
          </cell>
        </row>
        <row r="599">
          <cell r="D599" t="str">
            <v>DD-J10-04021-4</v>
          </cell>
          <cell r="E599" t="str">
            <v>角盒</v>
          </cell>
        </row>
        <row r="600">
          <cell r="D600" t="str">
            <v>DD-J10-04021-3</v>
          </cell>
          <cell r="E600" t="str">
            <v>角盒</v>
          </cell>
        </row>
        <row r="601">
          <cell r="D601" t="str">
            <v>DD-J10-04021-3</v>
          </cell>
          <cell r="E601" t="str">
            <v>角盒</v>
          </cell>
        </row>
        <row r="602">
          <cell r="D602" t="str">
            <v>DD-J10-04021-3</v>
          </cell>
          <cell r="E602" t="str">
            <v>角盒</v>
          </cell>
        </row>
        <row r="603">
          <cell r="D603" t="str">
            <v>DD-J10B-67011-20010-2</v>
          </cell>
          <cell r="E603" t="str">
            <v>弓形件</v>
          </cell>
        </row>
        <row r="604">
          <cell r="D604" t="str">
            <v>DD-J10S-02121-3-Y</v>
          </cell>
          <cell r="E604" t="str">
            <v>助力器边梁（右件）</v>
          </cell>
        </row>
        <row r="605">
          <cell r="D605" t="str">
            <v>DD-J10S-02121-3-Y</v>
          </cell>
          <cell r="E605" t="str">
            <v>助力器边梁（右件）</v>
          </cell>
        </row>
        <row r="606">
          <cell r="D606" t="str">
            <v>DD-J10S-02121-3-Y</v>
          </cell>
          <cell r="E606" t="str">
            <v>助力器边梁（右件）</v>
          </cell>
        </row>
        <row r="607">
          <cell r="D607" t="str">
            <v>DD-J10S-02121-3-Y</v>
          </cell>
          <cell r="E607" t="str">
            <v>助力器边梁（右件）</v>
          </cell>
        </row>
        <row r="608">
          <cell r="D608" t="str">
            <v>DD-J10S-02121-3-Z</v>
          </cell>
          <cell r="E608" t="str">
            <v>助力器边梁（左件）</v>
          </cell>
        </row>
        <row r="609">
          <cell r="D609" t="str">
            <v>DD-J10S-02121-3-Z</v>
          </cell>
          <cell r="E609" t="str">
            <v>助力器边梁（左件）</v>
          </cell>
        </row>
        <row r="610">
          <cell r="D610" t="str">
            <v>DD-J10S-02121-3-Z</v>
          </cell>
          <cell r="E610" t="str">
            <v>助力器边梁（左件）</v>
          </cell>
        </row>
        <row r="611">
          <cell r="D611" t="str">
            <v>DD-J10S-02121-3-Z</v>
          </cell>
          <cell r="E611" t="str">
            <v>助力器边梁（左件）</v>
          </cell>
        </row>
        <row r="612">
          <cell r="D612" t="str">
            <v>DD-J10S-06021-107</v>
          </cell>
          <cell r="E612" t="str">
            <v>后隔框</v>
          </cell>
        </row>
        <row r="613">
          <cell r="D613" t="str">
            <v>DD-J10S-06021-107</v>
          </cell>
          <cell r="E613" t="str">
            <v>后隔框</v>
          </cell>
        </row>
        <row r="614">
          <cell r="D614" t="str">
            <v>DD-J10S-06021-107</v>
          </cell>
          <cell r="E614" t="str">
            <v>后隔框</v>
          </cell>
        </row>
        <row r="615">
          <cell r="D615" t="str">
            <v>DD-J10S-06021-107</v>
          </cell>
          <cell r="E615" t="str">
            <v>后隔框</v>
          </cell>
        </row>
        <row r="616">
          <cell r="D616" t="str">
            <v>DD-J10S-06021-107</v>
          </cell>
          <cell r="E616" t="str">
            <v>后隔框</v>
          </cell>
        </row>
        <row r="617">
          <cell r="D617" t="str">
            <v>DD-J10S-06021-107</v>
          </cell>
          <cell r="E617" t="str">
            <v>后隔框</v>
          </cell>
        </row>
        <row r="618">
          <cell r="D618" t="str">
            <v>DD-J10S-06021-107</v>
          </cell>
          <cell r="E618" t="str">
            <v>后隔框</v>
          </cell>
        </row>
        <row r="619">
          <cell r="D619" t="str">
            <v>DD-J10S-06021-107</v>
          </cell>
          <cell r="E619" t="str">
            <v>后隔框</v>
          </cell>
        </row>
        <row r="620">
          <cell r="D620" t="str">
            <v>DD-J10S-06021-107</v>
          </cell>
          <cell r="E620" t="str">
            <v>后隔框</v>
          </cell>
        </row>
        <row r="621">
          <cell r="D621" t="str">
            <v>DD-J10S-06021-107</v>
          </cell>
          <cell r="E621" t="str">
            <v>后隔框</v>
          </cell>
        </row>
        <row r="622">
          <cell r="D622" t="str">
            <v>DD-J10S-06021-107</v>
          </cell>
          <cell r="E622" t="str">
            <v>后隔框</v>
          </cell>
        </row>
        <row r="623">
          <cell r="D623" t="str">
            <v>DD-J10S-06021-107</v>
          </cell>
          <cell r="E623" t="str">
            <v>后隔框</v>
          </cell>
        </row>
        <row r="624">
          <cell r="D624" t="str">
            <v>DD-J10S-65011-1010-2</v>
          </cell>
          <cell r="E624" t="str">
            <v>短管</v>
          </cell>
        </row>
        <row r="625">
          <cell r="D625" t="str">
            <v>DD-J10S-65011-1020-2</v>
          </cell>
          <cell r="E625" t="str">
            <v>短管</v>
          </cell>
        </row>
        <row r="626">
          <cell r="D626" t="str">
            <v>DD-J10B-64026-190-2</v>
          </cell>
          <cell r="E626" t="str">
            <v>耳</v>
          </cell>
        </row>
        <row r="627">
          <cell r="D627" t="str">
            <v>DD-J10S-94076-10-5</v>
          </cell>
          <cell r="E627" t="str">
            <v>管子</v>
          </cell>
        </row>
        <row r="628">
          <cell r="D628" t="str">
            <v>DD-J10-64011-430-2</v>
          </cell>
          <cell r="E628" t="str">
            <v>套</v>
          </cell>
        </row>
        <row r="629">
          <cell r="D629" t="str">
            <v>DD-J10S-96011-4221</v>
          </cell>
          <cell r="E629" t="str">
            <v>螺母</v>
          </cell>
        </row>
        <row r="630">
          <cell r="D630" t="str">
            <v>DD-J10-42074-150-1</v>
          </cell>
          <cell r="E630" t="str">
            <v>管子</v>
          </cell>
        </row>
        <row r="631">
          <cell r="D631" t="str">
            <v>DD-J10-68095-1100-2</v>
          </cell>
          <cell r="E631" t="str">
            <v>衬套</v>
          </cell>
        </row>
        <row r="632">
          <cell r="D632" t="str">
            <v>DD-J10-68095-1200-3</v>
          </cell>
          <cell r="E632" t="str">
            <v>衬套</v>
          </cell>
        </row>
        <row r="633">
          <cell r="D633" t="str">
            <v>DD-J10-41153-120-2</v>
          </cell>
          <cell r="E633" t="str">
            <v>档销</v>
          </cell>
        </row>
        <row r="634">
          <cell r="D634" t="str">
            <v>DD-J10-86031-220-2</v>
          </cell>
          <cell r="E634" t="str">
            <v>套管</v>
          </cell>
        </row>
        <row r="635">
          <cell r="D635" t="str">
            <v>DD-J10-41045-110-1-Y</v>
          </cell>
          <cell r="E635" t="str">
            <v>套筒</v>
          </cell>
        </row>
        <row r="636">
          <cell r="D636" t="str">
            <v>DD-J10-41045-110-1-Z</v>
          </cell>
          <cell r="E636" t="str">
            <v>套筒</v>
          </cell>
        </row>
        <row r="637">
          <cell r="D637" t="str">
            <v>DD-J10-41045-130-1-Y</v>
          </cell>
          <cell r="E637" t="str">
            <v>套筒</v>
          </cell>
        </row>
        <row r="638">
          <cell r="D638" t="str">
            <v>DD-J10-41045-130-1-Z</v>
          </cell>
          <cell r="E638" t="str">
            <v>套筒</v>
          </cell>
        </row>
        <row r="639">
          <cell r="D639" t="str">
            <v>DD-J10-86011-3100-3</v>
          </cell>
          <cell r="E639" t="str">
            <v>凸台</v>
          </cell>
        </row>
        <row r="640">
          <cell r="D640" t="str">
            <v>DD-J10-41143-110-1</v>
          </cell>
          <cell r="E640" t="str">
            <v>管子</v>
          </cell>
        </row>
        <row r="641">
          <cell r="D641" t="str">
            <v>DD-J10-55181-1110-1</v>
          </cell>
          <cell r="E641" t="str">
            <v>支撑套</v>
          </cell>
        </row>
        <row r="642">
          <cell r="D642" t="str">
            <v>DD-J10-55025-703</v>
          </cell>
          <cell r="E642" t="str">
            <v>衬套</v>
          </cell>
        </row>
        <row r="643">
          <cell r="D643" t="str">
            <v>DD-J10-55023-631</v>
          </cell>
          <cell r="E643" t="str">
            <v>衬套</v>
          </cell>
        </row>
        <row r="644">
          <cell r="D644" t="str">
            <v>DD-J10-55023-632</v>
          </cell>
          <cell r="E644" t="str">
            <v>小衬套</v>
          </cell>
        </row>
        <row r="645">
          <cell r="D645" t="str">
            <v>DD-J10-55025-704</v>
          </cell>
          <cell r="E645" t="str">
            <v>套筒</v>
          </cell>
        </row>
        <row r="646">
          <cell r="D646" t="str">
            <v>DD-J10-94011-570-5</v>
          </cell>
          <cell r="E646" t="str">
            <v>衬套</v>
          </cell>
        </row>
        <row r="647">
          <cell r="D647" t="str">
            <v>DD-J10-94086-1110-2</v>
          </cell>
          <cell r="E647" t="str">
            <v>衬套</v>
          </cell>
        </row>
        <row r="648">
          <cell r="D648" t="str">
            <v>DD-J10-61052-230-1</v>
          </cell>
          <cell r="E648" t="str">
            <v>管子</v>
          </cell>
        </row>
        <row r="649">
          <cell r="D649" t="str">
            <v>DD-J10-61101-1310-1</v>
          </cell>
          <cell r="E649" t="str">
            <v>导管</v>
          </cell>
        </row>
        <row r="650">
          <cell r="D650" t="str">
            <v>DD-J10-66001-310-3</v>
          </cell>
          <cell r="E650" t="str">
            <v>套管</v>
          </cell>
        </row>
        <row r="651">
          <cell r="D651" t="str">
            <v>DD-J10-94051-3620-2</v>
          </cell>
          <cell r="E651" t="str">
            <v>管子</v>
          </cell>
        </row>
        <row r="652">
          <cell r="D652" t="str">
            <v>DD-J10-94051-3640-2</v>
          </cell>
          <cell r="E652" t="str">
            <v>管子</v>
          </cell>
        </row>
        <row r="653">
          <cell r="D653" t="str">
            <v>DD-J10-41035-120-2</v>
          </cell>
          <cell r="E653" t="str">
            <v>管子</v>
          </cell>
        </row>
        <row r="654">
          <cell r="D654" t="str">
            <v>DD-J10-55171-510-1</v>
          </cell>
          <cell r="E654" t="str">
            <v>衬套</v>
          </cell>
        </row>
        <row r="655">
          <cell r="D655" t="str">
            <v>DD-J10-55171-410-1</v>
          </cell>
          <cell r="E655" t="str">
            <v>衬套</v>
          </cell>
        </row>
        <row r="656">
          <cell r="D656" t="str">
            <v>DD-J10-55014-2010-1</v>
          </cell>
          <cell r="E656" t="str">
            <v>管子</v>
          </cell>
        </row>
        <row r="657">
          <cell r="D657" t="str">
            <v>DD-J10-68095-1300-3</v>
          </cell>
          <cell r="E657" t="str">
            <v>衬套</v>
          </cell>
        </row>
        <row r="658">
          <cell r="D658" t="str">
            <v>DD-J10-41153-130-2</v>
          </cell>
          <cell r="E658" t="str">
            <v>管子</v>
          </cell>
        </row>
        <row r="659">
          <cell r="D659" t="str">
            <v>DD-J10-55051-6110-3</v>
          </cell>
          <cell r="E659" t="str">
            <v>衬套</v>
          </cell>
        </row>
        <row r="660">
          <cell r="D660" t="str">
            <v>DD-J10-94076-940-1</v>
          </cell>
          <cell r="E660" t="str">
            <v>法兰盘</v>
          </cell>
        </row>
        <row r="661">
          <cell r="D661" t="str">
            <v>DD-J10-94076-911</v>
          </cell>
          <cell r="E661" t="str">
            <v>法兰盘</v>
          </cell>
        </row>
        <row r="662">
          <cell r="D662" t="str">
            <v>DD-J10-94061-2031</v>
          </cell>
          <cell r="E662" t="str">
            <v>法兰盘</v>
          </cell>
        </row>
        <row r="663">
          <cell r="D663" t="str">
            <v>DD-J10-94076-913</v>
          </cell>
          <cell r="E663" t="str">
            <v>法兰盘</v>
          </cell>
        </row>
        <row r="664">
          <cell r="D664" t="str">
            <v>DD-J10-68095-1200-3</v>
          </cell>
          <cell r="E664" t="str">
            <v>衬套</v>
          </cell>
        </row>
        <row r="665">
          <cell r="D665" t="str">
            <v>DD-J10-41153-140-2</v>
          </cell>
          <cell r="E665" t="str">
            <v>指针</v>
          </cell>
        </row>
        <row r="666">
          <cell r="D666" t="str">
            <v>DD-J10-41123-1111</v>
          </cell>
          <cell r="E666" t="str">
            <v>销子</v>
          </cell>
        </row>
        <row r="667">
          <cell r="D667" t="str">
            <v>DD-J10-41123-1112</v>
          </cell>
          <cell r="E667" t="str">
            <v>拨棍</v>
          </cell>
        </row>
        <row r="668">
          <cell r="D668" t="str">
            <v>DD-J10S-96011-4221</v>
          </cell>
          <cell r="E668" t="str">
            <v>螺母</v>
          </cell>
        </row>
        <row r="669">
          <cell r="D669" t="str">
            <v>DD-J10-04101-93</v>
          </cell>
          <cell r="E669" t="str">
            <v>轴销</v>
          </cell>
        </row>
        <row r="670">
          <cell r="D670" t="str">
            <v>DD-J10-41153-130-2</v>
          </cell>
          <cell r="E670" t="str">
            <v>管子</v>
          </cell>
        </row>
        <row r="671">
          <cell r="D671" t="str">
            <v>DD-J10-55051-6110-3</v>
          </cell>
          <cell r="E671" t="str">
            <v>衬套</v>
          </cell>
        </row>
        <row r="672">
          <cell r="D672" t="str">
            <v>DD-J10-41035-123</v>
          </cell>
          <cell r="E672" t="str">
            <v>垫圈</v>
          </cell>
        </row>
        <row r="673">
          <cell r="D673" t="str">
            <v>DD-J10-41035-124</v>
          </cell>
          <cell r="E673" t="str">
            <v>垫圈</v>
          </cell>
        </row>
        <row r="674">
          <cell r="D674" t="str">
            <v>DD-J10-96031-104</v>
          </cell>
          <cell r="E674" t="str">
            <v>接管嘴</v>
          </cell>
        </row>
        <row r="675">
          <cell r="D675" t="str">
            <v>DD-J10-96031-111</v>
          </cell>
          <cell r="E675" t="str">
            <v>螺母</v>
          </cell>
        </row>
        <row r="676">
          <cell r="D676" t="str">
            <v>DD-J10-64026-122</v>
          </cell>
          <cell r="E676" t="str">
            <v>球头</v>
          </cell>
        </row>
        <row r="677">
          <cell r="D677" t="str">
            <v>DD-J10S-65021-2110-2</v>
          </cell>
          <cell r="E677" t="str">
            <v>短销</v>
          </cell>
        </row>
        <row r="678">
          <cell r="D678" t="str">
            <v>DD-J10-41123-1103</v>
          </cell>
          <cell r="E678" t="str">
            <v>螺帽</v>
          </cell>
        </row>
        <row r="679">
          <cell r="D679" t="str">
            <v>DD-J10-86011-3210-1</v>
          </cell>
          <cell r="E679" t="str">
            <v>左转接管</v>
          </cell>
        </row>
        <row r="680">
          <cell r="D680" t="str">
            <v>DD-J10-96031-121</v>
          </cell>
          <cell r="E680" t="str">
            <v>销棒</v>
          </cell>
        </row>
        <row r="681">
          <cell r="D681" t="str">
            <v>DD-J10-66001-310-4</v>
          </cell>
          <cell r="E681" t="str">
            <v>芯杆</v>
          </cell>
        </row>
        <row r="682">
          <cell r="D682" t="str">
            <v>DD-J10-86021-5000-3</v>
          </cell>
          <cell r="E682" t="str">
            <v>垫块</v>
          </cell>
        </row>
        <row r="683">
          <cell r="D683" t="str">
            <v>DD-J10-86021-6000-2</v>
          </cell>
          <cell r="E683" t="str">
            <v>垫块</v>
          </cell>
        </row>
        <row r="684">
          <cell r="D684" t="str">
            <v>DD-J10-96031-113</v>
          </cell>
          <cell r="E684" t="str">
            <v>衬套</v>
          </cell>
        </row>
        <row r="685">
          <cell r="D685" t="str">
            <v>DD-J10-06021-303-Y</v>
          </cell>
          <cell r="E685" t="str">
            <v>前活动护板 （右）</v>
          </cell>
        </row>
        <row r="686">
          <cell r="D686" t="str">
            <v>DD-J10-06021-303-Z</v>
          </cell>
          <cell r="E686" t="str">
            <v>前活动护板 （左）</v>
          </cell>
        </row>
        <row r="687">
          <cell r="D687" t="str">
            <v>DD-J10-42074-20-1</v>
          </cell>
          <cell r="E687" t="str">
            <v>管子</v>
          </cell>
        </row>
        <row r="688">
          <cell r="D688" t="str">
            <v>DD-J10-42074-30-1</v>
          </cell>
          <cell r="E688" t="str">
            <v>管子</v>
          </cell>
        </row>
        <row r="689">
          <cell r="D689" t="str">
            <v>DD-J10-42074-40-1</v>
          </cell>
          <cell r="E689" t="str">
            <v>管子</v>
          </cell>
        </row>
        <row r="690">
          <cell r="D690" t="str">
            <v>DD-J10-42074-50-1</v>
          </cell>
          <cell r="E690" t="str">
            <v>管子</v>
          </cell>
        </row>
        <row r="691">
          <cell r="D691" t="str">
            <v>DD-J10-42074-60-1</v>
          </cell>
          <cell r="E691" t="str">
            <v>管子</v>
          </cell>
        </row>
        <row r="692">
          <cell r="D692" t="str">
            <v>DD-J10-42074-70-1</v>
          </cell>
          <cell r="E692" t="str">
            <v>管子</v>
          </cell>
        </row>
        <row r="693">
          <cell r="D693" t="str">
            <v>DD-J10S-65001-4010-1</v>
          </cell>
          <cell r="E693" t="str">
            <v>管子</v>
          </cell>
        </row>
        <row r="694">
          <cell r="D694" t="str">
            <v>DD-J10-55015-4100-1</v>
          </cell>
          <cell r="E694" t="str">
            <v>垫圈</v>
          </cell>
        </row>
        <row r="695">
          <cell r="D695" t="str">
            <v>DD-J10-55015-4100-1</v>
          </cell>
          <cell r="E695" t="str">
            <v>垫圈</v>
          </cell>
        </row>
        <row r="696">
          <cell r="D696" t="str">
            <v>DD-J10-55015-4100-1</v>
          </cell>
          <cell r="E696" t="str">
            <v>垫圈</v>
          </cell>
        </row>
        <row r="697">
          <cell r="D697" t="str">
            <v>DD-J10-68095-1400-1</v>
          </cell>
          <cell r="E697" t="str">
            <v>套筒</v>
          </cell>
        </row>
        <row r="698">
          <cell r="D698" t="str">
            <v>DD-J10-64026-112</v>
          </cell>
          <cell r="E698" t="str">
            <v>球头</v>
          </cell>
        </row>
        <row r="699">
          <cell r="D699" t="str">
            <v>DD-J10-96031-130-1</v>
          </cell>
          <cell r="E699" t="str">
            <v>管子</v>
          </cell>
        </row>
        <row r="700">
          <cell r="D700" t="str">
            <v>DD-J10S-61101-3110-1</v>
          </cell>
          <cell r="E700" t="str">
            <v>导管</v>
          </cell>
        </row>
        <row r="701">
          <cell r="D701" t="str">
            <v>DD-J10-55165-1510-2</v>
          </cell>
          <cell r="E701" t="str">
            <v>衬套</v>
          </cell>
        </row>
        <row r="702">
          <cell r="D702" t="str">
            <v>DD-J10-21102-2-Y</v>
          </cell>
          <cell r="E702" t="str">
            <v>1号下壁板</v>
          </cell>
        </row>
        <row r="703">
          <cell r="D703" t="str">
            <v>DD-J10-21102-2-Y</v>
          </cell>
          <cell r="E703" t="str">
            <v>1号下壁板</v>
          </cell>
        </row>
        <row r="704">
          <cell r="D704" t="str">
            <v>DD-J10-21102-2-Z</v>
          </cell>
          <cell r="E704" t="str">
            <v>1号下壁板</v>
          </cell>
        </row>
        <row r="705">
          <cell r="D705" t="str">
            <v>DD-J10-21102-2-Z</v>
          </cell>
          <cell r="E705" t="str">
            <v>1号下壁板</v>
          </cell>
        </row>
        <row r="706">
          <cell r="D706" t="str">
            <v>DD-J10-04501-10-1-Z</v>
          </cell>
          <cell r="E706" t="str">
            <v>BL900侧梁(左件）</v>
          </cell>
        </row>
        <row r="707">
          <cell r="D707" t="str">
            <v>DD-J10-04501-10-1-Z</v>
          </cell>
          <cell r="E707" t="str">
            <v>BL900侧梁(左件）</v>
          </cell>
        </row>
        <row r="708">
          <cell r="D708" t="str">
            <v>DD-J10-04501-10-1-Y</v>
          </cell>
          <cell r="E708" t="str">
            <v>BL900侧梁(右件）</v>
          </cell>
        </row>
        <row r="709">
          <cell r="D709" t="str">
            <v>DD-J10-04501-10-1-Y</v>
          </cell>
          <cell r="E709" t="str">
            <v>BL900侧梁(右件）</v>
          </cell>
        </row>
        <row r="710">
          <cell r="D710" t="str">
            <v>DD-J10-54101-201</v>
          </cell>
          <cell r="E710" t="str">
            <v>支座</v>
          </cell>
        </row>
        <row r="711">
          <cell r="D711" t="str">
            <v>DD-J10S-04031-1</v>
          </cell>
          <cell r="E711" t="str">
            <v>8700框</v>
          </cell>
        </row>
        <row r="712">
          <cell r="D712" t="str">
            <v>DD-J10S-04031-1</v>
          </cell>
          <cell r="E712" t="str">
            <v>8700框</v>
          </cell>
        </row>
        <row r="713">
          <cell r="D713" t="str">
            <v>DD-J10S-04031-1</v>
          </cell>
          <cell r="E713" t="str">
            <v>8700框</v>
          </cell>
        </row>
        <row r="714">
          <cell r="D714" t="str">
            <v>DD-J10S-04031-1</v>
          </cell>
          <cell r="E714" t="str">
            <v>8700框</v>
          </cell>
        </row>
        <row r="715">
          <cell r="D715" t="str">
            <v>DD-J10S-04031-1</v>
          </cell>
          <cell r="E715" t="str">
            <v>8700框</v>
          </cell>
        </row>
        <row r="716">
          <cell r="D716" t="str">
            <v>DD-J10B-04501-10-1-Z</v>
          </cell>
          <cell r="E716" t="str">
            <v>BL900侧梁</v>
          </cell>
        </row>
        <row r="717">
          <cell r="D717" t="str">
            <v>DD-J10B-04501-10-1-Z</v>
          </cell>
          <cell r="E717" t="str">
            <v>BL900侧梁</v>
          </cell>
        </row>
        <row r="718">
          <cell r="D718" t="str">
            <v>DD-J10B-04501-10-1-Y</v>
          </cell>
          <cell r="E718" t="str">
            <v>BL900侧梁</v>
          </cell>
        </row>
        <row r="719">
          <cell r="D719" t="str">
            <v>DD-J10B-04501-10-1-Y</v>
          </cell>
          <cell r="E719" t="str">
            <v>BL900侧梁</v>
          </cell>
        </row>
        <row r="720">
          <cell r="D720" t="str">
            <v>DD-J10-21102-553-Y</v>
          </cell>
          <cell r="E720" t="str">
            <v>1780肋三段（右件）</v>
          </cell>
        </row>
        <row r="721">
          <cell r="D721" t="str">
            <v>DD-J10-21102-553-Y</v>
          </cell>
          <cell r="E721" t="str">
            <v>1780肋三段（右件）</v>
          </cell>
        </row>
        <row r="722">
          <cell r="D722" t="str">
            <v>DD-J10-21102-553-Y</v>
          </cell>
          <cell r="E722" t="str">
            <v>1780肋三段（右件）</v>
          </cell>
        </row>
        <row r="723">
          <cell r="D723" t="str">
            <v>DD-J10-21102-553-Z</v>
          </cell>
          <cell r="E723" t="str">
            <v>1780肋三段（左件）</v>
          </cell>
        </row>
        <row r="724">
          <cell r="D724" t="str">
            <v>DD-J10-21102-553-Z</v>
          </cell>
          <cell r="E724" t="str">
            <v>1780肋三段（左件）</v>
          </cell>
        </row>
        <row r="725">
          <cell r="D725" t="str">
            <v>DD-J10-21102-553-Z</v>
          </cell>
          <cell r="E725" t="str">
            <v>1780肋三段（左件）</v>
          </cell>
        </row>
        <row r="726">
          <cell r="D726" t="str">
            <v>DD-J10-05236-1-Y</v>
          </cell>
          <cell r="E726" t="str">
            <v>腹鳍前接头（右件）</v>
          </cell>
        </row>
        <row r="727">
          <cell r="D727" t="str">
            <v>DD-J10-05236-1-Y</v>
          </cell>
          <cell r="E727" t="str">
            <v>腹鳍前接头（右件）</v>
          </cell>
        </row>
        <row r="728">
          <cell r="D728" t="str">
            <v>DD-J10-05236-1-Z</v>
          </cell>
          <cell r="E728" t="str">
            <v>腹鳍前接头（右件）</v>
          </cell>
        </row>
        <row r="729">
          <cell r="D729" t="str">
            <v>DD-J10-05236-1-Z</v>
          </cell>
          <cell r="E729" t="str">
            <v>腹鳍前接头（右件）</v>
          </cell>
        </row>
        <row r="730">
          <cell r="D730" t="str">
            <v>DD-J10-64011-421</v>
          </cell>
          <cell r="E730" t="str">
            <v>套筒</v>
          </cell>
        </row>
        <row r="731">
          <cell r="D731" t="str">
            <v>DD-J10-05236-13-Y</v>
          </cell>
          <cell r="E731" t="str">
            <v>腹鳍后接头（右件）</v>
          </cell>
        </row>
        <row r="732">
          <cell r="D732" t="str">
            <v>DD-J10-05236-13-Y</v>
          </cell>
          <cell r="E732" t="str">
            <v>腹鳍后接头（右件）</v>
          </cell>
        </row>
        <row r="733">
          <cell r="D733" t="str">
            <v>DD-J10-05236-13-Z</v>
          </cell>
          <cell r="E733" t="str">
            <v>腹鳍后接头（左件）</v>
          </cell>
        </row>
        <row r="734">
          <cell r="D734" t="str">
            <v>DD-J10-05236-13-Z</v>
          </cell>
          <cell r="E734" t="str">
            <v>腹鳍后接头（左件）</v>
          </cell>
        </row>
        <row r="735">
          <cell r="D735" t="str">
            <v>MCKXXX-0000-01</v>
          </cell>
          <cell r="E735" t="str">
            <v>腔体</v>
          </cell>
        </row>
        <row r="736">
          <cell r="D736" t="str">
            <v>MCKXXX-0000-02</v>
          </cell>
          <cell r="E736" t="str">
            <v>盖板</v>
          </cell>
        </row>
        <row r="737">
          <cell r="D737" t="str">
            <v>DD-J10S-96011-1601</v>
          </cell>
          <cell r="E737" t="str">
            <v>支臂</v>
          </cell>
        </row>
        <row r="738">
          <cell r="D738" t="str">
            <v>DD-J10S-68311-120-1</v>
          </cell>
          <cell r="E738" t="str">
            <v>支架</v>
          </cell>
        </row>
        <row r="739">
          <cell r="D739" t="str">
            <v>DD-J10S-68311-1</v>
          </cell>
          <cell r="E739" t="str">
            <v>支架</v>
          </cell>
        </row>
        <row r="740">
          <cell r="D740" t="str">
            <v>DD-J10S-71111-20-1</v>
          </cell>
          <cell r="E740" t="str">
            <v>角材</v>
          </cell>
        </row>
        <row r="741">
          <cell r="D741" t="str">
            <v>W1-GU5715030-003R001</v>
          </cell>
          <cell r="E741" t="str">
            <v>前缘20号肋</v>
          </cell>
        </row>
        <row r="742">
          <cell r="D742" t="str">
            <v>W1-GU5715030-003L001</v>
          </cell>
          <cell r="E742" t="str">
            <v>前缘20号肋</v>
          </cell>
        </row>
        <row r="743">
          <cell r="D743" t="str">
            <v>DD-J10-05236-15-Y</v>
          </cell>
          <cell r="E743" t="str">
            <v>角材（右件）</v>
          </cell>
        </row>
        <row r="744">
          <cell r="D744" t="str">
            <v>DD-J10-05236-15-Y</v>
          </cell>
          <cell r="E744" t="str">
            <v>角材（右件）</v>
          </cell>
        </row>
        <row r="745">
          <cell r="D745" t="str">
            <v>DD-J10-05236-15-Y</v>
          </cell>
          <cell r="E745" t="str">
            <v>角材（右件）</v>
          </cell>
        </row>
        <row r="746">
          <cell r="D746" t="str">
            <v>DD-J10-05236-15-Y</v>
          </cell>
          <cell r="E746" t="str">
            <v>角材（右件）</v>
          </cell>
        </row>
        <row r="747">
          <cell r="D747" t="str">
            <v>DD-J10-05236-15-Z</v>
          </cell>
          <cell r="E747" t="str">
            <v>角材(左件）</v>
          </cell>
        </row>
        <row r="748">
          <cell r="D748" t="str">
            <v>DD-J10-05236-15-Z</v>
          </cell>
          <cell r="E748" t="str">
            <v>角材（左件）</v>
          </cell>
        </row>
        <row r="749">
          <cell r="D749" t="str">
            <v>DD-J10-05236-15-Z</v>
          </cell>
          <cell r="E749" t="str">
            <v>角材（左件）</v>
          </cell>
        </row>
        <row r="750">
          <cell r="D750" t="str">
            <v>DD-J10-05236-15-Z</v>
          </cell>
          <cell r="E750" t="str">
            <v>角材（左件）</v>
          </cell>
        </row>
        <row r="751">
          <cell r="D751" t="str">
            <v>DD-J10-94076-840-1</v>
          </cell>
          <cell r="E751" t="str">
            <v>法兰盘</v>
          </cell>
        </row>
        <row r="752">
          <cell r="D752" t="str">
            <v>DD-J10-94076-840-1</v>
          </cell>
          <cell r="E752" t="str">
            <v>法兰盘</v>
          </cell>
        </row>
        <row r="753">
          <cell r="D753" t="str">
            <v>DD-J10-94076-831/1</v>
          </cell>
          <cell r="E753" t="str">
            <v>法兰盘</v>
          </cell>
        </row>
        <row r="754">
          <cell r="D754" t="str">
            <v>DD-J10-86021-4010-1</v>
          </cell>
          <cell r="E754" t="str">
            <v>套筒</v>
          </cell>
        </row>
        <row r="755">
          <cell r="D755" t="str">
            <v>DD-J10-86021-4020-1</v>
          </cell>
          <cell r="E755" t="str">
            <v>套筒</v>
          </cell>
        </row>
        <row r="756">
          <cell r="D756" t="str">
            <v>DD-J10-41143-110-2</v>
          </cell>
          <cell r="E756" t="str">
            <v>螺帽</v>
          </cell>
        </row>
        <row r="757">
          <cell r="D757" t="str">
            <v>DD-J10S-94076-230-2</v>
          </cell>
          <cell r="E757" t="str">
            <v>套管</v>
          </cell>
        </row>
        <row r="758">
          <cell r="D758" t="str">
            <v>DD-J10-55181-2810-4</v>
          </cell>
          <cell r="E758" t="str">
            <v>管</v>
          </cell>
        </row>
        <row r="759">
          <cell r="D759" t="str">
            <v>DD-J10-55181-2710-4</v>
          </cell>
          <cell r="E759" t="str">
            <v>管</v>
          </cell>
        </row>
        <row r="760">
          <cell r="D760" t="str">
            <v>DD-J10-68074-1710-3</v>
          </cell>
          <cell r="E760" t="str">
            <v>钢管</v>
          </cell>
        </row>
        <row r="761">
          <cell r="D761" t="str">
            <v>DD-J10-68095-1720-3</v>
          </cell>
          <cell r="E761" t="str">
            <v>钢管</v>
          </cell>
        </row>
        <row r="762">
          <cell r="D762" t="str">
            <v>DD-J10-68074-1720-3</v>
          </cell>
          <cell r="E762" t="str">
            <v>钢管</v>
          </cell>
        </row>
        <row r="763">
          <cell r="D763" t="str">
            <v>DD-J10-68095-1710-3-Z</v>
          </cell>
          <cell r="E763" t="str">
            <v>钢管</v>
          </cell>
        </row>
        <row r="764">
          <cell r="D764" t="str">
            <v>DD-J10-68095-1710-3-Y</v>
          </cell>
          <cell r="E764" t="str">
            <v>钢管</v>
          </cell>
        </row>
        <row r="765">
          <cell r="D765" t="str">
            <v>DD-J10-41035-120-1</v>
          </cell>
          <cell r="E765" t="str">
            <v>管子</v>
          </cell>
        </row>
        <row r="766">
          <cell r="D766" t="str">
            <v>DD-J10-55055-2620-3</v>
          </cell>
          <cell r="E766" t="str">
            <v>衬套</v>
          </cell>
        </row>
        <row r="767">
          <cell r="D767" t="str">
            <v>DD-J10-55055-2620-3</v>
          </cell>
          <cell r="E767" t="str">
            <v>衬套</v>
          </cell>
        </row>
        <row r="768">
          <cell r="D768" t="str">
            <v>DD-J10-55051-6110-3</v>
          </cell>
          <cell r="E768" t="str">
            <v>衬套</v>
          </cell>
        </row>
        <row r="769">
          <cell r="D769" t="str">
            <v>DD-J10-41153-140-2</v>
          </cell>
          <cell r="E769" t="str">
            <v>指针</v>
          </cell>
        </row>
        <row r="770">
          <cell r="D770" t="str">
            <v>DD-J10-55181-2540-1</v>
          </cell>
          <cell r="E770" t="str">
            <v>螺栓</v>
          </cell>
        </row>
        <row r="771">
          <cell r="D771" t="str">
            <v>DD-J10-41123-1112</v>
          </cell>
          <cell r="E771" t="str">
            <v>拔棍</v>
          </cell>
        </row>
        <row r="772">
          <cell r="D772" t="str">
            <v>DD-J10-55051-1220-3</v>
          </cell>
          <cell r="E772" t="str">
            <v>支座管</v>
          </cell>
        </row>
        <row r="773">
          <cell r="D773" t="str">
            <v>DD-J10-55014-1400-2</v>
          </cell>
          <cell r="E773" t="str">
            <v>堵片</v>
          </cell>
        </row>
        <row r="774">
          <cell r="D774" t="str">
            <v>DD-J10-41153-140-2</v>
          </cell>
          <cell r="E774" t="str">
            <v>指针</v>
          </cell>
        </row>
        <row r="775">
          <cell r="D775" t="str">
            <v>DD-J10S-55111-210-2</v>
          </cell>
          <cell r="E775" t="str">
            <v>套管</v>
          </cell>
        </row>
        <row r="776">
          <cell r="D776" t="str">
            <v>DD-J10-55196-311</v>
          </cell>
          <cell r="E776" t="str">
            <v>螺栓</v>
          </cell>
        </row>
        <row r="777">
          <cell r="D777" t="str">
            <v>DD-J10-41123-1111</v>
          </cell>
          <cell r="E777" t="str">
            <v>销子</v>
          </cell>
        </row>
        <row r="778">
          <cell r="D778" t="str">
            <v>DD-J10-55051-1211</v>
          </cell>
          <cell r="E778" t="str">
            <v>连接件</v>
          </cell>
        </row>
        <row r="779">
          <cell r="D779" t="str">
            <v>DD-J10S-65001-4010-3</v>
          </cell>
          <cell r="E779" t="str">
            <v>衬套</v>
          </cell>
        </row>
        <row r="780">
          <cell r="D780" t="str">
            <v>DD-J10-55051-1311</v>
          </cell>
          <cell r="E780" t="str">
            <v>连接件</v>
          </cell>
        </row>
        <row r="781">
          <cell r="D781" t="str">
            <v>DD-J10-41123-1101</v>
          </cell>
          <cell r="E781" t="str">
            <v>壳体</v>
          </cell>
        </row>
        <row r="782">
          <cell r="D782" t="str">
            <v>DD-J10-41123-1101</v>
          </cell>
          <cell r="E782" t="str">
            <v>壳体</v>
          </cell>
        </row>
        <row r="783">
          <cell r="D783" t="str">
            <v>DD-J10-41035-122</v>
          </cell>
          <cell r="E783" t="str">
            <v>底座</v>
          </cell>
        </row>
        <row r="784">
          <cell r="D784" t="str">
            <v>DD-J10-55165-710-3</v>
          </cell>
          <cell r="E784" t="str">
            <v>衬套</v>
          </cell>
        </row>
        <row r="785">
          <cell r="D785" t="str">
            <v>DD-J10-55181-2540-2</v>
          </cell>
          <cell r="E785" t="str">
            <v>小轴</v>
          </cell>
        </row>
        <row r="786">
          <cell r="D786" t="str">
            <v>DD-J10-41123-1102</v>
          </cell>
          <cell r="E786" t="str">
            <v>堵塞</v>
          </cell>
        </row>
        <row r="787">
          <cell r="D787" t="str">
            <v>DD-J10-86021-5000-1</v>
          </cell>
          <cell r="E787" t="str">
            <v>斜垫块</v>
          </cell>
        </row>
        <row r="788">
          <cell r="D788" t="str">
            <v>×××-64-02-0000-01</v>
          </cell>
          <cell r="E788" t="str">
            <v>腔体</v>
          </cell>
        </row>
        <row r="789">
          <cell r="D789" t="str">
            <v>×××-64-02-0000-02</v>
          </cell>
          <cell r="E789" t="str">
            <v>上盖板</v>
          </cell>
        </row>
        <row r="790">
          <cell r="D790" t="str">
            <v>×××-64-02-0000-03</v>
          </cell>
          <cell r="E790" t="str">
            <v>下盖板</v>
          </cell>
        </row>
        <row r="791">
          <cell r="D791" t="str">
            <v>DCW02-30000-01</v>
          </cell>
          <cell r="E791" t="str">
            <v>连接板</v>
          </cell>
        </row>
        <row r="792">
          <cell r="D792" t="str">
            <v>DCW02-30000-05</v>
          </cell>
          <cell r="E792" t="str">
            <v>腔体</v>
          </cell>
        </row>
        <row r="793">
          <cell r="D793" t="str">
            <v>DD-J10-64016-210-1</v>
          </cell>
          <cell r="E793" t="str">
            <v>管子</v>
          </cell>
        </row>
        <row r="794">
          <cell r="D794" t="str">
            <v>GU5715010-013R001</v>
          </cell>
          <cell r="E794" t="str">
            <v>前缘11肋</v>
          </cell>
        </row>
        <row r="795">
          <cell r="D795" t="str">
            <v>DD-J10-04401-103</v>
          </cell>
          <cell r="E795" t="str">
            <v>接头</v>
          </cell>
        </row>
        <row r="796">
          <cell r="D796" t="str">
            <v>DD-J10-04401-103</v>
          </cell>
          <cell r="E796" t="str">
            <v>接头</v>
          </cell>
        </row>
        <row r="797">
          <cell r="D797" t="str">
            <v>DD-J10-04401-103</v>
          </cell>
          <cell r="E797" t="str">
            <v>接头</v>
          </cell>
        </row>
        <row r="798">
          <cell r="D798" t="str">
            <v>DD-J10-04401-104</v>
          </cell>
          <cell r="E798" t="str">
            <v>接头</v>
          </cell>
        </row>
        <row r="799">
          <cell r="D799" t="str">
            <v>DD-J10-04401-104</v>
          </cell>
          <cell r="E799" t="str">
            <v>接头</v>
          </cell>
        </row>
        <row r="800">
          <cell r="D800" t="str">
            <v>DD-J10-86021-4102</v>
          </cell>
          <cell r="E800" t="str">
            <v>连杆</v>
          </cell>
        </row>
        <row r="801">
          <cell r="D801" t="str">
            <v>DD-J10-86021-6002</v>
          </cell>
          <cell r="E801" t="str">
            <v>转接头</v>
          </cell>
        </row>
        <row r="802">
          <cell r="D802" t="str">
            <v>DD-J10-06031-134</v>
          </cell>
          <cell r="E802" t="str">
            <v>滑块</v>
          </cell>
        </row>
        <row r="803">
          <cell r="D803" t="str">
            <v>MABXXX-0000-01</v>
          </cell>
          <cell r="E803" t="str">
            <v>盖板</v>
          </cell>
        </row>
        <row r="804">
          <cell r="D804" t="str">
            <v>MABXXX-0000-02</v>
          </cell>
          <cell r="E804" t="str">
            <v>腔体</v>
          </cell>
        </row>
        <row r="805">
          <cell r="D805" t="str">
            <v>MABXXX-0000-03</v>
          </cell>
          <cell r="E805" t="str">
            <v>压板</v>
          </cell>
        </row>
        <row r="806">
          <cell r="D806" t="str">
            <v>08-0000-01</v>
          </cell>
          <cell r="E806" t="str">
            <v>盒体上盖</v>
          </cell>
        </row>
        <row r="807">
          <cell r="D807" t="str">
            <v>08-0000-02</v>
          </cell>
          <cell r="E807" t="str">
            <v>盒体</v>
          </cell>
        </row>
        <row r="808">
          <cell r="D808" t="str">
            <v>08-0000-03</v>
          </cell>
          <cell r="E808" t="str">
            <v>盒体下盖</v>
          </cell>
        </row>
        <row r="809">
          <cell r="D809" t="str">
            <v>08-0000-04</v>
          </cell>
          <cell r="E809" t="str">
            <v>透明窗板</v>
          </cell>
        </row>
        <row r="810">
          <cell r="D810" t="str">
            <v>08-0000-05</v>
          </cell>
          <cell r="E810" t="str">
            <v>压线卡</v>
          </cell>
        </row>
        <row r="811">
          <cell r="D811" t="str">
            <v>DD-J10B-04041-1</v>
          </cell>
          <cell r="E811" t="str">
            <v>10060框</v>
          </cell>
        </row>
        <row r="812">
          <cell r="D812" t="str">
            <v>DD-J10-34003-2</v>
          </cell>
          <cell r="E812" t="str">
            <v>后梁</v>
          </cell>
        </row>
        <row r="813">
          <cell r="D813" t="str">
            <v>DD-J10-34003-2</v>
          </cell>
          <cell r="E813" t="str">
            <v>后梁</v>
          </cell>
        </row>
        <row r="814">
          <cell r="D814" t="str">
            <v>DD-J10-34003-2</v>
          </cell>
          <cell r="E814" t="str">
            <v>后梁</v>
          </cell>
        </row>
        <row r="815">
          <cell r="D815" t="str">
            <v>DD-J10-34103-4</v>
          </cell>
          <cell r="E815" t="str">
            <v>上边肋</v>
          </cell>
        </row>
        <row r="816">
          <cell r="D816" t="str">
            <v>DD-J10-34103-4</v>
          </cell>
          <cell r="E816" t="str">
            <v>上边肋</v>
          </cell>
        </row>
        <row r="817">
          <cell r="D817" t="str">
            <v>DD-J10-34103-4</v>
          </cell>
          <cell r="E817" t="str">
            <v>上边肋</v>
          </cell>
        </row>
        <row r="818">
          <cell r="D818" t="str">
            <v>DD-J10-21102-410-1-Z</v>
          </cell>
          <cell r="E818" t="str">
            <v>1150肋根肋(左件）</v>
          </cell>
        </row>
        <row r="819">
          <cell r="D819" t="str">
            <v>DD-J10-21102-410-1-Z</v>
          </cell>
          <cell r="E819" t="str">
            <v>1150肋根肋(左件）</v>
          </cell>
        </row>
        <row r="820">
          <cell r="D820" t="str">
            <v>DD-J10-21102-410-1-Y</v>
          </cell>
          <cell r="E820" t="str">
            <v>1150肋根肋(右件）</v>
          </cell>
        </row>
        <row r="821">
          <cell r="D821" t="str">
            <v>DD-J10-21102-410-1-Y</v>
          </cell>
          <cell r="E821" t="str">
            <v>1150肋根肋(右件）</v>
          </cell>
        </row>
        <row r="822">
          <cell r="D822" t="str">
            <v>W1-CB5327510-003L006</v>
          </cell>
          <cell r="E822" t="str">
            <v>旋臂支座</v>
          </cell>
        </row>
        <row r="823">
          <cell r="D823" t="str">
            <v>W1-CB5327510-003L006</v>
          </cell>
          <cell r="E823" t="str">
            <v>旋臂支座</v>
          </cell>
        </row>
        <row r="824">
          <cell r="D824" t="str">
            <v>CB5327510-003R006</v>
          </cell>
          <cell r="E824" t="str">
            <v>旋臂支座</v>
          </cell>
        </row>
        <row r="825">
          <cell r="D825" t="str">
            <v>CB5327510-001R006</v>
          </cell>
          <cell r="E825" t="str">
            <v>承载旋臂</v>
          </cell>
        </row>
        <row r="826">
          <cell r="D826" t="str">
            <v>CB5327510-001R006</v>
          </cell>
          <cell r="E826" t="str">
            <v>承载旋臂</v>
          </cell>
        </row>
        <row r="827">
          <cell r="D827" t="str">
            <v>CB5327510-001L006</v>
          </cell>
          <cell r="E827" t="str">
            <v>承载旋臂</v>
          </cell>
        </row>
        <row r="828">
          <cell r="D828" t="str">
            <v>DD-J10-05216-32</v>
          </cell>
          <cell r="E828" t="str">
            <v>转接头</v>
          </cell>
        </row>
        <row r="829">
          <cell r="D829" t="str">
            <v>DD-J10-05216-32</v>
          </cell>
          <cell r="E829" t="str">
            <v>转接头</v>
          </cell>
        </row>
        <row r="830">
          <cell r="D830" t="str">
            <v>DD-J10-05156-1-Z</v>
          </cell>
          <cell r="E830" t="str">
            <v>外侧梁主件（左件）</v>
          </cell>
        </row>
        <row r="831">
          <cell r="D831" t="str">
            <v>DD-J10-05156-1-Z</v>
          </cell>
          <cell r="E831" t="str">
            <v>外侧梁主件（左件）</v>
          </cell>
        </row>
        <row r="832">
          <cell r="D832" t="str">
            <v>DD-J10-05156-1-Z</v>
          </cell>
          <cell r="E832" t="str">
            <v>外侧梁主件（左件）</v>
          </cell>
        </row>
        <row r="833">
          <cell r="D833" t="str">
            <v>DD-J10-05156-1-Z</v>
          </cell>
          <cell r="E833" t="str">
            <v>外侧梁主件（左件）</v>
          </cell>
        </row>
        <row r="834">
          <cell r="D834" t="str">
            <v>DD-J10-05156-1-Z</v>
          </cell>
          <cell r="E834" t="str">
            <v>外侧梁主件（左件）</v>
          </cell>
        </row>
        <row r="835">
          <cell r="D835" t="str">
            <v>DD-J10-05156-1-Z</v>
          </cell>
          <cell r="E835" t="str">
            <v>外侧梁主件（左件）</v>
          </cell>
        </row>
        <row r="836">
          <cell r="D836" t="str">
            <v>DD-J10-05156-1-Y</v>
          </cell>
          <cell r="E836" t="str">
            <v>外侧梁主件（右件）</v>
          </cell>
        </row>
        <row r="837">
          <cell r="D837" t="str">
            <v>DD-J10-05156-1-Y</v>
          </cell>
          <cell r="E837" t="str">
            <v>外侧梁主件（右件）</v>
          </cell>
        </row>
        <row r="838">
          <cell r="D838" t="str">
            <v>DD-J10-05156-1-Y</v>
          </cell>
          <cell r="E838" t="str">
            <v>外侧梁主件（右件）</v>
          </cell>
        </row>
        <row r="839">
          <cell r="D839" t="str">
            <v>DD-J10-05156-1-y</v>
          </cell>
          <cell r="E839" t="str">
            <v>外侧梁主件（右件）</v>
          </cell>
        </row>
        <row r="840">
          <cell r="D840" t="str">
            <v>DD-J10-05156-1-Y</v>
          </cell>
          <cell r="E840" t="str">
            <v>外侧梁主件（右件）</v>
          </cell>
        </row>
        <row r="841">
          <cell r="D841" t="str">
            <v>DD-J10-05156-1-Y</v>
          </cell>
          <cell r="E841" t="str">
            <v>外侧梁主件（右件）</v>
          </cell>
        </row>
        <row r="842">
          <cell r="D842" t="str">
            <v>DD-J10S-04031-1</v>
          </cell>
          <cell r="E842" t="str">
            <v>8700框</v>
          </cell>
        </row>
        <row r="843">
          <cell r="D843" t="str">
            <v>DD-J10S-04031-1</v>
          </cell>
          <cell r="E843" t="str">
            <v>8700框</v>
          </cell>
        </row>
        <row r="844">
          <cell r="D844" t="str">
            <v>DD-J10S-04031-1</v>
          </cell>
          <cell r="E844" t="str">
            <v>8700框</v>
          </cell>
        </row>
        <row r="845">
          <cell r="D845" t="str">
            <v>DD-J10S-04031-1</v>
          </cell>
          <cell r="E845" t="str">
            <v>8700框</v>
          </cell>
        </row>
        <row r="846">
          <cell r="D846" t="str">
            <v>DD-J10-06021-143-Y</v>
          </cell>
          <cell r="E846" t="str">
            <v>下夹座</v>
          </cell>
        </row>
        <row r="847">
          <cell r="D847" t="str">
            <v>DD-J10-06021-143-Z</v>
          </cell>
          <cell r="E847" t="str">
            <v>下夹座</v>
          </cell>
        </row>
        <row r="848">
          <cell r="D848" t="str">
            <v>DD-J10-06021-142</v>
          </cell>
          <cell r="E848" t="str">
            <v>上夹座</v>
          </cell>
        </row>
        <row r="849">
          <cell r="D849" t="str">
            <v>DD-J10-42074-110-2</v>
          </cell>
          <cell r="E849" t="str">
            <v>大摇臂</v>
          </cell>
        </row>
        <row r="850">
          <cell r="D850" t="str">
            <v>DD-J10-42074-120-2</v>
          </cell>
          <cell r="E850" t="str">
            <v>大摇臂</v>
          </cell>
        </row>
        <row r="851">
          <cell r="D851" t="str">
            <v>DD-J10-42074-120-1</v>
          </cell>
          <cell r="E851" t="str">
            <v>小摇臂</v>
          </cell>
        </row>
        <row r="852">
          <cell r="D852" t="str">
            <v>DD-J10-42074-110-1</v>
          </cell>
          <cell r="E852" t="str">
            <v>小摇臂</v>
          </cell>
        </row>
        <row r="853">
          <cell r="D853" t="str">
            <v>DD-J10-86021-5003</v>
          </cell>
          <cell r="E853" t="str">
            <v>转接件</v>
          </cell>
        </row>
        <row r="854">
          <cell r="D854" t="str">
            <v>DD-J10-86021-3902</v>
          </cell>
          <cell r="E854" t="str">
            <v>支座</v>
          </cell>
        </row>
        <row r="855">
          <cell r="D855" t="str">
            <v>DD-J10S-06031-1232</v>
          </cell>
          <cell r="E855" t="str">
            <v>支座</v>
          </cell>
        </row>
        <row r="856">
          <cell r="D856" t="str">
            <v>DD-J10-41173-101</v>
          </cell>
          <cell r="E856" t="str">
            <v>活塞</v>
          </cell>
        </row>
        <row r="857">
          <cell r="D857" t="str">
            <v>DD-J10-21102-390-1-Z</v>
          </cell>
          <cell r="E857" t="str">
            <v>1150肋九段（左件）</v>
          </cell>
        </row>
        <row r="858">
          <cell r="D858" t="str">
            <v>DD-J10-21102-390-1-Z</v>
          </cell>
          <cell r="E858" t="str">
            <v>1150肋九段（左件）</v>
          </cell>
        </row>
        <row r="859">
          <cell r="D859" t="str">
            <v>DD-J10-21102-390-1-Z</v>
          </cell>
          <cell r="E859" t="str">
            <v>1150肋九段（左件）</v>
          </cell>
        </row>
        <row r="860">
          <cell r="D860" t="str">
            <v>DD-J10-21102-390-1-Y</v>
          </cell>
          <cell r="E860" t="str">
            <v>1150肋九段（右件）</v>
          </cell>
        </row>
        <row r="861">
          <cell r="D861" t="str">
            <v>DD-J10-21102-390-1-Y</v>
          </cell>
          <cell r="E861" t="str">
            <v>1150肋九段（右件）</v>
          </cell>
        </row>
        <row r="862">
          <cell r="D862" t="str">
            <v>DD-J10-21102-390-1-Y</v>
          </cell>
          <cell r="E862" t="str">
            <v>1150肋九段（右件）</v>
          </cell>
        </row>
        <row r="863">
          <cell r="D863" t="str">
            <v>DD-J10-21102-140-1-Z</v>
          </cell>
          <cell r="E863" t="str">
            <v>9860梁（左件）</v>
          </cell>
        </row>
        <row r="864">
          <cell r="D864" t="str">
            <v>DD-J10-21102-140-1-Z</v>
          </cell>
          <cell r="E864" t="str">
            <v>9860梁（左件）</v>
          </cell>
        </row>
        <row r="865">
          <cell r="D865" t="str">
            <v>DD-J10-21102-140-1-Z</v>
          </cell>
          <cell r="E865" t="str">
            <v>9860梁（左件）</v>
          </cell>
        </row>
        <row r="866">
          <cell r="D866" t="str">
            <v>DD-J10-21102-140-1-Y</v>
          </cell>
          <cell r="E866" t="str">
            <v>9860梁（右件）</v>
          </cell>
        </row>
        <row r="867">
          <cell r="D867" t="str">
            <v>DD-J10-21102-140-1-Y</v>
          </cell>
          <cell r="E867" t="str">
            <v>9860梁（右件）</v>
          </cell>
        </row>
        <row r="868">
          <cell r="D868" t="str">
            <v>DD-J10-21102-140-1-Y</v>
          </cell>
          <cell r="E868" t="str">
            <v>9860梁（右件）</v>
          </cell>
        </row>
        <row r="869">
          <cell r="D869" t="str">
            <v>DD-J10-21102-160-1-Z</v>
          </cell>
          <cell r="E869" t="str">
            <v>10260梁（左件）</v>
          </cell>
        </row>
        <row r="870">
          <cell r="D870" t="str">
            <v>DD-J10-21102-160-1-Z</v>
          </cell>
          <cell r="E870" t="str">
            <v>10260梁（左件）</v>
          </cell>
        </row>
        <row r="871">
          <cell r="D871" t="str">
            <v>DD-J10-21102-160-1-Z</v>
          </cell>
          <cell r="E871" t="str">
            <v>10260梁（左件）</v>
          </cell>
        </row>
        <row r="872">
          <cell r="D872" t="str">
            <v>DD-J10-21102-160-1-Y</v>
          </cell>
          <cell r="E872" t="str">
            <v>10260梁（右件）</v>
          </cell>
        </row>
        <row r="873">
          <cell r="D873" t="str">
            <v>DD-J10-21102-160-1-Y</v>
          </cell>
          <cell r="E873" t="str">
            <v>10260梁（右件）</v>
          </cell>
        </row>
        <row r="874">
          <cell r="D874" t="str">
            <v>DD-J10-21102-160-1-Y</v>
          </cell>
          <cell r="E874" t="str">
            <v>10260梁（右件）</v>
          </cell>
        </row>
        <row r="875">
          <cell r="D875" t="str">
            <v>CB5323311-005R003</v>
          </cell>
          <cell r="E875" t="str">
            <v>11140-12450 侧上梁</v>
          </cell>
        </row>
        <row r="876">
          <cell r="D876" t="str">
            <v>CB5323311-005L004</v>
          </cell>
          <cell r="E876" t="str">
            <v>11140-12450 侧上梁</v>
          </cell>
        </row>
        <row r="877">
          <cell r="D877" t="str">
            <v>CB5323311-005L004</v>
          </cell>
          <cell r="E877" t="str">
            <v>11140-12450 侧上梁</v>
          </cell>
        </row>
        <row r="878">
          <cell r="D878" t="str">
            <v>CB5323311-005L004</v>
          </cell>
          <cell r="E878" t="str">
            <v>11140-12450 侧上梁</v>
          </cell>
        </row>
        <row r="879">
          <cell r="D879" t="str">
            <v>WI-GU5314300-003-001</v>
          </cell>
          <cell r="E879" t="str">
            <v>撑杆接头</v>
          </cell>
        </row>
        <row r="880">
          <cell r="D880" t="str">
            <v>DD-J10-05156-3-Z</v>
          </cell>
          <cell r="E880" t="str">
            <v>前接头下件（左件）</v>
          </cell>
        </row>
        <row r="881">
          <cell r="D881" t="str">
            <v>DD-J10-05156-3-Z</v>
          </cell>
          <cell r="E881" t="str">
            <v>前接头下件（左件）</v>
          </cell>
        </row>
        <row r="882">
          <cell r="D882" t="str">
            <v>DD-J10-05156-3-Y</v>
          </cell>
          <cell r="E882" t="str">
            <v>前接头下件（右件）</v>
          </cell>
        </row>
        <row r="883">
          <cell r="D883" t="str">
            <v>DD-J10-05156-3-Y</v>
          </cell>
          <cell r="E883" t="str">
            <v>前接头下件（右件）</v>
          </cell>
        </row>
        <row r="884">
          <cell r="D884" t="str">
            <v>DD-J10-05156-2-Z</v>
          </cell>
          <cell r="E884" t="str">
            <v>前接头上件（左件）</v>
          </cell>
        </row>
        <row r="885">
          <cell r="D885" t="str">
            <v>DD-J10-05156-2-Z</v>
          </cell>
          <cell r="E885" t="str">
            <v>前接头上件（左件）</v>
          </cell>
        </row>
        <row r="886">
          <cell r="D886" t="str">
            <v>DD-J10-05156-2-Y</v>
          </cell>
          <cell r="E886" t="str">
            <v>前接头上件（右件）</v>
          </cell>
        </row>
        <row r="887">
          <cell r="D887" t="str">
            <v>DD-J10-05156-2-Y</v>
          </cell>
          <cell r="E887" t="str">
            <v>前接头上件（右件）</v>
          </cell>
        </row>
        <row r="888">
          <cell r="D888" t="str">
            <v>DD-J10-05156-2-Y</v>
          </cell>
          <cell r="E888" t="str">
            <v>前接头上件（右件）</v>
          </cell>
        </row>
        <row r="889">
          <cell r="D889" t="str">
            <v>DD-J10S-94051-18</v>
          </cell>
          <cell r="E889" t="str">
            <v>支架</v>
          </cell>
        </row>
        <row r="890">
          <cell r="D890" t="str">
            <v>DD-J10B-04061-1</v>
          </cell>
          <cell r="E890" t="str">
            <v>10860框</v>
          </cell>
        </row>
        <row r="891">
          <cell r="D891" t="str">
            <v>DD-J10B-04061-1</v>
          </cell>
          <cell r="E891" t="str">
            <v>10860框</v>
          </cell>
        </row>
        <row r="892">
          <cell r="D892" t="str">
            <v>DD-J10B-04061-1</v>
          </cell>
          <cell r="E892" t="str">
            <v>10860框</v>
          </cell>
        </row>
        <row r="893">
          <cell r="D893" t="str">
            <v>DD-J10B-04061-1</v>
          </cell>
          <cell r="E893" t="str">
            <v>10860框</v>
          </cell>
        </row>
        <row r="894">
          <cell r="D894" t="str">
            <v>DD-J10-04501-10-1-Z</v>
          </cell>
          <cell r="E894" t="str">
            <v>BL900侧梁{左件）</v>
          </cell>
        </row>
        <row r="895">
          <cell r="D895" t="str">
            <v>DD-J10-04501-10-1-Z</v>
          </cell>
          <cell r="E895" t="str">
            <v>BL900侧梁{左件）</v>
          </cell>
        </row>
        <row r="896">
          <cell r="D896" t="str">
            <v>DD-J10-04501-10-1-Z</v>
          </cell>
          <cell r="E896" t="str">
            <v>BL900侧梁{左件）</v>
          </cell>
        </row>
        <row r="897">
          <cell r="D897" t="str">
            <v>DD-J10-04501-10-1-Z</v>
          </cell>
          <cell r="E897" t="str">
            <v>BL900侧梁{左件）</v>
          </cell>
        </row>
        <row r="898">
          <cell r="D898" t="str">
            <v>DD-J10-04501-10-1-Y</v>
          </cell>
          <cell r="E898" t="str">
            <v>BL900侧梁{右件）</v>
          </cell>
        </row>
        <row r="899">
          <cell r="D899" t="str">
            <v>DD-J10-04501-10-1-Y</v>
          </cell>
          <cell r="E899" t="str">
            <v>BL900侧梁{右件）</v>
          </cell>
        </row>
        <row r="900">
          <cell r="D900" t="str">
            <v>DD-J10-04501-10-1-Y</v>
          </cell>
          <cell r="E900" t="str">
            <v>BL900侧梁{右件）</v>
          </cell>
        </row>
        <row r="901">
          <cell r="D901" t="str">
            <v>DD-J10-04501-10-1-Y</v>
          </cell>
          <cell r="E901" t="str">
            <v>BL900侧梁{右件）</v>
          </cell>
        </row>
        <row r="902">
          <cell r="D902" t="str">
            <v>TXCS-1000-01</v>
          </cell>
          <cell r="E902" t="str">
            <v>壳体</v>
          </cell>
        </row>
        <row r="903">
          <cell r="D903" t="str">
            <v>TXCS-1000-02</v>
          </cell>
          <cell r="E903" t="str">
            <v>围框</v>
          </cell>
        </row>
        <row r="904">
          <cell r="D904" t="str">
            <v>TXCS-1000-03</v>
          </cell>
          <cell r="E904" t="str">
            <v>天线盖板</v>
          </cell>
        </row>
        <row r="905">
          <cell r="D905" t="str">
            <v>TXCS-1000-04</v>
          </cell>
          <cell r="E905" t="str">
            <v>压板</v>
          </cell>
        </row>
        <row r="906">
          <cell r="D906" t="str">
            <v>TXCS-1000-05</v>
          </cell>
          <cell r="E906" t="str">
            <v>吸波块</v>
          </cell>
        </row>
        <row r="907">
          <cell r="D907" t="str">
            <v>TXCS-1000-06</v>
          </cell>
          <cell r="E907" t="str">
            <v>左安装块</v>
          </cell>
        </row>
        <row r="908">
          <cell r="D908" t="str">
            <v>TXCS-1000-07</v>
          </cell>
          <cell r="E908" t="str">
            <v>右安装块</v>
          </cell>
        </row>
        <row r="909">
          <cell r="D909" t="str">
            <v>TXCS-1000-08</v>
          </cell>
          <cell r="E909" t="str">
            <v>安装板</v>
          </cell>
        </row>
        <row r="910">
          <cell r="D910" t="str">
            <v>TXCS-1000-09</v>
          </cell>
          <cell r="E910" t="str">
            <v>支撑板</v>
          </cell>
        </row>
        <row r="911">
          <cell r="D911" t="str">
            <v>TXCS-1000-10</v>
          </cell>
          <cell r="E911" t="str">
            <v>支撑杆1</v>
          </cell>
        </row>
        <row r="912">
          <cell r="D912" t="str">
            <v>TXCS-1000-11</v>
          </cell>
          <cell r="E912" t="str">
            <v>支撑杆2</v>
          </cell>
        </row>
        <row r="913">
          <cell r="D913" t="str">
            <v>TXCS-1000-12</v>
          </cell>
          <cell r="E913" t="str">
            <v>垫块</v>
          </cell>
        </row>
        <row r="914">
          <cell r="D914" t="str">
            <v>TXCS-1000-13</v>
          </cell>
          <cell r="E914" t="str">
            <v>锁紧螺钉</v>
          </cell>
        </row>
        <row r="915">
          <cell r="D915" t="str">
            <v>XX02A-0000-01</v>
          </cell>
          <cell r="E915" t="str">
            <v>腔体</v>
          </cell>
        </row>
        <row r="916">
          <cell r="D916" t="str">
            <v>XX02A-0000-02</v>
          </cell>
          <cell r="E916" t="str">
            <v>盖板</v>
          </cell>
        </row>
        <row r="917">
          <cell r="D917" t="str">
            <v>XX02A-1000-01</v>
          </cell>
          <cell r="E917" t="str">
            <v>信号处理腔体</v>
          </cell>
        </row>
        <row r="918">
          <cell r="D918" t="str">
            <v>XX02A-1000-02</v>
          </cell>
          <cell r="E918" t="str">
            <v>信号处理盖板</v>
          </cell>
        </row>
        <row r="919">
          <cell r="D919" t="str">
            <v>XX02A-2000-01</v>
          </cell>
          <cell r="E919" t="str">
            <v>接口组件腔体</v>
          </cell>
        </row>
        <row r="920">
          <cell r="D920" t="str">
            <v>XX03A-0000-01</v>
          </cell>
          <cell r="E920" t="str">
            <v>腔体</v>
          </cell>
        </row>
        <row r="921">
          <cell r="D921" t="str">
            <v>XX03A-0000-02</v>
          </cell>
          <cell r="E921" t="str">
            <v>盖板</v>
          </cell>
        </row>
        <row r="922">
          <cell r="D922" t="str">
            <v>XX03A-0000-03</v>
          </cell>
          <cell r="E922" t="str">
            <v>套筒</v>
          </cell>
        </row>
        <row r="923">
          <cell r="D923" t="str">
            <v>XX03A-1000-01</v>
          </cell>
          <cell r="E923" t="str">
            <v>信号处理腔体</v>
          </cell>
        </row>
        <row r="924">
          <cell r="D924" t="str">
            <v>XX03A-1000-02</v>
          </cell>
          <cell r="E924" t="str">
            <v>信号处理盖板</v>
          </cell>
        </row>
        <row r="925">
          <cell r="D925" t="str">
            <v>XX03A-2000-01</v>
          </cell>
          <cell r="E925" t="str">
            <v>接口组件腔体</v>
          </cell>
        </row>
        <row r="926">
          <cell r="D926" t="str">
            <v>DD-J10S-94051-18</v>
          </cell>
          <cell r="E926" t="str">
            <v>支架</v>
          </cell>
        </row>
        <row r="927">
          <cell r="D927" t="str">
            <v>DD-J10-86021-6001</v>
          </cell>
          <cell r="E927" t="str">
            <v>导轨</v>
          </cell>
        </row>
        <row r="928">
          <cell r="D928" t="str">
            <v>DD-J10-06031-133</v>
          </cell>
          <cell r="E928" t="str">
            <v>档块</v>
          </cell>
        </row>
        <row r="929">
          <cell r="D929" t="str">
            <v>DD-J10S-06061-222</v>
          </cell>
          <cell r="E929" t="str">
            <v>摇臂</v>
          </cell>
        </row>
        <row r="930">
          <cell r="D930" t="str">
            <v>DD-J10-94011-570-3</v>
          </cell>
          <cell r="E930" t="str">
            <v>管子</v>
          </cell>
        </row>
        <row r="931">
          <cell r="D931" t="str">
            <v>DD-J10S-94076-10-1</v>
          </cell>
          <cell r="E931" t="str">
            <v>管子</v>
          </cell>
        </row>
        <row r="932">
          <cell r="D932" t="str">
            <v>DD-J10S-94076-630-1</v>
          </cell>
          <cell r="E932" t="str">
            <v>管子</v>
          </cell>
        </row>
        <row r="933">
          <cell r="D933" t="str">
            <v>DCW14-1500-02</v>
          </cell>
          <cell r="E933" t="str">
            <v>支撑柱</v>
          </cell>
        </row>
        <row r="934">
          <cell r="D934" t="str">
            <v>DCW14-1500-01</v>
          </cell>
          <cell r="E934" t="str">
            <v>继电器安装板</v>
          </cell>
        </row>
        <row r="935">
          <cell r="D935" t="str">
            <v>DCW14-1400-01</v>
          </cell>
          <cell r="E935" t="str">
            <v>开路电压测试电路腔体</v>
          </cell>
        </row>
        <row r="936">
          <cell r="D936" t="str">
            <v>DCW14-1310-03</v>
          </cell>
          <cell r="E936" t="str">
            <v>接线片</v>
          </cell>
        </row>
        <row r="937">
          <cell r="D937" t="str">
            <v>DCW14-1310-02</v>
          </cell>
          <cell r="E937" t="str">
            <v>电流环屏蔽盖</v>
          </cell>
        </row>
        <row r="938">
          <cell r="D938" t="str">
            <v>DCW14-1310-01</v>
          </cell>
          <cell r="E938" t="str">
            <v>电流环屏蔽座</v>
          </cell>
        </row>
        <row r="939">
          <cell r="D939" t="str">
            <v>DCW14-1300-02</v>
          </cell>
          <cell r="E939" t="str">
            <v>电流测量组件安装座</v>
          </cell>
        </row>
        <row r="940">
          <cell r="D940" t="str">
            <v>DCW14-1300-01</v>
          </cell>
          <cell r="E940" t="str">
            <v>电流测量组件盖板</v>
          </cell>
        </row>
        <row r="941">
          <cell r="D941" t="str">
            <v>DCW14-1210-01</v>
          </cell>
          <cell r="E941" t="str">
            <v>绕线棒</v>
          </cell>
        </row>
        <row r="942">
          <cell r="D942" t="str">
            <v>DCW14-1200-01</v>
          </cell>
          <cell r="E942" t="str">
            <v>模负载腔体</v>
          </cell>
        </row>
        <row r="943">
          <cell r="D943" t="str">
            <v>DCW14-1110-01</v>
          </cell>
          <cell r="E943" t="str">
            <v>扁平电缆腔体</v>
          </cell>
        </row>
        <row r="944">
          <cell r="D944" t="str">
            <v>DCW14-1100-02</v>
          </cell>
          <cell r="E944" t="str">
            <v>融发管安装座</v>
          </cell>
        </row>
        <row r="945">
          <cell r="D945" t="str">
            <v>DCW14-110-01</v>
          </cell>
          <cell r="E945" t="str">
            <v>元件安装板</v>
          </cell>
        </row>
        <row r="946">
          <cell r="D946" t="str">
            <v>DCW14-1000-09</v>
          </cell>
          <cell r="E946" t="str">
            <v>简易同步壳体</v>
          </cell>
        </row>
        <row r="947">
          <cell r="D947" t="str">
            <v>DCW14-1000-08</v>
          </cell>
          <cell r="E947" t="str">
            <v>绝缘垫圈</v>
          </cell>
        </row>
        <row r="948">
          <cell r="D948" t="str">
            <v>DCW14-1000-07</v>
          </cell>
          <cell r="E948" t="str">
            <v>垫块</v>
          </cell>
        </row>
        <row r="949">
          <cell r="D949" t="str">
            <v>DCW14-1000-05</v>
          </cell>
          <cell r="E949" t="str">
            <v>左侧板</v>
          </cell>
        </row>
        <row r="950">
          <cell r="D950" t="str">
            <v>DCW14-1000-06</v>
          </cell>
          <cell r="E950" t="str">
            <v>背板</v>
          </cell>
        </row>
        <row r="951">
          <cell r="D951" t="str">
            <v>DCW14-1000-04</v>
          </cell>
          <cell r="E951" t="str">
            <v>底板</v>
          </cell>
        </row>
        <row r="952">
          <cell r="D952" t="str">
            <v>DCW14-1000-03</v>
          </cell>
          <cell r="E952" t="str">
            <v>右侧板</v>
          </cell>
        </row>
        <row r="953">
          <cell r="D953" t="str">
            <v>DVW14-1000-02</v>
          </cell>
          <cell r="E953" t="str">
            <v>面板</v>
          </cell>
        </row>
        <row r="954">
          <cell r="D954" t="str">
            <v>DVW14-1000-01</v>
          </cell>
          <cell r="E954" t="str">
            <v>盖板</v>
          </cell>
        </row>
        <row r="955">
          <cell r="D955" t="str">
            <v>XXX-2200-01</v>
          </cell>
          <cell r="E955" t="str">
            <v>底板</v>
          </cell>
        </row>
        <row r="956">
          <cell r="D956" t="str">
            <v>XXX-2200-02</v>
          </cell>
          <cell r="E956" t="str">
            <v>侧板1</v>
          </cell>
        </row>
        <row r="957">
          <cell r="D957" t="str">
            <v>XXX-2200-03</v>
          </cell>
          <cell r="E957" t="str">
            <v>侧板2</v>
          </cell>
        </row>
        <row r="958">
          <cell r="D958" t="str">
            <v>XXX-2200-04</v>
          </cell>
          <cell r="E958" t="str">
            <v>侧板3</v>
          </cell>
        </row>
        <row r="959">
          <cell r="D959" t="str">
            <v>XXX-2200-05</v>
          </cell>
          <cell r="E959" t="str">
            <v>侧板4</v>
          </cell>
        </row>
        <row r="960">
          <cell r="D960" t="str">
            <v>XXX-2200-06</v>
          </cell>
          <cell r="E960" t="str">
            <v>盖板</v>
          </cell>
        </row>
        <row r="961">
          <cell r="D961" t="str">
            <v>XXX-2200-07</v>
          </cell>
          <cell r="E961" t="str">
            <v>插座垫块</v>
          </cell>
        </row>
        <row r="962">
          <cell r="D962" t="str">
            <v>XXX-2200-08</v>
          </cell>
          <cell r="E962" t="str">
            <v>垫板</v>
          </cell>
        </row>
        <row r="963">
          <cell r="D963" t="str">
            <v>XXX-2200-09</v>
          </cell>
          <cell r="E963" t="str">
            <v>绝缘垫膜</v>
          </cell>
        </row>
        <row r="964">
          <cell r="D964" t="str">
            <v>XXX-2210-01</v>
          </cell>
          <cell r="E964" t="str">
            <v>安装板</v>
          </cell>
        </row>
        <row r="965">
          <cell r="D965" t="str">
            <v>XXX-2210-03</v>
          </cell>
          <cell r="E965" t="str">
            <v>源流安装版</v>
          </cell>
        </row>
        <row r="966">
          <cell r="D966" t="str">
            <v>XXX-2210-04</v>
          </cell>
          <cell r="E966" t="str">
            <v>融发管安装座</v>
          </cell>
        </row>
        <row r="967">
          <cell r="D967" t="str">
            <v>XXX-2211-01</v>
          </cell>
          <cell r="E967" t="str">
            <v>离子源变压器骨架</v>
          </cell>
        </row>
        <row r="968">
          <cell r="D968" t="str">
            <v>XXX-2212-01</v>
          </cell>
          <cell r="E968" t="str">
            <v>源流调整电阻骨架</v>
          </cell>
        </row>
        <row r="969">
          <cell r="D969" t="str">
            <v>XXX-2213-01</v>
          </cell>
          <cell r="E969" t="str">
            <v>源流调整电感骨架</v>
          </cell>
        </row>
        <row r="970">
          <cell r="D970" t="str">
            <v>XXX-2214-01</v>
          </cell>
          <cell r="E970" t="str">
            <v>锥套</v>
          </cell>
        </row>
        <row r="971">
          <cell r="D971" t="str">
            <v>XXX-2220-01</v>
          </cell>
          <cell r="E971" t="str">
            <v>负载安装座</v>
          </cell>
        </row>
        <row r="972">
          <cell r="D972" t="str">
            <v>XXX-2221-01</v>
          </cell>
          <cell r="E972" t="str">
            <v>负载绕线棒</v>
          </cell>
        </row>
        <row r="973">
          <cell r="D973" t="str">
            <v>xxx-2000/F1-000-01</v>
          </cell>
          <cell r="E973" t="str">
            <v>屏蔽带固定板</v>
          </cell>
        </row>
        <row r="974">
          <cell r="D974" t="str">
            <v>xxx-2000/F1-000-02</v>
          </cell>
          <cell r="E974" t="str">
            <v>脚钉</v>
          </cell>
        </row>
        <row r="975">
          <cell r="D975" t="str">
            <v>XXX-2000/F5-000-01</v>
          </cell>
          <cell r="E975" t="str">
            <v>模？负载壳体</v>
          </cell>
        </row>
        <row r="976">
          <cell r="D976" t="str">
            <v>XXX-2000/F8-000-01</v>
          </cell>
          <cell r="E976" t="str">
            <v>矩形套筒</v>
          </cell>
        </row>
        <row r="977">
          <cell r="D977" t="str">
            <v>XXX-2000/F5-000-02</v>
          </cell>
          <cell r="E977" t="str">
            <v>模？负载盖板</v>
          </cell>
        </row>
        <row r="978">
          <cell r="D978" t="str">
            <v>XXX-2000/F9-000-02</v>
          </cell>
          <cell r="E978" t="str">
            <v>电流检测盖板</v>
          </cell>
        </row>
        <row r="979">
          <cell r="D979" t="str">
            <v>XXX-2000/F9-000-01</v>
          </cell>
          <cell r="E979" t="str">
            <v>电流检测壳体</v>
          </cell>
        </row>
        <row r="980">
          <cell r="D980" t="str">
            <v>XXX-2000/F9-000-03</v>
          </cell>
          <cell r="E980" t="str">
            <v>绑带一</v>
          </cell>
        </row>
        <row r="981">
          <cell r="D981" t="str">
            <v>XXX-2000/F9-000-05</v>
          </cell>
          <cell r="E981" t="str">
            <v>减震垫二</v>
          </cell>
        </row>
        <row r="982">
          <cell r="D982" t="str">
            <v>XXX-2000/F9-000-04</v>
          </cell>
          <cell r="E982" t="str">
            <v>减震垫一</v>
          </cell>
        </row>
        <row r="983">
          <cell r="D983" t="str">
            <v>XXX-2000/F9-000-07</v>
          </cell>
          <cell r="E983" t="str">
            <v>减震垫三</v>
          </cell>
        </row>
        <row r="984">
          <cell r="D984" t="str">
            <v>XXX-2000/F9-000-06</v>
          </cell>
          <cell r="E984" t="str">
            <v>绑带二</v>
          </cell>
        </row>
        <row r="985">
          <cell r="D985" t="str">
            <v>XXX-4231000-01</v>
          </cell>
          <cell r="E985" t="str">
            <v>离子源插头盖板</v>
          </cell>
        </row>
        <row r="986">
          <cell r="D986" t="str">
            <v>XXX-4231000-02</v>
          </cell>
          <cell r="E986" t="str">
            <v>离子源插头绝缘子</v>
          </cell>
        </row>
        <row r="987">
          <cell r="D987" t="str">
            <v>XXX-4231000-04</v>
          </cell>
          <cell r="E987" t="str">
            <v>离子源接地焊接座一</v>
          </cell>
        </row>
        <row r="988">
          <cell r="D988" t="str">
            <v>XXX-4231000-05</v>
          </cell>
          <cell r="E988" t="str">
            <v>离子源插头壳体</v>
          </cell>
        </row>
        <row r="989">
          <cell r="D989" t="str">
            <v>XXX-4231000-06</v>
          </cell>
          <cell r="E989" t="str">
            <v>离子源接地焊接座二</v>
          </cell>
        </row>
        <row r="990">
          <cell r="D990" t="str">
            <v>XXX-4241000-06</v>
          </cell>
          <cell r="E990" t="str">
            <v>靶压接地焊接座</v>
          </cell>
        </row>
        <row r="991">
          <cell r="D991" t="str">
            <v>XXX-4241000-01</v>
          </cell>
          <cell r="E991" t="str">
            <v>靶压插头盖板</v>
          </cell>
        </row>
        <row r="992">
          <cell r="D992" t="str">
            <v>XXX-4241000-03</v>
          </cell>
          <cell r="E992" t="str">
            <v>靶压插头绝缘子</v>
          </cell>
        </row>
        <row r="993">
          <cell r="D993" t="str">
            <v>XXX-4241000-03</v>
          </cell>
          <cell r="E993" t="str">
            <v>靶压插头绝缘子</v>
          </cell>
        </row>
        <row r="994">
          <cell r="D994" t="str">
            <v>XXX-4241000-04</v>
          </cell>
          <cell r="E994" t="str">
            <v>靶压插头壳体</v>
          </cell>
        </row>
        <row r="995">
          <cell r="D995" t="str">
            <v>XXX-F4-000-01</v>
          </cell>
          <cell r="E995" t="str">
            <v>屏蔽座</v>
          </cell>
        </row>
        <row r="996">
          <cell r="D996" t="str">
            <v>XXX-F4-200-01</v>
          </cell>
          <cell r="E996" t="str">
            <v>接线片</v>
          </cell>
        </row>
        <row r="997">
          <cell r="D997" t="str">
            <v>XXX-F4-000-02</v>
          </cell>
          <cell r="E997" t="str">
            <v>屏蔽盖</v>
          </cell>
        </row>
        <row r="998">
          <cell r="D998" t="str">
            <v>DD-FC1-55177-920-1</v>
          </cell>
          <cell r="E998" t="str">
            <v>螺栓</v>
          </cell>
        </row>
        <row r="999">
          <cell r="D999" t="str">
            <v>DD-FC1-55177-920-2</v>
          </cell>
          <cell r="E999" t="str">
            <v>小轴</v>
          </cell>
        </row>
        <row r="1000">
          <cell r="D1000" t="str">
            <v>DD-J10-34003-2</v>
          </cell>
          <cell r="E1000" t="str">
            <v>后梁</v>
          </cell>
        </row>
        <row r="1001">
          <cell r="D1001" t="str">
            <v>DD-J10-34003-2</v>
          </cell>
          <cell r="E1001" t="str">
            <v>后梁</v>
          </cell>
        </row>
        <row r="1002">
          <cell r="D1002" t="str">
            <v>BC2292212-001-001</v>
          </cell>
          <cell r="E1002" t="str">
            <v>循环油滤支座</v>
          </cell>
        </row>
        <row r="1003">
          <cell r="D1003" t="str">
            <v>BC2292191-001-001</v>
          </cell>
          <cell r="E1003" t="str">
            <v>回油油滤支架</v>
          </cell>
        </row>
        <row r="1004">
          <cell r="D1004" t="str">
            <v>DD-J10-86021-3302</v>
          </cell>
          <cell r="E1004" t="str">
            <v>活动导轨</v>
          </cell>
        </row>
        <row r="1005">
          <cell r="D1005" t="str">
            <v>DD-J10-41173-108</v>
          </cell>
          <cell r="E1005" t="str">
            <v>螺栓</v>
          </cell>
        </row>
        <row r="1006">
          <cell r="D1006" t="str">
            <v>DD-J10-86021-5001</v>
          </cell>
          <cell r="E1006" t="str">
            <v>铰支</v>
          </cell>
        </row>
        <row r="1007">
          <cell r="D1007" t="str">
            <v>DD-J10-41173-109</v>
          </cell>
          <cell r="E1007" t="str">
            <v>螺钉</v>
          </cell>
        </row>
        <row r="1008">
          <cell r="D1008" t="str">
            <v>DD-J10-41173-107</v>
          </cell>
          <cell r="E1008" t="str">
            <v>销子</v>
          </cell>
        </row>
        <row r="1009">
          <cell r="D1009" t="str">
            <v>DD-J10-86021-3303</v>
          </cell>
          <cell r="E1009" t="str">
            <v>活动导轨</v>
          </cell>
        </row>
        <row r="1010">
          <cell r="D1010" t="str">
            <v>DD-J10S-54101-3402</v>
          </cell>
          <cell r="E1010" t="str">
            <v>衬套</v>
          </cell>
        </row>
        <row r="1011">
          <cell r="D1011" t="str">
            <v>DD-J10-41173-109</v>
          </cell>
          <cell r="E1011" t="str">
            <v>螺钉</v>
          </cell>
        </row>
        <row r="1012">
          <cell r="D1012" t="str">
            <v>DD-J10S-54101-710-1</v>
          </cell>
          <cell r="E1012" t="str">
            <v>支座</v>
          </cell>
        </row>
        <row r="1013">
          <cell r="D1013" t="str">
            <v>DD-J10S-54101-720-1</v>
          </cell>
          <cell r="E1013" t="str">
            <v>支座</v>
          </cell>
        </row>
        <row r="1014">
          <cell r="D1014" t="str">
            <v>DD-J10S-54101-710-1</v>
          </cell>
          <cell r="E1014" t="str">
            <v>支座</v>
          </cell>
        </row>
        <row r="1015">
          <cell r="D1015" t="str">
            <v>DD-J10-41173-104</v>
          </cell>
          <cell r="E1015" t="str">
            <v>盖子</v>
          </cell>
        </row>
        <row r="1016">
          <cell r="D1016" t="str">
            <v>BC22103LP-001-001</v>
          </cell>
          <cell r="E1016" t="str">
            <v>支架</v>
          </cell>
        </row>
        <row r="1017">
          <cell r="D1017" t="str">
            <v>BC2712411-001-001</v>
          </cell>
          <cell r="E1017" t="str">
            <v>前端支座</v>
          </cell>
        </row>
        <row r="1018">
          <cell r="D1018" t="str">
            <v>BC22841Y3-001-002</v>
          </cell>
          <cell r="E1018" t="str">
            <v>支架</v>
          </cell>
        </row>
        <row r="1019">
          <cell r="D1019" t="str">
            <v>BC22841Y4-001-002</v>
          </cell>
          <cell r="E1019" t="str">
            <v>支架</v>
          </cell>
        </row>
        <row r="1020">
          <cell r="D1020" t="str">
            <v>BC22831Y4-001-001</v>
          </cell>
          <cell r="E1020" t="str">
            <v>角片</v>
          </cell>
        </row>
        <row r="1021">
          <cell r="D1021" t="str">
            <v>DD-J10-41173-142-Z</v>
          </cell>
          <cell r="E1021" t="str">
            <v>摇臂</v>
          </cell>
        </row>
        <row r="1022">
          <cell r="D1022" t="str">
            <v>DD-J10-41173-142-Y</v>
          </cell>
          <cell r="E1022" t="str">
            <v>摇臂</v>
          </cell>
        </row>
        <row r="1023">
          <cell r="D1023" t="str">
            <v>DD-J10-41173-142-Z</v>
          </cell>
          <cell r="E1023" t="str">
            <v>摇臂</v>
          </cell>
        </row>
        <row r="1024">
          <cell r="D1024" t="str">
            <v>DD-J10-41173-142-Y</v>
          </cell>
          <cell r="E1024" t="str">
            <v>摇臂</v>
          </cell>
        </row>
        <row r="1025">
          <cell r="D1025" t="str">
            <v>DD-J10-04501-10-1-Z</v>
          </cell>
          <cell r="E1025" t="str">
            <v>BL900侧梁（左件）</v>
          </cell>
        </row>
        <row r="1026">
          <cell r="D1026" t="str">
            <v>DD-J10-04501-10-1-Z</v>
          </cell>
          <cell r="E1026" t="str">
            <v>BL900侧梁（左件）</v>
          </cell>
        </row>
        <row r="1027">
          <cell r="D1027" t="str">
            <v>DD-J10-04501-10-1-Z</v>
          </cell>
          <cell r="E1027" t="str">
            <v>BL900侧梁（左件）</v>
          </cell>
        </row>
        <row r="1028">
          <cell r="D1028" t="str">
            <v>DD-J10-04501-10-1-Z</v>
          </cell>
          <cell r="E1028" t="str">
            <v>BL900侧梁（左件）</v>
          </cell>
        </row>
        <row r="1029">
          <cell r="D1029" t="str">
            <v>DD-J10-04501-10-1-Y</v>
          </cell>
          <cell r="E1029" t="str">
            <v>BL900侧梁（右件）</v>
          </cell>
        </row>
        <row r="1030">
          <cell r="D1030" t="str">
            <v>DD-J10-04501-10-1-Y</v>
          </cell>
          <cell r="E1030" t="str">
            <v>BL900侧梁（右件）</v>
          </cell>
        </row>
        <row r="1031">
          <cell r="D1031" t="str">
            <v>DD-J10-04501-10-1-Y</v>
          </cell>
          <cell r="E1031" t="str">
            <v>BL900侧梁（右件）</v>
          </cell>
        </row>
        <row r="1032">
          <cell r="D1032" t="str">
            <v>DD-J10-04501-10-1-Y</v>
          </cell>
          <cell r="E1032" t="str">
            <v>BL900侧梁（右件）</v>
          </cell>
        </row>
        <row r="1033">
          <cell r="D1033" t="str">
            <v>DCW01-4100-01</v>
          </cell>
          <cell r="E1033" t="str">
            <v>DRM腔体</v>
          </cell>
        </row>
        <row r="1034">
          <cell r="D1034" t="str">
            <v>DCW01-4200-01</v>
          </cell>
          <cell r="E1034" t="str">
            <v>ARM腔体</v>
          </cell>
        </row>
        <row r="1035">
          <cell r="D1035" t="str">
            <v>DCW01-4000/F1-000-01</v>
          </cell>
          <cell r="E1035" t="str">
            <v>附件盒腔体</v>
          </cell>
        </row>
        <row r="1036">
          <cell r="D1036" t="str">
            <v>DCW01-4000/F1-000-02</v>
          </cell>
          <cell r="E1036" t="str">
            <v>压条</v>
          </cell>
        </row>
        <row r="1037">
          <cell r="D1037" t="str">
            <v>DCW01-4000/F1-000-3</v>
          </cell>
          <cell r="E1037" t="str">
            <v>附件盒上盖板</v>
          </cell>
        </row>
        <row r="1038">
          <cell r="D1038" t="str">
            <v>DCW01-4000/F1-000-4</v>
          </cell>
          <cell r="E1038" t="str">
            <v>附件盒下盖板</v>
          </cell>
        </row>
        <row r="1039">
          <cell r="D1039" t="str">
            <v>DCW01-4000/F1-000-5</v>
          </cell>
          <cell r="E1039" t="str">
            <v>垫脚</v>
          </cell>
        </row>
        <row r="1040">
          <cell r="D1040" t="str">
            <v>DCW11-10000-01</v>
          </cell>
          <cell r="E1040" t="str">
            <v>DRFM腔体</v>
          </cell>
        </row>
        <row r="1041">
          <cell r="D1041" t="str">
            <v>DCW11/F1-000-01</v>
          </cell>
          <cell r="E1041" t="str">
            <v>压条一</v>
          </cell>
        </row>
        <row r="1042">
          <cell r="D1042" t="str">
            <v>DCW11/F1-000-02</v>
          </cell>
          <cell r="E1042" t="str">
            <v>压条二</v>
          </cell>
        </row>
        <row r="1043">
          <cell r="D1043" t="str">
            <v>DD-J10-41153-140-1</v>
          </cell>
          <cell r="E1043" t="str">
            <v>开锁摇臂</v>
          </cell>
        </row>
        <row r="1044">
          <cell r="D1044" t="str">
            <v>DD-J10S-54101-1201</v>
          </cell>
          <cell r="E1044" t="str">
            <v>支座</v>
          </cell>
        </row>
        <row r="1045">
          <cell r="D1045" t="str">
            <v>DD-J10S-54101-1301</v>
          </cell>
          <cell r="E1045" t="str">
            <v>支座</v>
          </cell>
        </row>
        <row r="1046">
          <cell r="D1046" t="str">
            <v>DD-J10S-54101-1101</v>
          </cell>
          <cell r="E1046" t="str">
            <v>支座</v>
          </cell>
        </row>
        <row r="1047">
          <cell r="D1047" t="str">
            <v>DD-J10-05156-3-Z</v>
          </cell>
          <cell r="E1047" t="str">
            <v>前接头下件（左件）</v>
          </cell>
        </row>
        <row r="1048">
          <cell r="D1048" t="str">
            <v>DD-J10-21102-2-Z</v>
          </cell>
          <cell r="E1048" t="str">
            <v>1号下壁板（左件）</v>
          </cell>
        </row>
        <row r="1049">
          <cell r="D1049" t="str">
            <v>DD-J10-21102-2-Z</v>
          </cell>
          <cell r="E1049" t="str">
            <v>1号下壁板（左件）</v>
          </cell>
        </row>
        <row r="1050">
          <cell r="D1050" t="str">
            <v>DD-J10-21102-2-Z</v>
          </cell>
          <cell r="E1050" t="str">
            <v>1号下壁板（左件）</v>
          </cell>
        </row>
        <row r="1051">
          <cell r="D1051" t="str">
            <v>DD-J10-21102-2-Z</v>
          </cell>
          <cell r="E1051" t="str">
            <v>1号下壁板（左件）</v>
          </cell>
        </row>
        <row r="1052">
          <cell r="D1052" t="str">
            <v>DD-J10-21102-2-Y</v>
          </cell>
          <cell r="E1052" t="str">
            <v>1号下壁板（右件）</v>
          </cell>
        </row>
        <row r="1053">
          <cell r="D1053" t="str">
            <v>DD-J10-21102-2-Y</v>
          </cell>
          <cell r="E1053" t="str">
            <v>1号下壁板（右件）</v>
          </cell>
        </row>
        <row r="1054">
          <cell r="D1054" t="str">
            <v>DD-J10-21102-2-Y</v>
          </cell>
          <cell r="E1054" t="str">
            <v>1号下壁板（右件）</v>
          </cell>
        </row>
        <row r="1055">
          <cell r="D1055" t="str">
            <v>DD-J10-21102-2-Y</v>
          </cell>
          <cell r="E1055" t="str">
            <v>1号下壁板（右件）</v>
          </cell>
        </row>
        <row r="1056">
          <cell r="D1056" t="str">
            <v>XXXDCW16-2000-01</v>
          </cell>
          <cell r="E1056" t="str">
            <v>转接盒腔体</v>
          </cell>
        </row>
        <row r="1057">
          <cell r="D1057" t="str">
            <v>XXXDCW16-2000-02</v>
          </cell>
          <cell r="E1057" t="str">
            <v>盖板</v>
          </cell>
        </row>
        <row r="1058">
          <cell r="D1058" t="str">
            <v>DD-J10-41153-105</v>
          </cell>
          <cell r="E1058" t="str">
            <v>联锁摇臂</v>
          </cell>
        </row>
        <row r="1059">
          <cell r="D1059" t="str">
            <v>DD-J10-21102-150-1-Y</v>
          </cell>
          <cell r="E1059" t="str">
            <v>10060梁（右件）</v>
          </cell>
        </row>
        <row r="1060">
          <cell r="D1060" t="str">
            <v>DD-J10-21102-150-1-Y</v>
          </cell>
          <cell r="E1060" t="str">
            <v>10060梁（右件）</v>
          </cell>
        </row>
        <row r="1061">
          <cell r="D1061" t="str">
            <v>DD-J10-21102-150-1-Y</v>
          </cell>
          <cell r="E1061" t="str">
            <v>10060梁（右件）</v>
          </cell>
        </row>
        <row r="1062">
          <cell r="D1062" t="str">
            <v>DD-J10-21102-150-1-Z</v>
          </cell>
          <cell r="E1062" t="str">
            <v>10060梁（左件）</v>
          </cell>
        </row>
        <row r="1063">
          <cell r="D1063" t="str">
            <v>DD-J10-21102-150-1-Z</v>
          </cell>
          <cell r="E1063" t="str">
            <v>10060梁（左件）</v>
          </cell>
        </row>
        <row r="1064">
          <cell r="D1064" t="str">
            <v>DD-J10-21102-150-1-Z</v>
          </cell>
          <cell r="E1064" t="str">
            <v>10060梁（左件）</v>
          </cell>
        </row>
        <row r="1065">
          <cell r="D1065" t="str">
            <v>BC221T3LM-001-001</v>
          </cell>
          <cell r="E1065" t="str">
            <v>法兰盘</v>
          </cell>
        </row>
        <row r="1066">
          <cell r="D1066" t="str">
            <v>BC2332100-001-001</v>
          </cell>
          <cell r="E1066" t="str">
            <v>卡箍支架（左）</v>
          </cell>
        </row>
        <row r="1067">
          <cell r="D1067" t="str">
            <v>BC2332100-002-001</v>
          </cell>
          <cell r="E1067" t="str">
            <v>卡箍支架（右）</v>
          </cell>
        </row>
        <row r="1068">
          <cell r="D1068" t="str">
            <v>BC2712522-001-001</v>
          </cell>
          <cell r="E1068" t="str">
            <v>支座</v>
          </cell>
        </row>
        <row r="1069">
          <cell r="D1069" t="str">
            <v>BC5322500-012L001</v>
          </cell>
          <cell r="E1069" t="str">
            <v>T型材2左</v>
          </cell>
        </row>
        <row r="1070">
          <cell r="D1070" t="str">
            <v>BC5322500-012R001</v>
          </cell>
          <cell r="E1070" t="str">
            <v>T型材2右</v>
          </cell>
        </row>
        <row r="1071">
          <cell r="D1071" t="str">
            <v>BC2299252-002-001</v>
          </cell>
          <cell r="E1071" t="str">
            <v>支架底座</v>
          </cell>
        </row>
        <row r="1072">
          <cell r="D1072" t="str">
            <v>BC2299242-002-001</v>
          </cell>
          <cell r="E1072" t="str">
            <v>支架底座</v>
          </cell>
        </row>
        <row r="1073">
          <cell r="D1073" t="str">
            <v>BC2299252-002-001</v>
          </cell>
          <cell r="E1073" t="str">
            <v>支架底座</v>
          </cell>
        </row>
        <row r="1074">
          <cell r="D1074" t="str">
            <v>BC5327100-031R001</v>
          </cell>
          <cell r="E1074" t="str">
            <v>角盒</v>
          </cell>
        </row>
        <row r="1075">
          <cell r="D1075" t="str">
            <v>BC5327100-031L001</v>
          </cell>
          <cell r="E1075" t="str">
            <v>角盒</v>
          </cell>
        </row>
        <row r="1076">
          <cell r="D1076" t="str">
            <v>BC5311300-002-001</v>
          </cell>
          <cell r="E1076" t="str">
            <v>前铰链支座</v>
          </cell>
        </row>
        <row r="1077">
          <cell r="D1077" t="str">
            <v>BC5311300-003-001</v>
          </cell>
          <cell r="E1077" t="str">
            <v>前铰链支座</v>
          </cell>
        </row>
        <row r="1078">
          <cell r="D1078" t="str">
            <v>BC3230500-001-001</v>
          </cell>
          <cell r="E1078" t="str">
            <v>过渡板</v>
          </cell>
        </row>
        <row r="1079">
          <cell r="D1079" t="str">
            <v>BC3230400-001-001</v>
          </cell>
          <cell r="E1079" t="str">
            <v>过渡板</v>
          </cell>
        </row>
        <row r="1080">
          <cell r="D1080" t="str">
            <v>BC2281630-005-001</v>
          </cell>
          <cell r="E1080" t="str">
            <v>角片</v>
          </cell>
        </row>
        <row r="1081">
          <cell r="D1081" t="str">
            <v>BC2332D00-001-001</v>
          </cell>
          <cell r="E1081" t="str">
            <v>安装环</v>
          </cell>
        </row>
        <row r="1082">
          <cell r="D1082" t="str">
            <v>XX-JJ-000-01</v>
          </cell>
          <cell r="E1082" t="str">
            <v>中层夹具1</v>
          </cell>
        </row>
        <row r="1083">
          <cell r="D1083" t="str">
            <v>XX-JJ-000-02</v>
          </cell>
          <cell r="E1083" t="str">
            <v>中层夹具2</v>
          </cell>
        </row>
        <row r="1084">
          <cell r="D1084" t="str">
            <v>XX-JJ-000-05</v>
          </cell>
          <cell r="E1084" t="str">
            <v>下夹具</v>
          </cell>
        </row>
        <row r="1085">
          <cell r="D1085" t="str">
            <v>XX-JJ-000-06</v>
          </cell>
          <cell r="E1085" t="str">
            <v>压板</v>
          </cell>
        </row>
        <row r="1086">
          <cell r="D1086" t="str">
            <v>XX-JJ-000-07</v>
          </cell>
          <cell r="E1086" t="str">
            <v>定位销</v>
          </cell>
        </row>
        <row r="1087">
          <cell r="D1087" t="str">
            <v>XX-JJ-000-08</v>
          </cell>
          <cell r="E1087" t="str">
            <v>小盖板</v>
          </cell>
        </row>
        <row r="1088">
          <cell r="D1088" t="str">
            <v>XX-JJ-000-09</v>
          </cell>
          <cell r="E1088" t="str">
            <v>芯1</v>
          </cell>
        </row>
        <row r="1089">
          <cell r="D1089" t="str">
            <v>XX-JJ-100-04</v>
          </cell>
          <cell r="E1089" t="str">
            <v>转动调节杆</v>
          </cell>
        </row>
        <row r="1090">
          <cell r="D1090" t="str">
            <v>XX-JJ-000-10</v>
          </cell>
          <cell r="E1090" t="str">
            <v>芯2</v>
          </cell>
        </row>
        <row r="1091">
          <cell r="D1091" t="str">
            <v>XX-JJ-000-11</v>
          </cell>
          <cell r="E1091" t="str">
            <v>芯3</v>
          </cell>
        </row>
        <row r="1092">
          <cell r="D1092" t="str">
            <v>XX-JJ-100-06</v>
          </cell>
          <cell r="E1092" t="str">
            <v>导柱</v>
          </cell>
        </row>
        <row r="1093">
          <cell r="D1093" t="str">
            <v>XX-JJ-100-03</v>
          </cell>
          <cell r="E1093" t="str">
            <v>下主体</v>
          </cell>
        </row>
        <row r="1094">
          <cell r="D1094" t="str">
            <v>XX-JJ-100-02</v>
          </cell>
          <cell r="E1094" t="str">
            <v>上主体</v>
          </cell>
        </row>
        <row r="1095">
          <cell r="D1095" t="str">
            <v>XX-JJ-100-01</v>
          </cell>
          <cell r="E1095" t="str">
            <v>旋钮</v>
          </cell>
        </row>
        <row r="1096">
          <cell r="D1096" t="str">
            <v>XX-JJ-000-04</v>
          </cell>
          <cell r="E1096" t="str">
            <v>上夹具右</v>
          </cell>
        </row>
        <row r="1097">
          <cell r="D1097" t="str">
            <v>XX-JJ-000-03</v>
          </cell>
          <cell r="E1097" t="str">
            <v>上夹具左</v>
          </cell>
        </row>
        <row r="1098">
          <cell r="D1098" t="str">
            <v>GZ-3000-01</v>
          </cell>
          <cell r="E1098" t="str">
            <v>测试组件1挂具板</v>
          </cell>
        </row>
        <row r="1099">
          <cell r="D1099" t="str">
            <v>GZ-3000-02</v>
          </cell>
          <cell r="E1099" t="str">
            <v>测试组件2挂具板</v>
          </cell>
        </row>
        <row r="1100">
          <cell r="D1100" t="str">
            <v>GZ-3000-03</v>
          </cell>
          <cell r="E1100" t="str">
            <v>L限位块</v>
          </cell>
        </row>
        <row r="1101">
          <cell r="D1101" t="str">
            <v>GZ-3000-04</v>
          </cell>
          <cell r="E1101" t="str">
            <v>R限位块</v>
          </cell>
        </row>
        <row r="1102">
          <cell r="D1102" t="str">
            <v>GZ-3000-05</v>
          </cell>
          <cell r="E1102" t="str">
            <v>底板</v>
          </cell>
        </row>
        <row r="1103">
          <cell r="D1103" t="str">
            <v>GZ-3000-06</v>
          </cell>
          <cell r="E1103" t="str">
            <v>测试组件A2挂具板</v>
          </cell>
        </row>
        <row r="1104">
          <cell r="D1104" t="str">
            <v>GZ-3000-07</v>
          </cell>
          <cell r="E1104" t="str">
            <v>支撑柱</v>
          </cell>
        </row>
        <row r="1105">
          <cell r="D1105" t="str">
            <v>GZ-3000-08</v>
          </cell>
          <cell r="E1105" t="str">
            <v>6-14螺栓套</v>
          </cell>
        </row>
        <row r="1106">
          <cell r="D1106" t="str">
            <v>GZ-3000-09</v>
          </cell>
          <cell r="E1106" t="str">
            <v>系统安装板</v>
          </cell>
        </row>
        <row r="1107">
          <cell r="D1107" t="str">
            <v>DD-J10S-54101-201</v>
          </cell>
          <cell r="E1107" t="str">
            <v>支座</v>
          </cell>
        </row>
        <row r="1108">
          <cell r="D1108" t="str">
            <v>DD-J10-94076-2103</v>
          </cell>
          <cell r="E1108" t="str">
            <v>螺栓</v>
          </cell>
        </row>
        <row r="1109">
          <cell r="D1109" t="str">
            <v>DD-J10-94076-2103</v>
          </cell>
          <cell r="E1109" t="str">
            <v>螺栓</v>
          </cell>
        </row>
        <row r="1110">
          <cell r="D1110" t="str">
            <v>DD-J10S-54101-1302</v>
          </cell>
          <cell r="E1110" t="str">
            <v>衬套</v>
          </cell>
        </row>
        <row r="1111">
          <cell r="D1111" t="str">
            <v>DD-J10S-54101-1102</v>
          </cell>
          <cell r="E1111" t="str">
            <v>衬套</v>
          </cell>
        </row>
        <row r="1112">
          <cell r="D1112" t="str">
            <v>BC2282230-001-001</v>
          </cell>
          <cell r="E1112" t="str">
            <v>接头</v>
          </cell>
        </row>
        <row r="1113">
          <cell r="D1113" t="str">
            <v>BC2282305-001-001</v>
          </cell>
          <cell r="E1113" t="str">
            <v>转接接头</v>
          </cell>
        </row>
        <row r="1114">
          <cell r="D1114" t="str">
            <v>BC2291193-001-001</v>
          </cell>
          <cell r="E1114" t="str">
            <v>回油油滤支架</v>
          </cell>
        </row>
        <row r="1115">
          <cell r="D1115" t="str">
            <v>BC2291182-001-001</v>
          </cell>
          <cell r="E1115" t="str">
            <v>系统1高压油滤支架</v>
          </cell>
        </row>
        <row r="1116">
          <cell r="D1116" t="str">
            <v>BC22816Y2-003-001</v>
          </cell>
          <cell r="E1116" t="str">
            <v>法兰</v>
          </cell>
        </row>
        <row r="1117">
          <cell r="D1117" t="str">
            <v>DD-J10-21102-390-1-Y</v>
          </cell>
          <cell r="E1117" t="str">
            <v>1150肋九段（右件）</v>
          </cell>
        </row>
        <row r="1118">
          <cell r="D1118" t="str">
            <v>DD-J10-21102-390-1-Y</v>
          </cell>
          <cell r="E1118" t="str">
            <v>1150肋九段（右件）</v>
          </cell>
        </row>
        <row r="1119">
          <cell r="D1119" t="str">
            <v>DD-J10-21102-390-1-Y</v>
          </cell>
          <cell r="E1119" t="str">
            <v>1150肋九段（右件）</v>
          </cell>
        </row>
        <row r="1120">
          <cell r="D1120" t="str">
            <v>DD-J10-21102-390-1-Z</v>
          </cell>
          <cell r="E1120" t="str">
            <v>1150肋九段（左件）</v>
          </cell>
        </row>
        <row r="1121">
          <cell r="D1121" t="str">
            <v>DD-J10-21102-390-1-Z</v>
          </cell>
          <cell r="E1121" t="str">
            <v>1150肋九段（左件）</v>
          </cell>
        </row>
        <row r="1122">
          <cell r="D1122" t="str">
            <v>DD-J10-21102-390-1-Z</v>
          </cell>
          <cell r="E1122" t="str">
            <v>1150肋九段（左件）</v>
          </cell>
        </row>
        <row r="1123">
          <cell r="D1123" t="str">
            <v>DD-J10-21102-410-1-Y</v>
          </cell>
          <cell r="E1123" t="str">
            <v>1150肋根肋（右件）</v>
          </cell>
        </row>
        <row r="1124">
          <cell r="D1124" t="str">
            <v>DD-J10-21102-410-1-Y</v>
          </cell>
          <cell r="E1124" t="str">
            <v>1150肋根肋（右件）</v>
          </cell>
        </row>
        <row r="1125">
          <cell r="D1125" t="str">
            <v>DD-J10-21102-410-1-Y</v>
          </cell>
          <cell r="E1125" t="str">
            <v>1150肋根肋（右件）</v>
          </cell>
        </row>
        <row r="1126">
          <cell r="D1126" t="str">
            <v>DD-J10-21102-410-1-Z</v>
          </cell>
          <cell r="E1126" t="str">
            <v>1150肋根肋（左件）</v>
          </cell>
        </row>
        <row r="1127">
          <cell r="D1127" t="str">
            <v>DD-J10-21102-410-1-Z</v>
          </cell>
          <cell r="E1127" t="str">
            <v>1150肋根肋（左件）</v>
          </cell>
        </row>
        <row r="1128">
          <cell r="D1128" t="str">
            <v>DD-J10-21102-410-1-Z</v>
          </cell>
          <cell r="E1128" t="str">
            <v>1150肋根肋（左件）</v>
          </cell>
        </row>
        <row r="1129">
          <cell r="D1129" t="str">
            <v>DD-J10-02021-3-Y</v>
          </cell>
          <cell r="E1129" t="str">
            <v>助力器边梁（右件）</v>
          </cell>
        </row>
        <row r="1130">
          <cell r="D1130" t="str">
            <v>DD-J10-02021-3-Y</v>
          </cell>
          <cell r="E1130" t="str">
            <v>助力器边梁（右件）</v>
          </cell>
        </row>
        <row r="1131">
          <cell r="D1131" t="str">
            <v>DD-J10-02021-3-Y</v>
          </cell>
          <cell r="E1131" t="str">
            <v>助力器边梁（右件）</v>
          </cell>
        </row>
        <row r="1132">
          <cell r="D1132" t="str">
            <v>DD-J10-02021-3-Z</v>
          </cell>
          <cell r="E1132" t="str">
            <v>助力器边梁（左件）</v>
          </cell>
        </row>
        <row r="1133">
          <cell r="D1133" t="str">
            <v>DD-J10-02021-3-Z</v>
          </cell>
          <cell r="E1133" t="str">
            <v>助力器边梁（左件）</v>
          </cell>
        </row>
        <row r="1134">
          <cell r="D1134" t="str">
            <v>DD-J10-02021-3-Z</v>
          </cell>
          <cell r="E1134" t="str">
            <v>助力器边梁（左件）</v>
          </cell>
        </row>
        <row r="1135">
          <cell r="D1135" t="str">
            <v>DD-J10B-21402-90G2-1G2-Z</v>
          </cell>
          <cell r="E1135" t="str">
            <v>固定前缘端肋（左件）</v>
          </cell>
        </row>
        <row r="1136">
          <cell r="D1136" t="str">
            <v>DD-J10B-21402-10G2-1G2-Z</v>
          </cell>
          <cell r="E1136" t="str">
            <v>固定前缘边肋（左件）</v>
          </cell>
        </row>
        <row r="1137">
          <cell r="D1137" t="str">
            <v>DD-J10B-21402-10G2-1G2-Y</v>
          </cell>
          <cell r="E1137" t="str">
            <v>固定前缘边肋（右件）</v>
          </cell>
        </row>
        <row r="1138">
          <cell r="D1138" t="str">
            <v>BC2282340-001-001</v>
          </cell>
          <cell r="E1138" t="str">
            <v>带管接嘴法兰4</v>
          </cell>
        </row>
        <row r="1139">
          <cell r="D1139" t="str">
            <v>DD-J10-05216-32</v>
          </cell>
          <cell r="E1139" t="str">
            <v>转接头</v>
          </cell>
        </row>
        <row r="1140">
          <cell r="D1140" t="str">
            <v>BC5313301-007R001</v>
          </cell>
          <cell r="E1140" t="str">
            <v>拉锁支座</v>
          </cell>
        </row>
        <row r="1141">
          <cell r="D1141" t="str">
            <v>BC5313301-007L001</v>
          </cell>
          <cell r="E1141" t="str">
            <v>拉锁支座</v>
          </cell>
        </row>
        <row r="1142">
          <cell r="D1142" t="str">
            <v>BC5313302-007R001</v>
          </cell>
          <cell r="E1142" t="str">
            <v>拉锁支座</v>
          </cell>
        </row>
        <row r="1143">
          <cell r="D1143" t="str">
            <v>BC5313302-007L001</v>
          </cell>
          <cell r="E1143" t="str">
            <v>拉锁支座</v>
          </cell>
        </row>
        <row r="1144">
          <cell r="D1144" t="str">
            <v>BC2291222-002-001</v>
          </cell>
          <cell r="E1144" t="str">
            <v>应急泵供压油滤卡箍</v>
          </cell>
        </row>
        <row r="1145">
          <cell r="D1145" t="str">
            <v>BC2291210-002-001</v>
          </cell>
          <cell r="E1145" t="str">
            <v>循环油滤卡箍</v>
          </cell>
        </row>
        <row r="1146">
          <cell r="D1146" t="str">
            <v>BC2291193-002-001</v>
          </cell>
          <cell r="E1146" t="str">
            <v>回油油滤卡箍</v>
          </cell>
        </row>
        <row r="1147">
          <cell r="D1147" t="str">
            <v>BC2291182-002-001</v>
          </cell>
          <cell r="E1147" t="str">
            <v>系统1高压油滤卡箍</v>
          </cell>
        </row>
        <row r="1148">
          <cell r="D1148" t="str">
            <v>DD-J10S-54101-3401</v>
          </cell>
          <cell r="E1148" t="str">
            <v>衬套</v>
          </cell>
        </row>
        <row r="1149">
          <cell r="D1149" t="str">
            <v>DD-J10-41173-103</v>
          </cell>
          <cell r="E1149" t="str">
            <v>滑套</v>
          </cell>
        </row>
        <row r="1150">
          <cell r="D1150" t="str">
            <v>DD-J10-55165-1440-3</v>
          </cell>
          <cell r="E1150" t="str">
            <v>衬套</v>
          </cell>
        </row>
        <row r="1151">
          <cell r="D1151" t="str">
            <v>DD-J10-96031-113</v>
          </cell>
          <cell r="E1151" t="str">
            <v>衬套</v>
          </cell>
        </row>
        <row r="1152">
          <cell r="D1152" t="str">
            <v>DD-J10S-94051-70-2</v>
          </cell>
          <cell r="E1152" t="str">
            <v>管子</v>
          </cell>
        </row>
        <row r="1153">
          <cell r="D1153" t="str">
            <v>DD-J10-96031-121</v>
          </cell>
          <cell r="E1153" t="str">
            <v>销棒</v>
          </cell>
        </row>
        <row r="1154">
          <cell r="D1154" t="str">
            <v>DD-J10-41153-130-2</v>
          </cell>
          <cell r="E1154" t="str">
            <v>管子</v>
          </cell>
        </row>
        <row r="1155">
          <cell r="D1155" t="str">
            <v>DD-J10-55165-1460-3</v>
          </cell>
          <cell r="E1155" t="str">
            <v>衬套</v>
          </cell>
        </row>
        <row r="1156">
          <cell r="D1156" t="str">
            <v>DD-J10-63002-3210-5</v>
          </cell>
          <cell r="E1156" t="str">
            <v>底环</v>
          </cell>
        </row>
        <row r="1157">
          <cell r="D1157" t="str">
            <v>DD-J10-63002-3210-5</v>
          </cell>
          <cell r="E1157" t="str">
            <v>底环</v>
          </cell>
        </row>
        <row r="1158">
          <cell r="D1158" t="str">
            <v>DGZ2017-0000-01</v>
          </cell>
          <cell r="E1158" t="str">
            <v>底座</v>
          </cell>
        </row>
        <row r="1159">
          <cell r="D1159" t="str">
            <v>DGZ2017-0000-02</v>
          </cell>
          <cell r="E1159" t="str">
            <v>支架（一）</v>
          </cell>
        </row>
        <row r="1160">
          <cell r="D1160" t="str">
            <v>DGZ2017-0000-03</v>
          </cell>
          <cell r="E1160" t="str">
            <v>大部件支撑座</v>
          </cell>
        </row>
        <row r="1161">
          <cell r="D1161" t="str">
            <v>DGZ2017-0000-04</v>
          </cell>
          <cell r="E1161" t="str">
            <v>盖板</v>
          </cell>
        </row>
        <row r="1162">
          <cell r="D1162" t="str">
            <v>DGZ2017-0000-05</v>
          </cell>
          <cell r="E1162" t="str">
            <v>轴承盖</v>
          </cell>
        </row>
        <row r="1163">
          <cell r="D1163" t="str">
            <v>DGZ2017-0000-06</v>
          </cell>
          <cell r="E1163" t="str">
            <v>轴（一）</v>
          </cell>
        </row>
        <row r="1164">
          <cell r="D1164" t="str">
            <v>DGZ2017-0000-07</v>
          </cell>
          <cell r="E1164" t="str">
            <v>轴（二）</v>
          </cell>
        </row>
        <row r="1165">
          <cell r="D1165" t="str">
            <v>DGZ2017-0000-08</v>
          </cell>
          <cell r="E1165" t="str">
            <v>支架</v>
          </cell>
        </row>
        <row r="1166">
          <cell r="D1166" t="str">
            <v>DGZ2017-0000-09</v>
          </cell>
          <cell r="E1166" t="str">
            <v>转接盘</v>
          </cell>
        </row>
        <row r="1167">
          <cell r="D1167" t="str">
            <v>DGZ2017-0000-10</v>
          </cell>
          <cell r="E1167" t="str">
            <v>销钉</v>
          </cell>
        </row>
        <row r="1168">
          <cell r="D1168" t="str">
            <v>DGZ2017-0000-11</v>
          </cell>
          <cell r="E1168" t="str">
            <v>导向座</v>
          </cell>
        </row>
        <row r="1169">
          <cell r="D1169" t="str">
            <v>DGZ2017-0000-12</v>
          </cell>
          <cell r="E1169" t="str">
            <v>导向座盖</v>
          </cell>
        </row>
        <row r="1170">
          <cell r="D1170" t="str">
            <v>DGZ2017-0000-13</v>
          </cell>
          <cell r="E1170" t="str">
            <v>质量杆Ⅰ</v>
          </cell>
        </row>
        <row r="1171">
          <cell r="D1171" t="str">
            <v>DGZ2017-0000-14</v>
          </cell>
          <cell r="E1171" t="str">
            <v>质量杆Ⅱ</v>
          </cell>
        </row>
        <row r="1172">
          <cell r="D1172" t="str">
            <v>DGZ2017-0000-15</v>
          </cell>
          <cell r="E1172" t="str">
            <v>过载开关钥匙</v>
          </cell>
        </row>
        <row r="1173">
          <cell r="D1173" t="str">
            <v>DGZ2017-0000-16</v>
          </cell>
          <cell r="E1173" t="str">
            <v>测量杆</v>
          </cell>
        </row>
        <row r="1174">
          <cell r="D1174" t="str">
            <v>DGZ2017-0000-17</v>
          </cell>
          <cell r="E1174" t="str">
            <v>转接支架</v>
          </cell>
        </row>
        <row r="1175">
          <cell r="D1175" t="str">
            <v>28-18511000-01</v>
          </cell>
          <cell r="E1175" t="str">
            <v>接触式对接前板</v>
          </cell>
        </row>
        <row r="1176">
          <cell r="D1176" t="str">
            <v>28-18511000-02</v>
          </cell>
          <cell r="E1176" t="str">
            <v>接触式外壳板1</v>
          </cell>
        </row>
        <row r="1177">
          <cell r="D1177" t="str">
            <v>28-18511000-03</v>
          </cell>
          <cell r="E1177" t="str">
            <v>接触式外壳板2</v>
          </cell>
        </row>
        <row r="1178">
          <cell r="D1178" t="str">
            <v>28-18511000-04</v>
          </cell>
          <cell r="E1178" t="str">
            <v>接触式外壳板3</v>
          </cell>
        </row>
        <row r="1179">
          <cell r="D1179" t="str">
            <v>28-18511000-05</v>
          </cell>
          <cell r="E1179" t="str">
            <v>接触式外壳板4</v>
          </cell>
        </row>
        <row r="1180">
          <cell r="D1180" t="str">
            <v>28-18511000-06</v>
          </cell>
          <cell r="E1180" t="str">
            <v>接触式外壳板5</v>
          </cell>
        </row>
        <row r="1181">
          <cell r="D1181" t="str">
            <v>28-18511000-07</v>
          </cell>
          <cell r="E1181" t="str">
            <v>接触式外壳板6</v>
          </cell>
        </row>
        <row r="1182">
          <cell r="D1182" t="str">
            <v>28-18511000-08</v>
          </cell>
          <cell r="E1182" t="str">
            <v>对接转接板</v>
          </cell>
        </row>
        <row r="1183">
          <cell r="D1183" t="str">
            <v>28-18511000-09</v>
          </cell>
          <cell r="E1183" t="str">
            <v>接触式对接后板</v>
          </cell>
        </row>
        <row r="1184">
          <cell r="D1184" t="str">
            <v>28-18511100-01</v>
          </cell>
          <cell r="E1184" t="str">
            <v>接触式传感器固定件</v>
          </cell>
        </row>
        <row r="1185">
          <cell r="D1185" t="str">
            <v>28-18511100-02</v>
          </cell>
          <cell r="E1185" t="str">
            <v>接触式传感器固定板</v>
          </cell>
        </row>
        <row r="1186">
          <cell r="D1186" t="str">
            <v>28-18511100-03</v>
          </cell>
          <cell r="E1186" t="str">
            <v>柱销6X12</v>
          </cell>
        </row>
        <row r="1187">
          <cell r="D1187" t="str">
            <v>28-18511100-04</v>
          </cell>
          <cell r="E1187" t="str">
            <v>接触式限位棒</v>
          </cell>
        </row>
        <row r="1188">
          <cell r="D1188" t="str">
            <v>28-18512000-01</v>
          </cell>
          <cell r="E1188" t="str">
            <v>接触式基准板</v>
          </cell>
        </row>
        <row r="1189">
          <cell r="D1189" t="str">
            <v>28-18512000-02</v>
          </cell>
          <cell r="E1189" t="str">
            <v>接触式基准轴</v>
          </cell>
        </row>
        <row r="1190">
          <cell r="D1190" t="str">
            <v>28-18513000-01</v>
          </cell>
          <cell r="E1190" t="str">
            <v>非接触式对接前板</v>
          </cell>
        </row>
        <row r="1191">
          <cell r="D1191" t="str">
            <v>28-18513000-02</v>
          </cell>
          <cell r="E1191" t="str">
            <v>非接触式外壳板1</v>
          </cell>
        </row>
        <row r="1192">
          <cell r="D1192" t="str">
            <v>28-18513000-03</v>
          </cell>
          <cell r="E1192" t="str">
            <v>非接触式外壳板2</v>
          </cell>
        </row>
        <row r="1193">
          <cell r="D1193" t="str">
            <v>28-18513000-04</v>
          </cell>
          <cell r="E1193" t="str">
            <v>非接触式外壳板3</v>
          </cell>
        </row>
        <row r="1194">
          <cell r="D1194" t="str">
            <v>28-18513000-05</v>
          </cell>
          <cell r="E1194" t="str">
            <v>非接触式外壳板4</v>
          </cell>
        </row>
        <row r="1195">
          <cell r="D1195" t="str">
            <v>28-18513000-06</v>
          </cell>
          <cell r="E1195" t="str">
            <v>非接触式外壳板5</v>
          </cell>
        </row>
        <row r="1196">
          <cell r="D1196" t="str">
            <v>28-18513000-07</v>
          </cell>
          <cell r="E1196" t="str">
            <v>非接触式外壳板6</v>
          </cell>
        </row>
        <row r="1197">
          <cell r="D1197" t="str">
            <v>28-18513000-08</v>
          </cell>
          <cell r="E1197" t="str">
            <v>非接触式对接后板</v>
          </cell>
        </row>
        <row r="1198">
          <cell r="D1198" t="str">
            <v>28-18513100-01</v>
          </cell>
          <cell r="E1198" t="str">
            <v>非接触式传感器固定件</v>
          </cell>
        </row>
        <row r="1199">
          <cell r="D1199" t="str">
            <v>28-18513100-02</v>
          </cell>
          <cell r="E1199" t="str">
            <v>非接触式传感器固定板</v>
          </cell>
        </row>
        <row r="1200">
          <cell r="D1200" t="str">
            <v>28-18513100-03</v>
          </cell>
          <cell r="E1200" t="str">
            <v>非接触式限位棒</v>
          </cell>
        </row>
        <row r="1201">
          <cell r="D1201" t="str">
            <v>28-18514000-01</v>
          </cell>
          <cell r="E1201" t="str">
            <v>非接触式基准板</v>
          </cell>
        </row>
        <row r="1202">
          <cell r="D1202" t="str">
            <v>28-18514000-02</v>
          </cell>
          <cell r="E1202" t="str">
            <v>非接触式基准轴</v>
          </cell>
        </row>
        <row r="1203">
          <cell r="D1203" t="str">
            <v>28-18515000-01</v>
          </cell>
          <cell r="E1203" t="str">
            <v>对接定位轴</v>
          </cell>
        </row>
        <row r="1204">
          <cell r="D1204" t="str">
            <v>28-18515000-02</v>
          </cell>
          <cell r="E1204" t="str">
            <v>定位板1</v>
          </cell>
        </row>
        <row r="1205">
          <cell r="D1205" t="str">
            <v>28-18515000-03</v>
          </cell>
          <cell r="E1205" t="str">
            <v>定位板2</v>
          </cell>
        </row>
        <row r="1206">
          <cell r="D1206" t="str">
            <v>28-18515000-04</v>
          </cell>
          <cell r="E1206" t="str">
            <v>定位板3</v>
          </cell>
        </row>
        <row r="1207">
          <cell r="D1207" t="str">
            <v>28-18515000-05</v>
          </cell>
          <cell r="E1207" t="str">
            <v>定位轴套1</v>
          </cell>
        </row>
        <row r="1208">
          <cell r="D1208" t="str">
            <v>28-18515000-06</v>
          </cell>
          <cell r="E1208" t="str">
            <v>定位轴套2</v>
          </cell>
        </row>
        <row r="1209">
          <cell r="D1209" t="str">
            <v>28-18515000-07</v>
          </cell>
          <cell r="E1209" t="str">
            <v>定位轴套3</v>
          </cell>
        </row>
        <row r="1210">
          <cell r="D1210" t="str">
            <v>CB5314107-001-002</v>
          </cell>
          <cell r="E1210" t="str">
            <v>5550上框</v>
          </cell>
        </row>
        <row r="1211">
          <cell r="D1211" t="str">
            <v>CB5314107-001-002</v>
          </cell>
          <cell r="E1211" t="str">
            <v>5550上框</v>
          </cell>
        </row>
        <row r="1212">
          <cell r="D1212" t="str">
            <v>CB5314107-001-002</v>
          </cell>
          <cell r="E1212" t="str">
            <v>5550上框</v>
          </cell>
        </row>
        <row r="1213">
          <cell r="D1213" t="str">
            <v>CB5314107-001-002</v>
          </cell>
          <cell r="E1213" t="str">
            <v>5550上框</v>
          </cell>
        </row>
        <row r="1214">
          <cell r="D1214" t="str">
            <v>CB5314107-001-002</v>
          </cell>
          <cell r="E1214" t="str">
            <v>5550上框</v>
          </cell>
        </row>
        <row r="1215">
          <cell r="D1215" t="str">
            <v>CB5314107-001-002</v>
          </cell>
          <cell r="E1215" t="str">
            <v>5550上框</v>
          </cell>
        </row>
        <row r="1216">
          <cell r="D1216" t="str">
            <v>CB5314107-001-002</v>
          </cell>
          <cell r="E1216" t="str">
            <v>5550上框</v>
          </cell>
        </row>
        <row r="1217">
          <cell r="D1217" t="str">
            <v>CB5314107-001-002</v>
          </cell>
          <cell r="E1217" t="str">
            <v>5550上框</v>
          </cell>
        </row>
        <row r="1218">
          <cell r="D1218" t="str">
            <v>CB22924J0-001-001</v>
          </cell>
          <cell r="E1218" t="str">
            <v>角片</v>
          </cell>
        </row>
        <row r="1219">
          <cell r="D1219" t="str">
            <v>CB22924J0-002-003</v>
          </cell>
          <cell r="E1219" t="str">
            <v>角片</v>
          </cell>
        </row>
        <row r="1220">
          <cell r="D1220" t="str">
            <v>BC3101242-002L001</v>
          </cell>
          <cell r="E1220" t="str">
            <v>耳座</v>
          </cell>
        </row>
        <row r="1221">
          <cell r="D1221" t="str">
            <v>BC3101242-002R001</v>
          </cell>
          <cell r="E1221" t="str">
            <v>耳座</v>
          </cell>
        </row>
        <row r="1222">
          <cell r="D1222" t="str">
            <v>CB22924K0-001-001</v>
          </cell>
          <cell r="E1222" t="str">
            <v>角片</v>
          </cell>
        </row>
        <row r="1223">
          <cell r="D1223" t="str">
            <v>DD-J10S-54101-610-1</v>
          </cell>
          <cell r="E1223" t="str">
            <v>支座</v>
          </cell>
        </row>
        <row r="1224">
          <cell r="D1224" t="str">
            <v>CB2294170-003-001</v>
          </cell>
          <cell r="E1224" t="str">
            <v>支架</v>
          </cell>
        </row>
        <row r="1225">
          <cell r="D1225" t="str">
            <v>3121000-01</v>
          </cell>
          <cell r="E1225" t="str">
            <v>支架</v>
          </cell>
        </row>
        <row r="1226">
          <cell r="D1226" t="str">
            <v>3121000-02</v>
          </cell>
          <cell r="E1226" t="str">
            <v>框架</v>
          </cell>
        </row>
        <row r="1227">
          <cell r="D1227" t="str">
            <v>3121000-03</v>
          </cell>
          <cell r="E1227" t="str">
            <v>上盖板</v>
          </cell>
        </row>
        <row r="1228">
          <cell r="D1228" t="str">
            <v>3121000-04</v>
          </cell>
          <cell r="E1228" t="str">
            <v>压线卡</v>
          </cell>
        </row>
        <row r="1229">
          <cell r="D1229" t="str">
            <v>3122000-01</v>
          </cell>
          <cell r="E1229" t="str">
            <v>框架</v>
          </cell>
        </row>
        <row r="1230">
          <cell r="D1230" t="str">
            <v>3122000-02</v>
          </cell>
          <cell r="E1230" t="str">
            <v>侧盖板</v>
          </cell>
        </row>
        <row r="1231">
          <cell r="D1231" t="str">
            <v>DD-J10B-65000-1810G2-1</v>
          </cell>
          <cell r="E1231" t="str">
            <v>支架</v>
          </cell>
        </row>
        <row r="1232">
          <cell r="D1232" t="str">
            <v>DD-J10B-65000-1810G2-1</v>
          </cell>
          <cell r="E1232" t="str">
            <v>支架</v>
          </cell>
        </row>
        <row r="1233">
          <cell r="D1233" t="str">
            <v>DD-J10-06051-24</v>
          </cell>
          <cell r="E1233" t="str">
            <v>手柄</v>
          </cell>
        </row>
        <row r="1234">
          <cell r="D1234" t="str">
            <v>DD-J10B-94061-401</v>
          </cell>
          <cell r="E1234" t="str">
            <v>支架</v>
          </cell>
        </row>
        <row r="1235">
          <cell r="D1235" t="str">
            <v>DD-J10B-67011-20010-2</v>
          </cell>
          <cell r="E1235" t="str">
            <v>弓形件</v>
          </cell>
        </row>
        <row r="1236">
          <cell r="D1236" t="str">
            <v>DD-J10B-61001-8001</v>
          </cell>
          <cell r="E1236" t="str">
            <v>卡片</v>
          </cell>
        </row>
        <row r="1237">
          <cell r="D1237" t="str">
            <v>BC2291210-001-001</v>
          </cell>
          <cell r="E1237" t="str">
            <v>循环油滤支架</v>
          </cell>
        </row>
        <row r="1238">
          <cell r="D1238" t="str">
            <v>BC5323100-014L001</v>
          </cell>
          <cell r="E1238" t="str">
            <v>链接角片</v>
          </cell>
        </row>
        <row r="1239">
          <cell r="D1239" t="str">
            <v>BC5323100-014R001</v>
          </cell>
          <cell r="E1239" t="str">
            <v>链接角片</v>
          </cell>
        </row>
        <row r="1240">
          <cell r="D1240" t="str">
            <v>BC2291222-001-001</v>
          </cell>
          <cell r="E1240" t="str">
            <v>应急泵供压油滤支架</v>
          </cell>
        </row>
        <row r="1241">
          <cell r="D1241" t="str">
            <v>W12XXX-000-00</v>
          </cell>
          <cell r="E1241" t="str">
            <v>YZ向离心夹具</v>
          </cell>
        </row>
        <row r="1242">
          <cell r="D1242" t="str">
            <v>AZZJ-000-01</v>
          </cell>
          <cell r="E1242" t="str">
            <v>安装转接板</v>
          </cell>
        </row>
        <row r="1243">
          <cell r="D1243" t="str">
            <v>AZZJ-000-02</v>
          </cell>
          <cell r="E1243" t="str">
            <v>基准板</v>
          </cell>
        </row>
        <row r="1244">
          <cell r="D1244" t="str">
            <v>AZZJ-000-03</v>
          </cell>
          <cell r="E1244" t="str">
            <v>天线安装板</v>
          </cell>
        </row>
        <row r="1245">
          <cell r="D1245" t="str">
            <v>AZZJ-000-04</v>
          </cell>
          <cell r="E1245" t="str">
            <v>把手</v>
          </cell>
        </row>
        <row r="1246">
          <cell r="D1246" t="str">
            <v>XXX-000-01</v>
          </cell>
          <cell r="E1246" t="str">
            <v>盖板</v>
          </cell>
        </row>
        <row r="1247">
          <cell r="D1247" t="str">
            <v>XXX-000-02</v>
          </cell>
          <cell r="E1247" t="str">
            <v>腔体</v>
          </cell>
        </row>
        <row r="1248">
          <cell r="D1248" t="str">
            <v>XXX-000-03</v>
          </cell>
          <cell r="E1248" t="str">
            <v>底板</v>
          </cell>
        </row>
        <row r="1249">
          <cell r="D1249" t="str">
            <v>XXX-000-04</v>
          </cell>
          <cell r="E1249" t="str">
            <v>密封圈1</v>
          </cell>
        </row>
        <row r="1250">
          <cell r="D1250" t="str">
            <v>XXX-000-05</v>
          </cell>
          <cell r="E1250" t="str">
            <v>密封圈2</v>
          </cell>
        </row>
        <row r="1251">
          <cell r="D1251" t="str">
            <v>XXX-000-06</v>
          </cell>
          <cell r="E1251" t="str">
            <v>密封圈3</v>
          </cell>
        </row>
        <row r="1252">
          <cell r="D1252" t="str">
            <v>X-3130000-01</v>
          </cell>
          <cell r="E1252" t="str">
            <v>底座</v>
          </cell>
        </row>
        <row r="1253">
          <cell r="D1253" t="str">
            <v>X-3130000-01</v>
          </cell>
          <cell r="E1253" t="str">
            <v>底座</v>
          </cell>
        </row>
        <row r="1254">
          <cell r="D1254" t="str">
            <v>X-3130000-01</v>
          </cell>
          <cell r="E1254" t="str">
            <v>底座</v>
          </cell>
        </row>
        <row r="1255">
          <cell r="D1255" t="str">
            <v>X-3130000-02</v>
          </cell>
          <cell r="E1255" t="str">
            <v>外罩</v>
          </cell>
        </row>
        <row r="1256">
          <cell r="D1256" t="str">
            <v>X-3130000-02</v>
          </cell>
          <cell r="E1256" t="str">
            <v>外罩</v>
          </cell>
        </row>
        <row r="1257">
          <cell r="D1257" t="str">
            <v>X-3130000-02</v>
          </cell>
          <cell r="E1257" t="str">
            <v>外罩</v>
          </cell>
        </row>
        <row r="1258">
          <cell r="D1258" t="str">
            <v>X-3130000-03</v>
          </cell>
          <cell r="E1258" t="str">
            <v>压线卡</v>
          </cell>
        </row>
        <row r="1259">
          <cell r="D1259" t="str">
            <v>X-3130000-04</v>
          </cell>
          <cell r="E1259" t="str">
            <v>导电片框</v>
          </cell>
        </row>
        <row r="1260">
          <cell r="D1260" t="str">
            <v>X-3130000-04</v>
          </cell>
          <cell r="E1260" t="str">
            <v>导电片框</v>
          </cell>
        </row>
        <row r="1261">
          <cell r="D1261" t="str">
            <v>X-3130000-04</v>
          </cell>
          <cell r="E1261" t="str">
            <v>导电片框</v>
          </cell>
        </row>
        <row r="1262">
          <cell r="D1262" t="str">
            <v>X-3130000-10</v>
          </cell>
          <cell r="E1262" t="str">
            <v>插座架</v>
          </cell>
        </row>
        <row r="1263">
          <cell r="D1263" t="str">
            <v>X-313100-01</v>
          </cell>
          <cell r="E1263" t="str">
            <v>衬片</v>
          </cell>
        </row>
        <row r="1264">
          <cell r="D1264" t="str">
            <v>X-313400-01</v>
          </cell>
          <cell r="E1264" t="str">
            <v>右电刷转轴</v>
          </cell>
        </row>
        <row r="1265">
          <cell r="D1265" t="str">
            <v>X-313400-01</v>
          </cell>
          <cell r="E1265" t="str">
            <v>左电刷转轴</v>
          </cell>
        </row>
        <row r="1266">
          <cell r="D1266" t="str">
            <v>X-313500-02</v>
          </cell>
          <cell r="E1266" t="str">
            <v>电刷架</v>
          </cell>
        </row>
        <row r="1267">
          <cell r="D1267" t="str">
            <v>X-313500-03</v>
          </cell>
          <cell r="E1267" t="str">
            <v>绝缘板</v>
          </cell>
        </row>
        <row r="1268">
          <cell r="D1268" t="str">
            <v>3170000-01</v>
          </cell>
          <cell r="E1268" t="str">
            <v>底座</v>
          </cell>
        </row>
        <row r="1269">
          <cell r="D1269" t="str">
            <v>3170000-02</v>
          </cell>
          <cell r="E1269" t="str">
            <v>外罩</v>
          </cell>
        </row>
        <row r="1270">
          <cell r="D1270" t="str">
            <v>3170000-04</v>
          </cell>
          <cell r="E1270" t="str">
            <v>导电片框</v>
          </cell>
        </row>
        <row r="1271">
          <cell r="D1271" t="str">
            <v>3170000-09</v>
          </cell>
          <cell r="E1271" t="str">
            <v>插座盖</v>
          </cell>
        </row>
        <row r="1272">
          <cell r="D1272" t="str">
            <v>3170000-11</v>
          </cell>
          <cell r="E1272" t="str">
            <v>电刷架</v>
          </cell>
        </row>
        <row r="1273">
          <cell r="D1273" t="str">
            <v>3171000-01</v>
          </cell>
          <cell r="E1273" t="str">
            <v>衬片</v>
          </cell>
        </row>
        <row r="1274">
          <cell r="D1274" t="str">
            <v>3200000-01</v>
          </cell>
          <cell r="E1274" t="str">
            <v>基座</v>
          </cell>
        </row>
        <row r="1275">
          <cell r="D1275" t="str">
            <v>3200000-01</v>
          </cell>
          <cell r="E1275" t="str">
            <v>基座</v>
          </cell>
        </row>
        <row r="1276">
          <cell r="D1276" t="str">
            <v>3200000-02</v>
          </cell>
          <cell r="E1276" t="str">
            <v>上盖</v>
          </cell>
        </row>
        <row r="1277">
          <cell r="D1277" t="str">
            <v>3200000-03</v>
          </cell>
          <cell r="E1277" t="str">
            <v>中心柱</v>
          </cell>
        </row>
        <row r="1278">
          <cell r="D1278" t="str">
            <v>3200000-04</v>
          </cell>
          <cell r="E1278" t="str">
            <v>质量块</v>
          </cell>
        </row>
        <row r="1279">
          <cell r="D1279" t="str">
            <v>3200000-05</v>
          </cell>
          <cell r="E1279" t="str">
            <v>负极接电片</v>
          </cell>
        </row>
        <row r="1280">
          <cell r="D1280" t="str">
            <v>3200000-06</v>
          </cell>
          <cell r="E1280" t="str">
            <v>正极接电片</v>
          </cell>
        </row>
        <row r="1281">
          <cell r="D1281" t="str">
            <v>3200000-07</v>
          </cell>
          <cell r="E1281" t="str">
            <v>预紧螺母</v>
          </cell>
        </row>
        <row r="1282">
          <cell r="D1282" t="str">
            <v>3200000-08</v>
          </cell>
          <cell r="E1282" t="str">
            <v>转接螺母M5</v>
          </cell>
        </row>
        <row r="1283">
          <cell r="D1283" t="str">
            <v>6600000-01</v>
          </cell>
          <cell r="E1283" t="str">
            <v>盖板</v>
          </cell>
        </row>
        <row r="1284">
          <cell r="D1284" t="str">
            <v>6600000-02</v>
          </cell>
          <cell r="E1284" t="str">
            <v>盒体</v>
          </cell>
        </row>
        <row r="1285">
          <cell r="D1285" t="str">
            <v>6600000-03</v>
          </cell>
          <cell r="E1285" t="str">
            <v>底板</v>
          </cell>
        </row>
        <row r="1286">
          <cell r="D1286" t="str">
            <v>DD-J10-05236-13-Y</v>
          </cell>
          <cell r="E1286" t="str">
            <v>腹鳍后接头（右件）</v>
          </cell>
        </row>
        <row r="1287">
          <cell r="D1287" t="str">
            <v>DD-J10-05236-13-Z</v>
          </cell>
          <cell r="E1287" t="str">
            <v>腹鳍后接头（左件）</v>
          </cell>
        </row>
        <row r="1288">
          <cell r="D1288" t="str">
            <v>DD-J10-05236-1-Y</v>
          </cell>
          <cell r="E1288" t="str">
            <v>腹鳍前接头（右件）</v>
          </cell>
        </row>
        <row r="1289">
          <cell r="D1289" t="str">
            <v>DD-J10-05236-1-Z</v>
          </cell>
          <cell r="E1289" t="str">
            <v>腹鳍前接头（左件）</v>
          </cell>
        </row>
        <row r="1290">
          <cell r="D1290" t="str">
            <v>DD-J10B-21002-2-Y</v>
          </cell>
          <cell r="E1290" t="str">
            <v>4号下壁版（右件）</v>
          </cell>
        </row>
        <row r="1291">
          <cell r="D1291" t="str">
            <v>BC2281242-001-001</v>
          </cell>
          <cell r="E1291" t="str">
            <v>支座</v>
          </cell>
        </row>
        <row r="1292">
          <cell r="D1292" t="str">
            <v>BC5333651-001-001</v>
          </cell>
          <cell r="E1292" t="str">
            <v>壳体</v>
          </cell>
        </row>
        <row r="1293">
          <cell r="D1293" t="str">
            <v>DD-J10S-54101-610-1</v>
          </cell>
          <cell r="E1293" t="str">
            <v>支座</v>
          </cell>
        </row>
        <row r="1294">
          <cell r="D1294" t="str">
            <v>DD-J10S-54101-610-1</v>
          </cell>
          <cell r="E1294" t="str">
            <v>支座</v>
          </cell>
        </row>
        <row r="1295">
          <cell r="D1295" t="str">
            <v>DD-J10S-54101-610-1</v>
          </cell>
          <cell r="E1295" t="str">
            <v>支座</v>
          </cell>
        </row>
        <row r="1296">
          <cell r="D1296" t="str">
            <v>DD-J10S-54101-610-1</v>
          </cell>
          <cell r="E1296" t="str">
            <v>支座</v>
          </cell>
        </row>
        <row r="1297">
          <cell r="D1297" t="str">
            <v>DD-J10B-78001-460-1</v>
          </cell>
          <cell r="E1297" t="str">
            <v>铰链</v>
          </cell>
        </row>
        <row r="1298">
          <cell r="D1298" t="str">
            <v>CB5327110-003R002</v>
          </cell>
          <cell r="E1298" t="str">
            <v>8635右隔框</v>
          </cell>
        </row>
        <row r="1299">
          <cell r="D1299" t="str">
            <v>CB5327110-003L002</v>
          </cell>
          <cell r="E1299" t="str">
            <v>8635左隔框</v>
          </cell>
        </row>
        <row r="1300">
          <cell r="D1300" t="str">
            <v>CB5327110-002L002</v>
          </cell>
          <cell r="E1300" t="str">
            <v>8270左隔框</v>
          </cell>
        </row>
        <row r="1301">
          <cell r="D1301" t="str">
            <v>CB5327110-002R002</v>
          </cell>
          <cell r="E1301" t="str">
            <v>8270右隔框</v>
          </cell>
        </row>
        <row r="1302">
          <cell r="D1302" t="str">
            <v>CB5715000-001R002</v>
          </cell>
          <cell r="E1302" t="str">
            <v>固定前缘边肋</v>
          </cell>
        </row>
        <row r="1303">
          <cell r="D1303" t="str">
            <v>CB5715000-001R002</v>
          </cell>
          <cell r="E1303" t="str">
            <v>固定前缘边肋</v>
          </cell>
        </row>
        <row r="1304">
          <cell r="D1304" t="str">
            <v>CB5715000-001R002</v>
          </cell>
          <cell r="E1304" t="str">
            <v>固定前缘边肋</v>
          </cell>
        </row>
        <row r="1305">
          <cell r="D1305" t="str">
            <v>CB5715000-001L002</v>
          </cell>
          <cell r="E1305" t="str">
            <v>固定前缘边肋</v>
          </cell>
        </row>
        <row r="1306">
          <cell r="D1306" t="str">
            <v>CB5715000-001L002</v>
          </cell>
          <cell r="E1306" t="str">
            <v>固定前缘边肋</v>
          </cell>
        </row>
        <row r="1307">
          <cell r="D1307" t="str">
            <v>CB5715000-001L002</v>
          </cell>
          <cell r="E1307" t="str">
            <v>固定前缘边肋</v>
          </cell>
        </row>
        <row r="1308">
          <cell r="D1308" t="str">
            <v>CB5323210-002-028</v>
          </cell>
          <cell r="E1308" t="str">
            <v>10540中框</v>
          </cell>
        </row>
        <row r="1309">
          <cell r="D1309" t="str">
            <v>CB5323210-002-028</v>
          </cell>
          <cell r="E1309" t="str">
            <v>10540中框</v>
          </cell>
        </row>
        <row r="1310">
          <cell r="D1310" t="str">
            <v>CB5323210-002-028</v>
          </cell>
          <cell r="E1310" t="str">
            <v>10540中框</v>
          </cell>
        </row>
        <row r="1311">
          <cell r="D1311" t="str">
            <v>CB5323210-002-028</v>
          </cell>
          <cell r="E1311" t="str">
            <v>10540中框</v>
          </cell>
        </row>
        <row r="1312">
          <cell r="D1312" t="str">
            <v>XXX-000-01</v>
          </cell>
          <cell r="E1312" t="str">
            <v>xxx腔体</v>
          </cell>
        </row>
        <row r="1313">
          <cell r="D1313" t="str">
            <v>XXX-000-02</v>
          </cell>
          <cell r="E1313" t="str">
            <v>xxx上盖板</v>
          </cell>
        </row>
        <row r="1314">
          <cell r="D1314" t="str">
            <v>XXX-000-03</v>
          </cell>
          <cell r="E1314" t="str">
            <v>xxx下盖板</v>
          </cell>
        </row>
        <row r="1315">
          <cell r="D1315" t="str">
            <v>XXX-000-04</v>
          </cell>
          <cell r="E1315" t="str">
            <v>脉冲成型器压板</v>
          </cell>
        </row>
        <row r="1316">
          <cell r="D1316" t="str">
            <v>T/16-FS01-000-01</v>
          </cell>
          <cell r="E1316" t="str">
            <v>XXM发射机腔体</v>
          </cell>
        </row>
        <row r="1317">
          <cell r="D1317" t="str">
            <v>T/16-FS01-000-02</v>
          </cell>
          <cell r="E1317" t="str">
            <v>XXM发射机下盖</v>
          </cell>
        </row>
        <row r="1318">
          <cell r="D1318" t="str">
            <v>T/16-FS01-000-03</v>
          </cell>
          <cell r="E1318" t="str">
            <v>XXM发射机上盖</v>
          </cell>
        </row>
        <row r="1319">
          <cell r="D1319" t="str">
            <v>JJ-000-01</v>
          </cell>
          <cell r="E1319" t="str">
            <v>离心台转接板</v>
          </cell>
        </row>
        <row r="1320">
          <cell r="D1320" t="str">
            <v>6410000-01</v>
          </cell>
          <cell r="E1320" t="str">
            <v>腔体</v>
          </cell>
        </row>
        <row r="1321">
          <cell r="D1321" t="str">
            <v>6410000-02</v>
          </cell>
          <cell r="E1321" t="str">
            <v>介质块</v>
          </cell>
        </row>
        <row r="1322">
          <cell r="D1322" t="str">
            <v>6410000-03</v>
          </cell>
          <cell r="E1322" t="str">
            <v>SMA(12.2)垫圈</v>
          </cell>
        </row>
        <row r="1323">
          <cell r="D1323" t="str">
            <v>6600000-01</v>
          </cell>
          <cell r="E1323" t="str">
            <v>盖板</v>
          </cell>
        </row>
        <row r="1324">
          <cell r="D1324" t="str">
            <v>6600000-02</v>
          </cell>
          <cell r="E1324" t="str">
            <v>盒体</v>
          </cell>
        </row>
        <row r="1325">
          <cell r="D1325" t="str">
            <v>6600000-03</v>
          </cell>
          <cell r="E1325" t="str">
            <v>底板</v>
          </cell>
        </row>
        <row r="1326">
          <cell r="D1326" t="str">
            <v>CB5715000-001L002</v>
          </cell>
          <cell r="E1326" t="str">
            <v>固定前缘边肋</v>
          </cell>
        </row>
        <row r="1327">
          <cell r="D1327" t="str">
            <v>CB5715000-001R002</v>
          </cell>
          <cell r="E1327" t="str">
            <v>固定前缘边肋</v>
          </cell>
        </row>
        <row r="1328">
          <cell r="D1328" t="str">
            <v>DD-J10-05236-15-Z</v>
          </cell>
          <cell r="E1328" t="str">
            <v>角材</v>
          </cell>
        </row>
        <row r="1329">
          <cell r="D1329" t="str">
            <v>DD-J10-05236-15-Y</v>
          </cell>
          <cell r="E1329" t="str">
            <v>角材</v>
          </cell>
        </row>
        <row r="1330">
          <cell r="D1330" t="str">
            <v>DD-J10-04501-10-1-Z</v>
          </cell>
          <cell r="E1330" t="str">
            <v>BL900侧梁</v>
          </cell>
        </row>
        <row r="1331">
          <cell r="D1331" t="str">
            <v>DD-J10-04501-10-1-Z</v>
          </cell>
          <cell r="E1331" t="str">
            <v>BL900侧梁</v>
          </cell>
        </row>
        <row r="1332">
          <cell r="D1332" t="str">
            <v>DD-J10B-94076-803</v>
          </cell>
          <cell r="E1332" t="str">
            <v>支架</v>
          </cell>
        </row>
        <row r="1333">
          <cell r="D1333" t="str">
            <v>BC221T1AC-003-001</v>
          </cell>
          <cell r="E1333" t="str">
            <v>传感器座</v>
          </cell>
        </row>
        <row r="1334">
          <cell r="D1334" t="str">
            <v>DD-J10B-73010-310G2-1</v>
          </cell>
          <cell r="E1334" t="str">
            <v>过渡板</v>
          </cell>
        </row>
        <row r="1335">
          <cell r="D1335" t="str">
            <v>DD-J10-64016-210-1</v>
          </cell>
          <cell r="E1335" t="str">
            <v>管子</v>
          </cell>
        </row>
        <row r="1336">
          <cell r="D1336" t="str">
            <v>DD-J10B-65000-1820G2-1</v>
          </cell>
          <cell r="E1336" t="str">
            <v>摇臂</v>
          </cell>
        </row>
        <row r="1337">
          <cell r="D1337" t="str">
            <v>DD-J10B-65000-1820G2-1</v>
          </cell>
          <cell r="E1337" t="str">
            <v>摇臂</v>
          </cell>
        </row>
        <row r="1338">
          <cell r="D1338" t="str">
            <v>DD-J10B-06061-22</v>
          </cell>
          <cell r="E1338" t="str">
            <v>摇臂</v>
          </cell>
        </row>
        <row r="1339">
          <cell r="D1339" t="str">
            <v>BC2716220-001-001</v>
          </cell>
          <cell r="E1339" t="str">
            <v>双螺钉托板螺母</v>
          </cell>
        </row>
        <row r="1340">
          <cell r="D1340" t="str">
            <v>BC2282340-002-001</v>
          </cell>
          <cell r="E1340" t="str">
            <v>带管接嘴法兰盘4</v>
          </cell>
        </row>
        <row r="1341">
          <cell r="D1341" t="str">
            <v>DD-J10B-04321-30-1-Y</v>
          </cell>
          <cell r="E1341" t="str">
            <v>侧下梁（右件）</v>
          </cell>
        </row>
        <row r="1342">
          <cell r="D1342" t="str">
            <v>DD-J10B-04321-30-1-Y</v>
          </cell>
          <cell r="E1342" t="str">
            <v>侧下梁（右件）</v>
          </cell>
        </row>
        <row r="1343">
          <cell r="D1343" t="str">
            <v>DD-J10B-04321-30-1-Y</v>
          </cell>
          <cell r="E1343" t="str">
            <v>侧下梁（右件）</v>
          </cell>
        </row>
        <row r="1344">
          <cell r="D1344" t="str">
            <v>DD-J10B-04321-30-1-Y</v>
          </cell>
          <cell r="E1344" t="str">
            <v>侧下梁（右件）</v>
          </cell>
        </row>
        <row r="1345">
          <cell r="D1345" t="str">
            <v>DD-J10B-04321-30-1-Z</v>
          </cell>
          <cell r="E1345" t="str">
            <v>侧下梁（左件）</v>
          </cell>
        </row>
        <row r="1346">
          <cell r="D1346" t="str">
            <v>DD-J10B-04321-30-1-Z</v>
          </cell>
          <cell r="E1346" t="str">
            <v>侧下梁（左件）</v>
          </cell>
        </row>
        <row r="1347">
          <cell r="D1347" t="str">
            <v>DD-J10B-04321-30-1-Z</v>
          </cell>
          <cell r="E1347" t="str">
            <v>侧下梁（左件）</v>
          </cell>
        </row>
        <row r="1348">
          <cell r="D1348" t="str">
            <v>DD-J10B-04321-30-1-Z</v>
          </cell>
          <cell r="E1348" t="str">
            <v>侧下梁（左件）</v>
          </cell>
        </row>
        <row r="1349">
          <cell r="D1349" t="str">
            <v>DD-J10B-04501-10-1-Y</v>
          </cell>
          <cell r="E1349" t="str">
            <v>BL900侧梁</v>
          </cell>
        </row>
        <row r="1350">
          <cell r="D1350" t="str">
            <v>DD-J10B-04501-10-1-Y</v>
          </cell>
          <cell r="E1350" t="str">
            <v>BL900侧梁</v>
          </cell>
        </row>
        <row r="1351">
          <cell r="D1351" t="str">
            <v>DD-J10B-04501-10-1-Y</v>
          </cell>
          <cell r="E1351" t="str">
            <v>BL900侧梁</v>
          </cell>
        </row>
        <row r="1352">
          <cell r="D1352" t="str">
            <v>DD-J10B-04501-10-1-Y</v>
          </cell>
          <cell r="E1352" t="str">
            <v>BL900侧梁</v>
          </cell>
        </row>
        <row r="1353">
          <cell r="D1353" t="str">
            <v>DD-J10B-04501-10-1-Z</v>
          </cell>
          <cell r="E1353" t="str">
            <v>BL900侧梁</v>
          </cell>
        </row>
        <row r="1354">
          <cell r="D1354" t="str">
            <v>DD-J10B-04501-10-1-Z</v>
          </cell>
          <cell r="E1354" t="str">
            <v>BL900侧梁</v>
          </cell>
        </row>
        <row r="1355">
          <cell r="D1355" t="str">
            <v>DD-J10B-04501-10-1-Z</v>
          </cell>
          <cell r="E1355" t="str">
            <v>BL900侧梁</v>
          </cell>
        </row>
        <row r="1356">
          <cell r="D1356" t="str">
            <v>DD-J10B-04501-10-1-Z</v>
          </cell>
          <cell r="E1356" t="str">
            <v>BL900侧梁</v>
          </cell>
        </row>
        <row r="1357">
          <cell r="D1357" t="str">
            <v>DD-J10S-65001-2104</v>
          </cell>
          <cell r="E1357" t="str">
            <v>调节螺管</v>
          </cell>
        </row>
        <row r="1358">
          <cell r="D1358" t="str">
            <v>CB2294170-001-001</v>
          </cell>
          <cell r="E1358" t="str">
            <v>压杆</v>
          </cell>
        </row>
        <row r="1359">
          <cell r="D1359" t="str">
            <v>BC22841Y3-001-002</v>
          </cell>
          <cell r="E1359" t="str">
            <v>支架</v>
          </cell>
        </row>
        <row r="1360">
          <cell r="D1360" t="str">
            <v>BC22841Y4-001-002</v>
          </cell>
          <cell r="E1360" t="str">
            <v>支架</v>
          </cell>
        </row>
        <row r="1361">
          <cell r="D1361" t="str">
            <v>DD-J10-41173-104</v>
          </cell>
          <cell r="E1361" t="str">
            <v>盖子</v>
          </cell>
        </row>
        <row r="1362">
          <cell r="D1362" t="str">
            <v>XXX-6700000-01</v>
          </cell>
          <cell r="E1362" t="str">
            <v>腔体</v>
          </cell>
        </row>
        <row r="1363">
          <cell r="D1363" t="str">
            <v>XXX-6700000-02</v>
          </cell>
          <cell r="E1363" t="str">
            <v>上盖板</v>
          </cell>
        </row>
        <row r="1364">
          <cell r="D1364" t="str">
            <v>XXX-6700000-03</v>
          </cell>
          <cell r="E1364" t="str">
            <v>下盖板</v>
          </cell>
        </row>
        <row r="1365">
          <cell r="D1365" t="str">
            <v>XXX-000-01</v>
          </cell>
          <cell r="E1365" t="str">
            <v>腔体</v>
          </cell>
        </row>
        <row r="1366">
          <cell r="D1366" t="str">
            <v>XXX-000-02</v>
          </cell>
          <cell r="E1366" t="str">
            <v>上盖板</v>
          </cell>
        </row>
        <row r="1367">
          <cell r="D1367" t="str">
            <v>XXX-000-03</v>
          </cell>
          <cell r="E1367" t="str">
            <v>下盖板</v>
          </cell>
        </row>
        <row r="1368">
          <cell r="D1368" t="str">
            <v>XXX-000-04</v>
          </cell>
          <cell r="E1368" t="str">
            <v>脉冲成型器压板</v>
          </cell>
        </row>
        <row r="1369">
          <cell r="D1369" t="str">
            <v>DD-J10-67096-50-1</v>
          </cell>
          <cell r="E1369" t="str">
            <v>Z型件</v>
          </cell>
        </row>
        <row r="1370">
          <cell r="D1370" t="str">
            <v>6600000-01</v>
          </cell>
          <cell r="E1370" t="str">
            <v>盖板</v>
          </cell>
        </row>
        <row r="1371">
          <cell r="D1371" t="str">
            <v>6600000-02</v>
          </cell>
          <cell r="E1371" t="str">
            <v>盒体</v>
          </cell>
        </row>
        <row r="1372">
          <cell r="D1372" t="str">
            <v>6600000-03</v>
          </cell>
          <cell r="E1372" t="str">
            <v>底板</v>
          </cell>
        </row>
        <row r="1373">
          <cell r="D1373" t="str">
            <v>DD-J10-67096-50-1</v>
          </cell>
          <cell r="E1373" t="str">
            <v>Z型件</v>
          </cell>
        </row>
        <row r="1374">
          <cell r="D1374" t="str">
            <v>DD-J10-41153-105</v>
          </cell>
          <cell r="E1374" t="str">
            <v>联锁摇臂</v>
          </cell>
        </row>
        <row r="1375">
          <cell r="D1375" t="str">
            <v>DD-J10B-65000-1710G2-1</v>
          </cell>
          <cell r="E1375" t="str">
            <v>连杆</v>
          </cell>
        </row>
        <row r="1376">
          <cell r="D1376" t="str">
            <v>DD-J10B-65000-1710G2-1</v>
          </cell>
          <cell r="E1376" t="str">
            <v>连杆</v>
          </cell>
        </row>
        <row r="1377">
          <cell r="D1377" t="str">
            <v>DD-J10S-54101-1106</v>
          </cell>
          <cell r="E1377" t="str">
            <v>销钉</v>
          </cell>
        </row>
        <row r="1378">
          <cell r="D1378" t="str">
            <v>DD-J10B-04011-1</v>
          </cell>
          <cell r="E1378" t="str">
            <v>7100框</v>
          </cell>
        </row>
        <row r="1379">
          <cell r="D1379" t="str">
            <v>DD-J10B-04011-1</v>
          </cell>
          <cell r="E1379" t="str">
            <v>7100框</v>
          </cell>
        </row>
        <row r="1380">
          <cell r="D1380" t="str">
            <v>DD-J10B-04011-1</v>
          </cell>
          <cell r="E1380" t="str">
            <v>7100框</v>
          </cell>
        </row>
        <row r="1381">
          <cell r="D1381" t="str">
            <v>DD-J10B-04011-1</v>
          </cell>
          <cell r="E1381" t="str">
            <v>7100框</v>
          </cell>
        </row>
        <row r="1382">
          <cell r="D1382" t="str">
            <v>DD-J10B-61201-12</v>
          </cell>
          <cell r="E1382" t="str">
            <v>接头</v>
          </cell>
        </row>
        <row r="1383">
          <cell r="D1383" t="str">
            <v>DD-J10B-02021-52/1-Z</v>
          </cell>
          <cell r="E1383" t="str">
            <v>锁芯</v>
          </cell>
        </row>
        <row r="1384">
          <cell r="D1384" t="str">
            <v>DD-J10B-02021-52/1-Z</v>
          </cell>
          <cell r="E1384" t="str">
            <v>锁芯</v>
          </cell>
        </row>
        <row r="1385">
          <cell r="D1385" t="str">
            <v>DD-J10B-02021-52/2-Y</v>
          </cell>
          <cell r="E1385" t="str">
            <v>锁芯</v>
          </cell>
        </row>
        <row r="1386">
          <cell r="D1386" t="str">
            <v>DD-J10B-02021-52/2-Y</v>
          </cell>
          <cell r="E1386" t="str">
            <v>锁芯</v>
          </cell>
        </row>
        <row r="1387">
          <cell r="D1387" t="str">
            <v>DD-J10B-02021-52/2-Z</v>
          </cell>
          <cell r="E1387" t="str">
            <v>锁芯</v>
          </cell>
        </row>
        <row r="1388">
          <cell r="D1388" t="str">
            <v>DD-J10B-02021-52/1-Y</v>
          </cell>
          <cell r="E1388" t="str">
            <v>锁芯</v>
          </cell>
        </row>
        <row r="1389">
          <cell r="D1389" t="str">
            <v>DD-J10B-02021-52/2-Y</v>
          </cell>
          <cell r="E1389" t="str">
            <v>锁芯</v>
          </cell>
        </row>
        <row r="1390">
          <cell r="D1390" t="str">
            <v>DD-J10B-65000-1720G2-1</v>
          </cell>
          <cell r="E1390" t="str">
            <v>管子</v>
          </cell>
        </row>
        <row r="1391">
          <cell r="D1391" t="str">
            <v>DD-J10B-65000-1720G2-1</v>
          </cell>
          <cell r="E1391" t="str">
            <v>管子</v>
          </cell>
        </row>
        <row r="1392">
          <cell r="D1392" t="str">
            <v>DD-J10B-04051-1</v>
          </cell>
          <cell r="E1392" t="str">
            <v>10460框</v>
          </cell>
        </row>
        <row r="1393">
          <cell r="D1393" t="str">
            <v>DD-J10B-04051-1</v>
          </cell>
          <cell r="E1393" t="str">
            <v>10460框</v>
          </cell>
        </row>
        <row r="1394">
          <cell r="D1394" t="str">
            <v>DD-J10B-54601-10-1</v>
          </cell>
          <cell r="E1394" t="str">
            <v>过渡板</v>
          </cell>
        </row>
        <row r="1395">
          <cell r="D1395" t="str">
            <v>CB5327120-010L015</v>
          </cell>
          <cell r="E1395" t="str">
            <v>9555侧隔框</v>
          </cell>
        </row>
        <row r="1396">
          <cell r="D1396" t="str">
            <v>CB5327120-010L015</v>
          </cell>
          <cell r="E1396" t="str">
            <v>9555侧隔框</v>
          </cell>
        </row>
        <row r="1397">
          <cell r="D1397" t="str">
            <v>CB5327120-010L015</v>
          </cell>
          <cell r="E1397" t="str">
            <v>9555侧隔框</v>
          </cell>
        </row>
        <row r="1398">
          <cell r="D1398" t="str">
            <v>CB5327120-010L015</v>
          </cell>
          <cell r="E1398" t="str">
            <v>9555侧隔框</v>
          </cell>
        </row>
        <row r="1399">
          <cell r="D1399" t="str">
            <v>CB5327120-010R015</v>
          </cell>
          <cell r="E1399" t="str">
            <v>9555侧隔框</v>
          </cell>
        </row>
        <row r="1400">
          <cell r="D1400" t="str">
            <v>CB5327120-010R015</v>
          </cell>
          <cell r="E1400" t="str">
            <v>9555侧隔框</v>
          </cell>
        </row>
        <row r="1401">
          <cell r="D1401" t="str">
            <v>CB5327120-010R015</v>
          </cell>
          <cell r="E1401" t="str">
            <v>9555侧隔框</v>
          </cell>
        </row>
        <row r="1402">
          <cell r="D1402" t="str">
            <v>CB5327120-010R015</v>
          </cell>
          <cell r="E1402" t="str">
            <v>9555侧隔框</v>
          </cell>
        </row>
        <row r="1403">
          <cell r="D1403" t="str">
            <v>DD-J10B-04041-1</v>
          </cell>
          <cell r="E1403" t="str">
            <v>10060框</v>
          </cell>
        </row>
        <row r="1404">
          <cell r="D1404" t="str">
            <v>DD-J10B-04041-1</v>
          </cell>
          <cell r="E1404" t="str">
            <v>10060框</v>
          </cell>
        </row>
        <row r="1405">
          <cell r="D1405" t="str">
            <v>DD-J10B-04041-1</v>
          </cell>
          <cell r="E1405" t="str">
            <v>10060框</v>
          </cell>
        </row>
        <row r="1406">
          <cell r="D1406" t="str">
            <v>DD-J10B-04041-1</v>
          </cell>
          <cell r="E1406" t="str">
            <v>10060框</v>
          </cell>
        </row>
        <row r="1407">
          <cell r="D1407" t="str">
            <v>DD-J10B-04061-1</v>
          </cell>
          <cell r="E1407" t="str">
            <v>10860框</v>
          </cell>
        </row>
        <row r="1408">
          <cell r="D1408" t="str">
            <v>DD-J10B-04061-1</v>
          </cell>
          <cell r="E1408" t="str">
            <v>10860框</v>
          </cell>
        </row>
        <row r="1409">
          <cell r="D1409" t="str">
            <v>DD-J10B-04061-1</v>
          </cell>
          <cell r="E1409" t="str">
            <v>10860框</v>
          </cell>
        </row>
        <row r="1410">
          <cell r="D1410" t="str">
            <v>DD-J10B-04061-1</v>
          </cell>
          <cell r="E1410" t="str">
            <v>10860框</v>
          </cell>
        </row>
        <row r="1411">
          <cell r="D1411" t="str">
            <v>BC2281242-001-001</v>
          </cell>
          <cell r="E1411" t="str">
            <v>支座</v>
          </cell>
        </row>
        <row r="1412">
          <cell r="D1412" t="str">
            <v>BC2292191-001-001</v>
          </cell>
          <cell r="E1412" t="str">
            <v>回油油滤支架</v>
          </cell>
        </row>
        <row r="1413">
          <cell r="D1413" t="str">
            <v>DD-J10B-94076-802</v>
          </cell>
          <cell r="E1413" t="str">
            <v>支架</v>
          </cell>
        </row>
        <row r="1414">
          <cell r="D1414" t="str">
            <v>DD-J10B-86051-2</v>
          </cell>
          <cell r="E1414" t="str">
            <v>激励器转接件</v>
          </cell>
        </row>
        <row r="1415">
          <cell r="D1415" t="str">
            <v>DD-J10-21102-410-1-Y</v>
          </cell>
          <cell r="E1415" t="str">
            <v>1150肋根肋(右件）</v>
          </cell>
        </row>
        <row r="1416">
          <cell r="D1416" t="str">
            <v>BC2291193-002-001</v>
          </cell>
          <cell r="E1416" t="str">
            <v>回油油滤卡箍</v>
          </cell>
        </row>
        <row r="1417">
          <cell r="D1417" t="str">
            <v>CB5327120-013L015</v>
          </cell>
          <cell r="E1417" t="str">
            <v>10150侧隔框</v>
          </cell>
        </row>
        <row r="1418">
          <cell r="D1418" t="str">
            <v>CB5327120-013L015</v>
          </cell>
          <cell r="E1418" t="str">
            <v>10150侧隔框</v>
          </cell>
        </row>
        <row r="1419">
          <cell r="D1419" t="str">
            <v>CB5327120-013L015</v>
          </cell>
          <cell r="E1419" t="str">
            <v>10150侧隔框</v>
          </cell>
        </row>
        <row r="1420">
          <cell r="D1420" t="str">
            <v>CB5327120-013L015</v>
          </cell>
          <cell r="E1420" t="str">
            <v>10150侧隔框</v>
          </cell>
        </row>
        <row r="1421">
          <cell r="D1421" t="str">
            <v>CB5327120-013R015</v>
          </cell>
          <cell r="E1421" t="str">
            <v>10150侧隔框</v>
          </cell>
        </row>
        <row r="1422">
          <cell r="D1422" t="str">
            <v>CB5327120-013R015</v>
          </cell>
          <cell r="E1422" t="str">
            <v>10150侧隔框</v>
          </cell>
        </row>
        <row r="1423">
          <cell r="D1423" t="str">
            <v>CB5327120-013R015</v>
          </cell>
          <cell r="E1423" t="str">
            <v>10150侧隔框</v>
          </cell>
        </row>
        <row r="1424">
          <cell r="D1424" t="str">
            <v>CB5327120-013R015</v>
          </cell>
          <cell r="E1424" t="str">
            <v>10150侧隔框</v>
          </cell>
        </row>
        <row r="1425">
          <cell r="D1425" t="str">
            <v>DD-J10B-21402-90G2-1G2-Y</v>
          </cell>
          <cell r="E1425" t="str">
            <v>固定前缘端肋（右件）</v>
          </cell>
        </row>
        <row r="1426">
          <cell r="D1426" t="str">
            <v>DD-J10B-21402-90G2-1G2-Y</v>
          </cell>
          <cell r="E1426" t="str">
            <v>固定前缘端肋（右件）</v>
          </cell>
        </row>
        <row r="1427">
          <cell r="D1427" t="str">
            <v>DD-J10B-21402-90G2-1G2-Y</v>
          </cell>
          <cell r="E1427" t="str">
            <v>固定前缘端肋（右件）</v>
          </cell>
        </row>
        <row r="1428">
          <cell r="D1428" t="str">
            <v>DD-J10B-21402-90G2-1G2-Y</v>
          </cell>
          <cell r="E1428" t="str">
            <v>固定前缘端肋（右件）</v>
          </cell>
        </row>
        <row r="1429">
          <cell r="D1429" t="str">
            <v>DD-J10B-21402-90G2-1G2-Y</v>
          </cell>
          <cell r="E1429" t="str">
            <v>固定前缘端肋（右件）</v>
          </cell>
        </row>
        <row r="1430">
          <cell r="D1430" t="str">
            <v>DD-J10B-21402-90G2-1G2-Y</v>
          </cell>
          <cell r="E1430" t="str">
            <v>固定前缘端肋（右件）</v>
          </cell>
        </row>
        <row r="1431">
          <cell r="D1431" t="str">
            <v>DD-J10B-21402-90G2-1G2-Y</v>
          </cell>
          <cell r="E1431" t="str">
            <v>固定前缘端肋（右件）</v>
          </cell>
        </row>
        <row r="1432">
          <cell r="D1432" t="str">
            <v>DD-J10B-21402-90G2-1G2-Z</v>
          </cell>
          <cell r="E1432" t="str">
            <v>固定前缘端肋（左件）</v>
          </cell>
        </row>
        <row r="1433">
          <cell r="D1433" t="str">
            <v>DD-J10B-21402-90G2-1G2-Z</v>
          </cell>
          <cell r="E1433" t="str">
            <v>固定前缘端肋（左件）</v>
          </cell>
        </row>
        <row r="1434">
          <cell r="D1434" t="str">
            <v>DD-J10B-21402-90G2-1G2-Z</v>
          </cell>
          <cell r="E1434" t="str">
            <v>固定前缘端肋（左件）</v>
          </cell>
        </row>
        <row r="1435">
          <cell r="D1435" t="str">
            <v>DD-J10B-21402-90G2-1G2-Z</v>
          </cell>
          <cell r="E1435" t="str">
            <v>固定前缘端肋（左件）</v>
          </cell>
        </row>
        <row r="1436">
          <cell r="D1436" t="str">
            <v>DD-J10B-21402-90G2-1G2-Z</v>
          </cell>
          <cell r="E1436" t="str">
            <v>固定前缘端肋（左件）</v>
          </cell>
        </row>
        <row r="1437">
          <cell r="D1437" t="str">
            <v>DD-J10B-21402-90G2-1G2-Z</v>
          </cell>
          <cell r="E1437" t="str">
            <v>固定前缘端肋（左件）</v>
          </cell>
        </row>
        <row r="1438">
          <cell r="D1438" t="str">
            <v>DD-J10B-21402-10G2-1G2-Z</v>
          </cell>
          <cell r="E1438" t="str">
            <v>固定前缘边肋（左件）</v>
          </cell>
        </row>
        <row r="1439">
          <cell r="D1439" t="str">
            <v>DD-J10B-21402-10G2-1G2-Z</v>
          </cell>
          <cell r="E1439" t="str">
            <v>固定前缘边肋（左件）</v>
          </cell>
        </row>
        <row r="1440">
          <cell r="D1440" t="str">
            <v>DD-J10B-21402-10G2-1G2-Z</v>
          </cell>
          <cell r="E1440" t="str">
            <v>固定前缘边肋（左件）</v>
          </cell>
        </row>
        <row r="1441">
          <cell r="D1441" t="str">
            <v>DD-J10B-21402-10G2-1G2-Z</v>
          </cell>
          <cell r="E1441" t="str">
            <v>固定前缘边肋（左件）</v>
          </cell>
        </row>
        <row r="1442">
          <cell r="D1442" t="str">
            <v>DD-J10B-21402-10G2-1G2-Z</v>
          </cell>
          <cell r="E1442" t="str">
            <v>固定前缘边肋（左件）</v>
          </cell>
        </row>
        <row r="1443">
          <cell r="D1443" t="str">
            <v>DD-J10B-21402-10G2-1G2-Z</v>
          </cell>
          <cell r="E1443" t="str">
            <v>固定前缘边肋（左件）</v>
          </cell>
        </row>
        <row r="1444">
          <cell r="D1444" t="str">
            <v>DD-J10B-21402-10G2-1G2-Y</v>
          </cell>
          <cell r="E1444" t="str">
            <v>固定前缘边肋（右件）</v>
          </cell>
        </row>
        <row r="1445">
          <cell r="D1445" t="str">
            <v>DD-J10B-21402-10G2-1G2-Y</v>
          </cell>
          <cell r="E1445" t="str">
            <v>固定前缘边肋（右件）</v>
          </cell>
        </row>
        <row r="1446">
          <cell r="D1446" t="str">
            <v>DD-J10B-21402-10G2-1G2-Y</v>
          </cell>
          <cell r="E1446" t="str">
            <v>固定前缘边肋（右件）</v>
          </cell>
        </row>
        <row r="1447">
          <cell r="D1447" t="str">
            <v>DD-J10B-21402-10G2-1G2-Y</v>
          </cell>
          <cell r="E1447" t="str">
            <v>固定前缘边肋（右件）</v>
          </cell>
        </row>
        <row r="1448">
          <cell r="D1448" t="str">
            <v>DD-J10B-21402-10G2-1G2-Y</v>
          </cell>
          <cell r="E1448" t="str">
            <v>固定前缘边肋（右件）</v>
          </cell>
        </row>
        <row r="1449">
          <cell r="D1449" t="str">
            <v>DD-J10B-21402-10G2-1G2-Y</v>
          </cell>
          <cell r="E1449" t="str">
            <v>固定前缘边肋（右件）</v>
          </cell>
        </row>
        <row r="1450">
          <cell r="D1450" t="str">
            <v>DD-J10B-21402-10G2-1G2-Y</v>
          </cell>
          <cell r="E1450" t="str">
            <v>固定前缘边肋（右件）</v>
          </cell>
        </row>
        <row r="1451">
          <cell r="D1451" t="str">
            <v>DD-J10B-21402-10G2-1G2-Y</v>
          </cell>
          <cell r="E1451" t="str">
            <v>固定前缘边肋（右件）</v>
          </cell>
        </row>
        <row r="1452">
          <cell r="D1452" t="str">
            <v>DD-J10-21102-410-1-Y</v>
          </cell>
          <cell r="E1452" t="str">
            <v>1150肋根肋（右件）</v>
          </cell>
        </row>
        <row r="1453">
          <cell r="D1453" t="str">
            <v>DD-J10-21102-410-1-Y</v>
          </cell>
          <cell r="E1453" t="str">
            <v>1150肋根肋（右件）</v>
          </cell>
        </row>
        <row r="1454">
          <cell r="D1454" t="str">
            <v>DD-J10-21102-410-1-Y</v>
          </cell>
          <cell r="E1454" t="str">
            <v>1150肋根肋（右件）</v>
          </cell>
        </row>
        <row r="1455">
          <cell r="D1455" t="str">
            <v>DD-J10-21102-410-1-Y</v>
          </cell>
          <cell r="E1455" t="str">
            <v>1150肋根肋（右件）</v>
          </cell>
        </row>
        <row r="1456">
          <cell r="D1456" t="str">
            <v>DD-J10-21102-410-1-Z</v>
          </cell>
          <cell r="E1456" t="str">
            <v>1150肋根肋（左件）</v>
          </cell>
        </row>
        <row r="1457">
          <cell r="D1457" t="str">
            <v>DD-J10-21102-410-1-Z</v>
          </cell>
          <cell r="E1457" t="str">
            <v>1150肋根肋（左件）</v>
          </cell>
        </row>
        <row r="1458">
          <cell r="D1458" t="str">
            <v>DD-J10-21102-410-1-Z</v>
          </cell>
          <cell r="E1458" t="str">
            <v>1150肋根肋（左件）</v>
          </cell>
        </row>
        <row r="1459">
          <cell r="D1459" t="str">
            <v>DD-J10-21102-410-1-Z</v>
          </cell>
          <cell r="E1459" t="str">
            <v>1150肋根肋（左件）</v>
          </cell>
        </row>
        <row r="1460">
          <cell r="D1460" t="str">
            <v>DD-J10-21102-410-1-Z</v>
          </cell>
          <cell r="E1460" t="str">
            <v>1150肋根肋（左件）</v>
          </cell>
        </row>
        <row r="1461">
          <cell r="D1461" t="str">
            <v>DD-J10-04401-103</v>
          </cell>
          <cell r="E1461" t="str">
            <v>接头</v>
          </cell>
        </row>
        <row r="1462">
          <cell r="D1462" t="str">
            <v>DD-J10-04401-103</v>
          </cell>
          <cell r="E1462" t="str">
            <v>接头</v>
          </cell>
        </row>
        <row r="1463">
          <cell r="D1463" t="str">
            <v>DD-J10-04401-104</v>
          </cell>
          <cell r="E1463" t="str">
            <v>接头</v>
          </cell>
        </row>
        <row r="1464">
          <cell r="D1464" t="str">
            <v>DD-J10-04401-104</v>
          </cell>
          <cell r="E1464" t="str">
            <v>接头</v>
          </cell>
        </row>
        <row r="1465">
          <cell r="D1465" t="str">
            <v>DD-J10B-02021-3/1-Y</v>
          </cell>
          <cell r="E1465" t="str">
            <v>雷达罩锁支座</v>
          </cell>
        </row>
        <row r="1466">
          <cell r="D1466" t="str">
            <v>BC221T7LC-001-001</v>
          </cell>
          <cell r="E1466" t="str">
            <v>地面通风接头</v>
          </cell>
        </row>
        <row r="1467">
          <cell r="D1467" t="str">
            <v>DD-J10B-04321-30-1-Y</v>
          </cell>
          <cell r="E1467" t="str">
            <v>侧下梁（右件）</v>
          </cell>
        </row>
        <row r="1468">
          <cell r="D1468" t="str">
            <v>DD-J10B-04321-30-1-Y</v>
          </cell>
          <cell r="E1468" t="str">
            <v>侧下梁（右件）</v>
          </cell>
        </row>
        <row r="1469">
          <cell r="D1469" t="str">
            <v>DD-J10B-04321-30-1-Y</v>
          </cell>
          <cell r="E1469" t="str">
            <v>侧下梁（右件）</v>
          </cell>
        </row>
        <row r="1470">
          <cell r="D1470" t="str">
            <v>DD-J10B-04321-30-1-Y</v>
          </cell>
          <cell r="E1470" t="str">
            <v>侧下梁（右件）</v>
          </cell>
        </row>
        <row r="1471">
          <cell r="D1471" t="str">
            <v>DD-J10B-04321-30-1-Z</v>
          </cell>
          <cell r="E1471" t="str">
            <v>侧下梁（左件）</v>
          </cell>
        </row>
        <row r="1472">
          <cell r="D1472" t="str">
            <v>DD-J10B-04321-30-1-Z</v>
          </cell>
          <cell r="E1472" t="str">
            <v>侧下梁（左件）</v>
          </cell>
        </row>
        <row r="1473">
          <cell r="D1473" t="str">
            <v>DD-J10B-04321-30-1-Z</v>
          </cell>
          <cell r="E1473" t="str">
            <v>侧下梁（左件）</v>
          </cell>
        </row>
        <row r="1474">
          <cell r="D1474" t="str">
            <v>DD-J10B-04321-30-1-Z</v>
          </cell>
          <cell r="E1474" t="str">
            <v>侧下梁（左件）</v>
          </cell>
        </row>
        <row r="1475">
          <cell r="D1475" t="str">
            <v>BC22841Y3-001-003</v>
          </cell>
          <cell r="E1475" t="str">
            <v>支架</v>
          </cell>
        </row>
        <row r="1476">
          <cell r="D1476" t="str">
            <v>BC22841Y3-001-003</v>
          </cell>
          <cell r="E1476" t="str">
            <v>支架</v>
          </cell>
        </row>
        <row r="1477">
          <cell r="D1477" t="str">
            <v>000-01</v>
          </cell>
          <cell r="E1477" t="str">
            <v>底板</v>
          </cell>
        </row>
        <row r="1478">
          <cell r="D1478" t="str">
            <v>000-02</v>
          </cell>
          <cell r="E1478" t="str">
            <v>转接板</v>
          </cell>
        </row>
        <row r="1479">
          <cell r="D1479" t="str">
            <v>000-03</v>
          </cell>
          <cell r="E1479" t="str">
            <v>离心夹具</v>
          </cell>
        </row>
        <row r="1480">
          <cell r="D1480" t="str">
            <v>000-04</v>
          </cell>
          <cell r="E1480" t="str">
            <v>自制螺钉</v>
          </cell>
        </row>
        <row r="1481">
          <cell r="D1481" t="str">
            <v>000-05</v>
          </cell>
          <cell r="E1481" t="str">
            <v>固定杆</v>
          </cell>
        </row>
        <row r="1482">
          <cell r="D1482" t="str">
            <v>317000-07</v>
          </cell>
          <cell r="E1482" t="str">
            <v>盖板（一）</v>
          </cell>
        </row>
        <row r="1483">
          <cell r="D1483" t="str">
            <v>317000-08</v>
          </cell>
          <cell r="E1483" t="str">
            <v>盖板（二）</v>
          </cell>
        </row>
        <row r="1484">
          <cell r="D1484" t="str">
            <v>317000-09</v>
          </cell>
          <cell r="E1484" t="str">
            <v>盖板（三）</v>
          </cell>
        </row>
        <row r="1485">
          <cell r="D1485" t="str">
            <v>317000-11</v>
          </cell>
          <cell r="E1485" t="str">
            <v>盖板（四）</v>
          </cell>
        </row>
        <row r="1486">
          <cell r="D1486" t="str">
            <v>317000-12</v>
          </cell>
          <cell r="E1486" t="str">
            <v>盖板（五）</v>
          </cell>
        </row>
        <row r="1487">
          <cell r="D1487" t="str">
            <v>317000-14</v>
          </cell>
          <cell r="E1487" t="str">
            <v>盖板（六）</v>
          </cell>
        </row>
        <row r="1488">
          <cell r="D1488" t="str">
            <v>317000-16</v>
          </cell>
          <cell r="E1488" t="str">
            <v>盖板（七）</v>
          </cell>
        </row>
        <row r="1489">
          <cell r="D1489" t="str">
            <v>317000-19</v>
          </cell>
          <cell r="E1489" t="str">
            <v>盖板（八）</v>
          </cell>
        </row>
        <row r="1490">
          <cell r="D1490" t="str">
            <v>317000-22</v>
          </cell>
          <cell r="E1490" t="str">
            <v>盖板（九）</v>
          </cell>
        </row>
        <row r="1491">
          <cell r="D1491" t="str">
            <v>317000-23</v>
          </cell>
          <cell r="E1491" t="str">
            <v>盖板（十）</v>
          </cell>
        </row>
        <row r="1492">
          <cell r="D1492" t="str">
            <v>317000-24</v>
          </cell>
          <cell r="E1492" t="str">
            <v>盖板（十一）</v>
          </cell>
        </row>
        <row r="1493">
          <cell r="D1493" t="str">
            <v>317000-25</v>
          </cell>
          <cell r="E1493" t="str">
            <v>盖板（十二）</v>
          </cell>
        </row>
        <row r="1494">
          <cell r="D1494" t="str">
            <v>317000-27</v>
          </cell>
          <cell r="E1494" t="str">
            <v>腔体</v>
          </cell>
        </row>
        <row r="1495">
          <cell r="D1495" t="str">
            <v>DD-J10B-04011-1</v>
          </cell>
          <cell r="E1495" t="str">
            <v>7100框</v>
          </cell>
        </row>
        <row r="1496">
          <cell r="D1496" t="str">
            <v>DD-J10B-04011-1</v>
          </cell>
          <cell r="E1496" t="str">
            <v>7100框</v>
          </cell>
        </row>
        <row r="1497">
          <cell r="D1497" t="str">
            <v>CB229C050-007-003</v>
          </cell>
          <cell r="E1497" t="str">
            <v>摇臂</v>
          </cell>
        </row>
        <row r="1498">
          <cell r="D1498" t="str">
            <v>DD-J10-41173-141</v>
          </cell>
          <cell r="E1498" t="str">
            <v>拨叉</v>
          </cell>
        </row>
        <row r="1499">
          <cell r="D1499" t="str">
            <v>DD-J10-41173-147</v>
          </cell>
          <cell r="E1499" t="str">
            <v>拨叉</v>
          </cell>
        </row>
        <row r="1500">
          <cell r="D1500" t="str">
            <v>DD-J10-41173-147</v>
          </cell>
          <cell r="E1500" t="str">
            <v>拨叉</v>
          </cell>
        </row>
        <row r="1501">
          <cell r="D1501" t="str">
            <v>DD-J10-41173-147</v>
          </cell>
          <cell r="E1501" t="str">
            <v>拨叉</v>
          </cell>
        </row>
        <row r="1502">
          <cell r="D1502" t="str">
            <v>DD-J10-41173-141</v>
          </cell>
          <cell r="E1502" t="str">
            <v>拨叉</v>
          </cell>
        </row>
        <row r="1503">
          <cell r="D1503" t="str">
            <v>DD-J10-41153-140-1</v>
          </cell>
          <cell r="E1503" t="str">
            <v>开锁摇臂</v>
          </cell>
        </row>
        <row r="1504">
          <cell r="D1504" t="str">
            <v>DD-J10-55165-703</v>
          </cell>
          <cell r="E1504" t="str">
            <v>摇臂</v>
          </cell>
        </row>
        <row r="1505">
          <cell r="D1505" t="str">
            <v>DD-J10-41173-147</v>
          </cell>
          <cell r="E1505" t="str">
            <v>拨叉</v>
          </cell>
        </row>
        <row r="1506">
          <cell r="D1506" t="str">
            <v>DD-J10B-02081-404</v>
          </cell>
          <cell r="E1506" t="str">
            <v>支座</v>
          </cell>
        </row>
        <row r="1507">
          <cell r="D1507" t="str">
            <v>DD-J10-05216-32</v>
          </cell>
          <cell r="E1507" t="str">
            <v>转接头</v>
          </cell>
        </row>
        <row r="1508">
          <cell r="D1508" t="str">
            <v>DD-J10-05216-32</v>
          </cell>
          <cell r="E1508" t="str">
            <v>转接头</v>
          </cell>
        </row>
        <row r="1509">
          <cell r="D1509" t="str">
            <v>DD-J10B-02021-3/2-Z</v>
          </cell>
          <cell r="E1509" t="str">
            <v>雷达罩锁支座</v>
          </cell>
        </row>
        <row r="1510">
          <cell r="D1510" t="str">
            <v>DD-J10B-02021-3/2-Z</v>
          </cell>
          <cell r="E1510" t="str">
            <v>雷达罩锁支座</v>
          </cell>
        </row>
        <row r="1511">
          <cell r="D1511" t="str">
            <v>DD-J10-34003-2</v>
          </cell>
          <cell r="E1511" t="str">
            <v>后梁</v>
          </cell>
        </row>
        <row r="1512">
          <cell r="D1512" t="str">
            <v>DD-J10B-21002-2-Y</v>
          </cell>
          <cell r="E1512" t="str">
            <v>4号下壁板（右件）</v>
          </cell>
        </row>
        <row r="1513">
          <cell r="D1513" t="str">
            <v>DD-J10B-21002-2-Y</v>
          </cell>
          <cell r="E1513" t="str">
            <v>4号下壁板（右件）</v>
          </cell>
        </row>
        <row r="1514">
          <cell r="D1514" t="str">
            <v>DD-J10B-21002-2-Y</v>
          </cell>
          <cell r="E1514" t="str">
            <v>4号下壁板（右件）</v>
          </cell>
        </row>
        <row r="1515">
          <cell r="D1515" t="str">
            <v>DD-J10B-21002-2-Z</v>
          </cell>
          <cell r="E1515" t="str">
            <v>4号下壁板（左件）</v>
          </cell>
        </row>
        <row r="1516">
          <cell r="D1516" t="str">
            <v>DD-J10B-21002-2-Z</v>
          </cell>
          <cell r="E1516" t="str">
            <v>4号下壁板（左件）</v>
          </cell>
        </row>
        <row r="1517">
          <cell r="D1517" t="str">
            <v>DD-J10B-21002-2-Z</v>
          </cell>
          <cell r="E1517" t="str">
            <v>4号下壁板（左件）</v>
          </cell>
        </row>
        <row r="1518">
          <cell r="D1518" t="str">
            <v>DD-J10B-04501-10-1-Y</v>
          </cell>
          <cell r="E1518" t="str">
            <v>BL900侧梁</v>
          </cell>
        </row>
        <row r="1519">
          <cell r="D1519" t="str">
            <v>DD-J10B-04501-10-1-Y</v>
          </cell>
          <cell r="E1519" t="str">
            <v>BL900侧梁</v>
          </cell>
        </row>
        <row r="1520">
          <cell r="D1520" t="str">
            <v>DD-J10B-04501-10-1-Y</v>
          </cell>
          <cell r="E1520" t="str">
            <v>BL900侧梁</v>
          </cell>
        </row>
        <row r="1521">
          <cell r="D1521" t="str">
            <v>DD-J10B-04501-10-1-Y</v>
          </cell>
          <cell r="E1521" t="str">
            <v>BL900侧梁</v>
          </cell>
        </row>
        <row r="1522">
          <cell r="D1522" t="str">
            <v>DD-J10B-04501-10-1-Z</v>
          </cell>
          <cell r="E1522" t="str">
            <v>BL900侧梁</v>
          </cell>
        </row>
        <row r="1523">
          <cell r="D1523" t="str">
            <v>DD-J10B-04501-10-1-Z</v>
          </cell>
          <cell r="E1523" t="str">
            <v>BL900侧梁</v>
          </cell>
        </row>
        <row r="1524">
          <cell r="D1524" t="str">
            <v>DD-J10B-04501-10-1-Z</v>
          </cell>
          <cell r="E1524" t="str">
            <v>BL900侧梁</v>
          </cell>
        </row>
        <row r="1525">
          <cell r="D1525" t="str">
            <v>DD-J10B-04501-10-1-Z</v>
          </cell>
          <cell r="E1525" t="str">
            <v>BL900侧梁</v>
          </cell>
        </row>
        <row r="1526">
          <cell r="D1526" t="str">
            <v>CB5323220-052-024</v>
          </cell>
          <cell r="E1526" t="str">
            <v>9350-11140右侧上梁</v>
          </cell>
        </row>
        <row r="1527">
          <cell r="D1527" t="str">
            <v>CB5323210-005L033</v>
          </cell>
          <cell r="E1527" t="str">
            <v>9350-11140左侧上梁</v>
          </cell>
        </row>
        <row r="1528">
          <cell r="D1528" t="str">
            <v>DD-J10B-02111-2-Y</v>
          </cell>
          <cell r="E1528" t="str">
            <v>角盒</v>
          </cell>
        </row>
        <row r="1529">
          <cell r="D1529" t="str">
            <v>DD-J10B-02111-2-Z</v>
          </cell>
          <cell r="E1529" t="str">
            <v>角盒</v>
          </cell>
        </row>
        <row r="1530">
          <cell r="D1530" t="str">
            <v>BC22841Y4-001-003</v>
          </cell>
          <cell r="E1530" t="str">
            <v>支架</v>
          </cell>
        </row>
        <row r="1531">
          <cell r="D1531" t="str">
            <v>GU5714000-012L001</v>
          </cell>
          <cell r="E1531" t="str">
            <v>7600角片</v>
          </cell>
        </row>
        <row r="1532">
          <cell r="D1532" t="str">
            <v>J10B-26002-100G2-1G2-Y</v>
          </cell>
          <cell r="E1532" t="str">
            <v>翼尖接头</v>
          </cell>
        </row>
        <row r="1533">
          <cell r="D1533" t="str">
            <v>J10B-26002-100G2-1G2-Y</v>
          </cell>
          <cell r="E1533" t="str">
            <v>翼尖接头</v>
          </cell>
        </row>
        <row r="1534">
          <cell r="D1534" t="str">
            <v>J10B-26002-100G2-1G2-Z</v>
          </cell>
          <cell r="E1534" t="str">
            <v>翼尖接头</v>
          </cell>
        </row>
        <row r="1535">
          <cell r="D1535" t="str">
            <v>J10B-26002-100G2-1G2-Z</v>
          </cell>
          <cell r="E1535" t="str">
            <v>翼尖接头</v>
          </cell>
        </row>
        <row r="1536">
          <cell r="D1536" t="str">
            <v>BC5333651-001-001</v>
          </cell>
          <cell r="E1536" t="str">
            <v>壳体</v>
          </cell>
        </row>
        <row r="1537">
          <cell r="D1537" t="str">
            <v>DD-J10-41173-147</v>
          </cell>
          <cell r="E1537" t="str">
            <v>拨叉</v>
          </cell>
        </row>
        <row r="1538">
          <cell r="D1538" t="str">
            <v>DD-J10-21102-250-1-Z</v>
          </cell>
          <cell r="E1538" t="str">
            <v>11900梁一段（左件）</v>
          </cell>
        </row>
        <row r="1539">
          <cell r="D1539" t="str">
            <v>DD-J10-21102-250-1-Z</v>
          </cell>
          <cell r="E1539" t="str">
            <v>11900梁一段（左件）</v>
          </cell>
        </row>
        <row r="1540">
          <cell r="D1540" t="str">
            <v>DD-J10-21102-250-1-Z</v>
          </cell>
          <cell r="E1540" t="str">
            <v>11900梁一段（左件）</v>
          </cell>
        </row>
        <row r="1541">
          <cell r="D1541" t="str">
            <v>DD-J10-21102-250-1-Z</v>
          </cell>
          <cell r="E1541" t="str">
            <v>11900梁一段（左件）</v>
          </cell>
        </row>
        <row r="1542">
          <cell r="D1542" t="str">
            <v>DD-J10-21102-250-1-Y</v>
          </cell>
          <cell r="E1542" t="str">
            <v>11900梁一段（右件）</v>
          </cell>
        </row>
        <row r="1543">
          <cell r="D1543" t="str">
            <v>DD-J10-21102-250-1-Y</v>
          </cell>
          <cell r="E1543" t="str">
            <v>11900梁一段（右件）</v>
          </cell>
        </row>
        <row r="1544">
          <cell r="D1544" t="str">
            <v>DD-J10-21102-250-1-Y</v>
          </cell>
          <cell r="E1544" t="str">
            <v>11900梁一段（右件）</v>
          </cell>
        </row>
        <row r="1545">
          <cell r="D1545" t="str">
            <v>DD-J10-21102-250-1-Y</v>
          </cell>
          <cell r="E1545" t="str">
            <v>11900梁一段（右件）</v>
          </cell>
        </row>
        <row r="1546">
          <cell r="D1546" t="str">
            <v>DD-J10-21002-1-Z</v>
          </cell>
          <cell r="E1546" t="str">
            <v>4号上壁板（左件）</v>
          </cell>
        </row>
        <row r="1547">
          <cell r="D1547" t="str">
            <v>DD-J10-21002-1-Z</v>
          </cell>
          <cell r="E1547" t="str">
            <v>4号上壁板（左件）</v>
          </cell>
        </row>
        <row r="1548">
          <cell r="D1548" t="str">
            <v>DD-J10-21002-1-Y</v>
          </cell>
          <cell r="E1548" t="str">
            <v>4号上壁板（右件）</v>
          </cell>
        </row>
        <row r="1549">
          <cell r="D1549" t="str">
            <v>DD-J10-21002-1-Y</v>
          </cell>
          <cell r="E1549" t="str">
            <v>4号上壁板（右件）</v>
          </cell>
        </row>
        <row r="1550">
          <cell r="D1550" t="str">
            <v>DD-J10-21102-390-1-Z</v>
          </cell>
          <cell r="E1550" t="str">
            <v>1150肋九段（左件）</v>
          </cell>
        </row>
        <row r="1551">
          <cell r="D1551" t="str">
            <v>DD-J10-21102-390-1-Z</v>
          </cell>
          <cell r="E1551" t="str">
            <v>1150肋九段（左件）</v>
          </cell>
        </row>
        <row r="1552">
          <cell r="D1552" t="str">
            <v>DD-J10-21102-390-1-Z</v>
          </cell>
          <cell r="E1552" t="str">
            <v>1150肋九段（左件）</v>
          </cell>
        </row>
        <row r="1553">
          <cell r="D1553" t="str">
            <v>DD-J10-21102-390-1-Z</v>
          </cell>
          <cell r="E1553" t="str">
            <v>1150肋九段（左件）</v>
          </cell>
        </row>
        <row r="1554">
          <cell r="D1554" t="str">
            <v>DD-J10-21102-390-1-Y</v>
          </cell>
          <cell r="E1554" t="str">
            <v>1150肋九段（右件）</v>
          </cell>
        </row>
        <row r="1555">
          <cell r="D1555" t="str">
            <v>DD-J10-21102-390-1-Y</v>
          </cell>
          <cell r="E1555" t="str">
            <v>1150肋九段（右件）</v>
          </cell>
        </row>
        <row r="1556">
          <cell r="D1556" t="str">
            <v>DD-J10-21102-390-1-Y</v>
          </cell>
          <cell r="E1556" t="str">
            <v>1150肋九段（右件）</v>
          </cell>
        </row>
        <row r="1557">
          <cell r="D1557" t="str">
            <v>DD-J10-21102-250-2-Z</v>
          </cell>
          <cell r="E1557" t="str">
            <v>11900梁二段（左件）</v>
          </cell>
        </row>
        <row r="1558">
          <cell r="D1558" t="str">
            <v>DD-J10-21102-250-2-Z</v>
          </cell>
          <cell r="E1558" t="str">
            <v>11900梁二段（左件）</v>
          </cell>
        </row>
        <row r="1559">
          <cell r="D1559" t="str">
            <v>DD-J10-21102-250-2-Z</v>
          </cell>
          <cell r="E1559" t="str">
            <v>11900梁二段（左件）</v>
          </cell>
        </row>
        <row r="1560">
          <cell r="D1560" t="str">
            <v>DD-J10-21102-250-2-Z</v>
          </cell>
          <cell r="E1560" t="str">
            <v>11900梁二段（左件）</v>
          </cell>
        </row>
        <row r="1561">
          <cell r="D1561" t="str">
            <v>DD-J10-21102-250-2-Y</v>
          </cell>
          <cell r="E1561" t="str">
            <v>11900梁二段（右件）</v>
          </cell>
        </row>
        <row r="1562">
          <cell r="D1562" t="str">
            <v>DD-J10-21102-250-2-Y</v>
          </cell>
          <cell r="E1562" t="str">
            <v>11900梁二段（右件）</v>
          </cell>
        </row>
        <row r="1563">
          <cell r="D1563" t="str">
            <v>DD-J10-21102-250-2-Y</v>
          </cell>
          <cell r="E1563" t="str">
            <v>11900梁二段（右件）</v>
          </cell>
        </row>
        <row r="1564">
          <cell r="D1564" t="str">
            <v>DD-J10-21102-250-2-Y</v>
          </cell>
          <cell r="E1564" t="str">
            <v>11900梁二段（右件）</v>
          </cell>
        </row>
        <row r="1565">
          <cell r="D1565" t="str">
            <v>DD-J10B-02181-6-Z</v>
          </cell>
          <cell r="E1565" t="str">
            <v>盒子</v>
          </cell>
        </row>
        <row r="1566">
          <cell r="D1566" t="str">
            <v>DD-J10B-02181-6-Z</v>
          </cell>
          <cell r="E1566" t="str">
            <v>盒子</v>
          </cell>
        </row>
        <row r="1567">
          <cell r="D1567" t="str">
            <v>DD-J10B-02181-6-Y</v>
          </cell>
          <cell r="E1567" t="str">
            <v>盒子</v>
          </cell>
        </row>
        <row r="1568">
          <cell r="D1568" t="str">
            <v>DD-J10B-02181-6-Y</v>
          </cell>
          <cell r="E1568" t="str">
            <v>盒子</v>
          </cell>
        </row>
        <row r="1569">
          <cell r="D1569" t="str">
            <v>DD-J10B-04061-1</v>
          </cell>
          <cell r="E1569" t="str">
            <v>10860框</v>
          </cell>
        </row>
        <row r="1570">
          <cell r="D1570" t="str">
            <v>DD-J10B-04061-1</v>
          </cell>
          <cell r="E1570" t="str">
            <v>10860框</v>
          </cell>
        </row>
        <row r="1571">
          <cell r="D1571" t="str">
            <v>DD-J10B-04061-1</v>
          </cell>
          <cell r="E1571" t="str">
            <v>10860框</v>
          </cell>
        </row>
        <row r="1572">
          <cell r="D1572" t="str">
            <v>DD-J10B-04061-1</v>
          </cell>
          <cell r="E1572" t="str">
            <v>10860框</v>
          </cell>
        </row>
        <row r="1573">
          <cell r="D1573" t="str">
            <v>BC3230400-001-001</v>
          </cell>
          <cell r="E1573" t="str">
            <v>过渡板</v>
          </cell>
        </row>
        <row r="1574">
          <cell r="D1574" t="str">
            <v>DD-J10-41173-141</v>
          </cell>
          <cell r="E1574" t="str">
            <v>拨叉</v>
          </cell>
        </row>
        <row r="1575">
          <cell r="D1575" t="str">
            <v>DD-J10-41173-141</v>
          </cell>
          <cell r="E1575" t="str">
            <v>拨叉</v>
          </cell>
        </row>
        <row r="1576">
          <cell r="D1576" t="str">
            <v>DD-J10-41173-141</v>
          </cell>
          <cell r="E1576" t="str">
            <v>拨叉</v>
          </cell>
        </row>
        <row r="1577">
          <cell r="D1577" t="str">
            <v>BC221T3LU-001-001</v>
          </cell>
          <cell r="E1577" t="str">
            <v>接头</v>
          </cell>
        </row>
        <row r="1578">
          <cell r="D1578" t="str">
            <v>BC3230400-001-001</v>
          </cell>
          <cell r="E1578" t="str">
            <v>过渡板</v>
          </cell>
        </row>
        <row r="1579">
          <cell r="D1579" t="str">
            <v>DD-J10B-04051-1</v>
          </cell>
          <cell r="E1579" t="str">
            <v>10460框</v>
          </cell>
        </row>
        <row r="1580">
          <cell r="D1580" t="str">
            <v>DD-J10B-04051-1</v>
          </cell>
          <cell r="E1580" t="str">
            <v>10460框</v>
          </cell>
        </row>
        <row r="1581">
          <cell r="D1581" t="str">
            <v>DD-J10B-04011-1</v>
          </cell>
          <cell r="E1581" t="str">
            <v>7100框</v>
          </cell>
        </row>
        <row r="1582">
          <cell r="D1582" t="str">
            <v>DD-J10B-04011-1</v>
          </cell>
          <cell r="E1582" t="str">
            <v>7100框</v>
          </cell>
        </row>
        <row r="1583">
          <cell r="D1583" t="str">
            <v>DD-J10B-04501-10-1-Z</v>
          </cell>
          <cell r="E1583" t="str">
            <v>BL900侧梁</v>
          </cell>
        </row>
        <row r="1584">
          <cell r="D1584" t="str">
            <v>DD-J10B-04501-10-1-Z</v>
          </cell>
          <cell r="E1584" t="str">
            <v>BL900侧梁</v>
          </cell>
        </row>
        <row r="1585">
          <cell r="D1585" t="str">
            <v>DD-J10B-04501-10-1-Z</v>
          </cell>
          <cell r="E1585" t="str">
            <v>BL900侧梁</v>
          </cell>
        </row>
        <row r="1586">
          <cell r="D1586" t="str">
            <v>DD-J10B-04501-10-1-Z</v>
          </cell>
          <cell r="E1586" t="str">
            <v>BL900侧梁</v>
          </cell>
        </row>
        <row r="1587">
          <cell r="D1587" t="str">
            <v>DD-J10B-04501-10-1-Y</v>
          </cell>
          <cell r="E1587" t="str">
            <v>BL900侧梁</v>
          </cell>
        </row>
        <row r="1588">
          <cell r="D1588" t="str">
            <v>DD-J10B-04501-10-1-Y</v>
          </cell>
          <cell r="E1588" t="str">
            <v>BL900侧梁</v>
          </cell>
        </row>
        <row r="1589">
          <cell r="D1589" t="str">
            <v>DD-J10B-04501-10-1-Y</v>
          </cell>
          <cell r="E1589" t="str">
            <v>BL900侧梁</v>
          </cell>
        </row>
        <row r="1590">
          <cell r="D1590" t="str">
            <v>DD-J10B-04501-10-1-Y</v>
          </cell>
          <cell r="E1590" t="str">
            <v>BL900侧梁</v>
          </cell>
        </row>
        <row r="1591">
          <cell r="D1591" t="str">
            <v>GU5715010-006L001</v>
          </cell>
          <cell r="E1591" t="str">
            <v>前缘根肋</v>
          </cell>
        </row>
        <row r="1592">
          <cell r="D1592" t="str">
            <v>GU5715010-001R001</v>
          </cell>
          <cell r="E1592" t="str">
            <v>前缘5肋</v>
          </cell>
        </row>
        <row r="1593">
          <cell r="D1593" t="str">
            <v>BC3230500-001-001</v>
          </cell>
          <cell r="E1593" t="str">
            <v>过渡板</v>
          </cell>
        </row>
        <row r="1594">
          <cell r="D1594" t="str">
            <v>3610000-03</v>
          </cell>
          <cell r="E1594" t="str">
            <v>下夹板</v>
          </cell>
        </row>
        <row r="1595">
          <cell r="D1595" t="str">
            <v>3610000-05</v>
          </cell>
          <cell r="E1595" t="str">
            <v>上夹板</v>
          </cell>
        </row>
        <row r="1596">
          <cell r="D1596" t="str">
            <v>3610000-26</v>
          </cell>
          <cell r="E1596" t="str">
            <v>棘爪</v>
          </cell>
        </row>
        <row r="1597">
          <cell r="D1597" t="str">
            <v>3611000-02</v>
          </cell>
          <cell r="E1597" t="str">
            <v>棘轮</v>
          </cell>
        </row>
        <row r="1598">
          <cell r="D1598" t="str">
            <v>3614300-01</v>
          </cell>
          <cell r="E1598" t="str">
            <v>拔杆</v>
          </cell>
        </row>
        <row r="1599">
          <cell r="D1599" t="str">
            <v>CB2298621-001-002</v>
          </cell>
          <cell r="E1599" t="str">
            <v>支架</v>
          </cell>
        </row>
        <row r="1600">
          <cell r="D1600" t="str">
            <v>DD-J10B-02121-1AG2-Y</v>
          </cell>
          <cell r="E1600" t="str">
            <v>BL280侧壁（右件）</v>
          </cell>
        </row>
        <row r="1601">
          <cell r="D1601" t="str">
            <v>DD-J10B-02121-1AG2-Y</v>
          </cell>
          <cell r="E1601" t="str">
            <v>BL280侧壁（右件）</v>
          </cell>
        </row>
        <row r="1602">
          <cell r="D1602" t="str">
            <v>DD-J10B-02121-1AG2-Y</v>
          </cell>
          <cell r="E1602" t="str">
            <v>BL280侧壁（右件）</v>
          </cell>
        </row>
        <row r="1603">
          <cell r="D1603" t="str">
            <v>DD-J10B-02121-1AG2-Y</v>
          </cell>
          <cell r="E1603" t="str">
            <v>BL280侧壁（右件）</v>
          </cell>
        </row>
        <row r="1604">
          <cell r="D1604" t="str">
            <v>DD-J10B-02121-1AG2-Y</v>
          </cell>
          <cell r="E1604" t="str">
            <v>BL280侧壁（右件）</v>
          </cell>
        </row>
        <row r="1605">
          <cell r="D1605" t="str">
            <v>DD-J10B-02121-1AG2-Y</v>
          </cell>
          <cell r="E1605" t="str">
            <v>BL280侧壁（右件）</v>
          </cell>
        </row>
        <row r="1606">
          <cell r="D1606" t="str">
            <v>DD-J10B-02121-1AG2-Z</v>
          </cell>
          <cell r="E1606" t="str">
            <v>BL280侧壁（左件）</v>
          </cell>
        </row>
        <row r="1607">
          <cell r="D1607" t="str">
            <v>DD-J10B-02121-1AG2-Y</v>
          </cell>
          <cell r="E1607" t="str">
            <v>BL280侧壁（右件）</v>
          </cell>
        </row>
        <row r="1608">
          <cell r="D1608" t="str">
            <v>DD-J10B-02121-1AG2-Z</v>
          </cell>
          <cell r="E1608" t="str">
            <v>BL280侧壁（左件）</v>
          </cell>
        </row>
        <row r="1609">
          <cell r="D1609" t="str">
            <v>DD-J10B-02121-1AG2-Z</v>
          </cell>
          <cell r="E1609" t="str">
            <v>BL280侧壁（左件）</v>
          </cell>
        </row>
        <row r="1610">
          <cell r="D1610" t="str">
            <v>DD-J10B-02121-1AG2-Z</v>
          </cell>
          <cell r="E1610" t="str">
            <v>BL280侧壁（左件）</v>
          </cell>
        </row>
        <row r="1611">
          <cell r="D1611" t="str">
            <v>DD-J10B-02121-1AG2-Z</v>
          </cell>
          <cell r="E1611" t="str">
            <v>BL280侧壁（左件）</v>
          </cell>
        </row>
        <row r="1612">
          <cell r="D1612" t="str">
            <v>DD-J10B-02121-1AG2-Z</v>
          </cell>
          <cell r="E1612" t="str">
            <v>BL280侧壁（左件）</v>
          </cell>
        </row>
        <row r="1613">
          <cell r="D1613" t="str">
            <v>DD-J10B-02041-202G2</v>
          </cell>
          <cell r="E1613" t="str">
            <v>地板</v>
          </cell>
        </row>
        <row r="1614">
          <cell r="D1614" t="str">
            <v>DD-J10B-02041-202G2</v>
          </cell>
          <cell r="E1614" t="str">
            <v>地板</v>
          </cell>
        </row>
        <row r="1615">
          <cell r="D1615" t="str">
            <v>DD-J10B-02041-202G2</v>
          </cell>
          <cell r="E1615" t="str">
            <v>地板</v>
          </cell>
        </row>
        <row r="1616">
          <cell r="D1616" t="str">
            <v>DD-J10B-04321-30-1-Z</v>
          </cell>
          <cell r="E1616" t="str">
            <v>侧下梁（左件）</v>
          </cell>
        </row>
        <row r="1617">
          <cell r="D1617" t="str">
            <v>DD-J10B-04321-30-1-Z</v>
          </cell>
          <cell r="E1617" t="str">
            <v>侧下梁（左件）</v>
          </cell>
        </row>
        <row r="1618">
          <cell r="D1618" t="str">
            <v>DD-J10B-04321-30-1-Z</v>
          </cell>
          <cell r="E1618" t="str">
            <v>侧下梁（左件）</v>
          </cell>
        </row>
        <row r="1619">
          <cell r="D1619" t="str">
            <v>DD-J10B-04321-30-1-Z</v>
          </cell>
          <cell r="E1619" t="str">
            <v>侧下梁（左件）</v>
          </cell>
        </row>
        <row r="1620">
          <cell r="D1620" t="str">
            <v>DD-J10B-04321-30-1-Y</v>
          </cell>
          <cell r="E1620" t="str">
            <v>侧下梁（右件）</v>
          </cell>
        </row>
        <row r="1621">
          <cell r="D1621" t="str">
            <v>DD-J10B-04321-30-1-Y</v>
          </cell>
          <cell r="E1621" t="str">
            <v>侧下梁（右件）</v>
          </cell>
        </row>
        <row r="1622">
          <cell r="D1622" t="str">
            <v>DD-J10B-04321-30-1-Y</v>
          </cell>
          <cell r="E1622" t="str">
            <v>侧下梁（右件）</v>
          </cell>
        </row>
        <row r="1623">
          <cell r="D1623" t="str">
            <v>DD-J10B-04321-30-1-Y</v>
          </cell>
          <cell r="E1623" t="str">
            <v>侧下梁（右件）</v>
          </cell>
        </row>
        <row r="1624">
          <cell r="D1624" t="str">
            <v>DD-J10B-04501-10-1-Z</v>
          </cell>
          <cell r="E1624" t="str">
            <v>BL900侧梁</v>
          </cell>
        </row>
        <row r="1625">
          <cell r="D1625" t="str">
            <v>DD-J10B-04501-10-1-Z</v>
          </cell>
          <cell r="E1625" t="str">
            <v>BL900侧梁</v>
          </cell>
        </row>
        <row r="1626">
          <cell r="D1626" t="str">
            <v>DD-J10B-04501-10-1-Z</v>
          </cell>
          <cell r="E1626" t="str">
            <v>BL900侧梁</v>
          </cell>
        </row>
        <row r="1627">
          <cell r="D1627" t="str">
            <v>DD-J10B-04501-10-1-Z</v>
          </cell>
          <cell r="E1627" t="str">
            <v>BL900侧梁</v>
          </cell>
        </row>
        <row r="1628">
          <cell r="D1628" t="str">
            <v>DD-J10B-04501-10-1-Y</v>
          </cell>
          <cell r="E1628" t="str">
            <v>BL900侧梁</v>
          </cell>
        </row>
        <row r="1629">
          <cell r="D1629" t="str">
            <v>DD-J10B-04501-10-1-Y</v>
          </cell>
          <cell r="E1629" t="str">
            <v>BL900侧梁</v>
          </cell>
        </row>
        <row r="1630">
          <cell r="D1630" t="str">
            <v>DD-J10B-04501-10-1-Y</v>
          </cell>
          <cell r="E1630" t="str">
            <v>BL900侧梁</v>
          </cell>
        </row>
        <row r="1631">
          <cell r="D1631" t="str">
            <v>DD-J10B-04501-10-1-Y</v>
          </cell>
          <cell r="E1631" t="str">
            <v>BL900侧梁</v>
          </cell>
        </row>
        <row r="1632">
          <cell r="D1632" t="str">
            <v>W12J1XXX-000-00</v>
          </cell>
          <cell r="E1632" t="str">
            <v>XXX离心夹具</v>
          </cell>
        </row>
        <row r="1633">
          <cell r="D1633" t="str">
            <v>CB229C050-002-003</v>
          </cell>
          <cell r="E1633" t="str">
            <v>拔杆</v>
          </cell>
        </row>
        <row r="1634">
          <cell r="D1634" t="str">
            <v>CB229C050-002-003</v>
          </cell>
          <cell r="E1634" t="str">
            <v>拔杆</v>
          </cell>
        </row>
        <row r="1635">
          <cell r="D1635" t="str">
            <v>CB2298611-001-001</v>
          </cell>
          <cell r="E1635" t="str">
            <v>支架</v>
          </cell>
        </row>
        <row r="1636">
          <cell r="D1636" t="str">
            <v>CB2294440-005-001</v>
          </cell>
          <cell r="E1636" t="str">
            <v>支架</v>
          </cell>
        </row>
        <row r="1637">
          <cell r="D1637" t="str">
            <v>CB22921L3-001-001</v>
          </cell>
          <cell r="E1637" t="str">
            <v>支座</v>
          </cell>
        </row>
        <row r="1638">
          <cell r="D1638" t="str">
            <v>BC3230500-001-001</v>
          </cell>
          <cell r="E1638" t="str">
            <v>过渡板</v>
          </cell>
        </row>
        <row r="1639">
          <cell r="D1639" t="str">
            <v>BC3230500-001-001</v>
          </cell>
          <cell r="E1639" t="str">
            <v>过渡板</v>
          </cell>
        </row>
        <row r="1640">
          <cell r="D1640" t="str">
            <v>CB2292321-001-001</v>
          </cell>
          <cell r="E1640" t="str">
            <v>支座</v>
          </cell>
        </row>
        <row r="1641">
          <cell r="D1641" t="str">
            <v>CB2292321-001-001</v>
          </cell>
          <cell r="E1641" t="str">
            <v>支座</v>
          </cell>
        </row>
        <row r="1642">
          <cell r="D1642" t="str">
            <v>CB2292321-001-001</v>
          </cell>
          <cell r="E1642" t="str">
            <v>支座</v>
          </cell>
        </row>
        <row r="1643">
          <cell r="D1643" t="str">
            <v>DD-J10B-02081-404</v>
          </cell>
          <cell r="E1643" t="str">
            <v>支座</v>
          </cell>
        </row>
        <row r="1644">
          <cell r="D1644" t="str">
            <v>DD-J10B-02081-404</v>
          </cell>
          <cell r="E1644" t="str">
            <v>支座</v>
          </cell>
        </row>
        <row r="1645">
          <cell r="D1645" t="str">
            <v>CB5323311-005R003</v>
          </cell>
          <cell r="E1645" t="str">
            <v>11140-12450 侧上梁</v>
          </cell>
        </row>
        <row r="1646">
          <cell r="D1646" t="str">
            <v>CB5323311-005L004</v>
          </cell>
          <cell r="E1646" t="str">
            <v>11140-12450 侧上梁</v>
          </cell>
        </row>
        <row r="1647">
          <cell r="D1647" t="str">
            <v>DD-J10S-65001-2104</v>
          </cell>
          <cell r="E1647" t="str">
            <v>调节螺管</v>
          </cell>
        </row>
        <row r="1648">
          <cell r="D1648" t="str">
            <v>DD-J10-91001-1</v>
          </cell>
          <cell r="E1648" t="str">
            <v>支座</v>
          </cell>
        </row>
        <row r="1649">
          <cell r="D1649" t="str">
            <v>CB2298612-001-001</v>
          </cell>
          <cell r="E1649" t="str">
            <v>支架</v>
          </cell>
        </row>
        <row r="1650">
          <cell r="D1650" t="str">
            <v>W12J1ZLnnB-000-00</v>
          </cell>
          <cell r="E1650" t="str">
            <v>ZLnnB-W2电缆振动夹具</v>
          </cell>
        </row>
        <row r="1651">
          <cell r="D1651" t="str">
            <v>W12J14ZLnnB-000-00</v>
          </cell>
          <cell r="E1651" t="str">
            <v>ZLnnBXX系统电缆XZ向离心夹具I</v>
          </cell>
        </row>
        <row r="1652">
          <cell r="D1652" t="str">
            <v>W12J13ZLnnB-000-00</v>
          </cell>
          <cell r="E1652" t="str">
            <v>ZLnnBXX系统电缆XY向离心夹具I</v>
          </cell>
        </row>
        <row r="1653">
          <cell r="D1653" t="str">
            <v>W12J12ZLnnB-000-00</v>
          </cell>
          <cell r="E1653" t="str">
            <v>ZLnnB-W3电缆振动夹具</v>
          </cell>
        </row>
        <row r="1654">
          <cell r="D1654" t="str">
            <v>W12J15ZLnnB-000-00</v>
          </cell>
          <cell r="E1654" t="str">
            <v>ZLnnBXX系统电缆XZ向离心夹具II</v>
          </cell>
        </row>
        <row r="1655">
          <cell r="D1655" t="str">
            <v>W12J1ZZnnB-000-01</v>
          </cell>
          <cell r="E1655" t="str">
            <v>离心夹具</v>
          </cell>
        </row>
        <row r="1656">
          <cell r="D1656" t="str">
            <v>W12J1ZZnnB-000-02</v>
          </cell>
          <cell r="E1656" t="str">
            <v>上夹具</v>
          </cell>
        </row>
        <row r="1657">
          <cell r="D1657" t="str">
            <v>W12J1ZZnnB-000-03</v>
          </cell>
          <cell r="E1657" t="str">
            <v>下夹具</v>
          </cell>
        </row>
        <row r="1658">
          <cell r="D1658" t="str">
            <v>W12J1ZZnnB-000-04</v>
          </cell>
          <cell r="E1658" t="str">
            <v>阻尼橡胶垫</v>
          </cell>
        </row>
        <row r="1659">
          <cell r="D1659" t="str">
            <v>W12J1XXX-000-00</v>
          </cell>
          <cell r="E1659" t="str">
            <v>XXX振动夹具</v>
          </cell>
        </row>
        <row r="1660">
          <cell r="D1660" t="str">
            <v>JJ-100-00</v>
          </cell>
          <cell r="E1660" t="str">
            <v>离心夹具</v>
          </cell>
        </row>
        <row r="1661">
          <cell r="D1661" t="str">
            <v>JJ-100-00</v>
          </cell>
          <cell r="E1661" t="str">
            <v>离心夹具</v>
          </cell>
        </row>
        <row r="1662">
          <cell r="D1662" t="str">
            <v>W12J2XXX-000-00</v>
          </cell>
          <cell r="E1662" t="str">
            <v>XXX离心夹具</v>
          </cell>
        </row>
        <row r="1663">
          <cell r="D1663" t="str">
            <v>JJ-000-01</v>
          </cell>
          <cell r="E1663" t="str">
            <v>XXX振动夹具</v>
          </cell>
        </row>
        <row r="1664">
          <cell r="D1664" t="str">
            <v>CB2295170-001-001</v>
          </cell>
          <cell r="E1664" t="str">
            <v>安装支座</v>
          </cell>
        </row>
        <row r="1665">
          <cell r="D1665" t="str">
            <v>CB2295170-001-001</v>
          </cell>
          <cell r="E1665" t="str">
            <v>安装支座</v>
          </cell>
        </row>
        <row r="1666">
          <cell r="D1666" t="str">
            <v>Y20-4383220003-001</v>
          </cell>
          <cell r="E1666" t="str">
            <v>支架</v>
          </cell>
        </row>
        <row r="1667">
          <cell r="D1667" t="str">
            <v>DD-J10B-02121-1AG2-Z</v>
          </cell>
          <cell r="E1667" t="str">
            <v>BL280侧壁（左件）</v>
          </cell>
        </row>
        <row r="1668">
          <cell r="D1668" t="str">
            <v>DD-J10B-02041-2-Z</v>
          </cell>
          <cell r="E1668" t="str">
            <v>前上大梁（左）</v>
          </cell>
        </row>
        <row r="1669">
          <cell r="D1669" t="str">
            <v>DD-J10B-02041-2-Z</v>
          </cell>
          <cell r="E1669" t="str">
            <v>前上大梁（左）</v>
          </cell>
        </row>
        <row r="1670">
          <cell r="D1670" t="str">
            <v>DD-J10B-02041-2-Z</v>
          </cell>
          <cell r="E1670" t="str">
            <v>前上大梁（左）</v>
          </cell>
        </row>
        <row r="1671">
          <cell r="D1671" t="str">
            <v>DD-J10B-02041-2-Y</v>
          </cell>
          <cell r="E1671" t="str">
            <v>前上大梁（右）</v>
          </cell>
        </row>
        <row r="1672">
          <cell r="D1672" t="str">
            <v>DD-J10B-02041-2-Y</v>
          </cell>
          <cell r="E1672" t="str">
            <v>前上大梁（右）</v>
          </cell>
        </row>
        <row r="1673">
          <cell r="D1673" t="str">
            <v>DD-J10B-02041-2-Y</v>
          </cell>
          <cell r="E1673" t="str">
            <v>前上大梁（右）</v>
          </cell>
        </row>
        <row r="1674">
          <cell r="D1674" t="str">
            <v>DD-J10B-02161-501</v>
          </cell>
          <cell r="E1674" t="str">
            <v>5755横框</v>
          </cell>
        </row>
        <row r="1675">
          <cell r="D1675" t="str">
            <v>DD-J10B-02161-501</v>
          </cell>
          <cell r="E1675" t="str">
            <v>5755横框</v>
          </cell>
        </row>
        <row r="1676">
          <cell r="D1676" t="str">
            <v>DD-J10B-02161-501</v>
          </cell>
          <cell r="E1676" t="str">
            <v>5755横框</v>
          </cell>
        </row>
        <row r="1677">
          <cell r="D1677" t="str">
            <v>CB5314240-012-003</v>
          </cell>
          <cell r="E1677" t="str">
            <v>后顶板</v>
          </cell>
        </row>
        <row r="1678">
          <cell r="D1678" t="str">
            <v>CB5314240-012-003</v>
          </cell>
          <cell r="E1678" t="str">
            <v>后顶板</v>
          </cell>
        </row>
        <row r="1679">
          <cell r="D1679" t="str">
            <v>CB5314240-012-003</v>
          </cell>
          <cell r="E1679" t="str">
            <v>后顶板</v>
          </cell>
        </row>
        <row r="1680">
          <cell r="D1680" t="str">
            <v>CB5314240-012-003</v>
          </cell>
          <cell r="E1680" t="str">
            <v>后顶板</v>
          </cell>
        </row>
        <row r="1681">
          <cell r="D1681" t="str">
            <v>DD-J10B-04321-30-1-Z</v>
          </cell>
          <cell r="E1681" t="str">
            <v>侧下梁（左件）</v>
          </cell>
        </row>
        <row r="1682">
          <cell r="D1682" t="str">
            <v>DD-J10B-04321-30-1-Z</v>
          </cell>
          <cell r="E1682" t="str">
            <v>侧下梁（左件）</v>
          </cell>
        </row>
        <row r="1683">
          <cell r="D1683" t="str">
            <v>DD-J10B-04321-30-1-Z</v>
          </cell>
          <cell r="E1683" t="str">
            <v>侧下梁（左件）</v>
          </cell>
        </row>
        <row r="1684">
          <cell r="D1684" t="str">
            <v>DD-J10B-04321-30-1-Z</v>
          </cell>
          <cell r="E1684" t="str">
            <v>侧下梁（左件）</v>
          </cell>
        </row>
        <row r="1685">
          <cell r="D1685" t="str">
            <v>DD-J10B-04321-30-1-Y</v>
          </cell>
          <cell r="E1685" t="str">
            <v>侧下梁（右件）</v>
          </cell>
        </row>
        <row r="1686">
          <cell r="D1686" t="str">
            <v>DD-J10B-04321-30-1-Y</v>
          </cell>
          <cell r="E1686" t="str">
            <v>侧下梁（右件）</v>
          </cell>
        </row>
        <row r="1687">
          <cell r="D1687" t="str">
            <v>DD-J10B-04321-30-1-Y</v>
          </cell>
          <cell r="E1687" t="str">
            <v>侧下梁（右件）</v>
          </cell>
        </row>
        <row r="1688">
          <cell r="D1688" t="str">
            <v>DD-J10B-04321-30-1-Y</v>
          </cell>
          <cell r="E1688" t="str">
            <v>侧下梁（右件）</v>
          </cell>
        </row>
        <row r="1689">
          <cell r="D1689" t="str">
            <v>DD-J10-21102-390-1-Y</v>
          </cell>
          <cell r="E1689" t="str">
            <v>1150肋九段（右件）</v>
          </cell>
        </row>
        <row r="1690">
          <cell r="D1690" t="str">
            <v>DD-J10-21102-390-1-Y</v>
          </cell>
          <cell r="E1690" t="str">
            <v>1150肋九段（右件）</v>
          </cell>
        </row>
        <row r="1691">
          <cell r="D1691" t="str">
            <v>DD-J10-21102-390-1-Z</v>
          </cell>
          <cell r="E1691" t="str">
            <v>1150肋九段（左件）</v>
          </cell>
        </row>
        <row r="1692">
          <cell r="D1692" t="str">
            <v>DD-J10-21102-390-1-Z</v>
          </cell>
          <cell r="E1692" t="str">
            <v>1150肋九段（左件）</v>
          </cell>
        </row>
        <row r="1693">
          <cell r="D1693" t="str">
            <v>DD-J10B-21302-40G2-1-Y</v>
          </cell>
          <cell r="E1693" t="str">
            <v>后梁四段</v>
          </cell>
        </row>
        <row r="1694">
          <cell r="D1694" t="str">
            <v>DD-J10B-21302-40G2-1-Y</v>
          </cell>
          <cell r="E1694" t="str">
            <v>后梁四段</v>
          </cell>
        </row>
        <row r="1695">
          <cell r="D1695" t="str">
            <v>DD-J10B-21302-40G2-1-Y</v>
          </cell>
          <cell r="E1695" t="str">
            <v>后梁四段</v>
          </cell>
        </row>
        <row r="1696">
          <cell r="D1696" t="str">
            <v>DD-J10B-21302-40G2-1-Z</v>
          </cell>
          <cell r="E1696" t="str">
            <v>后梁四段</v>
          </cell>
        </row>
        <row r="1697">
          <cell r="D1697" t="str">
            <v>DD-J10B-21302-40G2-1-Z</v>
          </cell>
          <cell r="E1697" t="str">
            <v>后梁四段</v>
          </cell>
        </row>
        <row r="1698">
          <cell r="D1698" t="str">
            <v>DD-J10B-21302-40G2-1-Z</v>
          </cell>
          <cell r="E1698" t="str">
            <v>后梁四段</v>
          </cell>
        </row>
        <row r="1699">
          <cell r="D1699" t="str">
            <v>DD-J10-21102-250-2-Y</v>
          </cell>
          <cell r="E1699" t="str">
            <v>11900梁二段（右件）</v>
          </cell>
        </row>
        <row r="1700">
          <cell r="D1700" t="str">
            <v>DD-J10-21102-250-2-Z</v>
          </cell>
          <cell r="E1700" t="str">
            <v>11900梁二段（左件）</v>
          </cell>
        </row>
        <row r="1701">
          <cell r="D1701" t="str">
            <v>DD-J10-21102-250-2-Z</v>
          </cell>
          <cell r="E1701" t="str">
            <v>11900梁二段（左件）</v>
          </cell>
        </row>
        <row r="1702">
          <cell r="D1702" t="str">
            <v>DD-J10-21102-250-1-Y</v>
          </cell>
          <cell r="E1702" t="str">
            <v>11900梁一段（右件）</v>
          </cell>
        </row>
        <row r="1703">
          <cell r="D1703" t="str">
            <v>DD-J10-21102-250-1-Z</v>
          </cell>
          <cell r="E1703" t="str">
            <v>11900梁一段（左件）</v>
          </cell>
        </row>
        <row r="1704">
          <cell r="D1704" t="str">
            <v>CB5327110-002R002</v>
          </cell>
          <cell r="E1704" t="str">
            <v>8270右隔框</v>
          </cell>
        </row>
        <row r="1705">
          <cell r="D1705" t="str">
            <v>CB5327110-002R002</v>
          </cell>
          <cell r="E1705" t="str">
            <v>8270右隔框</v>
          </cell>
        </row>
        <row r="1706">
          <cell r="D1706" t="str">
            <v>CB5327110-002R002</v>
          </cell>
          <cell r="E1706" t="str">
            <v>8270右隔框</v>
          </cell>
        </row>
        <row r="1707">
          <cell r="D1707" t="str">
            <v>CB5327110-002L002</v>
          </cell>
          <cell r="E1707" t="str">
            <v>8270左隔框</v>
          </cell>
        </row>
        <row r="1708">
          <cell r="D1708" t="str">
            <v>CB5327110-002L002</v>
          </cell>
          <cell r="E1708" t="str">
            <v>8270左隔框</v>
          </cell>
        </row>
        <row r="1709">
          <cell r="D1709" t="str">
            <v>CB5327110-002L002</v>
          </cell>
          <cell r="E1709" t="str">
            <v>8270左隔框</v>
          </cell>
        </row>
        <row r="1710">
          <cell r="D1710" t="str">
            <v>CB5327110-003L002</v>
          </cell>
          <cell r="E1710" t="str">
            <v>8635左隔框</v>
          </cell>
        </row>
        <row r="1711">
          <cell r="D1711" t="str">
            <v>CB5327110-003L002</v>
          </cell>
          <cell r="E1711" t="str">
            <v>8635左隔框</v>
          </cell>
        </row>
        <row r="1712">
          <cell r="D1712" t="str">
            <v>CB5327110-003L002</v>
          </cell>
          <cell r="E1712" t="str">
            <v>8635左隔框</v>
          </cell>
        </row>
        <row r="1713">
          <cell r="D1713" t="str">
            <v>CB5327110-003R002</v>
          </cell>
          <cell r="E1713" t="str">
            <v>8635右隔框</v>
          </cell>
        </row>
        <row r="1714">
          <cell r="D1714" t="str">
            <v>CB5327110-003R002</v>
          </cell>
          <cell r="E1714" t="str">
            <v>8635右隔框</v>
          </cell>
        </row>
        <row r="1715">
          <cell r="D1715" t="str">
            <v>CB5327110-003R002</v>
          </cell>
          <cell r="E1715" t="str">
            <v>8635右隔框</v>
          </cell>
        </row>
        <row r="1716">
          <cell r="D1716" t="str">
            <v>CB229C070-001R001</v>
          </cell>
          <cell r="E1716" t="str">
            <v>支架</v>
          </cell>
        </row>
        <row r="1717">
          <cell r="D1717" t="str">
            <v>DD-J10-34103-4</v>
          </cell>
          <cell r="E1717" t="str">
            <v>上边肋</v>
          </cell>
        </row>
        <row r="1718">
          <cell r="D1718" t="str">
            <v>DD-J10-34103-4</v>
          </cell>
          <cell r="E1718" t="str">
            <v>上边肋</v>
          </cell>
        </row>
        <row r="1719">
          <cell r="D1719" t="str">
            <v>DD-J10-34103-4</v>
          </cell>
          <cell r="E1719" t="str">
            <v>上边肋</v>
          </cell>
        </row>
        <row r="1720">
          <cell r="D1720" t="str">
            <v>DD-J10-34103-4</v>
          </cell>
          <cell r="E1720" t="str">
            <v>上边肋</v>
          </cell>
        </row>
        <row r="1721">
          <cell r="D1721" t="str">
            <v>DD-J10-41153-140-1</v>
          </cell>
          <cell r="E1721" t="str">
            <v>开锁摇臂</v>
          </cell>
        </row>
        <row r="1722">
          <cell r="D1722" t="str">
            <v>CB2298091-001-001</v>
          </cell>
          <cell r="E1722" t="str">
            <v>支架</v>
          </cell>
        </row>
        <row r="1723">
          <cell r="D1723" t="str">
            <v>DD-J10B-04041-1</v>
          </cell>
          <cell r="E1723" t="str">
            <v>10060框</v>
          </cell>
        </row>
        <row r="1724">
          <cell r="D1724" t="str">
            <v>DD-J10B-04041-1</v>
          </cell>
          <cell r="E1724" t="str">
            <v>10060框</v>
          </cell>
        </row>
        <row r="1725">
          <cell r="D1725" t="str">
            <v>DD-J10B-04041-1</v>
          </cell>
          <cell r="E1725" t="str">
            <v>10060框</v>
          </cell>
        </row>
        <row r="1726">
          <cell r="D1726" t="str">
            <v>DD-J10B-04041-1</v>
          </cell>
          <cell r="E1726" t="str">
            <v>10060框</v>
          </cell>
        </row>
        <row r="1727">
          <cell r="D1727" t="str">
            <v>CF-100-01</v>
          </cell>
          <cell r="E1727" t="str">
            <v>块</v>
          </cell>
        </row>
        <row r="1728">
          <cell r="D1728" t="str">
            <v>GZ-000-03</v>
          </cell>
          <cell r="E1728" t="str">
            <v>中压板</v>
          </cell>
        </row>
        <row r="1729">
          <cell r="D1729" t="str">
            <v>GZ-000-T17</v>
          </cell>
          <cell r="E1729" t="str">
            <v>下盖</v>
          </cell>
        </row>
        <row r="1730">
          <cell r="D1730" t="str">
            <v>GZ-000-02</v>
          </cell>
          <cell r="E1730" t="str">
            <v>固定座</v>
          </cell>
        </row>
        <row r="1731">
          <cell r="D1731" t="str">
            <v>GZ-000-04</v>
          </cell>
          <cell r="E1731" t="str">
            <v>销座</v>
          </cell>
        </row>
        <row r="1732">
          <cell r="D1732" t="str">
            <v>GZ-100-01</v>
          </cell>
          <cell r="E1732" t="str">
            <v>底座</v>
          </cell>
        </row>
        <row r="1733">
          <cell r="D1733" t="str">
            <v>JB-000-01</v>
          </cell>
          <cell r="E1733" t="str">
            <v>下外壳</v>
          </cell>
        </row>
        <row r="1734">
          <cell r="D1734" t="str">
            <v>JB-111-01</v>
          </cell>
          <cell r="E1734" t="str">
            <v>骨架</v>
          </cell>
        </row>
        <row r="1735">
          <cell r="D1735" t="str">
            <v>JB-121-01</v>
          </cell>
          <cell r="E1735" t="str">
            <v>上轭铁</v>
          </cell>
        </row>
        <row r="1736">
          <cell r="D1736" t="str">
            <v>Q/DG22A-000-01</v>
          </cell>
          <cell r="E1736" t="str">
            <v>压紧螺母</v>
          </cell>
        </row>
        <row r="1737">
          <cell r="D1737" t="str">
            <v>Q/DG22A-000-02</v>
          </cell>
          <cell r="E1737" t="str">
            <v>金属垫圈</v>
          </cell>
        </row>
        <row r="1738">
          <cell r="D1738" t="str">
            <v>Q/DG22A-000-03</v>
          </cell>
          <cell r="E1738" t="str">
            <v>橡胶圈</v>
          </cell>
        </row>
        <row r="1739">
          <cell r="D1739" t="str">
            <v>Q/DG22A-000-04</v>
          </cell>
          <cell r="E1739" t="str">
            <v>垫圈</v>
          </cell>
        </row>
        <row r="1740">
          <cell r="D1740" t="str">
            <v>Q/DG22A-000-05</v>
          </cell>
          <cell r="E1740" t="str">
            <v>主体</v>
          </cell>
        </row>
        <row r="1741">
          <cell r="D1741" t="str">
            <v>Q/DG22A-000-06</v>
          </cell>
          <cell r="E1741" t="str">
            <v>防烫圈</v>
          </cell>
        </row>
        <row r="1742">
          <cell r="D1742" t="str">
            <v>Q/DG22A-000-07</v>
          </cell>
          <cell r="E1742" t="str">
            <v>内导体</v>
          </cell>
        </row>
        <row r="1743">
          <cell r="D1743" t="str">
            <v>Q/DG22A-000-08</v>
          </cell>
          <cell r="E1743" t="str">
            <v>介质</v>
          </cell>
        </row>
        <row r="1744">
          <cell r="D1744" t="str">
            <v>Q/DG22A-000-09</v>
          </cell>
          <cell r="E1744" t="str">
            <v>主体连接套</v>
          </cell>
        </row>
        <row r="1745">
          <cell r="D1745" t="str">
            <v>Q/DG22A-000-10</v>
          </cell>
          <cell r="E1745" t="str">
            <v>连接套</v>
          </cell>
        </row>
        <row r="1746">
          <cell r="D1746" t="str">
            <v>CB229C440-002L001</v>
          </cell>
          <cell r="E1746" t="str">
            <v>支架</v>
          </cell>
        </row>
        <row r="1747">
          <cell r="D1747" t="str">
            <v>CB2297011-002-001</v>
          </cell>
          <cell r="E1747" t="str">
            <v>支架</v>
          </cell>
        </row>
        <row r="1748">
          <cell r="D1748" t="str">
            <v>CB22956R1-001L001</v>
          </cell>
          <cell r="E1748" t="str">
            <v>座子</v>
          </cell>
        </row>
        <row r="1749">
          <cell r="D1749" t="str">
            <v>CB22956R1-001R001</v>
          </cell>
          <cell r="E1749" t="str">
            <v>座子</v>
          </cell>
        </row>
        <row r="1750">
          <cell r="D1750" t="str">
            <v>CB22956R1-001R001</v>
          </cell>
          <cell r="E1750" t="str">
            <v>座子</v>
          </cell>
        </row>
        <row r="1751">
          <cell r="D1751" t="str">
            <v>CB2297021-001-001</v>
          </cell>
          <cell r="E1751" t="str">
            <v>支架</v>
          </cell>
        </row>
        <row r="1752">
          <cell r="D1752" t="str">
            <v>CB2297120-005-002</v>
          </cell>
          <cell r="E1752" t="str">
            <v>支架</v>
          </cell>
        </row>
        <row r="1753">
          <cell r="D1753" t="str">
            <v>CB229C071-001L001</v>
          </cell>
          <cell r="E1753" t="str">
            <v>支架</v>
          </cell>
        </row>
        <row r="1754">
          <cell r="D1754" t="str">
            <v>CB229C440-002R001</v>
          </cell>
          <cell r="E1754" t="str">
            <v>支架</v>
          </cell>
        </row>
        <row r="1755">
          <cell r="D1755" t="str">
            <v>CB2297041-001-001</v>
          </cell>
          <cell r="E1755" t="str">
            <v>支架</v>
          </cell>
        </row>
        <row r="1756">
          <cell r="D1756" t="str">
            <v>CB2297032-001-001</v>
          </cell>
          <cell r="E1756" t="str">
            <v>支架</v>
          </cell>
        </row>
        <row r="1757">
          <cell r="D1757" t="str">
            <v>CB2297021-001-001</v>
          </cell>
          <cell r="E1757" t="str">
            <v>支架</v>
          </cell>
        </row>
        <row r="1758">
          <cell r="D1758" t="str">
            <v>CB2297120-006-002</v>
          </cell>
          <cell r="E1758" t="str">
            <v>支架</v>
          </cell>
        </row>
        <row r="1759">
          <cell r="D1759" t="str">
            <v>CB2297011-001-001</v>
          </cell>
          <cell r="E1759" t="str">
            <v>支架</v>
          </cell>
        </row>
        <row r="1760">
          <cell r="D1760" t="str">
            <v>CB22931L1-001-002</v>
          </cell>
          <cell r="E1760" t="str">
            <v>底座</v>
          </cell>
        </row>
        <row r="1761">
          <cell r="D1761" t="str">
            <v>CB2297012-001-001</v>
          </cell>
          <cell r="E1761" t="str">
            <v>支架</v>
          </cell>
        </row>
        <row r="1762">
          <cell r="D1762" t="str">
            <v>CB2297012-001-001</v>
          </cell>
          <cell r="E1762" t="str">
            <v>支架</v>
          </cell>
        </row>
        <row r="1763">
          <cell r="D1763" t="str">
            <v>CB2297031-001-001</v>
          </cell>
          <cell r="E1763" t="str">
            <v>支架</v>
          </cell>
        </row>
        <row r="1764">
          <cell r="D1764" t="str">
            <v>DD-J10-34003-2</v>
          </cell>
          <cell r="E1764" t="str">
            <v>后梁</v>
          </cell>
        </row>
        <row r="1765">
          <cell r="D1765" t="str">
            <v>DD-J10-34003-2</v>
          </cell>
          <cell r="E1765" t="str">
            <v>后梁</v>
          </cell>
        </row>
        <row r="1766">
          <cell r="D1766" t="str">
            <v>DD-J10B-04011-1</v>
          </cell>
          <cell r="E1766" t="str">
            <v>7100框</v>
          </cell>
        </row>
        <row r="1767">
          <cell r="D1767" t="str">
            <v>DD-J10B-04011-1</v>
          </cell>
          <cell r="E1767" t="str">
            <v>7100框</v>
          </cell>
        </row>
        <row r="1768">
          <cell r="D1768" t="str">
            <v>DD-J10B-61001-2</v>
          </cell>
          <cell r="E1768" t="str">
            <v>接头</v>
          </cell>
        </row>
        <row r="1769">
          <cell r="D1769" t="str">
            <v>CB22956R0-001R001</v>
          </cell>
          <cell r="E1769" t="str">
            <v>架子</v>
          </cell>
        </row>
        <row r="1770">
          <cell r="D1770" t="str">
            <v>DD-J10B-02021-3/2-Y</v>
          </cell>
          <cell r="E1770" t="str">
            <v>雷达罩锁支座</v>
          </cell>
        </row>
        <row r="1771">
          <cell r="D1771" t="str">
            <v>DD-J10B-02021-3/1-Z</v>
          </cell>
          <cell r="E1771" t="str">
            <v>雷达罩锁支座</v>
          </cell>
        </row>
        <row r="1772">
          <cell r="D1772" t="str">
            <v>CB5323210-005L033</v>
          </cell>
          <cell r="E1772" t="str">
            <v>9350-11140左侧上梁</v>
          </cell>
        </row>
        <row r="1773">
          <cell r="D1773" t="str">
            <v>CB5323210-005L033</v>
          </cell>
          <cell r="E1773" t="str">
            <v>9350-11140左侧上梁</v>
          </cell>
        </row>
        <row r="1774">
          <cell r="D1774" t="str">
            <v>CB5323210-005L033</v>
          </cell>
          <cell r="E1774" t="str">
            <v>9350-11140左侧上梁</v>
          </cell>
        </row>
        <row r="1775">
          <cell r="D1775" t="str">
            <v>CB5323220-052-024</v>
          </cell>
          <cell r="E1775" t="str">
            <v>9350-11140右侧上梁</v>
          </cell>
        </row>
        <row r="1776">
          <cell r="D1776" t="str">
            <v>CB5323220-052-024</v>
          </cell>
          <cell r="E1776" t="str">
            <v>9350-11140右侧上梁</v>
          </cell>
        </row>
        <row r="1777">
          <cell r="D1777" t="str">
            <v>CB5323220-052-024</v>
          </cell>
          <cell r="E1777" t="str">
            <v>9350-11140右侧上梁</v>
          </cell>
        </row>
        <row r="1778">
          <cell r="D1778" t="str">
            <v>DD-J10B-04061-1</v>
          </cell>
          <cell r="E1778" t="str">
            <v>10860框</v>
          </cell>
        </row>
        <row r="1779">
          <cell r="D1779" t="str">
            <v>DD-J10B-04061-1</v>
          </cell>
          <cell r="E1779" t="str">
            <v>10860框</v>
          </cell>
        </row>
        <row r="1780">
          <cell r="D1780" t="str">
            <v>DD-J10B-04321-30-1-Y</v>
          </cell>
          <cell r="E1780" t="str">
            <v>侧下梁（右件）</v>
          </cell>
        </row>
        <row r="1781">
          <cell r="D1781" t="str">
            <v>DD-J10B-04321-30-1-Y</v>
          </cell>
          <cell r="E1781" t="str">
            <v>侧下梁（右件）</v>
          </cell>
        </row>
        <row r="1782">
          <cell r="D1782" t="str">
            <v>DD-J10B-04321-30-1-Y</v>
          </cell>
          <cell r="E1782" t="str">
            <v>侧下梁（右件）</v>
          </cell>
        </row>
        <row r="1783">
          <cell r="D1783" t="str">
            <v>DD-J10B-04321-30-1-Y</v>
          </cell>
          <cell r="E1783" t="str">
            <v>侧下梁（右件）</v>
          </cell>
        </row>
        <row r="1784">
          <cell r="D1784" t="str">
            <v>DD-J10B-04321-30-1-Y</v>
          </cell>
          <cell r="E1784" t="str">
            <v>侧下梁（右件）</v>
          </cell>
        </row>
        <row r="1785">
          <cell r="D1785" t="str">
            <v>DD-J10B-04321-30-1-Y</v>
          </cell>
          <cell r="E1785" t="str">
            <v>侧下梁（右件）</v>
          </cell>
        </row>
        <row r="1786">
          <cell r="D1786" t="str">
            <v>DD-J10B-04321-30-1-Z</v>
          </cell>
          <cell r="E1786" t="str">
            <v>侧下梁（左件）</v>
          </cell>
        </row>
        <row r="1787">
          <cell r="D1787" t="str">
            <v>DD-J10B-04321-30-1-Z</v>
          </cell>
          <cell r="E1787" t="str">
            <v>侧下梁（左件）</v>
          </cell>
        </row>
        <row r="1788">
          <cell r="D1788" t="str">
            <v>DD-J10B-04321-30-1-Z</v>
          </cell>
          <cell r="E1788" t="str">
            <v>侧下梁（左件）</v>
          </cell>
        </row>
        <row r="1789">
          <cell r="D1789" t="str">
            <v>DD-J10B-04321-30-1-Z</v>
          </cell>
          <cell r="E1789" t="str">
            <v>侧下梁（左件）</v>
          </cell>
        </row>
        <row r="1790">
          <cell r="D1790" t="str">
            <v>DD-J10B-04321-30-1-Z</v>
          </cell>
          <cell r="E1790" t="str">
            <v>侧下梁（左件）</v>
          </cell>
        </row>
        <row r="1791">
          <cell r="D1791" t="str">
            <v>DD-J10B-04321-30-1-Z</v>
          </cell>
          <cell r="E1791" t="str">
            <v>侧下梁（左件）</v>
          </cell>
        </row>
        <row r="1792">
          <cell r="D1792" t="str">
            <v>DD-J10S-54101-1106</v>
          </cell>
          <cell r="E1792" t="str">
            <v>销钉</v>
          </cell>
        </row>
        <row r="1793">
          <cell r="D1793" t="str">
            <v>DD-J10S-54101-1106</v>
          </cell>
          <cell r="E1793" t="str">
            <v>销钉</v>
          </cell>
        </row>
        <row r="1794">
          <cell r="D1794" t="str">
            <v>DD-J10B-04501-10-1-Z</v>
          </cell>
          <cell r="E1794" t="str">
            <v>BL900侧梁</v>
          </cell>
        </row>
        <row r="1795">
          <cell r="D1795" t="str">
            <v>DD-J10B-04501-10-1-Z</v>
          </cell>
          <cell r="E1795" t="str">
            <v>BL900侧梁</v>
          </cell>
        </row>
        <row r="1796">
          <cell r="D1796" t="str">
            <v>DD-J10B-04501-10-1-Y</v>
          </cell>
          <cell r="E1796" t="str">
            <v>BL900侧梁</v>
          </cell>
        </row>
        <row r="1797">
          <cell r="D1797" t="str">
            <v>DD-J10B-04501-10-1-Y</v>
          </cell>
          <cell r="E1797" t="str">
            <v>BL900侧梁</v>
          </cell>
        </row>
        <row r="1798">
          <cell r="D1798" t="str">
            <v>DD-J10B-25002-30G2-1G2-Y</v>
          </cell>
          <cell r="E1798" t="str">
            <v>梁（右件）</v>
          </cell>
        </row>
        <row r="1799">
          <cell r="D1799" t="str">
            <v>DD-J10B-25002-30G2-1G2-Y</v>
          </cell>
          <cell r="E1799" t="str">
            <v>梁（右件）</v>
          </cell>
        </row>
        <row r="1800">
          <cell r="D1800" t="str">
            <v>DD-J10B-25002-30G2-1G2-Y</v>
          </cell>
          <cell r="E1800" t="str">
            <v>梁（右件）</v>
          </cell>
        </row>
        <row r="1801">
          <cell r="D1801" t="str">
            <v>DD-J10B-25002-30G2-1G2-Y</v>
          </cell>
          <cell r="E1801" t="str">
            <v>梁（右件）</v>
          </cell>
        </row>
        <row r="1802">
          <cell r="D1802" t="str">
            <v>DD-J10B-25002-30G2-1G2-Z</v>
          </cell>
          <cell r="E1802" t="str">
            <v>梁（左件）</v>
          </cell>
        </row>
        <row r="1803">
          <cell r="D1803" t="str">
            <v>DD-J10B-25002-30G2-1G2-Z</v>
          </cell>
          <cell r="E1803" t="str">
            <v>梁（左件）</v>
          </cell>
        </row>
        <row r="1804">
          <cell r="D1804" t="str">
            <v>DD-J10B-25002-30G2-1G2-Z</v>
          </cell>
          <cell r="E1804" t="str">
            <v>梁（左件）</v>
          </cell>
        </row>
        <row r="1805">
          <cell r="D1805" t="str">
            <v>DD-J10B-25002-30G2-1G2-Z</v>
          </cell>
          <cell r="E1805" t="str">
            <v>梁（左件）</v>
          </cell>
        </row>
        <row r="1806">
          <cell r="D1806" t="str">
            <v>DD-J10B-26002-1G2-Z</v>
          </cell>
          <cell r="E1806" t="str">
            <v>梁（左件）</v>
          </cell>
        </row>
        <row r="1807">
          <cell r="D1807" t="str">
            <v>DD-J10B-26002-1G2-Z</v>
          </cell>
          <cell r="E1807" t="str">
            <v>梁（左件）</v>
          </cell>
        </row>
        <row r="1808">
          <cell r="D1808" t="str">
            <v>DD-J10B-26002-1G2-Z</v>
          </cell>
          <cell r="E1808" t="str">
            <v>梁（左件）</v>
          </cell>
        </row>
        <row r="1809">
          <cell r="D1809" t="str">
            <v>DD-J10B-26002-1G2-Z</v>
          </cell>
          <cell r="E1809" t="str">
            <v>梁（左件）</v>
          </cell>
        </row>
        <row r="1810">
          <cell r="D1810" t="str">
            <v>DD-J10B-26002-1G2-Z</v>
          </cell>
          <cell r="E1810" t="str">
            <v>梁（左件）</v>
          </cell>
        </row>
        <row r="1811">
          <cell r="D1811" t="str">
            <v>DD-J10B-26002-1G2-Z</v>
          </cell>
          <cell r="E1811" t="str">
            <v>梁（左件）</v>
          </cell>
        </row>
        <row r="1812">
          <cell r="D1812" t="str">
            <v>DD-J10B-26002-1G2-Z</v>
          </cell>
          <cell r="E1812" t="str">
            <v>梁（左件）</v>
          </cell>
        </row>
        <row r="1813">
          <cell r="D1813" t="str">
            <v>DD-J10B-26002-1G2-Z</v>
          </cell>
          <cell r="E1813" t="str">
            <v>梁（左件）</v>
          </cell>
        </row>
        <row r="1814">
          <cell r="D1814" t="str">
            <v>DD-J10B-26002-1G2-Y</v>
          </cell>
          <cell r="E1814" t="str">
            <v>梁（右件）</v>
          </cell>
        </row>
        <row r="1815">
          <cell r="D1815" t="str">
            <v>DD-J10B-26002-1G2-Y</v>
          </cell>
          <cell r="E1815" t="str">
            <v>梁（右件）</v>
          </cell>
        </row>
        <row r="1816">
          <cell r="D1816" t="str">
            <v>DD-J10B-26002-1G2-Y</v>
          </cell>
          <cell r="E1816" t="str">
            <v>梁（右件）</v>
          </cell>
        </row>
        <row r="1817">
          <cell r="D1817" t="str">
            <v>DD-J10B-26002-1G2-Y</v>
          </cell>
          <cell r="E1817" t="str">
            <v>梁（右件）</v>
          </cell>
        </row>
        <row r="1818">
          <cell r="D1818" t="str">
            <v>DD-J10B-26002-1G2-Y</v>
          </cell>
          <cell r="E1818" t="str">
            <v>梁（右件）</v>
          </cell>
        </row>
        <row r="1819">
          <cell r="D1819" t="str">
            <v>DD-J10B-26002-1G2-Y</v>
          </cell>
          <cell r="E1819" t="str">
            <v>梁（右件）</v>
          </cell>
        </row>
        <row r="1820">
          <cell r="D1820" t="str">
            <v>DD-J10B-26002-1G2-Y</v>
          </cell>
          <cell r="E1820" t="str">
            <v>梁（右件）</v>
          </cell>
        </row>
        <row r="1821">
          <cell r="D1821" t="str">
            <v>DD-J10B-26002-1G2-Y</v>
          </cell>
          <cell r="E1821" t="str">
            <v>梁（右件）</v>
          </cell>
        </row>
        <row r="1822">
          <cell r="D1822" t="str">
            <v>CB5715000-002R002</v>
          </cell>
          <cell r="E1822" t="str">
            <v>固定前缘根肋</v>
          </cell>
        </row>
        <row r="1823">
          <cell r="D1823" t="str">
            <v>CB5715000-002L002</v>
          </cell>
          <cell r="E1823" t="str">
            <v>固定前缘根肋</v>
          </cell>
        </row>
        <row r="1824">
          <cell r="D1824" t="str">
            <v>DD-J10B-04041-1</v>
          </cell>
          <cell r="E1824" t="str">
            <v>10060框</v>
          </cell>
        </row>
        <row r="1825">
          <cell r="D1825" t="str">
            <v>DD-J10B-04041-1</v>
          </cell>
          <cell r="E1825" t="str">
            <v>10060框</v>
          </cell>
        </row>
        <row r="1826">
          <cell r="D1826" t="str">
            <v>BC2281242-001-001</v>
          </cell>
          <cell r="E1826" t="str">
            <v>支座</v>
          </cell>
        </row>
        <row r="1827">
          <cell r="D1827" t="str">
            <v>CB22956R0-001R001</v>
          </cell>
          <cell r="E1827" t="str">
            <v>架子</v>
          </cell>
        </row>
        <row r="1828">
          <cell r="D1828" t="str">
            <v>CB22956R0-001L001</v>
          </cell>
          <cell r="E1828" t="str">
            <v>架子</v>
          </cell>
        </row>
        <row r="1829">
          <cell r="D1829" t="str">
            <v>CB22956R0-001L001</v>
          </cell>
          <cell r="E1829" t="str">
            <v>架子</v>
          </cell>
        </row>
        <row r="1830">
          <cell r="D1830" t="str">
            <v>DD-J10S-54101-1102</v>
          </cell>
          <cell r="E1830" t="str">
            <v>衬套</v>
          </cell>
        </row>
        <row r="1831">
          <cell r="D1831" t="str">
            <v>DD-J10S-54101-1302</v>
          </cell>
          <cell r="E1831" t="str">
            <v>衬套</v>
          </cell>
        </row>
        <row r="1832">
          <cell r="D1832" t="str">
            <v>DD-J10-64011-421</v>
          </cell>
          <cell r="E1832" t="str">
            <v>套筒</v>
          </cell>
        </row>
        <row r="1833">
          <cell r="D1833" t="str">
            <v>DD-J10B-02111-2-Y</v>
          </cell>
          <cell r="E1833" t="str">
            <v>角盒</v>
          </cell>
        </row>
        <row r="1834">
          <cell r="D1834" t="str">
            <v>DD-J10B-02111-2-Z</v>
          </cell>
          <cell r="E1834" t="str">
            <v>角盒</v>
          </cell>
        </row>
        <row r="1835">
          <cell r="D1835" t="str">
            <v>DD-J10B-02021-3/1-Y</v>
          </cell>
          <cell r="E1835" t="str">
            <v>雷达罩锁支座</v>
          </cell>
        </row>
        <row r="1836">
          <cell r="D1836" t="str">
            <v>DD-J10B-02021-3/1-Y</v>
          </cell>
          <cell r="E1836" t="str">
            <v>雷达罩锁支座</v>
          </cell>
        </row>
        <row r="1837">
          <cell r="D1837" t="str">
            <v>DD-J10B-02021-3/1-Z</v>
          </cell>
          <cell r="E1837" t="str">
            <v>雷达罩锁支座</v>
          </cell>
        </row>
        <row r="1838">
          <cell r="D1838" t="str">
            <v>DD-J10B-02021-3/1-Z</v>
          </cell>
          <cell r="E1838" t="str">
            <v>雷达罩锁支座</v>
          </cell>
        </row>
        <row r="1839">
          <cell r="D1839" t="str">
            <v>DD-J10B-02021-3/2-Z</v>
          </cell>
          <cell r="E1839" t="str">
            <v>雷达罩锁支座</v>
          </cell>
        </row>
        <row r="1840">
          <cell r="D1840" t="str">
            <v>DD-J10B-02021-3/2-Y</v>
          </cell>
          <cell r="E1840" t="str">
            <v>雷达罩锁支座</v>
          </cell>
        </row>
        <row r="1841">
          <cell r="D1841" t="str">
            <v>DD-J10B-02021-3/2-Y</v>
          </cell>
          <cell r="E1841" t="str">
            <v>雷达罩锁支座</v>
          </cell>
        </row>
        <row r="1842">
          <cell r="D1842" t="str">
            <v>6410000-01</v>
          </cell>
          <cell r="E1842" t="str">
            <v>腔体</v>
          </cell>
        </row>
        <row r="1843">
          <cell r="D1843" t="str">
            <v>DD-J10B-21002-2-Y</v>
          </cell>
          <cell r="E1843" t="str">
            <v>4号下壁板（右件）</v>
          </cell>
        </row>
        <row r="1844">
          <cell r="D1844" t="str">
            <v>DD-J10B-21002-2-Y</v>
          </cell>
          <cell r="E1844" t="str">
            <v>4号下壁板（右件）</v>
          </cell>
        </row>
        <row r="1845">
          <cell r="D1845" t="str">
            <v>DD-J10B-21002-2-Z</v>
          </cell>
          <cell r="E1845" t="str">
            <v>4号下壁板（左件）</v>
          </cell>
        </row>
        <row r="1846">
          <cell r="D1846" t="str">
            <v>DD-J10B-21002-2-Z</v>
          </cell>
          <cell r="E1846" t="str">
            <v>4号下壁板（左件）</v>
          </cell>
        </row>
        <row r="1847">
          <cell r="D1847" t="str">
            <v>DD-J10-21002-1-Z</v>
          </cell>
          <cell r="E1847" t="str">
            <v>4号上壁板（左件）</v>
          </cell>
        </row>
        <row r="1848">
          <cell r="D1848" t="str">
            <v>DD-J10-21002-1-Z</v>
          </cell>
          <cell r="E1848" t="str">
            <v>4号上壁板（左件）</v>
          </cell>
        </row>
        <row r="1849">
          <cell r="D1849" t="str">
            <v>DD-J10-21002-1-Y</v>
          </cell>
          <cell r="E1849" t="str">
            <v>4号上壁板（右件）</v>
          </cell>
        </row>
        <row r="1850">
          <cell r="D1850" t="str">
            <v>DD-J10-21002-1-Y</v>
          </cell>
          <cell r="E1850" t="str">
            <v>4号上壁板（右件）</v>
          </cell>
        </row>
        <row r="1851">
          <cell r="D1851" t="str">
            <v>CB5713600-001R004</v>
          </cell>
          <cell r="E1851" t="str">
            <v>前梁一段</v>
          </cell>
        </row>
        <row r="1852">
          <cell r="D1852" t="str">
            <v>CB5713600-001L006</v>
          </cell>
          <cell r="E1852" t="str">
            <v>前梁一段</v>
          </cell>
        </row>
        <row r="1853">
          <cell r="D1853" t="str">
            <v>DD-J10S-54101-1301</v>
          </cell>
          <cell r="E1853" t="str">
            <v>支座</v>
          </cell>
        </row>
        <row r="1854">
          <cell r="D1854" t="str">
            <v>DD-J10-67096-50-1</v>
          </cell>
          <cell r="E1854" t="str">
            <v>Z型件</v>
          </cell>
        </row>
        <row r="1855">
          <cell r="D1855" t="str">
            <v>DD-J10S-94051-18</v>
          </cell>
          <cell r="E1855" t="str">
            <v>支架</v>
          </cell>
        </row>
        <row r="1856">
          <cell r="D1856" t="str">
            <v>DD-J10B-04061-1</v>
          </cell>
          <cell r="E1856" t="str">
            <v>10860框</v>
          </cell>
        </row>
        <row r="1857">
          <cell r="D1857" t="str">
            <v>Y20-5314118004-001</v>
          </cell>
          <cell r="E1857" t="str">
            <v>对接角片</v>
          </cell>
        </row>
        <row r="1858">
          <cell r="D1858" t="str">
            <v>Y20-5314118004-002</v>
          </cell>
          <cell r="E1858" t="str">
            <v>对接角片</v>
          </cell>
        </row>
        <row r="1859">
          <cell r="D1859" t="str">
            <v>Y20-5314117012-001</v>
          </cell>
          <cell r="E1859" t="str">
            <v>对接角片</v>
          </cell>
        </row>
        <row r="1860">
          <cell r="D1860" t="str">
            <v>Y20-5314117012-002</v>
          </cell>
          <cell r="E1860" t="str">
            <v>对接角片</v>
          </cell>
        </row>
        <row r="1861">
          <cell r="D1861" t="str">
            <v>Y20-5314117013-001</v>
          </cell>
          <cell r="E1861" t="str">
            <v>对接角片</v>
          </cell>
        </row>
        <row r="1862">
          <cell r="D1862" t="str">
            <v>Y20-5314117013-002</v>
          </cell>
          <cell r="E1862" t="str">
            <v>对接角片</v>
          </cell>
        </row>
        <row r="1863">
          <cell r="D1863" t="str">
            <v>DD-J10B-04011-1</v>
          </cell>
          <cell r="E1863" t="str">
            <v>7100框</v>
          </cell>
        </row>
        <row r="1864">
          <cell r="D1864" t="str">
            <v>DD-J10B-04011-1</v>
          </cell>
          <cell r="E1864" t="str">
            <v>7100框</v>
          </cell>
        </row>
        <row r="1865">
          <cell r="D1865" t="str">
            <v>DD-J10B-04011-1</v>
          </cell>
          <cell r="E1865" t="str">
            <v>7100框</v>
          </cell>
        </row>
        <row r="1866">
          <cell r="D1866" t="str">
            <v>DD-J10B-04011-1</v>
          </cell>
          <cell r="E1866" t="str">
            <v>7100框</v>
          </cell>
        </row>
        <row r="1867">
          <cell r="D1867" t="str">
            <v>DD-J10S-54101-1101</v>
          </cell>
          <cell r="E1867" t="str">
            <v>支座</v>
          </cell>
        </row>
        <row r="1868">
          <cell r="D1868" t="str">
            <v>DD-J10S-54101-1201</v>
          </cell>
          <cell r="E1868" t="str">
            <v>支座</v>
          </cell>
        </row>
        <row r="1869">
          <cell r="D1869" t="str">
            <v>Y20-5316100319-001</v>
          </cell>
          <cell r="E1869" t="str">
            <v>地板纵向件</v>
          </cell>
        </row>
        <row r="1870">
          <cell r="D1870" t="str">
            <v>Y20-5311123023-002</v>
          </cell>
          <cell r="E1870" t="str">
            <v>口框加强件</v>
          </cell>
        </row>
        <row r="1871">
          <cell r="D1871" t="str">
            <v>Y20-5311123023-001</v>
          </cell>
          <cell r="E1871" t="str">
            <v>口框加强件</v>
          </cell>
        </row>
        <row r="1872">
          <cell r="D1872" t="str">
            <v>Y20-5314120012-001</v>
          </cell>
          <cell r="E1872" t="str">
            <v>对接角片</v>
          </cell>
        </row>
        <row r="1873">
          <cell r="D1873" t="str">
            <v>Y20-5314120012-002</v>
          </cell>
          <cell r="E1873" t="str">
            <v>对接角片</v>
          </cell>
        </row>
        <row r="1874">
          <cell r="D1874" t="str">
            <v>CB5327510-002-006</v>
          </cell>
          <cell r="E1874" t="str">
            <v>辅助舱门旋臂</v>
          </cell>
        </row>
        <row r="1875">
          <cell r="D1875" t="str">
            <v>CB5327510-002-006</v>
          </cell>
          <cell r="E1875" t="str">
            <v>辅助舱门旋臂</v>
          </cell>
        </row>
        <row r="1876">
          <cell r="D1876" t="str">
            <v>CB5327510-002-006</v>
          </cell>
          <cell r="E1876" t="str">
            <v>辅助舱门旋臂</v>
          </cell>
        </row>
        <row r="1877">
          <cell r="D1877" t="str">
            <v>CB5327510-001R006</v>
          </cell>
          <cell r="E1877" t="str">
            <v>承载旋臂</v>
          </cell>
        </row>
        <row r="1878">
          <cell r="D1878" t="str">
            <v>CB5327510-001R006</v>
          </cell>
          <cell r="E1878" t="str">
            <v>承载旋臂</v>
          </cell>
        </row>
        <row r="1879">
          <cell r="D1879" t="str">
            <v>CB5327510-001L006</v>
          </cell>
          <cell r="E1879" t="str">
            <v>承载旋臂</v>
          </cell>
        </row>
        <row r="1880">
          <cell r="D1880" t="str">
            <v>CB5327510-001L006</v>
          </cell>
          <cell r="E1880" t="str">
            <v>承载旋臂</v>
          </cell>
        </row>
        <row r="1881">
          <cell r="D1881" t="str">
            <v>CB5327510-001L006</v>
          </cell>
          <cell r="E1881" t="str">
            <v>承载旋臂</v>
          </cell>
        </row>
        <row r="1882">
          <cell r="D1882" t="str">
            <v>SYJ-000-01</v>
          </cell>
          <cell r="E1882" t="str">
            <v>连接螺钉</v>
          </cell>
        </row>
        <row r="1883">
          <cell r="D1883" t="str">
            <v>SYJ-000-02</v>
          </cell>
          <cell r="E1883" t="str">
            <v>100g砝码</v>
          </cell>
        </row>
        <row r="1884">
          <cell r="D1884" t="str">
            <v>SYJ-000-03</v>
          </cell>
          <cell r="E1884" t="str">
            <v>200g砝码</v>
          </cell>
        </row>
        <row r="1885">
          <cell r="D1885" t="str">
            <v>SYJ-000-04</v>
          </cell>
          <cell r="E1885" t="str">
            <v>300g砝码</v>
          </cell>
        </row>
        <row r="1886">
          <cell r="D1886" t="str">
            <v>SYJ-000-05</v>
          </cell>
          <cell r="E1886" t="str">
            <v>测试工作杆</v>
          </cell>
        </row>
        <row r="1887">
          <cell r="D1887" t="str">
            <v>DD-J10-41153-105</v>
          </cell>
          <cell r="E1887" t="str">
            <v>联锁摇臂</v>
          </cell>
        </row>
        <row r="1888">
          <cell r="D1888" t="str">
            <v>CB5523000-005R004</v>
          </cell>
          <cell r="E1888" t="str">
            <v>隔框</v>
          </cell>
        </row>
        <row r="1889">
          <cell r="D1889" t="str">
            <v>CB5523000-005L004</v>
          </cell>
          <cell r="E1889" t="str">
            <v>隔框</v>
          </cell>
        </row>
        <row r="1890">
          <cell r="D1890" t="str">
            <v>CB5327110-002L004</v>
          </cell>
          <cell r="E1890" t="str">
            <v>8270左隔框</v>
          </cell>
        </row>
        <row r="1891">
          <cell r="D1891" t="str">
            <v>CB5327110-002L004</v>
          </cell>
          <cell r="E1891" t="str">
            <v>8270左隔框</v>
          </cell>
        </row>
        <row r="1892">
          <cell r="D1892" t="str">
            <v>CB5327110-002L004</v>
          </cell>
          <cell r="E1892" t="str">
            <v>8270左隔框</v>
          </cell>
        </row>
        <row r="1893">
          <cell r="D1893" t="str">
            <v>CB5327110-002L004</v>
          </cell>
          <cell r="E1893" t="str">
            <v>8270左隔框</v>
          </cell>
        </row>
        <row r="1894">
          <cell r="D1894" t="str">
            <v>CB5327110-002R004</v>
          </cell>
          <cell r="E1894" t="str">
            <v>8270右隔框</v>
          </cell>
        </row>
        <row r="1895">
          <cell r="D1895" t="str">
            <v>CB5327110-002R004</v>
          </cell>
          <cell r="E1895" t="str">
            <v>8270右隔框</v>
          </cell>
        </row>
        <row r="1896">
          <cell r="D1896" t="str">
            <v>CB5327110-002R004</v>
          </cell>
          <cell r="E1896" t="str">
            <v>8270右隔框</v>
          </cell>
        </row>
        <row r="1897">
          <cell r="D1897" t="str">
            <v>CB5327110-002R004</v>
          </cell>
          <cell r="E1897" t="str">
            <v>8270右隔框</v>
          </cell>
        </row>
        <row r="1898">
          <cell r="D1898" t="str">
            <v>DD-J10-04501-10-1-Y</v>
          </cell>
          <cell r="E1898" t="str">
            <v>BL900侧梁{右件）</v>
          </cell>
        </row>
        <row r="1899">
          <cell r="D1899" t="str">
            <v>DD-J10-04501-10-1-Y</v>
          </cell>
          <cell r="E1899" t="str">
            <v>BL900侧梁{右件）</v>
          </cell>
        </row>
        <row r="1900">
          <cell r="D1900" t="str">
            <v>DD-J10-04501-10-1-Y</v>
          </cell>
          <cell r="E1900" t="str">
            <v>BL900侧梁{右件）</v>
          </cell>
        </row>
        <row r="1901">
          <cell r="D1901" t="str">
            <v>DD-J10-04501-10-1-Y</v>
          </cell>
          <cell r="E1901" t="str">
            <v>BL900侧梁{右件）</v>
          </cell>
        </row>
        <row r="1902">
          <cell r="D1902" t="str">
            <v>DD-J10-04501-10-1-Y</v>
          </cell>
          <cell r="E1902" t="str">
            <v>BL900侧梁{右件）</v>
          </cell>
        </row>
        <row r="1903">
          <cell r="D1903" t="str">
            <v>DD-J10-04501-10-1-Y</v>
          </cell>
          <cell r="E1903" t="str">
            <v>BL900侧梁{右件）</v>
          </cell>
        </row>
        <row r="1904">
          <cell r="D1904" t="str">
            <v>DD-J10-04501-10-1-Z</v>
          </cell>
          <cell r="E1904" t="str">
            <v>BL900侧梁{左件）</v>
          </cell>
        </row>
        <row r="1905">
          <cell r="D1905" t="str">
            <v>DD-J10-04501-10-1-Z</v>
          </cell>
          <cell r="E1905" t="str">
            <v>BL900侧梁{左件）</v>
          </cell>
        </row>
        <row r="1906">
          <cell r="D1906" t="str">
            <v>DD-J10-04501-10-1-Z</v>
          </cell>
          <cell r="E1906" t="str">
            <v>BL900侧梁{左件）</v>
          </cell>
        </row>
        <row r="1907">
          <cell r="D1907" t="str">
            <v>DD-J10-04501-10-1-Z</v>
          </cell>
          <cell r="E1907" t="str">
            <v>BL900侧梁{左件）</v>
          </cell>
        </row>
        <row r="1908">
          <cell r="D1908" t="str">
            <v>DD-J10-04501-10-1-Z</v>
          </cell>
          <cell r="E1908" t="str">
            <v>BL900侧梁{左件）</v>
          </cell>
        </row>
        <row r="1909">
          <cell r="D1909" t="str">
            <v>DD-J10-04501-10-1-Z</v>
          </cell>
          <cell r="E1909" t="str">
            <v>BL900侧梁{左件）</v>
          </cell>
        </row>
        <row r="1910">
          <cell r="D1910" t="str">
            <v>W12J6ZLnnB-000-00</v>
          </cell>
          <cell r="E1910" t="str">
            <v>ZLnnB-W1电缆振动夹具</v>
          </cell>
        </row>
        <row r="1911">
          <cell r="D1911" t="str">
            <v>3440000-01</v>
          </cell>
          <cell r="E1911" t="str">
            <v>支架</v>
          </cell>
        </row>
        <row r="1912">
          <cell r="D1912" t="str">
            <v>XXX-3541200-01</v>
          </cell>
          <cell r="E1912" t="str">
            <v>锥套</v>
          </cell>
        </row>
        <row r="1913">
          <cell r="D1913" t="str">
            <v>XXX-3542000-01</v>
          </cell>
          <cell r="E1913" t="str">
            <v>高压变压器初级安装座</v>
          </cell>
        </row>
        <row r="1914">
          <cell r="D1914" t="str">
            <v>XXX-3543000-01</v>
          </cell>
          <cell r="E1914" t="str">
            <v>高压变压器次级组件壳体I</v>
          </cell>
        </row>
        <row r="1915">
          <cell r="D1915" t="str">
            <v>XXX-3543100-01</v>
          </cell>
          <cell r="E1915" t="str">
            <v>高压变压器次级骨架</v>
          </cell>
        </row>
        <row r="1916">
          <cell r="D1916" t="str">
            <v>XXX-3544000-01</v>
          </cell>
          <cell r="E1916" t="str">
            <v>高压变压器次级组件壳体II</v>
          </cell>
        </row>
        <row r="1917">
          <cell r="D1917" t="str">
            <v>Y20-4212300016-001</v>
          </cell>
          <cell r="E1917" t="str">
            <v>支架</v>
          </cell>
        </row>
        <row r="1918">
          <cell r="D1918" t="str">
            <v>Y20-4212300016-002</v>
          </cell>
          <cell r="E1918" t="str">
            <v>支架</v>
          </cell>
        </row>
        <row r="1919">
          <cell r="D1919" t="str">
            <v>Y20-5312100064-001</v>
          </cell>
          <cell r="E1919" t="str">
            <v>型材</v>
          </cell>
        </row>
        <row r="1920">
          <cell r="D1920" t="str">
            <v>Y20-5312100023-001</v>
          </cell>
          <cell r="E1920" t="str">
            <v>边梁</v>
          </cell>
        </row>
        <row r="1921">
          <cell r="D1921" t="str">
            <v>Y20-5312100023-002</v>
          </cell>
          <cell r="E1921" t="str">
            <v>边梁</v>
          </cell>
        </row>
        <row r="1922">
          <cell r="D1922" t="str">
            <v>Y20-5311121033-001</v>
          </cell>
          <cell r="E1922" t="str">
            <v>21框5到10长桁外缘加强件</v>
          </cell>
        </row>
        <row r="1923">
          <cell r="D1923" t="str">
            <v>Y20-5311121033-002</v>
          </cell>
          <cell r="E1923" t="str">
            <v>21框5到10长桁外缘加强件</v>
          </cell>
        </row>
        <row r="1924">
          <cell r="D1924" t="str">
            <v>DD-J10S-04031-1</v>
          </cell>
          <cell r="E1924" t="str">
            <v>8700框</v>
          </cell>
        </row>
        <row r="1925">
          <cell r="D1925" t="str">
            <v>DD-J10S-04031-1</v>
          </cell>
          <cell r="E1925" t="str">
            <v>8700框</v>
          </cell>
        </row>
        <row r="1926">
          <cell r="D1926" t="str">
            <v>DD-J10S-04031-1</v>
          </cell>
          <cell r="E1926" t="str">
            <v>8700框</v>
          </cell>
        </row>
        <row r="1927">
          <cell r="D1927" t="str">
            <v>DD-J10S-04031-1</v>
          </cell>
          <cell r="E1927" t="str">
            <v>8700框</v>
          </cell>
        </row>
        <row r="1928">
          <cell r="D1928" t="str">
            <v>DD-J10S-04031-1</v>
          </cell>
          <cell r="E1928" t="str">
            <v>8700框</v>
          </cell>
        </row>
        <row r="1929">
          <cell r="D1929" t="str">
            <v>DD-J10S-04031-1</v>
          </cell>
          <cell r="E1929" t="str">
            <v>8700框</v>
          </cell>
        </row>
        <row r="1930">
          <cell r="D1930" t="str">
            <v>DD-J10S-96011-1601</v>
          </cell>
          <cell r="E1930" t="str">
            <v>支臂</v>
          </cell>
        </row>
        <row r="1931">
          <cell r="D1931" t="str">
            <v>DD-J10S-54101-720-1</v>
          </cell>
          <cell r="E1931" t="str">
            <v>支座</v>
          </cell>
        </row>
        <row r="1932">
          <cell r="D1932" t="str">
            <v>DD-J10S-54101-710-1</v>
          </cell>
          <cell r="E1932" t="str">
            <v>支座</v>
          </cell>
        </row>
        <row r="1933">
          <cell r="D1933" t="str">
            <v>DD-J10S-71111-20-1</v>
          </cell>
          <cell r="E1933" t="str">
            <v>角材</v>
          </cell>
        </row>
        <row r="1934">
          <cell r="D1934" t="str">
            <v>DD-J10S-54101-1102</v>
          </cell>
          <cell r="E1934" t="str">
            <v>衬套</v>
          </cell>
        </row>
        <row r="1935">
          <cell r="D1935" t="str">
            <v>DD-J10S-68311-1</v>
          </cell>
          <cell r="E1935" t="str">
            <v>支架</v>
          </cell>
        </row>
        <row r="1936">
          <cell r="D1936" t="str">
            <v>DD-J10S-68311-120-1</v>
          </cell>
          <cell r="E1936" t="str">
            <v>支架</v>
          </cell>
        </row>
        <row r="1937">
          <cell r="D1937" t="str">
            <v>DD-J10-64016-210-1</v>
          </cell>
          <cell r="E1937" t="str">
            <v>管子</v>
          </cell>
        </row>
        <row r="1938">
          <cell r="D1938" t="str">
            <v>CB5326100-112L003</v>
          </cell>
          <cell r="E1938" t="str">
            <v>8121 2号加强筋</v>
          </cell>
        </row>
        <row r="1939">
          <cell r="D1939" t="str">
            <v>Y20-4761200093-001</v>
          </cell>
          <cell r="E1939" t="str">
            <v>支架悬挂横梁</v>
          </cell>
        </row>
        <row r="1940">
          <cell r="D1940" t="str">
            <v>Y20-5312225029-001</v>
          </cell>
          <cell r="E1940" t="str">
            <v>纵向加强件</v>
          </cell>
        </row>
        <row r="1941">
          <cell r="D1941" t="str">
            <v>Y20-5312225029-002</v>
          </cell>
          <cell r="E1941" t="str">
            <v>纵向加强件</v>
          </cell>
        </row>
        <row r="1942">
          <cell r="D1942" t="str">
            <v>CB5742000-202R001</v>
          </cell>
          <cell r="E1942" t="str">
            <v>前梁二段</v>
          </cell>
        </row>
        <row r="1943">
          <cell r="D1943" t="str">
            <v>CB5742000-202R001</v>
          </cell>
          <cell r="E1943" t="str">
            <v>前梁二段</v>
          </cell>
        </row>
        <row r="1944">
          <cell r="D1944" t="str">
            <v>CB5742000-202R001</v>
          </cell>
          <cell r="E1944" t="str">
            <v>前梁二段</v>
          </cell>
        </row>
        <row r="1945">
          <cell r="D1945" t="str">
            <v>CB5742000-202R001</v>
          </cell>
          <cell r="E1945" t="str">
            <v>前梁二段</v>
          </cell>
        </row>
        <row r="1946">
          <cell r="D1946" t="str">
            <v>CB5742000-202L001</v>
          </cell>
          <cell r="E1946" t="str">
            <v>前梁二段</v>
          </cell>
        </row>
        <row r="1947">
          <cell r="D1947" t="str">
            <v>CB5742000-202L001</v>
          </cell>
          <cell r="E1947" t="str">
            <v>前梁二段</v>
          </cell>
        </row>
        <row r="1948">
          <cell r="D1948" t="str">
            <v>CB5742000-202L001</v>
          </cell>
          <cell r="E1948" t="str">
            <v>前梁二段</v>
          </cell>
        </row>
        <row r="1949">
          <cell r="D1949" t="str">
            <v>CB5742000-202L001</v>
          </cell>
          <cell r="E1949" t="str">
            <v>前梁二段</v>
          </cell>
        </row>
        <row r="1950">
          <cell r="D1950" t="str">
            <v>CB5715000-002L002</v>
          </cell>
          <cell r="E1950" t="str">
            <v>固定前缘根肋</v>
          </cell>
        </row>
        <row r="1951">
          <cell r="D1951" t="str">
            <v>CB5715000-002L002</v>
          </cell>
          <cell r="E1951" t="str">
            <v>固定前缘根肋</v>
          </cell>
        </row>
        <row r="1952">
          <cell r="D1952" t="str">
            <v>CB5715000-002L002</v>
          </cell>
          <cell r="E1952" t="str">
            <v>固定前缘根肋</v>
          </cell>
        </row>
        <row r="1953">
          <cell r="D1953" t="str">
            <v>CB5715000-002R002</v>
          </cell>
          <cell r="E1953" t="str">
            <v>固定前缘根肋</v>
          </cell>
        </row>
        <row r="1954">
          <cell r="D1954" t="str">
            <v>CB5715000-002R002</v>
          </cell>
          <cell r="E1954" t="str">
            <v>固定前缘根肋</v>
          </cell>
        </row>
        <row r="1955">
          <cell r="D1955" t="str">
            <v>CB5715000-002R002</v>
          </cell>
          <cell r="E1955" t="str">
            <v>固定前缘根肋</v>
          </cell>
        </row>
        <row r="1956">
          <cell r="D1956" t="str">
            <v>DD-J10B-04321-30-1-Y</v>
          </cell>
          <cell r="E1956" t="str">
            <v>侧下梁（右件）</v>
          </cell>
        </row>
        <row r="1957">
          <cell r="D1957" t="str">
            <v>DD-J10B-04321-30-1-Y</v>
          </cell>
          <cell r="E1957" t="str">
            <v>侧下梁（右件）</v>
          </cell>
        </row>
        <row r="1958">
          <cell r="D1958" t="str">
            <v>DD-J10B-04321-30-1-Y</v>
          </cell>
          <cell r="E1958" t="str">
            <v>侧下梁（右件）</v>
          </cell>
        </row>
        <row r="1959">
          <cell r="D1959" t="str">
            <v>DD-J10B-04321-30-1-Y</v>
          </cell>
          <cell r="E1959" t="str">
            <v>侧下梁（右件）</v>
          </cell>
        </row>
        <row r="1960">
          <cell r="D1960" t="str">
            <v>DD-J10B-04321-30-1-Z</v>
          </cell>
          <cell r="E1960" t="str">
            <v>侧下梁（左件）</v>
          </cell>
        </row>
        <row r="1961">
          <cell r="D1961" t="str">
            <v>DD-J10B-04321-30-1-Z</v>
          </cell>
          <cell r="E1961" t="str">
            <v>侧下梁（左件）</v>
          </cell>
        </row>
        <row r="1962">
          <cell r="D1962" t="str">
            <v>DD-J10B-04321-30-1-Z</v>
          </cell>
          <cell r="E1962" t="str">
            <v>侧下梁（左件）</v>
          </cell>
        </row>
        <row r="1963">
          <cell r="D1963" t="str">
            <v>DD-J10B-04321-30-1-Z</v>
          </cell>
          <cell r="E1963" t="str">
            <v>侧下梁（左件）</v>
          </cell>
        </row>
        <row r="1964">
          <cell r="D1964" t="str">
            <v>DD-J10B-04051-1</v>
          </cell>
          <cell r="E1964" t="str">
            <v>10460框</v>
          </cell>
        </row>
        <row r="1965">
          <cell r="D1965" t="str">
            <v>DD-J10B-04051-1</v>
          </cell>
          <cell r="E1965" t="str">
            <v>10460框</v>
          </cell>
        </row>
        <row r="1966">
          <cell r="D1966" t="str">
            <v>DD-J10B-04051-1</v>
          </cell>
          <cell r="E1966" t="str">
            <v>10460框</v>
          </cell>
        </row>
        <row r="1967">
          <cell r="D1967" t="str">
            <v>DD-J10B-04051-1</v>
          </cell>
          <cell r="E1967" t="str">
            <v>10460框</v>
          </cell>
        </row>
        <row r="1968">
          <cell r="D1968" t="str">
            <v>DD-J10S-54101-1201</v>
          </cell>
          <cell r="E1968" t="str">
            <v>支座</v>
          </cell>
        </row>
        <row r="1969">
          <cell r="D1969" t="str">
            <v>DD-J10-41173-104</v>
          </cell>
          <cell r="E1969" t="str">
            <v>盖子</v>
          </cell>
        </row>
        <row r="1970">
          <cell r="D1970" t="str">
            <v>DD-J10S-65001-2104</v>
          </cell>
          <cell r="E1970" t="str">
            <v>调节螺管</v>
          </cell>
        </row>
        <row r="1971">
          <cell r="D1971" t="str">
            <v>DD-J10S-54101-1106</v>
          </cell>
          <cell r="E1971" t="str">
            <v>销钉</v>
          </cell>
        </row>
        <row r="1972">
          <cell r="D1972" t="str">
            <v>DD-J10S-54101-3401</v>
          </cell>
          <cell r="E1972" t="str">
            <v>衬套</v>
          </cell>
        </row>
        <row r="1973">
          <cell r="D1973" t="str">
            <v>DD-J10S-54101-3402</v>
          </cell>
          <cell r="E1973" t="str">
            <v>衬套</v>
          </cell>
        </row>
        <row r="1974">
          <cell r="D1974" t="str">
            <v>Y20-5316100300-001</v>
          </cell>
          <cell r="E1974" t="str">
            <v>地板纵向件</v>
          </cell>
        </row>
        <row r="1975">
          <cell r="D1975" t="str">
            <v>Y20-5311123015-001</v>
          </cell>
          <cell r="E1975" t="str">
            <v>应急救生船抛放口盖</v>
          </cell>
        </row>
        <row r="1976">
          <cell r="D1976" t="str">
            <v>CB5326100-112R003</v>
          </cell>
          <cell r="E1976" t="str">
            <v>8120 2号加强筋</v>
          </cell>
        </row>
        <row r="1977">
          <cell r="D1977" t="str">
            <v>DD-J10-05236-1-Y</v>
          </cell>
          <cell r="E1977" t="str">
            <v>腹鳍前接头（右件）</v>
          </cell>
        </row>
        <row r="1978">
          <cell r="D1978" t="str">
            <v>DD-J10-05236-1-Y</v>
          </cell>
          <cell r="E1978" t="str">
            <v>腹鳍前接头（右件）</v>
          </cell>
        </row>
        <row r="1979">
          <cell r="D1979" t="str">
            <v>DD-J10-05236-1-Z</v>
          </cell>
          <cell r="E1979" t="str">
            <v>腹鳍前接头（左件）</v>
          </cell>
        </row>
        <row r="1980">
          <cell r="D1980" t="str">
            <v>DD-J10-05236-1-Z</v>
          </cell>
          <cell r="E1980" t="str">
            <v>腹鳍前接头（左件）</v>
          </cell>
        </row>
        <row r="1981">
          <cell r="D1981" t="str">
            <v>DD-J10-05236-13-Z</v>
          </cell>
          <cell r="E1981" t="str">
            <v>腹鳍后接头（左件）</v>
          </cell>
        </row>
        <row r="1982">
          <cell r="D1982" t="str">
            <v>DD-J10-05236-13-Z</v>
          </cell>
          <cell r="E1982" t="str">
            <v>腹鳍后接头（左件）</v>
          </cell>
        </row>
        <row r="1983">
          <cell r="D1983" t="str">
            <v>DD-J10-05236-13-Y</v>
          </cell>
          <cell r="E1983" t="str">
            <v>腹鳍后接头（右件）</v>
          </cell>
        </row>
        <row r="1984">
          <cell r="D1984" t="str">
            <v>DD-J10-05236-13-Y</v>
          </cell>
          <cell r="E1984" t="str">
            <v>腹鳍后接头（右件）</v>
          </cell>
        </row>
        <row r="1985">
          <cell r="D1985" t="str">
            <v>DD-J10B-02121-1AG2-Z</v>
          </cell>
          <cell r="E1985" t="str">
            <v>BL280侧壁（左件）</v>
          </cell>
        </row>
        <row r="1986">
          <cell r="D1986" t="str">
            <v>DD-J10B-02121-1AG2-Z</v>
          </cell>
          <cell r="E1986" t="str">
            <v>BL280侧壁（左件）</v>
          </cell>
        </row>
        <row r="1987">
          <cell r="D1987" t="str">
            <v>DD-J10B-02121-1AG2-Z</v>
          </cell>
          <cell r="E1987" t="str">
            <v>BL280侧壁（左件）</v>
          </cell>
        </row>
        <row r="1988">
          <cell r="D1988" t="str">
            <v>DD-J10B-02121-1AG2-Y</v>
          </cell>
          <cell r="E1988" t="str">
            <v>BL280侧壁（右件）</v>
          </cell>
        </row>
        <row r="1989">
          <cell r="D1989" t="str">
            <v>DD-J10B-02121-1AG2-Y</v>
          </cell>
          <cell r="E1989" t="str">
            <v>BL280侧壁（右件）</v>
          </cell>
        </row>
        <row r="1990">
          <cell r="D1990" t="str">
            <v>DD-J10B-02121-1AG2-Y</v>
          </cell>
          <cell r="E1990" t="str">
            <v>BL280侧壁（右件）</v>
          </cell>
        </row>
        <row r="1991">
          <cell r="D1991" t="str">
            <v>DD-J10S-54101-201</v>
          </cell>
          <cell r="E1991" t="str">
            <v>支座</v>
          </cell>
        </row>
        <row r="1992">
          <cell r="D1992" t="str">
            <v>DD-J10S-54101-1302</v>
          </cell>
          <cell r="E1992" t="str">
            <v>衬套</v>
          </cell>
        </row>
        <row r="1993">
          <cell r="D1993" t="str">
            <v>DD-J10S-54101-1201</v>
          </cell>
          <cell r="E1993" t="str">
            <v>支座</v>
          </cell>
        </row>
        <row r="1994">
          <cell r="D1994" t="str">
            <v>DD-J10B-55141-101</v>
          </cell>
          <cell r="E1994" t="str">
            <v>90°弯管接头</v>
          </cell>
        </row>
        <row r="1995">
          <cell r="D1995" t="str">
            <v>DD-J10-55121-1</v>
          </cell>
          <cell r="E1995" t="str">
            <v>三通管接头</v>
          </cell>
        </row>
        <row r="1996">
          <cell r="D1996" t="str">
            <v>CB22924K0-001-001-TZ</v>
          </cell>
          <cell r="E1996" t="str">
            <v>角片</v>
          </cell>
        </row>
        <row r="1997">
          <cell r="D1997" t="str">
            <v>Y20-4761200088-001</v>
          </cell>
          <cell r="E1997" t="str">
            <v>支架悬挂横梁</v>
          </cell>
        </row>
        <row r="1998">
          <cell r="D1998" t="str">
            <v>DD-J10B-21402-90G2-1G2-Z</v>
          </cell>
          <cell r="E1998" t="str">
            <v>固定前缘端肋（左件）</v>
          </cell>
        </row>
        <row r="1999">
          <cell r="D1999" t="str">
            <v>DD-J10B-21402-90G2-1G2-Z</v>
          </cell>
          <cell r="E1999" t="str">
            <v>固定前缘端肋（左件）</v>
          </cell>
        </row>
        <row r="2000">
          <cell r="D2000" t="str">
            <v>DD-J10B-02121-1AG2-Y</v>
          </cell>
          <cell r="E2000" t="str">
            <v>BL280侧壁（右件）</v>
          </cell>
        </row>
        <row r="2001">
          <cell r="D2001" t="str">
            <v>DD-J10B-02121-1AG2-Y</v>
          </cell>
          <cell r="E2001" t="str">
            <v>BL280侧壁（右件）</v>
          </cell>
        </row>
        <row r="2002">
          <cell r="D2002" t="str">
            <v>DD-J10B-02121-1AG2-Y</v>
          </cell>
          <cell r="E2002" t="str">
            <v>BL280侧壁（右件）</v>
          </cell>
        </row>
        <row r="2003">
          <cell r="D2003" t="str">
            <v>DD-J10B-02121-1AG2-Z</v>
          </cell>
          <cell r="E2003" t="str">
            <v>BL280侧壁（左件）</v>
          </cell>
        </row>
        <row r="2004">
          <cell r="D2004" t="str">
            <v>DD-J10B-02121-1AG2-Z</v>
          </cell>
          <cell r="E2004" t="str">
            <v>BL280侧壁（左件）</v>
          </cell>
        </row>
        <row r="2005">
          <cell r="D2005" t="str">
            <v>DD-J10B-02121-1AG2-Z</v>
          </cell>
          <cell r="E2005" t="str">
            <v>BL280侧壁（左件）</v>
          </cell>
        </row>
        <row r="2006">
          <cell r="D2006" t="str">
            <v>DD-J10-05236-15-Z</v>
          </cell>
          <cell r="E2006" t="str">
            <v>角材（左件）</v>
          </cell>
        </row>
        <row r="2007">
          <cell r="D2007" t="str">
            <v>DD-J10-05236-15-Z</v>
          </cell>
          <cell r="E2007" t="str">
            <v>角材（左件）</v>
          </cell>
        </row>
        <row r="2008">
          <cell r="D2008" t="str">
            <v>DD-J10-05236-15-Y</v>
          </cell>
          <cell r="E2008" t="str">
            <v>角材（右件）</v>
          </cell>
        </row>
        <row r="2009">
          <cell r="D2009" t="str">
            <v>DD-J10-05236-15-Y</v>
          </cell>
          <cell r="E2009" t="str">
            <v>角材（右件）</v>
          </cell>
        </row>
        <row r="2010">
          <cell r="D2010" t="str">
            <v>DD-J10S-02121-3-Y</v>
          </cell>
          <cell r="E2010" t="str">
            <v>助力器边梁（右件）</v>
          </cell>
        </row>
        <row r="2011">
          <cell r="D2011" t="str">
            <v>DD-J10S-02121-3-Y</v>
          </cell>
          <cell r="E2011" t="str">
            <v>助力器边梁（右件）</v>
          </cell>
        </row>
        <row r="2012">
          <cell r="D2012" t="str">
            <v>DD-J10S-02121-3-Y</v>
          </cell>
          <cell r="E2012" t="str">
            <v>助力器边梁（右件）</v>
          </cell>
        </row>
        <row r="2013">
          <cell r="D2013" t="str">
            <v>DD-J10S-02121-3-Z</v>
          </cell>
          <cell r="E2013" t="str">
            <v>助力器边梁（左件）</v>
          </cell>
        </row>
        <row r="2014">
          <cell r="D2014" t="str">
            <v>DD-J10S-54101-1301</v>
          </cell>
          <cell r="E2014" t="str">
            <v>支座</v>
          </cell>
        </row>
        <row r="2015">
          <cell r="D2015" t="str">
            <v>DD-J10-41173-103</v>
          </cell>
          <cell r="E2015" t="str">
            <v>滑套</v>
          </cell>
        </row>
        <row r="2016">
          <cell r="D2016" t="str">
            <v>DD-J10S-54101-1201</v>
          </cell>
          <cell r="E2016" t="str">
            <v>支座</v>
          </cell>
        </row>
        <row r="2017">
          <cell r="D2017" t="str">
            <v>DD-J10S-54101-4410-1</v>
          </cell>
          <cell r="E2017" t="str">
            <v>耳环套筒</v>
          </cell>
        </row>
        <row r="2018">
          <cell r="D2018" t="str">
            <v>BC2716220-001-001</v>
          </cell>
          <cell r="E2018" t="str">
            <v>双螺钉托板螺母</v>
          </cell>
        </row>
        <row r="2019">
          <cell r="D2019" t="str">
            <v>GU5314300-003-001</v>
          </cell>
          <cell r="E2019" t="str">
            <v>撑杆接头</v>
          </cell>
        </row>
        <row r="2020">
          <cell r="D2020" t="str">
            <v>GU5312200-002-001</v>
          </cell>
          <cell r="E2020" t="str">
            <v>左上框</v>
          </cell>
        </row>
        <row r="2021">
          <cell r="D2021" t="str">
            <v>GU5312200-003-001</v>
          </cell>
          <cell r="E2021" t="str">
            <v>右上框</v>
          </cell>
        </row>
        <row r="2022">
          <cell r="D2022" t="str">
            <v>Y20-5316100301-001</v>
          </cell>
          <cell r="E2022" t="str">
            <v>地板纵向件</v>
          </cell>
        </row>
        <row r="2023">
          <cell r="D2023" t="str">
            <v>DD-J10-21102-2-Z</v>
          </cell>
          <cell r="E2023" t="str">
            <v>1号下壁板（左件）</v>
          </cell>
        </row>
        <row r="2024">
          <cell r="D2024" t="str">
            <v>DD-J10-21102-2-Z</v>
          </cell>
          <cell r="E2024" t="str">
            <v>1号下壁板（左件）</v>
          </cell>
        </row>
        <row r="2025">
          <cell r="D2025" t="str">
            <v>DD-J10-21102-2-Z</v>
          </cell>
          <cell r="E2025" t="str">
            <v>1号下壁板（左件）</v>
          </cell>
        </row>
        <row r="2026">
          <cell r="D2026" t="str">
            <v>DD-J10-21102-2-Y</v>
          </cell>
          <cell r="E2026" t="str">
            <v>1号下壁板（右件）</v>
          </cell>
        </row>
        <row r="2027">
          <cell r="D2027" t="str">
            <v>DD-J10-21102-2-Y</v>
          </cell>
          <cell r="E2027" t="str">
            <v>1号下壁板（右件）</v>
          </cell>
        </row>
        <row r="2028">
          <cell r="D2028" t="str">
            <v>DD-J10-21102-554-Y</v>
          </cell>
          <cell r="E2028" t="str">
            <v>1780肋四段（右件）</v>
          </cell>
        </row>
        <row r="2029">
          <cell r="D2029" t="str">
            <v>DD-J10-34003-2</v>
          </cell>
          <cell r="E2029" t="str">
            <v>后梁</v>
          </cell>
        </row>
        <row r="2030">
          <cell r="D2030" t="str">
            <v>DD-J10-34003-2</v>
          </cell>
          <cell r="E2030" t="str">
            <v>后梁</v>
          </cell>
        </row>
        <row r="2031">
          <cell r="D2031" t="str">
            <v>DD-J10-34103-4</v>
          </cell>
          <cell r="E2031" t="str">
            <v>上边肋</v>
          </cell>
        </row>
        <row r="2032">
          <cell r="D2032" t="str">
            <v>DD-J10-34103-4</v>
          </cell>
          <cell r="E2032" t="str">
            <v>上边肋</v>
          </cell>
        </row>
        <row r="2033">
          <cell r="D2033" t="str">
            <v>GU5715010-007R001</v>
          </cell>
          <cell r="E2033" t="str">
            <v>前缘6肋</v>
          </cell>
        </row>
        <row r="2034">
          <cell r="D2034" t="str">
            <v>BC2281242-001-001</v>
          </cell>
          <cell r="E2034" t="str">
            <v>支座</v>
          </cell>
        </row>
        <row r="2035">
          <cell r="D2035" t="str">
            <v>DD-J10-55165-331</v>
          </cell>
          <cell r="E2035" t="str">
            <v>三通管接头</v>
          </cell>
        </row>
        <row r="2036">
          <cell r="D2036" t="str">
            <v>DD-J10-41153-140-1</v>
          </cell>
          <cell r="E2036" t="str">
            <v>开锁摇臂</v>
          </cell>
        </row>
        <row r="2037">
          <cell r="D2037" t="str">
            <v>XXXDCW15-0000-02</v>
          </cell>
          <cell r="E2037" t="str">
            <v>侧板1</v>
          </cell>
        </row>
        <row r="2038">
          <cell r="D2038" t="str">
            <v>XXXDCW15-0000-04</v>
          </cell>
          <cell r="E2038" t="str">
            <v>侧板3</v>
          </cell>
        </row>
        <row r="2039">
          <cell r="D2039" t="str">
            <v>XXXDCW15-0000-07</v>
          </cell>
          <cell r="E2039" t="str">
            <v>插座垫块</v>
          </cell>
        </row>
        <row r="2040">
          <cell r="D2040" t="str">
            <v>XXXDCW15/F5-000-01</v>
          </cell>
          <cell r="E2040" t="str">
            <v>电容分压座</v>
          </cell>
        </row>
        <row r="2041">
          <cell r="D2041" t="str">
            <v>DD-J10S-06021-107</v>
          </cell>
          <cell r="E2041" t="str">
            <v>后隔框</v>
          </cell>
        </row>
        <row r="2042">
          <cell r="D2042" t="str">
            <v>DD-J10S-06021-107</v>
          </cell>
          <cell r="E2042" t="str">
            <v>后隔框</v>
          </cell>
        </row>
        <row r="2043">
          <cell r="D2043" t="str">
            <v>DD-J10S-06021-107</v>
          </cell>
          <cell r="E2043" t="str">
            <v>后隔框</v>
          </cell>
        </row>
        <row r="2044">
          <cell r="D2044" t="str">
            <v>DD-J10S-06021-107</v>
          </cell>
          <cell r="E2044" t="str">
            <v>后隔框</v>
          </cell>
        </row>
        <row r="2045">
          <cell r="D2045" t="str">
            <v>DD-J10S-06021-107</v>
          </cell>
          <cell r="E2045" t="str">
            <v>后隔框</v>
          </cell>
        </row>
        <row r="2046">
          <cell r="D2046" t="str">
            <v>DD-J10S-06021-107</v>
          </cell>
          <cell r="E2046" t="str">
            <v>后隔框</v>
          </cell>
        </row>
        <row r="2047">
          <cell r="D2047" t="str">
            <v>DD-J10-05216-32</v>
          </cell>
          <cell r="E2047" t="str">
            <v>转接头</v>
          </cell>
        </row>
        <row r="2048">
          <cell r="D2048" t="str">
            <v>Y20-4383220005-001</v>
          </cell>
          <cell r="E2048" t="str">
            <v>支架</v>
          </cell>
        </row>
        <row r="2049">
          <cell r="D2049" t="str">
            <v>Y20-4383220003-001</v>
          </cell>
          <cell r="E2049" t="str">
            <v>支架</v>
          </cell>
        </row>
        <row r="2050">
          <cell r="D2050" t="str">
            <v>DD-J10-21102-410-1-Z</v>
          </cell>
          <cell r="E2050" t="str">
            <v>1150肋根肋（左件）</v>
          </cell>
        </row>
        <row r="2051">
          <cell r="D2051" t="str">
            <v>DD-J10-21102-410-1-Z</v>
          </cell>
          <cell r="E2051" t="str">
            <v>1150肋根肋（左件）</v>
          </cell>
        </row>
        <row r="2052">
          <cell r="D2052" t="str">
            <v>DD-J10-21102-410-1-Z</v>
          </cell>
          <cell r="E2052" t="str">
            <v>1150肋根肋（左件）</v>
          </cell>
        </row>
        <row r="2053">
          <cell r="D2053" t="str">
            <v>DD-J10-21102-410-1-Y</v>
          </cell>
          <cell r="E2053" t="str">
            <v>1150肋根肋（右件）</v>
          </cell>
        </row>
        <row r="2054">
          <cell r="D2054" t="str">
            <v>DD-J10-21102-410-1-Y</v>
          </cell>
          <cell r="E2054" t="str">
            <v>1150肋根肋（右件）</v>
          </cell>
        </row>
        <row r="2055">
          <cell r="D2055" t="str">
            <v>DD-J10-21102-410-1-Y</v>
          </cell>
          <cell r="E2055" t="str">
            <v>1150肋根肋（右件）</v>
          </cell>
        </row>
        <row r="2056">
          <cell r="D2056" t="str">
            <v>DD-J10B-04061-1</v>
          </cell>
          <cell r="E2056" t="str">
            <v>10860框</v>
          </cell>
        </row>
        <row r="2057">
          <cell r="D2057" t="str">
            <v>DD-J10B-04061-1</v>
          </cell>
          <cell r="E2057" t="str">
            <v>10860框</v>
          </cell>
        </row>
        <row r="2058">
          <cell r="D2058" t="str">
            <v>DD-J10B-26002-1G2-Y</v>
          </cell>
          <cell r="E2058" t="str">
            <v>梁（右件）</v>
          </cell>
        </row>
        <row r="2059">
          <cell r="D2059" t="str">
            <v>DD-J10B-26002-1G2-Y</v>
          </cell>
          <cell r="E2059" t="str">
            <v>梁（右件）</v>
          </cell>
        </row>
        <row r="2060">
          <cell r="D2060" t="str">
            <v>DD-J10B-26002-1G2-Z</v>
          </cell>
          <cell r="E2060" t="str">
            <v>梁（左件）</v>
          </cell>
        </row>
        <row r="2061">
          <cell r="D2061" t="str">
            <v>DD-J10B-26002-1G2-Z</v>
          </cell>
          <cell r="E2061" t="str">
            <v>梁（左件）</v>
          </cell>
        </row>
        <row r="2062">
          <cell r="D2062" t="str">
            <v>DD-J10-05156-1-Z</v>
          </cell>
          <cell r="E2062" t="str">
            <v>外侧梁主件（左件）</v>
          </cell>
        </row>
        <row r="2063">
          <cell r="D2063" t="str">
            <v>DD-J10-05156-1-Z</v>
          </cell>
          <cell r="E2063" t="str">
            <v>外侧梁主件（左件）</v>
          </cell>
        </row>
        <row r="2064">
          <cell r="D2064" t="str">
            <v>DD-J10-05156-1-Z</v>
          </cell>
          <cell r="E2064" t="str">
            <v>外侧梁主件（左件）</v>
          </cell>
        </row>
        <row r="2065">
          <cell r="D2065" t="str">
            <v>DD-J10-05156-1-Z</v>
          </cell>
          <cell r="E2065" t="str">
            <v>外侧梁主件（左件）</v>
          </cell>
        </row>
        <row r="2066">
          <cell r="D2066" t="str">
            <v>DD-J10-05156-1-Z</v>
          </cell>
          <cell r="E2066" t="str">
            <v>外侧梁主件（左件）</v>
          </cell>
        </row>
        <row r="2067">
          <cell r="D2067" t="str">
            <v>DD-J10-05156-1-Z</v>
          </cell>
          <cell r="E2067" t="str">
            <v>外侧梁主件（左件）</v>
          </cell>
        </row>
        <row r="2068">
          <cell r="D2068" t="str">
            <v>DD-J10-05156-1-Y</v>
          </cell>
          <cell r="E2068" t="str">
            <v>外侧梁主件（右件）</v>
          </cell>
        </row>
        <row r="2069">
          <cell r="D2069" t="str">
            <v>DD-J10-05156-1-Y</v>
          </cell>
          <cell r="E2069" t="str">
            <v>外侧梁主件（右件）</v>
          </cell>
        </row>
        <row r="2070">
          <cell r="D2070" t="str">
            <v>DD-J10-05156-1-Y</v>
          </cell>
          <cell r="E2070" t="str">
            <v>外侧梁主件（右件）</v>
          </cell>
        </row>
        <row r="2071">
          <cell r="D2071" t="str">
            <v>DD-J10-05156-1-Y</v>
          </cell>
          <cell r="E2071" t="str">
            <v>外侧梁主件（右件）</v>
          </cell>
        </row>
        <row r="2072">
          <cell r="D2072" t="str">
            <v>DD-J10-05156-1-Y</v>
          </cell>
          <cell r="E2072" t="str">
            <v>外侧梁主件（右件）</v>
          </cell>
        </row>
        <row r="2073">
          <cell r="D2073" t="str">
            <v>DD-J10-05156-1-Y</v>
          </cell>
          <cell r="E2073" t="str">
            <v>外侧梁主件（右件）</v>
          </cell>
        </row>
        <row r="2074">
          <cell r="D2074" t="str">
            <v>DD-J10S-54101-1101</v>
          </cell>
          <cell r="E2074" t="str">
            <v>支座</v>
          </cell>
        </row>
        <row r="2075">
          <cell r="D2075" t="str">
            <v>DD-J10S-54101-4420-1</v>
          </cell>
          <cell r="E2075" t="str">
            <v>耳环螺栓</v>
          </cell>
        </row>
        <row r="2076">
          <cell r="D2076" t="str">
            <v>DD-J10-05216-32</v>
          </cell>
          <cell r="E2076" t="str">
            <v>转接头</v>
          </cell>
        </row>
        <row r="2077">
          <cell r="D2077" t="str">
            <v>W12J1-000-00</v>
          </cell>
          <cell r="E2077" t="str">
            <v>直列式XX振动夹具</v>
          </cell>
        </row>
        <row r="2078">
          <cell r="D2078" t="str">
            <v>W12J2-000-00</v>
          </cell>
          <cell r="E2078" t="str">
            <v>直列式XX离心夹具</v>
          </cell>
        </row>
        <row r="2079">
          <cell r="D2079" t="str">
            <v>CB5327510-003R006</v>
          </cell>
          <cell r="E2079" t="str">
            <v>旋臂支座</v>
          </cell>
        </row>
        <row r="2080">
          <cell r="D2080" t="str">
            <v>CB5327510-003L006</v>
          </cell>
          <cell r="E2080" t="str">
            <v>旋臂支座</v>
          </cell>
        </row>
        <row r="2081">
          <cell r="D2081" t="str">
            <v>DD-J10-63001-511</v>
          </cell>
          <cell r="E2081" t="str">
            <v>阳密封式法兰盘</v>
          </cell>
        </row>
        <row r="2082">
          <cell r="D2082" t="str">
            <v>DD-J10S-54101-610-1</v>
          </cell>
          <cell r="E2082" t="str">
            <v>支座</v>
          </cell>
        </row>
        <row r="2083">
          <cell r="D2083" t="str">
            <v>DD-J10-04401-103</v>
          </cell>
          <cell r="E2083" t="str">
            <v>接头</v>
          </cell>
        </row>
        <row r="2084">
          <cell r="D2084" t="str">
            <v>DD-J10-04401-104</v>
          </cell>
          <cell r="E2084" t="str">
            <v>接头</v>
          </cell>
        </row>
        <row r="2085">
          <cell r="D2085" t="str">
            <v>DD-J10-55051-6110-1</v>
          </cell>
          <cell r="E2085" t="str">
            <v>三通接头</v>
          </cell>
        </row>
        <row r="2086">
          <cell r="D2086" t="str">
            <v>DD-J10S-54101-4700-1</v>
          </cell>
          <cell r="E2086" t="str">
            <v>摇臂</v>
          </cell>
        </row>
        <row r="2087">
          <cell r="D2087" t="str">
            <v>DD-J10S-54101-4600-1</v>
          </cell>
          <cell r="E2087" t="str">
            <v>摇臂</v>
          </cell>
        </row>
        <row r="2088">
          <cell r="D2088" t="str">
            <v>BC2291210-002-001</v>
          </cell>
          <cell r="E2088" t="str">
            <v>循环油滤卡箍</v>
          </cell>
        </row>
        <row r="2089">
          <cell r="D2089" t="str">
            <v>CB5713600-001R004</v>
          </cell>
          <cell r="E2089" t="str">
            <v>前梁一段</v>
          </cell>
        </row>
        <row r="2090">
          <cell r="D2090" t="str">
            <v>CB2292321-001-001</v>
          </cell>
          <cell r="E2090" t="str">
            <v>支座</v>
          </cell>
        </row>
        <row r="2091">
          <cell r="D2091" t="str">
            <v>DD-J10-54101-201</v>
          </cell>
          <cell r="E2091" t="str">
            <v>支座</v>
          </cell>
        </row>
        <row r="2092">
          <cell r="D2092" t="str">
            <v>DD-J10-54101-201</v>
          </cell>
          <cell r="E2092" t="str">
            <v>支座</v>
          </cell>
        </row>
        <row r="2093">
          <cell r="D2093" t="str">
            <v>DD-J10-41173-147</v>
          </cell>
          <cell r="E2093" t="str">
            <v>拨叉</v>
          </cell>
        </row>
        <row r="2094">
          <cell r="D2094" t="str">
            <v>DD-J10-41173-141</v>
          </cell>
          <cell r="E2094" t="str">
            <v>拨叉</v>
          </cell>
        </row>
        <row r="2095">
          <cell r="D2095" t="str">
            <v>BC221T3LM-001-001</v>
          </cell>
          <cell r="E2095" t="str">
            <v>法兰盘</v>
          </cell>
        </row>
        <row r="2096">
          <cell r="D2096" t="str">
            <v>500-01</v>
          </cell>
          <cell r="E2096" t="str">
            <v>插接件</v>
          </cell>
        </row>
        <row r="2097">
          <cell r="D2097" t="str">
            <v>DD-J10S-54101-4800-1</v>
          </cell>
          <cell r="E2097" t="str">
            <v>支座</v>
          </cell>
        </row>
        <row r="2098">
          <cell r="D2098" t="str">
            <v>DD-J10B-02021-3/1-Y</v>
          </cell>
          <cell r="E2098" t="str">
            <v>雷达罩锁支座</v>
          </cell>
        </row>
        <row r="2099">
          <cell r="D2099" t="str">
            <v>DD-J10B-02021-3/1-Y</v>
          </cell>
          <cell r="E2099" t="str">
            <v>雷达罩锁支座</v>
          </cell>
        </row>
        <row r="2100">
          <cell r="D2100" t="str">
            <v>DD-J10B-02021-3/2-Y</v>
          </cell>
          <cell r="E2100" t="str">
            <v>雷达罩锁支座</v>
          </cell>
        </row>
        <row r="2101">
          <cell r="D2101" t="str">
            <v>DD-J10-05156-2-Y</v>
          </cell>
          <cell r="E2101" t="str">
            <v>前接头上件（右件）</v>
          </cell>
        </row>
        <row r="2102">
          <cell r="D2102" t="str">
            <v>DD-J10-05156-2-Y</v>
          </cell>
          <cell r="E2102" t="str">
            <v>前接头上件（右件）</v>
          </cell>
        </row>
        <row r="2103">
          <cell r="D2103" t="str">
            <v>DD-J10-05156-2-Z</v>
          </cell>
          <cell r="E2103" t="str">
            <v>前接头上件（左件）</v>
          </cell>
        </row>
        <row r="2104">
          <cell r="D2104" t="str">
            <v>DD-J10-05156-2-Z</v>
          </cell>
          <cell r="E2104" t="str">
            <v>前接头上件（左件）</v>
          </cell>
        </row>
        <row r="2105">
          <cell r="D2105" t="str">
            <v>DD-J10-05156-3-Y</v>
          </cell>
          <cell r="E2105" t="str">
            <v>前接头下件（右件）</v>
          </cell>
        </row>
        <row r="2106">
          <cell r="D2106" t="str">
            <v>DD-J10-05156-3-Z</v>
          </cell>
          <cell r="E2106" t="str">
            <v>前接头下件（左件）</v>
          </cell>
        </row>
        <row r="2107">
          <cell r="D2107" t="str">
            <v>DD-J10-05156-3-Z</v>
          </cell>
          <cell r="E2107" t="str">
            <v>前接头下件（左件）</v>
          </cell>
        </row>
        <row r="2108">
          <cell r="D2108" t="str">
            <v>DD-J10S-06031-1231</v>
          </cell>
          <cell r="E2108" t="str">
            <v>凸轮</v>
          </cell>
        </row>
        <row r="2109">
          <cell r="D2109" t="str">
            <v>DD-J10S-06031-1231</v>
          </cell>
          <cell r="E2109" t="str">
            <v>凸轮</v>
          </cell>
        </row>
        <row r="2110">
          <cell r="D2110" t="str">
            <v>JZD-000-01</v>
          </cell>
          <cell r="E2110" t="str">
            <v>减震器模拟件I</v>
          </cell>
        </row>
        <row r="2111">
          <cell r="D2111" t="str">
            <v>JZD-000-02</v>
          </cell>
          <cell r="E2111" t="str">
            <v>减震器模拟件II</v>
          </cell>
        </row>
        <row r="2112">
          <cell r="D2112" t="str">
            <v>JZD-000-03</v>
          </cell>
          <cell r="E2112" t="str">
            <v>减震器模拟件III</v>
          </cell>
        </row>
        <row r="2113">
          <cell r="D2113" t="str">
            <v>XXXX-62-0000-01</v>
          </cell>
          <cell r="E2113" t="str">
            <v>后盖</v>
          </cell>
        </row>
        <row r="2114">
          <cell r="D2114" t="str">
            <v>XXXX-62-0000-02</v>
          </cell>
          <cell r="E2114" t="str">
            <v>信号处理盖</v>
          </cell>
        </row>
        <row r="2115">
          <cell r="D2115" t="str">
            <v>XXXX-62-0000-03</v>
          </cell>
          <cell r="E2115" t="str">
            <v>压盖</v>
          </cell>
        </row>
        <row r="2116">
          <cell r="D2116" t="str">
            <v>XXXX-62-0000-05</v>
          </cell>
          <cell r="E2116" t="str">
            <v>衬套</v>
          </cell>
        </row>
        <row r="2117">
          <cell r="D2117" t="str">
            <v>XXXX-62-0000-06</v>
          </cell>
          <cell r="E2117" t="str">
            <v>线夹套筒</v>
          </cell>
        </row>
        <row r="2118">
          <cell r="D2118" t="str">
            <v>XXXX-62-0000-07</v>
          </cell>
          <cell r="E2118" t="str">
            <v>线夹压环</v>
          </cell>
        </row>
        <row r="2119">
          <cell r="D2119" t="str">
            <v>XXXX-62-1000-01</v>
          </cell>
          <cell r="E2119" t="str">
            <v>壳体</v>
          </cell>
        </row>
        <row r="2120">
          <cell r="D2120" t="str">
            <v>XXXX-62-1000-02</v>
          </cell>
          <cell r="E2120" t="str">
            <v>隔离环</v>
          </cell>
        </row>
        <row r="2121">
          <cell r="D2121" t="str">
            <v>XXXX-62-1000-03</v>
          </cell>
          <cell r="E2121" t="str">
            <v>安控安装板1</v>
          </cell>
        </row>
        <row r="2122">
          <cell r="D2122" t="str">
            <v>XXXX-62-1000-04</v>
          </cell>
          <cell r="E2122" t="str">
            <v>安控安装板2</v>
          </cell>
        </row>
        <row r="2123">
          <cell r="D2123" t="str">
            <v>XXXX-62-2000-01</v>
          </cell>
          <cell r="E2123" t="str">
            <v>套筒</v>
          </cell>
        </row>
        <row r="2124">
          <cell r="D2124" t="str">
            <v>XXXX-62-2000-02</v>
          </cell>
          <cell r="E2124" t="str">
            <v>安装座</v>
          </cell>
        </row>
        <row r="2125">
          <cell r="D2125" t="str">
            <v>XXXX-62-2100-01</v>
          </cell>
          <cell r="E2125" t="str">
            <v>CDU盒</v>
          </cell>
        </row>
        <row r="2126">
          <cell r="D2126" t="str">
            <v>XXXX-62-3000-01</v>
          </cell>
          <cell r="E2126" t="str">
            <v>XH腔</v>
          </cell>
        </row>
        <row r="2127">
          <cell r="D2127" t="str">
            <v>XXXX-62-3000-02</v>
          </cell>
          <cell r="E2127" t="str">
            <v>XH盒1</v>
          </cell>
        </row>
        <row r="2128">
          <cell r="D2128" t="str">
            <v>XXXX-62-3000-03</v>
          </cell>
          <cell r="E2128" t="str">
            <v>XH盒2</v>
          </cell>
        </row>
        <row r="2129">
          <cell r="D2129" t="str">
            <v>XXXX-62-3000-04</v>
          </cell>
          <cell r="E2129" t="str">
            <v>XH盒3</v>
          </cell>
        </row>
        <row r="2130">
          <cell r="D2130" t="str">
            <v>XXXX-62-3000-05</v>
          </cell>
          <cell r="E2130" t="str">
            <v>绝缘垫</v>
          </cell>
        </row>
        <row r="2131">
          <cell r="D2131" t="str">
            <v>XXXX-62-4000-01</v>
          </cell>
          <cell r="E2131" t="str">
            <v>传爆药壳</v>
          </cell>
        </row>
        <row r="2132">
          <cell r="D2132" t="str">
            <v>XXXX-62-4000-02</v>
          </cell>
          <cell r="E2132" t="str">
            <v>传爆药盖</v>
          </cell>
        </row>
        <row r="2133">
          <cell r="D2133" t="str">
            <v>DD-J10-55155-1</v>
          </cell>
          <cell r="E2133" t="str">
            <v>四通管接头</v>
          </cell>
        </row>
        <row r="2134">
          <cell r="D2134" t="str">
            <v>DD-J10-21102-410-1-Y</v>
          </cell>
          <cell r="E2134" t="str">
            <v>1150肋根肋</v>
          </cell>
        </row>
        <row r="2135">
          <cell r="D2135" t="str">
            <v>DD-J10-21102-410-1-Z</v>
          </cell>
          <cell r="E2135" t="str">
            <v>1150肋根肋</v>
          </cell>
        </row>
        <row r="2136">
          <cell r="D2136" t="str">
            <v>DD-J10-21102-390-1-Z</v>
          </cell>
          <cell r="E2136" t="str">
            <v>1150肋九段</v>
          </cell>
        </row>
        <row r="2137">
          <cell r="D2137" t="str">
            <v>DD-J10-21102-390-1-Y</v>
          </cell>
          <cell r="E2137" t="str">
            <v>1150肋九段</v>
          </cell>
        </row>
        <row r="2138">
          <cell r="D2138" t="str">
            <v>LTCS-514060000-01L01</v>
          </cell>
          <cell r="E2138" t="str">
            <v>前起落架舱外部边条梁（左）</v>
          </cell>
        </row>
        <row r="2139">
          <cell r="D2139" t="str">
            <v>LTCS-514060000-01R01</v>
          </cell>
          <cell r="E2139" t="str">
            <v>前起落架舱外部边条梁（右）</v>
          </cell>
        </row>
        <row r="2140">
          <cell r="D2140" t="str">
            <v>GU5322110-003R001</v>
          </cell>
          <cell r="E2140" t="str">
            <v>3750-4575右侧上梁</v>
          </cell>
        </row>
        <row r="2141">
          <cell r="D2141" t="str">
            <v>LTCS-526700000-09N01</v>
          </cell>
          <cell r="E2141" t="str">
            <v>6830框法兰盘右段</v>
          </cell>
        </row>
        <row r="2142">
          <cell r="D2142" t="str">
            <v>LTCS-526700000-10N01</v>
          </cell>
          <cell r="E2142" t="str">
            <v>6830框法兰盘左段</v>
          </cell>
        </row>
        <row r="2143">
          <cell r="D2143" t="str">
            <v>DD-J10-06021-303-Z</v>
          </cell>
          <cell r="E2143" t="str">
            <v>前活动护板（左）</v>
          </cell>
        </row>
        <row r="2144">
          <cell r="D2144" t="str">
            <v>DD-J10-06021-303-Y</v>
          </cell>
          <cell r="E2144" t="str">
            <v>前活动护板（右）</v>
          </cell>
        </row>
        <row r="2145">
          <cell r="D2145" t="str">
            <v>CB5314107-001-002</v>
          </cell>
          <cell r="E2145" t="str">
            <v>5550上框</v>
          </cell>
        </row>
        <row r="2146">
          <cell r="D2146" t="str">
            <v>CB5314107-001-002</v>
          </cell>
          <cell r="E2146" t="str">
            <v>5550上框</v>
          </cell>
        </row>
        <row r="2147">
          <cell r="D2147" t="str">
            <v>CB5314107-001-002</v>
          </cell>
          <cell r="E2147" t="str">
            <v>5550上框</v>
          </cell>
        </row>
        <row r="2148">
          <cell r="D2148" t="str">
            <v>CB5314107-001-002</v>
          </cell>
          <cell r="E2148" t="str">
            <v>5550上框</v>
          </cell>
        </row>
        <row r="2149">
          <cell r="D2149" t="str">
            <v>DD-J10S-02121-3-Z</v>
          </cell>
          <cell r="E2149" t="str">
            <v>助力器边梁（左件）</v>
          </cell>
        </row>
        <row r="2150">
          <cell r="D2150" t="str">
            <v>LTCS-551100000-52R01</v>
          </cell>
          <cell r="E2150" t="str">
            <v>带板</v>
          </cell>
        </row>
        <row r="2151">
          <cell r="D2151" t="str">
            <v>LTCS-551100000-52R01</v>
          </cell>
          <cell r="E2151" t="str">
            <v>带板</v>
          </cell>
        </row>
        <row r="2152">
          <cell r="D2152" t="str">
            <v>LTCS-551100000-52L01</v>
          </cell>
          <cell r="E2152" t="str">
            <v>带板</v>
          </cell>
        </row>
        <row r="2153">
          <cell r="D2153" t="str">
            <v>LTCS-551100000-52L01</v>
          </cell>
        </row>
        <row r="2154">
          <cell r="D2154" t="str">
            <v>LTCS-551100000-54R01</v>
          </cell>
          <cell r="E2154" t="str">
            <v>带板</v>
          </cell>
        </row>
        <row r="2155">
          <cell r="D2155" t="str">
            <v>LTCS-551100000-54R01</v>
          </cell>
        </row>
        <row r="2156">
          <cell r="D2156" t="str">
            <v>LTCS-551100000-54L01</v>
          </cell>
          <cell r="E2156" t="str">
            <v>带板</v>
          </cell>
        </row>
        <row r="2157">
          <cell r="D2157" t="str">
            <v>DD-J10-41173-142-Y</v>
          </cell>
          <cell r="E2157" t="str">
            <v>摇臂</v>
          </cell>
        </row>
        <row r="2158">
          <cell r="D2158" t="str">
            <v>DD-J10-41173-142-Z</v>
          </cell>
          <cell r="E2158" t="str">
            <v>摇臂</v>
          </cell>
        </row>
        <row r="2159">
          <cell r="D2159" t="str">
            <v>LTCS-551100000-54L01</v>
          </cell>
        </row>
        <row r="2160">
          <cell r="D2160" t="str">
            <v>LTCS-522230000-05L01</v>
          </cell>
          <cell r="E2160" t="str">
            <v>上大梁中后段（左）</v>
          </cell>
        </row>
        <row r="2161">
          <cell r="D2161" t="str">
            <v>LTCS-522230000-05L01</v>
          </cell>
          <cell r="E2161" t="str">
            <v>上大梁中后段（左）</v>
          </cell>
        </row>
        <row r="2162">
          <cell r="D2162" t="str">
            <v>LTCS-522230000-05R01</v>
          </cell>
          <cell r="E2162" t="str">
            <v>上大梁中后段（右）</v>
          </cell>
        </row>
        <row r="2163">
          <cell r="D2163" t="str">
            <v>LTCS-522230000-05R01</v>
          </cell>
          <cell r="E2163" t="str">
            <v>上大梁中后段（右）</v>
          </cell>
        </row>
        <row r="2164">
          <cell r="D2164" t="str">
            <v>LTCS-526700000-01N01</v>
          </cell>
          <cell r="E2164" t="str">
            <v>6400框前法兰盘右段</v>
          </cell>
        </row>
        <row r="2165">
          <cell r="D2165" t="str">
            <v>LTCS-526700000-02N01</v>
          </cell>
          <cell r="E2165" t="str">
            <v>6400框前法兰盘左段</v>
          </cell>
        </row>
        <row r="2166">
          <cell r="D2166" t="str">
            <v>LTCS-526700000-07N01</v>
          </cell>
          <cell r="E2166" t="str">
            <v>6400框后法兰盘右段</v>
          </cell>
        </row>
        <row r="2167">
          <cell r="D2167" t="str">
            <v>LTCS-526700000-08N01</v>
          </cell>
          <cell r="E2167" t="str">
            <v>6400框后法兰盘左段</v>
          </cell>
        </row>
        <row r="2168">
          <cell r="D2168" t="str">
            <v>LTCS-533020000-04N01</v>
          </cell>
          <cell r="E2168" t="str">
            <v>隔板</v>
          </cell>
        </row>
        <row r="2169">
          <cell r="D2169" t="str">
            <v>LTCS-533020000-04N01</v>
          </cell>
        </row>
        <row r="2170">
          <cell r="D2170" t="str">
            <v>LTCS-531150100-03N01</v>
          </cell>
          <cell r="E2170" t="str">
            <v>通风管（左）6830法兰</v>
          </cell>
        </row>
        <row r="2171">
          <cell r="D2171" t="str">
            <v>LTCS-531150100-03N01</v>
          </cell>
        </row>
        <row r="2172">
          <cell r="D2172" t="str">
            <v>LTCS-551100000-53L01</v>
          </cell>
          <cell r="E2172" t="str">
            <v>角片</v>
          </cell>
        </row>
        <row r="2173">
          <cell r="D2173" t="str">
            <v>LTCS-551100000-53L01</v>
          </cell>
        </row>
        <row r="2174">
          <cell r="D2174" t="str">
            <v>LTCS-551100000-53R01</v>
          </cell>
          <cell r="E2174" t="str">
            <v>角片</v>
          </cell>
        </row>
        <row r="2175">
          <cell r="D2175" t="str">
            <v>LTCS-551100000-53R01</v>
          </cell>
        </row>
        <row r="2176">
          <cell r="D2176" t="str">
            <v>LTCS-526500000-08N01</v>
          </cell>
        </row>
        <row r="2177">
          <cell r="D2177" t="str">
            <v>LTCS-526500000-08N01</v>
          </cell>
          <cell r="E2177" t="str">
            <v>顶部加强筋</v>
          </cell>
        </row>
        <row r="2178">
          <cell r="D2178" t="str">
            <v>LTCS-533030000-07N01</v>
          </cell>
          <cell r="E2178" t="str">
            <v>后盖隔板</v>
          </cell>
        </row>
        <row r="2179">
          <cell r="D2179" t="str">
            <v>Y20-5312225026-001</v>
          </cell>
          <cell r="E2179" t="str">
            <v>纵向加强件</v>
          </cell>
        </row>
        <row r="2180">
          <cell r="D2180" t="str">
            <v>Y20-5312225026-002</v>
          </cell>
          <cell r="E2180" t="str">
            <v>纵向加强件</v>
          </cell>
        </row>
        <row r="2181">
          <cell r="D2181" t="str">
            <v>Y20-5312225027-001</v>
          </cell>
          <cell r="E2181" t="str">
            <v>纵向加强件</v>
          </cell>
        </row>
        <row r="2182">
          <cell r="D2182" t="str">
            <v>Y20-5312225027-002</v>
          </cell>
          <cell r="E2182" t="str">
            <v>纵向加强件</v>
          </cell>
        </row>
        <row r="2183">
          <cell r="D2183" t="str">
            <v>DD-J10B-04051-1</v>
          </cell>
          <cell r="E2183" t="str">
            <v>10460框</v>
          </cell>
        </row>
        <row r="2184">
          <cell r="D2184" t="str">
            <v>DD-J10B-04051-1</v>
          </cell>
          <cell r="E2184" t="str">
            <v>10460框</v>
          </cell>
        </row>
        <row r="2185">
          <cell r="D2185" t="str">
            <v>DD-J10B-04051-1</v>
          </cell>
          <cell r="E2185" t="str">
            <v>10460框</v>
          </cell>
        </row>
        <row r="2186">
          <cell r="D2186" t="str">
            <v>LTCS-533030000-07N01</v>
          </cell>
        </row>
        <row r="2187">
          <cell r="D2187" t="str">
            <v>LTCS-526700000-11N01</v>
          </cell>
          <cell r="E2187" t="str">
            <v>6400框后法兰盘上部连接件</v>
          </cell>
        </row>
        <row r="2188">
          <cell r="D2188" t="str">
            <v>LTCS-542100601-01L01</v>
          </cell>
          <cell r="E2188" t="str">
            <v>内副翼舵机悬挂接头</v>
          </cell>
        </row>
        <row r="2189">
          <cell r="D2189" t="str">
            <v>LTCS-542100601-01L01</v>
          </cell>
        </row>
        <row r="2190">
          <cell r="D2190" t="str">
            <v>LTCS-542100601-01R01</v>
          </cell>
          <cell r="E2190" t="str">
            <v>内副翼舵机悬挂接头</v>
          </cell>
        </row>
        <row r="2191">
          <cell r="D2191" t="str">
            <v>LTCS-542100601-01R01</v>
          </cell>
        </row>
        <row r="2192">
          <cell r="D2192" t="str">
            <v>LTCS-542100602-01R01</v>
          </cell>
          <cell r="E2192" t="str">
            <v>外副翼舵机悬挂接头</v>
          </cell>
        </row>
        <row r="2193">
          <cell r="D2193" t="str">
            <v>LTCS-542100602-01R01</v>
          </cell>
        </row>
        <row r="2194">
          <cell r="D2194" t="str">
            <v>LTCS-542100602-01L01</v>
          </cell>
          <cell r="E2194" t="str">
            <v>外副翼舵机悬挂接头</v>
          </cell>
        </row>
        <row r="2195">
          <cell r="D2195" t="str">
            <v>DD-J10S-54101-3400-1</v>
          </cell>
          <cell r="E2195" t="str">
            <v>摇臂</v>
          </cell>
        </row>
        <row r="2196">
          <cell r="D2196" t="str">
            <v>DD-J10S-54101-3500-1</v>
          </cell>
          <cell r="E2196" t="str">
            <v>摇臂</v>
          </cell>
        </row>
        <row r="2197">
          <cell r="D2197" t="str">
            <v>DD-J10S-54101-4500-1</v>
          </cell>
          <cell r="E2197" t="str">
            <v>摇臂</v>
          </cell>
        </row>
        <row r="2198">
          <cell r="D2198" t="str">
            <v>LTCS-542100602-01L01</v>
          </cell>
        </row>
        <row r="2199">
          <cell r="D2199" t="str">
            <v>LTCS-531130000-04R01</v>
          </cell>
          <cell r="E2199" t="str">
            <v>角盒（右）</v>
          </cell>
        </row>
        <row r="2200">
          <cell r="D2200" t="str">
            <v>LTCS-531130000-04R01</v>
          </cell>
        </row>
        <row r="2201">
          <cell r="D2201" t="str">
            <v>LTCS-531130000-04L01</v>
          </cell>
        </row>
        <row r="2202">
          <cell r="D2202" t="str">
            <v>LTCS-531130000-04L01</v>
          </cell>
          <cell r="E2202" t="str">
            <v>角盒（左）</v>
          </cell>
        </row>
        <row r="2203">
          <cell r="D2203" t="str">
            <v>LTCS-514020000-01R01</v>
          </cell>
          <cell r="E2203" t="str">
            <v>横向隔板（右)</v>
          </cell>
        </row>
        <row r="2204">
          <cell r="D2204" t="str">
            <v>LTCS-514020000-01L01</v>
          </cell>
          <cell r="E2204" t="str">
            <v>横向隔板（左）</v>
          </cell>
        </row>
        <row r="2205">
          <cell r="D2205" t="str">
            <v>W12J1 PJ-000-00</v>
          </cell>
          <cell r="E2205" t="str">
            <v>PJ 振动夹具</v>
          </cell>
        </row>
        <row r="2206">
          <cell r="D2206" t="str">
            <v>W12J2 PJ-000-00</v>
          </cell>
          <cell r="E2206" t="str">
            <v>PJ 离心夹具</v>
          </cell>
        </row>
        <row r="2207">
          <cell r="D2207" t="str">
            <v>W12J2 PJ-000-00</v>
          </cell>
          <cell r="E2207" t="str">
            <v>PJ 离心夹具</v>
          </cell>
        </row>
        <row r="2208">
          <cell r="D2208" t="str">
            <v>W12J1 PJ-000-01</v>
          </cell>
          <cell r="E2208" t="str">
            <v>振动夹具</v>
          </cell>
        </row>
        <row r="2209">
          <cell r="D2209" t="str">
            <v>W12J1 PJ-000-02</v>
          </cell>
          <cell r="E2209" t="str">
            <v>夹具转接板</v>
          </cell>
        </row>
        <row r="2210">
          <cell r="D2210" t="str">
            <v>W12J1 PJ-000-03</v>
          </cell>
          <cell r="E2210" t="str">
            <v>包带</v>
          </cell>
        </row>
        <row r="2211">
          <cell r="D2211" t="str">
            <v>W12J2 GZ-000-00</v>
          </cell>
          <cell r="E2211" t="str">
            <v>GZ 离心夹具</v>
          </cell>
        </row>
        <row r="2212">
          <cell r="D2212" t="str">
            <v>W12J1 GZ-000-01</v>
          </cell>
          <cell r="E2212" t="str">
            <v>振动夹具</v>
          </cell>
        </row>
        <row r="2213">
          <cell r="D2213" t="str">
            <v>W12J1 GZ-000-02</v>
          </cell>
          <cell r="E2213" t="str">
            <v>转接板</v>
          </cell>
        </row>
        <row r="2214">
          <cell r="D2214" t="str">
            <v>W12J1 GF-000-01</v>
          </cell>
          <cell r="E2214" t="str">
            <v>振动夹具</v>
          </cell>
        </row>
        <row r="2215">
          <cell r="D2215" t="str">
            <v>W12J1 GF-000-02</v>
          </cell>
          <cell r="E2215" t="str">
            <v>转接板</v>
          </cell>
        </row>
        <row r="2216">
          <cell r="D2216" t="str">
            <v>W12J2 GF-000-00</v>
          </cell>
          <cell r="E2216" t="str">
            <v>GF 离心夹具</v>
          </cell>
        </row>
        <row r="2217">
          <cell r="D2217" t="str">
            <v>BC3230400-001-003</v>
          </cell>
          <cell r="E2217" t="str">
            <v>过渡板</v>
          </cell>
        </row>
        <row r="2218">
          <cell r="D2218" t="str">
            <v>BC3230500-001-003</v>
          </cell>
          <cell r="E2218" t="str">
            <v>过渡板</v>
          </cell>
        </row>
        <row r="2219">
          <cell r="D2219" t="str">
            <v>DD-J10B-04501-10-1-Z</v>
          </cell>
          <cell r="E2219" t="str">
            <v>BL900侧梁</v>
          </cell>
        </row>
        <row r="2220">
          <cell r="D2220" t="str">
            <v>DD-J10B-04501-10-1-Z</v>
          </cell>
          <cell r="E2220" t="str">
            <v>BL900侧梁</v>
          </cell>
        </row>
        <row r="2221">
          <cell r="D2221" t="str">
            <v>DD-J10B-04501-10-1-Z</v>
          </cell>
          <cell r="E2221" t="str">
            <v>BL900侧梁</v>
          </cell>
        </row>
        <row r="2222">
          <cell r="D2222" t="str">
            <v>DD-J10B-04501-10-1-Z</v>
          </cell>
          <cell r="E2222" t="str">
            <v>BL900侧梁</v>
          </cell>
        </row>
        <row r="2223">
          <cell r="D2223" t="str">
            <v>DD-J10B-04501-10-1-Z</v>
          </cell>
          <cell r="E2223" t="str">
            <v>BL900侧梁</v>
          </cell>
        </row>
        <row r="2224">
          <cell r="D2224" t="str">
            <v>DD-J10B-04501-10-1-Z</v>
          </cell>
          <cell r="E2224" t="str">
            <v>BL900侧梁</v>
          </cell>
        </row>
        <row r="2225">
          <cell r="D2225" t="str">
            <v>DD-J10B-04501-10-1-Y</v>
          </cell>
          <cell r="E2225" t="str">
            <v>BL900侧梁</v>
          </cell>
        </row>
        <row r="2226">
          <cell r="D2226" t="str">
            <v>DD-J10B-04501-10-1-Y</v>
          </cell>
          <cell r="E2226" t="str">
            <v>BL900侧梁</v>
          </cell>
        </row>
        <row r="2227">
          <cell r="D2227" t="str">
            <v>DD-J10B-04501-10-1-Y</v>
          </cell>
          <cell r="E2227" t="str">
            <v>BL900侧梁</v>
          </cell>
        </row>
        <row r="2228">
          <cell r="D2228" t="str">
            <v>DD-J10B-04501-10-1-Y</v>
          </cell>
          <cell r="E2228" t="str">
            <v>BL900侧梁</v>
          </cell>
        </row>
        <row r="2229">
          <cell r="D2229" t="str">
            <v>DD-J10B-04501-10-1-Y</v>
          </cell>
          <cell r="E2229" t="str">
            <v>BL900侧梁</v>
          </cell>
        </row>
        <row r="2230">
          <cell r="D2230" t="str">
            <v>DD-J10B-04501-10-1-Y</v>
          </cell>
          <cell r="E2230" t="str">
            <v>BL900侧梁</v>
          </cell>
        </row>
        <row r="2231">
          <cell r="D2231" t="str">
            <v>GU5714000-011L001</v>
          </cell>
          <cell r="E2231" t="str">
            <v>8800肋角片</v>
          </cell>
        </row>
        <row r="2232">
          <cell r="D2232" t="str">
            <v>DD-J10-04021-3</v>
          </cell>
          <cell r="E2232" t="str">
            <v>角盒</v>
          </cell>
        </row>
        <row r="2233">
          <cell r="D2233" t="str">
            <v>DD-J10-04021-3</v>
          </cell>
          <cell r="E2233" t="str">
            <v>角盒</v>
          </cell>
        </row>
        <row r="2234">
          <cell r="D2234" t="str">
            <v>DD-J10-04021-4</v>
          </cell>
          <cell r="E2234" t="str">
            <v>角盒</v>
          </cell>
        </row>
        <row r="2235">
          <cell r="D2235" t="str">
            <v>DD-J10-04021-4</v>
          </cell>
          <cell r="E2235" t="str">
            <v>角盒</v>
          </cell>
        </row>
        <row r="2236">
          <cell r="D2236" t="str">
            <v>DD-J10-21102-553-Y</v>
          </cell>
          <cell r="E2236" t="str">
            <v>1780肋三段（右件）</v>
          </cell>
        </row>
        <row r="2237">
          <cell r="D2237" t="str">
            <v>DD-J10-21102-140-1-Y</v>
          </cell>
          <cell r="E2237" t="str">
            <v>9860梁（右件）</v>
          </cell>
        </row>
        <row r="2238">
          <cell r="D2238" t="str">
            <v>DD-J10-21102-140-1-Z</v>
          </cell>
          <cell r="E2238" t="str">
            <v>9860梁（左件）</v>
          </cell>
        </row>
        <row r="2239">
          <cell r="D2239" t="str">
            <v>DD-J10-21102-150-1-Y</v>
          </cell>
          <cell r="E2239" t="str">
            <v>10060梁（右件）</v>
          </cell>
        </row>
        <row r="2240">
          <cell r="D2240" t="str">
            <v>DD-J10-21102-150-1-Z</v>
          </cell>
          <cell r="E2240" t="str">
            <v>10060梁（左件）</v>
          </cell>
        </row>
        <row r="2241">
          <cell r="D2241" t="str">
            <v>DD-J10-21102-160-1-Y</v>
          </cell>
          <cell r="E2241" t="str">
            <v>10260梁（右件）</v>
          </cell>
        </row>
        <row r="2242">
          <cell r="D2242" t="str">
            <v>DD-J10-21102-160-1-Z</v>
          </cell>
          <cell r="E2242" t="str">
            <v>10260梁（左件）</v>
          </cell>
        </row>
        <row r="2243">
          <cell r="D2243" t="str">
            <v>LTCS-551100000-56R01</v>
          </cell>
          <cell r="E2243" t="str">
            <v>角片</v>
          </cell>
        </row>
        <row r="2244">
          <cell r="D2244" t="str">
            <v>LTCS-551100000-56R01</v>
          </cell>
        </row>
        <row r="2245">
          <cell r="D2245" t="str">
            <v>LTCS-551100000-56L01</v>
          </cell>
          <cell r="E2245" t="str">
            <v>角片</v>
          </cell>
        </row>
        <row r="2246">
          <cell r="D2246" t="str">
            <v>LTCS-551100000-56L01</v>
          </cell>
        </row>
        <row r="2247">
          <cell r="D2247" t="str">
            <v>LTCS-551100000-57R01</v>
          </cell>
          <cell r="E2247" t="str">
            <v>角片</v>
          </cell>
        </row>
        <row r="2248">
          <cell r="D2248" t="str">
            <v>LTCS-551100000-57R01</v>
          </cell>
        </row>
        <row r="2249">
          <cell r="D2249" t="str">
            <v>LTCS-551100000-57L01</v>
          </cell>
          <cell r="E2249" t="str">
            <v>角片</v>
          </cell>
        </row>
        <row r="2250">
          <cell r="D2250" t="str">
            <v>LTCS-551100000-57L01</v>
          </cell>
        </row>
        <row r="2251">
          <cell r="D2251" t="str">
            <v>LTCS-526100000-02N01</v>
          </cell>
          <cell r="E2251" t="str">
            <v>唇口整流罩（中）</v>
          </cell>
        </row>
        <row r="2252">
          <cell r="D2252" t="str">
            <v>LTCS-526100000-02N01</v>
          </cell>
          <cell r="E2252" t="str">
            <v>唇口整流罩（中）</v>
          </cell>
        </row>
        <row r="2253">
          <cell r="D2253" t="str">
            <v>GU5322320-002L001</v>
          </cell>
          <cell r="E2253" t="str">
            <v>后端梁</v>
          </cell>
        </row>
        <row r="2254">
          <cell r="D2254" t="str">
            <v>GU5322320-002R001</v>
          </cell>
          <cell r="E2254" t="str">
            <v>后端梁</v>
          </cell>
        </row>
        <row r="2255">
          <cell r="D2255" t="str">
            <v>DD-J10-61031-804</v>
          </cell>
          <cell r="E2255" t="str">
            <v>支臂</v>
          </cell>
        </row>
        <row r="2256">
          <cell r="D2256" t="str">
            <v>DD-J10-61031-804</v>
          </cell>
          <cell r="E2256" t="str">
            <v>支臂</v>
          </cell>
        </row>
        <row r="2257">
          <cell r="D2257" t="str">
            <v>DD-J10-04401-103</v>
          </cell>
          <cell r="E2257" t="str">
            <v>接头</v>
          </cell>
        </row>
        <row r="2258">
          <cell r="D2258" t="str">
            <v>DD-J10-04401-104</v>
          </cell>
          <cell r="E2258" t="str">
            <v>接头</v>
          </cell>
        </row>
        <row r="2259">
          <cell r="D2259" t="str">
            <v>DD-J10-04401-104</v>
          </cell>
          <cell r="E2259" t="str">
            <v>接头</v>
          </cell>
        </row>
        <row r="2260">
          <cell r="D2260" t="str">
            <v>DD-J10-04401-104</v>
          </cell>
          <cell r="E2260" t="str">
            <v>接头</v>
          </cell>
        </row>
        <row r="2261">
          <cell r="D2261" t="str">
            <v>DD-J10-54101-201</v>
          </cell>
          <cell r="E2261" t="str">
            <v>支座</v>
          </cell>
        </row>
        <row r="2262">
          <cell r="D2262" t="str">
            <v>CB5327120-010L015</v>
          </cell>
          <cell r="E2262" t="str">
            <v>9555侧隔框</v>
          </cell>
        </row>
        <row r="2263">
          <cell r="D2263" t="str">
            <v>CB5327120-010L015</v>
          </cell>
          <cell r="E2263" t="str">
            <v>9555侧隔框</v>
          </cell>
        </row>
        <row r="2264">
          <cell r="D2264" t="str">
            <v>CB5327120-010L015</v>
          </cell>
          <cell r="E2264" t="str">
            <v>9555侧隔框</v>
          </cell>
        </row>
        <row r="2265">
          <cell r="D2265" t="str">
            <v>CB5327120-010L015</v>
          </cell>
          <cell r="E2265" t="str">
            <v>9555侧隔框</v>
          </cell>
        </row>
        <row r="2266">
          <cell r="D2266" t="str">
            <v>CB5327120-010R015</v>
          </cell>
          <cell r="E2266" t="str">
            <v>9555侧隔框</v>
          </cell>
        </row>
        <row r="2267">
          <cell r="D2267" t="str">
            <v>CB5327120-010R015</v>
          </cell>
          <cell r="E2267" t="str">
            <v>9555侧隔框</v>
          </cell>
        </row>
        <row r="2268">
          <cell r="D2268" t="str">
            <v>CB5327120-010R015</v>
          </cell>
          <cell r="E2268" t="str">
            <v>9555侧隔框</v>
          </cell>
        </row>
        <row r="2269">
          <cell r="D2269" t="str">
            <v>CB5327120-010R015</v>
          </cell>
          <cell r="E2269" t="str">
            <v>9555侧隔框</v>
          </cell>
        </row>
        <row r="2270">
          <cell r="D2270" t="str">
            <v>CB5327120-013R015</v>
          </cell>
          <cell r="E2270" t="str">
            <v>10150侧隔框</v>
          </cell>
        </row>
        <row r="2271">
          <cell r="D2271" t="str">
            <v>CB5327120-013R015</v>
          </cell>
          <cell r="E2271" t="str">
            <v>10150侧隔框</v>
          </cell>
        </row>
        <row r="2272">
          <cell r="D2272" t="str">
            <v>CB5327120-013R015</v>
          </cell>
          <cell r="E2272" t="str">
            <v>10150侧隔框</v>
          </cell>
        </row>
        <row r="2273">
          <cell r="D2273" t="str">
            <v>CB5327120-013R015</v>
          </cell>
          <cell r="E2273" t="str">
            <v>10150侧隔框</v>
          </cell>
        </row>
        <row r="2274">
          <cell r="D2274" t="str">
            <v>CB5327120-013L015</v>
          </cell>
          <cell r="E2274" t="str">
            <v>10150侧隔框</v>
          </cell>
        </row>
        <row r="2275">
          <cell r="D2275" t="str">
            <v>CB5327120-013L015</v>
          </cell>
          <cell r="E2275" t="str">
            <v>10150侧隔框</v>
          </cell>
        </row>
        <row r="2276">
          <cell r="D2276" t="str">
            <v>CB5327120-013L015</v>
          </cell>
          <cell r="E2276" t="str">
            <v>10150侧隔框</v>
          </cell>
        </row>
        <row r="2277">
          <cell r="D2277" t="str">
            <v>CB5327120-013L015</v>
          </cell>
          <cell r="E2277" t="str">
            <v>10150侧隔框</v>
          </cell>
        </row>
        <row r="2278">
          <cell r="D2278" t="str">
            <v>BC2332100-002-002</v>
          </cell>
          <cell r="E2278" t="str">
            <v>卡箍支座（右）</v>
          </cell>
        </row>
        <row r="2279">
          <cell r="D2279" t="str">
            <v>BC2332100-001-002</v>
          </cell>
          <cell r="E2279" t="str">
            <v>卡箍支座（左）</v>
          </cell>
        </row>
        <row r="2280">
          <cell r="D2280" t="str">
            <v>LTCS-515030000-09L01</v>
          </cell>
          <cell r="E2280" t="str">
            <v>3275竖梁左</v>
          </cell>
        </row>
        <row r="2281">
          <cell r="D2281" t="str">
            <v>LTCS-515030000-09R01</v>
          </cell>
          <cell r="E2281" t="str">
            <v>3275竖梁右</v>
          </cell>
        </row>
        <row r="2282">
          <cell r="D2282" t="str">
            <v>LTCS-515030000-08L01</v>
          </cell>
          <cell r="E2282" t="str">
            <v>2430竖梁左</v>
          </cell>
        </row>
        <row r="2283">
          <cell r="D2283" t="str">
            <v>LTCS-515030000-08R01</v>
          </cell>
          <cell r="E2283" t="str">
            <v>2430竖梁右</v>
          </cell>
        </row>
        <row r="2284">
          <cell r="D2284" t="str">
            <v>DD-J10B-04321-30-1-Z</v>
          </cell>
          <cell r="E2284" t="str">
            <v>侧下梁（左）</v>
          </cell>
        </row>
        <row r="2285">
          <cell r="D2285" t="str">
            <v>DD-J10B-04321-30-1-Z</v>
          </cell>
          <cell r="E2285" t="str">
            <v>侧下梁（左）</v>
          </cell>
        </row>
        <row r="2286">
          <cell r="D2286" t="str">
            <v>DD-J10B-04321-30-1-Z</v>
          </cell>
          <cell r="E2286" t="str">
            <v>侧下梁（左）</v>
          </cell>
        </row>
        <row r="2287">
          <cell r="D2287" t="str">
            <v>DD-J10B-04321-30-1-Z</v>
          </cell>
          <cell r="E2287" t="str">
            <v>侧下梁（左）</v>
          </cell>
        </row>
        <row r="2288">
          <cell r="D2288" t="str">
            <v>DD-J10B-04321-30-1-Z</v>
          </cell>
          <cell r="E2288" t="str">
            <v>侧下梁（左）</v>
          </cell>
        </row>
        <row r="2289">
          <cell r="D2289" t="str">
            <v>DD-J10B-04321-30-1-Z</v>
          </cell>
          <cell r="E2289" t="str">
            <v>侧下梁（左）</v>
          </cell>
        </row>
        <row r="2290">
          <cell r="D2290" t="str">
            <v>DD-J10B-04321-30-1-Y</v>
          </cell>
          <cell r="E2290" t="str">
            <v>侧下梁（右）</v>
          </cell>
        </row>
        <row r="2291">
          <cell r="D2291" t="str">
            <v>DD-J10B-04321-30-1-Y</v>
          </cell>
          <cell r="E2291" t="str">
            <v>侧下梁（右）</v>
          </cell>
        </row>
        <row r="2292">
          <cell r="D2292" t="str">
            <v>DD-J10B-04321-30-1-Y</v>
          </cell>
          <cell r="E2292" t="str">
            <v>侧下梁（右）</v>
          </cell>
        </row>
        <row r="2293">
          <cell r="D2293" t="str">
            <v>DD-J10B-04321-30-1-Y</v>
          </cell>
          <cell r="E2293" t="str">
            <v>侧下梁（右）</v>
          </cell>
        </row>
        <row r="2294">
          <cell r="D2294" t="str">
            <v>DD-J10B-04321-30-1-Y</v>
          </cell>
          <cell r="E2294" t="str">
            <v>侧下梁（右）</v>
          </cell>
        </row>
        <row r="2295">
          <cell r="D2295" t="str">
            <v>DD-J10B-04321-30-1-Y</v>
          </cell>
          <cell r="E2295" t="str">
            <v>侧下梁（右）</v>
          </cell>
        </row>
        <row r="2296">
          <cell r="D2296" t="str">
            <v>DD-J10B-04321-30-1-Y</v>
          </cell>
          <cell r="E2296" t="str">
            <v>侧下梁（右）</v>
          </cell>
        </row>
        <row r="2297">
          <cell r="D2297" t="str">
            <v>DD-J10-41153-105</v>
          </cell>
          <cell r="E2297" t="str">
            <v>联锁摇臂</v>
          </cell>
        </row>
        <row r="2298">
          <cell r="D2298" t="str">
            <v>XXXX-62-000-01</v>
          </cell>
          <cell r="E2298" t="str">
            <v>YX电池盒</v>
          </cell>
        </row>
        <row r="2299">
          <cell r="D2299" t="str">
            <v>XXXX-62-000-02</v>
          </cell>
          <cell r="E2299" t="str">
            <v>电池盒盖</v>
          </cell>
        </row>
        <row r="2300">
          <cell r="D2300" t="str">
            <v>XXXX-62-000-03</v>
          </cell>
          <cell r="E2300" t="str">
            <v>电池盒扳手</v>
          </cell>
        </row>
        <row r="2301">
          <cell r="D2301" t="str">
            <v>XXXX-62-000-04</v>
          </cell>
          <cell r="E2301" t="str">
            <v>电池盒盖扳手</v>
          </cell>
        </row>
        <row r="2302">
          <cell r="D2302" t="str">
            <v>XXXX-62-4000-01</v>
          </cell>
          <cell r="E2302" t="str">
            <v>传爆药壳</v>
          </cell>
        </row>
        <row r="2303">
          <cell r="D2303" t="str">
            <v>XXXX-62-4000-02</v>
          </cell>
          <cell r="E2303" t="str">
            <v>传爆药盖</v>
          </cell>
        </row>
        <row r="2304">
          <cell r="D2304" t="str">
            <v>XX2-1-000-01</v>
          </cell>
          <cell r="E2304" t="str">
            <v>主级壳体</v>
          </cell>
        </row>
        <row r="2305">
          <cell r="D2305" t="str">
            <v>XX2-1-000-02</v>
          </cell>
          <cell r="E2305" t="str">
            <v>主级顶盖</v>
          </cell>
        </row>
        <row r="2306">
          <cell r="D2306" t="str">
            <v>XX2-1-000-03</v>
          </cell>
          <cell r="E2306" t="str">
            <v>支柱</v>
          </cell>
        </row>
        <row r="2307">
          <cell r="D2307" t="str">
            <v>XX2-1-000-04</v>
          </cell>
          <cell r="E2307" t="str">
            <v>压线板</v>
          </cell>
        </row>
        <row r="2308">
          <cell r="D2308" t="str">
            <v>XX2-1-000-05</v>
          </cell>
          <cell r="E2308" t="str">
            <v>压环</v>
          </cell>
        </row>
        <row r="2309">
          <cell r="D2309" t="str">
            <v>XX2-2-000-01</v>
          </cell>
          <cell r="E2309" t="str">
            <v>前级壳体</v>
          </cell>
        </row>
        <row r="2310">
          <cell r="D2310" t="str">
            <v>XX2-2-000-02</v>
          </cell>
          <cell r="E2310" t="str">
            <v>前级顶盖</v>
          </cell>
        </row>
        <row r="2311">
          <cell r="D2311" t="str">
            <v>XX2-S-001</v>
          </cell>
          <cell r="E2311" t="str">
            <v>支撑板</v>
          </cell>
        </row>
        <row r="2312">
          <cell r="D2312" t="str">
            <v>XX2-S-002</v>
          </cell>
          <cell r="E2312" t="str">
            <v>支柱销</v>
          </cell>
        </row>
        <row r="2313">
          <cell r="D2313" t="str">
            <v>XXXXX/C1-3210-02</v>
          </cell>
          <cell r="E2313" t="str">
            <v>引线片</v>
          </cell>
        </row>
        <row r="2314">
          <cell r="D2314" t="str">
            <v>LTCS-541100400-02L01</v>
          </cell>
          <cell r="E2314" t="str">
            <v>镶嵌件</v>
          </cell>
        </row>
        <row r="2315">
          <cell r="D2315" t="str">
            <v>LTCS-541100400-02L01</v>
          </cell>
        </row>
        <row r="2316">
          <cell r="D2316" t="str">
            <v>LTCS-541100400-02R01</v>
          </cell>
          <cell r="E2316" t="str">
            <v>镶嵌件</v>
          </cell>
        </row>
        <row r="2317">
          <cell r="D2317" t="str">
            <v>LTCS-541100400-02R01</v>
          </cell>
        </row>
        <row r="2318">
          <cell r="D2318" t="str">
            <v>LTCS-541100400-03R01</v>
          </cell>
          <cell r="E2318" t="str">
            <v>镶嵌件</v>
          </cell>
        </row>
        <row r="2319">
          <cell r="D2319" t="str">
            <v>LTCS-541100400-03R01</v>
          </cell>
        </row>
        <row r="2320">
          <cell r="D2320" t="str">
            <v>LTCS-541100400-03L01</v>
          </cell>
          <cell r="E2320" t="str">
            <v>镶嵌件</v>
          </cell>
        </row>
        <row r="2321">
          <cell r="D2321" t="str">
            <v>LTCS-541100400-03L01</v>
          </cell>
        </row>
        <row r="2322">
          <cell r="D2322" t="str">
            <v>LTCS-526700000-13N01</v>
          </cell>
          <cell r="E2322" t="str">
            <v>6830框法兰盘上部连接件</v>
          </cell>
        </row>
        <row r="2323">
          <cell r="D2323" t="str">
            <v>LTCS-526700000-14N01</v>
          </cell>
          <cell r="E2323" t="str">
            <v>6830框法兰盘下部连接件</v>
          </cell>
        </row>
        <row r="2324">
          <cell r="D2324" t="str">
            <v>LTCS-515030000-04N01</v>
          </cell>
          <cell r="E2324" t="str">
            <v>2430横梁</v>
          </cell>
        </row>
        <row r="2325">
          <cell r="D2325" t="str">
            <v>LTCS-515030000-05N01</v>
          </cell>
          <cell r="E2325" t="str">
            <v>2840横梁</v>
          </cell>
        </row>
        <row r="2326">
          <cell r="D2326" t="str">
            <v>LTCS-515030000-06N01</v>
          </cell>
          <cell r="E2326" t="str">
            <v>3275横梁</v>
          </cell>
        </row>
        <row r="2327">
          <cell r="D2327" t="str">
            <v>CB5314107-001-002</v>
          </cell>
          <cell r="E2327" t="str">
            <v>5550上框</v>
          </cell>
        </row>
        <row r="2328">
          <cell r="D2328" t="str">
            <v>CB5314107-001-002</v>
          </cell>
          <cell r="E2328" t="str">
            <v>5550上框</v>
          </cell>
        </row>
        <row r="2329">
          <cell r="D2329" t="str">
            <v>CB5314107-001-002</v>
          </cell>
          <cell r="E2329" t="str">
            <v>5550上框</v>
          </cell>
        </row>
        <row r="2330">
          <cell r="D2330" t="str">
            <v>CB5314107-001-002</v>
          </cell>
          <cell r="E2330" t="str">
            <v>5550上框</v>
          </cell>
        </row>
        <row r="2331">
          <cell r="D2331" t="str">
            <v>DD-J10-41153-105</v>
          </cell>
          <cell r="E2331" t="str">
            <v>联锁摇臂</v>
          </cell>
        </row>
        <row r="2332">
          <cell r="D2332" t="str">
            <v>LTCS-551100000-55R01</v>
          </cell>
          <cell r="E2332" t="str">
            <v>带板</v>
          </cell>
        </row>
        <row r="2333">
          <cell r="D2333" t="str">
            <v>LTCS-551100000-55R01</v>
          </cell>
        </row>
        <row r="2334">
          <cell r="D2334" t="str">
            <v>LTCS-551100000-55L01</v>
          </cell>
          <cell r="E2334" t="str">
            <v>带板</v>
          </cell>
        </row>
        <row r="2335">
          <cell r="D2335" t="str">
            <v>DD-J10-21102-250-2-Z</v>
          </cell>
          <cell r="E2335" t="str">
            <v>11900梁二段</v>
          </cell>
        </row>
        <row r="2336">
          <cell r="D2336" t="str">
            <v>DD-J10-21102-250-2-Z</v>
          </cell>
          <cell r="E2336" t="str">
            <v>11900梁二段</v>
          </cell>
        </row>
        <row r="2337">
          <cell r="D2337" t="str">
            <v>DD-J10-21102-250-2-Y</v>
          </cell>
          <cell r="E2337" t="str">
            <v>11900梁二段</v>
          </cell>
        </row>
        <row r="2338">
          <cell r="D2338" t="str">
            <v>DD-J10-21102-250-2-Y</v>
          </cell>
          <cell r="E2338" t="str">
            <v>11900梁二段</v>
          </cell>
        </row>
        <row r="2339">
          <cell r="D2339" t="str">
            <v>DD-J10B-02181-6-Z</v>
          </cell>
          <cell r="E2339" t="str">
            <v>盒子</v>
          </cell>
        </row>
        <row r="2340">
          <cell r="D2340" t="str">
            <v>DD-J10B-02181-6-Y</v>
          </cell>
          <cell r="E2340" t="str">
            <v>盒子</v>
          </cell>
        </row>
        <row r="2341">
          <cell r="D2341" t="str">
            <v>DD-J10B-02081-404</v>
          </cell>
          <cell r="E2341" t="str">
            <v>支座</v>
          </cell>
        </row>
        <row r="2342">
          <cell r="D2342" t="str">
            <v>DD-J10B-02081-404</v>
          </cell>
          <cell r="E2342" t="str">
            <v>支座</v>
          </cell>
        </row>
        <row r="2343">
          <cell r="D2343" t="str">
            <v>LTCS-551100000-55L01</v>
          </cell>
        </row>
        <row r="2344">
          <cell r="D2344" t="str">
            <v>LTCS-551101400-06N01</v>
          </cell>
          <cell r="E2344" t="str">
            <v>封缘板</v>
          </cell>
        </row>
        <row r="2345">
          <cell r="D2345" t="str">
            <v>LTCS-551101400-06N01</v>
          </cell>
          <cell r="E2345" t="str">
            <v>封缘板</v>
          </cell>
        </row>
        <row r="2346">
          <cell r="D2346" t="str">
            <v>BC221T7LC-001-001</v>
          </cell>
          <cell r="E2346" t="str">
            <v>地面通风接头</v>
          </cell>
        </row>
        <row r="2347">
          <cell r="D2347" t="str">
            <v>DD-J10B-04061-1</v>
          </cell>
          <cell r="E2347" t="str">
            <v>10860框</v>
          </cell>
        </row>
        <row r="2348">
          <cell r="D2348" t="str">
            <v>DD-J10B-04061-1</v>
          </cell>
          <cell r="E2348" t="str">
            <v>10860框</v>
          </cell>
        </row>
        <row r="2349">
          <cell r="D2349" t="str">
            <v>DD-J10B-04061-1</v>
          </cell>
          <cell r="E2349" t="str">
            <v>10860框</v>
          </cell>
        </row>
        <row r="2350">
          <cell r="D2350" t="str">
            <v>DD-J10B-04061-1</v>
          </cell>
          <cell r="E2350" t="str">
            <v>10860框</v>
          </cell>
        </row>
        <row r="2351">
          <cell r="D2351" t="str">
            <v>DD-J10B-02121-1AG2-Z</v>
          </cell>
          <cell r="E2351" t="str">
            <v>BL280侧壁（左件）</v>
          </cell>
        </row>
        <row r="2352">
          <cell r="D2352" t="str">
            <v>DD-J10B-02121-1AG2-Z</v>
          </cell>
          <cell r="E2352" t="str">
            <v>BL280侧壁（左件）</v>
          </cell>
        </row>
        <row r="2353">
          <cell r="D2353" t="str">
            <v>DD-J10B-02121-1AG2-Z</v>
          </cell>
          <cell r="E2353" t="str">
            <v>BL280侧壁（左件）</v>
          </cell>
        </row>
        <row r="2354">
          <cell r="D2354" t="str">
            <v>DD-J10B-02121-1AG2-Y</v>
          </cell>
          <cell r="E2354" t="str">
            <v>BL280侧壁（右件）</v>
          </cell>
        </row>
        <row r="2355">
          <cell r="D2355" t="str">
            <v>DD-J10B-02121-1AG2-Y</v>
          </cell>
          <cell r="E2355" t="str">
            <v>BL280侧壁（右件）</v>
          </cell>
        </row>
        <row r="2356">
          <cell r="D2356" t="str">
            <v>DD-J10B-02121-1AG2-Y</v>
          </cell>
          <cell r="E2356" t="str">
            <v>BL280侧壁（右件）</v>
          </cell>
        </row>
        <row r="2357">
          <cell r="D2357" t="str">
            <v>DD-J10-41035-120-1</v>
          </cell>
          <cell r="E2357" t="str">
            <v>管子</v>
          </cell>
        </row>
        <row r="2358">
          <cell r="D2358" t="str">
            <v>DD-J10-41035-120-1</v>
          </cell>
          <cell r="E2358" t="str">
            <v>管子</v>
          </cell>
        </row>
        <row r="2359">
          <cell r="D2359" t="str">
            <v>DD-J10-41035-120-1</v>
          </cell>
          <cell r="E2359" t="str">
            <v>管子</v>
          </cell>
        </row>
        <row r="2360">
          <cell r="D2360" t="str">
            <v>DD-J10-42074-150-1</v>
          </cell>
          <cell r="E2360" t="str">
            <v>管子</v>
          </cell>
        </row>
        <row r="2361">
          <cell r="D2361" t="str">
            <v>DD-J10-96011-802</v>
          </cell>
          <cell r="E2361" t="str">
            <v>垫片</v>
          </cell>
        </row>
        <row r="2362">
          <cell r="D2362" t="str">
            <v>DD-J10B-68074-1720-3</v>
          </cell>
          <cell r="E2362" t="str">
            <v>钢管</v>
          </cell>
        </row>
        <row r="2363">
          <cell r="D2363" t="str">
            <v>DD-J10B-68074-1720-3</v>
          </cell>
          <cell r="E2363" t="str">
            <v>钢管</v>
          </cell>
        </row>
        <row r="2364">
          <cell r="D2364" t="str">
            <v>DD-J10B-68095-1720-3</v>
          </cell>
          <cell r="E2364" t="str">
            <v>钢管</v>
          </cell>
        </row>
        <row r="2365">
          <cell r="D2365" t="str">
            <v>DD-J10B-68095-1720-3</v>
          </cell>
          <cell r="E2365" t="str">
            <v>钢管</v>
          </cell>
        </row>
        <row r="2366">
          <cell r="D2366" t="str">
            <v>DD-J10B-68095-1710-3-Z</v>
          </cell>
          <cell r="E2366" t="str">
            <v>钢管</v>
          </cell>
        </row>
        <row r="2367">
          <cell r="D2367" t="str">
            <v>DD-J10B-68095-1710-3-Z</v>
          </cell>
          <cell r="E2367" t="str">
            <v>钢管</v>
          </cell>
        </row>
        <row r="2368">
          <cell r="D2368" t="str">
            <v>DD-J10B-68095-1710-3-Y</v>
          </cell>
          <cell r="E2368" t="str">
            <v>钢管</v>
          </cell>
        </row>
        <row r="2369">
          <cell r="D2369" t="str">
            <v>DD-J10B-68095-1710-3-Y</v>
          </cell>
          <cell r="E2369" t="str">
            <v>钢管</v>
          </cell>
        </row>
        <row r="2370">
          <cell r="D2370" t="str">
            <v>DD-J10-55025-704</v>
          </cell>
          <cell r="E2370" t="str">
            <v>套筒</v>
          </cell>
        </row>
        <row r="2371">
          <cell r="D2371" t="str">
            <v>DD-J10-55025-704</v>
          </cell>
          <cell r="E2371" t="str">
            <v>套筒</v>
          </cell>
        </row>
        <row r="2372">
          <cell r="D2372" t="str">
            <v>DD-J10-55055-2620-3</v>
          </cell>
          <cell r="E2372" t="str">
            <v>衬套</v>
          </cell>
        </row>
        <row r="2373">
          <cell r="D2373" t="str">
            <v>DD-J10-55055-2620-3</v>
          </cell>
          <cell r="E2373" t="str">
            <v>衬套</v>
          </cell>
        </row>
        <row r="2374">
          <cell r="D2374" t="str">
            <v>DD-J10-55051-6110-3</v>
          </cell>
          <cell r="E2374" t="str">
            <v>衬套</v>
          </cell>
        </row>
        <row r="2375">
          <cell r="D2375" t="str">
            <v>DD-J10-55051-6110-3</v>
          </cell>
          <cell r="E2375" t="str">
            <v>衬套</v>
          </cell>
        </row>
        <row r="2376">
          <cell r="D2376" t="str">
            <v>DD-J10-96031-104</v>
          </cell>
          <cell r="E2376" t="str">
            <v>接管嘴</v>
          </cell>
        </row>
        <row r="2377">
          <cell r="D2377" t="str">
            <v>DD-J10-96031-104</v>
          </cell>
          <cell r="E2377" t="str">
            <v>接管嘴</v>
          </cell>
        </row>
        <row r="2378">
          <cell r="D2378" t="str">
            <v>DD-J10-96031-111</v>
          </cell>
          <cell r="E2378" t="str">
            <v>螺母</v>
          </cell>
        </row>
        <row r="2379">
          <cell r="D2379" t="str">
            <v>DD-J10-96031-111</v>
          </cell>
          <cell r="E2379" t="str">
            <v>螺母</v>
          </cell>
        </row>
        <row r="2380">
          <cell r="D2380" t="str">
            <v>DD-J10-41123-1103</v>
          </cell>
          <cell r="E2380" t="str">
            <v>螺帽</v>
          </cell>
        </row>
        <row r="2381">
          <cell r="D2381" t="str">
            <v>DD-J10-55181-2540-2</v>
          </cell>
          <cell r="E2381" t="str">
            <v>小轴</v>
          </cell>
        </row>
        <row r="2382">
          <cell r="D2382" t="str">
            <v>DD-J10-55181-2540-2</v>
          </cell>
          <cell r="E2382" t="str">
            <v>小轴</v>
          </cell>
        </row>
        <row r="2383">
          <cell r="D2383" t="str">
            <v>DD-J10-94086-1110-2</v>
          </cell>
          <cell r="E2383" t="str">
            <v>衬套</v>
          </cell>
        </row>
        <row r="2384">
          <cell r="D2384" t="str">
            <v>DD-J10-94086-1110-2</v>
          </cell>
          <cell r="E2384" t="str">
            <v>衬套</v>
          </cell>
        </row>
        <row r="2385">
          <cell r="D2385" t="str">
            <v>DD-J10B-61101-3110-1</v>
          </cell>
          <cell r="E2385" t="str">
            <v>导管</v>
          </cell>
        </row>
        <row r="2386">
          <cell r="D2386" t="str">
            <v>DD-J10B-61101-3110-1</v>
          </cell>
          <cell r="E2386" t="str">
            <v>导管</v>
          </cell>
        </row>
        <row r="2387">
          <cell r="D2387" t="str">
            <v>DD-J10-41123-1101</v>
          </cell>
          <cell r="E2387" t="str">
            <v>壳体</v>
          </cell>
        </row>
        <row r="2388">
          <cell r="D2388" t="str">
            <v>DD-J10-41123-1101</v>
          </cell>
          <cell r="E2388" t="str">
            <v>壳体</v>
          </cell>
        </row>
        <row r="2389">
          <cell r="D2389" t="str">
            <v>DD-J10-55181-2540-1</v>
          </cell>
          <cell r="E2389" t="str">
            <v>螺栓</v>
          </cell>
        </row>
        <row r="2390">
          <cell r="D2390" t="str">
            <v>DD-J10-55181-2540-1</v>
          </cell>
          <cell r="E2390" t="str">
            <v>螺栓</v>
          </cell>
        </row>
        <row r="2391">
          <cell r="D2391" t="str">
            <v>DD-J10-55025-703</v>
          </cell>
          <cell r="E2391" t="str">
            <v>衬套</v>
          </cell>
        </row>
        <row r="2392">
          <cell r="D2392" t="str">
            <v>DD-J10-55025-703</v>
          </cell>
          <cell r="E2392" t="str">
            <v>衬套</v>
          </cell>
        </row>
        <row r="2393">
          <cell r="D2393" t="str">
            <v>DD-J10-55181-1112</v>
          </cell>
          <cell r="E2393" t="str">
            <v>螺栓</v>
          </cell>
        </row>
        <row r="2394">
          <cell r="D2394" t="str">
            <v>DD-J10-55181-1112</v>
          </cell>
          <cell r="E2394" t="str">
            <v>螺栓</v>
          </cell>
        </row>
        <row r="2395">
          <cell r="D2395" t="str">
            <v>DD-J10-94011-570-5</v>
          </cell>
          <cell r="E2395" t="str">
            <v>衬套</v>
          </cell>
        </row>
        <row r="2396">
          <cell r="D2396" t="str">
            <v>DD-J10-96031-113</v>
          </cell>
          <cell r="E2396" t="str">
            <v>衬套</v>
          </cell>
        </row>
        <row r="2397">
          <cell r="D2397" t="str">
            <v>DD-J10-96031-113</v>
          </cell>
          <cell r="E2397" t="str">
            <v>衬套</v>
          </cell>
        </row>
        <row r="2398">
          <cell r="D2398" t="str">
            <v>DD-J10-55051-1211</v>
          </cell>
          <cell r="E2398" t="str">
            <v>连接件</v>
          </cell>
        </row>
        <row r="2399">
          <cell r="D2399" t="str">
            <v>DD-J10-55051-1211</v>
          </cell>
          <cell r="E2399" t="str">
            <v>连接件</v>
          </cell>
        </row>
        <row r="2400">
          <cell r="D2400" t="str">
            <v>DD-J10-55051-1311</v>
          </cell>
          <cell r="E2400" t="str">
            <v>连接件</v>
          </cell>
        </row>
        <row r="2401">
          <cell r="D2401" t="str">
            <v>DD-J10-55051-1311</v>
          </cell>
          <cell r="E2401" t="str">
            <v>连接件</v>
          </cell>
        </row>
        <row r="2402">
          <cell r="D2402" t="str">
            <v>DD-J10-41153-130-2</v>
          </cell>
          <cell r="E2402" t="str">
            <v>管子</v>
          </cell>
        </row>
        <row r="2403">
          <cell r="D2403" t="str">
            <v>DD-J10-41153-130-2</v>
          </cell>
          <cell r="E2403" t="str">
            <v>管子</v>
          </cell>
        </row>
        <row r="2404">
          <cell r="D2404" t="str">
            <v>DD-J10B-94051-3640-2</v>
          </cell>
          <cell r="E2404" t="str">
            <v>管子</v>
          </cell>
        </row>
        <row r="2405">
          <cell r="D2405" t="str">
            <v>DD-J10B-94051-3640-2</v>
          </cell>
          <cell r="E2405" t="str">
            <v>管子</v>
          </cell>
        </row>
        <row r="2406">
          <cell r="D2406" t="str">
            <v>DD-J10-55155-710-3</v>
          </cell>
          <cell r="E2406" t="str">
            <v>衬套</v>
          </cell>
        </row>
        <row r="2407">
          <cell r="D2407" t="str">
            <v>DD-J10-55155-710-3</v>
          </cell>
          <cell r="E2407" t="str">
            <v>衬套</v>
          </cell>
        </row>
        <row r="2408">
          <cell r="D2408" t="str">
            <v>DD-J10-55014-2010-1</v>
          </cell>
          <cell r="E2408" t="str">
            <v>管子</v>
          </cell>
        </row>
        <row r="2409">
          <cell r="D2409" t="str">
            <v>DD-J10-55014-2010-1</v>
          </cell>
          <cell r="E2409" t="str">
            <v>管子</v>
          </cell>
        </row>
        <row r="2410">
          <cell r="D2410" t="str">
            <v>DD-J10-55181-310-1</v>
          </cell>
          <cell r="E2410" t="str">
            <v>衬套</v>
          </cell>
        </row>
        <row r="2411">
          <cell r="D2411" t="str">
            <v>DD-J10-55181-710-1</v>
          </cell>
          <cell r="E2411" t="str">
            <v>衬套</v>
          </cell>
        </row>
        <row r="2412">
          <cell r="D2412" t="str">
            <v>DD-J10-55165-1440-3</v>
          </cell>
          <cell r="E2412" t="str">
            <v>衬套</v>
          </cell>
        </row>
        <row r="2413">
          <cell r="D2413" t="str">
            <v>DD-J10-55165-1440-3</v>
          </cell>
          <cell r="E2413" t="str">
            <v>衬套</v>
          </cell>
        </row>
        <row r="2414">
          <cell r="D2414" t="str">
            <v>DD-J10-41153-140-2</v>
          </cell>
          <cell r="E2414" t="str">
            <v>指针</v>
          </cell>
        </row>
        <row r="2415">
          <cell r="D2415" t="str">
            <v>DD-J10-41153-140-2</v>
          </cell>
          <cell r="E2415" t="str">
            <v>指针</v>
          </cell>
        </row>
        <row r="2416">
          <cell r="D2416" t="str">
            <v>DD-J10-86021-4020-1</v>
          </cell>
          <cell r="E2416" t="str">
            <v>套筒</v>
          </cell>
        </row>
        <row r="2417">
          <cell r="D2417" t="str">
            <v>DD-J10-86021-4020-1</v>
          </cell>
          <cell r="E2417" t="str">
            <v>套筒</v>
          </cell>
        </row>
        <row r="2418">
          <cell r="D2418" t="str">
            <v>DD-J10-55181-2532</v>
          </cell>
          <cell r="E2418" t="str">
            <v>螺帽</v>
          </cell>
        </row>
        <row r="2419">
          <cell r="D2419" t="str">
            <v>DD-J10-55181-2532</v>
          </cell>
          <cell r="E2419" t="str">
            <v>螺帽</v>
          </cell>
        </row>
        <row r="2420">
          <cell r="D2420" t="str">
            <v>DD-J10-55181-2532</v>
          </cell>
          <cell r="E2420" t="str">
            <v>螺帽</v>
          </cell>
        </row>
        <row r="2421">
          <cell r="D2421" t="str">
            <v>DD-J10-86031-220-2</v>
          </cell>
          <cell r="E2421" t="str">
            <v>套管</v>
          </cell>
        </row>
        <row r="2422">
          <cell r="D2422" t="str">
            <v>DD-J10-86031-220-2</v>
          </cell>
          <cell r="E2422" t="str">
            <v>套管</v>
          </cell>
        </row>
        <row r="2423">
          <cell r="D2423" t="str">
            <v>DD-J10-41143-110-1</v>
          </cell>
          <cell r="E2423" t="str">
            <v>管子</v>
          </cell>
        </row>
        <row r="2424">
          <cell r="D2424" t="str">
            <v>DD-J10-41143-110-1</v>
          </cell>
          <cell r="E2424" t="str">
            <v>管子</v>
          </cell>
        </row>
        <row r="2425">
          <cell r="D2425" t="str">
            <v>DD-J10-94011-570-3</v>
          </cell>
          <cell r="E2425" t="str">
            <v>管子</v>
          </cell>
        </row>
        <row r="2426">
          <cell r="D2426" t="str">
            <v>DD-J10-42074-160-1</v>
          </cell>
          <cell r="E2426" t="str">
            <v>拉杆</v>
          </cell>
        </row>
        <row r="2427">
          <cell r="D2427" t="str">
            <v>DD-J10-42074-160-1</v>
          </cell>
          <cell r="E2427" t="str">
            <v>拉杆</v>
          </cell>
        </row>
        <row r="2428">
          <cell r="D2428" t="str">
            <v>DD-J10-42074-150-1</v>
          </cell>
          <cell r="E2428" t="str">
            <v>管子</v>
          </cell>
        </row>
        <row r="2429">
          <cell r="D2429" t="str">
            <v>DD-J10-42074-150-1</v>
          </cell>
          <cell r="E2429" t="str">
            <v>管子</v>
          </cell>
        </row>
        <row r="2430">
          <cell r="D2430" t="str">
            <v>DD-J10-55165-710-3</v>
          </cell>
          <cell r="E2430" t="str">
            <v>衬套</v>
          </cell>
        </row>
        <row r="2431">
          <cell r="D2431" t="str">
            <v>DD-J10-55165-710-3</v>
          </cell>
          <cell r="E2431" t="str">
            <v>衬套</v>
          </cell>
        </row>
        <row r="2432">
          <cell r="D2432" t="str">
            <v>DD-J10-96031-121</v>
          </cell>
          <cell r="E2432" t="str">
            <v>销棒</v>
          </cell>
        </row>
        <row r="2433">
          <cell r="D2433" t="str">
            <v>DD-J10-61001-722</v>
          </cell>
          <cell r="E2433" t="str">
            <v>螺栓</v>
          </cell>
        </row>
        <row r="2434">
          <cell r="D2434" t="str">
            <v>DD-J10-61001-722</v>
          </cell>
          <cell r="E2434" t="str">
            <v>螺栓</v>
          </cell>
        </row>
        <row r="2435">
          <cell r="D2435" t="str">
            <v>DD-J10-61001-722</v>
          </cell>
          <cell r="E2435" t="str">
            <v>螺栓</v>
          </cell>
        </row>
        <row r="2436">
          <cell r="D2436" t="str">
            <v>DD-J10-54111-1200-1</v>
          </cell>
          <cell r="E2436" t="str">
            <v>衬套</v>
          </cell>
        </row>
        <row r="2437">
          <cell r="D2437" t="str">
            <v>DD-J10-86021-4010-1</v>
          </cell>
          <cell r="E2437" t="str">
            <v>套筒</v>
          </cell>
        </row>
        <row r="2438">
          <cell r="D2438" t="str">
            <v>DD-J10-86021-4010-1</v>
          </cell>
          <cell r="E2438" t="str">
            <v>套筒</v>
          </cell>
        </row>
        <row r="2439">
          <cell r="D2439" t="str">
            <v>DD-J10-55181-2710-4</v>
          </cell>
          <cell r="E2439" t="str">
            <v>管</v>
          </cell>
        </row>
        <row r="2440">
          <cell r="D2440" t="str">
            <v>DD-J10-55181-2710-4</v>
          </cell>
          <cell r="E2440" t="str">
            <v>管</v>
          </cell>
        </row>
        <row r="2441">
          <cell r="D2441" t="str">
            <v>DD-J10-41123-1112</v>
          </cell>
          <cell r="E2441" t="str">
            <v>拨棍</v>
          </cell>
        </row>
        <row r="2442">
          <cell r="D2442" t="str">
            <v>DD-J10-41123-1112</v>
          </cell>
          <cell r="E2442" t="str">
            <v>拨棍</v>
          </cell>
        </row>
        <row r="2443">
          <cell r="D2443" t="str">
            <v>DD-J10-55181-2810-4</v>
          </cell>
          <cell r="E2443" t="str">
            <v>管</v>
          </cell>
        </row>
        <row r="2444">
          <cell r="D2444" t="str">
            <v>DD-J10-55181-2810-4</v>
          </cell>
          <cell r="E2444" t="str">
            <v>管</v>
          </cell>
        </row>
        <row r="2445">
          <cell r="D2445" t="str">
            <v>DD-J10-55181-410-1</v>
          </cell>
          <cell r="E2445" t="str">
            <v>衬套</v>
          </cell>
        </row>
        <row r="2446">
          <cell r="D2446" t="str">
            <v>DD-J10-55181-410-1</v>
          </cell>
          <cell r="E2446" t="str">
            <v>衬套</v>
          </cell>
        </row>
        <row r="2447">
          <cell r="D2447" t="str">
            <v>DD-J10-55171-410-1</v>
          </cell>
          <cell r="E2447" t="str">
            <v>衬套</v>
          </cell>
        </row>
        <row r="2448">
          <cell r="D2448" t="str">
            <v>DD-J10-55171-410-1</v>
          </cell>
          <cell r="E2448" t="str">
            <v>衬套</v>
          </cell>
        </row>
        <row r="2449">
          <cell r="D2449" t="str">
            <v>DD-J10-55196-311</v>
          </cell>
          <cell r="E2449" t="str">
            <v>螺栓</v>
          </cell>
        </row>
        <row r="2450">
          <cell r="D2450" t="str">
            <v>DD-J10-55196-311</v>
          </cell>
          <cell r="E2450" t="str">
            <v>螺栓</v>
          </cell>
        </row>
        <row r="2451">
          <cell r="D2451" t="str">
            <v>DD-J10-41123-1111</v>
          </cell>
          <cell r="E2451" t="str">
            <v>销子</v>
          </cell>
        </row>
        <row r="2452">
          <cell r="D2452" t="str">
            <v>DD-J10-41123-1111</v>
          </cell>
          <cell r="E2452" t="str">
            <v>销子</v>
          </cell>
        </row>
        <row r="2453">
          <cell r="D2453" t="str">
            <v>DD-J10-55023-631</v>
          </cell>
          <cell r="E2453" t="str">
            <v>衬套</v>
          </cell>
        </row>
        <row r="2454">
          <cell r="D2454" t="str">
            <v>DD-J10-55023-631</v>
          </cell>
          <cell r="E2454" t="str">
            <v>衬套</v>
          </cell>
        </row>
        <row r="2455">
          <cell r="D2455" t="str">
            <v>DD-J10-41123-1102</v>
          </cell>
          <cell r="E2455" t="str">
            <v>堵塞</v>
          </cell>
        </row>
        <row r="2456">
          <cell r="D2456" t="str">
            <v>DD-J10-41123-1102</v>
          </cell>
          <cell r="E2456" t="str">
            <v>堵塞</v>
          </cell>
        </row>
        <row r="2457">
          <cell r="D2457" t="str">
            <v>DD-J10-55051-1220-3</v>
          </cell>
          <cell r="E2457" t="str">
            <v>支座管</v>
          </cell>
        </row>
        <row r="2458">
          <cell r="D2458" t="str">
            <v>DD-J10-55051-1220-3</v>
          </cell>
          <cell r="E2458" t="str">
            <v>支座管</v>
          </cell>
        </row>
        <row r="2459">
          <cell r="D2459" t="str">
            <v>DD-J10-41143-110-2</v>
          </cell>
          <cell r="E2459" t="str">
            <v>螺帽</v>
          </cell>
        </row>
        <row r="2460">
          <cell r="D2460" t="str">
            <v>DD-J10-41143-110-2</v>
          </cell>
          <cell r="E2460" t="str">
            <v>螺帽</v>
          </cell>
        </row>
        <row r="2461">
          <cell r="D2461" t="str">
            <v>DD-J10-55165-1430-2</v>
          </cell>
          <cell r="E2461" t="str">
            <v>衬套</v>
          </cell>
        </row>
        <row r="2462">
          <cell r="D2462" t="str">
            <v>DD-J10-55165-1430-2</v>
          </cell>
          <cell r="E2462" t="str">
            <v>衬套</v>
          </cell>
        </row>
        <row r="2463">
          <cell r="D2463" t="str">
            <v>DD-J10-55165-3110-1</v>
          </cell>
          <cell r="E2463" t="str">
            <v>衬套</v>
          </cell>
        </row>
        <row r="2464">
          <cell r="D2464" t="str">
            <v>DD-J10-55181-420-1</v>
          </cell>
          <cell r="E2464" t="str">
            <v>衬套</v>
          </cell>
        </row>
        <row r="2465">
          <cell r="D2465" t="str">
            <v>DD-J10-55181-420-1</v>
          </cell>
          <cell r="E2465" t="str">
            <v>衬套</v>
          </cell>
        </row>
        <row r="2466">
          <cell r="D2466" t="str">
            <v>DD-J10-05216-32</v>
          </cell>
          <cell r="E2466" t="str">
            <v>转接头</v>
          </cell>
        </row>
        <row r="2467">
          <cell r="D2467" t="str">
            <v>DD-J10B-02021-3/1-Z</v>
          </cell>
          <cell r="E2467" t="str">
            <v>雷达罩锁支座</v>
          </cell>
        </row>
        <row r="2468">
          <cell r="D2468" t="str">
            <v>DD-J10B-02021-3/1-Z</v>
          </cell>
          <cell r="E2468" t="str">
            <v>雷达罩锁支座</v>
          </cell>
        </row>
        <row r="2469">
          <cell r="D2469" t="str">
            <v>DD-J10B-02021-3/1-Z</v>
          </cell>
          <cell r="E2469" t="str">
            <v>雷达罩锁支座</v>
          </cell>
        </row>
        <row r="2470">
          <cell r="D2470" t="str">
            <v>DD-J10B-02021-3/2-Z</v>
          </cell>
          <cell r="E2470" t="str">
            <v>雷达罩锁支座</v>
          </cell>
        </row>
        <row r="2471">
          <cell r="D2471" t="str">
            <v>DD-J10B-02021-3/2-Z</v>
          </cell>
          <cell r="E2471" t="str">
            <v>雷达罩锁支座</v>
          </cell>
        </row>
        <row r="2472">
          <cell r="D2472" t="str">
            <v>DD-J10B-02021-3/2-Z</v>
          </cell>
          <cell r="E2472" t="str">
            <v>雷达罩锁支座</v>
          </cell>
        </row>
        <row r="2473">
          <cell r="D2473" t="str">
            <v>BC2332100-001-002</v>
          </cell>
          <cell r="E2473" t="str">
            <v>卡箍支架（左）</v>
          </cell>
        </row>
        <row r="2474">
          <cell r="D2474" t="str">
            <v>BC2332100-002-002</v>
          </cell>
          <cell r="E2474" t="str">
            <v>卡箍支架（右）</v>
          </cell>
        </row>
        <row r="2475">
          <cell r="D2475" t="str">
            <v>XX2-1-000-01</v>
          </cell>
          <cell r="E2475" t="str">
            <v>主级壳体</v>
          </cell>
        </row>
        <row r="2476">
          <cell r="D2476" t="str">
            <v>XX2-1-000-02</v>
          </cell>
          <cell r="E2476" t="str">
            <v>主级顶盖</v>
          </cell>
        </row>
        <row r="2477">
          <cell r="D2477" t="str">
            <v>XX2-1-000-03</v>
          </cell>
          <cell r="E2477" t="str">
            <v>支柱</v>
          </cell>
        </row>
        <row r="2478">
          <cell r="D2478" t="str">
            <v>XX2-1-000-04</v>
          </cell>
          <cell r="E2478" t="str">
            <v>压线板</v>
          </cell>
        </row>
        <row r="2479">
          <cell r="D2479" t="str">
            <v>XX2-1-000-05</v>
          </cell>
          <cell r="E2479" t="str">
            <v>压环</v>
          </cell>
        </row>
        <row r="2480">
          <cell r="D2480" t="str">
            <v>XX2-2-000-01</v>
          </cell>
          <cell r="E2480" t="str">
            <v>前级壳体</v>
          </cell>
        </row>
        <row r="2481">
          <cell r="D2481" t="str">
            <v>XX2-2-000-02</v>
          </cell>
          <cell r="E2481" t="str">
            <v>前级顶盖</v>
          </cell>
        </row>
        <row r="2482">
          <cell r="D2482" t="str">
            <v>XX2-S-001</v>
          </cell>
          <cell r="E2482" t="str">
            <v>支撑板</v>
          </cell>
        </row>
        <row r="2483">
          <cell r="D2483" t="str">
            <v>XX2-S-002</v>
          </cell>
          <cell r="E2483" t="str">
            <v>支柱销</v>
          </cell>
        </row>
        <row r="2484">
          <cell r="D2484" t="str">
            <v>XXXXX/C1-3210-02</v>
          </cell>
          <cell r="E2484" t="str">
            <v>引线片</v>
          </cell>
        </row>
        <row r="2485">
          <cell r="D2485" t="str">
            <v>DD-J10-55165-703</v>
          </cell>
          <cell r="E2485" t="str">
            <v>摇臂</v>
          </cell>
        </row>
        <row r="2486">
          <cell r="D2486" t="str">
            <v>DD-J10-55165-703</v>
          </cell>
          <cell r="E2486" t="str">
            <v>摇臂</v>
          </cell>
        </row>
        <row r="2487">
          <cell r="D2487" t="str">
            <v>DD-J10B-65000-1720G2-1</v>
          </cell>
          <cell r="E2487" t="str">
            <v>管子</v>
          </cell>
        </row>
        <row r="2488">
          <cell r="D2488" t="str">
            <v>DD-J10B-65000-1720G2-1</v>
          </cell>
          <cell r="E2488" t="str">
            <v>管子</v>
          </cell>
        </row>
        <row r="2489">
          <cell r="D2489" t="str">
            <v>DD-J10B-65000-1720G2-1</v>
          </cell>
          <cell r="E2489" t="str">
            <v>管子</v>
          </cell>
        </row>
        <row r="2490">
          <cell r="D2490" t="str">
            <v>DD-J10B-94076-803</v>
          </cell>
          <cell r="E2490" t="str">
            <v>支架</v>
          </cell>
        </row>
        <row r="2491">
          <cell r="D2491" t="str">
            <v>DD-J10B-94076-803</v>
          </cell>
          <cell r="E2491" t="str">
            <v>支架</v>
          </cell>
        </row>
        <row r="2492">
          <cell r="D2492" t="str">
            <v>DD-J10B-86051-2</v>
          </cell>
          <cell r="E2492" t="str">
            <v>激励器转接件</v>
          </cell>
        </row>
        <row r="2493">
          <cell r="D2493" t="str">
            <v>DD-J10B-86051-2</v>
          </cell>
          <cell r="E2493" t="str">
            <v>激励器转接件</v>
          </cell>
        </row>
        <row r="2494">
          <cell r="D2494" t="str">
            <v>J10B-26002-100G2-1G2-Z</v>
          </cell>
          <cell r="E2494" t="str">
            <v>翼尖接头</v>
          </cell>
        </row>
        <row r="2495">
          <cell r="D2495" t="str">
            <v>DD-J10B-65000-1710G2-1</v>
          </cell>
          <cell r="E2495" t="str">
            <v>连杆</v>
          </cell>
        </row>
        <row r="2496">
          <cell r="D2496" t="str">
            <v>DD-J10B-65000-1710G2-1</v>
          </cell>
          <cell r="E2496" t="str">
            <v>连杆</v>
          </cell>
        </row>
        <row r="2497">
          <cell r="D2497" t="str">
            <v>DD-J10B-65000-1710G2-1</v>
          </cell>
          <cell r="E2497" t="str">
            <v>连杆</v>
          </cell>
        </row>
        <row r="2498">
          <cell r="D2498" t="str">
            <v>DD-J10-21102-60/-1/1-Y</v>
          </cell>
          <cell r="E2498" t="str">
            <v>11968下口盖</v>
          </cell>
        </row>
        <row r="2499">
          <cell r="D2499" t="str">
            <v>DD-J10-21102-60/-1/1-Y</v>
          </cell>
          <cell r="E2499" t="str">
            <v>11968下口盖</v>
          </cell>
        </row>
        <row r="2500">
          <cell r="D2500" t="str">
            <v>DD-J10-21102-60/-1/2-Z</v>
          </cell>
          <cell r="E2500" t="str">
            <v>11968下口盖</v>
          </cell>
        </row>
        <row r="2501">
          <cell r="D2501" t="str">
            <v>DD-J10-21102-60/-1/2-Z</v>
          </cell>
          <cell r="E2501" t="str">
            <v>11968下口盖</v>
          </cell>
        </row>
        <row r="2502">
          <cell r="D2502" t="str">
            <v>DD-J10-21102-60/-1/2-Y</v>
          </cell>
          <cell r="E2502" t="str">
            <v>11968下口盖</v>
          </cell>
        </row>
        <row r="2503">
          <cell r="D2503" t="str">
            <v>DD-J10-21102-60/-1/2-Y</v>
          </cell>
          <cell r="E2503" t="str">
            <v>11968下口盖</v>
          </cell>
        </row>
        <row r="2504">
          <cell r="D2504" t="str">
            <v>DD-J10-21102-60/-1/3-Y</v>
          </cell>
          <cell r="E2504" t="str">
            <v>11968下口盖</v>
          </cell>
        </row>
        <row r="2505">
          <cell r="D2505" t="str">
            <v>DD-J10-21102-60/-1/3-Y</v>
          </cell>
          <cell r="E2505" t="str">
            <v>11968下口盖</v>
          </cell>
        </row>
        <row r="2506">
          <cell r="D2506" t="str">
            <v>DD-J10-21102-60/-1/3-Z</v>
          </cell>
          <cell r="E2506" t="str">
            <v>11968下口盖</v>
          </cell>
        </row>
        <row r="2507">
          <cell r="D2507" t="str">
            <v>DD-J10-21102-60/-1/3-Z</v>
          </cell>
          <cell r="E2507" t="str">
            <v>11968下口盖</v>
          </cell>
        </row>
        <row r="2508">
          <cell r="D2508" t="str">
            <v>DD-J10-41153-41</v>
          </cell>
          <cell r="E2508" t="str">
            <v>单耳接头</v>
          </cell>
        </row>
        <row r="2509">
          <cell r="D2509" t="str">
            <v>DD-J10-41153-42</v>
          </cell>
          <cell r="E2509" t="str">
            <v>螺纹接头</v>
          </cell>
        </row>
        <row r="2510">
          <cell r="D2510" t="str">
            <v>DD-J10-41035-120-1</v>
          </cell>
          <cell r="E2510" t="str">
            <v>管子</v>
          </cell>
        </row>
        <row r="2511">
          <cell r="D2511" t="str">
            <v>DD-J10-21102-2-Y</v>
          </cell>
          <cell r="E2511" t="str">
            <v>1号下壁板（右件）</v>
          </cell>
        </row>
        <row r="2512">
          <cell r="D2512" t="str">
            <v>CB5713600-001L006</v>
          </cell>
          <cell r="E2512" t="str">
            <v>前梁一段</v>
          </cell>
        </row>
        <row r="2513">
          <cell r="D2513" t="str">
            <v>CB5713600-001L006</v>
          </cell>
          <cell r="E2513" t="str">
            <v>前梁一段</v>
          </cell>
        </row>
        <row r="2514">
          <cell r="D2514" t="str">
            <v>DD-J10B-04321-30-1-Z</v>
          </cell>
          <cell r="E2514" t="str">
            <v>侧下梁（左件）</v>
          </cell>
        </row>
        <row r="2515">
          <cell r="D2515" t="str">
            <v>DD-J10B-04321-30-1-Z</v>
          </cell>
          <cell r="E2515" t="str">
            <v>侧下梁（左件）</v>
          </cell>
        </row>
        <row r="2516">
          <cell r="D2516" t="str">
            <v>DD-J10B-04321-30-1-Z</v>
          </cell>
          <cell r="E2516" t="str">
            <v>侧下梁（左件）</v>
          </cell>
        </row>
        <row r="2517">
          <cell r="D2517" t="str">
            <v>DD-J10B-04321-30-1-Z</v>
          </cell>
          <cell r="E2517" t="str">
            <v>侧下梁（左件）</v>
          </cell>
        </row>
        <row r="2518">
          <cell r="D2518" t="str">
            <v>DD-J10B-04321-30-1-Z</v>
          </cell>
          <cell r="E2518" t="str">
            <v>侧下梁（左件）</v>
          </cell>
        </row>
        <row r="2519">
          <cell r="D2519" t="str">
            <v>DD-J10B-04321-30-1-Z</v>
          </cell>
          <cell r="E2519" t="str">
            <v>侧下梁（左件）</v>
          </cell>
        </row>
        <row r="2520">
          <cell r="D2520" t="str">
            <v>DD-J10B-04321-30-1-Y</v>
          </cell>
          <cell r="E2520" t="str">
            <v>侧下梁（右件）</v>
          </cell>
        </row>
        <row r="2521">
          <cell r="D2521" t="str">
            <v>DD-J10B-04321-30-1-Y</v>
          </cell>
          <cell r="E2521" t="str">
            <v>侧下梁（右件）</v>
          </cell>
        </row>
        <row r="2522">
          <cell r="D2522" t="str">
            <v>DD-J10B-04321-30-1-Y</v>
          </cell>
          <cell r="E2522" t="str">
            <v>侧下梁（右件）</v>
          </cell>
        </row>
        <row r="2523">
          <cell r="D2523" t="str">
            <v>DD-J10B-04321-30-1-Y</v>
          </cell>
          <cell r="E2523" t="str">
            <v>侧下梁（右件）</v>
          </cell>
        </row>
        <row r="2524">
          <cell r="D2524" t="str">
            <v>DD-J10B-04321-30-1-Y</v>
          </cell>
          <cell r="E2524" t="str">
            <v>侧下梁（右件）</v>
          </cell>
        </row>
        <row r="2525">
          <cell r="D2525" t="str">
            <v>DD-J10B-04321-30-1-Y</v>
          </cell>
          <cell r="E2525" t="str">
            <v>侧下梁（右件）</v>
          </cell>
        </row>
        <row r="2526">
          <cell r="D2526" t="str">
            <v>CB5315190-002R001</v>
          </cell>
          <cell r="E2526" t="str">
            <v>WL-600地板梁</v>
          </cell>
        </row>
        <row r="2527">
          <cell r="D2527" t="str">
            <v>CB5315190-002R001</v>
          </cell>
          <cell r="E2527" t="str">
            <v>WL-600地板梁</v>
          </cell>
        </row>
        <row r="2528">
          <cell r="D2528" t="str">
            <v>DD-J10-54101-201</v>
          </cell>
          <cell r="E2528" t="str">
            <v>支座</v>
          </cell>
        </row>
        <row r="2529">
          <cell r="D2529" t="str">
            <v>DD-J10-54101-201</v>
          </cell>
          <cell r="E2529" t="str">
            <v>支座</v>
          </cell>
        </row>
        <row r="2530">
          <cell r="D2530" t="str">
            <v>DD-J10-54101-201</v>
          </cell>
          <cell r="E2530" t="str">
            <v>支座</v>
          </cell>
        </row>
        <row r="2531">
          <cell r="D2531" t="str">
            <v>DD-J10B-63001-651</v>
          </cell>
          <cell r="E2531" t="str">
            <v>法兰盘</v>
          </cell>
        </row>
        <row r="2532">
          <cell r="D2532" t="str">
            <v>DD-J10B-63001-651</v>
          </cell>
          <cell r="E2532" t="str">
            <v>法兰盘</v>
          </cell>
        </row>
        <row r="2533">
          <cell r="D2533" t="str">
            <v>DD-J10B-63001-651</v>
          </cell>
          <cell r="E2533" t="str">
            <v>法兰盘</v>
          </cell>
        </row>
        <row r="2534">
          <cell r="D2534" t="str">
            <v>DD-J10B-65000-1820G2-1</v>
          </cell>
          <cell r="E2534" t="str">
            <v>摇臂</v>
          </cell>
        </row>
        <row r="2535">
          <cell r="D2535" t="str">
            <v>DD-J10B-65000-1820G2-1</v>
          </cell>
          <cell r="E2535" t="str">
            <v>摇臂</v>
          </cell>
        </row>
        <row r="2536">
          <cell r="D2536" t="str">
            <v>DD-J10B-67011-20010-2</v>
          </cell>
          <cell r="E2536" t="str">
            <v>弓形件</v>
          </cell>
        </row>
        <row r="2537">
          <cell r="D2537" t="str">
            <v>DD-J10B-67011-20010-2</v>
          </cell>
          <cell r="E2537" t="str">
            <v>弓形件</v>
          </cell>
        </row>
        <row r="2538">
          <cell r="D2538" t="str">
            <v>DD-J10-67096-50-1</v>
          </cell>
          <cell r="E2538" t="str">
            <v>Z型件</v>
          </cell>
        </row>
        <row r="2539">
          <cell r="D2539" t="str">
            <v>DD-J10-67096-50-1</v>
          </cell>
          <cell r="E2539" t="str">
            <v>Z型件</v>
          </cell>
        </row>
        <row r="2540">
          <cell r="D2540" t="str">
            <v>DD-J10-06051-24</v>
          </cell>
          <cell r="E2540" t="str">
            <v>手柄</v>
          </cell>
        </row>
        <row r="2541">
          <cell r="D2541" t="str">
            <v>DD-J10-06051-24</v>
          </cell>
          <cell r="E2541" t="str">
            <v>手柄</v>
          </cell>
        </row>
        <row r="2542">
          <cell r="D2542" t="str">
            <v>DD-J10-63001-511</v>
          </cell>
          <cell r="E2542" t="str">
            <v>阳密封式法兰盘</v>
          </cell>
        </row>
        <row r="2543">
          <cell r="D2543" t="str">
            <v>DD-J10-21102-555-Y</v>
          </cell>
          <cell r="E2543" t="str">
            <v>1780肋五段（右件）</v>
          </cell>
        </row>
        <row r="2544">
          <cell r="D2544" t="str">
            <v>DD-J10-21102-555-Z</v>
          </cell>
          <cell r="E2544" t="str">
            <v>1780肋五段（左件）</v>
          </cell>
        </row>
        <row r="2545">
          <cell r="D2545" t="str">
            <v>DD-J10-21102-555-Z</v>
          </cell>
          <cell r="E2545" t="str">
            <v>1780肋五段（左件）</v>
          </cell>
        </row>
        <row r="2546">
          <cell r="D2546" t="str">
            <v>DD-J10-34103-4</v>
          </cell>
          <cell r="E2546" t="str">
            <v>上边肋</v>
          </cell>
        </row>
        <row r="2547">
          <cell r="D2547" t="str">
            <v>DD-J10-34103-4</v>
          </cell>
          <cell r="E2547" t="str">
            <v>上边肋</v>
          </cell>
        </row>
        <row r="2548">
          <cell r="D2548" t="str">
            <v>DD-J10B-02161-501</v>
          </cell>
          <cell r="E2548" t="str">
            <v>5755横框</v>
          </cell>
        </row>
        <row r="2549">
          <cell r="D2549" t="str">
            <v>DD-J10B-02161-501</v>
          </cell>
          <cell r="E2549" t="str">
            <v>5755横框</v>
          </cell>
        </row>
        <row r="2550">
          <cell r="D2550" t="str">
            <v>DD-J10B-02161-501</v>
          </cell>
          <cell r="E2550" t="str">
            <v>5755横框</v>
          </cell>
        </row>
        <row r="2551">
          <cell r="D2551" t="str">
            <v>CB5315190-002L001</v>
          </cell>
          <cell r="E2551" t="str">
            <v>WL-600地板梁</v>
          </cell>
        </row>
        <row r="2552">
          <cell r="D2552" t="str">
            <v>CB5315190-002L001</v>
          </cell>
          <cell r="E2552" t="str">
            <v>WL-600地板梁</v>
          </cell>
        </row>
        <row r="2553">
          <cell r="D2553" t="str">
            <v>DD-J10B-04011-1</v>
          </cell>
          <cell r="E2553" t="str">
            <v>7100框</v>
          </cell>
        </row>
        <row r="2554">
          <cell r="D2554" t="str">
            <v>DD-J10B-04011-1</v>
          </cell>
          <cell r="E2554" t="str">
            <v>7100框</v>
          </cell>
        </row>
        <row r="2555">
          <cell r="D2555" t="str">
            <v>DD-J10B-78001-460-1</v>
          </cell>
          <cell r="E2555" t="str">
            <v>铰链</v>
          </cell>
        </row>
        <row r="2556">
          <cell r="D2556" t="str">
            <v>DD-J10B-78001-460-1</v>
          </cell>
          <cell r="E2556" t="str">
            <v>铰链</v>
          </cell>
        </row>
        <row r="2557">
          <cell r="D2557" t="str">
            <v>DD-J10-64016-210-1</v>
          </cell>
          <cell r="E2557" t="str">
            <v>管子</v>
          </cell>
        </row>
        <row r="2558">
          <cell r="D2558" t="str">
            <v>DD-J10-64016-210-1</v>
          </cell>
          <cell r="E2558" t="str">
            <v>管子</v>
          </cell>
        </row>
        <row r="2559">
          <cell r="D2559" t="str">
            <v>DD-J10-55121-1</v>
          </cell>
          <cell r="E2559" t="str">
            <v>三通管接头</v>
          </cell>
        </row>
        <row r="2560">
          <cell r="D2560" t="str">
            <v>DD-J10-55121-1</v>
          </cell>
          <cell r="E2560" t="str">
            <v>三通管接头</v>
          </cell>
        </row>
        <row r="2561">
          <cell r="D2561" t="str">
            <v>DD-J10-55121-1</v>
          </cell>
          <cell r="E2561" t="str">
            <v>三通管接头</v>
          </cell>
        </row>
        <row r="2562">
          <cell r="D2562" t="str">
            <v>DD-J10-55121-1</v>
          </cell>
          <cell r="E2562" t="str">
            <v>三通管接头</v>
          </cell>
        </row>
        <row r="2563">
          <cell r="D2563" t="str">
            <v>DD-J10B-65000-1810G2-1</v>
          </cell>
          <cell r="E2563" t="str">
            <v>支座</v>
          </cell>
        </row>
        <row r="2564">
          <cell r="D2564" t="str">
            <v>DD-J10B-65000-1810G2-1</v>
          </cell>
          <cell r="E2564" t="str">
            <v>支座</v>
          </cell>
        </row>
        <row r="2565">
          <cell r="D2565" t="str">
            <v>DD-J10B-65000-1810G2-1</v>
          </cell>
          <cell r="E2565" t="str">
            <v>支座</v>
          </cell>
        </row>
        <row r="2566">
          <cell r="D2566" t="str">
            <v>DD-J10B-65000-1810G2-1</v>
          </cell>
          <cell r="E2566" t="str">
            <v>支座</v>
          </cell>
        </row>
        <row r="2567">
          <cell r="D2567" t="str">
            <v>DD-J10B-65000-1810G2-1</v>
          </cell>
          <cell r="E2567" t="str">
            <v>支座</v>
          </cell>
        </row>
        <row r="2568">
          <cell r="D2568" t="str">
            <v>J10B-26002-100G2-1G2-Y</v>
          </cell>
          <cell r="E2568" t="str">
            <v>翼尖接头</v>
          </cell>
        </row>
        <row r="2569">
          <cell r="D2569" t="str">
            <v>DD-J10-94011-570-3</v>
          </cell>
          <cell r="E2569" t="str">
            <v>管子</v>
          </cell>
        </row>
        <row r="2570">
          <cell r="D2570" t="str">
            <v>DD-J10S-94076-630-1</v>
          </cell>
          <cell r="E2570" t="str">
            <v>管子</v>
          </cell>
        </row>
        <row r="2571">
          <cell r="D2571" t="str">
            <v>DD-J10B-02021-52/1-Z</v>
          </cell>
          <cell r="E2571" t="str">
            <v>锁芯</v>
          </cell>
        </row>
        <row r="2572">
          <cell r="D2572" t="str">
            <v>DD-J10B-02021-52/1-Y</v>
          </cell>
          <cell r="E2572" t="str">
            <v>锁芯</v>
          </cell>
        </row>
        <row r="2573">
          <cell r="D2573" t="str">
            <v>DD-J10B-02021-52/2-Z</v>
          </cell>
          <cell r="E2573" t="str">
            <v>锁芯</v>
          </cell>
        </row>
        <row r="2574">
          <cell r="D2574" t="str">
            <v>DD-J10B-02021-52/2-Y</v>
          </cell>
          <cell r="E2574" t="str">
            <v>锁芯</v>
          </cell>
        </row>
        <row r="2575">
          <cell r="D2575" t="str">
            <v>DD-J10-34003-2</v>
          </cell>
          <cell r="E2575" t="str">
            <v>后梁</v>
          </cell>
        </row>
        <row r="2576">
          <cell r="D2576" t="str">
            <v>DD-J10-34003-2</v>
          </cell>
          <cell r="E2576" t="str">
            <v>后梁</v>
          </cell>
        </row>
        <row r="2577">
          <cell r="D2577" t="str">
            <v>DD-J10-34003-2</v>
          </cell>
          <cell r="E2577" t="str">
            <v>后梁</v>
          </cell>
        </row>
        <row r="2578">
          <cell r="D2578" t="str">
            <v>DD-J10-34003-2</v>
          </cell>
          <cell r="E2578" t="str">
            <v>后梁</v>
          </cell>
        </row>
        <row r="2579">
          <cell r="D2579" t="str">
            <v>DD-J10-21002-1-Y</v>
          </cell>
          <cell r="E2579" t="str">
            <v>4号上壁板（右件）</v>
          </cell>
        </row>
        <row r="2580">
          <cell r="D2580" t="str">
            <v>DD-J10-21002-1-Y</v>
          </cell>
          <cell r="E2580" t="str">
            <v>4号上壁板（右件）</v>
          </cell>
        </row>
        <row r="2581">
          <cell r="D2581" t="str">
            <v>DD-J10-21002-1-Y</v>
          </cell>
          <cell r="E2581" t="str">
            <v>4号上壁板（右件）</v>
          </cell>
        </row>
        <row r="2582">
          <cell r="D2582" t="str">
            <v>DD-J10-21002-1-Y</v>
          </cell>
          <cell r="E2582" t="str">
            <v>4号上壁板（右件）</v>
          </cell>
        </row>
        <row r="2583">
          <cell r="D2583" t="str">
            <v>DD-J10-21002-1-Z</v>
          </cell>
          <cell r="E2583" t="str">
            <v>4号上壁板（左件）</v>
          </cell>
        </row>
        <row r="2584">
          <cell r="D2584" t="str">
            <v>DD-J10-21002-1-Z</v>
          </cell>
          <cell r="E2584" t="str">
            <v>4号上壁板（左件）</v>
          </cell>
        </row>
        <row r="2585">
          <cell r="D2585" t="str">
            <v>DD-J10-21002-1-Z</v>
          </cell>
          <cell r="E2585" t="str">
            <v>4号上壁板（左件）</v>
          </cell>
        </row>
        <row r="2586">
          <cell r="D2586" t="str">
            <v>DD-J10-21002-1-Z</v>
          </cell>
          <cell r="E2586" t="str">
            <v>4号上壁板（左件）</v>
          </cell>
        </row>
        <row r="2587">
          <cell r="D2587" t="str">
            <v>CB5714200-001L001</v>
          </cell>
          <cell r="E2587" t="str">
            <v>2470肋一段</v>
          </cell>
        </row>
        <row r="2588">
          <cell r="D2588" t="str">
            <v>CB5714200-001L001</v>
          </cell>
          <cell r="E2588" t="str">
            <v>2470肋一段</v>
          </cell>
        </row>
        <row r="2589">
          <cell r="D2589" t="str">
            <v>CB5714200-001R001</v>
          </cell>
          <cell r="E2589" t="str">
            <v>2470肋一段</v>
          </cell>
        </row>
        <row r="2590">
          <cell r="D2590" t="str">
            <v>CB5714200-001R001</v>
          </cell>
          <cell r="E2590" t="str">
            <v>2470肋一段</v>
          </cell>
        </row>
        <row r="2591">
          <cell r="D2591" t="str">
            <v>CB5714200-005R002</v>
          </cell>
          <cell r="E2591" t="str">
            <v>2470肋五段</v>
          </cell>
        </row>
        <row r="2592">
          <cell r="D2592" t="str">
            <v>CB5714200-005R002</v>
          </cell>
          <cell r="E2592" t="str">
            <v>2470肋五段</v>
          </cell>
        </row>
        <row r="2593">
          <cell r="D2593" t="str">
            <v>CB5714200-005L002</v>
          </cell>
          <cell r="E2593" t="str">
            <v>2470肋五段</v>
          </cell>
        </row>
        <row r="2594">
          <cell r="D2594" t="str">
            <v>CB5714200-005L002</v>
          </cell>
          <cell r="E2594" t="str">
            <v>2470肋五段</v>
          </cell>
        </row>
        <row r="2595">
          <cell r="D2595" t="str">
            <v>CB5314300-025-003</v>
          </cell>
          <cell r="E2595" t="str">
            <v>蒙皮加强件</v>
          </cell>
        </row>
        <row r="2596">
          <cell r="D2596" t="str">
            <v>CB5314300-025-003</v>
          </cell>
          <cell r="E2596" t="str">
            <v>蒙皮加强件</v>
          </cell>
        </row>
        <row r="2597">
          <cell r="D2597" t="str">
            <v>CB5315191-014L003</v>
          </cell>
          <cell r="E2597" t="str">
            <v>排气下侧壁</v>
          </cell>
        </row>
        <row r="2598">
          <cell r="D2598" t="str">
            <v>CB5315191-014L003</v>
          </cell>
          <cell r="E2598" t="str">
            <v>排气下侧壁</v>
          </cell>
        </row>
        <row r="2599">
          <cell r="D2599" t="str">
            <v>CB5315191-014R003</v>
          </cell>
          <cell r="E2599" t="str">
            <v>排气下侧壁</v>
          </cell>
        </row>
        <row r="2600">
          <cell r="D2600" t="str">
            <v>CB5315191-014R003</v>
          </cell>
          <cell r="E2600" t="str">
            <v>排气下侧壁</v>
          </cell>
        </row>
        <row r="2601">
          <cell r="D2601" t="str">
            <v>CB5315191-014R003</v>
          </cell>
          <cell r="E2601" t="str">
            <v>排气下侧壁</v>
          </cell>
        </row>
        <row r="2602">
          <cell r="D2602" t="str">
            <v>CB5315191-012R003</v>
          </cell>
          <cell r="E2602" t="str">
            <v>进气下侧壁</v>
          </cell>
        </row>
        <row r="2603">
          <cell r="D2603" t="str">
            <v>CB5315191-012R003</v>
          </cell>
          <cell r="E2603" t="str">
            <v>进气下侧壁</v>
          </cell>
        </row>
        <row r="2604">
          <cell r="D2604" t="str">
            <v>CB5315191-012R003</v>
          </cell>
          <cell r="E2604" t="str">
            <v>进气下侧壁</v>
          </cell>
        </row>
        <row r="2605">
          <cell r="D2605" t="str">
            <v>CB5324320-004L006</v>
          </cell>
          <cell r="E2605" t="str">
            <v>侧下支持件</v>
          </cell>
        </row>
        <row r="2606">
          <cell r="D2606" t="str">
            <v>CB5324320-004L006</v>
          </cell>
          <cell r="E2606" t="str">
            <v>侧下支持件</v>
          </cell>
        </row>
        <row r="2607">
          <cell r="D2607" t="str">
            <v>CB5324320-004R006</v>
          </cell>
          <cell r="E2607" t="str">
            <v>侧下支持件</v>
          </cell>
        </row>
        <row r="2608">
          <cell r="D2608" t="str">
            <v>CB5324320-004R006</v>
          </cell>
          <cell r="E2608" t="str">
            <v>侧下支持件</v>
          </cell>
        </row>
        <row r="2609">
          <cell r="D2609" t="str">
            <v>DD-J10B-21302-40G2-1-Z</v>
          </cell>
          <cell r="E2609" t="str">
            <v>后梁四段</v>
          </cell>
        </row>
        <row r="2610">
          <cell r="D2610" t="str">
            <v>DD-J10B-06061-22</v>
          </cell>
          <cell r="E2610" t="str">
            <v>摇臂</v>
          </cell>
        </row>
        <row r="2611">
          <cell r="D2611" t="str">
            <v>DD-J10B-06061-22</v>
          </cell>
          <cell r="E2611" t="str">
            <v>摇臂</v>
          </cell>
        </row>
        <row r="2612">
          <cell r="D2612" t="str">
            <v>DD-J10S-54101-1302</v>
          </cell>
          <cell r="E2612" t="str">
            <v>衬套</v>
          </cell>
        </row>
        <row r="2613">
          <cell r="D2613" t="str">
            <v>XXX-500-02</v>
          </cell>
          <cell r="E2613" t="str">
            <v>电极B</v>
          </cell>
        </row>
        <row r="2614">
          <cell r="D2614" t="str">
            <v>XXX-500-02</v>
          </cell>
          <cell r="E2614" t="str">
            <v>电极B</v>
          </cell>
        </row>
        <row r="2615">
          <cell r="D2615" t="str">
            <v>XXX-500-02</v>
          </cell>
          <cell r="E2615" t="str">
            <v>电极B</v>
          </cell>
        </row>
        <row r="2616">
          <cell r="D2616" t="str">
            <v>XXX-500-02</v>
          </cell>
          <cell r="E2616" t="str">
            <v>电极B</v>
          </cell>
        </row>
        <row r="2617">
          <cell r="D2617" t="str">
            <v>XXX-500-02</v>
          </cell>
          <cell r="E2617" t="str">
            <v>电极B</v>
          </cell>
        </row>
        <row r="2618">
          <cell r="D2618" t="str">
            <v>XXX-500-02</v>
          </cell>
          <cell r="E2618" t="str">
            <v>电极B</v>
          </cell>
        </row>
        <row r="2619">
          <cell r="D2619" t="str">
            <v>DD-J10B-21402-10G2-1G2-Y</v>
          </cell>
          <cell r="E2619" t="str">
            <v>固定前缘边肋（右件）</v>
          </cell>
        </row>
        <row r="2620">
          <cell r="D2620" t="str">
            <v>DD-J10B-21402-10G2-1G2-Y</v>
          </cell>
          <cell r="E2620" t="str">
            <v>固定前缘边肋（右件）</v>
          </cell>
        </row>
        <row r="2621">
          <cell r="D2621" t="str">
            <v>DD-J10B-21402-10G2-1G2-Z</v>
          </cell>
          <cell r="E2621" t="str">
            <v>固定前缘边肋（左件）</v>
          </cell>
        </row>
        <row r="2622">
          <cell r="D2622" t="str">
            <v>DD-J10B-21402-10G2-1G2-Z</v>
          </cell>
          <cell r="E2622" t="str">
            <v>固定前缘边肋（左件）</v>
          </cell>
        </row>
        <row r="2623">
          <cell r="D2623" t="str">
            <v>DD-J10B-04011-1</v>
          </cell>
          <cell r="E2623" t="str">
            <v>7100框</v>
          </cell>
        </row>
        <row r="2624">
          <cell r="D2624" t="str">
            <v>DD-J10B-04011-1</v>
          </cell>
          <cell r="E2624" t="str">
            <v>7100框</v>
          </cell>
        </row>
        <row r="2625">
          <cell r="D2625" t="str">
            <v>DD-J10B-04011-1</v>
          </cell>
          <cell r="E2625" t="str">
            <v>7100框</v>
          </cell>
        </row>
        <row r="2626">
          <cell r="D2626" t="str">
            <v>DD-J10B-04011-1</v>
          </cell>
          <cell r="E2626" t="str">
            <v>7100框</v>
          </cell>
        </row>
        <row r="2627">
          <cell r="D2627" t="str">
            <v>DD-J10B-04321-30-1-Y</v>
          </cell>
          <cell r="E2627" t="str">
            <v>侧下梁（右件）</v>
          </cell>
        </row>
        <row r="2628">
          <cell r="D2628" t="str">
            <v>DD-J10B-04321-30-1-Y</v>
          </cell>
          <cell r="E2628" t="str">
            <v>侧下梁（右件）</v>
          </cell>
        </row>
        <row r="2629">
          <cell r="D2629" t="str">
            <v>DD-J10B-04321-30-1-Y</v>
          </cell>
          <cell r="E2629" t="str">
            <v>侧下梁（右件）</v>
          </cell>
        </row>
        <row r="2630">
          <cell r="D2630" t="str">
            <v>DD-J10B-04321-30-1-Y</v>
          </cell>
          <cell r="E2630" t="str">
            <v>侧下梁（右件）</v>
          </cell>
        </row>
        <row r="2631">
          <cell r="D2631" t="str">
            <v>DD-J10B-04321-30-1-Y</v>
          </cell>
          <cell r="E2631" t="str">
            <v>侧下梁（右件）</v>
          </cell>
        </row>
        <row r="2632">
          <cell r="D2632" t="str">
            <v>DD-J10B-04321-30-1-Y</v>
          </cell>
          <cell r="E2632" t="str">
            <v>侧下梁（右件）</v>
          </cell>
        </row>
        <row r="2633">
          <cell r="D2633" t="str">
            <v>DD-J10B-04321-30-1-Z</v>
          </cell>
          <cell r="E2633" t="str">
            <v>侧下梁（左件）</v>
          </cell>
        </row>
        <row r="2634">
          <cell r="D2634" t="str">
            <v>DD-J10B-04321-30-1-Z</v>
          </cell>
          <cell r="E2634" t="str">
            <v>侧下梁（左件）</v>
          </cell>
        </row>
        <row r="2635">
          <cell r="D2635" t="str">
            <v>DD-J10B-04321-30-1-Z</v>
          </cell>
          <cell r="E2635" t="str">
            <v>侧下梁（左件）</v>
          </cell>
        </row>
        <row r="2636">
          <cell r="D2636" t="str">
            <v>DD-J10B-04321-30-1-Z</v>
          </cell>
          <cell r="E2636" t="str">
            <v>侧下梁（左件）</v>
          </cell>
        </row>
        <row r="2637">
          <cell r="D2637" t="str">
            <v>DD-J10B-04321-30-1-Z</v>
          </cell>
          <cell r="E2637" t="str">
            <v>侧下梁（左件）</v>
          </cell>
        </row>
        <row r="2638">
          <cell r="D2638" t="str">
            <v>DD-J10B-04321-30-1-Z</v>
          </cell>
          <cell r="E2638" t="str">
            <v>侧下梁（左件）</v>
          </cell>
        </row>
        <row r="2639">
          <cell r="D2639" t="str">
            <v>XXXX-62-0000-03</v>
          </cell>
          <cell r="E2639" t="str">
            <v>压盖</v>
          </cell>
        </row>
        <row r="2640">
          <cell r="D2640" t="str">
            <v>DD-J10-21102-250-2-Z</v>
          </cell>
          <cell r="E2640" t="str">
            <v>11900梁二段</v>
          </cell>
        </row>
        <row r="2641">
          <cell r="D2641" t="str">
            <v>DD-J10B-54601-10-1</v>
          </cell>
          <cell r="E2641" t="str">
            <v>过渡板</v>
          </cell>
        </row>
        <row r="2642">
          <cell r="D2642" t="str">
            <v>DD-J10B-54601-10-1</v>
          </cell>
          <cell r="E2642" t="str">
            <v>过渡板</v>
          </cell>
        </row>
        <row r="2643">
          <cell r="D2643" t="str">
            <v>DD-J10B-54601-10-1</v>
          </cell>
          <cell r="E2643" t="str">
            <v>过渡板</v>
          </cell>
        </row>
        <row r="2644">
          <cell r="D2644" t="str">
            <v>CB5324500-003R002</v>
          </cell>
          <cell r="E2644" t="str">
            <v>前端框</v>
          </cell>
        </row>
        <row r="2645">
          <cell r="D2645" t="str">
            <v>CB5324500-003R002</v>
          </cell>
          <cell r="E2645" t="str">
            <v>前端框</v>
          </cell>
        </row>
        <row r="2646">
          <cell r="D2646" t="str">
            <v>CB5324500-003L002</v>
          </cell>
          <cell r="E2646" t="str">
            <v>前端框</v>
          </cell>
        </row>
        <row r="2647">
          <cell r="D2647" t="str">
            <v>CB5324500-003L002</v>
          </cell>
          <cell r="E2647" t="str">
            <v>前端框</v>
          </cell>
        </row>
        <row r="2648">
          <cell r="D2648" t="str">
            <v>CB5324500-004R004</v>
          </cell>
          <cell r="E2648" t="str">
            <v>后端框</v>
          </cell>
        </row>
        <row r="2649">
          <cell r="D2649" t="str">
            <v>CB5324500-004R004</v>
          </cell>
          <cell r="E2649" t="str">
            <v>后端框</v>
          </cell>
        </row>
        <row r="2650">
          <cell r="D2650" t="str">
            <v>CB5324500-004L004</v>
          </cell>
          <cell r="E2650" t="str">
            <v>后端框</v>
          </cell>
        </row>
        <row r="2651">
          <cell r="D2651" t="str">
            <v>CB5324500-004L004</v>
          </cell>
          <cell r="E2651" t="str">
            <v>后端框</v>
          </cell>
        </row>
        <row r="2652">
          <cell r="D2652" t="str">
            <v>DD-J10B-04041-1</v>
          </cell>
          <cell r="E2652" t="str">
            <v>10060框</v>
          </cell>
        </row>
        <row r="2653">
          <cell r="D2653" t="str">
            <v>DD-J10B-04041-1</v>
          </cell>
          <cell r="E2653" t="str">
            <v>10060框</v>
          </cell>
        </row>
        <row r="2654">
          <cell r="D2654" t="str">
            <v>DD-J10B-04041-1</v>
          </cell>
          <cell r="E2654" t="str">
            <v>10060框</v>
          </cell>
        </row>
        <row r="2655">
          <cell r="D2655" t="str">
            <v>CB5327120-002R033</v>
          </cell>
          <cell r="E2655" t="str">
            <v>8120侧隔框</v>
          </cell>
        </row>
        <row r="2656">
          <cell r="D2656" t="str">
            <v>CB5327120-002R033</v>
          </cell>
          <cell r="E2656" t="str">
            <v>8120侧隔框</v>
          </cell>
        </row>
        <row r="2657">
          <cell r="D2657" t="str">
            <v>CB5327120-002L033</v>
          </cell>
          <cell r="E2657" t="str">
            <v>8120侧隔框</v>
          </cell>
        </row>
        <row r="2658">
          <cell r="D2658" t="str">
            <v>CB5327120-002L033</v>
          </cell>
          <cell r="E2658" t="str">
            <v>8120侧隔框</v>
          </cell>
        </row>
        <row r="2659">
          <cell r="D2659" t="str">
            <v>CB5714100-001L004</v>
          </cell>
          <cell r="E2659" t="str">
            <v>根肋一段</v>
          </cell>
        </row>
        <row r="2660">
          <cell r="D2660" t="str">
            <v>CB5714100-001L004</v>
          </cell>
          <cell r="E2660" t="str">
            <v>根肋一段</v>
          </cell>
        </row>
        <row r="2661">
          <cell r="D2661" t="str">
            <v>CB5714100-004L002</v>
          </cell>
          <cell r="E2661" t="str">
            <v>根肋四段</v>
          </cell>
        </row>
        <row r="2662">
          <cell r="D2662" t="str">
            <v>CB5714100-004L002</v>
          </cell>
          <cell r="E2662" t="str">
            <v>根肋四段</v>
          </cell>
        </row>
        <row r="2663">
          <cell r="D2663" t="str">
            <v>CB5323120-001R005</v>
          </cell>
          <cell r="E2663" t="str">
            <v>7820~8270侧上梁</v>
          </cell>
        </row>
        <row r="2664">
          <cell r="D2664" t="str">
            <v>CB5323120-001R005</v>
          </cell>
          <cell r="E2664" t="str">
            <v>7820~8270侧上梁</v>
          </cell>
        </row>
        <row r="2665">
          <cell r="D2665" t="str">
            <v>CB5323120-001L002</v>
          </cell>
          <cell r="E2665" t="str">
            <v>7820~8270侧上梁</v>
          </cell>
        </row>
        <row r="2666">
          <cell r="D2666" t="str">
            <v>CB5323120-001L002</v>
          </cell>
          <cell r="E2666" t="str">
            <v>7820~8270侧上梁</v>
          </cell>
        </row>
        <row r="2667">
          <cell r="D2667" t="str">
            <v>DD-J10B-61001-2</v>
          </cell>
          <cell r="E2667" t="str">
            <v>接头</v>
          </cell>
        </row>
        <row r="2668">
          <cell r="D2668" t="str">
            <v>DD-J10S-54101-1106</v>
          </cell>
          <cell r="E2668" t="str">
            <v>销钉</v>
          </cell>
        </row>
        <row r="2669">
          <cell r="D2669" t="str">
            <v>CB2298621-001-002</v>
          </cell>
          <cell r="E2669" t="str">
            <v>支架</v>
          </cell>
        </row>
        <row r="2670">
          <cell r="D2670" t="str">
            <v>CB5714100-001R004</v>
          </cell>
          <cell r="E2670" t="str">
            <v>根肋一段</v>
          </cell>
        </row>
        <row r="2671">
          <cell r="D2671" t="str">
            <v>CB5714100-001R004</v>
          </cell>
          <cell r="E2671" t="str">
            <v>根肋一段</v>
          </cell>
        </row>
        <row r="2672">
          <cell r="D2672" t="str">
            <v>CB5714100-002R003</v>
          </cell>
          <cell r="E2672" t="str">
            <v>根肋二段</v>
          </cell>
        </row>
        <row r="2673">
          <cell r="D2673" t="str">
            <v>CB5714100-002R003</v>
          </cell>
          <cell r="E2673" t="str">
            <v>根肋二段</v>
          </cell>
        </row>
        <row r="2674">
          <cell r="D2674" t="str">
            <v>CB5714100-002L003</v>
          </cell>
          <cell r="E2674" t="str">
            <v>根肋二段</v>
          </cell>
        </row>
        <row r="2675">
          <cell r="D2675" t="str">
            <v>CB5714100-002L003</v>
          </cell>
          <cell r="E2675" t="str">
            <v>根肋二段</v>
          </cell>
        </row>
        <row r="2676">
          <cell r="D2676" t="str">
            <v>DD-J10B-21302-40G2-1-Y</v>
          </cell>
          <cell r="E2676" t="str">
            <v>后梁四段</v>
          </cell>
        </row>
        <row r="2677">
          <cell r="D2677" t="str">
            <v>CB5326200-133L002</v>
          </cell>
          <cell r="E2677" t="str">
            <v>8815 4号加强筋</v>
          </cell>
        </row>
        <row r="2678">
          <cell r="D2678" t="str">
            <v>CB5326200-133L002</v>
          </cell>
          <cell r="E2678" t="str">
            <v>8815 4号加强筋</v>
          </cell>
        </row>
        <row r="2679">
          <cell r="D2679" t="str">
            <v>CB5326200-133L002</v>
          </cell>
          <cell r="E2679" t="str">
            <v>8815 4号加强筋</v>
          </cell>
        </row>
        <row r="2680">
          <cell r="D2680" t="str">
            <v>CB5326200-133L002</v>
          </cell>
          <cell r="E2680" t="str">
            <v>8815 4号加强筋</v>
          </cell>
        </row>
        <row r="2681">
          <cell r="D2681" t="str">
            <v>CB5326200-133R002</v>
          </cell>
          <cell r="E2681" t="str">
            <v>8815 4号加强筋</v>
          </cell>
        </row>
        <row r="2682">
          <cell r="D2682" t="str">
            <v>CB5326200-133R002</v>
          </cell>
          <cell r="E2682" t="str">
            <v>8815 4号加强筋</v>
          </cell>
        </row>
        <row r="2683">
          <cell r="D2683" t="str">
            <v>CB5326200-133R002</v>
          </cell>
          <cell r="E2683" t="str">
            <v>8815 4号加强筋</v>
          </cell>
        </row>
        <row r="2684">
          <cell r="D2684" t="str">
            <v>CB5326200-133R002</v>
          </cell>
          <cell r="E2684" t="str">
            <v>8815 4号加强筋</v>
          </cell>
        </row>
        <row r="2685">
          <cell r="D2685" t="str">
            <v>CB5326200-131L002</v>
          </cell>
          <cell r="E2685" t="str">
            <v>8455 4号加强筋</v>
          </cell>
        </row>
        <row r="2686">
          <cell r="D2686" t="str">
            <v>CB5326200-131L002</v>
          </cell>
          <cell r="E2686" t="str">
            <v>8455 4号加强筋</v>
          </cell>
        </row>
        <row r="2687">
          <cell r="D2687" t="str">
            <v>CB5326200-131L002</v>
          </cell>
          <cell r="E2687" t="str">
            <v>8455 4号加强筋</v>
          </cell>
        </row>
        <row r="2688">
          <cell r="D2688" t="str">
            <v>CB5326200-131L002</v>
          </cell>
          <cell r="E2688" t="str">
            <v>8455 4号加强筋</v>
          </cell>
        </row>
        <row r="2689">
          <cell r="D2689" t="str">
            <v>CB5326200-131R002</v>
          </cell>
          <cell r="E2689" t="str">
            <v>8455 4号加强筋</v>
          </cell>
        </row>
        <row r="2690">
          <cell r="D2690" t="str">
            <v>CB5326200-131R002</v>
          </cell>
          <cell r="E2690" t="str">
            <v>8455 4号加强筋</v>
          </cell>
        </row>
        <row r="2691">
          <cell r="D2691" t="str">
            <v>CB5326200-131R002</v>
          </cell>
          <cell r="E2691" t="str">
            <v>8455 4号加强筋</v>
          </cell>
        </row>
        <row r="2692">
          <cell r="D2692" t="str">
            <v>CB5326200-131R002</v>
          </cell>
          <cell r="E2692" t="str">
            <v>8455 4号加强筋</v>
          </cell>
        </row>
        <row r="2693">
          <cell r="D2693" t="str">
            <v>CB5326200-134R002</v>
          </cell>
          <cell r="E2693" t="str">
            <v>9010 4号加强筋</v>
          </cell>
        </row>
        <row r="2694">
          <cell r="D2694" t="str">
            <v>CB5326200-134R002</v>
          </cell>
          <cell r="E2694" t="str">
            <v>9010 4号加强筋</v>
          </cell>
        </row>
        <row r="2695">
          <cell r="D2695" t="str">
            <v>CB5326200-134R002</v>
          </cell>
          <cell r="E2695" t="str">
            <v>9010 4号加强筋</v>
          </cell>
        </row>
        <row r="2696">
          <cell r="D2696" t="str">
            <v>CB5326200-134R002</v>
          </cell>
          <cell r="E2696" t="str">
            <v>9010 4号加强筋</v>
          </cell>
        </row>
        <row r="2697">
          <cell r="D2697" t="str">
            <v>CB5326200-134L002</v>
          </cell>
          <cell r="E2697" t="str">
            <v>9010 4号加强筋</v>
          </cell>
        </row>
        <row r="2698">
          <cell r="D2698" t="str">
            <v>CB5326200-134L002</v>
          </cell>
          <cell r="E2698" t="str">
            <v>9010 4号加强筋</v>
          </cell>
        </row>
        <row r="2699">
          <cell r="D2699" t="str">
            <v>CB5326200-134L002</v>
          </cell>
          <cell r="E2699" t="str">
            <v>9010 4号加强筋</v>
          </cell>
        </row>
        <row r="2700">
          <cell r="D2700" t="str">
            <v>CB5326200-134L002</v>
          </cell>
          <cell r="E2700" t="str">
            <v>9010 4号加强筋</v>
          </cell>
        </row>
        <row r="2701">
          <cell r="D2701" t="str">
            <v>DD-J10B-21402-10G2-1G2-Y</v>
          </cell>
          <cell r="E2701" t="str">
            <v>固定前缘边肋（右件）</v>
          </cell>
        </row>
        <row r="2702">
          <cell r="D2702" t="str">
            <v>DD-J10B-21402-10G2-1G2-Y</v>
          </cell>
          <cell r="E2702" t="str">
            <v>固定前缘边肋（右件）</v>
          </cell>
        </row>
        <row r="2703">
          <cell r="D2703" t="str">
            <v>DD-J10B-21402-10G2-1G2-Z</v>
          </cell>
          <cell r="E2703" t="str">
            <v>固定前缘边肋（左件）</v>
          </cell>
        </row>
        <row r="2704">
          <cell r="D2704" t="str">
            <v>DD-J10B-21402-10G2-1G2-Z</v>
          </cell>
          <cell r="E2704" t="str">
            <v>固定前缘边肋（左件）</v>
          </cell>
        </row>
        <row r="2705">
          <cell r="D2705" t="str">
            <v>DD-J10B-04501-10-1-Z</v>
          </cell>
          <cell r="E2705" t="str">
            <v>BL900侧梁</v>
          </cell>
        </row>
        <row r="2706">
          <cell r="D2706" t="str">
            <v>DD-J10B-04501-10-1-Z</v>
          </cell>
          <cell r="E2706" t="str">
            <v>BL900侧梁</v>
          </cell>
        </row>
        <row r="2707">
          <cell r="D2707" t="str">
            <v>DD-J10B-04501-10-1-Z</v>
          </cell>
          <cell r="E2707" t="str">
            <v>BL900侧梁</v>
          </cell>
        </row>
        <row r="2708">
          <cell r="D2708" t="str">
            <v>DD-J10B-04501-10-1-Z</v>
          </cell>
          <cell r="E2708" t="str">
            <v>BL900侧梁</v>
          </cell>
        </row>
        <row r="2709">
          <cell r="D2709" t="str">
            <v>DD-J10B-04501-10-1-Z</v>
          </cell>
          <cell r="E2709" t="str">
            <v>BL900侧梁</v>
          </cell>
        </row>
        <row r="2710">
          <cell r="D2710" t="str">
            <v>DD-J10B-04501-10-1-Z</v>
          </cell>
          <cell r="E2710" t="str">
            <v>BL900侧梁</v>
          </cell>
        </row>
        <row r="2711">
          <cell r="D2711" t="str">
            <v>DD-J10B-04501-10-1-Z</v>
          </cell>
          <cell r="E2711" t="str">
            <v>BL900侧梁</v>
          </cell>
        </row>
        <row r="2712">
          <cell r="D2712" t="str">
            <v>DD-J10B-04501-10-1-Z</v>
          </cell>
          <cell r="E2712" t="str">
            <v>BL900侧梁</v>
          </cell>
        </row>
        <row r="2713">
          <cell r="D2713" t="str">
            <v>DD-J10B-04501-10-1-Z</v>
          </cell>
          <cell r="E2713" t="str">
            <v>BL900侧梁</v>
          </cell>
        </row>
        <row r="2714">
          <cell r="D2714" t="str">
            <v>DD-J10B-04501-10-1-Z</v>
          </cell>
          <cell r="E2714" t="str">
            <v>BL900侧梁</v>
          </cell>
        </row>
        <row r="2715">
          <cell r="D2715" t="str">
            <v>DD-J10B-04501-10-1-Z</v>
          </cell>
          <cell r="E2715" t="str">
            <v>BL900侧梁</v>
          </cell>
        </row>
        <row r="2716">
          <cell r="D2716" t="str">
            <v>DD-J10B-04501-10-1-Z</v>
          </cell>
          <cell r="E2716" t="str">
            <v>BL900侧梁</v>
          </cell>
        </row>
        <row r="2717">
          <cell r="D2717" t="str">
            <v>DD-J10B-04501-10-1-Y</v>
          </cell>
          <cell r="E2717" t="str">
            <v>BL900侧梁</v>
          </cell>
        </row>
        <row r="2718">
          <cell r="D2718" t="str">
            <v>DD-J10B-04501-10-1-Y</v>
          </cell>
          <cell r="E2718" t="str">
            <v>BL900侧梁</v>
          </cell>
        </row>
        <row r="2719">
          <cell r="D2719" t="str">
            <v>DD-J10B-04501-10-1-Y</v>
          </cell>
          <cell r="E2719" t="str">
            <v>BL900侧梁</v>
          </cell>
        </row>
        <row r="2720">
          <cell r="D2720" t="str">
            <v>DD-J10B-04501-10-1-Y</v>
          </cell>
          <cell r="E2720" t="str">
            <v>BL900侧梁</v>
          </cell>
        </row>
        <row r="2721">
          <cell r="D2721" t="str">
            <v>DD-J10B-04501-10-1-Y</v>
          </cell>
          <cell r="E2721" t="str">
            <v>BL900侧梁</v>
          </cell>
        </row>
        <row r="2722">
          <cell r="D2722" t="str">
            <v>DD-J10B-04501-10-1-Y</v>
          </cell>
          <cell r="E2722" t="str">
            <v>BL900侧梁</v>
          </cell>
        </row>
        <row r="2723">
          <cell r="D2723" t="str">
            <v>DD-J10B-04501-10-1-Y</v>
          </cell>
          <cell r="E2723" t="str">
            <v>BL900侧梁</v>
          </cell>
        </row>
        <row r="2724">
          <cell r="D2724" t="str">
            <v>DD-J10B-04501-10-1-Y</v>
          </cell>
          <cell r="E2724" t="str">
            <v>BL900侧梁</v>
          </cell>
        </row>
        <row r="2725">
          <cell r="D2725" t="str">
            <v>DD-J10B-04501-10-1-Y</v>
          </cell>
          <cell r="E2725" t="str">
            <v>BL900侧梁</v>
          </cell>
        </row>
        <row r="2726">
          <cell r="D2726" t="str">
            <v>DD-J10B-04501-10-1-Y</v>
          </cell>
          <cell r="E2726" t="str">
            <v>BL900侧梁</v>
          </cell>
        </row>
        <row r="2727">
          <cell r="D2727" t="str">
            <v>DD-J10B-04501-10-1-Y</v>
          </cell>
          <cell r="E2727" t="str">
            <v>BL900侧梁</v>
          </cell>
        </row>
        <row r="2728">
          <cell r="D2728" t="str">
            <v>DD-J10B-04501-10-1-Y</v>
          </cell>
          <cell r="E2728" t="str">
            <v>BL900侧梁</v>
          </cell>
        </row>
        <row r="2729">
          <cell r="D2729" t="str">
            <v>DD-J10-55055-2611</v>
          </cell>
          <cell r="E2729" t="str">
            <v>接管嘴</v>
          </cell>
        </row>
        <row r="2730">
          <cell r="D2730" t="str">
            <v>DD-J10-55051-6101</v>
          </cell>
          <cell r="E2730" t="str">
            <v>接管嘴</v>
          </cell>
        </row>
        <row r="2731">
          <cell r="D2731" t="str">
            <v>DD-J10-55051-6101</v>
          </cell>
          <cell r="E2731" t="str">
            <v>接管嘴</v>
          </cell>
        </row>
        <row r="2732">
          <cell r="D2732" t="str">
            <v>DD-J10-54101-2822</v>
          </cell>
          <cell r="E2732" t="str">
            <v>钢套</v>
          </cell>
        </row>
        <row r="2733">
          <cell r="D2733" t="str">
            <v>DD-J10-54101-2822</v>
          </cell>
          <cell r="E2733" t="str">
            <v>钢套</v>
          </cell>
        </row>
        <row r="2734">
          <cell r="D2734" t="str">
            <v>DD-J10B-42074-50-1</v>
          </cell>
          <cell r="E2734" t="str">
            <v>管子</v>
          </cell>
        </row>
        <row r="2735">
          <cell r="D2735" t="str">
            <v>DD-J10B-42074-50-1</v>
          </cell>
          <cell r="E2735" t="str">
            <v>管子</v>
          </cell>
        </row>
        <row r="2736">
          <cell r="D2736" t="str">
            <v>DD-J10B-42074-60-1</v>
          </cell>
          <cell r="E2736" t="str">
            <v>管子</v>
          </cell>
        </row>
        <row r="2737">
          <cell r="D2737" t="str">
            <v>DD-J10B-42074-60-1</v>
          </cell>
          <cell r="E2737" t="str">
            <v>管子</v>
          </cell>
        </row>
        <row r="2738">
          <cell r="D2738" t="str">
            <v>DD-J10B-42074-70-1</v>
          </cell>
          <cell r="E2738" t="str">
            <v>管子</v>
          </cell>
        </row>
        <row r="2739">
          <cell r="D2739" t="str">
            <v>DD-J10B-42074-70-1</v>
          </cell>
          <cell r="E2739" t="str">
            <v>管子</v>
          </cell>
        </row>
        <row r="2740">
          <cell r="D2740" t="str">
            <v>DD-J10B-55165-1480-1</v>
          </cell>
          <cell r="E2740" t="str">
            <v>螺栓</v>
          </cell>
        </row>
        <row r="2741">
          <cell r="D2741" t="str">
            <v>DD-J10B-55165-1480-1</v>
          </cell>
          <cell r="E2741" t="str">
            <v>螺栓</v>
          </cell>
        </row>
        <row r="2742">
          <cell r="D2742" t="str">
            <v>DD-J10-41045-130-1-Y</v>
          </cell>
          <cell r="E2742" t="str">
            <v>套筒</v>
          </cell>
        </row>
        <row r="2743">
          <cell r="D2743" t="str">
            <v>DD-J10-41045-130-1-Y</v>
          </cell>
          <cell r="E2743" t="str">
            <v>套筒</v>
          </cell>
        </row>
        <row r="2744">
          <cell r="D2744" t="str">
            <v>DD-J10-41045-130-1-Z</v>
          </cell>
          <cell r="E2744" t="str">
            <v>套筒</v>
          </cell>
        </row>
        <row r="2745">
          <cell r="D2745" t="str">
            <v>DD-J10-41045-130-1-Z</v>
          </cell>
          <cell r="E2745" t="str">
            <v>套筒</v>
          </cell>
        </row>
        <row r="2746">
          <cell r="D2746" t="str">
            <v>DD-J10-41045-110-1-Y</v>
          </cell>
          <cell r="E2746" t="str">
            <v>套筒</v>
          </cell>
        </row>
        <row r="2747">
          <cell r="D2747" t="str">
            <v>DD-J10-41045-110-1-Y</v>
          </cell>
          <cell r="E2747" t="str">
            <v>套筒</v>
          </cell>
        </row>
        <row r="2748">
          <cell r="D2748" t="str">
            <v>DD-J10-41045-110-1-Z</v>
          </cell>
          <cell r="E2748" t="str">
            <v>套筒</v>
          </cell>
        </row>
        <row r="2749">
          <cell r="D2749" t="str">
            <v>DD-J10-41045-110-1-Z</v>
          </cell>
          <cell r="E2749" t="str">
            <v>套筒</v>
          </cell>
        </row>
        <row r="2750">
          <cell r="D2750" t="str">
            <v>DD-J10-86011-3210-1</v>
          </cell>
          <cell r="E2750" t="str">
            <v>左转接管</v>
          </cell>
        </row>
        <row r="2751">
          <cell r="D2751" t="str">
            <v>DD-J10-86011-3210-1</v>
          </cell>
          <cell r="E2751" t="str">
            <v>左转接管</v>
          </cell>
        </row>
        <row r="2752">
          <cell r="D2752" t="str">
            <v>DD-J10-54101-2803</v>
          </cell>
          <cell r="E2752" t="str">
            <v>止动器</v>
          </cell>
        </row>
        <row r="2753">
          <cell r="D2753" t="str">
            <v>DD-J10-54101-2803</v>
          </cell>
          <cell r="E2753" t="str">
            <v>止动器</v>
          </cell>
        </row>
        <row r="2754">
          <cell r="D2754" t="str">
            <v>DD-J10-55015-6009</v>
          </cell>
          <cell r="E2754" t="str">
            <v>垫圈</v>
          </cell>
        </row>
        <row r="2755">
          <cell r="D2755" t="str">
            <v>DD-J10-68095-1400-1</v>
          </cell>
          <cell r="E2755" t="str">
            <v>套筒</v>
          </cell>
        </row>
        <row r="2756">
          <cell r="D2756" t="str">
            <v>DD-J10-68095-1400-1</v>
          </cell>
          <cell r="E2756" t="str">
            <v>套筒</v>
          </cell>
        </row>
        <row r="2757">
          <cell r="D2757" t="str">
            <v>DD-J10-86021-5000-3</v>
          </cell>
          <cell r="E2757" t="str">
            <v>垫块</v>
          </cell>
        </row>
        <row r="2758">
          <cell r="D2758" t="str">
            <v>DD-J10-86021-5000-3</v>
          </cell>
          <cell r="E2758" t="str">
            <v>垫块</v>
          </cell>
        </row>
        <row r="2759">
          <cell r="D2759" t="str">
            <v>DD-J10-86021-6000-2</v>
          </cell>
          <cell r="E2759" t="str">
            <v>垫块</v>
          </cell>
        </row>
        <row r="2760">
          <cell r="D2760" t="str">
            <v>DD-J10-86021-6000-2</v>
          </cell>
          <cell r="E2760" t="str">
            <v>垫块</v>
          </cell>
        </row>
        <row r="2761">
          <cell r="D2761" t="str">
            <v>DD-J10-62021-40-1</v>
          </cell>
          <cell r="E2761" t="str">
            <v>短管</v>
          </cell>
        </row>
        <row r="2762">
          <cell r="D2762" t="str">
            <v>DD-J10-41153-120-2</v>
          </cell>
          <cell r="E2762" t="str">
            <v>挡销</v>
          </cell>
        </row>
        <row r="2763">
          <cell r="D2763" t="str">
            <v>DD-J10-41153-120-2</v>
          </cell>
          <cell r="E2763" t="str">
            <v>挡销</v>
          </cell>
        </row>
        <row r="2764">
          <cell r="D2764" t="str">
            <v>DD-J10-41035-124</v>
          </cell>
          <cell r="E2764" t="str">
            <v>垫圈</v>
          </cell>
        </row>
        <row r="2765">
          <cell r="D2765" t="str">
            <v>DD-J10-41035-124</v>
          </cell>
          <cell r="E2765" t="str">
            <v>垫圈</v>
          </cell>
        </row>
        <row r="2766">
          <cell r="D2766" t="str">
            <v>DD-J10B-94076-1311</v>
          </cell>
          <cell r="E2766" t="str">
            <v>衬盘</v>
          </cell>
        </row>
        <row r="2767">
          <cell r="D2767" t="str">
            <v>DD-J10B-94076-1311</v>
          </cell>
          <cell r="E2767" t="str">
            <v>衬盘</v>
          </cell>
        </row>
        <row r="2768">
          <cell r="D2768" t="str">
            <v>DD-J10B-94076-1311</v>
          </cell>
          <cell r="E2768" t="str">
            <v>衬盘</v>
          </cell>
        </row>
        <row r="2769">
          <cell r="D2769" t="str">
            <v>DD-J10B-94076-1311</v>
          </cell>
          <cell r="E2769" t="str">
            <v>衬盘</v>
          </cell>
        </row>
        <row r="2770">
          <cell r="D2770" t="str">
            <v>DD-J10B-94076-1312</v>
          </cell>
          <cell r="E2770" t="str">
            <v>衬盘</v>
          </cell>
        </row>
        <row r="2771">
          <cell r="D2771" t="str">
            <v>DD-J10B-94076-1312</v>
          </cell>
          <cell r="E2771" t="str">
            <v>衬盘</v>
          </cell>
        </row>
        <row r="2772">
          <cell r="D2772" t="str">
            <v>DD-J10-04101-91</v>
          </cell>
          <cell r="E2772" t="str">
            <v>轴</v>
          </cell>
        </row>
        <row r="2773">
          <cell r="D2773" t="str">
            <v>DD-J10-04101-91</v>
          </cell>
          <cell r="E2773" t="str">
            <v>轴</v>
          </cell>
        </row>
        <row r="2774">
          <cell r="D2774" t="str">
            <v>DD-J10-55015-6006</v>
          </cell>
          <cell r="E2774" t="str">
            <v>垫圈</v>
          </cell>
        </row>
        <row r="2775">
          <cell r="D2775" t="str">
            <v>DD-J10B-94076-2031/1</v>
          </cell>
          <cell r="E2775" t="str">
            <v>接管嘴</v>
          </cell>
        </row>
        <row r="2776">
          <cell r="D2776" t="str">
            <v>DD-J10B-94076-2031/1</v>
          </cell>
          <cell r="E2776" t="str">
            <v>接管嘴</v>
          </cell>
        </row>
        <row r="2777">
          <cell r="D2777" t="str">
            <v>DD-J10B-94076-2031/1</v>
          </cell>
          <cell r="E2777" t="str">
            <v>接管嘴</v>
          </cell>
        </row>
        <row r="2778">
          <cell r="D2778" t="str">
            <v>DD-J10B-94061-1061/2</v>
          </cell>
          <cell r="E2778" t="str">
            <v>法兰盘</v>
          </cell>
        </row>
        <row r="2779">
          <cell r="D2779" t="str">
            <v>DD-J10-68095-1300-3</v>
          </cell>
          <cell r="E2779" t="str">
            <v>衬套</v>
          </cell>
        </row>
        <row r="2780">
          <cell r="D2780" t="str">
            <v>DD-J10-68095-1300-3</v>
          </cell>
          <cell r="E2780" t="str">
            <v>衬套</v>
          </cell>
        </row>
        <row r="2781">
          <cell r="D2781" t="str">
            <v>DD-J10-54111-2403</v>
          </cell>
          <cell r="E2781" t="str">
            <v>垫片</v>
          </cell>
        </row>
        <row r="2782">
          <cell r="D2782" t="str">
            <v>DD-J10B-86031-404</v>
          </cell>
          <cell r="E2782" t="str">
            <v>导向件</v>
          </cell>
        </row>
        <row r="2783">
          <cell r="D2783" t="str">
            <v>DD-J10B-86031-404</v>
          </cell>
          <cell r="E2783" t="str">
            <v>导向件</v>
          </cell>
        </row>
        <row r="2784">
          <cell r="D2784" t="str">
            <v>DD-J10B-86031-404</v>
          </cell>
          <cell r="E2784" t="str">
            <v>导向件</v>
          </cell>
        </row>
        <row r="2785">
          <cell r="D2785" t="str">
            <v>DD-J10-41035-122</v>
          </cell>
          <cell r="E2785" t="str">
            <v>底座</v>
          </cell>
        </row>
        <row r="2786">
          <cell r="D2786" t="str">
            <v>DD-J10-41035-122</v>
          </cell>
          <cell r="E2786" t="str">
            <v>底座</v>
          </cell>
        </row>
        <row r="2787">
          <cell r="D2787" t="str">
            <v>DD-J10-41035-123</v>
          </cell>
          <cell r="E2787" t="str">
            <v>垫圈</v>
          </cell>
        </row>
        <row r="2788">
          <cell r="D2788" t="str">
            <v>DD-J10-41035-123</v>
          </cell>
          <cell r="E2788" t="str">
            <v>垫圈</v>
          </cell>
        </row>
        <row r="2789">
          <cell r="D2789" t="str">
            <v>DD-J10-55196-311</v>
          </cell>
          <cell r="E2789" t="str">
            <v>螺栓</v>
          </cell>
        </row>
        <row r="2790">
          <cell r="D2790" t="str">
            <v>DD-J10B-55015-4100-1</v>
          </cell>
          <cell r="E2790" t="str">
            <v>垫圈</v>
          </cell>
        </row>
        <row r="2791">
          <cell r="D2791" t="str">
            <v>DD-J10B-55015-4100-1</v>
          </cell>
          <cell r="E2791" t="str">
            <v>垫圈</v>
          </cell>
        </row>
        <row r="2792">
          <cell r="D2792" t="str">
            <v>DD-J10-86021-5000-1</v>
          </cell>
          <cell r="E2792" t="str">
            <v>斜垫块</v>
          </cell>
        </row>
        <row r="2793">
          <cell r="D2793" t="str">
            <v>DD-J10-86021-5000-1</v>
          </cell>
          <cell r="E2793" t="str">
            <v>斜垫块</v>
          </cell>
        </row>
        <row r="2794">
          <cell r="D2794" t="str">
            <v>DD-J10-55023-632</v>
          </cell>
          <cell r="E2794" t="str">
            <v>小衬套</v>
          </cell>
        </row>
        <row r="2795">
          <cell r="D2795" t="str">
            <v>DD-J10-55023-632</v>
          </cell>
          <cell r="E2795" t="str">
            <v>小衬套</v>
          </cell>
        </row>
        <row r="2796">
          <cell r="D2796" t="str">
            <v>DD-J10-68095-1100-2</v>
          </cell>
          <cell r="E2796" t="str">
            <v>衬套</v>
          </cell>
        </row>
        <row r="2797">
          <cell r="D2797" t="str">
            <v>DD-J10-68095-1100-2</v>
          </cell>
          <cell r="E2797" t="str">
            <v>衬套</v>
          </cell>
        </row>
        <row r="2798">
          <cell r="D2798" t="str">
            <v>DD-J10-55171-510-1</v>
          </cell>
          <cell r="E2798" t="str">
            <v>衬套</v>
          </cell>
        </row>
        <row r="2799">
          <cell r="D2799" t="str">
            <v>DD-J10-55171-510-1</v>
          </cell>
          <cell r="E2799" t="str">
            <v>衬套</v>
          </cell>
        </row>
        <row r="2800">
          <cell r="D2800" t="str">
            <v>DD-J10-54101-2801</v>
          </cell>
          <cell r="E2800" t="str">
            <v>手柄</v>
          </cell>
        </row>
        <row r="2801">
          <cell r="D2801" t="str">
            <v>DD-J10B-04051-1</v>
          </cell>
          <cell r="E2801" t="str">
            <v>10460框</v>
          </cell>
        </row>
        <row r="2802">
          <cell r="D2802" t="str">
            <v>DD-J10B-04051-1</v>
          </cell>
          <cell r="E2802" t="str">
            <v>10460框</v>
          </cell>
        </row>
        <row r="2803">
          <cell r="D2803" t="str">
            <v>DD-J10B-04051-1</v>
          </cell>
          <cell r="E2803" t="str">
            <v>10460框</v>
          </cell>
        </row>
        <row r="2804">
          <cell r="D2804" t="str">
            <v>XXX-64-0000-02</v>
          </cell>
          <cell r="E2804" t="str">
            <v>电连接器安装座</v>
          </cell>
        </row>
        <row r="2805">
          <cell r="D2805" t="str">
            <v>04-000-01</v>
          </cell>
          <cell r="E2805" t="str">
            <v>腔体</v>
          </cell>
        </row>
        <row r="2806">
          <cell r="D2806" t="str">
            <v>04-000-02</v>
          </cell>
          <cell r="E2806" t="str">
            <v>支座</v>
          </cell>
        </row>
        <row r="2807">
          <cell r="D2807" t="str">
            <v>04-000-03</v>
          </cell>
          <cell r="E2807" t="str">
            <v>面板</v>
          </cell>
        </row>
        <row r="2808">
          <cell r="D2808" t="str">
            <v>04-000-04</v>
          </cell>
          <cell r="E2808" t="str">
            <v>支板</v>
          </cell>
        </row>
        <row r="2809">
          <cell r="D2809" t="str">
            <v>04-000-06</v>
          </cell>
          <cell r="E2809" t="str">
            <v>标牌B</v>
          </cell>
        </row>
        <row r="2810">
          <cell r="D2810" t="str">
            <v>XXX08-000-04</v>
          </cell>
          <cell r="E2810" t="str">
            <v>XX0记录壳体</v>
          </cell>
        </row>
        <row r="2811">
          <cell r="D2811" t="str">
            <v>XXX08-000-05</v>
          </cell>
          <cell r="E2811" t="str">
            <v>XX0记录安装座</v>
          </cell>
        </row>
        <row r="2812">
          <cell r="D2812" t="str">
            <v>XXX08-000-06</v>
          </cell>
          <cell r="E2812" t="str">
            <v>XX0记录压盖</v>
          </cell>
        </row>
        <row r="2813">
          <cell r="D2813" t="str">
            <v>XXX08-000-07</v>
          </cell>
          <cell r="E2813" t="str">
            <v>XX0电池盒后盖</v>
          </cell>
        </row>
        <row r="2814">
          <cell r="D2814" t="str">
            <v>XXX08-000-08</v>
          </cell>
          <cell r="E2814" t="str">
            <v>XX0电池盒</v>
          </cell>
        </row>
        <row r="2815">
          <cell r="D2815" t="str">
            <v>XXX08-000-09</v>
          </cell>
          <cell r="E2815" t="str">
            <v>XX0记录信号盒</v>
          </cell>
        </row>
        <row r="2816">
          <cell r="D2816" t="str">
            <v>XXX08-000-10</v>
          </cell>
          <cell r="E2816" t="str">
            <v>XX0电池绝缘垫</v>
          </cell>
        </row>
        <row r="2817">
          <cell r="D2817" t="str">
            <v>DD-J10B-26002-1G2-Z</v>
          </cell>
          <cell r="E2817" t="str">
            <v>梁（左件）</v>
          </cell>
        </row>
        <row r="2818">
          <cell r="D2818" t="str">
            <v>DD-J10B-26002-1G2-Z</v>
          </cell>
          <cell r="E2818" t="str">
            <v>梁（左件）</v>
          </cell>
        </row>
        <row r="2819">
          <cell r="D2819" t="str">
            <v>DD-J10B-26002-1G2-Z</v>
          </cell>
          <cell r="E2819" t="str">
            <v>梁（左件）</v>
          </cell>
        </row>
        <row r="2820">
          <cell r="D2820" t="str">
            <v>DD-J10B-26002-1G2-Z</v>
          </cell>
          <cell r="E2820" t="str">
            <v>梁（左件）</v>
          </cell>
        </row>
        <row r="2821">
          <cell r="D2821" t="str">
            <v>DD-J10B-26002-1G2-Z</v>
          </cell>
          <cell r="E2821" t="str">
            <v>梁（左件）</v>
          </cell>
        </row>
        <row r="2822">
          <cell r="D2822" t="str">
            <v>DD-J10B-26002-1G2-Z</v>
          </cell>
          <cell r="E2822" t="str">
            <v>梁（左件）</v>
          </cell>
        </row>
        <row r="2823">
          <cell r="D2823" t="str">
            <v>DD-J10B-26002-1G2-Z</v>
          </cell>
          <cell r="E2823" t="str">
            <v>梁（左件）</v>
          </cell>
        </row>
        <row r="2824">
          <cell r="D2824" t="str">
            <v>DD-J10B-26002-1G2-Z</v>
          </cell>
          <cell r="E2824" t="str">
            <v>梁（左件）</v>
          </cell>
        </row>
        <row r="2825">
          <cell r="D2825" t="str">
            <v>DD-J10B-26002-1G2-Z</v>
          </cell>
          <cell r="E2825" t="str">
            <v>梁（左件）</v>
          </cell>
        </row>
        <row r="2826">
          <cell r="D2826" t="str">
            <v>DD-J10B-26002-1G2-Z</v>
          </cell>
          <cell r="E2826" t="str">
            <v>梁（左件）</v>
          </cell>
        </row>
        <row r="2827">
          <cell r="D2827" t="str">
            <v>DD-J10B-26002-1G2-Y</v>
          </cell>
          <cell r="E2827" t="str">
            <v>梁（右件）</v>
          </cell>
        </row>
        <row r="2828">
          <cell r="D2828" t="str">
            <v>DD-J10B-26002-1G2-Y</v>
          </cell>
          <cell r="E2828" t="str">
            <v>梁（右件）</v>
          </cell>
        </row>
        <row r="2829">
          <cell r="D2829" t="str">
            <v>DD-J10B-26002-1G2-Y</v>
          </cell>
          <cell r="E2829" t="str">
            <v>梁（右件）</v>
          </cell>
        </row>
        <row r="2830">
          <cell r="D2830" t="str">
            <v>DD-J10B-26002-1G2-Y</v>
          </cell>
          <cell r="E2830" t="str">
            <v>梁（右件）</v>
          </cell>
        </row>
        <row r="2831">
          <cell r="D2831" t="str">
            <v>DD-J10B-26002-1G2-Y</v>
          </cell>
          <cell r="E2831" t="str">
            <v>梁（右件）</v>
          </cell>
        </row>
        <row r="2832">
          <cell r="D2832" t="str">
            <v>DD-J10B-26002-1G2-Y</v>
          </cell>
          <cell r="E2832" t="str">
            <v>梁（右件）</v>
          </cell>
        </row>
        <row r="2833">
          <cell r="D2833" t="str">
            <v>DD-J10B-26002-1G2-Y</v>
          </cell>
          <cell r="E2833" t="str">
            <v>梁（右件）</v>
          </cell>
        </row>
        <row r="2834">
          <cell r="D2834" t="str">
            <v>DD-J10B-26002-1G2-Y</v>
          </cell>
          <cell r="E2834" t="str">
            <v>梁（右件）</v>
          </cell>
        </row>
        <row r="2835">
          <cell r="D2835" t="str">
            <v>DD-J10B-26002-1G2-Y</v>
          </cell>
          <cell r="E2835" t="str">
            <v>梁（右件）</v>
          </cell>
        </row>
        <row r="2836">
          <cell r="D2836" t="str">
            <v>DD-J10B-26002-1G2-Y</v>
          </cell>
          <cell r="E2836" t="str">
            <v>梁（右件）</v>
          </cell>
        </row>
        <row r="2837">
          <cell r="D2837" t="str">
            <v>DD-J10-54101-2805</v>
          </cell>
          <cell r="E2837" t="str">
            <v>滑轮</v>
          </cell>
        </row>
        <row r="2838">
          <cell r="D2838" t="str">
            <v>DD-J10-54101-2805</v>
          </cell>
          <cell r="E2838" t="str">
            <v>滑轮</v>
          </cell>
        </row>
        <row r="2839">
          <cell r="D2839" t="str">
            <v>DD-J10B-94076-220-2</v>
          </cell>
          <cell r="E2839" t="str">
            <v>衬套</v>
          </cell>
        </row>
        <row r="2840">
          <cell r="D2840" t="str">
            <v>DD-J10B-94076-220-2</v>
          </cell>
          <cell r="E2840" t="str">
            <v>衬套</v>
          </cell>
        </row>
        <row r="2841">
          <cell r="D2841" t="str">
            <v>DD-J10B-94076-620-4</v>
          </cell>
          <cell r="E2841" t="str">
            <v>衬套</v>
          </cell>
        </row>
        <row r="2842">
          <cell r="D2842" t="str">
            <v>DD-J10B-94076-620-4</v>
          </cell>
          <cell r="E2842" t="str">
            <v>衬套</v>
          </cell>
        </row>
        <row r="2843">
          <cell r="D2843" t="str">
            <v>DD-J10B-94061-520-2</v>
          </cell>
          <cell r="E2843" t="str">
            <v>衬套</v>
          </cell>
        </row>
        <row r="2844">
          <cell r="D2844" t="str">
            <v>DD-J10B-94061-520-2</v>
          </cell>
          <cell r="E2844" t="str">
            <v>衬套</v>
          </cell>
        </row>
        <row r="2845">
          <cell r="D2845" t="str">
            <v>DD-J10-54101-2821</v>
          </cell>
          <cell r="E2845" t="str">
            <v>插销</v>
          </cell>
        </row>
        <row r="2846">
          <cell r="D2846" t="str">
            <v>DD-J10-54101-2821</v>
          </cell>
          <cell r="E2846" t="str">
            <v>插销</v>
          </cell>
        </row>
        <row r="2847">
          <cell r="D2847" t="str">
            <v>DD-J10-55181-310-1</v>
          </cell>
          <cell r="E2847" t="str">
            <v>衬套</v>
          </cell>
        </row>
        <row r="2848">
          <cell r="D2848" t="str">
            <v>DD-J10-55181-310-1</v>
          </cell>
          <cell r="E2848" t="str">
            <v>衬套</v>
          </cell>
        </row>
        <row r="2849">
          <cell r="D2849" t="str">
            <v>DD-J10-55181-710-1</v>
          </cell>
          <cell r="E2849" t="str">
            <v>衬套</v>
          </cell>
        </row>
        <row r="2850">
          <cell r="D2850" t="str">
            <v>DD-J10-55181-710-1</v>
          </cell>
          <cell r="E2850" t="str">
            <v>衬套</v>
          </cell>
        </row>
        <row r="2851">
          <cell r="D2851" t="str">
            <v>DD-J10-55181-410-1</v>
          </cell>
          <cell r="E2851" t="str">
            <v>衬套</v>
          </cell>
        </row>
        <row r="2852">
          <cell r="D2852" t="str">
            <v>DD-J10-55165-1510-2</v>
          </cell>
          <cell r="E2852" t="str">
            <v>衬套</v>
          </cell>
        </row>
        <row r="2853">
          <cell r="D2853" t="str">
            <v>DD-J10-55165-1510-2</v>
          </cell>
          <cell r="E2853" t="str">
            <v>衬套</v>
          </cell>
        </row>
        <row r="2854">
          <cell r="D2854" t="str">
            <v>DD-J10-55181-420-1</v>
          </cell>
          <cell r="E2854" t="str">
            <v>衬套</v>
          </cell>
        </row>
        <row r="2855">
          <cell r="D2855" t="str">
            <v>DD-J10B-94076-720-2</v>
          </cell>
          <cell r="E2855" t="str">
            <v>衬套</v>
          </cell>
        </row>
        <row r="2856">
          <cell r="D2856" t="str">
            <v>DD-J10B-94076-720-2</v>
          </cell>
          <cell r="E2856" t="str">
            <v>衬套</v>
          </cell>
        </row>
        <row r="2857">
          <cell r="D2857" t="str">
            <v>DD-J10B-68074-1710-3</v>
          </cell>
          <cell r="E2857" t="str">
            <v>钢管</v>
          </cell>
        </row>
        <row r="2858">
          <cell r="D2858" t="str">
            <v>DD-J10B-68074-1710-3</v>
          </cell>
          <cell r="E2858" t="str">
            <v>钢管</v>
          </cell>
        </row>
        <row r="2859">
          <cell r="D2859" t="str">
            <v>CB2297021-001-001</v>
          </cell>
          <cell r="E2859" t="str">
            <v>支架</v>
          </cell>
        </row>
        <row r="2860">
          <cell r="D2860" t="str">
            <v>CB2297041-001-001</v>
          </cell>
          <cell r="E2860" t="str">
            <v>支架</v>
          </cell>
        </row>
        <row r="2861">
          <cell r="D2861" t="str">
            <v>CB229C071-001L001</v>
          </cell>
          <cell r="E2861" t="str">
            <v>支架</v>
          </cell>
        </row>
        <row r="2862">
          <cell r="D2862" t="str">
            <v>CB2298091-001-001</v>
          </cell>
          <cell r="E2862" t="str">
            <v>支架</v>
          </cell>
        </row>
        <row r="2863">
          <cell r="D2863" t="str">
            <v>CB2298611-001-001</v>
          </cell>
          <cell r="E2863" t="str">
            <v>支架</v>
          </cell>
        </row>
        <row r="2864">
          <cell r="D2864" t="str">
            <v>CB229C070-001R001</v>
          </cell>
          <cell r="E2864" t="str">
            <v>支架</v>
          </cell>
        </row>
        <row r="2865">
          <cell r="D2865" t="str">
            <v>CB2297032-001-001</v>
          </cell>
          <cell r="E2865" t="str">
            <v>支架</v>
          </cell>
        </row>
        <row r="2866">
          <cell r="D2866" t="str">
            <v>CB2297012-001-001</v>
          </cell>
          <cell r="E2866" t="str">
            <v>支架</v>
          </cell>
        </row>
        <row r="2867">
          <cell r="D2867" t="str">
            <v>CB2297120-005-002</v>
          </cell>
          <cell r="E2867" t="str">
            <v>支架</v>
          </cell>
        </row>
        <row r="2868">
          <cell r="D2868" t="str">
            <v>CB2297120-006-002</v>
          </cell>
          <cell r="E2868" t="str">
            <v>支架</v>
          </cell>
        </row>
        <row r="2869">
          <cell r="D2869" t="str">
            <v>CB2297031-001-001</v>
          </cell>
          <cell r="E2869" t="str">
            <v>支架</v>
          </cell>
        </row>
        <row r="2870">
          <cell r="D2870" t="str">
            <v>CB2292321-001-001</v>
          </cell>
          <cell r="E2870" t="str">
            <v>支座</v>
          </cell>
        </row>
        <row r="2871">
          <cell r="D2871" t="str">
            <v>CB2292321-001-001</v>
          </cell>
          <cell r="E2871" t="str">
            <v>支座</v>
          </cell>
        </row>
        <row r="2872">
          <cell r="D2872" t="str">
            <v>CB2297011-002-001</v>
          </cell>
          <cell r="E2872" t="str">
            <v>支架</v>
          </cell>
        </row>
        <row r="2873">
          <cell r="D2873" t="str">
            <v>CB2294440-005-001</v>
          </cell>
          <cell r="E2873" t="str">
            <v>支架</v>
          </cell>
        </row>
        <row r="2874">
          <cell r="D2874" t="str">
            <v>CB2292321-001-001</v>
          </cell>
          <cell r="E2874" t="str">
            <v>支座</v>
          </cell>
        </row>
        <row r="2875">
          <cell r="D2875" t="str">
            <v>CB2297011-001-001</v>
          </cell>
          <cell r="E2875" t="str">
            <v>支架</v>
          </cell>
        </row>
        <row r="2876">
          <cell r="D2876" t="str">
            <v>CB2297011-001-001</v>
          </cell>
          <cell r="E2876" t="str">
            <v>支架</v>
          </cell>
        </row>
        <row r="2877">
          <cell r="D2877" t="str">
            <v>CB229C070-001R001</v>
          </cell>
          <cell r="E2877" t="str">
            <v>支架</v>
          </cell>
        </row>
        <row r="2878">
          <cell r="D2878" t="str">
            <v>DD-J10B-02041-202G2</v>
          </cell>
          <cell r="E2878" t="str">
            <v>地板</v>
          </cell>
        </row>
        <row r="2879">
          <cell r="D2879" t="str">
            <v>DD-J10B-02041-202G2</v>
          </cell>
          <cell r="E2879" t="str">
            <v>地板</v>
          </cell>
        </row>
        <row r="2880">
          <cell r="D2880" t="str">
            <v>DD-J10B-02041-202G2</v>
          </cell>
          <cell r="E2880" t="str">
            <v>地板</v>
          </cell>
        </row>
        <row r="2881">
          <cell r="D2881" t="str">
            <v>DD-J10B-02041-202G2</v>
          </cell>
          <cell r="E2881" t="str">
            <v>地板</v>
          </cell>
        </row>
        <row r="2882">
          <cell r="D2882" t="str">
            <v>-000-01</v>
          </cell>
          <cell r="E2882" t="str">
            <v>平板-2A12-H112-CT</v>
          </cell>
        </row>
        <row r="2883">
          <cell r="D2883" t="str">
            <v>-000-02</v>
          </cell>
          <cell r="E2883" t="str">
            <v>平板-2A12-H112-ET</v>
          </cell>
        </row>
        <row r="2884">
          <cell r="D2884" t="str">
            <v>-000-03</v>
          </cell>
          <cell r="E2884" t="str">
            <v>平板-2A12-H112-CT-Q</v>
          </cell>
        </row>
        <row r="2885">
          <cell r="D2885" t="str">
            <v>-000-04</v>
          </cell>
          <cell r="E2885" t="str">
            <v>平板-2A12-H112-ET-Q</v>
          </cell>
        </row>
        <row r="2886">
          <cell r="D2886" t="str">
            <v>000-05</v>
          </cell>
          <cell r="E2886" t="str">
            <v>平板-2A12-T4-CT</v>
          </cell>
        </row>
        <row r="2887">
          <cell r="D2887" t="str">
            <v>-000-06</v>
          </cell>
          <cell r="E2887" t="str">
            <v>平板-2A12-T4-ET</v>
          </cell>
        </row>
        <row r="2888">
          <cell r="D2888" t="str">
            <v>-000-07</v>
          </cell>
          <cell r="E2888" t="str">
            <v>平板-2A12-T4-CT-Q</v>
          </cell>
        </row>
        <row r="2889">
          <cell r="D2889" t="str">
            <v>-000-08</v>
          </cell>
          <cell r="E2889" t="str">
            <v>平板-2A12-T4-ET-Q</v>
          </cell>
        </row>
        <row r="2890">
          <cell r="D2890" t="str">
            <v>-000-09</v>
          </cell>
          <cell r="E2890" t="str">
            <v>平板-5A06-CT</v>
          </cell>
        </row>
        <row r="2891">
          <cell r="D2891" t="str">
            <v>000-10</v>
          </cell>
          <cell r="E2891" t="str">
            <v>平板-5A06-ET</v>
          </cell>
        </row>
        <row r="2892">
          <cell r="D2892" t="str">
            <v>000-11</v>
          </cell>
          <cell r="E2892" t="str">
            <v>平板-5A06-CT-Q</v>
          </cell>
        </row>
        <row r="2893">
          <cell r="D2893" t="str">
            <v>000-12</v>
          </cell>
          <cell r="E2893" t="str">
            <v>平板-5A06-CT-Q</v>
          </cell>
        </row>
        <row r="2894">
          <cell r="D2894" t="str">
            <v>0-13</v>
          </cell>
          <cell r="E2894" t="str">
            <v>方腔-2A12-H112-CT</v>
          </cell>
        </row>
        <row r="2895">
          <cell r="D2895" t="str">
            <v>14</v>
          </cell>
          <cell r="E2895" t="str">
            <v>方腔-2A12-H112-ET</v>
          </cell>
        </row>
        <row r="2896">
          <cell r="D2896" t="str">
            <v>00-17</v>
          </cell>
          <cell r="E2896" t="str">
            <v>方腔-5A06-CT</v>
          </cell>
        </row>
        <row r="2897">
          <cell r="D2897" t="str">
            <v>00-18</v>
          </cell>
          <cell r="E2897" t="str">
            <v>方腔-5A06-ET</v>
          </cell>
        </row>
        <row r="2898">
          <cell r="D2898" t="str">
            <v>000-19</v>
          </cell>
          <cell r="E2898" t="str">
            <v>方腔2-2A12-H112-CT</v>
          </cell>
        </row>
        <row r="2899">
          <cell r="D2899" t="str">
            <v>00-20</v>
          </cell>
          <cell r="E2899" t="str">
            <v>方腔2-H112-ET</v>
          </cell>
        </row>
        <row r="2900">
          <cell r="D2900" t="str">
            <v>0-23</v>
          </cell>
          <cell r="E2900" t="str">
            <v>方腔2-5A06-CT</v>
          </cell>
        </row>
        <row r="2901">
          <cell r="D2901" t="str">
            <v>00-24</v>
          </cell>
          <cell r="E2901" t="str">
            <v>方腔2-5A06-ET</v>
          </cell>
        </row>
        <row r="2902">
          <cell r="D2902" t="str">
            <v>3171100-01</v>
          </cell>
          <cell r="E2902" t="str">
            <v>盖板</v>
          </cell>
        </row>
        <row r="2903">
          <cell r="D2903" t="str">
            <v>3170000-01</v>
          </cell>
          <cell r="E2903" t="str">
            <v>外盖板</v>
          </cell>
        </row>
        <row r="2904">
          <cell r="D2904" t="str">
            <v>3171000-01</v>
          </cell>
          <cell r="E2904" t="str">
            <v>外壳</v>
          </cell>
        </row>
        <row r="2905">
          <cell r="D2905" t="str">
            <v>3171000-02、05、07</v>
          </cell>
          <cell r="E2905" t="str">
            <v>正负极接线片、点火头接线片1、点火头接线片2</v>
          </cell>
        </row>
        <row r="2906">
          <cell r="D2906" t="str">
            <v>3171100-02</v>
          </cell>
          <cell r="E2906" t="str">
            <v>接线柱</v>
          </cell>
        </row>
        <row r="2907">
          <cell r="D2907" t="str">
            <v>3171200-03、05</v>
          </cell>
          <cell r="E2907" t="str">
            <v>正、负极集电片</v>
          </cell>
        </row>
        <row r="2908">
          <cell r="D2908" t="str">
            <v>JP01</v>
          </cell>
          <cell r="E2908" t="str">
            <v>导线接线片</v>
          </cell>
        </row>
        <row r="2909">
          <cell r="D2909" t="str">
            <v>CB5327120-003R006</v>
          </cell>
          <cell r="E2909" t="str">
            <v>8270侧隔框</v>
          </cell>
        </row>
        <row r="2910">
          <cell r="D2910" t="str">
            <v>CB5327120-003R006</v>
          </cell>
          <cell r="E2910" t="str">
            <v>8270侧隔框</v>
          </cell>
        </row>
        <row r="2911">
          <cell r="D2911" t="str">
            <v>CB5327120-003R006</v>
          </cell>
          <cell r="E2911" t="str">
            <v>8270侧隔框</v>
          </cell>
        </row>
        <row r="2912">
          <cell r="D2912" t="str">
            <v>CB5327120-003R006</v>
          </cell>
          <cell r="E2912" t="str">
            <v>8270侧隔框</v>
          </cell>
        </row>
        <row r="2913">
          <cell r="D2913" t="str">
            <v>CB5327120-003L006</v>
          </cell>
          <cell r="E2913" t="str">
            <v>8270侧隔框</v>
          </cell>
        </row>
        <row r="2914">
          <cell r="D2914" t="str">
            <v>CB5327120-003L006</v>
          </cell>
          <cell r="E2914" t="str">
            <v>8270侧隔框</v>
          </cell>
        </row>
        <row r="2915">
          <cell r="D2915" t="str">
            <v>CB5327120-003L006</v>
          </cell>
          <cell r="E2915" t="str">
            <v>8270侧隔框</v>
          </cell>
        </row>
        <row r="2916">
          <cell r="D2916" t="str">
            <v>CB5327120-003L006</v>
          </cell>
          <cell r="E2916" t="str">
            <v>8270侧隔框</v>
          </cell>
        </row>
        <row r="2917">
          <cell r="D2917" t="str">
            <v>CB5742000-202R001</v>
          </cell>
          <cell r="E2917" t="str">
            <v>前梁二段</v>
          </cell>
        </row>
        <row r="2918">
          <cell r="D2918" t="str">
            <v>CB5742000-202R001</v>
          </cell>
          <cell r="E2918" t="str">
            <v>前梁二段</v>
          </cell>
        </row>
        <row r="2919">
          <cell r="D2919" t="str">
            <v>CB5742000-202R001</v>
          </cell>
          <cell r="E2919" t="str">
            <v>前梁二段</v>
          </cell>
        </row>
        <row r="2920">
          <cell r="D2920" t="str">
            <v>CB5742000-202L001</v>
          </cell>
          <cell r="E2920" t="str">
            <v>前梁二段</v>
          </cell>
        </row>
        <row r="2921">
          <cell r="D2921" t="str">
            <v>CB5742000-202L001</v>
          </cell>
          <cell r="E2921" t="str">
            <v>前梁二段</v>
          </cell>
        </row>
        <row r="2922">
          <cell r="D2922" t="str">
            <v>CB5742000-202L001</v>
          </cell>
          <cell r="E2922" t="str">
            <v>前梁二段</v>
          </cell>
        </row>
        <row r="2923">
          <cell r="D2923" t="str">
            <v>DD-J10-21102-60/-1/1-Y</v>
          </cell>
          <cell r="E2923" t="str">
            <v>11968下口盖</v>
          </cell>
        </row>
        <row r="2924">
          <cell r="D2924" t="str">
            <v>DD-J10-21102-60/-1/1-Y</v>
          </cell>
          <cell r="E2924" t="str">
            <v>11968下口盖</v>
          </cell>
        </row>
        <row r="2925">
          <cell r="D2925" t="str">
            <v>Y20-5312225025-001</v>
          </cell>
          <cell r="E2925" t="str">
            <v>纵向加强件</v>
          </cell>
        </row>
        <row r="2926">
          <cell r="D2926" t="str">
            <v>Y20-5312225025-002</v>
          </cell>
          <cell r="E2926" t="str">
            <v>纵向加强件</v>
          </cell>
        </row>
        <row r="2927">
          <cell r="D2927" t="str">
            <v>CB229C440-002L001</v>
          </cell>
          <cell r="E2927" t="str">
            <v>支架</v>
          </cell>
        </row>
        <row r="2928">
          <cell r="D2928" t="str">
            <v>CB229C440-002L001</v>
          </cell>
          <cell r="E2928" t="str">
            <v>支架</v>
          </cell>
        </row>
        <row r="2929">
          <cell r="D2929" t="str">
            <v>BC5311300-003-001</v>
          </cell>
          <cell r="E2929" t="str">
            <v>前铰链支座</v>
          </cell>
        </row>
        <row r="2930">
          <cell r="D2930" t="str">
            <v>BC5311300-003-001</v>
          </cell>
          <cell r="E2930" t="str">
            <v>前铰链支座</v>
          </cell>
        </row>
        <row r="2931">
          <cell r="D2931" t="str">
            <v>BC5311300-002-001</v>
          </cell>
          <cell r="E2931" t="str">
            <v>前铰链支座</v>
          </cell>
        </row>
        <row r="2932">
          <cell r="D2932" t="str">
            <v>BC3011320-003-001</v>
          </cell>
          <cell r="E2932" t="str">
            <v>安装支架</v>
          </cell>
        </row>
        <row r="2933">
          <cell r="D2933" t="str">
            <v>BC2282305-001-001</v>
          </cell>
          <cell r="E2933" t="str">
            <v>转接接头</v>
          </cell>
        </row>
        <row r="2934">
          <cell r="D2934" t="str">
            <v>BC2282340-001-001</v>
          </cell>
          <cell r="E2934" t="str">
            <v>带管接嘴法兰4</v>
          </cell>
        </row>
        <row r="2935">
          <cell r="D2935" t="str">
            <v>BC2282340-002-001</v>
          </cell>
          <cell r="E2935" t="str">
            <v>带管接嘴法兰4</v>
          </cell>
        </row>
        <row r="2936">
          <cell r="D2936" t="str">
            <v>BC2291141-001-002</v>
          </cell>
          <cell r="E2936" t="str">
            <v>应急泵支架</v>
          </cell>
        </row>
        <row r="2937">
          <cell r="D2937" t="str">
            <v>BC5333651-001-001</v>
          </cell>
          <cell r="E2937" t="str">
            <v>壳体</v>
          </cell>
        </row>
        <row r="2938">
          <cell r="D2938" t="str">
            <v>BC2563130-002-001</v>
          </cell>
          <cell r="E2938" t="str">
            <v>支座</v>
          </cell>
        </row>
        <row r="2939">
          <cell r="D2939" t="str">
            <v>BC2563130-002-001</v>
          </cell>
          <cell r="E2939" t="str">
            <v>支座</v>
          </cell>
        </row>
        <row r="2940">
          <cell r="D2940" t="str">
            <v>DD-J10-55181-13</v>
          </cell>
          <cell r="E2940" t="str">
            <v>变径三通管接头</v>
          </cell>
        </row>
        <row r="2941">
          <cell r="D2941" t="str">
            <v>DD-J10-55181-13</v>
          </cell>
          <cell r="E2941" t="str">
            <v>变径三通管接头</v>
          </cell>
        </row>
        <row r="2942">
          <cell r="D2942" t="str">
            <v>DD-J10S-54101-1301</v>
          </cell>
          <cell r="E2942" t="str">
            <v>支座</v>
          </cell>
        </row>
        <row r="2943">
          <cell r="D2943" t="str">
            <v>LTCS-515030000-04N01</v>
          </cell>
          <cell r="E2943" t="str">
            <v>2430横梁</v>
          </cell>
        </row>
        <row r="2944">
          <cell r="D2944" t="str">
            <v>CB5327110-002L004</v>
          </cell>
          <cell r="E2944" t="str">
            <v>8270左隔框</v>
          </cell>
        </row>
        <row r="2945">
          <cell r="D2945" t="str">
            <v>CB5327110-002L004</v>
          </cell>
          <cell r="E2945" t="str">
            <v>8270左隔框</v>
          </cell>
        </row>
        <row r="2946">
          <cell r="D2946" t="str">
            <v>CB5327110-002L004</v>
          </cell>
          <cell r="E2946" t="str">
            <v>8270左隔框</v>
          </cell>
        </row>
        <row r="2947">
          <cell r="D2947" t="str">
            <v>CB5327110-002L004</v>
          </cell>
          <cell r="E2947" t="str">
            <v>8270左隔框</v>
          </cell>
        </row>
        <row r="2948">
          <cell r="D2948" t="str">
            <v>CB5327110-002R004</v>
          </cell>
          <cell r="E2948" t="str">
            <v>8270右隔框</v>
          </cell>
        </row>
        <row r="2949">
          <cell r="D2949" t="str">
            <v>CB5327110-002R004</v>
          </cell>
          <cell r="E2949" t="str">
            <v>8270右隔框</v>
          </cell>
        </row>
        <row r="2950">
          <cell r="D2950" t="str">
            <v>CB5327110-002R004</v>
          </cell>
          <cell r="E2950" t="str">
            <v>8270右隔框</v>
          </cell>
        </row>
        <row r="2951">
          <cell r="D2951" t="str">
            <v>CB5327110-002R004</v>
          </cell>
          <cell r="E2951" t="str">
            <v>8270右隔框</v>
          </cell>
        </row>
        <row r="2952">
          <cell r="D2952" t="str">
            <v>DD-J10B-02021-3/1-Y</v>
          </cell>
          <cell r="E2952" t="str">
            <v>雷达罩锁支座</v>
          </cell>
        </row>
        <row r="2953">
          <cell r="D2953" t="str">
            <v>DD-J10B-02021-3/1-Y</v>
          </cell>
          <cell r="E2953" t="str">
            <v>雷达罩锁支座</v>
          </cell>
        </row>
        <row r="2954">
          <cell r="D2954" t="str">
            <v>DD-J10B-02021-3/1-Y</v>
          </cell>
          <cell r="E2954" t="str">
            <v>雷达罩锁支座</v>
          </cell>
        </row>
        <row r="2955">
          <cell r="D2955" t="str">
            <v>BC2712522-001-001</v>
          </cell>
          <cell r="E2955" t="str">
            <v>支座</v>
          </cell>
        </row>
        <row r="2956">
          <cell r="D2956" t="str">
            <v>BC2712522-001-001</v>
          </cell>
          <cell r="E2956" t="str">
            <v>支座</v>
          </cell>
        </row>
        <row r="2957">
          <cell r="D2957" t="str">
            <v>BC3230400-001-003</v>
          </cell>
          <cell r="E2957" t="str">
            <v>过渡板</v>
          </cell>
        </row>
        <row r="2958">
          <cell r="D2958" t="str">
            <v>BC3230500-001-003</v>
          </cell>
          <cell r="E2958" t="str">
            <v>过渡板</v>
          </cell>
        </row>
        <row r="2959">
          <cell r="D2959" t="str">
            <v>BC2299175-001-001</v>
          </cell>
          <cell r="E2959" t="str">
            <v>支架</v>
          </cell>
        </row>
        <row r="2960">
          <cell r="D2960" t="str">
            <v>BC22103LP-001-001</v>
          </cell>
          <cell r="E2960" t="str">
            <v>支架</v>
          </cell>
        </row>
        <row r="2961">
          <cell r="D2961" t="str">
            <v>BC2291150-001-001</v>
          </cell>
          <cell r="E2961" t="str">
            <v>安全阀支架底板</v>
          </cell>
        </row>
        <row r="2962">
          <cell r="D2962" t="str">
            <v>BC3230400-001-300</v>
          </cell>
          <cell r="E2962" t="str">
            <v>过渡板</v>
          </cell>
        </row>
        <row r="2963">
          <cell r="D2963" t="str">
            <v>BC3230400-001-300</v>
          </cell>
          <cell r="E2963" t="str">
            <v>过渡板</v>
          </cell>
        </row>
        <row r="2964">
          <cell r="D2964" t="str">
            <v>BC3230500-001-300</v>
          </cell>
          <cell r="E2964" t="str">
            <v>过渡板</v>
          </cell>
        </row>
        <row r="2965">
          <cell r="D2965" t="str">
            <v>BC3230500-001-300</v>
          </cell>
          <cell r="E2965" t="str">
            <v>过渡板</v>
          </cell>
        </row>
        <row r="2966">
          <cell r="D2966" t="str">
            <v>DD-J10-55181-6</v>
          </cell>
          <cell r="E2966" t="str">
            <v>变径三通管接头</v>
          </cell>
        </row>
        <row r="2967">
          <cell r="D2967" t="str">
            <v>DD-J10-55181-14</v>
          </cell>
          <cell r="E2967" t="str">
            <v>变径四通管接头</v>
          </cell>
        </row>
        <row r="2968">
          <cell r="D2968" t="str">
            <v>DD-J10-55181-14</v>
          </cell>
          <cell r="E2968" t="str">
            <v>变径四通管接头</v>
          </cell>
        </row>
        <row r="2969">
          <cell r="D2969" t="str">
            <v>DD-J10-55181-16</v>
          </cell>
          <cell r="E2969" t="str">
            <v>变径三通管接头</v>
          </cell>
        </row>
        <row r="2970">
          <cell r="D2970" t="str">
            <v>DD-J10-55165-331</v>
          </cell>
          <cell r="E2970" t="str">
            <v>三通管接头</v>
          </cell>
        </row>
        <row r="2971">
          <cell r="D2971" t="str">
            <v>DD-J10-55165-331</v>
          </cell>
          <cell r="E2971" t="str">
            <v>三通管接头</v>
          </cell>
        </row>
        <row r="2972">
          <cell r="D2972" t="str">
            <v>DD-J10B-02111-2-Y</v>
          </cell>
          <cell r="E2972" t="str">
            <v>角盒</v>
          </cell>
        </row>
        <row r="2973">
          <cell r="D2973" t="str">
            <v>DD-J10B-02111-2-Y</v>
          </cell>
          <cell r="E2973" t="str">
            <v>角盒</v>
          </cell>
        </row>
        <row r="2974">
          <cell r="D2974" t="str">
            <v>DD-J10B-02111-2-Z</v>
          </cell>
          <cell r="E2974" t="str">
            <v>角盒</v>
          </cell>
        </row>
        <row r="2975">
          <cell r="D2975" t="str">
            <v>DD-J10B-02111-2-Z</v>
          </cell>
          <cell r="E2975" t="str">
            <v>角盒</v>
          </cell>
        </row>
        <row r="2976">
          <cell r="D2976" t="str">
            <v>DD-J10B-61001-8001</v>
          </cell>
          <cell r="E2976" t="str">
            <v>卡片</v>
          </cell>
        </row>
        <row r="2977">
          <cell r="D2977" t="str">
            <v>DD-J10B-61001-8001</v>
          </cell>
          <cell r="E2977" t="str">
            <v>卡片</v>
          </cell>
        </row>
        <row r="2978">
          <cell r="D2978" t="str">
            <v>DD-J10B-61001-8001</v>
          </cell>
          <cell r="E2978" t="str">
            <v>卡片</v>
          </cell>
        </row>
        <row r="2979">
          <cell r="D2979" t="str">
            <v>DD-J10B-73010-310G2-1</v>
          </cell>
          <cell r="E2979" t="str">
            <v>过渡板</v>
          </cell>
        </row>
        <row r="2980">
          <cell r="D2980" t="str">
            <v>DD-J10B-73010-310G2-1</v>
          </cell>
          <cell r="E2980" t="str">
            <v>过渡板</v>
          </cell>
        </row>
        <row r="2981">
          <cell r="D2981" t="str">
            <v>DD-J10B-94061-401</v>
          </cell>
          <cell r="E2981" t="str">
            <v>支架</v>
          </cell>
        </row>
        <row r="2982">
          <cell r="D2982" t="str">
            <v>DD-J10B-94061-401</v>
          </cell>
          <cell r="E2982" t="str">
            <v>支架</v>
          </cell>
        </row>
        <row r="2983">
          <cell r="D2983" t="str">
            <v>DD-J10B-61201-12</v>
          </cell>
          <cell r="E2983" t="str">
            <v>接头</v>
          </cell>
        </row>
        <row r="2984">
          <cell r="D2984" t="str">
            <v>DD-J10B-61201-12</v>
          </cell>
          <cell r="E2984" t="str">
            <v>接头</v>
          </cell>
        </row>
        <row r="2985">
          <cell r="D2985" t="str">
            <v>CB5324320-007L009</v>
          </cell>
          <cell r="E2985" t="str">
            <v>横梁</v>
          </cell>
        </row>
        <row r="2986">
          <cell r="D2986" t="str">
            <v>CB5324320-007L009</v>
          </cell>
          <cell r="E2986" t="str">
            <v>横梁</v>
          </cell>
        </row>
        <row r="2987">
          <cell r="D2987" t="str">
            <v>CB5324320-007L009</v>
          </cell>
          <cell r="E2987" t="str">
            <v>横梁</v>
          </cell>
        </row>
        <row r="2988">
          <cell r="D2988" t="str">
            <v>CB5324320-007R009</v>
          </cell>
          <cell r="E2988" t="str">
            <v>横梁</v>
          </cell>
        </row>
        <row r="2989">
          <cell r="D2989" t="str">
            <v>CB5324320-007R009</v>
          </cell>
          <cell r="E2989" t="str">
            <v>横梁</v>
          </cell>
        </row>
        <row r="2990">
          <cell r="D2990" t="str">
            <v>CB5324320-007R009</v>
          </cell>
          <cell r="E2990" t="str">
            <v>横梁</v>
          </cell>
        </row>
        <row r="2991">
          <cell r="D2991" t="str">
            <v>CB2298612-001-001</v>
          </cell>
          <cell r="E2991" t="str">
            <v>支架</v>
          </cell>
        </row>
        <row r="2992">
          <cell r="D2992" t="str">
            <v>CB2298621-001-002</v>
          </cell>
          <cell r="E2992" t="str">
            <v>支架</v>
          </cell>
        </row>
        <row r="2993">
          <cell r="D2993" t="str">
            <v>CB5315191-012L003</v>
          </cell>
          <cell r="E2993" t="str">
            <v>进气下侧壁</v>
          </cell>
        </row>
        <row r="2994">
          <cell r="D2994" t="str">
            <v>CB5315191-012L003</v>
          </cell>
          <cell r="E2994" t="str">
            <v>进气下侧壁</v>
          </cell>
        </row>
        <row r="2995">
          <cell r="D2995" t="str">
            <v>CB22921L3-001-001</v>
          </cell>
          <cell r="E2995" t="str">
            <v>支座</v>
          </cell>
        </row>
        <row r="2996">
          <cell r="D2996" t="str">
            <v>CB22921L3-001-001</v>
          </cell>
          <cell r="E2996" t="str">
            <v>支座</v>
          </cell>
        </row>
        <row r="2997">
          <cell r="D2997" t="str">
            <v>CB5315193-005-003</v>
          </cell>
          <cell r="E2997" t="str">
            <v>口盖</v>
          </cell>
        </row>
        <row r="2998">
          <cell r="D2998" t="str">
            <v>CB5315193-005-003</v>
          </cell>
          <cell r="E2998" t="str">
            <v>口盖</v>
          </cell>
        </row>
        <row r="2999">
          <cell r="D2999" t="str">
            <v>CB2298612-001-001</v>
          </cell>
          <cell r="E2999" t="str">
            <v>支架</v>
          </cell>
        </row>
        <row r="3000">
          <cell r="D3000" t="str">
            <v>CB5324420-001R003</v>
          </cell>
          <cell r="E3000" t="str">
            <v>侧下梁</v>
          </cell>
        </row>
        <row r="3001">
          <cell r="D3001" t="str">
            <v>CB5324420-001R003</v>
          </cell>
          <cell r="E3001" t="str">
            <v>侧下梁</v>
          </cell>
        </row>
        <row r="3002">
          <cell r="D3002" t="str">
            <v>CB5324420-001R003</v>
          </cell>
          <cell r="E3002" t="str">
            <v>侧下梁</v>
          </cell>
        </row>
        <row r="3003">
          <cell r="D3003" t="str">
            <v>CB5324420-001L003</v>
          </cell>
          <cell r="E3003" t="str">
            <v>侧下梁</v>
          </cell>
        </row>
        <row r="3004">
          <cell r="D3004" t="str">
            <v>CB5324420-001L003</v>
          </cell>
          <cell r="E3004" t="str">
            <v>侧下梁</v>
          </cell>
        </row>
        <row r="3005">
          <cell r="D3005" t="str">
            <v>CB5324420-001L003</v>
          </cell>
          <cell r="E3005" t="str">
            <v>侧下梁</v>
          </cell>
        </row>
        <row r="3006">
          <cell r="D3006" t="str">
            <v>W12J1-000-00</v>
          </cell>
          <cell r="E3006" t="str">
            <v>振动夹具组合件</v>
          </cell>
        </row>
        <row r="3007">
          <cell r="D3007" t="str">
            <v>W12J1-000-01</v>
          </cell>
          <cell r="E3007" t="str">
            <v>振动夹具</v>
          </cell>
        </row>
        <row r="3008">
          <cell r="D3008" t="str">
            <v>W12J2-000-01</v>
          </cell>
          <cell r="E3008" t="str">
            <v>离心夹具</v>
          </cell>
        </row>
        <row r="3009">
          <cell r="D3009" t="str">
            <v>W12J2-000-00</v>
          </cell>
          <cell r="E3009" t="str">
            <v>离心夹具组合件</v>
          </cell>
        </row>
        <row r="3010">
          <cell r="D3010" t="str">
            <v>DD-J10B-02021-3/2-Y</v>
          </cell>
          <cell r="E3010" t="str">
            <v>雷达罩锁支座</v>
          </cell>
        </row>
        <row r="3011">
          <cell r="D3011" t="str">
            <v>DD-J10B-02021-3/2-Y</v>
          </cell>
          <cell r="E3011" t="str">
            <v>雷达罩锁支座</v>
          </cell>
        </row>
        <row r="3012">
          <cell r="D3012" t="str">
            <v>DD-J10B-02021-3/2-Y</v>
          </cell>
          <cell r="E3012" t="str">
            <v>雷达罩锁支座</v>
          </cell>
        </row>
        <row r="3013">
          <cell r="D3013" t="str">
            <v>Y20-5315200048-501</v>
          </cell>
          <cell r="E3013" t="str">
            <v>锁柱短横梁</v>
          </cell>
        </row>
        <row r="3014">
          <cell r="D3014" t="str">
            <v>Y20-5315200048-501</v>
          </cell>
          <cell r="E3014" t="str">
            <v>锁柱短横梁</v>
          </cell>
        </row>
        <row r="3015">
          <cell r="D3015" t="str">
            <v>Y20-5315200048-502</v>
          </cell>
          <cell r="E3015" t="str">
            <v>锁柱短横梁</v>
          </cell>
        </row>
        <row r="3016">
          <cell r="D3016" t="str">
            <v>Y20-5315200048-502</v>
          </cell>
          <cell r="E3016" t="str">
            <v>锁柱短横梁</v>
          </cell>
        </row>
        <row r="3017">
          <cell r="D3017" t="str">
            <v>Y20-5316100416-501</v>
          </cell>
          <cell r="E3017" t="str">
            <v>地板纵向件</v>
          </cell>
        </row>
        <row r="3018">
          <cell r="D3018" t="str">
            <v>Y20-5316100416-501</v>
          </cell>
          <cell r="E3018" t="str">
            <v>地板纵向件</v>
          </cell>
        </row>
        <row r="3019">
          <cell r="D3019" t="str">
            <v>Y20-5316100416-502</v>
          </cell>
          <cell r="E3019" t="str">
            <v>地板纵向件</v>
          </cell>
        </row>
        <row r="3020">
          <cell r="D3020" t="str">
            <v>Y20-5316100416-502</v>
          </cell>
          <cell r="E3020" t="str">
            <v>地板纵向件</v>
          </cell>
        </row>
        <row r="3021">
          <cell r="D3021" t="str">
            <v>Y20-5316100500-501</v>
          </cell>
          <cell r="E3021" t="str">
            <v>地板接头</v>
          </cell>
        </row>
        <row r="3022">
          <cell r="D3022" t="str">
            <v>Y20-5316100500-501</v>
          </cell>
          <cell r="E3022" t="str">
            <v>地板接头</v>
          </cell>
        </row>
        <row r="3023">
          <cell r="D3023" t="str">
            <v>Y20-5316100500-502</v>
          </cell>
          <cell r="E3023" t="str">
            <v>地板接头</v>
          </cell>
        </row>
        <row r="3024">
          <cell r="D3024" t="str">
            <v>Y20-5316100500-502</v>
          </cell>
          <cell r="E3024" t="str">
            <v>地板接头</v>
          </cell>
        </row>
        <row r="3025">
          <cell r="D3025" t="str">
            <v>Y20-5316200018-501</v>
          </cell>
          <cell r="E3025" t="str">
            <v>横梁</v>
          </cell>
        </row>
        <row r="3026">
          <cell r="D3026" t="str">
            <v>Y20-5316200018-501</v>
          </cell>
          <cell r="E3026" t="str">
            <v>横梁</v>
          </cell>
        </row>
        <row r="3027">
          <cell r="D3027" t="str">
            <v>Y20-5316200033-501</v>
          </cell>
          <cell r="E3027" t="str">
            <v>横梁</v>
          </cell>
        </row>
        <row r="3028">
          <cell r="D3028" t="str">
            <v>Y20-5316200033-501</v>
          </cell>
          <cell r="E3028" t="str">
            <v>横梁</v>
          </cell>
        </row>
        <row r="3029">
          <cell r="D3029" t="str">
            <v>Y20-5316200033-502</v>
          </cell>
          <cell r="E3029" t="str">
            <v>横梁</v>
          </cell>
        </row>
        <row r="3030">
          <cell r="D3030" t="str">
            <v>Y20-5316200033-502</v>
          </cell>
          <cell r="E3030" t="str">
            <v>横梁</v>
          </cell>
        </row>
        <row r="3031">
          <cell r="D3031" t="str">
            <v>Y20-5318100030-501</v>
          </cell>
          <cell r="E3031" t="str">
            <v>11框横梁</v>
          </cell>
        </row>
        <row r="3032">
          <cell r="D3032" t="str">
            <v>Y20-5318100030-501</v>
          </cell>
          <cell r="E3032" t="str">
            <v>11框横梁</v>
          </cell>
        </row>
        <row r="3033">
          <cell r="D3033" t="str">
            <v>Y20-5318100030-502</v>
          </cell>
          <cell r="E3033" t="str">
            <v>11框横梁</v>
          </cell>
        </row>
        <row r="3034">
          <cell r="D3034" t="str">
            <v>Y20-5318100030-502</v>
          </cell>
          <cell r="E3034" t="str">
            <v>11框横梁</v>
          </cell>
        </row>
        <row r="3035">
          <cell r="D3035" t="str">
            <v>Y20-5316100329-501</v>
          </cell>
          <cell r="E3035" t="str">
            <v>地板纵向件</v>
          </cell>
        </row>
        <row r="3036">
          <cell r="D3036" t="str">
            <v>Y20-5316100329-501</v>
          </cell>
          <cell r="E3036" t="str">
            <v>地板纵向件</v>
          </cell>
        </row>
        <row r="3037">
          <cell r="D3037" t="str">
            <v>Y20-5316100329-502</v>
          </cell>
          <cell r="E3037" t="str">
            <v>地板纵向件</v>
          </cell>
        </row>
        <row r="3038">
          <cell r="D3038" t="str">
            <v>Y20-5316100329-502</v>
          </cell>
          <cell r="E3038" t="str">
            <v>地板纵向件</v>
          </cell>
        </row>
        <row r="3039">
          <cell r="D3039" t="str">
            <v>Y20-5317001074-501</v>
          </cell>
          <cell r="E3039" t="str">
            <v>1#竖梁</v>
          </cell>
        </row>
        <row r="3040">
          <cell r="D3040" t="str">
            <v>Y20-5317001074-502</v>
          </cell>
          <cell r="E3040" t="str">
            <v>1#竖梁</v>
          </cell>
        </row>
        <row r="3041">
          <cell r="D3041" t="str">
            <v>DD-J10-34003-2</v>
          </cell>
          <cell r="E3041" t="str">
            <v>后梁</v>
          </cell>
        </row>
        <row r="3042">
          <cell r="D3042" t="str">
            <v>DD-J10-34003-2</v>
          </cell>
          <cell r="E3042" t="str">
            <v>后梁</v>
          </cell>
        </row>
        <row r="3043">
          <cell r="D3043" t="str">
            <v>DD-J10B-04041-1</v>
          </cell>
          <cell r="E3043" t="str">
            <v>10060框</v>
          </cell>
        </row>
        <row r="3044">
          <cell r="D3044" t="str">
            <v>DD-J10B-04041-1</v>
          </cell>
          <cell r="E3044" t="str">
            <v>10060框</v>
          </cell>
        </row>
        <row r="3045">
          <cell r="D3045" t="str">
            <v>DD-J10B-04041-1</v>
          </cell>
          <cell r="E3045" t="str">
            <v>10060框</v>
          </cell>
        </row>
        <row r="3046">
          <cell r="D3046" t="str">
            <v>DD-J10B-04041-1</v>
          </cell>
          <cell r="E3046" t="str">
            <v>10060框</v>
          </cell>
        </row>
        <row r="3047">
          <cell r="D3047" t="str">
            <v>DD-J10-21102-60/-1/3-Y</v>
          </cell>
          <cell r="E3047" t="str">
            <v>11968下口盖</v>
          </cell>
        </row>
        <row r="3048">
          <cell r="D3048" t="str">
            <v>DD-J10-21102-60/-1/3-Y</v>
          </cell>
          <cell r="E3048" t="str">
            <v>11968下口盖</v>
          </cell>
        </row>
        <row r="3049">
          <cell r="D3049" t="str">
            <v>CB5742000-202L001</v>
          </cell>
          <cell r="E3049" t="str">
            <v>前梁二段</v>
          </cell>
        </row>
        <row r="3050">
          <cell r="D3050" t="str">
            <v>CB5742000-202R001</v>
          </cell>
          <cell r="E3050" t="str">
            <v>前梁二段</v>
          </cell>
        </row>
        <row r="3051">
          <cell r="D3051" t="str">
            <v>Y20-4354233101-001</v>
          </cell>
          <cell r="E3051" t="str">
            <v>氧气瓶支架</v>
          </cell>
        </row>
        <row r="3052">
          <cell r="D3052" t="str">
            <v>Y20-4354233101-001</v>
          </cell>
          <cell r="E3052" t="str">
            <v>氧气瓶支架</v>
          </cell>
        </row>
        <row r="3053">
          <cell r="D3053" t="str">
            <v>CB5326200-125R002</v>
          </cell>
          <cell r="E3053" t="str">
            <v>9200 3号加强筋</v>
          </cell>
        </row>
        <row r="3054">
          <cell r="D3054" t="str">
            <v>CB5326200-125R002</v>
          </cell>
          <cell r="E3054" t="str">
            <v>9200 3号加强筋</v>
          </cell>
        </row>
        <row r="3055">
          <cell r="D3055" t="str">
            <v>CB5326200-125R002</v>
          </cell>
          <cell r="E3055" t="str">
            <v>9200 3号加强筋</v>
          </cell>
        </row>
        <row r="3056">
          <cell r="D3056" t="str">
            <v>CB5326200-125R002</v>
          </cell>
          <cell r="E3056" t="str">
            <v>9200 3号加强筋</v>
          </cell>
        </row>
        <row r="3057">
          <cell r="D3057" t="str">
            <v>CB5326200-125L002</v>
          </cell>
          <cell r="E3057" t="str">
            <v>9200 3号加强筋</v>
          </cell>
        </row>
        <row r="3058">
          <cell r="D3058" t="str">
            <v>CB5326200-125L002</v>
          </cell>
          <cell r="E3058" t="str">
            <v>9200 3号加强筋</v>
          </cell>
        </row>
        <row r="3059">
          <cell r="D3059" t="str">
            <v>CB5326200-125L002</v>
          </cell>
          <cell r="E3059" t="str">
            <v>9200 3号加强筋</v>
          </cell>
        </row>
        <row r="3060">
          <cell r="D3060" t="str">
            <v>CB5326200-125L002</v>
          </cell>
          <cell r="E3060" t="str">
            <v>9200 3号加强筋</v>
          </cell>
        </row>
        <row r="3061">
          <cell r="D3061" t="str">
            <v>CB5314240-012-003</v>
          </cell>
          <cell r="E3061" t="str">
            <v>后顶板</v>
          </cell>
        </row>
        <row r="3062">
          <cell r="D3062" t="str">
            <v>CB5314240-012-003</v>
          </cell>
          <cell r="E3062" t="str">
            <v>后顶板</v>
          </cell>
        </row>
        <row r="3063">
          <cell r="D3063" t="str">
            <v>CB5314240-012-003</v>
          </cell>
          <cell r="E3063" t="str">
            <v>后顶板</v>
          </cell>
        </row>
        <row r="3064">
          <cell r="D3064" t="str">
            <v>CB5314240-012-003</v>
          </cell>
          <cell r="E3064" t="str">
            <v>后顶板</v>
          </cell>
        </row>
        <row r="3065">
          <cell r="D3065" t="str">
            <v>DD-J10-34103-4</v>
          </cell>
          <cell r="E3065" t="str">
            <v>上边肋</v>
          </cell>
        </row>
        <row r="3066">
          <cell r="D3066" t="str">
            <v>DD-J10-34103-4</v>
          </cell>
          <cell r="E3066" t="str">
            <v>上边肋</v>
          </cell>
        </row>
        <row r="3067">
          <cell r="D3067" t="str">
            <v>DD-J10B-25002-30G2-1G2-Y</v>
          </cell>
          <cell r="E3067" t="str">
            <v>梁（右件）</v>
          </cell>
        </row>
        <row r="3068">
          <cell r="D3068" t="str">
            <v>DD-J10B-25002-30G2-1G2-Y</v>
          </cell>
          <cell r="E3068" t="str">
            <v>梁（右件）</v>
          </cell>
        </row>
        <row r="3069">
          <cell r="D3069" t="str">
            <v>DD-J10B-25002-30G2-1G2-Y</v>
          </cell>
          <cell r="E3069" t="str">
            <v>梁（右件）</v>
          </cell>
        </row>
        <row r="3070">
          <cell r="D3070" t="str">
            <v>DD-J10B-25002-30G2-1G2-Z</v>
          </cell>
          <cell r="E3070" t="str">
            <v>梁（左件）</v>
          </cell>
        </row>
        <row r="3071">
          <cell r="D3071" t="str">
            <v>DD-J10B-25002-30G2-1G2-Z</v>
          </cell>
          <cell r="E3071" t="str">
            <v>梁（左件）</v>
          </cell>
        </row>
        <row r="3072">
          <cell r="D3072" t="str">
            <v>DD-J10B-25002-30G2-1G2-Z</v>
          </cell>
          <cell r="E3072" t="str">
            <v>梁（左件）</v>
          </cell>
        </row>
        <row r="3073">
          <cell r="D3073" t="str">
            <v>DD-J10-55181-66</v>
          </cell>
          <cell r="E3073" t="str">
            <v>转接管接头</v>
          </cell>
        </row>
        <row r="3074">
          <cell r="D3074" t="str">
            <v>DD-J10-55181-66</v>
          </cell>
          <cell r="E3074" t="str">
            <v>转接管接头</v>
          </cell>
        </row>
        <row r="3075">
          <cell r="D3075" t="str">
            <v>DD-J10-55181-66</v>
          </cell>
          <cell r="E3075" t="str">
            <v>转接管接头</v>
          </cell>
        </row>
        <row r="3076">
          <cell r="D3076" t="str">
            <v>000-01</v>
          </cell>
          <cell r="E3076" t="str">
            <v>头部等效器转接板</v>
          </cell>
        </row>
        <row r="3077">
          <cell r="D3077" t="str">
            <v>CB22956R0-001R001</v>
          </cell>
          <cell r="E3077" t="str">
            <v>架子</v>
          </cell>
        </row>
        <row r="3078">
          <cell r="D3078" t="str">
            <v>CB22956R0-001R001</v>
          </cell>
          <cell r="E3078" t="str">
            <v>架子</v>
          </cell>
        </row>
        <row r="3079">
          <cell r="D3079" t="str">
            <v>CB22956R0-001L001</v>
          </cell>
          <cell r="E3079" t="str">
            <v>架子</v>
          </cell>
        </row>
        <row r="3080">
          <cell r="D3080" t="str">
            <v>CB22956R0-001L001</v>
          </cell>
          <cell r="E3080" t="str">
            <v>架子</v>
          </cell>
        </row>
        <row r="3081">
          <cell r="D3081" t="str">
            <v>CB22956R0-001L001</v>
          </cell>
          <cell r="E3081" t="str">
            <v>架子</v>
          </cell>
        </row>
        <row r="3082">
          <cell r="D3082" t="str">
            <v>Y20-5315200122-501</v>
          </cell>
          <cell r="E3082" t="str">
            <v>6号加强长桁12﹠13框段</v>
          </cell>
        </row>
        <row r="3083">
          <cell r="D3083" t="str">
            <v>Y20-5315200122-502</v>
          </cell>
          <cell r="E3083" t="str">
            <v>6号加强长桁12﹠13框段</v>
          </cell>
        </row>
        <row r="3084">
          <cell r="D3084" t="str">
            <v>Y20-5316100314-501</v>
          </cell>
          <cell r="E3084" t="str">
            <v>纵向件</v>
          </cell>
        </row>
        <row r="3085">
          <cell r="D3085" t="str">
            <v>Y20-5316100314-501</v>
          </cell>
          <cell r="E3085" t="str">
            <v>纵向件</v>
          </cell>
        </row>
        <row r="3086">
          <cell r="D3086" t="str">
            <v>Y20-5316100314-502</v>
          </cell>
          <cell r="E3086" t="str">
            <v>纵向件</v>
          </cell>
        </row>
        <row r="3087">
          <cell r="D3087" t="str">
            <v>Y20-5316100314-502</v>
          </cell>
          <cell r="E3087" t="str">
            <v>纵向件</v>
          </cell>
        </row>
        <row r="3088">
          <cell r="D3088" t="str">
            <v>DD-J10B-02041-2-Y</v>
          </cell>
          <cell r="E3088" t="str">
            <v>前上大梁（右）</v>
          </cell>
        </row>
        <row r="3089">
          <cell r="D3089" t="str">
            <v>DD-J10B-02041-2-Y</v>
          </cell>
          <cell r="E3089" t="str">
            <v>前上大梁（右）</v>
          </cell>
        </row>
        <row r="3090">
          <cell r="D3090" t="str">
            <v>DD-J10B-02041-2-Y</v>
          </cell>
          <cell r="E3090" t="str">
            <v>前上大梁（右）</v>
          </cell>
        </row>
        <row r="3091">
          <cell r="D3091" t="str">
            <v>DD-J10B-02041-2-Z</v>
          </cell>
          <cell r="E3091" t="str">
            <v>前上大梁（左）</v>
          </cell>
        </row>
        <row r="3092">
          <cell r="D3092" t="str">
            <v>DD-J10B-02041-2-Z</v>
          </cell>
          <cell r="E3092" t="str">
            <v>前上大梁（左）</v>
          </cell>
        </row>
        <row r="3093">
          <cell r="D3093" t="str">
            <v>DD-J10B-02041-2-Z</v>
          </cell>
          <cell r="E3093" t="str">
            <v>前上大梁（左）</v>
          </cell>
        </row>
        <row r="3094">
          <cell r="D3094" t="str">
            <v>DD-J10-21102-60/-1/2-Z</v>
          </cell>
          <cell r="E3094" t="str">
            <v>11968下口盖</v>
          </cell>
        </row>
        <row r="3095">
          <cell r="D3095" t="str">
            <v>DD-J10-21102-60/-1/2-Z</v>
          </cell>
          <cell r="E3095" t="str">
            <v>11968下口盖</v>
          </cell>
        </row>
        <row r="3096">
          <cell r="D3096" t="str">
            <v>DD-J10-21102-60/-1/3-Z</v>
          </cell>
          <cell r="E3096" t="str">
            <v>11968下口盖</v>
          </cell>
        </row>
        <row r="3097">
          <cell r="D3097" t="str">
            <v>DD-J10-21102-60/-1/3-Z</v>
          </cell>
          <cell r="E3097" t="str">
            <v>11968下口盖</v>
          </cell>
        </row>
        <row r="3098">
          <cell r="D3098" t="str">
            <v>DD-J10-21102-60/-1/4-Z</v>
          </cell>
          <cell r="E3098" t="str">
            <v>11968下口盖</v>
          </cell>
        </row>
        <row r="3099">
          <cell r="D3099" t="str">
            <v>DD-J10-21102-60/-1/4-Z</v>
          </cell>
          <cell r="E3099" t="str">
            <v>11968下口盖</v>
          </cell>
        </row>
        <row r="3100">
          <cell r="D3100" t="str">
            <v>DD-J10-21102-60/-1/4-Z</v>
          </cell>
          <cell r="E3100" t="str">
            <v>11968下口盖</v>
          </cell>
        </row>
        <row r="3101">
          <cell r="D3101" t="str">
            <v>DD-J10B-02041-300-3</v>
          </cell>
          <cell r="E3101" t="str">
            <v>右内侧角材</v>
          </cell>
        </row>
        <row r="3102">
          <cell r="D3102" t="str">
            <v>DD-J10B-02041-300-3</v>
          </cell>
          <cell r="E3102" t="str">
            <v>右内侧角材</v>
          </cell>
        </row>
        <row r="3103">
          <cell r="D3103" t="str">
            <v>DD-J10B-02041-300-3</v>
          </cell>
          <cell r="E3103" t="str">
            <v>右内侧角材</v>
          </cell>
        </row>
        <row r="3104">
          <cell r="D3104" t="str">
            <v>CB5313200-004R006</v>
          </cell>
          <cell r="E3104" t="str">
            <v>右前分合面框</v>
          </cell>
        </row>
        <row r="3105">
          <cell r="D3105" t="str">
            <v>CB5313200-004R006</v>
          </cell>
          <cell r="E3105" t="str">
            <v>右前分合面框</v>
          </cell>
        </row>
        <row r="3106">
          <cell r="D3106" t="str">
            <v>CB5313200-004L006</v>
          </cell>
          <cell r="E3106" t="str">
            <v>左前分合面框</v>
          </cell>
        </row>
        <row r="3107">
          <cell r="D3107" t="str">
            <v>CB5313200-004L006</v>
          </cell>
          <cell r="E3107" t="str">
            <v>左前分合面框</v>
          </cell>
        </row>
        <row r="3108">
          <cell r="D3108" t="str">
            <v>CB22956R1-001R001</v>
          </cell>
          <cell r="E3108" t="str">
            <v>座子</v>
          </cell>
        </row>
        <row r="3109">
          <cell r="D3109" t="str">
            <v>CB22956R1-001L001</v>
          </cell>
          <cell r="E3109" t="str">
            <v>座子</v>
          </cell>
        </row>
        <row r="3110">
          <cell r="D3110" t="str">
            <v>CB229C050-002-003</v>
          </cell>
          <cell r="E3110" t="str">
            <v>拨杆</v>
          </cell>
        </row>
        <row r="3111">
          <cell r="D3111" t="str">
            <v>CB2295170-001-001</v>
          </cell>
          <cell r="E3111" t="str">
            <v>安装支座</v>
          </cell>
        </row>
        <row r="3112">
          <cell r="D3112" t="str">
            <v>DD-J10-21102-390-1-Y</v>
          </cell>
          <cell r="E3112" t="str">
            <v>1150肋九段</v>
          </cell>
        </row>
        <row r="3113">
          <cell r="D3113" t="str">
            <v>DD-J10-21102-390-1-Z</v>
          </cell>
          <cell r="E3113" t="str">
            <v>1150肋九段</v>
          </cell>
        </row>
        <row r="3114">
          <cell r="D3114" t="str">
            <v>DD-J10-21102-390-1-Z</v>
          </cell>
          <cell r="E3114" t="str">
            <v>1150肋九段</v>
          </cell>
        </row>
        <row r="3115">
          <cell r="D3115" t="str">
            <v>DD-J10-21102-410-1-Z</v>
          </cell>
          <cell r="E3115" t="str">
            <v>1150肋根肋</v>
          </cell>
        </row>
        <row r="3116">
          <cell r="D3116" t="str">
            <v>DD-J10-21102-410-1-Z</v>
          </cell>
          <cell r="E3116" t="str">
            <v>1150肋根肋</v>
          </cell>
        </row>
        <row r="3117">
          <cell r="D3117" t="str">
            <v>DD-J10-21102-410-1-Z</v>
          </cell>
          <cell r="E3117" t="str">
            <v>1150肋根肋</v>
          </cell>
        </row>
        <row r="3118">
          <cell r="D3118" t="str">
            <v>DD-J10-21102-410-1-Z</v>
          </cell>
          <cell r="E3118" t="str">
            <v>1150肋根肋</v>
          </cell>
        </row>
        <row r="3119">
          <cell r="D3119" t="str">
            <v>DD-J10-21102-410-1-Y</v>
          </cell>
          <cell r="E3119" t="str">
            <v>1150肋根肋</v>
          </cell>
        </row>
        <row r="3120">
          <cell r="D3120" t="str">
            <v>DD-J10-21102-410-1-Y</v>
          </cell>
          <cell r="E3120" t="str">
            <v>1150肋根肋</v>
          </cell>
        </row>
        <row r="3121">
          <cell r="D3121" t="str">
            <v>DD-J10-21102-410-1-Y</v>
          </cell>
          <cell r="E3121" t="str">
            <v>1150肋根肋</v>
          </cell>
        </row>
        <row r="3122">
          <cell r="D3122" t="str">
            <v>DD-J10-21102-410-1-Y</v>
          </cell>
          <cell r="E3122" t="str">
            <v>1150肋根肋</v>
          </cell>
        </row>
        <row r="3123">
          <cell r="D3123" t="str">
            <v>DD-J10-21102-410-1-Y</v>
          </cell>
          <cell r="E3123" t="str">
            <v>1150肋根肋</v>
          </cell>
        </row>
        <row r="3124">
          <cell r="D3124" t="str">
            <v>DD-J10-21102-410-1-Y</v>
          </cell>
          <cell r="E3124" t="str">
            <v>1150肋根肋</v>
          </cell>
        </row>
        <row r="3125">
          <cell r="D3125" t="str">
            <v>DD-J10-21102-410-1-Y</v>
          </cell>
          <cell r="E3125" t="str">
            <v>1150肋根肋</v>
          </cell>
        </row>
        <row r="3126">
          <cell r="D3126" t="str">
            <v>DD-J10-21102-410-1-Y</v>
          </cell>
          <cell r="E3126" t="str">
            <v>1150肋根肋</v>
          </cell>
        </row>
        <row r="3127">
          <cell r="D3127" t="str">
            <v>DD-J10-55181-6431</v>
          </cell>
          <cell r="E3127" t="str">
            <v>变径三通管接头</v>
          </cell>
        </row>
        <row r="3128">
          <cell r="D3128" t="str">
            <v>DD-J10-55181-6431</v>
          </cell>
          <cell r="E3128" t="str">
            <v>变径三通管接头</v>
          </cell>
        </row>
        <row r="3129">
          <cell r="D3129" t="str">
            <v>DD-J10-55181-6431</v>
          </cell>
          <cell r="E3129" t="str">
            <v>变径三通管接头</v>
          </cell>
        </row>
        <row r="3130">
          <cell r="D3130" t="str">
            <v>DD-J10-91001-1</v>
          </cell>
          <cell r="E3130" t="str">
            <v>支座</v>
          </cell>
        </row>
        <row r="3131">
          <cell r="D3131" t="str">
            <v>DD-J10-91001-1</v>
          </cell>
          <cell r="E3131" t="str">
            <v>支座</v>
          </cell>
        </row>
        <row r="3132">
          <cell r="D3132" t="str">
            <v>DD-J10-91001-1</v>
          </cell>
          <cell r="E3132" t="str">
            <v>支座</v>
          </cell>
        </row>
        <row r="3133">
          <cell r="D3133" t="str">
            <v>DD-J10-91001-1</v>
          </cell>
          <cell r="E3133" t="str">
            <v>支座</v>
          </cell>
        </row>
        <row r="3134">
          <cell r="D3134" t="str">
            <v>W12J1 00-01</v>
          </cell>
          <cell r="E3134" t="str">
            <v>平板振动夹具</v>
          </cell>
        </row>
        <row r="3135">
          <cell r="D3135" t="str">
            <v>W12J 000-00</v>
          </cell>
          <cell r="E3135" t="str">
            <v>平板振动夹具组合件</v>
          </cell>
        </row>
        <row r="3136">
          <cell r="D3136" t="str">
            <v>W12J2 000-01</v>
          </cell>
          <cell r="E3136" t="str">
            <v>方腔振动夹具</v>
          </cell>
        </row>
        <row r="3137">
          <cell r="D3137" t="str">
            <v>W12J2 000-00</v>
          </cell>
          <cell r="E3137" t="str">
            <v>方腔振动夹具组合件</v>
          </cell>
        </row>
        <row r="3138">
          <cell r="D3138" t="str">
            <v>W12J3 000-01</v>
          </cell>
          <cell r="E3138" t="str">
            <v>离心夹具</v>
          </cell>
        </row>
        <row r="3139">
          <cell r="D3139" t="str">
            <v>W12J3 000-00</v>
          </cell>
          <cell r="E3139" t="str">
            <v>离心夹具组合件</v>
          </cell>
        </row>
        <row r="3140">
          <cell r="D3140" t="str">
            <v>DD-J10B-21402-90G2-1G2-Y</v>
          </cell>
          <cell r="E3140" t="str">
            <v>固定前缘端肋（右件）</v>
          </cell>
        </row>
        <row r="3141">
          <cell r="D3141" t="str">
            <v>DD-J10B-21402-90G2-1G2-Y</v>
          </cell>
          <cell r="E3141" t="str">
            <v>固定前缘端肋（右件）</v>
          </cell>
        </row>
        <row r="3142">
          <cell r="D3142" t="str">
            <v>DD-J10B-21402-90G2-1G2-Y</v>
          </cell>
          <cell r="E3142" t="str">
            <v>固定前缘端肋（右件）</v>
          </cell>
        </row>
        <row r="3143">
          <cell r="D3143" t="str">
            <v>DD-J10B-21402-90G2-1G2-Y</v>
          </cell>
          <cell r="E3143" t="str">
            <v>固定前缘端肋（右件）</v>
          </cell>
        </row>
        <row r="3144">
          <cell r="D3144" t="str">
            <v>DD-J10B-21402-90G2-1G2-Y</v>
          </cell>
          <cell r="E3144" t="str">
            <v>固定前缘端肋（右件）</v>
          </cell>
        </row>
        <row r="3145">
          <cell r="D3145" t="str">
            <v>DD-J10B-21402-90G2-1G2-Z</v>
          </cell>
          <cell r="E3145" t="str">
            <v>固定前缘端肋（左件）</v>
          </cell>
        </row>
        <row r="3146">
          <cell r="D3146" t="str">
            <v>DD-J10B-21402-90G2-1G2-Z</v>
          </cell>
          <cell r="E3146" t="str">
            <v>固定前缘端肋（左件）</v>
          </cell>
        </row>
        <row r="3147">
          <cell r="D3147" t="str">
            <v>DD-J10B-21402-90G2-1G2-Z</v>
          </cell>
          <cell r="E3147" t="str">
            <v>固定前缘端肋（左件）</v>
          </cell>
        </row>
        <row r="3148">
          <cell r="D3148" t="str">
            <v>DD-J10B-21402-90G2-1G2-Z</v>
          </cell>
          <cell r="E3148" t="str">
            <v>固定前缘端肋（左件）</v>
          </cell>
        </row>
        <row r="3149">
          <cell r="D3149" t="str">
            <v>DD-J10B-21402-90G2-1G2-Z</v>
          </cell>
          <cell r="E3149" t="str">
            <v>固定前缘端肋（左件）</v>
          </cell>
        </row>
        <row r="3150">
          <cell r="D3150" t="str">
            <v>000-01</v>
          </cell>
          <cell r="E3150" t="str">
            <v>减振器模拟件</v>
          </cell>
        </row>
        <row r="3151">
          <cell r="D3151" t="str">
            <v>XXX-3151000-01</v>
          </cell>
          <cell r="E3151" t="str">
            <v>XXX机（I)腔体</v>
          </cell>
        </row>
        <row r="3152">
          <cell r="D3152" t="str">
            <v>XXX-3151000-02</v>
          </cell>
          <cell r="E3152" t="str">
            <v>上内盖板一（I)</v>
          </cell>
        </row>
        <row r="3153">
          <cell r="D3153" t="str">
            <v>XXX-3151000-03</v>
          </cell>
          <cell r="E3153" t="str">
            <v>上内盖板二（I)</v>
          </cell>
        </row>
        <row r="3154">
          <cell r="D3154" t="str">
            <v>XXX-3151000-04</v>
          </cell>
          <cell r="E3154" t="str">
            <v>上盖板一（I)</v>
          </cell>
        </row>
        <row r="3155">
          <cell r="D3155" t="str">
            <v>XXX-3151000-05</v>
          </cell>
          <cell r="E3155" t="str">
            <v>T型挡板一（I)</v>
          </cell>
        </row>
        <row r="3156">
          <cell r="D3156" t="str">
            <v>XXX-3151000-06</v>
          </cell>
          <cell r="E3156" t="str">
            <v>T型挡板二（I)</v>
          </cell>
        </row>
        <row r="3157">
          <cell r="D3157" t="str">
            <v>XXX-3151000-07</v>
          </cell>
          <cell r="E3157" t="str">
            <v>压线盖板（I)</v>
          </cell>
        </row>
        <row r="3158">
          <cell r="D3158" t="str">
            <v>XXX-3151000-08</v>
          </cell>
          <cell r="E3158" t="str">
            <v>T型挡板三（I)</v>
          </cell>
        </row>
        <row r="3159">
          <cell r="D3159" t="str">
            <v>XXX-3151000-09</v>
          </cell>
          <cell r="E3159" t="str">
            <v>上盖板二（I)</v>
          </cell>
        </row>
        <row r="3160">
          <cell r="D3160" t="str">
            <v>XXX-3151000-10</v>
          </cell>
          <cell r="E3160" t="str">
            <v>T型挡板四（I)</v>
          </cell>
        </row>
        <row r="3161">
          <cell r="D3161" t="str">
            <v>XXX-3151000-11</v>
          </cell>
          <cell r="E3161" t="str">
            <v>压片(I)</v>
          </cell>
        </row>
        <row r="3162">
          <cell r="D3162" t="str">
            <v>XXX-3151000-12</v>
          </cell>
          <cell r="E3162" t="str">
            <v>上盖板三（I)</v>
          </cell>
        </row>
        <row r="3163">
          <cell r="D3163" t="str">
            <v>XXX-3151000-13</v>
          </cell>
          <cell r="E3163" t="str">
            <v>下内盖板一(I)</v>
          </cell>
        </row>
        <row r="3164">
          <cell r="D3164" t="str">
            <v>XXX-3151000-14</v>
          </cell>
          <cell r="E3164" t="str">
            <v>下内盖板二（I)</v>
          </cell>
        </row>
        <row r="3165">
          <cell r="D3165" t="str">
            <v>XXX-3151000-15</v>
          </cell>
          <cell r="E3165" t="str">
            <v>下内盖板三（I)</v>
          </cell>
        </row>
        <row r="3166">
          <cell r="D3166" t="str">
            <v>XXX-3151000-16</v>
          </cell>
          <cell r="E3166" t="str">
            <v>下内盖板四（I)</v>
          </cell>
        </row>
        <row r="3167">
          <cell r="D3167" t="str">
            <v>XXX-3151000-17</v>
          </cell>
          <cell r="E3167" t="str">
            <v>下内盖板五（I)</v>
          </cell>
        </row>
        <row r="3168">
          <cell r="D3168" t="str">
            <v>XXX-3151000-18</v>
          </cell>
          <cell r="E3168" t="str">
            <v>下内盖板六（I)</v>
          </cell>
        </row>
        <row r="3169">
          <cell r="D3169" t="str">
            <v>XXX-3151000-19</v>
          </cell>
          <cell r="E3169" t="str">
            <v>T型挡板五（I)</v>
          </cell>
        </row>
        <row r="3170">
          <cell r="D3170" t="str">
            <v>XXX-3151000-20</v>
          </cell>
          <cell r="E3170" t="str">
            <v>下盖板一（I)</v>
          </cell>
        </row>
        <row r="3171">
          <cell r="D3171" t="str">
            <v>XXX-3151000-21</v>
          </cell>
          <cell r="E3171" t="str">
            <v>下内盖板七（I）</v>
          </cell>
        </row>
        <row r="3172">
          <cell r="D3172" t="str">
            <v>XXX-3151000-22</v>
          </cell>
          <cell r="E3172" t="str">
            <v>下内盖板八（I）</v>
          </cell>
        </row>
        <row r="3173">
          <cell r="D3173" t="str">
            <v>XXX-3151000-23</v>
          </cell>
          <cell r="E3173" t="str">
            <v>下盖板二（I）</v>
          </cell>
        </row>
        <row r="3174">
          <cell r="D3174" t="str">
            <v>XXX-3151000-24</v>
          </cell>
          <cell r="E3174" t="str">
            <v>下盖板三（I）</v>
          </cell>
        </row>
        <row r="3175">
          <cell r="D3175" t="str">
            <v>XXX-3151000-25</v>
          </cell>
          <cell r="E3175" t="str">
            <v>T型挡板六（I）</v>
          </cell>
        </row>
        <row r="3176">
          <cell r="D3176" t="str">
            <v>XXX-3151000-26</v>
          </cell>
          <cell r="E3176" t="str">
            <v>T型挡板七（I）</v>
          </cell>
        </row>
        <row r="3177">
          <cell r="D3177" t="str">
            <v>XXX-3151000-27</v>
          </cell>
          <cell r="E3177" t="str">
            <v>内压板（I）</v>
          </cell>
        </row>
        <row r="3178">
          <cell r="D3178" t="str">
            <v>XXX-3151000-28</v>
          </cell>
          <cell r="E3178" t="str">
            <v>下内盖板九（I）</v>
          </cell>
        </row>
        <row r="3179">
          <cell r="D3179" t="str">
            <v>XXX-3151000-30</v>
          </cell>
          <cell r="E3179" t="str">
            <v>自制六角螺母（I）</v>
          </cell>
        </row>
        <row r="3180">
          <cell r="D3180" t="str">
            <v>XXX-3151000-31</v>
          </cell>
          <cell r="E3180" t="str">
            <v>自制平垫圈</v>
          </cell>
        </row>
        <row r="3181">
          <cell r="D3181" t="str">
            <v>XXX-3151000-32</v>
          </cell>
          <cell r="E3181" t="str">
            <v>T型挡板五（I)</v>
          </cell>
        </row>
        <row r="3182">
          <cell r="D3182" t="str">
            <v>XXX-3152000-01</v>
          </cell>
          <cell r="E3182" t="str">
            <v>XXX机（II)腔体</v>
          </cell>
        </row>
        <row r="3183">
          <cell r="D3183" t="str">
            <v>XXX-3152000-02</v>
          </cell>
          <cell r="E3183" t="str">
            <v>上内盖板一（II)</v>
          </cell>
        </row>
        <row r="3184">
          <cell r="D3184" t="str">
            <v>XXX-3152000-03</v>
          </cell>
          <cell r="E3184" t="str">
            <v>上内盖板二（II)</v>
          </cell>
        </row>
        <row r="3185">
          <cell r="D3185" t="str">
            <v>XXX-3152000-04</v>
          </cell>
          <cell r="E3185" t="str">
            <v>上盖板一（II)</v>
          </cell>
        </row>
        <row r="3186">
          <cell r="D3186" t="str">
            <v>XXX-3152000-05</v>
          </cell>
          <cell r="E3186" t="str">
            <v>T型挡板一（II)</v>
          </cell>
        </row>
        <row r="3187">
          <cell r="D3187" t="str">
            <v>XXX-3152000-06</v>
          </cell>
          <cell r="E3187" t="str">
            <v>T型挡板二（II)</v>
          </cell>
        </row>
        <row r="3188">
          <cell r="D3188" t="str">
            <v>XXX-3152000-07</v>
          </cell>
          <cell r="E3188" t="str">
            <v>压线盖板（II)</v>
          </cell>
        </row>
        <row r="3189">
          <cell r="D3189" t="str">
            <v>XXX-3152000-08</v>
          </cell>
          <cell r="E3189" t="str">
            <v>T型挡板三（II)</v>
          </cell>
        </row>
        <row r="3190">
          <cell r="D3190" t="str">
            <v>XXX-3152000-09</v>
          </cell>
          <cell r="E3190" t="str">
            <v>上盖板二（II)</v>
          </cell>
        </row>
        <row r="3191">
          <cell r="D3191" t="str">
            <v>XXX-3152000-10</v>
          </cell>
          <cell r="E3191" t="str">
            <v>T型挡板四（II)</v>
          </cell>
        </row>
        <row r="3192">
          <cell r="D3192" t="str">
            <v>XXX-3152000-11</v>
          </cell>
          <cell r="E3192" t="str">
            <v>压片(II)</v>
          </cell>
        </row>
        <row r="3193">
          <cell r="D3193" t="str">
            <v>XXX-3152000-12</v>
          </cell>
          <cell r="E3193" t="str">
            <v>上盖板三（II)</v>
          </cell>
        </row>
        <row r="3194">
          <cell r="D3194" t="str">
            <v>XXX-3152000-13</v>
          </cell>
          <cell r="E3194" t="str">
            <v>下内盖板一（II)</v>
          </cell>
        </row>
        <row r="3195">
          <cell r="D3195" t="str">
            <v>XXX-3152000-14</v>
          </cell>
          <cell r="E3195" t="str">
            <v>下内盖板二（II)</v>
          </cell>
        </row>
        <row r="3196">
          <cell r="D3196" t="str">
            <v>XXX-3152000-15</v>
          </cell>
          <cell r="E3196" t="str">
            <v>下内盖板三（II)</v>
          </cell>
        </row>
        <row r="3197">
          <cell r="D3197" t="str">
            <v>XXX-3152000-16</v>
          </cell>
          <cell r="E3197" t="str">
            <v>下内盖板四（II)</v>
          </cell>
        </row>
        <row r="3198">
          <cell r="D3198" t="str">
            <v>XXX-3152000-17</v>
          </cell>
          <cell r="E3198" t="str">
            <v>下内盖板五（II)</v>
          </cell>
        </row>
        <row r="3199">
          <cell r="D3199" t="str">
            <v>XXX-3152000-18</v>
          </cell>
          <cell r="E3199" t="str">
            <v>下内盖板六（II)</v>
          </cell>
        </row>
        <row r="3200">
          <cell r="D3200" t="str">
            <v>XXX-3152000-19</v>
          </cell>
          <cell r="E3200" t="str">
            <v>T型挡板五（II)</v>
          </cell>
        </row>
        <row r="3201">
          <cell r="D3201" t="str">
            <v>XXX-3152000-20</v>
          </cell>
          <cell r="E3201" t="str">
            <v>下盖板一（II)</v>
          </cell>
        </row>
        <row r="3202">
          <cell r="D3202" t="str">
            <v>XXX-3152000-21</v>
          </cell>
          <cell r="E3202" t="str">
            <v>下内盖板七（II）</v>
          </cell>
        </row>
        <row r="3203">
          <cell r="D3203" t="str">
            <v>XXX-3152000-22</v>
          </cell>
          <cell r="E3203" t="str">
            <v>下内盖板八（II）</v>
          </cell>
        </row>
        <row r="3204">
          <cell r="D3204" t="str">
            <v>XXX-3152000-23</v>
          </cell>
          <cell r="E3204" t="str">
            <v>下盖板二（II）</v>
          </cell>
        </row>
        <row r="3205">
          <cell r="D3205" t="str">
            <v>XXX-3152000-24</v>
          </cell>
          <cell r="E3205" t="str">
            <v>下盖板三（II）</v>
          </cell>
        </row>
        <row r="3206">
          <cell r="D3206" t="str">
            <v>XXX-3152000-25</v>
          </cell>
          <cell r="E3206" t="str">
            <v>T型挡板六（II）</v>
          </cell>
        </row>
        <row r="3207">
          <cell r="D3207" t="str">
            <v>XXX-3152000-26</v>
          </cell>
          <cell r="E3207" t="str">
            <v>T型挡板七（II）</v>
          </cell>
        </row>
        <row r="3208">
          <cell r="D3208" t="str">
            <v>XXX-3152000-27</v>
          </cell>
          <cell r="E3208" t="str">
            <v>内压板（II）</v>
          </cell>
        </row>
        <row r="3209">
          <cell r="D3209" t="str">
            <v>XXX-3152000-28</v>
          </cell>
          <cell r="E3209" t="str">
            <v>下内盖板九（II）</v>
          </cell>
        </row>
        <row r="3210">
          <cell r="D3210" t="str">
            <v>XXX-3152000-30</v>
          </cell>
          <cell r="E3210" t="str">
            <v>自制六角螺母(II)</v>
          </cell>
        </row>
        <row r="3211">
          <cell r="D3211" t="str">
            <v>XXX-3152000-31</v>
          </cell>
          <cell r="E3211" t="str">
            <v>自制平垫圈2</v>
          </cell>
        </row>
        <row r="3212">
          <cell r="D3212" t="str">
            <v>XXX-3152000-32</v>
          </cell>
          <cell r="E3212" t="str">
            <v>T型挡板八（II）</v>
          </cell>
        </row>
        <row r="3213">
          <cell r="D3213" t="str">
            <v>DD-J10-55051-6110-1</v>
          </cell>
          <cell r="E3213" t="str">
            <v>三通接头</v>
          </cell>
        </row>
        <row r="3214">
          <cell r="D3214" t="str">
            <v>DD-J10-55051-6110-1</v>
          </cell>
          <cell r="E3214" t="str">
            <v>三通接头</v>
          </cell>
        </row>
        <row r="3215">
          <cell r="D3215" t="str">
            <v>DD-J10-55051-6110-1</v>
          </cell>
          <cell r="E3215" t="str">
            <v>三通接头</v>
          </cell>
        </row>
        <row r="3216">
          <cell r="D3216" t="str">
            <v>DD-J10B-55141-101</v>
          </cell>
          <cell r="E3216" t="str">
            <v>90°弯管接头</v>
          </cell>
        </row>
        <row r="3217">
          <cell r="D3217" t="str">
            <v>DD-J10B-55141-101</v>
          </cell>
          <cell r="E3217" t="str">
            <v>90°弯管接头</v>
          </cell>
        </row>
        <row r="3218">
          <cell r="D3218" t="str">
            <v>DD-J10B-55141-101</v>
          </cell>
          <cell r="E3218" t="str">
            <v>90°弯管接头</v>
          </cell>
        </row>
        <row r="3219">
          <cell r="D3219" t="str">
            <v>CB22931L1-001-002</v>
          </cell>
          <cell r="E3219" t="str">
            <v>底座</v>
          </cell>
        </row>
        <row r="3220">
          <cell r="D3220" t="str">
            <v>CB229C440-002R001</v>
          </cell>
          <cell r="E3220" t="str">
            <v>支架</v>
          </cell>
        </row>
        <row r="3221">
          <cell r="D3221" t="str">
            <v>CB5713600-001R004</v>
          </cell>
          <cell r="E3221" t="str">
            <v>前梁一段</v>
          </cell>
        </row>
        <row r="3222">
          <cell r="D3222" t="str">
            <v>CB5713600-001L006</v>
          </cell>
          <cell r="E3222" t="str">
            <v>前梁一段</v>
          </cell>
        </row>
        <row r="3223">
          <cell r="D3223" t="str">
            <v>DD-J10-21102-250-1-Y</v>
          </cell>
          <cell r="E3223" t="str">
            <v>11900梁一段（右件）</v>
          </cell>
        </row>
        <row r="3224">
          <cell r="D3224" t="str">
            <v>DD-J10-21102-250-1-Y</v>
          </cell>
          <cell r="E3224" t="str">
            <v>11900梁一段（右件）</v>
          </cell>
        </row>
        <row r="3225">
          <cell r="D3225" t="str">
            <v>DD-J10-21102-250-1-Y</v>
          </cell>
          <cell r="E3225" t="str">
            <v>11900梁一段（右件）</v>
          </cell>
        </row>
        <row r="3226">
          <cell r="D3226" t="str">
            <v>DD-J10-21102-250-1-Y</v>
          </cell>
          <cell r="E3226" t="str">
            <v>11900梁一段（右件）</v>
          </cell>
        </row>
        <row r="3227">
          <cell r="D3227" t="str">
            <v>DD-J10-21102-250-1-Z</v>
          </cell>
          <cell r="E3227" t="str">
            <v>11900梁一段（左件）</v>
          </cell>
        </row>
        <row r="3228">
          <cell r="D3228" t="str">
            <v>DD-J10-21102-250-1-Z</v>
          </cell>
          <cell r="E3228" t="str">
            <v>11900梁一段（左件）</v>
          </cell>
        </row>
        <row r="3229">
          <cell r="D3229" t="str">
            <v>DD-J10-21102-250-1-Z</v>
          </cell>
          <cell r="E3229" t="str">
            <v>11900梁一段（左件）</v>
          </cell>
        </row>
        <row r="3230">
          <cell r="D3230" t="str">
            <v>WL-T1-000-01</v>
          </cell>
          <cell r="E3230" t="str">
            <v>腔体</v>
          </cell>
        </row>
        <row r="3231">
          <cell r="D3231" t="str">
            <v>WL-T1-000-02</v>
          </cell>
          <cell r="E3231" t="str">
            <v>盖板</v>
          </cell>
        </row>
        <row r="3232">
          <cell r="D3232" t="str">
            <v>WL-T1-000-04</v>
          </cell>
          <cell r="E3232" t="str">
            <v>单耳焊片</v>
          </cell>
        </row>
        <row r="3233">
          <cell r="D3233" t="str">
            <v>DD-J10-61031-804</v>
          </cell>
          <cell r="E3233" t="str">
            <v>支臂</v>
          </cell>
        </row>
        <row r="3234">
          <cell r="D3234" t="str">
            <v>DD-J10-61031-804</v>
          </cell>
          <cell r="E3234" t="str">
            <v>支臂</v>
          </cell>
        </row>
        <row r="3235">
          <cell r="D3235" t="str">
            <v>DD-J10-21102-60/-1/2-Y</v>
          </cell>
          <cell r="E3235" t="str">
            <v>11968下口盖</v>
          </cell>
        </row>
        <row r="3236">
          <cell r="D3236" t="str">
            <v>DD-J10-21102-60/-1/2-Y</v>
          </cell>
          <cell r="E3236" t="str">
            <v>11968下口盖</v>
          </cell>
        </row>
        <row r="3237">
          <cell r="D3237" t="str">
            <v>DD-J10B-02041-300-3</v>
          </cell>
          <cell r="E3237" t="str">
            <v>右内侧角材</v>
          </cell>
        </row>
        <row r="3238">
          <cell r="D3238" t="str">
            <v>LTCS-515030000-04N01</v>
          </cell>
          <cell r="E3238" t="str">
            <v>2430横梁</v>
          </cell>
        </row>
        <row r="3239">
          <cell r="D3239" t="str">
            <v>LTCS-515030000-06N01</v>
          </cell>
          <cell r="E3239" t="str">
            <v>3275横梁</v>
          </cell>
        </row>
        <row r="3240">
          <cell r="D3240" t="str">
            <v>CB5325210-001-004</v>
          </cell>
          <cell r="E3240" t="str">
            <v>辅助动力舱口盖前段</v>
          </cell>
        </row>
        <row r="3241">
          <cell r="D3241" t="str">
            <v>CB5325210-001-004</v>
          </cell>
          <cell r="E3241" t="str">
            <v>辅助动力舱口盖前段</v>
          </cell>
        </row>
        <row r="3242">
          <cell r="D3242" t="str">
            <v>DD-J10B-21402-90G2-1G2-Y</v>
          </cell>
          <cell r="E3242" t="str">
            <v>固定前缘端肋（右件）</v>
          </cell>
        </row>
        <row r="3243">
          <cell r="D3243" t="str">
            <v>DD-J10B-21402-90G2-1G2-Y</v>
          </cell>
          <cell r="E3243" t="str">
            <v>固定前缘端肋（右件）</v>
          </cell>
        </row>
        <row r="3244">
          <cell r="D3244" t="str">
            <v>DD-J10B-21402-90G2-1G2-Y</v>
          </cell>
          <cell r="E3244" t="str">
            <v>固定前缘端肋（右件）</v>
          </cell>
        </row>
        <row r="3245">
          <cell r="D3245" t="str">
            <v>DD-J10B-21402-90G2-1G2-Z</v>
          </cell>
          <cell r="E3245" t="str">
            <v>固定前缘端肋（左件）</v>
          </cell>
        </row>
        <row r="3246">
          <cell r="D3246" t="str">
            <v>DD-J10B-21402-90G2-1G2-Z</v>
          </cell>
          <cell r="E3246" t="str">
            <v>固定前缘端肋（左件）</v>
          </cell>
        </row>
        <row r="3247">
          <cell r="D3247" t="str">
            <v>DD-J10B-21402-90G2-1G2-Z</v>
          </cell>
          <cell r="E3247" t="str">
            <v>固定前缘端肋（左件）</v>
          </cell>
        </row>
        <row r="3248">
          <cell r="D3248" t="str">
            <v>DD-J10B-21402-10G2-1G2-Y</v>
          </cell>
          <cell r="E3248" t="str">
            <v>固定前缘边肋（右件）</v>
          </cell>
        </row>
        <row r="3249">
          <cell r="D3249" t="str">
            <v>DD-J10B-21402-10G2-1G2-Y</v>
          </cell>
          <cell r="E3249" t="str">
            <v>固定前缘边肋（右件）</v>
          </cell>
        </row>
        <row r="3250">
          <cell r="D3250" t="str">
            <v>DD-J10B-21402-10G2-1G2-Y</v>
          </cell>
          <cell r="E3250" t="str">
            <v>固定前缘边肋（右件）</v>
          </cell>
        </row>
        <row r="3251">
          <cell r="D3251" t="str">
            <v>DD-J10B-21402-10G2-1G2-Z</v>
          </cell>
          <cell r="E3251" t="str">
            <v>固定前缘边肋（左件）</v>
          </cell>
        </row>
        <row r="3252">
          <cell r="D3252" t="str">
            <v>DD-J10B-21402-10G2-1G2-Z</v>
          </cell>
          <cell r="E3252" t="str">
            <v>固定前缘边肋（左件）</v>
          </cell>
        </row>
        <row r="3253">
          <cell r="D3253" t="str">
            <v>BC2712522-001-001</v>
          </cell>
          <cell r="E3253" t="str">
            <v>支座</v>
          </cell>
        </row>
        <row r="3254">
          <cell r="D3254" t="str">
            <v>BC3230400-001-300</v>
          </cell>
          <cell r="E3254" t="str">
            <v>过渡板</v>
          </cell>
        </row>
        <row r="3255">
          <cell r="D3255" t="str">
            <v>BC3230500-001-300</v>
          </cell>
          <cell r="E3255" t="str">
            <v>过渡板</v>
          </cell>
        </row>
        <row r="3256">
          <cell r="D3256" t="str">
            <v>CB5323220-052-024</v>
          </cell>
          <cell r="E3256" t="str">
            <v>9350~11140右侧上梁</v>
          </cell>
        </row>
        <row r="3257">
          <cell r="D3257" t="str">
            <v>CB5323220-052-024</v>
          </cell>
          <cell r="E3257" t="str">
            <v>9350~11140右侧上梁</v>
          </cell>
        </row>
        <row r="3258">
          <cell r="D3258" t="str">
            <v>CB5323220-052-024</v>
          </cell>
          <cell r="E3258" t="str">
            <v>9350~11140右侧上梁</v>
          </cell>
        </row>
        <row r="3259">
          <cell r="D3259" t="str">
            <v>CB5323220-052-024</v>
          </cell>
          <cell r="E3259" t="str">
            <v>9350~11140右侧上梁</v>
          </cell>
        </row>
        <row r="3260">
          <cell r="D3260" t="str">
            <v>CB5323210-005L033</v>
          </cell>
          <cell r="E3260" t="str">
            <v>9350~11140左侧上梁</v>
          </cell>
        </row>
        <row r="3261">
          <cell r="D3261" t="str">
            <v>CB5323210-005L033</v>
          </cell>
          <cell r="E3261" t="str">
            <v>9350~11140左侧上梁</v>
          </cell>
        </row>
        <row r="3262">
          <cell r="D3262" t="str">
            <v>CB5323210-005L033</v>
          </cell>
          <cell r="E3262" t="str">
            <v>9350~11140左侧上梁</v>
          </cell>
        </row>
        <row r="3263">
          <cell r="D3263" t="str">
            <v>CB5323210-005L033</v>
          </cell>
          <cell r="E3263" t="str">
            <v>9350~11140左侧上梁</v>
          </cell>
        </row>
        <row r="3264">
          <cell r="D3264" t="str">
            <v>CB5714100-004R002</v>
          </cell>
          <cell r="E3264" t="str">
            <v>根肋四段</v>
          </cell>
        </row>
        <row r="3265">
          <cell r="D3265" t="str">
            <v>CB5714100-004R002</v>
          </cell>
          <cell r="E3265" t="str">
            <v>根肋四段</v>
          </cell>
        </row>
        <row r="3266">
          <cell r="D3266" t="str">
            <v>CB2294170-001-001</v>
          </cell>
          <cell r="E3266" t="str">
            <v>压杆</v>
          </cell>
        </row>
        <row r="3267">
          <cell r="D3267" t="str">
            <v>CB2294170-001-001</v>
          </cell>
          <cell r="E3267" t="str">
            <v>压杆</v>
          </cell>
        </row>
        <row r="3268">
          <cell r="D3268" t="str">
            <v>CB22931L1-001-002</v>
          </cell>
          <cell r="E3268" t="str">
            <v>底座</v>
          </cell>
        </row>
        <row r="3269">
          <cell r="D3269" t="str">
            <v>CB229C050-007-003</v>
          </cell>
          <cell r="E3269" t="str">
            <v>摇臂</v>
          </cell>
        </row>
        <row r="3270">
          <cell r="D3270" t="str">
            <v>DD-J10-63001-511</v>
          </cell>
          <cell r="E3270" t="str">
            <v>阳密封式法兰盘</v>
          </cell>
        </row>
        <row r="3271">
          <cell r="D3271" t="str">
            <v>DD-J10-04401-104</v>
          </cell>
          <cell r="E3271" t="str">
            <v>接头</v>
          </cell>
        </row>
        <row r="3272">
          <cell r="D3272" t="str">
            <v>DD-J10-04401-103</v>
          </cell>
          <cell r="E3272" t="str">
            <v>接头</v>
          </cell>
        </row>
        <row r="3273">
          <cell r="D3273" t="str">
            <v>DD-J10-64016-210-1</v>
          </cell>
          <cell r="E3273" t="str">
            <v>管子</v>
          </cell>
        </row>
        <row r="3274">
          <cell r="D3274" t="str">
            <v>DD-J10B-65000-1720G2-1</v>
          </cell>
          <cell r="E3274" t="str">
            <v>管子</v>
          </cell>
        </row>
        <row r="3275">
          <cell r="D3275" t="str">
            <v>DD-J10B-65000-1720G2-1</v>
          </cell>
          <cell r="E3275" t="str">
            <v>管子</v>
          </cell>
        </row>
        <row r="3276">
          <cell r="D3276" t="str">
            <v>DD-J10B-65000-1720G2-1</v>
          </cell>
          <cell r="E3276" t="str">
            <v>管子</v>
          </cell>
        </row>
        <row r="3277">
          <cell r="D3277" t="str">
            <v>DD-J10B-94076-803</v>
          </cell>
          <cell r="E3277" t="str">
            <v>支架</v>
          </cell>
        </row>
        <row r="3278">
          <cell r="D3278" t="str">
            <v>DD-J10B-94076-803</v>
          </cell>
          <cell r="E3278" t="str">
            <v>支架</v>
          </cell>
        </row>
        <row r="3279">
          <cell r="D3279" t="str">
            <v>DD-J10-54101-201</v>
          </cell>
          <cell r="E3279" t="str">
            <v>支座</v>
          </cell>
        </row>
        <row r="3280">
          <cell r="D3280" t="str">
            <v>DD-J10-54101-201</v>
          </cell>
          <cell r="E3280" t="str">
            <v>支座</v>
          </cell>
        </row>
        <row r="3281">
          <cell r="D3281" t="str">
            <v>DD-J10B-54601-10-1</v>
          </cell>
          <cell r="E3281" t="str">
            <v>过渡板</v>
          </cell>
        </row>
        <row r="3282">
          <cell r="D3282" t="str">
            <v>DD-J10-67096-50-1</v>
          </cell>
          <cell r="E3282" t="str">
            <v>Z型件</v>
          </cell>
        </row>
        <row r="3283">
          <cell r="D3283" t="str">
            <v>DD-J10B-67011-20010-2</v>
          </cell>
          <cell r="E3283" t="str">
            <v>弓形件</v>
          </cell>
        </row>
        <row r="3284">
          <cell r="D3284" t="str">
            <v>DD-J10-06051-24</v>
          </cell>
          <cell r="E3284" t="str">
            <v>手柄</v>
          </cell>
        </row>
        <row r="3285">
          <cell r="D3285" t="str">
            <v>DD-J10-06051-24</v>
          </cell>
          <cell r="E3285" t="str">
            <v>手柄</v>
          </cell>
        </row>
        <row r="3286">
          <cell r="D3286" t="str">
            <v>DD-J10B-61201-12</v>
          </cell>
          <cell r="E3286" t="str">
            <v>接头</v>
          </cell>
        </row>
        <row r="3287">
          <cell r="D3287" t="str">
            <v>DD-J10B-86051-2</v>
          </cell>
          <cell r="E3287" t="str">
            <v>激励器转接件</v>
          </cell>
        </row>
        <row r="3288">
          <cell r="D3288" t="str">
            <v>DD-J10B-86051-2</v>
          </cell>
          <cell r="E3288" t="str">
            <v>激励器转接件</v>
          </cell>
        </row>
        <row r="3289">
          <cell r="D3289" t="str">
            <v>DD-J10B-78001-460-1</v>
          </cell>
          <cell r="E3289" t="str">
            <v>铰链</v>
          </cell>
        </row>
        <row r="3290">
          <cell r="D3290" t="str">
            <v>DD-J10B-02121-1AG2-Y</v>
          </cell>
          <cell r="E3290" t="str">
            <v>BL280侧壁（右件）</v>
          </cell>
        </row>
        <row r="3291">
          <cell r="D3291" t="str">
            <v>DD-J10B-02121-1AG2-Y</v>
          </cell>
          <cell r="E3291" t="str">
            <v>BL280侧壁（右件）</v>
          </cell>
        </row>
        <row r="3292">
          <cell r="D3292" t="str">
            <v>DD-J10B-02121-1AG2-Y</v>
          </cell>
          <cell r="E3292" t="str">
            <v>BL280侧壁（右件）</v>
          </cell>
        </row>
        <row r="3293">
          <cell r="D3293" t="str">
            <v>DD-J10B-02121-1AG2-Y</v>
          </cell>
          <cell r="E3293" t="str">
            <v>BL280侧壁（右件）</v>
          </cell>
        </row>
        <row r="3294">
          <cell r="D3294" t="str">
            <v>DD-J10B-02121-1AG2-Y</v>
          </cell>
          <cell r="E3294" t="str">
            <v>BL280侧壁（右件）</v>
          </cell>
        </row>
        <row r="3295">
          <cell r="D3295" t="str">
            <v>DD-J10B-02121-1AG2-Y</v>
          </cell>
          <cell r="E3295" t="str">
            <v>BL280侧壁（右件）</v>
          </cell>
        </row>
        <row r="3296">
          <cell r="D3296" t="str">
            <v>DD-J10B-02121-1AG2-Y</v>
          </cell>
          <cell r="E3296" t="str">
            <v>BL280侧壁（右件）</v>
          </cell>
        </row>
        <row r="3297">
          <cell r="D3297" t="str">
            <v>DD-J10B-02121-1AG2-Y</v>
          </cell>
          <cell r="E3297" t="str">
            <v>BL280侧壁（右件）</v>
          </cell>
        </row>
        <row r="3298">
          <cell r="D3298" t="str">
            <v>DD-J10B-02121-1AG2-Z</v>
          </cell>
          <cell r="E3298" t="str">
            <v>BL280侧壁（左件）</v>
          </cell>
        </row>
        <row r="3299">
          <cell r="D3299" t="str">
            <v>DD-J10B-02121-1AG2-Z</v>
          </cell>
          <cell r="E3299" t="str">
            <v>BL280侧壁（左件）</v>
          </cell>
        </row>
        <row r="3300">
          <cell r="D3300" t="str">
            <v>DD-J10B-02121-1AG2-Z</v>
          </cell>
          <cell r="E3300" t="str">
            <v>BL280侧壁（左件）</v>
          </cell>
        </row>
        <row r="3301">
          <cell r="D3301" t="str">
            <v>DD-J10B-02121-1AG2-Z</v>
          </cell>
          <cell r="E3301" t="str">
            <v>BL280侧壁（左件）</v>
          </cell>
        </row>
        <row r="3302">
          <cell r="D3302" t="str">
            <v>DD-J10B-02121-1AG2-Z</v>
          </cell>
          <cell r="E3302" t="str">
            <v>BL280侧壁（左件）</v>
          </cell>
        </row>
        <row r="3303">
          <cell r="D3303" t="str">
            <v>DD-J10B-02121-1AG2-Z</v>
          </cell>
          <cell r="E3303" t="str">
            <v>BL280侧壁（左件）</v>
          </cell>
        </row>
        <row r="3304">
          <cell r="D3304" t="str">
            <v>DD-J10B-02121-1AG2-Z</v>
          </cell>
          <cell r="E3304" t="str">
            <v>BL280侧壁（左件）</v>
          </cell>
        </row>
        <row r="3305">
          <cell r="D3305" t="str">
            <v>DD-J10B-02121-1AG2-Z</v>
          </cell>
          <cell r="E3305" t="str">
            <v>BL280侧壁（左件）</v>
          </cell>
        </row>
        <row r="3306">
          <cell r="D3306" t="str">
            <v>BC2281242-001-001</v>
          </cell>
          <cell r="E3306" t="str">
            <v>支座</v>
          </cell>
        </row>
        <row r="3307">
          <cell r="D3307" t="str">
            <v>XXX-000-01</v>
          </cell>
          <cell r="E3307" t="str">
            <v>XXX腔体</v>
          </cell>
        </row>
        <row r="3308">
          <cell r="D3308" t="str">
            <v>XXX-000-02</v>
          </cell>
          <cell r="E3308" t="str">
            <v>盖板</v>
          </cell>
        </row>
        <row r="3309">
          <cell r="D3309" t="str">
            <v>XXX-000-03</v>
          </cell>
          <cell r="E3309" t="str">
            <v>支撑柱</v>
          </cell>
        </row>
        <row r="3310">
          <cell r="D3310" t="str">
            <v>GY-000-01</v>
          </cell>
          <cell r="E3310" t="str">
            <v>拉伸件1</v>
          </cell>
        </row>
        <row r="3311">
          <cell r="D3311" t="str">
            <v>GY-000-02</v>
          </cell>
          <cell r="E3311" t="str">
            <v>拉伸件2</v>
          </cell>
        </row>
        <row r="3312">
          <cell r="D3312" t="str">
            <v>GY-000-03</v>
          </cell>
          <cell r="E3312" t="str">
            <v>拉伸件3</v>
          </cell>
        </row>
        <row r="3313">
          <cell r="D3313" t="str">
            <v>XXXXXX-3000-01</v>
          </cell>
          <cell r="E3313" t="str">
            <v>密封塞拆卸辅助工具</v>
          </cell>
        </row>
        <row r="3314">
          <cell r="D3314" t="str">
            <v>XXXXXX-3000-02</v>
          </cell>
          <cell r="E3314" t="str">
            <v>正过载开关钥匙</v>
          </cell>
        </row>
        <row r="3315">
          <cell r="D3315" t="str">
            <v>XXXXXX-3000-03</v>
          </cell>
          <cell r="E3315" t="str">
            <v>调试用测量杆</v>
          </cell>
        </row>
        <row r="3316">
          <cell r="D3316" t="str">
            <v>XXXXXX-3000-04</v>
          </cell>
          <cell r="E3316" t="str">
            <v>圆盘</v>
          </cell>
        </row>
        <row r="3317">
          <cell r="D3317" t="str">
            <v>XXXXXX-3100-01</v>
          </cell>
          <cell r="E3317" t="str">
            <v>下支撑座</v>
          </cell>
        </row>
        <row r="3318">
          <cell r="D3318" t="str">
            <v>XXXXXX-3100-02</v>
          </cell>
          <cell r="E3318" t="str">
            <v>上支承板</v>
          </cell>
        </row>
        <row r="3319">
          <cell r="D3319" t="str">
            <v>XXXXXX-3100-03</v>
          </cell>
          <cell r="E3319" t="str">
            <v>载物板</v>
          </cell>
        </row>
        <row r="3320">
          <cell r="D3320" t="str">
            <v>XXXXXX-3100-04</v>
          </cell>
          <cell r="E3320" t="str">
            <v>支撑杆</v>
          </cell>
        </row>
        <row r="3321">
          <cell r="D3321" t="str">
            <v>XXXXXX-3100-05</v>
          </cell>
          <cell r="E3321" t="str">
            <v>滑动轴套</v>
          </cell>
        </row>
        <row r="3322">
          <cell r="D3322" t="str">
            <v>XXXXXX-3100-06</v>
          </cell>
          <cell r="E3322" t="str">
            <v>大头紧固螺钉</v>
          </cell>
        </row>
        <row r="3323">
          <cell r="D3323" t="str">
            <v>XXXXXX-3200-01</v>
          </cell>
          <cell r="E3323" t="str">
            <v>正过载模拟质量A</v>
          </cell>
        </row>
        <row r="3324">
          <cell r="D3324" t="str">
            <v>XXXXXX-3200-02</v>
          </cell>
          <cell r="E3324" t="str">
            <v>测量拉杆</v>
          </cell>
        </row>
        <row r="3325">
          <cell r="D3325" t="str">
            <v>XXXXXX-3300-01</v>
          </cell>
          <cell r="E3325" t="str">
            <v>正过载模拟质量B</v>
          </cell>
        </row>
        <row r="3326">
          <cell r="D3326" t="str">
            <v>XXXXXX-3400-01</v>
          </cell>
          <cell r="E3326" t="str">
            <v>底座</v>
          </cell>
        </row>
        <row r="3327">
          <cell r="D3327" t="str">
            <v>XXXXXX-3400-02</v>
          </cell>
          <cell r="E3327" t="str">
            <v>支架1</v>
          </cell>
        </row>
        <row r="3328">
          <cell r="D3328" t="str">
            <v>XXXXXX-3400-03</v>
          </cell>
          <cell r="E3328" t="str">
            <v>前系统部件支撑座</v>
          </cell>
        </row>
        <row r="3329">
          <cell r="D3329" t="str">
            <v>XXXXXX-3400-04</v>
          </cell>
          <cell r="E3329" t="str">
            <v>前系统部件支撑座盖板</v>
          </cell>
        </row>
        <row r="3330">
          <cell r="D3330" t="str">
            <v>XXXXXX-3400-05</v>
          </cell>
          <cell r="E3330" t="str">
            <v>轴承盖</v>
          </cell>
        </row>
        <row r="3331">
          <cell r="D3331" t="str">
            <v>XXXXXX-3400-06</v>
          </cell>
          <cell r="E3331" t="str">
            <v>轴I</v>
          </cell>
        </row>
        <row r="3332">
          <cell r="D3332" t="str">
            <v>XXXXXX-3400-07</v>
          </cell>
          <cell r="E3332" t="str">
            <v>轴II</v>
          </cell>
        </row>
        <row r="3333">
          <cell r="D3333" t="str">
            <v>XXXXXX-3400-08</v>
          </cell>
          <cell r="E3333" t="str">
            <v>支架II</v>
          </cell>
        </row>
        <row r="3334">
          <cell r="D3334" t="str">
            <v>XXXXXX-3400-09</v>
          </cell>
          <cell r="E3334" t="str">
            <v>转接盘</v>
          </cell>
        </row>
        <row r="3335">
          <cell r="D3335" t="str">
            <v>XXXXXX-3400-10</v>
          </cell>
          <cell r="E3335" t="str">
            <v>销钉</v>
          </cell>
        </row>
        <row r="3336">
          <cell r="D3336" t="str">
            <v>XXXXXX-3400-11</v>
          </cell>
          <cell r="E3336" t="str">
            <v>螺钉</v>
          </cell>
        </row>
        <row r="3337">
          <cell r="D3337" t="str">
            <v>XXXXXX-3400-12</v>
          </cell>
          <cell r="E3337" t="str">
            <v>毛毡I</v>
          </cell>
        </row>
        <row r="3338">
          <cell r="D3338" t="str">
            <v>XXXXXX-3400-13</v>
          </cell>
          <cell r="E3338" t="str">
            <v>毛毡II</v>
          </cell>
        </row>
        <row r="3339">
          <cell r="D3339" t="str">
            <v>XXXXXX-3400-14</v>
          </cell>
          <cell r="E3339" t="str">
            <v>毛毡III</v>
          </cell>
        </row>
        <row r="3340">
          <cell r="D3340" t="str">
            <v>XXXXXX-3500-00</v>
          </cell>
          <cell r="E3340" t="str">
            <v>测试座A</v>
          </cell>
        </row>
        <row r="3341">
          <cell r="D3341" t="str">
            <v>XXXXXX-3500-01</v>
          </cell>
          <cell r="E3341" t="str">
            <v>导向座</v>
          </cell>
        </row>
        <row r="3342">
          <cell r="D3342" t="str">
            <v>XXXXXX-3500-02</v>
          </cell>
          <cell r="E3342" t="str">
            <v>导向座盖板</v>
          </cell>
        </row>
        <row r="3343">
          <cell r="D3343" t="str">
            <v>XXXXXX-3500-03</v>
          </cell>
          <cell r="E3343" t="str">
            <v>质量压杆I</v>
          </cell>
        </row>
        <row r="3344">
          <cell r="D3344" t="str">
            <v>XXXXXX-3600-01</v>
          </cell>
          <cell r="E3344" t="str">
            <v>质量压杆II</v>
          </cell>
        </row>
        <row r="3345">
          <cell r="D3345" t="str">
            <v>XXXXXX-3600-00</v>
          </cell>
          <cell r="E3345" t="str">
            <v>测试座B</v>
          </cell>
        </row>
        <row r="3346">
          <cell r="D3346" t="str">
            <v>DD-J10B-04011-1</v>
          </cell>
          <cell r="E3346" t="str">
            <v>7100框</v>
          </cell>
        </row>
        <row r="3347">
          <cell r="D3347" t="str">
            <v>DD-J10B-04011-1</v>
          </cell>
          <cell r="E3347" t="str">
            <v>7100框</v>
          </cell>
        </row>
        <row r="3348">
          <cell r="D3348" t="str">
            <v>DD-J10B-04011-1</v>
          </cell>
          <cell r="E3348" t="str">
            <v>7100框</v>
          </cell>
        </row>
        <row r="3349">
          <cell r="D3349" t="str">
            <v>DD-J10B-04011-1</v>
          </cell>
          <cell r="E3349" t="str">
            <v>7100框</v>
          </cell>
        </row>
        <row r="3350">
          <cell r="D3350" t="str">
            <v>BC5315208-005-001</v>
          </cell>
          <cell r="E3350" t="str">
            <v>5458左内下框段</v>
          </cell>
        </row>
        <row r="3351">
          <cell r="D3351" t="str">
            <v>BC5315208-006-001</v>
          </cell>
          <cell r="E3351" t="str">
            <v>5458右内下框段</v>
          </cell>
        </row>
        <row r="3352">
          <cell r="D3352" t="str">
            <v>BC5315209-005-001</v>
          </cell>
          <cell r="E3352" t="str">
            <v>5580左内下框段</v>
          </cell>
        </row>
        <row r="3353">
          <cell r="D3353" t="str">
            <v>BC5315209-006-001</v>
          </cell>
          <cell r="E3353" t="str">
            <v>5580右内下框段</v>
          </cell>
        </row>
        <row r="3354">
          <cell r="D3354" t="str">
            <v>BC5314402-001-001</v>
          </cell>
          <cell r="E3354" t="str">
            <v>4290左框</v>
          </cell>
        </row>
        <row r="3355">
          <cell r="D3355" t="str">
            <v>BC5314402-002-001</v>
          </cell>
          <cell r="E3355" t="str">
            <v>4290右框</v>
          </cell>
        </row>
        <row r="3356">
          <cell r="D3356" t="str">
            <v>BC5314404-002-001</v>
          </cell>
          <cell r="E3356" t="str">
            <v>4650右框</v>
          </cell>
        </row>
        <row r="3357">
          <cell r="D3357" t="str">
            <v>CB229C050-002-003</v>
          </cell>
          <cell r="E3357" t="str">
            <v>拨杆</v>
          </cell>
        </row>
        <row r="3358">
          <cell r="D3358" t="str">
            <v>CB229C050-002-003</v>
          </cell>
          <cell r="E3358" t="str">
            <v>拨杆</v>
          </cell>
        </row>
        <row r="3359">
          <cell r="D3359" t="str">
            <v>CB229C050-002-003</v>
          </cell>
          <cell r="E3359" t="str">
            <v>拨杆</v>
          </cell>
        </row>
        <row r="3360">
          <cell r="D3360" t="str">
            <v>CB229C050-002-003</v>
          </cell>
          <cell r="E3360" t="str">
            <v>拨杆</v>
          </cell>
        </row>
        <row r="3361">
          <cell r="D3361" t="str">
            <v>CB5327110-003L002</v>
          </cell>
          <cell r="E3361" t="str">
            <v>8635左隔框</v>
          </cell>
        </row>
        <row r="3362">
          <cell r="D3362" t="str">
            <v>CB5327110-003L002</v>
          </cell>
          <cell r="E3362" t="str">
            <v>8635左隔框</v>
          </cell>
        </row>
        <row r="3363">
          <cell r="D3363" t="str">
            <v>CB5327110-003L002</v>
          </cell>
          <cell r="E3363" t="str">
            <v>8635左隔框</v>
          </cell>
        </row>
        <row r="3364">
          <cell r="D3364" t="str">
            <v>CB5327110-003L002</v>
          </cell>
          <cell r="E3364" t="str">
            <v>8635左隔框</v>
          </cell>
        </row>
        <row r="3365">
          <cell r="D3365" t="str">
            <v>CB5327110-003R002</v>
          </cell>
          <cell r="E3365" t="str">
            <v>8635右隔框</v>
          </cell>
        </row>
        <row r="3366">
          <cell r="D3366" t="str">
            <v>CB5327110-003R002</v>
          </cell>
          <cell r="E3366" t="str">
            <v>8635右隔框</v>
          </cell>
        </row>
        <row r="3367">
          <cell r="D3367" t="str">
            <v>CB5327110-003R002</v>
          </cell>
          <cell r="E3367" t="str">
            <v>8635右隔框</v>
          </cell>
        </row>
        <row r="3368">
          <cell r="D3368" t="str">
            <v>CB5327110-003R002</v>
          </cell>
          <cell r="E3368" t="str">
            <v>8635右隔框</v>
          </cell>
        </row>
        <row r="3369">
          <cell r="D3369" t="str">
            <v>DD-J10-21102-554-Z</v>
          </cell>
          <cell r="E3369" t="str">
            <v>1780肋四段（左件）</v>
          </cell>
        </row>
        <row r="3370">
          <cell r="D3370" t="str">
            <v>DD-J10-21102-554-Z</v>
          </cell>
          <cell r="E3370" t="str">
            <v>1780肋四段（左件）</v>
          </cell>
        </row>
        <row r="3371">
          <cell r="D3371" t="str">
            <v>DD-J10-21102-554-Z</v>
          </cell>
          <cell r="E3371" t="str">
            <v>1780肋四段（左件）</v>
          </cell>
        </row>
        <row r="3372">
          <cell r="D3372" t="str">
            <v>BC3101230-006-001</v>
          </cell>
          <cell r="E3372" t="str">
            <v>双耳座</v>
          </cell>
        </row>
        <row r="3373">
          <cell r="D3373" t="str">
            <v>DD-J10-55121-2</v>
          </cell>
          <cell r="E3373" t="str">
            <v>三通管接头</v>
          </cell>
        </row>
        <row r="3374">
          <cell r="D3374" t="str">
            <v>XXX-3121000-02</v>
          </cell>
          <cell r="E3374" t="str">
            <v>铝框架</v>
          </cell>
        </row>
        <row r="3375">
          <cell r="D3375" t="str">
            <v>CB5713600-001R004</v>
          </cell>
          <cell r="E3375" t="str">
            <v>前梁一段</v>
          </cell>
        </row>
        <row r="3376">
          <cell r="D3376" t="str">
            <v>CB5713600-001L006</v>
          </cell>
          <cell r="E3376" t="str">
            <v>前梁一段</v>
          </cell>
        </row>
        <row r="3377">
          <cell r="D3377" t="str">
            <v>DD-J10-21102-553-Z</v>
          </cell>
          <cell r="E3377" t="str">
            <v>1780肋三段（左件）</v>
          </cell>
        </row>
        <row r="3378">
          <cell r="D3378" t="str">
            <v>DD-J10-21102-553-Z</v>
          </cell>
          <cell r="E3378" t="str">
            <v>1780肋三段（左件）</v>
          </cell>
        </row>
        <row r="3379">
          <cell r="D3379" t="str">
            <v>DD-J10B-94076-803</v>
          </cell>
          <cell r="E3379" t="str">
            <v>支架</v>
          </cell>
        </row>
        <row r="3380">
          <cell r="D3380" t="str">
            <v>BC5333651-001-001</v>
          </cell>
          <cell r="E3380" t="str">
            <v>壳体</v>
          </cell>
        </row>
        <row r="3381">
          <cell r="D3381" t="str">
            <v>DD-J10B-55141-111</v>
          </cell>
          <cell r="E3381" t="str">
            <v>90°弯管接头</v>
          </cell>
        </row>
        <row r="3382">
          <cell r="D3382" t="str">
            <v>DD-J10B-55141-111</v>
          </cell>
          <cell r="E3382" t="str">
            <v>90°弯管接头</v>
          </cell>
        </row>
        <row r="3383">
          <cell r="D3383" t="str">
            <v>DD-J10B-55141-111</v>
          </cell>
          <cell r="E3383" t="str">
            <v>90°弯管接头</v>
          </cell>
        </row>
        <row r="3384">
          <cell r="D3384" t="str">
            <v>DD-J10B-55141-111</v>
          </cell>
          <cell r="E3384" t="str">
            <v>90°弯管接头</v>
          </cell>
        </row>
        <row r="3385">
          <cell r="D3385" t="str">
            <v>BC5314402-001-001</v>
          </cell>
          <cell r="E3385" t="str">
            <v>4290左框</v>
          </cell>
        </row>
        <row r="3386">
          <cell r="D3386" t="str">
            <v>BC5314402-002-001</v>
          </cell>
          <cell r="E3386" t="str">
            <v>4290右框</v>
          </cell>
        </row>
        <row r="3387">
          <cell r="D3387" t="str">
            <v>BC5314404-002-001</v>
          </cell>
          <cell r="E3387" t="str">
            <v>4650右框</v>
          </cell>
        </row>
        <row r="3388">
          <cell r="D3388" t="str">
            <v>BC5315208-006-001</v>
          </cell>
          <cell r="E3388" t="str">
            <v>5458右内下框段</v>
          </cell>
        </row>
        <row r="3389">
          <cell r="D3389" t="str">
            <v>BC5315208-005-001</v>
          </cell>
          <cell r="E3389" t="str">
            <v>5458左内下框段</v>
          </cell>
        </row>
        <row r="3390">
          <cell r="D3390" t="str">
            <v>BC5315209-005-001</v>
          </cell>
          <cell r="E3390" t="str">
            <v>5580左内下框段</v>
          </cell>
        </row>
        <row r="3391">
          <cell r="D3391" t="str">
            <v>DD-J10B-04041-1</v>
          </cell>
          <cell r="E3391" t="str">
            <v>10060框</v>
          </cell>
        </row>
        <row r="3392">
          <cell r="D3392" t="str">
            <v>DD-J10B-04041-1</v>
          </cell>
          <cell r="E3392" t="str">
            <v>10060框</v>
          </cell>
        </row>
        <row r="3393">
          <cell r="D3393" t="str">
            <v>DD-J10B-04041-1</v>
          </cell>
          <cell r="E3393" t="str">
            <v>10060框</v>
          </cell>
        </row>
        <row r="3394">
          <cell r="D3394" t="str">
            <v>DD-J10B-04061-1</v>
          </cell>
          <cell r="E3394" t="str">
            <v>10860框</v>
          </cell>
        </row>
        <row r="3395">
          <cell r="D3395" t="str">
            <v>DD-J10B-04061-1</v>
          </cell>
          <cell r="E3395" t="str">
            <v>10860框</v>
          </cell>
        </row>
        <row r="3396">
          <cell r="D3396" t="str">
            <v>DD-J10B-04061-1</v>
          </cell>
          <cell r="E3396" t="str">
            <v>10860框</v>
          </cell>
        </row>
        <row r="3397">
          <cell r="D3397" t="str">
            <v>DD-J10B-04061-1</v>
          </cell>
          <cell r="E3397" t="str">
            <v>10860框</v>
          </cell>
        </row>
        <row r="3398">
          <cell r="D3398" t="str">
            <v>DD-J10B-04061-1</v>
          </cell>
          <cell r="E3398" t="str">
            <v>10860框</v>
          </cell>
        </row>
        <row r="3399">
          <cell r="D3399" t="str">
            <v>XXX-0000-01</v>
          </cell>
          <cell r="E3399" t="str">
            <v>后盖</v>
          </cell>
        </row>
        <row r="3400">
          <cell r="D3400" t="str">
            <v>XXX-0000-02</v>
          </cell>
          <cell r="E3400" t="str">
            <v>信号处理盖</v>
          </cell>
        </row>
        <row r="3401">
          <cell r="D3401" t="str">
            <v>XXX-0000-05</v>
          </cell>
          <cell r="E3401" t="str">
            <v>信号处理盒</v>
          </cell>
        </row>
        <row r="3402">
          <cell r="D3402" t="str">
            <v>XXX-0000-06</v>
          </cell>
          <cell r="E3402" t="str">
            <v>压盖</v>
          </cell>
        </row>
        <row r="3403">
          <cell r="D3403" t="str">
            <v>XXX-0000-08</v>
          </cell>
          <cell r="E3403" t="str">
            <v>衬套</v>
          </cell>
        </row>
        <row r="3404">
          <cell r="D3404" t="str">
            <v>XXX-0000-09</v>
          </cell>
          <cell r="E3404" t="str">
            <v>线夹套筒</v>
          </cell>
        </row>
        <row r="3405">
          <cell r="D3405" t="str">
            <v>XXX-0000-10</v>
          </cell>
          <cell r="E3405" t="str">
            <v>线夹压环</v>
          </cell>
        </row>
        <row r="3406">
          <cell r="D3406" t="str">
            <v>XXX-1000-01</v>
          </cell>
          <cell r="E3406" t="str">
            <v>壳体</v>
          </cell>
        </row>
        <row r="3407">
          <cell r="D3407" t="str">
            <v>XXX-1000-02</v>
          </cell>
          <cell r="E3407" t="str">
            <v>隔离环</v>
          </cell>
        </row>
        <row r="3408">
          <cell r="D3408" t="str">
            <v>XXX-1000-03</v>
          </cell>
          <cell r="E3408" t="str">
            <v>安控安装板1</v>
          </cell>
        </row>
        <row r="3409">
          <cell r="D3409" t="str">
            <v>XXX-2000-01</v>
          </cell>
          <cell r="E3409" t="str">
            <v>XH盖</v>
          </cell>
        </row>
        <row r="3410">
          <cell r="D3410" t="str">
            <v>XXX-2000-02</v>
          </cell>
          <cell r="E3410" t="str">
            <v>XH腔</v>
          </cell>
        </row>
        <row r="3411">
          <cell r="D3411" t="str">
            <v>XXX-2100-01</v>
          </cell>
          <cell r="E3411" t="str">
            <v>CDU盒（F2)</v>
          </cell>
        </row>
        <row r="3412">
          <cell r="D3412" t="str">
            <v>XXX-3000-01</v>
          </cell>
          <cell r="E3412" t="str">
            <v>套筒</v>
          </cell>
        </row>
        <row r="3413">
          <cell r="D3413" t="str">
            <v>XXX-3000-02</v>
          </cell>
          <cell r="E3413" t="str">
            <v>安装座</v>
          </cell>
        </row>
        <row r="3414">
          <cell r="D3414" t="str">
            <v>XXX-4000-01</v>
          </cell>
          <cell r="E3414" t="str">
            <v>传爆药壳</v>
          </cell>
        </row>
        <row r="3415">
          <cell r="D3415" t="str">
            <v>XXX-4000-02</v>
          </cell>
          <cell r="E3415" t="str">
            <v>传爆药盖</v>
          </cell>
        </row>
        <row r="3416">
          <cell r="D3416" t="str">
            <v>DD-J10-54101-2802</v>
          </cell>
          <cell r="E3416" t="str">
            <v>套筒</v>
          </cell>
        </row>
        <row r="3417">
          <cell r="D3417" t="str">
            <v>DD-J10-54101-2802</v>
          </cell>
          <cell r="E3417" t="str">
            <v>套筒</v>
          </cell>
        </row>
        <row r="3418">
          <cell r="D3418" t="str">
            <v>DD-J10B-41163-30-3</v>
          </cell>
          <cell r="E3418" t="str">
            <v>片</v>
          </cell>
        </row>
        <row r="3419">
          <cell r="D3419" t="str">
            <v>CB2280231-004-001</v>
          </cell>
          <cell r="E3419" t="str">
            <v>轴</v>
          </cell>
        </row>
        <row r="3420">
          <cell r="D3420" t="str">
            <v>CB2280231-004-001</v>
          </cell>
          <cell r="E3420" t="str">
            <v>轴</v>
          </cell>
        </row>
        <row r="3421">
          <cell r="D3421" t="str">
            <v>CB2280231-004-001</v>
          </cell>
          <cell r="E3421" t="str">
            <v>轴</v>
          </cell>
        </row>
        <row r="3422">
          <cell r="D3422" t="str">
            <v>CB2280231-003-002</v>
          </cell>
          <cell r="E3422" t="str">
            <v>管子</v>
          </cell>
        </row>
        <row r="3423">
          <cell r="D3423" t="str">
            <v>CB2280231-003-002</v>
          </cell>
          <cell r="E3423" t="str">
            <v>管子</v>
          </cell>
        </row>
        <row r="3424">
          <cell r="D3424" t="str">
            <v>CB22857YB-008-001</v>
          </cell>
          <cell r="E3424" t="str">
            <v>轴</v>
          </cell>
        </row>
        <row r="3425">
          <cell r="D3425" t="str">
            <v>CB2280231-003-002</v>
          </cell>
          <cell r="E3425" t="str">
            <v>管子</v>
          </cell>
        </row>
        <row r="3426">
          <cell r="D3426" t="str">
            <v>CB2280231-003-002</v>
          </cell>
          <cell r="E3426" t="str">
            <v>管子</v>
          </cell>
        </row>
        <row r="3427">
          <cell r="D3427" t="str">
            <v>DD-J10B-94061-1032</v>
          </cell>
          <cell r="E3427" t="str">
            <v>接头</v>
          </cell>
        </row>
        <row r="3428">
          <cell r="D3428" t="str">
            <v>DD-J10B-94061-1032</v>
          </cell>
          <cell r="E3428" t="str">
            <v>接头</v>
          </cell>
        </row>
        <row r="3429">
          <cell r="D3429" t="str">
            <v>DD-J10B-94076-811</v>
          </cell>
          <cell r="E3429" t="str">
            <v>法兰盘</v>
          </cell>
        </row>
        <row r="3430">
          <cell r="D3430" t="str">
            <v>DD-J10B-94076-811</v>
          </cell>
          <cell r="E3430" t="str">
            <v>法兰盘</v>
          </cell>
        </row>
        <row r="3431">
          <cell r="D3431" t="str">
            <v>DD-J10-64031-1221</v>
          </cell>
          <cell r="E3431" t="str">
            <v>耳片</v>
          </cell>
        </row>
        <row r="3432">
          <cell r="D3432" t="str">
            <v>DD-J10-64031-1221</v>
          </cell>
          <cell r="E3432" t="str">
            <v>耳片</v>
          </cell>
        </row>
        <row r="3433">
          <cell r="D3433" t="str">
            <v>DD-J10B-94086-1100-1</v>
          </cell>
          <cell r="E3433" t="str">
            <v>管子</v>
          </cell>
        </row>
        <row r="3434">
          <cell r="D3434" t="str">
            <v>DD-J10B-94086-1100-1</v>
          </cell>
          <cell r="E3434" t="str">
            <v>管子</v>
          </cell>
        </row>
        <row r="3435">
          <cell r="D3435" t="str">
            <v>DD-J10B-94061-510-2</v>
          </cell>
          <cell r="E3435" t="str">
            <v>支撑管</v>
          </cell>
        </row>
        <row r="3436">
          <cell r="D3436" t="str">
            <v>DD-J10B-94061-510-2</v>
          </cell>
          <cell r="E3436" t="str">
            <v>支撑管</v>
          </cell>
        </row>
        <row r="3437">
          <cell r="D3437" t="str">
            <v>DD-J10B-41163-30-1</v>
          </cell>
          <cell r="E3437" t="str">
            <v>管子</v>
          </cell>
        </row>
        <row r="3438">
          <cell r="D3438" t="str">
            <v>DD-J10B-41163-30-1</v>
          </cell>
          <cell r="E3438" t="str">
            <v>管子</v>
          </cell>
        </row>
        <row r="3439">
          <cell r="D3439" t="str">
            <v>DD-J10-55165-1460-3</v>
          </cell>
          <cell r="E3439" t="str">
            <v>衬套</v>
          </cell>
        </row>
        <row r="3440">
          <cell r="D3440" t="str">
            <v>DD-J10-55165-1460-3</v>
          </cell>
          <cell r="E3440" t="str">
            <v>衬套</v>
          </cell>
        </row>
        <row r="3441">
          <cell r="D3441" t="str">
            <v>DD-J10-41035-120-2</v>
          </cell>
          <cell r="E3441" t="str">
            <v>管子</v>
          </cell>
        </row>
        <row r="3442">
          <cell r="D3442" t="str">
            <v>DD-J10-41035-120-2</v>
          </cell>
          <cell r="E3442" t="str">
            <v>管子</v>
          </cell>
        </row>
        <row r="3443">
          <cell r="D3443" t="str">
            <v>DD-J10B-86031-510-3</v>
          </cell>
          <cell r="E3443" t="str">
            <v>套管</v>
          </cell>
        </row>
        <row r="3444">
          <cell r="D3444" t="str">
            <v>DD-J10B-86031-510-3</v>
          </cell>
          <cell r="E3444" t="str">
            <v>套管</v>
          </cell>
        </row>
        <row r="3445">
          <cell r="D3445" t="str">
            <v>DD-J10-64031-1221</v>
          </cell>
          <cell r="E3445" t="str">
            <v>耳片</v>
          </cell>
        </row>
        <row r="3446">
          <cell r="D3446" t="str">
            <v>DD-J10S-96011-1203</v>
          </cell>
          <cell r="E3446" t="str">
            <v>管子</v>
          </cell>
        </row>
        <row r="3447">
          <cell r="D3447" t="str">
            <v>DD-J10-55014-2144</v>
          </cell>
          <cell r="E3447" t="str">
            <v>挡片</v>
          </cell>
        </row>
        <row r="3448">
          <cell r="D3448" t="str">
            <v>DD-J10-55014-2144</v>
          </cell>
          <cell r="E3448" t="str">
            <v>挡片</v>
          </cell>
        </row>
        <row r="3449">
          <cell r="D3449" t="str">
            <v>DD-J10-04101-93</v>
          </cell>
          <cell r="E3449" t="str">
            <v>轴销</v>
          </cell>
        </row>
        <row r="3450">
          <cell r="D3450" t="str">
            <v>DD-J10-04101-93</v>
          </cell>
          <cell r="E3450" t="str">
            <v>轴销</v>
          </cell>
        </row>
        <row r="3451">
          <cell r="D3451" t="str">
            <v>DD-J10B-55141-2010-3</v>
          </cell>
          <cell r="E3451" t="str">
            <v>衬套</v>
          </cell>
        </row>
        <row r="3452">
          <cell r="D3452" t="str">
            <v>DD-J10B-55141-2010-3</v>
          </cell>
          <cell r="E3452" t="str">
            <v>衬套</v>
          </cell>
        </row>
        <row r="3453">
          <cell r="D3453" t="str">
            <v>DD-J10-61101-1310-1</v>
          </cell>
          <cell r="E3453" t="str">
            <v>导管</v>
          </cell>
        </row>
        <row r="3454">
          <cell r="D3454" t="str">
            <v>DD-J10-61101-1310-1</v>
          </cell>
          <cell r="E3454" t="str">
            <v>导管</v>
          </cell>
        </row>
        <row r="3455">
          <cell r="D3455" t="str">
            <v>DD-J10B-42074-140-1</v>
          </cell>
          <cell r="E3455" t="str">
            <v>拉杆</v>
          </cell>
        </row>
        <row r="3456">
          <cell r="D3456" t="str">
            <v>DD-J10B-42074-140-1</v>
          </cell>
          <cell r="E3456" t="str">
            <v>拉杆</v>
          </cell>
        </row>
        <row r="3457">
          <cell r="D3457" t="str">
            <v>DD-J10B-94076-2031/2</v>
          </cell>
          <cell r="E3457" t="str">
            <v>接管嘴</v>
          </cell>
        </row>
        <row r="3458">
          <cell r="D3458" t="str">
            <v>DD-J10B-94076-2031/2</v>
          </cell>
          <cell r="E3458" t="str">
            <v>接管嘴</v>
          </cell>
        </row>
        <row r="3459">
          <cell r="D3459" t="str">
            <v>DD-J10B-94061-1021</v>
          </cell>
          <cell r="E3459" t="str">
            <v>导管接头</v>
          </cell>
        </row>
        <row r="3460">
          <cell r="D3460" t="str">
            <v>DD-J10B-94061-1021</v>
          </cell>
          <cell r="E3460" t="str">
            <v>导管接头</v>
          </cell>
        </row>
        <row r="3461">
          <cell r="D3461" t="str">
            <v>DD-J10B-94061-1031</v>
          </cell>
          <cell r="E3461" t="str">
            <v>接头</v>
          </cell>
        </row>
        <row r="3462">
          <cell r="D3462" t="str">
            <v>DD-J10B-94061-1031</v>
          </cell>
          <cell r="E3462" t="str">
            <v>接头</v>
          </cell>
        </row>
        <row r="3463">
          <cell r="D3463" t="str">
            <v>DD-J10-54101-2821</v>
          </cell>
          <cell r="E3463" t="str">
            <v>插销</v>
          </cell>
        </row>
        <row r="3464">
          <cell r="D3464" t="str">
            <v>DD-J10B-55111-210-2</v>
          </cell>
          <cell r="E3464" t="str">
            <v>套管</v>
          </cell>
        </row>
        <row r="3465">
          <cell r="D3465" t="str">
            <v>DD-J10B-55111-210-2</v>
          </cell>
          <cell r="E3465" t="str">
            <v>套管</v>
          </cell>
        </row>
        <row r="3466">
          <cell r="D3466" t="str">
            <v>CB5713600-001R004</v>
          </cell>
          <cell r="E3466" t="str">
            <v>前梁一段</v>
          </cell>
        </row>
        <row r="3467">
          <cell r="D3467" t="str">
            <v>BC2293111-001-001</v>
          </cell>
          <cell r="E3467" t="str">
            <v>支架</v>
          </cell>
        </row>
        <row r="3468">
          <cell r="D3468" t="str">
            <v>BC2291460-003-001</v>
          </cell>
          <cell r="E3468" t="str">
            <v>吸油软管支架</v>
          </cell>
        </row>
        <row r="3469">
          <cell r="D3469" t="str">
            <v>BC2291193-001-001</v>
          </cell>
          <cell r="E3469" t="str">
            <v>回油油滤支架</v>
          </cell>
        </row>
        <row r="3470">
          <cell r="D3470" t="str">
            <v>BC2291460-002-001</v>
          </cell>
          <cell r="E3470" t="str">
            <v>供压软管接头支架</v>
          </cell>
        </row>
        <row r="3471">
          <cell r="D3471" t="str">
            <v>BC5322500-012L001</v>
          </cell>
          <cell r="E3471" t="str">
            <v>T型材2左</v>
          </cell>
        </row>
        <row r="3472">
          <cell r="D3472" t="str">
            <v>BC5322500-012R001</v>
          </cell>
          <cell r="E3472" t="str">
            <v>T型材2右</v>
          </cell>
        </row>
        <row r="3473">
          <cell r="D3473" t="str">
            <v>BC2292191-001-001</v>
          </cell>
          <cell r="E3473" t="str">
            <v>回油油滤支架</v>
          </cell>
        </row>
        <row r="3474">
          <cell r="D3474" t="str">
            <v>BC5328100-006-001</v>
          </cell>
          <cell r="E3474" t="str">
            <v>连接耳片</v>
          </cell>
        </row>
        <row r="3475">
          <cell r="D3475" t="str">
            <v>BC2280241-060-001</v>
          </cell>
          <cell r="E3475" t="str">
            <v>带柔性接头的法兰（Φ60）</v>
          </cell>
        </row>
        <row r="3476">
          <cell r="D3476" t="str">
            <v>BC2280241-065-001</v>
          </cell>
          <cell r="E3476" t="str">
            <v>带柔性接头的法兰（Φ65）</v>
          </cell>
        </row>
        <row r="3477">
          <cell r="D3477" t="str">
            <v>BC5328100-007-001</v>
          </cell>
          <cell r="E3477" t="str">
            <v>连接耳片</v>
          </cell>
        </row>
        <row r="3478">
          <cell r="D3478" t="str">
            <v>BC2291173-001-001</v>
          </cell>
          <cell r="E3478" t="str">
            <v>散热器支架2</v>
          </cell>
        </row>
        <row r="3479">
          <cell r="D3479" t="str">
            <v>BC2562823-002R003</v>
          </cell>
          <cell r="E3479" t="str">
            <v>轴承座</v>
          </cell>
        </row>
        <row r="3480">
          <cell r="D3480" t="str">
            <v>BC2563500-001-001</v>
          </cell>
          <cell r="E3480" t="str">
            <v>轴</v>
          </cell>
        </row>
        <row r="3481">
          <cell r="D3481" t="str">
            <v>BC221T3LE-002-001</v>
          </cell>
          <cell r="E3481" t="str">
            <v>支座</v>
          </cell>
        </row>
        <row r="3482">
          <cell r="D3482" t="str">
            <v>BC2563500-002-001</v>
          </cell>
          <cell r="E3482" t="str">
            <v>转轴</v>
          </cell>
        </row>
        <row r="3483">
          <cell r="D3483" t="str">
            <v>BC221P2LF-002-001</v>
          </cell>
          <cell r="E3483" t="str">
            <v>传感器底座</v>
          </cell>
        </row>
        <row r="3484">
          <cell r="D3484" t="str">
            <v>BC221P2LB-003-001</v>
          </cell>
          <cell r="E3484" t="str">
            <v>传感器底座</v>
          </cell>
        </row>
        <row r="3485">
          <cell r="D3485" t="str">
            <v>BC2292172-001-001</v>
          </cell>
          <cell r="E3485" t="str">
            <v>散热器支架2</v>
          </cell>
        </row>
        <row r="3486">
          <cell r="D3486" t="str">
            <v>BC5327100-031R001</v>
          </cell>
          <cell r="E3486" t="str">
            <v>角盒</v>
          </cell>
        </row>
        <row r="3487">
          <cell r="D3487" t="str">
            <v>BC5327100-031L001</v>
          </cell>
          <cell r="E3487" t="str">
            <v>角盒</v>
          </cell>
        </row>
        <row r="3488">
          <cell r="D3488" t="str">
            <v>BC5328100-017-001</v>
          </cell>
          <cell r="E3488" t="str">
            <v>连接耳片</v>
          </cell>
        </row>
        <row r="3489">
          <cell r="D3489" t="str">
            <v>BC2291182-001-001</v>
          </cell>
          <cell r="E3489" t="str">
            <v>系统1高压油滤支架</v>
          </cell>
        </row>
        <row r="3490">
          <cell r="D3490" t="str">
            <v>BC2282608-003-001</v>
          </cell>
          <cell r="E3490" t="str">
            <v>角片</v>
          </cell>
        </row>
        <row r="3491">
          <cell r="D3491" t="str">
            <v>BC5314103-006-001</v>
          </cell>
          <cell r="E3491" t="str">
            <v>型材</v>
          </cell>
        </row>
        <row r="3492">
          <cell r="D3492" t="str">
            <v>BC2299242-002-001</v>
          </cell>
          <cell r="E3492" t="str">
            <v>支架底座</v>
          </cell>
        </row>
        <row r="3493">
          <cell r="D3493" t="str">
            <v>BC5328100-015-001</v>
          </cell>
          <cell r="E3493" t="str">
            <v>连接耳片</v>
          </cell>
        </row>
        <row r="3494">
          <cell r="D3494" t="str">
            <v>BC5328100-016-001</v>
          </cell>
          <cell r="E3494" t="str">
            <v>连接耳片</v>
          </cell>
        </row>
        <row r="3495">
          <cell r="D3495" t="str">
            <v>BC2299252-002-001</v>
          </cell>
          <cell r="E3495" t="str">
            <v>支架底座</v>
          </cell>
        </row>
        <row r="3496">
          <cell r="D3496" t="str">
            <v>BC5314102-003-001</v>
          </cell>
          <cell r="E3496" t="str">
            <v>型材</v>
          </cell>
        </row>
        <row r="3497">
          <cell r="D3497" t="str">
            <v>BC5824000-002-001</v>
          </cell>
          <cell r="E3497" t="str">
            <v>耳片接头</v>
          </cell>
        </row>
        <row r="3498">
          <cell r="D3498" t="str">
            <v>BC2281630-005-001</v>
          </cell>
          <cell r="E3498" t="str">
            <v>角片</v>
          </cell>
        </row>
        <row r="3499">
          <cell r="D3499" t="str">
            <v>BC3101242-002L001</v>
          </cell>
          <cell r="E3499" t="str">
            <v>耳座</v>
          </cell>
        </row>
        <row r="3500">
          <cell r="D3500" t="str">
            <v>CB2294170-003-001</v>
          </cell>
          <cell r="E3500" t="str">
            <v>支架</v>
          </cell>
        </row>
        <row r="3501">
          <cell r="D3501" t="str">
            <v>DD-J10B-21002-2-Z</v>
          </cell>
          <cell r="E3501" t="str">
            <v>4号下壁板（左件）</v>
          </cell>
        </row>
        <row r="3502">
          <cell r="D3502" t="str">
            <v>DD-J10B-21002-2-Z</v>
          </cell>
          <cell r="E3502" t="str">
            <v>4号下壁板（左件）</v>
          </cell>
        </row>
        <row r="3503">
          <cell r="D3503" t="str">
            <v>DD-J10B-21002-2-Y</v>
          </cell>
          <cell r="E3503" t="str">
            <v>4号下壁板（右件）</v>
          </cell>
        </row>
        <row r="3504">
          <cell r="D3504" t="str">
            <v>DD-J10B-21002-2-Y</v>
          </cell>
          <cell r="E3504" t="str">
            <v>4号下壁板（右件）</v>
          </cell>
        </row>
        <row r="3505">
          <cell r="D3505" t="str">
            <v>DD-J10B-04051-1</v>
          </cell>
          <cell r="E3505" t="str">
            <v>10460框</v>
          </cell>
        </row>
        <row r="3506">
          <cell r="D3506" t="str">
            <v>DD-J10B-04051-1</v>
          </cell>
          <cell r="E3506" t="str">
            <v>10460框</v>
          </cell>
        </row>
        <row r="3507">
          <cell r="D3507" t="str">
            <v>DD-J10B-04051-1</v>
          </cell>
          <cell r="E3507" t="str">
            <v>10460框</v>
          </cell>
        </row>
        <row r="3508">
          <cell r="D3508" t="str">
            <v>DD-J10B-04051-1</v>
          </cell>
          <cell r="E3508" t="str">
            <v>10460框</v>
          </cell>
        </row>
        <row r="3509">
          <cell r="D3509" t="str">
            <v>DD-J10B-04051-1</v>
          </cell>
          <cell r="E3509" t="str">
            <v>10460框</v>
          </cell>
        </row>
        <row r="3510">
          <cell r="D3510" t="str">
            <v>DD-J10-33003-4</v>
          </cell>
          <cell r="E3510" t="str">
            <v>梁</v>
          </cell>
        </row>
        <row r="3511">
          <cell r="D3511" t="str">
            <v>DD-J10-33003-4</v>
          </cell>
          <cell r="E3511" t="str">
            <v>梁</v>
          </cell>
        </row>
        <row r="3512">
          <cell r="D3512" t="str">
            <v>DD-J10-33003-4</v>
          </cell>
          <cell r="E3512" t="str">
            <v>梁</v>
          </cell>
        </row>
        <row r="3513">
          <cell r="D3513" t="str">
            <v>DD-J10-21102-120-1-Y</v>
          </cell>
          <cell r="E3513" t="str">
            <v>9480梁（右件）</v>
          </cell>
        </row>
        <row r="3514">
          <cell r="D3514" t="str">
            <v>DD-J10-21102-120-1-Y</v>
          </cell>
          <cell r="E3514" t="str">
            <v>9480梁（右件）</v>
          </cell>
        </row>
        <row r="3515">
          <cell r="D3515" t="str">
            <v>DD-J10-21102-120-1-Y</v>
          </cell>
          <cell r="E3515" t="str">
            <v>9480梁（右件）</v>
          </cell>
        </row>
        <row r="3516">
          <cell r="D3516" t="str">
            <v>DD-J10-21102-120-1-Y</v>
          </cell>
          <cell r="E3516" t="str">
            <v>9480梁（右件）</v>
          </cell>
        </row>
        <row r="3517">
          <cell r="D3517" t="str">
            <v>DD-J10-21102-120-1-Z</v>
          </cell>
          <cell r="E3517" t="str">
            <v>9480梁（左件）</v>
          </cell>
        </row>
        <row r="3518">
          <cell r="D3518" t="str">
            <v>DD-J10-21102-120-1-Z</v>
          </cell>
          <cell r="E3518" t="str">
            <v>9480梁（左件）</v>
          </cell>
        </row>
        <row r="3519">
          <cell r="D3519" t="str">
            <v>DD-J10-21102-120-1-Z</v>
          </cell>
          <cell r="E3519" t="str">
            <v>9480梁（左件）</v>
          </cell>
        </row>
        <row r="3520">
          <cell r="D3520" t="str">
            <v>DD-J10-21102-120-1-Z</v>
          </cell>
          <cell r="E3520" t="str">
            <v>9480梁（左件）</v>
          </cell>
        </row>
        <row r="3521">
          <cell r="D3521" t="str">
            <v>DD-J10-21102-250-1-Z</v>
          </cell>
          <cell r="E3521" t="str">
            <v>11900梁一段（左件）</v>
          </cell>
        </row>
        <row r="3522">
          <cell r="D3522" t="str">
            <v>DD-J10-21102-250-1-Z</v>
          </cell>
          <cell r="E3522" t="str">
            <v>11900梁一段（左件）</v>
          </cell>
        </row>
        <row r="3523">
          <cell r="D3523" t="str">
            <v>DD-J10-21102-250-1-Z</v>
          </cell>
          <cell r="E3523" t="str">
            <v>11900梁一段（左件）</v>
          </cell>
        </row>
        <row r="3524">
          <cell r="D3524" t="str">
            <v>DD-J10-21102-250-1-Y</v>
          </cell>
          <cell r="E3524" t="str">
            <v>11900梁一段（右件）</v>
          </cell>
        </row>
        <row r="3525">
          <cell r="D3525" t="str">
            <v>DD-J10B-02161-501</v>
          </cell>
          <cell r="E3525" t="str">
            <v>5755横框</v>
          </cell>
        </row>
        <row r="3526">
          <cell r="D3526" t="str">
            <v>XXX-62-000-10</v>
          </cell>
          <cell r="E3526" t="str">
            <v>样件1</v>
          </cell>
        </row>
        <row r="3527">
          <cell r="D3527" t="str">
            <v>XXX-62-000-11</v>
          </cell>
          <cell r="E3527" t="str">
            <v>样件2</v>
          </cell>
        </row>
        <row r="3528">
          <cell r="D3528" t="str">
            <v>XXX-3171100-01</v>
          </cell>
          <cell r="E3528" t="str">
            <v>盖板</v>
          </cell>
        </row>
        <row r="3529">
          <cell r="D3529" t="str">
            <v>XXX-3170000-01</v>
          </cell>
          <cell r="E3529" t="str">
            <v>外盖板</v>
          </cell>
        </row>
        <row r="3530">
          <cell r="D3530" t="str">
            <v>XXX-3171000-01</v>
          </cell>
          <cell r="E3530" t="str">
            <v>外壳</v>
          </cell>
        </row>
        <row r="3531">
          <cell r="D3531" t="str">
            <v>XXX-3171000-020507</v>
          </cell>
          <cell r="E3531" t="str">
            <v>正负极接线片、点火头接线片1、点火头接线片2</v>
          </cell>
        </row>
        <row r="3532">
          <cell r="D3532" t="str">
            <v>XXX-3171100-02</v>
          </cell>
          <cell r="E3532" t="str">
            <v>接线柱</v>
          </cell>
        </row>
        <row r="3533">
          <cell r="D3533" t="str">
            <v>XXX-3171200-0305</v>
          </cell>
          <cell r="E3533" t="str">
            <v>正、负极集电片</v>
          </cell>
        </row>
        <row r="3534">
          <cell r="D3534" t="str">
            <v>T/12-JP01</v>
          </cell>
          <cell r="E3534" t="str">
            <v>导线接线片</v>
          </cell>
        </row>
        <row r="3535">
          <cell r="D3535" t="str">
            <v>BC5328100-014-001</v>
          </cell>
          <cell r="E3535" t="str">
            <v>连接耳片</v>
          </cell>
        </row>
        <row r="3536">
          <cell r="D3536" t="str">
            <v>BC5328100-014-001</v>
          </cell>
          <cell r="E3536" t="str">
            <v>连接耳片</v>
          </cell>
        </row>
        <row r="3537">
          <cell r="D3537" t="str">
            <v>BC5328100-017-001</v>
          </cell>
          <cell r="E3537" t="str">
            <v>连接耳片</v>
          </cell>
        </row>
        <row r="3538">
          <cell r="D3538" t="str">
            <v>BC2332100-001-002</v>
          </cell>
          <cell r="E3538" t="str">
            <v>卡箍支架（左）</v>
          </cell>
        </row>
        <row r="3539">
          <cell r="D3539" t="str">
            <v>BC2332100-002-002</v>
          </cell>
          <cell r="E3539" t="str">
            <v>卡箍支架（右）</v>
          </cell>
        </row>
        <row r="3540">
          <cell r="D3540" t="str">
            <v>BC22914P1-001-001</v>
          </cell>
          <cell r="E3540" t="str">
            <v>角片</v>
          </cell>
        </row>
        <row r="3541">
          <cell r="D3541" t="str">
            <v>BC2282103-001-001</v>
          </cell>
          <cell r="E3541" t="str">
            <v>角片</v>
          </cell>
        </row>
        <row r="3542">
          <cell r="D3542" t="str">
            <v>BC22831Y4-001-001</v>
          </cell>
          <cell r="E3542" t="str">
            <v>角片</v>
          </cell>
        </row>
        <row r="3543">
          <cell r="D3543" t="str">
            <v>BC5322500-009-001</v>
          </cell>
          <cell r="E3543" t="str">
            <v>T型材1</v>
          </cell>
        </row>
        <row r="3544">
          <cell r="D3544" t="str">
            <v>BC5322500-009-001</v>
          </cell>
          <cell r="E3544" t="str">
            <v>T型材1</v>
          </cell>
        </row>
        <row r="3545">
          <cell r="D3545" t="str">
            <v>BC2562823-002L003</v>
          </cell>
          <cell r="E3545" t="str">
            <v>轴承座</v>
          </cell>
        </row>
        <row r="3546">
          <cell r="D3546" t="str">
            <v>BC2562823-002L003</v>
          </cell>
          <cell r="E3546" t="str">
            <v>轴承座</v>
          </cell>
        </row>
        <row r="3547">
          <cell r="D3547" t="str">
            <v>BC5824000-031L001</v>
          </cell>
          <cell r="E3547" t="str">
            <v>支柱舱门上耳片框</v>
          </cell>
        </row>
        <row r="3548">
          <cell r="D3548" t="str">
            <v>BC22841Y3-001-003</v>
          </cell>
          <cell r="E3548" t="str">
            <v>支架</v>
          </cell>
        </row>
        <row r="3549">
          <cell r="D3549" t="str">
            <v>BC22841Y4-001-003</v>
          </cell>
          <cell r="E3549" t="str">
            <v>支架</v>
          </cell>
        </row>
        <row r="3550">
          <cell r="D3550" t="str">
            <v>BC5824000-031R001</v>
          </cell>
          <cell r="E3550" t="str">
            <v>支柱护板上耳片框</v>
          </cell>
        </row>
        <row r="3551">
          <cell r="D3551" t="str">
            <v>BC2271603-001-001</v>
          </cell>
          <cell r="E3551" t="str">
            <v>加速度传感器组件过渡支架</v>
          </cell>
        </row>
        <row r="3552">
          <cell r="D3552" t="str">
            <v>DD-J10-55051-6110-1</v>
          </cell>
          <cell r="E3552" t="str">
            <v>三通接头</v>
          </cell>
        </row>
        <row r="3553">
          <cell r="D3553" t="str">
            <v>DD-J10-41153-105</v>
          </cell>
          <cell r="E3553" t="str">
            <v>联锁摇臂</v>
          </cell>
        </row>
        <row r="3554">
          <cell r="D3554" t="str">
            <v>CB5323210-002-028</v>
          </cell>
          <cell r="E3554" t="str">
            <v>10540中框</v>
          </cell>
        </row>
        <row r="3555">
          <cell r="D3555" t="str">
            <v>CB5323210-002-028</v>
          </cell>
          <cell r="E3555" t="str">
            <v>10540中框</v>
          </cell>
        </row>
        <row r="3556">
          <cell r="D3556" t="str">
            <v>CB5323210-002-028</v>
          </cell>
          <cell r="E3556" t="str">
            <v>10540中框</v>
          </cell>
        </row>
        <row r="3557">
          <cell r="D3557" t="str">
            <v>CB5323210-002-028</v>
          </cell>
          <cell r="E3557" t="str">
            <v>10540中框</v>
          </cell>
        </row>
        <row r="3558">
          <cell r="D3558" t="str">
            <v>DD-J10B-04321-30-1-Z</v>
          </cell>
          <cell r="E3558" t="str">
            <v>侧下梁（左件）</v>
          </cell>
        </row>
        <row r="3559">
          <cell r="D3559" t="str">
            <v>DD-J10B-04321-30-1-Z</v>
          </cell>
          <cell r="E3559" t="str">
            <v>侧下梁（左件）</v>
          </cell>
        </row>
        <row r="3560">
          <cell r="D3560" t="str">
            <v>DD-J10B-04321-30-1-Z</v>
          </cell>
          <cell r="E3560" t="str">
            <v>侧下梁（左件）</v>
          </cell>
        </row>
        <row r="3561">
          <cell r="D3561" t="str">
            <v>DD-J10B-04321-30-1-Z</v>
          </cell>
          <cell r="E3561" t="str">
            <v>侧下梁（左件）</v>
          </cell>
        </row>
        <row r="3562">
          <cell r="D3562" t="str">
            <v>DD-J10B-04321-30-1-Z</v>
          </cell>
          <cell r="E3562" t="str">
            <v>侧下梁（左件）</v>
          </cell>
        </row>
        <row r="3563">
          <cell r="D3563" t="str">
            <v>DD-J10B-04321-30-1-Z</v>
          </cell>
          <cell r="E3563" t="str">
            <v>侧下梁（左件）</v>
          </cell>
        </row>
        <row r="3564">
          <cell r="D3564" t="str">
            <v>DD-J10B-04321-30-1-Y</v>
          </cell>
          <cell r="E3564" t="str">
            <v>侧下梁（右件）</v>
          </cell>
        </row>
        <row r="3565">
          <cell r="D3565" t="str">
            <v>DD-J10B-04321-30-1-Y</v>
          </cell>
          <cell r="E3565" t="str">
            <v>侧下梁（右件）</v>
          </cell>
        </row>
        <row r="3566">
          <cell r="D3566" t="str">
            <v>DD-J10B-04321-30-1-Y</v>
          </cell>
          <cell r="E3566" t="str">
            <v>侧下梁（右件）</v>
          </cell>
        </row>
        <row r="3567">
          <cell r="D3567" t="str">
            <v>DD-J10B-04321-30-1-Y</v>
          </cell>
          <cell r="E3567" t="str">
            <v>侧下梁（右件）</v>
          </cell>
        </row>
        <row r="3568">
          <cell r="D3568" t="str">
            <v>DD-J10B-04321-30-1-Y</v>
          </cell>
          <cell r="E3568" t="str">
            <v>侧下梁（右件）</v>
          </cell>
        </row>
        <row r="3569">
          <cell r="D3569" t="str">
            <v>DD-J10B-04321-30-1-Y</v>
          </cell>
          <cell r="E3569" t="str">
            <v>侧下梁（右件）</v>
          </cell>
        </row>
        <row r="3570">
          <cell r="D3570" t="str">
            <v>CB5715000-001L002</v>
          </cell>
          <cell r="E3570" t="str">
            <v>固定前缘边肋</v>
          </cell>
        </row>
        <row r="3571">
          <cell r="D3571" t="str">
            <v>CB5715000-001L002</v>
          </cell>
          <cell r="E3571" t="str">
            <v>固定前缘边肋</v>
          </cell>
        </row>
        <row r="3572">
          <cell r="D3572" t="str">
            <v>CB5715000-001L002</v>
          </cell>
          <cell r="E3572" t="str">
            <v>固定前缘边肋</v>
          </cell>
        </row>
        <row r="3573">
          <cell r="D3573" t="str">
            <v>CB5715000-001L002</v>
          </cell>
          <cell r="E3573" t="str">
            <v>固定前缘边肋</v>
          </cell>
        </row>
        <row r="3574">
          <cell r="D3574" t="str">
            <v>CB5715000-001R002</v>
          </cell>
          <cell r="E3574" t="str">
            <v>固定前缘边肋</v>
          </cell>
        </row>
        <row r="3575">
          <cell r="D3575" t="str">
            <v>CB5715000-001R002</v>
          </cell>
          <cell r="E3575" t="str">
            <v>固定前缘边肋</v>
          </cell>
        </row>
        <row r="3576">
          <cell r="D3576" t="str">
            <v>CB5715000-001R002</v>
          </cell>
          <cell r="E3576" t="str">
            <v>固定前缘边肋</v>
          </cell>
        </row>
        <row r="3577">
          <cell r="D3577" t="str">
            <v>CB5715000-001R002</v>
          </cell>
          <cell r="E3577" t="str">
            <v>固定前缘边肋</v>
          </cell>
        </row>
        <row r="3578">
          <cell r="D3578" t="str">
            <v>BC2291172-001-001</v>
          </cell>
          <cell r="E3578" t="str">
            <v>散热器支架1</v>
          </cell>
        </row>
        <row r="3579">
          <cell r="D3579" t="str">
            <v>BC5315208-006-001</v>
          </cell>
          <cell r="E3579" t="str">
            <v>5458右内下框段</v>
          </cell>
        </row>
        <row r="3580">
          <cell r="D3580" t="str">
            <v>BC5315208-005-001</v>
          </cell>
          <cell r="E3580" t="str">
            <v>5458左内下框段</v>
          </cell>
        </row>
        <row r="3581">
          <cell r="D3581" t="str">
            <v>BC5314404-002-001</v>
          </cell>
          <cell r="E3581" t="str">
            <v>4650右框</v>
          </cell>
        </row>
        <row r="3582">
          <cell r="D3582" t="str">
            <v>BC5314402-002-001</v>
          </cell>
          <cell r="E3582" t="str">
            <v>4290右框</v>
          </cell>
        </row>
        <row r="3583">
          <cell r="D3583" t="str">
            <v>BC5314402-001-001</v>
          </cell>
          <cell r="E3583" t="str">
            <v>4290左框</v>
          </cell>
        </row>
        <row r="3584">
          <cell r="D3584" t="str">
            <v>BC228263E-004-002</v>
          </cell>
          <cell r="E3584" t="str">
            <v>法兰</v>
          </cell>
        </row>
        <row r="3585">
          <cell r="D3585" t="str">
            <v>BC3101242-002R001</v>
          </cell>
          <cell r="E3585" t="str">
            <v>耳座</v>
          </cell>
        </row>
        <row r="3586">
          <cell r="D3586" t="str">
            <v>BC3101242-002L001</v>
          </cell>
          <cell r="E3586" t="str">
            <v>耳座</v>
          </cell>
        </row>
        <row r="3587">
          <cell r="D3587" t="str">
            <v>BC5312200-092L001</v>
          </cell>
          <cell r="E3587" t="str">
            <v>前上设备舱上大梁补强件</v>
          </cell>
        </row>
        <row r="3588">
          <cell r="D3588" t="str">
            <v>BC5312200-092R001</v>
          </cell>
          <cell r="E3588" t="str">
            <v>前上设备舱上大梁补强件</v>
          </cell>
        </row>
        <row r="3589">
          <cell r="D3589" t="str">
            <v>BC5328100-015-001</v>
          </cell>
          <cell r="E3589" t="str">
            <v>连接耳片</v>
          </cell>
        </row>
        <row r="3590">
          <cell r="D3590" t="str">
            <v>BC5328100-016-001</v>
          </cell>
          <cell r="E3590" t="str">
            <v>连接耳片</v>
          </cell>
        </row>
        <row r="3591">
          <cell r="D3591" t="str">
            <v>BC5322500-012L001</v>
          </cell>
          <cell r="E3591" t="str">
            <v>T型材2左</v>
          </cell>
        </row>
        <row r="3592">
          <cell r="D3592" t="str">
            <v>BC5322500-012R001</v>
          </cell>
          <cell r="E3592" t="str">
            <v>T型材2右</v>
          </cell>
        </row>
        <row r="3593">
          <cell r="D3593" t="str">
            <v>BC2292171-001-001</v>
          </cell>
          <cell r="E3593" t="str">
            <v>散热器支架1</v>
          </cell>
        </row>
        <row r="3594">
          <cell r="D3594" t="str">
            <v>BC22823Y1-001-001</v>
          </cell>
          <cell r="E3594" t="str">
            <v>支臂</v>
          </cell>
        </row>
        <row r="3595">
          <cell r="D3595" t="str">
            <v>BC5328100-006-001</v>
          </cell>
          <cell r="E3595" t="str">
            <v>连接耳片</v>
          </cell>
        </row>
        <row r="3596">
          <cell r="D3596" t="str">
            <v>BC5328100-007-001</v>
          </cell>
          <cell r="E3596" t="str">
            <v>连接耳片</v>
          </cell>
        </row>
        <row r="3597">
          <cell r="D3597" t="str">
            <v>BC5314101-007-001</v>
          </cell>
          <cell r="E3597" t="str">
            <v>型材</v>
          </cell>
        </row>
        <row r="3598">
          <cell r="D3598" t="str">
            <v>BC2299252-002-001</v>
          </cell>
          <cell r="E3598" t="str">
            <v>支架底座</v>
          </cell>
        </row>
        <row r="3599">
          <cell r="D3599" t="str">
            <v>BC2291182-001-001</v>
          </cell>
          <cell r="E3599" t="str">
            <v>系统1高压油滤支架</v>
          </cell>
        </row>
        <row r="3600">
          <cell r="D3600" t="str">
            <v>BC5314103-004-001</v>
          </cell>
          <cell r="E3600" t="str">
            <v>型材</v>
          </cell>
        </row>
        <row r="3601">
          <cell r="D3601" t="str">
            <v>DD-J10-21102-60/-1/2-Y</v>
          </cell>
          <cell r="E3601" t="str">
            <v>11968下口盖</v>
          </cell>
        </row>
        <row r="3602">
          <cell r="D3602" t="str">
            <v>DD-J10-21102-60/-1/2-Y</v>
          </cell>
          <cell r="E3602" t="str">
            <v>11968下口盖</v>
          </cell>
        </row>
        <row r="3603">
          <cell r="D3603" t="str">
            <v>DD-J10-21102-60/-1/3-Y</v>
          </cell>
          <cell r="E3603" t="str">
            <v>11968下口盖</v>
          </cell>
        </row>
        <row r="3604">
          <cell r="D3604" t="str">
            <v>DD-J10-21102-60/-1/3-Y</v>
          </cell>
          <cell r="E3604" t="str">
            <v>11968下口盖</v>
          </cell>
        </row>
        <row r="3605">
          <cell r="D3605" t="str">
            <v>CB22956R0-001L001</v>
          </cell>
          <cell r="E3605" t="str">
            <v>架子</v>
          </cell>
        </row>
        <row r="3606">
          <cell r="D3606" t="str">
            <v>DD-J10-21002-1-Y</v>
          </cell>
          <cell r="E3606" t="str">
            <v>4号上壁板（右件）</v>
          </cell>
        </row>
        <row r="3607">
          <cell r="D3607" t="str">
            <v>GU5336113-001L001</v>
          </cell>
          <cell r="E3607" t="str">
            <v>STA8510~9055左上大梁</v>
          </cell>
        </row>
        <row r="3608">
          <cell r="D3608" t="str">
            <v>GU5314300-003-001</v>
          </cell>
          <cell r="E3608" t="str">
            <v>撑杆接头</v>
          </cell>
        </row>
        <row r="3609">
          <cell r="D3609" t="str">
            <v>GU5314300-003-001</v>
          </cell>
          <cell r="E3609" t="str">
            <v>撑杆接头</v>
          </cell>
        </row>
        <row r="3610">
          <cell r="D3610" t="str">
            <v>GU5314300-003-001</v>
          </cell>
          <cell r="E3610" t="str">
            <v>撑杆接头</v>
          </cell>
        </row>
        <row r="3611">
          <cell r="D3611" t="str">
            <v>BC5315208-001-002</v>
          </cell>
          <cell r="E3611" t="str">
            <v>5458左框</v>
          </cell>
        </row>
        <row r="3612">
          <cell r="D3612" t="str">
            <v>BC5315208-002-002</v>
          </cell>
          <cell r="E3612" t="str">
            <v>5458右框</v>
          </cell>
        </row>
        <row r="3613">
          <cell r="D3613" t="str">
            <v>BC5314401-001-001</v>
          </cell>
          <cell r="E3613" t="str">
            <v>4160左框</v>
          </cell>
        </row>
        <row r="3614">
          <cell r="D3614" t="str">
            <v>BC5314401-001-001</v>
          </cell>
          <cell r="E3614" t="str">
            <v>4160左框</v>
          </cell>
        </row>
        <row r="3615">
          <cell r="D3615" t="str">
            <v>BC5314401-002-001</v>
          </cell>
          <cell r="E3615" t="str">
            <v>4160右框</v>
          </cell>
        </row>
        <row r="3616">
          <cell r="D3616" t="str">
            <v>BC5314403-002-001</v>
          </cell>
          <cell r="E3616" t="str">
            <v>4470右框</v>
          </cell>
        </row>
        <row r="3617">
          <cell r="D3617" t="str">
            <v>BC2291210-001-001</v>
          </cell>
          <cell r="E3617" t="str">
            <v>循环油滤支架</v>
          </cell>
        </row>
        <row r="3618">
          <cell r="D3618" t="str">
            <v>BC2292212-001-002</v>
          </cell>
          <cell r="E3618" t="str">
            <v>循环油滤支架</v>
          </cell>
        </row>
        <row r="3619">
          <cell r="D3619" t="str">
            <v>BC2271603-001-002</v>
          </cell>
          <cell r="E3619" t="str">
            <v>加速度传感器组件过渡支架</v>
          </cell>
        </row>
        <row r="3620">
          <cell r="D3620" t="str">
            <v>BC2272410-001-001</v>
          </cell>
          <cell r="E3620" t="str">
            <v>右外侧电液伺服控制组件下支架</v>
          </cell>
        </row>
        <row r="3621">
          <cell r="D3621" t="str">
            <v>BC2272410-002-001</v>
          </cell>
          <cell r="E3621" t="str">
            <v>右外侧电液伺服控制组件上支架</v>
          </cell>
        </row>
        <row r="3622">
          <cell r="D3622" t="str">
            <v>BC2272410-002-001</v>
          </cell>
          <cell r="E3622" t="str">
            <v>右外侧电液伺服控制组件上支架</v>
          </cell>
        </row>
        <row r="3623">
          <cell r="D3623" t="str">
            <v>BC2272210-001-001</v>
          </cell>
          <cell r="E3623" t="str">
            <v>左外侧电液伺服控制组件下支架</v>
          </cell>
        </row>
        <row r="3624">
          <cell r="D3624" t="str">
            <v>BC2272210-002-001</v>
          </cell>
          <cell r="E3624" t="str">
            <v>左外侧电液伺服控制组件上支架</v>
          </cell>
        </row>
        <row r="3625">
          <cell r="D3625" t="str">
            <v>BC2291222-001-001</v>
          </cell>
          <cell r="E3625" t="str">
            <v>应急泵供压油滤支架</v>
          </cell>
        </row>
        <row r="3626">
          <cell r="D3626" t="str">
            <v>BC2272323-001-001</v>
          </cell>
          <cell r="E3626" t="str">
            <v>内侧液压作动筒支架1</v>
          </cell>
        </row>
        <row r="3627">
          <cell r="D3627" t="str">
            <v>BC2332D00-001-001</v>
          </cell>
          <cell r="E3627" t="str">
            <v>安装环</v>
          </cell>
        </row>
        <row r="3628">
          <cell r="D3628" t="str">
            <v>BC5327100-031L001</v>
          </cell>
          <cell r="E3628" t="str">
            <v>角盒</v>
          </cell>
        </row>
        <row r="3629">
          <cell r="D3629" t="str">
            <v>BC5327100-031R001</v>
          </cell>
          <cell r="E3629" t="str">
            <v>角盒</v>
          </cell>
        </row>
        <row r="3630">
          <cell r="D3630" t="str">
            <v>BC5824000-002-001</v>
          </cell>
          <cell r="E3630" t="str">
            <v>耳片接头</v>
          </cell>
        </row>
        <row r="3631">
          <cell r="D3631" t="str">
            <v>BC221P2LF-002-001</v>
          </cell>
          <cell r="E3631" t="str">
            <v>传感器底座</v>
          </cell>
        </row>
        <row r="3632">
          <cell r="D3632" t="str">
            <v>BC2280241-060-001</v>
          </cell>
          <cell r="E3632" t="str">
            <v>带柔性接头的法兰（φ60）</v>
          </cell>
        </row>
        <row r="3633">
          <cell r="D3633" t="str">
            <v>BC2280241-060-001</v>
          </cell>
          <cell r="E3633" t="str">
            <v>带柔性接头的法兰（φ60）</v>
          </cell>
        </row>
        <row r="3634">
          <cell r="D3634" t="str">
            <v>DD-J10B-02111-2-Z</v>
          </cell>
          <cell r="E3634" t="str">
            <v>角盒</v>
          </cell>
        </row>
        <row r="3635">
          <cell r="D3635" t="str">
            <v>DD-J10B-02111-2-Z</v>
          </cell>
          <cell r="E3635" t="str">
            <v>角盒</v>
          </cell>
        </row>
        <row r="3636">
          <cell r="D3636" t="str">
            <v>DD-J10B-02111-2-Z</v>
          </cell>
          <cell r="E3636" t="str">
            <v>角盒</v>
          </cell>
        </row>
        <row r="3637">
          <cell r="D3637" t="str">
            <v>DD-J10B-65000-1820G2-1</v>
          </cell>
          <cell r="E3637" t="str">
            <v>摇臂</v>
          </cell>
        </row>
        <row r="3638">
          <cell r="D3638" t="str">
            <v>LTCS-526700000-01N01</v>
          </cell>
          <cell r="E3638" t="str">
            <v>6400框前法兰盘右段</v>
          </cell>
        </row>
        <row r="3639">
          <cell r="D3639" t="str">
            <v>LTCS-526700000-02N01</v>
          </cell>
          <cell r="E3639" t="str">
            <v>6400框前法兰盘左段</v>
          </cell>
        </row>
        <row r="3640">
          <cell r="D3640" t="str">
            <v>DD-J10B-04501-10-1-Y</v>
          </cell>
          <cell r="E3640" t="str">
            <v>BL900侧梁</v>
          </cell>
        </row>
        <row r="3641">
          <cell r="D3641" t="str">
            <v>DD-J10B-04501-10-1-Y</v>
          </cell>
          <cell r="E3641" t="str">
            <v>BL900侧梁</v>
          </cell>
        </row>
        <row r="3642">
          <cell r="D3642" t="str">
            <v>DD-J10B-04501-10-1-Y</v>
          </cell>
          <cell r="E3642" t="str">
            <v>BL900侧梁</v>
          </cell>
        </row>
        <row r="3643">
          <cell r="D3643" t="str">
            <v>DD-J10B-04501-10-1-Y</v>
          </cell>
          <cell r="E3643" t="str">
            <v>BL900侧梁</v>
          </cell>
        </row>
        <row r="3644">
          <cell r="D3644" t="str">
            <v>DD-J10B-04501-10-1-Y</v>
          </cell>
          <cell r="E3644" t="str">
            <v>BL900侧梁</v>
          </cell>
        </row>
        <row r="3645">
          <cell r="D3645" t="str">
            <v>DD-J10B-04501-10-1-Y</v>
          </cell>
          <cell r="E3645" t="str">
            <v>BL900侧梁</v>
          </cell>
        </row>
        <row r="3646">
          <cell r="D3646" t="str">
            <v>DD-J10B-04501-10-1-Z</v>
          </cell>
          <cell r="E3646" t="str">
            <v>BL900侧梁</v>
          </cell>
        </row>
        <row r="3647">
          <cell r="D3647" t="str">
            <v>DD-J10B-04501-10-1-Z</v>
          </cell>
          <cell r="E3647" t="str">
            <v>BL900侧梁</v>
          </cell>
        </row>
        <row r="3648">
          <cell r="D3648" t="str">
            <v>DD-J10B-04501-10-1-Z</v>
          </cell>
          <cell r="E3648" t="str">
            <v>BL900侧梁</v>
          </cell>
        </row>
        <row r="3649">
          <cell r="D3649" t="str">
            <v>DD-J10B-04501-10-1-Z</v>
          </cell>
          <cell r="E3649" t="str">
            <v>BL900侧梁</v>
          </cell>
        </row>
        <row r="3650">
          <cell r="D3650" t="str">
            <v>DD-J10B-04501-10-1-Z</v>
          </cell>
          <cell r="E3650" t="str">
            <v>BL900侧梁</v>
          </cell>
        </row>
        <row r="3651">
          <cell r="D3651" t="str">
            <v>DD-J10B-04501-10-1-Z</v>
          </cell>
          <cell r="E3651" t="str">
            <v>BL900侧梁</v>
          </cell>
        </row>
        <row r="3652">
          <cell r="D3652" t="str">
            <v>GU5715030-003L001</v>
          </cell>
          <cell r="E3652" t="str">
            <v>前缘20号肋</v>
          </cell>
        </row>
        <row r="3653">
          <cell r="D3653" t="str">
            <v>GU5715030-003L001</v>
          </cell>
          <cell r="E3653" t="str">
            <v>前缘20号肋</v>
          </cell>
        </row>
        <row r="3654">
          <cell r="D3654" t="str">
            <v>GU5715010-007R001</v>
          </cell>
          <cell r="E3654" t="str">
            <v>前缘6肋</v>
          </cell>
        </row>
        <row r="3655">
          <cell r="D3655" t="str">
            <v>GU5715010-007L001</v>
          </cell>
          <cell r="E3655" t="str">
            <v>前缘6肋</v>
          </cell>
        </row>
        <row r="3656">
          <cell r="D3656" t="str">
            <v>GU5714000-009R001</v>
          </cell>
          <cell r="E3656" t="str">
            <v>端肋</v>
          </cell>
        </row>
        <row r="3657">
          <cell r="D3657" t="str">
            <v>GU5714000-009L001</v>
          </cell>
          <cell r="E3657" t="str">
            <v>端肋</v>
          </cell>
        </row>
        <row r="3658">
          <cell r="D3658" t="str">
            <v>BC2272323-001-001</v>
          </cell>
          <cell r="E3658" t="str">
            <v>内侧液压作动筒支架1</v>
          </cell>
        </row>
        <row r="3659">
          <cell r="D3659" t="str">
            <v>BC2291150-001-001</v>
          </cell>
          <cell r="E3659" t="str">
            <v>安全阀支架底板</v>
          </cell>
        </row>
        <row r="3660">
          <cell r="D3660" t="str">
            <v>BC2291141-002-002</v>
          </cell>
          <cell r="E3660" t="str">
            <v>应急泵支架</v>
          </cell>
        </row>
        <row r="3661">
          <cell r="D3661" t="str">
            <v>BC2272210-001-001</v>
          </cell>
          <cell r="E3661" t="str">
            <v>左外侧电液伺服控制组件下支架</v>
          </cell>
        </row>
        <row r="3662">
          <cell r="D3662" t="str">
            <v>BC2272410-001-001</v>
          </cell>
          <cell r="E3662" t="str">
            <v>右外侧电液伺服控制组件下支架</v>
          </cell>
        </row>
        <row r="3663">
          <cell r="D3663" t="str">
            <v>BC2272210-002-001</v>
          </cell>
          <cell r="E3663" t="str">
            <v>左外侧电液伺服控制组件上支架</v>
          </cell>
        </row>
        <row r="3664">
          <cell r="D3664" t="str">
            <v>BC5315209-006-001</v>
          </cell>
          <cell r="E3664" t="str">
            <v>5580右内下框段</v>
          </cell>
        </row>
        <row r="3665">
          <cell r="D3665" t="str">
            <v>BC5315209-005-001</v>
          </cell>
          <cell r="E3665" t="str">
            <v>5580左内下框段</v>
          </cell>
        </row>
        <row r="3666">
          <cell r="D3666" t="str">
            <v>BC221P2LB-003-001</v>
          </cell>
          <cell r="E3666" t="str">
            <v>传感器底座</v>
          </cell>
        </row>
        <row r="3667">
          <cell r="D3667" t="str">
            <v>CB22924J0-002-005</v>
          </cell>
          <cell r="E3667" t="str">
            <v>角片</v>
          </cell>
        </row>
        <row r="3668">
          <cell r="D3668" t="str">
            <v>CB22924K0-001-005</v>
          </cell>
          <cell r="E3668" t="str">
            <v>角片</v>
          </cell>
        </row>
        <row r="3669">
          <cell r="D3669" t="str">
            <v>DD-J10B-64016-600-1</v>
          </cell>
          <cell r="E3669" t="str">
            <v>短管</v>
          </cell>
        </row>
        <row r="3670">
          <cell r="D3670" t="str">
            <v>DD-J10B-64016-600-1</v>
          </cell>
          <cell r="E3670" t="str">
            <v>短管</v>
          </cell>
        </row>
        <row r="3671">
          <cell r="D3671" t="str">
            <v>DD-J10B-42074-130-1</v>
          </cell>
          <cell r="E3671" t="str">
            <v>拉杆</v>
          </cell>
        </row>
        <row r="3672">
          <cell r="D3672" t="str">
            <v>DD-J10-55181-2810-4</v>
          </cell>
          <cell r="E3672" t="str">
            <v>管</v>
          </cell>
        </row>
        <row r="3673">
          <cell r="D3673" t="str">
            <v>DD-J10-68095-1100-2</v>
          </cell>
          <cell r="E3673" t="str">
            <v>衬套</v>
          </cell>
        </row>
        <row r="3674">
          <cell r="D3674" t="str">
            <v>DD-J10-55155-710-3</v>
          </cell>
          <cell r="E3674" t="str">
            <v>衬套</v>
          </cell>
        </row>
        <row r="3675">
          <cell r="D3675" t="str">
            <v>DD-J10-55181-2810-4</v>
          </cell>
          <cell r="E3675" t="str">
            <v>管</v>
          </cell>
        </row>
        <row r="3676">
          <cell r="D3676" t="str">
            <v>DD-J10B-41163-30-1</v>
          </cell>
          <cell r="E3676" t="str">
            <v>管子</v>
          </cell>
        </row>
        <row r="3677">
          <cell r="D3677" t="str">
            <v>DD-J10-42074-160-1</v>
          </cell>
          <cell r="E3677" t="str">
            <v>拉杆</v>
          </cell>
        </row>
        <row r="3678">
          <cell r="D3678" t="str">
            <v>DD-J10-55181-420-1</v>
          </cell>
          <cell r="E3678" t="str">
            <v>衬套</v>
          </cell>
        </row>
        <row r="3679">
          <cell r="D3679" t="str">
            <v>DD-J10B-68095-1720-3</v>
          </cell>
          <cell r="E3679" t="str">
            <v>钢管</v>
          </cell>
        </row>
        <row r="3680">
          <cell r="D3680" t="str">
            <v>DD-J10-55165-1440-3</v>
          </cell>
          <cell r="E3680" t="str">
            <v>衬套</v>
          </cell>
        </row>
        <row r="3681">
          <cell r="D3681" t="str">
            <v>DD-J10B-86031-510-4</v>
          </cell>
          <cell r="E3681" t="str">
            <v>套管</v>
          </cell>
        </row>
        <row r="3682">
          <cell r="D3682" t="str">
            <v>DD-J10-41123-1101</v>
          </cell>
          <cell r="E3682" t="str">
            <v>壳体</v>
          </cell>
        </row>
        <row r="3683">
          <cell r="D3683" t="str">
            <v>DD-J10B-94076-720-2</v>
          </cell>
          <cell r="E3683" t="str">
            <v>衬套</v>
          </cell>
        </row>
        <row r="3684">
          <cell r="D3684" t="str">
            <v>DD-J10-41035-122</v>
          </cell>
          <cell r="E3684" t="str">
            <v>管子</v>
          </cell>
        </row>
        <row r="3685">
          <cell r="D3685" t="str">
            <v>DD-J10B-94051-3640-2</v>
          </cell>
          <cell r="E3685" t="str">
            <v>管子</v>
          </cell>
        </row>
        <row r="3686">
          <cell r="D3686" t="str">
            <v>DD-J10B-68095-1710-3-Y</v>
          </cell>
          <cell r="E3686" t="str">
            <v>钢管</v>
          </cell>
        </row>
        <row r="3687">
          <cell r="D3687" t="str">
            <v>DD-J10B-68095-1710-3-Z</v>
          </cell>
          <cell r="E3687" t="str">
            <v>钢管</v>
          </cell>
        </row>
        <row r="3688">
          <cell r="D3688" t="str">
            <v>DD-J10B-68095-1710-3-Z</v>
          </cell>
          <cell r="E3688" t="str">
            <v>钢管</v>
          </cell>
        </row>
        <row r="3689">
          <cell r="D3689" t="str">
            <v>DD-J10-41153-130-2</v>
          </cell>
          <cell r="E3689" t="str">
            <v>管子</v>
          </cell>
        </row>
        <row r="3690">
          <cell r="D3690" t="str">
            <v>DD-J10B-94086-1100-1</v>
          </cell>
          <cell r="E3690" t="str">
            <v>管子</v>
          </cell>
        </row>
        <row r="3691">
          <cell r="D3691" t="str">
            <v>DD-J10-55051-1211</v>
          </cell>
          <cell r="E3691" t="str">
            <v>连接件</v>
          </cell>
        </row>
        <row r="3692">
          <cell r="D3692" t="str">
            <v>DD-J10-54101-2802</v>
          </cell>
          <cell r="E3692" t="str">
            <v>套筒</v>
          </cell>
        </row>
        <row r="3693">
          <cell r="D3693" t="str">
            <v>DD-J10-55181-2540-1</v>
          </cell>
          <cell r="E3693" t="str">
            <v>螺栓</v>
          </cell>
        </row>
        <row r="3694">
          <cell r="D3694" t="str">
            <v>DD-J10-41123-1112</v>
          </cell>
          <cell r="E3694" t="str">
            <v>拨棍</v>
          </cell>
        </row>
        <row r="3695">
          <cell r="D3695" t="str">
            <v>DD-J10-41123-1112</v>
          </cell>
          <cell r="E3695" t="str">
            <v>拨棍</v>
          </cell>
        </row>
        <row r="3696">
          <cell r="D3696" t="str">
            <v>DD-J10-61052-230-1</v>
          </cell>
          <cell r="E3696" t="str">
            <v>管子</v>
          </cell>
        </row>
        <row r="3697">
          <cell r="D3697" t="str">
            <v>DD-J10-61052-230-1</v>
          </cell>
          <cell r="E3697" t="str">
            <v>管子</v>
          </cell>
        </row>
        <row r="3698">
          <cell r="D3698" t="str">
            <v>DD-J10-61052-230-1</v>
          </cell>
          <cell r="E3698" t="str">
            <v>管子</v>
          </cell>
        </row>
        <row r="3699">
          <cell r="D3699" t="str">
            <v>DD-J10-55181-310-1</v>
          </cell>
          <cell r="E3699" t="str">
            <v>衬套</v>
          </cell>
        </row>
        <row r="3700">
          <cell r="D3700" t="str">
            <v>DD-J10-55165-1430-2</v>
          </cell>
          <cell r="E3700" t="str">
            <v>衬套</v>
          </cell>
        </row>
        <row r="3701">
          <cell r="D3701" t="str">
            <v>DD-J10-96031-130-1</v>
          </cell>
          <cell r="E3701" t="str">
            <v>管子</v>
          </cell>
        </row>
        <row r="3702">
          <cell r="D3702" t="str">
            <v>DD-J10-96031-130-1</v>
          </cell>
          <cell r="E3702" t="str">
            <v>管子</v>
          </cell>
        </row>
        <row r="3703">
          <cell r="D3703" t="str">
            <v>DD-J10-42074-150-1</v>
          </cell>
          <cell r="E3703" t="str">
            <v>管子</v>
          </cell>
        </row>
        <row r="3704">
          <cell r="D3704" t="str">
            <v>DD-J10-41143-110-1</v>
          </cell>
          <cell r="E3704" t="str">
            <v>管子</v>
          </cell>
        </row>
        <row r="3705">
          <cell r="D3705" t="str">
            <v>DD-J10-41143-110-1</v>
          </cell>
          <cell r="E3705" t="str">
            <v>管子</v>
          </cell>
        </row>
        <row r="3706">
          <cell r="D3706" t="str">
            <v>DD-J10-54101-2801</v>
          </cell>
          <cell r="E3706" t="str">
            <v>手柄</v>
          </cell>
        </row>
        <row r="3707">
          <cell r="D3707" t="str">
            <v>DD-J10-54101-2801</v>
          </cell>
          <cell r="E3707" t="str">
            <v>手柄</v>
          </cell>
        </row>
        <row r="3708">
          <cell r="D3708" t="str">
            <v>DD-J10B-68074-1720-3</v>
          </cell>
          <cell r="E3708" t="str">
            <v>钢管</v>
          </cell>
        </row>
        <row r="3709">
          <cell r="D3709" t="str">
            <v>DD-J10-68095-1300-3</v>
          </cell>
          <cell r="E3709" t="str">
            <v>衬套</v>
          </cell>
        </row>
        <row r="3710">
          <cell r="D3710" t="str">
            <v>DD-J10-96031-113</v>
          </cell>
          <cell r="E3710" t="str">
            <v>衬套</v>
          </cell>
        </row>
        <row r="3711">
          <cell r="D3711" t="str">
            <v>DD-J10-96031-113</v>
          </cell>
          <cell r="E3711" t="str">
            <v>衬套</v>
          </cell>
        </row>
        <row r="3712">
          <cell r="D3712" t="str">
            <v>DD-J10-55181-1110-1</v>
          </cell>
          <cell r="E3712" t="str">
            <v>支撑套</v>
          </cell>
        </row>
        <row r="3713">
          <cell r="D3713" t="str">
            <v>DD-J10-55181-1110-1</v>
          </cell>
          <cell r="E3713" t="str">
            <v>支撑套</v>
          </cell>
        </row>
        <row r="3714">
          <cell r="D3714" t="str">
            <v>DD-J10-55181-1110-1</v>
          </cell>
          <cell r="E3714" t="str">
            <v>支撑套</v>
          </cell>
        </row>
        <row r="3715">
          <cell r="D3715" t="str">
            <v>DD-J10B-86031-510-3</v>
          </cell>
        </row>
        <row r="3716">
          <cell r="D3716" t="str">
            <v>DD-J10-61101-1310-1</v>
          </cell>
          <cell r="E3716" t="str">
            <v>导管</v>
          </cell>
        </row>
        <row r="3717">
          <cell r="D3717" t="str">
            <v>DD-J10-55181-410-1</v>
          </cell>
          <cell r="E3717" t="str">
            <v>衬套</v>
          </cell>
        </row>
        <row r="3718">
          <cell r="D3718" t="str">
            <v>DD-J10B-94076-220-2</v>
          </cell>
          <cell r="E3718" t="str">
            <v>衬套</v>
          </cell>
        </row>
        <row r="3719">
          <cell r="D3719" t="str">
            <v>DD-J10-55171-410-1</v>
          </cell>
          <cell r="E3719" t="str">
            <v>衬套</v>
          </cell>
        </row>
        <row r="3720">
          <cell r="D3720" t="str">
            <v>DD-J10-55055-2620-3</v>
          </cell>
          <cell r="E3720" t="str">
            <v>衬套</v>
          </cell>
        </row>
        <row r="3721">
          <cell r="D3721" t="str">
            <v>DD-J10-04101-91</v>
          </cell>
          <cell r="E3721" t="str">
            <v>轴</v>
          </cell>
        </row>
        <row r="3722">
          <cell r="D3722" t="str">
            <v>DD-J10B-68074-1710-3</v>
          </cell>
          <cell r="E3722" t="str">
            <v>钢管</v>
          </cell>
        </row>
        <row r="3723">
          <cell r="D3723" t="str">
            <v>DD-J10-41123-1103</v>
          </cell>
          <cell r="E3723" t="str">
            <v>螺帽</v>
          </cell>
        </row>
        <row r="3724">
          <cell r="D3724" t="str">
            <v>DD-J10-41123-1103</v>
          </cell>
          <cell r="E3724" t="str">
            <v>螺帽</v>
          </cell>
        </row>
        <row r="3725">
          <cell r="D3725" t="str">
            <v>DD-J10-41123-1112</v>
          </cell>
          <cell r="E3725" t="str">
            <v>拨棍</v>
          </cell>
        </row>
        <row r="3726">
          <cell r="D3726" t="str">
            <v>DD-J10B-55111-210-2</v>
          </cell>
          <cell r="E3726" t="str">
            <v>套管</v>
          </cell>
        </row>
        <row r="3727">
          <cell r="D3727" t="str">
            <v>DD-J10B-55111-210-2</v>
          </cell>
          <cell r="E3727" t="str">
            <v>套管</v>
          </cell>
        </row>
        <row r="3728">
          <cell r="D3728" t="str">
            <v>DD-J10B-94076-620-1</v>
          </cell>
        </row>
        <row r="3729">
          <cell r="D3729" t="str">
            <v>DD-J10-96031-111</v>
          </cell>
          <cell r="E3729" t="str">
            <v>螺母</v>
          </cell>
        </row>
        <row r="3730">
          <cell r="D3730" t="str">
            <v>DD-J10-96031-111</v>
          </cell>
          <cell r="E3730" t="str">
            <v>螺母</v>
          </cell>
        </row>
        <row r="3731">
          <cell r="D3731" t="str">
            <v>DD-J10B-42074-60-1</v>
          </cell>
          <cell r="E3731" t="str">
            <v>管子</v>
          </cell>
        </row>
        <row r="3732">
          <cell r="D3732" t="str">
            <v>DD-J10B-42074-60-1</v>
          </cell>
          <cell r="E3732" t="str">
            <v>管子</v>
          </cell>
        </row>
        <row r="3733">
          <cell r="D3733" t="str">
            <v>DD-J10-55181-710-1</v>
          </cell>
          <cell r="E3733" t="str">
            <v>衬套</v>
          </cell>
        </row>
        <row r="3734">
          <cell r="D3734" t="str">
            <v>DD-J10-61001-722</v>
          </cell>
          <cell r="E3734" t="str">
            <v>螺栓</v>
          </cell>
        </row>
        <row r="3735">
          <cell r="D3735" t="str">
            <v>DD-J10-54101-2802</v>
          </cell>
          <cell r="E3735" t="str">
            <v>套筒</v>
          </cell>
        </row>
        <row r="3736">
          <cell r="D3736" t="str">
            <v>DD-J10B-64016-700-1</v>
          </cell>
          <cell r="E3736" t="str">
            <v>短管</v>
          </cell>
        </row>
        <row r="3737">
          <cell r="D3737" t="str">
            <v>DD-J10-41045-110-1-Y</v>
          </cell>
          <cell r="E3737" t="str">
            <v>套筒</v>
          </cell>
        </row>
        <row r="3738">
          <cell r="D3738" t="str">
            <v>DD-J10-94086-1110-2</v>
          </cell>
          <cell r="E3738" t="str">
            <v>衬套</v>
          </cell>
        </row>
        <row r="3739">
          <cell r="D3739" t="str">
            <v>DD-J10B-94061-1061/1</v>
          </cell>
          <cell r="E3739" t="str">
            <v>法兰盘</v>
          </cell>
        </row>
        <row r="3740">
          <cell r="D3740" t="str">
            <v>DD-J10B-94061-1061/1</v>
          </cell>
          <cell r="E3740" t="str">
            <v>法兰盘</v>
          </cell>
        </row>
        <row r="3741">
          <cell r="D3741" t="str">
            <v>DD-J10B-94061-1061/2</v>
          </cell>
          <cell r="E3741" t="str">
            <v>法兰盘</v>
          </cell>
        </row>
        <row r="3742">
          <cell r="D3742" t="str">
            <v>DD-J10B-61011-1210G2-3G2</v>
          </cell>
        </row>
        <row r="3743">
          <cell r="D3743" t="str">
            <v>DD-J10B-94076-620-4</v>
          </cell>
          <cell r="E3743" t="str">
            <v>衬套</v>
          </cell>
        </row>
        <row r="3744">
          <cell r="D3744" t="str">
            <v>DD-J10B-68095-1200-3</v>
          </cell>
        </row>
        <row r="3745">
          <cell r="D3745" t="str">
            <v>DD-J10B-68095-1200-3</v>
          </cell>
        </row>
        <row r="3746">
          <cell r="D3746" t="str">
            <v>DD-J10-55051-1311</v>
          </cell>
          <cell r="E3746" t="str">
            <v>连接件</v>
          </cell>
        </row>
        <row r="3747">
          <cell r="D3747" t="str">
            <v>DD-J10B-86041-1</v>
          </cell>
          <cell r="E3747" t="str">
            <v>齿纹垫圈</v>
          </cell>
        </row>
        <row r="3748">
          <cell r="D3748" t="str">
            <v>DD-J10-94011-570-3</v>
          </cell>
          <cell r="E3748" t="str">
            <v>管子</v>
          </cell>
        </row>
        <row r="3749">
          <cell r="D3749" t="str">
            <v>DD-J10B-94076-620-1</v>
          </cell>
          <cell r="E3749" t="str">
            <v>管子</v>
          </cell>
        </row>
        <row r="3750">
          <cell r="D3750" t="str">
            <v>DD-J10B-94076-620-1</v>
          </cell>
          <cell r="E3750" t="str">
            <v>管子</v>
          </cell>
        </row>
        <row r="3751">
          <cell r="D3751" t="str">
            <v>DD-J10-54101-2822</v>
          </cell>
          <cell r="E3751" t="str">
            <v>钢套</v>
          </cell>
        </row>
        <row r="3752">
          <cell r="D3752" t="str">
            <v>DD-J10-54101-2805</v>
          </cell>
          <cell r="E3752" t="str">
            <v>滑轮</v>
          </cell>
        </row>
        <row r="3753">
          <cell r="D3753" t="str">
            <v>DD-J10-54101-2805</v>
          </cell>
          <cell r="E3753" t="str">
            <v>滑轮</v>
          </cell>
        </row>
        <row r="3754">
          <cell r="D3754" t="str">
            <v>DD-J10-55196-311</v>
          </cell>
          <cell r="E3754" t="str">
            <v>螺栓</v>
          </cell>
        </row>
        <row r="3755">
          <cell r="D3755" t="str">
            <v>DD-J10-55196-311</v>
          </cell>
          <cell r="E3755" t="str">
            <v>螺栓</v>
          </cell>
        </row>
        <row r="3756">
          <cell r="D3756" t="str">
            <v>DD-J10-41045-110-1-Z</v>
          </cell>
          <cell r="E3756" t="str">
            <v>套筒</v>
          </cell>
        </row>
        <row r="3757">
          <cell r="D3757" t="str">
            <v>DD-J10-41045-110-1-Z</v>
          </cell>
          <cell r="E3757" t="str">
            <v>套筒</v>
          </cell>
        </row>
        <row r="3758">
          <cell r="D3758" t="str">
            <v>DD-J10-41045-110-1-Z</v>
          </cell>
          <cell r="E3758" t="str">
            <v>套筒</v>
          </cell>
        </row>
        <row r="3759">
          <cell r="D3759" t="str">
            <v>DD-J10-55181-2540-2</v>
          </cell>
          <cell r="E3759" t="str">
            <v>小轴</v>
          </cell>
        </row>
        <row r="3760">
          <cell r="D3760" t="str">
            <v>DD-J10-41035-120-2</v>
          </cell>
          <cell r="E3760" t="str">
            <v>管子</v>
          </cell>
        </row>
        <row r="3761">
          <cell r="D3761" t="str">
            <v>DD-J10B-94061-520-2</v>
          </cell>
          <cell r="E3761" t="str">
            <v>衬套</v>
          </cell>
        </row>
        <row r="3762">
          <cell r="D3762" t="str">
            <v>DD-J10-55181-1112</v>
          </cell>
          <cell r="E3762" t="str">
            <v>螺栓</v>
          </cell>
        </row>
        <row r="3763">
          <cell r="D3763" t="str">
            <v>DD-J10-86021-4010-1</v>
          </cell>
          <cell r="E3763" t="str">
            <v>套筒</v>
          </cell>
        </row>
        <row r="3764">
          <cell r="D3764" t="str">
            <v>DD-J10B-42074-70-1</v>
          </cell>
          <cell r="E3764" t="str">
            <v>管子</v>
          </cell>
        </row>
        <row r="3765">
          <cell r="D3765" t="str">
            <v>DD-J10B-42074-70-1</v>
          </cell>
          <cell r="E3765" t="str">
            <v>管子</v>
          </cell>
        </row>
        <row r="3766">
          <cell r="D3766" t="str">
            <v>DD-J10-61001-722</v>
          </cell>
          <cell r="E3766" t="str">
            <v>螺栓</v>
          </cell>
        </row>
        <row r="3767">
          <cell r="D3767" t="str">
            <v>DD-J10-54101-2821</v>
          </cell>
          <cell r="E3767" t="str">
            <v>插销</v>
          </cell>
        </row>
        <row r="3768">
          <cell r="D3768" t="str">
            <v>DD-J10B-55165-1480-1</v>
          </cell>
          <cell r="E3768" t="str">
            <v>螺栓</v>
          </cell>
        </row>
        <row r="3769">
          <cell r="D3769" t="str">
            <v>DD-J10B-55165-1480-1</v>
          </cell>
          <cell r="E3769" t="str">
            <v>螺栓</v>
          </cell>
        </row>
        <row r="3770">
          <cell r="D3770" t="str">
            <v>DD-J10-61052-230-1</v>
          </cell>
          <cell r="E3770" t="str">
            <v>管子</v>
          </cell>
        </row>
        <row r="3771">
          <cell r="D3771" t="str">
            <v>DD-J10-96031-104</v>
          </cell>
          <cell r="E3771" t="str">
            <v>接管嘴</v>
          </cell>
        </row>
        <row r="3772">
          <cell r="D3772" t="str">
            <v>DD-J10-96031-104</v>
          </cell>
          <cell r="E3772" t="str">
            <v>接管嘴</v>
          </cell>
        </row>
        <row r="3773">
          <cell r="D3773" t="str">
            <v>DD-J10B-68095-1200-3</v>
          </cell>
          <cell r="E3773" t="str">
            <v>衬套</v>
          </cell>
        </row>
        <row r="3774">
          <cell r="D3774" t="str">
            <v>DD-J10-55181-2810-4</v>
          </cell>
          <cell r="E3774" t="str">
            <v>管</v>
          </cell>
        </row>
        <row r="3775">
          <cell r="D3775" t="str">
            <v>DD-J10B-94061-510-2</v>
          </cell>
          <cell r="E3775" t="str">
            <v>支撑管</v>
          </cell>
        </row>
        <row r="3776">
          <cell r="D3776" t="str">
            <v>DD-J10B-55141-2010-3</v>
          </cell>
          <cell r="E3776" t="str">
            <v>衬套</v>
          </cell>
        </row>
        <row r="3777">
          <cell r="D3777" t="str">
            <v>DD-J10-41153-210-1</v>
          </cell>
          <cell r="E3777" t="str">
            <v>管子</v>
          </cell>
        </row>
        <row r="3778">
          <cell r="D3778" t="str">
            <v>DD-J10-55051-6110-3</v>
          </cell>
          <cell r="E3778" t="str">
            <v>衬套</v>
          </cell>
        </row>
        <row r="3779">
          <cell r="D3779" t="str">
            <v>DD-J10-55165-1460-3</v>
          </cell>
          <cell r="E3779" t="str">
            <v>衬套</v>
          </cell>
        </row>
        <row r="3780">
          <cell r="D3780" t="str">
            <v>DD-J10-41123-1102</v>
          </cell>
          <cell r="E3780" t="str">
            <v>塞子</v>
          </cell>
        </row>
        <row r="3781">
          <cell r="D3781" t="str">
            <v>DD-J10-41123-1102</v>
          </cell>
          <cell r="E3781" t="str">
            <v>塞子</v>
          </cell>
        </row>
        <row r="3782">
          <cell r="D3782" t="str">
            <v>DD-J10-41045-130-1-Y</v>
          </cell>
          <cell r="E3782" t="str">
            <v>套筒</v>
          </cell>
        </row>
        <row r="3783">
          <cell r="D3783" t="str">
            <v>DD-J10-55181-2710-4</v>
          </cell>
          <cell r="E3783" t="str">
            <v>管</v>
          </cell>
        </row>
        <row r="3784">
          <cell r="D3784" t="str">
            <v>DD-J10-94011-570-5</v>
          </cell>
          <cell r="E3784" t="str">
            <v>衬套</v>
          </cell>
        </row>
        <row r="3785">
          <cell r="D3785" t="str">
            <v>DD-J10-55165-710-3</v>
          </cell>
          <cell r="E3785" t="str">
            <v>衬套</v>
          </cell>
        </row>
        <row r="3786">
          <cell r="D3786" t="str">
            <v>DD-J10B-42074-140-1</v>
          </cell>
          <cell r="E3786" t="str">
            <v>拉杆</v>
          </cell>
        </row>
        <row r="3787">
          <cell r="D3787" t="str">
            <v>DD-J10-86021-4020-1</v>
          </cell>
          <cell r="E3787" t="str">
            <v>套筒</v>
          </cell>
        </row>
        <row r="3788">
          <cell r="D3788" t="str">
            <v>DD-J10-55165-3110-1</v>
          </cell>
          <cell r="E3788" t="str">
            <v>衬套</v>
          </cell>
        </row>
        <row r="3789">
          <cell r="D3789" t="str">
            <v>DD-J10-55051-1220-3</v>
          </cell>
          <cell r="E3789" t="str">
            <v>支座管</v>
          </cell>
        </row>
        <row r="3790">
          <cell r="D3790" t="str">
            <v>DD-J10-55051-1220-3</v>
          </cell>
          <cell r="E3790" t="str">
            <v>支座管</v>
          </cell>
        </row>
        <row r="3791">
          <cell r="D3791" t="str">
            <v>DD-J10-55014-1400-2</v>
          </cell>
          <cell r="E3791" t="str">
            <v>堵片</v>
          </cell>
        </row>
        <row r="3792">
          <cell r="D3792" t="str">
            <v>DD-J10-86011-3100-3</v>
          </cell>
          <cell r="E3792" t="str">
            <v>凸台</v>
          </cell>
        </row>
        <row r="3793">
          <cell r="D3793" t="str">
            <v>DD-J10B-42074-50-1</v>
          </cell>
          <cell r="E3793" t="str">
            <v>管子</v>
          </cell>
        </row>
        <row r="3794">
          <cell r="D3794" t="str">
            <v>DD-J10B-42074-50-1</v>
          </cell>
          <cell r="E3794" t="str">
            <v>管子</v>
          </cell>
        </row>
        <row r="3795">
          <cell r="D3795" t="str">
            <v>DD-J10-41143-110-2</v>
          </cell>
          <cell r="E3795" t="str">
            <v>螺帽</v>
          </cell>
        </row>
        <row r="3796">
          <cell r="D3796" t="str">
            <v>DD-J10-41143-110-2</v>
          </cell>
          <cell r="E3796" t="str">
            <v>螺帽</v>
          </cell>
        </row>
        <row r="3797">
          <cell r="D3797" t="str">
            <v>DD-J10-54111-1200-1</v>
          </cell>
          <cell r="E3797" t="str">
            <v>衬套</v>
          </cell>
        </row>
        <row r="3798">
          <cell r="D3798" t="str">
            <v>DD-J10B-55015-4100-1</v>
          </cell>
          <cell r="E3798" t="str">
            <v>垫圈</v>
          </cell>
        </row>
        <row r="3799">
          <cell r="D3799" t="str">
            <v>DD-J10B-55015-4100-1</v>
          </cell>
          <cell r="E3799" t="str">
            <v>垫圈</v>
          </cell>
        </row>
        <row r="3800">
          <cell r="D3800" t="str">
            <v>DD-J10-41153-140-2</v>
          </cell>
          <cell r="E3800" t="str">
            <v>指针</v>
          </cell>
        </row>
        <row r="3801">
          <cell r="D3801" t="str">
            <v>DD-J10-54101-2803</v>
          </cell>
          <cell r="E3801" t="str">
            <v>止动器</v>
          </cell>
        </row>
        <row r="3802">
          <cell r="D3802" t="str">
            <v>DD-J10-41123-1111</v>
          </cell>
          <cell r="E3802" t="str">
            <v>销子</v>
          </cell>
        </row>
        <row r="3803">
          <cell r="D3803" t="str">
            <v>DD-J10-41123-1111</v>
          </cell>
          <cell r="E3803" t="str">
            <v>销子</v>
          </cell>
        </row>
        <row r="3804">
          <cell r="D3804" t="str">
            <v>DD-J10-41045-130-1-Z</v>
          </cell>
          <cell r="E3804" t="str">
            <v>套筒</v>
          </cell>
        </row>
        <row r="3805">
          <cell r="D3805" t="str">
            <v>LTCS-514060000-01L01</v>
          </cell>
          <cell r="E3805" t="str">
            <v>前起落架舱外部边条梁（左）</v>
          </cell>
        </row>
        <row r="3806">
          <cell r="D3806" t="str">
            <v>LTCS-514060000-01R01</v>
          </cell>
          <cell r="E3806" t="str">
            <v>前起落架舱外部边条梁（右）</v>
          </cell>
        </row>
        <row r="3807">
          <cell r="D3807" t="str">
            <v>GU5716000-001L001</v>
          </cell>
          <cell r="E3807" t="str">
            <v>后舱根肋</v>
          </cell>
        </row>
        <row r="3808">
          <cell r="D3808" t="str">
            <v>GU5714000-007L001</v>
          </cell>
          <cell r="E3808" t="str">
            <v>7600肋</v>
          </cell>
        </row>
        <row r="3809">
          <cell r="D3809" t="str">
            <v>GU5715030-003R001</v>
          </cell>
          <cell r="E3809" t="str">
            <v>前缘20号肋</v>
          </cell>
        </row>
        <row r="3810">
          <cell r="D3810" t="str">
            <v>GU5715030-003R001</v>
          </cell>
          <cell r="E3810" t="str">
            <v>前缘20号肋</v>
          </cell>
        </row>
        <row r="3811">
          <cell r="D3811" t="str">
            <v>GU5716000-012L001</v>
          </cell>
          <cell r="E3811" t="str">
            <v>副翼2号挂点接头</v>
          </cell>
        </row>
        <row r="3812">
          <cell r="D3812" t="str">
            <v>GU5716000-012R001</v>
          </cell>
          <cell r="E3812" t="str">
            <v>副翼2号挂点接头</v>
          </cell>
        </row>
        <row r="3813">
          <cell r="D3813" t="str">
            <v>GU5716000-012R001</v>
          </cell>
          <cell r="E3813" t="str">
            <v>副翼2号挂点接头</v>
          </cell>
        </row>
        <row r="3814">
          <cell r="D3814" t="str">
            <v>BC2283115-003-001</v>
          </cell>
          <cell r="E3814" t="str">
            <v>支架</v>
          </cell>
        </row>
        <row r="3815">
          <cell r="D3815" t="str">
            <v>BC2283115-004-001</v>
          </cell>
          <cell r="E3815" t="str">
            <v>支架</v>
          </cell>
        </row>
        <row r="3816">
          <cell r="D3816" t="str">
            <v>BC2299175-001-002</v>
          </cell>
          <cell r="E3816" t="str">
            <v>支架</v>
          </cell>
        </row>
        <row r="3817">
          <cell r="D3817" t="str">
            <v>BC5315208-005-001</v>
          </cell>
          <cell r="E3817" t="str">
            <v>5458左内下框段</v>
          </cell>
        </row>
        <row r="3818">
          <cell r="D3818" t="str">
            <v>BC5315208-006-001</v>
          </cell>
          <cell r="E3818" t="str">
            <v>5458右内下框段</v>
          </cell>
        </row>
        <row r="3819">
          <cell r="D3819" t="str">
            <v>BC5314404-002-001</v>
          </cell>
          <cell r="E3819" t="str">
            <v>4650右框</v>
          </cell>
        </row>
        <row r="3820">
          <cell r="D3820" t="str">
            <v>BC5314402-001-001</v>
          </cell>
          <cell r="E3820" t="str">
            <v>4290左框</v>
          </cell>
        </row>
        <row r="3821">
          <cell r="D3821" t="str">
            <v>BC5314402-002-001</v>
          </cell>
          <cell r="E3821" t="str">
            <v>4290右框</v>
          </cell>
        </row>
        <row r="3822">
          <cell r="D3822" t="str">
            <v>BC2291460-001-001</v>
          </cell>
          <cell r="E3822" t="str">
            <v>供压吸油软管接头支架</v>
          </cell>
        </row>
        <row r="3823">
          <cell r="D3823" t="str">
            <v>BC2291222-001-001</v>
          </cell>
          <cell r="E3823" t="str">
            <v>应急泵供压油滤支架</v>
          </cell>
        </row>
        <row r="3824">
          <cell r="D3824" t="str">
            <v>BC5323100-014R001</v>
          </cell>
          <cell r="E3824" t="str">
            <v>连接角片</v>
          </cell>
        </row>
        <row r="3825">
          <cell r="D3825" t="str">
            <v>BC5323100-014L001</v>
          </cell>
          <cell r="E3825" t="str">
            <v>连接角片</v>
          </cell>
        </row>
        <row r="3826">
          <cell r="D3826" t="str">
            <v>BC3012310-001-001</v>
          </cell>
          <cell r="E3826" t="str">
            <v>前右斜操纵台</v>
          </cell>
        </row>
        <row r="3827">
          <cell r="D3827" t="str">
            <v>BC3012210-001-001</v>
          </cell>
          <cell r="E3827" t="str">
            <v>前左斜操纵台</v>
          </cell>
        </row>
        <row r="3828">
          <cell r="D3828" t="str">
            <v>BC3012510-001-001</v>
          </cell>
          <cell r="E3828" t="str">
            <v>后左斜操纵台</v>
          </cell>
        </row>
        <row r="3829">
          <cell r="D3829" t="str">
            <v>BC2291182-002-001</v>
          </cell>
          <cell r="E3829" t="str">
            <v>系统1高压油滤卡箍</v>
          </cell>
        </row>
        <row r="3830">
          <cell r="D3830" t="str">
            <v>BC2284103-004-001</v>
          </cell>
          <cell r="E3830" t="str">
            <v>角片</v>
          </cell>
        </row>
        <row r="3831">
          <cell r="D3831" t="str">
            <v>BC2291222-002-001</v>
          </cell>
          <cell r="E3831" t="str">
            <v>应急泵供压油滤卡箍</v>
          </cell>
        </row>
        <row r="3832">
          <cell r="D3832" t="str">
            <v>BC5314103-004-001</v>
          </cell>
          <cell r="E3832" t="str">
            <v>型材</v>
          </cell>
        </row>
        <row r="3833">
          <cell r="D3833" t="str">
            <v>BC2291210-002-001</v>
          </cell>
          <cell r="E3833" t="str">
            <v>循环油滤卡箍</v>
          </cell>
        </row>
        <row r="3834">
          <cell r="D3834" t="str">
            <v>BC2291193-002-001</v>
          </cell>
          <cell r="E3834" t="str">
            <v>回油油滤卡箍</v>
          </cell>
        </row>
        <row r="3835">
          <cell r="D3835" t="str">
            <v>BC2291193-002-001</v>
          </cell>
          <cell r="E3835" t="str">
            <v>回油油滤卡箍</v>
          </cell>
        </row>
        <row r="3836">
          <cell r="D3836" t="str">
            <v>DD-J10-62021-40-1</v>
          </cell>
          <cell r="E3836" t="str">
            <v>短管</v>
          </cell>
        </row>
        <row r="3837">
          <cell r="D3837" t="str">
            <v>DD-J10-62021-40-1</v>
          </cell>
          <cell r="E3837" t="str">
            <v>短管</v>
          </cell>
        </row>
        <row r="3838">
          <cell r="D3838" t="str">
            <v>W12J1-000-01</v>
          </cell>
          <cell r="E3838" t="str">
            <v>XXX离心夹具</v>
          </cell>
        </row>
        <row r="3839">
          <cell r="D3839" t="str">
            <v>W12J1 XXX-000-01</v>
          </cell>
          <cell r="E3839" t="str">
            <v>XXX数据采发器振动夹具</v>
          </cell>
        </row>
        <row r="3840">
          <cell r="D3840" t="str">
            <v>XXX-3130000-01</v>
          </cell>
          <cell r="E3840" t="str">
            <v>底座</v>
          </cell>
        </row>
        <row r="3841">
          <cell r="D3841" t="str">
            <v>XXX-3130000-03</v>
          </cell>
          <cell r="E3841" t="str">
            <v>压线卡</v>
          </cell>
        </row>
        <row r="3842">
          <cell r="D3842" t="str">
            <v>XXX-3130000-02</v>
          </cell>
          <cell r="E3842" t="str">
            <v>外罩</v>
          </cell>
        </row>
        <row r="3843">
          <cell r="D3843" t="str">
            <v>XXX-3130000-04</v>
          </cell>
          <cell r="E3843" t="str">
            <v>导电片框</v>
          </cell>
        </row>
        <row r="3844">
          <cell r="D3844" t="str">
            <v>XXX-3130000-10</v>
          </cell>
          <cell r="E3844" t="str">
            <v>插座架</v>
          </cell>
        </row>
        <row r="3845">
          <cell r="D3845" t="str">
            <v>XXX-3131000-01</v>
          </cell>
          <cell r="E3845" t="str">
            <v>衬片</v>
          </cell>
        </row>
        <row r="3846">
          <cell r="D3846" t="str">
            <v>XXX-3133000-01</v>
          </cell>
          <cell r="E3846" t="str">
            <v>右电刷转轴</v>
          </cell>
        </row>
        <row r="3847">
          <cell r="D3847" t="str">
            <v>XXX-3134000-01</v>
          </cell>
          <cell r="E3847" t="str">
            <v>左电刷转轴</v>
          </cell>
        </row>
        <row r="3848">
          <cell r="D3848" t="str">
            <v>XXX-3135000-02</v>
          </cell>
          <cell r="E3848" t="str">
            <v>电刷架</v>
          </cell>
        </row>
        <row r="3849">
          <cell r="D3849" t="str">
            <v>XXX-3135000-03</v>
          </cell>
          <cell r="E3849" t="str">
            <v>绝缘板</v>
          </cell>
        </row>
        <row r="3850">
          <cell r="D3850" t="str">
            <v>DD-J10-41173-104</v>
          </cell>
          <cell r="E3850" t="str">
            <v>盖子</v>
          </cell>
        </row>
        <row r="3851">
          <cell r="D3851" t="str">
            <v>GU5712200-003R001</v>
          </cell>
          <cell r="E3851" t="str">
            <v>下蒙皮放油口盖</v>
          </cell>
        </row>
        <row r="3852">
          <cell r="D3852" t="str">
            <v>GU5712200-003R001</v>
          </cell>
          <cell r="E3852" t="str">
            <v>下蒙皮放油口盖</v>
          </cell>
        </row>
        <row r="3853">
          <cell r="D3853" t="str">
            <v>GU5712200-003R001</v>
          </cell>
          <cell r="E3853" t="str">
            <v>下蒙皮放油口盖</v>
          </cell>
        </row>
        <row r="3854">
          <cell r="D3854" t="str">
            <v>GU5712200-003L001</v>
          </cell>
          <cell r="E3854" t="str">
            <v>下蒙皮放油口盖</v>
          </cell>
        </row>
        <row r="3855">
          <cell r="D3855" t="str">
            <v>GU5712200-003L001</v>
          </cell>
          <cell r="E3855" t="str">
            <v>下蒙皮放油口盖</v>
          </cell>
        </row>
        <row r="3856">
          <cell r="D3856" t="str">
            <v>GU5712200-003L001</v>
          </cell>
          <cell r="E3856" t="str">
            <v>下蒙皮放油口盖</v>
          </cell>
        </row>
        <row r="3857">
          <cell r="D3857" t="str">
            <v>GU5333100-003L001</v>
          </cell>
          <cell r="E3857" t="str">
            <v>左上大梁</v>
          </cell>
        </row>
        <row r="3858">
          <cell r="D3858" t="str">
            <v>BC2291210-001-001</v>
          </cell>
          <cell r="E3858" t="str">
            <v>循环油滤支架</v>
          </cell>
        </row>
        <row r="3859">
          <cell r="D3859" t="str">
            <v>BC2292212-001-002</v>
          </cell>
          <cell r="E3859" t="str">
            <v>循环油滤支架</v>
          </cell>
        </row>
        <row r="3860">
          <cell r="D3860" t="str">
            <v>BC3012410-002-001</v>
          </cell>
          <cell r="E3860" t="str">
            <v>显示器托架</v>
          </cell>
        </row>
        <row r="3861">
          <cell r="D3861" t="str">
            <v>BC3012110-006-001</v>
          </cell>
          <cell r="E3861" t="str">
            <v>显示器托架</v>
          </cell>
        </row>
        <row r="3862">
          <cell r="D3862" t="str">
            <v>BC3012410-003-001</v>
          </cell>
          <cell r="E3862" t="str">
            <v>视频显示器托架</v>
          </cell>
        </row>
        <row r="3863">
          <cell r="D3863" t="str">
            <v>BC5311400-004L001</v>
          </cell>
          <cell r="E3863" t="str">
            <v>角片</v>
          </cell>
        </row>
        <row r="3864">
          <cell r="D3864" t="str">
            <v>BC5311400-004R001</v>
          </cell>
          <cell r="E3864" t="str">
            <v>角片</v>
          </cell>
        </row>
        <row r="3865">
          <cell r="D3865" t="str">
            <v>BC3012610-001-001</v>
          </cell>
          <cell r="E3865" t="str">
            <v>后右斜操纵台</v>
          </cell>
        </row>
        <row r="3866">
          <cell r="D3866" t="str">
            <v>BC2291172-001-001</v>
          </cell>
          <cell r="E3866" t="str">
            <v>散热器支架1</v>
          </cell>
        </row>
        <row r="3867">
          <cell r="D3867" t="str">
            <v>BC23502BN-001-001</v>
          </cell>
          <cell r="E3867" t="str">
            <v>支架</v>
          </cell>
        </row>
        <row r="3868">
          <cell r="D3868" t="str">
            <v>BC2282230-001-001</v>
          </cell>
          <cell r="E3868" t="str">
            <v>接头</v>
          </cell>
        </row>
        <row r="3869">
          <cell r="D3869" t="str">
            <v>BC3101242-002R001</v>
          </cell>
          <cell r="E3869" t="str">
            <v>耳座</v>
          </cell>
        </row>
        <row r="3870">
          <cell r="D3870" t="str">
            <v>BC228263E-004-001</v>
          </cell>
          <cell r="E3870" t="str">
            <v>法兰</v>
          </cell>
        </row>
        <row r="3871">
          <cell r="D3871" t="str">
            <v>BC221T2MF-002-001</v>
          </cell>
          <cell r="E3871" t="str">
            <v>传感器底座</v>
          </cell>
        </row>
        <row r="3872">
          <cell r="D3872" t="str">
            <v>DD-J10-86021-6000-2</v>
          </cell>
          <cell r="E3872" t="str">
            <v>垫块</v>
          </cell>
        </row>
        <row r="3873">
          <cell r="D3873" t="str">
            <v>DD-J10-86021-5000-3</v>
          </cell>
          <cell r="E3873" t="str">
            <v>垫块</v>
          </cell>
        </row>
        <row r="3874">
          <cell r="D3874" t="str">
            <v>DD-J10-86021-5000-3</v>
          </cell>
          <cell r="E3874" t="str">
            <v>垫块</v>
          </cell>
        </row>
        <row r="3875">
          <cell r="D3875" t="str">
            <v>DD-J10B-94076-2031/2</v>
          </cell>
          <cell r="E3875" t="str">
            <v>接管嘴</v>
          </cell>
        </row>
        <row r="3876">
          <cell r="D3876" t="str">
            <v>DD-J10B-94076-2031/1</v>
          </cell>
          <cell r="E3876" t="str">
            <v>接管嘴</v>
          </cell>
        </row>
        <row r="3877">
          <cell r="D3877" t="str">
            <v>DD-J10B-94061-1061/3</v>
          </cell>
          <cell r="E3877" t="str">
            <v>法兰盘</v>
          </cell>
        </row>
        <row r="3878">
          <cell r="D3878" t="str">
            <v>DD-J10B-94061-1061/3</v>
          </cell>
          <cell r="E3878" t="str">
            <v>法兰盘</v>
          </cell>
        </row>
        <row r="3879">
          <cell r="D3879" t="str">
            <v>DD-J10B-94076-2031/3</v>
          </cell>
          <cell r="E3879" t="str">
            <v>接管嘴</v>
          </cell>
        </row>
        <row r="3880">
          <cell r="D3880" t="str">
            <v>DD-J10B-94076-2031/3</v>
          </cell>
          <cell r="E3880" t="str">
            <v>接管嘴</v>
          </cell>
        </row>
        <row r="3881">
          <cell r="D3881" t="str">
            <v>DD-J10B-94076-2031/3</v>
          </cell>
          <cell r="E3881" t="str">
            <v>接管嘴</v>
          </cell>
        </row>
        <row r="3882">
          <cell r="D3882" t="str">
            <v>DD-J10B-94076-2051</v>
          </cell>
          <cell r="E3882" t="str">
            <v>外套螺母</v>
          </cell>
        </row>
        <row r="3883">
          <cell r="D3883" t="str">
            <v>DD-J10B-94076-2051</v>
          </cell>
          <cell r="E3883" t="str">
            <v>外套螺母</v>
          </cell>
        </row>
        <row r="3884">
          <cell r="D3884" t="str">
            <v>DD-J10-63002-3210-5</v>
          </cell>
          <cell r="E3884" t="str">
            <v>底环</v>
          </cell>
        </row>
        <row r="3885">
          <cell r="D3885" t="str">
            <v>DD-J10B-86031-404</v>
          </cell>
          <cell r="E3885" t="str">
            <v>导向件</v>
          </cell>
        </row>
        <row r="3886">
          <cell r="D3886" t="str">
            <v>DD-J10B-86031-404</v>
          </cell>
          <cell r="E3886" t="str">
            <v>导向件</v>
          </cell>
        </row>
        <row r="3887">
          <cell r="D3887" t="str">
            <v>DD-J10B-41123-20-1</v>
          </cell>
        </row>
        <row r="3888">
          <cell r="D3888" t="str">
            <v>DD-J10-86011-3103</v>
          </cell>
        </row>
        <row r="3889">
          <cell r="D3889" t="str">
            <v>DD-J10-64031-1221</v>
          </cell>
          <cell r="E3889" t="str">
            <v>耳片</v>
          </cell>
        </row>
        <row r="3890">
          <cell r="D3890" t="str">
            <v>DD-J10-64031-1221</v>
          </cell>
          <cell r="E3890" t="str">
            <v>耳片</v>
          </cell>
        </row>
        <row r="3891">
          <cell r="D3891" t="str">
            <v>DD-J10-64031-1221</v>
          </cell>
          <cell r="E3891" t="str">
            <v>耳片</v>
          </cell>
        </row>
        <row r="3892">
          <cell r="D3892" t="str">
            <v>DD-J10B-41163-30-3</v>
          </cell>
        </row>
        <row r="3893">
          <cell r="D3893" t="str">
            <v>DD-J10-96011-802</v>
          </cell>
          <cell r="E3893" t="str">
            <v>垫片</v>
          </cell>
        </row>
        <row r="3894">
          <cell r="D3894" t="str">
            <v>DD-J10-86021-5000-1</v>
          </cell>
          <cell r="E3894" t="str">
            <v>斜垫块</v>
          </cell>
        </row>
        <row r="3895">
          <cell r="D3895" t="str">
            <v>DD-J10-86021-5000-1</v>
          </cell>
          <cell r="E3895" t="str">
            <v>斜垫块</v>
          </cell>
        </row>
        <row r="3896">
          <cell r="D3896" t="str">
            <v>DD-J10-61031-804</v>
          </cell>
          <cell r="E3896" t="str">
            <v>支臂</v>
          </cell>
        </row>
        <row r="3897">
          <cell r="D3897" t="str">
            <v>LTCS-515030000-04N01</v>
          </cell>
          <cell r="E3897" t="str">
            <v>2430横梁</v>
          </cell>
        </row>
        <row r="3898">
          <cell r="D3898" t="str">
            <v>LTCS-514020000-01R01</v>
          </cell>
          <cell r="E3898" t="str">
            <v>横向隔板（右）</v>
          </cell>
        </row>
        <row r="3899">
          <cell r="D3899" t="str">
            <v>LTCS-514020000-01L01</v>
          </cell>
          <cell r="E3899" t="str">
            <v>横向隔板（左）</v>
          </cell>
        </row>
        <row r="3900">
          <cell r="D3900" t="str">
            <v>BC2291193-001-001</v>
          </cell>
          <cell r="E3900" t="str">
            <v>回油油滤支架</v>
          </cell>
        </row>
        <row r="3901">
          <cell r="D3901" t="str">
            <v>BC2292191-001-001</v>
          </cell>
          <cell r="E3901" t="str">
            <v>回油油滤支架</v>
          </cell>
        </row>
        <row r="3902">
          <cell r="D3902" t="str">
            <v>BC5824000-031R002</v>
          </cell>
          <cell r="E3902" t="str">
            <v>支柱护板上耳片框</v>
          </cell>
        </row>
        <row r="3903">
          <cell r="D3903" t="str">
            <v>BC2292172-001-002</v>
          </cell>
          <cell r="E3903" t="str">
            <v>散热器支架2</v>
          </cell>
        </row>
        <row r="3904">
          <cell r="D3904" t="str">
            <v>BC2291182-001-001</v>
          </cell>
          <cell r="E3904" t="str">
            <v>系统1高压油滤支架</v>
          </cell>
        </row>
        <row r="3905">
          <cell r="D3905" t="str">
            <v>BC228263E-004-001</v>
          </cell>
          <cell r="E3905" t="str">
            <v>法兰</v>
          </cell>
        </row>
        <row r="3906">
          <cell r="D3906" t="str">
            <v>BC2282608-003-001</v>
          </cell>
          <cell r="E3906" t="str">
            <v>角片</v>
          </cell>
        </row>
        <row r="3907">
          <cell r="D3907" t="str">
            <v>BC2291222-002-001</v>
          </cell>
          <cell r="E3907" t="str">
            <v>应急泵供压油滤卡箍</v>
          </cell>
        </row>
        <row r="3908">
          <cell r="D3908" t="str">
            <v>BC2291210-002-001</v>
          </cell>
          <cell r="E3908" t="str">
            <v>循环油滤卡箍</v>
          </cell>
        </row>
        <row r="3909">
          <cell r="D3909" t="str">
            <v>BC2292180-001-001</v>
          </cell>
          <cell r="E3909" t="str">
            <v>安装板</v>
          </cell>
        </row>
        <row r="3910">
          <cell r="D3910" t="str">
            <v>DD-J10B-21302-40G2-1-Z</v>
          </cell>
          <cell r="E3910" t="str">
            <v>后梁四段</v>
          </cell>
        </row>
        <row r="3911">
          <cell r="D3911" t="str">
            <v>DD-J10-91001-1</v>
          </cell>
          <cell r="E3911" t="str">
            <v>支座</v>
          </cell>
        </row>
        <row r="3912">
          <cell r="D3912" t="str">
            <v>DD-J10-91001-1</v>
          </cell>
          <cell r="E3912" t="str">
            <v>支座</v>
          </cell>
        </row>
        <row r="3913">
          <cell r="D3913" t="str">
            <v>DD-J10B-73010-310G2-1</v>
          </cell>
          <cell r="E3913" t="str">
            <v>过渡板</v>
          </cell>
        </row>
        <row r="3914">
          <cell r="D3914" t="str">
            <v>DD-J10B-73010-310G2-1</v>
          </cell>
          <cell r="E3914" t="str">
            <v>过渡板</v>
          </cell>
        </row>
        <row r="3915">
          <cell r="D3915" t="str">
            <v>CB22924J0-001-001</v>
          </cell>
          <cell r="E3915" t="str">
            <v>角片</v>
          </cell>
        </row>
        <row r="3916">
          <cell r="D3916" t="str">
            <v>CB22924J0-002-005</v>
          </cell>
          <cell r="E3916" t="str">
            <v>角片</v>
          </cell>
        </row>
        <row r="3917">
          <cell r="D3917" t="str">
            <v>CB22924J0-002-005</v>
          </cell>
          <cell r="E3917" t="str">
            <v>角片</v>
          </cell>
        </row>
        <row r="3918">
          <cell r="D3918" t="str">
            <v>CB22924K0-001-005</v>
          </cell>
          <cell r="E3918" t="str">
            <v>角片</v>
          </cell>
        </row>
        <row r="3919">
          <cell r="D3919" t="str">
            <v>CB22924K0-001-005</v>
          </cell>
          <cell r="E3919" t="str">
            <v>角片</v>
          </cell>
        </row>
        <row r="3920">
          <cell r="D3920" t="str">
            <v>GU5322300-010L001</v>
          </cell>
          <cell r="E3920" t="str">
            <v>6380-7250左侧上梁</v>
          </cell>
        </row>
        <row r="3921">
          <cell r="D3921" t="str">
            <v>GU5322300-010L001</v>
          </cell>
          <cell r="E3921" t="str">
            <v>6380-7250左侧上梁</v>
          </cell>
        </row>
        <row r="3922">
          <cell r="D3922" t="str">
            <v>GU5322300-010R001</v>
          </cell>
          <cell r="E3922" t="str">
            <v>6380-7250右侧上梁</v>
          </cell>
        </row>
        <row r="3923">
          <cell r="D3923" t="str">
            <v>GU5714000-004L001</v>
          </cell>
          <cell r="E3923" t="str">
            <v>3500肋</v>
          </cell>
        </row>
        <row r="3924">
          <cell r="D3924" t="str">
            <v>GU5714000-006R001</v>
          </cell>
          <cell r="E3924" t="str">
            <v>5500肋</v>
          </cell>
        </row>
        <row r="3925">
          <cell r="D3925" t="str">
            <v>GU5714000-006L001</v>
          </cell>
          <cell r="E3925" t="str">
            <v>5500肋</v>
          </cell>
        </row>
        <row r="3926">
          <cell r="D3926" t="str">
            <v>GU5714000-007R001</v>
          </cell>
          <cell r="E3926" t="str">
            <v>7600肋</v>
          </cell>
        </row>
        <row r="3927">
          <cell r="D3927" t="str">
            <v>GU5714000-008R001</v>
          </cell>
          <cell r="E3927" t="str">
            <v>8800肋</v>
          </cell>
        </row>
        <row r="3928">
          <cell r="D3928" t="str">
            <v>GU5714000-008L001</v>
          </cell>
          <cell r="E3928" t="str">
            <v>8800肋</v>
          </cell>
        </row>
        <row r="3929">
          <cell r="D3929" t="str">
            <v>GU5716000-001R001</v>
          </cell>
          <cell r="E3929" t="str">
            <v>后舱根肋</v>
          </cell>
        </row>
        <row r="3930">
          <cell r="D3930" t="str">
            <v>GU5715010-001L001</v>
          </cell>
          <cell r="E3930" t="str">
            <v>前缘根肋</v>
          </cell>
        </row>
        <row r="3931">
          <cell r="D3931" t="str">
            <v>GU5715010-001R001</v>
          </cell>
          <cell r="E3931" t="str">
            <v>前缘根肋</v>
          </cell>
        </row>
        <row r="3932">
          <cell r="D3932" t="str">
            <v>GU5715010-002L001</v>
          </cell>
          <cell r="E3932" t="str">
            <v>前缘1肋</v>
          </cell>
        </row>
        <row r="3933">
          <cell r="D3933" t="str">
            <v>GU5715010-002R001</v>
          </cell>
          <cell r="E3933" t="str">
            <v>前缘1肋</v>
          </cell>
        </row>
        <row r="3934">
          <cell r="D3934" t="str">
            <v>GU5715010-006L001</v>
          </cell>
          <cell r="E3934" t="str">
            <v>前缘5肋</v>
          </cell>
        </row>
        <row r="3935">
          <cell r="D3935" t="str">
            <v>GU5715010-006R001</v>
          </cell>
          <cell r="E3935" t="str">
            <v>前缘5肋</v>
          </cell>
        </row>
        <row r="3936">
          <cell r="D3936" t="str">
            <v>GU5714000-011L001</v>
          </cell>
          <cell r="E3936" t="str">
            <v>8800肋角片</v>
          </cell>
        </row>
        <row r="3937">
          <cell r="D3937" t="str">
            <v>GU5714000-011R001</v>
          </cell>
          <cell r="E3937" t="str">
            <v>8800肋角片</v>
          </cell>
        </row>
        <row r="3938">
          <cell r="D3938" t="str">
            <v>GU5714000-012R001</v>
          </cell>
          <cell r="E3938" t="str">
            <v>7600肋角片</v>
          </cell>
        </row>
        <row r="3939">
          <cell r="D3939" t="str">
            <v>GU5714000-012L001</v>
          </cell>
          <cell r="E3939" t="str">
            <v>7600肋角片</v>
          </cell>
        </row>
        <row r="3940">
          <cell r="D3940" t="str">
            <v>GU5715010-013R001</v>
          </cell>
          <cell r="E3940" t="str">
            <v>前缘11肋</v>
          </cell>
        </row>
        <row r="3941">
          <cell r="D3941" t="str">
            <v>GU5715010-013L001</v>
          </cell>
          <cell r="E3941" t="str">
            <v>前缘11肋</v>
          </cell>
        </row>
        <row r="3942">
          <cell r="D3942" t="str">
            <v>GU5715010-021R001</v>
          </cell>
          <cell r="E3942" t="str">
            <v>前缘上带板</v>
          </cell>
        </row>
        <row r="3943">
          <cell r="D3943" t="str">
            <v>GU5715010-021L001</v>
          </cell>
          <cell r="E3943" t="str">
            <v>前缘上带板</v>
          </cell>
        </row>
        <row r="3944">
          <cell r="D3944" t="str">
            <v>GU5715010-022R001</v>
          </cell>
          <cell r="E3944" t="str">
            <v>前缘下带板</v>
          </cell>
        </row>
        <row r="3945">
          <cell r="D3945" t="str">
            <v>GU5715010-022L001</v>
          </cell>
          <cell r="E3945" t="str">
            <v>前缘下带板</v>
          </cell>
        </row>
        <row r="3946">
          <cell r="D3946" t="str">
            <v>GU5336111-021L001</v>
          </cell>
          <cell r="E3946" t="str">
            <v>第二长桁左Ⅰ</v>
          </cell>
        </row>
        <row r="3947">
          <cell r="D3947" t="str">
            <v>DD-J10-05216-32</v>
          </cell>
          <cell r="E3947" t="str">
            <v>转接头</v>
          </cell>
        </row>
        <row r="3948">
          <cell r="D3948" t="str">
            <v>DD-J10B-02161-501</v>
          </cell>
          <cell r="E3948" t="str">
            <v>5755横框</v>
          </cell>
        </row>
        <row r="3949">
          <cell r="D3949" t="str">
            <v>DD-J10B-02161-501</v>
          </cell>
          <cell r="E3949" t="str">
            <v>5755横框</v>
          </cell>
        </row>
        <row r="3950">
          <cell r="D3950" t="str">
            <v>DD-J10B-02161-501</v>
          </cell>
          <cell r="E3950" t="str">
            <v>5755横框</v>
          </cell>
        </row>
        <row r="3951">
          <cell r="D3951" t="str">
            <v>DD-J10-21102-250-1-Z</v>
          </cell>
          <cell r="E3951" t="str">
            <v>11900梁一段（左件）</v>
          </cell>
        </row>
        <row r="3952">
          <cell r="D3952" t="str">
            <v>DD-J10-21102-250-1-Z</v>
          </cell>
          <cell r="E3952" t="str">
            <v>11900梁一段（左件）</v>
          </cell>
        </row>
        <row r="3953">
          <cell r="D3953" t="str">
            <v>DD-J10-21102-250-1-Z</v>
          </cell>
          <cell r="E3953" t="str">
            <v>11900梁一段（左件）</v>
          </cell>
        </row>
        <row r="3954">
          <cell r="D3954" t="str">
            <v>DD-J10-21102-250-1-Z</v>
          </cell>
          <cell r="E3954" t="str">
            <v>11900梁一段（左件）</v>
          </cell>
        </row>
        <row r="3955">
          <cell r="D3955" t="str">
            <v>DD-J10-21102-250-1-Y</v>
          </cell>
          <cell r="E3955" t="str">
            <v>11900梁一段（右件）</v>
          </cell>
        </row>
        <row r="3956">
          <cell r="D3956" t="str">
            <v>DD-J10-21102-250-1-Y</v>
          </cell>
          <cell r="E3956" t="str">
            <v>11900梁一段（右件）</v>
          </cell>
        </row>
        <row r="3957">
          <cell r="D3957" t="str">
            <v>DD-J10-21102-250-1-Y</v>
          </cell>
          <cell r="E3957" t="str">
            <v>11900梁一段（右件）</v>
          </cell>
        </row>
        <row r="3958">
          <cell r="D3958" t="str">
            <v>DD-J10-21102-250-1-Y</v>
          </cell>
          <cell r="E3958" t="str">
            <v>11900梁一段（右件）</v>
          </cell>
        </row>
        <row r="3959">
          <cell r="D3959" t="str">
            <v>DD-J10B-21402-90G2-1G2-Y</v>
          </cell>
          <cell r="E3959" t="str">
            <v>固定前缘端肋（右件）</v>
          </cell>
        </row>
        <row r="3960">
          <cell r="D3960" t="str">
            <v>DD-J10B-21402-90G2-1G2-Y</v>
          </cell>
          <cell r="E3960" t="str">
            <v>固定前缘端肋（右件）</v>
          </cell>
        </row>
        <row r="3961">
          <cell r="D3961" t="str">
            <v>DD-J10B-21402-90G2-1G2-Y</v>
          </cell>
          <cell r="E3961" t="str">
            <v>固定前缘端肋（右件）</v>
          </cell>
        </row>
        <row r="3962">
          <cell r="D3962" t="str">
            <v>DD-J10B-21402-90G2-1G2-Z</v>
          </cell>
          <cell r="E3962" t="str">
            <v>固定前缘端肋（左件）</v>
          </cell>
        </row>
        <row r="3963">
          <cell r="D3963" t="str">
            <v>DD-J10B-21402-90G2-1G2-Z</v>
          </cell>
          <cell r="E3963" t="str">
            <v>固定前缘端肋（左件）</v>
          </cell>
        </row>
        <row r="3964">
          <cell r="D3964" t="str">
            <v>DD-J10B-21402-90G2-1G2-Z</v>
          </cell>
          <cell r="E3964" t="str">
            <v>固定前缘端肋（左件）</v>
          </cell>
        </row>
        <row r="3965">
          <cell r="D3965" t="str">
            <v>DD-J10B-21402-10G2-1G2-Y</v>
          </cell>
          <cell r="E3965" t="str">
            <v>固定前缘边肋（右件）</v>
          </cell>
        </row>
        <row r="3966">
          <cell r="D3966" t="str">
            <v>DD-J10B-21402-10G2-1G2-Y</v>
          </cell>
          <cell r="E3966" t="str">
            <v>固定前缘边肋（右件）</v>
          </cell>
        </row>
        <row r="3967">
          <cell r="D3967" t="str">
            <v>DD-J10B-21402-10G2-1G2-Y</v>
          </cell>
          <cell r="E3967" t="str">
            <v>固定前缘边肋（右件）</v>
          </cell>
        </row>
        <row r="3968">
          <cell r="D3968" t="str">
            <v>DD-J10B-21402-10G2-1G2-Z</v>
          </cell>
          <cell r="E3968" t="str">
            <v>固定前缘边肋（左件）</v>
          </cell>
        </row>
        <row r="3969">
          <cell r="D3969" t="str">
            <v>DD-J10B-21402-10G2-1G2-Z</v>
          </cell>
          <cell r="E3969" t="str">
            <v>固定前缘边肋（左件）</v>
          </cell>
        </row>
        <row r="3970">
          <cell r="D3970" t="str">
            <v>DD-J10B-21402-10G2-1G2-Z</v>
          </cell>
          <cell r="E3970" t="str">
            <v>固定前缘边肋（左件）</v>
          </cell>
        </row>
        <row r="3971">
          <cell r="D3971" t="str">
            <v>BC228263E-004-002</v>
          </cell>
          <cell r="E3971" t="str">
            <v>法兰</v>
          </cell>
        </row>
        <row r="3972">
          <cell r="D3972" t="str">
            <v>BC2292180-001-001</v>
          </cell>
          <cell r="E3972" t="str">
            <v>安装板</v>
          </cell>
        </row>
        <row r="3973">
          <cell r="D3973" t="str">
            <v>BC2281630-005-001</v>
          </cell>
          <cell r="E3973" t="str">
            <v>角片</v>
          </cell>
        </row>
        <row r="3974">
          <cell r="D3974" t="str">
            <v>BC2291182-002-001</v>
          </cell>
          <cell r="E3974" t="str">
            <v>系统1高压油滤卡箍</v>
          </cell>
        </row>
        <row r="3975">
          <cell r="D3975" t="str">
            <v>BC5824000-031L002</v>
          </cell>
          <cell r="E3975" t="str">
            <v>支柱舱门上耳片框</v>
          </cell>
        </row>
        <row r="3976">
          <cell r="D3976" t="str">
            <v>BC22823Y1-001-003</v>
          </cell>
          <cell r="E3976" t="str">
            <v>支臂</v>
          </cell>
        </row>
        <row r="3977">
          <cell r="D3977" t="str">
            <v>BC2291193-002-001</v>
          </cell>
          <cell r="E3977" t="str">
            <v>回油油滤卡箍</v>
          </cell>
        </row>
        <row r="3978">
          <cell r="D3978" t="str">
            <v>GU5322110-003L001</v>
          </cell>
          <cell r="E3978" t="str">
            <v>3750-4575左侧上梁</v>
          </cell>
        </row>
        <row r="3979">
          <cell r="D3979" t="str">
            <v>GU5715020-008L001</v>
          </cell>
          <cell r="E3979" t="str">
            <v>前缘19肋</v>
          </cell>
        </row>
        <row r="3980">
          <cell r="D3980" t="str">
            <v>GU5715020-008R001</v>
          </cell>
          <cell r="E3980" t="str">
            <v>前缘19肋</v>
          </cell>
        </row>
        <row r="3981">
          <cell r="D3981" t="str">
            <v>GU5714000-001R001</v>
          </cell>
          <cell r="E3981" t="str">
            <v>1300肋</v>
          </cell>
        </row>
        <row r="3982">
          <cell r="D3982" t="str">
            <v>GU5714000-001L001</v>
          </cell>
          <cell r="E3982" t="str">
            <v>1300肋</v>
          </cell>
        </row>
        <row r="3983">
          <cell r="D3983" t="str">
            <v>GU5714000-003R001</v>
          </cell>
          <cell r="E3983" t="str">
            <v>2750肋</v>
          </cell>
        </row>
        <row r="3984">
          <cell r="D3984" t="str">
            <v>GU5714000-003L001</v>
          </cell>
          <cell r="E3984" t="str">
            <v>2750肋</v>
          </cell>
        </row>
        <row r="3985">
          <cell r="D3985" t="str">
            <v>GU5714000-004R001</v>
          </cell>
          <cell r="E3985" t="str">
            <v>3500肋</v>
          </cell>
        </row>
        <row r="3986">
          <cell r="D3986" t="str">
            <v>GU5714000-005R001</v>
          </cell>
          <cell r="E3986" t="str">
            <v>4500肋</v>
          </cell>
        </row>
        <row r="3987">
          <cell r="D3987" t="str">
            <v>GU5714000-005L001</v>
          </cell>
          <cell r="E3987" t="str">
            <v>4500肋</v>
          </cell>
        </row>
        <row r="3988">
          <cell r="D3988" t="str">
            <v>LTCS-515030000-06N01</v>
          </cell>
          <cell r="E3988" t="str">
            <v>3275横梁</v>
          </cell>
        </row>
        <row r="3989">
          <cell r="D3989" t="str">
            <v>BC2282608-002-001</v>
          </cell>
          <cell r="E3989" t="str">
            <v>角片</v>
          </cell>
        </row>
        <row r="3990">
          <cell r="D3990" t="str">
            <v>BC2272410-002-001</v>
          </cell>
          <cell r="E3990" t="str">
            <v>右外侧电液伺服控制组件上支架</v>
          </cell>
        </row>
        <row r="3991">
          <cell r="D3991" t="str">
            <v>BC2272210-001-001</v>
          </cell>
          <cell r="E3991" t="str">
            <v>左外侧电液伺服控制组件下支架</v>
          </cell>
        </row>
        <row r="3992">
          <cell r="D3992" t="str">
            <v>BC2272210-002-001</v>
          </cell>
          <cell r="E3992" t="str">
            <v>左外侧电液伺服控制组件上支架</v>
          </cell>
        </row>
        <row r="3993">
          <cell r="D3993" t="str">
            <v>BC2292171-001-002</v>
          </cell>
          <cell r="E3993" t="str">
            <v>散热器支架1</v>
          </cell>
        </row>
        <row r="3994">
          <cell r="D3994" t="str">
            <v>BC2282230-001-001</v>
          </cell>
          <cell r="E3994" t="str">
            <v>接头</v>
          </cell>
        </row>
        <row r="3995">
          <cell r="D3995" t="str">
            <v>DD-J10-21102-60/-1/1-Y</v>
          </cell>
          <cell r="E3995" t="str">
            <v>11968下口盖</v>
          </cell>
        </row>
        <row r="3996">
          <cell r="D3996" t="str">
            <v>DD-J10-21102-60/-1/1-Y</v>
          </cell>
          <cell r="E3996" t="str">
            <v>11968下口盖</v>
          </cell>
        </row>
        <row r="3997">
          <cell r="D3997" t="str">
            <v>DD-J10-21102-60/-1/2-Z</v>
          </cell>
          <cell r="E3997" t="str">
            <v>11968下口盖</v>
          </cell>
        </row>
        <row r="3998">
          <cell r="D3998" t="str">
            <v>DD-J10-21102-60/-1/3-Z</v>
          </cell>
          <cell r="E3998" t="str">
            <v>11968下口盖</v>
          </cell>
        </row>
        <row r="3999">
          <cell r="D3999" t="str">
            <v>DD-J10-21102-60/-1/4-Z</v>
          </cell>
          <cell r="E3999" t="str">
            <v>11968下口盖</v>
          </cell>
        </row>
        <row r="4000">
          <cell r="D4000" t="str">
            <v>BC5702200-003L002</v>
          </cell>
          <cell r="E4000" t="str">
            <v>前框</v>
          </cell>
        </row>
        <row r="4001">
          <cell r="D4001" t="str">
            <v>BC5702200-003L002</v>
          </cell>
          <cell r="E4001" t="str">
            <v>前框</v>
          </cell>
        </row>
        <row r="4002">
          <cell r="D4002" t="str">
            <v>BC5702200-003R002</v>
          </cell>
          <cell r="E4002" t="str">
            <v>前框</v>
          </cell>
        </row>
        <row r="4003">
          <cell r="D4003" t="str">
            <v>DD-J10B-04501-10-1-Z</v>
          </cell>
          <cell r="E4003" t="str">
            <v>BL900侧梁</v>
          </cell>
        </row>
        <row r="4004">
          <cell r="D4004" t="str">
            <v>DD-J10B-04501-10-1-Z</v>
          </cell>
          <cell r="E4004" t="str">
            <v>BL900侧梁</v>
          </cell>
        </row>
        <row r="4005">
          <cell r="D4005" t="str">
            <v>DD-J10B-04501-10-1-Z</v>
          </cell>
          <cell r="E4005" t="str">
            <v>BL900侧梁</v>
          </cell>
        </row>
        <row r="4006">
          <cell r="D4006" t="str">
            <v>DD-J10B-04501-10-1-Z</v>
          </cell>
          <cell r="E4006" t="str">
            <v>BL900侧梁</v>
          </cell>
        </row>
        <row r="4007">
          <cell r="D4007" t="str">
            <v>DD-J10B-04501-10-1-Z</v>
          </cell>
          <cell r="E4007" t="str">
            <v>BL900侧梁</v>
          </cell>
        </row>
        <row r="4008">
          <cell r="D4008" t="str">
            <v>DD-J10B-04501-10-1-Z</v>
          </cell>
          <cell r="E4008" t="str">
            <v>BL900侧梁</v>
          </cell>
        </row>
        <row r="4009">
          <cell r="D4009" t="str">
            <v>DD-J10B-04501-10-1-Z</v>
          </cell>
          <cell r="E4009" t="str">
            <v>BL900侧梁</v>
          </cell>
        </row>
        <row r="4010">
          <cell r="D4010" t="str">
            <v>DD-J10B-04501-10-1-Z</v>
          </cell>
          <cell r="E4010" t="str">
            <v>BL900侧梁</v>
          </cell>
        </row>
        <row r="4011">
          <cell r="D4011" t="str">
            <v>DD-J10B-04501-10-1-Y</v>
          </cell>
          <cell r="E4011" t="str">
            <v>BL900侧梁</v>
          </cell>
        </row>
        <row r="4012">
          <cell r="D4012" t="str">
            <v>DD-J10B-04501-10-1-Y</v>
          </cell>
          <cell r="E4012" t="str">
            <v>BL900侧梁</v>
          </cell>
        </row>
        <row r="4013">
          <cell r="D4013" t="str">
            <v>DD-J10B-04501-10-1-Y</v>
          </cell>
          <cell r="E4013" t="str">
            <v>BL900侧梁</v>
          </cell>
        </row>
        <row r="4014">
          <cell r="D4014" t="str">
            <v>DD-J10B-04501-10-1-Y</v>
          </cell>
          <cell r="E4014" t="str">
            <v>BL900侧梁</v>
          </cell>
        </row>
        <row r="4015">
          <cell r="D4015" t="str">
            <v>DD-J10B-04501-10-1-Y</v>
          </cell>
          <cell r="E4015" t="str">
            <v>BL900侧梁</v>
          </cell>
        </row>
        <row r="4016">
          <cell r="D4016" t="str">
            <v>DD-J10B-04501-10-1-Y</v>
          </cell>
          <cell r="E4016" t="str">
            <v>BL900侧梁</v>
          </cell>
        </row>
        <row r="4017">
          <cell r="D4017" t="str">
            <v>DD-J10B-04501-10-1-Y</v>
          </cell>
          <cell r="E4017" t="str">
            <v>BL900侧梁</v>
          </cell>
        </row>
        <row r="4018">
          <cell r="D4018" t="str">
            <v>DD-J10B-04501-10-1-Y</v>
          </cell>
          <cell r="E4018" t="str">
            <v>BL900侧梁</v>
          </cell>
        </row>
        <row r="4019">
          <cell r="D4019" t="str">
            <v>DD-J10-41153-105</v>
          </cell>
          <cell r="E4019" t="str">
            <v>联锁摇臂</v>
          </cell>
        </row>
        <row r="4020">
          <cell r="D4020" t="str">
            <v>DD-J10-41153-105</v>
          </cell>
          <cell r="E4020" t="str">
            <v>联锁摇臂</v>
          </cell>
        </row>
        <row r="4021">
          <cell r="D4021" t="str">
            <v>DD-J10-41153-105</v>
          </cell>
          <cell r="E4021" t="str">
            <v>联锁摇臂</v>
          </cell>
        </row>
        <row r="4022">
          <cell r="D4022" t="str">
            <v>DD-J10B-21302-40G2-1-Y</v>
          </cell>
          <cell r="E4022" t="str">
            <v>后梁四段</v>
          </cell>
        </row>
        <row r="4023">
          <cell r="D4023" t="str">
            <v>BC5315208-001-002</v>
          </cell>
          <cell r="E4023" t="str">
            <v>5458左框</v>
          </cell>
        </row>
        <row r="4024">
          <cell r="D4024" t="str">
            <v>BC5315208-002-002</v>
          </cell>
          <cell r="E4024" t="str">
            <v>5458右框</v>
          </cell>
        </row>
        <row r="4025">
          <cell r="D4025" t="str">
            <v>BC5314401-001-001</v>
          </cell>
          <cell r="E4025" t="str">
            <v>4160左框</v>
          </cell>
        </row>
        <row r="4026">
          <cell r="D4026" t="str">
            <v>BC5314401-002-001</v>
          </cell>
          <cell r="E4026" t="str">
            <v>4160右框</v>
          </cell>
        </row>
        <row r="4027">
          <cell r="D4027" t="str">
            <v>BC5314404-002-001</v>
          </cell>
          <cell r="E4027" t="str">
            <v>4650右框</v>
          </cell>
        </row>
        <row r="4028">
          <cell r="D4028" t="str">
            <v>BC5314403-002-001</v>
          </cell>
          <cell r="E4028" t="str">
            <v>4470右框</v>
          </cell>
        </row>
        <row r="4029">
          <cell r="D4029" t="str">
            <v>BC5314402-001-001</v>
          </cell>
          <cell r="E4029" t="str">
            <v>4290左框</v>
          </cell>
        </row>
        <row r="4030">
          <cell r="D4030" t="str">
            <v>BC5314402-002-001</v>
          </cell>
          <cell r="E4030" t="str">
            <v>4290右框</v>
          </cell>
        </row>
        <row r="4031">
          <cell r="D4031" t="str">
            <v>BC2272410-001-001</v>
          </cell>
          <cell r="E4031" t="str">
            <v>右外侧电液伺服控制组件下支架</v>
          </cell>
        </row>
        <row r="4032">
          <cell r="D4032" t="str">
            <v>BC2272410-002-001</v>
          </cell>
          <cell r="E4032" t="str">
            <v>右外侧电液伺服控制组件上支架</v>
          </cell>
        </row>
        <row r="4033">
          <cell r="D4033" t="str">
            <v>BC2291173-001-001</v>
          </cell>
          <cell r="E4033" t="str">
            <v>散热器支架2</v>
          </cell>
        </row>
        <row r="4034">
          <cell r="D4034" t="str">
            <v>BC2332100-001-002</v>
          </cell>
          <cell r="E4034" t="str">
            <v>卡箍支架（左）</v>
          </cell>
        </row>
        <row r="4035">
          <cell r="D4035" t="str">
            <v>BC2332100-002-003</v>
          </cell>
          <cell r="E4035" t="str">
            <v>卡箍支架（右）</v>
          </cell>
        </row>
        <row r="4036">
          <cell r="D4036" t="str">
            <v>BC2291141-002-002</v>
          </cell>
          <cell r="E4036" t="str">
            <v>应急泵支架</v>
          </cell>
        </row>
        <row r="4037">
          <cell r="D4037" t="str">
            <v>BC2272323-001-001</v>
          </cell>
          <cell r="E4037" t="str">
            <v>内侧液压作动筒支架1</v>
          </cell>
        </row>
        <row r="4038">
          <cell r="D4038" t="str">
            <v>J10B-26002-100G2-1G2-Z</v>
          </cell>
          <cell r="E4038" t="str">
            <v>翼尖接头</v>
          </cell>
        </row>
        <row r="4039">
          <cell r="D4039" t="str">
            <v>J10B-26002-100G2-1G2-Y</v>
          </cell>
          <cell r="E4039" t="str">
            <v>翼尖接头</v>
          </cell>
        </row>
        <row r="4040">
          <cell r="D4040" t="str">
            <v>J10B-26002-100G2-1G2-Y</v>
          </cell>
          <cell r="E4040" t="str">
            <v>翼尖接头</v>
          </cell>
        </row>
        <row r="4041">
          <cell r="D4041" t="str">
            <v>DD-J10B-02181-6-Y</v>
          </cell>
          <cell r="E4041" t="str">
            <v>盒子</v>
          </cell>
        </row>
        <row r="4042">
          <cell r="D4042" t="str">
            <v>DD-J10B-02181-6-Z</v>
          </cell>
          <cell r="E4042" t="str">
            <v>盒子</v>
          </cell>
        </row>
        <row r="4043">
          <cell r="D4043" t="str">
            <v>W12J1 XXX-000-01</v>
          </cell>
          <cell r="E4043" t="str">
            <v>XXX-XXXX电缆力学环境试验夹具</v>
          </cell>
        </row>
        <row r="4044">
          <cell r="D4044" t="str">
            <v>W12J1 XXX-000-02</v>
          </cell>
          <cell r="E4044" t="str">
            <v>转接板1</v>
          </cell>
        </row>
        <row r="4045">
          <cell r="D4045" t="str">
            <v>W12J1 XXX-000-03</v>
          </cell>
          <cell r="E4045" t="str">
            <v>转接板2</v>
          </cell>
        </row>
        <row r="4046">
          <cell r="D4046" t="str">
            <v>DD-J10-41035-120-1</v>
          </cell>
          <cell r="E4046" t="str">
            <v>管子</v>
          </cell>
        </row>
        <row r="4047">
          <cell r="D4047" t="str">
            <v>GU5322110-003R001</v>
          </cell>
          <cell r="E4047" t="str">
            <v>3750-4575右侧上梁</v>
          </cell>
        </row>
        <row r="4048">
          <cell r="D4048" t="str">
            <v>GU5333100-003R001</v>
          </cell>
          <cell r="E4048" t="str">
            <v>右上大梁</v>
          </cell>
        </row>
        <row r="4049">
          <cell r="D4049" t="str">
            <v>GU5322300-010L001</v>
          </cell>
          <cell r="E4049" t="str">
            <v>6380-7250左侧上梁</v>
          </cell>
        </row>
        <row r="4050">
          <cell r="D4050" t="str">
            <v>BC5702200-003R002</v>
          </cell>
          <cell r="E4050" t="str">
            <v>前框</v>
          </cell>
        </row>
        <row r="4051">
          <cell r="D4051" t="str">
            <v>BC2272210-001-001</v>
          </cell>
          <cell r="E4051" t="str">
            <v>左外侧电液伺服控制组件下支架</v>
          </cell>
        </row>
        <row r="4052">
          <cell r="D4052" t="str">
            <v>BC2291141-002-002</v>
          </cell>
          <cell r="E4052" t="str">
            <v>应急泵支架</v>
          </cell>
        </row>
        <row r="4053">
          <cell r="D4053" t="str">
            <v>DD-J10-21102-554-Z</v>
          </cell>
          <cell r="E4053" t="str">
            <v>1780肋四段（左件）</v>
          </cell>
        </row>
        <row r="4054">
          <cell r="D4054" t="str">
            <v>DD-J10-21102-555-Z</v>
          </cell>
          <cell r="E4054" t="str">
            <v>1780肋五段（左件）</v>
          </cell>
        </row>
        <row r="4055">
          <cell r="D4055" t="str">
            <v>DD-J10B-26002-1G2-Z</v>
          </cell>
          <cell r="E4055" t="str">
            <v>梁（左件）</v>
          </cell>
        </row>
        <row r="4056">
          <cell r="D4056" t="str">
            <v>DD-J10B-26002-1G2-Z</v>
          </cell>
          <cell r="E4056" t="str">
            <v>梁（左件）</v>
          </cell>
        </row>
        <row r="4057">
          <cell r="D4057" t="str">
            <v>DD-J10B-26002-1G2-Z</v>
          </cell>
          <cell r="E4057" t="str">
            <v>梁（左件）</v>
          </cell>
        </row>
        <row r="4058">
          <cell r="D4058" t="str">
            <v>DD-J10B-26002-1G2-Z</v>
          </cell>
          <cell r="E4058" t="str">
            <v>梁（左件）</v>
          </cell>
        </row>
        <row r="4059">
          <cell r="D4059" t="str">
            <v>DD-J10B-26002-1G2-Z</v>
          </cell>
          <cell r="E4059" t="str">
            <v>梁（左件）</v>
          </cell>
        </row>
        <row r="4060">
          <cell r="D4060" t="str">
            <v>DD-J10B-26002-1G2-Z</v>
          </cell>
          <cell r="E4060" t="str">
            <v>梁（左件）</v>
          </cell>
        </row>
        <row r="4061">
          <cell r="D4061" t="str">
            <v>DD-J10B-26002-1G2-Y</v>
          </cell>
          <cell r="E4061" t="str">
            <v>梁（右件）</v>
          </cell>
        </row>
        <row r="4062">
          <cell r="D4062" t="str">
            <v>DD-J10B-26002-1G2-Y</v>
          </cell>
          <cell r="E4062" t="str">
            <v>梁（右件）</v>
          </cell>
        </row>
        <row r="4063">
          <cell r="D4063" t="str">
            <v>DD-J10B-26002-1G2-Y</v>
          </cell>
          <cell r="E4063" t="str">
            <v>梁（右件）</v>
          </cell>
        </row>
        <row r="4064">
          <cell r="D4064" t="str">
            <v>DD-J10B-26002-1G2-Y</v>
          </cell>
          <cell r="E4064" t="str">
            <v>梁（右件）</v>
          </cell>
        </row>
        <row r="4065">
          <cell r="D4065" t="str">
            <v>DD-J10B-26002-1G2-Y</v>
          </cell>
          <cell r="E4065" t="str">
            <v>梁（右件）</v>
          </cell>
        </row>
        <row r="4066">
          <cell r="D4066" t="str">
            <v>DD-J10B-26002-1G2-Y</v>
          </cell>
          <cell r="E4066" t="str">
            <v>梁（右件）</v>
          </cell>
        </row>
        <row r="4067">
          <cell r="D4067" t="str">
            <v>W10YZBJJ-000-00</v>
          </cell>
          <cell r="E4067" t="str">
            <v>印制板试验夹具</v>
          </cell>
        </row>
        <row r="4068">
          <cell r="D4068" t="str">
            <v>W12J2 TR-GR-000-00</v>
          </cell>
          <cell r="E4068" t="str">
            <v>TR-GRXXX离心夹具组合件</v>
          </cell>
        </row>
        <row r="4069">
          <cell r="D4069" t="str">
            <v>W12J2 TR-GR-000-01</v>
          </cell>
          <cell r="E4069" t="str">
            <v>TR-GRXXX离心夹具</v>
          </cell>
        </row>
        <row r="4070">
          <cell r="D4070" t="str">
            <v>W12J1 DL-000-00</v>
          </cell>
          <cell r="E4070" t="str">
            <v>夹具组合件</v>
          </cell>
        </row>
        <row r="4071">
          <cell r="D4071" t="str">
            <v>W12J1 DL-000-01</v>
          </cell>
          <cell r="E4071" t="str">
            <v>夹具</v>
          </cell>
        </row>
        <row r="4072">
          <cell r="D4072" t="str">
            <v>W12J1 DL-000-02</v>
          </cell>
          <cell r="E4072" t="str">
            <v>XXXX转接板1</v>
          </cell>
        </row>
        <row r="4073">
          <cell r="D4073" t="str">
            <v>W12J1 DL-000-03</v>
          </cell>
          <cell r="E4073" t="str">
            <v>XXXX转接板2</v>
          </cell>
        </row>
        <row r="4074">
          <cell r="D4074" t="str">
            <v>W12J1 DL-000-04</v>
          </cell>
          <cell r="E4074" t="str">
            <v>XXXX2号转接板1</v>
          </cell>
        </row>
        <row r="4075">
          <cell r="D4075" t="str">
            <v>W12J1 DL-000-05</v>
          </cell>
          <cell r="E4075" t="str">
            <v>XXXX2号转接板2</v>
          </cell>
        </row>
        <row r="4076">
          <cell r="D4076" t="str">
            <v>W12J1 DL-000-06</v>
          </cell>
          <cell r="E4076" t="str">
            <v>XXXX1号3号转接板1</v>
          </cell>
        </row>
        <row r="4077">
          <cell r="D4077" t="str">
            <v>W12J1 DL-000-07</v>
          </cell>
          <cell r="E4077" t="str">
            <v>XXXX1号3号转接板2</v>
          </cell>
        </row>
        <row r="4078">
          <cell r="D4078" t="str">
            <v>W12J1 XX-000-00</v>
          </cell>
          <cell r="E4078" t="str">
            <v>XXXXX夹具组合件</v>
          </cell>
        </row>
        <row r="4079">
          <cell r="D4079" t="str">
            <v>W12J1 XX-000-01</v>
          </cell>
          <cell r="E4079" t="str">
            <v>XXXXX夹具</v>
          </cell>
        </row>
        <row r="4080">
          <cell r="D4080" t="str">
            <v>W12J1 XX-000-02</v>
          </cell>
          <cell r="E4080" t="str">
            <v>电缆转接板1</v>
          </cell>
        </row>
        <row r="4081">
          <cell r="D4081" t="str">
            <v>W12J1 XX-000-03</v>
          </cell>
          <cell r="E4081" t="str">
            <v>电缆转接板2</v>
          </cell>
        </row>
        <row r="4082">
          <cell r="D4082" t="str">
            <v>W12J1 XX-000-04</v>
          </cell>
          <cell r="E4082" t="str">
            <v>电缆转接板3</v>
          </cell>
        </row>
        <row r="4083">
          <cell r="D4083" t="str">
            <v>W12J1 XX-000-05</v>
          </cell>
          <cell r="E4083" t="str">
            <v>电缆转接板4</v>
          </cell>
        </row>
        <row r="4084">
          <cell r="D4084" t="str">
            <v>W12J1 XX-000-06</v>
          </cell>
          <cell r="E4084" t="str">
            <v>电缆转接板5</v>
          </cell>
        </row>
        <row r="4085">
          <cell r="D4085" t="str">
            <v>W12J1 TR-GR-000-00</v>
          </cell>
          <cell r="E4085" t="str">
            <v>TR-GRXXX振动夹具组合件</v>
          </cell>
        </row>
        <row r="4086">
          <cell r="D4086" t="str">
            <v>W12J1 TR-GR-000-01</v>
          </cell>
          <cell r="E4086" t="str">
            <v>TR-GRXXX振动夹具</v>
          </cell>
        </row>
        <row r="4087">
          <cell r="D4087" t="str">
            <v>W12J1 TR-GR-000-02</v>
          </cell>
          <cell r="E4087" t="str">
            <v>TRXXX上夹具</v>
          </cell>
        </row>
        <row r="4088">
          <cell r="D4088" t="str">
            <v>W12J1 TR-GR-000-03</v>
          </cell>
          <cell r="E4088" t="str">
            <v>TRXXX下夹具</v>
          </cell>
        </row>
        <row r="4089">
          <cell r="D4089" t="str">
            <v>W12J1 TR-GR-000-04</v>
          </cell>
          <cell r="E4089" t="str">
            <v>GRXXX上夹具</v>
          </cell>
        </row>
        <row r="4090">
          <cell r="D4090" t="str">
            <v>W12J1 TR-GR-000-05</v>
          </cell>
          <cell r="E4090" t="str">
            <v>GRXXX下夹具</v>
          </cell>
        </row>
        <row r="4091">
          <cell r="D4091" t="str">
            <v>W12J1 TR-GR-000-06</v>
          </cell>
          <cell r="E4091" t="str">
            <v>铜垫片</v>
          </cell>
        </row>
        <row r="4092">
          <cell r="D4092" t="str">
            <v>BC2282340-002-001</v>
          </cell>
          <cell r="E4092" t="str">
            <v>带管接嘴法兰4</v>
          </cell>
        </row>
        <row r="4093">
          <cell r="D4093" t="str">
            <v>BC2299252-002-001</v>
          </cell>
          <cell r="E4093" t="str">
            <v>支架底座</v>
          </cell>
        </row>
        <row r="4094">
          <cell r="D4094" t="str">
            <v>BC5315209-006-001</v>
          </cell>
          <cell r="E4094" t="str">
            <v>5580右内下框段</v>
          </cell>
        </row>
        <row r="4095">
          <cell r="D4095" t="str">
            <v>BC2272410-001-001</v>
          </cell>
          <cell r="E4095" t="str">
            <v>右外侧电液伺服控制组件下支架</v>
          </cell>
        </row>
        <row r="4096">
          <cell r="D4096" t="str">
            <v>BC2272210-002-001</v>
          </cell>
          <cell r="E4096" t="str">
            <v>左外侧电液伺服控制组件上支架</v>
          </cell>
        </row>
        <row r="4097">
          <cell r="D4097" t="str">
            <v>BC2712522-001-001</v>
          </cell>
          <cell r="E4097" t="str">
            <v>支座</v>
          </cell>
        </row>
        <row r="4098">
          <cell r="D4098" t="str">
            <v>BC2281242-001-001</v>
          </cell>
          <cell r="E4098" t="str">
            <v>支座</v>
          </cell>
        </row>
        <row r="4099">
          <cell r="D4099" t="str">
            <v>BC3230400-001-300</v>
          </cell>
          <cell r="E4099" t="str">
            <v>过渡板</v>
          </cell>
        </row>
        <row r="4100">
          <cell r="D4100" t="str">
            <v>BC3230500-001-300</v>
          </cell>
          <cell r="E4100" t="str">
            <v>过渡板</v>
          </cell>
        </row>
        <row r="4101">
          <cell r="D4101" t="str">
            <v>DD-J10-55165-703</v>
          </cell>
          <cell r="E4101" t="str">
            <v>摇臂</v>
          </cell>
        </row>
        <row r="4102">
          <cell r="D4102" t="str">
            <v>DD-J10-55165-703</v>
          </cell>
          <cell r="E4102" t="str">
            <v>摇臂</v>
          </cell>
        </row>
        <row r="4103">
          <cell r="D4103" t="str">
            <v>BC5702200-003R002</v>
          </cell>
          <cell r="E4103" t="str">
            <v>前框</v>
          </cell>
        </row>
        <row r="4104">
          <cell r="D4104" t="str">
            <v>BC5702200-003L002</v>
          </cell>
          <cell r="E4104" t="str">
            <v>前框</v>
          </cell>
        </row>
        <row r="4105">
          <cell r="D4105" t="str">
            <v>BC5702200-003R002</v>
          </cell>
          <cell r="E4105" t="str">
            <v>前框</v>
          </cell>
        </row>
        <row r="4106">
          <cell r="D4106" t="str">
            <v>BC5702200-003L002</v>
          </cell>
          <cell r="E4106" t="str">
            <v>前框</v>
          </cell>
        </row>
        <row r="4107">
          <cell r="D4107" t="str">
            <v>BC552B300-001-001</v>
          </cell>
          <cell r="E4107" t="str">
            <v>上边肋</v>
          </cell>
        </row>
        <row r="4108">
          <cell r="D4108" t="str">
            <v>BC552B300-002-001</v>
          </cell>
          <cell r="E4108" t="str">
            <v>前肋</v>
          </cell>
        </row>
        <row r="4109">
          <cell r="D4109" t="str">
            <v>BC552B300-003-001</v>
          </cell>
          <cell r="E4109" t="str">
            <v>中肋</v>
          </cell>
        </row>
        <row r="4110">
          <cell r="D4110" t="str">
            <v>BC552B300-004-001</v>
          </cell>
          <cell r="E4110" t="str">
            <v>后肋</v>
          </cell>
        </row>
        <row r="4111">
          <cell r="D4111" t="str">
            <v>BC552C310-003-001</v>
          </cell>
          <cell r="E4111" t="str">
            <v>垫块</v>
          </cell>
        </row>
        <row r="4112">
          <cell r="D4112" t="str">
            <v>CB5713600-001L006</v>
          </cell>
          <cell r="E4112" t="str">
            <v>前梁一段</v>
          </cell>
        </row>
        <row r="4113">
          <cell r="D4113" t="str">
            <v>BC531E201-005R001</v>
          </cell>
          <cell r="E4113" t="str">
            <v>上角材</v>
          </cell>
        </row>
        <row r="4114">
          <cell r="D4114" t="str">
            <v>BC531E201-005L001</v>
          </cell>
          <cell r="E4114" t="str">
            <v>上角材</v>
          </cell>
        </row>
        <row r="4115">
          <cell r="D4115" t="str">
            <v>BC531E212-001R001</v>
          </cell>
          <cell r="E4115" t="str">
            <v>5000框</v>
          </cell>
        </row>
        <row r="4116">
          <cell r="D4116" t="str">
            <v>BC531E212-001L001</v>
          </cell>
          <cell r="E4116" t="str">
            <v>5000框</v>
          </cell>
        </row>
        <row r="4117">
          <cell r="D4117" t="str">
            <v>BC531E214-001R001</v>
          </cell>
          <cell r="E4117" t="str">
            <v>5180框</v>
          </cell>
        </row>
        <row r="4118">
          <cell r="D4118" t="str">
            <v>BC531E214-001L001</v>
          </cell>
          <cell r="E4118" t="str">
            <v>5180框</v>
          </cell>
        </row>
        <row r="4119">
          <cell r="D4119" t="str">
            <v>BC531D401-001-001</v>
          </cell>
          <cell r="E4119" t="str">
            <v>4160左框</v>
          </cell>
        </row>
        <row r="4120">
          <cell r="D4120" t="str">
            <v>BC531D401-002-001</v>
          </cell>
          <cell r="E4120" t="str">
            <v>4160右框</v>
          </cell>
        </row>
        <row r="4121">
          <cell r="D4121" t="str">
            <v>BC531D402-001-001</v>
          </cell>
          <cell r="E4121" t="str">
            <v>4290左框</v>
          </cell>
        </row>
        <row r="4122">
          <cell r="D4122" t="str">
            <v>BC531D402-002-001</v>
          </cell>
          <cell r="E4122" t="str">
            <v>4290右框</v>
          </cell>
        </row>
        <row r="4123">
          <cell r="D4123" t="str">
            <v>BC531D403-002-001</v>
          </cell>
          <cell r="E4123" t="str">
            <v>4470右框</v>
          </cell>
        </row>
        <row r="4124">
          <cell r="D4124" t="str">
            <v>BC531D404-002-001</v>
          </cell>
          <cell r="E4124" t="str">
            <v>4650右框</v>
          </cell>
        </row>
        <row r="4125">
          <cell r="D4125" t="str">
            <v>BC531D500-005-001</v>
          </cell>
          <cell r="E4125" t="str">
            <v>左口盖带板</v>
          </cell>
        </row>
        <row r="4126">
          <cell r="D4126" t="str">
            <v>BC531D600-004-001</v>
          </cell>
          <cell r="E4126" t="str">
            <v>炮梁</v>
          </cell>
        </row>
        <row r="4127">
          <cell r="D4127" t="str">
            <v>DD-J10B-94076-802</v>
          </cell>
          <cell r="E4127" t="str">
            <v>支架</v>
          </cell>
        </row>
        <row r="4128">
          <cell r="D4128" t="str">
            <v>DD-J10B-94076-802</v>
          </cell>
          <cell r="E4128" t="str">
            <v>支架</v>
          </cell>
        </row>
        <row r="4129">
          <cell r="D4129" t="str">
            <v>DD-J10B-94076-802</v>
          </cell>
          <cell r="E4129" t="str">
            <v>支架</v>
          </cell>
        </row>
        <row r="4130">
          <cell r="D4130" t="str">
            <v>DD-J10B-94076-802</v>
          </cell>
          <cell r="E4130" t="str">
            <v>支架</v>
          </cell>
        </row>
        <row r="4131">
          <cell r="D4131" t="str">
            <v>DD-J10B-94076-802</v>
          </cell>
          <cell r="E4131" t="str">
            <v>支架</v>
          </cell>
        </row>
        <row r="4132">
          <cell r="D4132" t="str">
            <v>DD-J10B-63001-651</v>
          </cell>
          <cell r="E4132" t="str">
            <v>法兰盘</v>
          </cell>
        </row>
        <row r="4133">
          <cell r="D4133" t="str">
            <v>DD-J10B-02081-404</v>
          </cell>
          <cell r="E4133" t="str">
            <v>支座</v>
          </cell>
        </row>
        <row r="4134">
          <cell r="D4134" t="str">
            <v>DD-J10B-02081-404</v>
          </cell>
          <cell r="E4134" t="str">
            <v>支座</v>
          </cell>
        </row>
        <row r="4135">
          <cell r="D4135" t="str">
            <v>GU5322110-003R001</v>
          </cell>
          <cell r="E4135" t="str">
            <v>3750-4575右侧上梁</v>
          </cell>
        </row>
        <row r="4136">
          <cell r="D4136" t="str">
            <v>GU5322110-003R001</v>
          </cell>
          <cell r="E4136" t="str">
            <v>3750-4575右侧上梁</v>
          </cell>
        </row>
        <row r="4137">
          <cell r="D4137" t="str">
            <v>BC3014410-001R001</v>
          </cell>
          <cell r="E4137" t="str">
            <v>右侧壁板</v>
          </cell>
        </row>
        <row r="4138">
          <cell r="D4138" t="str">
            <v>BC3014410-001L001</v>
          </cell>
          <cell r="E4138" t="str">
            <v>左侧壁板</v>
          </cell>
        </row>
        <row r="4139">
          <cell r="D4139" t="str">
            <v>BC531A500-001-001</v>
          </cell>
          <cell r="E4139" t="str">
            <v>4866上框</v>
          </cell>
        </row>
        <row r="4140">
          <cell r="D4140" t="str">
            <v>BC531B200-005-001</v>
          </cell>
          <cell r="E4140" t="str">
            <v>1870框</v>
          </cell>
        </row>
        <row r="4141">
          <cell r="D4141" t="str">
            <v>BC531B200-010-001</v>
          </cell>
          <cell r="E4141" t="str">
            <v>中隔板</v>
          </cell>
        </row>
        <row r="4142">
          <cell r="D4142" t="str">
            <v>BC531D200-003-001</v>
          </cell>
          <cell r="E4142" t="str">
            <v>横梁</v>
          </cell>
        </row>
        <row r="4143">
          <cell r="D4143" t="str">
            <v>DD-J10B-94061-401</v>
          </cell>
          <cell r="E4143" t="str">
            <v>支架</v>
          </cell>
        </row>
        <row r="4144">
          <cell r="D4144" t="str">
            <v>DD-J10B-94061-401</v>
          </cell>
          <cell r="E4144" t="str">
            <v>支架</v>
          </cell>
        </row>
        <row r="4145">
          <cell r="D4145" t="str">
            <v>DD-J10B-02111-2-Y</v>
          </cell>
          <cell r="E4145" t="str">
            <v>角盒</v>
          </cell>
        </row>
        <row r="4146">
          <cell r="D4146" t="str">
            <v>DD-J10B-65000-1810G2-1</v>
          </cell>
          <cell r="E4146" t="str">
            <v>支座</v>
          </cell>
        </row>
        <row r="4147">
          <cell r="D4147" t="str">
            <v>DD-J10B-94076-2031/3</v>
          </cell>
          <cell r="E4147" t="str">
            <v>接管嘴</v>
          </cell>
        </row>
        <row r="4148">
          <cell r="D4148" t="str">
            <v>DD-J10B-94076-2031/3</v>
          </cell>
          <cell r="E4148" t="str">
            <v>接管嘴</v>
          </cell>
        </row>
        <row r="4149">
          <cell r="D4149" t="str">
            <v>DD-J10-55014-2010-1</v>
          </cell>
          <cell r="E4149" t="str">
            <v>管子</v>
          </cell>
        </row>
        <row r="4150">
          <cell r="D4150" t="str">
            <v>BC5315208-001-002</v>
          </cell>
          <cell r="E4150" t="str">
            <v>5458左框</v>
          </cell>
        </row>
        <row r="4151">
          <cell r="D4151" t="str">
            <v>BC2562823-002R003</v>
          </cell>
          <cell r="E4151" t="str">
            <v>轴承座</v>
          </cell>
        </row>
        <row r="4152">
          <cell r="D4152" t="str">
            <v>BC5314402-001-001</v>
          </cell>
          <cell r="E4152" t="str">
            <v>4290左框</v>
          </cell>
        </row>
        <row r="4153">
          <cell r="D4153" t="str">
            <v>BC5314402-002-001</v>
          </cell>
          <cell r="E4153" t="str">
            <v>4290右框</v>
          </cell>
        </row>
        <row r="4154">
          <cell r="D4154" t="str">
            <v>BC5314404-002-001</v>
          </cell>
          <cell r="E4154" t="str">
            <v>4650右框</v>
          </cell>
        </row>
        <row r="4155">
          <cell r="D4155" t="str">
            <v>BC552C310-003-001</v>
          </cell>
          <cell r="E4155" t="str">
            <v>垫块</v>
          </cell>
        </row>
        <row r="4156">
          <cell r="D4156" t="str">
            <v>BC3014410-001L001</v>
          </cell>
          <cell r="E4156" t="str">
            <v>左侧壁板</v>
          </cell>
        </row>
        <row r="4157">
          <cell r="D4157" t="str">
            <v>BC3014410-001R001</v>
          </cell>
          <cell r="E4157" t="str">
            <v>右侧壁板</v>
          </cell>
        </row>
        <row r="4158">
          <cell r="D4158" t="str">
            <v>BC552B300-001-001</v>
          </cell>
          <cell r="E4158" t="str">
            <v>上边肋</v>
          </cell>
        </row>
        <row r="4159">
          <cell r="D4159" t="str">
            <v>BC552B300-002-001</v>
          </cell>
          <cell r="E4159" t="str">
            <v>前肋</v>
          </cell>
        </row>
        <row r="4160">
          <cell r="D4160" t="str">
            <v>BC552B300-003-001</v>
          </cell>
          <cell r="E4160" t="str">
            <v>中肋</v>
          </cell>
        </row>
        <row r="4161">
          <cell r="D4161" t="str">
            <v>BC552B300-004-001</v>
          </cell>
          <cell r="E4161" t="str">
            <v>后肋</v>
          </cell>
        </row>
        <row r="4162">
          <cell r="D4162" t="str">
            <v>BC531D401-001-001</v>
          </cell>
          <cell r="E4162" t="str">
            <v>4160左框</v>
          </cell>
        </row>
        <row r="4163">
          <cell r="D4163" t="str">
            <v>BC531D401-002-001</v>
          </cell>
          <cell r="E4163" t="str">
            <v>4160右框</v>
          </cell>
        </row>
        <row r="4164">
          <cell r="D4164" t="str">
            <v>BC531D402-001-001</v>
          </cell>
          <cell r="E4164" t="str">
            <v>4290左框</v>
          </cell>
        </row>
        <row r="4165">
          <cell r="D4165" t="str">
            <v>BC531D402-002-001</v>
          </cell>
          <cell r="E4165" t="str">
            <v>4290右框</v>
          </cell>
        </row>
        <row r="4166">
          <cell r="D4166" t="str">
            <v>BC531E212-001L001</v>
          </cell>
          <cell r="E4166" t="str">
            <v>5000框</v>
          </cell>
        </row>
        <row r="4167">
          <cell r="D4167" t="str">
            <v>BC531E212-001R001</v>
          </cell>
          <cell r="E4167" t="str">
            <v>5000框</v>
          </cell>
        </row>
        <row r="4168">
          <cell r="D4168" t="str">
            <v>BC531E214-001L001</v>
          </cell>
          <cell r="E4168" t="str">
            <v>5180框</v>
          </cell>
        </row>
        <row r="4169">
          <cell r="D4169" t="str">
            <v>BC531E214-001R001</v>
          </cell>
          <cell r="E4169" t="str">
            <v>5180框</v>
          </cell>
        </row>
        <row r="4170">
          <cell r="D4170" t="str">
            <v>BC531D200-003-001</v>
          </cell>
          <cell r="E4170" t="str">
            <v>横梁</v>
          </cell>
        </row>
        <row r="4171">
          <cell r="D4171" t="str">
            <v>BC531B200-005-001</v>
          </cell>
          <cell r="E4171" t="str">
            <v>1870框</v>
          </cell>
        </row>
        <row r="4172">
          <cell r="D4172" t="str">
            <v>BC531B200-010-001</v>
          </cell>
          <cell r="E4172" t="str">
            <v>中隔板</v>
          </cell>
        </row>
        <row r="4173">
          <cell r="D4173" t="str">
            <v>BC531A500-001-001</v>
          </cell>
          <cell r="E4173" t="str">
            <v>4866上框</v>
          </cell>
        </row>
        <row r="4174">
          <cell r="D4174" t="str">
            <v>BC531E201-005R001</v>
          </cell>
          <cell r="E4174" t="str">
            <v>上角材</v>
          </cell>
        </row>
        <row r="4175">
          <cell r="D4175" t="str">
            <v>BC531E201-005L001</v>
          </cell>
          <cell r="E4175" t="str">
            <v>上角材</v>
          </cell>
        </row>
        <row r="4176">
          <cell r="D4176" t="str">
            <v>BC531D600-004-001</v>
          </cell>
          <cell r="E4176" t="str">
            <v>炮梁</v>
          </cell>
        </row>
        <row r="4177">
          <cell r="D4177" t="str">
            <v>BC531D500-005-001</v>
          </cell>
          <cell r="E4177" t="str">
            <v>左口盖带板</v>
          </cell>
        </row>
        <row r="4178">
          <cell r="D4178" t="str">
            <v>BC531D404-002-001</v>
          </cell>
          <cell r="E4178" t="str">
            <v>4650右框</v>
          </cell>
        </row>
        <row r="4179">
          <cell r="D4179" t="str">
            <v>BC531D403-002-001</v>
          </cell>
          <cell r="E4179" t="str">
            <v>4470右框</v>
          </cell>
        </row>
        <row r="4180">
          <cell r="D4180" t="str">
            <v>W12J6-000-00</v>
          </cell>
          <cell r="E4180" t="str">
            <v>环境试验用转接板</v>
          </cell>
        </row>
        <row r="4181">
          <cell r="D4181" t="str">
            <v>W12J6-000-01</v>
          </cell>
          <cell r="E4181" t="str">
            <v>XXX电源盒离心夹具转接板</v>
          </cell>
        </row>
        <row r="4182">
          <cell r="D4182" t="str">
            <v>W12J6-000-02</v>
          </cell>
          <cell r="E4182" t="str">
            <v>XXX开关转接板</v>
          </cell>
        </row>
        <row r="4183">
          <cell r="D4183" t="str">
            <v>W12J6-000-03</v>
          </cell>
          <cell r="E4183" t="str">
            <v>XXX表头转接板</v>
          </cell>
        </row>
        <row r="4184">
          <cell r="D4184" t="str">
            <v>W12J6-000-04</v>
          </cell>
          <cell r="E4184" t="str">
            <v>XXX装置转接板</v>
          </cell>
        </row>
        <row r="4185">
          <cell r="D4185" t="str">
            <v>W12J6-000-05</v>
          </cell>
          <cell r="E4185" t="str">
            <v>XXX转接板</v>
          </cell>
        </row>
        <row r="4186">
          <cell r="D4186" t="str">
            <v>W12J6-000-06</v>
          </cell>
          <cell r="E4186" t="str">
            <v>XXX转接板</v>
          </cell>
        </row>
        <row r="4187">
          <cell r="D4187" t="str">
            <v>W12J6-000-07</v>
          </cell>
          <cell r="E4187" t="str">
            <v>XXX转接板</v>
          </cell>
        </row>
        <row r="4188">
          <cell r="D4188" t="str">
            <v>W12J6-000-08</v>
          </cell>
          <cell r="E4188" t="str">
            <v>XXX开关转接板</v>
          </cell>
        </row>
        <row r="4189">
          <cell r="D4189" t="str">
            <v>W12J1-000-01</v>
          </cell>
          <cell r="E4189" t="str">
            <v>表振动夹具</v>
          </cell>
        </row>
        <row r="4190">
          <cell r="D4190" t="str">
            <v>W12J1-000-02</v>
          </cell>
          <cell r="E4190" t="str">
            <v>转接板</v>
          </cell>
        </row>
        <row r="4191">
          <cell r="D4191" t="str">
            <v>DD-J10B-04501-10-1-Y</v>
          </cell>
          <cell r="E4191" t="str">
            <v>BL900侧梁</v>
          </cell>
        </row>
        <row r="4192">
          <cell r="D4192" t="str">
            <v>DD-J10B-04501-10-1-Y</v>
          </cell>
          <cell r="E4192" t="str">
            <v>BL900侧梁</v>
          </cell>
        </row>
        <row r="4193">
          <cell r="D4193" t="str">
            <v>DD-J10B-04501-10-1-Y</v>
          </cell>
          <cell r="E4193" t="str">
            <v>BL900侧梁</v>
          </cell>
        </row>
        <row r="4194">
          <cell r="D4194" t="str">
            <v>DD-J10B-04501-10-1-Y</v>
          </cell>
          <cell r="E4194" t="str">
            <v>BL900侧梁</v>
          </cell>
        </row>
        <row r="4195">
          <cell r="D4195" t="str">
            <v>DD-J10B-04501-10-1-Y</v>
          </cell>
          <cell r="E4195" t="str">
            <v>BL900侧梁</v>
          </cell>
        </row>
        <row r="4196">
          <cell r="D4196" t="str">
            <v>DD-J10B-04501-10-1-Y</v>
          </cell>
          <cell r="E4196" t="str">
            <v>BL900侧梁</v>
          </cell>
        </row>
        <row r="4197">
          <cell r="D4197" t="str">
            <v>DD-J10B-04501-10-1-Z</v>
          </cell>
          <cell r="E4197" t="str">
            <v>BL900侧梁</v>
          </cell>
        </row>
        <row r="4198">
          <cell r="D4198" t="str">
            <v>DD-J10B-04501-10-1-Z</v>
          </cell>
          <cell r="E4198" t="str">
            <v>BL900侧梁</v>
          </cell>
        </row>
        <row r="4199">
          <cell r="D4199" t="str">
            <v>DD-J10B-04501-10-1-Z</v>
          </cell>
          <cell r="E4199" t="str">
            <v>BL900侧梁</v>
          </cell>
        </row>
        <row r="4200">
          <cell r="D4200" t="str">
            <v>DD-J10B-04501-10-1-Z</v>
          </cell>
          <cell r="E4200" t="str">
            <v>BL900侧梁</v>
          </cell>
        </row>
        <row r="4201">
          <cell r="D4201" t="str">
            <v>DD-J10B-04501-10-1-Z</v>
          </cell>
          <cell r="E4201" t="str">
            <v>BL900侧梁</v>
          </cell>
        </row>
        <row r="4202">
          <cell r="D4202" t="str">
            <v>DD-J10B-04501-10-1-Z</v>
          </cell>
          <cell r="E4202" t="str">
            <v>BL900侧梁</v>
          </cell>
        </row>
        <row r="4203">
          <cell r="D4203" t="str">
            <v>DD-J10B-94076-1311</v>
          </cell>
          <cell r="E4203" t="str">
            <v>衬盘</v>
          </cell>
        </row>
        <row r="4204">
          <cell r="D4204" t="str">
            <v>DD-J10B-94076-1311</v>
          </cell>
          <cell r="E4204" t="str">
            <v>衬盘</v>
          </cell>
        </row>
        <row r="4205">
          <cell r="D4205" t="str">
            <v>DD-J10B-94076-1311</v>
          </cell>
          <cell r="E4205" t="str">
            <v>衬盘</v>
          </cell>
        </row>
        <row r="4206">
          <cell r="D4206" t="str">
            <v>DD-J10B-94076-1311</v>
          </cell>
          <cell r="E4206" t="str">
            <v>衬盘</v>
          </cell>
        </row>
        <row r="4207">
          <cell r="D4207" t="str">
            <v>DD-J10B-94076-1311</v>
          </cell>
          <cell r="E4207" t="str">
            <v>衬盘</v>
          </cell>
        </row>
        <row r="4208">
          <cell r="D4208" t="str">
            <v>DD-J10B-94076-1312</v>
          </cell>
          <cell r="E4208" t="str">
            <v>衬盘</v>
          </cell>
        </row>
        <row r="4209">
          <cell r="D4209" t="str">
            <v>DD-J10B-94076-1312</v>
          </cell>
          <cell r="E4209" t="str">
            <v>衬盘</v>
          </cell>
        </row>
        <row r="4210">
          <cell r="D4210" t="str">
            <v>DD-J10B-94061-1061/3</v>
          </cell>
          <cell r="E4210" t="str">
            <v>法兰盘</v>
          </cell>
        </row>
        <row r="4211">
          <cell r="D4211" t="str">
            <v>DD-J10-55015-6009</v>
          </cell>
          <cell r="E4211" t="str">
            <v>垫圈</v>
          </cell>
        </row>
        <row r="4212">
          <cell r="D4212" t="str">
            <v>DD-J10B-94076-2051</v>
          </cell>
          <cell r="E4212" t="str">
            <v>外套螺母</v>
          </cell>
        </row>
        <row r="4213">
          <cell r="D4213" t="str">
            <v>DD-J10B-94076-2051</v>
          </cell>
          <cell r="E4213" t="str">
            <v>外套螺母</v>
          </cell>
        </row>
        <row r="4214">
          <cell r="D4214" t="str">
            <v>DD-J10-54101-2801</v>
          </cell>
          <cell r="E4214" t="str">
            <v>手柄</v>
          </cell>
        </row>
        <row r="4215">
          <cell r="D4215" t="str">
            <v>DD-J10-96031-121</v>
          </cell>
          <cell r="E4215" t="str">
            <v>销棒</v>
          </cell>
        </row>
        <row r="4216">
          <cell r="D4216" t="str">
            <v>DD-J10-96031-121</v>
          </cell>
          <cell r="E4216" t="str">
            <v>销棒</v>
          </cell>
        </row>
        <row r="4217">
          <cell r="D4217" t="str">
            <v>DD-J10-55171-510-1</v>
          </cell>
          <cell r="E4217" t="str">
            <v>衬套</v>
          </cell>
        </row>
        <row r="4218">
          <cell r="D4218" t="str">
            <v>DD-J10-55165-1510-2</v>
          </cell>
          <cell r="E4218" t="str">
            <v>衬套</v>
          </cell>
        </row>
        <row r="4219">
          <cell r="D4219" t="str">
            <v>DD-J10-55165-1510-2</v>
          </cell>
          <cell r="E4219" t="str">
            <v>衬套</v>
          </cell>
        </row>
        <row r="4220">
          <cell r="D4220" t="str">
            <v>DD-J10-55025-703</v>
          </cell>
          <cell r="E4220" t="str">
            <v>衬套</v>
          </cell>
        </row>
        <row r="4221">
          <cell r="D4221" t="str">
            <v>DD-J10-55025-703</v>
          </cell>
          <cell r="E4221" t="str">
            <v>衬套</v>
          </cell>
        </row>
        <row r="4222">
          <cell r="D4222" t="str">
            <v>DD-J10-55023-632</v>
          </cell>
          <cell r="E4222" t="str">
            <v>小衬套</v>
          </cell>
        </row>
        <row r="4223">
          <cell r="D4223" t="str">
            <v>DD-J10-55023-632</v>
          </cell>
          <cell r="E4223" t="str">
            <v>小衬套</v>
          </cell>
        </row>
        <row r="4224">
          <cell r="D4224" t="str">
            <v>DD-J10-54111-2403</v>
          </cell>
          <cell r="E4224" t="str">
            <v>垫片</v>
          </cell>
        </row>
        <row r="4225">
          <cell r="D4225" t="str">
            <v>DD-J10-68095-1400-1</v>
          </cell>
          <cell r="E4225" t="str">
            <v>套筒</v>
          </cell>
        </row>
        <row r="4226">
          <cell r="D4226" t="str">
            <v>DD-J10B-41163-30-1</v>
          </cell>
          <cell r="E4226" t="str">
            <v>管子</v>
          </cell>
        </row>
        <row r="4227">
          <cell r="D4227" t="str">
            <v>CB5327120-010L015</v>
          </cell>
          <cell r="E4227" t="str">
            <v>9555侧隔框</v>
          </cell>
        </row>
        <row r="4228">
          <cell r="D4228" t="str">
            <v>CB5327120-010L015</v>
          </cell>
          <cell r="E4228" t="str">
            <v>9555侧隔框</v>
          </cell>
        </row>
        <row r="4229">
          <cell r="D4229" t="str">
            <v>CB5327120-010L015</v>
          </cell>
          <cell r="E4229" t="str">
            <v>9555侧隔框</v>
          </cell>
        </row>
        <row r="4230">
          <cell r="D4230" t="str">
            <v>CB5327120-010L015</v>
          </cell>
          <cell r="E4230" t="str">
            <v>9555侧隔框</v>
          </cell>
        </row>
        <row r="4231">
          <cell r="D4231" t="str">
            <v>CB5327120-010R015</v>
          </cell>
          <cell r="E4231" t="str">
            <v>9555侧隔框</v>
          </cell>
        </row>
        <row r="4232">
          <cell r="D4232" t="str">
            <v>CB5327120-010R015</v>
          </cell>
          <cell r="E4232" t="str">
            <v>9555侧隔框</v>
          </cell>
        </row>
        <row r="4233">
          <cell r="D4233" t="str">
            <v>CB5327120-010R015</v>
          </cell>
          <cell r="E4233" t="str">
            <v>9555侧隔框</v>
          </cell>
        </row>
        <row r="4234">
          <cell r="D4234" t="str">
            <v>CB5327120-010R015</v>
          </cell>
          <cell r="E4234" t="str">
            <v>9555侧隔框</v>
          </cell>
        </row>
        <row r="4235">
          <cell r="D4235" t="str">
            <v>CB5327120-013L015</v>
          </cell>
          <cell r="E4235" t="str">
            <v>10150侧隔框</v>
          </cell>
        </row>
        <row r="4236">
          <cell r="D4236" t="str">
            <v>CB5327120-013L015</v>
          </cell>
          <cell r="E4236" t="str">
            <v>10150侧隔框</v>
          </cell>
        </row>
        <row r="4237">
          <cell r="D4237" t="str">
            <v>CB5327120-013L015</v>
          </cell>
          <cell r="E4237" t="str">
            <v>10150侧隔框</v>
          </cell>
        </row>
        <row r="4238">
          <cell r="D4238" t="str">
            <v>CB5327120-013L015</v>
          </cell>
          <cell r="E4238" t="str">
            <v>10150侧隔框</v>
          </cell>
        </row>
        <row r="4239">
          <cell r="D4239" t="str">
            <v>CB5327120-013R015</v>
          </cell>
          <cell r="E4239" t="str">
            <v>10150侧隔框</v>
          </cell>
        </row>
        <row r="4240">
          <cell r="D4240" t="str">
            <v>CB5327120-013R015</v>
          </cell>
          <cell r="E4240" t="str">
            <v>10150侧隔框</v>
          </cell>
        </row>
        <row r="4241">
          <cell r="D4241" t="str">
            <v>CB5327120-013R015</v>
          </cell>
          <cell r="E4241" t="str">
            <v>10150侧隔框</v>
          </cell>
        </row>
        <row r="4242">
          <cell r="D4242" t="str">
            <v>CB5327120-013R015</v>
          </cell>
          <cell r="E4242" t="str">
            <v>10150侧隔框</v>
          </cell>
        </row>
        <row r="4243">
          <cell r="D4243" t="str">
            <v>BC2291460-001-001</v>
          </cell>
          <cell r="E4243" t="str">
            <v>供压吸油软管接头支架</v>
          </cell>
        </row>
        <row r="4244">
          <cell r="D4244" t="str">
            <v>BC2291460-002-001</v>
          </cell>
          <cell r="E4244" t="str">
            <v>供压软管接头支架</v>
          </cell>
        </row>
        <row r="4245">
          <cell r="D4245" t="str">
            <v>DD-J10B-65000-1810G2-1</v>
          </cell>
          <cell r="E4245" t="str">
            <v>支座</v>
          </cell>
        </row>
        <row r="4246">
          <cell r="D4246" t="str">
            <v>BC552F000-002-002</v>
          </cell>
          <cell r="E4246" t="str">
            <v>方向舵梁</v>
          </cell>
        </row>
        <row r="4247">
          <cell r="D4247" t="str">
            <v>BC552F000-002-002</v>
          </cell>
          <cell r="E4247" t="str">
            <v>方向舵梁</v>
          </cell>
        </row>
        <row r="4248">
          <cell r="D4248" t="str">
            <v>CB5713600-001L006</v>
          </cell>
          <cell r="E4248" t="str">
            <v>前梁一段</v>
          </cell>
        </row>
        <row r="4249">
          <cell r="D4249" t="str">
            <v>CB5713600-001R004</v>
          </cell>
          <cell r="E4249" t="str">
            <v>前梁一段</v>
          </cell>
        </row>
        <row r="4250">
          <cell r="D4250" t="str">
            <v>DD-J10B-02041-2-Y</v>
          </cell>
          <cell r="E4250" t="str">
            <v>前上大梁（右）</v>
          </cell>
        </row>
        <row r="4251">
          <cell r="D4251" t="str">
            <v>DD-J10B-02041-2-Y</v>
          </cell>
          <cell r="E4251" t="str">
            <v>前上大梁（右）</v>
          </cell>
        </row>
        <row r="4252">
          <cell r="D4252" t="str">
            <v>DD-J10B-02041-2-Y</v>
          </cell>
          <cell r="E4252" t="str">
            <v>前上大梁（右）</v>
          </cell>
        </row>
        <row r="4253">
          <cell r="D4253" t="str">
            <v>DD-J10B-02041-2-Z</v>
          </cell>
          <cell r="E4253" t="str">
            <v>前上大梁（左）</v>
          </cell>
        </row>
        <row r="4254">
          <cell r="D4254" t="str">
            <v>DD-J10B-02041-2-Z</v>
          </cell>
          <cell r="E4254" t="str">
            <v>前上大梁（左）</v>
          </cell>
        </row>
        <row r="4255">
          <cell r="D4255" t="str">
            <v>DD-J10B-02041-2-Z</v>
          </cell>
          <cell r="E4255" t="str">
            <v>前上大梁（左）</v>
          </cell>
        </row>
        <row r="4256">
          <cell r="D4256" t="str">
            <v>LTCS-515030000-05N01</v>
          </cell>
          <cell r="E4256" t="str">
            <v>2840横梁</v>
          </cell>
        </row>
        <row r="4257">
          <cell r="D4257" t="str">
            <v>DD-J10-34103-4</v>
          </cell>
          <cell r="E4257" t="str">
            <v>上边肋</v>
          </cell>
        </row>
        <row r="4258">
          <cell r="D4258" t="str">
            <v>DD-J10-34103-4</v>
          </cell>
          <cell r="E4258" t="str">
            <v>上边肋</v>
          </cell>
        </row>
        <row r="4259">
          <cell r="D4259" t="str">
            <v>DD-J10-34103-4</v>
          </cell>
          <cell r="E4259" t="str">
            <v>上边肋</v>
          </cell>
        </row>
        <row r="4260">
          <cell r="D4260" t="str">
            <v>DD-J10-34103-4</v>
          </cell>
          <cell r="E4260" t="str">
            <v>上边肋</v>
          </cell>
        </row>
        <row r="4261">
          <cell r="D4261" t="str">
            <v>DD-J10S-54101-4700-1</v>
          </cell>
          <cell r="E4261" t="str">
            <v>摇臂</v>
          </cell>
        </row>
        <row r="4262">
          <cell r="D4262" t="str">
            <v>DD-J10B-55141-101</v>
          </cell>
          <cell r="E4262" t="str">
            <v>90°弯管接头</v>
          </cell>
        </row>
        <row r="4263">
          <cell r="D4263" t="str">
            <v>DD-J10B-55141-111</v>
          </cell>
          <cell r="E4263" t="str">
            <v>90°弯管接头</v>
          </cell>
        </row>
        <row r="4264">
          <cell r="D4264" t="str">
            <v>DD-J10-55121-1</v>
          </cell>
          <cell r="E4264" t="str">
            <v>三通管接头</v>
          </cell>
        </row>
        <row r="4265">
          <cell r="D4265" t="str">
            <v>DD-J10-55181-6431</v>
          </cell>
          <cell r="E4265" t="str">
            <v>变径三通管接头</v>
          </cell>
        </row>
        <row r="4266">
          <cell r="D4266" t="str">
            <v>CB5314107-001-002</v>
          </cell>
          <cell r="E4266" t="str">
            <v>5550上框</v>
          </cell>
        </row>
        <row r="4267">
          <cell r="D4267" t="str">
            <v>CB5314107-001-002</v>
          </cell>
          <cell r="E4267" t="str">
            <v>5550上框</v>
          </cell>
        </row>
        <row r="4268">
          <cell r="D4268" t="str">
            <v>CB5314107-001-002</v>
          </cell>
          <cell r="E4268" t="str">
            <v>5550上框</v>
          </cell>
        </row>
        <row r="4269">
          <cell r="D4269" t="str">
            <v>CB5314107-001-002</v>
          </cell>
          <cell r="E4269" t="str">
            <v>5550上框</v>
          </cell>
        </row>
        <row r="4270">
          <cell r="D4270" t="str">
            <v>DD-J10B-02021-52/1-Y</v>
          </cell>
          <cell r="E4270" t="str">
            <v>锁芯</v>
          </cell>
        </row>
        <row r="4271">
          <cell r="D4271" t="str">
            <v>DD-J10B-02021-52/1-Z</v>
          </cell>
          <cell r="E4271" t="str">
            <v>锁芯</v>
          </cell>
        </row>
        <row r="4272">
          <cell r="D4272" t="str">
            <v>DD-J10B-02021-52/2-Y</v>
          </cell>
          <cell r="E4272" t="str">
            <v>锁芯</v>
          </cell>
        </row>
        <row r="4273">
          <cell r="D4273" t="str">
            <v>DD-J10B-02021-52/2-Z</v>
          </cell>
          <cell r="E4273" t="str">
            <v>锁芯</v>
          </cell>
        </row>
        <row r="4274">
          <cell r="D4274" t="str">
            <v>BC2332100-001-002</v>
          </cell>
          <cell r="E4274" t="str">
            <v>卡箍支架（左）</v>
          </cell>
        </row>
        <row r="4275">
          <cell r="D4275" t="str">
            <v>BC2332100-002-002</v>
          </cell>
          <cell r="E4275" t="str">
            <v>卡箍支架（右）</v>
          </cell>
        </row>
        <row r="4276">
          <cell r="D4276" t="str">
            <v>DD-J10B-04321-30-1-Y</v>
          </cell>
          <cell r="E4276" t="str">
            <v>侧下梁（右件）</v>
          </cell>
        </row>
        <row r="4277">
          <cell r="D4277" t="str">
            <v>DD-J10B-04321-30-1-Y</v>
          </cell>
          <cell r="E4277" t="str">
            <v>侧下梁（右件）</v>
          </cell>
        </row>
        <row r="4278">
          <cell r="D4278" t="str">
            <v>DD-J10B-04321-30-1-Y</v>
          </cell>
          <cell r="E4278" t="str">
            <v>侧下梁（右件）</v>
          </cell>
        </row>
        <row r="4279">
          <cell r="D4279" t="str">
            <v>DD-J10B-04321-30-1-Y</v>
          </cell>
          <cell r="E4279" t="str">
            <v>侧下梁（右件）</v>
          </cell>
        </row>
        <row r="4280">
          <cell r="D4280" t="str">
            <v>DD-J10B-04321-30-1-Y</v>
          </cell>
          <cell r="E4280" t="str">
            <v>侧下梁（右件）</v>
          </cell>
        </row>
        <row r="4281">
          <cell r="D4281" t="str">
            <v>DD-J10B-04321-30-1-Y</v>
          </cell>
          <cell r="E4281" t="str">
            <v>侧下梁（右件）</v>
          </cell>
        </row>
        <row r="4282">
          <cell r="D4282" t="str">
            <v>DD-J10B-04321-30-1-Z</v>
          </cell>
          <cell r="E4282" t="str">
            <v>侧下梁（左件）</v>
          </cell>
        </row>
        <row r="4283">
          <cell r="D4283" t="str">
            <v>DD-J10B-04321-30-1-Z</v>
          </cell>
          <cell r="E4283" t="str">
            <v>侧下梁（左件）</v>
          </cell>
        </row>
        <row r="4284">
          <cell r="D4284" t="str">
            <v>DD-J10B-04321-30-1-Z</v>
          </cell>
          <cell r="E4284" t="str">
            <v>侧下梁（左件）</v>
          </cell>
        </row>
        <row r="4285">
          <cell r="D4285" t="str">
            <v>DD-J10B-04321-30-1-Z</v>
          </cell>
          <cell r="E4285" t="str">
            <v>侧下梁（左件）</v>
          </cell>
        </row>
        <row r="4286">
          <cell r="D4286" t="str">
            <v>DD-J10B-04321-30-1-Z</v>
          </cell>
          <cell r="E4286" t="str">
            <v>侧下梁（左件）</v>
          </cell>
        </row>
        <row r="4287">
          <cell r="D4287" t="str">
            <v>DD-J10B-04321-30-1-Z</v>
          </cell>
          <cell r="E4287" t="str">
            <v>侧下梁（左件）</v>
          </cell>
        </row>
        <row r="4288">
          <cell r="D4288" t="str">
            <v>BC3101230-006-001</v>
          </cell>
          <cell r="E4288" t="str">
            <v>双耳座</v>
          </cell>
        </row>
        <row r="4289">
          <cell r="D4289" t="str">
            <v>BC2291460-003-003</v>
          </cell>
          <cell r="E4289" t="str">
            <v>吸油软管支架</v>
          </cell>
        </row>
        <row r="4290">
          <cell r="D4290" t="str">
            <v>BC22914P1-001-001</v>
          </cell>
          <cell r="E4290" t="str">
            <v>角片</v>
          </cell>
        </row>
        <row r="4291">
          <cell r="D4291" t="str">
            <v>DD-J10B-61001-8001</v>
          </cell>
          <cell r="E4291" t="str">
            <v>卡片</v>
          </cell>
        </row>
        <row r="4292">
          <cell r="D4292" t="str">
            <v>DD-J10B-06061-22</v>
          </cell>
          <cell r="E4292" t="str">
            <v>摇臂</v>
          </cell>
        </row>
        <row r="4293">
          <cell r="D4293" t="str">
            <v>DD-J10B-21002-2-Y</v>
          </cell>
          <cell r="E4293" t="str">
            <v>4号下壁板（右件）</v>
          </cell>
        </row>
        <row r="4294">
          <cell r="D4294" t="str">
            <v>DD-J10B-21002-2-Y</v>
          </cell>
          <cell r="E4294" t="str">
            <v>4号下壁板（右件）</v>
          </cell>
        </row>
        <row r="4295">
          <cell r="D4295" t="str">
            <v>DD-J10B-21002-2-Y</v>
          </cell>
          <cell r="E4295" t="str">
            <v>4号下壁板（右件）</v>
          </cell>
        </row>
        <row r="4296">
          <cell r="D4296" t="str">
            <v>DD-J10B-21002-2-Y</v>
          </cell>
          <cell r="E4296" t="str">
            <v>4号下壁板（右件）</v>
          </cell>
        </row>
        <row r="4297">
          <cell r="D4297" t="str">
            <v>DD-J10B-21002-2-Y</v>
          </cell>
          <cell r="E4297" t="str">
            <v>4号下壁板（右件）</v>
          </cell>
        </row>
        <row r="4298">
          <cell r="D4298" t="str">
            <v>DD-J10B-21002-2-Z</v>
          </cell>
          <cell r="E4298" t="str">
            <v>4号下壁板（左件）</v>
          </cell>
        </row>
        <row r="4299">
          <cell r="D4299" t="str">
            <v>DD-J10B-21002-2-Z</v>
          </cell>
          <cell r="E4299" t="str">
            <v>4号下壁板（左件）</v>
          </cell>
        </row>
        <row r="4300">
          <cell r="D4300" t="str">
            <v>DD-J10B-21002-2-Z</v>
          </cell>
          <cell r="E4300" t="str">
            <v>4号下壁板（左件）</v>
          </cell>
        </row>
        <row r="4301">
          <cell r="D4301" t="str">
            <v>DD-J10B-21002-2-Z</v>
          </cell>
          <cell r="E4301" t="str">
            <v>4号下壁板（左件）</v>
          </cell>
        </row>
        <row r="4302">
          <cell r="D4302" t="str">
            <v>DD-J10B-21002-2-Z</v>
          </cell>
          <cell r="E4302" t="str">
            <v>4号下壁板（左件）</v>
          </cell>
        </row>
        <row r="4303">
          <cell r="D4303" t="str">
            <v>DD-J10-21002-1-Z</v>
          </cell>
          <cell r="E4303" t="str">
            <v>4号上壁板（左件）</v>
          </cell>
        </row>
        <row r="4304">
          <cell r="D4304" t="str">
            <v>DD-J10-21002-1-Z</v>
          </cell>
          <cell r="E4304" t="str">
            <v>4号上壁板（左件）</v>
          </cell>
        </row>
        <row r="4305">
          <cell r="D4305" t="str">
            <v>DD-J10-21002-1-Z</v>
          </cell>
          <cell r="E4305" t="str">
            <v>4号上壁板（左件）</v>
          </cell>
        </row>
        <row r="4306">
          <cell r="D4306" t="str">
            <v>DD-J10-21002-1-Y</v>
          </cell>
          <cell r="E4306" t="str">
            <v>4号上壁板（右件）</v>
          </cell>
        </row>
        <row r="4307">
          <cell r="D4307" t="str">
            <v>DD-J10-21002-1-Y</v>
          </cell>
          <cell r="E4307" t="str">
            <v>4号上壁板（右件）</v>
          </cell>
        </row>
        <row r="4308">
          <cell r="D4308" t="str">
            <v>DD-J10B-24002-60G2-1G2-Y</v>
          </cell>
          <cell r="E4308" t="str">
            <v>付翼前梁</v>
          </cell>
        </row>
        <row r="4309">
          <cell r="D4309" t="str">
            <v>DD-J10B-24002-60G2-1G2-Y</v>
          </cell>
          <cell r="E4309" t="str">
            <v>付翼前梁</v>
          </cell>
        </row>
        <row r="4310">
          <cell r="D4310" t="str">
            <v>DD-J10B-24002-60G2-1G2-Y</v>
          </cell>
          <cell r="E4310" t="str">
            <v>付翼前梁</v>
          </cell>
        </row>
        <row r="4311">
          <cell r="D4311" t="str">
            <v>DD-J10B-24002-60G2-1G2-Z</v>
          </cell>
          <cell r="E4311" t="str">
            <v>付翼前梁</v>
          </cell>
        </row>
        <row r="4312">
          <cell r="D4312" t="str">
            <v>DD-J10B-24002-60G2-1G2-Z</v>
          </cell>
          <cell r="E4312" t="str">
            <v>付翼前梁</v>
          </cell>
        </row>
        <row r="4313">
          <cell r="D4313" t="str">
            <v>DD-J10B-24002-60G2-1G2-Z</v>
          </cell>
          <cell r="E4313" t="str">
            <v>付翼前梁</v>
          </cell>
        </row>
        <row r="4314">
          <cell r="D4314" t="str">
            <v>CB229C050-002-003</v>
          </cell>
          <cell r="E4314" t="str">
            <v>拨杆</v>
          </cell>
        </row>
        <row r="4315">
          <cell r="D4315" t="str">
            <v>GU5322320-002R001</v>
          </cell>
          <cell r="E4315" t="str">
            <v>后端梁</v>
          </cell>
        </row>
        <row r="4316">
          <cell r="D4316" t="str">
            <v>GU5322320-002R001</v>
          </cell>
          <cell r="E4316" t="str">
            <v>后端梁</v>
          </cell>
        </row>
        <row r="4317">
          <cell r="D4317" t="str">
            <v>GU5322320-002R001</v>
          </cell>
          <cell r="E4317" t="str">
            <v>后端梁</v>
          </cell>
        </row>
        <row r="4318">
          <cell r="D4318" t="str">
            <v>GU5322320-002R001</v>
          </cell>
          <cell r="E4318" t="str">
            <v>后端梁</v>
          </cell>
        </row>
        <row r="4319">
          <cell r="D4319" t="str">
            <v>GU5322320-002R001</v>
          </cell>
          <cell r="E4319" t="str">
            <v>后端梁</v>
          </cell>
        </row>
        <row r="4320">
          <cell r="D4320" t="str">
            <v>GU5322320-002R001</v>
          </cell>
          <cell r="E4320" t="str">
            <v>后端梁</v>
          </cell>
        </row>
        <row r="4321">
          <cell r="D4321" t="str">
            <v>GU5322320-002R001</v>
          </cell>
          <cell r="E4321" t="str">
            <v>后端梁</v>
          </cell>
        </row>
        <row r="4322">
          <cell r="D4322" t="str">
            <v>GU5322320-002R001</v>
          </cell>
          <cell r="E4322" t="str">
            <v>后端梁</v>
          </cell>
        </row>
        <row r="4323">
          <cell r="D4323" t="str">
            <v>GU5322320-002R001</v>
          </cell>
          <cell r="E4323" t="str">
            <v>后端梁</v>
          </cell>
        </row>
        <row r="4324">
          <cell r="D4324" t="str">
            <v>GU5322320-002R001</v>
          </cell>
          <cell r="E4324" t="str">
            <v>后端梁</v>
          </cell>
        </row>
        <row r="4325">
          <cell r="D4325" t="str">
            <v>GU5322320-002R001</v>
          </cell>
          <cell r="E4325" t="str">
            <v>后端梁</v>
          </cell>
        </row>
        <row r="4326">
          <cell r="D4326" t="str">
            <v>GU5322320-002R001</v>
          </cell>
          <cell r="E4326" t="str">
            <v>后端梁</v>
          </cell>
        </row>
        <row r="4327">
          <cell r="D4327" t="str">
            <v>GU5322320-002L001</v>
          </cell>
          <cell r="E4327" t="str">
            <v>后端梁</v>
          </cell>
        </row>
        <row r="4328">
          <cell r="D4328" t="str">
            <v>GU5322320-002L001</v>
          </cell>
          <cell r="E4328" t="str">
            <v>后端梁</v>
          </cell>
        </row>
        <row r="4329">
          <cell r="D4329" t="str">
            <v>GU5322320-002L001</v>
          </cell>
          <cell r="E4329" t="str">
            <v>后端梁</v>
          </cell>
        </row>
        <row r="4330">
          <cell r="D4330" t="str">
            <v>GU5322320-002L001</v>
          </cell>
          <cell r="E4330" t="str">
            <v>后端梁</v>
          </cell>
        </row>
        <row r="4331">
          <cell r="D4331" t="str">
            <v>GU5322320-002L001</v>
          </cell>
          <cell r="E4331" t="str">
            <v>后端梁</v>
          </cell>
        </row>
        <row r="4332">
          <cell r="D4332" t="str">
            <v>GU5322320-002L001</v>
          </cell>
          <cell r="E4332" t="str">
            <v>后端梁</v>
          </cell>
        </row>
        <row r="4333">
          <cell r="D4333" t="str">
            <v>GU5322320-002L001</v>
          </cell>
          <cell r="E4333" t="str">
            <v>后端梁</v>
          </cell>
        </row>
        <row r="4334">
          <cell r="D4334" t="str">
            <v>GU5322320-002L001</v>
          </cell>
          <cell r="E4334" t="str">
            <v>后端梁</v>
          </cell>
        </row>
        <row r="4335">
          <cell r="D4335" t="str">
            <v>GU5322320-002L001</v>
          </cell>
          <cell r="E4335" t="str">
            <v>后端梁</v>
          </cell>
        </row>
        <row r="4336">
          <cell r="D4336" t="str">
            <v>GU5322320-002L001</v>
          </cell>
          <cell r="E4336" t="str">
            <v>后端梁</v>
          </cell>
        </row>
        <row r="4337">
          <cell r="D4337" t="str">
            <v>GU5322320-002L001</v>
          </cell>
          <cell r="E4337" t="str">
            <v>后端梁</v>
          </cell>
        </row>
        <row r="4338">
          <cell r="D4338" t="str">
            <v>GU5322320-002L001</v>
          </cell>
          <cell r="E4338" t="str">
            <v>后端梁</v>
          </cell>
        </row>
        <row r="4339">
          <cell r="D4339" t="str">
            <v>GU5336113-001R001</v>
          </cell>
          <cell r="E4339" t="str">
            <v>STA8510~9055右上大梁</v>
          </cell>
        </row>
        <row r="4340">
          <cell r="D4340" t="str">
            <v>DD-J10B-02021-3/1-Z</v>
          </cell>
          <cell r="E4340" t="str">
            <v>雷达罩锁支座</v>
          </cell>
        </row>
        <row r="4341">
          <cell r="D4341" t="str">
            <v>DD-J10B-02021-3/1-Y</v>
          </cell>
          <cell r="E4341" t="str">
            <v>雷达罩锁支座</v>
          </cell>
        </row>
        <row r="4342">
          <cell r="D4342" t="str">
            <v>DD-J10-21102-120-1-Z</v>
          </cell>
          <cell r="E4342" t="str">
            <v>9480梁</v>
          </cell>
        </row>
        <row r="4343">
          <cell r="D4343" t="str">
            <v>DD-J10B-25002-30G2-1G2-Z</v>
          </cell>
          <cell r="E4343" t="str">
            <v>梁（左件）</v>
          </cell>
        </row>
        <row r="4344">
          <cell r="D4344" t="str">
            <v>DD-J10B-25002-30G2-1G2-Z</v>
          </cell>
          <cell r="E4344" t="str">
            <v>梁（左件）</v>
          </cell>
        </row>
        <row r="4345">
          <cell r="D4345" t="str">
            <v>DD-J10B-25002-30G2-1G2-Z</v>
          </cell>
          <cell r="E4345" t="str">
            <v>梁（左件）</v>
          </cell>
        </row>
        <row r="4346">
          <cell r="D4346" t="str">
            <v>DD-J10B-25002-30G2-1G2-Z</v>
          </cell>
          <cell r="E4346" t="str">
            <v>梁（左件）</v>
          </cell>
        </row>
        <row r="4347">
          <cell r="D4347" t="str">
            <v>DD-J10B-25002-30G2-1G2-Z</v>
          </cell>
          <cell r="E4347" t="str">
            <v>梁（左件）</v>
          </cell>
        </row>
        <row r="4348">
          <cell r="D4348" t="str">
            <v>DD-J10B-25002-30G2-1G2-Z</v>
          </cell>
          <cell r="E4348" t="str">
            <v>梁（左件）</v>
          </cell>
        </row>
        <row r="4349">
          <cell r="D4349" t="str">
            <v>DD-J10-41153-140-1</v>
          </cell>
          <cell r="E4349" t="str">
            <v>开锁摇臂</v>
          </cell>
        </row>
        <row r="4350">
          <cell r="D4350" t="str">
            <v>XXX-620000-07（F2)</v>
          </cell>
          <cell r="E4350" t="str">
            <v>线夹压环（F2）</v>
          </cell>
        </row>
        <row r="4351">
          <cell r="D4351" t="str">
            <v>XXX-620000-06（F2)</v>
          </cell>
          <cell r="E4351" t="str">
            <v>线夹套筒（F2）</v>
          </cell>
        </row>
        <row r="4352">
          <cell r="D4352" t="str">
            <v>XXX-620000-01（F2)</v>
          </cell>
          <cell r="E4352" t="str">
            <v>后盖(F2）</v>
          </cell>
        </row>
        <row r="4353">
          <cell r="D4353" t="str">
            <v>BC531B300-006-001</v>
          </cell>
          <cell r="E4353" t="str">
            <v>2440下框</v>
          </cell>
        </row>
        <row r="4354">
          <cell r="D4354" t="str">
            <v>BC531B300-006-001</v>
          </cell>
          <cell r="E4354" t="str">
            <v>2440下框</v>
          </cell>
        </row>
        <row r="4355">
          <cell r="D4355" t="str">
            <v>BC531D230-003-001</v>
          </cell>
          <cell r="E4355" t="str">
            <v>支架</v>
          </cell>
        </row>
        <row r="4356">
          <cell r="D4356" t="str">
            <v>BC531D230-003-001</v>
          </cell>
          <cell r="E4356" t="str">
            <v>支架</v>
          </cell>
        </row>
        <row r="4357">
          <cell r="D4357" t="str">
            <v>BC531D230-004-001</v>
          </cell>
          <cell r="E4357" t="str">
            <v>支架</v>
          </cell>
        </row>
        <row r="4358">
          <cell r="D4358" t="str">
            <v>BC531D230-004-001</v>
          </cell>
          <cell r="E4358" t="str">
            <v>支架</v>
          </cell>
        </row>
        <row r="4359">
          <cell r="D4359" t="str">
            <v>Y20-4354233101-001</v>
          </cell>
          <cell r="E4359" t="str">
            <v>氧气瓶支架</v>
          </cell>
        </row>
        <row r="4360">
          <cell r="D4360" t="str">
            <v>Y20-4354233101-001</v>
          </cell>
          <cell r="E4360" t="str">
            <v>氧气瓶支架</v>
          </cell>
        </row>
        <row r="4361">
          <cell r="D4361" t="str">
            <v>BC221T2MF-002-001</v>
          </cell>
          <cell r="E4361" t="str">
            <v>传感器底座</v>
          </cell>
        </row>
        <row r="4362">
          <cell r="D4362" t="str">
            <v>BC221T2MF-002-001</v>
          </cell>
          <cell r="E4362" t="str">
            <v>传感器底座</v>
          </cell>
        </row>
        <row r="4363">
          <cell r="D4363" t="str">
            <v>BC221T2MF-002-001</v>
          </cell>
          <cell r="E4363" t="str">
            <v>传感器底座</v>
          </cell>
        </row>
        <row r="4364">
          <cell r="D4364" t="str">
            <v>BC221T2MF-002-001</v>
          </cell>
          <cell r="E4364" t="str">
            <v>传感器底座</v>
          </cell>
        </row>
        <row r="4365">
          <cell r="D4365" t="str">
            <v>DD-J10B-61001-2</v>
          </cell>
          <cell r="E4365" t="str">
            <v>接头</v>
          </cell>
        </row>
        <row r="4366">
          <cell r="D4366" t="str">
            <v>DD-J10B-61001-2</v>
          </cell>
          <cell r="E4366" t="str">
            <v>接头</v>
          </cell>
        </row>
        <row r="4367">
          <cell r="D4367" t="str">
            <v>DD-J10-55181-66</v>
          </cell>
          <cell r="E4367" t="str">
            <v>转接管接头</v>
          </cell>
        </row>
        <row r="4368">
          <cell r="D4368" t="str">
            <v>DD-J10B-02081-404</v>
          </cell>
          <cell r="E4368" t="str">
            <v>支座</v>
          </cell>
        </row>
        <row r="4369">
          <cell r="D4369" t="str">
            <v>DD-J10B-02041-2-Z</v>
          </cell>
          <cell r="E4369" t="str">
            <v>前上大梁（左）</v>
          </cell>
        </row>
        <row r="4370">
          <cell r="D4370" t="str">
            <v>DD-J10-21102-120-1-Z</v>
          </cell>
          <cell r="E4370" t="str">
            <v>9480梁（左件）</v>
          </cell>
        </row>
        <row r="4371">
          <cell r="D4371" t="str">
            <v>DD-J10-21102-120-1-Z</v>
          </cell>
          <cell r="E4371" t="str">
            <v>9480梁（左件）</v>
          </cell>
        </row>
        <row r="4372">
          <cell r="D4372" t="str">
            <v>DD-J10-21102-120-1-Z</v>
          </cell>
          <cell r="E4372" t="str">
            <v>9480梁（左件）</v>
          </cell>
        </row>
        <row r="4373">
          <cell r="D4373" t="str">
            <v>DD-J10B-25002-30G2-1G2-Y</v>
          </cell>
          <cell r="E4373" t="str">
            <v>梁（右件）</v>
          </cell>
        </row>
        <row r="4374">
          <cell r="D4374" t="str">
            <v>DD-J10B-25002-30G2-1G2-Y</v>
          </cell>
          <cell r="E4374" t="str">
            <v>梁（右件）</v>
          </cell>
        </row>
        <row r="4375">
          <cell r="D4375" t="str">
            <v>DD-J10B-25002-30G2-1G2-Y</v>
          </cell>
          <cell r="E4375" t="str">
            <v>梁（右件）</v>
          </cell>
        </row>
        <row r="4376">
          <cell r="D4376" t="str">
            <v>DD-J10B-25002-30G2-1G2-Y</v>
          </cell>
          <cell r="E4376" t="str">
            <v>梁（右件）</v>
          </cell>
        </row>
        <row r="4377">
          <cell r="D4377" t="str">
            <v>DD-J10B-25002-30G2-1G2-Y</v>
          </cell>
          <cell r="E4377" t="str">
            <v>梁（右件）</v>
          </cell>
        </row>
        <row r="4378">
          <cell r="D4378" t="str">
            <v>DD-J10B-25002-30G2-1G2-Y</v>
          </cell>
          <cell r="E4378" t="str">
            <v>梁（右件）</v>
          </cell>
        </row>
        <row r="4379">
          <cell r="D4379" t="str">
            <v>BC22821A0-002-002</v>
          </cell>
          <cell r="E4379" t="str">
            <v>支臂</v>
          </cell>
        </row>
        <row r="4380">
          <cell r="D4380" t="str">
            <v>BC699010H-001-001</v>
          </cell>
          <cell r="E4380" t="str">
            <v>支架</v>
          </cell>
        </row>
        <row r="4381">
          <cell r="D4381" t="str">
            <v>BC22821A0-008-001</v>
          </cell>
          <cell r="E4381" t="str">
            <v>角片</v>
          </cell>
        </row>
        <row r="4382">
          <cell r="D4382" t="str">
            <v>DD-J10-21102-250-2-Z</v>
          </cell>
          <cell r="E4382" t="str">
            <v>11900梁二段</v>
          </cell>
        </row>
        <row r="4383">
          <cell r="D4383" t="str">
            <v>DD-J10B-04061-1</v>
          </cell>
          <cell r="E4383" t="str">
            <v>10860框</v>
          </cell>
        </row>
        <row r="4384">
          <cell r="D4384" t="str">
            <v>DD-J10B-04061-1</v>
          </cell>
          <cell r="E4384" t="str">
            <v>10860框</v>
          </cell>
        </row>
        <row r="4385">
          <cell r="D4385" t="str">
            <v>DD-J10B-04061-1</v>
          </cell>
          <cell r="E4385" t="str">
            <v>10860框</v>
          </cell>
        </row>
        <row r="4386">
          <cell r="D4386" t="str">
            <v>DD-J10B-04061-1</v>
          </cell>
          <cell r="E4386" t="str">
            <v>10860框</v>
          </cell>
        </row>
        <row r="4387">
          <cell r="D4387" t="str">
            <v>DD-J10B-04041-1</v>
          </cell>
          <cell r="E4387" t="str">
            <v>10060框</v>
          </cell>
        </row>
        <row r="4388">
          <cell r="D4388" t="str">
            <v>DD-J10B-04041-1</v>
          </cell>
          <cell r="E4388" t="str">
            <v>10060框</v>
          </cell>
        </row>
        <row r="4389">
          <cell r="D4389" t="str">
            <v>DD-J10B-04041-1</v>
          </cell>
          <cell r="E4389" t="str">
            <v>10060框</v>
          </cell>
        </row>
        <row r="4390">
          <cell r="D4390" t="str">
            <v>DD-J10-21102-60/-1/2-Z</v>
          </cell>
          <cell r="E4390" t="str">
            <v>11968下口盖</v>
          </cell>
        </row>
        <row r="4391">
          <cell r="D4391" t="str">
            <v>DD-J10-21102-60/-1/3-Z</v>
          </cell>
          <cell r="E4391" t="str">
            <v>11968下口盖</v>
          </cell>
        </row>
        <row r="4392">
          <cell r="D4392" t="str">
            <v>DD-J10-21102-60/-1/4-Z</v>
          </cell>
          <cell r="E4392" t="str">
            <v>11968下口盖</v>
          </cell>
        </row>
        <row r="4393">
          <cell r="D4393" t="str">
            <v>CB22924K0-001-005</v>
          </cell>
          <cell r="E4393" t="str">
            <v>角片</v>
          </cell>
        </row>
        <row r="4394">
          <cell r="D4394" t="str">
            <v>CB22924J0-002-005</v>
          </cell>
          <cell r="E4394" t="str">
            <v>角片</v>
          </cell>
        </row>
        <row r="4395">
          <cell r="D4395" t="str">
            <v>CB22924J0-002-005</v>
          </cell>
          <cell r="E4395" t="str">
            <v>角片</v>
          </cell>
        </row>
        <row r="4396">
          <cell r="D4396" t="str">
            <v>531A2250-002-001 C</v>
          </cell>
          <cell r="E4396" t="str">
            <v>接头</v>
          </cell>
        </row>
        <row r="4397">
          <cell r="D4397" t="str">
            <v>531A2250-003-001 A</v>
          </cell>
          <cell r="E4397" t="str">
            <v>接头</v>
          </cell>
        </row>
        <row r="4398">
          <cell r="D4398" t="str">
            <v>531A3410-004-001 A</v>
          </cell>
          <cell r="E4398" t="str">
            <v>支撑件</v>
          </cell>
        </row>
        <row r="4399">
          <cell r="D4399" t="str">
            <v>531A3410-004-001 A</v>
          </cell>
          <cell r="E4399" t="str">
            <v>支撑件</v>
          </cell>
        </row>
        <row r="4400">
          <cell r="D4400" t="str">
            <v>531A3420-000-035 A</v>
          </cell>
          <cell r="E4400" t="str">
            <v>地板支撑件</v>
          </cell>
        </row>
        <row r="4401">
          <cell r="D4401" t="str">
            <v>531A3420-000-035 A</v>
          </cell>
          <cell r="E4401" t="str">
            <v>地板支撑件</v>
          </cell>
        </row>
        <row r="4402">
          <cell r="D4402" t="str">
            <v>531A3420-000-139 A</v>
          </cell>
          <cell r="E4402" t="str">
            <v>地板支撑件</v>
          </cell>
        </row>
        <row r="4403">
          <cell r="D4403" t="str">
            <v>531A3420-000-165 A</v>
          </cell>
          <cell r="E4403" t="str">
            <v>地板支撑件</v>
          </cell>
        </row>
        <row r="4404">
          <cell r="D4404" t="str">
            <v>531A3420-000-165 A</v>
          </cell>
          <cell r="E4404" t="str">
            <v>地板支撑件</v>
          </cell>
        </row>
        <row r="4405">
          <cell r="D4405" t="str">
            <v>BC5702200-003L002</v>
          </cell>
          <cell r="E4405" t="str">
            <v>前框</v>
          </cell>
        </row>
        <row r="4406">
          <cell r="D4406" t="str">
            <v>BC5702200-003R002</v>
          </cell>
          <cell r="E4406" t="str">
            <v>前框</v>
          </cell>
        </row>
        <row r="4407">
          <cell r="D4407" t="str">
            <v>CB5715000-002R002</v>
          </cell>
          <cell r="E4407" t="str">
            <v>固定前缘根肋</v>
          </cell>
        </row>
        <row r="4408">
          <cell r="D4408" t="str">
            <v>CB5715000-002R002</v>
          </cell>
          <cell r="E4408" t="str">
            <v>固定前缘根肋</v>
          </cell>
        </row>
        <row r="4409">
          <cell r="D4409" t="str">
            <v>CB5715000-002R002</v>
          </cell>
          <cell r="E4409" t="str">
            <v>固定前缘根肋</v>
          </cell>
        </row>
        <row r="4410">
          <cell r="D4410" t="str">
            <v>CB5715000-002R002</v>
          </cell>
          <cell r="E4410" t="str">
            <v>固定前缘根肋</v>
          </cell>
        </row>
        <row r="4411">
          <cell r="D4411" t="str">
            <v>CB5715000-002L002</v>
          </cell>
          <cell r="E4411" t="str">
            <v>固定前缘根肋</v>
          </cell>
        </row>
        <row r="4412">
          <cell r="D4412" t="str">
            <v>CB5715000-002L002</v>
          </cell>
          <cell r="E4412" t="str">
            <v>固定前缘根肋</v>
          </cell>
        </row>
        <row r="4413">
          <cell r="D4413" t="str">
            <v>CB5715000-002L002</v>
          </cell>
          <cell r="E4413" t="str">
            <v>固定前缘根肋</v>
          </cell>
        </row>
        <row r="4414">
          <cell r="D4414" t="str">
            <v>CB5715000-002L002</v>
          </cell>
          <cell r="E4414" t="str">
            <v>固定前缘根肋</v>
          </cell>
        </row>
        <row r="4415">
          <cell r="D4415" t="str">
            <v>I-01</v>
          </cell>
          <cell r="E4415" t="str">
            <v>腔体(I)</v>
          </cell>
        </row>
        <row r="4416">
          <cell r="D4416" t="str">
            <v>I-02</v>
          </cell>
          <cell r="E4416" t="str">
            <v>盖板(I)</v>
          </cell>
        </row>
        <row r="4417">
          <cell r="D4417" t="str">
            <v>I-03</v>
          </cell>
          <cell r="E4417" t="str">
            <v>填充介质A</v>
          </cell>
        </row>
        <row r="4418">
          <cell r="D4418" t="str">
            <v>I-04</v>
          </cell>
          <cell r="E4418" t="str">
            <v>填充介质B</v>
          </cell>
        </row>
        <row r="4419">
          <cell r="D4419" t="str">
            <v>I-05</v>
          </cell>
          <cell r="E4419" t="str">
            <v>内导体</v>
          </cell>
        </row>
        <row r="4420">
          <cell r="D4420" t="str">
            <v>I-06</v>
          </cell>
          <cell r="E4420" t="str">
            <v>调谐钉</v>
          </cell>
        </row>
        <row r="4421">
          <cell r="D4421" t="str">
            <v>II-01</v>
          </cell>
          <cell r="E4421" t="str">
            <v>腔体(II)</v>
          </cell>
        </row>
        <row r="4422">
          <cell r="D4422" t="str">
            <v>II-02</v>
          </cell>
          <cell r="E4422" t="str">
            <v>盖板(II)</v>
          </cell>
        </row>
        <row r="4423">
          <cell r="D4423" t="str">
            <v>II-03</v>
          </cell>
          <cell r="E4423" t="str">
            <v>填充介质A</v>
          </cell>
        </row>
        <row r="4424">
          <cell r="D4424" t="str">
            <v>II-04</v>
          </cell>
          <cell r="E4424" t="str">
            <v>填充介质B</v>
          </cell>
        </row>
        <row r="4425">
          <cell r="D4425" t="str">
            <v>II-05</v>
          </cell>
          <cell r="E4425" t="str">
            <v>内导体</v>
          </cell>
        </row>
        <row r="4426">
          <cell r="D4426" t="str">
            <v>II-06</v>
          </cell>
          <cell r="E4426" t="str">
            <v>调谐钉</v>
          </cell>
        </row>
        <row r="4427">
          <cell r="D4427" t="str">
            <v>W12J1 ZQ31A -000-01</v>
          </cell>
          <cell r="E4427" t="str">
            <v>XXX组件驱动装置离心夹具</v>
          </cell>
        </row>
        <row r="4428">
          <cell r="D4428" t="str">
            <v>XXX-000-00</v>
          </cell>
          <cell r="E4428" t="str">
            <v>离心夹具组合件</v>
          </cell>
        </row>
        <row r="4429">
          <cell r="D4429" t="str">
            <v>XXX-000-01</v>
          </cell>
          <cell r="E4429" t="str">
            <v>离心夹具</v>
          </cell>
        </row>
        <row r="4430">
          <cell r="D4430" t="str">
            <v>XXX-000-00</v>
          </cell>
          <cell r="E4430" t="str">
            <v>振动夹具II组合件</v>
          </cell>
        </row>
        <row r="4431">
          <cell r="D4431" t="str">
            <v>XXX-000-01</v>
          </cell>
          <cell r="E4431" t="str">
            <v>振动夹具II</v>
          </cell>
        </row>
        <row r="4432">
          <cell r="D4432" t="str">
            <v>XXX-000-00</v>
          </cell>
          <cell r="E4432" t="str">
            <v>振动夹具I组合件</v>
          </cell>
        </row>
        <row r="4433">
          <cell r="D4433" t="str">
            <v>XXX-000-01</v>
          </cell>
          <cell r="E4433" t="str">
            <v>振动夹具I</v>
          </cell>
        </row>
        <row r="4434">
          <cell r="D4434" t="str">
            <v>XXX-000-02</v>
          </cell>
          <cell r="E4434" t="str">
            <v>装置减振器模拟件</v>
          </cell>
        </row>
        <row r="4435">
          <cell r="D4435" t="str">
            <v>GU5322320-002L001</v>
          </cell>
          <cell r="E4435" t="str">
            <v>后端梁</v>
          </cell>
        </row>
        <row r="4436">
          <cell r="D4436" t="str">
            <v>GU5322320-002L001</v>
          </cell>
          <cell r="E4436" t="str">
            <v>后端梁</v>
          </cell>
        </row>
        <row r="4437">
          <cell r="D4437" t="str">
            <v>GU5322320-002L001</v>
          </cell>
          <cell r="E4437" t="str">
            <v>后端梁</v>
          </cell>
        </row>
        <row r="4438">
          <cell r="D4438" t="str">
            <v>GU5322320-002L001</v>
          </cell>
          <cell r="E4438" t="str">
            <v>后端梁</v>
          </cell>
        </row>
        <row r="4439">
          <cell r="D4439" t="str">
            <v>GU5322320-002L001</v>
          </cell>
          <cell r="E4439" t="str">
            <v>后端梁</v>
          </cell>
        </row>
        <row r="4440">
          <cell r="D4440" t="str">
            <v>GU5322320-002L001</v>
          </cell>
          <cell r="E4440" t="str">
            <v>后端梁</v>
          </cell>
        </row>
        <row r="4441">
          <cell r="D4441" t="str">
            <v>GU5322320-002R001</v>
          </cell>
          <cell r="E4441" t="str">
            <v>后端梁</v>
          </cell>
        </row>
        <row r="4442">
          <cell r="D4442" t="str">
            <v>GU5322320-002R001</v>
          </cell>
          <cell r="E4442" t="str">
            <v>后端梁</v>
          </cell>
        </row>
        <row r="4443">
          <cell r="D4443" t="str">
            <v>GU5322320-002R001</v>
          </cell>
          <cell r="E4443" t="str">
            <v>后端梁</v>
          </cell>
        </row>
        <row r="4444">
          <cell r="D4444" t="str">
            <v>GU5322320-002R001</v>
          </cell>
          <cell r="E4444" t="str">
            <v>后端梁</v>
          </cell>
        </row>
        <row r="4445">
          <cell r="D4445" t="str">
            <v>GU5322320-002R001</v>
          </cell>
          <cell r="E4445" t="str">
            <v>后端梁</v>
          </cell>
        </row>
        <row r="4446">
          <cell r="D4446" t="str">
            <v>GU5322320-002R001</v>
          </cell>
          <cell r="E4446" t="str">
            <v>后端梁</v>
          </cell>
        </row>
        <row r="4447">
          <cell r="D4447" t="str">
            <v>XXXXC-000-00</v>
          </cell>
          <cell r="E4447" t="str">
            <v>XXX开关离心夹具组合件</v>
          </cell>
        </row>
        <row r="4448">
          <cell r="D4448" t="str">
            <v>XXXXC-000-01</v>
          </cell>
          <cell r="E4448" t="str">
            <v>XXX开关离心夹具</v>
          </cell>
        </row>
        <row r="4449">
          <cell r="D4449" t="str">
            <v>W12J1 GF31A-GZ31C-000-00</v>
          </cell>
          <cell r="E4449" t="str">
            <v>XXXXXX振动夹具组合件</v>
          </cell>
        </row>
        <row r="4450">
          <cell r="D4450" t="str">
            <v>W12J1 GF31A-GZ31C-000-01</v>
          </cell>
          <cell r="E4450" t="str">
            <v>XXXXXX振动夹具</v>
          </cell>
        </row>
        <row r="4451">
          <cell r="D4451" t="str">
            <v>W12J1 GF31A-GZ31C-000-02</v>
          </cell>
          <cell r="E4451" t="str">
            <v>XXX开关转接板</v>
          </cell>
        </row>
        <row r="4452">
          <cell r="D4452" t="str">
            <v>W12J1 GF31A-GZ31C-000-03</v>
          </cell>
          <cell r="E4452" t="str">
            <v>XXX转接板</v>
          </cell>
        </row>
        <row r="4453">
          <cell r="D4453" t="str">
            <v>XXX-000-01(H)</v>
          </cell>
          <cell r="E4453" t="str">
            <v>壳体</v>
          </cell>
        </row>
        <row r="4454">
          <cell r="D4454" t="str">
            <v>XXX-000-02(H)</v>
          </cell>
          <cell r="E4454" t="str">
            <v>隔板</v>
          </cell>
        </row>
        <row r="4455">
          <cell r="D4455" t="str">
            <v>XXX-100-01(H)</v>
          </cell>
          <cell r="E4455" t="str">
            <v>盖板</v>
          </cell>
        </row>
        <row r="4456">
          <cell r="D4456" t="str">
            <v>XXX-210-01(H)</v>
          </cell>
          <cell r="E4456" t="str">
            <v>元件安装板</v>
          </cell>
        </row>
        <row r="4457">
          <cell r="D4457" t="str">
            <v>XXX-3121000-01</v>
          </cell>
          <cell r="E4457" t="str">
            <v>支架</v>
          </cell>
        </row>
        <row r="4458">
          <cell r="D4458" t="str">
            <v>XXX-3121000-02</v>
          </cell>
          <cell r="E4458" t="str">
            <v>铝框架</v>
          </cell>
        </row>
        <row r="4459">
          <cell r="D4459" t="str">
            <v>XXX-3121000-03</v>
          </cell>
          <cell r="E4459" t="str">
            <v>上盖板</v>
          </cell>
        </row>
        <row r="4460">
          <cell r="D4460" t="str">
            <v>XXX-3121000-04</v>
          </cell>
          <cell r="E4460" t="str">
            <v>压线卡</v>
          </cell>
        </row>
        <row r="4461">
          <cell r="D4461" t="str">
            <v>XXX-3122000-01</v>
          </cell>
          <cell r="E4461" t="str">
            <v>框架</v>
          </cell>
        </row>
        <row r="4462">
          <cell r="D4462" t="str">
            <v>XXX-3122000-02</v>
          </cell>
          <cell r="E4462" t="str">
            <v>侧盖板</v>
          </cell>
        </row>
        <row r="4463">
          <cell r="D4463" t="str">
            <v>XXX-7110000-01</v>
          </cell>
          <cell r="E4463" t="str">
            <v>腔体</v>
          </cell>
        </row>
        <row r="4464">
          <cell r="D4464" t="str">
            <v>XXX-7110000-02</v>
          </cell>
          <cell r="E4464" t="str">
            <v>上盖板</v>
          </cell>
        </row>
        <row r="4465">
          <cell r="D4465" t="str">
            <v>XXX-7110000-03</v>
          </cell>
          <cell r="E4465" t="str">
            <v>侧盖板</v>
          </cell>
        </row>
        <row r="4466">
          <cell r="D4466" t="str">
            <v>XXX-34/F1-000-01</v>
          </cell>
          <cell r="E4466" t="str">
            <v>XXX组合件壳体</v>
          </cell>
        </row>
        <row r="4467">
          <cell r="D4467" t="str">
            <v>DD-J10B-61001-2</v>
          </cell>
          <cell r="E4467" t="str">
            <v>接头</v>
          </cell>
        </row>
        <row r="4468">
          <cell r="D4468" t="str">
            <v>531A3420-000-029 A</v>
          </cell>
          <cell r="E4468" t="str">
            <v>地板支撑件</v>
          </cell>
        </row>
        <row r="4469">
          <cell r="D4469" t="str">
            <v>DD-J10B-26002-1G2-Z</v>
          </cell>
          <cell r="E4469" t="str">
            <v>梁（左件）</v>
          </cell>
        </row>
        <row r="4470">
          <cell r="D4470" t="str">
            <v>DD-J10B-26002-1G2-Z</v>
          </cell>
          <cell r="E4470" t="str">
            <v>梁（左件）</v>
          </cell>
        </row>
        <row r="4471">
          <cell r="D4471" t="str">
            <v>DD-J10B-26002-1G2-Z</v>
          </cell>
          <cell r="E4471" t="str">
            <v>梁（左件）</v>
          </cell>
        </row>
        <row r="4472">
          <cell r="D4472" t="str">
            <v>DD-J10B-26002-1G2-Z</v>
          </cell>
          <cell r="E4472" t="str">
            <v>梁（左件）</v>
          </cell>
        </row>
        <row r="4473">
          <cell r="D4473" t="str">
            <v>DD-J10B-26002-1G2-Z</v>
          </cell>
          <cell r="E4473" t="str">
            <v>梁（左件）</v>
          </cell>
        </row>
        <row r="4474">
          <cell r="D4474" t="str">
            <v>DD-J10B-26002-1G2-Z</v>
          </cell>
          <cell r="E4474" t="str">
            <v>梁（左件）</v>
          </cell>
        </row>
        <row r="4475">
          <cell r="D4475" t="str">
            <v>DD-J10B-26002-1G2-Y</v>
          </cell>
          <cell r="E4475" t="str">
            <v>梁（右件）</v>
          </cell>
        </row>
        <row r="4476">
          <cell r="D4476" t="str">
            <v>DD-J10B-26002-1G2-Y</v>
          </cell>
          <cell r="E4476" t="str">
            <v>梁（右件）</v>
          </cell>
        </row>
        <row r="4477">
          <cell r="D4477" t="str">
            <v>DD-J10B-26002-1G2-Y</v>
          </cell>
          <cell r="E4477" t="str">
            <v>梁（右件）</v>
          </cell>
        </row>
        <row r="4478">
          <cell r="D4478" t="str">
            <v>DD-J10B-26002-1G2-Y</v>
          </cell>
          <cell r="E4478" t="str">
            <v>梁（右件）</v>
          </cell>
        </row>
        <row r="4479">
          <cell r="D4479" t="str">
            <v>DD-J10B-26002-1G2-Y</v>
          </cell>
          <cell r="E4479" t="str">
            <v>梁（右件）</v>
          </cell>
        </row>
        <row r="4480">
          <cell r="D4480" t="str">
            <v>DD-J10B-26002-1G2-Y</v>
          </cell>
          <cell r="E4480" t="str">
            <v>梁（右件）</v>
          </cell>
        </row>
        <row r="4481">
          <cell r="D4481" t="str">
            <v>DD-J10B-04321-30-1-Y</v>
          </cell>
          <cell r="E4481" t="str">
            <v>侧下梁（右件）</v>
          </cell>
        </row>
        <row r="4482">
          <cell r="D4482" t="str">
            <v>DD-J10B-04321-30-1-Y</v>
          </cell>
          <cell r="E4482" t="str">
            <v>侧下梁（右件）</v>
          </cell>
        </row>
        <row r="4483">
          <cell r="D4483" t="str">
            <v>DD-J10B-04321-30-1-Y</v>
          </cell>
          <cell r="E4483" t="str">
            <v>侧下梁（右件）</v>
          </cell>
        </row>
        <row r="4484">
          <cell r="D4484" t="str">
            <v>DD-J10B-04321-30-1-Y</v>
          </cell>
          <cell r="E4484" t="str">
            <v>侧下梁（右件）</v>
          </cell>
        </row>
        <row r="4485">
          <cell r="D4485" t="str">
            <v>DD-J10B-04321-30-1-Y</v>
          </cell>
          <cell r="E4485" t="str">
            <v>侧下梁（右件）</v>
          </cell>
        </row>
        <row r="4486">
          <cell r="D4486" t="str">
            <v>DD-J10B-04321-30-1-Y</v>
          </cell>
          <cell r="E4486" t="str">
            <v>侧下梁（右件）</v>
          </cell>
        </row>
        <row r="4487">
          <cell r="D4487" t="str">
            <v>DD-J10B-04321-30-1-Y</v>
          </cell>
          <cell r="E4487" t="str">
            <v>侧下梁（右件）</v>
          </cell>
        </row>
        <row r="4488">
          <cell r="D4488" t="str">
            <v>DD-J10B-04321-30-1-Y</v>
          </cell>
          <cell r="E4488" t="str">
            <v>侧下梁（右件）</v>
          </cell>
        </row>
        <row r="4489">
          <cell r="D4489" t="str">
            <v>DD-J10B-04321-30-1-Z</v>
          </cell>
          <cell r="E4489" t="str">
            <v>侧下梁（左件）</v>
          </cell>
        </row>
        <row r="4490">
          <cell r="D4490" t="str">
            <v>DD-J10B-04321-30-1-Z</v>
          </cell>
          <cell r="E4490" t="str">
            <v>侧下梁（左件）</v>
          </cell>
        </row>
        <row r="4491">
          <cell r="D4491" t="str">
            <v>DD-J10B-04321-30-1-Z</v>
          </cell>
          <cell r="E4491" t="str">
            <v>侧下梁（左件）</v>
          </cell>
        </row>
        <row r="4492">
          <cell r="D4492" t="str">
            <v>DD-J10B-04321-30-1-Z</v>
          </cell>
          <cell r="E4492" t="str">
            <v>侧下梁（左件）</v>
          </cell>
        </row>
        <row r="4493">
          <cell r="D4493" t="str">
            <v>DD-J10B-04321-30-1-Z</v>
          </cell>
          <cell r="E4493" t="str">
            <v>侧下梁（左件）</v>
          </cell>
        </row>
        <row r="4494">
          <cell r="D4494" t="str">
            <v>DD-J10B-04321-30-1-Z</v>
          </cell>
          <cell r="E4494" t="str">
            <v>侧下梁（左件）</v>
          </cell>
        </row>
        <row r="4495">
          <cell r="D4495" t="str">
            <v>DD-J10B-04321-30-1-Z</v>
          </cell>
          <cell r="E4495" t="str">
            <v>侧下梁（左件）</v>
          </cell>
        </row>
        <row r="4496">
          <cell r="D4496" t="str">
            <v>DD-J10B-04321-30-1-Z</v>
          </cell>
          <cell r="E4496" t="str">
            <v>侧下梁（左件）</v>
          </cell>
        </row>
        <row r="4497">
          <cell r="D4497" t="str">
            <v>CB5512300-006R003</v>
          </cell>
          <cell r="E4497" t="str">
            <v>1#斜肋</v>
          </cell>
        </row>
        <row r="4498">
          <cell r="D4498" t="str">
            <v>CB5512300-006L003</v>
          </cell>
          <cell r="E4498" t="str">
            <v>1#斜肋</v>
          </cell>
        </row>
        <row r="4499">
          <cell r="D4499" t="str">
            <v>CB5314240-012-003</v>
          </cell>
          <cell r="E4499" t="str">
            <v>后顶板</v>
          </cell>
        </row>
        <row r="4500">
          <cell r="D4500" t="str">
            <v>CB5314240-012-003</v>
          </cell>
          <cell r="E4500" t="str">
            <v>后顶板</v>
          </cell>
        </row>
        <row r="4501">
          <cell r="D4501" t="str">
            <v>DD-J10B-24002-60G2-1G2-Z</v>
          </cell>
          <cell r="E4501" t="str">
            <v>付翼前梁</v>
          </cell>
        </row>
        <row r="4502">
          <cell r="D4502" t="str">
            <v>DD-J10B-24002-60G2-1G2-Y</v>
          </cell>
          <cell r="E4502" t="str">
            <v>付翼前梁</v>
          </cell>
        </row>
        <row r="4503">
          <cell r="D4503" t="str">
            <v>DD-J10B-04051-1</v>
          </cell>
          <cell r="E4503" t="str">
            <v>10460框</v>
          </cell>
        </row>
        <row r="4504">
          <cell r="D4504" t="str">
            <v>DD-J10B-04051-1</v>
          </cell>
          <cell r="E4504" t="str">
            <v>10460框</v>
          </cell>
        </row>
        <row r="4505">
          <cell r="D4505" t="str">
            <v>BC2291141-002-002</v>
          </cell>
          <cell r="E4505" t="str">
            <v>应急泵支架</v>
          </cell>
        </row>
        <row r="4506">
          <cell r="D4506" t="str">
            <v>BC2291141-002-002</v>
          </cell>
          <cell r="E4506" t="str">
            <v>应急泵支架</v>
          </cell>
        </row>
        <row r="4507">
          <cell r="D4507" t="str">
            <v>DD-J10B-94076-802</v>
          </cell>
          <cell r="E4507" t="str">
            <v>支架</v>
          </cell>
        </row>
        <row r="4508">
          <cell r="D4508" t="str">
            <v>DD-J10B-94076-802</v>
          </cell>
          <cell r="E4508" t="str">
            <v>支架</v>
          </cell>
        </row>
        <row r="4509">
          <cell r="D4509" t="str">
            <v>DD-J10B-65000-1710G2-1</v>
          </cell>
          <cell r="E4509" t="str">
            <v>连杆</v>
          </cell>
        </row>
        <row r="4510">
          <cell r="D4510" t="str">
            <v>DD-J10-41173-141</v>
          </cell>
          <cell r="E4510" t="str">
            <v>拨叉</v>
          </cell>
        </row>
        <row r="4511">
          <cell r="D4511" t="str">
            <v>DD-J10-41173-147</v>
          </cell>
          <cell r="E4511" t="str">
            <v>拨叉</v>
          </cell>
        </row>
        <row r="4512">
          <cell r="D4512" t="str">
            <v>DD-J10-41035-124</v>
          </cell>
          <cell r="E4512" t="str">
            <v>垫圈</v>
          </cell>
        </row>
        <row r="4513">
          <cell r="D4513" t="str">
            <v>DD-J10B-94061-1061/3</v>
          </cell>
          <cell r="E4513" t="str">
            <v>法兰盘</v>
          </cell>
        </row>
        <row r="4514">
          <cell r="D4514" t="str">
            <v>DD-J10-41123-1102</v>
          </cell>
          <cell r="E4514" t="str">
            <v>塞子</v>
          </cell>
        </row>
        <row r="4515">
          <cell r="D4515" t="str">
            <v>DD-J10-41123-1102</v>
          </cell>
          <cell r="E4515" t="str">
            <v>塞子</v>
          </cell>
        </row>
        <row r="4516">
          <cell r="D4516" t="str">
            <v>DD-J10-55014-1400-2</v>
          </cell>
          <cell r="E4516" t="str">
            <v>堵片</v>
          </cell>
        </row>
        <row r="4517">
          <cell r="D4517" t="str">
            <v>DD-J10-42074-160-1</v>
          </cell>
          <cell r="E4517" t="str">
            <v>拉杆</v>
          </cell>
        </row>
        <row r="4518">
          <cell r="D4518" t="str">
            <v>DD-J10-86011-3210-1</v>
          </cell>
          <cell r="E4518" t="str">
            <v>左转接管</v>
          </cell>
        </row>
        <row r="4519">
          <cell r="D4519" t="str">
            <v>DD-J10-41045-130-1-Z</v>
          </cell>
          <cell r="E4519" t="str">
            <v>套筒</v>
          </cell>
        </row>
        <row r="4520">
          <cell r="D4520" t="str">
            <v>DD-J10-55181-1112</v>
          </cell>
          <cell r="E4520" t="str">
            <v>螺栓</v>
          </cell>
        </row>
        <row r="4521">
          <cell r="D4521" t="str">
            <v>DD-J10B-86031-510-4</v>
          </cell>
          <cell r="E4521" t="str">
            <v>套管</v>
          </cell>
        </row>
        <row r="4522">
          <cell r="D4522" t="str">
            <v>DD-J10-55014-2010-1</v>
          </cell>
          <cell r="E4522" t="str">
            <v>管子</v>
          </cell>
        </row>
        <row r="4523">
          <cell r="D4523" t="str">
            <v>DD-J10-41035-123</v>
          </cell>
          <cell r="E4523" t="str">
            <v>垫圈</v>
          </cell>
        </row>
        <row r="4524">
          <cell r="D4524" t="str">
            <v>DD-J10B-55015-4100-1</v>
          </cell>
          <cell r="E4524" t="str">
            <v>垫圈</v>
          </cell>
        </row>
        <row r="4525">
          <cell r="D4525" t="str">
            <v>DD-J10B-55015-4100-1</v>
          </cell>
          <cell r="E4525" t="str">
            <v>垫圈</v>
          </cell>
        </row>
        <row r="4526">
          <cell r="D4526" t="str">
            <v>DD-J10-41123-1111</v>
          </cell>
          <cell r="E4526" t="str">
            <v>销子</v>
          </cell>
        </row>
        <row r="4527">
          <cell r="D4527" t="str">
            <v>DD-J10-41123-1111</v>
          </cell>
          <cell r="E4527" t="str">
            <v>销子</v>
          </cell>
        </row>
        <row r="4528">
          <cell r="D4528" t="str">
            <v>DD-J10-55025-704</v>
          </cell>
          <cell r="E4528" t="str">
            <v>套筒</v>
          </cell>
        </row>
        <row r="4529">
          <cell r="D4529" t="str">
            <v>DD-J10-55025-704</v>
          </cell>
          <cell r="E4529" t="str">
            <v>套筒</v>
          </cell>
        </row>
        <row r="4530">
          <cell r="D4530" t="str">
            <v>DD-J10-55015-6006</v>
          </cell>
          <cell r="E4530" t="str">
            <v>垫圈</v>
          </cell>
        </row>
        <row r="4531">
          <cell r="D4531" t="str">
            <v>DD-J10-55015-6006</v>
          </cell>
          <cell r="E4531" t="str">
            <v>垫圈</v>
          </cell>
        </row>
        <row r="4532">
          <cell r="D4532" t="str">
            <v>DD-J10B-61101-3110-1</v>
          </cell>
          <cell r="E4532" t="str">
            <v>导管</v>
          </cell>
        </row>
        <row r="4533">
          <cell r="D4533" t="str">
            <v>DD-J10-41153-210-1</v>
          </cell>
          <cell r="E4533" t="str">
            <v>管子</v>
          </cell>
        </row>
        <row r="4534">
          <cell r="D4534" t="str">
            <v>DD-J10-41123-1112</v>
          </cell>
          <cell r="E4534" t="str">
            <v>拨棍</v>
          </cell>
        </row>
        <row r="4535">
          <cell r="D4535" t="str">
            <v>DD-J10-41123-1112</v>
          </cell>
          <cell r="E4535" t="str">
            <v>拨棍</v>
          </cell>
        </row>
        <row r="4536">
          <cell r="D4536" t="str">
            <v>DD-J10-41123-1101</v>
          </cell>
          <cell r="E4536" t="str">
            <v>壳体</v>
          </cell>
        </row>
        <row r="4537">
          <cell r="D4537" t="str">
            <v>DD-J10-41123-1101</v>
          </cell>
          <cell r="E4537" t="str">
            <v>壳体</v>
          </cell>
        </row>
        <row r="4538">
          <cell r="D4538" t="str">
            <v>DD-J10-55055-2611</v>
          </cell>
          <cell r="E4538" t="str">
            <v>接管嘴</v>
          </cell>
        </row>
        <row r="4539">
          <cell r="D4539" t="str">
            <v>DD-J10-55055-2611</v>
          </cell>
          <cell r="E4539" t="str">
            <v>接管嘴</v>
          </cell>
        </row>
        <row r="4540">
          <cell r="D4540" t="str">
            <v>BC699010H-014-001</v>
          </cell>
          <cell r="E4540" t="str">
            <v>压件</v>
          </cell>
        </row>
        <row r="4541">
          <cell r="D4541" t="str">
            <v>DD-J10B-34303-4</v>
          </cell>
          <cell r="E4541" t="str">
            <v>支座</v>
          </cell>
        </row>
        <row r="4542">
          <cell r="D4542" t="str">
            <v>DD-J10B-34303-4</v>
          </cell>
          <cell r="E4542" t="str">
            <v>支座</v>
          </cell>
        </row>
        <row r="4543">
          <cell r="D4543" t="str">
            <v>DD-J10-21102-2-Z</v>
          </cell>
          <cell r="E4543" t="str">
            <v>1号下壁板</v>
          </cell>
        </row>
        <row r="4544">
          <cell r="D4544" t="str">
            <v>DD-J10-21102-271</v>
          </cell>
          <cell r="E4544" t="str">
            <v>3#上垫片</v>
          </cell>
        </row>
        <row r="4545">
          <cell r="D4545" t="str">
            <v>DD-J10-21102-272</v>
          </cell>
          <cell r="E4545" t="str">
            <v>3#下垫片</v>
          </cell>
        </row>
        <row r="4546">
          <cell r="D4546" t="str">
            <v>DD-J10-21102-273</v>
          </cell>
          <cell r="E4546" t="str">
            <v>4#上垫片</v>
          </cell>
        </row>
        <row r="4547">
          <cell r="D4547" t="str">
            <v>DD-J10-21102-274</v>
          </cell>
          <cell r="E4547" t="str">
            <v>4#下垫片</v>
          </cell>
        </row>
        <row r="4548">
          <cell r="D4548" t="str">
            <v>531A3420-000-029 A</v>
          </cell>
          <cell r="E4548" t="str">
            <v>地板支撑件</v>
          </cell>
        </row>
        <row r="4549">
          <cell r="D4549" t="str">
            <v>531A2250-003-001 A</v>
          </cell>
          <cell r="E4549" t="str">
            <v>接头</v>
          </cell>
        </row>
        <row r="4550">
          <cell r="D4550" t="str">
            <v>531A2250-002-001 C</v>
          </cell>
          <cell r="E4550" t="str">
            <v>接头</v>
          </cell>
        </row>
        <row r="4551">
          <cell r="D4551" t="str">
            <v>DD-J10B-02121-1AG2-Y</v>
          </cell>
          <cell r="E4551" t="str">
            <v>BL280侧壁（右件）</v>
          </cell>
        </row>
        <row r="4552">
          <cell r="D4552" t="str">
            <v>DD-J10B-02121-1AG2-Y</v>
          </cell>
          <cell r="E4552" t="str">
            <v>BL280侧壁（右件）</v>
          </cell>
        </row>
        <row r="4553">
          <cell r="D4553" t="str">
            <v>XXX-000-01</v>
          </cell>
          <cell r="E4553" t="str">
            <v>正负极接线片</v>
          </cell>
        </row>
        <row r="4554">
          <cell r="D4554" t="str">
            <v>XXX-000-01</v>
          </cell>
          <cell r="E4554" t="str">
            <v>正负极接线片</v>
          </cell>
        </row>
        <row r="4555">
          <cell r="D4555" t="str">
            <v>XXX-000-01</v>
          </cell>
          <cell r="E4555" t="str">
            <v>正负极接线片</v>
          </cell>
        </row>
        <row r="4556">
          <cell r="D4556" t="str">
            <v>XXX-000-02</v>
          </cell>
          <cell r="E4556" t="str">
            <v>点火头接线片</v>
          </cell>
        </row>
        <row r="4557">
          <cell r="D4557" t="str">
            <v>XXX-000-02</v>
          </cell>
          <cell r="E4557" t="str">
            <v>点火头接线片</v>
          </cell>
        </row>
        <row r="4558">
          <cell r="D4558" t="str">
            <v>XXX-000-02</v>
          </cell>
          <cell r="E4558" t="str">
            <v>点火头接线片</v>
          </cell>
        </row>
        <row r="4559">
          <cell r="D4559" t="str">
            <v>XXX-000-03</v>
          </cell>
          <cell r="E4559" t="str">
            <v>堵头</v>
          </cell>
        </row>
        <row r="4560">
          <cell r="D4560" t="str">
            <v>XXX-000-03</v>
          </cell>
          <cell r="E4560" t="str">
            <v>堵头</v>
          </cell>
        </row>
        <row r="4561">
          <cell r="D4561" t="str">
            <v>XXX-000-03</v>
          </cell>
          <cell r="E4561" t="str">
            <v>堵头</v>
          </cell>
        </row>
        <row r="4562">
          <cell r="D4562" t="str">
            <v>XXX-200-04</v>
          </cell>
          <cell r="E4562" t="str">
            <v>正极集电片</v>
          </cell>
        </row>
        <row r="4563">
          <cell r="D4563" t="str">
            <v>XXX-200-04</v>
          </cell>
          <cell r="E4563" t="str">
            <v>正极集电片</v>
          </cell>
        </row>
        <row r="4564">
          <cell r="D4564" t="str">
            <v>XXX-200-04</v>
          </cell>
          <cell r="E4564" t="str">
            <v>正极集电片</v>
          </cell>
        </row>
        <row r="4565">
          <cell r="D4565" t="str">
            <v>XXX-200-11</v>
          </cell>
          <cell r="E4565" t="str">
            <v>负极集电片</v>
          </cell>
        </row>
        <row r="4566">
          <cell r="D4566" t="str">
            <v>XXX-200-11</v>
          </cell>
          <cell r="E4566" t="str">
            <v>负极集电片</v>
          </cell>
        </row>
        <row r="4567">
          <cell r="D4567" t="str">
            <v>XXX-200-11</v>
          </cell>
          <cell r="E4567" t="str">
            <v>负极集电片</v>
          </cell>
        </row>
        <row r="4568">
          <cell r="D4568" t="str">
            <v>XXX-300-01</v>
          </cell>
          <cell r="E4568" t="str">
            <v>盖板</v>
          </cell>
        </row>
        <row r="4569">
          <cell r="D4569" t="str">
            <v>XXX-300-01</v>
          </cell>
          <cell r="E4569" t="str">
            <v>盖板</v>
          </cell>
        </row>
        <row r="4570">
          <cell r="D4570" t="str">
            <v>XXX-300-01</v>
          </cell>
          <cell r="E4570" t="str">
            <v>盖板</v>
          </cell>
        </row>
        <row r="4571">
          <cell r="D4571" t="str">
            <v>XXX-400-01</v>
          </cell>
          <cell r="E4571" t="str">
            <v>导线接线片</v>
          </cell>
        </row>
        <row r="4572">
          <cell r="D4572" t="str">
            <v>XXX-400-01</v>
          </cell>
          <cell r="E4572" t="str">
            <v>导线接线片</v>
          </cell>
        </row>
        <row r="4573">
          <cell r="D4573" t="str">
            <v>XXX-400-01</v>
          </cell>
          <cell r="E4573" t="str">
            <v>导线接线片</v>
          </cell>
        </row>
        <row r="4574">
          <cell r="D4574" t="str">
            <v>T/12-JZ01</v>
          </cell>
          <cell r="E4574" t="str">
            <v>接线柱</v>
          </cell>
        </row>
        <row r="4575">
          <cell r="D4575" t="str">
            <v>X1-2000-01</v>
          </cell>
          <cell r="E4575" t="str">
            <v>盖板</v>
          </cell>
        </row>
        <row r="4576">
          <cell r="D4576" t="str">
            <v>X1-2000-02</v>
          </cell>
          <cell r="E4576" t="str">
            <v>壳体</v>
          </cell>
        </row>
        <row r="4577">
          <cell r="D4577" t="str">
            <v>X1-2000-03</v>
          </cell>
          <cell r="E4577" t="str">
            <v>盖板</v>
          </cell>
        </row>
        <row r="4578">
          <cell r="D4578" t="str">
            <v>BC2271900-001-002</v>
          </cell>
          <cell r="E4578" t="str">
            <v>支架</v>
          </cell>
        </row>
        <row r="4579">
          <cell r="D4579" t="str">
            <v>CB5324321-010-006</v>
          </cell>
          <cell r="E4579" t="str">
            <v>加强件</v>
          </cell>
        </row>
        <row r="4580">
          <cell r="D4580" t="str">
            <v>CB5324321-010-006</v>
          </cell>
          <cell r="E4580" t="str">
            <v>加强件</v>
          </cell>
        </row>
        <row r="4581">
          <cell r="D4581" t="str">
            <v>CB5324321-010-006</v>
          </cell>
          <cell r="E4581" t="str">
            <v>加强件</v>
          </cell>
        </row>
        <row r="4582">
          <cell r="D4582" t="str">
            <v>CB5324321-010-006</v>
          </cell>
          <cell r="E4582" t="str">
            <v>加强件</v>
          </cell>
        </row>
        <row r="4583">
          <cell r="D4583" t="str">
            <v>531A3420-000-041 B</v>
          </cell>
          <cell r="E4583" t="str">
            <v>地板支撑件</v>
          </cell>
        </row>
        <row r="4584">
          <cell r="D4584" t="str">
            <v>531A3420-000-041 B</v>
          </cell>
          <cell r="E4584" t="str">
            <v>地板支撑件</v>
          </cell>
        </row>
        <row r="4585">
          <cell r="D4585" t="str">
            <v>531A3410-006-001 C</v>
          </cell>
          <cell r="E4585" t="str">
            <v>支撑件</v>
          </cell>
        </row>
        <row r="4586">
          <cell r="D4586" t="str">
            <v>531A3410-006-001 C</v>
          </cell>
          <cell r="E4586" t="str">
            <v>支撑件</v>
          </cell>
        </row>
        <row r="4587">
          <cell r="D4587" t="str">
            <v>531A3410-007-001 A</v>
          </cell>
          <cell r="E4587" t="str">
            <v>支撑件</v>
          </cell>
        </row>
        <row r="4588">
          <cell r="D4588" t="str">
            <v>531A3410-007-001 A</v>
          </cell>
          <cell r="E4588" t="str">
            <v>支撑件</v>
          </cell>
        </row>
        <row r="4589">
          <cell r="D4589" t="str">
            <v>531A3410-005-001 B</v>
          </cell>
          <cell r="E4589" t="str">
            <v>支撑件</v>
          </cell>
        </row>
        <row r="4590">
          <cell r="D4590" t="str">
            <v>531A3410-005-001 B</v>
          </cell>
          <cell r="E4590" t="str">
            <v>支撑件</v>
          </cell>
        </row>
        <row r="4591">
          <cell r="D4591" t="str">
            <v>CB5314240-012-003</v>
          </cell>
          <cell r="E4591" t="str">
            <v>后顶板</v>
          </cell>
        </row>
        <row r="4592">
          <cell r="D4592" t="str">
            <v>CB5314240-012-003</v>
          </cell>
          <cell r="E4592" t="str">
            <v>后顶板</v>
          </cell>
        </row>
        <row r="4593">
          <cell r="D4593" t="str">
            <v>CB5314240-012-003</v>
          </cell>
          <cell r="E4593" t="str">
            <v>后顶板</v>
          </cell>
        </row>
        <row r="4594">
          <cell r="D4594" t="str">
            <v>CB5314240-012-003</v>
          </cell>
          <cell r="E4594" t="str">
            <v>后顶板</v>
          </cell>
        </row>
        <row r="4595">
          <cell r="D4595" t="str">
            <v>CB5325210-001-004</v>
          </cell>
          <cell r="E4595" t="str">
            <v>辅助动力舱口盖前段</v>
          </cell>
        </row>
        <row r="4596">
          <cell r="D4596" t="str">
            <v>CB5325210-001-004</v>
          </cell>
          <cell r="E4596" t="str">
            <v>辅助动力舱口盖前段</v>
          </cell>
        </row>
        <row r="4597">
          <cell r="D4597" t="str">
            <v>BC2239411-002-300</v>
          </cell>
          <cell r="E4597" t="str">
            <v>Z型支架</v>
          </cell>
        </row>
        <row r="4598">
          <cell r="D4598" t="str">
            <v>CB5327220-002R001</v>
          </cell>
          <cell r="E4598" t="str">
            <v>型材</v>
          </cell>
        </row>
        <row r="4599">
          <cell r="D4599" t="str">
            <v>CB5327220-002L001</v>
          </cell>
          <cell r="E4599" t="str">
            <v>型材</v>
          </cell>
        </row>
        <row r="4600">
          <cell r="D4600" t="str">
            <v>DD-J10-21102-250-2-Y</v>
          </cell>
          <cell r="E4600" t="str">
            <v>11900梁二段</v>
          </cell>
        </row>
        <row r="4601">
          <cell r="D4601" t="str">
            <v>DD-J10-55165-331</v>
          </cell>
          <cell r="E4601" t="str">
            <v>三通管接头</v>
          </cell>
        </row>
        <row r="4602">
          <cell r="D4602" t="str">
            <v>CB2294440-005-001</v>
          </cell>
          <cell r="E4602" t="str">
            <v>支架</v>
          </cell>
        </row>
        <row r="4603">
          <cell r="D4603" t="str">
            <v>CB2295170-001-001</v>
          </cell>
          <cell r="E4603" t="str">
            <v>安装支座</v>
          </cell>
        </row>
        <row r="4604">
          <cell r="D4604" t="str">
            <v>CB22956R0-001L001</v>
          </cell>
          <cell r="E4604" t="str">
            <v>架子</v>
          </cell>
        </row>
        <row r="4605">
          <cell r="D4605" t="str">
            <v>CB22956R0-001R001</v>
          </cell>
          <cell r="E4605" t="str">
            <v>架子</v>
          </cell>
        </row>
        <row r="4606">
          <cell r="D4606" t="str">
            <v>CB229C050-002-003</v>
          </cell>
          <cell r="E4606" t="str">
            <v>拨杆</v>
          </cell>
        </row>
        <row r="4607">
          <cell r="D4607" t="str">
            <v>CB2298611-001-001</v>
          </cell>
          <cell r="E4607" t="str">
            <v>支架</v>
          </cell>
        </row>
        <row r="4608">
          <cell r="D4608" t="str">
            <v>CB22924K0-001-005</v>
          </cell>
          <cell r="E4608" t="str">
            <v>角片</v>
          </cell>
        </row>
        <row r="4609">
          <cell r="D4609" t="str">
            <v>DD-J10-21102-271</v>
          </cell>
          <cell r="E4609" t="str">
            <v>3#上垫片</v>
          </cell>
        </row>
        <row r="4610">
          <cell r="D4610" t="str">
            <v>DD-J10-21102-271</v>
          </cell>
          <cell r="E4610" t="str">
            <v>3#上垫片</v>
          </cell>
        </row>
        <row r="4611">
          <cell r="D4611" t="str">
            <v>DD-J10-21102-271</v>
          </cell>
          <cell r="E4611" t="str">
            <v>3#上垫片</v>
          </cell>
        </row>
        <row r="4612">
          <cell r="D4612" t="str">
            <v>DD-J10-21102-273</v>
          </cell>
          <cell r="E4612" t="str">
            <v>4#上垫片</v>
          </cell>
        </row>
        <row r="4613">
          <cell r="D4613" t="str">
            <v>DD-J10-21102-273</v>
          </cell>
          <cell r="E4613" t="str">
            <v>4#上垫片</v>
          </cell>
        </row>
        <row r="4614">
          <cell r="D4614" t="str">
            <v>DD-J10-21102-273</v>
          </cell>
          <cell r="E4614" t="str">
            <v>4#上垫片</v>
          </cell>
        </row>
        <row r="4615">
          <cell r="D4615" t="str">
            <v>DD-J10-21102-274</v>
          </cell>
          <cell r="E4615" t="str">
            <v>4#下垫片</v>
          </cell>
        </row>
        <row r="4616">
          <cell r="D4616" t="str">
            <v>DD-J10-21102-274</v>
          </cell>
          <cell r="E4616" t="str">
            <v>4#下垫片</v>
          </cell>
        </row>
        <row r="4617">
          <cell r="D4617" t="str">
            <v>DD-J10-21102-274</v>
          </cell>
          <cell r="E4617" t="str">
            <v>4#下垫片</v>
          </cell>
        </row>
        <row r="4618">
          <cell r="D4618" t="str">
            <v>CB5315190-002R001</v>
          </cell>
          <cell r="E4618" t="str">
            <v>WL-600地板梁</v>
          </cell>
        </row>
        <row r="4619">
          <cell r="D4619" t="str">
            <v>CB5315190-002R001</v>
          </cell>
          <cell r="E4619" t="str">
            <v>WL-600地板梁</v>
          </cell>
        </row>
        <row r="4620">
          <cell r="D4620" t="str">
            <v>DD-J10-21102-272</v>
          </cell>
          <cell r="E4620" t="str">
            <v>3#下垫片</v>
          </cell>
        </row>
        <row r="4621">
          <cell r="D4621" t="str">
            <v>DD-J10-21102-272</v>
          </cell>
          <cell r="E4621" t="str">
            <v>3#下垫片</v>
          </cell>
        </row>
        <row r="4622">
          <cell r="D4622" t="str">
            <v>DD-J10-21102-272</v>
          </cell>
          <cell r="E4622" t="str">
            <v>3#下垫片</v>
          </cell>
        </row>
        <row r="4623">
          <cell r="D4623" t="str">
            <v>CB5324321-010-006</v>
          </cell>
          <cell r="E4623" t="str">
            <v>加强件</v>
          </cell>
        </row>
        <row r="4624">
          <cell r="D4624" t="str">
            <v>DD-J10-55165-703</v>
          </cell>
          <cell r="E4624" t="str">
            <v>摇臂</v>
          </cell>
        </row>
        <row r="4625">
          <cell r="D4625" t="str">
            <v>DD-J10-55165-703</v>
          </cell>
          <cell r="E4625" t="str">
            <v>摇臂</v>
          </cell>
        </row>
        <row r="4626">
          <cell r="D4626" t="str">
            <v>DD-J10-55165-703</v>
          </cell>
          <cell r="E4626" t="str">
            <v>摇臂</v>
          </cell>
        </row>
        <row r="4627">
          <cell r="D4627" t="str">
            <v>DD-J10-55165-703</v>
          </cell>
          <cell r="E4627" t="str">
            <v>摇臂</v>
          </cell>
        </row>
        <row r="4628">
          <cell r="D4628" t="str">
            <v>DD-J10-86011-3100-3</v>
          </cell>
          <cell r="E4628" t="str">
            <v>凸台</v>
          </cell>
        </row>
        <row r="4629">
          <cell r="D4629" t="str">
            <v>DD-J10-86011-3100-3</v>
          </cell>
          <cell r="E4629" t="str">
            <v>凸台</v>
          </cell>
        </row>
        <row r="4630">
          <cell r="D4630" t="str">
            <v>DD-J10-04101-91</v>
          </cell>
          <cell r="E4630" t="str">
            <v>轴</v>
          </cell>
        </row>
        <row r="4631">
          <cell r="D4631" t="str">
            <v>DD-J10B-42074-50-1</v>
          </cell>
          <cell r="E4631" t="str">
            <v>管子</v>
          </cell>
        </row>
        <row r="4632">
          <cell r="D4632" t="str">
            <v>DD-J10-41123-1103</v>
          </cell>
          <cell r="E4632" t="str">
            <v>螺帽</v>
          </cell>
        </row>
        <row r="4633">
          <cell r="D4633" t="str">
            <v>DD-J10-41123-1103</v>
          </cell>
          <cell r="E4633" t="str">
            <v>螺帽</v>
          </cell>
        </row>
        <row r="4634">
          <cell r="D4634" t="str">
            <v>DD-J10-96031-130-1</v>
          </cell>
          <cell r="E4634" t="str">
            <v>管子</v>
          </cell>
        </row>
        <row r="4635">
          <cell r="D4635" t="str">
            <v>DD-J10B-94076-620-1</v>
          </cell>
          <cell r="E4635" t="str">
            <v>管子</v>
          </cell>
        </row>
        <row r="4636">
          <cell r="D4636" t="str">
            <v>DD-J10B-42074-130-1</v>
          </cell>
          <cell r="E4636" t="str">
            <v>拉杆</v>
          </cell>
        </row>
        <row r="4637">
          <cell r="D4637" t="str">
            <v>DD-J10-41153-120-2</v>
          </cell>
          <cell r="E4637" t="str">
            <v>挡销</v>
          </cell>
        </row>
        <row r="4638">
          <cell r="D4638" t="str">
            <v>DD-J10-86031-220-2</v>
          </cell>
          <cell r="E4638" t="str">
            <v>套管</v>
          </cell>
        </row>
        <row r="4639">
          <cell r="D4639" t="str">
            <v>DD-J10-86031-220-2</v>
          </cell>
          <cell r="E4639" t="str">
            <v>套管</v>
          </cell>
        </row>
        <row r="4640">
          <cell r="D4640" t="str">
            <v>CB22921F1-004-001</v>
          </cell>
          <cell r="E4640" t="str">
            <v>衬套</v>
          </cell>
        </row>
        <row r="4641">
          <cell r="D4641" t="str">
            <v>CB22857Y9N005-001</v>
          </cell>
          <cell r="E4641" t="str">
            <v>导管</v>
          </cell>
        </row>
        <row r="4642">
          <cell r="D4642" t="str">
            <v>CB22857YBN005-001</v>
          </cell>
          <cell r="E4642" t="str">
            <v>管子</v>
          </cell>
        </row>
        <row r="4643">
          <cell r="D4643" t="str">
            <v>CB22857YB-008-001</v>
          </cell>
          <cell r="E4643" t="str">
            <v>轴</v>
          </cell>
        </row>
        <row r="4644">
          <cell r="D4644" t="str">
            <v>XXXA-1110-01</v>
          </cell>
          <cell r="E4644" t="str">
            <v>接嘴</v>
          </cell>
        </row>
        <row r="4645">
          <cell r="D4645" t="str">
            <v>XXXA-1110-02</v>
          </cell>
          <cell r="E4645" t="str">
            <v>接线柱（I）</v>
          </cell>
        </row>
        <row r="4646">
          <cell r="D4646" t="str">
            <v>W12J1 XXX-000-01</v>
          </cell>
          <cell r="E4646" t="str">
            <v>XXXX夹具安装底板</v>
          </cell>
        </row>
        <row r="4647">
          <cell r="D4647" t="str">
            <v>W12J1 XXX-000-02</v>
          </cell>
          <cell r="E4647" t="str">
            <v>XXXX夹具挡板</v>
          </cell>
        </row>
        <row r="4648">
          <cell r="D4648" t="str">
            <v>W12J1 XXX-000-03</v>
          </cell>
          <cell r="E4648" t="str">
            <v>XXXX夹具压板</v>
          </cell>
        </row>
        <row r="4649">
          <cell r="D4649" t="str">
            <v>W12J1 XXX-000-04</v>
          </cell>
          <cell r="E4649" t="str">
            <v>XXXX夹具支撑座</v>
          </cell>
        </row>
        <row r="4650">
          <cell r="D4650" t="str">
            <v>W12J1 XXX-000-05</v>
          </cell>
          <cell r="E4650" t="str">
            <v>XXXX夹具压紧螺钉</v>
          </cell>
        </row>
        <row r="4651">
          <cell r="D4651" t="str">
            <v>XXX/F3-000-02(H)</v>
          </cell>
          <cell r="E4651" t="str">
            <v>绝缘套（一）</v>
          </cell>
        </row>
        <row r="4652">
          <cell r="D4652" t="str">
            <v>XXX/F3-000-03(H)</v>
          </cell>
          <cell r="E4652" t="str">
            <v>盖板</v>
          </cell>
        </row>
        <row r="4653">
          <cell r="D4653" t="str">
            <v>XXX/F3-000-04(H)</v>
          </cell>
          <cell r="E4653" t="str">
            <v>壳体</v>
          </cell>
        </row>
        <row r="4654">
          <cell r="D4654" t="str">
            <v>XXX/F3-000-05(H)</v>
          </cell>
          <cell r="E4654" t="str">
            <v>绝缘片（一）</v>
          </cell>
        </row>
        <row r="4655">
          <cell r="D4655" t="str">
            <v>XXX-100-01(H)</v>
          </cell>
          <cell r="E4655" t="str">
            <v>测试拉杆2</v>
          </cell>
        </row>
        <row r="4656">
          <cell r="D4656" t="str">
            <v>XXX-100-02(H)</v>
          </cell>
          <cell r="E4656" t="str">
            <v>转接支架2</v>
          </cell>
        </row>
        <row r="4657">
          <cell r="D4657" t="str">
            <v>XXX-100-03(H)</v>
          </cell>
          <cell r="E4657" t="str">
            <v>锁紧螺母</v>
          </cell>
        </row>
        <row r="4658">
          <cell r="D4658" t="str">
            <v>XXX-100-04(H)</v>
          </cell>
          <cell r="E4658" t="str">
            <v>调节螺钉</v>
          </cell>
        </row>
        <row r="4659">
          <cell r="D4659" t="str">
            <v>XXX-100-06(H)</v>
          </cell>
          <cell r="E4659" t="str">
            <v>支架</v>
          </cell>
        </row>
        <row r="4660">
          <cell r="D4660" t="str">
            <v>XXX-100-07(H)</v>
          </cell>
          <cell r="E4660" t="str">
            <v>固定块</v>
          </cell>
        </row>
        <row r="4661">
          <cell r="D4661" t="str">
            <v>XXX-100-09(H)</v>
          </cell>
          <cell r="E4661" t="str">
            <v>转接支架1</v>
          </cell>
        </row>
        <row r="4662">
          <cell r="D4662" t="str">
            <v>XXX-100-10(H)</v>
          </cell>
          <cell r="E4662" t="str">
            <v>测试拉杆</v>
          </cell>
        </row>
        <row r="4663">
          <cell r="D4663" t="str">
            <v>XXX-100-11(H)</v>
          </cell>
          <cell r="E4663" t="str">
            <v>大花头螺钉</v>
          </cell>
        </row>
        <row r="4664">
          <cell r="D4664" t="str">
            <v>XXX-100-12(H)</v>
          </cell>
          <cell r="E4664" t="str">
            <v>支架螺钉</v>
          </cell>
        </row>
        <row r="4665">
          <cell r="D4665" t="str">
            <v>XXX-100-13(H)</v>
          </cell>
          <cell r="E4665" t="str">
            <v>垫片</v>
          </cell>
        </row>
        <row r="4666">
          <cell r="D4666" t="str">
            <v>XXX-100-14(H)</v>
          </cell>
          <cell r="E4666" t="str">
            <v>底座</v>
          </cell>
        </row>
        <row r="4667">
          <cell r="D4667" t="str">
            <v>XXX-100-15(H)</v>
          </cell>
          <cell r="E4667" t="str">
            <v>水平支座</v>
          </cell>
        </row>
        <row r="4668">
          <cell r="D4668" t="str">
            <v>XXX-110-02(H)</v>
          </cell>
          <cell r="E4668" t="str">
            <v>绝缘片</v>
          </cell>
        </row>
        <row r="4669">
          <cell r="D4669" t="str">
            <v>XXX-110-03(H)</v>
          </cell>
          <cell r="E4669" t="str">
            <v>绝缘套</v>
          </cell>
        </row>
        <row r="4670">
          <cell r="D4670" t="str">
            <v>XXX-210-02(H)</v>
          </cell>
          <cell r="E4670" t="str">
            <v>前面板</v>
          </cell>
        </row>
        <row r="4671">
          <cell r="D4671" t="str">
            <v>XXX-210-03(H)</v>
          </cell>
          <cell r="E4671" t="str">
            <v>六角螺钉</v>
          </cell>
        </row>
        <row r="4672">
          <cell r="D4672" t="str">
            <v>XXX-220-01(H)</v>
          </cell>
          <cell r="E4672" t="str">
            <v>后面板</v>
          </cell>
        </row>
        <row r="4673">
          <cell r="D4673" t="str">
            <v>XXX-230-01(H)</v>
          </cell>
          <cell r="E4673" t="str">
            <v>底板</v>
          </cell>
        </row>
        <row r="4674">
          <cell r="D4674" t="str">
            <v>XXX/F1(H)</v>
          </cell>
          <cell r="E4674" t="str">
            <v>测试拉杆1</v>
          </cell>
        </row>
        <row r="4675">
          <cell r="D4675" t="str">
            <v>XXX/F2(H)</v>
          </cell>
          <cell r="E4675" t="str">
            <v>小花头螺钉</v>
          </cell>
        </row>
        <row r="4676">
          <cell r="D4676" t="str">
            <v>T/JSCGT01-200-02</v>
          </cell>
          <cell r="E4676" t="str">
            <v>小圆盘</v>
          </cell>
        </row>
        <row r="4677">
          <cell r="D4677" t="str">
            <v>T/JSCGT01-100-02</v>
          </cell>
          <cell r="E4677" t="str">
            <v>大圆盘</v>
          </cell>
        </row>
        <row r="4678">
          <cell r="D4678" t="str">
            <v>CB2294170-003-001</v>
          </cell>
          <cell r="E4678" t="str">
            <v>支架</v>
          </cell>
        </row>
        <row r="4679">
          <cell r="D4679" t="str">
            <v>CB22924J0-001-001</v>
          </cell>
          <cell r="E4679" t="str">
            <v>角片</v>
          </cell>
        </row>
        <row r="4680">
          <cell r="D4680" t="str">
            <v>BC2271603-001-004</v>
          </cell>
          <cell r="E4680" t="str">
            <v>加速度传感器组件过渡支架</v>
          </cell>
        </row>
        <row r="4681">
          <cell r="D4681" t="str">
            <v>BC2271603-001-004</v>
          </cell>
          <cell r="E4681" t="str">
            <v>加速度传感器组件过渡支架</v>
          </cell>
        </row>
        <row r="4682">
          <cell r="D4682" t="str">
            <v>DD-J10-21102-120-1-Y</v>
          </cell>
          <cell r="E4682" t="str">
            <v>9480梁（右件）</v>
          </cell>
        </row>
        <row r="4683">
          <cell r="D4683" t="str">
            <v>DD-J10-21102-120-1-Y</v>
          </cell>
          <cell r="E4683" t="str">
            <v>9480梁（右件）</v>
          </cell>
        </row>
        <row r="4684">
          <cell r="D4684" t="str">
            <v>DD-J10-34003-2</v>
          </cell>
          <cell r="E4684" t="str">
            <v>后梁</v>
          </cell>
        </row>
        <row r="4685">
          <cell r="D4685" t="str">
            <v>DD-J10-34003-2</v>
          </cell>
          <cell r="E4685" t="str">
            <v>后梁</v>
          </cell>
        </row>
        <row r="4686">
          <cell r="D4686" t="str">
            <v>DD-J10-34003-2</v>
          </cell>
          <cell r="E4686" t="str">
            <v>后梁</v>
          </cell>
        </row>
        <row r="4687">
          <cell r="D4687" t="str">
            <v>DD-J10-34003-2</v>
          </cell>
          <cell r="E4687" t="str">
            <v>后梁</v>
          </cell>
        </row>
        <row r="4688">
          <cell r="D4688" t="str">
            <v>DD-J10-33003-4</v>
          </cell>
          <cell r="E4688" t="str">
            <v>梁</v>
          </cell>
        </row>
        <row r="4689">
          <cell r="D4689" t="str">
            <v>DD-J10-33003-4</v>
          </cell>
          <cell r="E4689" t="str">
            <v>梁</v>
          </cell>
        </row>
        <row r="4690">
          <cell r="D4690" t="str">
            <v>DD-J10-33003-4</v>
          </cell>
          <cell r="E4690" t="str">
            <v>梁</v>
          </cell>
        </row>
        <row r="4691">
          <cell r="D4691" t="str">
            <v>DD-J10-33003-4</v>
          </cell>
          <cell r="E4691" t="str">
            <v>梁</v>
          </cell>
        </row>
        <row r="4692">
          <cell r="D4692" t="str">
            <v>DD-J10B-02181-6-Y</v>
          </cell>
          <cell r="E4692" t="str">
            <v>盒子</v>
          </cell>
        </row>
        <row r="4693">
          <cell r="D4693" t="str">
            <v>DD-J10B-02081-61-Z</v>
          </cell>
          <cell r="E4693" t="str">
            <v>角材</v>
          </cell>
        </row>
        <row r="4694">
          <cell r="D4694" t="str">
            <v>DD-J10B-02081-61-Z</v>
          </cell>
          <cell r="E4694" t="str">
            <v>角材</v>
          </cell>
        </row>
        <row r="4695">
          <cell r="D4695" t="str">
            <v>DD-J10B-02081-61-Z</v>
          </cell>
          <cell r="E4695" t="str">
            <v>角材</v>
          </cell>
        </row>
        <row r="4696">
          <cell r="D4696" t="str">
            <v>DD-J10B-02081-61-Y</v>
          </cell>
          <cell r="E4696" t="str">
            <v>角材</v>
          </cell>
        </row>
        <row r="4697">
          <cell r="D4697" t="str">
            <v>DD-J10B-02081-61-Y</v>
          </cell>
          <cell r="E4697" t="str">
            <v>角材</v>
          </cell>
        </row>
        <row r="4698">
          <cell r="D4698" t="str">
            <v>DD-J10B-02081-61-Y</v>
          </cell>
          <cell r="E4698" t="str">
            <v>角材</v>
          </cell>
        </row>
        <row r="4699">
          <cell r="D4699" t="str">
            <v>CB2297011-001-001</v>
          </cell>
          <cell r="E4699" t="str">
            <v>支架</v>
          </cell>
        </row>
        <row r="4700">
          <cell r="D4700" t="str">
            <v>CB2297011-002-001</v>
          </cell>
          <cell r="E4700" t="str">
            <v>支架</v>
          </cell>
        </row>
        <row r="4701">
          <cell r="D4701" t="str">
            <v>CB2297021-001-001</v>
          </cell>
          <cell r="E4701" t="str">
            <v>支架</v>
          </cell>
        </row>
        <row r="4702">
          <cell r="D4702" t="str">
            <v>CB2297120-006-002</v>
          </cell>
          <cell r="E4702" t="str">
            <v>支架</v>
          </cell>
        </row>
        <row r="4703">
          <cell r="D4703" t="str">
            <v>CB2297012-001-001</v>
          </cell>
          <cell r="E4703" t="str">
            <v>支架</v>
          </cell>
        </row>
        <row r="4704">
          <cell r="D4704" t="str">
            <v>CB2298612-001-001</v>
          </cell>
          <cell r="E4704" t="str">
            <v>支架</v>
          </cell>
        </row>
        <row r="4705">
          <cell r="D4705" t="str">
            <v>CB2292321-001-001</v>
          </cell>
          <cell r="E4705" t="str">
            <v>支座</v>
          </cell>
        </row>
        <row r="4706">
          <cell r="D4706" t="str">
            <v>CB22931L1-001-002</v>
          </cell>
          <cell r="E4706" t="str">
            <v>底座</v>
          </cell>
        </row>
        <row r="4707">
          <cell r="D4707" t="str">
            <v>DD-J10B-55141-101</v>
          </cell>
          <cell r="E4707" t="str">
            <v>90°弯管接头</v>
          </cell>
        </row>
        <row r="4708">
          <cell r="D4708" t="str">
            <v>DD-J10B-55141-101</v>
          </cell>
          <cell r="E4708" t="str">
            <v>90°弯管接头</v>
          </cell>
        </row>
        <row r="4709">
          <cell r="D4709" t="str">
            <v>DD-J10B-55141-101</v>
          </cell>
          <cell r="E4709" t="str">
            <v>90°弯管接头</v>
          </cell>
        </row>
        <row r="4710">
          <cell r="D4710" t="str">
            <v>XXXGZ-000-00</v>
          </cell>
          <cell r="E4710" t="str">
            <v>导向座电镀工装</v>
          </cell>
        </row>
        <row r="4711">
          <cell r="D4711" t="str">
            <v>DD-J10B-21402-90G2-1G2-Z</v>
          </cell>
          <cell r="E4711" t="str">
            <v>固定前缘端肋（左件）</v>
          </cell>
        </row>
        <row r="4712">
          <cell r="D4712" t="str">
            <v>DD-J10B-21402-90G2-1G2-Z</v>
          </cell>
          <cell r="E4712" t="str">
            <v>固定前缘端肋（左件）</v>
          </cell>
        </row>
        <row r="4713">
          <cell r="D4713" t="str">
            <v>DD-J10B-21402-90G2-1G2-Z</v>
          </cell>
          <cell r="E4713" t="str">
            <v>固定前缘端肋（左件）</v>
          </cell>
        </row>
        <row r="4714">
          <cell r="D4714" t="str">
            <v>DD-J10B-21402-90G2-1G2-Z</v>
          </cell>
          <cell r="E4714" t="str">
            <v>固定前缘端肋（左件）</v>
          </cell>
        </row>
        <row r="4715">
          <cell r="D4715" t="str">
            <v>DD-J10B-21402-90G2-1G2-Y</v>
          </cell>
          <cell r="E4715" t="str">
            <v>固定前缘端肋（右件）</v>
          </cell>
        </row>
        <row r="4716">
          <cell r="D4716" t="str">
            <v>DD-J10B-21402-90G2-1G2-Y</v>
          </cell>
          <cell r="E4716" t="str">
            <v>固定前缘端肋（右件）</v>
          </cell>
        </row>
        <row r="4717">
          <cell r="D4717" t="str">
            <v>DD-J10B-21402-90G2-1G2-Y</v>
          </cell>
          <cell r="E4717" t="str">
            <v>固定前缘端肋（右件）</v>
          </cell>
        </row>
        <row r="4718">
          <cell r="D4718" t="str">
            <v>DD-J10B-21402-90G2-1G2-Y</v>
          </cell>
          <cell r="E4718" t="str">
            <v>固定前缘端肋（右件）</v>
          </cell>
        </row>
        <row r="4719">
          <cell r="D4719" t="str">
            <v>DD-J10B-21402-10G2-1G2-Z</v>
          </cell>
          <cell r="E4719" t="str">
            <v>固定前缘边肋（左件）</v>
          </cell>
        </row>
        <row r="4720">
          <cell r="D4720" t="str">
            <v>DD-J10B-21402-10G2-1G2-Z</v>
          </cell>
          <cell r="E4720" t="str">
            <v>固定前缘边肋（左件）</v>
          </cell>
        </row>
        <row r="4721">
          <cell r="D4721" t="str">
            <v>DD-J10B-21402-10G2-1G2-Z</v>
          </cell>
          <cell r="E4721" t="str">
            <v>固定前缘边肋（左件）</v>
          </cell>
        </row>
        <row r="4722">
          <cell r="D4722" t="str">
            <v>DD-J10B-21402-10G2-1G2-Y</v>
          </cell>
          <cell r="E4722" t="str">
            <v>固定前缘边肋（右件）</v>
          </cell>
        </row>
        <row r="4723">
          <cell r="D4723" t="str">
            <v>DD-J10B-21402-10G2-1G2-Y</v>
          </cell>
          <cell r="E4723" t="str">
            <v>固定前缘边肋（右件）</v>
          </cell>
        </row>
        <row r="4724">
          <cell r="D4724" t="str">
            <v>DD-J10B-21402-10G2-1G2-Y</v>
          </cell>
          <cell r="E4724" t="str">
            <v>固定前缘边肋（右件）</v>
          </cell>
        </row>
        <row r="4725">
          <cell r="D4725" t="str">
            <v>CB229C050-007-003</v>
          </cell>
          <cell r="E4725" t="str">
            <v>摇臂</v>
          </cell>
        </row>
        <row r="4726">
          <cell r="D4726" t="str">
            <v>XXX-XXXX/B-0000-01</v>
          </cell>
          <cell r="E4726" t="str">
            <v>后级XXX壳体</v>
          </cell>
        </row>
        <row r="4727">
          <cell r="D4727" t="str">
            <v>XXX-XXXX/B-0000-02</v>
          </cell>
          <cell r="E4727" t="str">
            <v>后级XXX盖板</v>
          </cell>
        </row>
        <row r="4728">
          <cell r="D4728" t="str">
            <v>XXX-XXXX/B-0000-03</v>
          </cell>
          <cell r="E4728" t="str">
            <v>压环</v>
          </cell>
        </row>
        <row r="4729">
          <cell r="D4729" t="str">
            <v>XXX-XXXX/B-0000-04</v>
          </cell>
          <cell r="E4729" t="str">
            <v>压线板</v>
          </cell>
        </row>
        <row r="4730">
          <cell r="D4730" t="str">
            <v>XXX-XXXX/B-0000-05</v>
          </cell>
          <cell r="E4730" t="str">
            <v>支柱</v>
          </cell>
        </row>
        <row r="4731">
          <cell r="D4731" t="str">
            <v>XXX-XXXX/B-0000-06</v>
          </cell>
          <cell r="E4731" t="str">
            <v>绝缘垫</v>
          </cell>
        </row>
        <row r="4732">
          <cell r="D4732" t="str">
            <v>DD-J10-21102-410-1-Y</v>
          </cell>
          <cell r="E4732" t="str">
            <v>1150肋根肋</v>
          </cell>
        </row>
        <row r="4733">
          <cell r="D4733" t="str">
            <v>DD-J10-21102-410-1-Y</v>
          </cell>
          <cell r="E4733" t="str">
            <v>1150肋根肋</v>
          </cell>
        </row>
        <row r="4734">
          <cell r="D4734" t="str">
            <v>DD-J10-21102-390-1-Y</v>
          </cell>
          <cell r="E4734" t="str">
            <v>1150肋九段</v>
          </cell>
        </row>
        <row r="4735">
          <cell r="D4735" t="str">
            <v>Y20-5316100314-501</v>
          </cell>
          <cell r="E4735" t="str">
            <v>纵向件</v>
          </cell>
        </row>
        <row r="4736">
          <cell r="D4736" t="str">
            <v>Y20-5316100314-501</v>
          </cell>
          <cell r="E4736" t="str">
            <v>纵向件</v>
          </cell>
        </row>
        <row r="4737">
          <cell r="D4737" t="str">
            <v>Y20-5316100314-502</v>
          </cell>
          <cell r="E4737" t="str">
            <v>纵向件</v>
          </cell>
        </row>
        <row r="4738">
          <cell r="D4738" t="str">
            <v>Y20-5316100314-502</v>
          </cell>
          <cell r="E4738" t="str">
            <v>纵向件</v>
          </cell>
        </row>
        <row r="4739">
          <cell r="D4739" t="str">
            <v>GU5336113-001R001</v>
          </cell>
          <cell r="E4739" t="str">
            <v>STA8510~9055右上大梁</v>
          </cell>
        </row>
        <row r="4740">
          <cell r="D4740" t="str">
            <v>GU5336113-001R001</v>
          </cell>
          <cell r="E4740" t="str">
            <v>STA8510~9055右上大梁</v>
          </cell>
        </row>
        <row r="4741">
          <cell r="D4741" t="str">
            <v>GU5336113-001R001</v>
          </cell>
          <cell r="E4741" t="str">
            <v>STA8510~9055右上大梁</v>
          </cell>
        </row>
        <row r="4742">
          <cell r="D4742" t="str">
            <v>DD-J10-21102-250-2-Z</v>
          </cell>
          <cell r="E4742" t="str">
            <v>11900梁二段</v>
          </cell>
        </row>
        <row r="4743">
          <cell r="D4743" t="str">
            <v>DD-J10-21102-410-1-Z</v>
          </cell>
          <cell r="E4743" t="str">
            <v>1150肋根肋</v>
          </cell>
        </row>
        <row r="4744">
          <cell r="D4744" t="str">
            <v>DD-J10-21102-410-1-Z</v>
          </cell>
          <cell r="E4744" t="str">
            <v>1150肋根肋</v>
          </cell>
        </row>
        <row r="4745">
          <cell r="D4745" t="str">
            <v>DD-J10-21102-410-1-Z</v>
          </cell>
          <cell r="E4745" t="str">
            <v>1150肋根肋</v>
          </cell>
        </row>
        <row r="4746">
          <cell r="D4746" t="str">
            <v>DD-J10-21102-390-1-Y</v>
          </cell>
          <cell r="E4746" t="str">
            <v>1150肋九段</v>
          </cell>
        </row>
        <row r="4747">
          <cell r="D4747" t="str">
            <v>CB2298091-001-001</v>
          </cell>
          <cell r="E4747" t="str">
            <v>支架</v>
          </cell>
        </row>
        <row r="4748">
          <cell r="D4748" t="str">
            <v>CB22956R1-001R001</v>
          </cell>
          <cell r="E4748" t="str">
            <v>座子</v>
          </cell>
        </row>
        <row r="4749">
          <cell r="D4749" t="str">
            <v>CB2297032-001-001</v>
          </cell>
          <cell r="E4749" t="str">
            <v>支架</v>
          </cell>
        </row>
        <row r="4750">
          <cell r="D4750" t="str">
            <v>CB229C071-001L001</v>
          </cell>
          <cell r="E4750" t="str">
            <v>支架</v>
          </cell>
        </row>
        <row r="4751">
          <cell r="D4751" t="str">
            <v>CB229C070-001R001</v>
          </cell>
          <cell r="E4751" t="str">
            <v>支架</v>
          </cell>
        </row>
        <row r="4752">
          <cell r="D4752" t="str">
            <v>CB229C440-002R001</v>
          </cell>
          <cell r="E4752" t="str">
            <v>支架</v>
          </cell>
        </row>
        <row r="4753">
          <cell r="D4753" t="str">
            <v>XXX-3610000-01</v>
          </cell>
          <cell r="E4753" t="str">
            <v>腔体</v>
          </cell>
        </row>
        <row r="4754">
          <cell r="D4754" t="str">
            <v>XXX-3610000-02</v>
          </cell>
          <cell r="E4754" t="str">
            <v>盖板</v>
          </cell>
        </row>
        <row r="4755">
          <cell r="D4755" t="str">
            <v>XXX-3610000-03</v>
          </cell>
          <cell r="E4755" t="str">
            <v>填充介质A</v>
          </cell>
        </row>
        <row r="4756">
          <cell r="D4756" t="str">
            <v>XXX-3610000-04</v>
          </cell>
          <cell r="E4756" t="str">
            <v>填充介质B</v>
          </cell>
        </row>
        <row r="4757">
          <cell r="D4757" t="str">
            <v>XXX-3610000-05</v>
          </cell>
          <cell r="E4757" t="str">
            <v>内导体</v>
          </cell>
        </row>
        <row r="4758">
          <cell r="D4758" t="str">
            <v>XXX-3610000-06</v>
          </cell>
          <cell r="E4758" t="str">
            <v>调谐钉</v>
          </cell>
        </row>
        <row r="4759">
          <cell r="D4759" t="str">
            <v>XXX-36150000-01</v>
          </cell>
          <cell r="E4759" t="str">
            <v>腔体</v>
          </cell>
        </row>
        <row r="4760">
          <cell r="D4760" t="str">
            <v>XXX-36150000-02</v>
          </cell>
          <cell r="E4760" t="str">
            <v>盖板</v>
          </cell>
        </row>
        <row r="4761">
          <cell r="D4761" t="str">
            <v>XXX-36150000-03</v>
          </cell>
          <cell r="E4761" t="str">
            <v>填充介质A</v>
          </cell>
        </row>
        <row r="4762">
          <cell r="D4762" t="str">
            <v>XXX-36150000-04</v>
          </cell>
          <cell r="E4762" t="str">
            <v>填充介质B</v>
          </cell>
        </row>
        <row r="4763">
          <cell r="D4763" t="str">
            <v>XXX-36150000-05</v>
          </cell>
          <cell r="E4763" t="str">
            <v>内导体</v>
          </cell>
        </row>
        <row r="4764">
          <cell r="D4764" t="str">
            <v>XXX-36150000-06</v>
          </cell>
          <cell r="E4764" t="str">
            <v>调谐钉</v>
          </cell>
        </row>
        <row r="4765">
          <cell r="D4765" t="str">
            <v>XXX-3400000-01</v>
          </cell>
          <cell r="E4765" t="str">
            <v>腔体</v>
          </cell>
        </row>
        <row r="4766">
          <cell r="D4766" t="str">
            <v>XXX-3400000-02</v>
          </cell>
          <cell r="E4766" t="str">
            <v>盖板</v>
          </cell>
        </row>
        <row r="4767">
          <cell r="D4767" t="str">
            <v>XXX-3400000-03</v>
          </cell>
          <cell r="E4767" t="str">
            <v>支撑板</v>
          </cell>
        </row>
        <row r="4768">
          <cell r="D4768" t="str">
            <v>XXX-3400000-04</v>
          </cell>
          <cell r="E4768" t="str">
            <v>支撑架</v>
          </cell>
        </row>
        <row r="4769">
          <cell r="D4769" t="str">
            <v>XXX-3400000-05</v>
          </cell>
          <cell r="E4769" t="str">
            <v>自制垫圈</v>
          </cell>
        </row>
        <row r="4770">
          <cell r="D4770" t="str">
            <v>BC3231600-001-001</v>
          </cell>
          <cell r="E4770" t="str">
            <v>右垫板</v>
          </cell>
        </row>
        <row r="4771">
          <cell r="D4771" t="str">
            <v>BC3231600-001-001</v>
          </cell>
          <cell r="E4771" t="str">
            <v>右垫板</v>
          </cell>
        </row>
        <row r="4772">
          <cell r="D4772" t="str">
            <v>CB5327120-010L015</v>
          </cell>
          <cell r="E4772" t="str">
            <v>9555侧隔框</v>
          </cell>
        </row>
        <row r="4773">
          <cell r="D4773" t="str">
            <v>CB5327120-010L015</v>
          </cell>
          <cell r="E4773" t="str">
            <v>9555侧隔框</v>
          </cell>
        </row>
        <row r="4774">
          <cell r="D4774" t="str">
            <v>CB5327120-010R015</v>
          </cell>
          <cell r="E4774" t="str">
            <v>9555侧隔框</v>
          </cell>
        </row>
        <row r="4775">
          <cell r="D4775" t="str">
            <v>CB5327120-010R015</v>
          </cell>
          <cell r="E4775" t="str">
            <v>9555侧隔框</v>
          </cell>
        </row>
        <row r="4776">
          <cell r="D4776" t="str">
            <v>CB5327120-013L015</v>
          </cell>
          <cell r="E4776" t="str">
            <v>10150侧隔框</v>
          </cell>
        </row>
        <row r="4777">
          <cell r="D4777" t="str">
            <v>CB5327120-013L015</v>
          </cell>
          <cell r="E4777" t="str">
            <v>10150侧隔框</v>
          </cell>
        </row>
        <row r="4778">
          <cell r="D4778" t="str">
            <v>CB5327120-013R015</v>
          </cell>
          <cell r="E4778" t="str">
            <v>10150侧隔框</v>
          </cell>
        </row>
        <row r="4779">
          <cell r="D4779" t="str">
            <v>CB5327120-013R015</v>
          </cell>
          <cell r="E4779" t="str">
            <v>10150侧隔框</v>
          </cell>
        </row>
        <row r="4780">
          <cell r="D4780" t="str">
            <v>CB5314107-001-002</v>
          </cell>
          <cell r="E4780" t="str">
            <v>5550上框</v>
          </cell>
        </row>
        <row r="4781">
          <cell r="D4781" t="str">
            <v>CB5314107-001-002</v>
          </cell>
          <cell r="E4781" t="str">
            <v>5550上框</v>
          </cell>
        </row>
        <row r="4782">
          <cell r="D4782" t="str">
            <v>CB5314107-001-002</v>
          </cell>
          <cell r="E4782" t="str">
            <v>5550上框</v>
          </cell>
        </row>
        <row r="4783">
          <cell r="D4783" t="str">
            <v>CB5314107-001-002</v>
          </cell>
          <cell r="E4783" t="str">
            <v>5550上框</v>
          </cell>
        </row>
        <row r="4784">
          <cell r="D4784" t="str">
            <v>DD-J10-55121-2</v>
          </cell>
          <cell r="E4784" t="str">
            <v>三通管接头</v>
          </cell>
        </row>
        <row r="4785">
          <cell r="D4785" t="str">
            <v>DD-J10-55181-14</v>
          </cell>
          <cell r="E4785" t="str">
            <v>变径四通管接头</v>
          </cell>
        </row>
        <row r="4786">
          <cell r="D4786" t="str">
            <v>DD-J10-55181-14</v>
          </cell>
          <cell r="E4786" t="str">
            <v>变径四通管接头</v>
          </cell>
        </row>
        <row r="4787">
          <cell r="D4787" t="str">
            <v>CB5822016-029R001</v>
          </cell>
          <cell r="E4787" t="str">
            <v>角片</v>
          </cell>
        </row>
        <row r="4788">
          <cell r="D4788" t="str">
            <v>CB5822016-029L001</v>
          </cell>
          <cell r="E4788" t="str">
            <v>角片</v>
          </cell>
        </row>
        <row r="4789">
          <cell r="D4789" t="str">
            <v>CB5822016-032L001</v>
          </cell>
          <cell r="E4789" t="str">
            <v>角片</v>
          </cell>
        </row>
        <row r="4790">
          <cell r="D4790" t="str">
            <v>CB5822016-032L001</v>
          </cell>
          <cell r="E4790" t="str">
            <v>角片</v>
          </cell>
        </row>
        <row r="4791">
          <cell r="D4791" t="str">
            <v>CB5822016-032R001</v>
          </cell>
          <cell r="E4791" t="str">
            <v>角片</v>
          </cell>
        </row>
        <row r="4792">
          <cell r="D4792" t="str">
            <v>CB5822016-032R001</v>
          </cell>
          <cell r="E4792" t="str">
            <v>角片</v>
          </cell>
        </row>
        <row r="4793">
          <cell r="D4793" t="str">
            <v>DD-J10S-54101-4500-1</v>
          </cell>
          <cell r="E4793" t="str">
            <v>摇臂</v>
          </cell>
        </row>
        <row r="4794">
          <cell r="D4794" t="str">
            <v>DD-J10B-04061-1</v>
          </cell>
          <cell r="E4794" t="str">
            <v>10860框</v>
          </cell>
        </row>
        <row r="4795">
          <cell r="D4795" t="str">
            <v>DD-J10B-04041-1</v>
          </cell>
          <cell r="E4795" t="str">
            <v>10060框</v>
          </cell>
        </row>
        <row r="4796">
          <cell r="D4796" t="str">
            <v>DD-J10B-04041-1</v>
          </cell>
          <cell r="E4796" t="str">
            <v>10060框</v>
          </cell>
        </row>
        <row r="4797">
          <cell r="D4797" t="str">
            <v>DD-J10B-04041-1</v>
          </cell>
          <cell r="E4797" t="str">
            <v>10060框</v>
          </cell>
        </row>
        <row r="4798">
          <cell r="D4798" t="str">
            <v>DD-J10B-04041-1</v>
          </cell>
          <cell r="E4798" t="str">
            <v>10060框</v>
          </cell>
        </row>
        <row r="4799">
          <cell r="D4799" t="str">
            <v>W12J2 YDT-000-01</v>
          </cell>
          <cell r="E4799" t="str">
            <v>XXXX离心夹具</v>
          </cell>
        </row>
        <row r="4800">
          <cell r="D4800" t="str">
            <v>W12J1-000-01</v>
          </cell>
          <cell r="E4800" t="str">
            <v>XXXI振动夹具</v>
          </cell>
        </row>
        <row r="4801">
          <cell r="D4801" t="str">
            <v>W12J1 YDT-000-01</v>
          </cell>
          <cell r="E4801" t="str">
            <v>XXX三分器双工器振动夹具</v>
          </cell>
        </row>
        <row r="4802">
          <cell r="D4802" t="str">
            <v>XXX-000-01</v>
          </cell>
          <cell r="E4802" t="str">
            <v>离心夹具</v>
          </cell>
        </row>
        <row r="4803">
          <cell r="D4803" t="str">
            <v>XXX-000-01</v>
          </cell>
          <cell r="E4803" t="str">
            <v>振动夹具</v>
          </cell>
        </row>
        <row r="4804">
          <cell r="D4804" t="str">
            <v>XXX-000-02</v>
          </cell>
          <cell r="E4804" t="str">
            <v>转接板</v>
          </cell>
        </row>
        <row r="4805">
          <cell r="D4805" t="str">
            <v>W12J2-000-00</v>
          </cell>
          <cell r="E4805" t="str">
            <v>XXX-XXXX台II振动夹具</v>
          </cell>
        </row>
        <row r="4806">
          <cell r="D4806" t="str">
            <v>XXX-000-01</v>
          </cell>
          <cell r="E4806" t="str">
            <v>XXXXXX机箱振动夹具</v>
          </cell>
        </row>
        <row r="4807">
          <cell r="D4807" t="str">
            <v>XXX-000-02</v>
          </cell>
          <cell r="E4807" t="str">
            <v>底板</v>
          </cell>
        </row>
        <row r="4808">
          <cell r="D4808" t="str">
            <v>DD-J10-21102-410-1-Y</v>
          </cell>
          <cell r="E4808" t="str">
            <v>1150肋根肋</v>
          </cell>
        </row>
        <row r="4809">
          <cell r="D4809" t="str">
            <v>DD-J10-21102-410-1-Y</v>
          </cell>
          <cell r="E4809" t="str">
            <v>1150肋根肋</v>
          </cell>
        </row>
        <row r="4810">
          <cell r="D4810" t="str">
            <v>CB5822016-034R001</v>
          </cell>
          <cell r="E4810" t="str">
            <v>角片</v>
          </cell>
        </row>
        <row r="4811">
          <cell r="D4811" t="str">
            <v>CB5822016-034R001</v>
          </cell>
          <cell r="E4811" t="str">
            <v>角片</v>
          </cell>
        </row>
        <row r="4812">
          <cell r="D4812" t="str">
            <v>CB5822016-034R001</v>
          </cell>
          <cell r="E4812" t="str">
            <v>角片</v>
          </cell>
        </row>
        <row r="4813">
          <cell r="D4813" t="str">
            <v>CB5822016-034R001</v>
          </cell>
          <cell r="E4813" t="str">
            <v>角片</v>
          </cell>
        </row>
        <row r="4814">
          <cell r="D4814" t="str">
            <v>CB5822016-034L001</v>
          </cell>
          <cell r="E4814" t="str">
            <v>角片</v>
          </cell>
        </row>
        <row r="4815">
          <cell r="D4815" t="str">
            <v>CB5822016-034L001</v>
          </cell>
          <cell r="E4815" t="str">
            <v>角片</v>
          </cell>
        </row>
        <row r="4816">
          <cell r="D4816" t="str">
            <v>CB5822016-034L001</v>
          </cell>
          <cell r="E4816" t="str">
            <v>角片</v>
          </cell>
        </row>
        <row r="4817">
          <cell r="D4817" t="str">
            <v>CB5822016-034L001</v>
          </cell>
          <cell r="E4817" t="str">
            <v>角片</v>
          </cell>
        </row>
        <row r="4818">
          <cell r="D4818" t="str">
            <v>CB5822016-029L001</v>
          </cell>
          <cell r="E4818" t="str">
            <v>角片</v>
          </cell>
        </row>
        <row r="4819">
          <cell r="D4819" t="str">
            <v>CB5822016-029L001</v>
          </cell>
          <cell r="E4819" t="str">
            <v>角片</v>
          </cell>
        </row>
        <row r="4820">
          <cell r="D4820" t="str">
            <v>CB5822016-029L001</v>
          </cell>
          <cell r="E4820" t="str">
            <v>角片</v>
          </cell>
        </row>
        <row r="4821">
          <cell r="D4821" t="str">
            <v>CB5822016-029R001</v>
          </cell>
          <cell r="E4821" t="str">
            <v>角片</v>
          </cell>
        </row>
        <row r="4822">
          <cell r="D4822" t="str">
            <v>CB5822016-029R001</v>
          </cell>
          <cell r="E4822" t="str">
            <v>角片</v>
          </cell>
        </row>
        <row r="4823">
          <cell r="D4823" t="str">
            <v>CB5314240-012-003</v>
          </cell>
          <cell r="E4823" t="str">
            <v>后顶板</v>
          </cell>
        </row>
        <row r="4824">
          <cell r="D4824" t="str">
            <v>CB5314240-012-003</v>
          </cell>
          <cell r="E4824" t="str">
            <v>后顶板</v>
          </cell>
        </row>
        <row r="4825">
          <cell r="D4825" t="str">
            <v>CB5327120-003L006</v>
          </cell>
          <cell r="E4825" t="str">
            <v>8270侧隔框</v>
          </cell>
        </row>
        <row r="4826">
          <cell r="D4826" t="str">
            <v>CB5327120-003L006</v>
          </cell>
          <cell r="E4826" t="str">
            <v>8270侧隔框</v>
          </cell>
        </row>
        <row r="4827">
          <cell r="D4827" t="str">
            <v>CB5327120-003L006</v>
          </cell>
          <cell r="E4827" t="str">
            <v>8270侧隔框</v>
          </cell>
        </row>
        <row r="4828">
          <cell r="D4828" t="str">
            <v>CB5327120-003L006</v>
          </cell>
          <cell r="E4828" t="str">
            <v>8270侧隔框</v>
          </cell>
        </row>
        <row r="4829">
          <cell r="D4829" t="str">
            <v>CB5327120-003L006</v>
          </cell>
          <cell r="E4829" t="str">
            <v>8270侧隔框</v>
          </cell>
        </row>
        <row r="4830">
          <cell r="D4830" t="str">
            <v>CB5327120-003L006</v>
          </cell>
          <cell r="E4830" t="str">
            <v>8270侧隔框</v>
          </cell>
        </row>
        <row r="4831">
          <cell r="D4831" t="str">
            <v>CB5327120-003R006</v>
          </cell>
          <cell r="E4831" t="str">
            <v>8270侧隔框</v>
          </cell>
        </row>
        <row r="4832">
          <cell r="D4832" t="str">
            <v>CB5327120-003R006</v>
          </cell>
          <cell r="E4832" t="str">
            <v>8270侧隔框</v>
          </cell>
        </row>
        <row r="4833">
          <cell r="D4833" t="str">
            <v>CB5327120-003R006</v>
          </cell>
          <cell r="E4833" t="str">
            <v>8270侧隔框</v>
          </cell>
        </row>
        <row r="4834">
          <cell r="D4834" t="str">
            <v>CB5327120-003R006</v>
          </cell>
          <cell r="E4834" t="str">
            <v>8270侧隔框</v>
          </cell>
        </row>
        <row r="4835">
          <cell r="D4835" t="str">
            <v>CB5327120-003R006</v>
          </cell>
          <cell r="E4835" t="str">
            <v>8270侧隔框</v>
          </cell>
        </row>
        <row r="4836">
          <cell r="D4836" t="str">
            <v>CB5327120-003R006</v>
          </cell>
          <cell r="E4836" t="str">
            <v>8270侧隔框</v>
          </cell>
        </row>
        <row r="4837">
          <cell r="D4837" t="str">
            <v>CB5822016-029L001</v>
          </cell>
          <cell r="E4837" t="str">
            <v>角片</v>
          </cell>
        </row>
        <row r="4838">
          <cell r="D4838" t="str">
            <v>CB5822016-029R001</v>
          </cell>
          <cell r="E4838" t="str">
            <v>角片</v>
          </cell>
        </row>
        <row r="4839">
          <cell r="D4839" t="str">
            <v>DD-J10B-04051-1</v>
          </cell>
          <cell r="E4839" t="str">
            <v>10460框</v>
          </cell>
        </row>
        <row r="4840">
          <cell r="D4840" t="str">
            <v>DD-J10B-04051-1</v>
          </cell>
          <cell r="E4840" t="str">
            <v>10460框</v>
          </cell>
        </row>
        <row r="4841">
          <cell r="D4841" t="str">
            <v>DD-J10B-04051-1</v>
          </cell>
          <cell r="E4841" t="str">
            <v>10460框</v>
          </cell>
        </row>
        <row r="4842">
          <cell r="D4842" t="str">
            <v>CB5315190-002R001</v>
          </cell>
          <cell r="E4842" t="str">
            <v>WL-600地板梁</v>
          </cell>
        </row>
        <row r="4843">
          <cell r="D4843" t="str">
            <v>GU5333100-003L001</v>
          </cell>
          <cell r="E4843" t="str">
            <v>左上大梁</v>
          </cell>
        </row>
        <row r="4844">
          <cell r="D4844" t="str">
            <v>GU5333100-003R001</v>
          </cell>
          <cell r="E4844" t="str">
            <v>右上大梁</v>
          </cell>
        </row>
        <row r="4845">
          <cell r="D4845" t="str">
            <v>CB5324310-009R006</v>
          </cell>
          <cell r="E4845" t="str">
            <v>型材</v>
          </cell>
        </row>
        <row r="4846">
          <cell r="D4846" t="str">
            <v>CB5324310-009R006</v>
          </cell>
          <cell r="E4846" t="str">
            <v>型材</v>
          </cell>
        </row>
        <row r="4847">
          <cell r="D4847" t="str">
            <v>CB5324310-009L006</v>
          </cell>
          <cell r="E4847" t="str">
            <v>型材</v>
          </cell>
        </row>
        <row r="4848">
          <cell r="D4848" t="str">
            <v>CB5324310-009L006</v>
          </cell>
          <cell r="E4848" t="str">
            <v>型材</v>
          </cell>
        </row>
        <row r="4849">
          <cell r="D4849" t="str">
            <v>CB5324310-011R006</v>
          </cell>
          <cell r="E4849" t="str">
            <v>型材</v>
          </cell>
        </row>
        <row r="4850">
          <cell r="D4850" t="str">
            <v>CB5324310-011R006</v>
          </cell>
          <cell r="E4850" t="str">
            <v>型材</v>
          </cell>
        </row>
        <row r="4851">
          <cell r="D4851" t="str">
            <v>CB5324310-011L006</v>
          </cell>
          <cell r="E4851" t="str">
            <v>型材</v>
          </cell>
        </row>
        <row r="4852">
          <cell r="D4852" t="str">
            <v>CB5324310-011L006</v>
          </cell>
          <cell r="E4852" t="str">
            <v>型材</v>
          </cell>
        </row>
        <row r="4853">
          <cell r="D4853" t="str">
            <v>DD-J10B-02121-1AG2-Y</v>
          </cell>
          <cell r="E4853" t="str">
            <v>BL280侧壁（右件）</v>
          </cell>
        </row>
        <row r="4854">
          <cell r="D4854" t="str">
            <v>DD-J10B-02121-1AG2-Y</v>
          </cell>
          <cell r="E4854" t="str">
            <v>BL280侧壁（右件）</v>
          </cell>
        </row>
        <row r="4855">
          <cell r="D4855" t="str">
            <v>DD-J10B-02121-1AG2-Y</v>
          </cell>
          <cell r="E4855" t="str">
            <v>BL280侧壁（右件）</v>
          </cell>
        </row>
        <row r="4856">
          <cell r="D4856" t="str">
            <v>DD-J10B-02121-1AG2-Y</v>
          </cell>
          <cell r="E4856" t="str">
            <v>BL280侧壁（右件）</v>
          </cell>
        </row>
        <row r="4857">
          <cell r="D4857" t="str">
            <v>DD-J10B-02121-1AG2-Y</v>
          </cell>
          <cell r="E4857" t="str">
            <v>BL280侧壁（右件）</v>
          </cell>
        </row>
        <row r="4858">
          <cell r="D4858" t="str">
            <v>DD-J10B-02121-1AG2-Y</v>
          </cell>
          <cell r="E4858" t="str">
            <v>BL280侧壁（右件）</v>
          </cell>
        </row>
        <row r="4859">
          <cell r="D4859" t="str">
            <v>DD-J10B-02121-1AG2-Y</v>
          </cell>
          <cell r="E4859" t="str">
            <v>BL280侧壁（右件）</v>
          </cell>
        </row>
        <row r="4860">
          <cell r="D4860" t="str">
            <v>DD-J10B-02121-1AG2-Y</v>
          </cell>
          <cell r="E4860" t="str">
            <v>BL280侧壁（右件）</v>
          </cell>
        </row>
        <row r="4861">
          <cell r="D4861" t="str">
            <v>DD-J10B-02121-1AG2-Z</v>
          </cell>
          <cell r="E4861" t="str">
            <v>BL280侧壁（左件）</v>
          </cell>
        </row>
        <row r="4862">
          <cell r="D4862" t="str">
            <v>DD-J10B-02121-1AG2-Z</v>
          </cell>
          <cell r="E4862" t="str">
            <v>BL280侧壁（左件）</v>
          </cell>
        </row>
        <row r="4863">
          <cell r="D4863" t="str">
            <v>DD-J10B-02121-1AG2-Z</v>
          </cell>
          <cell r="E4863" t="str">
            <v>BL280侧壁（左件）</v>
          </cell>
        </row>
        <row r="4864">
          <cell r="D4864" t="str">
            <v>DD-J10B-02121-1AG2-Z</v>
          </cell>
          <cell r="E4864" t="str">
            <v>BL280侧壁（左件）</v>
          </cell>
        </row>
        <row r="4865">
          <cell r="D4865" t="str">
            <v>DD-J10B-02121-1AG2-Z</v>
          </cell>
          <cell r="E4865" t="str">
            <v>BL280侧壁（左件）</v>
          </cell>
        </row>
        <row r="4866">
          <cell r="D4866" t="str">
            <v>DD-J10B-02121-1AG2-Z</v>
          </cell>
          <cell r="E4866" t="str">
            <v>BL280侧壁（左件）</v>
          </cell>
        </row>
        <row r="4867">
          <cell r="D4867" t="str">
            <v>DD-J10B-02121-1AG2-Z</v>
          </cell>
          <cell r="E4867" t="str">
            <v>BL280侧壁（左件）</v>
          </cell>
        </row>
        <row r="4868">
          <cell r="D4868" t="str">
            <v>DD-J10B-02121-1AG2-Z</v>
          </cell>
          <cell r="E4868" t="str">
            <v>BL280侧壁（左件）</v>
          </cell>
        </row>
        <row r="4869">
          <cell r="D4869" t="str">
            <v>DD-J10B-02121-1AG2-Z</v>
          </cell>
          <cell r="E4869" t="str">
            <v>BL280侧壁（左件）</v>
          </cell>
        </row>
        <row r="4870">
          <cell r="D4870" t="str">
            <v>DD-J10B-02121-1AG2-Z</v>
          </cell>
          <cell r="E4870" t="str">
            <v>BL280侧壁（左件）</v>
          </cell>
        </row>
        <row r="4871">
          <cell r="D4871" t="str">
            <v>GU5715010-001L001</v>
          </cell>
          <cell r="E4871" t="str">
            <v>前缘根肋</v>
          </cell>
        </row>
        <row r="4872">
          <cell r="D4872" t="str">
            <v>GU5715010-001R001</v>
          </cell>
          <cell r="E4872" t="str">
            <v>前缘根肋</v>
          </cell>
        </row>
        <row r="4873">
          <cell r="D4873" t="str">
            <v>GU5715010-002R001</v>
          </cell>
          <cell r="E4873" t="str">
            <v>前缘1肋</v>
          </cell>
        </row>
        <row r="4874">
          <cell r="D4874" t="str">
            <v>GU5715010-002L001</v>
          </cell>
          <cell r="E4874" t="str">
            <v>前缘1肋</v>
          </cell>
        </row>
        <row r="4875">
          <cell r="D4875" t="str">
            <v>GU5715010-006L001</v>
          </cell>
          <cell r="E4875" t="str">
            <v>前缘5肋</v>
          </cell>
        </row>
        <row r="4876">
          <cell r="D4876" t="str">
            <v>GU5715010-007L001</v>
          </cell>
          <cell r="E4876" t="str">
            <v>前缘6肋</v>
          </cell>
        </row>
        <row r="4877">
          <cell r="D4877" t="str">
            <v>GU5715010-007R001</v>
          </cell>
          <cell r="E4877" t="str">
            <v>前缘6肋</v>
          </cell>
        </row>
        <row r="4878">
          <cell r="D4878" t="str">
            <v>GU5715010-013L001</v>
          </cell>
          <cell r="E4878" t="str">
            <v>前缘11肋</v>
          </cell>
        </row>
        <row r="4879">
          <cell r="D4879" t="str">
            <v>GU5715020-008R001</v>
          </cell>
          <cell r="E4879" t="str">
            <v>前缘19肋</v>
          </cell>
        </row>
        <row r="4880">
          <cell r="D4880" t="str">
            <v>GU5715020-008L001</v>
          </cell>
          <cell r="E4880" t="str">
            <v>前缘19肋</v>
          </cell>
        </row>
        <row r="4881">
          <cell r="D4881" t="str">
            <v>GU5714000-007L001</v>
          </cell>
          <cell r="E4881" t="str">
            <v>7600肋</v>
          </cell>
        </row>
        <row r="4882">
          <cell r="D4882" t="str">
            <v>GU5714000-007R001</v>
          </cell>
          <cell r="E4882" t="str">
            <v>7600肋</v>
          </cell>
        </row>
        <row r="4883">
          <cell r="D4883" t="str">
            <v>GU5714000-008L001</v>
          </cell>
          <cell r="E4883" t="str">
            <v>8800肋</v>
          </cell>
        </row>
        <row r="4884">
          <cell r="D4884" t="str">
            <v>GU5714000-008R001</v>
          </cell>
          <cell r="E4884" t="str">
            <v>8800肋</v>
          </cell>
        </row>
        <row r="4885">
          <cell r="D4885" t="str">
            <v>GU5714000-011R001</v>
          </cell>
          <cell r="E4885" t="str">
            <v>8800肋角片</v>
          </cell>
        </row>
        <row r="4886">
          <cell r="D4886" t="str">
            <v>GU5714000-011L001</v>
          </cell>
          <cell r="E4886" t="str">
            <v>8800肋角片</v>
          </cell>
        </row>
        <row r="4887">
          <cell r="D4887" t="str">
            <v>GU5714000-012L001</v>
          </cell>
          <cell r="E4887" t="str">
            <v>7600肋角片</v>
          </cell>
        </row>
        <row r="4888">
          <cell r="D4888" t="str">
            <v>GU5714000-012R001</v>
          </cell>
          <cell r="E4888" t="str">
            <v>7600肋角片</v>
          </cell>
        </row>
        <row r="4889">
          <cell r="D4889" t="str">
            <v>GU5336111-021L001</v>
          </cell>
          <cell r="E4889" t="str">
            <v>第二长桁左Ⅰ</v>
          </cell>
        </row>
        <row r="4890">
          <cell r="D4890" t="str">
            <v>GU5312200-002-001</v>
          </cell>
          <cell r="E4890" t="str">
            <v>左上框</v>
          </cell>
        </row>
        <row r="4891">
          <cell r="D4891" t="str">
            <v>GU5312200-002-001</v>
          </cell>
          <cell r="E4891" t="str">
            <v>左上框</v>
          </cell>
        </row>
        <row r="4892">
          <cell r="D4892" t="str">
            <v>GU5312200-003-001</v>
          </cell>
          <cell r="E4892" t="str">
            <v>右上框</v>
          </cell>
        </row>
        <row r="4893">
          <cell r="D4893" t="str">
            <v>GU5312200-003-001</v>
          </cell>
          <cell r="E4893" t="str">
            <v>右上框</v>
          </cell>
        </row>
        <row r="4894">
          <cell r="D4894" t="str">
            <v>CB5327310-014L001</v>
          </cell>
          <cell r="E4894" t="str">
            <v>大舱门前缘冒型材</v>
          </cell>
        </row>
        <row r="4895">
          <cell r="D4895" t="str">
            <v>CB5327310-014R001</v>
          </cell>
          <cell r="E4895" t="str">
            <v>大舱门前缘冒型材</v>
          </cell>
        </row>
        <row r="4896">
          <cell r="D4896" t="str">
            <v>DD-J10B-02041-202G2</v>
          </cell>
          <cell r="E4896" t="str">
            <v>地板</v>
          </cell>
        </row>
        <row r="4897">
          <cell r="D4897" t="str">
            <v>DD-J10B-02041-202G2</v>
          </cell>
          <cell r="E4897" t="str">
            <v>地板</v>
          </cell>
        </row>
        <row r="4898">
          <cell r="D4898" t="str">
            <v>DD-J10B-02041-202G2</v>
          </cell>
          <cell r="E4898" t="str">
            <v>地板</v>
          </cell>
        </row>
        <row r="4899">
          <cell r="D4899" t="str">
            <v>DD-J10B-02041-202G2</v>
          </cell>
          <cell r="E4899" t="str">
            <v>地板</v>
          </cell>
        </row>
        <row r="4900">
          <cell r="D4900" t="str">
            <v>DD-J10B-02041-202G2</v>
          </cell>
          <cell r="E4900" t="str">
            <v>地板</v>
          </cell>
        </row>
        <row r="4901">
          <cell r="D4901" t="str">
            <v>DD-J10B-02041-202G2</v>
          </cell>
          <cell r="E4901" t="str">
            <v>地板</v>
          </cell>
        </row>
        <row r="4902">
          <cell r="D4902" t="str">
            <v>CB5315190-002L001</v>
          </cell>
          <cell r="E4902" t="str">
            <v>WL-600地板梁</v>
          </cell>
        </row>
        <row r="4903">
          <cell r="D4903" t="str">
            <v>DD-J10-55181-13</v>
          </cell>
          <cell r="E4903" t="str">
            <v>变径三通管接头</v>
          </cell>
        </row>
        <row r="4904">
          <cell r="D4904" t="str">
            <v>BC2281616-002-001</v>
          </cell>
          <cell r="E4904" t="str">
            <v>支臂</v>
          </cell>
        </row>
        <row r="4905">
          <cell r="D4905" t="str">
            <v>BC2281616-001-001</v>
          </cell>
          <cell r="E4905" t="str">
            <v>支臂</v>
          </cell>
        </row>
        <row r="4906">
          <cell r="D4906" t="str">
            <v>CB22921L3-001-003</v>
          </cell>
          <cell r="E4906" t="str">
            <v>支座</v>
          </cell>
        </row>
        <row r="4907">
          <cell r="D4907" t="str">
            <v>CB22921L3-001-003</v>
          </cell>
          <cell r="E4907" t="str">
            <v>支座</v>
          </cell>
        </row>
        <row r="4908">
          <cell r="D4908" t="str">
            <v>DD-J10-21102-390-1-Z</v>
          </cell>
          <cell r="E4908" t="str">
            <v>1150肋九段</v>
          </cell>
        </row>
        <row r="4909">
          <cell r="D4909" t="str">
            <v>CB5327310-014R001</v>
          </cell>
          <cell r="E4909" t="str">
            <v>大舱门前缘冒型材</v>
          </cell>
        </row>
        <row r="4910">
          <cell r="D4910" t="str">
            <v>CB5327310-014L001</v>
          </cell>
          <cell r="E4910" t="str">
            <v>大舱门前缘冒型材</v>
          </cell>
        </row>
        <row r="4911">
          <cell r="D4911" t="str">
            <v>CB5326200-134L002</v>
          </cell>
          <cell r="E4911" t="str">
            <v>9010 4号加强筋</v>
          </cell>
        </row>
        <row r="4912">
          <cell r="D4912" t="str">
            <v>CB5326200-134L002</v>
          </cell>
          <cell r="E4912" t="str">
            <v>9010 4号加强筋</v>
          </cell>
        </row>
        <row r="4913">
          <cell r="D4913" t="str">
            <v>CB5326200-134L002</v>
          </cell>
          <cell r="E4913" t="str">
            <v>9010 4号加强筋</v>
          </cell>
        </row>
        <row r="4914">
          <cell r="D4914" t="str">
            <v>CB5326200-134R002</v>
          </cell>
          <cell r="E4914" t="str">
            <v>9010 4号加强筋</v>
          </cell>
        </row>
        <row r="4915">
          <cell r="D4915" t="str">
            <v>CB5326200-134R002</v>
          </cell>
          <cell r="E4915" t="str">
            <v>9010 4号加强筋</v>
          </cell>
        </row>
        <row r="4916">
          <cell r="D4916" t="str">
            <v>CB5326200-134R002</v>
          </cell>
          <cell r="E4916" t="str">
            <v>9010 4号加强筋</v>
          </cell>
        </row>
        <row r="4917">
          <cell r="D4917" t="str">
            <v>CB5326200-133L002</v>
          </cell>
          <cell r="E4917" t="str">
            <v>8815 4号加强筋</v>
          </cell>
        </row>
        <row r="4918">
          <cell r="D4918" t="str">
            <v>CB5326200-133L002</v>
          </cell>
          <cell r="E4918" t="str">
            <v>8815 4号加强筋</v>
          </cell>
        </row>
        <row r="4919">
          <cell r="D4919" t="str">
            <v>CB5326200-133L002</v>
          </cell>
          <cell r="E4919" t="str">
            <v>8815 4号加强筋</v>
          </cell>
        </row>
        <row r="4920">
          <cell r="D4920" t="str">
            <v>CB5326200-133R002</v>
          </cell>
          <cell r="E4920" t="str">
            <v>8815 4号加强筋</v>
          </cell>
        </row>
        <row r="4921">
          <cell r="D4921" t="str">
            <v>CB5326200-133R002</v>
          </cell>
          <cell r="E4921" t="str">
            <v>8815 4号加强筋</v>
          </cell>
        </row>
        <row r="4922">
          <cell r="D4922" t="str">
            <v>CB5326200-133R002</v>
          </cell>
          <cell r="E4922" t="str">
            <v>8815 4号加强筋</v>
          </cell>
        </row>
        <row r="4923">
          <cell r="D4923" t="str">
            <v>CB5326200-131L002</v>
          </cell>
          <cell r="E4923" t="str">
            <v>8455 4号加强筋</v>
          </cell>
        </row>
        <row r="4924">
          <cell r="D4924" t="str">
            <v>CB5326200-131L002</v>
          </cell>
          <cell r="E4924" t="str">
            <v>8455 4号加强筋</v>
          </cell>
        </row>
        <row r="4925">
          <cell r="D4925" t="str">
            <v>CB5326200-131L002</v>
          </cell>
          <cell r="E4925" t="str">
            <v>8455 4号加强筋</v>
          </cell>
        </row>
        <row r="4926">
          <cell r="D4926" t="str">
            <v>CB5326200-131R002</v>
          </cell>
          <cell r="E4926" t="str">
            <v>8455 4号加强筋</v>
          </cell>
        </row>
        <row r="4927">
          <cell r="D4927" t="str">
            <v>CB5326200-131R002</v>
          </cell>
          <cell r="E4927" t="str">
            <v>8455 4号加强筋</v>
          </cell>
        </row>
        <row r="4928">
          <cell r="D4928" t="str">
            <v>CB5326200-131R002</v>
          </cell>
          <cell r="E4928" t="str">
            <v>8455 4号加强筋</v>
          </cell>
        </row>
        <row r="4929">
          <cell r="D4929" t="str">
            <v>GU5715010-013R001</v>
          </cell>
          <cell r="E4929" t="str">
            <v>前缘11肋</v>
          </cell>
        </row>
        <row r="4930">
          <cell r="D4930" t="str">
            <v>GU5714000-009L001</v>
          </cell>
          <cell r="E4930" t="str">
            <v>端肋</v>
          </cell>
        </row>
        <row r="4931">
          <cell r="D4931" t="str">
            <v>GU5714000-009R001</v>
          </cell>
          <cell r="E4931" t="str">
            <v>端肋</v>
          </cell>
        </row>
        <row r="4932">
          <cell r="D4932" t="str">
            <v>GU5322110-003R001</v>
          </cell>
          <cell r="E4932" t="str">
            <v>3750-4575右侧上梁</v>
          </cell>
        </row>
        <row r="4933">
          <cell r="D4933" t="str">
            <v>GU5322110-003R001</v>
          </cell>
          <cell r="E4933" t="str">
            <v>3750-4575右侧上梁</v>
          </cell>
        </row>
        <row r="4934">
          <cell r="D4934" t="str">
            <v>GU5322110-003R001</v>
          </cell>
          <cell r="E4934" t="str">
            <v>3750-4575右侧上梁</v>
          </cell>
        </row>
        <row r="4935">
          <cell r="D4935" t="str">
            <v>GU5322110-003R001</v>
          </cell>
          <cell r="E4935" t="str">
            <v>3750-4575右侧上梁</v>
          </cell>
        </row>
        <row r="4936">
          <cell r="D4936" t="str">
            <v>GU5322110-003R001</v>
          </cell>
          <cell r="E4936" t="str">
            <v>3750-4575右侧上梁</v>
          </cell>
        </row>
        <row r="4937">
          <cell r="D4937" t="str">
            <v>GU5322110-003R001</v>
          </cell>
          <cell r="E4937" t="str">
            <v>3750-4575右侧上梁</v>
          </cell>
        </row>
        <row r="4938">
          <cell r="D4938" t="str">
            <v>GU5322110-003L001</v>
          </cell>
          <cell r="E4938" t="str">
            <v>3750-4575左侧上梁</v>
          </cell>
        </row>
        <row r="4939">
          <cell r="D4939" t="str">
            <v>GU5322110-003L001</v>
          </cell>
          <cell r="E4939" t="str">
            <v>3750-4575左侧上梁</v>
          </cell>
        </row>
        <row r="4940">
          <cell r="D4940" t="str">
            <v>GU5322110-003L001</v>
          </cell>
          <cell r="E4940" t="str">
            <v>3750-4575左侧上梁</v>
          </cell>
        </row>
        <row r="4941">
          <cell r="D4941" t="str">
            <v>GU5322110-003L001</v>
          </cell>
          <cell r="E4941" t="str">
            <v>3750-4575左侧上梁</v>
          </cell>
        </row>
        <row r="4942">
          <cell r="D4942" t="str">
            <v>GU5322110-003L001</v>
          </cell>
          <cell r="E4942" t="str">
            <v>3750-4575左侧上梁</v>
          </cell>
        </row>
        <row r="4943">
          <cell r="D4943" t="str">
            <v>GU5322110-003L001</v>
          </cell>
          <cell r="E4943" t="str">
            <v>3750-4575左侧上梁</v>
          </cell>
        </row>
        <row r="4944">
          <cell r="D4944" t="str">
            <v>DD-J10-21102-553-Z</v>
          </cell>
          <cell r="E4944" t="str">
            <v>1780肋三段（左件）</v>
          </cell>
        </row>
        <row r="4945">
          <cell r="D4945" t="str">
            <v>XXX-1000-03</v>
          </cell>
          <cell r="E4945" t="str">
            <v>XXX安装板1</v>
          </cell>
        </row>
        <row r="4946">
          <cell r="D4946" t="str">
            <v>XXX-2000-01(F3)</v>
          </cell>
          <cell r="E4946" t="str">
            <v>XXX处理腔（F3）</v>
          </cell>
        </row>
        <row r="4947">
          <cell r="D4947" t="str">
            <v>XXX-2000-02(F3)</v>
          </cell>
          <cell r="E4947" t="str">
            <v>XXX盒1</v>
          </cell>
        </row>
        <row r="4948">
          <cell r="D4948" t="str">
            <v>XXX-2000-03(F3)</v>
          </cell>
          <cell r="E4948" t="str">
            <v>XXX盒2</v>
          </cell>
        </row>
        <row r="4949">
          <cell r="D4949" t="str">
            <v>XXX-2000-04(F3)</v>
          </cell>
          <cell r="E4949" t="str">
            <v>XXX盒3</v>
          </cell>
        </row>
        <row r="4950">
          <cell r="D4950" t="str">
            <v>XXX-000-01</v>
          </cell>
          <cell r="E4950" t="str">
            <v>XXX支撑座1</v>
          </cell>
        </row>
        <row r="4951">
          <cell r="D4951" t="str">
            <v>XXX-000-02</v>
          </cell>
          <cell r="E4951" t="str">
            <v>XXX支撑座2</v>
          </cell>
        </row>
        <row r="4952">
          <cell r="D4952" t="str">
            <v>XXX-000-01</v>
          </cell>
          <cell r="E4952" t="str">
            <v>振动夹具</v>
          </cell>
        </row>
        <row r="4953">
          <cell r="D4953" t="str">
            <v>CB22847Y1N007-001</v>
          </cell>
          <cell r="E4953" t="str">
            <v>衬套</v>
          </cell>
        </row>
        <row r="4954">
          <cell r="D4954" t="str">
            <v>CB2292112-004-001</v>
          </cell>
          <cell r="E4954" t="str">
            <v>螺栓</v>
          </cell>
        </row>
        <row r="4955">
          <cell r="D4955" t="str">
            <v>DD-J10-55181-2532</v>
          </cell>
          <cell r="E4955" t="str">
            <v>螺帽</v>
          </cell>
        </row>
        <row r="4956">
          <cell r="D4956" t="str">
            <v>DD-J10-41123-1103</v>
          </cell>
          <cell r="E4956" t="str">
            <v>螺帽</v>
          </cell>
        </row>
        <row r="4957">
          <cell r="D4957" t="str">
            <v>DD-J10B-42074-50-1</v>
          </cell>
          <cell r="E4957" t="str">
            <v>管子</v>
          </cell>
        </row>
        <row r="4958">
          <cell r="D4958" t="str">
            <v>DD-J10B-42074-50-1</v>
          </cell>
          <cell r="E4958" t="str">
            <v>管子</v>
          </cell>
        </row>
        <row r="4959">
          <cell r="D4959" t="str">
            <v>DD-J10B-42074-60-1</v>
          </cell>
          <cell r="E4959" t="str">
            <v>管子</v>
          </cell>
        </row>
        <row r="4960">
          <cell r="D4960" t="str">
            <v>DD-J10B-42074-60-1</v>
          </cell>
          <cell r="E4960" t="str">
            <v>管子</v>
          </cell>
        </row>
        <row r="4961">
          <cell r="D4961" t="str">
            <v>DD-J10B-42074-60-1</v>
          </cell>
          <cell r="E4961" t="str">
            <v>管子</v>
          </cell>
        </row>
        <row r="4962">
          <cell r="D4962" t="str">
            <v>DD-J10B-42074-70-1</v>
          </cell>
          <cell r="E4962" t="str">
            <v>管子</v>
          </cell>
        </row>
        <row r="4963">
          <cell r="D4963" t="str">
            <v>DD-J10B-42074-70-1</v>
          </cell>
          <cell r="E4963" t="str">
            <v>管子</v>
          </cell>
        </row>
        <row r="4964">
          <cell r="D4964" t="str">
            <v>DD-J10B-42074-70-1</v>
          </cell>
          <cell r="E4964" t="str">
            <v>管子</v>
          </cell>
        </row>
        <row r="4965">
          <cell r="D4965" t="str">
            <v>DD-J10B-94076-620-4</v>
          </cell>
          <cell r="E4965" t="str">
            <v>衬套</v>
          </cell>
        </row>
        <row r="4966">
          <cell r="D4966" t="str">
            <v>DD-J10B-94076-620-4</v>
          </cell>
          <cell r="E4966" t="str">
            <v>衬套</v>
          </cell>
        </row>
        <row r="4967">
          <cell r="D4967" t="str">
            <v>DD-J10-62021-40-1</v>
          </cell>
          <cell r="E4967" t="str">
            <v>短管</v>
          </cell>
        </row>
        <row r="4968">
          <cell r="D4968" t="str">
            <v>BC2271901-001-003</v>
          </cell>
          <cell r="E4968" t="str">
            <v>过渡板</v>
          </cell>
        </row>
        <row r="4969">
          <cell r="D4969" t="str">
            <v>BC2271901-001-003</v>
          </cell>
          <cell r="E4969" t="str">
            <v>过渡板</v>
          </cell>
        </row>
        <row r="4970">
          <cell r="D4970" t="str">
            <v>BC2291141-001-001</v>
          </cell>
          <cell r="E4970" t="str">
            <v>应急泵支架</v>
          </cell>
        </row>
        <row r="4971">
          <cell r="D4971" t="str">
            <v>BC2563500-002-001</v>
          </cell>
          <cell r="E4971" t="str">
            <v>转轴</v>
          </cell>
        </row>
        <row r="4972">
          <cell r="D4972" t="str">
            <v>CB5822016-034L001</v>
          </cell>
          <cell r="E4972" t="str">
            <v>角片</v>
          </cell>
        </row>
        <row r="4973">
          <cell r="D4973" t="str">
            <v>CB5822016-034R001</v>
          </cell>
          <cell r="E4973" t="str">
            <v>角片</v>
          </cell>
        </row>
        <row r="4974">
          <cell r="D4974" t="str">
            <v>CB5324321-010-006</v>
          </cell>
          <cell r="E4974" t="str">
            <v>加强件</v>
          </cell>
        </row>
        <row r="4975">
          <cell r="D4975" t="str">
            <v>GU5336113-001R001</v>
          </cell>
          <cell r="E4975" t="str">
            <v>STA8510~9055右上大梁</v>
          </cell>
        </row>
        <row r="4976">
          <cell r="D4976" t="str">
            <v>GU5336113-001R001</v>
          </cell>
          <cell r="E4976" t="str">
            <v>STA8510~9055右上大梁</v>
          </cell>
        </row>
        <row r="4977">
          <cell r="D4977" t="str">
            <v>GU5336113-001L001</v>
          </cell>
          <cell r="E4977" t="str">
            <v>STA8510~9055左上大梁</v>
          </cell>
        </row>
        <row r="4978">
          <cell r="D4978" t="str">
            <v>GU5336113-001L001</v>
          </cell>
          <cell r="E4978" t="str">
            <v>STA8510~9055左上大梁</v>
          </cell>
        </row>
        <row r="4979">
          <cell r="D4979" t="str">
            <v>GU5336113-001L001</v>
          </cell>
          <cell r="E4979" t="str">
            <v>STA8510~9055左上大梁</v>
          </cell>
        </row>
        <row r="4980">
          <cell r="D4980" t="str">
            <v>DD-J10-21102-274</v>
          </cell>
          <cell r="E4980" t="str">
            <v>4#下垫片</v>
          </cell>
        </row>
        <row r="4981">
          <cell r="D4981" t="str">
            <v>CB5325210-001-004</v>
          </cell>
          <cell r="E4981" t="str">
            <v>辅助动力舱口盖前段</v>
          </cell>
        </row>
        <row r="4982">
          <cell r="D4982" t="str">
            <v>CB5325210-001-004</v>
          </cell>
          <cell r="E4982" t="str">
            <v>辅助动力舱口盖前段</v>
          </cell>
        </row>
        <row r="4983">
          <cell r="D4983" t="str">
            <v>CB5325210-001-004</v>
          </cell>
          <cell r="E4983" t="str">
            <v>辅助动力舱口盖前段</v>
          </cell>
        </row>
        <row r="4984">
          <cell r="D4984" t="str">
            <v>CB5325210-001-004</v>
          </cell>
          <cell r="E4984" t="str">
            <v>辅助动力舱口盖前段</v>
          </cell>
        </row>
        <row r="4985">
          <cell r="D4985" t="str">
            <v>DD-J10B-04011-1</v>
          </cell>
          <cell r="E4985" t="str">
            <v>7100框</v>
          </cell>
        </row>
        <row r="4986">
          <cell r="D4986" t="str">
            <v>DD-J10B-04011-1</v>
          </cell>
          <cell r="E4986" t="str">
            <v>7100框</v>
          </cell>
        </row>
        <row r="4987">
          <cell r="D4987" t="str">
            <v>DD-J10B-04011-1</v>
          </cell>
          <cell r="E4987" t="str">
            <v>7100框</v>
          </cell>
        </row>
        <row r="4988">
          <cell r="D4988" t="str">
            <v>DD-J10B-04011-1</v>
          </cell>
          <cell r="E4988" t="str">
            <v>7100框</v>
          </cell>
        </row>
        <row r="4989">
          <cell r="D4989" t="str">
            <v>BC2281616-001-001</v>
          </cell>
          <cell r="E4989" t="str">
            <v>支臂</v>
          </cell>
        </row>
        <row r="4990">
          <cell r="D4990" t="str">
            <v>BC2281616-002-001</v>
          </cell>
          <cell r="E4990" t="str">
            <v>支臂</v>
          </cell>
        </row>
        <row r="4991">
          <cell r="D4991" t="str">
            <v>GU5716000-001R001</v>
          </cell>
          <cell r="E4991" t="str">
            <v>后舱根肋</v>
          </cell>
        </row>
        <row r="4992">
          <cell r="D4992" t="str">
            <v>GU5716000-001L001</v>
          </cell>
          <cell r="E4992" t="str">
            <v>后舱根肋</v>
          </cell>
        </row>
        <row r="4993">
          <cell r="D4993" t="str">
            <v>DD-J10B-02021-3/2-Y</v>
          </cell>
          <cell r="E4993" t="str">
            <v>雷达罩锁支座</v>
          </cell>
        </row>
        <row r="4994">
          <cell r="D4994" t="str">
            <v>DD-J10B-02021-3/2-Y</v>
          </cell>
          <cell r="E4994" t="str">
            <v>雷达罩锁支座</v>
          </cell>
        </row>
        <row r="4995">
          <cell r="D4995" t="str">
            <v>DD-J10B-02021-3/2-Z</v>
          </cell>
          <cell r="E4995" t="str">
            <v>雷达罩锁支座</v>
          </cell>
        </row>
        <row r="4996">
          <cell r="D4996" t="str">
            <v>DD-J10B-02021-3/2-Z</v>
          </cell>
          <cell r="E4996" t="str">
            <v>雷达罩锁支座</v>
          </cell>
        </row>
        <row r="4997">
          <cell r="D4997" t="str">
            <v>CB5822016-024L001</v>
          </cell>
          <cell r="E4997" t="str">
            <v>角片</v>
          </cell>
        </row>
        <row r="4998">
          <cell r="D4998" t="str">
            <v>CB5822016-024R001</v>
          </cell>
          <cell r="E4998" t="str">
            <v>角片</v>
          </cell>
        </row>
        <row r="4999">
          <cell r="D4999" t="str">
            <v>CB5324310-003-006</v>
          </cell>
          <cell r="E4999" t="str">
            <v>角盒</v>
          </cell>
        </row>
        <row r="5000">
          <cell r="D5000" t="str">
            <v>CB5324310-003-006</v>
          </cell>
          <cell r="E5000" t="str">
            <v>角盒</v>
          </cell>
        </row>
        <row r="5001">
          <cell r="D5001" t="str">
            <v>CB5324310-003-006</v>
          </cell>
          <cell r="E5001" t="str">
            <v>角盒</v>
          </cell>
        </row>
        <row r="5002">
          <cell r="D5002" t="str">
            <v>CB5324310-003-006</v>
          </cell>
          <cell r="E5002" t="str">
            <v>角盒</v>
          </cell>
        </row>
        <row r="5003">
          <cell r="D5003" t="str">
            <v>CB5324310-003-006</v>
          </cell>
          <cell r="E5003" t="str">
            <v>角盒</v>
          </cell>
        </row>
        <row r="5004">
          <cell r="D5004" t="str">
            <v>CB5324310-003-006</v>
          </cell>
          <cell r="E5004" t="str">
            <v>角盒</v>
          </cell>
        </row>
        <row r="5005">
          <cell r="D5005" t="str">
            <v>CB5324310-003-006</v>
          </cell>
          <cell r="E5005" t="str">
            <v>角盒</v>
          </cell>
        </row>
        <row r="5006">
          <cell r="D5006" t="str">
            <v>CB5324310-003-006</v>
          </cell>
          <cell r="E5006" t="str">
            <v>角盒</v>
          </cell>
        </row>
        <row r="5007">
          <cell r="D5007" t="str">
            <v>CB5324310-003-006</v>
          </cell>
          <cell r="E5007" t="str">
            <v>角盒</v>
          </cell>
        </row>
        <row r="5008">
          <cell r="D5008" t="str">
            <v>CB5327220-002L001</v>
          </cell>
          <cell r="E5008" t="str">
            <v>型材</v>
          </cell>
        </row>
        <row r="5009">
          <cell r="D5009" t="str">
            <v>CB5327220-002L001</v>
          </cell>
          <cell r="E5009" t="str">
            <v>型材</v>
          </cell>
        </row>
        <row r="5010">
          <cell r="D5010" t="str">
            <v>CB5327220-002L001</v>
          </cell>
          <cell r="E5010" t="str">
            <v>型材</v>
          </cell>
        </row>
        <row r="5011">
          <cell r="D5011" t="str">
            <v>CB5327220-002R001</v>
          </cell>
          <cell r="E5011" t="str">
            <v>型材</v>
          </cell>
        </row>
        <row r="5012">
          <cell r="D5012" t="str">
            <v>CB5327220-002R001</v>
          </cell>
          <cell r="E5012" t="str">
            <v>型材</v>
          </cell>
        </row>
        <row r="5013">
          <cell r="D5013" t="str">
            <v>CB5327220-002R001</v>
          </cell>
          <cell r="E5013" t="str">
            <v>型材</v>
          </cell>
        </row>
        <row r="5014">
          <cell r="D5014" t="str">
            <v>DD-J10B-04321-30-1-Y</v>
          </cell>
          <cell r="E5014" t="str">
            <v>侧下梁</v>
          </cell>
        </row>
        <row r="5015">
          <cell r="D5015" t="str">
            <v>DD-J10B-04321-30-1-Y</v>
          </cell>
          <cell r="E5015" t="str">
            <v>侧下梁</v>
          </cell>
        </row>
        <row r="5016">
          <cell r="D5016" t="str">
            <v>DD-J10B-04321-30-1-Y</v>
          </cell>
          <cell r="E5016" t="str">
            <v>侧下梁</v>
          </cell>
        </row>
        <row r="5017">
          <cell r="D5017" t="str">
            <v>DD-J10B-04321-30-1-Y</v>
          </cell>
          <cell r="E5017" t="str">
            <v>侧下梁</v>
          </cell>
        </row>
        <row r="5018">
          <cell r="D5018" t="str">
            <v>DD-J10B-04321-30-1-Z</v>
          </cell>
          <cell r="E5018" t="str">
            <v>侧下梁</v>
          </cell>
        </row>
        <row r="5019">
          <cell r="D5019" t="str">
            <v>DD-J10B-04321-30-1-Z</v>
          </cell>
          <cell r="E5019" t="str">
            <v>侧下梁</v>
          </cell>
        </row>
        <row r="5020">
          <cell r="D5020" t="str">
            <v>DD-J10B-04321-30-1-Z</v>
          </cell>
          <cell r="E5020" t="str">
            <v>侧下梁</v>
          </cell>
        </row>
        <row r="5021">
          <cell r="D5021" t="str">
            <v>DD-J10B-04321-30-1-Z</v>
          </cell>
          <cell r="E5021" t="str">
            <v>侧下梁</v>
          </cell>
        </row>
        <row r="5022">
          <cell r="D5022" t="str">
            <v>CB5327110-002L004</v>
          </cell>
          <cell r="E5022" t="str">
            <v>8270左隔框</v>
          </cell>
        </row>
        <row r="5023">
          <cell r="D5023" t="str">
            <v>CB5327110-002L004</v>
          </cell>
          <cell r="E5023" t="str">
            <v>8270左隔框</v>
          </cell>
        </row>
        <row r="5024">
          <cell r="D5024" t="str">
            <v>CB5327110-002L004</v>
          </cell>
          <cell r="E5024" t="str">
            <v>8270左隔框</v>
          </cell>
        </row>
        <row r="5025">
          <cell r="D5025" t="str">
            <v>CB5327110-002L004</v>
          </cell>
          <cell r="E5025" t="str">
            <v>8270左隔框</v>
          </cell>
        </row>
        <row r="5026">
          <cell r="D5026" t="str">
            <v>CB5327110-002L004</v>
          </cell>
          <cell r="E5026" t="str">
            <v>8270左隔框</v>
          </cell>
        </row>
        <row r="5027">
          <cell r="D5027" t="str">
            <v>CB5327110-002L004</v>
          </cell>
          <cell r="E5027" t="str">
            <v>8270左隔框</v>
          </cell>
        </row>
        <row r="5028">
          <cell r="D5028" t="str">
            <v>CB5327110-002R004</v>
          </cell>
          <cell r="E5028" t="str">
            <v>8270右隔框</v>
          </cell>
        </row>
        <row r="5029">
          <cell r="D5029" t="str">
            <v>CB5327110-002R004</v>
          </cell>
          <cell r="E5029" t="str">
            <v>8270右隔框</v>
          </cell>
        </row>
        <row r="5030">
          <cell r="D5030" t="str">
            <v>CB5327110-002R004</v>
          </cell>
          <cell r="E5030" t="str">
            <v>8270右隔框</v>
          </cell>
        </row>
        <row r="5031">
          <cell r="D5031" t="str">
            <v>CB5327110-002R004</v>
          </cell>
          <cell r="E5031" t="str">
            <v>8270右隔框</v>
          </cell>
        </row>
        <row r="5032">
          <cell r="D5032" t="str">
            <v>CB5327110-002R004</v>
          </cell>
          <cell r="E5032" t="str">
            <v>8270右隔框</v>
          </cell>
        </row>
        <row r="5033">
          <cell r="D5033" t="str">
            <v>CB5327110-002R004</v>
          </cell>
          <cell r="E5033" t="str">
            <v>8270右隔框</v>
          </cell>
        </row>
        <row r="5034">
          <cell r="D5034" t="str">
            <v>CB5327110-003R002</v>
          </cell>
          <cell r="E5034" t="str">
            <v>8635右隔框</v>
          </cell>
        </row>
        <row r="5035">
          <cell r="D5035" t="str">
            <v>CB5327110-003R002</v>
          </cell>
          <cell r="E5035" t="str">
            <v>8635右隔框</v>
          </cell>
        </row>
        <row r="5036">
          <cell r="D5036" t="str">
            <v>CB5327110-003R002</v>
          </cell>
          <cell r="E5036" t="str">
            <v>8635右隔框</v>
          </cell>
        </row>
        <row r="5037">
          <cell r="D5037" t="str">
            <v>CB5327110-003R002</v>
          </cell>
          <cell r="E5037" t="str">
            <v>8635右隔框</v>
          </cell>
        </row>
        <row r="5038">
          <cell r="D5038" t="str">
            <v>CB5327110-003R002</v>
          </cell>
          <cell r="E5038" t="str">
            <v>8635右隔框</v>
          </cell>
        </row>
        <row r="5039">
          <cell r="D5039" t="str">
            <v>CB5327110-003R002</v>
          </cell>
          <cell r="E5039" t="str">
            <v>8635右隔框</v>
          </cell>
        </row>
        <row r="5040">
          <cell r="D5040" t="str">
            <v>CB5327110-003L002</v>
          </cell>
          <cell r="E5040" t="str">
            <v>8635左隔框</v>
          </cell>
        </row>
        <row r="5041">
          <cell r="D5041" t="str">
            <v>CB5327110-003L002</v>
          </cell>
          <cell r="E5041" t="str">
            <v>8635左隔框</v>
          </cell>
        </row>
        <row r="5042">
          <cell r="D5042" t="str">
            <v>CB5327110-003L002</v>
          </cell>
          <cell r="E5042" t="str">
            <v>8635左隔框</v>
          </cell>
        </row>
        <row r="5043">
          <cell r="D5043" t="str">
            <v>CB5327110-003L002</v>
          </cell>
          <cell r="E5043" t="str">
            <v>8635左隔框</v>
          </cell>
        </row>
        <row r="5044">
          <cell r="D5044" t="str">
            <v>CB5327110-003L002</v>
          </cell>
          <cell r="E5044" t="str">
            <v>8635左隔框</v>
          </cell>
        </row>
        <row r="5045">
          <cell r="D5045" t="str">
            <v>CB5327110-003L002</v>
          </cell>
          <cell r="E5045" t="str">
            <v>8635左隔框</v>
          </cell>
        </row>
        <row r="5046">
          <cell r="D5046" t="str">
            <v>CB5326200-125L002</v>
          </cell>
          <cell r="E5046" t="str">
            <v>9200 3号加强筋</v>
          </cell>
        </row>
        <row r="5047">
          <cell r="D5047" t="str">
            <v>CB5326200-125L002</v>
          </cell>
          <cell r="E5047" t="str">
            <v>9200 3号加强筋</v>
          </cell>
        </row>
        <row r="5048">
          <cell r="D5048" t="str">
            <v>CB5326200-125L002</v>
          </cell>
          <cell r="E5048" t="str">
            <v>9200 3号加强筋</v>
          </cell>
        </row>
        <row r="5049">
          <cell r="D5049" t="str">
            <v>CB5326200-125R002</v>
          </cell>
          <cell r="E5049" t="str">
            <v>9200 3号加强筋</v>
          </cell>
        </row>
        <row r="5050">
          <cell r="D5050" t="str">
            <v>CB5326200-125R002</v>
          </cell>
          <cell r="E5050" t="str">
            <v>9200 3号加强筋</v>
          </cell>
        </row>
        <row r="5051">
          <cell r="D5051" t="str">
            <v>CB5326200-125R002</v>
          </cell>
          <cell r="E5051" t="str">
            <v>9200 3号加强筋</v>
          </cell>
        </row>
        <row r="5052">
          <cell r="D5052" t="str">
            <v>BC2712311-004-003</v>
          </cell>
          <cell r="E5052" t="str">
            <v>保护罩支座</v>
          </cell>
        </row>
        <row r="5053">
          <cell r="D5053" t="str">
            <v>T/12-JZ01</v>
          </cell>
          <cell r="E5053" t="str">
            <v>接线柱</v>
          </cell>
        </row>
        <row r="5054">
          <cell r="D5054" t="str">
            <v>T/12-JP01</v>
          </cell>
          <cell r="E5054" t="str">
            <v>导线接线片</v>
          </cell>
        </row>
        <row r="5055">
          <cell r="D5055" t="str">
            <v>XXX-2000-01</v>
          </cell>
          <cell r="E5055" t="str">
            <v>壳体</v>
          </cell>
        </row>
        <row r="5056">
          <cell r="D5056" t="str">
            <v>XXX-2000-02</v>
          </cell>
          <cell r="E5056" t="str">
            <v>盖板</v>
          </cell>
        </row>
        <row r="5057">
          <cell r="D5057" t="str">
            <v>XXX-2000-03</v>
          </cell>
          <cell r="E5057" t="str">
            <v>盖板</v>
          </cell>
        </row>
        <row r="5058">
          <cell r="D5058" t="str">
            <v>XXX-2000-04</v>
          </cell>
          <cell r="E5058" t="str">
            <v>正极集电片</v>
          </cell>
        </row>
        <row r="5059">
          <cell r="D5059" t="str">
            <v>XXX-2000-05</v>
          </cell>
          <cell r="E5059" t="str">
            <v>负极集电片</v>
          </cell>
        </row>
        <row r="5060">
          <cell r="D5060" t="str">
            <v>GU5715010-022L001</v>
          </cell>
          <cell r="E5060" t="str">
            <v>前缘下带板</v>
          </cell>
        </row>
        <row r="5061">
          <cell r="D5061" t="str">
            <v>GU5715010-022L001</v>
          </cell>
          <cell r="E5061" t="str">
            <v>前缘下带板</v>
          </cell>
        </row>
        <row r="5062">
          <cell r="D5062" t="str">
            <v>GU5715010-022L001</v>
          </cell>
          <cell r="E5062" t="str">
            <v>前缘下带板</v>
          </cell>
        </row>
        <row r="5063">
          <cell r="D5063" t="str">
            <v>GU5715010-022R001</v>
          </cell>
          <cell r="E5063" t="str">
            <v>前缘下带板</v>
          </cell>
        </row>
        <row r="5064">
          <cell r="D5064" t="str">
            <v>GU5715010-022R001</v>
          </cell>
          <cell r="E5064" t="str">
            <v>前缘下带板</v>
          </cell>
        </row>
        <row r="5065">
          <cell r="D5065" t="str">
            <v>GU5715010-022R001</v>
          </cell>
          <cell r="E5065" t="str">
            <v>前缘下带板</v>
          </cell>
        </row>
        <row r="5066">
          <cell r="D5066" t="str">
            <v>GU5715010-021L001</v>
          </cell>
          <cell r="E5066" t="str">
            <v>前缘上带板</v>
          </cell>
        </row>
        <row r="5067">
          <cell r="D5067" t="str">
            <v>GU5715010-021L001</v>
          </cell>
          <cell r="E5067" t="str">
            <v>前缘上带板</v>
          </cell>
        </row>
        <row r="5068">
          <cell r="D5068" t="str">
            <v>GU5715010-021L001</v>
          </cell>
          <cell r="E5068" t="str">
            <v>前缘上带板</v>
          </cell>
        </row>
        <row r="5069">
          <cell r="D5069" t="str">
            <v>GU5715010-021R001</v>
          </cell>
          <cell r="E5069" t="str">
            <v>前缘上带板</v>
          </cell>
        </row>
        <row r="5070">
          <cell r="D5070" t="str">
            <v>GU5715010-021R001</v>
          </cell>
          <cell r="E5070" t="str">
            <v>前缘上带板</v>
          </cell>
        </row>
        <row r="5071">
          <cell r="D5071" t="str">
            <v>GU5715010-021R001</v>
          </cell>
          <cell r="E5071" t="str">
            <v>前缘上带板</v>
          </cell>
        </row>
        <row r="5072">
          <cell r="D5072" t="str">
            <v>CB2298621-001-002</v>
          </cell>
          <cell r="E5072" t="str">
            <v>支架</v>
          </cell>
        </row>
        <row r="5073">
          <cell r="D5073" t="str">
            <v>CB2297120-005-002</v>
          </cell>
          <cell r="E5073" t="str">
            <v>支架</v>
          </cell>
        </row>
        <row r="5074">
          <cell r="D5074" t="str">
            <v>CB2297031-001-001</v>
          </cell>
          <cell r="E5074" t="str">
            <v>支架</v>
          </cell>
        </row>
        <row r="5075">
          <cell r="D5075" t="str">
            <v>CB2297041-001-001</v>
          </cell>
          <cell r="E5075" t="str">
            <v>支架</v>
          </cell>
        </row>
        <row r="5076">
          <cell r="D5076" t="str">
            <v>CB5324310-003-006</v>
          </cell>
          <cell r="E5076" t="str">
            <v>角盒</v>
          </cell>
        </row>
        <row r="5077">
          <cell r="D5077" t="str">
            <v>CB5324310-011L006</v>
          </cell>
          <cell r="E5077" t="str">
            <v>型材</v>
          </cell>
        </row>
        <row r="5078">
          <cell r="D5078" t="str">
            <v>CB5324310-011L006</v>
          </cell>
          <cell r="E5078" t="str">
            <v>型材</v>
          </cell>
        </row>
        <row r="5079">
          <cell r="D5079" t="str">
            <v>CB5324310-011L006</v>
          </cell>
          <cell r="E5079" t="str">
            <v>型材</v>
          </cell>
        </row>
        <row r="5080">
          <cell r="D5080" t="str">
            <v>CB5324310-011L006</v>
          </cell>
          <cell r="E5080" t="str">
            <v>型材</v>
          </cell>
        </row>
        <row r="5081">
          <cell r="D5081" t="str">
            <v>CB5324310-011R006</v>
          </cell>
          <cell r="E5081" t="str">
            <v>型材</v>
          </cell>
        </row>
        <row r="5082">
          <cell r="D5082" t="str">
            <v>CB5324310-011R006</v>
          </cell>
          <cell r="E5082" t="str">
            <v>型材</v>
          </cell>
        </row>
        <row r="5083">
          <cell r="D5083" t="str">
            <v>CB5324310-011R006</v>
          </cell>
          <cell r="E5083" t="str">
            <v>型材</v>
          </cell>
        </row>
        <row r="5084">
          <cell r="D5084" t="str">
            <v>CB5324310-011R006</v>
          </cell>
          <cell r="E5084" t="str">
            <v>型材</v>
          </cell>
        </row>
        <row r="5085">
          <cell r="D5085" t="str">
            <v>CB5324310-009R006</v>
          </cell>
          <cell r="E5085" t="str">
            <v>型材</v>
          </cell>
        </row>
        <row r="5086">
          <cell r="D5086" t="str">
            <v>CB5324310-009R006</v>
          </cell>
          <cell r="E5086" t="str">
            <v>型材</v>
          </cell>
        </row>
        <row r="5087">
          <cell r="D5087" t="str">
            <v>CB5324310-009R006</v>
          </cell>
          <cell r="E5087" t="str">
            <v>型材</v>
          </cell>
        </row>
        <row r="5088">
          <cell r="D5088" t="str">
            <v>CB5324310-009R006</v>
          </cell>
          <cell r="E5088" t="str">
            <v>型材</v>
          </cell>
        </row>
        <row r="5089">
          <cell r="D5089" t="str">
            <v>CB5324310-009L006</v>
          </cell>
          <cell r="E5089" t="str">
            <v>型材</v>
          </cell>
        </row>
        <row r="5090">
          <cell r="D5090" t="str">
            <v>CB5324310-009L006</v>
          </cell>
          <cell r="E5090" t="str">
            <v>型材</v>
          </cell>
        </row>
        <row r="5091">
          <cell r="D5091" t="str">
            <v>CB5324310-009L006</v>
          </cell>
          <cell r="E5091" t="str">
            <v>型材</v>
          </cell>
        </row>
        <row r="5092">
          <cell r="D5092" t="str">
            <v>CB5324310-009L006</v>
          </cell>
          <cell r="E5092" t="str">
            <v>型材</v>
          </cell>
        </row>
        <row r="5093">
          <cell r="D5093" t="str">
            <v>CB5323220-052-024</v>
          </cell>
          <cell r="E5093" t="str">
            <v>9350~11140右侧上梁</v>
          </cell>
        </row>
        <row r="5094">
          <cell r="D5094" t="str">
            <v>CB5323220-052-024</v>
          </cell>
          <cell r="E5094" t="str">
            <v>9350~11140右侧上梁</v>
          </cell>
        </row>
        <row r="5095">
          <cell r="D5095" t="str">
            <v>CB5323220-052-024</v>
          </cell>
          <cell r="E5095" t="str">
            <v>9350~11140右侧上梁</v>
          </cell>
        </row>
        <row r="5096">
          <cell r="D5096" t="str">
            <v>CB5323220-052-024</v>
          </cell>
          <cell r="E5096" t="str">
            <v>9350~11140右侧上梁</v>
          </cell>
        </row>
        <row r="5097">
          <cell r="D5097" t="str">
            <v>CB5323220-052-024</v>
          </cell>
          <cell r="E5097" t="str">
            <v>9350~11140右侧上梁</v>
          </cell>
        </row>
        <row r="5098">
          <cell r="D5098" t="str">
            <v>CB5323220-052-024</v>
          </cell>
          <cell r="E5098" t="str">
            <v>9350~11140右侧上梁</v>
          </cell>
        </row>
        <row r="5099">
          <cell r="D5099" t="str">
            <v>CB5323220-052-024</v>
          </cell>
          <cell r="E5099" t="str">
            <v>9350~11140右侧上梁</v>
          </cell>
        </row>
        <row r="5100">
          <cell r="D5100" t="str">
            <v>CB5323220-052-024</v>
          </cell>
          <cell r="E5100" t="str">
            <v>9350~11140右侧上梁</v>
          </cell>
        </row>
        <row r="5101">
          <cell r="D5101" t="str">
            <v>CB5323210-005L061</v>
          </cell>
          <cell r="E5101" t="str">
            <v>9350~11140左侧上梁</v>
          </cell>
        </row>
        <row r="5102">
          <cell r="D5102" t="str">
            <v>CB5323210-005L061</v>
          </cell>
          <cell r="E5102" t="str">
            <v>9350~11140左侧上梁</v>
          </cell>
        </row>
        <row r="5103">
          <cell r="D5103" t="str">
            <v>CB5323210-005L061</v>
          </cell>
          <cell r="E5103" t="str">
            <v>9350~11140左侧上梁</v>
          </cell>
        </row>
        <row r="5104">
          <cell r="D5104" t="str">
            <v>CB5323210-005L061</v>
          </cell>
          <cell r="E5104" t="str">
            <v>9350~11140左侧上梁</v>
          </cell>
        </row>
        <row r="5105">
          <cell r="D5105" t="str">
            <v>CB5323210-005L061</v>
          </cell>
          <cell r="E5105" t="str">
            <v>9350~11140左侧上梁</v>
          </cell>
        </row>
        <row r="5106">
          <cell r="D5106" t="str">
            <v>CB5323210-005L061</v>
          </cell>
          <cell r="E5106" t="str">
            <v>9350~11140左侧上梁</v>
          </cell>
        </row>
        <row r="5107">
          <cell r="D5107" t="str">
            <v>CB5323210-005L061</v>
          </cell>
          <cell r="E5107" t="str">
            <v>9350~11140左侧上梁</v>
          </cell>
        </row>
        <row r="5108">
          <cell r="D5108" t="str">
            <v>CB5323210-005L033</v>
          </cell>
          <cell r="E5108" t="str">
            <v>9350~11140左侧上梁</v>
          </cell>
        </row>
        <row r="5109">
          <cell r="D5109" t="str">
            <v>DD-J10B-34303-4</v>
          </cell>
          <cell r="E5109" t="str">
            <v>支座</v>
          </cell>
        </row>
        <row r="5110">
          <cell r="D5110" t="str">
            <v>DD-J10B-34303-4</v>
          </cell>
          <cell r="E5110" t="str">
            <v>支座</v>
          </cell>
        </row>
        <row r="5111">
          <cell r="D5111" t="str">
            <v>XXX-210-01</v>
          </cell>
          <cell r="E5111" t="str">
            <v>XXX插头盖板</v>
          </cell>
        </row>
        <row r="5112">
          <cell r="D5112" t="str">
            <v>XXX-210-02</v>
          </cell>
          <cell r="E5112" t="str">
            <v>XXX插头绝缘子</v>
          </cell>
        </row>
        <row r="5113">
          <cell r="D5113" t="str">
            <v>XXX-210-04</v>
          </cell>
          <cell r="E5113" t="str">
            <v>XXX接地焊接座一</v>
          </cell>
        </row>
        <row r="5114">
          <cell r="D5114" t="str">
            <v>XXX-210-05</v>
          </cell>
          <cell r="E5114" t="str">
            <v>XXX插头壳体</v>
          </cell>
        </row>
        <row r="5115">
          <cell r="D5115" t="str">
            <v>XXX-210-06</v>
          </cell>
          <cell r="E5115" t="str">
            <v>XXX接地焊接座二</v>
          </cell>
        </row>
        <row r="5116">
          <cell r="D5116" t="str">
            <v>XXX-310-01</v>
          </cell>
          <cell r="E5116" t="str">
            <v>插头盖板</v>
          </cell>
        </row>
        <row r="5117">
          <cell r="D5117" t="str">
            <v>XXX-310-03</v>
          </cell>
          <cell r="E5117" t="str">
            <v>插头绝缘子</v>
          </cell>
        </row>
        <row r="5118">
          <cell r="D5118" t="str">
            <v>XXX-310-04</v>
          </cell>
          <cell r="E5118" t="str">
            <v>插头壳体</v>
          </cell>
        </row>
        <row r="5119">
          <cell r="D5119" t="str">
            <v>XXX-310-06</v>
          </cell>
          <cell r="E5119" t="str">
            <v>接地焊接座</v>
          </cell>
        </row>
        <row r="5120">
          <cell r="D5120" t="str">
            <v>XXX-000-01</v>
          </cell>
          <cell r="E5120" t="str">
            <v>振动夹具</v>
          </cell>
        </row>
        <row r="5121">
          <cell r="D5121" t="str">
            <v>XXX-000-02</v>
          </cell>
          <cell r="E5121" t="str">
            <v>夹具转接板I</v>
          </cell>
        </row>
        <row r="5122">
          <cell r="D5122" t="str">
            <v>XXX-000-03</v>
          </cell>
          <cell r="E5122" t="str">
            <v>夹具转接板II</v>
          </cell>
        </row>
        <row r="5123">
          <cell r="D5123" t="str">
            <v>XXX-000-04</v>
          </cell>
          <cell r="E5123" t="str">
            <v>阻尼橡胶垫</v>
          </cell>
        </row>
        <row r="5124">
          <cell r="D5124" t="str">
            <v>XXX-000-01</v>
          </cell>
          <cell r="E5124" t="str">
            <v>XXX离心夹具</v>
          </cell>
        </row>
        <row r="5125">
          <cell r="D5125" t="str">
            <v>DD-J10-21102-140-1-Z</v>
          </cell>
          <cell r="E5125" t="str">
            <v>9860梁（左件）</v>
          </cell>
        </row>
        <row r="5126">
          <cell r="D5126" t="str">
            <v>DD-J10-21102-150-1-Z</v>
          </cell>
          <cell r="E5126" t="str">
            <v>10060梁（左件）</v>
          </cell>
        </row>
        <row r="5127">
          <cell r="D5127" t="str">
            <v>DD-J10-21102-160-1-Z</v>
          </cell>
          <cell r="E5127" t="str">
            <v>10260梁（左件）</v>
          </cell>
        </row>
        <row r="5128">
          <cell r="D5128" t="str">
            <v>CB5713600-001L006</v>
          </cell>
          <cell r="E5128" t="str">
            <v>前梁一段</v>
          </cell>
        </row>
        <row r="5129">
          <cell r="D5129" t="str">
            <v>CB5713600-001L006</v>
          </cell>
          <cell r="E5129" t="str">
            <v>前梁一段</v>
          </cell>
        </row>
        <row r="5130">
          <cell r="D5130" t="str">
            <v>BC228163B-002-003</v>
          </cell>
          <cell r="E5130" t="str">
            <v>法兰</v>
          </cell>
        </row>
        <row r="5131">
          <cell r="D5131" t="str">
            <v>BC228163C-003-003</v>
          </cell>
          <cell r="E5131" t="str">
            <v>法兰</v>
          </cell>
        </row>
        <row r="5132">
          <cell r="D5132" t="str">
            <v>DD-J10-41153-105</v>
          </cell>
          <cell r="E5132" t="str">
            <v>联锁摇臂</v>
          </cell>
        </row>
        <row r="5133">
          <cell r="D5133" t="str">
            <v>DD-J10B-94076-1391</v>
          </cell>
          <cell r="E5133" t="str">
            <v>法兰盘</v>
          </cell>
        </row>
        <row r="5134">
          <cell r="D5134" t="str">
            <v>DD-J10B-94076-1391</v>
          </cell>
          <cell r="E5134" t="str">
            <v>法兰盘</v>
          </cell>
        </row>
        <row r="5135">
          <cell r="D5135" t="str">
            <v>DD-J10-94086-1110-2</v>
          </cell>
          <cell r="E5135" t="str">
            <v>衬套</v>
          </cell>
        </row>
        <row r="5136">
          <cell r="D5136" t="str">
            <v>CB22847Y5N004-001</v>
          </cell>
          <cell r="E5136" t="str">
            <v>衬套</v>
          </cell>
        </row>
        <row r="5137">
          <cell r="D5137" t="str">
            <v>DD-J10B-94076-620-1</v>
          </cell>
          <cell r="E5137" t="str">
            <v>管子</v>
          </cell>
        </row>
        <row r="5138">
          <cell r="D5138" t="str">
            <v>DD-J10B-41163-30-1</v>
          </cell>
          <cell r="E5138" t="str">
            <v>管子</v>
          </cell>
        </row>
        <row r="5139">
          <cell r="D5139" t="str">
            <v>DD-J10B-41163-30-1</v>
          </cell>
          <cell r="E5139" t="str">
            <v>管子</v>
          </cell>
        </row>
        <row r="5140">
          <cell r="D5140" t="str">
            <v>DD-J10B-94061-510-2</v>
          </cell>
          <cell r="E5140" t="str">
            <v>支撑管</v>
          </cell>
        </row>
        <row r="5141">
          <cell r="D5141" t="str">
            <v>DD-J10B-94086-1100-1</v>
          </cell>
          <cell r="E5141" t="str">
            <v>管子</v>
          </cell>
        </row>
        <row r="5142">
          <cell r="D5142" t="str">
            <v>DD-J10B-02081-61-Y</v>
          </cell>
          <cell r="E5142" t="str">
            <v>角材</v>
          </cell>
        </row>
        <row r="5143">
          <cell r="D5143" t="str">
            <v>DD-J10B-02081-61-Y</v>
          </cell>
          <cell r="E5143" t="str">
            <v>角材</v>
          </cell>
        </row>
        <row r="5144">
          <cell r="D5144" t="str">
            <v>DD-J10B-02081-61-Z</v>
          </cell>
          <cell r="E5144" t="str">
            <v>角材</v>
          </cell>
        </row>
        <row r="5145">
          <cell r="D5145" t="str">
            <v>DD-J10B-02081-61-Z</v>
          </cell>
          <cell r="E5145" t="str">
            <v>角材</v>
          </cell>
        </row>
        <row r="5146">
          <cell r="D5146" t="str">
            <v>GU5716000-012L001</v>
          </cell>
          <cell r="E5146" t="str">
            <v>副翼2号挂点接头</v>
          </cell>
        </row>
        <row r="5147">
          <cell r="D5147" t="str">
            <v>GU5716000-012R001</v>
          </cell>
          <cell r="E5147" t="str">
            <v>副翼2号挂点接头</v>
          </cell>
        </row>
        <row r="5148">
          <cell r="D5148" t="str">
            <v>GU5716000-012R001</v>
          </cell>
          <cell r="E5148" t="str">
            <v>副翼2号挂点接头</v>
          </cell>
        </row>
        <row r="5149">
          <cell r="D5149" t="str">
            <v>GU5714000-004L001</v>
          </cell>
          <cell r="E5149" t="str">
            <v>3500肋</v>
          </cell>
        </row>
        <row r="5150">
          <cell r="D5150" t="str">
            <v>GU5714000-004R001</v>
          </cell>
          <cell r="E5150" t="str">
            <v>3500肋</v>
          </cell>
        </row>
        <row r="5151">
          <cell r="D5151" t="str">
            <v>GU5714000-001L001</v>
          </cell>
          <cell r="E5151" t="str">
            <v>1300肋</v>
          </cell>
        </row>
        <row r="5152">
          <cell r="D5152" t="str">
            <v>GU5714000-001R001</v>
          </cell>
          <cell r="E5152" t="str">
            <v>1300肋</v>
          </cell>
        </row>
        <row r="5153">
          <cell r="D5153" t="str">
            <v>GU5714000-006L001</v>
          </cell>
          <cell r="E5153" t="str">
            <v>5500肋</v>
          </cell>
        </row>
        <row r="5154">
          <cell r="D5154" t="str">
            <v>GU5714000-006R001</v>
          </cell>
          <cell r="E5154" t="str">
            <v>5500肋</v>
          </cell>
        </row>
        <row r="5155">
          <cell r="D5155" t="str">
            <v>GU5714000-003L001</v>
          </cell>
          <cell r="E5155" t="str">
            <v>2750肋</v>
          </cell>
        </row>
        <row r="5156">
          <cell r="D5156" t="str">
            <v>GU5714000-003R001</v>
          </cell>
          <cell r="E5156" t="str">
            <v>2750肋</v>
          </cell>
        </row>
        <row r="5157">
          <cell r="D5157" t="str">
            <v>GU5714000-005L001</v>
          </cell>
          <cell r="E5157" t="str">
            <v>4500肋</v>
          </cell>
        </row>
        <row r="5158">
          <cell r="D5158" t="str">
            <v>GU5714000-005R001</v>
          </cell>
          <cell r="E5158" t="str">
            <v>4500肋</v>
          </cell>
        </row>
        <row r="5159">
          <cell r="D5159" t="str">
            <v>GU5715030-003L001</v>
          </cell>
          <cell r="E5159" t="str">
            <v>前缘20号肋</v>
          </cell>
        </row>
        <row r="5160">
          <cell r="D5160" t="str">
            <v>GU5715030-003L001</v>
          </cell>
          <cell r="E5160" t="str">
            <v>前缘20号肋</v>
          </cell>
        </row>
        <row r="5161">
          <cell r="D5161" t="str">
            <v>GU5715030-003R001</v>
          </cell>
          <cell r="E5161" t="str">
            <v>前缘20号肋</v>
          </cell>
        </row>
        <row r="5162">
          <cell r="D5162" t="str">
            <v>GU5715030-003R001</v>
          </cell>
          <cell r="E5162" t="str">
            <v>前缘20号肋</v>
          </cell>
        </row>
        <row r="5163">
          <cell r="D5163" t="str">
            <v>BC2231341-007-004</v>
          </cell>
          <cell r="E5163" t="str">
            <v>R20防火堵盖</v>
          </cell>
        </row>
        <row r="5164">
          <cell r="D5164" t="str">
            <v>DD-J10-55023-631</v>
          </cell>
          <cell r="E5164" t="str">
            <v>衬套</v>
          </cell>
        </row>
        <row r="5165">
          <cell r="D5165" t="str">
            <v>DD-J10-55023-631</v>
          </cell>
          <cell r="E5165" t="str">
            <v>衬套</v>
          </cell>
        </row>
        <row r="5166">
          <cell r="D5166" t="str">
            <v>DD-J10B-94076-1311</v>
          </cell>
          <cell r="E5166" t="str">
            <v>衬盘</v>
          </cell>
        </row>
        <row r="5167">
          <cell r="D5167" t="str">
            <v>DD-J10B-94076-1311</v>
          </cell>
          <cell r="E5167" t="str">
            <v>衬盘</v>
          </cell>
        </row>
        <row r="5168">
          <cell r="D5168" t="str">
            <v>DD-J10B-94076-1312</v>
          </cell>
          <cell r="E5168" t="str">
            <v>衬盘</v>
          </cell>
        </row>
        <row r="5169">
          <cell r="D5169" t="str">
            <v>DD-J10B-94076-1312</v>
          </cell>
          <cell r="E5169" t="str">
            <v>衬盘</v>
          </cell>
        </row>
        <row r="5170">
          <cell r="D5170" t="str">
            <v>DD-J10-41123-1101</v>
          </cell>
          <cell r="E5170" t="str">
            <v>壳体</v>
          </cell>
        </row>
        <row r="5171">
          <cell r="D5171" t="str">
            <v>DD-J10-41123-1102</v>
          </cell>
          <cell r="E5171" t="str">
            <v>塞子</v>
          </cell>
        </row>
        <row r="5172">
          <cell r="D5172" t="str">
            <v>DD-J10-41123-1103</v>
          </cell>
          <cell r="E5172" t="str">
            <v>螺帽</v>
          </cell>
        </row>
        <row r="5173">
          <cell r="D5173" t="str">
            <v>CB229C421-003-001</v>
          </cell>
          <cell r="E5173" t="str">
            <v>衬套</v>
          </cell>
        </row>
        <row r="5174">
          <cell r="D5174" t="str">
            <v>CB22847Y1-008-001</v>
          </cell>
          <cell r="E5174" t="str">
            <v>轴</v>
          </cell>
        </row>
        <row r="5175">
          <cell r="D5175" t="str">
            <v>CB22877Y5N007-001</v>
          </cell>
          <cell r="E5175" t="str">
            <v>衬套</v>
          </cell>
        </row>
        <row r="5176">
          <cell r="D5176" t="str">
            <v>CB22877Y5-009-002</v>
          </cell>
          <cell r="E5176" t="str">
            <v>轴</v>
          </cell>
        </row>
        <row r="5177">
          <cell r="D5177" t="str">
            <v>CB5822016-024R001</v>
          </cell>
          <cell r="E5177" t="str">
            <v>角片</v>
          </cell>
        </row>
        <row r="5178">
          <cell r="D5178" t="str">
            <v>CB5822016-024L001</v>
          </cell>
          <cell r="E5178" t="str">
            <v>角片</v>
          </cell>
        </row>
        <row r="5179">
          <cell r="D5179" t="str">
            <v>GU5322300-010L001</v>
          </cell>
          <cell r="E5179" t="str">
            <v>6380-7250左侧上梁</v>
          </cell>
        </row>
        <row r="5180">
          <cell r="D5180" t="str">
            <v>GU5322300-010L001</v>
          </cell>
          <cell r="E5180" t="str">
            <v>6380-7250左侧上梁</v>
          </cell>
        </row>
        <row r="5181">
          <cell r="D5181" t="str">
            <v>GU5322300-010L001</v>
          </cell>
          <cell r="E5181" t="str">
            <v>6380-7250左侧上梁</v>
          </cell>
        </row>
        <row r="5182">
          <cell r="D5182" t="str">
            <v>GU5322300-010L001</v>
          </cell>
          <cell r="E5182" t="str">
            <v>6380-7250左侧上梁</v>
          </cell>
        </row>
        <row r="5183">
          <cell r="D5183" t="str">
            <v>GU5322300-010L001</v>
          </cell>
          <cell r="E5183" t="str">
            <v>6380-7250左侧上梁</v>
          </cell>
        </row>
        <row r="5184">
          <cell r="D5184" t="str">
            <v>GU5322300-010L001</v>
          </cell>
          <cell r="E5184" t="str">
            <v>6380-7250左侧上梁</v>
          </cell>
        </row>
        <row r="5185">
          <cell r="D5185" t="str">
            <v>GU5322300-010R001</v>
          </cell>
          <cell r="E5185" t="str">
            <v>6380-7250右侧上梁</v>
          </cell>
        </row>
        <row r="5186">
          <cell r="D5186" t="str">
            <v>GU5322300-010R001</v>
          </cell>
          <cell r="E5186" t="str">
            <v>6380-7250右侧上梁</v>
          </cell>
        </row>
        <row r="5187">
          <cell r="D5187" t="str">
            <v>GU5322300-010R001</v>
          </cell>
          <cell r="E5187" t="str">
            <v>6380-7250右侧上梁</v>
          </cell>
        </row>
        <row r="5188">
          <cell r="D5188" t="str">
            <v>GU5322300-010R001</v>
          </cell>
          <cell r="E5188" t="str">
            <v>6380-7250右侧上梁</v>
          </cell>
        </row>
        <row r="5189">
          <cell r="D5189" t="str">
            <v>GU5322300-010R001</v>
          </cell>
          <cell r="E5189" t="str">
            <v>6380-7250右侧上梁</v>
          </cell>
        </row>
        <row r="5190">
          <cell r="D5190" t="str">
            <v>GU5322300-010R001</v>
          </cell>
          <cell r="E5190" t="str">
            <v>6380-7250右侧上梁</v>
          </cell>
        </row>
        <row r="5191">
          <cell r="D5191" t="str">
            <v>XXX-6910000-01</v>
          </cell>
          <cell r="E5191" t="str">
            <v>腔体</v>
          </cell>
        </row>
        <row r="5192">
          <cell r="D5192" t="str">
            <v>XXX-6910000-07</v>
          </cell>
          <cell r="E5192" t="str">
            <v>介质环</v>
          </cell>
        </row>
        <row r="5193">
          <cell r="D5193" t="str">
            <v>XXX-6910000-08</v>
          </cell>
          <cell r="E5193" t="str">
            <v>短路柱</v>
          </cell>
        </row>
        <row r="5194">
          <cell r="D5194" t="str">
            <v>XXX-6910000-09</v>
          </cell>
          <cell r="E5194" t="str">
            <v>短路钉</v>
          </cell>
        </row>
        <row r="5195">
          <cell r="D5195" t="str">
            <v>XXX-6910000-10</v>
          </cell>
          <cell r="E5195" t="str">
            <v>填充块</v>
          </cell>
        </row>
        <row r="5196">
          <cell r="D5196" t="str">
            <v>XXX-6910000-11</v>
          </cell>
          <cell r="E5196" t="str">
            <v>盖板</v>
          </cell>
        </row>
        <row r="5197">
          <cell r="D5197" t="str">
            <v>DD-J10-05346-3-Y</v>
          </cell>
          <cell r="E5197" t="str">
            <v>受剪接头</v>
          </cell>
        </row>
        <row r="5198">
          <cell r="D5198" t="str">
            <v>DD-J10-05346-3-Y</v>
          </cell>
          <cell r="E5198" t="str">
            <v>受剪接头</v>
          </cell>
        </row>
        <row r="5199">
          <cell r="D5199" t="str">
            <v>DD-J10-05346-3-Y</v>
          </cell>
          <cell r="E5199" t="str">
            <v>受剪接头</v>
          </cell>
        </row>
        <row r="5200">
          <cell r="D5200" t="str">
            <v>DD-J10-05346-3-Y</v>
          </cell>
          <cell r="E5200" t="str">
            <v>受剪接头</v>
          </cell>
        </row>
        <row r="5201">
          <cell r="D5201" t="str">
            <v>DD-J10-05346-3-Y</v>
          </cell>
          <cell r="E5201" t="str">
            <v>受剪接头</v>
          </cell>
        </row>
        <row r="5202">
          <cell r="D5202" t="str">
            <v>DD-J10-05346-3-Z</v>
          </cell>
          <cell r="E5202" t="str">
            <v>受剪接头</v>
          </cell>
        </row>
        <row r="5203">
          <cell r="D5203" t="str">
            <v>DD-J10-05346-3-Z</v>
          </cell>
          <cell r="E5203" t="str">
            <v>受剪接头</v>
          </cell>
        </row>
        <row r="5204">
          <cell r="D5204" t="str">
            <v>DD-J10-05346-3-Z</v>
          </cell>
          <cell r="E5204" t="str">
            <v>受剪接头</v>
          </cell>
        </row>
        <row r="5205">
          <cell r="D5205" t="str">
            <v>DD-J10-05346-3-Z</v>
          </cell>
          <cell r="E5205" t="str">
            <v>受剪接头</v>
          </cell>
        </row>
        <row r="5206">
          <cell r="D5206" t="str">
            <v>DD-J10-05346-3-Z</v>
          </cell>
          <cell r="E5206" t="str">
            <v>受剪接头</v>
          </cell>
        </row>
        <row r="5207">
          <cell r="D5207" t="str">
            <v>DD-J10-05346-2-Y</v>
          </cell>
          <cell r="E5207" t="str">
            <v>受剪接头</v>
          </cell>
        </row>
        <row r="5208">
          <cell r="D5208" t="str">
            <v>DD-J10-05346-2-Y</v>
          </cell>
          <cell r="E5208" t="str">
            <v>受剪接头</v>
          </cell>
        </row>
        <row r="5209">
          <cell r="D5209" t="str">
            <v>DD-J10-05346-2-Y</v>
          </cell>
          <cell r="E5209" t="str">
            <v>受剪接头</v>
          </cell>
        </row>
        <row r="5210">
          <cell r="D5210" t="str">
            <v>DD-J10-05346-2-Y</v>
          </cell>
          <cell r="E5210" t="str">
            <v>受剪接头</v>
          </cell>
        </row>
        <row r="5211">
          <cell r="D5211" t="str">
            <v>DD-J10-05346-2-Y</v>
          </cell>
          <cell r="E5211" t="str">
            <v>受剪接头</v>
          </cell>
        </row>
        <row r="5212">
          <cell r="D5212" t="str">
            <v>DD-J10-05346-2-Z</v>
          </cell>
          <cell r="E5212" t="str">
            <v>受剪接头</v>
          </cell>
        </row>
        <row r="5213">
          <cell r="D5213" t="str">
            <v>DD-J10-05346-2-Z</v>
          </cell>
          <cell r="E5213" t="str">
            <v>受剪接头</v>
          </cell>
        </row>
        <row r="5214">
          <cell r="D5214" t="str">
            <v>DD-J10-05346-2-Z</v>
          </cell>
          <cell r="E5214" t="str">
            <v>受剪接头</v>
          </cell>
        </row>
        <row r="5215">
          <cell r="D5215" t="str">
            <v>DD-J10-05346-2-Z</v>
          </cell>
          <cell r="E5215" t="str">
            <v>受剪接头</v>
          </cell>
        </row>
        <row r="5216">
          <cell r="D5216" t="str">
            <v>DD-J10-05346-2-Z</v>
          </cell>
          <cell r="E5216" t="str">
            <v>受剪接头</v>
          </cell>
        </row>
        <row r="5217">
          <cell r="D5217" t="str">
            <v>GU5715010-006R001</v>
          </cell>
          <cell r="E5217" t="str">
            <v>前缘5肋</v>
          </cell>
        </row>
        <row r="5218">
          <cell r="D5218" t="str">
            <v>CB5323210-002-028</v>
          </cell>
          <cell r="E5218" t="str">
            <v>10540中框</v>
          </cell>
        </row>
        <row r="5219">
          <cell r="D5219" t="str">
            <v>CB5323210-002-028</v>
          </cell>
          <cell r="E5219" t="str">
            <v>10540中框</v>
          </cell>
        </row>
        <row r="5220">
          <cell r="D5220" t="str">
            <v>CB5323210-002-028</v>
          </cell>
          <cell r="E5220" t="str">
            <v>10540中框</v>
          </cell>
        </row>
        <row r="5221">
          <cell r="D5221" t="str">
            <v>CB5323210-002-028</v>
          </cell>
          <cell r="E5221" t="str">
            <v>10540中框</v>
          </cell>
        </row>
        <row r="5222">
          <cell r="D5222" t="str">
            <v>CB5323210-002-028</v>
          </cell>
          <cell r="E5222" t="str">
            <v>10540中框</v>
          </cell>
        </row>
        <row r="5223">
          <cell r="D5223" t="str">
            <v>CB5323210-002-028</v>
          </cell>
          <cell r="E5223" t="str">
            <v>10540中框</v>
          </cell>
        </row>
        <row r="5224">
          <cell r="D5224" t="str">
            <v>CB5323210-002-028</v>
          </cell>
          <cell r="E5224" t="str">
            <v>10540中框</v>
          </cell>
        </row>
        <row r="5225">
          <cell r="D5225" t="str">
            <v>CB5323210-002-028</v>
          </cell>
          <cell r="E5225" t="str">
            <v>10540中框</v>
          </cell>
        </row>
        <row r="5226">
          <cell r="D5226" t="str">
            <v>BC221D4E1-001-001</v>
          </cell>
          <cell r="E5226" t="str">
            <v>角片</v>
          </cell>
        </row>
        <row r="5227">
          <cell r="D5227" t="str">
            <v>BC22104MK-001-002</v>
          </cell>
          <cell r="E5227" t="str">
            <v>支架</v>
          </cell>
        </row>
        <row r="5228">
          <cell r="D5228" t="str">
            <v>BC2281242-001-001</v>
          </cell>
          <cell r="E5228" t="str">
            <v>支座</v>
          </cell>
        </row>
        <row r="5229">
          <cell r="D5229" t="str">
            <v>BC2281242-001-001</v>
          </cell>
          <cell r="E5229" t="str">
            <v>支座</v>
          </cell>
        </row>
        <row r="5230">
          <cell r="D5230" t="str">
            <v>CB229C050-002-003</v>
          </cell>
          <cell r="E5230" t="str">
            <v>拨杆</v>
          </cell>
        </row>
        <row r="5231">
          <cell r="D5231" t="str">
            <v>CB229C050-002-003</v>
          </cell>
          <cell r="E5231" t="str">
            <v>拨杆</v>
          </cell>
        </row>
        <row r="5232">
          <cell r="D5232" t="str">
            <v>BC3012210-001-002</v>
          </cell>
          <cell r="E5232" t="str">
            <v>前左斜操纵台</v>
          </cell>
        </row>
        <row r="5233">
          <cell r="D5233" t="str">
            <v>BC3012210-001-002</v>
          </cell>
          <cell r="E5233" t="str">
            <v>前左斜操纵台</v>
          </cell>
        </row>
        <row r="5234">
          <cell r="D5234" t="str">
            <v>DD-J10-05216-32</v>
          </cell>
          <cell r="E5234" t="str">
            <v>转接头</v>
          </cell>
        </row>
        <row r="5235">
          <cell r="D5235" t="str">
            <v>DD-J10-21102-60/-1/1-Y</v>
          </cell>
          <cell r="E5235" t="str">
            <v>11968下口盖</v>
          </cell>
        </row>
        <row r="5236">
          <cell r="D5236" t="str">
            <v>DD-J10-21102-60/-1/2-Z</v>
          </cell>
          <cell r="E5236" t="str">
            <v>11968下口盖</v>
          </cell>
        </row>
        <row r="5237">
          <cell r="D5237" t="str">
            <v>DD-J10-21102-60/-1/3-Z</v>
          </cell>
          <cell r="E5237" t="str">
            <v>11968下口盖</v>
          </cell>
        </row>
        <row r="5238">
          <cell r="D5238" t="str">
            <v>DD-J10-21102-60/-1/4-Z</v>
          </cell>
          <cell r="E5238" t="str">
            <v>11968下口盖</v>
          </cell>
        </row>
        <row r="5239">
          <cell r="D5239" t="str">
            <v>DD-J10B-02021-3/1-Z</v>
          </cell>
          <cell r="E5239" t="str">
            <v>雷达罩锁支座</v>
          </cell>
        </row>
        <row r="5240">
          <cell r="D5240" t="str">
            <v>DD-J10B-02021-3/1-Y</v>
          </cell>
          <cell r="E5240" t="str">
            <v>雷达罩锁支座</v>
          </cell>
        </row>
        <row r="5241">
          <cell r="D5241" t="str">
            <v>DD-J10B-02021-3/1-Y</v>
          </cell>
          <cell r="E5241" t="str">
            <v>雷达罩锁支座</v>
          </cell>
        </row>
        <row r="5242">
          <cell r="D5242" t="str">
            <v>DD-J10B-02021-3/2-Z</v>
          </cell>
          <cell r="E5242" t="str">
            <v>雷达罩锁支座</v>
          </cell>
        </row>
        <row r="5243">
          <cell r="D5243" t="str">
            <v>DD-J10B-02021-3/2-Y</v>
          </cell>
          <cell r="E5243" t="str">
            <v>雷达罩锁支座</v>
          </cell>
        </row>
        <row r="5244">
          <cell r="D5244" t="str">
            <v>CB5326200-134L003</v>
          </cell>
          <cell r="E5244" t="str">
            <v>9010 4号加强筋</v>
          </cell>
        </row>
        <row r="5245">
          <cell r="D5245" t="str">
            <v>CB5326200-134L003</v>
          </cell>
          <cell r="E5245" t="str">
            <v>9010 4号加强筋</v>
          </cell>
        </row>
        <row r="5246">
          <cell r="D5246" t="str">
            <v>CB5326200-134L003</v>
          </cell>
          <cell r="E5246" t="str">
            <v>9010 4号加强筋</v>
          </cell>
        </row>
        <row r="5247">
          <cell r="D5247" t="str">
            <v>CB5326200-134L003</v>
          </cell>
          <cell r="E5247" t="str">
            <v>9010 4号加强筋</v>
          </cell>
        </row>
        <row r="5248">
          <cell r="D5248" t="str">
            <v>CB5326200-134L003</v>
          </cell>
          <cell r="E5248" t="str">
            <v>9010 4号加强筋</v>
          </cell>
        </row>
        <row r="5249">
          <cell r="D5249" t="str">
            <v>CB5326200-134L003</v>
          </cell>
          <cell r="E5249" t="str">
            <v>9010 4号加强筋</v>
          </cell>
        </row>
        <row r="5250">
          <cell r="D5250" t="str">
            <v>CB5326200-134L003</v>
          </cell>
          <cell r="E5250" t="str">
            <v>9010 4号加强筋</v>
          </cell>
        </row>
        <row r="5251">
          <cell r="D5251" t="str">
            <v>CB5326200-134R003</v>
          </cell>
          <cell r="E5251" t="str">
            <v>9010 4号加强筋</v>
          </cell>
        </row>
        <row r="5252">
          <cell r="D5252" t="str">
            <v>CB5326200-134R003</v>
          </cell>
          <cell r="E5252" t="str">
            <v>9010 4号加强筋</v>
          </cell>
        </row>
        <row r="5253">
          <cell r="D5253" t="str">
            <v>CB5326200-134R003</v>
          </cell>
          <cell r="E5253" t="str">
            <v>9010 4号加强筋</v>
          </cell>
        </row>
        <row r="5254">
          <cell r="D5254" t="str">
            <v>CB5326200-134R003</v>
          </cell>
          <cell r="E5254" t="str">
            <v>9010 4号加强筋</v>
          </cell>
        </row>
        <row r="5255">
          <cell r="D5255" t="str">
            <v>CB5326200-134R003</v>
          </cell>
          <cell r="E5255" t="str">
            <v>9010 4号加强筋</v>
          </cell>
        </row>
        <row r="5256">
          <cell r="D5256" t="str">
            <v>CB5326200-134R003</v>
          </cell>
          <cell r="E5256" t="str">
            <v>9010 4号加强筋</v>
          </cell>
        </row>
        <row r="5257">
          <cell r="D5257" t="str">
            <v>CB5326200-134R003</v>
          </cell>
          <cell r="E5257" t="str">
            <v>9010 4号加强筋</v>
          </cell>
        </row>
        <row r="5258">
          <cell r="D5258" t="str">
            <v>CB5326200-133L003</v>
          </cell>
          <cell r="E5258" t="str">
            <v>8815 4号加强筋</v>
          </cell>
        </row>
        <row r="5259">
          <cell r="D5259" t="str">
            <v>CB5326200-133L003</v>
          </cell>
          <cell r="E5259" t="str">
            <v>8815 4号加强筋</v>
          </cell>
        </row>
        <row r="5260">
          <cell r="D5260" t="str">
            <v>CB5326200-133L003</v>
          </cell>
          <cell r="E5260" t="str">
            <v>8815 4号加强筋</v>
          </cell>
        </row>
        <row r="5261">
          <cell r="D5261" t="str">
            <v>CB5326200-133L003</v>
          </cell>
          <cell r="E5261" t="str">
            <v>8815 4号加强筋</v>
          </cell>
        </row>
        <row r="5262">
          <cell r="D5262" t="str">
            <v>CB5326200-133L003</v>
          </cell>
          <cell r="E5262" t="str">
            <v>8815 4号加强筋</v>
          </cell>
        </row>
        <row r="5263">
          <cell r="D5263" t="str">
            <v>CB5326200-133L003</v>
          </cell>
          <cell r="E5263" t="str">
            <v>8815 4号加强筋</v>
          </cell>
        </row>
        <row r="5264">
          <cell r="D5264" t="str">
            <v>CB5326200-133L003</v>
          </cell>
          <cell r="E5264" t="str">
            <v>8815 4号加强筋</v>
          </cell>
        </row>
        <row r="5265">
          <cell r="D5265" t="str">
            <v>CB5326200-133R003</v>
          </cell>
          <cell r="E5265" t="str">
            <v>8815 4号加强筋</v>
          </cell>
        </row>
        <row r="5266">
          <cell r="D5266" t="str">
            <v>CB5326200-133R003</v>
          </cell>
          <cell r="E5266" t="str">
            <v>8815 4号加强筋</v>
          </cell>
        </row>
        <row r="5267">
          <cell r="D5267" t="str">
            <v>CB5326200-133R003</v>
          </cell>
          <cell r="E5267" t="str">
            <v>8815 4号加强筋</v>
          </cell>
        </row>
        <row r="5268">
          <cell r="D5268" t="str">
            <v>CB5326200-133R003</v>
          </cell>
          <cell r="E5268" t="str">
            <v>8815 4号加强筋</v>
          </cell>
        </row>
        <row r="5269">
          <cell r="D5269" t="str">
            <v>CB5326200-133R003</v>
          </cell>
          <cell r="E5269" t="str">
            <v>8815 4号加强筋</v>
          </cell>
        </row>
        <row r="5270">
          <cell r="D5270" t="str">
            <v>CB5326200-133R003</v>
          </cell>
          <cell r="E5270" t="str">
            <v>8815 4号加强筋</v>
          </cell>
        </row>
        <row r="5271">
          <cell r="D5271" t="str">
            <v>CB5326200-133R003</v>
          </cell>
          <cell r="E5271" t="str">
            <v>8815 4号加强筋</v>
          </cell>
        </row>
        <row r="5272">
          <cell r="D5272" t="str">
            <v>CB5326200-131L003</v>
          </cell>
          <cell r="E5272" t="str">
            <v>8455 4号加强筋</v>
          </cell>
        </row>
        <row r="5273">
          <cell r="D5273" t="str">
            <v>CB5326200-131L003</v>
          </cell>
          <cell r="E5273" t="str">
            <v>8455 4号加强筋</v>
          </cell>
        </row>
        <row r="5274">
          <cell r="D5274" t="str">
            <v>CB5326200-131L003</v>
          </cell>
          <cell r="E5274" t="str">
            <v>8455 4号加强筋</v>
          </cell>
        </row>
        <row r="5275">
          <cell r="D5275" t="str">
            <v>CB5326200-131L003</v>
          </cell>
          <cell r="E5275" t="str">
            <v>8455 4号加强筋</v>
          </cell>
        </row>
        <row r="5276">
          <cell r="D5276" t="str">
            <v>CB5326200-131L003</v>
          </cell>
          <cell r="E5276" t="str">
            <v>8455 4号加强筋</v>
          </cell>
        </row>
        <row r="5277">
          <cell r="D5277" t="str">
            <v>CB5326200-131L003</v>
          </cell>
          <cell r="E5277" t="str">
            <v>8455 4号加强筋</v>
          </cell>
        </row>
        <row r="5278">
          <cell r="D5278" t="str">
            <v>CB5326200-131L003</v>
          </cell>
          <cell r="E5278" t="str">
            <v>8455 4号加强筋</v>
          </cell>
        </row>
        <row r="5279">
          <cell r="D5279" t="str">
            <v>CB5326200-131R003</v>
          </cell>
          <cell r="E5279" t="str">
            <v>8455 4号加强筋</v>
          </cell>
        </row>
        <row r="5280">
          <cell r="D5280" t="str">
            <v>CB5326200-131R003</v>
          </cell>
          <cell r="E5280" t="str">
            <v>8455 4号加强筋</v>
          </cell>
        </row>
        <row r="5281">
          <cell r="D5281" t="str">
            <v>CB5326200-131R003</v>
          </cell>
          <cell r="E5281" t="str">
            <v>8455 4号加强筋</v>
          </cell>
        </row>
        <row r="5282">
          <cell r="D5282" t="str">
            <v>CB5326200-131R003</v>
          </cell>
          <cell r="E5282" t="str">
            <v>8455 4号加强筋</v>
          </cell>
        </row>
        <row r="5283">
          <cell r="D5283" t="str">
            <v>CB5326200-131R003</v>
          </cell>
          <cell r="E5283" t="str">
            <v>8455 4号加强筋</v>
          </cell>
        </row>
        <row r="5284">
          <cell r="D5284" t="str">
            <v>CB5326200-131R003</v>
          </cell>
          <cell r="E5284" t="str">
            <v>8455 4号加强筋</v>
          </cell>
        </row>
        <row r="5285">
          <cell r="D5285" t="str">
            <v>CB5326200-131R003</v>
          </cell>
          <cell r="E5285" t="str">
            <v>8455 4号加强筋</v>
          </cell>
        </row>
        <row r="5286">
          <cell r="D5286" t="str">
            <v>XXX-000-00</v>
          </cell>
          <cell r="E5286" t="str">
            <v>XXXL型夹具A组合件</v>
          </cell>
        </row>
        <row r="5287">
          <cell r="D5287" t="str">
            <v>XXX-000-01</v>
          </cell>
          <cell r="E5287" t="str">
            <v>XXXL型夹具A</v>
          </cell>
        </row>
        <row r="5288">
          <cell r="D5288" t="str">
            <v>XXX-000-00</v>
          </cell>
          <cell r="E5288" t="str">
            <v>XXXL型夹具B组合件</v>
          </cell>
        </row>
        <row r="5289">
          <cell r="D5289" t="str">
            <v>XXX-000-01</v>
          </cell>
          <cell r="E5289" t="str">
            <v>XXXL型夹具B</v>
          </cell>
        </row>
        <row r="5290">
          <cell r="D5290" t="str">
            <v>XXX-000-00</v>
          </cell>
          <cell r="E5290" t="str">
            <v>XXX平板夹具B组合件</v>
          </cell>
        </row>
        <row r="5291">
          <cell r="D5291" t="str">
            <v>XXX-000-01</v>
          </cell>
          <cell r="E5291" t="str">
            <v>XXX平板夹具B</v>
          </cell>
        </row>
        <row r="5292">
          <cell r="D5292" t="str">
            <v>XXX-000-01</v>
          </cell>
          <cell r="E5292" t="str">
            <v>XXX装置离心夹具</v>
          </cell>
        </row>
        <row r="5293">
          <cell r="D5293" t="str">
            <v>XXX-000-01</v>
          </cell>
          <cell r="E5293" t="str">
            <v>XXX装置振动夹具</v>
          </cell>
        </row>
        <row r="5294">
          <cell r="D5294" t="str">
            <v>XXX-000-01</v>
          </cell>
          <cell r="E5294" t="str">
            <v>XXX振动夹具补加工</v>
          </cell>
        </row>
        <row r="5295">
          <cell r="D5295" t="str">
            <v>XXX-000-00</v>
          </cell>
          <cell r="E5295" t="str">
            <v>XXX钢套</v>
          </cell>
        </row>
        <row r="5296">
          <cell r="D5296" t="str">
            <v>BC5836010-005-001</v>
          </cell>
          <cell r="E5296" t="str">
            <v>堵塞</v>
          </cell>
        </row>
        <row r="5297">
          <cell r="D5297" t="str">
            <v>BC228163B-002-003</v>
          </cell>
          <cell r="E5297" t="str">
            <v>法兰</v>
          </cell>
        </row>
        <row r="5298">
          <cell r="D5298" t="str">
            <v>BC228163C-003-003</v>
          </cell>
          <cell r="E5298" t="str">
            <v>法兰</v>
          </cell>
        </row>
        <row r="5299">
          <cell r="D5299" t="str">
            <v>BC2231341-007-004</v>
          </cell>
          <cell r="E5299" t="str">
            <v>R20防火堵盖</v>
          </cell>
        </row>
        <row r="5300">
          <cell r="D5300" t="str">
            <v>BC5324360-006-001</v>
          </cell>
          <cell r="E5300" t="str">
            <v>端盖</v>
          </cell>
        </row>
        <row r="5301">
          <cell r="D5301" t="str">
            <v>DD-J10-21102-271</v>
          </cell>
          <cell r="E5301" t="str">
            <v>3#上垫片</v>
          </cell>
        </row>
        <row r="5302">
          <cell r="D5302" t="str">
            <v>DD-J10-21102-272</v>
          </cell>
          <cell r="E5302" t="str">
            <v>3#下垫片</v>
          </cell>
        </row>
        <row r="5303">
          <cell r="D5303" t="str">
            <v>DD-J10-21102-273</v>
          </cell>
          <cell r="E5303" t="str">
            <v>4#上垫片</v>
          </cell>
        </row>
        <row r="5304">
          <cell r="D5304" t="str">
            <v>DD-J10-21102-274</v>
          </cell>
          <cell r="E5304" t="str">
            <v>4#下垫片</v>
          </cell>
        </row>
        <row r="5305">
          <cell r="D5305" t="str">
            <v>XXX-000-00</v>
          </cell>
          <cell r="E5305" t="str">
            <v>XXX平板夹具A组合件</v>
          </cell>
        </row>
        <row r="5306">
          <cell r="D5306" t="str">
            <v>XXX-000-01</v>
          </cell>
          <cell r="E5306" t="str">
            <v>XXX平板夹具A</v>
          </cell>
        </row>
        <row r="5307">
          <cell r="D5307" t="str">
            <v>XXX-210-01</v>
          </cell>
          <cell r="E5307" t="str">
            <v>XXX插头盖板</v>
          </cell>
        </row>
        <row r="5308">
          <cell r="D5308" t="str">
            <v>XXX-210-02</v>
          </cell>
          <cell r="E5308" t="str">
            <v>XXX插头绝缘子</v>
          </cell>
        </row>
        <row r="5309">
          <cell r="D5309" t="str">
            <v>XXX-210-04</v>
          </cell>
          <cell r="E5309" t="str">
            <v>XXX接地焊接座一</v>
          </cell>
        </row>
        <row r="5310">
          <cell r="D5310" t="str">
            <v>XXX-210-05</v>
          </cell>
          <cell r="E5310" t="str">
            <v>XXX插头壳体</v>
          </cell>
        </row>
        <row r="5311">
          <cell r="D5311" t="str">
            <v>XXX-210-06</v>
          </cell>
          <cell r="E5311" t="str">
            <v>XXX接地焊接座二</v>
          </cell>
        </row>
        <row r="5312">
          <cell r="D5312" t="str">
            <v>XXX-310-01</v>
          </cell>
          <cell r="E5312" t="str">
            <v>XXX插头盖板</v>
          </cell>
        </row>
        <row r="5313">
          <cell r="D5313" t="str">
            <v>XXX-310-03</v>
          </cell>
          <cell r="E5313" t="str">
            <v>XXX插头绝缘子</v>
          </cell>
        </row>
        <row r="5314">
          <cell r="D5314" t="str">
            <v>XXX-310-04</v>
          </cell>
          <cell r="E5314" t="str">
            <v>XXX插头壳体</v>
          </cell>
        </row>
        <row r="5315">
          <cell r="D5315" t="str">
            <v>XXX-310-06</v>
          </cell>
          <cell r="E5315" t="str">
            <v>XXX接地焊接座</v>
          </cell>
        </row>
        <row r="5316">
          <cell r="D5316" t="str">
            <v>DD-J10B-41163-30-3</v>
          </cell>
          <cell r="E5316" t="str">
            <v>片</v>
          </cell>
        </row>
        <row r="5317">
          <cell r="D5317" t="str">
            <v>5311C11107G72 A</v>
          </cell>
          <cell r="E5317" t="str">
            <v>垫板</v>
          </cell>
        </row>
        <row r="5318">
          <cell r="D5318" t="str">
            <v>5311C11108G73 A</v>
          </cell>
          <cell r="E5318" t="str">
            <v>垫板</v>
          </cell>
        </row>
        <row r="5319">
          <cell r="D5319" t="str">
            <v>BC2271901-001-003</v>
          </cell>
          <cell r="E5319" t="str">
            <v>过渡板</v>
          </cell>
        </row>
        <row r="5320">
          <cell r="D5320" t="str">
            <v>BC3230400-001-300</v>
          </cell>
          <cell r="E5320" t="str">
            <v>过渡板</v>
          </cell>
        </row>
        <row r="5321">
          <cell r="D5321" t="str">
            <v>BC3230500-001-300</v>
          </cell>
          <cell r="E5321" t="str">
            <v>过渡板</v>
          </cell>
        </row>
        <row r="5322">
          <cell r="D5322" t="str">
            <v>BC5333651-001-001</v>
          </cell>
          <cell r="E5322" t="str">
            <v>壳体</v>
          </cell>
        </row>
        <row r="5323">
          <cell r="D5323" t="str">
            <v>CB2294170-001-001</v>
          </cell>
          <cell r="E5323" t="str">
            <v>压杆</v>
          </cell>
        </row>
        <row r="5324">
          <cell r="D5324" t="str">
            <v>CB2294170-001-001</v>
          </cell>
          <cell r="E5324" t="str">
            <v>压杆</v>
          </cell>
        </row>
        <row r="5325">
          <cell r="D5325" t="str">
            <v>DD-J10B-04061-1</v>
          </cell>
          <cell r="E5325" t="str">
            <v>10860框</v>
          </cell>
        </row>
        <row r="5326">
          <cell r="D5326" t="str">
            <v>DD-J10B-04061-1</v>
          </cell>
          <cell r="E5326" t="str">
            <v>10860框</v>
          </cell>
        </row>
        <row r="5327">
          <cell r="D5327" t="str">
            <v>DD-J10B-04061-1</v>
          </cell>
          <cell r="E5327" t="str">
            <v>10860框</v>
          </cell>
        </row>
        <row r="5328">
          <cell r="D5328" t="str">
            <v>BC221T5ML-007-001</v>
          </cell>
          <cell r="E5328" t="str">
            <v>阀套</v>
          </cell>
        </row>
        <row r="5329">
          <cell r="D5329" t="str">
            <v>DD-J10B-26002-1G2-Z</v>
          </cell>
          <cell r="E5329" t="str">
            <v>梁（左件）</v>
          </cell>
        </row>
        <row r="5330">
          <cell r="D5330" t="str">
            <v>DD-J10B-26002-1G2-Z</v>
          </cell>
          <cell r="E5330" t="str">
            <v>梁（左件）</v>
          </cell>
        </row>
        <row r="5331">
          <cell r="D5331" t="str">
            <v>DD-J10B-26002-1G2-Y</v>
          </cell>
          <cell r="E5331" t="str">
            <v>梁（右件）</v>
          </cell>
        </row>
        <row r="5332">
          <cell r="D5332" t="str">
            <v>DD-J10B-26002-1G2-Y</v>
          </cell>
          <cell r="E5332" t="str">
            <v>梁（右件）</v>
          </cell>
        </row>
        <row r="5333">
          <cell r="D5333" t="str">
            <v>BC5702200-003L002</v>
          </cell>
          <cell r="E5333" t="str">
            <v>前框</v>
          </cell>
        </row>
        <row r="5334">
          <cell r="D5334" t="str">
            <v>BC5702200-003L002</v>
          </cell>
          <cell r="E5334" t="str">
            <v>前框</v>
          </cell>
        </row>
        <row r="5335">
          <cell r="D5335" t="str">
            <v>BC5702200-003R002</v>
          </cell>
          <cell r="E5335" t="str">
            <v>前框</v>
          </cell>
        </row>
        <row r="5336">
          <cell r="D5336" t="str">
            <v>BC5702200-003R002</v>
          </cell>
          <cell r="E5336" t="str">
            <v>前框</v>
          </cell>
        </row>
        <row r="5337">
          <cell r="D5337" t="str">
            <v>BC22931A0-011-001</v>
          </cell>
          <cell r="E5337" t="str">
            <v>支架</v>
          </cell>
        </row>
        <row r="5338">
          <cell r="D5338" t="str">
            <v>DD-J10-05346-1-Y</v>
          </cell>
          <cell r="E5338" t="str">
            <v>受剪接头</v>
          </cell>
        </row>
        <row r="5339">
          <cell r="D5339" t="str">
            <v>DD-J10-05346-1-Y</v>
          </cell>
          <cell r="E5339" t="str">
            <v>受剪接头</v>
          </cell>
        </row>
        <row r="5340">
          <cell r="D5340" t="str">
            <v>DD-J10-05346-1-Y</v>
          </cell>
          <cell r="E5340" t="str">
            <v>受剪接头</v>
          </cell>
        </row>
        <row r="5341">
          <cell r="D5341" t="str">
            <v>DD-J10-05346-1-Y</v>
          </cell>
          <cell r="E5341" t="str">
            <v>受剪接头</v>
          </cell>
        </row>
        <row r="5342">
          <cell r="D5342" t="str">
            <v>DD-J10-05346-1-Y</v>
          </cell>
          <cell r="E5342" t="str">
            <v>受剪接头</v>
          </cell>
        </row>
        <row r="5343">
          <cell r="D5343" t="str">
            <v>DD-J10-05346-1-Y</v>
          </cell>
          <cell r="E5343" t="str">
            <v>受剪接头</v>
          </cell>
        </row>
        <row r="5344">
          <cell r="D5344" t="str">
            <v>DD-J10-05346-1-Y</v>
          </cell>
          <cell r="E5344" t="str">
            <v>受剪接头</v>
          </cell>
        </row>
        <row r="5345">
          <cell r="D5345" t="str">
            <v>DD-J10-05346-1-Y</v>
          </cell>
          <cell r="E5345" t="str">
            <v>受剪接头</v>
          </cell>
        </row>
        <row r="5346">
          <cell r="D5346" t="str">
            <v>DD-J10-05346-1-Y</v>
          </cell>
          <cell r="E5346" t="str">
            <v>受剪接头</v>
          </cell>
        </row>
        <row r="5347">
          <cell r="D5347" t="str">
            <v>DD-J10-05346-1-Y</v>
          </cell>
          <cell r="E5347" t="str">
            <v>受剪接头</v>
          </cell>
        </row>
        <row r="5348">
          <cell r="D5348" t="str">
            <v>DD-J10-05346-1-Z</v>
          </cell>
          <cell r="E5348" t="str">
            <v>受剪接头</v>
          </cell>
        </row>
        <row r="5349">
          <cell r="D5349" t="str">
            <v>DD-J10-05346-1-Z</v>
          </cell>
          <cell r="E5349" t="str">
            <v>受剪接头</v>
          </cell>
        </row>
        <row r="5350">
          <cell r="D5350" t="str">
            <v>DD-J10-05346-1-Z</v>
          </cell>
          <cell r="E5350" t="str">
            <v>受剪接头</v>
          </cell>
        </row>
        <row r="5351">
          <cell r="D5351" t="str">
            <v>DD-J10-05346-1-Z</v>
          </cell>
          <cell r="E5351" t="str">
            <v>受剪接头</v>
          </cell>
        </row>
        <row r="5352">
          <cell r="D5352" t="str">
            <v>DD-J10-05346-1-Z</v>
          </cell>
          <cell r="E5352" t="str">
            <v>受剪接头</v>
          </cell>
        </row>
        <row r="5353">
          <cell r="D5353" t="str">
            <v>DD-J10-05346-1-Z</v>
          </cell>
          <cell r="E5353" t="str">
            <v>受剪接头</v>
          </cell>
        </row>
        <row r="5354">
          <cell r="D5354" t="str">
            <v>DD-J10-05346-1-Z</v>
          </cell>
          <cell r="E5354" t="str">
            <v>受剪接头</v>
          </cell>
        </row>
        <row r="5355">
          <cell r="D5355" t="str">
            <v>DD-J10-05346-1-Z</v>
          </cell>
          <cell r="E5355" t="str">
            <v>受剪接头</v>
          </cell>
        </row>
        <row r="5356">
          <cell r="D5356" t="str">
            <v>DD-J10-05346-1-Z</v>
          </cell>
          <cell r="E5356" t="str">
            <v>受剪接头</v>
          </cell>
        </row>
        <row r="5357">
          <cell r="D5357" t="str">
            <v>DD-J10-05346-1-Z</v>
          </cell>
          <cell r="E5357" t="str">
            <v>受剪接头</v>
          </cell>
        </row>
        <row r="5358">
          <cell r="D5358" t="str">
            <v>DD-J10-21102-60/-1/2-Y</v>
          </cell>
          <cell r="E5358" t="str">
            <v>11968下口盖</v>
          </cell>
        </row>
        <row r="5359">
          <cell r="D5359" t="str">
            <v>DD-J10-21102-60/-1/2-Y</v>
          </cell>
          <cell r="E5359" t="str">
            <v>11968下口盖</v>
          </cell>
        </row>
        <row r="5360">
          <cell r="D5360" t="str">
            <v>DD-J10-21102-60/-1/3-Y</v>
          </cell>
          <cell r="E5360" t="str">
            <v>11968下口盖</v>
          </cell>
        </row>
        <row r="5361">
          <cell r="D5361" t="str">
            <v>DD-J10-21102-60/-1/3-Y</v>
          </cell>
          <cell r="E5361" t="str">
            <v>11968下口盖</v>
          </cell>
        </row>
        <row r="5362">
          <cell r="D5362" t="str">
            <v>GU5336113-001L001</v>
          </cell>
          <cell r="E5362" t="str">
            <v>STA8510~9055左上大梁</v>
          </cell>
        </row>
        <row r="5363">
          <cell r="D5363" t="str">
            <v>GU5336113-001L001</v>
          </cell>
          <cell r="E5363" t="str">
            <v>STA8510~9055左上大梁</v>
          </cell>
        </row>
        <row r="5364">
          <cell r="D5364" t="str">
            <v>GU5336113-001L001</v>
          </cell>
          <cell r="E5364" t="str">
            <v>STA8510~9055左上大梁</v>
          </cell>
        </row>
        <row r="5365">
          <cell r="D5365" t="str">
            <v>GU5336113-001L001</v>
          </cell>
          <cell r="E5365" t="str">
            <v>STA8510~9055左上大梁</v>
          </cell>
        </row>
        <row r="5366">
          <cell r="D5366" t="str">
            <v>GU5336113-001L001</v>
          </cell>
          <cell r="E5366" t="str">
            <v>STA8510~9055左上大梁</v>
          </cell>
        </row>
        <row r="5367">
          <cell r="D5367" t="str">
            <v>GU5336113-001L001</v>
          </cell>
          <cell r="E5367" t="str">
            <v>STA8510~9055左上大梁</v>
          </cell>
        </row>
        <row r="5368">
          <cell r="D5368" t="str">
            <v>CB229C050-007-003</v>
          </cell>
          <cell r="E5368" t="str">
            <v>摇臂</v>
          </cell>
        </row>
        <row r="5369">
          <cell r="D5369" t="str">
            <v>CB229C050-007-003</v>
          </cell>
          <cell r="E5369" t="str">
            <v>摇臂</v>
          </cell>
        </row>
        <row r="5370">
          <cell r="D5370" t="str">
            <v>CB22924J0-001-001</v>
          </cell>
          <cell r="E5370" t="str">
            <v>角片</v>
          </cell>
        </row>
        <row r="5371">
          <cell r="D5371" t="str">
            <v>CB2297120-006-002</v>
          </cell>
          <cell r="E5371" t="str">
            <v>支架</v>
          </cell>
        </row>
        <row r="5372">
          <cell r="D5372" t="str">
            <v>CB2297012-001-001</v>
          </cell>
          <cell r="E5372" t="str">
            <v>支架</v>
          </cell>
        </row>
        <row r="5373">
          <cell r="D5373" t="str">
            <v>CB22931L1-001-003</v>
          </cell>
          <cell r="E5373" t="str">
            <v>底座</v>
          </cell>
        </row>
        <row r="5374">
          <cell r="D5374" t="str">
            <v>CB2298621-001-002</v>
          </cell>
          <cell r="E5374" t="str">
            <v>支架</v>
          </cell>
        </row>
        <row r="5375">
          <cell r="D5375" t="str">
            <v>CB2297011-001-001</v>
          </cell>
          <cell r="E5375" t="str">
            <v>支架</v>
          </cell>
        </row>
        <row r="5376">
          <cell r="D5376" t="str">
            <v>CB2297021-001-001</v>
          </cell>
          <cell r="E5376" t="str">
            <v>支架</v>
          </cell>
        </row>
        <row r="5377">
          <cell r="D5377" t="str">
            <v>CB22956R0-001R001</v>
          </cell>
          <cell r="E5377" t="str">
            <v>架子</v>
          </cell>
        </row>
        <row r="5378">
          <cell r="D5378" t="str">
            <v>CB22956R0-001L001</v>
          </cell>
          <cell r="E5378" t="str">
            <v>架子</v>
          </cell>
        </row>
        <row r="5379">
          <cell r="D5379" t="str">
            <v>XXX/F-000-01</v>
          </cell>
          <cell r="E5379" t="str">
            <v>XXX试壳体</v>
          </cell>
        </row>
        <row r="5380">
          <cell r="D5380" t="str">
            <v>XXX/F-000-02</v>
          </cell>
          <cell r="E5380" t="str">
            <v>安装座</v>
          </cell>
        </row>
        <row r="5381">
          <cell r="D5381" t="str">
            <v>XXX/F-000-03</v>
          </cell>
          <cell r="E5381" t="str">
            <v>XH后盖</v>
          </cell>
        </row>
        <row r="5382">
          <cell r="D5382" t="str">
            <v>XXX/F-000-04</v>
          </cell>
          <cell r="E5382" t="str">
            <v>XXX理壳体</v>
          </cell>
        </row>
        <row r="5383">
          <cell r="D5383" t="str">
            <v>XXX/F-000-05</v>
          </cell>
          <cell r="E5383" t="str">
            <v>XH压盖</v>
          </cell>
        </row>
        <row r="5384">
          <cell r="D5384" t="str">
            <v>XXX-0000-01(F2)</v>
          </cell>
          <cell r="E5384" t="str">
            <v>后盖（F2）</v>
          </cell>
        </row>
        <row r="5385">
          <cell r="D5385" t="str">
            <v>XXX-1000-01(F2)</v>
          </cell>
          <cell r="E5385" t="str">
            <v>壳体（F2）</v>
          </cell>
        </row>
        <row r="5386">
          <cell r="D5386" t="str">
            <v>XXX-1000-02(F2)</v>
          </cell>
          <cell r="E5386" t="str">
            <v>隔离环（F2）</v>
          </cell>
        </row>
        <row r="5387">
          <cell r="D5387" t="str">
            <v>DD-J10B-41163-30-3</v>
          </cell>
          <cell r="E5387" t="str">
            <v>片</v>
          </cell>
        </row>
        <row r="5388">
          <cell r="D5388" t="str">
            <v>DD-J10B-41163-30-3</v>
          </cell>
          <cell r="E5388" t="str">
            <v>片</v>
          </cell>
        </row>
        <row r="5389">
          <cell r="D5389" t="str">
            <v>CB22921A1-003-001</v>
          </cell>
          <cell r="E5389" t="str">
            <v>衬套</v>
          </cell>
        </row>
        <row r="5390">
          <cell r="D5390" t="str">
            <v>BC2231351-001-001</v>
          </cell>
          <cell r="E5390" t="str">
            <v>R12防火堵盖</v>
          </cell>
        </row>
        <row r="5391">
          <cell r="D5391" t="str">
            <v>BC2281616-001-001</v>
          </cell>
          <cell r="E5391" t="str">
            <v>支臂</v>
          </cell>
        </row>
        <row r="5392">
          <cell r="D5392" t="str">
            <v>BC3230500-001-300</v>
          </cell>
          <cell r="E5392" t="str">
            <v>过渡板</v>
          </cell>
        </row>
        <row r="5393">
          <cell r="D5393" t="str">
            <v>BC2291141-001-001</v>
          </cell>
          <cell r="E5393" t="str">
            <v>应急泵支架</v>
          </cell>
        </row>
        <row r="5394">
          <cell r="D5394" t="str">
            <v>BC2271603-001-002</v>
          </cell>
          <cell r="E5394" t="str">
            <v>加速度传感器组件过渡支架</v>
          </cell>
        </row>
        <row r="5395">
          <cell r="D5395" t="str">
            <v>XXX-100-04(H)</v>
          </cell>
          <cell r="E5395" t="str">
            <v>防尘盖I</v>
          </cell>
        </row>
        <row r="5396">
          <cell r="D5396" t="str">
            <v>XXX-100-05(H)</v>
          </cell>
          <cell r="E5396" t="str">
            <v>调谐片</v>
          </cell>
        </row>
        <row r="5397">
          <cell r="D5397" t="str">
            <v>XXX-100-06(H)</v>
          </cell>
          <cell r="E5397" t="str">
            <v>底板</v>
          </cell>
        </row>
        <row r="5398">
          <cell r="D5398" t="str">
            <v>XXX-100-07(H)</v>
          </cell>
          <cell r="E5398" t="str">
            <v>贴片</v>
          </cell>
        </row>
        <row r="5399">
          <cell r="D5399" t="str">
            <v>XXX-100-08(H)</v>
          </cell>
          <cell r="E5399" t="str">
            <v>插芯</v>
          </cell>
        </row>
        <row r="5400">
          <cell r="D5400" t="str">
            <v>XXX-100-09(H)</v>
          </cell>
          <cell r="E5400" t="str">
            <v>调谐钉</v>
          </cell>
        </row>
        <row r="5401">
          <cell r="D5401" t="str">
            <v>XXX-100-10(H)</v>
          </cell>
          <cell r="E5401" t="str">
            <v>塞片</v>
          </cell>
        </row>
        <row r="5402">
          <cell r="D5402" t="str">
            <v>XXX-200-01(H)</v>
          </cell>
          <cell r="E5402" t="str">
            <v>盖板</v>
          </cell>
        </row>
        <row r="5403">
          <cell r="D5403" t="str">
            <v>XXX-200-02(H)</v>
          </cell>
          <cell r="E5403" t="str">
            <v>腔体</v>
          </cell>
        </row>
        <row r="5404">
          <cell r="D5404" t="str">
            <v>CB5715000-001R002</v>
          </cell>
          <cell r="E5404" t="str">
            <v>固定前缘边肋</v>
          </cell>
        </row>
        <row r="5405">
          <cell r="D5405" t="str">
            <v>CB5715000-001R002</v>
          </cell>
          <cell r="E5405" t="str">
            <v>固定前缘边肋</v>
          </cell>
        </row>
        <row r="5406">
          <cell r="D5406" t="str">
            <v>CB5715000-001R002</v>
          </cell>
          <cell r="E5406" t="str">
            <v>固定前缘边肋</v>
          </cell>
        </row>
        <row r="5407">
          <cell r="D5407" t="str">
            <v>CB5715000-001R002</v>
          </cell>
          <cell r="E5407" t="str">
            <v>固定前缘边肋</v>
          </cell>
        </row>
        <row r="5408">
          <cell r="D5408" t="str">
            <v>CB5715000-001R002</v>
          </cell>
          <cell r="E5408" t="str">
            <v>固定前缘边肋</v>
          </cell>
        </row>
        <row r="5409">
          <cell r="D5409" t="str">
            <v>CB5715000-001R002</v>
          </cell>
          <cell r="E5409" t="str">
            <v>固定前缘边肋</v>
          </cell>
        </row>
        <row r="5410">
          <cell r="D5410" t="str">
            <v>CB5715000-001R002</v>
          </cell>
          <cell r="E5410" t="str">
            <v>固定前缘边肋</v>
          </cell>
        </row>
        <row r="5411">
          <cell r="D5411" t="str">
            <v>CB5715000-001R002</v>
          </cell>
          <cell r="E5411" t="str">
            <v>固定前缘边肋</v>
          </cell>
        </row>
        <row r="5412">
          <cell r="D5412" t="str">
            <v>CB5715000-001L002</v>
          </cell>
          <cell r="E5412" t="str">
            <v>固定前缘边肋</v>
          </cell>
        </row>
        <row r="5413">
          <cell r="D5413" t="str">
            <v>CB5715000-001L002</v>
          </cell>
          <cell r="E5413" t="str">
            <v>固定前缘边肋</v>
          </cell>
        </row>
        <row r="5414">
          <cell r="D5414" t="str">
            <v>CB5715000-001L002</v>
          </cell>
          <cell r="E5414" t="str">
            <v>固定前缘边肋</v>
          </cell>
        </row>
        <row r="5415">
          <cell r="D5415" t="str">
            <v>CB5715000-001L002</v>
          </cell>
          <cell r="E5415" t="str">
            <v>固定前缘边肋</v>
          </cell>
        </row>
        <row r="5416">
          <cell r="D5416" t="str">
            <v>CB5715000-001L002</v>
          </cell>
          <cell r="E5416" t="str">
            <v>固定前缘边肋</v>
          </cell>
        </row>
        <row r="5417">
          <cell r="D5417" t="str">
            <v>CB5715000-001L002</v>
          </cell>
          <cell r="E5417" t="str">
            <v>固定前缘边肋</v>
          </cell>
        </row>
        <row r="5418">
          <cell r="D5418" t="str">
            <v>CB5715000-001L002</v>
          </cell>
          <cell r="E5418" t="str">
            <v>固定前缘边肋</v>
          </cell>
        </row>
        <row r="5419">
          <cell r="D5419" t="str">
            <v>CB5715000-001L002</v>
          </cell>
          <cell r="E5419" t="str">
            <v>固定前缘边肋</v>
          </cell>
        </row>
        <row r="5420">
          <cell r="D5420" t="str">
            <v>CB5324500-004L004</v>
          </cell>
          <cell r="E5420" t="str">
            <v>后端框</v>
          </cell>
        </row>
        <row r="5421">
          <cell r="D5421" t="str">
            <v>CB5714100-001L004</v>
          </cell>
          <cell r="E5421" t="str">
            <v>根肋一段</v>
          </cell>
        </row>
        <row r="5422">
          <cell r="D5422" t="str">
            <v>CB5714100-001L004</v>
          </cell>
          <cell r="E5422" t="str">
            <v>根肋一段</v>
          </cell>
        </row>
        <row r="5423">
          <cell r="D5423" t="str">
            <v>CB5714100-001R004</v>
          </cell>
          <cell r="E5423" t="str">
            <v>根肋一段</v>
          </cell>
        </row>
        <row r="5424">
          <cell r="D5424" t="str">
            <v>CB5714100-002L003</v>
          </cell>
          <cell r="E5424" t="str">
            <v>根肋二段</v>
          </cell>
        </row>
        <row r="5425">
          <cell r="D5425" t="str">
            <v>CB5714100-002L003</v>
          </cell>
          <cell r="E5425" t="str">
            <v>根肋二段</v>
          </cell>
        </row>
        <row r="5426">
          <cell r="D5426" t="str">
            <v>CB5714100-002L003</v>
          </cell>
          <cell r="E5426" t="str">
            <v>根肋二段</v>
          </cell>
        </row>
        <row r="5427">
          <cell r="D5427" t="str">
            <v>CB22921L3-001-003</v>
          </cell>
          <cell r="E5427" t="str">
            <v>支座</v>
          </cell>
        </row>
        <row r="5428">
          <cell r="D5428" t="str">
            <v>CB2297041-001-001</v>
          </cell>
          <cell r="E5428" t="str">
            <v>支架</v>
          </cell>
        </row>
        <row r="5429">
          <cell r="D5429" t="str">
            <v>CB2297120-006-002</v>
          </cell>
          <cell r="E5429" t="str">
            <v>支架</v>
          </cell>
        </row>
        <row r="5430">
          <cell r="D5430" t="str">
            <v>CB2297031-001-001</v>
          </cell>
          <cell r="E5430" t="str">
            <v>支架</v>
          </cell>
        </row>
        <row r="5431">
          <cell r="D5431" t="str">
            <v>CB2297031-001-001</v>
          </cell>
          <cell r="E5431" t="str">
            <v>支架</v>
          </cell>
        </row>
        <row r="5432">
          <cell r="D5432" t="str">
            <v>CB22921L3-001-003</v>
          </cell>
          <cell r="E5432" t="str">
            <v>支座</v>
          </cell>
        </row>
        <row r="5433">
          <cell r="D5433" t="str">
            <v>CB2297021-001-001</v>
          </cell>
          <cell r="E5433" t="str">
            <v>支架</v>
          </cell>
        </row>
        <row r="5434">
          <cell r="D5434" t="str">
            <v>CB2298091-001-001</v>
          </cell>
          <cell r="E5434" t="str">
            <v>支架</v>
          </cell>
        </row>
        <row r="5435">
          <cell r="D5435" t="str">
            <v>CB2292321-001-003</v>
          </cell>
          <cell r="E5435" t="str">
            <v>支座</v>
          </cell>
        </row>
        <row r="5436">
          <cell r="D5436" t="str">
            <v>CB2297011-002-001</v>
          </cell>
          <cell r="E5436" t="str">
            <v>支架</v>
          </cell>
        </row>
        <row r="5437">
          <cell r="D5437" t="str">
            <v>CB2292321-001-003</v>
          </cell>
          <cell r="E5437" t="str">
            <v>支座</v>
          </cell>
        </row>
        <row r="5438">
          <cell r="D5438" t="str">
            <v>CB2294170-003-001</v>
          </cell>
          <cell r="E5438" t="str">
            <v>支架</v>
          </cell>
        </row>
        <row r="5439">
          <cell r="D5439" t="str">
            <v>CB2297032-001-001</v>
          </cell>
          <cell r="E5439" t="str">
            <v>支架</v>
          </cell>
        </row>
        <row r="5440">
          <cell r="D5440" t="str">
            <v>CB5714100-002R003</v>
          </cell>
          <cell r="E5440" t="str">
            <v>根肋二段</v>
          </cell>
        </row>
        <row r="5441">
          <cell r="D5441" t="str">
            <v>CB5714200-001L001</v>
          </cell>
          <cell r="E5441" t="str">
            <v>2470肋一段</v>
          </cell>
        </row>
        <row r="5442">
          <cell r="D5442" t="str">
            <v>CB5714200-001R001</v>
          </cell>
          <cell r="E5442" t="str">
            <v>2470肋一段</v>
          </cell>
        </row>
        <row r="5443">
          <cell r="D5443" t="str">
            <v>CB5714200-005L002</v>
          </cell>
          <cell r="E5443" t="str">
            <v>2470肋五段</v>
          </cell>
        </row>
        <row r="5444">
          <cell r="D5444" t="str">
            <v>CB5714200-005R002</v>
          </cell>
          <cell r="E5444" t="str">
            <v>2470肋五段</v>
          </cell>
        </row>
        <row r="5445">
          <cell r="D5445" t="str">
            <v>CB5313200-004R006</v>
          </cell>
          <cell r="E5445" t="str">
            <v>右前分合面框</v>
          </cell>
        </row>
        <row r="5446">
          <cell r="D5446" t="str">
            <v>CB5313200-004L006</v>
          </cell>
          <cell r="E5446" t="str">
            <v>左前分合面框</v>
          </cell>
        </row>
        <row r="5447">
          <cell r="D5447" t="str">
            <v>CB5324500-004R004</v>
          </cell>
          <cell r="E5447" t="str">
            <v>后端框</v>
          </cell>
        </row>
        <row r="5448">
          <cell r="D5448" t="str">
            <v>BC2291144-001-001</v>
          </cell>
          <cell r="E5448" t="str">
            <v>应急泵支架角片</v>
          </cell>
        </row>
        <row r="5449">
          <cell r="D5449" t="str">
            <v>BC22107LC-002-001</v>
          </cell>
          <cell r="E5449" t="str">
            <v>堵头</v>
          </cell>
        </row>
        <row r="5450">
          <cell r="D5450" t="str">
            <v>DD-J10-55051-6101</v>
          </cell>
          <cell r="E5450" t="str">
            <v>接管嘴</v>
          </cell>
        </row>
        <row r="5451">
          <cell r="D5451" t="str">
            <v>CB5715000-002L002</v>
          </cell>
          <cell r="E5451" t="str">
            <v>固定前缘根肋</v>
          </cell>
        </row>
        <row r="5452">
          <cell r="D5452" t="str">
            <v>CB5715000-002L002</v>
          </cell>
          <cell r="E5452" t="str">
            <v>固定前缘根肋</v>
          </cell>
        </row>
        <row r="5453">
          <cell r="D5453" t="str">
            <v>CB5715000-002L002</v>
          </cell>
          <cell r="E5453" t="str">
            <v>固定前缘根肋</v>
          </cell>
        </row>
        <row r="5454">
          <cell r="D5454" t="str">
            <v>CB5715000-002L002</v>
          </cell>
          <cell r="E5454" t="str">
            <v>固定前缘根肋</v>
          </cell>
        </row>
        <row r="5455">
          <cell r="D5455" t="str">
            <v>CB5715000-002L002</v>
          </cell>
          <cell r="E5455" t="str">
            <v>固定前缘根肋</v>
          </cell>
        </row>
        <row r="5456">
          <cell r="D5456" t="str">
            <v>CB5715000-002L002</v>
          </cell>
          <cell r="E5456" t="str">
            <v>固定前缘根肋</v>
          </cell>
        </row>
        <row r="5457">
          <cell r="D5457" t="str">
            <v>CB5715000-002L002</v>
          </cell>
          <cell r="E5457" t="str">
            <v>固定前缘根肋</v>
          </cell>
        </row>
        <row r="5458">
          <cell r="D5458" t="str">
            <v>CB5715000-002L002</v>
          </cell>
          <cell r="E5458" t="str">
            <v>固定前缘根肋</v>
          </cell>
        </row>
        <row r="5459">
          <cell r="D5459" t="str">
            <v>CB5715000-002R002</v>
          </cell>
          <cell r="E5459" t="str">
            <v>固定前缘根肋</v>
          </cell>
        </row>
        <row r="5460">
          <cell r="D5460" t="str">
            <v>CB5715000-002R002</v>
          </cell>
          <cell r="E5460" t="str">
            <v>固定前缘根肋</v>
          </cell>
        </row>
        <row r="5461">
          <cell r="D5461" t="str">
            <v>CB5715000-002R002</v>
          </cell>
          <cell r="E5461" t="str">
            <v>固定前缘根肋</v>
          </cell>
        </row>
        <row r="5462">
          <cell r="D5462" t="str">
            <v>CB5715000-002R002</v>
          </cell>
          <cell r="E5462" t="str">
            <v>固定前缘根肋</v>
          </cell>
        </row>
        <row r="5463">
          <cell r="D5463" t="str">
            <v>CB5715000-002R002</v>
          </cell>
          <cell r="E5463" t="str">
            <v>固定前缘根肋</v>
          </cell>
        </row>
        <row r="5464">
          <cell r="D5464" t="str">
            <v>CB5715000-002R002</v>
          </cell>
          <cell r="E5464" t="str">
            <v>固定前缘根肋</v>
          </cell>
        </row>
        <row r="5465">
          <cell r="D5465" t="str">
            <v>CB5715000-002R002</v>
          </cell>
          <cell r="E5465" t="str">
            <v>固定前缘根肋</v>
          </cell>
        </row>
        <row r="5466">
          <cell r="D5466" t="str">
            <v>CB5715000-002R002</v>
          </cell>
          <cell r="E5466" t="str">
            <v>固定前缘根肋</v>
          </cell>
        </row>
        <row r="5467">
          <cell r="D5467" t="str">
            <v>CB5742000-202L001</v>
          </cell>
          <cell r="E5467" t="str">
            <v>前梁二段</v>
          </cell>
        </row>
        <row r="5468">
          <cell r="D5468" t="str">
            <v>CB5742000-202L001</v>
          </cell>
          <cell r="E5468" t="str">
            <v>前梁二段</v>
          </cell>
        </row>
        <row r="5469">
          <cell r="D5469" t="str">
            <v>CB5742000-202L001</v>
          </cell>
          <cell r="E5469" t="str">
            <v>前梁二段</v>
          </cell>
        </row>
        <row r="5470">
          <cell r="D5470" t="str">
            <v>CB5742000-202L001</v>
          </cell>
          <cell r="E5470" t="str">
            <v>前梁二段</v>
          </cell>
        </row>
        <row r="5471">
          <cell r="D5471" t="str">
            <v>CB5742000-202L001</v>
          </cell>
          <cell r="E5471" t="str">
            <v>前梁二段</v>
          </cell>
        </row>
        <row r="5472">
          <cell r="D5472" t="str">
            <v>CB5742000-202L001</v>
          </cell>
          <cell r="E5472" t="str">
            <v>前梁二段</v>
          </cell>
        </row>
        <row r="5473">
          <cell r="D5473" t="str">
            <v>CB5742000-202R001</v>
          </cell>
          <cell r="E5473" t="str">
            <v>前梁二段</v>
          </cell>
        </row>
        <row r="5474">
          <cell r="D5474" t="str">
            <v>CB5742000-202R001</v>
          </cell>
          <cell r="E5474" t="str">
            <v>前梁二段</v>
          </cell>
        </row>
        <row r="5475">
          <cell r="D5475" t="str">
            <v>CB5742000-202R001</v>
          </cell>
          <cell r="E5475" t="str">
            <v>前梁二段</v>
          </cell>
        </row>
        <row r="5476">
          <cell r="D5476" t="str">
            <v>CB5742000-202R001</v>
          </cell>
          <cell r="E5476" t="str">
            <v>前梁二段</v>
          </cell>
        </row>
        <row r="5477">
          <cell r="D5477" t="str">
            <v>CB5742000-202R001</v>
          </cell>
          <cell r="E5477" t="str">
            <v>前梁二段</v>
          </cell>
        </row>
        <row r="5478">
          <cell r="D5478" t="str">
            <v>CB5742000-202R001</v>
          </cell>
          <cell r="E5478" t="str">
            <v>前梁二段</v>
          </cell>
        </row>
        <row r="5479">
          <cell r="D5479" t="str">
            <v>DD-J10B-04051-1</v>
          </cell>
          <cell r="E5479" t="str">
            <v>10460框</v>
          </cell>
        </row>
        <row r="5480">
          <cell r="D5480" t="str">
            <v>DD-J10B-04051-1</v>
          </cell>
          <cell r="E5480" t="str">
            <v>10460框</v>
          </cell>
        </row>
        <row r="5481">
          <cell r="D5481" t="str">
            <v>DD-J10B-04051-1</v>
          </cell>
          <cell r="E5481" t="str">
            <v>10460框</v>
          </cell>
        </row>
        <row r="5482">
          <cell r="D5482" t="str">
            <v>DD-J10B-04051-1</v>
          </cell>
          <cell r="E5482" t="str">
            <v>10460框</v>
          </cell>
        </row>
        <row r="5483">
          <cell r="D5483" t="str">
            <v>DD-J10B-04051-1</v>
          </cell>
          <cell r="E5483" t="str">
            <v>10460框</v>
          </cell>
        </row>
        <row r="5484">
          <cell r="D5484" t="str">
            <v>DD-J10-34103-4</v>
          </cell>
          <cell r="E5484" t="str">
            <v>上边肋</v>
          </cell>
        </row>
        <row r="5485">
          <cell r="D5485" t="str">
            <v>DD-J10-34103-4</v>
          </cell>
          <cell r="E5485" t="str">
            <v>上边肋</v>
          </cell>
        </row>
        <row r="5486">
          <cell r="D5486" t="str">
            <v>DD-J10B-02041-300-3</v>
          </cell>
          <cell r="E5486" t="str">
            <v>右内侧角材</v>
          </cell>
        </row>
        <row r="5487">
          <cell r="D5487" t="str">
            <v>DD-J10B-02041-300-3</v>
          </cell>
          <cell r="E5487" t="str">
            <v>右内侧角材</v>
          </cell>
        </row>
        <row r="5488">
          <cell r="D5488" t="str">
            <v>5317C03017G71 A</v>
          </cell>
          <cell r="E5488" t="str">
            <v>接头</v>
          </cell>
        </row>
        <row r="5489">
          <cell r="D5489" t="str">
            <v>DD-J10B-78001-460-1</v>
          </cell>
          <cell r="E5489" t="str">
            <v>铰链</v>
          </cell>
        </row>
        <row r="5490">
          <cell r="D5490" t="str">
            <v>DD-J10B-78001-460-1</v>
          </cell>
          <cell r="E5490" t="str">
            <v>铰链</v>
          </cell>
        </row>
        <row r="5491">
          <cell r="D5491" t="str">
            <v>DD-J10B-02081-404</v>
          </cell>
          <cell r="E5491" t="str">
            <v>支座</v>
          </cell>
        </row>
        <row r="5492">
          <cell r="D5492" t="str">
            <v>DD-J10B-65000-1810G2-1</v>
          </cell>
          <cell r="E5492" t="str">
            <v>支座</v>
          </cell>
        </row>
        <row r="5493">
          <cell r="D5493" t="str">
            <v>DD-J10B-02111-2-Z</v>
          </cell>
          <cell r="E5493" t="str">
            <v>角盒</v>
          </cell>
        </row>
        <row r="5494">
          <cell r="D5494" t="str">
            <v>DD-J10-64016-210-1</v>
          </cell>
          <cell r="E5494" t="str">
            <v>管子</v>
          </cell>
        </row>
        <row r="5495">
          <cell r="D5495" t="str">
            <v>DD-J10-64016-210-1</v>
          </cell>
          <cell r="E5495" t="str">
            <v>管子</v>
          </cell>
        </row>
        <row r="5496">
          <cell r="D5496" t="str">
            <v>DD-J10-55181-66</v>
          </cell>
          <cell r="E5496" t="str">
            <v>转接管接头</v>
          </cell>
        </row>
        <row r="5497">
          <cell r="D5497" t="str">
            <v>DD-J10-63001-511</v>
          </cell>
          <cell r="E5497" t="str">
            <v>阳密封式法兰盘</v>
          </cell>
        </row>
        <row r="5498">
          <cell r="D5498" t="str">
            <v>J10B-26002-100G2-1G2-Z</v>
          </cell>
          <cell r="E5498" t="str">
            <v>翼尖接头</v>
          </cell>
        </row>
        <row r="5499">
          <cell r="D5499" t="str">
            <v>J10B-26002-100G2-1G2-Y</v>
          </cell>
          <cell r="E5499" t="str">
            <v>翼尖接头</v>
          </cell>
        </row>
        <row r="5500">
          <cell r="D5500" t="str">
            <v>CB2294440-005-001</v>
          </cell>
          <cell r="E5500" t="str">
            <v>支架</v>
          </cell>
        </row>
        <row r="5501">
          <cell r="D5501" t="str">
            <v>DD-J10B-25002-30G2-1G2-Z</v>
          </cell>
          <cell r="E5501" t="str">
            <v>梁（左件）</v>
          </cell>
        </row>
        <row r="5502">
          <cell r="D5502" t="str">
            <v>DD-J10B-25002-30G2-1G2-Z</v>
          </cell>
          <cell r="E5502" t="str">
            <v>梁（左件）</v>
          </cell>
        </row>
        <row r="5503">
          <cell r="D5503" t="str">
            <v>DD-J10B-25002-30G2-1G2-Z</v>
          </cell>
          <cell r="E5503" t="str">
            <v>梁（左件）</v>
          </cell>
        </row>
        <row r="5504">
          <cell r="D5504" t="str">
            <v>DD-J10B-25002-30G2-1G2-Z</v>
          </cell>
          <cell r="E5504" t="str">
            <v>梁（左件）</v>
          </cell>
        </row>
        <row r="5505">
          <cell r="D5505" t="str">
            <v>DD-J10B-25002-30G2-1G2-Z</v>
          </cell>
          <cell r="E5505" t="str">
            <v>梁（左件）</v>
          </cell>
        </row>
        <row r="5506">
          <cell r="D5506" t="str">
            <v>DD-J10B-25002-30G2-1G2-Y</v>
          </cell>
          <cell r="E5506" t="str">
            <v>梁（右件）</v>
          </cell>
        </row>
        <row r="5507">
          <cell r="D5507" t="str">
            <v>DD-J10B-25002-30G2-1G2-Y</v>
          </cell>
          <cell r="E5507" t="str">
            <v>梁（右件）</v>
          </cell>
        </row>
        <row r="5508">
          <cell r="D5508" t="str">
            <v>DD-J10B-25002-30G2-1G2-Y</v>
          </cell>
          <cell r="E5508" t="str">
            <v>梁（右件）</v>
          </cell>
        </row>
        <row r="5509">
          <cell r="D5509" t="str">
            <v>DD-J10B-25002-30G2-1G2-Y</v>
          </cell>
          <cell r="E5509" t="str">
            <v>梁（右件）</v>
          </cell>
        </row>
        <row r="5510">
          <cell r="D5510" t="str">
            <v>DD-J10B-25002-30G2-1G2-Y</v>
          </cell>
          <cell r="E5510" t="str">
            <v>梁（右件）</v>
          </cell>
        </row>
        <row r="5511">
          <cell r="D5511" t="str">
            <v>CB5327120-013L015</v>
          </cell>
          <cell r="E5511" t="str">
            <v>10150侧隔框</v>
          </cell>
        </row>
        <row r="5512">
          <cell r="D5512" t="str">
            <v>CB5327120-013L015</v>
          </cell>
          <cell r="E5512" t="str">
            <v>10150侧隔框</v>
          </cell>
        </row>
        <row r="5513">
          <cell r="D5513" t="str">
            <v>CB5327120-013R015</v>
          </cell>
          <cell r="E5513" t="str">
            <v>10150侧隔框</v>
          </cell>
        </row>
        <row r="5514">
          <cell r="D5514" t="str">
            <v>CB5327120-013R015</v>
          </cell>
          <cell r="E5514" t="str">
            <v>10150侧隔框</v>
          </cell>
        </row>
        <row r="5515">
          <cell r="D5515" t="str">
            <v>Y20-4761200093-001</v>
          </cell>
          <cell r="E5515" t="str">
            <v>支架悬挂横梁</v>
          </cell>
        </row>
        <row r="5516">
          <cell r="D5516" t="str">
            <v>DD-J10-33003-4</v>
          </cell>
          <cell r="E5516" t="str">
            <v>梁</v>
          </cell>
        </row>
        <row r="5517">
          <cell r="D5517" t="str">
            <v>DD-J10-33003-4</v>
          </cell>
          <cell r="E5517" t="str">
            <v>梁</v>
          </cell>
        </row>
        <row r="5518">
          <cell r="D5518" t="str">
            <v>DD-J10-33003-4</v>
          </cell>
          <cell r="E5518" t="str">
            <v>梁</v>
          </cell>
        </row>
        <row r="5519">
          <cell r="D5519" t="str">
            <v>DD-J10-33003-4</v>
          </cell>
          <cell r="E5519" t="str">
            <v>梁</v>
          </cell>
        </row>
        <row r="5520">
          <cell r="D5520" t="str">
            <v>XXX-63-0000-01</v>
          </cell>
          <cell r="E5520" t="str">
            <v>壳体</v>
          </cell>
        </row>
        <row r="5521">
          <cell r="D5521" t="str">
            <v>XXX-63-0000-02</v>
          </cell>
          <cell r="E5521" t="str">
            <v>压板</v>
          </cell>
        </row>
        <row r="5522">
          <cell r="D5522" t="str">
            <v>XXX-63-0000-03</v>
          </cell>
          <cell r="E5522" t="str">
            <v>支柱1</v>
          </cell>
        </row>
        <row r="5523">
          <cell r="D5523" t="str">
            <v>XXX-63-0000-04</v>
          </cell>
          <cell r="E5523" t="str">
            <v>支架</v>
          </cell>
        </row>
        <row r="5524">
          <cell r="D5524" t="str">
            <v>XXX-63-0000-05</v>
          </cell>
          <cell r="E5524" t="str">
            <v>绝缘垫圈</v>
          </cell>
        </row>
        <row r="5525">
          <cell r="D5525" t="str">
            <v>XXX-63-0000-06</v>
          </cell>
          <cell r="E5525" t="str">
            <v>支柱2</v>
          </cell>
        </row>
        <row r="5526">
          <cell r="D5526" t="str">
            <v>XXX-63-0000-07</v>
          </cell>
          <cell r="E5526" t="str">
            <v>屏蔽板</v>
          </cell>
        </row>
        <row r="5527">
          <cell r="D5527" t="str">
            <v>XXX-63-0000-08</v>
          </cell>
          <cell r="E5527" t="str">
            <v>电连接器安装座</v>
          </cell>
        </row>
        <row r="5528">
          <cell r="D5528" t="str">
            <v>XXX-63-0000-09</v>
          </cell>
          <cell r="E5528" t="str">
            <v>电连接器垫圈</v>
          </cell>
        </row>
        <row r="5529">
          <cell r="D5529" t="str">
            <v>XXX-63-0000-10</v>
          </cell>
          <cell r="E5529" t="str">
            <v>顶盖</v>
          </cell>
        </row>
        <row r="5530">
          <cell r="D5530" t="str">
            <v>XXX-63-2000-01</v>
          </cell>
          <cell r="E5530" t="str">
            <v>安装座</v>
          </cell>
        </row>
        <row r="5531">
          <cell r="D5531" t="str">
            <v>XXX-63-2000-02</v>
          </cell>
          <cell r="E5531" t="str">
            <v>高压盒盖</v>
          </cell>
        </row>
        <row r="5532">
          <cell r="D5532" t="str">
            <v>XXX-63-2100-01</v>
          </cell>
          <cell r="E5532" t="str">
            <v>高压盒</v>
          </cell>
        </row>
        <row r="5533">
          <cell r="D5533" t="str">
            <v>XXX-63/F1</v>
          </cell>
          <cell r="E5533" t="str">
            <v>XXX安装扳手</v>
          </cell>
        </row>
        <row r="5534">
          <cell r="D5534" t="str">
            <v>XXX-63/F2</v>
          </cell>
          <cell r="E5534" t="str">
            <v>小扳手</v>
          </cell>
        </row>
        <row r="5535">
          <cell r="D5535" t="str">
            <v>DD-J10-67096-50-1</v>
          </cell>
          <cell r="E5535" t="str">
            <v>Z型件</v>
          </cell>
        </row>
        <row r="5536">
          <cell r="D5536" t="str">
            <v>DD-J10-67096-50-1</v>
          </cell>
          <cell r="E5536" t="str">
            <v>Z型件</v>
          </cell>
        </row>
        <row r="5537">
          <cell r="D5537" t="str">
            <v>DD-J10-04401-103</v>
          </cell>
          <cell r="E5537" t="str">
            <v>接头</v>
          </cell>
        </row>
        <row r="5538">
          <cell r="D5538" t="str">
            <v>DD-J10B-65000-1710G2-1</v>
          </cell>
          <cell r="E5538" t="str">
            <v>连杆</v>
          </cell>
        </row>
        <row r="5539">
          <cell r="D5539" t="str">
            <v>DD-J10B-65000-1710G2-1</v>
          </cell>
          <cell r="E5539" t="str">
            <v>连杆</v>
          </cell>
        </row>
        <row r="5540">
          <cell r="D5540" t="str">
            <v>DD-J10B-06061-22</v>
          </cell>
          <cell r="E5540" t="str">
            <v>摇臂</v>
          </cell>
        </row>
        <row r="5541">
          <cell r="D5541" t="str">
            <v>DD-J10B-06061-22</v>
          </cell>
          <cell r="E5541" t="str">
            <v>摇臂</v>
          </cell>
        </row>
        <row r="5542">
          <cell r="D5542" t="str">
            <v>DD-J10B-65000-1720G2-1</v>
          </cell>
          <cell r="E5542" t="str">
            <v>管子</v>
          </cell>
        </row>
        <row r="5543">
          <cell r="D5543" t="str">
            <v>DD-J10B-65000-1720G2-1</v>
          </cell>
          <cell r="E5543" t="str">
            <v>管子</v>
          </cell>
        </row>
        <row r="5544">
          <cell r="D5544" t="str">
            <v>DD-J10B-65000-1720G2-1</v>
          </cell>
          <cell r="E5544" t="str">
            <v>管子</v>
          </cell>
        </row>
        <row r="5545">
          <cell r="D5545" t="str">
            <v>DD-J10-55121-1</v>
          </cell>
          <cell r="E5545" t="str">
            <v>三通管接头</v>
          </cell>
        </row>
        <row r="5546">
          <cell r="D5546" t="str">
            <v>DD-J10-04401-104</v>
          </cell>
          <cell r="E5546" t="str">
            <v>接头</v>
          </cell>
        </row>
        <row r="5547">
          <cell r="D5547" t="str">
            <v>DD-J10B-61201-12</v>
          </cell>
          <cell r="E5547" t="str">
            <v>接头</v>
          </cell>
        </row>
        <row r="5548">
          <cell r="D5548" t="str">
            <v>DD-J10B-61201-12</v>
          </cell>
          <cell r="E5548" t="str">
            <v>接头</v>
          </cell>
        </row>
        <row r="5549">
          <cell r="D5549" t="str">
            <v>DD-J10B-94076-803</v>
          </cell>
          <cell r="E5549" t="str">
            <v>支架</v>
          </cell>
        </row>
        <row r="5550">
          <cell r="D5550" t="str">
            <v>DD-J10B-94076-803</v>
          </cell>
          <cell r="E5550" t="str">
            <v>支架</v>
          </cell>
        </row>
        <row r="5551">
          <cell r="D5551" t="str">
            <v>DD-J10B-86051-2</v>
          </cell>
          <cell r="E5551" t="str">
            <v>激励器转接件</v>
          </cell>
        </row>
        <row r="5552">
          <cell r="D5552" t="str">
            <v>DD-J10B-86051-2</v>
          </cell>
          <cell r="E5552" t="str">
            <v>激励器转接件</v>
          </cell>
        </row>
        <row r="5553">
          <cell r="D5553" t="str">
            <v>DD-J10B-63001-651</v>
          </cell>
          <cell r="E5553" t="str">
            <v>法兰盘</v>
          </cell>
        </row>
        <row r="5554">
          <cell r="D5554" t="str">
            <v>DD-J10B-63001-651</v>
          </cell>
          <cell r="E5554" t="str">
            <v>法兰盘</v>
          </cell>
        </row>
        <row r="5555">
          <cell r="D5555" t="str">
            <v>DD-J10B-94061-401</v>
          </cell>
          <cell r="E5555" t="str">
            <v>支架</v>
          </cell>
        </row>
        <row r="5556">
          <cell r="D5556" t="str">
            <v>DD-J10B-94061-401</v>
          </cell>
          <cell r="E5556" t="str">
            <v>支架</v>
          </cell>
        </row>
        <row r="5557">
          <cell r="D5557" t="str">
            <v>DD-J10B-02181-6-Z</v>
          </cell>
          <cell r="E5557" t="str">
            <v>盒子</v>
          </cell>
        </row>
        <row r="5558">
          <cell r="D5558" t="str">
            <v>DD-J10B-02181-6-Y</v>
          </cell>
          <cell r="E5558" t="str">
            <v>盒子</v>
          </cell>
        </row>
        <row r="5559">
          <cell r="D5559" t="str">
            <v>DD-J10-06051-24</v>
          </cell>
          <cell r="E5559" t="str">
            <v>手柄</v>
          </cell>
        </row>
        <row r="5560">
          <cell r="D5560" t="str">
            <v>DD-J10-06051-24</v>
          </cell>
          <cell r="E5560" t="str">
            <v>手柄</v>
          </cell>
        </row>
        <row r="5561">
          <cell r="D5561" t="str">
            <v>DD-J10B-61001-8001</v>
          </cell>
          <cell r="E5561" t="str">
            <v>卡片</v>
          </cell>
        </row>
        <row r="5562">
          <cell r="D5562" t="str">
            <v>DD-J10B-67011-20010-2</v>
          </cell>
          <cell r="E5562" t="str">
            <v>弓形件</v>
          </cell>
        </row>
        <row r="5563">
          <cell r="D5563" t="str">
            <v>CB2295170-001-001</v>
          </cell>
          <cell r="E5563" t="str">
            <v>安装支座</v>
          </cell>
        </row>
        <row r="5564">
          <cell r="D5564" t="str">
            <v>CB229C440-002R001</v>
          </cell>
          <cell r="E5564" t="str">
            <v>支架</v>
          </cell>
        </row>
        <row r="5565">
          <cell r="D5565" t="str">
            <v>CB5315191-014L004</v>
          </cell>
          <cell r="E5565" t="str">
            <v>排气下侧壁</v>
          </cell>
        </row>
        <row r="5566">
          <cell r="D5566" t="str">
            <v>CB5315191-012L003</v>
          </cell>
          <cell r="E5566" t="str">
            <v>进气下侧壁</v>
          </cell>
        </row>
        <row r="5567">
          <cell r="D5567" t="str">
            <v>CB5324320-004R006</v>
          </cell>
          <cell r="E5567" t="str">
            <v>侧下支持件</v>
          </cell>
        </row>
        <row r="5568">
          <cell r="D5568" t="str">
            <v>CB5315191-014R004</v>
          </cell>
          <cell r="E5568" t="str">
            <v>排气下侧壁</v>
          </cell>
        </row>
        <row r="5569">
          <cell r="D5569" t="str">
            <v>CB5327120-002R033</v>
          </cell>
          <cell r="E5569" t="str">
            <v>8120侧隔框</v>
          </cell>
        </row>
        <row r="5570">
          <cell r="D5570" t="str">
            <v>CB2297120-005-002</v>
          </cell>
          <cell r="E5570" t="str">
            <v>支架</v>
          </cell>
        </row>
        <row r="5571">
          <cell r="D5571" t="str">
            <v>CB5327120-002L033</v>
          </cell>
          <cell r="E5571" t="str">
            <v>8120侧隔框</v>
          </cell>
        </row>
        <row r="5572">
          <cell r="D5572" t="str">
            <v>CB229C070-001R001</v>
          </cell>
          <cell r="E5572" t="str">
            <v>支架</v>
          </cell>
        </row>
        <row r="5573">
          <cell r="D5573" t="str">
            <v>CB5324320-004L006</v>
          </cell>
          <cell r="E5573" t="str">
            <v>侧下支持件</v>
          </cell>
        </row>
        <row r="5574">
          <cell r="D5574" t="str">
            <v>CB5315191-012R003</v>
          </cell>
          <cell r="E5574" t="str">
            <v>进气下侧壁</v>
          </cell>
        </row>
        <row r="5575">
          <cell r="D5575" t="str">
            <v>CB5315191-012R003</v>
          </cell>
          <cell r="E5575" t="str">
            <v>进气下侧壁</v>
          </cell>
        </row>
        <row r="5576">
          <cell r="D5576" t="str">
            <v>CB229C071-001L001</v>
          </cell>
          <cell r="E5576" t="str">
            <v>支架</v>
          </cell>
        </row>
        <row r="5577">
          <cell r="D5577" t="str">
            <v>CB2298612-001-001</v>
          </cell>
          <cell r="E5577" t="str">
            <v>支架</v>
          </cell>
        </row>
        <row r="5578">
          <cell r="D5578" t="str">
            <v>CB5323120-001L002</v>
          </cell>
          <cell r="E5578" t="str">
            <v>7820~8270侧上梁</v>
          </cell>
        </row>
        <row r="5579">
          <cell r="D5579" t="str">
            <v>CB5323120-001R005</v>
          </cell>
          <cell r="E5579" t="str">
            <v>7820~8270侧上梁</v>
          </cell>
        </row>
        <row r="5580">
          <cell r="D5580" t="str">
            <v>CB5324420-001R003</v>
          </cell>
          <cell r="E5580" t="str">
            <v>侧下梁</v>
          </cell>
        </row>
        <row r="5581">
          <cell r="D5581" t="str">
            <v>CB5324420-001L003</v>
          </cell>
          <cell r="E5581" t="str">
            <v>侧下梁</v>
          </cell>
        </row>
        <row r="5582">
          <cell r="D5582" t="str">
            <v>Y20-4761200088-001</v>
          </cell>
          <cell r="E5582" t="str">
            <v>支架悬挂横梁</v>
          </cell>
        </row>
        <row r="5583">
          <cell r="D5583" t="str">
            <v>Y20-4761200088-001</v>
          </cell>
          <cell r="E5583" t="str">
            <v>支架悬挂横梁</v>
          </cell>
        </row>
        <row r="5584">
          <cell r="D5584" t="str">
            <v>DD-J10B-04321-30-1-Z</v>
          </cell>
          <cell r="E5584" t="str">
            <v>侧下梁（左件）</v>
          </cell>
        </row>
        <row r="5585">
          <cell r="D5585" t="str">
            <v>DD-J10B-04321-30-1-Z</v>
          </cell>
          <cell r="E5585" t="str">
            <v>侧下梁（左件）</v>
          </cell>
        </row>
        <row r="5586">
          <cell r="D5586" t="str">
            <v>DD-J10B-04321-30-1-Z</v>
          </cell>
          <cell r="E5586" t="str">
            <v>侧下梁（左件）</v>
          </cell>
        </row>
        <row r="5587">
          <cell r="D5587" t="str">
            <v>DD-J10B-04321-30-1-Z</v>
          </cell>
          <cell r="E5587" t="str">
            <v>侧下梁（左件）</v>
          </cell>
        </row>
        <row r="5588">
          <cell r="D5588" t="str">
            <v>DD-J10B-04321-30-1-Z</v>
          </cell>
          <cell r="E5588" t="str">
            <v>侧下梁（左件）</v>
          </cell>
        </row>
        <row r="5589">
          <cell r="D5589" t="str">
            <v>DD-J10B-04321-30-1-Z</v>
          </cell>
          <cell r="E5589" t="str">
            <v>侧下梁（左件）</v>
          </cell>
        </row>
        <row r="5590">
          <cell r="D5590" t="str">
            <v>DD-J10B-04321-30-1-Z</v>
          </cell>
          <cell r="E5590" t="str">
            <v>侧下梁（左件）</v>
          </cell>
        </row>
        <row r="5591">
          <cell r="D5591" t="str">
            <v>DD-J10B-04321-30-1-Z</v>
          </cell>
          <cell r="E5591" t="str">
            <v>侧下梁（左件）</v>
          </cell>
        </row>
        <row r="5592">
          <cell r="D5592" t="str">
            <v>DD-J10B-04321-30-1-Y</v>
          </cell>
          <cell r="E5592" t="str">
            <v>侧下梁（右件）</v>
          </cell>
        </row>
        <row r="5593">
          <cell r="D5593" t="str">
            <v>DD-J10B-04321-30-1-Y</v>
          </cell>
          <cell r="E5593" t="str">
            <v>侧下梁（右件）</v>
          </cell>
        </row>
        <row r="5594">
          <cell r="D5594" t="str">
            <v>DD-J10B-04321-30-1-Y</v>
          </cell>
          <cell r="E5594" t="str">
            <v>侧下梁（右件）</v>
          </cell>
        </row>
        <row r="5595">
          <cell r="D5595" t="str">
            <v>DD-J10B-04321-30-1-Y</v>
          </cell>
          <cell r="E5595" t="str">
            <v>侧下梁（右件）</v>
          </cell>
        </row>
        <row r="5596">
          <cell r="D5596" t="str">
            <v>DD-J10B-04321-30-1-Y</v>
          </cell>
          <cell r="E5596" t="str">
            <v>侧下梁（右件）</v>
          </cell>
        </row>
        <row r="5597">
          <cell r="D5597" t="str">
            <v>DD-J10B-04321-30-1-Y</v>
          </cell>
          <cell r="E5597" t="str">
            <v>侧下梁（右件）</v>
          </cell>
        </row>
        <row r="5598">
          <cell r="D5598" t="str">
            <v>DD-J10B-04321-30-1-Y</v>
          </cell>
          <cell r="E5598" t="str">
            <v>侧下梁（右件）</v>
          </cell>
        </row>
        <row r="5599">
          <cell r="D5599" t="str">
            <v>DD-J10B-04321-30-1-Y</v>
          </cell>
          <cell r="E5599" t="str">
            <v>侧下梁（右件）</v>
          </cell>
        </row>
        <row r="5600">
          <cell r="D5600" t="str">
            <v>Y20-4212300016-001</v>
          </cell>
          <cell r="E5600" t="str">
            <v>支架</v>
          </cell>
        </row>
        <row r="5601">
          <cell r="D5601" t="str">
            <v>Y20-4212300016-002</v>
          </cell>
          <cell r="E5601" t="str">
            <v>支架</v>
          </cell>
        </row>
        <row r="5602">
          <cell r="D5602" t="str">
            <v>CB5327310-014L001</v>
          </cell>
          <cell r="E5602" t="str">
            <v>大舱门前缘冒型材</v>
          </cell>
        </row>
        <row r="5603">
          <cell r="D5603" t="str">
            <v>CB5327310-014L001</v>
          </cell>
          <cell r="E5603" t="str">
            <v>大舱门前缘冒型材</v>
          </cell>
        </row>
        <row r="5604">
          <cell r="D5604" t="str">
            <v>CB5327310-014R001</v>
          </cell>
          <cell r="E5604" t="str">
            <v>大舱门前缘冒型材</v>
          </cell>
        </row>
        <row r="5605">
          <cell r="D5605" t="str">
            <v>CB5327310-014R001</v>
          </cell>
          <cell r="E5605" t="str">
            <v>大舱门前缘冒型材</v>
          </cell>
        </row>
        <row r="5606">
          <cell r="D5606" t="str">
            <v>DD-J10-05346-1-Z</v>
          </cell>
          <cell r="E5606" t="str">
            <v>受剪接头</v>
          </cell>
        </row>
        <row r="5607">
          <cell r="D5607" t="str">
            <v>DD-J10-05346-1-Z</v>
          </cell>
          <cell r="E5607" t="str">
            <v>受剪接头</v>
          </cell>
        </row>
        <row r="5608">
          <cell r="D5608" t="str">
            <v>DD-J10-05346-1-Z</v>
          </cell>
          <cell r="E5608" t="str">
            <v>受剪接头</v>
          </cell>
        </row>
        <row r="5609">
          <cell r="D5609" t="str">
            <v>DD-J10-05346-1-Z</v>
          </cell>
          <cell r="E5609" t="str">
            <v>受剪接头</v>
          </cell>
        </row>
        <row r="5610">
          <cell r="D5610" t="str">
            <v>DD-J10-05346-1-Z</v>
          </cell>
          <cell r="E5610" t="str">
            <v>受剪接头</v>
          </cell>
        </row>
        <row r="5611">
          <cell r="D5611" t="str">
            <v>DD-J10-05346-1-Z</v>
          </cell>
          <cell r="E5611" t="str">
            <v>受剪接头</v>
          </cell>
        </row>
        <row r="5612">
          <cell r="D5612" t="str">
            <v>DD-J10-05346-1-Z</v>
          </cell>
          <cell r="E5612" t="str">
            <v>受剪接头</v>
          </cell>
        </row>
        <row r="5613">
          <cell r="D5613" t="str">
            <v>DD-J10-05346-1-Z</v>
          </cell>
          <cell r="E5613" t="str">
            <v>受剪接头</v>
          </cell>
        </row>
        <row r="5614">
          <cell r="D5614" t="str">
            <v>DD-J10-05346-1-Z</v>
          </cell>
          <cell r="E5614" t="str">
            <v>受剪接头</v>
          </cell>
        </row>
        <row r="5615">
          <cell r="D5615" t="str">
            <v>DD-J10-05346-1-Z</v>
          </cell>
          <cell r="E5615" t="str">
            <v>受剪接头</v>
          </cell>
        </row>
        <row r="5616">
          <cell r="D5616" t="str">
            <v>DD-J10-05346-1-Y</v>
          </cell>
          <cell r="E5616" t="str">
            <v>受剪接头</v>
          </cell>
        </row>
        <row r="5617">
          <cell r="D5617" t="str">
            <v>DD-J10-05346-1-Y</v>
          </cell>
          <cell r="E5617" t="str">
            <v>受剪接头</v>
          </cell>
        </row>
        <row r="5618">
          <cell r="D5618" t="str">
            <v>DD-J10-05346-1-Y</v>
          </cell>
          <cell r="E5618" t="str">
            <v>受剪接头</v>
          </cell>
        </row>
        <row r="5619">
          <cell r="D5619" t="str">
            <v>DD-J10-05346-1-Y</v>
          </cell>
          <cell r="E5619" t="str">
            <v>受剪接头</v>
          </cell>
        </row>
        <row r="5620">
          <cell r="D5620" t="str">
            <v>DD-J10-05346-1-Y</v>
          </cell>
          <cell r="E5620" t="str">
            <v>受剪接头</v>
          </cell>
        </row>
        <row r="5621">
          <cell r="D5621" t="str">
            <v>DD-J10-05346-1-Y</v>
          </cell>
          <cell r="E5621" t="str">
            <v>受剪接头</v>
          </cell>
        </row>
        <row r="5622">
          <cell r="D5622" t="str">
            <v>DD-J10-05346-1-Y</v>
          </cell>
          <cell r="E5622" t="str">
            <v>受剪接头</v>
          </cell>
        </row>
        <row r="5623">
          <cell r="D5623" t="str">
            <v>DD-J10-05346-1-Y</v>
          </cell>
          <cell r="E5623" t="str">
            <v>受剪接头</v>
          </cell>
        </row>
        <row r="5624">
          <cell r="D5624" t="str">
            <v>DD-J10-05346-1-Y</v>
          </cell>
          <cell r="E5624" t="str">
            <v>受剪接头</v>
          </cell>
        </row>
        <row r="5625">
          <cell r="D5625" t="str">
            <v>DD-J10-05346-1-Y</v>
          </cell>
          <cell r="E5625" t="str">
            <v>受剪接头</v>
          </cell>
        </row>
        <row r="5626">
          <cell r="D5626" t="str">
            <v>DD-J10B-02021-52/1-Y</v>
          </cell>
          <cell r="E5626" t="str">
            <v>锁芯</v>
          </cell>
        </row>
        <row r="5627">
          <cell r="D5627" t="str">
            <v>DD-J10B-02021-52/1-Y</v>
          </cell>
          <cell r="E5627" t="str">
            <v>锁芯</v>
          </cell>
        </row>
        <row r="5628">
          <cell r="D5628" t="str">
            <v>DD-J10B-02021-52/1-Z</v>
          </cell>
          <cell r="E5628" t="str">
            <v>锁芯</v>
          </cell>
        </row>
        <row r="5629">
          <cell r="D5629" t="str">
            <v>DD-J10B-02021-52/1-Z</v>
          </cell>
          <cell r="E5629" t="str">
            <v>锁芯</v>
          </cell>
        </row>
        <row r="5630">
          <cell r="D5630" t="str">
            <v>DD-J10B-02021-52/2-Y</v>
          </cell>
          <cell r="E5630" t="str">
            <v>锁芯</v>
          </cell>
        </row>
        <row r="5631">
          <cell r="D5631" t="str">
            <v>DD-J10B-02021-52/2-Y</v>
          </cell>
          <cell r="E5631" t="str">
            <v>锁芯</v>
          </cell>
        </row>
        <row r="5632">
          <cell r="D5632" t="str">
            <v>DD-J10B-02021-52/2-Y</v>
          </cell>
          <cell r="E5632" t="str">
            <v>锁芯</v>
          </cell>
        </row>
        <row r="5633">
          <cell r="D5633" t="str">
            <v>DD-J10B-02021-52/2-Z</v>
          </cell>
          <cell r="E5633" t="str">
            <v>锁芯</v>
          </cell>
        </row>
        <row r="5634">
          <cell r="D5634" t="str">
            <v>DD-J10B-02021-52/2-Z</v>
          </cell>
          <cell r="E5634" t="str">
            <v>锁芯</v>
          </cell>
        </row>
        <row r="5635">
          <cell r="D5635" t="str">
            <v>DD-J10-55196-311</v>
          </cell>
          <cell r="E5635" t="str">
            <v>螺栓</v>
          </cell>
        </row>
        <row r="5636">
          <cell r="D5636" t="str">
            <v>DD-J10-68095-1100-2</v>
          </cell>
          <cell r="E5636" t="str">
            <v>衬套</v>
          </cell>
        </row>
        <row r="5637">
          <cell r="D5637" t="str">
            <v>DD-J10-55181-2540-2</v>
          </cell>
          <cell r="E5637" t="str">
            <v>小轴</v>
          </cell>
        </row>
        <row r="5638">
          <cell r="D5638" t="str">
            <v>DD-J10-55165-1510-2</v>
          </cell>
          <cell r="E5638" t="str">
            <v>衬套</v>
          </cell>
        </row>
        <row r="5639">
          <cell r="D5639" t="str">
            <v>DD-J10-55181-420-1</v>
          </cell>
          <cell r="E5639" t="str">
            <v>衬套</v>
          </cell>
        </row>
        <row r="5640">
          <cell r="D5640" t="str">
            <v>DD-J10-41123-1101</v>
          </cell>
          <cell r="E5640" t="str">
            <v>壳体</v>
          </cell>
        </row>
        <row r="5641">
          <cell r="D5641" t="str">
            <v>DD-J10-41123-1101</v>
          </cell>
          <cell r="E5641" t="str">
            <v>壳体</v>
          </cell>
        </row>
        <row r="5642">
          <cell r="D5642" t="str">
            <v>DD-J10-55181-2810-4</v>
          </cell>
          <cell r="E5642" t="str">
            <v>管</v>
          </cell>
        </row>
        <row r="5643">
          <cell r="D5643" t="str">
            <v>DD-J10-55181-2810-4</v>
          </cell>
          <cell r="E5643" t="str">
            <v>管</v>
          </cell>
        </row>
        <row r="5644">
          <cell r="D5644" t="str">
            <v>DD-J10-86021-4010-1</v>
          </cell>
          <cell r="E5644" t="str">
            <v>套筒</v>
          </cell>
        </row>
        <row r="5645">
          <cell r="D5645" t="str">
            <v>DD-J10-86021-4010-1</v>
          </cell>
          <cell r="E5645" t="str">
            <v>套筒</v>
          </cell>
        </row>
        <row r="5646">
          <cell r="D5646" t="str">
            <v>DD-J10-55055-2620-3</v>
          </cell>
          <cell r="E5646" t="str">
            <v>衬套</v>
          </cell>
        </row>
        <row r="5647">
          <cell r="D5647" t="str">
            <v>DD-J10-68095-1300-3</v>
          </cell>
          <cell r="E5647" t="str">
            <v>衬套</v>
          </cell>
        </row>
        <row r="5648">
          <cell r="D5648" t="str">
            <v>DD-J10-68095-1300-3</v>
          </cell>
          <cell r="E5648" t="str">
            <v>衬套</v>
          </cell>
        </row>
        <row r="5649">
          <cell r="D5649" t="str">
            <v>DD-J10-55165-3110-1</v>
          </cell>
          <cell r="E5649" t="str">
            <v>衬套</v>
          </cell>
        </row>
        <row r="5650">
          <cell r="D5650" t="str">
            <v>DD-J10-55181-310-1</v>
          </cell>
          <cell r="E5650" t="str">
            <v>衬套</v>
          </cell>
        </row>
        <row r="5651">
          <cell r="D5651" t="str">
            <v>DD-J10-86031-220-2</v>
          </cell>
          <cell r="E5651" t="str">
            <v>套管</v>
          </cell>
        </row>
        <row r="5652">
          <cell r="D5652" t="str">
            <v>DD-J10-41035-122</v>
          </cell>
          <cell r="E5652" t="str">
            <v>底座</v>
          </cell>
        </row>
        <row r="5653">
          <cell r="D5653" t="str">
            <v>DD-J10-42074-160-1</v>
          </cell>
          <cell r="E5653" t="str">
            <v>拉杆</v>
          </cell>
        </row>
        <row r="5654">
          <cell r="D5654" t="str">
            <v>DD-J10B-86031-510-4</v>
          </cell>
          <cell r="E5654" t="str">
            <v>套管</v>
          </cell>
        </row>
        <row r="5655">
          <cell r="D5655" t="str">
            <v>DD-J10B-94076-220-2</v>
          </cell>
          <cell r="E5655" t="str">
            <v>衬套</v>
          </cell>
        </row>
        <row r="5656">
          <cell r="D5656" t="str">
            <v>DD-J10-54101-2821</v>
          </cell>
          <cell r="E5656" t="str">
            <v>插销</v>
          </cell>
        </row>
        <row r="5657">
          <cell r="D5657" t="str">
            <v>DD-J10-55165-710-3</v>
          </cell>
          <cell r="E5657" t="str">
            <v>衬套</v>
          </cell>
        </row>
        <row r="5658">
          <cell r="D5658" t="str">
            <v>DD-J10-55165-710-3</v>
          </cell>
          <cell r="E5658" t="str">
            <v>衬套</v>
          </cell>
        </row>
        <row r="5659">
          <cell r="D5659" t="str">
            <v>DD-J10-55051-1311</v>
          </cell>
          <cell r="E5659" t="str">
            <v>连接件</v>
          </cell>
        </row>
        <row r="5660">
          <cell r="D5660" t="str">
            <v>DD-J10-55155-710-3</v>
          </cell>
          <cell r="E5660" t="str">
            <v>衬套</v>
          </cell>
        </row>
        <row r="5661">
          <cell r="D5661" t="str">
            <v>DD-J10-55181-2710-4</v>
          </cell>
          <cell r="E5661" t="str">
            <v>管</v>
          </cell>
        </row>
        <row r="5662">
          <cell r="D5662" t="str">
            <v>DD-J10-55165-1440-3</v>
          </cell>
          <cell r="E5662" t="str">
            <v>衬套</v>
          </cell>
        </row>
        <row r="5663">
          <cell r="D5663" t="str">
            <v>DD-J10B-64016-700-1</v>
          </cell>
          <cell r="E5663" t="str">
            <v>短管</v>
          </cell>
        </row>
        <row r="5664">
          <cell r="D5664" t="str">
            <v>DD-J10-55181-710-1</v>
          </cell>
          <cell r="E5664" t="str">
            <v>衬套</v>
          </cell>
        </row>
        <row r="5665">
          <cell r="D5665" t="str">
            <v>DD-J10B-86031-510-3</v>
          </cell>
          <cell r="E5665" t="str">
            <v>套管</v>
          </cell>
        </row>
        <row r="5666">
          <cell r="D5666" t="str">
            <v>DD-J10B-94076-720-2</v>
          </cell>
          <cell r="E5666" t="str">
            <v>衬套</v>
          </cell>
        </row>
        <row r="5667">
          <cell r="D5667" t="str">
            <v>DD-J10-54101-2822</v>
          </cell>
          <cell r="E5667" t="str">
            <v>钢套</v>
          </cell>
        </row>
        <row r="5668">
          <cell r="D5668" t="str">
            <v>DD-J10-68095-1400-1</v>
          </cell>
          <cell r="E5668" t="str">
            <v>套筒</v>
          </cell>
        </row>
        <row r="5669">
          <cell r="D5669" t="str">
            <v>DD-J10-54101-2803</v>
          </cell>
          <cell r="E5669" t="str">
            <v>止动器</v>
          </cell>
        </row>
        <row r="5670">
          <cell r="D5670" t="str">
            <v>DD-J10-41045-130-1-Z</v>
          </cell>
          <cell r="E5670" t="str">
            <v>套筒</v>
          </cell>
        </row>
        <row r="5671">
          <cell r="D5671" t="str">
            <v>DD-J10-41045-130-1-Y</v>
          </cell>
          <cell r="E5671" t="str">
            <v>套筒</v>
          </cell>
        </row>
        <row r="5672">
          <cell r="D5672" t="str">
            <v>DD-J10-41045-110-1-Z</v>
          </cell>
          <cell r="E5672" t="str">
            <v>套筒</v>
          </cell>
        </row>
        <row r="5673">
          <cell r="D5673" t="str">
            <v>DD-J10-41045-110-1-Y</v>
          </cell>
          <cell r="E5673" t="str">
            <v>套筒</v>
          </cell>
        </row>
        <row r="5674">
          <cell r="D5674" t="str">
            <v>DD-J10-86021-4020-1</v>
          </cell>
          <cell r="E5674" t="str">
            <v>套筒</v>
          </cell>
        </row>
        <row r="5675">
          <cell r="D5675" t="str">
            <v>DD-J10-86011-3210-1</v>
          </cell>
          <cell r="E5675" t="str">
            <v>左转接管</v>
          </cell>
        </row>
        <row r="5676">
          <cell r="D5676" t="str">
            <v>DD-J10-41153-130-2</v>
          </cell>
          <cell r="E5676" t="str">
            <v>管子</v>
          </cell>
        </row>
        <row r="5677">
          <cell r="D5677" t="str">
            <v>DD-J10B-55165-1480-1</v>
          </cell>
          <cell r="E5677" t="str">
            <v>螺栓</v>
          </cell>
        </row>
        <row r="5678">
          <cell r="D5678" t="str">
            <v>DD-J10B-55165-1480-1</v>
          </cell>
          <cell r="E5678" t="str">
            <v>螺栓</v>
          </cell>
        </row>
        <row r="5679">
          <cell r="D5679" t="str">
            <v>DD-J10-41035-120-1</v>
          </cell>
          <cell r="E5679" t="str">
            <v>管子</v>
          </cell>
        </row>
        <row r="5680">
          <cell r="D5680" t="str">
            <v>DD-J10-55181-2540-1</v>
          </cell>
          <cell r="E5680" t="str">
            <v>螺栓</v>
          </cell>
        </row>
        <row r="5681">
          <cell r="D5681" t="str">
            <v>DD-J10-41123-1112</v>
          </cell>
          <cell r="E5681" t="str">
            <v>拨棍</v>
          </cell>
        </row>
        <row r="5682">
          <cell r="D5682" t="str">
            <v>DD-J10-41123-1112</v>
          </cell>
          <cell r="E5682" t="str">
            <v>拨棍</v>
          </cell>
        </row>
        <row r="5683">
          <cell r="D5683" t="str">
            <v>DD-J10-41153-140-2</v>
          </cell>
          <cell r="E5683" t="str">
            <v>指针</v>
          </cell>
        </row>
        <row r="5684">
          <cell r="D5684" t="str">
            <v>DD-J10-41153-140-2</v>
          </cell>
          <cell r="E5684" t="str">
            <v>指针</v>
          </cell>
        </row>
        <row r="5685">
          <cell r="D5685" t="str">
            <v>DD-J10B-64016-700-1</v>
          </cell>
          <cell r="E5685" t="str">
            <v>短管</v>
          </cell>
        </row>
        <row r="5686">
          <cell r="D5686" t="str">
            <v>DD-J10B-64016-700-1</v>
          </cell>
          <cell r="E5686" t="str">
            <v>短管</v>
          </cell>
        </row>
        <row r="5687">
          <cell r="D5687" t="str">
            <v>DD-J10-41143-110-2</v>
          </cell>
          <cell r="E5687" t="str">
            <v>螺帽</v>
          </cell>
        </row>
        <row r="5688">
          <cell r="D5688" t="str">
            <v>DD-J10-55051-1220-3</v>
          </cell>
          <cell r="E5688" t="str">
            <v>支座管</v>
          </cell>
        </row>
        <row r="5689">
          <cell r="D5689" t="str">
            <v>DD-J10-55051-1220-3</v>
          </cell>
          <cell r="E5689" t="str">
            <v>支座管</v>
          </cell>
        </row>
        <row r="5690">
          <cell r="D5690" t="str">
            <v>DD-J10-41123-1102</v>
          </cell>
          <cell r="E5690" t="str">
            <v>塞子</v>
          </cell>
        </row>
        <row r="5691">
          <cell r="D5691" t="str">
            <v>DD-J10-41123-1102</v>
          </cell>
          <cell r="E5691" t="str">
            <v>塞子</v>
          </cell>
        </row>
        <row r="5692">
          <cell r="D5692" t="str">
            <v>DD-J10-55014-1400-2</v>
          </cell>
          <cell r="E5692" t="str">
            <v>堵片</v>
          </cell>
        </row>
        <row r="5693">
          <cell r="D5693" t="str">
            <v>DD-J10-55014-1400-2</v>
          </cell>
          <cell r="E5693" t="str">
            <v>堵片</v>
          </cell>
        </row>
        <row r="5694">
          <cell r="D5694" t="str">
            <v>DD-J10-55051-6110-3</v>
          </cell>
          <cell r="E5694" t="str">
            <v>衬套</v>
          </cell>
        </row>
        <row r="5695">
          <cell r="D5695" t="str">
            <v>DD-J10-55181-1110-1</v>
          </cell>
          <cell r="E5695" t="str">
            <v>支撑套</v>
          </cell>
        </row>
        <row r="5696">
          <cell r="D5696" t="str">
            <v>DD-J10-41035-124</v>
          </cell>
          <cell r="E5696" t="str">
            <v>垫圈</v>
          </cell>
        </row>
        <row r="5697">
          <cell r="D5697" t="str">
            <v>DD-J10-41153-210-1</v>
          </cell>
          <cell r="E5697" t="str">
            <v>管子</v>
          </cell>
        </row>
        <row r="5698">
          <cell r="D5698" t="str">
            <v>DD-J10B-94061-1061/1</v>
          </cell>
          <cell r="E5698" t="str">
            <v>法兰盘</v>
          </cell>
        </row>
        <row r="5699">
          <cell r="D5699" t="str">
            <v>DD-J10B-94061-1061/2</v>
          </cell>
          <cell r="E5699" t="str">
            <v>法兰盘</v>
          </cell>
        </row>
        <row r="5700">
          <cell r="D5700" t="str">
            <v>DD-J10-55023-632</v>
          </cell>
          <cell r="E5700" t="str">
            <v>小衬套</v>
          </cell>
        </row>
        <row r="5701">
          <cell r="D5701" t="str">
            <v>DD-J10-55023-632</v>
          </cell>
          <cell r="E5701" t="str">
            <v>小衬套</v>
          </cell>
        </row>
        <row r="5702">
          <cell r="D5702" t="str">
            <v>DD-J10-55023-631</v>
          </cell>
          <cell r="E5702" t="str">
            <v>衬套</v>
          </cell>
        </row>
        <row r="5703">
          <cell r="D5703" t="str">
            <v>DD-J10-55023-631</v>
          </cell>
          <cell r="E5703" t="str">
            <v>衬套</v>
          </cell>
        </row>
        <row r="5704">
          <cell r="D5704" t="str">
            <v>DD-J10-55165-1460-3</v>
          </cell>
          <cell r="E5704" t="str">
            <v>衬套</v>
          </cell>
        </row>
        <row r="5705">
          <cell r="D5705" t="str">
            <v>DD-J10B-55141-2010-3</v>
          </cell>
          <cell r="E5705" t="str">
            <v>衬套</v>
          </cell>
        </row>
        <row r="5706">
          <cell r="D5706" t="str">
            <v>DD-J10B-55111-210-2</v>
          </cell>
          <cell r="E5706" t="str">
            <v>套管</v>
          </cell>
        </row>
        <row r="5707">
          <cell r="D5707" t="str">
            <v>DD-J10B-55111-210-2</v>
          </cell>
          <cell r="E5707" t="str">
            <v>套管</v>
          </cell>
        </row>
        <row r="5708">
          <cell r="D5708" t="str">
            <v>DD-J10-55051-1211</v>
          </cell>
          <cell r="E5708" t="str">
            <v>连接件</v>
          </cell>
        </row>
        <row r="5709">
          <cell r="D5709" t="str">
            <v>DD-J10-41123-1111</v>
          </cell>
          <cell r="E5709" t="str">
            <v>销子</v>
          </cell>
        </row>
        <row r="5710">
          <cell r="D5710" t="str">
            <v>DD-J10-41123-1111</v>
          </cell>
          <cell r="E5710" t="str">
            <v>销子</v>
          </cell>
        </row>
        <row r="5711">
          <cell r="D5711" t="str">
            <v>DD-J10-41035-123</v>
          </cell>
          <cell r="E5711" t="str">
            <v>垫圈</v>
          </cell>
        </row>
        <row r="5712">
          <cell r="D5712" t="str">
            <v>DD-J10-55165-1460-3</v>
          </cell>
          <cell r="E5712" t="str">
            <v>衬套</v>
          </cell>
        </row>
        <row r="5713">
          <cell r="D5713" t="str">
            <v>DD-J10B-94061-1021</v>
          </cell>
          <cell r="E5713" t="str">
            <v>导管接头</v>
          </cell>
        </row>
        <row r="5714">
          <cell r="D5714" t="str">
            <v>DD-J10-41173-141</v>
          </cell>
          <cell r="E5714" t="str">
            <v>拨叉</v>
          </cell>
        </row>
        <row r="5715">
          <cell r="D5715" t="str">
            <v>DD-J10-41173-147</v>
          </cell>
          <cell r="E5715" t="str">
            <v>拨叉</v>
          </cell>
        </row>
        <row r="5716">
          <cell r="D5716" t="str">
            <v>DD-J10-41173-147</v>
          </cell>
          <cell r="E5716" t="str">
            <v>拨叉</v>
          </cell>
        </row>
        <row r="5717">
          <cell r="D5717" t="str">
            <v>BC3012110-005-001</v>
          </cell>
          <cell r="E5717" t="str">
            <v>电子飞行指示器托板</v>
          </cell>
        </row>
        <row r="5718">
          <cell r="D5718" t="str">
            <v>DD-J10-21102-120-1-Y</v>
          </cell>
          <cell r="E5718" t="str">
            <v>9480梁（右件）</v>
          </cell>
        </row>
        <row r="5719">
          <cell r="D5719" t="str">
            <v>GU5322110-003R001</v>
          </cell>
          <cell r="E5719" t="str">
            <v>3750-4575右侧上梁</v>
          </cell>
        </row>
        <row r="5720">
          <cell r="D5720" t="str">
            <v>GU5322110-003R001</v>
          </cell>
          <cell r="E5720" t="str">
            <v>3750-4575右侧上梁</v>
          </cell>
        </row>
        <row r="5721">
          <cell r="D5721" t="str">
            <v>GU5716000-012L001</v>
          </cell>
          <cell r="E5721" t="str">
            <v>副翼2号挂点接头</v>
          </cell>
        </row>
        <row r="5722">
          <cell r="D5722" t="str">
            <v>GU5716000-012R001</v>
          </cell>
          <cell r="E5722" t="str">
            <v>副翼2号挂点接头</v>
          </cell>
        </row>
        <row r="5723">
          <cell r="D5723" t="str">
            <v>GU5715030-003L001</v>
          </cell>
          <cell r="E5723" t="str">
            <v>前缘20号肋</v>
          </cell>
        </row>
        <row r="5724">
          <cell r="D5724" t="str">
            <v>GU5715030-003L001</v>
          </cell>
          <cell r="E5724" t="str">
            <v>前缘20号肋</v>
          </cell>
        </row>
        <row r="5725">
          <cell r="D5725" t="str">
            <v>GU5715030-003R001</v>
          </cell>
          <cell r="E5725" t="str">
            <v>前缘20号肋</v>
          </cell>
        </row>
        <row r="5726">
          <cell r="D5726" t="str">
            <v>GU5715030-003R001</v>
          </cell>
          <cell r="E5726" t="str">
            <v>前缘20号肋</v>
          </cell>
        </row>
        <row r="5727">
          <cell r="D5727" t="str">
            <v>GU5714000-009L001</v>
          </cell>
          <cell r="E5727" t="str">
            <v>端肋</v>
          </cell>
        </row>
        <row r="5728">
          <cell r="D5728" t="str">
            <v>GU5714000-009L001</v>
          </cell>
          <cell r="E5728" t="str">
            <v>端肋</v>
          </cell>
        </row>
        <row r="5729">
          <cell r="D5729" t="str">
            <v>GU5714000-009R001</v>
          </cell>
          <cell r="E5729" t="str">
            <v>端肋</v>
          </cell>
        </row>
        <row r="5730">
          <cell r="D5730" t="str">
            <v>GU5714000-009R001</v>
          </cell>
          <cell r="E5730" t="str">
            <v>端肋</v>
          </cell>
        </row>
        <row r="5731">
          <cell r="D5731" t="str">
            <v>GU5322110-003L001</v>
          </cell>
          <cell r="E5731" t="str">
            <v>3750-4575左侧上梁</v>
          </cell>
        </row>
        <row r="5732">
          <cell r="D5732" t="str">
            <v>GU5322110-003L001</v>
          </cell>
          <cell r="E5732" t="str">
            <v>3750-4575左侧上梁</v>
          </cell>
        </row>
        <row r="5733">
          <cell r="D5733" t="str">
            <v>GU5322110-003L001</v>
          </cell>
          <cell r="E5733" t="str">
            <v>3750-4575左侧上梁</v>
          </cell>
        </row>
        <row r="5734">
          <cell r="D5734" t="str">
            <v>GU5322110-003L001</v>
          </cell>
          <cell r="E5734" t="str">
            <v>3750-4575左侧上梁</v>
          </cell>
        </row>
        <row r="5735">
          <cell r="D5735" t="str">
            <v>GU5322110-003R001</v>
          </cell>
          <cell r="E5735" t="str">
            <v>3750-4575左侧上梁</v>
          </cell>
        </row>
        <row r="5736">
          <cell r="D5736" t="str">
            <v>GU5322110-003R001</v>
          </cell>
          <cell r="E5736" t="str">
            <v>3750-4575左侧上梁</v>
          </cell>
        </row>
        <row r="5737">
          <cell r="D5737" t="str">
            <v>GU5322300-010L001</v>
          </cell>
          <cell r="E5737" t="str">
            <v>6380-7250左侧上梁</v>
          </cell>
        </row>
        <row r="5738">
          <cell r="D5738" t="str">
            <v>GU5322300-010L001</v>
          </cell>
          <cell r="E5738" t="str">
            <v>6380-7250左侧上梁</v>
          </cell>
        </row>
        <row r="5739">
          <cell r="D5739" t="str">
            <v>GU5322300-010L001</v>
          </cell>
          <cell r="E5739" t="str">
            <v>6380-7250左侧上梁</v>
          </cell>
        </row>
        <row r="5740">
          <cell r="D5740" t="str">
            <v>GU5322300-010L001</v>
          </cell>
          <cell r="E5740" t="str">
            <v>6380-7250左侧上梁</v>
          </cell>
        </row>
        <row r="5741">
          <cell r="D5741" t="str">
            <v>GU5322300-010R001</v>
          </cell>
          <cell r="E5741" t="str">
            <v>6380-7250右侧上梁</v>
          </cell>
        </row>
        <row r="5742">
          <cell r="D5742" t="str">
            <v>GU5322300-010R001</v>
          </cell>
          <cell r="E5742" t="str">
            <v>6380-7250右侧上梁</v>
          </cell>
        </row>
        <row r="5743">
          <cell r="D5743" t="str">
            <v>GU5322300-010R001</v>
          </cell>
          <cell r="E5743" t="str">
            <v>6380-7250右侧上梁</v>
          </cell>
        </row>
        <row r="5744">
          <cell r="D5744" t="str">
            <v>GU5322300-010R001</v>
          </cell>
          <cell r="E5744" t="str">
            <v>6380-7250右侧上梁</v>
          </cell>
        </row>
        <row r="5745">
          <cell r="D5745" t="str">
            <v>CB5822016-032L001</v>
          </cell>
          <cell r="E5745" t="str">
            <v>角片</v>
          </cell>
        </row>
        <row r="5746">
          <cell r="D5746" t="str">
            <v>CB5822016-032R001</v>
          </cell>
          <cell r="E5746" t="str">
            <v>角片</v>
          </cell>
        </row>
        <row r="5747">
          <cell r="D5747" t="str">
            <v>CB5324500-003L002</v>
          </cell>
          <cell r="E5747" t="str">
            <v>前端框</v>
          </cell>
        </row>
        <row r="5748">
          <cell r="D5748" t="str">
            <v>CB229C071-001L001</v>
          </cell>
          <cell r="E5748" t="str">
            <v>支架</v>
          </cell>
        </row>
        <row r="5749">
          <cell r="D5749" t="str">
            <v>CB2298611-001-001</v>
          </cell>
          <cell r="E5749" t="str">
            <v>支架</v>
          </cell>
        </row>
        <row r="5750">
          <cell r="D5750" t="str">
            <v>CB2295170-001-001</v>
          </cell>
          <cell r="E5750" t="str">
            <v>安装支座</v>
          </cell>
        </row>
        <row r="5751">
          <cell r="D5751" t="str">
            <v>CB22956R1-001R001</v>
          </cell>
          <cell r="E5751" t="str">
            <v>座子</v>
          </cell>
        </row>
        <row r="5752">
          <cell r="D5752" t="str">
            <v>CB22956R1-001L001</v>
          </cell>
          <cell r="E5752" t="str">
            <v>座子</v>
          </cell>
        </row>
        <row r="5753">
          <cell r="D5753" t="str">
            <v>DD-J10B-55141-111</v>
          </cell>
          <cell r="E5753" t="str">
            <v>90°弯管接头</v>
          </cell>
        </row>
        <row r="5754">
          <cell r="D5754" t="str">
            <v>DD-J10B-55141-111</v>
          </cell>
          <cell r="E5754" t="str">
            <v>90°弯管接头</v>
          </cell>
        </row>
        <row r="5755">
          <cell r="D5755" t="str">
            <v>DD-J10B-02081-404</v>
          </cell>
          <cell r="E5755" t="str">
            <v>支座</v>
          </cell>
        </row>
        <row r="5756">
          <cell r="D5756" t="str">
            <v>DD-J10B-02081-404</v>
          </cell>
          <cell r="E5756" t="str">
            <v>支座</v>
          </cell>
        </row>
        <row r="5757">
          <cell r="D5757" t="str">
            <v>DD-J10B-65000-1810G2-1</v>
          </cell>
          <cell r="E5757" t="str">
            <v>支座</v>
          </cell>
        </row>
        <row r="5758">
          <cell r="D5758" t="str">
            <v>DD-J10B-54601-10-1</v>
          </cell>
          <cell r="E5758" t="str">
            <v>过渡板</v>
          </cell>
        </row>
        <row r="5759">
          <cell r="D5759" t="str">
            <v>DD-J10B-65000-1820G2-1</v>
          </cell>
          <cell r="E5759" t="str">
            <v>摇臂</v>
          </cell>
        </row>
        <row r="5760">
          <cell r="D5760" t="str">
            <v>DD-J10B-02111-2-Z</v>
          </cell>
          <cell r="E5760" t="str">
            <v>角盒</v>
          </cell>
        </row>
        <row r="5761">
          <cell r="D5761" t="str">
            <v>DD-J10B-21302-40G2-1-Y</v>
          </cell>
          <cell r="E5761" t="str">
            <v>后梁四段</v>
          </cell>
        </row>
        <row r="5762">
          <cell r="D5762" t="str">
            <v>CB5512300-015R001</v>
          </cell>
          <cell r="E5762" t="str">
            <v>角盒</v>
          </cell>
        </row>
        <row r="5763">
          <cell r="D5763" t="str">
            <v>CB5512300-015R001</v>
          </cell>
          <cell r="E5763" t="str">
            <v>角盒</v>
          </cell>
        </row>
        <row r="5764">
          <cell r="D5764" t="str">
            <v>CB5512300-015L001</v>
          </cell>
          <cell r="E5764" t="str">
            <v>角盒</v>
          </cell>
        </row>
        <row r="5765">
          <cell r="D5765" t="str">
            <v>CB5522200-020R001</v>
          </cell>
          <cell r="E5765" t="str">
            <v>实心块</v>
          </cell>
        </row>
        <row r="5766">
          <cell r="D5766" t="str">
            <v>CB5522200-020L001</v>
          </cell>
          <cell r="E5766" t="str">
            <v>实心块</v>
          </cell>
        </row>
        <row r="5767">
          <cell r="D5767" t="str">
            <v>CB5713600-001R004</v>
          </cell>
          <cell r="E5767" t="str">
            <v>前梁一段</v>
          </cell>
        </row>
        <row r="5768">
          <cell r="D5768" t="str">
            <v>CB5713600-001R004</v>
          </cell>
          <cell r="E5768" t="str">
            <v>前梁一段</v>
          </cell>
        </row>
        <row r="5769">
          <cell r="D5769" t="str">
            <v>DD-J10B-02121-1AG2-Y</v>
          </cell>
          <cell r="E5769" t="str">
            <v>BL280侧壁（右件）</v>
          </cell>
        </row>
        <row r="5770">
          <cell r="D5770" t="str">
            <v>DD-J10B-02121-1AG2-Y</v>
          </cell>
          <cell r="E5770" t="str">
            <v>BL280侧壁（右件）</v>
          </cell>
        </row>
        <row r="5771">
          <cell r="D5771" t="str">
            <v>Y20-5312225025-001</v>
          </cell>
          <cell r="E5771" t="str">
            <v>纵向加强件</v>
          </cell>
        </row>
        <row r="5772">
          <cell r="D5772" t="str">
            <v>Y20-5312225025-002</v>
          </cell>
          <cell r="E5772" t="str">
            <v>纵向加强件</v>
          </cell>
        </row>
        <row r="5773">
          <cell r="D5773" t="str">
            <v>Y20-5312100023-001</v>
          </cell>
          <cell r="E5773" t="str">
            <v>边梁</v>
          </cell>
        </row>
        <row r="5774">
          <cell r="D5774" t="str">
            <v>Y20-5312100023-002</v>
          </cell>
          <cell r="E5774" t="str">
            <v>边梁</v>
          </cell>
        </row>
        <row r="5775">
          <cell r="D5775" t="str">
            <v>Y20-5312225027-001</v>
          </cell>
          <cell r="E5775" t="str">
            <v>纵向加强件</v>
          </cell>
        </row>
        <row r="5776">
          <cell r="D5776" t="str">
            <v>Y20-5312225027-002</v>
          </cell>
          <cell r="E5776" t="str">
            <v>纵向加强件</v>
          </cell>
        </row>
        <row r="5777">
          <cell r="D5777" t="str">
            <v>DD-J10-05156-2-Y</v>
          </cell>
          <cell r="E5777" t="str">
            <v>前接头上件（右件）</v>
          </cell>
        </row>
        <row r="5778">
          <cell r="D5778" t="str">
            <v>XXXT-000-00</v>
          </cell>
          <cell r="E5778" t="str">
            <v>XXX振动夹具组合件</v>
          </cell>
        </row>
        <row r="5779">
          <cell r="D5779" t="str">
            <v>XXXT-000-01</v>
          </cell>
          <cell r="E5779" t="str">
            <v>XXX振动夹具</v>
          </cell>
        </row>
        <row r="5780">
          <cell r="D5780" t="str">
            <v>XXXT-000-00</v>
          </cell>
          <cell r="E5780" t="str">
            <v>XXX环离心夹具组合件</v>
          </cell>
        </row>
        <row r="5781">
          <cell r="D5781" t="str">
            <v>XXXT-000-01</v>
          </cell>
          <cell r="E5781" t="str">
            <v>XXX环离心夹具</v>
          </cell>
        </row>
        <row r="5782">
          <cell r="D5782" t="str">
            <v>XXXT-000-00</v>
          </cell>
          <cell r="E5782" t="str">
            <v>XXX向离心夹具组合件</v>
          </cell>
        </row>
        <row r="5783">
          <cell r="D5783" t="str">
            <v>XXXT-000-01</v>
          </cell>
          <cell r="E5783" t="str">
            <v>XXX向离心夹具</v>
          </cell>
        </row>
        <row r="5784">
          <cell r="D5784" t="str">
            <v>XXX-01</v>
          </cell>
          <cell r="E5784" t="str">
            <v>磁铁固定板</v>
          </cell>
        </row>
        <row r="5785">
          <cell r="D5785" t="str">
            <v>2501-1</v>
          </cell>
          <cell r="E5785" t="str">
            <v>XXX固定板</v>
          </cell>
        </row>
        <row r="5786">
          <cell r="D5786" t="str">
            <v>XXX-000-00</v>
          </cell>
          <cell r="E5786" t="str">
            <v>XXX电池振动夹具组合件</v>
          </cell>
        </row>
        <row r="5787">
          <cell r="D5787" t="str">
            <v>XXX-000-01</v>
          </cell>
          <cell r="E5787" t="str">
            <v>XXX电池振动夹具</v>
          </cell>
        </row>
        <row r="5788">
          <cell r="D5788" t="str">
            <v>XXX-000-00</v>
          </cell>
          <cell r="E5788" t="str">
            <v>XXX电池振动夹具组合件</v>
          </cell>
        </row>
        <row r="5789">
          <cell r="D5789" t="str">
            <v>XXX-000-01</v>
          </cell>
          <cell r="E5789" t="str">
            <v>XXX电池振动夹具</v>
          </cell>
        </row>
        <row r="5790">
          <cell r="D5790" t="str">
            <v>XXX-000-00</v>
          </cell>
          <cell r="E5790" t="str">
            <v>XXX电池离心夹具组合件</v>
          </cell>
        </row>
        <row r="5791">
          <cell r="D5791" t="str">
            <v>XXX-000-01</v>
          </cell>
          <cell r="E5791" t="str">
            <v>XXX电池离心夹具</v>
          </cell>
        </row>
        <row r="5792">
          <cell r="D5792" t="str">
            <v>XXX-000-01</v>
          </cell>
          <cell r="E5792" t="str">
            <v>接口与授权装置-TR组件-引信与控制装置钢套</v>
          </cell>
        </row>
        <row r="5793">
          <cell r="D5793" t="str">
            <v>XXX-000-02</v>
          </cell>
          <cell r="E5793" t="str">
            <v>引信与突防装置钢套</v>
          </cell>
        </row>
        <row r="5794">
          <cell r="D5794" t="str">
            <v>XXX-000-03</v>
          </cell>
          <cell r="E5794" t="str">
            <v>加速度表-正负过载开关钢套</v>
          </cell>
        </row>
        <row r="5795">
          <cell r="D5795" t="str">
            <v>CB5822016-024L001</v>
          </cell>
          <cell r="E5795" t="str">
            <v>角片</v>
          </cell>
        </row>
        <row r="5796">
          <cell r="D5796" t="str">
            <v>CB5822016-024L001</v>
          </cell>
          <cell r="E5796" t="str">
            <v>角片</v>
          </cell>
        </row>
        <row r="5797">
          <cell r="D5797" t="str">
            <v>CB5822016-024R001</v>
          </cell>
          <cell r="E5797" t="str">
            <v>角片</v>
          </cell>
        </row>
        <row r="5798">
          <cell r="D5798" t="str">
            <v>CB5822016-024R001</v>
          </cell>
          <cell r="E5798" t="str">
            <v>角片</v>
          </cell>
        </row>
        <row r="5799">
          <cell r="D5799" t="str">
            <v>GU5714000-011L001</v>
          </cell>
          <cell r="E5799" t="str">
            <v>8800肋角片</v>
          </cell>
        </row>
        <row r="5800">
          <cell r="D5800" t="str">
            <v>GU5714000-011L001</v>
          </cell>
          <cell r="E5800" t="str">
            <v>8800肋角片</v>
          </cell>
        </row>
        <row r="5801">
          <cell r="D5801" t="str">
            <v>GU5714000-011R001</v>
          </cell>
          <cell r="E5801" t="str">
            <v>8800肋角片</v>
          </cell>
        </row>
        <row r="5802">
          <cell r="D5802" t="str">
            <v>GU5714000-011R001</v>
          </cell>
          <cell r="E5802" t="str">
            <v>8800肋角片</v>
          </cell>
        </row>
        <row r="5803">
          <cell r="D5803" t="str">
            <v>GU5714000-008L001</v>
          </cell>
          <cell r="E5803" t="str">
            <v>8800肋</v>
          </cell>
        </row>
        <row r="5804">
          <cell r="D5804" t="str">
            <v>GU5714000-008L001</v>
          </cell>
          <cell r="E5804" t="str">
            <v>8800肋</v>
          </cell>
        </row>
        <row r="5805">
          <cell r="D5805" t="str">
            <v>GU5714000-008R001</v>
          </cell>
          <cell r="E5805" t="str">
            <v>8800肋</v>
          </cell>
        </row>
        <row r="5806">
          <cell r="D5806" t="str">
            <v>GU5714000-008R001</v>
          </cell>
          <cell r="E5806" t="str">
            <v>8800肋</v>
          </cell>
        </row>
        <row r="5807">
          <cell r="D5807" t="str">
            <v>GU5714000-012L001</v>
          </cell>
          <cell r="E5807" t="str">
            <v>7600肋角片</v>
          </cell>
        </row>
        <row r="5808">
          <cell r="D5808" t="str">
            <v>GU5714000-012L001</v>
          </cell>
          <cell r="E5808" t="str">
            <v>7600肋角片</v>
          </cell>
        </row>
        <row r="5809">
          <cell r="D5809" t="str">
            <v>GU5714000-012R001</v>
          </cell>
          <cell r="E5809" t="str">
            <v>7600肋角片</v>
          </cell>
        </row>
        <row r="5810">
          <cell r="D5810" t="str">
            <v>GU5714000-012R001</v>
          </cell>
          <cell r="E5810" t="str">
            <v>7600肋角片</v>
          </cell>
        </row>
        <row r="5811">
          <cell r="D5811" t="str">
            <v>CB5324500-003R002</v>
          </cell>
          <cell r="E5811" t="str">
            <v>前端框</v>
          </cell>
        </row>
        <row r="5812">
          <cell r="D5812" t="str">
            <v>CB5314300-025-003</v>
          </cell>
          <cell r="E5812" t="str">
            <v>蒙皮加强件</v>
          </cell>
        </row>
        <row r="5813">
          <cell r="D5813" t="str">
            <v>CB5314300-025-003</v>
          </cell>
          <cell r="E5813" t="str">
            <v>蒙皮加强件</v>
          </cell>
        </row>
        <row r="5814">
          <cell r="D5814" t="str">
            <v>CB5714100-004L002</v>
          </cell>
          <cell r="E5814" t="str">
            <v>根肋四段</v>
          </cell>
        </row>
        <row r="5815">
          <cell r="D5815" t="str">
            <v>CB5714100-004R002</v>
          </cell>
          <cell r="E5815" t="str">
            <v>根肋四段</v>
          </cell>
        </row>
        <row r="5816">
          <cell r="D5816" t="str">
            <v>CB22956R1-001L001</v>
          </cell>
          <cell r="E5816" t="str">
            <v>座子</v>
          </cell>
        </row>
        <row r="5817">
          <cell r="D5817" t="str">
            <v>DD-J10-91001-1</v>
          </cell>
          <cell r="E5817" t="str">
            <v>支座</v>
          </cell>
        </row>
        <row r="5818">
          <cell r="D5818" t="str">
            <v>DD-J10-91001-1</v>
          </cell>
          <cell r="E5818" t="str">
            <v>支座</v>
          </cell>
        </row>
        <row r="5819">
          <cell r="D5819" t="str">
            <v>DD-J10B-73010-310G2-1</v>
          </cell>
          <cell r="E5819" t="str">
            <v>过渡板</v>
          </cell>
        </row>
        <row r="5820">
          <cell r="D5820" t="str">
            <v>DD-J10B-65000-1810G2-1</v>
          </cell>
          <cell r="E5820" t="str">
            <v>支座</v>
          </cell>
        </row>
        <row r="5821">
          <cell r="D5821" t="str">
            <v>DD-J10-55165-331</v>
          </cell>
          <cell r="E5821" t="str">
            <v>三通管接头</v>
          </cell>
        </row>
        <row r="5822">
          <cell r="D5822" t="str">
            <v>DD-J10-55165-331</v>
          </cell>
          <cell r="E5822" t="str">
            <v>三通管接头</v>
          </cell>
        </row>
        <row r="5823">
          <cell r="D5823" t="str">
            <v>DD-J10-55051-6110-1</v>
          </cell>
          <cell r="E5823" t="str">
            <v>三通接头</v>
          </cell>
        </row>
        <row r="5824">
          <cell r="D5824" t="str">
            <v>DD-J10-55051-6110-1</v>
          </cell>
          <cell r="E5824" t="str">
            <v>三通接头</v>
          </cell>
        </row>
        <row r="5825">
          <cell r="D5825" t="str">
            <v>DD-J10B-02111-2-Y</v>
          </cell>
          <cell r="E5825" t="str">
            <v>角盒</v>
          </cell>
        </row>
        <row r="5826">
          <cell r="D5826" t="str">
            <v>DD-J10B-02111-2-Z</v>
          </cell>
          <cell r="E5826" t="str">
            <v>角盒</v>
          </cell>
        </row>
        <row r="5827">
          <cell r="D5827" t="str">
            <v>DD-J10B-02111-2-Z</v>
          </cell>
          <cell r="E5827" t="str">
            <v>角盒</v>
          </cell>
        </row>
        <row r="5828">
          <cell r="D5828" t="str">
            <v>Y20-5318210004-001</v>
          </cell>
          <cell r="E5828" t="str">
            <v>舱门摇臂交点衬套</v>
          </cell>
        </row>
        <row r="5829">
          <cell r="D5829" t="str">
            <v>Y20-5318210004-002</v>
          </cell>
          <cell r="E5829" t="str">
            <v>舱门摇臂交点衬套</v>
          </cell>
        </row>
        <row r="5830">
          <cell r="D5830" t="str">
            <v>Y20-5312120101-001</v>
          </cell>
          <cell r="E5830" t="str">
            <v>衬套</v>
          </cell>
        </row>
        <row r="5831">
          <cell r="D5831" t="str">
            <v>Y20-5212290013-001</v>
          </cell>
          <cell r="E5831" t="str">
            <v>合页</v>
          </cell>
        </row>
        <row r="5832">
          <cell r="D5832" t="str">
            <v>Y20-5319180012-001</v>
          </cell>
          <cell r="E5832" t="str">
            <v>角盒</v>
          </cell>
        </row>
        <row r="5833">
          <cell r="D5833" t="str">
            <v>Y20-5319180012-002</v>
          </cell>
          <cell r="E5833" t="str">
            <v>角盒</v>
          </cell>
        </row>
        <row r="5834">
          <cell r="D5834" t="str">
            <v>Y20-5212290011-001</v>
          </cell>
          <cell r="E5834" t="str">
            <v>合页片</v>
          </cell>
        </row>
        <row r="5835">
          <cell r="D5835" t="str">
            <v>Y20-5319180012-001</v>
          </cell>
          <cell r="E5835" t="str">
            <v>角盒</v>
          </cell>
        </row>
        <row r="5836">
          <cell r="D5836" t="str">
            <v>Y20-5319180012-002</v>
          </cell>
          <cell r="E5836" t="str">
            <v>角盒</v>
          </cell>
        </row>
        <row r="5837">
          <cell r="D5837" t="str">
            <v>Y20-5316100415-001</v>
          </cell>
          <cell r="E5837" t="str">
            <v>加强件</v>
          </cell>
        </row>
        <row r="5838">
          <cell r="D5838" t="str">
            <v>Y20-5316100415-002</v>
          </cell>
          <cell r="E5838" t="str">
            <v>加强件</v>
          </cell>
        </row>
        <row r="5839">
          <cell r="D5839" t="str">
            <v>Y20-5226300011-001</v>
          </cell>
          <cell r="E5839" t="str">
            <v>锁盒支撑角片</v>
          </cell>
        </row>
        <row r="5840">
          <cell r="D5840" t="str">
            <v>Y20-5319400015-001</v>
          </cell>
          <cell r="E5840" t="str">
            <v>扶手支座</v>
          </cell>
        </row>
        <row r="5841">
          <cell r="D5841" t="str">
            <v>Y20-5312100302-001</v>
          </cell>
          <cell r="E5841" t="str">
            <v>合页</v>
          </cell>
        </row>
        <row r="5842">
          <cell r="D5842" t="str">
            <v>Y20-5318100243-001</v>
          </cell>
          <cell r="E5842" t="str">
            <v>锥销</v>
          </cell>
        </row>
        <row r="5843">
          <cell r="D5843" t="str">
            <v>Y20-5212290007-002</v>
          </cell>
          <cell r="E5843" t="str">
            <v>合页片</v>
          </cell>
        </row>
        <row r="5844">
          <cell r="D5844" t="str">
            <v>Y20-5316100416-001</v>
          </cell>
          <cell r="E5844" t="str">
            <v>加强件</v>
          </cell>
        </row>
        <row r="5845">
          <cell r="D5845" t="str">
            <v>Y20-5313100203-001</v>
          </cell>
          <cell r="E5845" t="str">
            <v>合页</v>
          </cell>
        </row>
        <row r="5846">
          <cell r="D5846" t="str">
            <v>Y20-5312100303-001</v>
          </cell>
          <cell r="E5846" t="str">
            <v>合页</v>
          </cell>
        </row>
        <row r="5847">
          <cell r="D5847" t="str">
            <v>Y20-5212290009-001</v>
          </cell>
          <cell r="E5847" t="str">
            <v>合页片</v>
          </cell>
        </row>
        <row r="5848">
          <cell r="D5848" t="str">
            <v>Y20-5315200202-002</v>
          </cell>
          <cell r="E5848" t="str">
            <v>15框外缘角型接头</v>
          </cell>
        </row>
        <row r="5849">
          <cell r="D5849" t="str">
            <v>Y20-5318120003-001</v>
          </cell>
          <cell r="E5849" t="str">
            <v>角盒</v>
          </cell>
        </row>
        <row r="5850">
          <cell r="D5850" t="str">
            <v>Y20-5318120003-001</v>
          </cell>
          <cell r="E5850" t="str">
            <v>角盒</v>
          </cell>
        </row>
        <row r="5851">
          <cell r="D5851" t="str">
            <v>Y20-5319400018-001</v>
          </cell>
          <cell r="E5851" t="str">
            <v>扶手支座</v>
          </cell>
        </row>
        <row r="5852">
          <cell r="D5852" t="str">
            <v>Y20-5212290005-001</v>
          </cell>
          <cell r="E5852" t="str">
            <v>合页片</v>
          </cell>
        </row>
        <row r="5853">
          <cell r="D5853" t="str">
            <v>Y20-5212290006-002</v>
          </cell>
          <cell r="E5853" t="str">
            <v>合页片</v>
          </cell>
        </row>
        <row r="5854">
          <cell r="D5854" t="str">
            <v>Y20-5316100332-001</v>
          </cell>
          <cell r="E5854" t="str">
            <v>滑轨横向件</v>
          </cell>
        </row>
        <row r="5855">
          <cell r="D5855" t="str">
            <v>Y20-5612000006-001</v>
          </cell>
          <cell r="E5855" t="str">
            <v>5号支座</v>
          </cell>
        </row>
        <row r="5856">
          <cell r="D5856" t="str">
            <v>Y20-5612000006-002</v>
          </cell>
          <cell r="E5856" t="str">
            <v>5号支座</v>
          </cell>
        </row>
        <row r="5857">
          <cell r="D5857" t="str">
            <v>Y20-5212290007-001</v>
          </cell>
          <cell r="E5857" t="str">
            <v>合页片</v>
          </cell>
        </row>
        <row r="5858">
          <cell r="D5858" t="str">
            <v>Y20-5212290008-001</v>
          </cell>
          <cell r="E5858" t="str">
            <v>合页片</v>
          </cell>
        </row>
        <row r="5859">
          <cell r="D5859" t="str">
            <v>Y20-5226300010-001</v>
          </cell>
          <cell r="E5859" t="str">
            <v>锁盒支撑角片</v>
          </cell>
        </row>
        <row r="5860">
          <cell r="D5860" t="str">
            <v>Y20-5313100202-001</v>
          </cell>
          <cell r="E5860" t="str">
            <v>合页</v>
          </cell>
        </row>
        <row r="5861">
          <cell r="D5861" t="str">
            <v>Y20-5312100231-001</v>
          </cell>
          <cell r="E5861" t="str">
            <v>支座</v>
          </cell>
        </row>
        <row r="5862">
          <cell r="D5862" t="str">
            <v>Y20-5212290014-001</v>
          </cell>
          <cell r="E5862" t="str">
            <v>合页</v>
          </cell>
        </row>
        <row r="5863">
          <cell r="D5863" t="str">
            <v>Y20-5316100416-002</v>
          </cell>
          <cell r="E5863" t="str">
            <v>加强件</v>
          </cell>
        </row>
        <row r="5864">
          <cell r="D5864" t="str">
            <v>Y20-5318210003-001</v>
          </cell>
          <cell r="E5864" t="str">
            <v>前撑杆交点衬套</v>
          </cell>
        </row>
        <row r="5865">
          <cell r="D5865" t="str">
            <v>Y20-5318210003-002</v>
          </cell>
          <cell r="E5865" t="str">
            <v>前撑杆交点衬套</v>
          </cell>
        </row>
        <row r="5866">
          <cell r="D5866" t="str">
            <v>Y20-5315200047-001</v>
          </cell>
          <cell r="E5866" t="str">
            <v>十字锁柱盘</v>
          </cell>
        </row>
        <row r="5867">
          <cell r="D5867" t="str">
            <v>Y20-5315200047-002</v>
          </cell>
          <cell r="E5867" t="str">
            <v>十字锁柱盘</v>
          </cell>
        </row>
        <row r="5868">
          <cell r="D5868" t="str">
            <v>Y20-5281121002-001</v>
          </cell>
          <cell r="E5868" t="str">
            <v>衬套</v>
          </cell>
        </row>
        <row r="5869">
          <cell r="D5869" t="str">
            <v>Y20-5312143001-001</v>
          </cell>
          <cell r="E5869" t="str">
            <v>叉型件</v>
          </cell>
        </row>
        <row r="5870">
          <cell r="D5870" t="str">
            <v>Y20-5281112002-001</v>
          </cell>
          <cell r="E5870" t="str">
            <v>衬套</v>
          </cell>
        </row>
        <row r="5871">
          <cell r="D5871" t="str">
            <v>Y20-5281122002-001</v>
          </cell>
          <cell r="E5871" t="str">
            <v>衬套</v>
          </cell>
        </row>
        <row r="5872">
          <cell r="D5872" t="str">
            <v>Y20-5312120201-001</v>
          </cell>
          <cell r="E5872" t="str">
            <v>衬套</v>
          </cell>
        </row>
        <row r="5873">
          <cell r="D5873" t="str">
            <v>Y20-5312130104-001</v>
          </cell>
          <cell r="E5873" t="str">
            <v>衬套</v>
          </cell>
        </row>
        <row r="5874">
          <cell r="D5874" t="str">
            <v>Y20-5312130202-001</v>
          </cell>
          <cell r="E5874" t="str">
            <v>衬套</v>
          </cell>
        </row>
        <row r="5875">
          <cell r="D5875" t="str">
            <v>Y20-5281123002-001</v>
          </cell>
          <cell r="E5875" t="str">
            <v>衬套</v>
          </cell>
        </row>
        <row r="5876">
          <cell r="D5876" t="str">
            <v>Y20-5312100232-001</v>
          </cell>
          <cell r="E5876" t="str">
            <v>衬套</v>
          </cell>
        </row>
        <row r="5877">
          <cell r="D5877" t="str">
            <v>Y20-5281113002-001</v>
          </cell>
          <cell r="E5877" t="str">
            <v>衬套</v>
          </cell>
        </row>
        <row r="5878">
          <cell r="D5878" t="str">
            <v>Y20-5312141002-001</v>
          </cell>
          <cell r="E5878" t="str">
            <v>衬套</v>
          </cell>
        </row>
        <row r="5879">
          <cell r="D5879" t="str">
            <v>Y20-5281111002-001</v>
          </cell>
          <cell r="E5879" t="str">
            <v>衬套</v>
          </cell>
        </row>
        <row r="5880">
          <cell r="D5880" t="str">
            <v>Y20-5281111003-001</v>
          </cell>
          <cell r="E5880" t="str">
            <v>衬套</v>
          </cell>
        </row>
        <row r="5881">
          <cell r="D5881" t="str">
            <v>Y20-5212010202-001</v>
          </cell>
          <cell r="E5881" t="str">
            <v>衬套</v>
          </cell>
        </row>
        <row r="5882">
          <cell r="D5882" t="str">
            <v>Y20-5828025006-001</v>
          </cell>
          <cell r="E5882" t="str">
            <v>支撑衬套</v>
          </cell>
        </row>
        <row r="5883">
          <cell r="D5883" t="str">
            <v>Y20-5318120002-001</v>
          </cell>
          <cell r="E5883" t="str">
            <v>前起作动筒支座衬套</v>
          </cell>
        </row>
        <row r="5884">
          <cell r="D5884" t="str">
            <v>CB5315193-005-003</v>
          </cell>
          <cell r="E5884" t="str">
            <v>口盖</v>
          </cell>
        </row>
        <row r="5885">
          <cell r="D5885" t="str">
            <v>DD-J10B-73010-310G2-1</v>
          </cell>
          <cell r="E5885" t="str">
            <v>过渡板</v>
          </cell>
        </row>
        <row r="5886">
          <cell r="D5886" t="str">
            <v>CB5713600-001L006</v>
          </cell>
          <cell r="E5886" t="str">
            <v>前梁一段</v>
          </cell>
        </row>
        <row r="5887">
          <cell r="D5887" t="str">
            <v>CB5713600-001L006</v>
          </cell>
          <cell r="E5887" t="str">
            <v>前梁一段</v>
          </cell>
        </row>
        <row r="5888">
          <cell r="D5888" t="str">
            <v>CB5713600-001L006</v>
          </cell>
          <cell r="E5888" t="str">
            <v>前梁一段</v>
          </cell>
        </row>
        <row r="5889">
          <cell r="D5889" t="str">
            <v>DD-J10B-02121-1AG2-Z</v>
          </cell>
          <cell r="E5889" t="str">
            <v>BL280侧壁（左件）</v>
          </cell>
        </row>
        <row r="5890">
          <cell r="D5890" t="str">
            <v>DD-J10B-02121-1AG2-Z</v>
          </cell>
          <cell r="E5890" t="str">
            <v>BL280侧壁（左件）</v>
          </cell>
        </row>
        <row r="5891">
          <cell r="D5891" t="str">
            <v>DD-J10B-04501-10-1-Y</v>
          </cell>
          <cell r="E5891" t="str">
            <v>BL900侧梁</v>
          </cell>
        </row>
        <row r="5892">
          <cell r="D5892" t="str">
            <v>DD-J10B-04501-10-1-Y</v>
          </cell>
          <cell r="E5892" t="str">
            <v>BL900侧梁</v>
          </cell>
        </row>
        <row r="5893">
          <cell r="D5893" t="str">
            <v>DD-J10B-04501-10-1-Z</v>
          </cell>
          <cell r="E5893" t="str">
            <v>BL900侧梁</v>
          </cell>
        </row>
        <row r="5894">
          <cell r="D5894" t="str">
            <v>DD-J10B-04501-10-1-Z</v>
          </cell>
          <cell r="E5894" t="str">
            <v>BL900侧梁</v>
          </cell>
        </row>
        <row r="5895">
          <cell r="D5895" t="str">
            <v>DD-J10B-04501-10-1-Z</v>
          </cell>
          <cell r="E5895" t="str">
            <v>BL900侧梁</v>
          </cell>
        </row>
        <row r="5896">
          <cell r="D5896" t="str">
            <v>DD-J10B-04501-10-1-Z</v>
          </cell>
          <cell r="E5896" t="str">
            <v>BL900侧梁</v>
          </cell>
        </row>
        <row r="5897">
          <cell r="D5897" t="str">
            <v>DD-J10B-04501-10-1-Z</v>
          </cell>
          <cell r="E5897" t="str">
            <v>BL900侧梁</v>
          </cell>
        </row>
        <row r="5898">
          <cell r="D5898" t="str">
            <v>DD-J10B-04501-10-1-Z</v>
          </cell>
          <cell r="E5898" t="str">
            <v>BL900侧梁</v>
          </cell>
        </row>
        <row r="5899">
          <cell r="D5899" t="str">
            <v>Y20-5211023003-001</v>
          </cell>
          <cell r="E5899" t="str">
            <v>螺栓</v>
          </cell>
        </row>
        <row r="5900">
          <cell r="D5900" t="str">
            <v>Y20-5828025007-001</v>
          </cell>
          <cell r="E5900" t="str">
            <v>滑块</v>
          </cell>
        </row>
        <row r="5901">
          <cell r="D5901" t="str">
            <v>Y20-5312140011-001</v>
          </cell>
          <cell r="E5901" t="str">
            <v>接头</v>
          </cell>
        </row>
        <row r="5902">
          <cell r="D5902" t="str">
            <v>Y20-5318200002-001</v>
          </cell>
          <cell r="E5902" t="str">
            <v>主交点衬套</v>
          </cell>
        </row>
        <row r="5903">
          <cell r="D5903" t="str">
            <v>Y20-5318200002-002</v>
          </cell>
          <cell r="E5903" t="str">
            <v>主交点衬套</v>
          </cell>
        </row>
        <row r="5904">
          <cell r="D5904" t="str">
            <v>Y20-5318200003-001</v>
          </cell>
          <cell r="E5904" t="str">
            <v>主交点衬套</v>
          </cell>
        </row>
        <row r="5905">
          <cell r="D5905" t="str">
            <v>Y20-5318200003-002</v>
          </cell>
          <cell r="E5905" t="str">
            <v>主交点衬套</v>
          </cell>
        </row>
        <row r="5906">
          <cell r="D5906" t="str">
            <v>Y20-5226300001-001</v>
          </cell>
          <cell r="E5906" t="str">
            <v>锁轴</v>
          </cell>
        </row>
        <row r="5907">
          <cell r="D5907" t="str">
            <v>Y20-5319540003-001</v>
          </cell>
          <cell r="E5907" t="str">
            <v>转盘</v>
          </cell>
        </row>
        <row r="5908">
          <cell r="D5908" t="str">
            <v>Y20-5318210002-001</v>
          </cell>
          <cell r="E5908" t="str">
            <v>前撑杆交点衬套</v>
          </cell>
        </row>
        <row r="5909">
          <cell r="D5909" t="str">
            <v>CB2280231N003-001</v>
          </cell>
          <cell r="E5909" t="str">
            <v>管子</v>
          </cell>
        </row>
        <row r="5910">
          <cell r="D5910" t="str">
            <v>DD-J10B-94076-1311</v>
          </cell>
          <cell r="E5910" t="str">
            <v>衬盘</v>
          </cell>
        </row>
        <row r="5911">
          <cell r="D5911" t="str">
            <v>DD-J10B-94076-1311</v>
          </cell>
          <cell r="E5911" t="str">
            <v>衬盘</v>
          </cell>
        </row>
        <row r="5912">
          <cell r="D5912" t="str">
            <v>DD-J10B-94061-1031</v>
          </cell>
          <cell r="E5912" t="str">
            <v>接头</v>
          </cell>
        </row>
        <row r="5913">
          <cell r="D5913" t="str">
            <v>DD-J10B-94061-1031</v>
          </cell>
          <cell r="E5913" t="str">
            <v>接头</v>
          </cell>
        </row>
        <row r="5914">
          <cell r="D5914" t="str">
            <v>DD-J10B-94076-1391</v>
          </cell>
          <cell r="E5914" t="str">
            <v>法兰盘</v>
          </cell>
        </row>
        <row r="5915">
          <cell r="D5915" t="str">
            <v>DD-J10B-94076-1391</v>
          </cell>
          <cell r="E5915" t="str">
            <v>法兰盘</v>
          </cell>
        </row>
        <row r="5916">
          <cell r="D5916" t="str">
            <v>DD-J10B-94076-1391</v>
          </cell>
          <cell r="E5916" t="str">
            <v>法兰盘</v>
          </cell>
        </row>
        <row r="5917">
          <cell r="D5917" t="str">
            <v>DD-J10B-94076-1391</v>
          </cell>
          <cell r="E5917" t="str">
            <v>法兰盘</v>
          </cell>
        </row>
        <row r="5918">
          <cell r="D5918" t="str">
            <v>DD-J10B-94076-1391</v>
          </cell>
          <cell r="E5918" t="str">
            <v>法兰盘</v>
          </cell>
        </row>
        <row r="5919">
          <cell r="D5919" t="str">
            <v>DD-J10-55181-2532</v>
          </cell>
          <cell r="E5919" t="str">
            <v>螺帽</v>
          </cell>
        </row>
        <row r="5920">
          <cell r="D5920" t="str">
            <v>DD-J10-55181-2532</v>
          </cell>
          <cell r="E5920" t="str">
            <v>螺帽</v>
          </cell>
        </row>
        <row r="5921">
          <cell r="D5921" t="str">
            <v>DD-J10-55181-2532</v>
          </cell>
          <cell r="E5921" t="str">
            <v>螺帽</v>
          </cell>
        </row>
        <row r="5922">
          <cell r="D5922" t="str">
            <v>DD-J10-94086-1110-2</v>
          </cell>
          <cell r="E5922" t="str">
            <v>衬套</v>
          </cell>
        </row>
        <row r="5923">
          <cell r="D5923" t="str">
            <v>DD-J10B-94051-3640-2</v>
          </cell>
          <cell r="E5923" t="str">
            <v>管子</v>
          </cell>
        </row>
        <row r="5924">
          <cell r="D5924" t="str">
            <v>DD-J10-55171-510-1</v>
          </cell>
          <cell r="E5924" t="str">
            <v>衬套</v>
          </cell>
        </row>
        <row r="5925">
          <cell r="D5925" t="str">
            <v>DD-J10-54101-2805</v>
          </cell>
          <cell r="E5925" t="str">
            <v>滑轮</v>
          </cell>
        </row>
        <row r="5926">
          <cell r="D5926" t="str">
            <v>DD-J10-54101-2805</v>
          </cell>
          <cell r="E5926" t="str">
            <v>滑轮</v>
          </cell>
        </row>
        <row r="5927">
          <cell r="D5927" t="str">
            <v>DD-J10B-68074-1720-3</v>
          </cell>
          <cell r="E5927" t="str">
            <v>钢管</v>
          </cell>
        </row>
        <row r="5928">
          <cell r="D5928" t="str">
            <v>DD-J10B-68074-1720-3</v>
          </cell>
          <cell r="E5928" t="str">
            <v>钢管</v>
          </cell>
        </row>
        <row r="5929">
          <cell r="D5929" t="str">
            <v>DD-J10B-42074-130-1</v>
          </cell>
          <cell r="E5929" t="str">
            <v>拉杆</v>
          </cell>
        </row>
        <row r="5930">
          <cell r="D5930" t="str">
            <v>DD-J10B-42074-130-1</v>
          </cell>
          <cell r="E5930" t="str">
            <v>拉杆</v>
          </cell>
        </row>
        <row r="5931">
          <cell r="D5931" t="str">
            <v>DD-J10-61101-1310-1</v>
          </cell>
          <cell r="E5931" t="str">
            <v>导管</v>
          </cell>
        </row>
        <row r="5932">
          <cell r="D5932" t="str">
            <v>DD-J10-41123-1103</v>
          </cell>
          <cell r="E5932" t="str">
            <v>螺帽</v>
          </cell>
        </row>
        <row r="5933">
          <cell r="D5933" t="str">
            <v>DD-J10-41123-1103</v>
          </cell>
          <cell r="E5933" t="str">
            <v>螺帽</v>
          </cell>
        </row>
        <row r="5934">
          <cell r="D5934" t="str">
            <v>DD-J10-55165-1430-2</v>
          </cell>
          <cell r="E5934" t="str">
            <v>衬套</v>
          </cell>
        </row>
        <row r="5935">
          <cell r="D5935" t="str">
            <v>DD-J10B-68095-1200-3</v>
          </cell>
          <cell r="E5935" t="str">
            <v>衬套</v>
          </cell>
        </row>
        <row r="5936">
          <cell r="D5936" t="str">
            <v>DD-J10-55171-410-1</v>
          </cell>
          <cell r="E5936" t="str">
            <v>衬套</v>
          </cell>
        </row>
        <row r="5937">
          <cell r="D5937" t="str">
            <v>DD-J10-61052-230-1</v>
          </cell>
          <cell r="E5937" t="str">
            <v>管子</v>
          </cell>
        </row>
        <row r="5938">
          <cell r="D5938" t="str">
            <v>DD-J10-61052-230-1</v>
          </cell>
          <cell r="E5938" t="str">
            <v>管子</v>
          </cell>
        </row>
        <row r="5939">
          <cell r="D5939" t="str">
            <v>DD-J10B-42074-140-1</v>
          </cell>
          <cell r="E5939" t="str">
            <v>拉杆</v>
          </cell>
        </row>
        <row r="5940">
          <cell r="D5940" t="str">
            <v>DD-J10B-68074-1710-3</v>
          </cell>
          <cell r="E5940" t="str">
            <v>钢管</v>
          </cell>
        </row>
        <row r="5941">
          <cell r="D5941" t="str">
            <v>DD-J10B-68074-1710-3</v>
          </cell>
          <cell r="E5941" t="str">
            <v>钢管</v>
          </cell>
        </row>
        <row r="5942">
          <cell r="D5942" t="str">
            <v>DD-J10B-68095-1720-3</v>
          </cell>
          <cell r="E5942" t="str">
            <v>钢管</v>
          </cell>
        </row>
        <row r="5943">
          <cell r="D5943" t="str">
            <v>DD-J10-41035-120-2</v>
          </cell>
          <cell r="E5943" t="str">
            <v>管子</v>
          </cell>
        </row>
        <row r="5944">
          <cell r="D5944" t="str">
            <v>DD-J10-86021-6000-2</v>
          </cell>
          <cell r="E5944" t="str">
            <v>垫块</v>
          </cell>
        </row>
        <row r="5945">
          <cell r="D5945" t="str">
            <v>DD-J10-86021-5000-3</v>
          </cell>
          <cell r="E5945" t="str">
            <v>垫块</v>
          </cell>
        </row>
        <row r="5946">
          <cell r="D5946" t="str">
            <v>DD-J10-86011-3210-1</v>
          </cell>
          <cell r="E5946" t="str">
            <v>左转接管</v>
          </cell>
        </row>
        <row r="5947">
          <cell r="D5947" t="str">
            <v>DD-J10-54101-2802</v>
          </cell>
          <cell r="E5947" t="str">
            <v>套筒</v>
          </cell>
        </row>
        <row r="5948">
          <cell r="D5948" t="str">
            <v>DD-J10-54101-2801</v>
          </cell>
          <cell r="E5948" t="str">
            <v>手柄</v>
          </cell>
        </row>
        <row r="5949">
          <cell r="D5949" t="str">
            <v>Y20-4252203187-001</v>
          </cell>
          <cell r="E5949" t="str">
            <v>支架</v>
          </cell>
        </row>
        <row r="5950">
          <cell r="D5950" t="str">
            <v>Y20-4252203187-001</v>
          </cell>
          <cell r="E5950" t="str">
            <v>支架</v>
          </cell>
        </row>
        <row r="5951">
          <cell r="D5951" t="str">
            <v>Y20-4252203187-002</v>
          </cell>
          <cell r="E5951" t="str">
            <v>支架</v>
          </cell>
        </row>
        <row r="5952">
          <cell r="D5952" t="str">
            <v>Y20-4252203187-002</v>
          </cell>
          <cell r="E5952" t="str">
            <v>支架</v>
          </cell>
        </row>
        <row r="5953">
          <cell r="D5953" t="str">
            <v>Y20-4252203194-001</v>
          </cell>
          <cell r="E5953" t="str">
            <v>支架</v>
          </cell>
        </row>
        <row r="5954">
          <cell r="D5954" t="str">
            <v>Y20-4252203194-001</v>
          </cell>
          <cell r="E5954" t="str">
            <v>支架</v>
          </cell>
        </row>
        <row r="5955">
          <cell r="D5955" t="str">
            <v>Y20-4252203194-002</v>
          </cell>
          <cell r="E5955" t="str">
            <v>支架</v>
          </cell>
        </row>
        <row r="5956">
          <cell r="D5956" t="str">
            <v>Y20-4252203194-002</v>
          </cell>
          <cell r="E5956" t="str">
            <v>支架</v>
          </cell>
        </row>
        <row r="5957">
          <cell r="D5957" t="str">
            <v>Y20-5311123015-001</v>
          </cell>
          <cell r="E5957" t="str">
            <v>应急救生船抛放口盖</v>
          </cell>
        </row>
        <row r="5958">
          <cell r="D5958" t="str">
            <v>Y20-5312225025-002</v>
          </cell>
          <cell r="E5958" t="str">
            <v>纵向加强件</v>
          </cell>
        </row>
        <row r="5959">
          <cell r="D5959" t="str">
            <v>Y20-5313103002-001</v>
          </cell>
          <cell r="E5959" t="str">
            <v>3框右框缘</v>
          </cell>
        </row>
        <row r="5960">
          <cell r="D5960" t="str">
            <v>Y20-5313103002-001</v>
          </cell>
          <cell r="E5960" t="str">
            <v>3框右框缘</v>
          </cell>
        </row>
        <row r="5961">
          <cell r="D5961" t="str">
            <v>Y20-5313103002-001</v>
          </cell>
          <cell r="E5961" t="str">
            <v>3框右框缘</v>
          </cell>
        </row>
        <row r="5962">
          <cell r="D5962" t="str">
            <v>Y20-5313103002-001</v>
          </cell>
          <cell r="E5962" t="str">
            <v>3框右框缘</v>
          </cell>
        </row>
        <row r="5963">
          <cell r="D5963" t="str">
            <v>Y20-5317018021-001</v>
          </cell>
          <cell r="E5963" t="str">
            <v>工字型材</v>
          </cell>
        </row>
        <row r="5964">
          <cell r="D5964" t="str">
            <v>Y20-5317018021-001</v>
          </cell>
          <cell r="E5964" t="str">
            <v>工字型材</v>
          </cell>
        </row>
        <row r="5965">
          <cell r="D5965" t="str">
            <v>Y20-4761200096-001</v>
          </cell>
          <cell r="E5965" t="str">
            <v>悬挂横梁</v>
          </cell>
        </row>
        <row r="5966">
          <cell r="D5966" t="str">
            <v>Y20-4761200096-001</v>
          </cell>
          <cell r="E5966" t="str">
            <v>悬挂横梁</v>
          </cell>
        </row>
        <row r="5967">
          <cell r="D5967" t="str">
            <v>Y20-4761200096-001</v>
          </cell>
          <cell r="E5967" t="str">
            <v>悬挂横梁</v>
          </cell>
        </row>
        <row r="5968">
          <cell r="D5968" t="str">
            <v>Y20-4761200096-001</v>
          </cell>
          <cell r="E5968" t="str">
            <v>悬挂横梁</v>
          </cell>
        </row>
        <row r="5969">
          <cell r="D5969" t="str">
            <v>Y20-5312225026-001</v>
          </cell>
          <cell r="E5969" t="str">
            <v>纵向加强件</v>
          </cell>
        </row>
        <row r="5970">
          <cell r="D5970" t="str">
            <v>Y20-5312225026-002</v>
          </cell>
          <cell r="E5970" t="str">
            <v>纵向加强件</v>
          </cell>
        </row>
        <row r="5971">
          <cell r="D5971" t="str">
            <v>CB5522200-020R001</v>
          </cell>
          <cell r="E5971" t="str">
            <v>实心块</v>
          </cell>
        </row>
        <row r="5972">
          <cell r="D5972" t="str">
            <v>CB5522200-020L001</v>
          </cell>
          <cell r="E5972" t="str">
            <v>实心块</v>
          </cell>
        </row>
        <row r="5973">
          <cell r="D5973" t="str">
            <v>CB5512300-015R001</v>
          </cell>
          <cell r="E5973" t="str">
            <v>角盒</v>
          </cell>
        </row>
        <row r="5974">
          <cell r="D5974" t="str">
            <v>CB5512300-015L001</v>
          </cell>
          <cell r="E5974" t="str">
            <v>角盒</v>
          </cell>
        </row>
        <row r="5975">
          <cell r="D5975" t="str">
            <v>GU5336111-021L001</v>
          </cell>
          <cell r="E5975" t="str">
            <v>第二长桁左Ⅰ</v>
          </cell>
        </row>
        <row r="5976">
          <cell r="D5976" t="str">
            <v>GU5336111-021L001</v>
          </cell>
          <cell r="E5976" t="str">
            <v>第二长桁左Ⅰ</v>
          </cell>
        </row>
        <row r="5977">
          <cell r="D5977" t="str">
            <v>BC2291141-002-002</v>
          </cell>
          <cell r="E5977" t="str">
            <v>应急泵支架</v>
          </cell>
        </row>
        <row r="5978">
          <cell r="D5978" t="str">
            <v>BC2291182-001-001</v>
          </cell>
          <cell r="E5978" t="str">
            <v>系统1高压油滤支架</v>
          </cell>
        </row>
        <row r="5979">
          <cell r="D5979" t="str">
            <v>BC2291182-002-001</v>
          </cell>
          <cell r="E5979" t="str">
            <v>系统1高压油滤卡箍</v>
          </cell>
        </row>
        <row r="5980">
          <cell r="D5980" t="str">
            <v>BC2291460-002-001</v>
          </cell>
          <cell r="E5980" t="str">
            <v>供压软管接头支架</v>
          </cell>
        </row>
        <row r="5981">
          <cell r="D5981" t="str">
            <v>BC2292180-001-001</v>
          </cell>
          <cell r="E5981" t="str">
            <v>安装板</v>
          </cell>
        </row>
        <row r="5982">
          <cell r="D5982" t="str">
            <v>BC22914P1-001-001</v>
          </cell>
          <cell r="E5982" t="str">
            <v>角片</v>
          </cell>
        </row>
        <row r="5983">
          <cell r="D5983" t="str">
            <v>BC2291173-001-001</v>
          </cell>
          <cell r="E5983" t="str">
            <v>散热器支架2</v>
          </cell>
        </row>
        <row r="5984">
          <cell r="D5984" t="str">
            <v>BC2291210-002-001</v>
          </cell>
          <cell r="E5984" t="str">
            <v>循环油滤卡箍</v>
          </cell>
        </row>
        <row r="5985">
          <cell r="D5985" t="str">
            <v>BC2291222-002-001</v>
          </cell>
          <cell r="E5985" t="str">
            <v>应急泵供压油滤卡箍</v>
          </cell>
        </row>
        <row r="5986">
          <cell r="D5986" t="str">
            <v>BC2299242-002-001</v>
          </cell>
          <cell r="E5986" t="str">
            <v>支架底座</v>
          </cell>
        </row>
        <row r="5987">
          <cell r="D5987" t="str">
            <v>BC2291150-001-001</v>
          </cell>
          <cell r="E5987" t="str">
            <v>安装阀支架底板</v>
          </cell>
        </row>
        <row r="5988">
          <cell r="D5988" t="str">
            <v>BC2291193-002-001</v>
          </cell>
          <cell r="E5988" t="str">
            <v>回油油滤卡箍</v>
          </cell>
        </row>
        <row r="5989">
          <cell r="D5989" t="str">
            <v>BC221P2LF-002-001</v>
          </cell>
          <cell r="E5989" t="str">
            <v>传感器底座</v>
          </cell>
        </row>
        <row r="5990">
          <cell r="D5990" t="str">
            <v>BC221T3LE-002-001</v>
          </cell>
          <cell r="E5990" t="str">
            <v>支座</v>
          </cell>
        </row>
        <row r="5991">
          <cell r="D5991" t="str">
            <v>BC2280241-065-001</v>
          </cell>
          <cell r="E5991" t="str">
            <v>带柔性接头的法兰（Φ65）</v>
          </cell>
        </row>
        <row r="5992">
          <cell r="D5992" t="str">
            <v>BC2280241-060-001</v>
          </cell>
          <cell r="E5992" t="str">
            <v>带柔性接头的法兰（Φ60）</v>
          </cell>
        </row>
        <row r="5993">
          <cell r="D5993" t="str">
            <v>BC22103LP-001-001</v>
          </cell>
          <cell r="E5993" t="str">
            <v>支架</v>
          </cell>
        </row>
        <row r="5994">
          <cell r="D5994" t="str">
            <v>Y20-5212290004-001</v>
          </cell>
          <cell r="E5994" t="str">
            <v>合页</v>
          </cell>
        </row>
        <row r="5995">
          <cell r="D5995" t="str">
            <v>DD-J10-21002-1-Y</v>
          </cell>
          <cell r="E5995" t="str">
            <v>4号上壁板</v>
          </cell>
        </row>
        <row r="5996">
          <cell r="D5996" t="str">
            <v>DD-J10B-02161-501</v>
          </cell>
          <cell r="E5996" t="str">
            <v>5755横框</v>
          </cell>
        </row>
        <row r="5997">
          <cell r="D5997" t="str">
            <v>DD-J10B-02161-501</v>
          </cell>
          <cell r="E5997" t="str">
            <v>5755横框</v>
          </cell>
        </row>
        <row r="5998">
          <cell r="D5998" t="str">
            <v>DD-J10B-02161-501</v>
          </cell>
          <cell r="E5998" t="str">
            <v>5755横框</v>
          </cell>
        </row>
        <row r="5999">
          <cell r="D5999" t="str">
            <v>CB5822016-024L001</v>
          </cell>
          <cell r="E5999" t="str">
            <v>角片</v>
          </cell>
        </row>
        <row r="6000">
          <cell r="D6000" t="str">
            <v>CB5822016-024R001</v>
          </cell>
          <cell r="E6000" t="str">
            <v>角片</v>
          </cell>
        </row>
        <row r="6001">
          <cell r="D6001" t="str">
            <v>Y20-5212290004-001</v>
          </cell>
          <cell r="E6001" t="str">
            <v>合页</v>
          </cell>
        </row>
        <row r="6002">
          <cell r="D6002" t="str">
            <v>Y20-5212290004-001</v>
          </cell>
          <cell r="E6002" t="str">
            <v>合页</v>
          </cell>
        </row>
        <row r="6003">
          <cell r="D6003" t="str">
            <v>Y20-5212290004-001</v>
          </cell>
          <cell r="E6003" t="str">
            <v>合页</v>
          </cell>
        </row>
        <row r="6004">
          <cell r="D6004" t="str">
            <v>Y20-5212290004-001</v>
          </cell>
          <cell r="E6004" t="str">
            <v>合页</v>
          </cell>
        </row>
        <row r="6005">
          <cell r="D6005" t="str">
            <v>Y20-5212290004-001</v>
          </cell>
          <cell r="E6005" t="str">
            <v>合页</v>
          </cell>
        </row>
        <row r="6006">
          <cell r="D6006" t="str">
            <v>Y20-5212290004-001</v>
          </cell>
          <cell r="E6006" t="str">
            <v>合页</v>
          </cell>
        </row>
        <row r="6007">
          <cell r="D6007" t="str">
            <v>Y20-5212290004-001</v>
          </cell>
          <cell r="E6007" t="str">
            <v>合页</v>
          </cell>
        </row>
        <row r="6008">
          <cell r="D6008" t="str">
            <v>Y20-5212290004-001</v>
          </cell>
          <cell r="E6008" t="str">
            <v>合页</v>
          </cell>
        </row>
        <row r="6009">
          <cell r="D6009" t="str">
            <v>DD-J10B-21402-10G2-1G2-Y</v>
          </cell>
          <cell r="E6009" t="str">
            <v>固定前缘边肋</v>
          </cell>
        </row>
        <row r="6010">
          <cell r="D6010" t="str">
            <v>DD-J10B-21402-10G2-1G2-Y</v>
          </cell>
          <cell r="E6010" t="str">
            <v>固定前缘边肋</v>
          </cell>
        </row>
        <row r="6011">
          <cell r="D6011" t="str">
            <v>DD-J10B-21402-10G2-1G2-Y</v>
          </cell>
          <cell r="E6011" t="str">
            <v>固定前缘边肋</v>
          </cell>
        </row>
        <row r="6012">
          <cell r="D6012" t="str">
            <v>DD-J10B-21402-10G2-1G2-Z</v>
          </cell>
          <cell r="E6012" t="str">
            <v>固定前缘边肋</v>
          </cell>
        </row>
        <row r="6013">
          <cell r="D6013" t="str">
            <v>DD-J10B-21402-10G2-1G2-Z</v>
          </cell>
          <cell r="E6013" t="str">
            <v>固定前缘边肋</v>
          </cell>
        </row>
        <row r="6014">
          <cell r="D6014" t="str">
            <v>DD-J10B-21402-10G2-1G2-Z</v>
          </cell>
          <cell r="E6014" t="str">
            <v>固定前缘边肋</v>
          </cell>
        </row>
        <row r="6015">
          <cell r="D6015" t="str">
            <v>DD-J10B-21402-90G2-1G2-Y</v>
          </cell>
          <cell r="E6015" t="str">
            <v>固定前缘端肋</v>
          </cell>
        </row>
        <row r="6016">
          <cell r="D6016" t="str">
            <v>DD-J10B-21402-90G2-1G2-Y</v>
          </cell>
          <cell r="E6016" t="str">
            <v>固定前缘端肋</v>
          </cell>
        </row>
        <row r="6017">
          <cell r="D6017" t="str">
            <v>DD-J10B-21402-90G2-1G2-Y</v>
          </cell>
          <cell r="E6017" t="str">
            <v>固定前缘端肋</v>
          </cell>
        </row>
        <row r="6018">
          <cell r="D6018" t="str">
            <v>DD-J10B-21402-90G2-1G2-Z</v>
          </cell>
          <cell r="E6018" t="str">
            <v>固定前缘端肋</v>
          </cell>
        </row>
        <row r="6019">
          <cell r="D6019" t="str">
            <v>DD-J10B-21402-90G2-1G2-Z</v>
          </cell>
          <cell r="E6019" t="str">
            <v>固定前缘端肋</v>
          </cell>
        </row>
        <row r="6020">
          <cell r="D6020" t="str">
            <v>DD-J10B-21402-90G2-1G2-Z</v>
          </cell>
          <cell r="E6020" t="str">
            <v>固定前缘端肋</v>
          </cell>
        </row>
        <row r="6021">
          <cell r="D6021" t="str">
            <v>DD-J10B-04501-10-1-Y</v>
          </cell>
          <cell r="E6021" t="str">
            <v>BL900侧梁</v>
          </cell>
        </row>
        <row r="6022">
          <cell r="D6022" t="str">
            <v>DD-J10B-04501-10-1-Y</v>
          </cell>
          <cell r="E6022" t="str">
            <v>BL900侧梁</v>
          </cell>
        </row>
        <row r="6023">
          <cell r="D6023" t="str">
            <v>DD-J10B-04501-10-1-Y</v>
          </cell>
          <cell r="E6023" t="str">
            <v>BL900侧梁</v>
          </cell>
        </row>
        <row r="6024">
          <cell r="D6024" t="str">
            <v>DD-J10B-04501-10-1-Y</v>
          </cell>
          <cell r="E6024" t="str">
            <v>BL900侧梁</v>
          </cell>
        </row>
        <row r="6025">
          <cell r="D6025" t="str">
            <v>DD-J10B-04501-10-1-Y</v>
          </cell>
          <cell r="E6025" t="str">
            <v>BL900侧梁</v>
          </cell>
        </row>
        <row r="6026">
          <cell r="D6026" t="str">
            <v>DD-J10B-04501-10-1-Y</v>
          </cell>
          <cell r="E6026" t="str">
            <v>BL900侧梁</v>
          </cell>
        </row>
        <row r="6027">
          <cell r="D6027" t="str">
            <v>DD-J10B-04501-10-1-Y</v>
          </cell>
          <cell r="E6027" t="str">
            <v>BL900侧梁</v>
          </cell>
        </row>
        <row r="6028">
          <cell r="D6028" t="str">
            <v>DD-J10B-04501-10-1-Y</v>
          </cell>
          <cell r="E6028" t="str">
            <v>BL900侧梁</v>
          </cell>
        </row>
        <row r="6029">
          <cell r="D6029" t="str">
            <v>DD-J10B-04501-10-1-Z</v>
          </cell>
          <cell r="E6029" t="str">
            <v>BL900侧梁</v>
          </cell>
        </row>
        <row r="6030">
          <cell r="D6030" t="str">
            <v>DD-J10B-04501-10-1-Z</v>
          </cell>
          <cell r="E6030" t="str">
            <v>BL900侧梁</v>
          </cell>
        </row>
        <row r="6031">
          <cell r="D6031" t="str">
            <v>DD-J10B-04501-10-1-Z</v>
          </cell>
          <cell r="E6031" t="str">
            <v>BL900侧梁</v>
          </cell>
        </row>
        <row r="6032">
          <cell r="D6032" t="str">
            <v>DD-J10B-04501-10-1-Z</v>
          </cell>
          <cell r="E6032" t="str">
            <v>BL900侧梁</v>
          </cell>
        </row>
        <row r="6033">
          <cell r="D6033" t="str">
            <v>BC2282305-001-001</v>
          </cell>
          <cell r="E6033" t="str">
            <v>转接接头</v>
          </cell>
        </row>
        <row r="6034">
          <cell r="D6034" t="str">
            <v>BC2282608-002-001</v>
          </cell>
          <cell r="E6034" t="str">
            <v>角片</v>
          </cell>
        </row>
        <row r="6035">
          <cell r="D6035" t="str">
            <v>BC3012410-002-001</v>
          </cell>
          <cell r="E6035" t="str">
            <v>显示器托架</v>
          </cell>
        </row>
        <row r="6036">
          <cell r="D6036" t="str">
            <v>BC22841Y3-001-003</v>
          </cell>
          <cell r="E6036" t="str">
            <v>支架</v>
          </cell>
        </row>
        <row r="6037">
          <cell r="D6037" t="str">
            <v>BC2562823-002L003</v>
          </cell>
          <cell r="E6037" t="str">
            <v>轴承座</v>
          </cell>
        </row>
        <row r="6038">
          <cell r="D6038" t="str">
            <v>BC2562823-002R003</v>
          </cell>
          <cell r="E6038" t="str">
            <v>轴承座</v>
          </cell>
        </row>
        <row r="6039">
          <cell r="D6039" t="str">
            <v>BC5314102-003-001</v>
          </cell>
          <cell r="E6039" t="str">
            <v>型材</v>
          </cell>
        </row>
        <row r="6040">
          <cell r="D6040" t="str">
            <v>BC5322500-009-001</v>
          </cell>
          <cell r="E6040" t="str">
            <v>T型材1</v>
          </cell>
        </row>
        <row r="6041">
          <cell r="D6041" t="str">
            <v>BC5311400-004R001</v>
          </cell>
          <cell r="E6041" t="str">
            <v>角片</v>
          </cell>
        </row>
        <row r="6042">
          <cell r="D6042" t="str">
            <v>BC5311400-004L001</v>
          </cell>
          <cell r="E6042" t="str">
            <v>角片</v>
          </cell>
        </row>
        <row r="6043">
          <cell r="D6043" t="str">
            <v>BC5314103-006-001</v>
          </cell>
          <cell r="E6043" t="str">
            <v>型材</v>
          </cell>
        </row>
        <row r="6044">
          <cell r="D6044" t="str">
            <v>BC5322500-012L001</v>
          </cell>
          <cell r="E6044" t="str">
            <v>T型材2左</v>
          </cell>
        </row>
        <row r="6045">
          <cell r="D6045" t="str">
            <v>BC5322500-012R001</v>
          </cell>
          <cell r="E6045" t="str">
            <v>T型材2右</v>
          </cell>
        </row>
        <row r="6046">
          <cell r="D6046" t="str">
            <v>BC5315209-005-001</v>
          </cell>
          <cell r="E6046" t="str">
            <v>5580左内下框段</v>
          </cell>
        </row>
        <row r="6047">
          <cell r="D6047" t="str">
            <v>BC5314103-004-001</v>
          </cell>
          <cell r="E6047" t="str">
            <v>型材</v>
          </cell>
        </row>
        <row r="6048">
          <cell r="D6048" t="str">
            <v>BC5315209-006-001</v>
          </cell>
          <cell r="E6048" t="str">
            <v>5580右内下框段</v>
          </cell>
        </row>
        <row r="6049">
          <cell r="D6049" t="str">
            <v>BC5315208-005-001</v>
          </cell>
          <cell r="E6049" t="str">
            <v>5458左内下框段</v>
          </cell>
        </row>
        <row r="6050">
          <cell r="D6050" t="str">
            <v>BC5315208-006-001</v>
          </cell>
          <cell r="E6050" t="str">
            <v>5458右内下框段</v>
          </cell>
        </row>
        <row r="6051">
          <cell r="D6051" t="str">
            <v>BC2563500-001-001</v>
          </cell>
          <cell r="E6051" t="str">
            <v>轴</v>
          </cell>
        </row>
        <row r="6052">
          <cell r="D6052" t="str">
            <v>BC2563500-001-001</v>
          </cell>
          <cell r="E6052" t="str">
            <v>轴</v>
          </cell>
        </row>
        <row r="6053">
          <cell r="D6053" t="str">
            <v>BC2563500-002-001</v>
          </cell>
          <cell r="E6053" t="str">
            <v>转轴</v>
          </cell>
        </row>
        <row r="6054">
          <cell r="D6054" t="str">
            <v>BC2563500-002-001</v>
          </cell>
          <cell r="E6054" t="str">
            <v>转轴</v>
          </cell>
        </row>
        <row r="6055">
          <cell r="D6055" t="str">
            <v>BC2282340-001-001</v>
          </cell>
          <cell r="E6055" t="str">
            <v>带管接嘴法兰4</v>
          </cell>
        </row>
        <row r="6056">
          <cell r="D6056" t="str">
            <v>BC2282340-002-001</v>
          </cell>
          <cell r="E6056" t="str">
            <v>带管接嘴法兰4</v>
          </cell>
        </row>
        <row r="6057">
          <cell r="D6057" t="str">
            <v>BC5328100-016-001</v>
          </cell>
          <cell r="E6057" t="str">
            <v>连接耳片</v>
          </cell>
        </row>
        <row r="6058">
          <cell r="D6058" t="str">
            <v>BC5328100-017-001</v>
          </cell>
          <cell r="E6058" t="str">
            <v>连接耳片</v>
          </cell>
        </row>
        <row r="6059">
          <cell r="D6059" t="str">
            <v>BC5328100-007-001</v>
          </cell>
          <cell r="E6059" t="str">
            <v>连接耳片</v>
          </cell>
        </row>
        <row r="6060">
          <cell r="D6060" t="str">
            <v>BC5328100-006-001</v>
          </cell>
          <cell r="E6060" t="str">
            <v>连接耳片</v>
          </cell>
        </row>
        <row r="6061">
          <cell r="D6061" t="str">
            <v>BC23502BN-001-001</v>
          </cell>
          <cell r="E6061" t="str">
            <v>支架</v>
          </cell>
        </row>
        <row r="6062">
          <cell r="D6062" t="str">
            <v>BC2281630-005-001</v>
          </cell>
          <cell r="E6062" t="str">
            <v>角片</v>
          </cell>
        </row>
        <row r="6063">
          <cell r="D6063" t="str">
            <v>BC5323100-014R001</v>
          </cell>
          <cell r="E6063" t="str">
            <v>连接角片</v>
          </cell>
        </row>
        <row r="6064">
          <cell r="D6064" t="str">
            <v>BC5323100-014L001</v>
          </cell>
          <cell r="E6064" t="str">
            <v>连接角片</v>
          </cell>
        </row>
        <row r="6065">
          <cell r="D6065" t="str">
            <v>BC22831Y4-001-001</v>
          </cell>
          <cell r="E6065" t="str">
            <v>角片</v>
          </cell>
        </row>
        <row r="6066">
          <cell r="D6066" t="str">
            <v>BC2282103-001-001</v>
          </cell>
          <cell r="E6066" t="str">
            <v>角片</v>
          </cell>
        </row>
        <row r="6067">
          <cell r="D6067" t="str">
            <v>BC2284103-004-001</v>
          </cell>
          <cell r="E6067" t="str">
            <v>角片</v>
          </cell>
        </row>
        <row r="6068">
          <cell r="D6068" t="str">
            <v>BC2292191-001-001</v>
          </cell>
          <cell r="E6068" t="str">
            <v>回油油滤支架</v>
          </cell>
        </row>
        <row r="6069">
          <cell r="D6069" t="str">
            <v>BC2291193-001-001</v>
          </cell>
          <cell r="E6069" t="str">
            <v>回油油滤支架</v>
          </cell>
        </row>
        <row r="6070">
          <cell r="D6070" t="str">
            <v>BC2291172-001-001</v>
          </cell>
          <cell r="E6070" t="str">
            <v>散热器支架1</v>
          </cell>
        </row>
        <row r="6071">
          <cell r="D6071" t="str">
            <v>BC2292212-001-002</v>
          </cell>
          <cell r="E6071" t="str">
            <v>循环油滤支架</v>
          </cell>
        </row>
        <row r="6072">
          <cell r="D6072" t="str">
            <v>BC2291222-001-001</v>
          </cell>
          <cell r="E6072" t="str">
            <v>应急泵供压油滤支架</v>
          </cell>
        </row>
        <row r="6073">
          <cell r="D6073" t="str">
            <v>BC2291210-001-001</v>
          </cell>
          <cell r="E6073" t="str">
            <v>循环油滤支架</v>
          </cell>
        </row>
        <row r="6074">
          <cell r="D6074" t="str">
            <v>BC22841Y4-001-003</v>
          </cell>
          <cell r="E6074" t="str">
            <v>支架</v>
          </cell>
        </row>
        <row r="6075">
          <cell r="D6075" t="str">
            <v>BC2282608-003-001</v>
          </cell>
          <cell r="E6075" t="str">
            <v>角片</v>
          </cell>
        </row>
        <row r="6076">
          <cell r="D6076" t="str">
            <v>BC5315208-002-002</v>
          </cell>
          <cell r="E6076" t="str">
            <v>5458右框</v>
          </cell>
        </row>
        <row r="6077">
          <cell r="D6077" t="str">
            <v>BC5315208-001-002</v>
          </cell>
          <cell r="E6077" t="str">
            <v>5458左框</v>
          </cell>
        </row>
        <row r="6078">
          <cell r="D6078" t="str">
            <v>BC5314402-001-001</v>
          </cell>
          <cell r="E6078" t="str">
            <v>4290左框</v>
          </cell>
        </row>
        <row r="6079">
          <cell r="D6079" t="str">
            <v>BC5314402-002-001</v>
          </cell>
          <cell r="E6079" t="str">
            <v>4290右框</v>
          </cell>
        </row>
        <row r="6080">
          <cell r="D6080" t="str">
            <v>BC5314404-002-001</v>
          </cell>
          <cell r="E6080" t="str">
            <v>4650右框</v>
          </cell>
        </row>
        <row r="6081">
          <cell r="D6081" t="str">
            <v>BC3011320-003-001</v>
          </cell>
          <cell r="E6081" t="str">
            <v>安装支架</v>
          </cell>
        </row>
        <row r="6082">
          <cell r="D6082" t="str">
            <v>BC3011320-003-001</v>
          </cell>
          <cell r="E6082" t="str">
            <v>安装支架</v>
          </cell>
        </row>
        <row r="6083">
          <cell r="D6083" t="str">
            <v>BC5328100-015-001</v>
          </cell>
          <cell r="E6083" t="str">
            <v>连接耳片</v>
          </cell>
        </row>
        <row r="6084">
          <cell r="D6084" t="str">
            <v>XXX-F1</v>
          </cell>
          <cell r="E6084" t="str">
            <v>测试拉杆1</v>
          </cell>
        </row>
        <row r="6085">
          <cell r="D6085" t="str">
            <v>XXX-F2</v>
          </cell>
          <cell r="E6085" t="str">
            <v>测试拉杆2</v>
          </cell>
        </row>
        <row r="6086">
          <cell r="D6086" t="str">
            <v>DD-J10B-94061-1032</v>
          </cell>
          <cell r="E6086" t="str">
            <v>接头</v>
          </cell>
        </row>
        <row r="6087">
          <cell r="D6087" t="str">
            <v>DD-J10B-94061-1032</v>
          </cell>
          <cell r="E6087" t="str">
            <v>接头</v>
          </cell>
        </row>
        <row r="6088">
          <cell r="D6088" t="str">
            <v>Y20-5828025008-001</v>
          </cell>
          <cell r="E6088" t="str">
            <v>挡片</v>
          </cell>
        </row>
        <row r="6089">
          <cell r="D6089" t="str">
            <v>Y20-5315200201-002</v>
          </cell>
          <cell r="E6089" t="str">
            <v>15框外缘角型接头</v>
          </cell>
        </row>
        <row r="6090">
          <cell r="D6090" t="str">
            <v>Y20-5315200202-001</v>
          </cell>
          <cell r="E6090" t="str">
            <v>15框外缘角型接头</v>
          </cell>
        </row>
        <row r="6091">
          <cell r="D6091" t="str">
            <v>CB5512300-014L001</v>
          </cell>
          <cell r="E6091" t="str">
            <v>角盒</v>
          </cell>
        </row>
        <row r="6092">
          <cell r="D6092" t="str">
            <v>CB5512300-014L001</v>
          </cell>
          <cell r="E6092" t="str">
            <v>角盒</v>
          </cell>
        </row>
        <row r="6093">
          <cell r="D6093" t="str">
            <v>CB5512300-014L001</v>
          </cell>
          <cell r="E6093" t="str">
            <v>角盒</v>
          </cell>
        </row>
        <row r="6094">
          <cell r="D6094" t="str">
            <v>CB5512300-014R001</v>
          </cell>
          <cell r="E6094" t="str">
            <v>角盒</v>
          </cell>
        </row>
        <row r="6095">
          <cell r="D6095" t="str">
            <v>CB5512300-014R001</v>
          </cell>
          <cell r="E6095" t="str">
            <v>角盒</v>
          </cell>
        </row>
        <row r="6096">
          <cell r="D6096" t="str">
            <v>CB5512300-014R001</v>
          </cell>
          <cell r="E6096" t="str">
            <v>角盒</v>
          </cell>
        </row>
        <row r="6097">
          <cell r="D6097" t="str">
            <v>Y20-5312225701-002</v>
          </cell>
          <cell r="E6097" t="str">
            <v>纵向加强件</v>
          </cell>
        </row>
        <row r="6098">
          <cell r="D6098" t="str">
            <v>Y20-5312225701-002</v>
          </cell>
          <cell r="E6098" t="str">
            <v>纵向加强件</v>
          </cell>
        </row>
        <row r="6099">
          <cell r="D6099" t="str">
            <v>Y20-5312225701-002</v>
          </cell>
          <cell r="E6099" t="str">
            <v>纵向加强件</v>
          </cell>
        </row>
        <row r="6100">
          <cell r="D6100" t="str">
            <v>Y20-5312225701-002</v>
          </cell>
          <cell r="E6100" t="str">
            <v>纵向加强件</v>
          </cell>
        </row>
        <row r="6101">
          <cell r="D6101" t="str">
            <v>Y20-5312225701-001</v>
          </cell>
          <cell r="E6101" t="str">
            <v>纵向加强件</v>
          </cell>
        </row>
        <row r="6102">
          <cell r="D6102" t="str">
            <v>Y20-5312225701-001</v>
          </cell>
          <cell r="E6102" t="str">
            <v>纵向加强件</v>
          </cell>
        </row>
        <row r="6103">
          <cell r="D6103" t="str">
            <v>Y20-5312225701-001</v>
          </cell>
          <cell r="E6103" t="str">
            <v>纵向加强件</v>
          </cell>
        </row>
        <row r="6104">
          <cell r="D6104" t="str">
            <v>Y20-5312225701-001</v>
          </cell>
          <cell r="E6104" t="str">
            <v>纵向加强件</v>
          </cell>
        </row>
        <row r="6105">
          <cell r="D6105" t="str">
            <v>Y20-5316320025-001</v>
          </cell>
          <cell r="E6105" t="str">
            <v>16-17框地板纵梁</v>
          </cell>
        </row>
        <row r="6106">
          <cell r="D6106" t="str">
            <v>Y20-5316320025-001</v>
          </cell>
          <cell r="E6106" t="str">
            <v>16-17框地板纵梁</v>
          </cell>
        </row>
        <row r="6107">
          <cell r="D6107" t="str">
            <v>Y20-5316320025-001</v>
          </cell>
          <cell r="E6107" t="str">
            <v>16-17框地板纵梁</v>
          </cell>
        </row>
        <row r="6108">
          <cell r="D6108" t="str">
            <v>YR-4351100502-001</v>
          </cell>
          <cell r="E6108" t="str">
            <v>支架</v>
          </cell>
        </row>
        <row r="6109">
          <cell r="D6109" t="str">
            <v>YR-4351100502-001</v>
          </cell>
          <cell r="E6109" t="str">
            <v>支架</v>
          </cell>
        </row>
        <row r="6110">
          <cell r="D6110" t="str">
            <v>Y20-5316200096-001</v>
          </cell>
          <cell r="E6110" t="str">
            <v>堵孔垫板</v>
          </cell>
        </row>
        <row r="6111">
          <cell r="D6111" t="str">
            <v>Y20-5316200096-001</v>
          </cell>
          <cell r="E6111" t="str">
            <v>堵孔垫板</v>
          </cell>
        </row>
        <row r="6112">
          <cell r="D6112" t="str">
            <v>Y20-5316200096-002</v>
          </cell>
          <cell r="E6112" t="str">
            <v>堵孔垫板</v>
          </cell>
        </row>
        <row r="6113">
          <cell r="D6113" t="str">
            <v>Y20-5316200096-002</v>
          </cell>
          <cell r="E6113" t="str">
            <v>堵孔垫板</v>
          </cell>
        </row>
        <row r="6114">
          <cell r="D6114" t="str">
            <v>EB5740020-004R001</v>
          </cell>
          <cell r="E6114" t="str">
            <v>右侧梁</v>
          </cell>
        </row>
        <row r="6115">
          <cell r="D6115" t="str">
            <v>EB5740020-004L001</v>
          </cell>
          <cell r="E6115" t="str">
            <v>右侧梁</v>
          </cell>
        </row>
        <row r="6116">
          <cell r="D6116" t="str">
            <v>EB5721120-001R001</v>
          </cell>
          <cell r="E6116" t="str">
            <v>前翼外段前梁二段</v>
          </cell>
        </row>
        <row r="6117">
          <cell r="D6117" t="str">
            <v>EB5721120-001R001</v>
          </cell>
          <cell r="E6117" t="str">
            <v>前翼外段前梁二段</v>
          </cell>
        </row>
        <row r="6118">
          <cell r="D6118" t="str">
            <v>EB5721120-001R001</v>
          </cell>
          <cell r="E6118" t="str">
            <v>前翼外段前梁二段</v>
          </cell>
        </row>
        <row r="6119">
          <cell r="D6119" t="str">
            <v>EB5721120-001L001</v>
          </cell>
          <cell r="E6119" t="str">
            <v>前翼外段前梁二段</v>
          </cell>
        </row>
        <row r="6120">
          <cell r="D6120" t="str">
            <v>EB5721120-001L001</v>
          </cell>
          <cell r="E6120" t="str">
            <v>前翼外段前梁二段</v>
          </cell>
        </row>
        <row r="6121">
          <cell r="D6121" t="str">
            <v>EB5721120-001L001</v>
          </cell>
          <cell r="E6121" t="str">
            <v>前翼外段前梁二段</v>
          </cell>
        </row>
        <row r="6122">
          <cell r="D6122" t="str">
            <v>DD-J10B-34303-7G2</v>
          </cell>
          <cell r="E6122" t="str">
            <v>第1隔板</v>
          </cell>
        </row>
        <row r="6123">
          <cell r="D6123" t="str">
            <v>DD-J10B-34303-7G2</v>
          </cell>
          <cell r="E6123" t="str">
            <v>第1隔板</v>
          </cell>
        </row>
        <row r="6124">
          <cell r="D6124" t="str">
            <v>DD-J10B-34303-8G2</v>
          </cell>
          <cell r="E6124" t="str">
            <v>第2隔板</v>
          </cell>
        </row>
        <row r="6125">
          <cell r="D6125" t="str">
            <v>DD-J10B-34303-8G2</v>
          </cell>
          <cell r="E6125" t="str">
            <v>第2隔板</v>
          </cell>
        </row>
        <row r="6126">
          <cell r="D6126" t="str">
            <v>DD-J10B-34303-9G2</v>
          </cell>
          <cell r="E6126" t="str">
            <v>第3隔板</v>
          </cell>
        </row>
        <row r="6127">
          <cell r="D6127" t="str">
            <v>DD-J10B-34303-9G2</v>
          </cell>
          <cell r="E6127" t="str">
            <v>第3隔板</v>
          </cell>
        </row>
        <row r="6128">
          <cell r="D6128" t="str">
            <v>DD-J10B-34303-11G2</v>
          </cell>
          <cell r="E6128" t="str">
            <v>第4隔板</v>
          </cell>
        </row>
        <row r="6129">
          <cell r="D6129" t="str">
            <v>DD-J10B-34303-11G2</v>
          </cell>
          <cell r="E6129" t="str">
            <v>第4隔板</v>
          </cell>
        </row>
        <row r="6130">
          <cell r="D6130" t="str">
            <v>DD-J10B-34303-12G2</v>
          </cell>
          <cell r="E6130" t="str">
            <v>第5隔板</v>
          </cell>
        </row>
        <row r="6131">
          <cell r="D6131" t="str">
            <v>DD-J10B-34303-12G2</v>
          </cell>
          <cell r="E6131" t="str">
            <v>第5隔板</v>
          </cell>
        </row>
        <row r="6132">
          <cell r="D6132" t="str">
            <v>DD-J10B-34303-13G2</v>
          </cell>
          <cell r="E6132" t="str">
            <v>第6隔板</v>
          </cell>
        </row>
        <row r="6133">
          <cell r="D6133" t="str">
            <v>DD-J10B-34303-13G2</v>
          </cell>
          <cell r="E6133" t="str">
            <v>第6隔板</v>
          </cell>
        </row>
        <row r="6134">
          <cell r="D6134" t="str">
            <v>DD-J10B-05236-111-Z</v>
          </cell>
          <cell r="E6134" t="str">
            <v>前隔框</v>
          </cell>
        </row>
        <row r="6135">
          <cell r="D6135" t="str">
            <v>DD-J10B-05236-111-Y</v>
          </cell>
          <cell r="E6135" t="str">
            <v>前隔框</v>
          </cell>
        </row>
        <row r="6136">
          <cell r="D6136" t="str">
            <v>DD-J10-21102-271</v>
          </cell>
          <cell r="E6136" t="str">
            <v>3#上垫片</v>
          </cell>
        </row>
        <row r="6137">
          <cell r="D6137" t="str">
            <v>DD-J10-21102-272</v>
          </cell>
          <cell r="E6137" t="str">
            <v>3#下垫片</v>
          </cell>
        </row>
        <row r="6138">
          <cell r="D6138" t="str">
            <v>DD-J10-21102-273</v>
          </cell>
          <cell r="E6138" t="str">
            <v>4#上垫片</v>
          </cell>
        </row>
        <row r="6139">
          <cell r="D6139" t="str">
            <v>DD-J10-21102-274</v>
          </cell>
          <cell r="E6139" t="str">
            <v>4#下垫片</v>
          </cell>
        </row>
        <row r="6140">
          <cell r="D6140" t="str">
            <v>Y20-5316107001-002</v>
          </cell>
          <cell r="E6140" t="str">
            <v>脚蹬纵向加强件</v>
          </cell>
        </row>
        <row r="6141">
          <cell r="D6141" t="str">
            <v>DD-J10B-82000-101G2</v>
          </cell>
          <cell r="E6141" t="str">
            <v>地板</v>
          </cell>
        </row>
        <row r="6142">
          <cell r="D6142" t="str">
            <v>DD-J10B-82000-101G2</v>
          </cell>
          <cell r="E6142" t="str">
            <v>地板</v>
          </cell>
        </row>
        <row r="6143">
          <cell r="D6143" t="str">
            <v>DD-J10B-82000-101G2</v>
          </cell>
          <cell r="E6143" t="str">
            <v>地板</v>
          </cell>
        </row>
        <row r="6144">
          <cell r="D6144" t="str">
            <v>DD-J10B-82000-101G2</v>
          </cell>
          <cell r="E6144" t="str">
            <v>地板</v>
          </cell>
        </row>
        <row r="6145">
          <cell r="D6145" t="str">
            <v>Y20-5311123022-001</v>
          </cell>
          <cell r="E6145" t="str">
            <v>口框加强件</v>
          </cell>
        </row>
        <row r="6146">
          <cell r="D6146" t="str">
            <v>Y20-5311123022-002</v>
          </cell>
          <cell r="E6146" t="str">
            <v>口框加强件</v>
          </cell>
        </row>
        <row r="6147">
          <cell r="D6147" t="str">
            <v>BC2291210-002-001</v>
          </cell>
          <cell r="E6147" t="str">
            <v>循环油滤卡箍</v>
          </cell>
        </row>
        <row r="6148">
          <cell r="D6148" t="str">
            <v>BC5328100-014-001</v>
          </cell>
          <cell r="E6148" t="str">
            <v>连接耳片</v>
          </cell>
        </row>
        <row r="6149">
          <cell r="D6149" t="str">
            <v>BC5315208-005-001</v>
          </cell>
          <cell r="E6149" t="str">
            <v>5458左内下框段</v>
          </cell>
        </row>
        <row r="6150">
          <cell r="D6150" t="str">
            <v>BC2282103-001-001</v>
          </cell>
          <cell r="E6150" t="str">
            <v>角片</v>
          </cell>
        </row>
        <row r="6151">
          <cell r="D6151" t="str">
            <v>BC3012210-001-002</v>
          </cell>
          <cell r="E6151" t="str">
            <v>前左斜操纵台</v>
          </cell>
        </row>
        <row r="6152">
          <cell r="D6152" t="str">
            <v>BC3012310-001-001</v>
          </cell>
          <cell r="E6152" t="str">
            <v>前右斜操纵台</v>
          </cell>
        </row>
        <row r="6153">
          <cell r="D6153" t="str">
            <v>BC2282305-001-001</v>
          </cell>
          <cell r="E6153" t="str">
            <v>转接接头</v>
          </cell>
        </row>
        <row r="6154">
          <cell r="D6154" t="str">
            <v>BC2282305-001-001</v>
          </cell>
          <cell r="E6154" t="str">
            <v>转接接头</v>
          </cell>
        </row>
        <row r="6155">
          <cell r="D6155" t="str">
            <v>BC2282305-001-001</v>
          </cell>
          <cell r="E6155" t="str">
            <v>转接接头</v>
          </cell>
        </row>
        <row r="6156">
          <cell r="D6156" t="str">
            <v>BC2291193-002-001</v>
          </cell>
          <cell r="E6156" t="str">
            <v>回油油滤卡箍</v>
          </cell>
        </row>
        <row r="6157">
          <cell r="D6157" t="str">
            <v>BC3012310-001-001</v>
          </cell>
          <cell r="E6157" t="str">
            <v>前右斜操纵台</v>
          </cell>
        </row>
        <row r="6158">
          <cell r="D6158" t="str">
            <v>DD-J10B-25002-30G2-1G2-Z</v>
          </cell>
          <cell r="E6158" t="str">
            <v>梁（左件）</v>
          </cell>
        </row>
        <row r="6159">
          <cell r="D6159" t="str">
            <v>DD-J10B-25002-30G2-1G2-Y</v>
          </cell>
          <cell r="E6159" t="str">
            <v>梁（右件）</v>
          </cell>
        </row>
        <row r="6160">
          <cell r="D6160" t="str">
            <v>CB5324310-003-006</v>
          </cell>
          <cell r="E6160" t="str">
            <v>角盒</v>
          </cell>
        </row>
        <row r="6161">
          <cell r="D6161" t="str">
            <v>DD-J10B-05236-111-Y</v>
          </cell>
          <cell r="E6161" t="str">
            <v>前隔框</v>
          </cell>
        </row>
        <row r="6162">
          <cell r="D6162" t="str">
            <v>DD-J10B-05236-111-Z</v>
          </cell>
          <cell r="E6162" t="str">
            <v>前隔框</v>
          </cell>
        </row>
        <row r="6163">
          <cell r="D6163" t="str">
            <v>EA5732100-005L001</v>
          </cell>
          <cell r="E6163" t="str">
            <v>后翼前缘第5肋</v>
          </cell>
        </row>
        <row r="6164">
          <cell r="D6164" t="str">
            <v>EA5732100-005R001</v>
          </cell>
          <cell r="E6164" t="str">
            <v>后翼前缘第5肋</v>
          </cell>
        </row>
        <row r="6165">
          <cell r="D6165" t="str">
            <v>XXX-000-00</v>
          </cell>
          <cell r="E6165" t="str">
            <v>XXX表转接板组合件</v>
          </cell>
        </row>
        <row r="6166">
          <cell r="D6166" t="str">
            <v>XXX-000-01</v>
          </cell>
          <cell r="E6166" t="str">
            <v>XXX表转接板</v>
          </cell>
        </row>
        <row r="6167">
          <cell r="D6167" t="str">
            <v>XXX-000-00</v>
          </cell>
          <cell r="E6167" t="str">
            <v>XXX表离心夹具组合件</v>
          </cell>
        </row>
        <row r="6168">
          <cell r="D6168" t="str">
            <v>XXX-000-01</v>
          </cell>
          <cell r="E6168" t="str">
            <v>XXX表离心夹具</v>
          </cell>
        </row>
        <row r="6169">
          <cell r="D6169" t="str">
            <v>XXX-000-00</v>
          </cell>
          <cell r="E6169" t="str">
            <v>XXX表振动夹具组合件</v>
          </cell>
        </row>
        <row r="6170">
          <cell r="D6170" t="str">
            <v>XXX-000-01</v>
          </cell>
          <cell r="E6170" t="str">
            <v>XXX表振动夹具</v>
          </cell>
        </row>
        <row r="6171">
          <cell r="D6171" t="str">
            <v>XXX-000-00</v>
          </cell>
          <cell r="E6171" t="str">
            <v>XXX开关转接板组合件</v>
          </cell>
        </row>
        <row r="6172">
          <cell r="D6172" t="str">
            <v>XXX-000-01</v>
          </cell>
          <cell r="E6172" t="str">
            <v>XXX开关转接板</v>
          </cell>
        </row>
        <row r="6173">
          <cell r="D6173" t="str">
            <v>XXX-ZQ-000-00</v>
          </cell>
          <cell r="E6173" t="str">
            <v>XXX驱振动夹具组合件</v>
          </cell>
        </row>
        <row r="6174">
          <cell r="D6174" t="str">
            <v>XXX-ZQ-000-01</v>
          </cell>
          <cell r="E6174" t="str">
            <v>XXX驱振动夹具</v>
          </cell>
        </row>
        <row r="6175">
          <cell r="D6175" t="str">
            <v>XXX-ZQ-000-00</v>
          </cell>
          <cell r="E6175" t="str">
            <v>XXX驱离心夹具组合件</v>
          </cell>
        </row>
        <row r="6176">
          <cell r="D6176" t="str">
            <v>XXX-ZQ-000-01</v>
          </cell>
          <cell r="E6176" t="str">
            <v>XXX驱离心夹具</v>
          </cell>
        </row>
        <row r="6177">
          <cell r="D6177" t="str">
            <v>DD-J10B-04321-30-1-Y</v>
          </cell>
          <cell r="E6177" t="str">
            <v>侧下梁（右件）</v>
          </cell>
        </row>
        <row r="6178">
          <cell r="D6178" t="str">
            <v>DD-J10B-04321-30-1-Y</v>
          </cell>
          <cell r="E6178" t="str">
            <v>侧下梁（右件）</v>
          </cell>
        </row>
        <row r="6179">
          <cell r="D6179" t="str">
            <v>DD-J10B-04321-30-1-Y</v>
          </cell>
          <cell r="E6179" t="str">
            <v>侧下梁（右件）</v>
          </cell>
        </row>
        <row r="6180">
          <cell r="D6180" t="str">
            <v>DD-J10B-04321-30-1-Y</v>
          </cell>
          <cell r="E6180" t="str">
            <v>侧下梁（右件）</v>
          </cell>
        </row>
        <row r="6181">
          <cell r="D6181" t="str">
            <v>DD-J10B-04321-30-1-Y</v>
          </cell>
          <cell r="E6181" t="str">
            <v>侧下梁（右件）</v>
          </cell>
        </row>
        <row r="6182">
          <cell r="D6182" t="str">
            <v>DD-J10B-04321-30-1-Y</v>
          </cell>
          <cell r="E6182" t="str">
            <v>侧下梁（右件）</v>
          </cell>
        </row>
        <row r="6183">
          <cell r="D6183" t="str">
            <v>DD-J10B-04321-30-1-Z</v>
          </cell>
          <cell r="E6183" t="str">
            <v>侧下梁（左件）</v>
          </cell>
        </row>
        <row r="6184">
          <cell r="D6184" t="str">
            <v>DD-J10B-04321-30-1-Z</v>
          </cell>
          <cell r="E6184" t="str">
            <v>侧下梁（左件）</v>
          </cell>
        </row>
        <row r="6185">
          <cell r="D6185" t="str">
            <v>DD-J10B-04321-30-1-Z</v>
          </cell>
          <cell r="E6185" t="str">
            <v>侧下梁（左件）</v>
          </cell>
        </row>
        <row r="6186">
          <cell r="D6186" t="str">
            <v>DD-J10B-04321-30-1-Z</v>
          </cell>
          <cell r="E6186" t="str">
            <v>侧下梁（左件）</v>
          </cell>
        </row>
        <row r="6187">
          <cell r="D6187" t="str">
            <v>EB5740020-004L001</v>
          </cell>
          <cell r="E6187" t="str">
            <v>右侧梁</v>
          </cell>
        </row>
        <row r="6188">
          <cell r="D6188" t="str">
            <v>EB5740020-004L001</v>
          </cell>
          <cell r="E6188" t="str">
            <v>右侧梁</v>
          </cell>
        </row>
        <row r="6189">
          <cell r="D6189" t="str">
            <v>EB5740020-004R001</v>
          </cell>
          <cell r="E6189" t="str">
            <v>右侧梁</v>
          </cell>
        </row>
        <row r="6190">
          <cell r="D6190" t="str">
            <v>EB5740020-004R001</v>
          </cell>
          <cell r="E6190" t="str">
            <v>右侧梁</v>
          </cell>
        </row>
        <row r="6191">
          <cell r="D6191" t="str">
            <v>EA5732100-005L001</v>
          </cell>
          <cell r="E6191" t="str">
            <v>后翼前缘第5肋</v>
          </cell>
        </row>
        <row r="6192">
          <cell r="D6192" t="str">
            <v>EA5732100-005R001</v>
          </cell>
          <cell r="E6192" t="str">
            <v>后翼前缘第5肋</v>
          </cell>
        </row>
        <row r="6193">
          <cell r="D6193" t="str">
            <v>EA5700041-008L001</v>
          </cell>
          <cell r="E6193" t="str">
            <v>后下对接肋</v>
          </cell>
        </row>
        <row r="6194">
          <cell r="D6194" t="str">
            <v>EA5700041-008R001</v>
          </cell>
          <cell r="E6194" t="str">
            <v>后下对接肋</v>
          </cell>
        </row>
        <row r="6195">
          <cell r="D6195" t="str">
            <v>GU5333100-003L001</v>
          </cell>
          <cell r="E6195" t="str">
            <v>左上大梁</v>
          </cell>
        </row>
        <row r="6196">
          <cell r="D6196" t="str">
            <v>GU5333100-003L001</v>
          </cell>
          <cell r="E6196" t="str">
            <v>左上大梁</v>
          </cell>
        </row>
        <row r="6197">
          <cell r="D6197" t="str">
            <v>GU5333100-003R001</v>
          </cell>
          <cell r="E6197" t="str">
            <v>右上大梁</v>
          </cell>
        </row>
        <row r="6198">
          <cell r="D6198" t="str">
            <v>GU5333100-003R001</v>
          </cell>
          <cell r="E6198" t="str">
            <v>右上大梁</v>
          </cell>
        </row>
        <row r="6199">
          <cell r="D6199" t="str">
            <v>CB2292182-003-001</v>
          </cell>
          <cell r="E6199" t="str">
            <v>衬套</v>
          </cell>
        </row>
        <row r="6200">
          <cell r="D6200" t="str">
            <v>CB229C431-003-001</v>
          </cell>
          <cell r="E6200" t="str">
            <v>衬套</v>
          </cell>
        </row>
        <row r="6201">
          <cell r="D6201" t="str">
            <v>CB22921F1-004-001</v>
          </cell>
          <cell r="E6201" t="str">
            <v>衬套</v>
          </cell>
        </row>
        <row r="6202">
          <cell r="D6202" t="str">
            <v>DD-J10-86011-3100-3</v>
          </cell>
          <cell r="E6202" t="str">
            <v>凸台</v>
          </cell>
        </row>
        <row r="6203">
          <cell r="D6203" t="str">
            <v>DD-J10-41123-1111</v>
          </cell>
          <cell r="E6203" t="str">
            <v>销子</v>
          </cell>
        </row>
        <row r="6204">
          <cell r="D6204" t="str">
            <v>DD-J10-62021-40-1</v>
          </cell>
          <cell r="E6204" t="str">
            <v>短管</v>
          </cell>
        </row>
        <row r="6205">
          <cell r="D6205" t="str">
            <v>DD-J10-62021-40-1</v>
          </cell>
          <cell r="E6205" t="str">
            <v>短管</v>
          </cell>
        </row>
        <row r="6206">
          <cell r="D6206" t="str">
            <v>DD-J10-62021-40-1</v>
          </cell>
          <cell r="E6206" t="str">
            <v>短管</v>
          </cell>
        </row>
        <row r="6207">
          <cell r="D6207" t="str">
            <v>DD-J10-04101-93</v>
          </cell>
          <cell r="E6207" t="str">
            <v>轴销</v>
          </cell>
        </row>
        <row r="6208">
          <cell r="D6208" t="str">
            <v>DD-J10-41153-120-2</v>
          </cell>
          <cell r="E6208" t="str">
            <v>挡销</v>
          </cell>
        </row>
        <row r="6209">
          <cell r="D6209" t="str">
            <v>DD-J10-64031-1221</v>
          </cell>
          <cell r="E6209" t="str">
            <v>耳片</v>
          </cell>
        </row>
        <row r="6210">
          <cell r="D6210" t="str">
            <v>Y20-5318100045-001</v>
          </cell>
          <cell r="E6210" t="str">
            <v>加强件</v>
          </cell>
        </row>
        <row r="6211">
          <cell r="D6211" t="str">
            <v>GU5715020-008R001</v>
          </cell>
          <cell r="E6211" t="str">
            <v>前缘19肋</v>
          </cell>
        </row>
        <row r="6212">
          <cell r="D6212" t="str">
            <v>GU5715020-008R001</v>
          </cell>
          <cell r="E6212" t="str">
            <v>前缘19肋</v>
          </cell>
        </row>
        <row r="6213">
          <cell r="D6213" t="str">
            <v>GU5715020-008L001</v>
          </cell>
          <cell r="E6213" t="str">
            <v>前缘19肋</v>
          </cell>
        </row>
        <row r="6214">
          <cell r="D6214" t="str">
            <v>GU5715010-001R001</v>
          </cell>
          <cell r="E6214" t="str">
            <v>前缘根肋</v>
          </cell>
        </row>
        <row r="6215">
          <cell r="D6215" t="str">
            <v>GU5715010-001R001</v>
          </cell>
          <cell r="E6215" t="str">
            <v>前缘根肋</v>
          </cell>
        </row>
        <row r="6216">
          <cell r="D6216" t="str">
            <v>GU5715010-001R001</v>
          </cell>
          <cell r="E6216" t="str">
            <v>前缘根肋</v>
          </cell>
        </row>
        <row r="6217">
          <cell r="D6217" t="str">
            <v>GU5715010-001L001</v>
          </cell>
          <cell r="E6217" t="str">
            <v>前缘根肋</v>
          </cell>
        </row>
        <row r="6218">
          <cell r="D6218" t="str">
            <v>GU5715010-001L001</v>
          </cell>
          <cell r="E6218" t="str">
            <v>前缘根肋</v>
          </cell>
        </row>
        <row r="6219">
          <cell r="D6219" t="str">
            <v>GU5715010-002L001</v>
          </cell>
          <cell r="E6219" t="str">
            <v>前缘1肋</v>
          </cell>
        </row>
        <row r="6220">
          <cell r="D6220" t="str">
            <v>GU5715010-002L001</v>
          </cell>
          <cell r="E6220" t="str">
            <v>前缘1肋</v>
          </cell>
        </row>
        <row r="6221">
          <cell r="D6221" t="str">
            <v>GU5715010-002R001</v>
          </cell>
          <cell r="E6221" t="str">
            <v>前缘1肋</v>
          </cell>
        </row>
        <row r="6222">
          <cell r="D6222" t="str">
            <v>GU5715010-002R001</v>
          </cell>
          <cell r="E6222" t="str">
            <v>前缘1肋</v>
          </cell>
        </row>
        <row r="6223">
          <cell r="D6223" t="str">
            <v>GU5714000-007L001</v>
          </cell>
          <cell r="E6223" t="str">
            <v>7600肋</v>
          </cell>
        </row>
        <row r="6224">
          <cell r="D6224" t="str">
            <v>GU5714000-007L001</v>
          </cell>
          <cell r="E6224" t="str">
            <v>7600肋</v>
          </cell>
        </row>
        <row r="6225">
          <cell r="D6225" t="str">
            <v>GU5714000-007R001</v>
          </cell>
          <cell r="E6225" t="str">
            <v>7600肋</v>
          </cell>
        </row>
        <row r="6226">
          <cell r="D6226" t="str">
            <v>GU5714000-007R001</v>
          </cell>
          <cell r="E6226" t="str">
            <v>7600肋</v>
          </cell>
        </row>
        <row r="6227">
          <cell r="D6227" t="str">
            <v>GU5715010-006L001</v>
          </cell>
          <cell r="E6227" t="str">
            <v>前缘5肋</v>
          </cell>
        </row>
        <row r="6228">
          <cell r="D6228" t="str">
            <v>GU5715010-006L001</v>
          </cell>
          <cell r="E6228" t="str">
            <v>前缘5肋</v>
          </cell>
        </row>
        <row r="6229">
          <cell r="D6229" t="str">
            <v>GU5715010-006R001</v>
          </cell>
          <cell r="E6229" t="str">
            <v>前缘5肋</v>
          </cell>
        </row>
        <row r="6230">
          <cell r="D6230" t="str">
            <v>GU5715010-006R001</v>
          </cell>
          <cell r="E6230" t="str">
            <v>前缘5肋</v>
          </cell>
        </row>
        <row r="6231">
          <cell r="D6231" t="str">
            <v>GU5715010-007L001</v>
          </cell>
          <cell r="E6231" t="str">
            <v>前缘6肋</v>
          </cell>
        </row>
        <row r="6232">
          <cell r="D6232" t="str">
            <v>GU5715010-007L001</v>
          </cell>
          <cell r="E6232" t="str">
            <v>前缘6肋</v>
          </cell>
        </row>
        <row r="6233">
          <cell r="D6233" t="str">
            <v>GU5715010-007R001</v>
          </cell>
          <cell r="E6233" t="str">
            <v>前缘6肋</v>
          </cell>
        </row>
        <row r="6234">
          <cell r="D6234" t="str">
            <v>GU5715010-007R001</v>
          </cell>
          <cell r="E6234" t="str">
            <v>前缘6肋</v>
          </cell>
        </row>
        <row r="6235">
          <cell r="D6235" t="str">
            <v>BC2282230-001-001</v>
          </cell>
          <cell r="E6235" t="str">
            <v>接头</v>
          </cell>
        </row>
        <row r="6236">
          <cell r="D6236" t="str">
            <v>BC5314101-007-001</v>
          </cell>
          <cell r="E6236" t="str">
            <v>型材</v>
          </cell>
        </row>
        <row r="6237">
          <cell r="D6237" t="str">
            <v>BC5312200-092R001</v>
          </cell>
          <cell r="E6237" t="str">
            <v>前上设备舱上大梁补强件</v>
          </cell>
        </row>
        <row r="6238">
          <cell r="D6238" t="str">
            <v>BC2283115-003-001</v>
          </cell>
          <cell r="E6238" t="str">
            <v>支架</v>
          </cell>
        </row>
        <row r="6239">
          <cell r="D6239" t="str">
            <v>BC5311300-003-001</v>
          </cell>
          <cell r="E6239" t="str">
            <v>前铰链支座</v>
          </cell>
        </row>
        <row r="6240">
          <cell r="D6240" t="str">
            <v>BC5311300-002-001</v>
          </cell>
          <cell r="E6240" t="str">
            <v>前铰链支座</v>
          </cell>
        </row>
        <row r="6241">
          <cell r="D6241" t="str">
            <v>BC2299175-001-001</v>
          </cell>
          <cell r="E6241" t="str">
            <v>支架</v>
          </cell>
        </row>
        <row r="6242">
          <cell r="D6242" t="str">
            <v>BC5327100-031R001</v>
          </cell>
          <cell r="E6242" t="str">
            <v>角盒</v>
          </cell>
        </row>
        <row r="6243">
          <cell r="D6243" t="str">
            <v>BC5312200-092L001</v>
          </cell>
          <cell r="E6243" t="str">
            <v>前上设备舱上大梁补强件</v>
          </cell>
        </row>
        <row r="6244">
          <cell r="D6244" t="str">
            <v>DD-J10-21102-390-1-Y</v>
          </cell>
          <cell r="E6244" t="str">
            <v>1150肋九段</v>
          </cell>
        </row>
        <row r="6245">
          <cell r="D6245" t="str">
            <v>DD-J10-21102-390-1-Z</v>
          </cell>
          <cell r="E6245" t="str">
            <v>1150肋九段</v>
          </cell>
        </row>
        <row r="6246">
          <cell r="D6246" t="str">
            <v>BC2291460-001-001</v>
          </cell>
          <cell r="E6246" t="str">
            <v>供压吸油软管接头支架</v>
          </cell>
        </row>
        <row r="6247">
          <cell r="D6247" t="str">
            <v>DD-J10-21102-250-2-Y</v>
          </cell>
          <cell r="E6247" t="str">
            <v>11900梁二段</v>
          </cell>
        </row>
        <row r="6248">
          <cell r="D6248" t="str">
            <v>BC3012110-006-001</v>
          </cell>
          <cell r="E6248" t="str">
            <v>显示器托架</v>
          </cell>
        </row>
        <row r="6249">
          <cell r="D6249" t="str">
            <v>BC5327100-031L001</v>
          </cell>
          <cell r="E6249" t="str">
            <v>角盒</v>
          </cell>
        </row>
        <row r="6250">
          <cell r="D6250" t="str">
            <v>BC5327100-031R001</v>
          </cell>
          <cell r="E6250" t="str">
            <v>角盒</v>
          </cell>
        </row>
        <row r="6251">
          <cell r="D6251" t="str">
            <v>BC5314401-002-001</v>
          </cell>
          <cell r="E6251" t="str">
            <v>4160右框</v>
          </cell>
        </row>
        <row r="6252">
          <cell r="D6252" t="str">
            <v>BC5314401-001-001</v>
          </cell>
          <cell r="E6252" t="str">
            <v>4160左框</v>
          </cell>
        </row>
        <row r="6253">
          <cell r="D6253" t="str">
            <v>BC3011320-003-001</v>
          </cell>
          <cell r="E6253" t="str">
            <v>安装支架</v>
          </cell>
        </row>
        <row r="6254">
          <cell r="D6254" t="str">
            <v>BC5314403-002-001</v>
          </cell>
          <cell r="E6254" t="str">
            <v>4470右框</v>
          </cell>
        </row>
        <row r="6255">
          <cell r="D6255" t="str">
            <v>BC5314404-002-001</v>
          </cell>
          <cell r="E6255" t="str">
            <v>4650右框</v>
          </cell>
        </row>
        <row r="6256">
          <cell r="D6256" t="str">
            <v>BC5314402-001-001</v>
          </cell>
          <cell r="E6256" t="str">
            <v>4290左框</v>
          </cell>
        </row>
        <row r="6257">
          <cell r="D6257" t="str">
            <v>BC5314402-002-001</v>
          </cell>
          <cell r="E6257" t="str">
            <v>4290右框</v>
          </cell>
        </row>
        <row r="6258">
          <cell r="D6258" t="str">
            <v>DD-J10-21102-32-Y</v>
          </cell>
          <cell r="E6258" t="str">
            <v>10060下接头</v>
          </cell>
        </row>
        <row r="6259">
          <cell r="D6259" t="str">
            <v>DD-J10-21102-32-Y</v>
          </cell>
          <cell r="E6259" t="str">
            <v>10060下接头</v>
          </cell>
        </row>
        <row r="6260">
          <cell r="D6260" t="str">
            <v>DD-J10-21102-32-Z</v>
          </cell>
          <cell r="E6260" t="str">
            <v>10060下接头</v>
          </cell>
        </row>
        <row r="6261">
          <cell r="D6261" t="str">
            <v>DD-J10-21102-32-Z</v>
          </cell>
          <cell r="E6261" t="str">
            <v>10060下接头</v>
          </cell>
        </row>
        <row r="6262">
          <cell r="D6262" t="str">
            <v>DD-J10B-71031-110-1</v>
          </cell>
          <cell r="E6262" t="str">
            <v>樑</v>
          </cell>
        </row>
        <row r="6263">
          <cell r="D6263" t="str">
            <v>DD-J10B-71031-110-1</v>
          </cell>
          <cell r="E6263" t="str">
            <v>樑</v>
          </cell>
        </row>
        <row r="6264">
          <cell r="D6264" t="str">
            <v>Y20-5318100045-001</v>
          </cell>
          <cell r="E6264" t="str">
            <v>加强件</v>
          </cell>
        </row>
        <row r="6265">
          <cell r="D6265" t="str">
            <v>Y20-5318100045-001</v>
          </cell>
          <cell r="E6265" t="str">
            <v>加强件</v>
          </cell>
        </row>
        <row r="6266">
          <cell r="D6266" t="str">
            <v>Y20-5318100045-001</v>
          </cell>
          <cell r="E6266" t="str">
            <v>加强件</v>
          </cell>
        </row>
        <row r="6267">
          <cell r="D6267" t="str">
            <v>Y20-5318100045-001</v>
          </cell>
          <cell r="E6267" t="str">
            <v>加强件</v>
          </cell>
        </row>
        <row r="6268">
          <cell r="D6268" t="str">
            <v>Y20-5318100045-001</v>
          </cell>
          <cell r="E6268" t="str">
            <v>加强件</v>
          </cell>
        </row>
        <row r="6269">
          <cell r="D6269" t="str">
            <v>Y20-5318100045-001</v>
          </cell>
          <cell r="E6269" t="str">
            <v>加强件</v>
          </cell>
        </row>
        <row r="6270">
          <cell r="D6270" t="str">
            <v>Y20-5318100045-001</v>
          </cell>
          <cell r="E6270" t="str">
            <v>加强件</v>
          </cell>
        </row>
        <row r="6271">
          <cell r="D6271" t="str">
            <v>CB2292321-001-003</v>
          </cell>
          <cell r="E6271" t="str">
            <v>支座</v>
          </cell>
        </row>
        <row r="6272">
          <cell r="D6272" t="str">
            <v>CB2292321-001-003</v>
          </cell>
          <cell r="E6272" t="str">
            <v>支座</v>
          </cell>
        </row>
        <row r="6273">
          <cell r="D6273" t="str">
            <v>DD-J10-54101-201</v>
          </cell>
          <cell r="E6273" t="str">
            <v>支座</v>
          </cell>
        </row>
        <row r="6274">
          <cell r="D6274" t="str">
            <v>DD-J10-54101-201</v>
          </cell>
          <cell r="E6274" t="str">
            <v>支座</v>
          </cell>
        </row>
        <row r="6275">
          <cell r="D6275" t="str">
            <v>DD-J10B-26002-1G2-Y</v>
          </cell>
          <cell r="E6275" t="str">
            <v>梁（右件）</v>
          </cell>
        </row>
        <row r="6276">
          <cell r="D6276" t="str">
            <v>DD-J10B-26002-1G2-Y</v>
          </cell>
          <cell r="E6276" t="str">
            <v>梁（右件）</v>
          </cell>
        </row>
        <row r="6277">
          <cell r="D6277" t="str">
            <v>DD-J10B-26002-1G2-Y</v>
          </cell>
          <cell r="E6277" t="str">
            <v>梁（右件）</v>
          </cell>
        </row>
        <row r="6278">
          <cell r="D6278" t="str">
            <v>DD-J10B-26002-1G2-Y</v>
          </cell>
          <cell r="E6278" t="str">
            <v>梁（右件）</v>
          </cell>
        </row>
        <row r="6279">
          <cell r="D6279" t="str">
            <v>DD-J10B-26002-1G2-Y</v>
          </cell>
          <cell r="E6279" t="str">
            <v>梁（右件）</v>
          </cell>
        </row>
        <row r="6280">
          <cell r="D6280" t="str">
            <v>DD-J10B-26002-1G2-Z</v>
          </cell>
          <cell r="E6280" t="str">
            <v>梁（左件）</v>
          </cell>
        </row>
        <row r="6281">
          <cell r="D6281" t="str">
            <v>DD-J10B-26002-1G2-Z</v>
          </cell>
          <cell r="E6281" t="str">
            <v>梁（左件）</v>
          </cell>
        </row>
        <row r="6282">
          <cell r="D6282" t="str">
            <v>DD-J10B-26002-1G2-Z</v>
          </cell>
          <cell r="E6282" t="str">
            <v>梁（左件）</v>
          </cell>
        </row>
        <row r="6283">
          <cell r="D6283" t="str">
            <v>DD-J10B-26002-1G2-Z</v>
          </cell>
          <cell r="E6283" t="str">
            <v>梁（左件）</v>
          </cell>
        </row>
        <row r="6284">
          <cell r="D6284" t="str">
            <v>DD-J10B-26002-1G2-Z</v>
          </cell>
          <cell r="E6284" t="str">
            <v>梁（左件）</v>
          </cell>
        </row>
        <row r="6285">
          <cell r="D6285" t="str">
            <v>J10-55055-2611</v>
          </cell>
          <cell r="E6285" t="str">
            <v>接管嘴</v>
          </cell>
        </row>
        <row r="6286">
          <cell r="D6286" t="str">
            <v>EA5700041-008L001</v>
          </cell>
          <cell r="E6286" t="str">
            <v>后下对接肋</v>
          </cell>
        </row>
        <row r="6287">
          <cell r="D6287" t="str">
            <v>EA5700041-008R001</v>
          </cell>
          <cell r="E6287" t="str">
            <v>后下对接肋</v>
          </cell>
        </row>
        <row r="6288">
          <cell r="D6288" t="str">
            <v>XXX-000-00</v>
          </cell>
          <cell r="E6288" t="str">
            <v>XXX振动夹具组合件</v>
          </cell>
        </row>
        <row r="6289">
          <cell r="D6289" t="str">
            <v>XXX-000-01</v>
          </cell>
          <cell r="E6289" t="str">
            <v>XXX振动夹具</v>
          </cell>
        </row>
        <row r="6290">
          <cell r="D6290" t="str">
            <v>XXX-000-00</v>
          </cell>
          <cell r="E6290" t="str">
            <v>XXX离心夹具组合件</v>
          </cell>
        </row>
        <row r="6291">
          <cell r="D6291" t="str">
            <v>XXX-000-01</v>
          </cell>
          <cell r="E6291" t="str">
            <v>XXX离心夹具</v>
          </cell>
        </row>
        <row r="6292">
          <cell r="D6292" t="str">
            <v>XXX-000-00</v>
          </cell>
          <cell r="E6292" t="str">
            <v>XXX离心夹具组合件</v>
          </cell>
        </row>
        <row r="6293">
          <cell r="D6293" t="str">
            <v>XXX-000-01</v>
          </cell>
          <cell r="E6293" t="str">
            <v>XXX离心夹具</v>
          </cell>
        </row>
        <row r="6294">
          <cell r="D6294" t="str">
            <v>DD-J10-21002-1-Y</v>
          </cell>
          <cell r="E6294" t="str">
            <v>4号上壁板（右件）</v>
          </cell>
        </row>
        <row r="6295">
          <cell r="D6295" t="str">
            <v>DD-J10-21002-1-Z</v>
          </cell>
          <cell r="E6295" t="str">
            <v>4号上壁板（左件）</v>
          </cell>
        </row>
        <row r="6296">
          <cell r="D6296" t="str">
            <v>DD-J10-21002-1-Z</v>
          </cell>
          <cell r="E6296" t="str">
            <v>4号上壁板（左件）</v>
          </cell>
        </row>
        <row r="6297">
          <cell r="D6297" t="str">
            <v>DD-J10B-04041-1</v>
          </cell>
          <cell r="E6297" t="str">
            <v>10060框</v>
          </cell>
        </row>
        <row r="6298">
          <cell r="D6298" t="str">
            <v>DD-J10B-04061-1</v>
          </cell>
          <cell r="E6298" t="str">
            <v>10860框</v>
          </cell>
        </row>
        <row r="6299">
          <cell r="D6299" t="str">
            <v>DD-J10B-71031-110-1</v>
          </cell>
          <cell r="E6299" t="str">
            <v>樑</v>
          </cell>
        </row>
        <row r="6300">
          <cell r="D6300" t="str">
            <v>DD-J10-25002-1-Y</v>
          </cell>
          <cell r="E6300" t="str">
            <v>第3肋</v>
          </cell>
        </row>
        <row r="6301">
          <cell r="D6301" t="str">
            <v>DD-J10-25002-1-Y</v>
          </cell>
          <cell r="E6301" t="str">
            <v>第3肋</v>
          </cell>
        </row>
        <row r="6302">
          <cell r="D6302" t="str">
            <v>DD-J10-25002-1-Z</v>
          </cell>
          <cell r="E6302" t="str">
            <v>第3肋</v>
          </cell>
        </row>
        <row r="6303">
          <cell r="D6303" t="str">
            <v>DD-J10-25002-1-Z</v>
          </cell>
          <cell r="E6303" t="str">
            <v>第3肋</v>
          </cell>
        </row>
        <row r="6304">
          <cell r="D6304" t="str">
            <v>DD-J10B-02161-0G2-201G2</v>
          </cell>
          <cell r="E6304" t="str">
            <v>密封垫</v>
          </cell>
        </row>
        <row r="6305">
          <cell r="D6305" t="str">
            <v>DD-J10B-02161-0G2-201G2</v>
          </cell>
          <cell r="E6305" t="str">
            <v>密封垫</v>
          </cell>
        </row>
        <row r="6306">
          <cell r="D6306" t="str">
            <v>DD-J10B-02161-0G2-202G2-Z</v>
          </cell>
          <cell r="E6306" t="str">
            <v>密封垫</v>
          </cell>
        </row>
        <row r="6307">
          <cell r="D6307" t="str">
            <v>DD-J10B-02161-0G2-202G2-Z</v>
          </cell>
          <cell r="E6307" t="str">
            <v>密封垫</v>
          </cell>
        </row>
        <row r="6308">
          <cell r="D6308" t="str">
            <v>DD-J10B-02161-0G2-202G2-Y</v>
          </cell>
          <cell r="E6308" t="str">
            <v>密封垫</v>
          </cell>
        </row>
        <row r="6309">
          <cell r="D6309" t="str">
            <v>DD-J10B-02161-0G2-202G2-Y</v>
          </cell>
          <cell r="E6309" t="str">
            <v>密封垫</v>
          </cell>
        </row>
        <row r="6310">
          <cell r="D6310" t="str">
            <v>DD-J10B-02161-0G2-203G2</v>
          </cell>
          <cell r="E6310" t="str">
            <v>密封垫</v>
          </cell>
        </row>
        <row r="6311">
          <cell r="D6311" t="str">
            <v>DD-J10B-02161-0G2-203G2</v>
          </cell>
          <cell r="E6311" t="str">
            <v>密封垫</v>
          </cell>
        </row>
        <row r="6312">
          <cell r="D6312" t="str">
            <v>DD-J10B-94011-582G2</v>
          </cell>
          <cell r="E6312" t="str">
            <v>堵头</v>
          </cell>
        </row>
        <row r="6313">
          <cell r="D6313" t="str">
            <v>CB5327220-002L001</v>
          </cell>
          <cell r="E6313" t="str">
            <v>型材</v>
          </cell>
        </row>
        <row r="6314">
          <cell r="D6314" t="str">
            <v>CB5327220-002R001</v>
          </cell>
          <cell r="E6314" t="str">
            <v>型材</v>
          </cell>
        </row>
        <row r="6315">
          <cell r="D6315" t="str">
            <v>DD-J10B-04061-1</v>
          </cell>
          <cell r="E6315" t="str">
            <v>10860框</v>
          </cell>
        </row>
        <row r="6316">
          <cell r="D6316" t="str">
            <v>DD-J10B-04061-1</v>
          </cell>
          <cell r="E6316" t="str">
            <v>10860框</v>
          </cell>
        </row>
        <row r="6317">
          <cell r="D6317" t="str">
            <v>DD-J10B-04061-1</v>
          </cell>
          <cell r="E6317" t="str">
            <v>10860框</v>
          </cell>
        </row>
        <row r="6318">
          <cell r="D6318" t="str">
            <v>Y20-5312225029-001</v>
          </cell>
          <cell r="E6318" t="str">
            <v>纵向加强件</v>
          </cell>
        </row>
        <row r="6319">
          <cell r="D6319" t="str">
            <v>Y20-5312225029-002</v>
          </cell>
          <cell r="E6319" t="str">
            <v>纵向加强件</v>
          </cell>
        </row>
        <row r="6320">
          <cell r="D6320" t="str">
            <v>DD-J10B-21002-2-Z</v>
          </cell>
          <cell r="E6320" t="str">
            <v>4号下壁板（左件）</v>
          </cell>
        </row>
        <row r="6321">
          <cell r="D6321" t="str">
            <v>DD-J10B-21002-2-Z</v>
          </cell>
          <cell r="E6321" t="str">
            <v>4号下壁板（左件）</v>
          </cell>
        </row>
        <row r="6322">
          <cell r="D6322" t="str">
            <v>DD-J10B-21002-2-Z</v>
          </cell>
          <cell r="E6322" t="str">
            <v>4号下壁板（左件）</v>
          </cell>
        </row>
        <row r="6323">
          <cell r="D6323" t="str">
            <v>DD-J10B-21002-2-Y</v>
          </cell>
          <cell r="E6323" t="str">
            <v>4号下壁板（右件）</v>
          </cell>
        </row>
        <row r="6324">
          <cell r="D6324" t="str">
            <v>DD-J10B-21002-2-Y</v>
          </cell>
          <cell r="E6324" t="str">
            <v>4号下壁板（右件）</v>
          </cell>
        </row>
        <row r="6325">
          <cell r="D6325" t="str">
            <v>DD-J10B-21002-2-Y</v>
          </cell>
          <cell r="E6325" t="str">
            <v>4号下壁板（右件）</v>
          </cell>
        </row>
        <row r="6326">
          <cell r="D6326" t="str">
            <v>DD-J10B-04051-1</v>
          </cell>
          <cell r="E6326" t="str">
            <v>10460框</v>
          </cell>
        </row>
        <row r="6327">
          <cell r="D6327" t="str">
            <v>DD-J10B-04051-1</v>
          </cell>
          <cell r="E6327" t="str">
            <v>10460框</v>
          </cell>
        </row>
        <row r="6328">
          <cell r="D6328" t="str">
            <v>DD-J10B-04051-1</v>
          </cell>
          <cell r="E6328" t="str">
            <v>10460框</v>
          </cell>
        </row>
        <row r="6329">
          <cell r="D6329" t="str">
            <v>DD-J10B-04051-1</v>
          </cell>
          <cell r="E6329" t="str">
            <v>10460框</v>
          </cell>
        </row>
        <row r="6330">
          <cell r="D6330" t="str">
            <v>DD-J10B-04051-1</v>
          </cell>
          <cell r="E6330" t="str">
            <v>10460框</v>
          </cell>
        </row>
        <row r="6331">
          <cell r="D6331" t="str">
            <v>DD-J10B-04051-1</v>
          </cell>
          <cell r="E6331" t="str">
            <v>10460框</v>
          </cell>
        </row>
        <row r="6332">
          <cell r="D6332" t="str">
            <v>XXX-00000-01</v>
          </cell>
          <cell r="E6332" t="str">
            <v>套筒</v>
          </cell>
        </row>
        <row r="6333">
          <cell r="D6333" t="str">
            <v>XXX-00000-02</v>
          </cell>
          <cell r="E6333" t="str">
            <v>压紧螺母</v>
          </cell>
        </row>
        <row r="6334">
          <cell r="D6334" t="str">
            <v>XXX-00000-03</v>
          </cell>
          <cell r="E6334" t="str">
            <v>转接螺钉</v>
          </cell>
        </row>
        <row r="6335">
          <cell r="D6335" t="str">
            <v>DD-J10B-55121-6</v>
          </cell>
          <cell r="E6335" t="str">
            <v>角片</v>
          </cell>
        </row>
        <row r="6336">
          <cell r="D6336" t="str">
            <v>DD-J10-55181-16</v>
          </cell>
          <cell r="E6336" t="str">
            <v>变径三通管接头</v>
          </cell>
        </row>
        <row r="6337">
          <cell r="D6337" t="str">
            <v>EA5731400-002L001</v>
          </cell>
          <cell r="E6337" t="str">
            <v>后翼主翼面2肋</v>
          </cell>
        </row>
        <row r="6338">
          <cell r="D6338" t="str">
            <v>EA5731400-003L001</v>
          </cell>
          <cell r="E6338" t="str">
            <v>后翼主翼面3肋</v>
          </cell>
        </row>
        <row r="6339">
          <cell r="D6339" t="str">
            <v>CB3014940-001-002</v>
          </cell>
          <cell r="E6339" t="str">
            <v>左BL297侧框</v>
          </cell>
        </row>
        <row r="6340">
          <cell r="D6340" t="str">
            <v>CB5822016-032L001</v>
          </cell>
          <cell r="E6340" t="str">
            <v>角片</v>
          </cell>
        </row>
        <row r="6341">
          <cell r="D6341" t="str">
            <v>CB5822016-032L001</v>
          </cell>
          <cell r="E6341" t="str">
            <v>角片</v>
          </cell>
        </row>
        <row r="6342">
          <cell r="D6342" t="str">
            <v>CB5822016-032R001</v>
          </cell>
          <cell r="E6342" t="str">
            <v>角片</v>
          </cell>
        </row>
        <row r="6343">
          <cell r="D6343" t="str">
            <v>CB5822016-032R001</v>
          </cell>
          <cell r="E6343" t="str">
            <v>角片</v>
          </cell>
        </row>
        <row r="6344">
          <cell r="D6344" t="str">
            <v>Y20-5319170003-001</v>
          </cell>
          <cell r="E6344" t="str">
            <v>角型材</v>
          </cell>
        </row>
        <row r="6345">
          <cell r="D6345" t="str">
            <v>Y20-5319170003-002</v>
          </cell>
          <cell r="E6345" t="str">
            <v>角型材</v>
          </cell>
        </row>
        <row r="6346">
          <cell r="D6346" t="str">
            <v>Y20-5319170004-001</v>
          </cell>
          <cell r="E6346" t="str">
            <v>角型材</v>
          </cell>
        </row>
        <row r="6347">
          <cell r="D6347" t="str">
            <v>Y20-5319170004-002</v>
          </cell>
          <cell r="E6347" t="str">
            <v>角型材</v>
          </cell>
        </row>
        <row r="6348">
          <cell r="D6348" t="str">
            <v>Y20-5315200201-001</v>
          </cell>
          <cell r="E6348" t="str">
            <v>15框外缘角型接头</v>
          </cell>
        </row>
        <row r="6349">
          <cell r="D6349" t="str">
            <v>Y20-5211025003-001</v>
          </cell>
          <cell r="E6349" t="str">
            <v>螺栓</v>
          </cell>
        </row>
        <row r="6350">
          <cell r="D6350" t="str">
            <v>BC2283115-004-001</v>
          </cell>
          <cell r="E6350" t="str">
            <v>支架</v>
          </cell>
        </row>
        <row r="6351">
          <cell r="D6351" t="str">
            <v>BC2283115-004-001</v>
          </cell>
          <cell r="E6351" t="str">
            <v>支架</v>
          </cell>
        </row>
        <row r="6352">
          <cell r="D6352" t="str">
            <v>BC3012610-001-002</v>
          </cell>
          <cell r="E6352" t="str">
            <v>后右斜操纵台</v>
          </cell>
        </row>
        <row r="6353">
          <cell r="D6353" t="str">
            <v>BC3012210-001-002</v>
          </cell>
          <cell r="E6353" t="str">
            <v>前左斜操纵台</v>
          </cell>
        </row>
        <row r="6354">
          <cell r="D6354" t="str">
            <v>Y20-5212290006-001</v>
          </cell>
          <cell r="E6354" t="str">
            <v>合页片</v>
          </cell>
        </row>
        <row r="6355">
          <cell r="D6355" t="str">
            <v>DD-J10-21102-33-Y</v>
          </cell>
          <cell r="E6355" t="str">
            <v>10460上接头</v>
          </cell>
        </row>
        <row r="6356">
          <cell r="D6356" t="str">
            <v>DD-J10-21102-33-Z</v>
          </cell>
          <cell r="E6356" t="str">
            <v>10460上接头</v>
          </cell>
        </row>
        <row r="6357">
          <cell r="D6357" t="str">
            <v>DD-J10-21102-31-Z</v>
          </cell>
          <cell r="E6357" t="str">
            <v>10060上接头</v>
          </cell>
        </row>
        <row r="6358">
          <cell r="D6358" t="str">
            <v>DD-J10-21102-31-Y</v>
          </cell>
          <cell r="E6358" t="str">
            <v>10060上接头</v>
          </cell>
        </row>
        <row r="6359">
          <cell r="D6359" t="str">
            <v>Y20-5319170012-002</v>
          </cell>
          <cell r="E6359" t="str">
            <v>机加角型材</v>
          </cell>
        </row>
        <row r="6360">
          <cell r="D6360" t="str">
            <v>Y20-5319170012-002</v>
          </cell>
          <cell r="E6360" t="str">
            <v>机加角型材</v>
          </cell>
        </row>
        <row r="6361">
          <cell r="D6361" t="str">
            <v>Y20-5319170012-002</v>
          </cell>
          <cell r="E6361" t="str">
            <v>机加角型材</v>
          </cell>
        </row>
        <row r="6362">
          <cell r="D6362" t="str">
            <v>Y20-5319170012-002</v>
          </cell>
          <cell r="E6362" t="str">
            <v>机加角型材</v>
          </cell>
        </row>
        <row r="6363">
          <cell r="D6363" t="str">
            <v>Y20-5319170012-001</v>
          </cell>
          <cell r="E6363" t="str">
            <v>机加角型材</v>
          </cell>
        </row>
        <row r="6364">
          <cell r="D6364" t="str">
            <v>Y20-5319170012-001</v>
          </cell>
          <cell r="E6364" t="str">
            <v>机加角型材</v>
          </cell>
        </row>
        <row r="6365">
          <cell r="D6365" t="str">
            <v>Y20-5319170012-001</v>
          </cell>
          <cell r="E6365" t="str">
            <v>机加角型材</v>
          </cell>
        </row>
        <row r="6366">
          <cell r="D6366" t="str">
            <v>Y20-5319170012-001</v>
          </cell>
          <cell r="E6366" t="str">
            <v>机加角型材</v>
          </cell>
        </row>
        <row r="6367">
          <cell r="D6367" t="str">
            <v>EA5731400-002R001</v>
          </cell>
          <cell r="E6367" t="str">
            <v>后翼主翼面2肋</v>
          </cell>
        </row>
        <row r="6368">
          <cell r="D6368" t="str">
            <v>EA5731400-003R001</v>
          </cell>
          <cell r="E6368" t="str">
            <v>后翼主翼面3肋</v>
          </cell>
        </row>
        <row r="6369">
          <cell r="D6369" t="str">
            <v>EA5731400-002L001</v>
          </cell>
          <cell r="E6369" t="str">
            <v>后翼主翼面2肋</v>
          </cell>
        </row>
        <row r="6370">
          <cell r="D6370" t="str">
            <v>EA5731400-003L001</v>
          </cell>
          <cell r="E6370" t="str">
            <v>后翼主翼面3肋</v>
          </cell>
        </row>
        <row r="6371">
          <cell r="D6371" t="str">
            <v>EA5731400-003R001</v>
          </cell>
          <cell r="E6371" t="str">
            <v>后翼主翼面3肋</v>
          </cell>
        </row>
        <row r="6372">
          <cell r="D6372" t="str">
            <v>EA5731400-002R001</v>
          </cell>
          <cell r="E6372" t="str">
            <v>后翼主翼面2肋</v>
          </cell>
        </row>
        <row r="6373">
          <cell r="D6373" t="str">
            <v>DD-J10B-02161-501</v>
          </cell>
          <cell r="E6373" t="str">
            <v>5755横框</v>
          </cell>
        </row>
        <row r="6374">
          <cell r="D6374" t="str">
            <v>DD-J10-34103-4</v>
          </cell>
          <cell r="E6374" t="str">
            <v>上边肋</v>
          </cell>
        </row>
        <row r="6375">
          <cell r="D6375" t="str">
            <v>DD-J10B-02041-2-Y</v>
          </cell>
          <cell r="E6375" t="str">
            <v>前上大梁</v>
          </cell>
        </row>
        <row r="6376">
          <cell r="D6376" t="str">
            <v>DD-J10B-02041-2-Y</v>
          </cell>
          <cell r="E6376" t="str">
            <v>前上大梁</v>
          </cell>
        </row>
        <row r="6377">
          <cell r="D6377" t="str">
            <v>DD-J10B-02041-2-Y</v>
          </cell>
          <cell r="E6377" t="str">
            <v>前上大梁</v>
          </cell>
        </row>
        <row r="6378">
          <cell r="D6378" t="str">
            <v>DD-J10B-02041-2-Z</v>
          </cell>
          <cell r="E6378" t="str">
            <v>前上大梁</v>
          </cell>
        </row>
        <row r="6379">
          <cell r="D6379" t="str">
            <v>DD-J10B-02041-2-Z</v>
          </cell>
          <cell r="E6379" t="str">
            <v>前上大梁</v>
          </cell>
        </row>
        <row r="6380">
          <cell r="D6380" t="str">
            <v>DD-J10B-02041-2-Z</v>
          </cell>
          <cell r="E6380" t="str">
            <v>前上大梁</v>
          </cell>
        </row>
        <row r="6381">
          <cell r="D6381" t="str">
            <v>DD-J10B-02041-2-Z</v>
          </cell>
          <cell r="E6381" t="str">
            <v>前上大梁</v>
          </cell>
        </row>
        <row r="6382">
          <cell r="D6382" t="str">
            <v>CB3014940-001-002</v>
          </cell>
          <cell r="E6382" t="str">
            <v>左BL297侧框</v>
          </cell>
        </row>
        <row r="6383">
          <cell r="D6383" t="str">
            <v>CB3014940-001-002</v>
          </cell>
          <cell r="E6383" t="str">
            <v>左BL297侧框</v>
          </cell>
        </row>
        <row r="6384">
          <cell r="D6384" t="str">
            <v>Y20-5317015061-001</v>
          </cell>
          <cell r="E6384" t="str">
            <v>T形长桁</v>
          </cell>
        </row>
        <row r="6385">
          <cell r="D6385" t="str">
            <v>Y20-5317015061-001</v>
          </cell>
          <cell r="E6385" t="str">
            <v>T形长桁</v>
          </cell>
        </row>
        <row r="6386">
          <cell r="D6386" t="str">
            <v>Y20-5317015061-001</v>
          </cell>
          <cell r="E6386" t="str">
            <v>T形长桁</v>
          </cell>
        </row>
        <row r="6387">
          <cell r="D6387" t="str">
            <v>Y20-5314118004-001</v>
          </cell>
          <cell r="E6387" t="str">
            <v>对接角片</v>
          </cell>
        </row>
        <row r="6388">
          <cell r="D6388" t="str">
            <v>Y20-5314118004-002</v>
          </cell>
          <cell r="E6388" t="str">
            <v>对接角片</v>
          </cell>
        </row>
        <row r="6389">
          <cell r="D6389" t="str">
            <v>Y20-5312100064-001</v>
          </cell>
          <cell r="E6389" t="str">
            <v>型材</v>
          </cell>
        </row>
        <row r="6390">
          <cell r="D6390" t="str">
            <v>Y20-4383220003-001</v>
          </cell>
          <cell r="E6390" t="str">
            <v>支架</v>
          </cell>
        </row>
        <row r="6391">
          <cell r="D6391" t="str">
            <v>Y20-5311123023-001</v>
          </cell>
          <cell r="E6391" t="str">
            <v>口框加强件</v>
          </cell>
        </row>
        <row r="6392">
          <cell r="D6392" t="str">
            <v>Y20-5311123023-002</v>
          </cell>
          <cell r="E6392" t="str">
            <v>口框加强件</v>
          </cell>
        </row>
        <row r="6393">
          <cell r="D6393" t="str">
            <v>BC3012410-003-001</v>
          </cell>
          <cell r="E6393" t="str">
            <v>视频显示器托架</v>
          </cell>
        </row>
        <row r="6394">
          <cell r="D6394" t="str">
            <v>DD-J10B-21302-40G2-1-Z</v>
          </cell>
          <cell r="E6394" t="str">
            <v>后梁四段</v>
          </cell>
        </row>
        <row r="6395">
          <cell r="D6395" t="str">
            <v>DD-J10B-21302-40G2-1-Z</v>
          </cell>
          <cell r="E6395" t="str">
            <v>后梁四段</v>
          </cell>
        </row>
        <row r="6396">
          <cell r="D6396" t="str">
            <v>DD-J10-21102-410-1-Z</v>
          </cell>
          <cell r="E6396" t="str">
            <v>1150肋根肋</v>
          </cell>
        </row>
        <row r="6397">
          <cell r="D6397" t="str">
            <v>DD-J10-21102-410-1-Z</v>
          </cell>
          <cell r="E6397" t="str">
            <v>1150肋根肋</v>
          </cell>
        </row>
        <row r="6398">
          <cell r="D6398" t="str">
            <v>DD-J10-21102-410-1-Y</v>
          </cell>
          <cell r="E6398" t="str">
            <v>1150肋根肋</v>
          </cell>
        </row>
        <row r="6399">
          <cell r="D6399" t="str">
            <v>DD-J10-21102-410-1-Y</v>
          </cell>
          <cell r="E6399" t="str">
            <v>1150肋根肋</v>
          </cell>
        </row>
        <row r="6400">
          <cell r="D6400" t="str">
            <v>DD-J10-21102-410-1-Y</v>
          </cell>
          <cell r="E6400" t="str">
            <v>1150肋根肋</v>
          </cell>
        </row>
        <row r="6401">
          <cell r="D6401" t="str">
            <v>Y20-5317018021-001</v>
          </cell>
          <cell r="E6401" t="str">
            <v>工字型材</v>
          </cell>
        </row>
        <row r="6402">
          <cell r="D6402" t="str">
            <v>Y20-5317018021-001</v>
          </cell>
          <cell r="E6402" t="str">
            <v>工字型材</v>
          </cell>
        </row>
        <row r="6403">
          <cell r="D6403" t="str">
            <v>GU5714000-008L001</v>
          </cell>
          <cell r="E6403" t="str">
            <v>8800肋</v>
          </cell>
        </row>
        <row r="6404">
          <cell r="D6404" t="str">
            <v>GU5714000-008R001</v>
          </cell>
          <cell r="E6404" t="str">
            <v>8800肋</v>
          </cell>
        </row>
        <row r="6405">
          <cell r="D6405" t="str">
            <v>GU5714000-009L001</v>
          </cell>
          <cell r="E6405" t="str">
            <v>端肋</v>
          </cell>
        </row>
        <row r="6406">
          <cell r="D6406" t="str">
            <v>GU5714000-009R001</v>
          </cell>
          <cell r="E6406" t="str">
            <v>端肋</v>
          </cell>
        </row>
        <row r="6407">
          <cell r="D6407" t="str">
            <v>GU5714000-009R001</v>
          </cell>
          <cell r="E6407" t="str">
            <v>端肋</v>
          </cell>
        </row>
        <row r="6408">
          <cell r="D6408" t="str">
            <v>GU5714000-011R001</v>
          </cell>
          <cell r="E6408" t="str">
            <v>8800肋角片</v>
          </cell>
        </row>
        <row r="6409">
          <cell r="D6409" t="str">
            <v>GU5714000-011L001</v>
          </cell>
          <cell r="E6409" t="str">
            <v>8800肋角片</v>
          </cell>
        </row>
        <row r="6410">
          <cell r="D6410" t="str">
            <v>GU5714000-012R001</v>
          </cell>
          <cell r="E6410" t="str">
            <v>7600肋角片</v>
          </cell>
        </row>
        <row r="6411">
          <cell r="D6411" t="str">
            <v>GU5714000-012L001</v>
          </cell>
          <cell r="E6411" t="str">
            <v>7600肋角片</v>
          </cell>
        </row>
        <row r="6412">
          <cell r="D6412" t="str">
            <v>GU5312200-003-001</v>
          </cell>
          <cell r="E6412" t="str">
            <v>右上框</v>
          </cell>
        </row>
        <row r="6413">
          <cell r="D6413" t="str">
            <v>GU5312200-002-001</v>
          </cell>
          <cell r="E6413" t="str">
            <v>左上框</v>
          </cell>
        </row>
        <row r="6414">
          <cell r="D6414" t="str">
            <v>GU5312200-002-001</v>
          </cell>
          <cell r="E6414" t="str">
            <v>左上框</v>
          </cell>
        </row>
        <row r="6415">
          <cell r="D6415" t="str">
            <v>GU5312200-002-001</v>
          </cell>
          <cell r="E6415" t="str">
            <v>左上框</v>
          </cell>
        </row>
        <row r="6416">
          <cell r="D6416" t="str">
            <v>XXXXXX-0000-02</v>
          </cell>
          <cell r="E6416" t="str">
            <v>盖板</v>
          </cell>
        </row>
        <row r="6417">
          <cell r="D6417" t="str">
            <v>XXXXXX-2000-01</v>
          </cell>
          <cell r="E6417" t="str">
            <v>安装座</v>
          </cell>
        </row>
        <row r="6418">
          <cell r="D6418" t="str">
            <v>XXXXXX-2000-02</v>
          </cell>
          <cell r="E6418" t="str">
            <v>高压盒盖</v>
          </cell>
        </row>
        <row r="6419">
          <cell r="D6419" t="str">
            <v>XXXXXX-2000-03</v>
          </cell>
          <cell r="E6419" t="str">
            <v>屏蔽板</v>
          </cell>
        </row>
        <row r="6420">
          <cell r="D6420" t="str">
            <v>XXXXXX-2000-04</v>
          </cell>
          <cell r="E6420" t="str">
            <v>安装壳体</v>
          </cell>
        </row>
        <row r="6421">
          <cell r="D6421" t="str">
            <v>XXXXXX-2100-01</v>
          </cell>
          <cell r="E6421" t="str">
            <v>高压盒</v>
          </cell>
        </row>
        <row r="6422">
          <cell r="D6422" t="str">
            <v>Y20-5318210002-002</v>
          </cell>
          <cell r="E6422" t="str">
            <v>前撑杆交点衬套</v>
          </cell>
        </row>
        <row r="6423">
          <cell r="D6423" t="str">
            <v>DD-J10-21102-274</v>
          </cell>
          <cell r="E6423" t="str">
            <v>4#下垫片</v>
          </cell>
        </row>
        <row r="6424">
          <cell r="D6424" t="str">
            <v>Y20-5311123022-001</v>
          </cell>
          <cell r="E6424" t="str">
            <v>口框加强件</v>
          </cell>
        </row>
        <row r="6425">
          <cell r="D6425" t="str">
            <v>Y20-5311123022-002</v>
          </cell>
          <cell r="E6425" t="str">
            <v>口框加强件</v>
          </cell>
        </row>
        <row r="6426">
          <cell r="D6426" t="str">
            <v>DD-J10-21102-31-Y</v>
          </cell>
          <cell r="E6426" t="str">
            <v>10060上接头</v>
          </cell>
        </row>
        <row r="6427">
          <cell r="D6427" t="str">
            <v>DD-J10-21102-32-Y</v>
          </cell>
          <cell r="E6427" t="str">
            <v>10060下接头</v>
          </cell>
        </row>
        <row r="6428">
          <cell r="D6428" t="str">
            <v>DD-J10-21102-32-Y</v>
          </cell>
          <cell r="E6428" t="str">
            <v>10060下接头</v>
          </cell>
        </row>
        <row r="6429">
          <cell r="D6429" t="str">
            <v>GU5322300-010L001</v>
          </cell>
          <cell r="E6429" t="str">
            <v>6380-7250左侧上梁</v>
          </cell>
        </row>
        <row r="6430">
          <cell r="D6430" t="str">
            <v>GU5322300-010L001</v>
          </cell>
          <cell r="E6430" t="str">
            <v>6380-7250左侧上梁</v>
          </cell>
        </row>
        <row r="6431">
          <cell r="D6431" t="str">
            <v>GU5322300-010L001</v>
          </cell>
          <cell r="E6431" t="str">
            <v>6380-7250左侧上梁</v>
          </cell>
        </row>
        <row r="6432">
          <cell r="D6432" t="str">
            <v>GU5322300-010R001</v>
          </cell>
          <cell r="E6432" t="str">
            <v>6380-7250右侧上梁</v>
          </cell>
        </row>
        <row r="6433">
          <cell r="D6433" t="str">
            <v>GU5322300-010R001</v>
          </cell>
          <cell r="E6433" t="str">
            <v>6380-7250右侧上梁</v>
          </cell>
        </row>
        <row r="6434">
          <cell r="D6434" t="str">
            <v>GU5322300-010R001</v>
          </cell>
          <cell r="E6434" t="str">
            <v>6380-7250右侧上梁</v>
          </cell>
        </row>
        <row r="6435">
          <cell r="D6435" t="str">
            <v>GU5322300-010R001</v>
          </cell>
          <cell r="E6435" t="str">
            <v>6380-7250右侧上梁</v>
          </cell>
        </row>
        <row r="6436">
          <cell r="D6436" t="str">
            <v>GU5322110-003R001</v>
          </cell>
          <cell r="E6436" t="str">
            <v>3750-4575右侧上梁</v>
          </cell>
        </row>
        <row r="6437">
          <cell r="D6437" t="str">
            <v>GU5322110-003R001</v>
          </cell>
          <cell r="E6437" t="str">
            <v>3750-4575右侧上梁</v>
          </cell>
        </row>
        <row r="6438">
          <cell r="D6438" t="str">
            <v>GU5322110-003R001</v>
          </cell>
          <cell r="E6438" t="str">
            <v>3750-4575右侧上梁</v>
          </cell>
        </row>
        <row r="6439">
          <cell r="D6439" t="str">
            <v>GU5322110-003R001</v>
          </cell>
          <cell r="E6439" t="str">
            <v>3750-4575右侧上梁</v>
          </cell>
        </row>
        <row r="6440">
          <cell r="D6440" t="str">
            <v>GU5322110-003R001</v>
          </cell>
          <cell r="E6440" t="str">
            <v>3750-4575右侧上梁</v>
          </cell>
        </row>
        <row r="6441">
          <cell r="D6441" t="str">
            <v>GU5322110-003L001</v>
          </cell>
          <cell r="E6441" t="str">
            <v>3750-4575左侧上梁</v>
          </cell>
        </row>
        <row r="6442">
          <cell r="D6442" t="str">
            <v>GU5322110-003L001</v>
          </cell>
          <cell r="E6442" t="str">
            <v>3750-4575左侧上梁</v>
          </cell>
        </row>
        <row r="6443">
          <cell r="D6443" t="str">
            <v>GU5322110-003L001</v>
          </cell>
          <cell r="E6443" t="str">
            <v>3750-4575左侧上梁</v>
          </cell>
        </row>
        <row r="6444">
          <cell r="D6444" t="str">
            <v>GU5322110-003L001</v>
          </cell>
          <cell r="E6444" t="str">
            <v>3750-4575左侧上梁</v>
          </cell>
        </row>
        <row r="6445">
          <cell r="D6445" t="str">
            <v>GU5322110-003L001</v>
          </cell>
          <cell r="E6445" t="str">
            <v>3750-4575左侧上梁</v>
          </cell>
        </row>
        <row r="6446">
          <cell r="D6446" t="str">
            <v>DD-J10-21102-250-1-Z</v>
          </cell>
          <cell r="E6446" t="str">
            <v>11900梁一段（左件）</v>
          </cell>
        </row>
        <row r="6447">
          <cell r="D6447" t="str">
            <v>DD-J10-21102-250-1-Z</v>
          </cell>
          <cell r="E6447" t="str">
            <v>11900梁一段（左件）</v>
          </cell>
        </row>
        <row r="6448">
          <cell r="D6448" t="str">
            <v>DD-J10-21102-250-1-Y</v>
          </cell>
          <cell r="E6448" t="str">
            <v>11900梁一段（右件）</v>
          </cell>
        </row>
        <row r="6449">
          <cell r="D6449" t="str">
            <v>DD-J10-21102-250-1-Y</v>
          </cell>
          <cell r="E6449" t="str">
            <v>11900梁一段（右件）</v>
          </cell>
        </row>
        <row r="6450">
          <cell r="D6450" t="str">
            <v>DD-J10-21102-250-1-Y</v>
          </cell>
          <cell r="E6450" t="str">
            <v>11900梁一段（右件）</v>
          </cell>
        </row>
        <row r="6451">
          <cell r="D6451" t="str">
            <v>DD-J10-21102-250-1-Y</v>
          </cell>
          <cell r="E6451" t="str">
            <v>11900梁一段（右件）</v>
          </cell>
        </row>
        <row r="6452">
          <cell r="D6452" t="str">
            <v>DD-J10-21102-250-1-Y</v>
          </cell>
          <cell r="E6452" t="str">
            <v>11900梁一段（右件）</v>
          </cell>
        </row>
        <row r="6453">
          <cell r="D6453" t="str">
            <v>CB5314107-001-002</v>
          </cell>
          <cell r="E6453" t="str">
            <v>5550上框（精加工）</v>
          </cell>
        </row>
        <row r="6454">
          <cell r="D6454" t="str">
            <v>CB5314107-001-002</v>
          </cell>
          <cell r="E6454" t="str">
            <v>5550上框（精加工）</v>
          </cell>
        </row>
        <row r="6455">
          <cell r="D6455" t="str">
            <v>YR-4351100303-001</v>
          </cell>
          <cell r="E6455" t="str">
            <v>框板</v>
          </cell>
        </row>
        <row r="6456">
          <cell r="D6456" t="str">
            <v>YR-4351100303-001</v>
          </cell>
          <cell r="E6456" t="str">
            <v>框板</v>
          </cell>
        </row>
        <row r="6457">
          <cell r="D6457" t="str">
            <v>Y20-5317015061-001</v>
          </cell>
          <cell r="E6457" t="str">
            <v>T形长桁</v>
          </cell>
        </row>
        <row r="6458">
          <cell r="D6458" t="str">
            <v>531A3410-005-001 B</v>
          </cell>
          <cell r="E6458" t="str">
            <v>支撑件</v>
          </cell>
        </row>
        <row r="6459">
          <cell r="D6459" t="str">
            <v>531A3410-006-001 C</v>
          </cell>
          <cell r="E6459" t="str">
            <v>支撑件</v>
          </cell>
        </row>
        <row r="6460">
          <cell r="D6460" t="str">
            <v>531A3410-007-001 A</v>
          </cell>
          <cell r="E6460" t="str">
            <v>支撑件</v>
          </cell>
        </row>
        <row r="6461">
          <cell r="D6461" t="str">
            <v>Y20-5319120045-001</v>
          </cell>
          <cell r="E6461" t="str">
            <v>角盒</v>
          </cell>
        </row>
        <row r="6462">
          <cell r="D6462" t="str">
            <v>Y20-5319120045-001</v>
          </cell>
          <cell r="E6462" t="str">
            <v>角盒</v>
          </cell>
        </row>
        <row r="6463">
          <cell r="D6463" t="str">
            <v>CB5325125-404L001</v>
          </cell>
          <cell r="E6463" t="str">
            <v>摇臂</v>
          </cell>
        </row>
        <row r="6464">
          <cell r="D6464" t="str">
            <v>CB5325125-404L001</v>
          </cell>
          <cell r="E6464" t="str">
            <v>摇臂</v>
          </cell>
        </row>
        <row r="6465">
          <cell r="D6465" t="str">
            <v>CB5325125-404R001</v>
          </cell>
          <cell r="E6465" t="str">
            <v>摇臂</v>
          </cell>
        </row>
        <row r="6466">
          <cell r="D6466" t="str">
            <v>YR-4351100503-001</v>
          </cell>
          <cell r="E6466" t="str">
            <v>支架</v>
          </cell>
        </row>
        <row r="6467">
          <cell r="D6467" t="str">
            <v>YR-4351100503-001</v>
          </cell>
          <cell r="E6467" t="str">
            <v>支架</v>
          </cell>
        </row>
        <row r="6468">
          <cell r="D6468" t="str">
            <v>Y20-5314120012-001</v>
          </cell>
          <cell r="E6468" t="str">
            <v>对接角片</v>
          </cell>
        </row>
        <row r="6469">
          <cell r="D6469" t="str">
            <v>Y20-5314120012-001</v>
          </cell>
          <cell r="E6469" t="str">
            <v>对接角片</v>
          </cell>
        </row>
        <row r="6470">
          <cell r="D6470" t="str">
            <v>Y20-5314120012-002</v>
          </cell>
          <cell r="E6470" t="str">
            <v>对接角片</v>
          </cell>
        </row>
        <row r="6471">
          <cell r="D6471" t="str">
            <v>Y20-5314120012-002</v>
          </cell>
          <cell r="E6471" t="str">
            <v>对接角片</v>
          </cell>
        </row>
        <row r="6472">
          <cell r="D6472" t="str">
            <v>Y20-5314117012-001</v>
          </cell>
          <cell r="E6472" t="str">
            <v>对接角片</v>
          </cell>
        </row>
        <row r="6473">
          <cell r="D6473" t="str">
            <v>Y20-5314117012-002</v>
          </cell>
          <cell r="E6473" t="str">
            <v>对接角片</v>
          </cell>
        </row>
        <row r="6474">
          <cell r="D6474" t="str">
            <v>Y20-5314117013-001</v>
          </cell>
          <cell r="E6474" t="str">
            <v>对接角片</v>
          </cell>
        </row>
        <row r="6475">
          <cell r="D6475" t="str">
            <v>Y20-5314117013-002</v>
          </cell>
          <cell r="E6475" t="str">
            <v>对接角片</v>
          </cell>
        </row>
        <row r="6476">
          <cell r="D6476" t="str">
            <v>DD-J10B-02121-1AG2-Y</v>
          </cell>
          <cell r="E6476" t="str">
            <v>BL280侧壁（右件）</v>
          </cell>
        </row>
        <row r="6477">
          <cell r="D6477" t="str">
            <v>DD-J10B-02121-1AG2-Z</v>
          </cell>
          <cell r="E6477" t="str">
            <v>BL280侧壁（左件）</v>
          </cell>
        </row>
        <row r="6478">
          <cell r="D6478" t="str">
            <v>DD-J10B-02121-1AG2-Y</v>
          </cell>
          <cell r="E6478" t="str">
            <v>BL280侧壁（右件）</v>
          </cell>
        </row>
        <row r="6479">
          <cell r="D6479" t="str">
            <v>DD-J10B-02121-1AG2-Z</v>
          </cell>
          <cell r="E6479" t="str">
            <v>BL280侧壁（左件）</v>
          </cell>
        </row>
        <row r="6480">
          <cell r="D6480" t="str">
            <v>DD-J10-21102-33-Y</v>
          </cell>
          <cell r="E6480" t="str">
            <v>10460上接头</v>
          </cell>
        </row>
        <row r="6481">
          <cell r="D6481" t="str">
            <v>DD-J10-21102-33-Z</v>
          </cell>
          <cell r="E6481" t="str">
            <v>10460上接头</v>
          </cell>
        </row>
        <row r="6482">
          <cell r="D6482" t="str">
            <v>CB5325125-404R001</v>
          </cell>
          <cell r="E6482" t="str">
            <v>摇臂</v>
          </cell>
        </row>
        <row r="6483">
          <cell r="D6483" t="str">
            <v>CB5325125-403L001</v>
          </cell>
          <cell r="E6483" t="str">
            <v>支座</v>
          </cell>
        </row>
        <row r="6484">
          <cell r="D6484" t="str">
            <v>CB5325125-403L001</v>
          </cell>
          <cell r="E6484" t="str">
            <v>支座</v>
          </cell>
        </row>
        <row r="6485">
          <cell r="D6485" t="str">
            <v>CB5325125-403R001</v>
          </cell>
          <cell r="E6485" t="str">
            <v>支座</v>
          </cell>
        </row>
        <row r="6486">
          <cell r="D6486" t="str">
            <v>CB5325125-403R001</v>
          </cell>
          <cell r="E6486" t="str">
            <v>支座</v>
          </cell>
        </row>
        <row r="6487">
          <cell r="D6487" t="str">
            <v>Y20-5312225905-001</v>
          </cell>
          <cell r="E6487" t="str">
            <v>短梁</v>
          </cell>
        </row>
        <row r="6488">
          <cell r="D6488" t="str">
            <v>Y20-5312225905-001</v>
          </cell>
          <cell r="E6488" t="str">
            <v>短梁</v>
          </cell>
        </row>
        <row r="6489">
          <cell r="D6489" t="str">
            <v>Y20-5312225905-002</v>
          </cell>
          <cell r="E6489" t="str">
            <v>短梁</v>
          </cell>
        </row>
        <row r="6490">
          <cell r="D6490" t="str">
            <v>Y20-5312225905-002</v>
          </cell>
          <cell r="E6490" t="str">
            <v>短梁</v>
          </cell>
        </row>
        <row r="6491">
          <cell r="D6491" t="str">
            <v>Y20-5312225905-002</v>
          </cell>
          <cell r="E6491" t="str">
            <v>短梁</v>
          </cell>
        </row>
        <row r="6492">
          <cell r="D6492" t="str">
            <v>Y20-5312225905-001</v>
          </cell>
          <cell r="E6492" t="str">
            <v>短梁</v>
          </cell>
        </row>
        <row r="6493">
          <cell r="D6493" t="str">
            <v>Y20-5312100023-001</v>
          </cell>
          <cell r="E6493" t="str">
            <v>边梁</v>
          </cell>
        </row>
        <row r="6494">
          <cell r="D6494" t="str">
            <v>Y20-5312100023-002</v>
          </cell>
          <cell r="E6494" t="str">
            <v>边梁</v>
          </cell>
        </row>
        <row r="6495">
          <cell r="D6495" t="str">
            <v>Y20-4761200093-001</v>
          </cell>
          <cell r="E6495" t="str">
            <v>支架悬挂横梁</v>
          </cell>
        </row>
        <row r="6496">
          <cell r="D6496" t="str">
            <v>Y20-4383220003-001</v>
          </cell>
          <cell r="E6496" t="str">
            <v>支架</v>
          </cell>
        </row>
        <row r="6497">
          <cell r="D6497" t="str">
            <v>Y20-5314117012-001</v>
          </cell>
          <cell r="E6497" t="str">
            <v>对接角片</v>
          </cell>
        </row>
        <row r="6498">
          <cell r="D6498" t="str">
            <v>Y20-5314117012-002</v>
          </cell>
          <cell r="E6498" t="str">
            <v>对接角片</v>
          </cell>
        </row>
        <row r="6499">
          <cell r="D6499" t="str">
            <v>Y20-5314117013-001</v>
          </cell>
          <cell r="E6499" t="str">
            <v>对接角片</v>
          </cell>
        </row>
        <row r="6500">
          <cell r="D6500" t="str">
            <v>Y20-5314117013-002</v>
          </cell>
          <cell r="E6500" t="str">
            <v>对接角片</v>
          </cell>
        </row>
        <row r="6501">
          <cell r="D6501" t="str">
            <v>Y20-4212300016-001</v>
          </cell>
          <cell r="E6501" t="str">
            <v>支架</v>
          </cell>
        </row>
        <row r="6502">
          <cell r="D6502" t="str">
            <v>Y20-4212300016-002</v>
          </cell>
          <cell r="E6502" t="str">
            <v>支架</v>
          </cell>
        </row>
        <row r="6503">
          <cell r="D6503" t="str">
            <v>DD-J10-06031-404</v>
          </cell>
          <cell r="E6503" t="str">
            <v>支座</v>
          </cell>
        </row>
        <row r="6504">
          <cell r="D6504" t="str">
            <v>DD-J10-06031-404</v>
          </cell>
          <cell r="E6504" t="str">
            <v>支座</v>
          </cell>
        </row>
        <row r="6505">
          <cell r="D6505" t="str">
            <v>DD-J10-06031-404</v>
          </cell>
          <cell r="E6505" t="str">
            <v>支座</v>
          </cell>
        </row>
        <row r="6506">
          <cell r="D6506" t="str">
            <v>DD-J10-06031-404</v>
          </cell>
          <cell r="E6506" t="str">
            <v>支座</v>
          </cell>
        </row>
        <row r="6507">
          <cell r="D6507" t="str">
            <v>CB5325125-403L001</v>
          </cell>
          <cell r="E6507" t="str">
            <v>支座</v>
          </cell>
        </row>
        <row r="6508">
          <cell r="D6508" t="str">
            <v>CB5325125-403R001</v>
          </cell>
          <cell r="E6508" t="str">
            <v>支座</v>
          </cell>
        </row>
        <row r="6509">
          <cell r="D6509" t="str">
            <v>DD-J10-06031-302</v>
          </cell>
          <cell r="E6509" t="str">
            <v>支座</v>
          </cell>
        </row>
        <row r="6510">
          <cell r="D6510" t="str">
            <v>DD-J10-06031-302</v>
          </cell>
          <cell r="E6510" t="str">
            <v>支座</v>
          </cell>
        </row>
        <row r="6511">
          <cell r="D6511" t="str">
            <v>DD-J10B-94076-501-Y</v>
          </cell>
          <cell r="E6511" t="str">
            <v>拉杆支座</v>
          </cell>
        </row>
        <row r="6512">
          <cell r="D6512" t="str">
            <v>DD-J10B-94076-501-Z</v>
          </cell>
          <cell r="E6512" t="str">
            <v>拉杆支座</v>
          </cell>
        </row>
        <row r="6513">
          <cell r="D6513" t="str">
            <v>DD-J10B-94076-501-Z</v>
          </cell>
          <cell r="E6513" t="str">
            <v>拉杆支座</v>
          </cell>
        </row>
        <row r="6514">
          <cell r="D6514" t="str">
            <v>Y20-4382112001-001</v>
          </cell>
          <cell r="E6514" t="str">
            <v>后槽型件</v>
          </cell>
        </row>
        <row r="6515">
          <cell r="D6515" t="str">
            <v>Y20-4382112001-001</v>
          </cell>
          <cell r="E6515" t="str">
            <v>后槽型件</v>
          </cell>
        </row>
        <row r="6516">
          <cell r="D6516" t="str">
            <v>Y20-4382112002-001</v>
          </cell>
          <cell r="E6516" t="str">
            <v>前槽型件</v>
          </cell>
        </row>
        <row r="6517">
          <cell r="D6517" t="str">
            <v>Y20-4382112002-001</v>
          </cell>
          <cell r="E6517" t="str">
            <v>前槽型件</v>
          </cell>
        </row>
        <row r="6518">
          <cell r="D6518" t="str">
            <v>DD-J10B-04011-1</v>
          </cell>
          <cell r="E6518" t="str">
            <v>7100框</v>
          </cell>
        </row>
        <row r="6519">
          <cell r="D6519" t="str">
            <v>DD-J10B-04011-1</v>
          </cell>
          <cell r="E6519" t="str">
            <v>7100框</v>
          </cell>
        </row>
        <row r="6520">
          <cell r="D6520" t="str">
            <v>DD-J10B-04011-1</v>
          </cell>
          <cell r="E6520" t="str">
            <v>7100框</v>
          </cell>
        </row>
        <row r="6521">
          <cell r="D6521" t="str">
            <v>DD-J10B-04011-1</v>
          </cell>
          <cell r="E6521" t="str">
            <v>7100框</v>
          </cell>
        </row>
        <row r="6522">
          <cell r="D6522" t="str">
            <v>DD-J10B-04011-1</v>
          </cell>
          <cell r="E6522" t="str">
            <v>7100框</v>
          </cell>
        </row>
        <row r="6523">
          <cell r="D6523" t="str">
            <v>DD-J10B-04011-1</v>
          </cell>
          <cell r="E6523" t="str">
            <v>7100框</v>
          </cell>
        </row>
        <row r="6524">
          <cell r="D6524" t="str">
            <v>DD-J10B-04011-1</v>
          </cell>
          <cell r="E6524" t="str">
            <v>7100框</v>
          </cell>
        </row>
        <row r="6525">
          <cell r="D6525" t="str">
            <v>DD-J10B-04011-1</v>
          </cell>
          <cell r="E6525" t="str">
            <v>7100框</v>
          </cell>
        </row>
        <row r="6526">
          <cell r="D6526" t="str">
            <v>DD-J10B-04011-1</v>
          </cell>
          <cell r="E6526" t="str">
            <v>7100框</v>
          </cell>
        </row>
        <row r="6527">
          <cell r="D6527" t="str">
            <v>DD-J10B-04011-1</v>
          </cell>
          <cell r="E6527" t="str">
            <v>7100框</v>
          </cell>
        </row>
        <row r="6528">
          <cell r="D6528" t="str">
            <v>DD-J10-21102-250-2-Z</v>
          </cell>
          <cell r="E6528" t="str">
            <v>11900梁二段</v>
          </cell>
        </row>
        <row r="6529">
          <cell r="D6529" t="str">
            <v>DD-J10B-94076-802</v>
          </cell>
          <cell r="E6529" t="str">
            <v>支架</v>
          </cell>
        </row>
        <row r="6530">
          <cell r="D6530" t="str">
            <v>DD-J10B-94076-802</v>
          </cell>
          <cell r="E6530" t="str">
            <v>支架</v>
          </cell>
        </row>
        <row r="6531">
          <cell r="D6531" t="str">
            <v>CB229C050-002-003</v>
          </cell>
          <cell r="E6531" t="str">
            <v>拨杆</v>
          </cell>
        </row>
        <row r="6532">
          <cell r="D6532" t="str">
            <v>CB229C050-002-003</v>
          </cell>
          <cell r="E6532" t="str">
            <v>拨杆</v>
          </cell>
        </row>
        <row r="6533">
          <cell r="D6533" t="str">
            <v>DD-J10-25002-1-Z</v>
          </cell>
          <cell r="E6533" t="str">
            <v>第3肋</v>
          </cell>
        </row>
        <row r="6534">
          <cell r="D6534" t="str">
            <v>DD-J10-34003-2</v>
          </cell>
          <cell r="E6534" t="str">
            <v>后梁</v>
          </cell>
        </row>
        <row r="6535">
          <cell r="D6535" t="str">
            <v>DD-J10-34003-2</v>
          </cell>
          <cell r="E6535" t="str">
            <v>后梁</v>
          </cell>
        </row>
        <row r="6536">
          <cell r="D6536" t="str">
            <v>DD-J10B-82000-101G2</v>
          </cell>
          <cell r="E6536" t="str">
            <v>地板</v>
          </cell>
        </row>
        <row r="6537">
          <cell r="D6537" t="str">
            <v>DD-J10B-82000-101G2</v>
          </cell>
          <cell r="E6537" t="str">
            <v>地板</v>
          </cell>
        </row>
        <row r="6538">
          <cell r="D6538" t="str">
            <v>DD-J10B-82000-101G2</v>
          </cell>
          <cell r="E6538" t="str">
            <v>地板</v>
          </cell>
        </row>
        <row r="6539">
          <cell r="D6539" t="str">
            <v>LTCS-551100000-53L02</v>
          </cell>
          <cell r="E6539" t="str">
            <v>角片</v>
          </cell>
        </row>
        <row r="6540">
          <cell r="D6540" t="str">
            <v>LTCS-551100000-53R02</v>
          </cell>
          <cell r="E6540" t="str">
            <v>角片</v>
          </cell>
        </row>
        <row r="6541">
          <cell r="D6541" t="str">
            <v>LTCS-551100000-55L02</v>
          </cell>
          <cell r="E6541" t="str">
            <v>带板</v>
          </cell>
        </row>
        <row r="6542">
          <cell r="D6542" t="str">
            <v>LTCS-551100000-55R02</v>
          </cell>
          <cell r="E6542" t="str">
            <v>带板</v>
          </cell>
        </row>
        <row r="6543">
          <cell r="D6543" t="str">
            <v>LTCS-551100000-56L02</v>
          </cell>
          <cell r="E6543" t="str">
            <v>角片</v>
          </cell>
        </row>
        <row r="6544">
          <cell r="D6544" t="str">
            <v>LTCS-551100000-56R02</v>
          </cell>
          <cell r="E6544" t="str">
            <v>角片</v>
          </cell>
        </row>
        <row r="6545">
          <cell r="D6545" t="str">
            <v>LTCS-551100000-57L02</v>
          </cell>
          <cell r="E6545" t="str">
            <v>角片</v>
          </cell>
        </row>
        <row r="6546">
          <cell r="D6546" t="str">
            <v>LTCS-551100000-57R02</v>
          </cell>
          <cell r="E6546" t="str">
            <v>角片</v>
          </cell>
        </row>
        <row r="6547">
          <cell r="D6547" t="str">
            <v>LTCS-551100000-52L02</v>
          </cell>
          <cell r="E6547" t="str">
            <v>带板</v>
          </cell>
        </row>
        <row r="6548">
          <cell r="D6548" t="str">
            <v>LTCS-551100000-52R02</v>
          </cell>
          <cell r="E6548" t="str">
            <v>带板</v>
          </cell>
        </row>
        <row r="6549">
          <cell r="D6549" t="str">
            <v>CB2292112-003-001</v>
          </cell>
          <cell r="E6549" t="str">
            <v>小轴</v>
          </cell>
        </row>
        <row r="6550">
          <cell r="D6550" t="str">
            <v>CB2292112-004-001</v>
          </cell>
          <cell r="E6550" t="str">
            <v>螺栓</v>
          </cell>
        </row>
        <row r="6551">
          <cell r="D6551" t="str">
            <v>DD-J10-55014-2010-1</v>
          </cell>
          <cell r="E6551" t="str">
            <v>管子</v>
          </cell>
        </row>
        <row r="6552">
          <cell r="D6552" t="str">
            <v>DD-J10-55014-2010-1</v>
          </cell>
          <cell r="E6552" t="str">
            <v>管子</v>
          </cell>
        </row>
        <row r="6553">
          <cell r="D6553" t="str">
            <v>DD-J10-96031-113</v>
          </cell>
          <cell r="E6553" t="str">
            <v>衬套</v>
          </cell>
        </row>
        <row r="6554">
          <cell r="D6554" t="str">
            <v>DD-J10-96031-113</v>
          </cell>
          <cell r="E6554" t="str">
            <v>衬套</v>
          </cell>
        </row>
        <row r="6555">
          <cell r="D6555" t="str">
            <v>DD-J10-55181-410-1</v>
          </cell>
          <cell r="E6555" t="str">
            <v>衬套</v>
          </cell>
        </row>
        <row r="6556">
          <cell r="D6556" t="str">
            <v>DD-J10-55181-410-1</v>
          </cell>
          <cell r="E6556" t="str">
            <v>衬套</v>
          </cell>
        </row>
        <row r="6557">
          <cell r="D6557" t="str">
            <v>DD-J10-41143-110-1</v>
          </cell>
          <cell r="E6557" t="str">
            <v>管子</v>
          </cell>
        </row>
        <row r="6558">
          <cell r="D6558" t="str">
            <v>DD-J10B-21402-90G2-1G2-Y</v>
          </cell>
          <cell r="E6558" t="str">
            <v>固定前缘端肋</v>
          </cell>
        </row>
        <row r="6559">
          <cell r="D6559" t="str">
            <v>DD-J10B-21402-90G2-1G2-Y</v>
          </cell>
          <cell r="E6559" t="str">
            <v>固定前缘端肋</v>
          </cell>
        </row>
        <row r="6560">
          <cell r="D6560" t="str">
            <v>DD-J10B-21402-90G2-1G2-Y</v>
          </cell>
          <cell r="E6560" t="str">
            <v>固定前缘端肋</v>
          </cell>
        </row>
        <row r="6561">
          <cell r="D6561" t="str">
            <v>DD-J10B-21402-90G2-1G2-Z</v>
          </cell>
          <cell r="E6561" t="str">
            <v>固定前缘端肋</v>
          </cell>
        </row>
        <row r="6562">
          <cell r="D6562" t="str">
            <v>DD-J10B-21402-90G2-1G2-Z</v>
          </cell>
          <cell r="E6562" t="str">
            <v>固定前缘端肋</v>
          </cell>
        </row>
        <row r="6563">
          <cell r="D6563" t="str">
            <v>DD-J10B-21402-90G2-1G2-Z</v>
          </cell>
          <cell r="E6563" t="str">
            <v>固定前缘端肋</v>
          </cell>
        </row>
        <row r="6564">
          <cell r="D6564" t="str">
            <v>DD-J10-21102-33-Z</v>
          </cell>
          <cell r="E6564" t="str">
            <v>10460上接头</v>
          </cell>
        </row>
        <row r="6565">
          <cell r="D6565" t="str">
            <v>DD-J10-21102-32-Y</v>
          </cell>
          <cell r="E6565" t="str">
            <v>10060下接头</v>
          </cell>
        </row>
        <row r="6566">
          <cell r="D6566" t="str">
            <v>DD-J10-21102-32-Z</v>
          </cell>
          <cell r="E6566" t="str">
            <v>10060下接头</v>
          </cell>
        </row>
        <row r="6567">
          <cell r="D6567" t="str">
            <v>DD-J10-21102-32-Z</v>
          </cell>
          <cell r="E6567" t="str">
            <v>10060下接头</v>
          </cell>
        </row>
        <row r="6568">
          <cell r="D6568" t="str">
            <v>DD-J10-21102-32-Z</v>
          </cell>
          <cell r="E6568" t="str">
            <v>10060下接头</v>
          </cell>
        </row>
        <row r="6569">
          <cell r="D6569" t="str">
            <v>DD-J10B-71031-110-1</v>
          </cell>
          <cell r="E6569" t="str">
            <v>樑</v>
          </cell>
        </row>
        <row r="6570">
          <cell r="D6570" t="str">
            <v>DD-J10B-71031-110-1</v>
          </cell>
          <cell r="E6570" t="str">
            <v>樑</v>
          </cell>
        </row>
        <row r="6571">
          <cell r="D6571" t="str">
            <v>BC22931A0-011-001</v>
          </cell>
          <cell r="E6571" t="str">
            <v>支架</v>
          </cell>
        </row>
        <row r="6572">
          <cell r="D6572" t="str">
            <v>CB22837C2-002-001</v>
          </cell>
          <cell r="E6572" t="str">
            <v>法兰</v>
          </cell>
        </row>
        <row r="6573">
          <cell r="D6573" t="str">
            <v>DD-J10B-67011-6103</v>
          </cell>
          <cell r="E6573" t="str">
            <v>角片</v>
          </cell>
        </row>
        <row r="6574">
          <cell r="D6574" t="str">
            <v>DD-J10B-02041-202G2</v>
          </cell>
          <cell r="E6574" t="str">
            <v>地板</v>
          </cell>
        </row>
        <row r="6575">
          <cell r="D6575" t="str">
            <v>DD-J10B-02041-202G2</v>
          </cell>
          <cell r="E6575" t="str">
            <v>地板</v>
          </cell>
        </row>
        <row r="6576">
          <cell r="D6576" t="str">
            <v>DD-J10-05346-1-Y</v>
          </cell>
          <cell r="E6576" t="str">
            <v>受剪接头</v>
          </cell>
        </row>
        <row r="6577">
          <cell r="D6577" t="str">
            <v>DD-J10-05346-1-Y</v>
          </cell>
          <cell r="E6577" t="str">
            <v>受剪接头</v>
          </cell>
        </row>
        <row r="6578">
          <cell r="D6578" t="str">
            <v>DD-J10-05346-1-Y</v>
          </cell>
          <cell r="E6578" t="str">
            <v>受剪接头</v>
          </cell>
        </row>
        <row r="6579">
          <cell r="D6579" t="str">
            <v>DD-J10-05346-1-Y</v>
          </cell>
          <cell r="E6579" t="str">
            <v>受剪接头</v>
          </cell>
        </row>
        <row r="6580">
          <cell r="D6580" t="str">
            <v>DD-J10-05346-1-Y</v>
          </cell>
          <cell r="E6580" t="str">
            <v>受剪接头</v>
          </cell>
        </row>
        <row r="6581">
          <cell r="D6581" t="str">
            <v>DD-J10-05346-1-Y</v>
          </cell>
          <cell r="E6581" t="str">
            <v>受剪接头</v>
          </cell>
        </row>
        <row r="6582">
          <cell r="D6582" t="str">
            <v>DD-J10-05346-1-Y</v>
          </cell>
          <cell r="E6582" t="str">
            <v>受剪接头</v>
          </cell>
        </row>
        <row r="6583">
          <cell r="D6583" t="str">
            <v>DD-J10-05346-1-Y</v>
          </cell>
          <cell r="E6583" t="str">
            <v>受剪接头</v>
          </cell>
        </row>
        <row r="6584">
          <cell r="D6584" t="str">
            <v>DD-J10-05346-1-Y</v>
          </cell>
          <cell r="E6584" t="str">
            <v>受剪接头</v>
          </cell>
        </row>
        <row r="6585">
          <cell r="D6585" t="str">
            <v>DD-J10-05346-1-Y</v>
          </cell>
          <cell r="E6585" t="str">
            <v>受剪接头</v>
          </cell>
        </row>
        <row r="6586">
          <cell r="D6586" t="str">
            <v>DD-J10-05346-1-Y</v>
          </cell>
          <cell r="E6586" t="str">
            <v>受剪接头</v>
          </cell>
        </row>
        <row r="6587">
          <cell r="D6587" t="str">
            <v>DD-J10-05346-1-Y</v>
          </cell>
          <cell r="E6587" t="str">
            <v>受剪接头</v>
          </cell>
        </row>
        <row r="6588">
          <cell r="D6588" t="str">
            <v>DD-J10-05346-1-Y</v>
          </cell>
          <cell r="E6588" t="str">
            <v>受剪接头</v>
          </cell>
        </row>
        <row r="6589">
          <cell r="D6589" t="str">
            <v>DD-J10-05346-1-Y</v>
          </cell>
          <cell r="E6589" t="str">
            <v>受剪接头</v>
          </cell>
        </row>
        <row r="6590">
          <cell r="D6590" t="str">
            <v>DD-J10-05346-1-Y</v>
          </cell>
          <cell r="E6590" t="str">
            <v>受剪接头</v>
          </cell>
        </row>
        <row r="6591">
          <cell r="D6591" t="str">
            <v>DD-J10-05346-1-Y</v>
          </cell>
          <cell r="E6591" t="str">
            <v>受剪接头</v>
          </cell>
        </row>
        <row r="6592">
          <cell r="D6592" t="str">
            <v>DD-J10-05346-1-Y</v>
          </cell>
          <cell r="E6592" t="str">
            <v>受剪接头</v>
          </cell>
        </row>
        <row r="6593">
          <cell r="D6593" t="str">
            <v>DD-J10-05346-1-Y</v>
          </cell>
          <cell r="E6593" t="str">
            <v>受剪接头</v>
          </cell>
        </row>
        <row r="6594">
          <cell r="D6594" t="str">
            <v>DD-J10-05346-1-Y</v>
          </cell>
          <cell r="E6594" t="str">
            <v>受剪接头</v>
          </cell>
        </row>
        <row r="6595">
          <cell r="D6595" t="str">
            <v>DD-J10-05346-1-Y</v>
          </cell>
          <cell r="E6595" t="str">
            <v>受剪接头</v>
          </cell>
        </row>
        <row r="6596">
          <cell r="D6596" t="str">
            <v>DD-J10-05346-1-Z</v>
          </cell>
          <cell r="E6596" t="str">
            <v>受剪接头</v>
          </cell>
        </row>
        <row r="6597">
          <cell r="D6597" t="str">
            <v>DD-J10-05346-1-Z</v>
          </cell>
          <cell r="E6597" t="str">
            <v>受剪接头</v>
          </cell>
        </row>
        <row r="6598">
          <cell r="D6598" t="str">
            <v>DD-J10-05346-1-Z</v>
          </cell>
          <cell r="E6598" t="str">
            <v>受剪接头</v>
          </cell>
        </row>
        <row r="6599">
          <cell r="D6599" t="str">
            <v>DD-J10-05346-1-Z</v>
          </cell>
          <cell r="E6599" t="str">
            <v>受剪接头</v>
          </cell>
        </row>
        <row r="6600">
          <cell r="D6600" t="str">
            <v>DD-J10-05346-1-Z</v>
          </cell>
          <cell r="E6600" t="str">
            <v>受剪接头</v>
          </cell>
        </row>
        <row r="6601">
          <cell r="D6601" t="str">
            <v>DD-J10-05346-1-Z</v>
          </cell>
          <cell r="E6601" t="str">
            <v>受剪接头</v>
          </cell>
        </row>
        <row r="6602">
          <cell r="D6602" t="str">
            <v>DD-J10-05346-1-Z</v>
          </cell>
          <cell r="E6602" t="str">
            <v>受剪接头</v>
          </cell>
        </row>
        <row r="6603">
          <cell r="D6603" t="str">
            <v>DD-J10-05346-1-Z</v>
          </cell>
          <cell r="E6603" t="str">
            <v>受剪接头</v>
          </cell>
        </row>
        <row r="6604">
          <cell r="D6604" t="str">
            <v>DD-J10-05346-1-Z</v>
          </cell>
          <cell r="E6604" t="str">
            <v>受剪接头</v>
          </cell>
        </row>
        <row r="6605">
          <cell r="D6605" t="str">
            <v>DD-J10-05346-1-Z</v>
          </cell>
          <cell r="E6605" t="str">
            <v>受剪接头</v>
          </cell>
        </row>
        <row r="6606">
          <cell r="D6606" t="str">
            <v>DD-J10-05346-1-Z</v>
          </cell>
          <cell r="E6606" t="str">
            <v>受剪接头</v>
          </cell>
        </row>
        <row r="6607">
          <cell r="D6607" t="str">
            <v>DD-J10-05346-1-Z</v>
          </cell>
          <cell r="E6607" t="str">
            <v>受剪接头</v>
          </cell>
        </row>
        <row r="6608">
          <cell r="D6608" t="str">
            <v>DD-J10-05346-1-Z</v>
          </cell>
          <cell r="E6608" t="str">
            <v>受剪接头</v>
          </cell>
        </row>
        <row r="6609">
          <cell r="D6609" t="str">
            <v>DD-J10-05346-1-Z</v>
          </cell>
          <cell r="E6609" t="str">
            <v>受剪接头</v>
          </cell>
        </row>
        <row r="6610">
          <cell r="D6610" t="str">
            <v>DD-J10-05346-1-Z</v>
          </cell>
          <cell r="E6610" t="str">
            <v>受剪接头</v>
          </cell>
        </row>
        <row r="6611">
          <cell r="D6611" t="str">
            <v>DD-J10-05346-1-Z</v>
          </cell>
          <cell r="E6611" t="str">
            <v>受剪接头</v>
          </cell>
        </row>
        <row r="6612">
          <cell r="D6612" t="str">
            <v>DD-J10-05346-1-Z</v>
          </cell>
          <cell r="E6612" t="str">
            <v>受剪接头</v>
          </cell>
        </row>
        <row r="6613">
          <cell r="D6613" t="str">
            <v>DD-J10-05346-1-Z</v>
          </cell>
          <cell r="E6613" t="str">
            <v>受剪接头</v>
          </cell>
        </row>
        <row r="6614">
          <cell r="D6614" t="str">
            <v>DD-J10-05346-1-Z</v>
          </cell>
          <cell r="E6614" t="str">
            <v>受剪接头</v>
          </cell>
        </row>
        <row r="6615">
          <cell r="D6615" t="str">
            <v>DD-J10-05346-1-Z</v>
          </cell>
          <cell r="E6615" t="str">
            <v>受剪接头</v>
          </cell>
        </row>
        <row r="6616">
          <cell r="D6616" t="str">
            <v>DD-J10-05346-2-Y</v>
          </cell>
          <cell r="E6616" t="str">
            <v>受剪接头</v>
          </cell>
        </row>
        <row r="6617">
          <cell r="D6617" t="str">
            <v>DD-J10-05346-2-Y</v>
          </cell>
          <cell r="E6617" t="str">
            <v>受剪接头</v>
          </cell>
        </row>
        <row r="6618">
          <cell r="D6618" t="str">
            <v>DD-J10-05346-2-Y</v>
          </cell>
          <cell r="E6618" t="str">
            <v>受剪接头</v>
          </cell>
        </row>
        <row r="6619">
          <cell r="D6619" t="str">
            <v>DD-J10-05346-2-Y</v>
          </cell>
          <cell r="E6619" t="str">
            <v>受剪接头</v>
          </cell>
        </row>
        <row r="6620">
          <cell r="D6620" t="str">
            <v>DD-J10-05346-2-Y</v>
          </cell>
          <cell r="E6620" t="str">
            <v>受剪接头</v>
          </cell>
        </row>
        <row r="6621">
          <cell r="D6621" t="str">
            <v>DD-J10-05346-2-Y</v>
          </cell>
          <cell r="E6621" t="str">
            <v>受剪接头</v>
          </cell>
        </row>
        <row r="6622">
          <cell r="D6622" t="str">
            <v>DD-J10-05346-2-Y</v>
          </cell>
          <cell r="E6622" t="str">
            <v>受剪接头</v>
          </cell>
        </row>
        <row r="6623">
          <cell r="D6623" t="str">
            <v>DD-J10-05346-2-Y</v>
          </cell>
          <cell r="E6623" t="str">
            <v>受剪接头</v>
          </cell>
        </row>
        <row r="6624">
          <cell r="D6624" t="str">
            <v>DD-J10-05346-2-Y</v>
          </cell>
          <cell r="E6624" t="str">
            <v>受剪接头</v>
          </cell>
        </row>
        <row r="6625">
          <cell r="D6625" t="str">
            <v>DD-J10-05346-2-Y</v>
          </cell>
          <cell r="E6625" t="str">
            <v>受剪接头</v>
          </cell>
        </row>
        <row r="6626">
          <cell r="D6626" t="str">
            <v>DD-J10-05346-2-Y</v>
          </cell>
          <cell r="E6626" t="str">
            <v>受剪接头</v>
          </cell>
        </row>
        <row r="6627">
          <cell r="D6627" t="str">
            <v>DD-J10-05346-2-Y</v>
          </cell>
          <cell r="E6627" t="str">
            <v>受剪接头</v>
          </cell>
        </row>
        <row r="6628">
          <cell r="D6628" t="str">
            <v>DD-J10-05346-2-Y</v>
          </cell>
          <cell r="E6628" t="str">
            <v>受剪接头</v>
          </cell>
        </row>
        <row r="6629">
          <cell r="D6629" t="str">
            <v>DD-J10-05346-2-Y</v>
          </cell>
          <cell r="E6629" t="str">
            <v>受剪接头</v>
          </cell>
        </row>
        <row r="6630">
          <cell r="D6630" t="str">
            <v>DD-J10-05346-2-Y</v>
          </cell>
          <cell r="E6630" t="str">
            <v>受剪接头</v>
          </cell>
        </row>
        <row r="6631">
          <cell r="D6631" t="str">
            <v>DD-J10-05346-2-Y</v>
          </cell>
          <cell r="E6631" t="str">
            <v>受剪接头</v>
          </cell>
        </row>
        <row r="6632">
          <cell r="D6632" t="str">
            <v>DD-J10-05346-2-Y</v>
          </cell>
          <cell r="E6632" t="str">
            <v>受剪接头</v>
          </cell>
        </row>
        <row r="6633">
          <cell r="D6633" t="str">
            <v>DD-J10-05346-2-Y</v>
          </cell>
          <cell r="E6633" t="str">
            <v>受剪接头</v>
          </cell>
        </row>
        <row r="6634">
          <cell r="D6634" t="str">
            <v>DD-J10-05346-2-Y</v>
          </cell>
          <cell r="E6634" t="str">
            <v>受剪接头</v>
          </cell>
        </row>
        <row r="6635">
          <cell r="D6635" t="str">
            <v>DD-J10-05346-2-Y</v>
          </cell>
          <cell r="E6635" t="str">
            <v>受剪接头</v>
          </cell>
        </row>
        <row r="6636">
          <cell r="D6636" t="str">
            <v>DD-J10-05346-2-Z</v>
          </cell>
          <cell r="E6636" t="str">
            <v>受剪接头</v>
          </cell>
        </row>
        <row r="6637">
          <cell r="D6637" t="str">
            <v>DD-J10-05346-2-Z</v>
          </cell>
          <cell r="E6637" t="str">
            <v>受剪接头</v>
          </cell>
        </row>
        <row r="6638">
          <cell r="D6638" t="str">
            <v>DD-J10-05346-2-Z</v>
          </cell>
          <cell r="E6638" t="str">
            <v>受剪接头</v>
          </cell>
        </row>
        <row r="6639">
          <cell r="D6639" t="str">
            <v>DD-J10-05346-2-Z</v>
          </cell>
          <cell r="E6639" t="str">
            <v>受剪接头</v>
          </cell>
        </row>
        <row r="6640">
          <cell r="D6640" t="str">
            <v>DD-J10-05346-2-Z</v>
          </cell>
          <cell r="E6640" t="str">
            <v>受剪接头</v>
          </cell>
        </row>
        <row r="6641">
          <cell r="D6641" t="str">
            <v>DD-J10-05346-2-Z</v>
          </cell>
          <cell r="E6641" t="str">
            <v>受剪接头</v>
          </cell>
        </row>
        <row r="6642">
          <cell r="D6642" t="str">
            <v>DD-J10-05346-2-Z</v>
          </cell>
          <cell r="E6642" t="str">
            <v>受剪接头</v>
          </cell>
        </row>
        <row r="6643">
          <cell r="D6643" t="str">
            <v>DD-J10-05346-2-Z</v>
          </cell>
          <cell r="E6643" t="str">
            <v>受剪接头</v>
          </cell>
        </row>
        <row r="6644">
          <cell r="D6644" t="str">
            <v>DD-J10-05346-2-Z</v>
          </cell>
          <cell r="E6644" t="str">
            <v>受剪接头</v>
          </cell>
        </row>
        <row r="6645">
          <cell r="D6645" t="str">
            <v>DD-J10-05346-2-Z</v>
          </cell>
          <cell r="E6645" t="str">
            <v>受剪接头</v>
          </cell>
        </row>
        <row r="6646">
          <cell r="D6646" t="str">
            <v>DD-J10-05346-2-Z</v>
          </cell>
          <cell r="E6646" t="str">
            <v>受剪接头</v>
          </cell>
        </row>
        <row r="6647">
          <cell r="D6647" t="str">
            <v>DD-J10-05346-2-Z</v>
          </cell>
          <cell r="E6647" t="str">
            <v>受剪接头</v>
          </cell>
        </row>
        <row r="6648">
          <cell r="D6648" t="str">
            <v>DD-J10-05346-2-Z</v>
          </cell>
          <cell r="E6648" t="str">
            <v>受剪接头</v>
          </cell>
        </row>
        <row r="6649">
          <cell r="D6649" t="str">
            <v>DD-J10-05346-2-Z</v>
          </cell>
          <cell r="E6649" t="str">
            <v>受剪接头</v>
          </cell>
        </row>
        <row r="6650">
          <cell r="D6650" t="str">
            <v>DD-J10-05346-2-Z</v>
          </cell>
          <cell r="E6650" t="str">
            <v>受剪接头</v>
          </cell>
        </row>
        <row r="6651">
          <cell r="D6651" t="str">
            <v>DD-J10-05346-2-Z</v>
          </cell>
          <cell r="E6651" t="str">
            <v>受剪接头</v>
          </cell>
        </row>
        <row r="6652">
          <cell r="D6652" t="str">
            <v>DD-J10-05346-2-Z</v>
          </cell>
          <cell r="E6652" t="str">
            <v>受剪接头</v>
          </cell>
        </row>
        <row r="6653">
          <cell r="D6653" t="str">
            <v>DD-J10-05346-2-Z</v>
          </cell>
          <cell r="E6653" t="str">
            <v>受剪接头</v>
          </cell>
        </row>
        <row r="6654">
          <cell r="D6654" t="str">
            <v>DD-J10-05346-2-Z</v>
          </cell>
          <cell r="E6654" t="str">
            <v>受剪接头</v>
          </cell>
        </row>
        <row r="6655">
          <cell r="D6655" t="str">
            <v>DD-J10-05346-2-Z</v>
          </cell>
          <cell r="E6655" t="str">
            <v>受剪接头</v>
          </cell>
        </row>
        <row r="6656">
          <cell r="D6656" t="str">
            <v>DD-J10-05346-3-Y</v>
          </cell>
          <cell r="E6656" t="str">
            <v>受剪接头</v>
          </cell>
        </row>
        <row r="6657">
          <cell r="D6657" t="str">
            <v>DD-J10-05346-3-Y</v>
          </cell>
          <cell r="E6657" t="str">
            <v>受剪接头</v>
          </cell>
        </row>
        <row r="6658">
          <cell r="D6658" t="str">
            <v>DD-J10-05346-3-Y</v>
          </cell>
          <cell r="E6658" t="str">
            <v>受剪接头</v>
          </cell>
        </row>
        <row r="6659">
          <cell r="D6659" t="str">
            <v>DD-J10-05346-3-Y</v>
          </cell>
          <cell r="E6659" t="str">
            <v>受剪接头</v>
          </cell>
        </row>
        <row r="6660">
          <cell r="D6660" t="str">
            <v>DD-J10-05346-3-Y</v>
          </cell>
          <cell r="E6660" t="str">
            <v>受剪接头</v>
          </cell>
        </row>
        <row r="6661">
          <cell r="D6661" t="str">
            <v>DD-J10-05346-3-Y</v>
          </cell>
          <cell r="E6661" t="str">
            <v>受剪接头</v>
          </cell>
        </row>
        <row r="6662">
          <cell r="D6662" t="str">
            <v>DD-J10-05346-3-Y</v>
          </cell>
          <cell r="E6662" t="str">
            <v>受剪接头</v>
          </cell>
        </row>
        <row r="6663">
          <cell r="D6663" t="str">
            <v>DD-J10-05346-3-Y</v>
          </cell>
          <cell r="E6663" t="str">
            <v>受剪接头</v>
          </cell>
        </row>
        <row r="6664">
          <cell r="D6664" t="str">
            <v>DD-J10-05346-3-Y</v>
          </cell>
          <cell r="E6664" t="str">
            <v>受剪接头</v>
          </cell>
        </row>
        <row r="6665">
          <cell r="D6665" t="str">
            <v>DD-J10-05346-3-Y</v>
          </cell>
          <cell r="E6665" t="str">
            <v>受剪接头</v>
          </cell>
        </row>
        <row r="6666">
          <cell r="D6666" t="str">
            <v>DD-J10-05346-3-Y</v>
          </cell>
          <cell r="E6666" t="str">
            <v>受剪接头</v>
          </cell>
        </row>
        <row r="6667">
          <cell r="D6667" t="str">
            <v>DD-J10-05346-3-Y</v>
          </cell>
          <cell r="E6667" t="str">
            <v>受剪接头</v>
          </cell>
        </row>
        <row r="6668">
          <cell r="D6668" t="str">
            <v>DD-J10-05346-3-Y</v>
          </cell>
          <cell r="E6668" t="str">
            <v>受剪接头</v>
          </cell>
        </row>
        <row r="6669">
          <cell r="D6669" t="str">
            <v>DD-J10-05346-3-Y</v>
          </cell>
          <cell r="E6669" t="str">
            <v>受剪接头</v>
          </cell>
        </row>
        <row r="6670">
          <cell r="D6670" t="str">
            <v>DD-J10-05346-3-Y</v>
          </cell>
          <cell r="E6670" t="str">
            <v>受剪接头</v>
          </cell>
        </row>
        <row r="6671">
          <cell r="D6671" t="str">
            <v>DD-J10-05346-3-Y</v>
          </cell>
          <cell r="E6671" t="str">
            <v>受剪接头</v>
          </cell>
        </row>
        <row r="6672">
          <cell r="D6672" t="str">
            <v>DD-J10-05346-3-Y</v>
          </cell>
          <cell r="E6672" t="str">
            <v>受剪接头</v>
          </cell>
        </row>
        <row r="6673">
          <cell r="D6673" t="str">
            <v>DD-J10-05346-3-Y</v>
          </cell>
          <cell r="E6673" t="str">
            <v>受剪接头</v>
          </cell>
        </row>
        <row r="6674">
          <cell r="D6674" t="str">
            <v>DD-J10-05346-3-Y</v>
          </cell>
          <cell r="E6674" t="str">
            <v>受剪接头</v>
          </cell>
        </row>
        <row r="6675">
          <cell r="D6675" t="str">
            <v>DD-J10-05346-3-Y</v>
          </cell>
          <cell r="E6675" t="str">
            <v>受剪接头</v>
          </cell>
        </row>
        <row r="6676">
          <cell r="D6676" t="str">
            <v>DD-J10-05346-3-Z</v>
          </cell>
          <cell r="E6676" t="str">
            <v>受剪接头</v>
          </cell>
        </row>
        <row r="6677">
          <cell r="D6677" t="str">
            <v>DD-J10-05346-3-Z</v>
          </cell>
          <cell r="E6677" t="str">
            <v>受剪接头</v>
          </cell>
        </row>
        <row r="6678">
          <cell r="D6678" t="str">
            <v>DD-J10-05346-3-Z</v>
          </cell>
          <cell r="E6678" t="str">
            <v>受剪接头</v>
          </cell>
        </row>
        <row r="6679">
          <cell r="D6679" t="str">
            <v>DD-J10-05346-3-Z</v>
          </cell>
          <cell r="E6679" t="str">
            <v>受剪接头</v>
          </cell>
        </row>
        <row r="6680">
          <cell r="D6680" t="str">
            <v>DD-J10-05346-3-Z</v>
          </cell>
          <cell r="E6680" t="str">
            <v>受剪接头</v>
          </cell>
        </row>
        <row r="6681">
          <cell r="D6681" t="str">
            <v>DD-J10-05346-3-Z</v>
          </cell>
          <cell r="E6681" t="str">
            <v>受剪接头</v>
          </cell>
        </row>
        <row r="6682">
          <cell r="D6682" t="str">
            <v>DD-J10-05346-3-Z</v>
          </cell>
          <cell r="E6682" t="str">
            <v>受剪接头</v>
          </cell>
        </row>
        <row r="6683">
          <cell r="D6683" t="str">
            <v>DD-J10-05346-3-Z</v>
          </cell>
          <cell r="E6683" t="str">
            <v>受剪接头</v>
          </cell>
        </row>
        <row r="6684">
          <cell r="D6684" t="str">
            <v>DD-J10-05346-3-Z</v>
          </cell>
          <cell r="E6684" t="str">
            <v>受剪接头</v>
          </cell>
        </row>
        <row r="6685">
          <cell r="D6685" t="str">
            <v>DD-J10-05346-3-Z</v>
          </cell>
          <cell r="E6685" t="str">
            <v>受剪接头</v>
          </cell>
        </row>
        <row r="6686">
          <cell r="D6686" t="str">
            <v>DD-J10-05346-3-Z</v>
          </cell>
          <cell r="E6686" t="str">
            <v>受剪接头</v>
          </cell>
        </row>
        <row r="6687">
          <cell r="D6687" t="str">
            <v>DD-J10-05346-3-Z</v>
          </cell>
          <cell r="E6687" t="str">
            <v>受剪接头</v>
          </cell>
        </row>
        <row r="6688">
          <cell r="D6688" t="str">
            <v>DD-J10-05346-3-Z</v>
          </cell>
          <cell r="E6688" t="str">
            <v>受剪接头</v>
          </cell>
        </row>
        <row r="6689">
          <cell r="D6689" t="str">
            <v>DD-J10-05346-3-Z</v>
          </cell>
          <cell r="E6689" t="str">
            <v>受剪接头</v>
          </cell>
        </row>
        <row r="6690">
          <cell r="D6690" t="str">
            <v>DD-J10-05346-3-Z</v>
          </cell>
          <cell r="E6690" t="str">
            <v>受剪接头</v>
          </cell>
        </row>
        <row r="6691">
          <cell r="D6691" t="str">
            <v>DD-J10-05346-3-Z</v>
          </cell>
          <cell r="E6691" t="str">
            <v>受剪接头</v>
          </cell>
        </row>
        <row r="6692">
          <cell r="D6692" t="str">
            <v>DD-J10-05346-3-Z</v>
          </cell>
          <cell r="E6692" t="str">
            <v>受剪接头</v>
          </cell>
        </row>
        <row r="6693">
          <cell r="D6693" t="str">
            <v>DD-J10-05346-3-Z</v>
          </cell>
          <cell r="E6693" t="str">
            <v>受剪接头</v>
          </cell>
        </row>
        <row r="6694">
          <cell r="D6694" t="str">
            <v>DD-J10-05346-3-Z</v>
          </cell>
          <cell r="E6694" t="str">
            <v>受剪接头</v>
          </cell>
        </row>
        <row r="6695">
          <cell r="D6695" t="str">
            <v>DD-J10-05346-3-Z</v>
          </cell>
          <cell r="E6695" t="str">
            <v>受剪接头</v>
          </cell>
        </row>
        <row r="6696">
          <cell r="D6696" t="str">
            <v>DD-J10B-04041-1</v>
          </cell>
          <cell r="E6696" t="str">
            <v>10060框</v>
          </cell>
        </row>
        <row r="6697">
          <cell r="D6697" t="str">
            <v>DD-J10B-04041-1</v>
          </cell>
          <cell r="E6697" t="str">
            <v>10060框</v>
          </cell>
        </row>
        <row r="6698">
          <cell r="D6698" t="str">
            <v>DD-J10B-04041-1</v>
          </cell>
          <cell r="E6698" t="str">
            <v>10060框</v>
          </cell>
        </row>
        <row r="6699">
          <cell r="D6699" t="str">
            <v>DD-J10B-04041-1</v>
          </cell>
          <cell r="E6699" t="str">
            <v>10060框</v>
          </cell>
        </row>
        <row r="6700">
          <cell r="D6700" t="str">
            <v>DD-J10B-04041-1</v>
          </cell>
          <cell r="E6700" t="str">
            <v>10060框</v>
          </cell>
        </row>
        <row r="6701">
          <cell r="D6701" t="str">
            <v>DD-J10B-04041-1</v>
          </cell>
          <cell r="E6701" t="str">
            <v>10060框</v>
          </cell>
        </row>
        <row r="6702">
          <cell r="D6702" t="str">
            <v>CB5713600-001R004</v>
          </cell>
          <cell r="E6702" t="str">
            <v>前梁一段</v>
          </cell>
        </row>
        <row r="6703">
          <cell r="D6703" t="str">
            <v>XXX-000-00</v>
          </cell>
          <cell r="E6703" t="str">
            <v>XXX试验夹具组合件</v>
          </cell>
        </row>
        <row r="6704">
          <cell r="D6704" t="str">
            <v>XXX-000-01</v>
          </cell>
          <cell r="E6704" t="str">
            <v>XXX试验夹具</v>
          </cell>
        </row>
        <row r="6705">
          <cell r="D6705" t="str">
            <v>XXX-000-00</v>
          </cell>
          <cell r="E6705" t="str">
            <v>XXXXXX1振动夹具组合件</v>
          </cell>
        </row>
        <row r="6706">
          <cell r="D6706" t="str">
            <v>XXX-000-01</v>
          </cell>
          <cell r="E6706" t="str">
            <v>XXXXXX1振动夹具</v>
          </cell>
        </row>
        <row r="6707">
          <cell r="D6707" t="str">
            <v>XXX-000-02</v>
          </cell>
          <cell r="E6707" t="str">
            <v>XXXXXX1垫块</v>
          </cell>
        </row>
        <row r="6708">
          <cell r="D6708" t="str">
            <v>XXX-000-03</v>
          </cell>
          <cell r="E6708" t="str">
            <v>XXXXXX1垫片</v>
          </cell>
        </row>
        <row r="6709">
          <cell r="D6709" t="str">
            <v>XXX-000-00</v>
          </cell>
          <cell r="E6709" t="str">
            <v>XXX离心夹具组合件</v>
          </cell>
        </row>
        <row r="6710">
          <cell r="D6710" t="str">
            <v>XXX-000-01</v>
          </cell>
          <cell r="E6710" t="str">
            <v>XXX离心夹具</v>
          </cell>
        </row>
        <row r="6711">
          <cell r="D6711" t="str">
            <v>XXX-000-00</v>
          </cell>
          <cell r="E6711" t="str">
            <v>XXX2离心夹具组合件</v>
          </cell>
        </row>
        <row r="6712">
          <cell r="D6712" t="str">
            <v>XXX-000-01</v>
          </cell>
          <cell r="E6712" t="str">
            <v>XXX2离心夹具</v>
          </cell>
        </row>
        <row r="6713">
          <cell r="D6713" t="str">
            <v>XXX-000-00</v>
          </cell>
          <cell r="E6713" t="str">
            <v>XXX2振动夹具组合件</v>
          </cell>
        </row>
        <row r="6714">
          <cell r="D6714" t="str">
            <v>XXX-000-01</v>
          </cell>
          <cell r="E6714" t="str">
            <v>XXX2振动夹具</v>
          </cell>
        </row>
        <row r="6715">
          <cell r="D6715" t="str">
            <v>XXX-000-00</v>
          </cell>
          <cell r="E6715" t="str">
            <v>XXX离心夹具组合件</v>
          </cell>
        </row>
        <row r="6716">
          <cell r="D6716" t="str">
            <v>XXX-000-01</v>
          </cell>
          <cell r="E6716" t="str">
            <v>XXX离心夹具</v>
          </cell>
        </row>
        <row r="6717">
          <cell r="D6717" t="str">
            <v>XXX-0000-01</v>
          </cell>
          <cell r="E6717" t="str">
            <v>外壳</v>
          </cell>
        </row>
        <row r="6718">
          <cell r="D6718" t="str">
            <v>XXX-0000-02</v>
          </cell>
          <cell r="E6718" t="str">
            <v>端盖</v>
          </cell>
        </row>
        <row r="6719">
          <cell r="D6719" t="str">
            <v>XXX-1000-01</v>
          </cell>
          <cell r="E6719" t="str">
            <v>内筒</v>
          </cell>
        </row>
        <row r="6720">
          <cell r="D6720" t="str">
            <v>XXX-1000-02</v>
          </cell>
          <cell r="E6720" t="str">
            <v>内筒盖</v>
          </cell>
        </row>
        <row r="6721">
          <cell r="D6721" t="str">
            <v>DD-J10-21102-390-1-Z</v>
          </cell>
          <cell r="E6721" t="str">
            <v>1150肋九段</v>
          </cell>
        </row>
        <row r="6722">
          <cell r="D6722" t="str">
            <v>DD-J10B-02111-2-Z</v>
          </cell>
          <cell r="E6722" t="str">
            <v>角盒</v>
          </cell>
        </row>
        <row r="6723">
          <cell r="D6723" t="str">
            <v>DD-J10B-02111-2-Z</v>
          </cell>
          <cell r="E6723" t="str">
            <v>角盒</v>
          </cell>
        </row>
        <row r="6724">
          <cell r="D6724" t="str">
            <v>CB2298612-001-001</v>
          </cell>
          <cell r="E6724" t="str">
            <v>支架</v>
          </cell>
        </row>
        <row r="6725">
          <cell r="D6725" t="str">
            <v>CB22931L1-001-003</v>
          </cell>
          <cell r="E6725" t="str">
            <v>底座</v>
          </cell>
        </row>
        <row r="6726">
          <cell r="D6726" t="str">
            <v>CB22931L1-001-003</v>
          </cell>
          <cell r="E6726" t="str">
            <v>底座</v>
          </cell>
        </row>
        <row r="6727">
          <cell r="D6727" t="str">
            <v>CB22931L1-001-003</v>
          </cell>
          <cell r="E6727" t="str">
            <v>底座</v>
          </cell>
        </row>
        <row r="6728">
          <cell r="D6728" t="str">
            <v>CB2294170-003-001</v>
          </cell>
          <cell r="E6728" t="str">
            <v>支架</v>
          </cell>
        </row>
        <row r="6729">
          <cell r="D6729" t="str">
            <v>CB2294170-003-001</v>
          </cell>
          <cell r="E6729" t="str">
            <v>支架</v>
          </cell>
        </row>
        <row r="6730">
          <cell r="D6730" t="str">
            <v>CB22924J0-001-001</v>
          </cell>
          <cell r="E6730" t="str">
            <v>角片</v>
          </cell>
        </row>
        <row r="6731">
          <cell r="D6731" t="str">
            <v>CB22924J0-002-005</v>
          </cell>
          <cell r="E6731" t="str">
            <v>角片</v>
          </cell>
        </row>
        <row r="6732">
          <cell r="D6732" t="str">
            <v>CB22924J0-002-005</v>
          </cell>
          <cell r="E6732" t="str">
            <v>角片</v>
          </cell>
        </row>
        <row r="6733">
          <cell r="D6733" t="str">
            <v>CB22924K0-001-005</v>
          </cell>
          <cell r="E6733" t="str">
            <v>角片</v>
          </cell>
        </row>
        <row r="6734">
          <cell r="D6734" t="str">
            <v>CB5512300-006R003</v>
          </cell>
          <cell r="E6734" t="str">
            <v>1#斜肋</v>
          </cell>
        </row>
        <row r="6735">
          <cell r="D6735" t="str">
            <v>CB5512300-006L003</v>
          </cell>
          <cell r="E6735" t="str">
            <v>1#斜肋</v>
          </cell>
        </row>
        <row r="6736">
          <cell r="D6736" t="str">
            <v>DD-J10B-02041-202G2</v>
          </cell>
          <cell r="E6736" t="str">
            <v>地板</v>
          </cell>
        </row>
        <row r="6737">
          <cell r="D6737" t="str">
            <v>DD-J10B-21402-10G2-1G2-Y</v>
          </cell>
          <cell r="E6737" t="str">
            <v>固定前缘边肋（右件）</v>
          </cell>
        </row>
        <row r="6738">
          <cell r="D6738" t="str">
            <v>DD-J10B-21402-10G2-1G2-Y</v>
          </cell>
          <cell r="E6738" t="str">
            <v>固定前缘边肋（右件）</v>
          </cell>
        </row>
        <row r="6739">
          <cell r="D6739" t="str">
            <v>DD-J10B-21402-10G2-1G2-Z</v>
          </cell>
          <cell r="E6739" t="str">
            <v>固定前缘边肋（左件）</v>
          </cell>
        </row>
        <row r="6740">
          <cell r="D6740" t="str">
            <v>DD-J10B-21402-10G2-1G2-Z</v>
          </cell>
          <cell r="E6740" t="str">
            <v>固定前缘边肋（左件）</v>
          </cell>
        </row>
        <row r="6741">
          <cell r="D6741" t="str">
            <v>DD-J10B-21402-10G2-1G2-Z</v>
          </cell>
          <cell r="E6741" t="str">
            <v>固定前缘边肋（左件）</v>
          </cell>
        </row>
        <row r="6742">
          <cell r="D6742" t="str">
            <v>BC2714111-010-001</v>
          </cell>
          <cell r="E6742" t="str">
            <v>销</v>
          </cell>
        </row>
        <row r="6743">
          <cell r="D6743" t="str">
            <v>BC2332J01-008-001</v>
          </cell>
          <cell r="E6743" t="str">
            <v>衬套</v>
          </cell>
        </row>
        <row r="6744">
          <cell r="D6744" t="str">
            <v>BC2332H01-008-001</v>
          </cell>
          <cell r="E6744" t="str">
            <v>衬套</v>
          </cell>
        </row>
        <row r="6745">
          <cell r="D6745" t="str">
            <v>BC3132110-003-001</v>
          </cell>
          <cell r="E6745" t="str">
            <v>杆</v>
          </cell>
        </row>
        <row r="6746">
          <cell r="D6746" t="str">
            <v>BC2297470-001-001</v>
          </cell>
          <cell r="E6746" t="str">
            <v>管夹</v>
          </cell>
        </row>
        <row r="6747">
          <cell r="D6747" t="str">
            <v>BC2298420-004-001</v>
          </cell>
          <cell r="E6747" t="str">
            <v>组合导管夹</v>
          </cell>
        </row>
        <row r="6748">
          <cell r="D6748" t="str">
            <v>BC3231110-002-001</v>
          </cell>
          <cell r="E6748" t="str">
            <v>卡圈</v>
          </cell>
        </row>
        <row r="6749">
          <cell r="D6749" t="str">
            <v>BC2711344-002-001</v>
          </cell>
          <cell r="E6749" t="str">
            <v>短管</v>
          </cell>
        </row>
        <row r="6750">
          <cell r="D6750" t="str">
            <v>BC2711314-001-001</v>
          </cell>
          <cell r="E6750" t="str">
            <v>短管</v>
          </cell>
        </row>
        <row r="6751">
          <cell r="D6751" t="str">
            <v>BC5822000-004-001</v>
          </cell>
          <cell r="E6751" t="str">
            <v>斜垫片</v>
          </cell>
        </row>
        <row r="6752">
          <cell r="D6752" t="str">
            <v>BC2299320-001-001</v>
          </cell>
          <cell r="E6752" t="str">
            <v>管夹零件</v>
          </cell>
        </row>
        <row r="6753">
          <cell r="D6753" t="str">
            <v>BC2712311-004-003</v>
          </cell>
          <cell r="E6753" t="str">
            <v>保护罩支座</v>
          </cell>
        </row>
        <row r="6754">
          <cell r="D6754" t="str">
            <v>BC2298150-004-001</v>
          </cell>
          <cell r="E6754" t="str">
            <v>连接头</v>
          </cell>
        </row>
        <row r="6755">
          <cell r="D6755" t="str">
            <v>BC2299390-001-001</v>
          </cell>
          <cell r="E6755" t="str">
            <v>管夹零件</v>
          </cell>
        </row>
        <row r="6756">
          <cell r="D6756" t="str">
            <v>Y20-4383220005-001</v>
          </cell>
          <cell r="E6756" t="str">
            <v>支架</v>
          </cell>
        </row>
        <row r="6757">
          <cell r="D6757" t="str">
            <v>Y20-4383220005-001</v>
          </cell>
          <cell r="E6757" t="str">
            <v>支架</v>
          </cell>
        </row>
        <row r="6758">
          <cell r="D6758" t="str">
            <v>CB5326200-134R002</v>
          </cell>
          <cell r="E6758" t="str">
            <v>9010 4号加强筋</v>
          </cell>
        </row>
        <row r="6759">
          <cell r="D6759" t="str">
            <v>CB5326200-134R002</v>
          </cell>
          <cell r="E6759" t="str">
            <v>9010 4号加强筋</v>
          </cell>
        </row>
        <row r="6760">
          <cell r="D6760" t="str">
            <v>CB5326200-134R002</v>
          </cell>
          <cell r="E6760" t="str">
            <v>9010 4号加强筋</v>
          </cell>
        </row>
        <row r="6761">
          <cell r="D6761" t="str">
            <v>CB5326200-134R002</v>
          </cell>
          <cell r="E6761" t="str">
            <v>9010 4号加强筋</v>
          </cell>
        </row>
        <row r="6762">
          <cell r="D6762" t="str">
            <v>CB5326200-134R002</v>
          </cell>
          <cell r="E6762" t="str">
            <v>9010 4号加强筋</v>
          </cell>
        </row>
        <row r="6763">
          <cell r="D6763" t="str">
            <v>CB5326200-134L002</v>
          </cell>
          <cell r="E6763" t="str">
            <v>9010 4号加强筋</v>
          </cell>
        </row>
        <row r="6764">
          <cell r="D6764" t="str">
            <v>CB5326200-134L002</v>
          </cell>
          <cell r="E6764" t="str">
            <v>9010 4号加强筋</v>
          </cell>
        </row>
        <row r="6765">
          <cell r="D6765" t="str">
            <v>CB5326200-134L002</v>
          </cell>
          <cell r="E6765" t="str">
            <v>9010 4号加强筋</v>
          </cell>
        </row>
        <row r="6766">
          <cell r="D6766" t="str">
            <v>CB5326200-134L002</v>
          </cell>
          <cell r="E6766" t="str">
            <v>9010 4号加强筋</v>
          </cell>
        </row>
        <row r="6767">
          <cell r="D6767" t="str">
            <v>CB5326200-134L002</v>
          </cell>
          <cell r="E6767" t="str">
            <v>9010 4号加强筋</v>
          </cell>
        </row>
        <row r="6768">
          <cell r="D6768" t="str">
            <v>CB5326200-133L002</v>
          </cell>
          <cell r="E6768" t="str">
            <v>8815 4号加强筋</v>
          </cell>
        </row>
        <row r="6769">
          <cell r="D6769" t="str">
            <v>CB5326200-133L002</v>
          </cell>
          <cell r="E6769" t="str">
            <v>8815 4号加强筋</v>
          </cell>
        </row>
        <row r="6770">
          <cell r="D6770" t="str">
            <v>CB5326200-133L002</v>
          </cell>
          <cell r="E6770" t="str">
            <v>8815 4号加强筋</v>
          </cell>
        </row>
        <row r="6771">
          <cell r="D6771" t="str">
            <v>CB5326200-133L002</v>
          </cell>
          <cell r="E6771" t="str">
            <v>8815 4号加强筋</v>
          </cell>
        </row>
        <row r="6772">
          <cell r="D6772" t="str">
            <v>CB5326200-133L002</v>
          </cell>
          <cell r="E6772" t="str">
            <v>8815 4号加强筋</v>
          </cell>
        </row>
        <row r="6773">
          <cell r="D6773" t="str">
            <v>CB5326200-133R002</v>
          </cell>
          <cell r="E6773" t="str">
            <v>8815 4号加强筋</v>
          </cell>
        </row>
        <row r="6774">
          <cell r="D6774" t="str">
            <v>CB5326200-133R002</v>
          </cell>
          <cell r="E6774" t="str">
            <v>8815 4号加强筋</v>
          </cell>
        </row>
        <row r="6775">
          <cell r="D6775" t="str">
            <v>CB5326200-133R002</v>
          </cell>
          <cell r="E6775" t="str">
            <v>8815 4号加强筋</v>
          </cell>
        </row>
        <row r="6776">
          <cell r="D6776" t="str">
            <v>CB5326200-133R002</v>
          </cell>
          <cell r="E6776" t="str">
            <v>8815 4号加强筋</v>
          </cell>
        </row>
        <row r="6777">
          <cell r="D6777" t="str">
            <v>CB5326200-133R002</v>
          </cell>
          <cell r="E6777" t="str">
            <v>8815 4号加强筋</v>
          </cell>
        </row>
        <row r="6778">
          <cell r="D6778" t="str">
            <v>DD-J10-21102-120-1-Z</v>
          </cell>
          <cell r="E6778" t="str">
            <v>9480梁（左件）</v>
          </cell>
        </row>
        <row r="6779">
          <cell r="D6779" t="str">
            <v>DD-J10-21102-120-1-Z</v>
          </cell>
          <cell r="E6779" t="str">
            <v>9480梁（左件）</v>
          </cell>
        </row>
        <row r="6780">
          <cell r="D6780" t="str">
            <v>DD-J10-34003-2</v>
          </cell>
          <cell r="E6780" t="str">
            <v>后梁</v>
          </cell>
        </row>
        <row r="6781">
          <cell r="D6781" t="str">
            <v>DD-J10-34003-2</v>
          </cell>
          <cell r="E6781" t="str">
            <v>后梁</v>
          </cell>
        </row>
        <row r="6782">
          <cell r="D6782" t="str">
            <v>DD-J10-34003-2</v>
          </cell>
          <cell r="E6782" t="str">
            <v>后梁</v>
          </cell>
        </row>
        <row r="6783">
          <cell r="D6783" t="str">
            <v>CB5314107-001-002</v>
          </cell>
          <cell r="E6783" t="str">
            <v>5550上框</v>
          </cell>
        </row>
        <row r="6784">
          <cell r="D6784" t="str">
            <v>CB5314107-001-002</v>
          </cell>
          <cell r="E6784" t="str">
            <v>5550上框</v>
          </cell>
        </row>
        <row r="6785">
          <cell r="D6785" t="str">
            <v>BC2297401-001-001</v>
          </cell>
          <cell r="E6785" t="str">
            <v>三通接头</v>
          </cell>
        </row>
        <row r="6786">
          <cell r="D6786" t="str">
            <v>CB2294456-007-001</v>
          </cell>
          <cell r="E6786" t="str">
            <v>垫片</v>
          </cell>
        </row>
        <row r="6787">
          <cell r="D6787" t="str">
            <v>CB2294456-007-001</v>
          </cell>
          <cell r="E6787" t="str">
            <v>垫片</v>
          </cell>
        </row>
        <row r="6788">
          <cell r="D6788" t="str">
            <v>DD-J10-06061-6</v>
          </cell>
          <cell r="E6788" t="str">
            <v>支座</v>
          </cell>
        </row>
        <row r="6789">
          <cell r="D6789" t="str">
            <v>DD-J10-06061-6</v>
          </cell>
          <cell r="E6789" t="str">
            <v>支座</v>
          </cell>
        </row>
        <row r="6790">
          <cell r="D6790" t="str">
            <v>DD-J10B-04321-30-1-Y</v>
          </cell>
          <cell r="E6790" t="str">
            <v>侧下梁</v>
          </cell>
        </row>
        <row r="6791">
          <cell r="D6791" t="str">
            <v>DD-J10B-26002-1G2-Y</v>
          </cell>
          <cell r="E6791" t="str">
            <v>梁（右件）</v>
          </cell>
        </row>
        <row r="6792">
          <cell r="D6792" t="str">
            <v>DD-J10B-26002-1G2-Y</v>
          </cell>
          <cell r="E6792" t="str">
            <v>梁（右件）</v>
          </cell>
        </row>
        <row r="6793">
          <cell r="D6793" t="str">
            <v>DD-J10B-26002-1G2-Y</v>
          </cell>
          <cell r="E6793" t="str">
            <v>梁（右件）</v>
          </cell>
        </row>
        <row r="6794">
          <cell r="D6794" t="str">
            <v>DD-J10B-26002-1G2-Y</v>
          </cell>
          <cell r="E6794" t="str">
            <v>梁（右件）</v>
          </cell>
        </row>
        <row r="6795">
          <cell r="D6795" t="str">
            <v>DD-J10B-26002-1G2-Z</v>
          </cell>
          <cell r="E6795" t="str">
            <v>梁（左件）</v>
          </cell>
        </row>
        <row r="6796">
          <cell r="D6796" t="str">
            <v>DD-J10B-26002-1G2-Z</v>
          </cell>
          <cell r="E6796" t="str">
            <v>梁（左件）</v>
          </cell>
        </row>
        <row r="6797">
          <cell r="D6797" t="str">
            <v>DD-J10B-26002-1G2-Z</v>
          </cell>
          <cell r="E6797" t="str">
            <v>梁（左件）</v>
          </cell>
        </row>
        <row r="6798">
          <cell r="D6798" t="str">
            <v>DD-J10B-26002-1G2-Z</v>
          </cell>
          <cell r="E6798" t="str">
            <v>梁（左件）</v>
          </cell>
        </row>
        <row r="6799">
          <cell r="D6799" t="str">
            <v>DD-J10B-34303-7G2</v>
          </cell>
          <cell r="E6799" t="str">
            <v>第1隔板</v>
          </cell>
        </row>
        <row r="6800">
          <cell r="D6800" t="str">
            <v>DD-J10B-34303-7G2</v>
          </cell>
          <cell r="E6800" t="str">
            <v>第1隔板</v>
          </cell>
        </row>
        <row r="6801">
          <cell r="D6801" t="str">
            <v>DD-J10B-34303-8G2</v>
          </cell>
          <cell r="E6801" t="str">
            <v>第2隔板</v>
          </cell>
        </row>
        <row r="6802">
          <cell r="D6802" t="str">
            <v>DD-J10B-34303-8G2</v>
          </cell>
          <cell r="E6802" t="str">
            <v>第2隔板</v>
          </cell>
        </row>
        <row r="6803">
          <cell r="D6803" t="str">
            <v>DD-J10B-34303-9G2</v>
          </cell>
          <cell r="E6803" t="str">
            <v>第3隔板</v>
          </cell>
        </row>
        <row r="6804">
          <cell r="D6804" t="str">
            <v>DD-J10B-34303-9G2</v>
          </cell>
          <cell r="E6804" t="str">
            <v>第3隔板</v>
          </cell>
        </row>
        <row r="6805">
          <cell r="D6805" t="str">
            <v>DD-J10B-34303-11G2</v>
          </cell>
          <cell r="E6805" t="str">
            <v>第4隔板</v>
          </cell>
        </row>
        <row r="6806">
          <cell r="D6806" t="str">
            <v>DD-J10B-34303-11G2</v>
          </cell>
          <cell r="E6806" t="str">
            <v>第4隔板</v>
          </cell>
        </row>
        <row r="6807">
          <cell r="D6807" t="str">
            <v>DD-J10B-34303-12G2</v>
          </cell>
          <cell r="E6807" t="str">
            <v>第5隔板</v>
          </cell>
        </row>
        <row r="6808">
          <cell r="D6808" t="str">
            <v>DD-J10B-34303-12G2</v>
          </cell>
          <cell r="E6808" t="str">
            <v>第5隔板</v>
          </cell>
        </row>
        <row r="6809">
          <cell r="D6809" t="str">
            <v>DD-J10B-34303-13G2</v>
          </cell>
          <cell r="E6809" t="str">
            <v>第6隔板</v>
          </cell>
        </row>
        <row r="6810">
          <cell r="D6810" t="str">
            <v>DD-J10B-34303-13G2</v>
          </cell>
          <cell r="E6810" t="str">
            <v>第6隔板</v>
          </cell>
        </row>
        <row r="6811">
          <cell r="D6811" t="str">
            <v>BC2281650-006-001</v>
          </cell>
          <cell r="E6811" t="str">
            <v>角片</v>
          </cell>
        </row>
        <row r="6812">
          <cell r="D6812" t="str">
            <v>BC2281650-006-001</v>
          </cell>
          <cell r="E6812" t="str">
            <v>角片</v>
          </cell>
        </row>
        <row r="6813">
          <cell r="D6813" t="str">
            <v>BC2281650-005-001</v>
          </cell>
          <cell r="E6813" t="str">
            <v>角片</v>
          </cell>
        </row>
        <row r="6814">
          <cell r="D6814" t="str">
            <v>BC2281650-005-001</v>
          </cell>
          <cell r="E6814" t="str">
            <v>角片</v>
          </cell>
        </row>
        <row r="6815">
          <cell r="D6815" t="str">
            <v>BC2281641-002-001</v>
          </cell>
          <cell r="E6815" t="str">
            <v>接头</v>
          </cell>
        </row>
        <row r="6816">
          <cell r="D6816" t="str">
            <v>CB5313200-004L006</v>
          </cell>
          <cell r="E6816" t="str">
            <v>左前分合面框</v>
          </cell>
        </row>
        <row r="6817">
          <cell r="D6817" t="str">
            <v>CB5313200-004L006</v>
          </cell>
          <cell r="E6817" t="str">
            <v>左前分合面框</v>
          </cell>
        </row>
        <row r="6818">
          <cell r="D6818" t="str">
            <v>CB5714100-002L003</v>
          </cell>
          <cell r="E6818" t="str">
            <v>根肋二段</v>
          </cell>
        </row>
        <row r="6819">
          <cell r="D6819" t="str">
            <v>CB5714100-002L003</v>
          </cell>
          <cell r="E6819" t="str">
            <v>根肋二段</v>
          </cell>
        </row>
        <row r="6820">
          <cell r="D6820" t="str">
            <v>CB5714100-002R003</v>
          </cell>
          <cell r="E6820" t="str">
            <v>根肋二段</v>
          </cell>
        </row>
        <row r="6821">
          <cell r="D6821" t="str">
            <v>CB5714100-002R003</v>
          </cell>
          <cell r="E6821" t="str">
            <v>根肋二段</v>
          </cell>
        </row>
        <row r="6822">
          <cell r="D6822" t="str">
            <v>CB5714100-001R004</v>
          </cell>
          <cell r="E6822" t="str">
            <v>根肋一段</v>
          </cell>
        </row>
        <row r="6823">
          <cell r="D6823" t="str">
            <v>CB5714100-001R004</v>
          </cell>
          <cell r="E6823" t="str">
            <v>根肋一段</v>
          </cell>
        </row>
        <row r="6824">
          <cell r="D6824" t="str">
            <v>CB5714100-001L004</v>
          </cell>
          <cell r="E6824" t="str">
            <v>根肋一段</v>
          </cell>
        </row>
        <row r="6825">
          <cell r="D6825" t="str">
            <v>CB5714100-001L004</v>
          </cell>
          <cell r="E6825" t="str">
            <v>根肋一段</v>
          </cell>
        </row>
        <row r="6826">
          <cell r="D6826" t="str">
            <v>CB5315193-005-003</v>
          </cell>
          <cell r="E6826" t="str">
            <v>口盖</v>
          </cell>
        </row>
        <row r="6827">
          <cell r="D6827" t="str">
            <v>CB2298611-001-001</v>
          </cell>
          <cell r="E6827" t="str">
            <v>支架</v>
          </cell>
        </row>
        <row r="6828">
          <cell r="D6828" t="str">
            <v>CB2298611-001-001</v>
          </cell>
          <cell r="E6828" t="str">
            <v>支架</v>
          </cell>
        </row>
        <row r="6829">
          <cell r="D6829" t="str">
            <v>DD-J10B-73010-310G2-1</v>
          </cell>
          <cell r="E6829" t="str">
            <v>过渡板</v>
          </cell>
        </row>
        <row r="6830">
          <cell r="D6830" t="str">
            <v>DD-J10B-73010-310G2-1</v>
          </cell>
          <cell r="E6830" t="str">
            <v>过渡板</v>
          </cell>
        </row>
        <row r="6831">
          <cell r="D6831" t="str">
            <v>DD-J10B-65000-1820G2-1</v>
          </cell>
          <cell r="E6831" t="str">
            <v>摇臂</v>
          </cell>
        </row>
        <row r="6832">
          <cell r="D6832" t="str">
            <v>BC5315208-001-002</v>
          </cell>
          <cell r="E6832" t="str">
            <v>5458左框</v>
          </cell>
        </row>
        <row r="6833">
          <cell r="D6833" t="str">
            <v>BC3012310-001-001</v>
          </cell>
          <cell r="E6833" t="str">
            <v>前右斜操纵台</v>
          </cell>
        </row>
        <row r="6834">
          <cell r="D6834" t="str">
            <v>BC3012310-001-001</v>
          </cell>
          <cell r="E6834" t="str">
            <v>前右斜操纵台</v>
          </cell>
        </row>
        <row r="6835">
          <cell r="D6835" t="str">
            <v>Y20-4252103803-001</v>
          </cell>
          <cell r="E6835" t="str">
            <v>角片</v>
          </cell>
        </row>
        <row r="6836">
          <cell r="D6836" t="str">
            <v>Y20-4252103803-001</v>
          </cell>
          <cell r="E6836" t="str">
            <v>角片</v>
          </cell>
        </row>
        <row r="6837">
          <cell r="D6837" t="str">
            <v>Y20-5317018032-001</v>
          </cell>
          <cell r="E6837" t="str">
            <v>立柱接头</v>
          </cell>
        </row>
        <row r="6838">
          <cell r="D6838" t="str">
            <v>Y20-5317018033-001</v>
          </cell>
          <cell r="E6838" t="str">
            <v>立柱接头</v>
          </cell>
        </row>
        <row r="6839">
          <cell r="D6839" t="str">
            <v>Y20-5317018034-001</v>
          </cell>
          <cell r="E6839" t="str">
            <v>立柱接头</v>
          </cell>
        </row>
        <row r="6840">
          <cell r="D6840" t="str">
            <v>Y20-5315200202-001</v>
          </cell>
          <cell r="E6840" t="str">
            <v>15框外缘角型接头</v>
          </cell>
        </row>
        <row r="6841">
          <cell r="D6841" t="str">
            <v>Y20-5315200202-002</v>
          </cell>
          <cell r="E6841" t="str">
            <v>15框外缘角型接头</v>
          </cell>
        </row>
        <row r="6842">
          <cell r="D6842" t="str">
            <v>Y20-5315200201-001</v>
          </cell>
          <cell r="E6842" t="str">
            <v>15框外缘角型接头</v>
          </cell>
        </row>
        <row r="6843">
          <cell r="D6843" t="str">
            <v>Y20-5315200201-002</v>
          </cell>
          <cell r="E6843" t="str">
            <v>15框外缘角型接头</v>
          </cell>
        </row>
        <row r="6844">
          <cell r="D6844" t="str">
            <v>Y20-6692030020-001</v>
          </cell>
          <cell r="E6844" t="str">
            <v>拉深件</v>
          </cell>
        </row>
        <row r="6845">
          <cell r="D6845" t="str">
            <v>Y20-5828060002-001</v>
          </cell>
          <cell r="E6845" t="str">
            <v>拨片</v>
          </cell>
        </row>
        <row r="6846">
          <cell r="D6846" t="str">
            <v>BC2714800-002-001</v>
          </cell>
          <cell r="E6846" t="str">
            <v>外套螺母</v>
          </cell>
        </row>
        <row r="6847">
          <cell r="D6847" t="str">
            <v>BC2711220-003-001</v>
          </cell>
          <cell r="E6847" t="str">
            <v>螺母</v>
          </cell>
        </row>
        <row r="6848">
          <cell r="D6848" t="str">
            <v>BC2231331-001-001</v>
          </cell>
          <cell r="E6848" t="str">
            <v>R15防火堵盖</v>
          </cell>
        </row>
        <row r="6849">
          <cell r="D6849" t="str">
            <v>BC2712520-006-001</v>
          </cell>
          <cell r="E6849" t="str">
            <v>螺栓轴</v>
          </cell>
        </row>
        <row r="6850">
          <cell r="D6850" t="str">
            <v>BC3101241-012-001</v>
          </cell>
          <cell r="E6850" t="str">
            <v>锁柄</v>
          </cell>
        </row>
        <row r="6851">
          <cell r="D6851" t="str">
            <v>BC5313301-007L001</v>
          </cell>
          <cell r="E6851" t="str">
            <v>拉索支座</v>
          </cell>
        </row>
        <row r="6852">
          <cell r="D6852" t="str">
            <v>BC5313301-007R001</v>
          </cell>
          <cell r="E6852" t="str">
            <v>拉索支座</v>
          </cell>
        </row>
        <row r="6853">
          <cell r="D6853" t="str">
            <v>BC5313302-007L001</v>
          </cell>
          <cell r="E6853" t="str">
            <v>拉索支座</v>
          </cell>
        </row>
        <row r="6854">
          <cell r="D6854" t="str">
            <v>BC5313302-007R001</v>
          </cell>
          <cell r="E6854" t="str">
            <v>拉索支座</v>
          </cell>
        </row>
        <row r="6855">
          <cell r="D6855" t="str">
            <v>BC2712520-003-001</v>
          </cell>
          <cell r="E6855" t="str">
            <v>支架</v>
          </cell>
        </row>
        <row r="6856">
          <cell r="D6856" t="str">
            <v>BC2712311-004-003</v>
          </cell>
          <cell r="E6856" t="str">
            <v>保护罩支座</v>
          </cell>
        </row>
        <row r="6857">
          <cell r="D6857" t="str">
            <v>BC5836011-001-001</v>
          </cell>
          <cell r="E6857" t="str">
            <v>壳体</v>
          </cell>
        </row>
        <row r="6858">
          <cell r="D6858" t="str">
            <v>BC2284103-001-001</v>
          </cell>
          <cell r="E6858" t="str">
            <v>接头</v>
          </cell>
        </row>
        <row r="6859">
          <cell r="D6859" t="str">
            <v>BC5324360-002-001</v>
          </cell>
          <cell r="E6859" t="str">
            <v>堵塞</v>
          </cell>
        </row>
        <row r="6860">
          <cell r="D6860" t="str">
            <v>BC5314400-009-001</v>
          </cell>
          <cell r="E6860" t="str">
            <v>垫块</v>
          </cell>
        </row>
        <row r="6861">
          <cell r="D6861" t="str">
            <v>BC3101230-005-001</v>
          </cell>
          <cell r="E6861" t="str">
            <v>衬套</v>
          </cell>
        </row>
        <row r="6862">
          <cell r="D6862" t="str">
            <v>BC22107LC-003-001</v>
          </cell>
          <cell r="E6862" t="str">
            <v>前支架</v>
          </cell>
        </row>
        <row r="6863">
          <cell r="D6863" t="str">
            <v>BC2711110-003-001</v>
          </cell>
          <cell r="E6863" t="str">
            <v>螺纹堵盖</v>
          </cell>
        </row>
        <row r="6864">
          <cell r="D6864" t="str">
            <v>BC22924P0-001-001</v>
          </cell>
          <cell r="E6864" t="str">
            <v>管夹1</v>
          </cell>
        </row>
        <row r="6865">
          <cell r="D6865" t="str">
            <v>BC2231341-002-004</v>
          </cell>
          <cell r="E6865" t="str">
            <v>R12防火堵盖</v>
          </cell>
        </row>
        <row r="6866">
          <cell r="D6866" t="str">
            <v>BC2295175-005-001</v>
          </cell>
          <cell r="E6866" t="str">
            <v>缓冲头</v>
          </cell>
        </row>
        <row r="6867">
          <cell r="D6867" t="str">
            <v>BC22971A1-005-001</v>
          </cell>
          <cell r="E6867" t="str">
            <v>缓冲头</v>
          </cell>
        </row>
        <row r="6868">
          <cell r="D6868" t="str">
            <v>BC3101242-012-001</v>
          </cell>
          <cell r="E6868" t="str">
            <v>锁柄</v>
          </cell>
        </row>
        <row r="6869">
          <cell r="D6869" t="str">
            <v>BC2231331-002-001</v>
          </cell>
          <cell r="E6869" t="str">
            <v>R16防火堵盖</v>
          </cell>
        </row>
        <row r="6870">
          <cell r="D6870" t="str">
            <v>BC2284333-002-001</v>
          </cell>
          <cell r="E6870" t="str">
            <v>转接段</v>
          </cell>
        </row>
        <row r="6871">
          <cell r="D6871" t="str">
            <v>BC3101300-004-001</v>
          </cell>
          <cell r="E6871" t="str">
            <v>上支座螺栓</v>
          </cell>
        </row>
        <row r="6872">
          <cell r="D6872" t="str">
            <v>BC3101300-005-001</v>
          </cell>
          <cell r="E6872" t="str">
            <v>下支座螺栓</v>
          </cell>
        </row>
        <row r="6873">
          <cell r="D6873" t="str">
            <v>BC22954F0-003-001</v>
          </cell>
          <cell r="E6873" t="str">
            <v>管夹</v>
          </cell>
        </row>
        <row r="6874">
          <cell r="D6874" t="str">
            <v>BC2711322-002-001</v>
          </cell>
          <cell r="E6874" t="str">
            <v>接头</v>
          </cell>
        </row>
        <row r="6875">
          <cell r="D6875" t="str">
            <v>BC2712521-004-001</v>
          </cell>
          <cell r="E6875" t="str">
            <v>限位销</v>
          </cell>
        </row>
        <row r="6876">
          <cell r="D6876" t="str">
            <v>BC2332200-001-001</v>
          </cell>
          <cell r="E6876" t="str">
            <v>卡钉</v>
          </cell>
        </row>
        <row r="6877">
          <cell r="D6877" t="str">
            <v>BC221T4BA-001-001</v>
          </cell>
          <cell r="E6877" t="str">
            <v>传感器底座</v>
          </cell>
        </row>
        <row r="6878">
          <cell r="D6878" t="str">
            <v>BC22846Y4-003-001</v>
          </cell>
          <cell r="E6878" t="str">
            <v>耳环螺栓</v>
          </cell>
        </row>
        <row r="6879">
          <cell r="D6879" t="str">
            <v>BC22846Y4-003-001</v>
          </cell>
          <cell r="E6879" t="str">
            <v>耳环螺栓</v>
          </cell>
        </row>
        <row r="6880">
          <cell r="D6880" t="str">
            <v>BC2712530-003-001</v>
          </cell>
          <cell r="E6880" t="str">
            <v>M6套筒</v>
          </cell>
        </row>
        <row r="6881">
          <cell r="D6881" t="str">
            <v>BC2712522-001-001</v>
          </cell>
          <cell r="E6881" t="str">
            <v>支座</v>
          </cell>
        </row>
        <row r="6882">
          <cell r="D6882" t="str">
            <v>BC27149G2-002-001</v>
          </cell>
          <cell r="E6882" t="str">
            <v>管</v>
          </cell>
        </row>
        <row r="6883">
          <cell r="D6883" t="str">
            <v>BC2711313-006-001</v>
          </cell>
          <cell r="E6883" t="str">
            <v>球头</v>
          </cell>
        </row>
        <row r="6884">
          <cell r="D6884" t="str">
            <v>BC22311D1-003-001</v>
          </cell>
          <cell r="E6884" t="str">
            <v>卡钉</v>
          </cell>
        </row>
        <row r="6885">
          <cell r="D6885" t="str">
            <v>BC22311D1-003-001</v>
          </cell>
          <cell r="E6885" t="str">
            <v>卡钉</v>
          </cell>
        </row>
        <row r="6886">
          <cell r="D6886" t="str">
            <v>BC221T2ME-001-001</v>
          </cell>
          <cell r="E6886" t="str">
            <v>法兰盘</v>
          </cell>
        </row>
        <row r="6887">
          <cell r="D6887" t="str">
            <v>BC2281245-003-001</v>
          </cell>
          <cell r="E6887" t="str">
            <v>套筒</v>
          </cell>
        </row>
        <row r="6888">
          <cell r="D6888" t="str">
            <v>CB221097C-002-002</v>
          </cell>
          <cell r="E6888" t="str">
            <v>支架</v>
          </cell>
        </row>
        <row r="6889">
          <cell r="D6889" t="str">
            <v>DD-J10B-04061-1</v>
          </cell>
          <cell r="E6889" t="str">
            <v>10860框</v>
          </cell>
        </row>
        <row r="6890">
          <cell r="D6890" t="str">
            <v>DD-J10B-04061-1</v>
          </cell>
          <cell r="E6890" t="str">
            <v>10860框</v>
          </cell>
        </row>
        <row r="6891">
          <cell r="D6891" t="str">
            <v>DD-J10B-04061-1</v>
          </cell>
          <cell r="E6891" t="str">
            <v>10860框</v>
          </cell>
        </row>
        <row r="6892">
          <cell r="D6892" t="str">
            <v>CB5327110-003L002</v>
          </cell>
          <cell r="E6892" t="str">
            <v>8635左隔框</v>
          </cell>
        </row>
        <row r="6893">
          <cell r="D6893" t="str">
            <v>CB5327110-003L002</v>
          </cell>
          <cell r="E6893" t="str">
            <v>8635左隔框</v>
          </cell>
        </row>
        <row r="6894">
          <cell r="D6894" t="str">
            <v>CB5327110-003L002</v>
          </cell>
          <cell r="E6894" t="str">
            <v>8635左隔框</v>
          </cell>
        </row>
        <row r="6895">
          <cell r="D6895" t="str">
            <v>CB5327110-003L002</v>
          </cell>
          <cell r="E6895" t="str">
            <v>8635左隔框</v>
          </cell>
        </row>
        <row r="6896">
          <cell r="D6896" t="str">
            <v>CB5327110-003R002</v>
          </cell>
          <cell r="E6896" t="str">
            <v>8635右隔框</v>
          </cell>
        </row>
        <row r="6897">
          <cell r="D6897" t="str">
            <v>CB5327110-003R002</v>
          </cell>
          <cell r="E6897" t="str">
            <v>8635右隔框</v>
          </cell>
        </row>
        <row r="6898">
          <cell r="D6898" t="str">
            <v>CB5327110-003R002</v>
          </cell>
          <cell r="E6898" t="str">
            <v>8635右隔框</v>
          </cell>
        </row>
        <row r="6899">
          <cell r="D6899" t="str">
            <v>CB5327110-003R002</v>
          </cell>
          <cell r="E6899" t="str">
            <v>8635右隔框</v>
          </cell>
        </row>
        <row r="6900">
          <cell r="D6900" t="str">
            <v>DD-J10-21102-31-Y</v>
          </cell>
          <cell r="E6900" t="str">
            <v>10060上接头</v>
          </cell>
        </row>
        <row r="6901">
          <cell r="D6901" t="str">
            <v>DD-J10-21102-31-Y</v>
          </cell>
          <cell r="E6901" t="str">
            <v>10060上接头</v>
          </cell>
        </row>
        <row r="6902">
          <cell r="D6902" t="str">
            <v>DD-J10-21102-31-Z</v>
          </cell>
          <cell r="E6902" t="str">
            <v>10060上接头</v>
          </cell>
        </row>
        <row r="6903">
          <cell r="D6903" t="str">
            <v>DD-J10-21102-31-Z</v>
          </cell>
          <cell r="E6903" t="str">
            <v>10060上接头</v>
          </cell>
        </row>
        <row r="6904">
          <cell r="D6904" t="str">
            <v>DD-J10-21102-33-Y</v>
          </cell>
          <cell r="E6904" t="str">
            <v>10460上接头</v>
          </cell>
        </row>
        <row r="6905">
          <cell r="D6905" t="str">
            <v>DD-J10-21102-33-Y</v>
          </cell>
          <cell r="E6905" t="str">
            <v>10460上接头</v>
          </cell>
        </row>
        <row r="6906">
          <cell r="D6906" t="str">
            <v>DD-J10-21102-33-Z</v>
          </cell>
          <cell r="E6906" t="str">
            <v>10460上接头</v>
          </cell>
        </row>
        <row r="6907">
          <cell r="D6907" t="str">
            <v>Y20-5311123015-001</v>
          </cell>
          <cell r="E6907" t="str">
            <v>应急救生船抛放口盖</v>
          </cell>
        </row>
        <row r="6908">
          <cell r="D6908" t="str">
            <v>Y20-5316100319-001</v>
          </cell>
          <cell r="E6908" t="str">
            <v>地板纵向件</v>
          </cell>
        </row>
        <row r="6909">
          <cell r="D6909" t="str">
            <v>GU5333100-003R001</v>
          </cell>
          <cell r="E6909" t="str">
            <v>右上大梁</v>
          </cell>
        </row>
        <row r="6910">
          <cell r="D6910" t="str">
            <v>GU5333100-003L001</v>
          </cell>
          <cell r="E6910" t="str">
            <v>左上大梁</v>
          </cell>
        </row>
        <row r="6911">
          <cell r="D6911" t="str">
            <v>GU5715020-008R001</v>
          </cell>
          <cell r="E6911" t="str">
            <v>前缘19肋</v>
          </cell>
        </row>
        <row r="6912">
          <cell r="D6912" t="str">
            <v>GU5715020-008L001</v>
          </cell>
          <cell r="E6912" t="str">
            <v>前缘19肋</v>
          </cell>
        </row>
        <row r="6913">
          <cell r="D6913" t="str">
            <v>GU5714000-011R001</v>
          </cell>
          <cell r="E6913" t="str">
            <v>8800肋角片</v>
          </cell>
        </row>
        <row r="6914">
          <cell r="D6914" t="str">
            <v>GU5714000-011L001</v>
          </cell>
          <cell r="E6914" t="str">
            <v>8800肋角片</v>
          </cell>
        </row>
        <row r="6915">
          <cell r="D6915" t="str">
            <v>GU5714000-012R001</v>
          </cell>
          <cell r="E6915" t="str">
            <v>7600肋角片</v>
          </cell>
        </row>
        <row r="6916">
          <cell r="D6916" t="str">
            <v>GU5714000-012R001</v>
          </cell>
          <cell r="E6916" t="str">
            <v>7600肋角片</v>
          </cell>
        </row>
        <row r="6917">
          <cell r="D6917" t="str">
            <v>GU5714000-012L001</v>
          </cell>
          <cell r="E6917" t="str">
            <v>7600肋角片</v>
          </cell>
        </row>
        <row r="6918">
          <cell r="D6918" t="str">
            <v>GU5714000-012L001</v>
          </cell>
          <cell r="E6918" t="str">
            <v>7600肋角片</v>
          </cell>
        </row>
        <row r="6919">
          <cell r="D6919" t="str">
            <v>CB22836Y6-003-001</v>
          </cell>
          <cell r="E6919" t="str">
            <v>轴</v>
          </cell>
        </row>
        <row r="6920">
          <cell r="D6920" t="str">
            <v>CB22836Y6-003-001</v>
          </cell>
          <cell r="E6920" t="str">
            <v>轴</v>
          </cell>
        </row>
        <row r="6921">
          <cell r="D6921" t="str">
            <v>CB2280231N003-001</v>
          </cell>
          <cell r="E6921" t="str">
            <v>管子</v>
          </cell>
        </row>
        <row r="6922">
          <cell r="D6922" t="str">
            <v>CB2280231-003-002</v>
          </cell>
          <cell r="E6922" t="str">
            <v>管子</v>
          </cell>
        </row>
        <row r="6923">
          <cell r="D6923" t="str">
            <v>CB2280231-004-001</v>
          </cell>
          <cell r="E6923" t="str">
            <v>轴</v>
          </cell>
        </row>
        <row r="6924">
          <cell r="D6924" t="str">
            <v>DD-J10B-94061-1021</v>
          </cell>
          <cell r="E6924" t="str">
            <v>导管接头</v>
          </cell>
        </row>
        <row r="6925">
          <cell r="D6925" t="str">
            <v>DD-J10B-94061-1031</v>
          </cell>
          <cell r="E6925" t="str">
            <v>接头</v>
          </cell>
        </row>
        <row r="6926">
          <cell r="D6926" t="str">
            <v>DD-J10B-94061-1032</v>
          </cell>
          <cell r="E6926" t="str">
            <v>接头</v>
          </cell>
        </row>
        <row r="6927">
          <cell r="D6927" t="str">
            <v>CB2292112-003-001</v>
          </cell>
          <cell r="E6927" t="str">
            <v>小轴</v>
          </cell>
        </row>
        <row r="6928">
          <cell r="D6928" t="str">
            <v>CB22827Y8-005-003</v>
          </cell>
          <cell r="E6928" t="str">
            <v>轴</v>
          </cell>
        </row>
        <row r="6929">
          <cell r="D6929" t="str">
            <v>CB22857YBN005-001</v>
          </cell>
          <cell r="E6929" t="str">
            <v>管子</v>
          </cell>
        </row>
        <row r="6930">
          <cell r="D6930" t="str">
            <v>CB22857YB-008-001</v>
          </cell>
          <cell r="E6930" t="str">
            <v>轴</v>
          </cell>
        </row>
        <row r="6931">
          <cell r="D6931" t="str">
            <v>CB22857Y9N005-001</v>
          </cell>
          <cell r="E6931" t="str">
            <v>导管</v>
          </cell>
        </row>
        <row r="6932">
          <cell r="D6932" t="str">
            <v>CB2292112-004-001</v>
          </cell>
          <cell r="E6932" t="str">
            <v>螺栓</v>
          </cell>
        </row>
        <row r="6933">
          <cell r="D6933" t="str">
            <v>DD-J10-96031-111</v>
          </cell>
          <cell r="E6933" t="str">
            <v>螺母</v>
          </cell>
        </row>
        <row r="6934">
          <cell r="D6934" t="str">
            <v>DD-J10-96031-111</v>
          </cell>
          <cell r="E6934" t="str">
            <v>螺母</v>
          </cell>
        </row>
        <row r="6935">
          <cell r="D6935" t="str">
            <v>DD-J10-55181-1112</v>
          </cell>
          <cell r="E6935" t="str">
            <v>螺栓</v>
          </cell>
        </row>
        <row r="6936">
          <cell r="D6936" t="str">
            <v>DD-J10-41123-1111</v>
          </cell>
          <cell r="E6936" t="str">
            <v>销子</v>
          </cell>
        </row>
        <row r="6937">
          <cell r="D6937" t="str">
            <v>DD-J10-04101-91</v>
          </cell>
          <cell r="E6937" t="str">
            <v>轴</v>
          </cell>
        </row>
        <row r="6938">
          <cell r="D6938" t="str">
            <v>DD-J10-04101-91</v>
          </cell>
          <cell r="E6938" t="str">
            <v>轴</v>
          </cell>
        </row>
        <row r="6939">
          <cell r="D6939" t="str">
            <v>DD-J10-61001-722</v>
          </cell>
          <cell r="E6939" t="str">
            <v>螺栓</v>
          </cell>
        </row>
        <row r="6940">
          <cell r="D6940" t="str">
            <v>DD-J10-41123-1101</v>
          </cell>
          <cell r="E6940" t="str">
            <v>壳体</v>
          </cell>
        </row>
        <row r="6941">
          <cell r="D6941" t="str">
            <v>DD-J10-41123-1101</v>
          </cell>
          <cell r="E6941" t="str">
            <v>壳体</v>
          </cell>
        </row>
        <row r="6942">
          <cell r="D6942" t="str">
            <v>DD-J10-41143-110-1</v>
          </cell>
          <cell r="E6942" t="str">
            <v>管子</v>
          </cell>
        </row>
        <row r="6943">
          <cell r="D6943" t="str">
            <v>DD-J10-42074-150-1</v>
          </cell>
          <cell r="E6943" t="str">
            <v>管子</v>
          </cell>
        </row>
        <row r="6944">
          <cell r="D6944" t="str">
            <v>CB5315190-002R001</v>
          </cell>
          <cell r="E6944" t="str">
            <v>WL-600地板梁</v>
          </cell>
        </row>
        <row r="6945">
          <cell r="D6945" t="str">
            <v>DD-J10B-02121-1AG2-Y</v>
          </cell>
          <cell r="E6945" t="str">
            <v>BL280侧壁（右件）</v>
          </cell>
        </row>
        <row r="6946">
          <cell r="D6946" t="str">
            <v>DD-J10B-02121-1AG2-Y</v>
          </cell>
          <cell r="E6946" t="str">
            <v>BL280侧壁（右件）</v>
          </cell>
        </row>
        <row r="6947">
          <cell r="D6947" t="str">
            <v>DD-J10B-02121-1AG2-Y</v>
          </cell>
          <cell r="E6947" t="str">
            <v>BL280侧壁（右件）</v>
          </cell>
        </row>
        <row r="6948">
          <cell r="D6948" t="str">
            <v>DD-J10B-02121-1AG2-Y</v>
          </cell>
          <cell r="E6948" t="str">
            <v>BL280侧壁（右件）</v>
          </cell>
        </row>
        <row r="6949">
          <cell r="D6949" t="str">
            <v>DD-J10B-02121-1AG2-Y</v>
          </cell>
          <cell r="E6949" t="str">
            <v>BL280侧壁（右件）</v>
          </cell>
        </row>
        <row r="6950">
          <cell r="D6950" t="str">
            <v>DD-J10B-02121-1AG2-Z</v>
          </cell>
          <cell r="E6950" t="str">
            <v>BL280侧壁（左件）</v>
          </cell>
        </row>
        <row r="6951">
          <cell r="D6951" t="str">
            <v>DD-J10B-02121-1AG2-Z</v>
          </cell>
          <cell r="E6951" t="str">
            <v>BL280侧壁（左件）</v>
          </cell>
        </row>
        <row r="6952">
          <cell r="D6952" t="str">
            <v>DD-J10B-02121-1AG2-Z</v>
          </cell>
          <cell r="E6952" t="str">
            <v>BL280侧壁（左件）</v>
          </cell>
        </row>
        <row r="6953">
          <cell r="D6953" t="str">
            <v>DD-J10B-02121-1AG2-Z</v>
          </cell>
          <cell r="E6953" t="str">
            <v>BL280侧壁（左件）</v>
          </cell>
        </row>
        <row r="6954">
          <cell r="D6954" t="str">
            <v>DD-J10B-02121-1AG2-Z</v>
          </cell>
          <cell r="E6954" t="str">
            <v>BL280侧壁（左件）</v>
          </cell>
        </row>
        <row r="6955">
          <cell r="D6955" t="str">
            <v>XXX-XXXF-000-00</v>
          </cell>
          <cell r="E6955" t="str">
            <v>XXX工器振动夹具组合件</v>
          </cell>
        </row>
        <row r="6956">
          <cell r="D6956" t="str">
            <v>XXX-XXXF-000-01</v>
          </cell>
          <cell r="E6956" t="str">
            <v>XXX工器振动夹具</v>
          </cell>
        </row>
        <row r="6957">
          <cell r="D6957" t="str">
            <v>XXX-XXXF-000-00</v>
          </cell>
          <cell r="E6957" t="str">
            <v>XXX工器离心夹具组合件</v>
          </cell>
        </row>
        <row r="6958">
          <cell r="D6958" t="str">
            <v>XXX-XXXF-000-01</v>
          </cell>
          <cell r="E6958" t="str">
            <v>XXX工器离心夹具</v>
          </cell>
        </row>
        <row r="6959">
          <cell r="D6959" t="str">
            <v>XXX-2-000-00</v>
          </cell>
          <cell r="E6959" t="str">
            <v>XXX分器离心夹具组合件</v>
          </cell>
        </row>
        <row r="6960">
          <cell r="D6960" t="str">
            <v>XXX-2-000-01</v>
          </cell>
          <cell r="E6960" t="str">
            <v>XXX分器离心夹具</v>
          </cell>
        </row>
        <row r="6961">
          <cell r="D6961" t="str">
            <v>XXX-2-000-00</v>
          </cell>
          <cell r="E6961" t="str">
            <v>XXX分器振动夹具组合件</v>
          </cell>
        </row>
        <row r="6962">
          <cell r="D6962" t="str">
            <v>XXX-2-000-01</v>
          </cell>
          <cell r="E6962" t="str">
            <v>XXX分器振动夹具</v>
          </cell>
        </row>
        <row r="6963">
          <cell r="D6963" t="str">
            <v>DD-J10B-04501-10-1-Y</v>
          </cell>
          <cell r="E6963" t="str">
            <v>BL900侧梁(精加工）</v>
          </cell>
        </row>
        <row r="6964">
          <cell r="D6964" t="str">
            <v>DD-J10B-04501-10-1-Z</v>
          </cell>
          <cell r="E6964" t="str">
            <v>BL900侧梁(精加工）</v>
          </cell>
        </row>
        <row r="6965">
          <cell r="D6965" t="str">
            <v>DD-J10-96031-104</v>
          </cell>
          <cell r="E6965" t="str">
            <v>接管嘴</v>
          </cell>
        </row>
        <row r="6966">
          <cell r="D6966" t="str">
            <v>DD-J10-96031-104</v>
          </cell>
          <cell r="E6966" t="str">
            <v>接管嘴</v>
          </cell>
        </row>
        <row r="6967">
          <cell r="D6967" t="str">
            <v>DD-J10-68095-1400-1</v>
          </cell>
          <cell r="E6967" t="str">
            <v>套筒</v>
          </cell>
        </row>
        <row r="6968">
          <cell r="D6968" t="str">
            <v>DD-J10-41123-1112</v>
          </cell>
          <cell r="E6968" t="str">
            <v>拨棍</v>
          </cell>
        </row>
        <row r="6969">
          <cell r="D6969" t="str">
            <v>Y20-5319170013-001</v>
          </cell>
          <cell r="E6969" t="str">
            <v>机加T形件</v>
          </cell>
        </row>
        <row r="6970">
          <cell r="D6970" t="str">
            <v>Y20-5319170013-001</v>
          </cell>
          <cell r="E6970" t="str">
            <v>机加T形件</v>
          </cell>
        </row>
        <row r="6971">
          <cell r="D6971" t="str">
            <v>Y20-5319170013-002</v>
          </cell>
          <cell r="E6971" t="str">
            <v>机加T形件</v>
          </cell>
        </row>
        <row r="6972">
          <cell r="D6972" t="str">
            <v>Y20-5319170013-002</v>
          </cell>
          <cell r="E6972" t="str">
            <v>机加T形件</v>
          </cell>
        </row>
        <row r="6973">
          <cell r="D6973" t="str">
            <v>BC5337100-108R001</v>
          </cell>
          <cell r="E6973" t="str">
            <v>下边条受剪接头</v>
          </cell>
        </row>
        <row r="6974">
          <cell r="D6974" t="str">
            <v>BC5337100-108L001</v>
          </cell>
          <cell r="E6974" t="str">
            <v>下边条受剪接头</v>
          </cell>
        </row>
        <row r="6975">
          <cell r="D6975" t="str">
            <v>DD-J10B-34303-7G2</v>
          </cell>
          <cell r="E6975" t="str">
            <v>第1隔板</v>
          </cell>
        </row>
        <row r="6976">
          <cell r="D6976" t="str">
            <v>DD-J10B-34303-8G2</v>
          </cell>
          <cell r="E6976" t="str">
            <v>第2隔板</v>
          </cell>
        </row>
        <row r="6977">
          <cell r="D6977" t="str">
            <v>DD-J10B-34303-9G2</v>
          </cell>
          <cell r="E6977" t="str">
            <v>第3隔板</v>
          </cell>
        </row>
        <row r="6978">
          <cell r="D6978" t="str">
            <v>DD-J10B-34303-11G2</v>
          </cell>
          <cell r="E6978" t="str">
            <v>第4隔板</v>
          </cell>
        </row>
        <row r="6979">
          <cell r="D6979" t="str">
            <v>DD-J10B-34303-12G2</v>
          </cell>
          <cell r="E6979" t="str">
            <v>第5隔板</v>
          </cell>
        </row>
        <row r="6980">
          <cell r="D6980" t="str">
            <v>DD-J10B-34303-13G2</v>
          </cell>
          <cell r="E6980" t="str">
            <v>第6隔板</v>
          </cell>
        </row>
        <row r="6981">
          <cell r="D6981" t="str">
            <v>BC2562823-005-003</v>
          </cell>
          <cell r="E6981" t="str">
            <v>轴</v>
          </cell>
        </row>
        <row r="6982">
          <cell r="D6982" t="str">
            <v>BC5711410-001-002</v>
          </cell>
          <cell r="E6982" t="str">
            <v>螺栓</v>
          </cell>
        </row>
        <row r="6983">
          <cell r="D6983" t="str">
            <v>BC5711440-001-002</v>
          </cell>
          <cell r="E6983" t="str">
            <v>螺栓</v>
          </cell>
        </row>
        <row r="6984">
          <cell r="D6984" t="str">
            <v>BC5711420-001-002</v>
          </cell>
          <cell r="E6984" t="str">
            <v>螺栓</v>
          </cell>
        </row>
        <row r="6985">
          <cell r="D6985" t="str">
            <v>BC5711430-001-002</v>
          </cell>
          <cell r="E6985" t="str">
            <v>螺栓</v>
          </cell>
        </row>
        <row r="6986">
          <cell r="D6986" t="str">
            <v>BC5334610-001-001</v>
          </cell>
          <cell r="E6986" t="str">
            <v>螺帽</v>
          </cell>
        </row>
        <row r="6987">
          <cell r="D6987" t="str">
            <v>BC5334610-002-001</v>
          </cell>
          <cell r="E6987" t="str">
            <v>垫圈</v>
          </cell>
        </row>
        <row r="6988">
          <cell r="D6988" t="str">
            <v>BC5334620-001-001</v>
          </cell>
          <cell r="E6988" t="str">
            <v>锥形衬套</v>
          </cell>
        </row>
        <row r="6989">
          <cell r="D6989" t="str">
            <v>BC5334620-003-001</v>
          </cell>
          <cell r="E6989" t="str">
            <v>螺帽</v>
          </cell>
        </row>
        <row r="6990">
          <cell r="D6990" t="str">
            <v>BC5702101-004-002</v>
          </cell>
          <cell r="E6990" t="str">
            <v>小合页</v>
          </cell>
        </row>
        <row r="6991">
          <cell r="D6991" t="str">
            <v>BC5702101-005-002</v>
          </cell>
          <cell r="E6991" t="str">
            <v>大合页</v>
          </cell>
        </row>
        <row r="6992">
          <cell r="D6992" t="str">
            <v>CB5313200-004R006</v>
          </cell>
          <cell r="E6992" t="str">
            <v>右前分合面框</v>
          </cell>
        </row>
        <row r="6993">
          <cell r="D6993" t="str">
            <v>CB5313200-004R006</v>
          </cell>
          <cell r="E6993" t="str">
            <v>右前分合面框</v>
          </cell>
        </row>
        <row r="6994">
          <cell r="D6994" t="str">
            <v>CB5714200-005L002</v>
          </cell>
          <cell r="E6994" t="str">
            <v>2470肋五段</v>
          </cell>
        </row>
        <row r="6995">
          <cell r="D6995" t="str">
            <v>CB5714200-005L002</v>
          </cell>
          <cell r="E6995" t="str">
            <v>2470肋五段</v>
          </cell>
        </row>
        <row r="6996">
          <cell r="D6996" t="str">
            <v>CB5714200-005R002</v>
          </cell>
          <cell r="E6996" t="str">
            <v>2470肋五段</v>
          </cell>
        </row>
        <row r="6997">
          <cell r="D6997" t="str">
            <v>CB5714200-005R002</v>
          </cell>
          <cell r="E6997" t="str">
            <v>2470肋五段</v>
          </cell>
        </row>
        <row r="6998">
          <cell r="D6998" t="str">
            <v>CB5714200-001L001</v>
          </cell>
          <cell r="E6998" t="str">
            <v>2470肋一段</v>
          </cell>
        </row>
        <row r="6999">
          <cell r="D6999" t="str">
            <v>CB5714200-001R001</v>
          </cell>
          <cell r="E6999" t="str">
            <v>2470肋一段</v>
          </cell>
        </row>
        <row r="7000">
          <cell r="D7000" t="str">
            <v>CB5714200-001L001</v>
          </cell>
          <cell r="E7000" t="str">
            <v>2470肋一段</v>
          </cell>
        </row>
        <row r="7001">
          <cell r="D7001" t="str">
            <v>CB5714200-001R001</v>
          </cell>
          <cell r="E7001" t="str">
            <v>2470肋一段</v>
          </cell>
        </row>
        <row r="7002">
          <cell r="D7002" t="str">
            <v>CB5324500-004L004</v>
          </cell>
          <cell r="E7002" t="str">
            <v>后端框</v>
          </cell>
        </row>
        <row r="7003">
          <cell r="D7003" t="str">
            <v>CB5324500-004R004</v>
          </cell>
          <cell r="E7003" t="str">
            <v>后端框</v>
          </cell>
        </row>
        <row r="7004">
          <cell r="D7004" t="str">
            <v>BC5812910-002-001</v>
          </cell>
          <cell r="E7004" t="str">
            <v>接头</v>
          </cell>
        </row>
        <row r="7005">
          <cell r="D7005" t="str">
            <v>DD-J10B-04011-1</v>
          </cell>
          <cell r="E7005" t="str">
            <v>7100框</v>
          </cell>
        </row>
        <row r="7006">
          <cell r="D7006" t="str">
            <v>DD-J10B-04011-1</v>
          </cell>
          <cell r="E7006" t="str">
            <v>7100框</v>
          </cell>
        </row>
        <row r="7007">
          <cell r="D7007" t="str">
            <v>DD-J10B-04011-1</v>
          </cell>
          <cell r="E7007" t="str">
            <v>7100框</v>
          </cell>
        </row>
        <row r="7008">
          <cell r="D7008" t="str">
            <v>DD-J10B-04011-1</v>
          </cell>
          <cell r="E7008" t="str">
            <v>7100框</v>
          </cell>
        </row>
        <row r="7009">
          <cell r="D7009" t="str">
            <v>DD-J10B-04011-1</v>
          </cell>
          <cell r="E7009" t="str">
            <v>7100框</v>
          </cell>
        </row>
        <row r="7010">
          <cell r="D7010" t="str">
            <v>DD-J10B-04011-1</v>
          </cell>
          <cell r="E7010" t="str">
            <v>7100框</v>
          </cell>
        </row>
        <row r="7011">
          <cell r="D7011" t="str">
            <v>DD-J10B-04011-1</v>
          </cell>
          <cell r="E7011" t="str">
            <v>7100框</v>
          </cell>
        </row>
        <row r="7012">
          <cell r="D7012" t="str">
            <v>DD-J10B-04011-1</v>
          </cell>
          <cell r="E7012" t="str">
            <v>7100框</v>
          </cell>
        </row>
        <row r="7013">
          <cell r="D7013" t="str">
            <v>DD-J10B-04011-1</v>
          </cell>
          <cell r="E7013" t="str">
            <v>7100框</v>
          </cell>
        </row>
        <row r="7014">
          <cell r="D7014" t="str">
            <v>Y20-5319120059-001</v>
          </cell>
          <cell r="E7014" t="str">
            <v>隔挡角材</v>
          </cell>
        </row>
        <row r="7015">
          <cell r="D7015" t="str">
            <v>Y20-5319160013-001</v>
          </cell>
          <cell r="E7015" t="str">
            <v>接头</v>
          </cell>
        </row>
        <row r="7016">
          <cell r="D7016" t="str">
            <v>Y20-5319160013-001</v>
          </cell>
          <cell r="E7016" t="str">
            <v>接头</v>
          </cell>
        </row>
        <row r="7017">
          <cell r="D7017" t="str">
            <v>Y20-5312224004-001</v>
          </cell>
          <cell r="E7017" t="str">
            <v>18框前33长桁</v>
          </cell>
        </row>
        <row r="7018">
          <cell r="D7018" t="str">
            <v>Y20-5312224004-001</v>
          </cell>
          <cell r="E7018" t="str">
            <v>18框前33长桁</v>
          </cell>
        </row>
        <row r="7019">
          <cell r="D7019" t="str">
            <v>Y20-5312224004-001</v>
          </cell>
          <cell r="E7019" t="str">
            <v>18框前33长桁</v>
          </cell>
        </row>
        <row r="7020">
          <cell r="D7020" t="str">
            <v>Y20-5312224004-001</v>
          </cell>
          <cell r="E7020" t="str">
            <v>18框前33长桁</v>
          </cell>
        </row>
        <row r="7021">
          <cell r="D7021" t="str">
            <v>Y20-5312224004-002</v>
          </cell>
          <cell r="E7021" t="str">
            <v>18框前33长桁</v>
          </cell>
        </row>
        <row r="7022">
          <cell r="D7022" t="str">
            <v>Y20-5312224004-002</v>
          </cell>
          <cell r="E7022" t="str">
            <v>18框前33长桁</v>
          </cell>
        </row>
        <row r="7023">
          <cell r="D7023" t="str">
            <v>Y20-5312224004-002</v>
          </cell>
          <cell r="E7023" t="str">
            <v>18框前33长桁</v>
          </cell>
        </row>
        <row r="7024">
          <cell r="D7024" t="str">
            <v>Y20-5312224004-002</v>
          </cell>
          <cell r="E7024" t="str">
            <v>18框前33长桁</v>
          </cell>
        </row>
        <row r="7025">
          <cell r="D7025" t="str">
            <v>Y20-5312100064-001</v>
          </cell>
          <cell r="E7025" t="str">
            <v>型材</v>
          </cell>
        </row>
        <row r="7026">
          <cell r="D7026" t="str">
            <v>Y20-5311121033-001</v>
          </cell>
          <cell r="E7026" t="str">
            <v>21框5到10长桁外缘加强件</v>
          </cell>
        </row>
        <row r="7027">
          <cell r="D7027" t="str">
            <v>Y20-5311121033-002</v>
          </cell>
          <cell r="E7027" t="str">
            <v>21框5到10长桁外缘加强件</v>
          </cell>
        </row>
        <row r="7028">
          <cell r="D7028" t="str">
            <v>Y20-5316320208-001</v>
          </cell>
          <cell r="E7028" t="str">
            <v>梯子支撑件</v>
          </cell>
        </row>
        <row r="7029">
          <cell r="D7029" t="str">
            <v>Y20-5311123022-001</v>
          </cell>
          <cell r="E7029" t="str">
            <v>口框加强件</v>
          </cell>
        </row>
        <row r="7030">
          <cell r="D7030" t="str">
            <v>Y20-5311123022-002</v>
          </cell>
          <cell r="E7030" t="str">
            <v>口框加强件</v>
          </cell>
        </row>
        <row r="7031">
          <cell r="D7031" t="str">
            <v>GU5714000-008R001</v>
          </cell>
          <cell r="E7031" t="str">
            <v>8800肋</v>
          </cell>
        </row>
        <row r="7032">
          <cell r="D7032" t="str">
            <v>GU5714000-008L001</v>
          </cell>
          <cell r="E7032" t="str">
            <v>8800肋</v>
          </cell>
        </row>
        <row r="7033">
          <cell r="D7033" t="str">
            <v>GU5714000-007R001</v>
          </cell>
          <cell r="E7033" t="str">
            <v>7600肋</v>
          </cell>
        </row>
        <row r="7034">
          <cell r="D7034" t="str">
            <v>GU5714000-007L001</v>
          </cell>
          <cell r="E7034" t="str">
            <v>7600肋</v>
          </cell>
        </row>
        <row r="7035">
          <cell r="D7035" t="str">
            <v>GU5715010-002R001</v>
          </cell>
          <cell r="E7035" t="str">
            <v>前缘1肋</v>
          </cell>
        </row>
        <row r="7036">
          <cell r="D7036" t="str">
            <v>GU5715010-002L001</v>
          </cell>
          <cell r="E7036" t="str">
            <v>前缘1肋</v>
          </cell>
        </row>
        <row r="7037">
          <cell r="D7037" t="str">
            <v>GU5715010-013R001</v>
          </cell>
          <cell r="E7037" t="str">
            <v>前缘11肋</v>
          </cell>
        </row>
        <row r="7038">
          <cell r="D7038" t="str">
            <v>GU5715010-013R001</v>
          </cell>
          <cell r="E7038" t="str">
            <v>前缘11肋</v>
          </cell>
        </row>
        <row r="7039">
          <cell r="D7039" t="str">
            <v>GU5715010-013R001</v>
          </cell>
          <cell r="E7039" t="str">
            <v>前缘11肋</v>
          </cell>
        </row>
        <row r="7040">
          <cell r="D7040" t="str">
            <v>GU5715010-013L001</v>
          </cell>
          <cell r="E7040" t="str">
            <v>前缘11肋</v>
          </cell>
        </row>
        <row r="7041">
          <cell r="D7041" t="str">
            <v>GU5715010-013L001</v>
          </cell>
          <cell r="E7041" t="str">
            <v>前缘11肋</v>
          </cell>
        </row>
        <row r="7042">
          <cell r="D7042" t="str">
            <v>DD-J10-21102-31-Y</v>
          </cell>
          <cell r="E7042" t="str">
            <v>10060上接头</v>
          </cell>
        </row>
        <row r="7043">
          <cell r="D7043" t="str">
            <v>DD-J10-21102-31-Y</v>
          </cell>
          <cell r="E7043" t="str">
            <v>10060上接头</v>
          </cell>
        </row>
        <row r="7044">
          <cell r="D7044" t="str">
            <v>DD-J10-21102-31-Y</v>
          </cell>
          <cell r="E7044" t="str">
            <v>10060上接头</v>
          </cell>
        </row>
        <row r="7045">
          <cell r="D7045" t="str">
            <v>DD-J10-21102-31-Y</v>
          </cell>
          <cell r="E7045" t="str">
            <v>10060上接头</v>
          </cell>
        </row>
        <row r="7046">
          <cell r="D7046" t="str">
            <v>DD-J10-21102-32-Y</v>
          </cell>
          <cell r="E7046" t="str">
            <v>10060下接头</v>
          </cell>
        </row>
        <row r="7047">
          <cell r="D7047" t="str">
            <v>DD-J10-21102-31-Z</v>
          </cell>
          <cell r="E7047" t="str">
            <v>10060上接头</v>
          </cell>
        </row>
        <row r="7048">
          <cell r="D7048" t="str">
            <v>Y20-5316100319-001</v>
          </cell>
          <cell r="E7048" t="str">
            <v>地板纵向件</v>
          </cell>
        </row>
        <row r="7049">
          <cell r="D7049" t="str">
            <v>Y20-5316100301-001</v>
          </cell>
          <cell r="E7049" t="str">
            <v>地板纵向件</v>
          </cell>
        </row>
        <row r="7050">
          <cell r="D7050" t="str">
            <v>Y20-5319170013-002</v>
          </cell>
          <cell r="E7050" t="str">
            <v>机加T形件</v>
          </cell>
        </row>
        <row r="7051">
          <cell r="D7051" t="str">
            <v>Y20-5319170013-002</v>
          </cell>
          <cell r="E7051" t="str">
            <v>机加T形件</v>
          </cell>
        </row>
        <row r="7052">
          <cell r="D7052" t="str">
            <v>Y20-5319170013-002</v>
          </cell>
          <cell r="E7052" t="str">
            <v>机加T形件</v>
          </cell>
        </row>
        <row r="7053">
          <cell r="D7053" t="str">
            <v>Y20-5319170013-002</v>
          </cell>
          <cell r="E7053" t="str">
            <v>机加T形件</v>
          </cell>
        </row>
        <row r="7054">
          <cell r="D7054" t="str">
            <v>Y20-5319170013-001</v>
          </cell>
          <cell r="E7054" t="str">
            <v>机加T形件</v>
          </cell>
        </row>
        <row r="7055">
          <cell r="D7055" t="str">
            <v>Y20-5319170013-001</v>
          </cell>
          <cell r="E7055" t="str">
            <v>机加T形件</v>
          </cell>
        </row>
        <row r="7056">
          <cell r="D7056" t="str">
            <v>Y20-5319170013-001</v>
          </cell>
          <cell r="E7056" t="str">
            <v>机加T形件</v>
          </cell>
        </row>
        <row r="7057">
          <cell r="D7057" t="str">
            <v>Y20-5319170013-001</v>
          </cell>
          <cell r="E7057" t="str">
            <v>机加T形件</v>
          </cell>
        </row>
        <row r="7058">
          <cell r="D7058" t="str">
            <v>Y20-4354233101-001</v>
          </cell>
          <cell r="E7058" t="str">
            <v>氧气瓶支架</v>
          </cell>
        </row>
        <row r="7059">
          <cell r="D7059" t="str">
            <v>Y20-5312225701-001</v>
          </cell>
          <cell r="E7059" t="str">
            <v>纵向加强件</v>
          </cell>
        </row>
        <row r="7060">
          <cell r="D7060" t="str">
            <v>Y20-5312225701-001</v>
          </cell>
          <cell r="E7060" t="str">
            <v>纵向加强件</v>
          </cell>
        </row>
        <row r="7061">
          <cell r="D7061" t="str">
            <v>Y20-5312225701-001</v>
          </cell>
          <cell r="E7061" t="str">
            <v>纵向加强件</v>
          </cell>
        </row>
        <row r="7062">
          <cell r="D7062" t="str">
            <v>Y20-5312225701-001</v>
          </cell>
          <cell r="E7062" t="str">
            <v>纵向加强件</v>
          </cell>
        </row>
        <row r="7063">
          <cell r="D7063" t="str">
            <v>Y20-5312225701-002</v>
          </cell>
          <cell r="E7063" t="str">
            <v>纵向加强件</v>
          </cell>
        </row>
        <row r="7064">
          <cell r="D7064" t="str">
            <v>Y20-5312225701-002</v>
          </cell>
          <cell r="E7064" t="str">
            <v>纵向加强件</v>
          </cell>
        </row>
        <row r="7065">
          <cell r="D7065" t="str">
            <v>Y20-5312225701-002</v>
          </cell>
          <cell r="E7065" t="str">
            <v>纵向加强件</v>
          </cell>
        </row>
        <row r="7066">
          <cell r="D7066" t="str">
            <v>Y20-5312225701-002</v>
          </cell>
          <cell r="E7066" t="str">
            <v>纵向加强件</v>
          </cell>
        </row>
        <row r="7067">
          <cell r="D7067" t="str">
            <v>BC5822100-002L001</v>
          </cell>
          <cell r="E7067" t="str">
            <v>止动摇臂</v>
          </cell>
        </row>
        <row r="7068">
          <cell r="D7068" t="str">
            <v>BC5822100-002R001</v>
          </cell>
          <cell r="E7068" t="str">
            <v>止动摇臂</v>
          </cell>
        </row>
        <row r="7069">
          <cell r="D7069" t="str">
            <v>Y20-5281111002-001</v>
          </cell>
          <cell r="E7069" t="str">
            <v>衬套</v>
          </cell>
        </row>
        <row r="7070">
          <cell r="D7070" t="str">
            <v>Y20-5281123002-001</v>
          </cell>
          <cell r="E7070" t="str">
            <v>衬套</v>
          </cell>
        </row>
        <row r="7071">
          <cell r="D7071" t="str">
            <v>Y20-5212290009-001</v>
          </cell>
          <cell r="E7071" t="str">
            <v>合页片</v>
          </cell>
        </row>
        <row r="7072">
          <cell r="D7072" t="str">
            <v>Y20-5212010202-001</v>
          </cell>
          <cell r="E7072" t="str">
            <v>衬套</v>
          </cell>
        </row>
        <row r="7073">
          <cell r="D7073" t="str">
            <v>Y20-5281122002-001</v>
          </cell>
          <cell r="E7073" t="str">
            <v>衬套</v>
          </cell>
        </row>
        <row r="7074">
          <cell r="D7074" t="str">
            <v>Y20-5828031102-001</v>
          </cell>
          <cell r="E7074" t="str">
            <v>曲柄</v>
          </cell>
        </row>
        <row r="7075">
          <cell r="D7075" t="str">
            <v>BC5812920-001-001</v>
          </cell>
          <cell r="E7075" t="str">
            <v>耳环螺栓</v>
          </cell>
        </row>
        <row r="7076">
          <cell r="D7076" t="str">
            <v>CB2276731-007-001</v>
          </cell>
          <cell r="E7076" t="str">
            <v>筋条5</v>
          </cell>
        </row>
        <row r="7077">
          <cell r="D7077" t="str">
            <v>CB2232N08-001-001</v>
          </cell>
          <cell r="E7077" t="str">
            <v>垫片</v>
          </cell>
        </row>
        <row r="7078">
          <cell r="D7078" t="str">
            <v>CB2245110-001-001</v>
          </cell>
          <cell r="E7078" t="str">
            <v>支架1</v>
          </cell>
        </row>
        <row r="7079">
          <cell r="D7079" t="str">
            <v>CB2276730-001-001</v>
          </cell>
          <cell r="E7079" t="str">
            <v>操纵台侧壁板</v>
          </cell>
        </row>
        <row r="7080">
          <cell r="D7080" t="str">
            <v>CB2248145-001-006</v>
          </cell>
          <cell r="E7080" t="str">
            <v>支片5</v>
          </cell>
        </row>
        <row r="7081">
          <cell r="D7081" t="str">
            <v>DD-J10B-54302-30-1</v>
          </cell>
          <cell r="E7081" t="str">
            <v>故障保护装置支座</v>
          </cell>
        </row>
        <row r="7082">
          <cell r="D7082" t="str">
            <v>DD-J10B-54302-10-1-Z</v>
          </cell>
          <cell r="E7082" t="str">
            <v>支座</v>
          </cell>
        </row>
        <row r="7083">
          <cell r="D7083" t="str">
            <v>DD-J10B-54302-10-1-Y</v>
          </cell>
          <cell r="E7083" t="str">
            <v>支座</v>
          </cell>
        </row>
        <row r="7084">
          <cell r="D7084" t="str">
            <v>CB5324320-007R009</v>
          </cell>
          <cell r="E7084" t="str">
            <v>横梁</v>
          </cell>
        </row>
        <row r="7085">
          <cell r="D7085" t="str">
            <v>CB5324320-007R009</v>
          </cell>
          <cell r="E7085" t="str">
            <v>横梁</v>
          </cell>
        </row>
        <row r="7086">
          <cell r="D7086" t="str">
            <v>CB5324320-007R009</v>
          </cell>
          <cell r="E7086" t="str">
            <v>横梁</v>
          </cell>
        </row>
        <row r="7087">
          <cell r="D7087" t="str">
            <v>CB5324320-007L009</v>
          </cell>
          <cell r="E7087" t="str">
            <v>横梁</v>
          </cell>
        </row>
        <row r="7088">
          <cell r="D7088" t="str">
            <v>CB5324320-007L009</v>
          </cell>
          <cell r="E7088" t="str">
            <v>横梁</v>
          </cell>
        </row>
        <row r="7089">
          <cell r="D7089" t="str">
            <v>CB5324320-007L009</v>
          </cell>
          <cell r="E7089" t="str">
            <v>横梁</v>
          </cell>
        </row>
        <row r="7090">
          <cell r="D7090" t="str">
            <v>CB5324320-007L009</v>
          </cell>
          <cell r="E7090" t="str">
            <v>横梁</v>
          </cell>
        </row>
        <row r="7091">
          <cell r="D7091" t="str">
            <v>BC3012510-001-002</v>
          </cell>
          <cell r="E7091" t="str">
            <v>后左斜操纵台</v>
          </cell>
        </row>
        <row r="7092">
          <cell r="D7092" t="str">
            <v>BC3012610-001-002</v>
          </cell>
          <cell r="E7092" t="str">
            <v>后右斜操纵台</v>
          </cell>
        </row>
        <row r="7093">
          <cell r="D7093" t="str">
            <v>DD-J10-41153-105</v>
          </cell>
          <cell r="E7093" t="str">
            <v>联锁摇臂</v>
          </cell>
        </row>
        <row r="7094">
          <cell r="D7094" t="str">
            <v>DD-J10-41153-105</v>
          </cell>
          <cell r="E7094" t="str">
            <v>联锁摇臂</v>
          </cell>
        </row>
        <row r="7095">
          <cell r="D7095" t="str">
            <v>DD-J10-41153-105</v>
          </cell>
          <cell r="E7095" t="str">
            <v>联锁摇臂</v>
          </cell>
        </row>
        <row r="7096">
          <cell r="D7096" t="str">
            <v>DD-J10-55055-2611</v>
          </cell>
          <cell r="E7096" t="str">
            <v>接管嘴</v>
          </cell>
        </row>
        <row r="7097">
          <cell r="D7097" t="str">
            <v>DD-J10-55055-2611</v>
          </cell>
          <cell r="E7097" t="str">
            <v>接管嘴</v>
          </cell>
        </row>
        <row r="7098">
          <cell r="D7098" t="str">
            <v>DD-J10-55055-2611</v>
          </cell>
          <cell r="E7098" t="str">
            <v>接管嘴</v>
          </cell>
        </row>
        <row r="7099">
          <cell r="D7099" t="str">
            <v>XXX-YCB-000-00</v>
          </cell>
          <cell r="E7099" t="str">
            <v>XXX采编器离心夹具组合件</v>
          </cell>
        </row>
        <row r="7100">
          <cell r="D7100" t="str">
            <v>XXX-YCB-000-01</v>
          </cell>
          <cell r="E7100" t="str">
            <v>XXX采编器离心夹具</v>
          </cell>
        </row>
        <row r="7101">
          <cell r="D7101" t="str">
            <v>100000-01</v>
          </cell>
          <cell r="E7101" t="str">
            <v>支柱</v>
          </cell>
        </row>
        <row r="7102">
          <cell r="D7102" t="str">
            <v>100000-02</v>
          </cell>
          <cell r="E7102" t="str">
            <v>支撑板</v>
          </cell>
        </row>
        <row r="7103">
          <cell r="D7103" t="str">
            <v>100000-03</v>
          </cell>
          <cell r="E7103" t="str">
            <v>夹具ZCII-3组合件</v>
          </cell>
        </row>
        <row r="7104">
          <cell r="D7104" t="str">
            <v>100000-04</v>
          </cell>
          <cell r="E7104" t="str">
            <v>夹具ZCII-3</v>
          </cell>
        </row>
        <row r="7105">
          <cell r="D7105" t="str">
            <v>DD-J10B-04501-10-1-Z</v>
          </cell>
          <cell r="E7105" t="str">
            <v>BL900侧梁</v>
          </cell>
        </row>
        <row r="7106">
          <cell r="D7106" t="str">
            <v>DD-J10B-04501-10-1-Z</v>
          </cell>
          <cell r="E7106" t="str">
            <v>BL900侧梁</v>
          </cell>
        </row>
        <row r="7107">
          <cell r="D7107" t="str">
            <v>DD-J10B-04501-10-1-Z</v>
          </cell>
          <cell r="E7107" t="str">
            <v>BL900侧梁</v>
          </cell>
        </row>
        <row r="7108">
          <cell r="D7108" t="str">
            <v>DD-J10B-04501-10-1-Z</v>
          </cell>
          <cell r="E7108" t="str">
            <v>BL900侧梁</v>
          </cell>
        </row>
        <row r="7109">
          <cell r="D7109" t="str">
            <v>DD-J10B-04501-10-1-Z</v>
          </cell>
          <cell r="E7109" t="str">
            <v>BL900侧梁</v>
          </cell>
        </row>
        <row r="7110">
          <cell r="D7110" t="str">
            <v>DD-J10B-04501-10-1-Z</v>
          </cell>
          <cell r="E7110" t="str">
            <v>BL900侧梁</v>
          </cell>
        </row>
        <row r="7111">
          <cell r="D7111" t="str">
            <v>DD-J10B-04501-10-1-Z</v>
          </cell>
          <cell r="E7111" t="str">
            <v>BL900侧梁</v>
          </cell>
        </row>
        <row r="7112">
          <cell r="D7112" t="str">
            <v>DD-J10B-04501-10-1-Z</v>
          </cell>
          <cell r="E7112" t="str">
            <v>BL900侧梁</v>
          </cell>
        </row>
        <row r="7113">
          <cell r="D7113" t="str">
            <v>DD-J10B-04501-10-1-Z</v>
          </cell>
          <cell r="E7113" t="str">
            <v>BL900侧梁</v>
          </cell>
        </row>
        <row r="7114">
          <cell r="D7114" t="str">
            <v>DD-J10B-04501-10-1-Y</v>
          </cell>
          <cell r="E7114" t="str">
            <v>BL900侧梁</v>
          </cell>
        </row>
        <row r="7115">
          <cell r="D7115" t="str">
            <v>DD-J10B-04501-10-1-Y</v>
          </cell>
          <cell r="E7115" t="str">
            <v>BL900侧梁</v>
          </cell>
        </row>
        <row r="7116">
          <cell r="D7116" t="str">
            <v>DD-J10B-04501-10-1-Y</v>
          </cell>
          <cell r="E7116" t="str">
            <v>BL900侧梁</v>
          </cell>
        </row>
        <row r="7117">
          <cell r="D7117" t="str">
            <v>DD-J10B-04501-10-1-Y</v>
          </cell>
          <cell r="E7117" t="str">
            <v>BL900侧梁</v>
          </cell>
        </row>
        <row r="7118">
          <cell r="D7118" t="str">
            <v>DD-J10B-04501-10-1-Y</v>
          </cell>
          <cell r="E7118" t="str">
            <v>BL900侧梁</v>
          </cell>
        </row>
        <row r="7119">
          <cell r="D7119" t="str">
            <v>DD-J10B-04501-10-1-Y</v>
          </cell>
          <cell r="E7119" t="str">
            <v>BL900侧梁</v>
          </cell>
        </row>
        <row r="7120">
          <cell r="D7120" t="str">
            <v>DD-J10B-04501-10-1-Y</v>
          </cell>
          <cell r="E7120" t="str">
            <v>BL900侧梁</v>
          </cell>
        </row>
        <row r="7121">
          <cell r="D7121" t="str">
            <v>DD-J10B-04501-10-1-Y</v>
          </cell>
          <cell r="E7121" t="str">
            <v>BL900侧梁</v>
          </cell>
        </row>
        <row r="7122">
          <cell r="D7122" t="str">
            <v>DD-J10B-04501-10-1-Y</v>
          </cell>
          <cell r="E7122" t="str">
            <v>BL900侧梁</v>
          </cell>
        </row>
        <row r="7123">
          <cell r="D7123" t="str">
            <v>CB3014944-001-002</v>
          </cell>
          <cell r="E7123" t="str">
            <v>左后垂直操纵台面板</v>
          </cell>
        </row>
        <row r="7124">
          <cell r="D7124" t="str">
            <v>CB3014944-001-002</v>
          </cell>
          <cell r="E7124" t="str">
            <v>左后垂直操纵台面板</v>
          </cell>
        </row>
        <row r="7125">
          <cell r="D7125" t="str">
            <v>CB3014944-001-002</v>
          </cell>
          <cell r="E7125" t="str">
            <v>左后垂直操纵台面板</v>
          </cell>
        </row>
        <row r="7126">
          <cell r="D7126" t="str">
            <v>CB3014944-001-002</v>
          </cell>
          <cell r="E7126" t="str">
            <v>左后垂直操纵台面板</v>
          </cell>
        </row>
        <row r="7127">
          <cell r="D7127" t="str">
            <v>CB5327120-013L015</v>
          </cell>
          <cell r="E7127" t="str">
            <v>10150侧隔框</v>
          </cell>
        </row>
        <row r="7128">
          <cell r="D7128" t="str">
            <v>CB5327120-013L015</v>
          </cell>
          <cell r="E7128" t="str">
            <v>10150侧隔框</v>
          </cell>
        </row>
        <row r="7129">
          <cell r="D7129" t="str">
            <v>CB5327120-013L015</v>
          </cell>
          <cell r="E7129" t="str">
            <v>10150侧隔框</v>
          </cell>
        </row>
        <row r="7130">
          <cell r="D7130" t="str">
            <v>CB5327120-013L015</v>
          </cell>
          <cell r="E7130" t="str">
            <v>10150侧隔框</v>
          </cell>
        </row>
        <row r="7131">
          <cell r="D7131" t="str">
            <v>CB5327120-013R015</v>
          </cell>
          <cell r="E7131" t="str">
            <v>10150侧隔框</v>
          </cell>
        </row>
        <row r="7132">
          <cell r="D7132" t="str">
            <v>CB5327120-013R015</v>
          </cell>
          <cell r="E7132" t="str">
            <v>10150侧隔框</v>
          </cell>
        </row>
        <row r="7133">
          <cell r="D7133" t="str">
            <v>CB5327120-013R015</v>
          </cell>
          <cell r="E7133" t="str">
            <v>10150侧隔框</v>
          </cell>
        </row>
        <row r="7134">
          <cell r="D7134" t="str">
            <v>CB5327120-013R015</v>
          </cell>
          <cell r="E7134" t="str">
            <v>10150侧隔框</v>
          </cell>
        </row>
        <row r="7135">
          <cell r="D7135" t="str">
            <v>DD-J10B-02041-2-Y</v>
          </cell>
          <cell r="E7135" t="str">
            <v>前上大梁</v>
          </cell>
        </row>
        <row r="7136">
          <cell r="D7136" t="str">
            <v>DD-J10-21102-250-1-Z</v>
          </cell>
          <cell r="E7136" t="str">
            <v>11900梁一段（左件）</v>
          </cell>
        </row>
        <row r="7137">
          <cell r="D7137" t="str">
            <v>DD-J10-21102-250-1-Z</v>
          </cell>
          <cell r="E7137" t="str">
            <v>11900梁一段（左件）</v>
          </cell>
        </row>
        <row r="7138">
          <cell r="D7138" t="str">
            <v>CB5713600-001L006</v>
          </cell>
          <cell r="E7138" t="str">
            <v>前梁一段</v>
          </cell>
        </row>
        <row r="7139">
          <cell r="D7139" t="str">
            <v>CB5713600-001L006</v>
          </cell>
          <cell r="E7139" t="str">
            <v>前梁一段</v>
          </cell>
        </row>
        <row r="7140">
          <cell r="D7140" t="str">
            <v>DD-J10B-02041-300-3</v>
          </cell>
          <cell r="E7140" t="str">
            <v>右内侧角材</v>
          </cell>
        </row>
        <row r="7141">
          <cell r="D7141" t="str">
            <v>DD-J10B-02041-300-3</v>
          </cell>
          <cell r="E7141" t="str">
            <v>右内侧角材</v>
          </cell>
        </row>
        <row r="7142">
          <cell r="D7142" t="str">
            <v>Y20-5316100300-001</v>
          </cell>
          <cell r="E7142" t="str">
            <v>地板纵向件</v>
          </cell>
        </row>
        <row r="7143">
          <cell r="D7143" t="str">
            <v>Y20-5316100301-001</v>
          </cell>
          <cell r="E7143" t="str">
            <v>地板纵向件</v>
          </cell>
        </row>
        <row r="7144">
          <cell r="D7144" t="str">
            <v>Y20-5319160013-001</v>
          </cell>
          <cell r="E7144" t="str">
            <v>接头</v>
          </cell>
        </row>
        <row r="7145">
          <cell r="D7145" t="str">
            <v>DD-J10-55025-704</v>
          </cell>
          <cell r="E7145" t="str">
            <v>套筒</v>
          </cell>
        </row>
        <row r="7146">
          <cell r="D7146" t="str">
            <v>DD-J10-55025-704</v>
          </cell>
          <cell r="E7146" t="str">
            <v>套筒</v>
          </cell>
        </row>
        <row r="7147">
          <cell r="D7147" t="str">
            <v>DD-J10B-94076-1312</v>
          </cell>
          <cell r="E7147" t="str">
            <v>衬盘</v>
          </cell>
        </row>
        <row r="7148">
          <cell r="D7148" t="str">
            <v>DD-J10-55015-6009</v>
          </cell>
          <cell r="E7148" t="str">
            <v>垫圈</v>
          </cell>
        </row>
        <row r="7149">
          <cell r="D7149" t="str">
            <v>BC5832111-002-001</v>
          </cell>
          <cell r="E7149" t="str">
            <v>拨棍</v>
          </cell>
        </row>
        <row r="7150">
          <cell r="D7150" t="str">
            <v>BC5822120-003-001</v>
          </cell>
          <cell r="E7150" t="str">
            <v>垫圈</v>
          </cell>
        </row>
        <row r="7151">
          <cell r="D7151" t="str">
            <v>BC3101300-002-001</v>
          </cell>
          <cell r="E7151" t="str">
            <v>齿纹垫片</v>
          </cell>
        </row>
        <row r="7152">
          <cell r="D7152" t="str">
            <v>BC5822120-006-001</v>
          </cell>
          <cell r="E7152" t="str">
            <v>管子</v>
          </cell>
        </row>
        <row r="7153">
          <cell r="D7153" t="str">
            <v>BC5834011-001-001</v>
          </cell>
          <cell r="E7153" t="str">
            <v>管子</v>
          </cell>
        </row>
        <row r="7154">
          <cell r="D7154" t="str">
            <v>BC2280233-004-001</v>
          </cell>
          <cell r="E7154" t="str">
            <v>轴</v>
          </cell>
        </row>
        <row r="7155">
          <cell r="D7155" t="str">
            <v>BC5822120-004-001</v>
          </cell>
          <cell r="E7155" t="str">
            <v>垫圈</v>
          </cell>
        </row>
        <row r="7156">
          <cell r="D7156" t="str">
            <v>BC2280231-003-001</v>
          </cell>
          <cell r="E7156" t="str">
            <v>管子</v>
          </cell>
        </row>
        <row r="7157">
          <cell r="D7157" t="str">
            <v>BC3101320-004-001</v>
          </cell>
          <cell r="E7157" t="str">
            <v>导向件</v>
          </cell>
        </row>
        <row r="7158">
          <cell r="D7158" t="str">
            <v>BC2280231-003-001</v>
          </cell>
          <cell r="E7158" t="str">
            <v>管子</v>
          </cell>
        </row>
        <row r="7159">
          <cell r="D7159" t="str">
            <v>BC3101332-002-001</v>
          </cell>
          <cell r="E7159" t="str">
            <v>上加强件-套管</v>
          </cell>
        </row>
        <row r="7160">
          <cell r="D7160" t="str">
            <v>DD-J10B-55015-4100-1</v>
          </cell>
          <cell r="E7160" t="str">
            <v>垫圈</v>
          </cell>
        </row>
        <row r="7161">
          <cell r="D7161" t="str">
            <v>DD-J10B-55015-4100-1</v>
          </cell>
          <cell r="E7161" t="str">
            <v>垫圈</v>
          </cell>
        </row>
        <row r="7162">
          <cell r="D7162" t="str">
            <v>DD-J10-54111-2403</v>
          </cell>
          <cell r="E7162" t="str">
            <v>垫片</v>
          </cell>
        </row>
        <row r="7163">
          <cell r="D7163" t="str">
            <v>DD-J10-55015-4100-1</v>
          </cell>
          <cell r="E7163" t="str">
            <v>垫圈</v>
          </cell>
        </row>
        <row r="7164">
          <cell r="D7164" t="str">
            <v>DD-J10-96031-130-1</v>
          </cell>
          <cell r="E7164" t="str">
            <v>管子</v>
          </cell>
        </row>
        <row r="7165">
          <cell r="D7165" t="str">
            <v>DD-J10-55015-4100-1</v>
          </cell>
          <cell r="E7165" t="str">
            <v>垫圈</v>
          </cell>
        </row>
        <row r="7166">
          <cell r="D7166" t="str">
            <v>DD-J10B-61101-3110-1</v>
          </cell>
          <cell r="E7166" t="str">
            <v>导管</v>
          </cell>
        </row>
        <row r="7167">
          <cell r="D7167" t="str">
            <v>DD-J10-04101-93</v>
          </cell>
          <cell r="E7167" t="str">
            <v>轴销</v>
          </cell>
        </row>
        <row r="7168">
          <cell r="D7168" t="str">
            <v>DD-J10B-64016-600-1</v>
          </cell>
          <cell r="E7168" t="str">
            <v>短管</v>
          </cell>
        </row>
        <row r="7169">
          <cell r="D7169" t="str">
            <v>DD-J10-96031-121</v>
          </cell>
          <cell r="E7169" t="str">
            <v>销棒</v>
          </cell>
        </row>
        <row r="7170">
          <cell r="D7170" t="str">
            <v>DD-J10-96031-121</v>
          </cell>
          <cell r="E7170" t="str">
            <v>销棒</v>
          </cell>
        </row>
        <row r="7171">
          <cell r="D7171" t="str">
            <v>DD-J10-96031-104</v>
          </cell>
          <cell r="E7171" t="str">
            <v>接管嘴</v>
          </cell>
        </row>
        <row r="7172">
          <cell r="D7172" t="str">
            <v>DD-J10-41123-1112</v>
          </cell>
          <cell r="E7172" t="str">
            <v>拨棍</v>
          </cell>
        </row>
        <row r="7173">
          <cell r="D7173" t="str">
            <v>DD-J10-41153-210-1</v>
          </cell>
          <cell r="E7173" t="str">
            <v>管子</v>
          </cell>
        </row>
        <row r="7174">
          <cell r="D7174" t="str">
            <v>DD-J10B-42074-70-1</v>
          </cell>
          <cell r="E7174" t="str">
            <v>管子</v>
          </cell>
        </row>
        <row r="7175">
          <cell r="D7175" t="str">
            <v>DD-J10B-42074-60-1</v>
          </cell>
          <cell r="E7175" t="str">
            <v>管子</v>
          </cell>
        </row>
        <row r="7176">
          <cell r="D7176" t="str">
            <v>DD-J10-41123-1101</v>
          </cell>
          <cell r="E7176" t="str">
            <v>壳体</v>
          </cell>
        </row>
        <row r="7177">
          <cell r="D7177" t="str">
            <v>DD-J10-41123-1112</v>
          </cell>
          <cell r="E7177" t="str">
            <v>拨棍</v>
          </cell>
        </row>
        <row r="7178">
          <cell r="D7178" t="str">
            <v>DD-J10-41123-1111</v>
          </cell>
          <cell r="E7178" t="str">
            <v>销子</v>
          </cell>
        </row>
        <row r="7179">
          <cell r="D7179" t="str">
            <v>DD-J10-55025-703</v>
          </cell>
          <cell r="E7179" t="str">
            <v>衬套</v>
          </cell>
        </row>
        <row r="7180">
          <cell r="D7180" t="str">
            <v>DD-J10-55025-703</v>
          </cell>
          <cell r="E7180" t="str">
            <v>衬套</v>
          </cell>
        </row>
        <row r="7181">
          <cell r="D7181" t="str">
            <v>DD-J10-55121-2</v>
          </cell>
          <cell r="E7181" t="str">
            <v>三通管接头</v>
          </cell>
        </row>
        <row r="7182">
          <cell r="D7182" t="str">
            <v>DD-J10-55121-2</v>
          </cell>
          <cell r="E7182" t="str">
            <v>三通管接头</v>
          </cell>
        </row>
        <row r="7183">
          <cell r="D7183" t="str">
            <v>DD-J10-61031-44</v>
          </cell>
          <cell r="E7183" t="str">
            <v>压板</v>
          </cell>
        </row>
        <row r="7184">
          <cell r="D7184" t="str">
            <v>DD-J10-55181-13</v>
          </cell>
          <cell r="E7184" t="str">
            <v>变径三通管接头</v>
          </cell>
        </row>
        <row r="7185">
          <cell r="D7185" t="str">
            <v>DD-J10-55181-16</v>
          </cell>
          <cell r="E7185" t="str">
            <v>变径三通管接头</v>
          </cell>
        </row>
        <row r="7186">
          <cell r="D7186" t="str">
            <v>DD-J10-55181-16</v>
          </cell>
          <cell r="E7186" t="str">
            <v>变径三通管接头</v>
          </cell>
        </row>
        <row r="7187">
          <cell r="D7187" t="str">
            <v>DD-J10-55181-16</v>
          </cell>
          <cell r="E7187" t="str">
            <v>变径三通管接头</v>
          </cell>
        </row>
        <row r="7188">
          <cell r="D7188" t="str">
            <v>BC5812420-002-001</v>
          </cell>
          <cell r="E7188" t="str">
            <v>转轴衬套</v>
          </cell>
        </row>
        <row r="7189">
          <cell r="D7189" t="str">
            <v>BC5334610-005-001</v>
          </cell>
          <cell r="E7189" t="str">
            <v>垫圈</v>
          </cell>
        </row>
        <row r="7190">
          <cell r="D7190" t="str">
            <v>BC5812420-003-001</v>
          </cell>
          <cell r="E7190" t="str">
            <v>拉杆衬套</v>
          </cell>
        </row>
        <row r="7191">
          <cell r="D7191" t="str">
            <v>BC5812600-002-001</v>
          </cell>
          <cell r="E7191" t="str">
            <v>衬套</v>
          </cell>
        </row>
        <row r="7192">
          <cell r="D7192" t="str">
            <v>BC5812600-003-001</v>
          </cell>
          <cell r="E7192" t="str">
            <v>衬套</v>
          </cell>
        </row>
        <row r="7193">
          <cell r="D7193" t="str">
            <v>BC5812000-002-001</v>
          </cell>
          <cell r="E7193" t="str">
            <v>螺栓</v>
          </cell>
        </row>
        <row r="7194">
          <cell r="D7194" t="str">
            <v>BC5812000-003-001</v>
          </cell>
          <cell r="E7194" t="str">
            <v>衬套</v>
          </cell>
        </row>
        <row r="7195">
          <cell r="D7195" t="str">
            <v>BC5812000-008-001</v>
          </cell>
          <cell r="E7195" t="str">
            <v>螺桩</v>
          </cell>
        </row>
        <row r="7196">
          <cell r="D7196" t="str">
            <v>BC5812000-010-001</v>
          </cell>
          <cell r="E7196" t="str">
            <v>螺桩</v>
          </cell>
        </row>
        <row r="7197">
          <cell r="D7197" t="str">
            <v>BC5812100-002-001</v>
          </cell>
          <cell r="E7197" t="str">
            <v>衬套</v>
          </cell>
        </row>
        <row r="7198">
          <cell r="D7198" t="str">
            <v>BC5812100-003-001</v>
          </cell>
          <cell r="E7198" t="str">
            <v>衬套</v>
          </cell>
        </row>
        <row r="7199">
          <cell r="D7199" t="str">
            <v>BC5812100-004-001</v>
          </cell>
          <cell r="E7199" t="str">
            <v>衬套</v>
          </cell>
        </row>
        <row r="7200">
          <cell r="D7200" t="str">
            <v>BC5812100-005-001</v>
          </cell>
          <cell r="E7200" t="str">
            <v>衬套</v>
          </cell>
        </row>
        <row r="7201">
          <cell r="D7201" t="str">
            <v>BC5812100-006-001</v>
          </cell>
          <cell r="E7201" t="str">
            <v>衬套</v>
          </cell>
        </row>
        <row r="7202">
          <cell r="D7202" t="str">
            <v>BC5812100-007-001</v>
          </cell>
          <cell r="E7202" t="str">
            <v>衬套</v>
          </cell>
        </row>
        <row r="7203">
          <cell r="D7203" t="str">
            <v>BC5812100-009-001</v>
          </cell>
          <cell r="E7203" t="str">
            <v>衬套</v>
          </cell>
        </row>
        <row r="7204">
          <cell r="D7204" t="str">
            <v>BC5822100-009-001</v>
          </cell>
          <cell r="E7204" t="str">
            <v>衬套</v>
          </cell>
        </row>
        <row r="7205">
          <cell r="D7205" t="str">
            <v>Y20-5316320208-001</v>
          </cell>
          <cell r="E7205" t="str">
            <v>梯子支撑件</v>
          </cell>
        </row>
        <row r="7206">
          <cell r="D7206" t="str">
            <v>Y20-5316320208-001</v>
          </cell>
          <cell r="E7206" t="str">
            <v>梯子支撑件</v>
          </cell>
        </row>
        <row r="7207">
          <cell r="D7207" t="str">
            <v>CB3014944-001-002</v>
          </cell>
          <cell r="E7207" t="str">
            <v>左后垂直操纵台面板</v>
          </cell>
        </row>
        <row r="7208">
          <cell r="D7208" t="str">
            <v>GU5715010-006R001</v>
          </cell>
          <cell r="E7208" t="str">
            <v>前缘5肋</v>
          </cell>
        </row>
        <row r="7209">
          <cell r="D7209" t="str">
            <v>GU5715010-006L001</v>
          </cell>
          <cell r="E7209" t="str">
            <v>前缘5肋</v>
          </cell>
        </row>
        <row r="7210">
          <cell r="D7210" t="str">
            <v>GU5715010-007R001</v>
          </cell>
          <cell r="E7210" t="str">
            <v>前缘6肋</v>
          </cell>
        </row>
        <row r="7211">
          <cell r="D7211" t="str">
            <v>GU5715010-007L001</v>
          </cell>
          <cell r="E7211" t="str">
            <v>前缘6肋</v>
          </cell>
        </row>
        <row r="7212">
          <cell r="D7212" t="str">
            <v>Y20-4382112001-001</v>
          </cell>
          <cell r="E7212" t="str">
            <v>后槽型件</v>
          </cell>
        </row>
        <row r="7213">
          <cell r="D7213" t="str">
            <v>Y20-4382112002-001</v>
          </cell>
          <cell r="E7213" t="str">
            <v>后槽型件</v>
          </cell>
        </row>
        <row r="7214">
          <cell r="D7214" t="str">
            <v>DD-J10-21102-31-Z</v>
          </cell>
          <cell r="E7214" t="str">
            <v>10060上接头</v>
          </cell>
        </row>
        <row r="7215">
          <cell r="D7215" t="str">
            <v>DD-J10-21102-31-Z</v>
          </cell>
          <cell r="E7215" t="str">
            <v>10060上接头</v>
          </cell>
        </row>
        <row r="7216">
          <cell r="D7216" t="str">
            <v>DD-J10-21102-33-Y</v>
          </cell>
          <cell r="E7216" t="str">
            <v>10460上接头</v>
          </cell>
        </row>
        <row r="7217">
          <cell r="D7217" t="str">
            <v>DD-J10-21102-33-Y</v>
          </cell>
          <cell r="E7217" t="str">
            <v>10460上接头</v>
          </cell>
        </row>
        <row r="7218">
          <cell r="D7218" t="str">
            <v>DD-J10-21102-33-Y</v>
          </cell>
          <cell r="E7218" t="str">
            <v>10460上接头</v>
          </cell>
        </row>
        <row r="7219">
          <cell r="D7219" t="str">
            <v>DD-J10-21102-33-Y</v>
          </cell>
          <cell r="E7219" t="str">
            <v>10460上接头</v>
          </cell>
        </row>
        <row r="7220">
          <cell r="D7220" t="str">
            <v>DD-J10-21102-33-Z</v>
          </cell>
          <cell r="E7220" t="str">
            <v>10460上接头</v>
          </cell>
        </row>
        <row r="7221">
          <cell r="D7221" t="str">
            <v>DD-J10-21102-33-Z</v>
          </cell>
          <cell r="E7221" t="str">
            <v>10460上接头</v>
          </cell>
        </row>
        <row r="7222">
          <cell r="D7222" t="str">
            <v>CB5713600-001R004</v>
          </cell>
          <cell r="E7222" t="str">
            <v>前梁一段</v>
          </cell>
        </row>
        <row r="7223">
          <cell r="D7223" t="str">
            <v>CB5713600-001R004</v>
          </cell>
          <cell r="E7223" t="str">
            <v>前梁一段</v>
          </cell>
        </row>
        <row r="7224">
          <cell r="D7224" t="str">
            <v>DD-J10B-04051-1</v>
          </cell>
          <cell r="E7224" t="str">
            <v>10460框</v>
          </cell>
        </row>
        <row r="7225">
          <cell r="D7225" t="str">
            <v>Y20-5317018034-001</v>
          </cell>
          <cell r="E7225" t="str">
            <v>立柱接头</v>
          </cell>
        </row>
        <row r="7226">
          <cell r="D7226" t="str">
            <v>Y20-5318100171-001</v>
          </cell>
          <cell r="E7226" t="str">
            <v>加强角盒</v>
          </cell>
        </row>
        <row r="7227">
          <cell r="D7227" t="str">
            <v>Y20-5318100172-001</v>
          </cell>
          <cell r="E7227" t="str">
            <v>加强角盒</v>
          </cell>
        </row>
        <row r="7228">
          <cell r="D7228" t="str">
            <v>Y20-5319400017-001</v>
          </cell>
          <cell r="E7228" t="str">
            <v>扶手支座</v>
          </cell>
        </row>
        <row r="7229">
          <cell r="D7229" t="str">
            <v>Y20-5319120045-001</v>
          </cell>
          <cell r="E7229" t="str">
            <v>角盒</v>
          </cell>
        </row>
        <row r="7230">
          <cell r="D7230" t="str">
            <v>Y20-5319170003-001</v>
          </cell>
          <cell r="E7230" t="str">
            <v>角型材</v>
          </cell>
        </row>
        <row r="7231">
          <cell r="D7231" t="str">
            <v>Y20-5319170003-002</v>
          </cell>
          <cell r="E7231" t="str">
            <v>角型材</v>
          </cell>
        </row>
        <row r="7232">
          <cell r="D7232" t="str">
            <v>Y20-5319170004-001</v>
          </cell>
          <cell r="E7232" t="str">
            <v>角型材</v>
          </cell>
        </row>
        <row r="7233">
          <cell r="D7233" t="str">
            <v>Y20-5319170004-002</v>
          </cell>
          <cell r="E7233" t="str">
            <v>角型材</v>
          </cell>
        </row>
        <row r="7234">
          <cell r="D7234" t="str">
            <v>Y20-5319180012-001</v>
          </cell>
          <cell r="E7234" t="str">
            <v>角盒</v>
          </cell>
        </row>
        <row r="7235">
          <cell r="D7235" t="str">
            <v>Y20-5319180012-002</v>
          </cell>
          <cell r="E7235" t="str">
            <v>角盒</v>
          </cell>
        </row>
        <row r="7236">
          <cell r="D7236" t="str">
            <v>BC5812420-001-001</v>
          </cell>
          <cell r="E7236" t="str">
            <v>锁钩本体</v>
          </cell>
        </row>
        <row r="7237">
          <cell r="D7237" t="str">
            <v>BC5812420-001-001</v>
          </cell>
          <cell r="E7237" t="str">
            <v>锁钩本体</v>
          </cell>
        </row>
        <row r="7238">
          <cell r="D7238" t="str">
            <v>DD-J10B-26002-1G2-Y</v>
          </cell>
          <cell r="E7238" t="str">
            <v>梁（右件）</v>
          </cell>
        </row>
        <row r="7239">
          <cell r="D7239" t="str">
            <v>DD-J10B-26002-1G2-Y</v>
          </cell>
          <cell r="E7239" t="str">
            <v>梁（右件）</v>
          </cell>
        </row>
        <row r="7240">
          <cell r="D7240" t="str">
            <v>DD-J10B-26002-1G2-Y</v>
          </cell>
          <cell r="E7240" t="str">
            <v>梁（右件）</v>
          </cell>
        </row>
        <row r="7241">
          <cell r="D7241" t="str">
            <v>DD-J10B-26002-1G2-Y</v>
          </cell>
          <cell r="E7241" t="str">
            <v>梁（右件）</v>
          </cell>
        </row>
        <row r="7242">
          <cell r="D7242" t="str">
            <v>DD-J10B-26002-1G2-Y</v>
          </cell>
          <cell r="E7242" t="str">
            <v>梁（右件）</v>
          </cell>
        </row>
        <row r="7243">
          <cell r="D7243" t="str">
            <v>DD-J10B-26002-1G2-Y</v>
          </cell>
          <cell r="E7243" t="str">
            <v>梁（右件）</v>
          </cell>
        </row>
        <row r="7244">
          <cell r="D7244" t="str">
            <v>DD-J10B-26002-1G2-Y</v>
          </cell>
          <cell r="E7244" t="str">
            <v>梁（右件）</v>
          </cell>
        </row>
        <row r="7245">
          <cell r="D7245" t="str">
            <v>DD-J10B-26002-1G2-Y</v>
          </cell>
          <cell r="E7245" t="str">
            <v>梁（右件）</v>
          </cell>
        </row>
        <row r="7246">
          <cell r="D7246" t="str">
            <v>DD-J10B-26002-1G2-Z</v>
          </cell>
          <cell r="E7246" t="str">
            <v>梁（左件）</v>
          </cell>
        </row>
        <row r="7247">
          <cell r="D7247" t="str">
            <v>DD-J10B-26002-1G2-Z</v>
          </cell>
          <cell r="E7247" t="str">
            <v>梁（左件）</v>
          </cell>
        </row>
        <row r="7248">
          <cell r="D7248" t="str">
            <v>DD-J10B-26002-1G2-Z</v>
          </cell>
          <cell r="E7248" t="str">
            <v>梁（左件）</v>
          </cell>
        </row>
        <row r="7249">
          <cell r="D7249" t="str">
            <v>DD-J10B-26002-1G2-Z</v>
          </cell>
          <cell r="E7249" t="str">
            <v>梁（左件）</v>
          </cell>
        </row>
        <row r="7250">
          <cell r="D7250" t="str">
            <v>DD-J10B-26002-1G2-Z</v>
          </cell>
          <cell r="E7250" t="str">
            <v>梁（左件）</v>
          </cell>
        </row>
        <row r="7251">
          <cell r="D7251" t="str">
            <v>DD-J10B-26002-1G2-Z</v>
          </cell>
          <cell r="E7251" t="str">
            <v>梁（左件）</v>
          </cell>
        </row>
        <row r="7252">
          <cell r="D7252" t="str">
            <v>DD-J10B-26002-1G2-Z</v>
          </cell>
          <cell r="E7252" t="str">
            <v>梁（左件）</v>
          </cell>
        </row>
        <row r="7253">
          <cell r="D7253" t="str">
            <v>DD-J10B-26002-1G2-Z</v>
          </cell>
          <cell r="E7253" t="str">
            <v>梁（左件）</v>
          </cell>
        </row>
        <row r="7254">
          <cell r="D7254" t="str">
            <v>DD-J10-55015-4100-1</v>
          </cell>
          <cell r="E7254" t="str">
            <v>垫圈</v>
          </cell>
        </row>
        <row r="7255">
          <cell r="D7255" t="str">
            <v>XXX-3411000-01</v>
          </cell>
          <cell r="E7255" t="str">
            <v>壳体</v>
          </cell>
        </row>
        <row r="7256">
          <cell r="D7256" t="str">
            <v>XXX-3410000-01</v>
          </cell>
          <cell r="E7256" t="str">
            <v>隔板</v>
          </cell>
        </row>
        <row r="7257">
          <cell r="D7257" t="str">
            <v>XXX-3410000-02</v>
          </cell>
          <cell r="E7257" t="str">
            <v>固定块</v>
          </cell>
        </row>
        <row r="7258">
          <cell r="D7258" t="str">
            <v>XXX-3411000-02</v>
          </cell>
          <cell r="E7258" t="str">
            <v>盖板</v>
          </cell>
        </row>
        <row r="7259">
          <cell r="D7259" t="str">
            <v>XXX-3411000-03</v>
          </cell>
          <cell r="E7259" t="str">
            <v>底部压盖</v>
          </cell>
        </row>
        <row r="7260">
          <cell r="D7260" t="str">
            <v>XXX-3411100-02</v>
          </cell>
          <cell r="E7260" t="str">
            <v>底板压环</v>
          </cell>
        </row>
        <row r="7261">
          <cell r="D7261" t="str">
            <v>XXX-3411100-03</v>
          </cell>
          <cell r="E7261" t="str">
            <v>底板固定螺孔</v>
          </cell>
        </row>
        <row r="7262">
          <cell r="D7262" t="str">
            <v>XXX-3413000-01</v>
          </cell>
          <cell r="E7262" t="str">
            <v>XXX管阴极座</v>
          </cell>
        </row>
        <row r="7263">
          <cell r="D7263" t="str">
            <v>XXX-3413000-03</v>
          </cell>
          <cell r="E7263" t="str">
            <v>绝缘座</v>
          </cell>
        </row>
        <row r="7264">
          <cell r="D7264" t="str">
            <v>XXX-3413000-04</v>
          </cell>
          <cell r="E7264" t="str">
            <v>XXX连接环</v>
          </cell>
        </row>
        <row r="7265">
          <cell r="D7265" t="str">
            <v>XXX-3414000-01</v>
          </cell>
          <cell r="E7265" t="str">
            <v>XXX绝缘板</v>
          </cell>
        </row>
        <row r="7266">
          <cell r="D7266" t="str">
            <v>XXX-3414000-02</v>
          </cell>
          <cell r="E7266" t="str">
            <v>固定杆</v>
          </cell>
        </row>
        <row r="7267">
          <cell r="D7267" t="str">
            <v>XXX-3414000-03</v>
          </cell>
          <cell r="E7267" t="str">
            <v>固定板</v>
          </cell>
        </row>
        <row r="7268">
          <cell r="D7268" t="str">
            <v>XXX-3414000-05</v>
          </cell>
          <cell r="E7268" t="str">
            <v>倍压安装板</v>
          </cell>
        </row>
        <row r="7269">
          <cell r="D7269" t="str">
            <v>XXX-3414000-06</v>
          </cell>
          <cell r="E7269" t="str">
            <v>电阻安装座</v>
          </cell>
        </row>
        <row r="7270">
          <cell r="D7270" t="str">
            <v>XXX-3414110-01</v>
          </cell>
          <cell r="E7270" t="str">
            <v>XXX变压器引线片1</v>
          </cell>
        </row>
        <row r="7271">
          <cell r="D7271" t="str">
            <v>XXX-3417000-01</v>
          </cell>
          <cell r="E7271" t="str">
            <v>印制板支架1</v>
          </cell>
        </row>
        <row r="7272">
          <cell r="D7272" t="str">
            <v>XXX-3417000-02</v>
          </cell>
          <cell r="E7272" t="str">
            <v>印制板支架2</v>
          </cell>
        </row>
        <row r="7273">
          <cell r="D7273" t="str">
            <v>XXX-3417000-03</v>
          </cell>
          <cell r="E7273" t="str">
            <v>圆柱垫</v>
          </cell>
        </row>
        <row r="7274">
          <cell r="D7274" t="str">
            <v>XXX-11111-02</v>
          </cell>
          <cell r="E7274" t="str">
            <v>引线片1</v>
          </cell>
        </row>
        <row r="7275">
          <cell r="D7275" t="str">
            <v>XXX-300-05</v>
          </cell>
          <cell r="E7275" t="str">
            <v>盖板</v>
          </cell>
        </row>
        <row r="7276">
          <cell r="D7276" t="str">
            <v>XXX-F1-000-01</v>
          </cell>
          <cell r="E7276" t="str">
            <v>负载底座</v>
          </cell>
        </row>
        <row r="7277">
          <cell r="D7277" t="str">
            <v>XXX-F1-100-01</v>
          </cell>
          <cell r="E7277" t="str">
            <v>负载骨架</v>
          </cell>
        </row>
        <row r="7278">
          <cell r="D7278" t="str">
            <v>XXX-3410000-03</v>
          </cell>
          <cell r="E7278" t="str">
            <v>XXX护盖</v>
          </cell>
        </row>
        <row r="7279">
          <cell r="D7279" t="str">
            <v>XXX-3410000-06</v>
          </cell>
          <cell r="E7279" t="str">
            <v>转接板</v>
          </cell>
        </row>
        <row r="7280">
          <cell r="D7280" t="str">
            <v>XXX-3410000-07</v>
          </cell>
          <cell r="E7280" t="str">
            <v>屏蔽板</v>
          </cell>
        </row>
        <row r="7281">
          <cell r="D7281" t="str">
            <v>XXXTR-000-00</v>
          </cell>
          <cell r="E7281" t="str">
            <v>XXX振动夹具组合件</v>
          </cell>
        </row>
        <row r="7282">
          <cell r="D7282" t="str">
            <v>XXXTR-000-01</v>
          </cell>
          <cell r="E7282" t="str">
            <v>振动夹具</v>
          </cell>
        </row>
        <row r="7283">
          <cell r="D7283" t="str">
            <v>XXXTR-000-02</v>
          </cell>
          <cell r="E7283" t="str">
            <v>上包带</v>
          </cell>
        </row>
        <row r="7284">
          <cell r="D7284" t="str">
            <v>XXXTR-000-03</v>
          </cell>
          <cell r="E7284" t="str">
            <v>下包带</v>
          </cell>
        </row>
        <row r="7285">
          <cell r="D7285" t="str">
            <v>Y20-5318100048-001</v>
          </cell>
          <cell r="E7285" t="str">
            <v>12框加强件</v>
          </cell>
        </row>
        <row r="7286">
          <cell r="D7286" t="str">
            <v>Y20-5318100048-001</v>
          </cell>
          <cell r="E7286" t="str">
            <v>12框加强件</v>
          </cell>
        </row>
        <row r="7287">
          <cell r="D7287" t="str">
            <v>Y20-5316320074-001</v>
          </cell>
          <cell r="E7287" t="str">
            <v>15-16框地板纵梁</v>
          </cell>
        </row>
        <row r="7288">
          <cell r="D7288" t="str">
            <v>Y20-5316320074-001</v>
          </cell>
          <cell r="E7288" t="str">
            <v>15-16框地板纵梁</v>
          </cell>
        </row>
        <row r="7289">
          <cell r="D7289" t="str">
            <v>Y20-5316320074-001</v>
          </cell>
          <cell r="E7289" t="str">
            <v>15-16框地板纵梁</v>
          </cell>
        </row>
        <row r="7290">
          <cell r="D7290" t="str">
            <v>Y20-5316320074-001</v>
          </cell>
          <cell r="E7290" t="str">
            <v>15-16框地板纵梁</v>
          </cell>
        </row>
        <row r="7291">
          <cell r="D7291" t="str">
            <v>Y20-5315100012-001</v>
          </cell>
          <cell r="E7291" t="str">
            <v>AB柱加强件</v>
          </cell>
        </row>
        <row r="7292">
          <cell r="D7292" t="str">
            <v>Y20-5315100012-001</v>
          </cell>
          <cell r="E7292" t="str">
            <v>AB柱加强件</v>
          </cell>
        </row>
        <row r="7293">
          <cell r="D7293" t="str">
            <v>Y20-5315100012-001</v>
          </cell>
          <cell r="E7293" t="str">
            <v>AB柱加强件</v>
          </cell>
        </row>
        <row r="7294">
          <cell r="D7294" t="str">
            <v>Y20-5315100012-001</v>
          </cell>
          <cell r="E7294" t="str">
            <v>AB柱加强件</v>
          </cell>
        </row>
        <row r="7295">
          <cell r="D7295" t="str">
            <v>Y20-5315100012-001</v>
          </cell>
          <cell r="E7295" t="str">
            <v>AB柱加强件</v>
          </cell>
        </row>
        <row r="7296">
          <cell r="D7296" t="str">
            <v>Y20-5315100012-001</v>
          </cell>
          <cell r="E7296" t="str">
            <v>AB柱加强件</v>
          </cell>
        </row>
        <row r="7297">
          <cell r="D7297" t="str">
            <v>Y20-5315100012-002</v>
          </cell>
          <cell r="E7297" t="str">
            <v>AB柱加强件</v>
          </cell>
        </row>
        <row r="7298">
          <cell r="D7298" t="str">
            <v>Y20-5315100012-002</v>
          </cell>
          <cell r="E7298" t="str">
            <v>AB柱加强件</v>
          </cell>
        </row>
        <row r="7299">
          <cell r="D7299" t="str">
            <v>Y20-5315100012-002</v>
          </cell>
          <cell r="E7299" t="str">
            <v>AB柱加强件</v>
          </cell>
        </row>
        <row r="7300">
          <cell r="D7300" t="str">
            <v>Y20-5315100012-002</v>
          </cell>
          <cell r="E7300" t="str">
            <v>AB柱加强件</v>
          </cell>
        </row>
        <row r="7301">
          <cell r="D7301" t="str">
            <v>Y20-5315100012-002</v>
          </cell>
          <cell r="E7301" t="str">
            <v>AB柱加强件</v>
          </cell>
        </row>
        <row r="7302">
          <cell r="D7302" t="str">
            <v>Y20-5315100012-002</v>
          </cell>
          <cell r="E7302" t="str">
            <v>AB柱加强件</v>
          </cell>
        </row>
        <row r="7303">
          <cell r="D7303" t="str">
            <v>Y20-5313102007-001</v>
          </cell>
          <cell r="E7303" t="str">
            <v>短梁</v>
          </cell>
        </row>
        <row r="7304">
          <cell r="D7304" t="str">
            <v>Y20-5313102007-001</v>
          </cell>
          <cell r="E7304" t="str">
            <v>短梁</v>
          </cell>
        </row>
        <row r="7305">
          <cell r="D7305" t="str">
            <v>Y20-5315400053-001</v>
          </cell>
          <cell r="E7305" t="str">
            <v>接头</v>
          </cell>
        </row>
        <row r="7306">
          <cell r="D7306" t="str">
            <v>Y20-5315400053-001</v>
          </cell>
          <cell r="E7306" t="str">
            <v>接头</v>
          </cell>
        </row>
        <row r="7307">
          <cell r="D7307" t="str">
            <v>Y20-5315400053-002</v>
          </cell>
          <cell r="E7307" t="str">
            <v>接头</v>
          </cell>
        </row>
        <row r="7308">
          <cell r="D7308" t="str">
            <v>Y20-5315400053-002</v>
          </cell>
          <cell r="E7308" t="str">
            <v>接头</v>
          </cell>
        </row>
        <row r="7309">
          <cell r="D7309" t="str">
            <v>Y20-5319120059-001</v>
          </cell>
          <cell r="E7309" t="str">
            <v>隔挡角材</v>
          </cell>
        </row>
        <row r="7310">
          <cell r="D7310" t="str">
            <v>Y20-5319120059-001</v>
          </cell>
          <cell r="E7310" t="str">
            <v>隔挡角材</v>
          </cell>
        </row>
        <row r="7311">
          <cell r="D7311" t="str">
            <v>Y20-5316107001-002</v>
          </cell>
          <cell r="E7311" t="str">
            <v>脚蹬纵向加强件</v>
          </cell>
        </row>
        <row r="7312">
          <cell r="D7312" t="str">
            <v>Y20-5316200096-001</v>
          </cell>
          <cell r="E7312" t="str">
            <v>堵孔垫板</v>
          </cell>
        </row>
        <row r="7313">
          <cell r="D7313" t="str">
            <v>CB5324413-004-002</v>
          </cell>
          <cell r="E7313" t="str">
            <v>油箱底板（中）</v>
          </cell>
        </row>
        <row r="7314">
          <cell r="D7314" t="str">
            <v>CB5324413-004-002</v>
          </cell>
          <cell r="E7314" t="str">
            <v>油箱底板（中）</v>
          </cell>
        </row>
        <row r="7315">
          <cell r="D7315" t="str">
            <v>BC5314501-001-001</v>
          </cell>
          <cell r="E7315" t="str">
            <v>受油管下段</v>
          </cell>
        </row>
        <row r="7316">
          <cell r="D7316" t="str">
            <v>531A3410-007-001 A</v>
          </cell>
          <cell r="E7316" t="str">
            <v>支撑件</v>
          </cell>
        </row>
        <row r="7317">
          <cell r="D7317" t="str">
            <v>CB5324321-010-006</v>
          </cell>
          <cell r="E7317" t="str">
            <v>加强件</v>
          </cell>
        </row>
        <row r="7318">
          <cell r="D7318" t="str">
            <v>CB5324321-010-006</v>
          </cell>
          <cell r="E7318" t="str">
            <v>加强件</v>
          </cell>
        </row>
        <row r="7319">
          <cell r="D7319" t="str">
            <v>CB5324321-010-006</v>
          </cell>
          <cell r="E7319" t="str">
            <v>加强件</v>
          </cell>
        </row>
        <row r="7320">
          <cell r="D7320" t="str">
            <v>CB5327120-010L015</v>
          </cell>
          <cell r="E7320" t="str">
            <v>9555侧隔框</v>
          </cell>
        </row>
        <row r="7321">
          <cell r="D7321" t="str">
            <v>CB5327120-010L015</v>
          </cell>
          <cell r="E7321" t="str">
            <v>9555侧隔框</v>
          </cell>
        </row>
        <row r="7322">
          <cell r="D7322" t="str">
            <v>CB5327120-010L015</v>
          </cell>
          <cell r="E7322" t="str">
            <v>9555侧隔框</v>
          </cell>
        </row>
        <row r="7323">
          <cell r="D7323" t="str">
            <v>CB5327120-010L015</v>
          </cell>
          <cell r="E7323" t="str">
            <v>9555侧隔框</v>
          </cell>
        </row>
        <row r="7324">
          <cell r="D7324" t="str">
            <v>CB5327120-010R015</v>
          </cell>
          <cell r="E7324" t="str">
            <v>9555侧隔框</v>
          </cell>
        </row>
        <row r="7325">
          <cell r="D7325" t="str">
            <v>CB5327120-010R015</v>
          </cell>
          <cell r="E7325" t="str">
            <v>9555侧隔框</v>
          </cell>
        </row>
        <row r="7326">
          <cell r="D7326" t="str">
            <v>CB5327120-010R015</v>
          </cell>
          <cell r="E7326" t="str">
            <v>9555侧隔框</v>
          </cell>
        </row>
        <row r="7327">
          <cell r="D7327" t="str">
            <v>CB5327120-010R015</v>
          </cell>
          <cell r="E7327" t="str">
            <v>9555侧隔框</v>
          </cell>
        </row>
        <row r="7328">
          <cell r="D7328" t="str">
            <v>GU5714000-009R001</v>
          </cell>
          <cell r="E7328" t="str">
            <v>端肋</v>
          </cell>
        </row>
        <row r="7329">
          <cell r="D7329" t="str">
            <v>GU5715030-003L001</v>
          </cell>
          <cell r="E7329" t="str">
            <v>前缘20号肋</v>
          </cell>
        </row>
        <row r="7330">
          <cell r="D7330" t="str">
            <v>GU5715030-003L001</v>
          </cell>
          <cell r="E7330" t="str">
            <v>前缘20号肋</v>
          </cell>
        </row>
        <row r="7331">
          <cell r="D7331" t="str">
            <v>GU5715030-003R001</v>
          </cell>
          <cell r="E7331" t="str">
            <v>前缘20号肋</v>
          </cell>
        </row>
        <row r="7332">
          <cell r="D7332" t="str">
            <v>GU5715030-003R001</v>
          </cell>
          <cell r="E7332" t="str">
            <v>前缘20号肋</v>
          </cell>
        </row>
        <row r="7333">
          <cell r="D7333" t="str">
            <v>GU5716000-001R001</v>
          </cell>
          <cell r="E7333" t="str">
            <v>后舱根肋</v>
          </cell>
        </row>
        <row r="7334">
          <cell r="D7334" t="str">
            <v>GU5716000-001R001</v>
          </cell>
          <cell r="E7334" t="str">
            <v>后舱根肋</v>
          </cell>
        </row>
        <row r="7335">
          <cell r="D7335" t="str">
            <v>GU5716000-001R001</v>
          </cell>
          <cell r="E7335" t="str">
            <v>后舱根肋</v>
          </cell>
        </row>
        <row r="7336">
          <cell r="D7336" t="str">
            <v>GU5716000-001L001</v>
          </cell>
          <cell r="E7336" t="str">
            <v>后舱根肋</v>
          </cell>
        </row>
        <row r="7337">
          <cell r="D7337" t="str">
            <v>GU5716000-001L001</v>
          </cell>
          <cell r="E7337" t="str">
            <v>后舱根肋</v>
          </cell>
        </row>
        <row r="7338">
          <cell r="D7338" t="str">
            <v>GU5716000-001L001</v>
          </cell>
          <cell r="E7338" t="str">
            <v>后舱根肋</v>
          </cell>
        </row>
        <row r="7339">
          <cell r="D7339" t="str">
            <v>Y20-5319400015-001</v>
          </cell>
          <cell r="E7339" t="str">
            <v>扶手支座</v>
          </cell>
        </row>
        <row r="7340">
          <cell r="D7340" t="str">
            <v>Y20-5319400018-001</v>
          </cell>
          <cell r="E7340" t="str">
            <v>扶手支座</v>
          </cell>
        </row>
        <row r="7341">
          <cell r="D7341" t="str">
            <v>Y20-5828025008-001</v>
          </cell>
          <cell r="E7341" t="str">
            <v>挡片</v>
          </cell>
        </row>
        <row r="7342">
          <cell r="D7342" t="str">
            <v>Y20-5319400017-001</v>
          </cell>
          <cell r="E7342" t="str">
            <v>扶手支座</v>
          </cell>
        </row>
        <row r="7343">
          <cell r="D7343" t="str">
            <v>Y20-5828025006-001</v>
          </cell>
          <cell r="E7343" t="str">
            <v>支撑衬套</v>
          </cell>
        </row>
        <row r="7344">
          <cell r="D7344" t="str">
            <v>DD-J10-06031-404</v>
          </cell>
          <cell r="E7344" t="str">
            <v>支座</v>
          </cell>
        </row>
        <row r="7345">
          <cell r="D7345" t="str">
            <v>DD-J10B-94011-701</v>
          </cell>
          <cell r="E7345" t="str">
            <v>支臂</v>
          </cell>
        </row>
        <row r="7346">
          <cell r="D7346" t="str">
            <v>DD-J10B-94011-701</v>
          </cell>
          <cell r="E7346" t="str">
            <v>支臂</v>
          </cell>
        </row>
        <row r="7347">
          <cell r="D7347" t="str">
            <v>DD-J10B-65000-1901G2</v>
          </cell>
          <cell r="E7347" t="str">
            <v>固定板</v>
          </cell>
        </row>
        <row r="7348">
          <cell r="D7348" t="str">
            <v>DD-J10-42074-90-1-Z</v>
          </cell>
          <cell r="E7348" t="str">
            <v>支座</v>
          </cell>
        </row>
        <row r="7349">
          <cell r="D7349" t="str">
            <v>DD-J10B-77101-963</v>
          </cell>
          <cell r="E7349" t="str">
            <v>卡箍扣</v>
          </cell>
        </row>
        <row r="7350">
          <cell r="D7350" t="str">
            <v>BC3231110-002-001</v>
          </cell>
          <cell r="E7350" t="str">
            <v>卡圈</v>
          </cell>
        </row>
        <row r="7351">
          <cell r="D7351" t="str">
            <v>BC221T1BB-001-001</v>
          </cell>
          <cell r="E7351" t="str">
            <v>法兰</v>
          </cell>
        </row>
        <row r="7352">
          <cell r="D7352" t="str">
            <v>BC221T1AC-001-002</v>
          </cell>
          <cell r="E7352" t="str">
            <v>法兰</v>
          </cell>
        </row>
        <row r="7353">
          <cell r="D7353" t="str">
            <v>BC2299241-004-001</v>
          </cell>
          <cell r="E7353" t="str">
            <v>套筒</v>
          </cell>
        </row>
        <row r="7354">
          <cell r="D7354" t="str">
            <v>BC2281245-002-001</v>
          </cell>
          <cell r="E7354" t="str">
            <v>接头</v>
          </cell>
        </row>
        <row r="7355">
          <cell r="D7355" t="str">
            <v>BC2231341-009-004</v>
          </cell>
          <cell r="E7355" t="str">
            <v>R16防火堵盖</v>
          </cell>
        </row>
        <row r="7356">
          <cell r="D7356" t="str">
            <v>BC5812000-001-001</v>
          </cell>
          <cell r="E7356" t="str">
            <v>轴</v>
          </cell>
        </row>
        <row r="7357">
          <cell r="D7357" t="str">
            <v>BC5812820-001-001</v>
          </cell>
          <cell r="E7357" t="str">
            <v>拉杆</v>
          </cell>
        </row>
        <row r="7358">
          <cell r="D7358" t="str">
            <v>BC5812710-001-001</v>
          </cell>
          <cell r="E7358" t="str">
            <v>下套筒</v>
          </cell>
        </row>
        <row r="7359">
          <cell r="D7359" t="str">
            <v>BC5812700-002-001</v>
          </cell>
          <cell r="E7359" t="str">
            <v>支撑衬套</v>
          </cell>
        </row>
        <row r="7360">
          <cell r="D7360" t="str">
            <v>BC5812700-001-002</v>
          </cell>
          <cell r="E7360" t="str">
            <v>上套筒</v>
          </cell>
        </row>
        <row r="7361">
          <cell r="D7361" t="str">
            <v>BC5812812-001-001</v>
          </cell>
          <cell r="E7361" t="str">
            <v>耳环螺栓</v>
          </cell>
        </row>
        <row r="7362">
          <cell r="D7362" t="str">
            <v>BC5812200-001-001</v>
          </cell>
          <cell r="E7362" t="str">
            <v>轴</v>
          </cell>
        </row>
        <row r="7363">
          <cell r="D7363" t="str">
            <v>BC5812000-011-001</v>
          </cell>
          <cell r="E7363" t="str">
            <v>拉杆</v>
          </cell>
        </row>
        <row r="7364">
          <cell r="D7364" t="str">
            <v>BC5812000-012-001</v>
          </cell>
          <cell r="E7364" t="str">
            <v>拉杆</v>
          </cell>
        </row>
        <row r="7365">
          <cell r="D7365" t="str">
            <v>BC5812500-001-001</v>
          </cell>
          <cell r="E7365" t="str">
            <v>螺栓</v>
          </cell>
        </row>
        <row r="7366">
          <cell r="D7366" t="str">
            <v>BC5812300-001-001</v>
          </cell>
          <cell r="E7366" t="str">
            <v>螺栓</v>
          </cell>
        </row>
        <row r="7367">
          <cell r="D7367" t="str">
            <v>BC5812100-008-001</v>
          </cell>
          <cell r="E7367" t="str">
            <v>轴</v>
          </cell>
        </row>
        <row r="7368">
          <cell r="D7368" t="str">
            <v>BC5812000-009-001</v>
          </cell>
          <cell r="E7368" t="str">
            <v>衬套</v>
          </cell>
        </row>
        <row r="7369">
          <cell r="D7369" t="str">
            <v>BC5822100-007-001</v>
          </cell>
          <cell r="E7369" t="str">
            <v>轴</v>
          </cell>
        </row>
        <row r="7370">
          <cell r="D7370" t="str">
            <v>BC5812000-004-001</v>
          </cell>
          <cell r="E7370" t="str">
            <v>螺栓</v>
          </cell>
        </row>
        <row r="7371">
          <cell r="D7371" t="str">
            <v>BC5812700-003-001</v>
          </cell>
          <cell r="E7371" t="str">
            <v>螺栓</v>
          </cell>
        </row>
        <row r="7372">
          <cell r="D7372" t="str">
            <v>BC5812811-001-001</v>
          </cell>
          <cell r="E7372" t="str">
            <v>拉杆</v>
          </cell>
        </row>
        <row r="7373">
          <cell r="D7373" t="str">
            <v>CB2285662-002-001</v>
          </cell>
          <cell r="E7373" t="str">
            <v>穿框管接头</v>
          </cell>
        </row>
        <row r="7374">
          <cell r="D7374" t="str">
            <v>CB2285662-002-001</v>
          </cell>
          <cell r="E7374" t="str">
            <v>穿框管接头</v>
          </cell>
        </row>
        <row r="7375">
          <cell r="D7375" t="str">
            <v>CB2284752-005-001</v>
          </cell>
          <cell r="E7375" t="str">
            <v>接头</v>
          </cell>
        </row>
        <row r="7376">
          <cell r="D7376" t="str">
            <v>CB2294456-001-001</v>
          </cell>
          <cell r="E7376" t="str">
            <v>盖</v>
          </cell>
        </row>
        <row r="7377">
          <cell r="D7377" t="str">
            <v>CB22837C4-001-001</v>
          </cell>
          <cell r="E7377" t="str">
            <v>带胶垫槽法兰</v>
          </cell>
        </row>
        <row r="7378">
          <cell r="D7378" t="str">
            <v>CB2284752-005-001</v>
          </cell>
          <cell r="E7378" t="str">
            <v>接头</v>
          </cell>
        </row>
        <row r="7379">
          <cell r="D7379" t="str">
            <v>CB22857F7-003-002</v>
          </cell>
          <cell r="E7379" t="str">
            <v>法兰</v>
          </cell>
        </row>
        <row r="7380">
          <cell r="D7380" t="str">
            <v>CB2284752-004-001</v>
          </cell>
          <cell r="E7380" t="str">
            <v>法兰</v>
          </cell>
        </row>
        <row r="7381">
          <cell r="D7381" t="str">
            <v>CB22857G1-004-001</v>
          </cell>
          <cell r="E7381" t="str">
            <v>法兰</v>
          </cell>
        </row>
        <row r="7382">
          <cell r="D7382" t="str">
            <v>CB22857F8-003-002</v>
          </cell>
          <cell r="E7382" t="str">
            <v>法兰</v>
          </cell>
        </row>
        <row r="7383">
          <cell r="D7383" t="str">
            <v>CB22983U0-002-001</v>
          </cell>
          <cell r="E7383" t="str">
            <v>管夹</v>
          </cell>
        </row>
        <row r="7384">
          <cell r="D7384" t="str">
            <v>CB2284762-002-002</v>
          </cell>
          <cell r="E7384" t="str">
            <v>法兰</v>
          </cell>
        </row>
        <row r="7385">
          <cell r="D7385" t="str">
            <v>CB228455A-001-004</v>
          </cell>
          <cell r="E7385" t="str">
            <v>三通底座</v>
          </cell>
        </row>
        <row r="7386">
          <cell r="D7386" t="str">
            <v>CB228455A-001-004</v>
          </cell>
          <cell r="E7386" t="str">
            <v>三通底座</v>
          </cell>
        </row>
        <row r="7387">
          <cell r="D7387" t="str">
            <v>CB2283651-002-001</v>
          </cell>
          <cell r="E7387" t="str">
            <v>法兰</v>
          </cell>
        </row>
        <row r="7388">
          <cell r="D7388" t="str">
            <v>CB2298814-002-001</v>
          </cell>
          <cell r="E7388" t="str">
            <v>角片</v>
          </cell>
        </row>
        <row r="7389">
          <cell r="D7389" t="str">
            <v>CB2248146-001-006</v>
          </cell>
          <cell r="E7389" t="str">
            <v>支片6</v>
          </cell>
        </row>
        <row r="7390">
          <cell r="D7390" t="str">
            <v>CB2283664-002-001</v>
          </cell>
          <cell r="E7390" t="str">
            <v>法兰</v>
          </cell>
        </row>
        <row r="7391">
          <cell r="D7391" t="str">
            <v>CB2283664-002-001</v>
          </cell>
          <cell r="E7391" t="str">
            <v>法兰</v>
          </cell>
        </row>
        <row r="7392">
          <cell r="D7392" t="str">
            <v>CB22837F1-001-001</v>
          </cell>
          <cell r="E7392" t="str">
            <v>法兰</v>
          </cell>
        </row>
        <row r="7393">
          <cell r="D7393" t="str">
            <v>CB22837C3-001-001</v>
          </cell>
          <cell r="E7393" t="str">
            <v>法兰</v>
          </cell>
        </row>
        <row r="7394">
          <cell r="D7394" t="str">
            <v>CB2284751-003-001</v>
          </cell>
          <cell r="E7394" t="str">
            <v>法兰盘</v>
          </cell>
        </row>
        <row r="7395">
          <cell r="D7395" t="str">
            <v>CB2284751-003-001</v>
          </cell>
          <cell r="E7395" t="str">
            <v>法兰盘</v>
          </cell>
        </row>
        <row r="7396">
          <cell r="D7396" t="str">
            <v>CB2210260-001-001</v>
          </cell>
          <cell r="E7396" t="str">
            <v>支架</v>
          </cell>
        </row>
        <row r="7397">
          <cell r="D7397" t="str">
            <v>CB2287726-001-001</v>
          </cell>
          <cell r="E7397" t="str">
            <v>安装支架</v>
          </cell>
        </row>
        <row r="7398">
          <cell r="D7398" t="str">
            <v>BC5525200-003-002</v>
          </cell>
          <cell r="E7398" t="str">
            <v>对穿螺栓</v>
          </cell>
        </row>
        <row r="7399">
          <cell r="D7399" t="str">
            <v>BC5812910-001-001</v>
          </cell>
          <cell r="E7399" t="str">
            <v>拉杆</v>
          </cell>
        </row>
        <row r="7400">
          <cell r="D7400" t="str">
            <v>BC5812810-001-001</v>
          </cell>
          <cell r="E7400" t="str">
            <v>螺母</v>
          </cell>
        </row>
        <row r="7401">
          <cell r="D7401" t="str">
            <v>BC5746000-003-002</v>
          </cell>
          <cell r="E7401" t="str">
            <v>螺栓</v>
          </cell>
        </row>
        <row r="7402">
          <cell r="D7402" t="str">
            <v>DD-J10B-02111-2-Y</v>
          </cell>
          <cell r="E7402" t="str">
            <v>角盒</v>
          </cell>
        </row>
        <row r="7403">
          <cell r="D7403" t="str">
            <v>CB5714100-002L003</v>
          </cell>
          <cell r="E7403" t="str">
            <v>根肋二段</v>
          </cell>
        </row>
        <row r="7404">
          <cell r="D7404" t="str">
            <v>CB5314107-005-001</v>
          </cell>
          <cell r="E7404" t="str">
            <v>油箱口盖</v>
          </cell>
        </row>
        <row r="7405">
          <cell r="D7405" t="str">
            <v>CB5314107-005-001</v>
          </cell>
          <cell r="E7405" t="str">
            <v>油箱口盖</v>
          </cell>
        </row>
        <row r="7406">
          <cell r="D7406" t="str">
            <v>YR-4351100504-001</v>
          </cell>
          <cell r="E7406" t="str">
            <v>螺旋锁座</v>
          </cell>
        </row>
        <row r="7407">
          <cell r="D7407" t="str">
            <v>YR-4351100504-001</v>
          </cell>
          <cell r="E7407" t="str">
            <v>螺旋锁座</v>
          </cell>
        </row>
        <row r="7408">
          <cell r="D7408" t="str">
            <v>BC5337100-102R001</v>
          </cell>
          <cell r="E7408" t="str">
            <v>中受拉接头</v>
          </cell>
        </row>
        <row r="7409">
          <cell r="D7409" t="str">
            <v>BC5337100-102L001</v>
          </cell>
          <cell r="E7409" t="str">
            <v>中受拉接头</v>
          </cell>
        </row>
        <row r="7410">
          <cell r="D7410" t="str">
            <v>BC5337100-101L001</v>
          </cell>
          <cell r="E7410" t="str">
            <v>上受拉接头</v>
          </cell>
        </row>
        <row r="7411">
          <cell r="D7411" t="str">
            <v>BC5337100-101R001</v>
          </cell>
          <cell r="E7411" t="str">
            <v>上受拉接头</v>
          </cell>
        </row>
        <row r="7412">
          <cell r="D7412" t="str">
            <v>BC5337100-103L001</v>
          </cell>
          <cell r="E7412" t="str">
            <v>下受拉接头</v>
          </cell>
        </row>
        <row r="7413">
          <cell r="D7413" t="str">
            <v>BC5337100-103R001</v>
          </cell>
          <cell r="E7413" t="str">
            <v>下受拉接头</v>
          </cell>
        </row>
        <row r="7414">
          <cell r="D7414" t="str">
            <v>DD-J10-55055-2611</v>
          </cell>
          <cell r="E7414" t="str">
            <v>接管嘴</v>
          </cell>
        </row>
        <row r="7415">
          <cell r="D7415" t="str">
            <v>DD-J10-55055-2611</v>
          </cell>
          <cell r="E7415" t="str">
            <v>接管嘴</v>
          </cell>
        </row>
        <row r="7416">
          <cell r="D7416" t="str">
            <v>BC531D200-003-001</v>
          </cell>
          <cell r="E7416" t="str">
            <v>横梁</v>
          </cell>
        </row>
        <row r="7417">
          <cell r="D7417" t="str">
            <v>CB5314107-001-002</v>
          </cell>
          <cell r="E7417" t="str">
            <v>5550上框</v>
          </cell>
        </row>
        <row r="7418">
          <cell r="D7418" t="str">
            <v>CB5314107-001-002</v>
          </cell>
          <cell r="E7418" t="str">
            <v>5550上框</v>
          </cell>
        </row>
        <row r="7419">
          <cell r="D7419" t="str">
            <v>Y20-5316100300-001</v>
          </cell>
          <cell r="E7419" t="str">
            <v>地板纵向件</v>
          </cell>
        </row>
        <row r="7420">
          <cell r="D7420" t="str">
            <v>BC5337100-101R001</v>
          </cell>
          <cell r="E7420" t="str">
            <v>上受拉接头</v>
          </cell>
        </row>
        <row r="7421">
          <cell r="D7421" t="str">
            <v>BC5337100-101R001</v>
          </cell>
          <cell r="E7421" t="str">
            <v>上受拉接头</v>
          </cell>
        </row>
        <row r="7422">
          <cell r="D7422" t="str">
            <v>BC5337100-101R001</v>
          </cell>
          <cell r="E7422" t="str">
            <v>上受拉接头</v>
          </cell>
        </row>
        <row r="7423">
          <cell r="D7423" t="str">
            <v>BC5337100-101R001</v>
          </cell>
          <cell r="E7423" t="str">
            <v>上受拉接头</v>
          </cell>
        </row>
        <row r="7424">
          <cell r="D7424" t="str">
            <v>BC5337100-101R001</v>
          </cell>
          <cell r="E7424" t="str">
            <v>上受拉接头</v>
          </cell>
        </row>
        <row r="7425">
          <cell r="D7425" t="str">
            <v>BC5337100-101R001</v>
          </cell>
          <cell r="E7425" t="str">
            <v>上受拉接头</v>
          </cell>
        </row>
        <row r="7426">
          <cell r="D7426" t="str">
            <v>BC5337100-101R001</v>
          </cell>
          <cell r="E7426" t="str">
            <v>上受拉接头</v>
          </cell>
        </row>
        <row r="7427">
          <cell r="D7427" t="str">
            <v>BC5337100-101R001</v>
          </cell>
          <cell r="E7427" t="str">
            <v>上受拉接头</v>
          </cell>
        </row>
        <row r="7428">
          <cell r="D7428" t="str">
            <v>BC5337100-101R001</v>
          </cell>
          <cell r="E7428" t="str">
            <v>上受拉接头</v>
          </cell>
        </row>
        <row r="7429">
          <cell r="D7429" t="str">
            <v>BC5337100-101L001</v>
          </cell>
          <cell r="E7429" t="str">
            <v>上受拉接头</v>
          </cell>
        </row>
        <row r="7430">
          <cell r="D7430" t="str">
            <v>BC5337100-101L001</v>
          </cell>
          <cell r="E7430" t="str">
            <v>上受拉接头</v>
          </cell>
        </row>
        <row r="7431">
          <cell r="D7431" t="str">
            <v>BC5337100-101L001</v>
          </cell>
          <cell r="E7431" t="str">
            <v>上受拉接头</v>
          </cell>
        </row>
        <row r="7432">
          <cell r="D7432" t="str">
            <v>BC5337100-101L001</v>
          </cell>
          <cell r="E7432" t="str">
            <v>上受拉接头</v>
          </cell>
        </row>
        <row r="7433">
          <cell r="D7433" t="str">
            <v>BC5337100-101L001</v>
          </cell>
          <cell r="E7433" t="str">
            <v>上受拉接头</v>
          </cell>
        </row>
        <row r="7434">
          <cell r="D7434" t="str">
            <v>BC5337100-101L001</v>
          </cell>
          <cell r="E7434" t="str">
            <v>上受拉接头</v>
          </cell>
        </row>
        <row r="7435">
          <cell r="D7435" t="str">
            <v>BC5337100-101L001</v>
          </cell>
          <cell r="E7435" t="str">
            <v>上受拉接头</v>
          </cell>
        </row>
        <row r="7436">
          <cell r="D7436" t="str">
            <v>BC5337100-101L001</v>
          </cell>
          <cell r="E7436" t="str">
            <v>上受拉接头</v>
          </cell>
        </row>
        <row r="7437">
          <cell r="D7437" t="str">
            <v>BC5337100-101L001</v>
          </cell>
          <cell r="E7437" t="str">
            <v>上受拉接头</v>
          </cell>
        </row>
        <row r="7438">
          <cell r="D7438" t="str">
            <v>BC5337100-102R001</v>
          </cell>
          <cell r="E7438" t="str">
            <v>中受拉接头</v>
          </cell>
        </row>
        <row r="7439">
          <cell r="D7439" t="str">
            <v>BC5337100-102R001</v>
          </cell>
          <cell r="E7439" t="str">
            <v>中受拉接头</v>
          </cell>
        </row>
        <row r="7440">
          <cell r="D7440" t="str">
            <v>BC5337100-102R001</v>
          </cell>
          <cell r="E7440" t="str">
            <v>中受拉接头</v>
          </cell>
        </row>
        <row r="7441">
          <cell r="D7441" t="str">
            <v>BC5337100-102R001</v>
          </cell>
          <cell r="E7441" t="str">
            <v>中受拉接头</v>
          </cell>
        </row>
        <row r="7442">
          <cell r="D7442" t="str">
            <v>BC5337100-102R001</v>
          </cell>
          <cell r="E7442" t="str">
            <v>中受拉接头</v>
          </cell>
        </row>
        <row r="7443">
          <cell r="D7443" t="str">
            <v>BC5337100-102R001</v>
          </cell>
          <cell r="E7443" t="str">
            <v>中受拉接头</v>
          </cell>
        </row>
        <row r="7444">
          <cell r="D7444" t="str">
            <v>BC5337100-102R001</v>
          </cell>
          <cell r="E7444" t="str">
            <v>中受拉接头</v>
          </cell>
        </row>
        <row r="7445">
          <cell r="D7445" t="str">
            <v>BC5337100-102R001</v>
          </cell>
          <cell r="E7445" t="str">
            <v>中受拉接头</v>
          </cell>
        </row>
        <row r="7446">
          <cell r="D7446" t="str">
            <v>BC5337100-102R001</v>
          </cell>
          <cell r="E7446" t="str">
            <v>中受拉接头</v>
          </cell>
        </row>
        <row r="7447">
          <cell r="D7447" t="str">
            <v>BC5337100-102L001</v>
          </cell>
          <cell r="E7447" t="str">
            <v>中受拉接头</v>
          </cell>
        </row>
        <row r="7448">
          <cell r="D7448" t="str">
            <v>BC5337100-102L001</v>
          </cell>
          <cell r="E7448" t="str">
            <v>中受拉接头</v>
          </cell>
        </row>
        <row r="7449">
          <cell r="D7449" t="str">
            <v>BC5337100-102L001</v>
          </cell>
          <cell r="E7449" t="str">
            <v>中受拉接头</v>
          </cell>
        </row>
        <row r="7450">
          <cell r="D7450" t="str">
            <v>BC5337100-102L001</v>
          </cell>
          <cell r="E7450" t="str">
            <v>中受拉接头</v>
          </cell>
        </row>
        <row r="7451">
          <cell r="D7451" t="str">
            <v>BC5337100-102L001</v>
          </cell>
          <cell r="E7451" t="str">
            <v>中受拉接头</v>
          </cell>
        </row>
        <row r="7452">
          <cell r="D7452" t="str">
            <v>BC5337100-102L001</v>
          </cell>
          <cell r="E7452" t="str">
            <v>中受拉接头</v>
          </cell>
        </row>
        <row r="7453">
          <cell r="D7453" t="str">
            <v>BC5337100-102L001</v>
          </cell>
          <cell r="E7453" t="str">
            <v>中受拉接头</v>
          </cell>
        </row>
        <row r="7454">
          <cell r="D7454" t="str">
            <v>BC5337100-102L001</v>
          </cell>
          <cell r="E7454" t="str">
            <v>中受拉接头</v>
          </cell>
        </row>
        <row r="7455">
          <cell r="D7455" t="str">
            <v>BC5337100-102L001</v>
          </cell>
          <cell r="E7455" t="str">
            <v>中受拉接头</v>
          </cell>
        </row>
        <row r="7456">
          <cell r="D7456" t="str">
            <v>BC5337100-103R001</v>
          </cell>
          <cell r="E7456" t="str">
            <v>下受拉接头</v>
          </cell>
        </row>
        <row r="7457">
          <cell r="D7457" t="str">
            <v>BC5337100-103R001</v>
          </cell>
          <cell r="E7457" t="str">
            <v>下受拉接头</v>
          </cell>
        </row>
        <row r="7458">
          <cell r="D7458" t="str">
            <v>BC5337100-103R001</v>
          </cell>
          <cell r="E7458" t="str">
            <v>下受拉接头</v>
          </cell>
        </row>
        <row r="7459">
          <cell r="D7459" t="str">
            <v>BC5337100-103R001</v>
          </cell>
          <cell r="E7459" t="str">
            <v>下受拉接头</v>
          </cell>
        </row>
        <row r="7460">
          <cell r="D7460" t="str">
            <v>BC5337100-103R001</v>
          </cell>
          <cell r="E7460" t="str">
            <v>下受拉接头</v>
          </cell>
        </row>
        <row r="7461">
          <cell r="D7461" t="str">
            <v>BC5337100-103R001</v>
          </cell>
          <cell r="E7461" t="str">
            <v>下受拉接头</v>
          </cell>
        </row>
        <row r="7462">
          <cell r="D7462" t="str">
            <v>BC5337100-103R001</v>
          </cell>
          <cell r="E7462" t="str">
            <v>下受拉接头</v>
          </cell>
        </row>
        <row r="7463">
          <cell r="D7463" t="str">
            <v>BC5337100-103R001</v>
          </cell>
          <cell r="E7463" t="str">
            <v>下受拉接头</v>
          </cell>
        </row>
        <row r="7464">
          <cell r="D7464" t="str">
            <v>BC5337100-103R001</v>
          </cell>
          <cell r="E7464" t="str">
            <v>下受拉接头</v>
          </cell>
        </row>
        <row r="7465">
          <cell r="D7465" t="str">
            <v>BC5337100-103L001</v>
          </cell>
          <cell r="E7465" t="str">
            <v>下受拉接头</v>
          </cell>
        </row>
        <row r="7466">
          <cell r="D7466" t="str">
            <v>BC5337100-103L001</v>
          </cell>
          <cell r="E7466" t="str">
            <v>下受拉接头</v>
          </cell>
        </row>
        <row r="7467">
          <cell r="D7467" t="str">
            <v>BC5337100-103L001</v>
          </cell>
          <cell r="E7467" t="str">
            <v>下受拉接头</v>
          </cell>
        </row>
        <row r="7468">
          <cell r="D7468" t="str">
            <v>BC5337100-103L001</v>
          </cell>
          <cell r="E7468" t="str">
            <v>下受拉接头</v>
          </cell>
        </row>
        <row r="7469">
          <cell r="D7469" t="str">
            <v>BC5337100-103L001</v>
          </cell>
          <cell r="E7469" t="str">
            <v>下受拉接头</v>
          </cell>
        </row>
        <row r="7470">
          <cell r="D7470" t="str">
            <v>BC5337100-103L001</v>
          </cell>
          <cell r="E7470" t="str">
            <v>下受拉接头</v>
          </cell>
        </row>
        <row r="7471">
          <cell r="D7471" t="str">
            <v>BC5337100-103L001</v>
          </cell>
          <cell r="E7471" t="str">
            <v>下受拉接头</v>
          </cell>
        </row>
        <row r="7472">
          <cell r="D7472" t="str">
            <v>BC5337100-103L001</v>
          </cell>
          <cell r="E7472" t="str">
            <v>下受拉接头</v>
          </cell>
        </row>
        <row r="7473">
          <cell r="D7473" t="str">
            <v>BC5337100-103L001</v>
          </cell>
          <cell r="E7473" t="str">
            <v>下受拉接头</v>
          </cell>
        </row>
        <row r="7474">
          <cell r="D7474" t="str">
            <v>XXX-000-00</v>
          </cell>
          <cell r="E7474" t="str">
            <v>XXX器振动夹具组合件</v>
          </cell>
        </row>
        <row r="7475">
          <cell r="D7475" t="str">
            <v>XXX-000-01</v>
          </cell>
          <cell r="E7475" t="str">
            <v>XXX器振动夹具</v>
          </cell>
        </row>
        <row r="7476">
          <cell r="D7476" t="str">
            <v>XXX-000-02</v>
          </cell>
          <cell r="E7476" t="str">
            <v>钢套</v>
          </cell>
        </row>
        <row r="7477">
          <cell r="D7477" t="str">
            <v>XXX-000-00</v>
          </cell>
          <cell r="E7477" t="str">
            <v>XXX振动夹具组合件</v>
          </cell>
        </row>
        <row r="7478">
          <cell r="D7478" t="str">
            <v>XXX-000-01</v>
          </cell>
          <cell r="E7478" t="str">
            <v>XXX振动夹具</v>
          </cell>
        </row>
        <row r="7479">
          <cell r="D7479" t="str">
            <v>XXX-000-00</v>
          </cell>
          <cell r="E7479" t="str">
            <v>XXX离心夹具组合件</v>
          </cell>
        </row>
        <row r="7480">
          <cell r="D7480" t="str">
            <v>XXX-000-01</v>
          </cell>
          <cell r="E7480" t="str">
            <v>XXX离心夹具</v>
          </cell>
        </row>
        <row r="7481">
          <cell r="D7481" t="str">
            <v>XXX-3151000-01</v>
          </cell>
          <cell r="E7481" t="str">
            <v>腔体（I)</v>
          </cell>
        </row>
        <row r="7482">
          <cell r="D7482" t="str">
            <v>XXX-3151000-02</v>
          </cell>
          <cell r="E7482" t="str">
            <v>上内盖板一（I)</v>
          </cell>
        </row>
        <row r="7483">
          <cell r="D7483" t="str">
            <v>XXX-3151000-03</v>
          </cell>
          <cell r="E7483" t="str">
            <v>上内盖板二（I)</v>
          </cell>
        </row>
        <row r="7484">
          <cell r="D7484" t="str">
            <v>XXX-3151000-04</v>
          </cell>
          <cell r="E7484" t="str">
            <v>上盖板一（I)</v>
          </cell>
        </row>
        <row r="7485">
          <cell r="D7485" t="str">
            <v>XXX-3151000-05</v>
          </cell>
          <cell r="E7485" t="str">
            <v>T型挡板一（I)</v>
          </cell>
        </row>
        <row r="7486">
          <cell r="D7486" t="str">
            <v>XXX-3151000-06</v>
          </cell>
          <cell r="E7486" t="str">
            <v>T型挡板二（I)</v>
          </cell>
        </row>
        <row r="7487">
          <cell r="D7487" t="str">
            <v>XXX-3151000-07</v>
          </cell>
          <cell r="E7487" t="str">
            <v>压线盖板（I)</v>
          </cell>
        </row>
        <row r="7488">
          <cell r="D7488" t="str">
            <v>XXX-3151000-08</v>
          </cell>
          <cell r="E7488" t="str">
            <v>T型挡板三（I)</v>
          </cell>
        </row>
        <row r="7489">
          <cell r="D7489" t="str">
            <v>XXX-3151000-09</v>
          </cell>
          <cell r="E7489" t="str">
            <v>上盖板二（I)</v>
          </cell>
        </row>
        <row r="7490">
          <cell r="D7490" t="str">
            <v>XXX-3151000-10</v>
          </cell>
          <cell r="E7490" t="str">
            <v>T型挡板四（I)</v>
          </cell>
        </row>
        <row r="7491">
          <cell r="D7491" t="str">
            <v>XXX-3151000-11</v>
          </cell>
          <cell r="E7491" t="str">
            <v>压片(I)</v>
          </cell>
        </row>
        <row r="7492">
          <cell r="D7492" t="str">
            <v>XXX-3151000-12</v>
          </cell>
          <cell r="E7492" t="str">
            <v>上盖板三（I)</v>
          </cell>
        </row>
        <row r="7493">
          <cell r="D7493" t="str">
            <v>XXX-3151000-13</v>
          </cell>
          <cell r="E7493" t="str">
            <v>下内盖板一(I)</v>
          </cell>
        </row>
        <row r="7494">
          <cell r="D7494" t="str">
            <v>XXX-3151000-14</v>
          </cell>
          <cell r="E7494" t="str">
            <v>下内盖板二（I)</v>
          </cell>
        </row>
        <row r="7495">
          <cell r="D7495" t="str">
            <v>XXX-3151000-15</v>
          </cell>
          <cell r="E7495" t="str">
            <v>下内盖板三（I)</v>
          </cell>
        </row>
        <row r="7496">
          <cell r="D7496" t="str">
            <v>XXX-3151000-16</v>
          </cell>
          <cell r="E7496" t="str">
            <v>下内盖板四（I)</v>
          </cell>
        </row>
        <row r="7497">
          <cell r="D7497" t="str">
            <v>XXX-3151000-17</v>
          </cell>
          <cell r="E7497" t="str">
            <v>下内盖板五（I)</v>
          </cell>
        </row>
        <row r="7498">
          <cell r="D7498" t="str">
            <v>XXX-3151000-18</v>
          </cell>
          <cell r="E7498" t="str">
            <v>下内盖板六（I)</v>
          </cell>
        </row>
        <row r="7499">
          <cell r="D7499" t="str">
            <v>XXX-3151000-19</v>
          </cell>
          <cell r="E7499" t="str">
            <v>T型挡板五（I)</v>
          </cell>
        </row>
        <row r="7500">
          <cell r="D7500" t="str">
            <v>XXX-3151000-20</v>
          </cell>
          <cell r="E7500" t="str">
            <v>下盖板一（I)</v>
          </cell>
        </row>
        <row r="7501">
          <cell r="D7501" t="str">
            <v>XXX-3151000-21</v>
          </cell>
          <cell r="E7501" t="str">
            <v>下内盖板七（I）</v>
          </cell>
        </row>
        <row r="7502">
          <cell r="D7502" t="str">
            <v>XXX-3151000-22</v>
          </cell>
          <cell r="E7502" t="str">
            <v>下内盖板八（I）</v>
          </cell>
        </row>
        <row r="7503">
          <cell r="D7503" t="str">
            <v>XXX-3151000-23</v>
          </cell>
          <cell r="E7503" t="str">
            <v>下内盖板二（I）</v>
          </cell>
        </row>
        <row r="7504">
          <cell r="D7504" t="str">
            <v>XXX-3151000-24</v>
          </cell>
          <cell r="E7504" t="str">
            <v>下盖板三（I）</v>
          </cell>
        </row>
        <row r="7505">
          <cell r="D7505" t="str">
            <v>XXX-3151000-25</v>
          </cell>
          <cell r="E7505" t="str">
            <v>T型挡板六（I）</v>
          </cell>
        </row>
        <row r="7506">
          <cell r="D7506" t="str">
            <v>XXX-3151000-26</v>
          </cell>
          <cell r="E7506" t="str">
            <v>T型挡板七（I）</v>
          </cell>
        </row>
        <row r="7507">
          <cell r="D7507" t="str">
            <v>XXX-3151000-27</v>
          </cell>
          <cell r="E7507" t="str">
            <v>内压板（I）</v>
          </cell>
        </row>
        <row r="7508">
          <cell r="D7508" t="str">
            <v>XXX-3151000-28</v>
          </cell>
          <cell r="E7508" t="str">
            <v>下内盖板九（I）</v>
          </cell>
        </row>
        <row r="7509">
          <cell r="D7509" t="str">
            <v>XXX-3151000-30</v>
          </cell>
          <cell r="E7509" t="str">
            <v>自制六角螺母（I）</v>
          </cell>
        </row>
        <row r="7510">
          <cell r="D7510" t="str">
            <v>XXX-3151000-31</v>
          </cell>
          <cell r="E7510" t="str">
            <v>自制平垫圈</v>
          </cell>
        </row>
        <row r="7511">
          <cell r="D7511" t="str">
            <v>XXX-3151000-32</v>
          </cell>
          <cell r="E7511" t="str">
            <v>T型挡板八（I)</v>
          </cell>
        </row>
        <row r="7512">
          <cell r="D7512" t="str">
            <v>XXX-3152000-01</v>
          </cell>
          <cell r="E7512" t="str">
            <v>腔体（II）</v>
          </cell>
        </row>
        <row r="7513">
          <cell r="D7513" t="str">
            <v>XXX-3152000-02</v>
          </cell>
          <cell r="E7513" t="str">
            <v>上内盖板一（II)</v>
          </cell>
        </row>
        <row r="7514">
          <cell r="D7514" t="str">
            <v>XXX-3152000-03</v>
          </cell>
          <cell r="E7514" t="str">
            <v>上内盖板二（II)</v>
          </cell>
        </row>
        <row r="7515">
          <cell r="D7515" t="str">
            <v>XXX-3152000-04</v>
          </cell>
          <cell r="E7515" t="str">
            <v>上盖板一（II)</v>
          </cell>
        </row>
        <row r="7516">
          <cell r="D7516" t="str">
            <v>XXX-3152000-05</v>
          </cell>
          <cell r="E7516" t="str">
            <v>T型挡板一（II)</v>
          </cell>
        </row>
        <row r="7517">
          <cell r="D7517" t="str">
            <v>XXX-3152000-06</v>
          </cell>
          <cell r="E7517" t="str">
            <v>T型挡板二（II)</v>
          </cell>
        </row>
        <row r="7518">
          <cell r="D7518" t="str">
            <v>XXX-3152000-07</v>
          </cell>
          <cell r="E7518" t="str">
            <v>压线盖板（II)</v>
          </cell>
        </row>
        <row r="7519">
          <cell r="D7519" t="str">
            <v>XXX-3152000-08</v>
          </cell>
          <cell r="E7519" t="str">
            <v>T型挡板三（II)</v>
          </cell>
        </row>
        <row r="7520">
          <cell r="D7520" t="str">
            <v>XXX-3152000-09</v>
          </cell>
          <cell r="E7520" t="str">
            <v>上盖板二（II)</v>
          </cell>
        </row>
        <row r="7521">
          <cell r="D7521" t="str">
            <v>XXX-3152000-10</v>
          </cell>
          <cell r="E7521" t="str">
            <v>T型挡板四（II)</v>
          </cell>
        </row>
        <row r="7522">
          <cell r="D7522" t="str">
            <v>XXX-3152000-11</v>
          </cell>
          <cell r="E7522" t="str">
            <v>压片(II)</v>
          </cell>
        </row>
        <row r="7523">
          <cell r="D7523" t="str">
            <v>XXX-3152000-12</v>
          </cell>
          <cell r="E7523" t="str">
            <v>上盖板三（II)</v>
          </cell>
        </row>
        <row r="7524">
          <cell r="D7524" t="str">
            <v>XXX-3152000-13</v>
          </cell>
          <cell r="E7524" t="str">
            <v>下内盖板一（II)</v>
          </cell>
        </row>
        <row r="7525">
          <cell r="D7525" t="str">
            <v>XXX-3152000-14</v>
          </cell>
          <cell r="E7525" t="str">
            <v>下内盖板二（II)</v>
          </cell>
        </row>
        <row r="7526">
          <cell r="D7526" t="str">
            <v>XXX-3152000-15</v>
          </cell>
          <cell r="E7526" t="str">
            <v>下内盖板三（II)</v>
          </cell>
        </row>
        <row r="7527">
          <cell r="D7527" t="str">
            <v>XXX-3152000-16</v>
          </cell>
          <cell r="E7527" t="str">
            <v>下内盖板四（II)</v>
          </cell>
        </row>
        <row r="7528">
          <cell r="D7528" t="str">
            <v>XXX-3152000-17</v>
          </cell>
          <cell r="E7528" t="str">
            <v>下内盖板五（II)</v>
          </cell>
        </row>
        <row r="7529">
          <cell r="D7529" t="str">
            <v>XXX-3152000-18</v>
          </cell>
          <cell r="E7529" t="str">
            <v>下内盖板六（II)</v>
          </cell>
        </row>
        <row r="7530">
          <cell r="D7530" t="str">
            <v>XXX-3152000-19</v>
          </cell>
          <cell r="E7530" t="str">
            <v>T型挡板五（II)</v>
          </cell>
        </row>
        <row r="7531">
          <cell r="D7531" t="str">
            <v>XXX-3152000-20</v>
          </cell>
          <cell r="E7531" t="str">
            <v>下盖板一（II)</v>
          </cell>
        </row>
        <row r="7532">
          <cell r="D7532" t="str">
            <v>XXX-3152000-21</v>
          </cell>
          <cell r="E7532" t="str">
            <v>下内盖板七（II）</v>
          </cell>
        </row>
        <row r="7533">
          <cell r="D7533" t="str">
            <v>XXX-3152000-22</v>
          </cell>
          <cell r="E7533" t="str">
            <v>下内盖板八（II）</v>
          </cell>
        </row>
        <row r="7534">
          <cell r="D7534" t="str">
            <v>XXX-3152000-23</v>
          </cell>
          <cell r="E7534" t="str">
            <v>下内盖板二（II）</v>
          </cell>
        </row>
        <row r="7535">
          <cell r="D7535" t="str">
            <v>XXX-3152000-24</v>
          </cell>
          <cell r="E7535" t="str">
            <v>下盖板三（II）</v>
          </cell>
        </row>
        <row r="7536">
          <cell r="D7536" t="str">
            <v>XXX-3152000-25</v>
          </cell>
          <cell r="E7536" t="str">
            <v>T型挡板六（II）</v>
          </cell>
        </row>
        <row r="7537">
          <cell r="D7537" t="str">
            <v>XXX-3152000-26</v>
          </cell>
          <cell r="E7537" t="str">
            <v>T型挡板七（II）</v>
          </cell>
        </row>
        <row r="7538">
          <cell r="D7538" t="str">
            <v>XXX-3152000-27</v>
          </cell>
          <cell r="E7538" t="str">
            <v>内压板（II）</v>
          </cell>
        </row>
        <row r="7539">
          <cell r="D7539" t="str">
            <v>XXX-3152000-28</v>
          </cell>
          <cell r="E7539" t="str">
            <v>下内盖板九（II）</v>
          </cell>
        </row>
        <row r="7540">
          <cell r="D7540" t="str">
            <v>XXX-3152000-30</v>
          </cell>
          <cell r="E7540" t="str">
            <v>自制六角螺母(II)</v>
          </cell>
        </row>
        <row r="7541">
          <cell r="D7541" t="str">
            <v>XXX-3152000-31</v>
          </cell>
          <cell r="E7541" t="str">
            <v>自制平垫圈2</v>
          </cell>
        </row>
        <row r="7542">
          <cell r="D7542" t="str">
            <v>XXX-3152000-32</v>
          </cell>
          <cell r="E7542" t="str">
            <v>T型挡板八（II）</v>
          </cell>
        </row>
        <row r="7543">
          <cell r="D7543" t="str">
            <v>XXXWL-JZ-01</v>
          </cell>
          <cell r="E7543" t="str">
            <v>紧固件工装</v>
          </cell>
        </row>
        <row r="7544">
          <cell r="D7544" t="str">
            <v>BC5337100-104L001</v>
          </cell>
          <cell r="E7544" t="str">
            <v>上受剪接头</v>
          </cell>
        </row>
        <row r="7545">
          <cell r="D7545" t="str">
            <v>BC5337100-104L001</v>
          </cell>
          <cell r="E7545" t="str">
            <v>上受剪接头</v>
          </cell>
        </row>
        <row r="7546">
          <cell r="D7546" t="str">
            <v>BC5337100-104L001</v>
          </cell>
          <cell r="E7546" t="str">
            <v>上受剪接头</v>
          </cell>
        </row>
        <row r="7547">
          <cell r="D7547" t="str">
            <v>BC5337100-104L001</v>
          </cell>
          <cell r="E7547" t="str">
            <v>上受剪接头</v>
          </cell>
        </row>
        <row r="7548">
          <cell r="D7548" t="str">
            <v>BC5337100-104L001</v>
          </cell>
          <cell r="E7548" t="str">
            <v>上受剪接头</v>
          </cell>
        </row>
        <row r="7549">
          <cell r="D7549" t="str">
            <v>BC5337100-104L001</v>
          </cell>
          <cell r="E7549" t="str">
            <v>上受剪接头</v>
          </cell>
        </row>
        <row r="7550">
          <cell r="D7550" t="str">
            <v>BC5337100-104L001</v>
          </cell>
          <cell r="E7550" t="str">
            <v>上受剪接头</v>
          </cell>
        </row>
        <row r="7551">
          <cell r="D7551" t="str">
            <v>BC5337100-104L001</v>
          </cell>
          <cell r="E7551" t="str">
            <v>上受剪接头</v>
          </cell>
        </row>
        <row r="7552">
          <cell r="D7552" t="str">
            <v>BC5337100-104L001</v>
          </cell>
          <cell r="E7552" t="str">
            <v>上受剪接头</v>
          </cell>
        </row>
        <row r="7553">
          <cell r="D7553" t="str">
            <v>BC5337100-104L001</v>
          </cell>
          <cell r="E7553" t="str">
            <v>上受剪接头</v>
          </cell>
        </row>
        <row r="7554">
          <cell r="D7554" t="str">
            <v>BC5337100-105L001</v>
          </cell>
          <cell r="E7554" t="str">
            <v>中受剪接头</v>
          </cell>
        </row>
        <row r="7555">
          <cell r="D7555" t="str">
            <v>BC5337100-105L001</v>
          </cell>
          <cell r="E7555" t="str">
            <v>中受剪接头</v>
          </cell>
        </row>
        <row r="7556">
          <cell r="D7556" t="str">
            <v>BC5337100-105L001</v>
          </cell>
          <cell r="E7556" t="str">
            <v>中受剪接头</v>
          </cell>
        </row>
        <row r="7557">
          <cell r="D7557" t="str">
            <v>BC5337100-105L001</v>
          </cell>
          <cell r="E7557" t="str">
            <v>中受剪接头</v>
          </cell>
        </row>
        <row r="7558">
          <cell r="D7558" t="str">
            <v>BC5337100-105L001</v>
          </cell>
          <cell r="E7558" t="str">
            <v>中受剪接头</v>
          </cell>
        </row>
        <row r="7559">
          <cell r="D7559" t="str">
            <v>BC5337100-105L001</v>
          </cell>
          <cell r="E7559" t="str">
            <v>中受剪接头</v>
          </cell>
        </row>
        <row r="7560">
          <cell r="D7560" t="str">
            <v>BC5337100-105L001</v>
          </cell>
          <cell r="E7560" t="str">
            <v>中受剪接头</v>
          </cell>
        </row>
        <row r="7561">
          <cell r="D7561" t="str">
            <v>BC5337100-105L001</v>
          </cell>
          <cell r="E7561" t="str">
            <v>中受剪接头</v>
          </cell>
        </row>
        <row r="7562">
          <cell r="D7562" t="str">
            <v>BC5337100-105L001</v>
          </cell>
          <cell r="E7562" t="str">
            <v>中受剪接头</v>
          </cell>
        </row>
        <row r="7563">
          <cell r="D7563" t="str">
            <v>BC5337100-105L001</v>
          </cell>
          <cell r="E7563" t="str">
            <v>中受剪接头</v>
          </cell>
        </row>
        <row r="7564">
          <cell r="D7564" t="str">
            <v>BC5337100-106L001</v>
          </cell>
          <cell r="E7564" t="str">
            <v>下受剪接头</v>
          </cell>
        </row>
        <row r="7565">
          <cell r="D7565" t="str">
            <v>BC5337100-106L001</v>
          </cell>
          <cell r="E7565" t="str">
            <v>下受剪接头</v>
          </cell>
        </row>
        <row r="7566">
          <cell r="D7566" t="str">
            <v>BC5337100-106L001</v>
          </cell>
          <cell r="E7566" t="str">
            <v>下受剪接头</v>
          </cell>
        </row>
        <row r="7567">
          <cell r="D7567" t="str">
            <v>BC5337100-106L001</v>
          </cell>
          <cell r="E7567" t="str">
            <v>下受剪接头</v>
          </cell>
        </row>
        <row r="7568">
          <cell r="D7568" t="str">
            <v>BC5337100-106L001</v>
          </cell>
          <cell r="E7568" t="str">
            <v>下受剪接头</v>
          </cell>
        </row>
        <row r="7569">
          <cell r="D7569" t="str">
            <v>BC5337100-106L001</v>
          </cell>
          <cell r="E7569" t="str">
            <v>下受剪接头</v>
          </cell>
        </row>
        <row r="7570">
          <cell r="D7570" t="str">
            <v>BC5337100-106L001</v>
          </cell>
          <cell r="E7570" t="str">
            <v>下受剪接头</v>
          </cell>
        </row>
        <row r="7571">
          <cell r="D7571" t="str">
            <v>BC5337100-106L001</v>
          </cell>
          <cell r="E7571" t="str">
            <v>下受剪接头</v>
          </cell>
        </row>
        <row r="7572">
          <cell r="D7572" t="str">
            <v>BC5337100-106L001</v>
          </cell>
          <cell r="E7572" t="str">
            <v>下受剪接头</v>
          </cell>
        </row>
        <row r="7573">
          <cell r="D7573" t="str">
            <v>BC5337100-106L001</v>
          </cell>
          <cell r="E7573" t="str">
            <v>下受剪接头</v>
          </cell>
        </row>
        <row r="7574">
          <cell r="D7574" t="str">
            <v>GU5715010-013L001</v>
          </cell>
          <cell r="E7574" t="str">
            <v>前缘11肋</v>
          </cell>
        </row>
        <row r="7575">
          <cell r="D7575" t="str">
            <v>GU5715010-013R001</v>
          </cell>
          <cell r="E7575" t="str">
            <v>前缘11肋</v>
          </cell>
        </row>
        <row r="7576">
          <cell r="D7576" t="str">
            <v>GU5715010-013R001</v>
          </cell>
          <cell r="E7576" t="str">
            <v>前缘11肋</v>
          </cell>
        </row>
        <row r="7577">
          <cell r="D7577" t="str">
            <v>CB5324310-009L006</v>
          </cell>
          <cell r="E7577" t="str">
            <v>型材</v>
          </cell>
        </row>
        <row r="7578">
          <cell r="D7578" t="str">
            <v>CB5324310-009L006</v>
          </cell>
          <cell r="E7578" t="str">
            <v>型材</v>
          </cell>
        </row>
        <row r="7579">
          <cell r="D7579" t="str">
            <v>CB5324310-009L006</v>
          </cell>
          <cell r="E7579" t="str">
            <v>型材</v>
          </cell>
        </row>
        <row r="7580">
          <cell r="D7580" t="str">
            <v>CB5324310-009R006</v>
          </cell>
          <cell r="E7580" t="str">
            <v>型材</v>
          </cell>
        </row>
        <row r="7581">
          <cell r="D7581" t="str">
            <v>CB5324310-009R006</v>
          </cell>
          <cell r="E7581" t="str">
            <v>型材</v>
          </cell>
        </row>
        <row r="7582">
          <cell r="D7582" t="str">
            <v>CB5324310-009R006</v>
          </cell>
          <cell r="E7582" t="str">
            <v>型材</v>
          </cell>
        </row>
        <row r="7583">
          <cell r="D7583" t="str">
            <v>CB5324310-011L006</v>
          </cell>
          <cell r="E7583" t="str">
            <v>型材</v>
          </cell>
        </row>
        <row r="7584">
          <cell r="D7584" t="str">
            <v>CB5324310-011L006</v>
          </cell>
          <cell r="E7584" t="str">
            <v>型材</v>
          </cell>
        </row>
        <row r="7585">
          <cell r="D7585" t="str">
            <v>CB5324310-011R006</v>
          </cell>
          <cell r="E7585" t="str">
            <v>型材</v>
          </cell>
        </row>
        <row r="7586">
          <cell r="D7586" t="str">
            <v>CB5324310-011R006</v>
          </cell>
          <cell r="E7586" t="str">
            <v>型材</v>
          </cell>
        </row>
        <row r="7587">
          <cell r="D7587" t="str">
            <v>CB2297820-001-001</v>
          </cell>
          <cell r="E7587" t="str">
            <v>组合导管夹</v>
          </cell>
        </row>
        <row r="7588">
          <cell r="D7588" t="str">
            <v>CB22984L0-002-001</v>
          </cell>
          <cell r="E7588" t="str">
            <v>管夹</v>
          </cell>
        </row>
        <row r="7589">
          <cell r="D7589" t="str">
            <v>CB2285673-002-001</v>
          </cell>
          <cell r="E7589" t="str">
            <v>法兰</v>
          </cell>
        </row>
        <row r="7590">
          <cell r="D7590" t="str">
            <v>CB3092441-002-001</v>
          </cell>
          <cell r="E7590" t="str">
            <v>连接片2</v>
          </cell>
        </row>
        <row r="7591">
          <cell r="D7591" t="str">
            <v>LT3E-551100000-63L01</v>
          </cell>
          <cell r="E7591" t="str">
            <v>挡板</v>
          </cell>
        </row>
        <row r="7592">
          <cell r="D7592" t="str">
            <v>LT3E-551100000-63L01</v>
          </cell>
          <cell r="E7592" t="str">
            <v>挡板</v>
          </cell>
        </row>
        <row r="7593">
          <cell r="D7593" t="str">
            <v>LT3E-551100000-64R01</v>
          </cell>
          <cell r="E7593" t="str">
            <v>挡板</v>
          </cell>
        </row>
        <row r="7594">
          <cell r="D7594" t="str">
            <v>LT3E-551100000-64R01</v>
          </cell>
          <cell r="E7594" t="str">
            <v>挡板</v>
          </cell>
        </row>
        <row r="7595">
          <cell r="D7595" t="str">
            <v>CB5713600-001R004</v>
          </cell>
          <cell r="E7595" t="str">
            <v>前梁一段</v>
          </cell>
        </row>
        <row r="7596">
          <cell r="D7596" t="str">
            <v>CB5713600-001R004</v>
          </cell>
          <cell r="E7596" t="str">
            <v>前梁一段</v>
          </cell>
        </row>
        <row r="7597">
          <cell r="D7597" t="str">
            <v>CB5713600-001L006</v>
          </cell>
          <cell r="E7597" t="str">
            <v>前梁一段</v>
          </cell>
        </row>
        <row r="7598">
          <cell r="D7598" t="str">
            <v>CB5713600-001L006</v>
          </cell>
          <cell r="E7598" t="str">
            <v>前梁一段</v>
          </cell>
        </row>
        <row r="7599">
          <cell r="D7599" t="str">
            <v>CB5326200-131L002</v>
          </cell>
          <cell r="E7599" t="str">
            <v>8455 4号加强筋</v>
          </cell>
        </row>
        <row r="7600">
          <cell r="D7600" t="str">
            <v>CB5326200-131R002</v>
          </cell>
          <cell r="E7600" t="str">
            <v>8455 4号加强筋</v>
          </cell>
        </row>
        <row r="7601">
          <cell r="D7601" t="str">
            <v>BC22931A0-011-001</v>
          </cell>
          <cell r="E7601" t="str">
            <v>支架</v>
          </cell>
        </row>
        <row r="7602">
          <cell r="D7602" t="str">
            <v>CB22837C2-001-001</v>
          </cell>
          <cell r="E7602" t="str">
            <v>法兰</v>
          </cell>
        </row>
        <row r="7603">
          <cell r="D7603" t="str">
            <v>Y20-5313102007-001</v>
          </cell>
          <cell r="E7603" t="str">
            <v>短梁</v>
          </cell>
        </row>
        <row r="7604">
          <cell r="D7604" t="str">
            <v>Y20-5316107001-002</v>
          </cell>
          <cell r="E7604" t="str">
            <v>脚蹬纵向加强件</v>
          </cell>
        </row>
        <row r="7605">
          <cell r="D7605" t="str">
            <v>Y20-5318100048-001</v>
          </cell>
          <cell r="E7605" t="str">
            <v>12框加强件</v>
          </cell>
        </row>
        <row r="7606">
          <cell r="D7606" t="str">
            <v>Y20-5319120059-001</v>
          </cell>
          <cell r="E7606" t="str">
            <v>隔挡角材</v>
          </cell>
        </row>
        <row r="7607">
          <cell r="D7607" t="str">
            <v>Y20-5315400053-001</v>
          </cell>
          <cell r="E7607" t="str">
            <v>接头</v>
          </cell>
        </row>
        <row r="7608">
          <cell r="D7608" t="str">
            <v>Y20-5315400053-002</v>
          </cell>
          <cell r="E7608" t="str">
            <v>接头</v>
          </cell>
        </row>
        <row r="7609">
          <cell r="D7609" t="str">
            <v>GU5716000-012L001</v>
          </cell>
          <cell r="E7609" t="str">
            <v>副翼2号挂点接头</v>
          </cell>
        </row>
        <row r="7610">
          <cell r="D7610" t="str">
            <v>GU5716000-012L001</v>
          </cell>
          <cell r="E7610" t="str">
            <v>副翼2号挂点接头</v>
          </cell>
        </row>
        <row r="7611">
          <cell r="D7611" t="str">
            <v>GU5716000-012R001</v>
          </cell>
          <cell r="E7611" t="str">
            <v>副翼2号挂点接头</v>
          </cell>
        </row>
        <row r="7612">
          <cell r="D7612" t="str">
            <v>GU5716000-012R001</v>
          </cell>
          <cell r="E7612" t="str">
            <v>副翼2号挂点接头</v>
          </cell>
        </row>
        <row r="7613">
          <cell r="D7613" t="str">
            <v>Y20-5319400015-001</v>
          </cell>
          <cell r="E7613" t="str">
            <v>扶手支座</v>
          </cell>
        </row>
        <row r="7614">
          <cell r="D7614" t="str">
            <v>Y20-5319400018-001</v>
          </cell>
          <cell r="E7614" t="str">
            <v>扶手支座</v>
          </cell>
        </row>
        <row r="7615">
          <cell r="D7615" t="str">
            <v>Y20-5828025007-001</v>
          </cell>
          <cell r="E7615" t="str">
            <v>滑块</v>
          </cell>
        </row>
        <row r="7616">
          <cell r="D7616" t="str">
            <v>CB5325153-303-007</v>
          </cell>
          <cell r="E7616" t="str">
            <v>摇臂座</v>
          </cell>
        </row>
        <row r="7617">
          <cell r="D7617" t="str">
            <v>CB5323400-008L001</v>
          </cell>
          <cell r="E7617" t="str">
            <v>外侧轴承盖</v>
          </cell>
        </row>
        <row r="7618">
          <cell r="D7618" t="str">
            <v>CB5323400-008L001</v>
          </cell>
          <cell r="E7618" t="str">
            <v>外侧轴承盖</v>
          </cell>
        </row>
        <row r="7619">
          <cell r="D7619" t="str">
            <v>CB5323400-008R001</v>
          </cell>
          <cell r="E7619" t="str">
            <v>外侧轴承盖</v>
          </cell>
        </row>
        <row r="7620">
          <cell r="D7620" t="str">
            <v>CB5323400-008R001</v>
          </cell>
          <cell r="E7620" t="str">
            <v>外侧轴承盖</v>
          </cell>
        </row>
        <row r="7621">
          <cell r="D7621" t="str">
            <v>CB5811100-001-001</v>
          </cell>
          <cell r="E7621" t="str">
            <v>垫圈</v>
          </cell>
        </row>
        <row r="7622">
          <cell r="D7622" t="str">
            <v>CB5811100-003-001</v>
          </cell>
          <cell r="E7622" t="str">
            <v>螺栓</v>
          </cell>
        </row>
        <row r="7623">
          <cell r="D7623" t="str">
            <v>CB5327500-003-001</v>
          </cell>
          <cell r="E7623" t="str">
            <v>螺栓</v>
          </cell>
        </row>
        <row r="7624">
          <cell r="D7624" t="str">
            <v>CB5811100-006-001</v>
          </cell>
          <cell r="E7624" t="str">
            <v>垫圈</v>
          </cell>
        </row>
        <row r="7625">
          <cell r="D7625" t="str">
            <v>BC5822100-003-001</v>
          </cell>
          <cell r="E7625" t="str">
            <v>作动摇臂</v>
          </cell>
        </row>
        <row r="7626">
          <cell r="D7626" t="str">
            <v>BC5822100-002L001</v>
          </cell>
          <cell r="E7626" t="str">
            <v>止动摇臂</v>
          </cell>
        </row>
        <row r="7627">
          <cell r="D7627" t="str">
            <v>BC5822100-002R001</v>
          </cell>
          <cell r="E7627" t="str">
            <v>止动摇臂</v>
          </cell>
        </row>
        <row r="7628">
          <cell r="D7628" t="str">
            <v>BC5822100-002R001</v>
          </cell>
          <cell r="E7628" t="str">
            <v>止动摇臂</v>
          </cell>
        </row>
        <row r="7629">
          <cell r="D7629" t="str">
            <v>BC5812600-001-001</v>
          </cell>
          <cell r="E7629" t="str">
            <v>摇臂</v>
          </cell>
        </row>
        <row r="7630">
          <cell r="D7630" t="str">
            <v>BC5812600-001-001</v>
          </cell>
          <cell r="E7630" t="str">
            <v>摇臂</v>
          </cell>
        </row>
        <row r="7631">
          <cell r="D7631" t="str">
            <v>BC5812600-001-001</v>
          </cell>
          <cell r="E7631" t="str">
            <v>摇臂</v>
          </cell>
        </row>
        <row r="7632">
          <cell r="D7632" t="str">
            <v>BC5819311-001-001</v>
          </cell>
          <cell r="E7632" t="str">
            <v>耳环螺栓</v>
          </cell>
        </row>
        <row r="7633">
          <cell r="D7633" t="str">
            <v>CB22837C2-001-001</v>
          </cell>
          <cell r="E7633" t="str">
            <v>法兰</v>
          </cell>
        </row>
        <row r="7634">
          <cell r="D7634" t="str">
            <v>Y20-5314118004-001</v>
          </cell>
          <cell r="E7634" t="str">
            <v>对接角片</v>
          </cell>
        </row>
        <row r="7635">
          <cell r="D7635" t="str">
            <v>Y20-5314118004-002</v>
          </cell>
          <cell r="E7635" t="str">
            <v>对接角片</v>
          </cell>
        </row>
        <row r="7636">
          <cell r="D7636" t="str">
            <v>Y20-5311123023-001</v>
          </cell>
          <cell r="E7636" t="str">
            <v>口框加强件</v>
          </cell>
        </row>
        <row r="7637">
          <cell r="D7637" t="str">
            <v>Y20-5311123023-002</v>
          </cell>
          <cell r="E7637" t="str">
            <v>口框加强件</v>
          </cell>
        </row>
        <row r="7638">
          <cell r="D7638" t="str">
            <v>CB5326200-125L002</v>
          </cell>
          <cell r="E7638" t="str">
            <v>9200 3号加强筋</v>
          </cell>
        </row>
        <row r="7639">
          <cell r="D7639" t="str">
            <v>CB5326200-125L002</v>
          </cell>
          <cell r="E7639" t="str">
            <v>9200 3号加强筋</v>
          </cell>
        </row>
        <row r="7640">
          <cell r="D7640" t="str">
            <v>CB5326200-125R002</v>
          </cell>
          <cell r="E7640" t="str">
            <v>9200 3号加强筋</v>
          </cell>
        </row>
        <row r="7641">
          <cell r="D7641" t="str">
            <v>CB5326200-125R002</v>
          </cell>
          <cell r="E7641" t="str">
            <v>9200 3号加强筋</v>
          </cell>
        </row>
        <row r="7642">
          <cell r="D7642" t="str">
            <v>GU5714000-009L001</v>
          </cell>
          <cell r="E7642" t="str">
            <v>端肋</v>
          </cell>
        </row>
        <row r="7643">
          <cell r="D7643" t="str">
            <v>GU5714000-009L001</v>
          </cell>
          <cell r="E7643" t="str">
            <v>端肋</v>
          </cell>
        </row>
        <row r="7644">
          <cell r="D7644" t="str">
            <v>GU5714000-009R001</v>
          </cell>
          <cell r="E7644" t="str">
            <v>端肋</v>
          </cell>
        </row>
        <row r="7645">
          <cell r="D7645" t="str">
            <v>Y20-5312224004-001</v>
          </cell>
          <cell r="E7645" t="str">
            <v>18框前33长桁</v>
          </cell>
        </row>
        <row r="7646">
          <cell r="D7646" t="str">
            <v>Y20-5312224004-001</v>
          </cell>
          <cell r="E7646" t="str">
            <v>18框前33长桁</v>
          </cell>
        </row>
        <row r="7647">
          <cell r="D7647" t="str">
            <v>Y20-5312224004-001</v>
          </cell>
          <cell r="E7647" t="str">
            <v>18框前33长桁</v>
          </cell>
        </row>
        <row r="7648">
          <cell r="D7648" t="str">
            <v>Y20-5312224004-001</v>
          </cell>
          <cell r="E7648" t="str">
            <v>18框前33长桁</v>
          </cell>
        </row>
        <row r="7649">
          <cell r="D7649" t="str">
            <v>Y20-5312224004-002</v>
          </cell>
          <cell r="E7649" t="str">
            <v>18框前33长桁</v>
          </cell>
        </row>
        <row r="7650">
          <cell r="D7650" t="str">
            <v>Y20-5312224004-002</v>
          </cell>
          <cell r="E7650" t="str">
            <v>18框前33长桁</v>
          </cell>
        </row>
        <row r="7651">
          <cell r="D7651" t="str">
            <v>Y20-5312224004-002</v>
          </cell>
          <cell r="E7651" t="str">
            <v>18框前33长桁</v>
          </cell>
        </row>
        <row r="7652">
          <cell r="D7652" t="str">
            <v>Y20-5312224004-002</v>
          </cell>
          <cell r="E7652" t="str">
            <v>18框前33长桁</v>
          </cell>
        </row>
        <row r="7653">
          <cell r="D7653" t="str">
            <v>DD-J10-63001-511</v>
          </cell>
          <cell r="E7653" t="str">
            <v>阳密封式法兰盘</v>
          </cell>
        </row>
        <row r="7654">
          <cell r="D7654" t="str">
            <v>DD-J10-63001-511</v>
          </cell>
          <cell r="E7654" t="str">
            <v>阳密封式法兰盘</v>
          </cell>
        </row>
        <row r="7655">
          <cell r="D7655" t="str">
            <v>BC221T2MF-002-001</v>
          </cell>
          <cell r="E7655" t="str">
            <v>传感器底座</v>
          </cell>
        </row>
        <row r="7656">
          <cell r="D7656" t="str">
            <v>BC2280241-060-001</v>
          </cell>
          <cell r="E7656" t="str">
            <v>带柔性接头的法兰（Φ60）</v>
          </cell>
        </row>
        <row r="7657">
          <cell r="D7657" t="str">
            <v>BC5315208-002-002</v>
          </cell>
          <cell r="E7657" t="str">
            <v>5458右框</v>
          </cell>
        </row>
        <row r="7658">
          <cell r="D7658" t="str">
            <v>BC2292172-001-001</v>
          </cell>
          <cell r="E7658" t="str">
            <v>散热器支架2</v>
          </cell>
        </row>
        <row r="7659">
          <cell r="D7659" t="str">
            <v>BC2292172-001-001</v>
          </cell>
          <cell r="E7659" t="str">
            <v>散热器支架2</v>
          </cell>
        </row>
        <row r="7660">
          <cell r="D7660" t="str">
            <v>BC22823Y1-001-001</v>
          </cell>
          <cell r="E7660" t="str">
            <v>支臂</v>
          </cell>
        </row>
        <row r="7661">
          <cell r="D7661" t="str">
            <v>BC22823Y1-001-001</v>
          </cell>
          <cell r="E7661" t="str">
            <v>支臂</v>
          </cell>
        </row>
        <row r="7662">
          <cell r="D7662" t="str">
            <v>BC2291460-003-001</v>
          </cell>
          <cell r="E7662" t="str">
            <v>吸油软管支架</v>
          </cell>
        </row>
        <row r="7663">
          <cell r="D7663" t="str">
            <v>BC2292171-001-001</v>
          </cell>
          <cell r="E7663" t="str">
            <v>散热器支架1</v>
          </cell>
        </row>
        <row r="7664">
          <cell r="D7664" t="str">
            <v>CB5327120-002L033</v>
          </cell>
          <cell r="E7664" t="str">
            <v>8120侧隔框</v>
          </cell>
        </row>
        <row r="7665">
          <cell r="D7665" t="str">
            <v>CB5327120-002R033</v>
          </cell>
          <cell r="E7665" t="str">
            <v>8120侧隔框</v>
          </cell>
        </row>
        <row r="7666">
          <cell r="D7666" t="str">
            <v>CB22924K0-001-005</v>
          </cell>
          <cell r="E7666" t="str">
            <v>角片</v>
          </cell>
        </row>
        <row r="7667">
          <cell r="D7667" t="str">
            <v>CB2292321-001-003</v>
          </cell>
          <cell r="E7667" t="str">
            <v>支座</v>
          </cell>
        </row>
        <row r="7668">
          <cell r="D7668" t="str">
            <v>Y20-5226204002-001</v>
          </cell>
          <cell r="E7668" t="str">
            <v>衬套</v>
          </cell>
        </row>
        <row r="7669">
          <cell r="D7669" t="str">
            <v>Y20-5312143002-001</v>
          </cell>
          <cell r="E7669" t="str">
            <v>支杆</v>
          </cell>
        </row>
        <row r="7670">
          <cell r="D7670" t="str">
            <v>CB5811100-005-001</v>
          </cell>
          <cell r="E7670" t="str">
            <v>螺栓</v>
          </cell>
        </row>
        <row r="7671">
          <cell r="D7671" t="str">
            <v>CB22987E0-002-001</v>
          </cell>
          <cell r="E7671" t="str">
            <v>管夹</v>
          </cell>
        </row>
        <row r="7672">
          <cell r="D7672" t="str">
            <v>CB22984M0-002-001</v>
          </cell>
          <cell r="E7672" t="str">
            <v>管夹</v>
          </cell>
        </row>
        <row r="7673">
          <cell r="D7673" t="str">
            <v>CB2248146-001-006</v>
          </cell>
          <cell r="E7673" t="str">
            <v>支片6</v>
          </cell>
        </row>
        <row r="7674">
          <cell r="D7674" t="str">
            <v>CB2287717-003-001</v>
          </cell>
          <cell r="E7674" t="str">
            <v>14200框左侧铆接支架</v>
          </cell>
        </row>
        <row r="7675">
          <cell r="D7675" t="str">
            <v>CB2287717-003-001</v>
          </cell>
          <cell r="E7675" t="str">
            <v>14200框左侧铆接支架</v>
          </cell>
        </row>
        <row r="7676">
          <cell r="D7676" t="str">
            <v>CB2284462-001-001</v>
          </cell>
          <cell r="E7676" t="str">
            <v>法兰</v>
          </cell>
        </row>
        <row r="7677">
          <cell r="D7677" t="str">
            <v>CB2284764-002-001</v>
          </cell>
          <cell r="E7677" t="str">
            <v>接头</v>
          </cell>
        </row>
        <row r="7678">
          <cell r="D7678" t="str">
            <v>CB229C420-004-001</v>
          </cell>
          <cell r="E7678" t="str">
            <v>套筒</v>
          </cell>
        </row>
        <row r="7679">
          <cell r="D7679" t="str">
            <v>CB22987C0-002-001</v>
          </cell>
          <cell r="E7679" t="str">
            <v>管夹</v>
          </cell>
        </row>
        <row r="7680">
          <cell r="D7680" t="str">
            <v>CB2298612-002-001</v>
          </cell>
          <cell r="E7680" t="str">
            <v>管夹</v>
          </cell>
        </row>
        <row r="7681">
          <cell r="D7681" t="str">
            <v>CB2298814-001-001</v>
          </cell>
          <cell r="E7681" t="str">
            <v>管夹</v>
          </cell>
        </row>
        <row r="7682">
          <cell r="D7682" t="str">
            <v>CB22983Q0-002-001</v>
          </cell>
          <cell r="E7682" t="str">
            <v>管夹</v>
          </cell>
        </row>
        <row r="7683">
          <cell r="D7683" t="str">
            <v>CB22985T0-002-001</v>
          </cell>
          <cell r="E7683" t="str">
            <v>管夹</v>
          </cell>
        </row>
        <row r="7684">
          <cell r="D7684" t="str">
            <v>CB229C420-001-001</v>
          </cell>
          <cell r="E7684" t="str">
            <v>套筒</v>
          </cell>
        </row>
        <row r="7685">
          <cell r="D7685" t="str">
            <v>CB2298615-001-001</v>
          </cell>
          <cell r="E7685" t="str">
            <v>管夹</v>
          </cell>
        </row>
        <row r="7686">
          <cell r="D7686" t="str">
            <v>CB2298622-001-001</v>
          </cell>
          <cell r="E7686" t="str">
            <v>管夹</v>
          </cell>
        </row>
        <row r="7687">
          <cell r="D7687" t="str">
            <v>CB22985H0-002-001</v>
          </cell>
          <cell r="E7687" t="str">
            <v>管夹</v>
          </cell>
        </row>
        <row r="7688">
          <cell r="D7688" t="str">
            <v>CB2298816-001-001</v>
          </cell>
          <cell r="E7688" t="str">
            <v>管夹</v>
          </cell>
        </row>
        <row r="7689">
          <cell r="D7689" t="str">
            <v>CB229942A-001-001</v>
          </cell>
          <cell r="E7689" t="str">
            <v>管夹</v>
          </cell>
        </row>
        <row r="7690">
          <cell r="D7690" t="str">
            <v>CB229861B-001-001</v>
          </cell>
          <cell r="E7690" t="str">
            <v>管夹</v>
          </cell>
        </row>
        <row r="7691">
          <cell r="D7691" t="str">
            <v>CB2284461-001-001</v>
          </cell>
          <cell r="E7691" t="str">
            <v>法兰</v>
          </cell>
        </row>
        <row r="7692">
          <cell r="D7692" t="str">
            <v>CB2248145-001-006</v>
          </cell>
          <cell r="E7692" t="str">
            <v>支片5</v>
          </cell>
        </row>
        <row r="7693">
          <cell r="D7693" t="str">
            <v>CB229B412-003-001</v>
          </cell>
          <cell r="E7693" t="str">
            <v>管夹</v>
          </cell>
        </row>
        <row r="7694">
          <cell r="D7694" t="str">
            <v>CB2298818-001-001</v>
          </cell>
          <cell r="E7694" t="str">
            <v>管夹</v>
          </cell>
        </row>
        <row r="7695">
          <cell r="D7695" t="str">
            <v>BC2563130-002-001</v>
          </cell>
          <cell r="E7695" t="str">
            <v>支座</v>
          </cell>
        </row>
        <row r="7696">
          <cell r="D7696" t="str">
            <v>BC2281616-002-001</v>
          </cell>
          <cell r="E7696" t="str">
            <v>支臂</v>
          </cell>
        </row>
        <row r="7697">
          <cell r="D7697" t="str">
            <v>DD-J10-42074-90-1-Y</v>
          </cell>
          <cell r="E7697" t="str">
            <v>支座</v>
          </cell>
        </row>
        <row r="7698">
          <cell r="D7698" t="str">
            <v>DD-J10-42074-90-1-Z</v>
          </cell>
          <cell r="E7698" t="str">
            <v>支座</v>
          </cell>
        </row>
        <row r="7699">
          <cell r="D7699" t="str">
            <v>2HB3-22-6*9*23</v>
          </cell>
          <cell r="E7699" t="str">
            <v>衬套</v>
          </cell>
        </row>
        <row r="7700">
          <cell r="D7700" t="str">
            <v>2HB3-22-6*9*23</v>
          </cell>
          <cell r="E7700" t="str">
            <v>衬套</v>
          </cell>
        </row>
        <row r="7701">
          <cell r="D7701" t="str">
            <v>2HB3-22-5*8*19</v>
          </cell>
          <cell r="E7701" t="str">
            <v>衬套</v>
          </cell>
        </row>
        <row r="7702">
          <cell r="D7702" t="str">
            <v>2HB3-22-5*8*22</v>
          </cell>
          <cell r="E7702" t="str">
            <v>衬套</v>
          </cell>
        </row>
        <row r="7703">
          <cell r="D7703" t="str">
            <v>2HB3-22-5*8*22</v>
          </cell>
          <cell r="E7703" t="str">
            <v>衬套</v>
          </cell>
        </row>
        <row r="7704">
          <cell r="D7704" t="str">
            <v>CB22847Y5N004-001</v>
          </cell>
          <cell r="E7704" t="str">
            <v>衬套</v>
          </cell>
        </row>
        <row r="7705">
          <cell r="D7705" t="str">
            <v>CB2280231N003-001</v>
          </cell>
          <cell r="E7705" t="str">
            <v>管子</v>
          </cell>
        </row>
        <row r="7706">
          <cell r="D7706" t="str">
            <v>BC3101131-006-001</v>
          </cell>
          <cell r="E7706" t="str">
            <v>凸台</v>
          </cell>
        </row>
        <row r="7707">
          <cell r="D7707" t="str">
            <v>BC3101131-006-001</v>
          </cell>
          <cell r="E7707" t="str">
            <v>凸台</v>
          </cell>
        </row>
        <row r="7708">
          <cell r="D7708" t="str">
            <v>BC5742000-002-002</v>
          </cell>
          <cell r="E7708" t="str">
            <v>垫圈</v>
          </cell>
        </row>
        <row r="7709">
          <cell r="D7709" t="str">
            <v>BC5832111-001-001</v>
          </cell>
          <cell r="E7709" t="str">
            <v>销子</v>
          </cell>
        </row>
        <row r="7710">
          <cell r="D7710" t="str">
            <v>DD-FC1-41123-1101</v>
          </cell>
          <cell r="E7710" t="str">
            <v>壳体</v>
          </cell>
        </row>
        <row r="7711">
          <cell r="D7711" t="str">
            <v>DD-FC1-41123-1111</v>
          </cell>
          <cell r="E7711" t="str">
            <v>销子</v>
          </cell>
        </row>
        <row r="7712">
          <cell r="D7712" t="str">
            <v>DD-FC1-41123-1101</v>
          </cell>
          <cell r="E7712" t="str">
            <v>壳体</v>
          </cell>
        </row>
        <row r="7713">
          <cell r="D7713" t="str">
            <v>DD-FC1-55156-5700-1</v>
          </cell>
          <cell r="E7713" t="str">
            <v>螺栓</v>
          </cell>
        </row>
        <row r="7714">
          <cell r="D7714" t="str">
            <v>DD-FC1-68074-1221</v>
          </cell>
          <cell r="E7714" t="str">
            <v>螺钉</v>
          </cell>
        </row>
        <row r="7715">
          <cell r="D7715" t="str">
            <v>DD-FC1-41123-1102</v>
          </cell>
          <cell r="E7715" t="str">
            <v>堵塞</v>
          </cell>
        </row>
        <row r="7716">
          <cell r="D7716" t="str">
            <v>DD-FC1-41123-1103</v>
          </cell>
          <cell r="E7716" t="str">
            <v>螺帽</v>
          </cell>
        </row>
        <row r="7717">
          <cell r="D7717" t="str">
            <v>DD-FC1-41123-1102</v>
          </cell>
          <cell r="E7717" t="str">
            <v>堵塞</v>
          </cell>
        </row>
        <row r="7718">
          <cell r="D7718" t="str">
            <v>DD-FC1-94076-7</v>
          </cell>
          <cell r="E7718" t="str">
            <v>垫片</v>
          </cell>
        </row>
        <row r="7719">
          <cell r="D7719" t="str">
            <v>DD-FC1-41123-1101</v>
          </cell>
          <cell r="E7719" t="str">
            <v>壳体</v>
          </cell>
        </row>
        <row r="7720">
          <cell r="D7720" t="str">
            <v>DD-FC1-41123-1111</v>
          </cell>
          <cell r="E7720" t="str">
            <v>销子</v>
          </cell>
        </row>
        <row r="7721">
          <cell r="D7721" t="str">
            <v>DD-FC1-55197-3232</v>
          </cell>
          <cell r="E7721" t="str">
            <v>衬套</v>
          </cell>
        </row>
        <row r="7722">
          <cell r="D7722" t="str">
            <v>DD-J10-55015-6006</v>
          </cell>
          <cell r="E7722" t="str">
            <v>垫圈</v>
          </cell>
        </row>
        <row r="7723">
          <cell r="D7723" t="str">
            <v>DD-J10-55165-1510-2</v>
          </cell>
          <cell r="E7723" t="str">
            <v>衬套</v>
          </cell>
        </row>
        <row r="7724">
          <cell r="D7724" t="str">
            <v>DD-J10-64026-122</v>
          </cell>
          <cell r="E7724" t="str">
            <v>球头</v>
          </cell>
        </row>
        <row r="7725">
          <cell r="D7725" t="str">
            <v>DD-J10-41123-1112</v>
          </cell>
          <cell r="E7725" t="str">
            <v>拨棍</v>
          </cell>
        </row>
        <row r="7726">
          <cell r="D7726" t="str">
            <v>DD-J10-41123-1112</v>
          </cell>
          <cell r="E7726" t="str">
            <v>拨棍</v>
          </cell>
        </row>
        <row r="7727">
          <cell r="D7727" t="str">
            <v>DD-J10-41123-1103</v>
          </cell>
          <cell r="E7727" t="str">
            <v>螺帽</v>
          </cell>
        </row>
        <row r="7728">
          <cell r="D7728" t="str">
            <v>DD-J10-41123-1103</v>
          </cell>
          <cell r="E7728" t="str">
            <v>螺帽</v>
          </cell>
        </row>
        <row r="7729">
          <cell r="D7729" t="str">
            <v>DD-J10-41123-1102</v>
          </cell>
          <cell r="E7729" t="str">
            <v>塞子</v>
          </cell>
        </row>
        <row r="7730">
          <cell r="D7730" t="str">
            <v>DD-J10-94011-570-5</v>
          </cell>
          <cell r="E7730" t="str">
            <v>衬套</v>
          </cell>
        </row>
        <row r="7731">
          <cell r="D7731" t="str">
            <v>DD-J10-41123-1111</v>
          </cell>
          <cell r="E7731" t="str">
            <v>销子</v>
          </cell>
        </row>
        <row r="7732">
          <cell r="D7732" t="str">
            <v>DD-J10-55015-6009</v>
          </cell>
          <cell r="E7732" t="str">
            <v>垫圈</v>
          </cell>
        </row>
        <row r="7733">
          <cell r="D7733" t="str">
            <v>DD-J10B-94061-520-2</v>
          </cell>
          <cell r="E7733" t="str">
            <v>衬套</v>
          </cell>
        </row>
        <row r="7734">
          <cell r="D7734" t="str">
            <v>DD-J10-54111-1200-1</v>
          </cell>
          <cell r="E7734" t="str">
            <v>衬套</v>
          </cell>
        </row>
        <row r="7735">
          <cell r="D7735" t="str">
            <v>DD-J10-41123-1112</v>
          </cell>
          <cell r="E7735" t="str">
            <v>拨棍</v>
          </cell>
        </row>
        <row r="7736">
          <cell r="D7736" t="str">
            <v>DD-J10-96031-121</v>
          </cell>
          <cell r="E7736" t="str">
            <v>销棒</v>
          </cell>
        </row>
        <row r="7737">
          <cell r="D7737" t="str">
            <v>DD-J10-41123-1103</v>
          </cell>
          <cell r="E7737" t="str">
            <v>螺帽</v>
          </cell>
        </row>
        <row r="7738">
          <cell r="D7738" t="str">
            <v>DD-J10-55015-6009</v>
          </cell>
          <cell r="E7738" t="str">
            <v>垫圈</v>
          </cell>
        </row>
        <row r="7739">
          <cell r="D7739" t="str">
            <v>DD-J10-96031-121</v>
          </cell>
          <cell r="E7739" t="str">
            <v>销棒</v>
          </cell>
        </row>
        <row r="7740">
          <cell r="D7740" t="str">
            <v>DD-J10-55015-6006</v>
          </cell>
          <cell r="E7740" t="str">
            <v>垫圈</v>
          </cell>
        </row>
        <row r="7741">
          <cell r="D7741" t="str">
            <v>DD-J10-41123-1112</v>
          </cell>
          <cell r="E7741" t="str">
            <v>拨棍</v>
          </cell>
        </row>
        <row r="7742">
          <cell r="D7742" t="str">
            <v>DD-J10-41123-1101</v>
          </cell>
          <cell r="E7742" t="str">
            <v>壳体</v>
          </cell>
        </row>
        <row r="7743">
          <cell r="D7743" t="str">
            <v>DD-J10-41123-1111</v>
          </cell>
          <cell r="E7743" t="str">
            <v>销子</v>
          </cell>
        </row>
        <row r="7744">
          <cell r="D7744" t="str">
            <v>DD-J10-41123-1103</v>
          </cell>
          <cell r="E7744" t="str">
            <v>螺帽</v>
          </cell>
        </row>
        <row r="7745">
          <cell r="D7745" t="str">
            <v>CB5324310-003-006</v>
          </cell>
          <cell r="E7745" t="str">
            <v>角盒</v>
          </cell>
        </row>
        <row r="7746">
          <cell r="D7746" t="str">
            <v>CB5324310-003-006</v>
          </cell>
          <cell r="E7746" t="str">
            <v>角盒</v>
          </cell>
        </row>
        <row r="7747">
          <cell r="D7747" t="str">
            <v>CB5324310-003-006</v>
          </cell>
          <cell r="E7747" t="str">
            <v>角盒</v>
          </cell>
        </row>
        <row r="7748">
          <cell r="D7748" t="str">
            <v>BC5824000-002-001</v>
          </cell>
          <cell r="E7748" t="str">
            <v>耳片接头</v>
          </cell>
        </row>
        <row r="7749">
          <cell r="D7749" t="str">
            <v>BC228263E-004-002</v>
          </cell>
          <cell r="E7749" t="str">
            <v>法兰</v>
          </cell>
        </row>
        <row r="7750">
          <cell r="D7750" t="str">
            <v>BC228263E-004-001</v>
          </cell>
          <cell r="E7750" t="str">
            <v>法兰</v>
          </cell>
        </row>
        <row r="7751">
          <cell r="D7751" t="str">
            <v>CB5350500-016L006TZ</v>
          </cell>
          <cell r="E7751" t="str">
            <v>特制7号护板维型肋左件</v>
          </cell>
        </row>
        <row r="7752">
          <cell r="D7752" t="str">
            <v>GU5714000-009R001</v>
          </cell>
          <cell r="E7752" t="str">
            <v>端肋</v>
          </cell>
        </row>
        <row r="7753">
          <cell r="D7753" t="str">
            <v>DD-J10B-71031-110-1</v>
          </cell>
          <cell r="E7753" t="str">
            <v>樑</v>
          </cell>
        </row>
        <row r="7754">
          <cell r="D7754" t="str">
            <v>DD-J10B-34303-4</v>
          </cell>
          <cell r="E7754" t="str">
            <v>支座</v>
          </cell>
        </row>
        <row r="7755">
          <cell r="D7755" t="str">
            <v>531A3420-000-165 A</v>
          </cell>
          <cell r="E7755" t="str">
            <v>地板支撑件</v>
          </cell>
        </row>
        <row r="7756">
          <cell r="D7756" t="str">
            <v>531A3420-000-139 A</v>
          </cell>
          <cell r="E7756" t="str">
            <v>地板支撑件</v>
          </cell>
        </row>
        <row r="7757">
          <cell r="D7757" t="str">
            <v>Y20-5316320074-001</v>
          </cell>
          <cell r="E7757" t="str">
            <v>15-16框地板纵梁</v>
          </cell>
        </row>
        <row r="7758">
          <cell r="D7758" t="str">
            <v>Y20-5316320074-001</v>
          </cell>
          <cell r="E7758" t="str">
            <v>15-16框地板纵梁</v>
          </cell>
        </row>
        <row r="7759">
          <cell r="D7759" t="str">
            <v>Y20-5316320074-001</v>
          </cell>
          <cell r="E7759" t="str">
            <v>15-16框地板纵梁</v>
          </cell>
        </row>
        <row r="7760">
          <cell r="D7760" t="str">
            <v>Y20-5316320074-001</v>
          </cell>
          <cell r="E7760" t="str">
            <v>15-16框地板纵梁</v>
          </cell>
        </row>
        <row r="7761">
          <cell r="D7761" t="str">
            <v>DD-J10B-04011-1</v>
          </cell>
          <cell r="E7761" t="str">
            <v>7100框</v>
          </cell>
        </row>
        <row r="7762">
          <cell r="D7762" t="str">
            <v>DD-J10B-04011-1</v>
          </cell>
          <cell r="E7762" t="str">
            <v>7100框</v>
          </cell>
        </row>
        <row r="7763">
          <cell r="D7763" t="str">
            <v>DD-J10B-24002-60G2-1G2-Z</v>
          </cell>
          <cell r="E7763" t="str">
            <v>付翼前梁</v>
          </cell>
        </row>
        <row r="7764">
          <cell r="D7764" t="str">
            <v>DD-J10B-24002-60G2-1G2-Y</v>
          </cell>
          <cell r="E7764" t="str">
            <v>付翼前梁</v>
          </cell>
        </row>
        <row r="7765">
          <cell r="D7765" t="str">
            <v>DD-J10B-24002-60G2-1G2-Y</v>
          </cell>
          <cell r="E7765" t="str">
            <v>付翼前梁</v>
          </cell>
        </row>
        <row r="7766">
          <cell r="D7766" t="str">
            <v>DD-J10-21102-120-1-Y</v>
          </cell>
          <cell r="E7766" t="str">
            <v>9480梁（右件）</v>
          </cell>
        </row>
        <row r="7767">
          <cell r="D7767" t="str">
            <v>DD-J10-34103-4</v>
          </cell>
          <cell r="E7767" t="str">
            <v>上边肋</v>
          </cell>
        </row>
        <row r="7768">
          <cell r="D7768" t="str">
            <v>Y20-5316200098-001</v>
          </cell>
          <cell r="E7768" t="str">
            <v>横梁</v>
          </cell>
        </row>
        <row r="7769">
          <cell r="D7769" t="str">
            <v>Y20-5316200098-001</v>
          </cell>
          <cell r="E7769" t="str">
            <v>横梁</v>
          </cell>
        </row>
        <row r="7770">
          <cell r="D7770" t="str">
            <v>Y20-5316200098-001</v>
          </cell>
          <cell r="E7770" t="str">
            <v>横梁</v>
          </cell>
        </row>
        <row r="7771">
          <cell r="D7771" t="str">
            <v>XXX-210-01</v>
          </cell>
          <cell r="E7771" t="str">
            <v>XXX源插头盖板</v>
          </cell>
        </row>
        <row r="7772">
          <cell r="D7772" t="str">
            <v>XXX-210-02</v>
          </cell>
          <cell r="E7772" t="str">
            <v>XXX源插头绝缘子</v>
          </cell>
        </row>
        <row r="7773">
          <cell r="D7773" t="str">
            <v>XXX-210-04</v>
          </cell>
          <cell r="E7773" t="str">
            <v>XXX源接地焊接座一</v>
          </cell>
        </row>
        <row r="7774">
          <cell r="D7774" t="str">
            <v>XXX-210-05</v>
          </cell>
          <cell r="E7774" t="str">
            <v>XXX源插头壳体</v>
          </cell>
        </row>
        <row r="7775">
          <cell r="D7775" t="str">
            <v>XXX-210-06</v>
          </cell>
          <cell r="E7775" t="str">
            <v>XXX源接地焊接座二</v>
          </cell>
        </row>
        <row r="7776">
          <cell r="D7776" t="str">
            <v>XXX-310-01</v>
          </cell>
          <cell r="E7776" t="str">
            <v>XXX插头盖板</v>
          </cell>
        </row>
        <row r="7777">
          <cell r="D7777" t="str">
            <v>XXX-310-03</v>
          </cell>
          <cell r="E7777" t="str">
            <v>XXX插头绝缘子</v>
          </cell>
        </row>
        <row r="7778">
          <cell r="D7778" t="str">
            <v>XXX-310-04</v>
          </cell>
          <cell r="E7778" t="str">
            <v>XXX插头壳体</v>
          </cell>
        </row>
        <row r="7779">
          <cell r="D7779" t="str">
            <v>XXX-310-06</v>
          </cell>
          <cell r="E7779" t="str">
            <v>XXX接地焊接座</v>
          </cell>
        </row>
        <row r="7780">
          <cell r="D7780" t="str">
            <v>DD-J10B-04041-1</v>
          </cell>
          <cell r="E7780" t="str">
            <v>10060框</v>
          </cell>
        </row>
        <row r="7781">
          <cell r="D7781" t="str">
            <v>DD-J10B-04041-1</v>
          </cell>
          <cell r="E7781" t="str">
            <v>10060框</v>
          </cell>
        </row>
        <row r="7782">
          <cell r="D7782" t="str">
            <v>DD-J10B-04041-1</v>
          </cell>
          <cell r="E7782" t="str">
            <v>10060框</v>
          </cell>
        </row>
        <row r="7783">
          <cell r="D7783" t="str">
            <v>DD-J10B-04051-1</v>
          </cell>
          <cell r="E7783" t="str">
            <v>10460框</v>
          </cell>
        </row>
        <row r="7784">
          <cell r="D7784" t="str">
            <v>DD-J10B-04051-1</v>
          </cell>
          <cell r="E7784" t="str">
            <v>10460框</v>
          </cell>
        </row>
        <row r="7785">
          <cell r="D7785" t="str">
            <v>DD-J10B-04051-1</v>
          </cell>
          <cell r="E7785" t="str">
            <v>10460框</v>
          </cell>
        </row>
        <row r="7786">
          <cell r="D7786" t="str">
            <v>CB229C050-007-003</v>
          </cell>
          <cell r="E7786" t="str">
            <v>摇臂</v>
          </cell>
        </row>
        <row r="7787">
          <cell r="D7787" t="str">
            <v>CB2294170-001-001</v>
          </cell>
          <cell r="E7787" t="str">
            <v>压杆</v>
          </cell>
        </row>
        <row r="7788">
          <cell r="D7788" t="str">
            <v>BC3101242-002R001</v>
          </cell>
          <cell r="E7788" t="str">
            <v>耳座</v>
          </cell>
        </row>
        <row r="7789">
          <cell r="D7789" t="str">
            <v>BC3101242-002L001</v>
          </cell>
          <cell r="E7789" t="str">
            <v>耳座</v>
          </cell>
        </row>
        <row r="7790">
          <cell r="D7790" t="str">
            <v>BC5702200-003L002-TZ</v>
          </cell>
          <cell r="E7790" t="str">
            <v>前框</v>
          </cell>
        </row>
        <row r="7791">
          <cell r="D7791" t="str">
            <v>BC5702200-003L002-TZ</v>
          </cell>
          <cell r="E7791" t="str">
            <v>前框</v>
          </cell>
        </row>
        <row r="7792">
          <cell r="D7792" t="str">
            <v>BC5337100-108L001</v>
          </cell>
          <cell r="E7792" t="str">
            <v>下边条受剪接头</v>
          </cell>
        </row>
        <row r="7793">
          <cell r="D7793" t="str">
            <v>BC5337100-108R001</v>
          </cell>
          <cell r="E7793" t="str">
            <v>下边条受剪接头</v>
          </cell>
        </row>
        <row r="7794">
          <cell r="D7794" t="str">
            <v>BC5337100-107L001</v>
          </cell>
          <cell r="E7794" t="str">
            <v>上边条受剪接头</v>
          </cell>
        </row>
        <row r="7795">
          <cell r="D7795" t="str">
            <v>BC5337100-107R001</v>
          </cell>
          <cell r="E7795" t="str">
            <v>上边条受剪接头</v>
          </cell>
        </row>
        <row r="7796">
          <cell r="D7796" t="str">
            <v>DD-J10-34003-2</v>
          </cell>
          <cell r="E7796" t="str">
            <v>后梁</v>
          </cell>
        </row>
        <row r="7797">
          <cell r="D7797" t="str">
            <v>DD-J10-34003-2</v>
          </cell>
          <cell r="E7797" t="str">
            <v>后梁</v>
          </cell>
        </row>
        <row r="7798">
          <cell r="D7798" t="str">
            <v>DD-J10-34003-2</v>
          </cell>
          <cell r="E7798" t="str">
            <v>后梁</v>
          </cell>
        </row>
        <row r="7799">
          <cell r="D7799" t="str">
            <v>DD-J10-34003-2</v>
          </cell>
          <cell r="E7799" t="str">
            <v>后梁</v>
          </cell>
        </row>
        <row r="7800">
          <cell r="D7800" t="str">
            <v>DD-J10B-04501-10-1-Z</v>
          </cell>
          <cell r="E7800" t="str">
            <v>BL900侧梁</v>
          </cell>
        </row>
        <row r="7801">
          <cell r="D7801" t="str">
            <v>DD-J10B-04501-10-1-Z</v>
          </cell>
          <cell r="E7801" t="str">
            <v>BL900侧梁</v>
          </cell>
        </row>
        <row r="7802">
          <cell r="D7802" t="str">
            <v>DD-J10B-04501-10-1-Z</v>
          </cell>
          <cell r="E7802" t="str">
            <v>BL900侧梁</v>
          </cell>
        </row>
        <row r="7803">
          <cell r="D7803" t="str">
            <v>DD-J10B-04501-10-1-Z</v>
          </cell>
          <cell r="E7803" t="str">
            <v>BL900侧梁</v>
          </cell>
        </row>
        <row r="7804">
          <cell r="D7804" t="str">
            <v>DD-J10B-04501-10-1-Y</v>
          </cell>
          <cell r="E7804" t="str">
            <v>BL900侧梁</v>
          </cell>
        </row>
        <row r="7805">
          <cell r="D7805" t="str">
            <v>DD-J10B-04501-10-1-Y</v>
          </cell>
          <cell r="E7805" t="str">
            <v>BL900侧梁</v>
          </cell>
        </row>
        <row r="7806">
          <cell r="D7806" t="str">
            <v>DD-J10B-04501-10-1-Y</v>
          </cell>
          <cell r="E7806" t="str">
            <v>BL900侧梁</v>
          </cell>
        </row>
        <row r="7807">
          <cell r="D7807" t="str">
            <v>DD-J10B-04501-10-1-Y</v>
          </cell>
          <cell r="E7807" t="str">
            <v>BL900侧梁</v>
          </cell>
        </row>
        <row r="7808">
          <cell r="D7808" t="str">
            <v>DD-J10B-61001-2</v>
          </cell>
          <cell r="E7808" t="str">
            <v>接头</v>
          </cell>
        </row>
        <row r="7809">
          <cell r="D7809" t="str">
            <v>DD-J10B-61001-2</v>
          </cell>
          <cell r="E7809" t="str">
            <v>接头</v>
          </cell>
        </row>
        <row r="7810">
          <cell r="D7810" t="str">
            <v>DD-J10B-61001-2</v>
          </cell>
          <cell r="E7810" t="str">
            <v>接头</v>
          </cell>
        </row>
        <row r="7811">
          <cell r="D7811" t="str">
            <v>DD-J10B-61001-2</v>
          </cell>
          <cell r="E7811" t="str">
            <v>接头</v>
          </cell>
        </row>
        <row r="7812">
          <cell r="D7812" t="str">
            <v>DD-J10B-61001-2</v>
          </cell>
          <cell r="E7812" t="str">
            <v>接头</v>
          </cell>
        </row>
        <row r="7813">
          <cell r="D7813" t="str">
            <v>XXX-000-04</v>
          </cell>
          <cell r="E7813" t="str">
            <v>底座</v>
          </cell>
        </row>
        <row r="7814">
          <cell r="D7814" t="str">
            <v>XXX-000-06</v>
          </cell>
          <cell r="E7814" t="str">
            <v>支架</v>
          </cell>
        </row>
        <row r="7815">
          <cell r="D7815" t="str">
            <v>XXX-000-00</v>
          </cell>
          <cell r="E7815" t="str">
            <v>XXX离心夹具组合件</v>
          </cell>
        </row>
        <row r="7816">
          <cell r="D7816" t="str">
            <v>XXX-000-01</v>
          </cell>
          <cell r="E7816" t="str">
            <v>XXX离心夹具</v>
          </cell>
        </row>
        <row r="7817">
          <cell r="D7817" t="str">
            <v>DD-J10B-04061-1</v>
          </cell>
          <cell r="E7817" t="str">
            <v>10860框</v>
          </cell>
        </row>
        <row r="7818">
          <cell r="D7818" t="str">
            <v>DD-J10B-04061-1</v>
          </cell>
          <cell r="E7818" t="str">
            <v>10860框</v>
          </cell>
        </row>
        <row r="7819">
          <cell r="D7819" t="str">
            <v>DD-J10B-04061-1</v>
          </cell>
          <cell r="E7819" t="str">
            <v>10860框</v>
          </cell>
        </row>
        <row r="7820">
          <cell r="D7820" t="str">
            <v>BC5337100-107L001</v>
          </cell>
          <cell r="E7820" t="str">
            <v>上边条受剪接头</v>
          </cell>
        </row>
        <row r="7821">
          <cell r="D7821" t="str">
            <v>BC5337100-107L001</v>
          </cell>
          <cell r="E7821" t="str">
            <v>上边条受剪接头</v>
          </cell>
        </row>
        <row r="7822">
          <cell r="D7822" t="str">
            <v>BC5337100-107L001</v>
          </cell>
          <cell r="E7822" t="str">
            <v>上边条受剪接头</v>
          </cell>
        </row>
        <row r="7823">
          <cell r="D7823" t="str">
            <v>BC5337100-107L001</v>
          </cell>
          <cell r="E7823" t="str">
            <v>上边条受剪接头</v>
          </cell>
        </row>
        <row r="7824">
          <cell r="D7824" t="str">
            <v>BC5337100-107L001</v>
          </cell>
          <cell r="E7824" t="str">
            <v>上边条受剪接头</v>
          </cell>
        </row>
        <row r="7825">
          <cell r="D7825" t="str">
            <v>BC5337100-107L001</v>
          </cell>
          <cell r="E7825" t="str">
            <v>上边条受剪接头</v>
          </cell>
        </row>
        <row r="7826">
          <cell r="D7826" t="str">
            <v>BC5337100-107L001</v>
          </cell>
          <cell r="E7826" t="str">
            <v>上边条受剪接头</v>
          </cell>
        </row>
        <row r="7827">
          <cell r="D7827" t="str">
            <v>BC5337100-107L001</v>
          </cell>
          <cell r="E7827" t="str">
            <v>上边条受剪接头</v>
          </cell>
        </row>
        <row r="7828">
          <cell r="D7828" t="str">
            <v>BC5337100-107L001</v>
          </cell>
          <cell r="E7828" t="str">
            <v>上边条受剪接头</v>
          </cell>
        </row>
        <row r="7829">
          <cell r="D7829" t="str">
            <v>BC5337100-107R001</v>
          </cell>
          <cell r="E7829" t="str">
            <v>上边条受剪接头</v>
          </cell>
        </row>
        <row r="7830">
          <cell r="D7830" t="str">
            <v>BC5337100-107R001</v>
          </cell>
          <cell r="E7830" t="str">
            <v>上边条受剪接头</v>
          </cell>
        </row>
        <row r="7831">
          <cell r="D7831" t="str">
            <v>BC5337100-107R001</v>
          </cell>
          <cell r="E7831" t="str">
            <v>上边条受剪接头</v>
          </cell>
        </row>
        <row r="7832">
          <cell r="D7832" t="str">
            <v>BC5337100-107R001</v>
          </cell>
          <cell r="E7832" t="str">
            <v>上边条受剪接头</v>
          </cell>
        </row>
        <row r="7833">
          <cell r="D7833" t="str">
            <v>BC5337100-107R001</v>
          </cell>
          <cell r="E7833" t="str">
            <v>上边条受剪接头</v>
          </cell>
        </row>
        <row r="7834">
          <cell r="D7834" t="str">
            <v>BC5337100-107R001</v>
          </cell>
          <cell r="E7834" t="str">
            <v>上边条受剪接头</v>
          </cell>
        </row>
        <row r="7835">
          <cell r="D7835" t="str">
            <v>BC5337100-107R001</v>
          </cell>
          <cell r="E7835" t="str">
            <v>上边条受剪接头</v>
          </cell>
        </row>
        <row r="7836">
          <cell r="D7836" t="str">
            <v>BC5337100-107R001</v>
          </cell>
          <cell r="E7836" t="str">
            <v>上边条受剪接头</v>
          </cell>
        </row>
        <row r="7837">
          <cell r="D7837" t="str">
            <v>BC5337100-107R001</v>
          </cell>
          <cell r="E7837" t="str">
            <v>上边条受剪接头</v>
          </cell>
        </row>
        <row r="7838">
          <cell r="D7838" t="str">
            <v>BC5337100-108L001</v>
          </cell>
          <cell r="E7838" t="str">
            <v>下边条受剪接头</v>
          </cell>
        </row>
        <row r="7839">
          <cell r="D7839" t="str">
            <v>BC5337100-108L001</v>
          </cell>
          <cell r="E7839" t="str">
            <v>下边条受剪接头</v>
          </cell>
        </row>
        <row r="7840">
          <cell r="D7840" t="str">
            <v>BC5337100-108L001</v>
          </cell>
          <cell r="E7840" t="str">
            <v>下边条受剪接头</v>
          </cell>
        </row>
        <row r="7841">
          <cell r="D7841" t="str">
            <v>BC5337100-108L001</v>
          </cell>
          <cell r="E7841" t="str">
            <v>下边条受剪接头</v>
          </cell>
        </row>
        <row r="7842">
          <cell r="D7842" t="str">
            <v>BC5337100-108L001</v>
          </cell>
          <cell r="E7842" t="str">
            <v>下边条受剪接头</v>
          </cell>
        </row>
        <row r="7843">
          <cell r="D7843" t="str">
            <v>BC5337100-108L001</v>
          </cell>
          <cell r="E7843" t="str">
            <v>下边条受剪接头</v>
          </cell>
        </row>
        <row r="7844">
          <cell r="D7844" t="str">
            <v>BC5337100-108L001</v>
          </cell>
          <cell r="E7844" t="str">
            <v>下边条受剪接头</v>
          </cell>
        </row>
        <row r="7845">
          <cell r="D7845" t="str">
            <v>BC5337100-108L001</v>
          </cell>
          <cell r="E7845" t="str">
            <v>下边条受剪接头</v>
          </cell>
        </row>
        <row r="7846">
          <cell r="D7846" t="str">
            <v>BC5337100-108L001</v>
          </cell>
          <cell r="E7846" t="str">
            <v>下边条受剪接头</v>
          </cell>
        </row>
        <row r="7847">
          <cell r="D7847" t="str">
            <v>BC5337100-108L001</v>
          </cell>
          <cell r="E7847" t="str">
            <v>下边条受剪接头</v>
          </cell>
        </row>
        <row r="7848">
          <cell r="D7848" t="str">
            <v>BC5337100-108R001</v>
          </cell>
          <cell r="E7848" t="str">
            <v>下边条受剪接头</v>
          </cell>
        </row>
        <row r="7849">
          <cell r="D7849" t="str">
            <v>BC5337100-108R001</v>
          </cell>
          <cell r="E7849" t="str">
            <v>下边条受剪接头</v>
          </cell>
        </row>
        <row r="7850">
          <cell r="D7850" t="str">
            <v>BC5337100-108R001</v>
          </cell>
          <cell r="E7850" t="str">
            <v>下边条受剪接头</v>
          </cell>
        </row>
        <row r="7851">
          <cell r="D7851" t="str">
            <v>BC5337100-108R001</v>
          </cell>
          <cell r="E7851" t="str">
            <v>下边条受剪接头</v>
          </cell>
        </row>
        <row r="7852">
          <cell r="D7852" t="str">
            <v>BC5337100-108R001</v>
          </cell>
          <cell r="E7852" t="str">
            <v>下边条受剪接头</v>
          </cell>
        </row>
        <row r="7853">
          <cell r="D7853" t="str">
            <v>BC5337100-108R001</v>
          </cell>
          <cell r="E7853" t="str">
            <v>下边条受剪接头</v>
          </cell>
        </row>
        <row r="7854">
          <cell r="D7854" t="str">
            <v>BC5337100-108R001</v>
          </cell>
          <cell r="E7854" t="str">
            <v>下边条受剪接头</v>
          </cell>
        </row>
        <row r="7855">
          <cell r="D7855" t="str">
            <v>BC5337100-108R001</v>
          </cell>
          <cell r="E7855" t="str">
            <v>下边条受剪接头</v>
          </cell>
        </row>
        <row r="7856">
          <cell r="D7856" t="str">
            <v>BC5337100-108R001</v>
          </cell>
          <cell r="E7856" t="str">
            <v>下边条受剪接头</v>
          </cell>
        </row>
        <row r="7857">
          <cell r="D7857" t="str">
            <v>BC5337100-108R001</v>
          </cell>
          <cell r="E7857" t="str">
            <v>下边条受剪接头</v>
          </cell>
        </row>
        <row r="7858">
          <cell r="D7858" t="str">
            <v>BC2299122-001-001</v>
          </cell>
          <cell r="E7858" t="str">
            <v>弯管接头</v>
          </cell>
        </row>
        <row r="7859">
          <cell r="D7859" t="str">
            <v>BC22934G0-001-002</v>
          </cell>
          <cell r="E7859" t="str">
            <v>三通接头</v>
          </cell>
        </row>
        <row r="7860">
          <cell r="D7860" t="str">
            <v>BC22934G0-002-002</v>
          </cell>
          <cell r="E7860" t="str">
            <v>三通接头</v>
          </cell>
        </row>
        <row r="7861">
          <cell r="D7861" t="str">
            <v>BC22934G0-002-002</v>
          </cell>
          <cell r="E7861" t="str">
            <v>三通接头</v>
          </cell>
        </row>
        <row r="7862">
          <cell r="D7862" t="str">
            <v>BC2298133-002-001</v>
          </cell>
          <cell r="E7862" t="str">
            <v>三通管接头</v>
          </cell>
        </row>
        <row r="7863">
          <cell r="D7863" t="str">
            <v>BC2295R10-001-001</v>
          </cell>
          <cell r="E7863" t="str">
            <v>三通管接头</v>
          </cell>
        </row>
        <row r="7864">
          <cell r="D7864" t="str">
            <v>BC2295R10-001-001</v>
          </cell>
          <cell r="E7864" t="str">
            <v>三通管接头</v>
          </cell>
        </row>
        <row r="7865">
          <cell r="D7865" t="str">
            <v>BC2291271-001-001</v>
          </cell>
          <cell r="E7865" t="str">
            <v>接管嘴</v>
          </cell>
        </row>
        <row r="7866">
          <cell r="D7866" t="str">
            <v>BC2292134-001-001</v>
          </cell>
          <cell r="E7866" t="str">
            <v>三通管接头</v>
          </cell>
        </row>
        <row r="7867">
          <cell r="D7867" t="str">
            <v>BC2299143-001-001</v>
          </cell>
          <cell r="E7867" t="str">
            <v>90度弯管接头</v>
          </cell>
        </row>
        <row r="7868">
          <cell r="D7868" t="str">
            <v>BC2295R20-001-001</v>
          </cell>
          <cell r="E7868" t="str">
            <v>三通管接头</v>
          </cell>
        </row>
        <row r="7869">
          <cell r="D7869" t="str">
            <v>BC2295121-002-001</v>
          </cell>
          <cell r="E7869" t="str">
            <v>三通接头</v>
          </cell>
        </row>
        <row r="7870">
          <cell r="D7870" t="str">
            <v>BC2295121-002-001</v>
          </cell>
          <cell r="E7870" t="str">
            <v>三通接头</v>
          </cell>
        </row>
        <row r="7871">
          <cell r="D7871" t="str">
            <v>BC2292182-001-001</v>
          </cell>
          <cell r="E7871" t="str">
            <v>扩口式直角管接头</v>
          </cell>
        </row>
        <row r="7872">
          <cell r="D7872" t="str">
            <v>BC2292134-001-001</v>
          </cell>
          <cell r="E7872" t="str">
            <v>三通管接头</v>
          </cell>
        </row>
        <row r="7873">
          <cell r="D7873" t="str">
            <v>BC2299131-001-001</v>
          </cell>
          <cell r="E7873" t="str">
            <v>三通管接头</v>
          </cell>
        </row>
        <row r="7874">
          <cell r="D7874" t="str">
            <v>CB22987R0-002-001</v>
          </cell>
          <cell r="E7874" t="str">
            <v>管夹</v>
          </cell>
        </row>
        <row r="7875">
          <cell r="D7875" t="str">
            <v>CB229C440-001-001</v>
          </cell>
          <cell r="E7875" t="str">
            <v>组合导管夹</v>
          </cell>
        </row>
        <row r="7876">
          <cell r="D7876" t="str">
            <v>CB22984B0-002-001</v>
          </cell>
          <cell r="E7876" t="str">
            <v>管夹</v>
          </cell>
        </row>
        <row r="7877">
          <cell r="D7877" t="str">
            <v>CB22984B0-002-001</v>
          </cell>
          <cell r="E7877" t="str">
            <v>管夹</v>
          </cell>
        </row>
        <row r="7878">
          <cell r="D7878" t="str">
            <v>CB2284764-002-001</v>
          </cell>
          <cell r="E7878" t="str">
            <v>接头</v>
          </cell>
        </row>
        <row r="7879">
          <cell r="D7879" t="str">
            <v>DD-J10-55181-14</v>
          </cell>
          <cell r="E7879" t="str">
            <v>变径四通管接头</v>
          </cell>
        </row>
        <row r="7880">
          <cell r="D7880" t="str">
            <v>CB5811300-001-001</v>
          </cell>
          <cell r="E7880" t="str">
            <v>螺栓</v>
          </cell>
        </row>
        <row r="7881">
          <cell r="D7881" t="str">
            <v>CB5811100-014-001</v>
          </cell>
          <cell r="E7881" t="str">
            <v>螺栓</v>
          </cell>
        </row>
        <row r="7882">
          <cell r="D7882" t="str">
            <v>CB5814000-003-001</v>
          </cell>
          <cell r="E7882" t="str">
            <v>后支架</v>
          </cell>
        </row>
        <row r="7883">
          <cell r="D7883" t="str">
            <v>CB5814000-002-001</v>
          </cell>
          <cell r="E7883" t="str">
            <v>前支架</v>
          </cell>
        </row>
        <row r="7884">
          <cell r="D7884" t="str">
            <v>CB5811100-004-001</v>
          </cell>
          <cell r="E7884" t="str">
            <v>连接轴</v>
          </cell>
        </row>
        <row r="7885">
          <cell r="D7885" t="str">
            <v>DD-J10B-94076-2031/3</v>
          </cell>
          <cell r="E7885" t="str">
            <v>接管嘴</v>
          </cell>
        </row>
        <row r="7886">
          <cell r="D7886" t="str">
            <v>CB5814000-003-001</v>
          </cell>
          <cell r="E7886" t="str">
            <v>后支架</v>
          </cell>
        </row>
        <row r="7887">
          <cell r="D7887" t="str">
            <v>DD-J10B-94076-2031/3</v>
          </cell>
          <cell r="E7887" t="str">
            <v>接管嘴</v>
          </cell>
        </row>
        <row r="7888">
          <cell r="D7888" t="str">
            <v>DD-J10B-94076-2031/3</v>
          </cell>
          <cell r="E7888" t="str">
            <v>接管嘴</v>
          </cell>
        </row>
        <row r="7889">
          <cell r="D7889" t="str">
            <v>DD-J10B-94076-2031/3</v>
          </cell>
          <cell r="E7889" t="str">
            <v>接管嘴</v>
          </cell>
        </row>
        <row r="7890">
          <cell r="D7890" t="str">
            <v>CB229C431-003-001</v>
          </cell>
          <cell r="E7890" t="str">
            <v>衬套</v>
          </cell>
        </row>
        <row r="7891">
          <cell r="D7891" t="str">
            <v>BC2292251-001-001</v>
          </cell>
          <cell r="E7891" t="str">
            <v>接管嘴</v>
          </cell>
        </row>
        <row r="7892">
          <cell r="D7892" t="str">
            <v>BC2292251-001-001</v>
          </cell>
          <cell r="E7892" t="str">
            <v>接管嘴</v>
          </cell>
        </row>
        <row r="7893">
          <cell r="D7893" t="str">
            <v>DD-J10S-54101-4700-1</v>
          </cell>
          <cell r="E7893" t="str">
            <v>摇臂</v>
          </cell>
        </row>
        <row r="7894">
          <cell r="D7894" t="str">
            <v>CB5324310-016-006</v>
          </cell>
          <cell r="E7894" t="str">
            <v>带板</v>
          </cell>
        </row>
        <row r="7895">
          <cell r="D7895" t="str">
            <v>CB5324310-016-006</v>
          </cell>
          <cell r="E7895" t="str">
            <v>带板</v>
          </cell>
        </row>
        <row r="7896">
          <cell r="D7896" t="str">
            <v>DD-J10B-04321-30-1-Y</v>
          </cell>
          <cell r="E7896" t="str">
            <v>侧下梁（右件）</v>
          </cell>
        </row>
        <row r="7897">
          <cell r="D7897" t="str">
            <v>DD-J10B-04321-30-1-Y</v>
          </cell>
          <cell r="E7897" t="str">
            <v>侧下梁（右件）</v>
          </cell>
        </row>
        <row r="7898">
          <cell r="D7898" t="str">
            <v>DD-J10B-04321-30-1-Y</v>
          </cell>
          <cell r="E7898" t="str">
            <v>侧下梁（右件）</v>
          </cell>
        </row>
        <row r="7899">
          <cell r="D7899" t="str">
            <v>DD-J10B-04321-30-1-Y</v>
          </cell>
          <cell r="E7899" t="str">
            <v>侧下梁（右件）</v>
          </cell>
        </row>
        <row r="7900">
          <cell r="D7900" t="str">
            <v>DD-J10B-04321-30-1-Y</v>
          </cell>
          <cell r="E7900" t="str">
            <v>侧下梁（右件）</v>
          </cell>
        </row>
        <row r="7901">
          <cell r="D7901" t="str">
            <v>DD-J10B-04321-30-1-Z</v>
          </cell>
          <cell r="E7901" t="str">
            <v>侧下梁（左件）</v>
          </cell>
        </row>
        <row r="7902">
          <cell r="D7902" t="str">
            <v>DD-J10B-04321-30-1-Z</v>
          </cell>
          <cell r="E7902" t="str">
            <v>侧下梁（左件）</v>
          </cell>
        </row>
        <row r="7903">
          <cell r="D7903" t="str">
            <v>DD-J10B-04321-30-1-Z</v>
          </cell>
          <cell r="E7903" t="str">
            <v>侧下梁（左件）</v>
          </cell>
        </row>
        <row r="7904">
          <cell r="D7904" t="str">
            <v>DD-J10B-04321-30-1-Z</v>
          </cell>
          <cell r="E7904" t="str">
            <v>侧下梁（左件）</v>
          </cell>
        </row>
        <row r="7905">
          <cell r="D7905" t="str">
            <v>DD-J10B-04321-30-1-Z</v>
          </cell>
          <cell r="E7905" t="str">
            <v>侧下梁（精加工）</v>
          </cell>
        </row>
        <row r="7906">
          <cell r="D7906" t="str">
            <v>DD-J10B-04321-30-1-Z</v>
          </cell>
          <cell r="E7906" t="str">
            <v>侧下梁（左件）</v>
          </cell>
        </row>
        <row r="7907">
          <cell r="D7907" t="str">
            <v>Y20-5317015061-001</v>
          </cell>
          <cell r="E7907" t="str">
            <v>T形长桁</v>
          </cell>
        </row>
        <row r="7908">
          <cell r="D7908" t="str">
            <v>Y20-5317015061-001</v>
          </cell>
          <cell r="E7908" t="str">
            <v>T形长桁</v>
          </cell>
        </row>
        <row r="7909">
          <cell r="D7909" t="str">
            <v>Y20-5317015061-001</v>
          </cell>
          <cell r="E7909" t="str">
            <v>T形长桁</v>
          </cell>
        </row>
        <row r="7910">
          <cell r="D7910" t="str">
            <v>Y20-5317015061-001</v>
          </cell>
          <cell r="E7910" t="str">
            <v>T形长桁</v>
          </cell>
        </row>
        <row r="7911">
          <cell r="D7911" t="str">
            <v>BC5337100-104L001</v>
          </cell>
          <cell r="E7911" t="str">
            <v>上受剪接头</v>
          </cell>
        </row>
        <row r="7912">
          <cell r="D7912" t="str">
            <v>BC5337100-104L001</v>
          </cell>
          <cell r="E7912" t="str">
            <v>上受剪接头</v>
          </cell>
        </row>
        <row r="7913">
          <cell r="D7913" t="str">
            <v>BC5337100-105L001</v>
          </cell>
          <cell r="E7913" t="str">
            <v>中受剪接头</v>
          </cell>
        </row>
        <row r="7914">
          <cell r="D7914" t="str">
            <v>BC5337100-105L001</v>
          </cell>
          <cell r="E7914" t="str">
            <v>中受剪接头</v>
          </cell>
        </row>
        <row r="7915">
          <cell r="D7915" t="str">
            <v>BC5337100-106L001</v>
          </cell>
          <cell r="E7915" t="str">
            <v>下受剪接头</v>
          </cell>
        </row>
        <row r="7916">
          <cell r="D7916" t="str">
            <v>BC5337100-106L001</v>
          </cell>
          <cell r="E7916" t="str">
            <v>下受剪接头</v>
          </cell>
        </row>
        <row r="7917">
          <cell r="D7917" t="str">
            <v>CB2292112-003-001</v>
          </cell>
          <cell r="E7917" t="str">
            <v>小轴</v>
          </cell>
        </row>
        <row r="7918">
          <cell r="D7918" t="str">
            <v>CB5323220-052-024</v>
          </cell>
          <cell r="E7918" t="str">
            <v>9350-11140侧上梁</v>
          </cell>
        </row>
        <row r="7919">
          <cell r="D7919" t="str">
            <v>CB5323220-052-024</v>
          </cell>
          <cell r="E7919" t="str">
            <v>9350-11140侧上梁</v>
          </cell>
        </row>
        <row r="7920">
          <cell r="D7920" t="str">
            <v>CB5323220-052-024</v>
          </cell>
          <cell r="E7920" t="str">
            <v>9350-11140侧上梁</v>
          </cell>
        </row>
        <row r="7921">
          <cell r="D7921" t="str">
            <v>CB5323220-052-024</v>
          </cell>
          <cell r="E7921" t="str">
            <v>9350-11140侧上梁</v>
          </cell>
        </row>
        <row r="7922">
          <cell r="D7922" t="str">
            <v>CB5323220-052-024</v>
          </cell>
          <cell r="E7922" t="str">
            <v>9350-11140侧上梁</v>
          </cell>
        </row>
        <row r="7923">
          <cell r="D7923" t="str">
            <v>CB5323210-005L065</v>
          </cell>
          <cell r="E7923" t="str">
            <v>9350-11140左侧上梁</v>
          </cell>
        </row>
        <row r="7924">
          <cell r="D7924" t="str">
            <v>CB5323210-005L065</v>
          </cell>
          <cell r="E7924" t="str">
            <v>9350-11140左侧上梁</v>
          </cell>
        </row>
        <row r="7925">
          <cell r="D7925" t="str">
            <v>CB5323210-005L065</v>
          </cell>
          <cell r="E7925" t="str">
            <v>9350-11140左侧上梁</v>
          </cell>
        </row>
        <row r="7926">
          <cell r="D7926" t="str">
            <v>CB5323210-005L065</v>
          </cell>
          <cell r="E7926" t="str">
            <v>9350-11140左侧上梁</v>
          </cell>
        </row>
        <row r="7927">
          <cell r="D7927" t="str">
            <v>CB5323210-005L065</v>
          </cell>
          <cell r="E7927" t="str">
            <v>9350-11140左侧上梁</v>
          </cell>
        </row>
        <row r="7928">
          <cell r="D7928" t="str">
            <v>DD-J10B-02121-1AG2-Z</v>
          </cell>
          <cell r="E7928" t="str">
            <v>BL280侧壁（左件）</v>
          </cell>
        </row>
        <row r="7929">
          <cell r="D7929" t="str">
            <v>DD-J10B-02121-1AG2-Z</v>
          </cell>
          <cell r="E7929" t="str">
            <v>BL280侧壁（左件）</v>
          </cell>
        </row>
        <row r="7930">
          <cell r="D7930" t="str">
            <v>DD-J10B-02121-1AG2-Y</v>
          </cell>
          <cell r="E7930" t="str">
            <v>BL280侧壁（右件）</v>
          </cell>
        </row>
        <row r="7931">
          <cell r="D7931" t="str">
            <v>DD-J10B-02121-1AG2-Y</v>
          </cell>
          <cell r="E7931" t="str">
            <v>BL280侧壁（右件）</v>
          </cell>
        </row>
        <row r="7932">
          <cell r="D7932" t="str">
            <v>CB5314107-005-001</v>
          </cell>
          <cell r="E7932" t="str">
            <v>油箱口盖</v>
          </cell>
        </row>
        <row r="7933">
          <cell r="D7933" t="str">
            <v>CB5512300-015R001</v>
          </cell>
          <cell r="E7933" t="str">
            <v>角盒</v>
          </cell>
        </row>
        <row r="7934">
          <cell r="D7934" t="str">
            <v>CB5512300-015L001</v>
          </cell>
          <cell r="E7934" t="str">
            <v>角盒</v>
          </cell>
        </row>
        <row r="7935">
          <cell r="D7935" t="str">
            <v>CB5512300-014R001</v>
          </cell>
          <cell r="E7935" t="str">
            <v>角盒</v>
          </cell>
        </row>
        <row r="7936">
          <cell r="D7936" t="str">
            <v>CB5512300-014L001</v>
          </cell>
          <cell r="E7936" t="str">
            <v>角盒</v>
          </cell>
        </row>
        <row r="7937">
          <cell r="D7937" t="str">
            <v>CB5522200-020L001</v>
          </cell>
          <cell r="E7937" t="str">
            <v>实心块</v>
          </cell>
        </row>
        <row r="7938">
          <cell r="D7938" t="str">
            <v>CB5522200-020R001</v>
          </cell>
          <cell r="E7938" t="str">
            <v>实心块</v>
          </cell>
        </row>
        <row r="7939">
          <cell r="D7939" t="str">
            <v>CB5324420-001L003</v>
          </cell>
          <cell r="E7939" t="str">
            <v>侧下梁</v>
          </cell>
        </row>
        <row r="7940">
          <cell r="D7940" t="str">
            <v>CB5324420-001L003</v>
          </cell>
          <cell r="E7940" t="str">
            <v>侧下梁</v>
          </cell>
        </row>
        <row r="7941">
          <cell r="D7941" t="str">
            <v>CB5324420-001R003</v>
          </cell>
          <cell r="E7941" t="str">
            <v>侧下梁</v>
          </cell>
        </row>
        <row r="7942">
          <cell r="D7942" t="str">
            <v>CB5324420-001R003</v>
          </cell>
          <cell r="E7942" t="str">
            <v>侧下梁</v>
          </cell>
        </row>
        <row r="7943">
          <cell r="D7943" t="str">
            <v>BC2299252-002-001</v>
          </cell>
          <cell r="E7943" t="str">
            <v>支架底座</v>
          </cell>
        </row>
        <row r="7944">
          <cell r="D7944" t="str">
            <v>BC5824000-031L001</v>
          </cell>
          <cell r="E7944" t="str">
            <v>支柱舱门上耳片框</v>
          </cell>
        </row>
        <row r="7945">
          <cell r="D7945" t="str">
            <v>BC5824000-031R001</v>
          </cell>
          <cell r="E7945" t="str">
            <v>支柱护板上耳片框</v>
          </cell>
        </row>
        <row r="7946">
          <cell r="D7946" t="str">
            <v>XXX1 XXX-000-00</v>
          </cell>
          <cell r="E7946" t="str">
            <v>XXX振动夹具组合件</v>
          </cell>
        </row>
        <row r="7947">
          <cell r="D7947" t="str">
            <v>XXX1 XXX-000-01</v>
          </cell>
          <cell r="E7947" t="str">
            <v>XXX振动夹具</v>
          </cell>
        </row>
        <row r="7948">
          <cell r="D7948" t="str">
            <v>XXX2 XXX-000-00</v>
          </cell>
          <cell r="E7948" t="str">
            <v>XXX离心夹具组合件</v>
          </cell>
        </row>
        <row r="7949">
          <cell r="D7949" t="str">
            <v>XXX2 XXX-000-01</v>
          </cell>
          <cell r="E7949" t="str">
            <v>XXX离心夹具</v>
          </cell>
        </row>
        <row r="7950">
          <cell r="D7950" t="str">
            <v>XXXJ1 TL-000-00</v>
          </cell>
          <cell r="E7950" t="str">
            <v>XXX天线振动夹具组合件</v>
          </cell>
        </row>
        <row r="7951">
          <cell r="D7951" t="str">
            <v>XXXJ1 TL-000-01</v>
          </cell>
          <cell r="E7951" t="str">
            <v>XXX天线振动夹具</v>
          </cell>
        </row>
        <row r="7952">
          <cell r="D7952" t="str">
            <v>XXXJ2 TL-000-00</v>
          </cell>
          <cell r="E7952" t="str">
            <v>XXX天线离心夹具组合件</v>
          </cell>
        </row>
        <row r="7953">
          <cell r="D7953" t="str">
            <v>XXXJ2 TL-000-01</v>
          </cell>
          <cell r="E7953" t="str">
            <v>XXX天线离心夹具</v>
          </cell>
        </row>
        <row r="7954">
          <cell r="D7954" t="str">
            <v>XXXJ1 QL-000-00</v>
          </cell>
          <cell r="E7954" t="str">
            <v>XXX振动夹具组合件</v>
          </cell>
        </row>
        <row r="7955">
          <cell r="D7955" t="str">
            <v>XXXJ1 QL-000-01</v>
          </cell>
          <cell r="E7955" t="str">
            <v>XXX振动夹具</v>
          </cell>
        </row>
        <row r="7956">
          <cell r="D7956" t="str">
            <v>XXXJ1 QL-000-02</v>
          </cell>
          <cell r="E7956" t="str">
            <v>XXX转接板</v>
          </cell>
        </row>
        <row r="7957">
          <cell r="D7957" t="str">
            <v>XXXJ2 QL-000-00</v>
          </cell>
          <cell r="E7957" t="str">
            <v>XXX离心夹具1组合件</v>
          </cell>
        </row>
        <row r="7958">
          <cell r="D7958" t="str">
            <v>XXXJ2 QL-000-01</v>
          </cell>
          <cell r="E7958" t="str">
            <v>XXX离心夹具1</v>
          </cell>
        </row>
        <row r="7959">
          <cell r="D7959" t="str">
            <v>XXXJ3 QL-000-00</v>
          </cell>
          <cell r="E7959" t="str">
            <v>XXX离心夹具2组合件</v>
          </cell>
        </row>
        <row r="7960">
          <cell r="D7960" t="str">
            <v>XXXJ3 QL-000-01</v>
          </cell>
          <cell r="E7960" t="str">
            <v>XXX离心夹具2</v>
          </cell>
        </row>
        <row r="7961">
          <cell r="D7961" t="str">
            <v>Y20-5312225025-002</v>
          </cell>
          <cell r="E7961" t="str">
            <v>纵向加强件</v>
          </cell>
        </row>
        <row r="7962">
          <cell r="D7962" t="str">
            <v>Y20-5312225025-001</v>
          </cell>
          <cell r="E7962" t="str">
            <v>纵向加强件</v>
          </cell>
        </row>
        <row r="7963">
          <cell r="D7963" t="str">
            <v>Y20-5312225026-002</v>
          </cell>
          <cell r="E7963" t="str">
            <v>纵向加强件</v>
          </cell>
        </row>
        <row r="7964">
          <cell r="D7964" t="str">
            <v>Y20-5312225026-001</v>
          </cell>
          <cell r="E7964" t="str">
            <v>纵向加强件</v>
          </cell>
        </row>
        <row r="7965">
          <cell r="D7965" t="str">
            <v>Y20-5312225027-002</v>
          </cell>
          <cell r="E7965" t="str">
            <v>纵向加强件</v>
          </cell>
        </row>
        <row r="7966">
          <cell r="D7966" t="str">
            <v>Y20-5312225027-001</v>
          </cell>
          <cell r="E7966" t="str">
            <v>纵向加强件</v>
          </cell>
        </row>
        <row r="7967">
          <cell r="D7967" t="str">
            <v>Y20-5312225029-002</v>
          </cell>
          <cell r="E7967" t="str">
            <v>纵向加强件</v>
          </cell>
        </row>
        <row r="7968">
          <cell r="D7968" t="str">
            <v>Y20-5312225029-001</v>
          </cell>
          <cell r="E7968" t="str">
            <v>纵向加强件</v>
          </cell>
        </row>
        <row r="7969">
          <cell r="D7969" t="str">
            <v>CB5324413-004-002</v>
          </cell>
          <cell r="E7969" t="str">
            <v>油箱底板（中）</v>
          </cell>
        </row>
        <row r="7970">
          <cell r="D7970" t="str">
            <v>DD-J10B-02041-202G2</v>
          </cell>
          <cell r="E7970" t="str">
            <v>地板</v>
          </cell>
        </row>
        <row r="7971">
          <cell r="D7971" t="str">
            <v>DD-J10B-02041-202G2</v>
          </cell>
          <cell r="E7971" t="str">
            <v>地板</v>
          </cell>
        </row>
        <row r="7972">
          <cell r="D7972" t="str">
            <v>DD-J10-05216-32</v>
          </cell>
          <cell r="E7972" t="str">
            <v>转接头</v>
          </cell>
        </row>
        <row r="7973">
          <cell r="D7973" t="str">
            <v>DD-J10-05216-32</v>
          </cell>
          <cell r="E7973" t="str">
            <v>转接头</v>
          </cell>
        </row>
        <row r="7974">
          <cell r="D7974" t="str">
            <v>DD-J10-05216-32</v>
          </cell>
          <cell r="E7974" t="str">
            <v>转接头</v>
          </cell>
        </row>
        <row r="7975">
          <cell r="D7975" t="str">
            <v>DD-J10B-34303-7G2</v>
          </cell>
          <cell r="E7975" t="str">
            <v>第1隔板</v>
          </cell>
        </row>
        <row r="7976">
          <cell r="D7976" t="str">
            <v>DD-J10B-34303-8G2</v>
          </cell>
          <cell r="E7976" t="str">
            <v>第2隔板</v>
          </cell>
        </row>
        <row r="7977">
          <cell r="D7977" t="str">
            <v>DD-J10B-34303-9G2</v>
          </cell>
          <cell r="E7977" t="str">
            <v>第3隔板</v>
          </cell>
        </row>
        <row r="7978">
          <cell r="D7978" t="str">
            <v>DD-J10B-34303-11G2</v>
          </cell>
          <cell r="E7978" t="str">
            <v>第4隔板</v>
          </cell>
        </row>
        <row r="7979">
          <cell r="D7979" t="str">
            <v>DD-J10B-34303-12G2</v>
          </cell>
          <cell r="E7979" t="str">
            <v>第5隔板</v>
          </cell>
        </row>
        <row r="7980">
          <cell r="D7980" t="str">
            <v>DD-J10B-34303-13G2</v>
          </cell>
          <cell r="E7980" t="str">
            <v>第6隔板</v>
          </cell>
        </row>
        <row r="7981">
          <cell r="D7981" t="str">
            <v>DD-J10B-04011-1</v>
          </cell>
          <cell r="E7981" t="str">
            <v>7100框</v>
          </cell>
        </row>
        <row r="7982">
          <cell r="D7982" t="str">
            <v>DD-J10B-04011-1</v>
          </cell>
          <cell r="E7982" t="str">
            <v>7100框</v>
          </cell>
        </row>
        <row r="7983">
          <cell r="D7983" t="str">
            <v>DD-J10B-04011-1</v>
          </cell>
          <cell r="E7983" t="str">
            <v>7100框</v>
          </cell>
        </row>
        <row r="7984">
          <cell r="D7984" t="str">
            <v>DD-J10B-04011-1</v>
          </cell>
          <cell r="E7984" t="str">
            <v>7100框</v>
          </cell>
        </row>
        <row r="7985">
          <cell r="D7985" t="str">
            <v>Y20-5319170013-001</v>
          </cell>
          <cell r="E7985" t="str">
            <v>机加T形件</v>
          </cell>
        </row>
        <row r="7986">
          <cell r="D7986" t="str">
            <v>Y20-5319170013-002</v>
          </cell>
          <cell r="E7986" t="str">
            <v>机加T形件</v>
          </cell>
        </row>
        <row r="7987">
          <cell r="D7987" t="str">
            <v>Y20-5317018021-001</v>
          </cell>
          <cell r="E7987" t="str">
            <v>工字型材</v>
          </cell>
        </row>
        <row r="7988">
          <cell r="D7988" t="str">
            <v>Y20-5317018021-001</v>
          </cell>
          <cell r="E7988" t="str">
            <v>工字型材</v>
          </cell>
        </row>
        <row r="7989">
          <cell r="D7989" t="str">
            <v>Y20-5317018021-001</v>
          </cell>
          <cell r="E7989" t="str">
            <v>工字型材</v>
          </cell>
        </row>
        <row r="7990">
          <cell r="D7990" t="str">
            <v>Y20-5317018021-001</v>
          </cell>
          <cell r="E7990" t="str">
            <v>工字型材</v>
          </cell>
        </row>
        <row r="7991">
          <cell r="D7991" t="str">
            <v>DD-J10-55181-2532</v>
          </cell>
          <cell r="E7991" t="str">
            <v>螺帽</v>
          </cell>
        </row>
        <row r="7992">
          <cell r="D7992" t="str">
            <v>CB2298621-001-002</v>
          </cell>
          <cell r="E7992" t="str">
            <v>支架</v>
          </cell>
        </row>
        <row r="7993">
          <cell r="D7993" t="str">
            <v>CB2298091-001-001</v>
          </cell>
          <cell r="E7993" t="str">
            <v>支架</v>
          </cell>
        </row>
        <row r="7994">
          <cell r="D7994" t="str">
            <v>CB2295170-001-001</v>
          </cell>
          <cell r="E7994" t="str">
            <v>安装支座</v>
          </cell>
        </row>
        <row r="7995">
          <cell r="D7995" t="str">
            <v>CB22956R1-001R001</v>
          </cell>
          <cell r="E7995" t="str">
            <v>座子</v>
          </cell>
        </row>
        <row r="7996">
          <cell r="D7996" t="str">
            <v>CB2297041-001-001</v>
          </cell>
          <cell r="E7996" t="str">
            <v>支架</v>
          </cell>
        </row>
        <row r="7997">
          <cell r="D7997" t="str">
            <v>CB2297031-001-001</v>
          </cell>
          <cell r="E7997" t="str">
            <v>支架</v>
          </cell>
        </row>
        <row r="7998">
          <cell r="D7998" t="str">
            <v>CB2297032-001-001</v>
          </cell>
          <cell r="E7998" t="str">
            <v>支架</v>
          </cell>
        </row>
        <row r="7999">
          <cell r="D7999" t="str">
            <v>CB2297032-001-001</v>
          </cell>
          <cell r="E7999" t="str">
            <v>支架</v>
          </cell>
        </row>
        <row r="8000">
          <cell r="D8000" t="str">
            <v>CB229C070-001R001</v>
          </cell>
          <cell r="E8000" t="str">
            <v>支架</v>
          </cell>
        </row>
        <row r="8001">
          <cell r="D8001" t="str">
            <v>CB229C071-001L001</v>
          </cell>
          <cell r="E8001" t="str">
            <v>支架</v>
          </cell>
        </row>
        <row r="8002">
          <cell r="D8002" t="str">
            <v>CB2294440-005-001</v>
          </cell>
          <cell r="E8002" t="str">
            <v>支架</v>
          </cell>
        </row>
        <row r="8003">
          <cell r="D8003" t="str">
            <v>CB2294440-005-001</v>
          </cell>
          <cell r="E8003" t="str">
            <v>支架</v>
          </cell>
        </row>
        <row r="8004">
          <cell r="D8004" t="str">
            <v>CB2294440-005-001</v>
          </cell>
          <cell r="E8004" t="str">
            <v>支架</v>
          </cell>
        </row>
        <row r="8005">
          <cell r="D8005" t="str">
            <v>CB2297120-006-002</v>
          </cell>
          <cell r="E8005" t="str">
            <v>支架</v>
          </cell>
        </row>
        <row r="8006">
          <cell r="D8006" t="str">
            <v>CB2297120-006-002</v>
          </cell>
          <cell r="E8006" t="str">
            <v>支架</v>
          </cell>
        </row>
        <row r="8007">
          <cell r="D8007" t="str">
            <v>CB2297120-005-002</v>
          </cell>
          <cell r="E8007" t="str">
            <v>支架</v>
          </cell>
        </row>
        <row r="8008">
          <cell r="D8008" t="str">
            <v>CB2297021-001-001</v>
          </cell>
          <cell r="E8008" t="str">
            <v>支架</v>
          </cell>
        </row>
        <row r="8009">
          <cell r="D8009" t="str">
            <v>CB2297021-001-001</v>
          </cell>
          <cell r="E8009" t="str">
            <v>支架</v>
          </cell>
        </row>
        <row r="8010">
          <cell r="D8010" t="str">
            <v>CB2297012-001-001</v>
          </cell>
          <cell r="E8010" t="str">
            <v>支架</v>
          </cell>
        </row>
        <row r="8011">
          <cell r="D8011" t="str">
            <v>CB2297011-002-001</v>
          </cell>
          <cell r="E8011" t="str">
            <v>支架</v>
          </cell>
        </row>
        <row r="8012">
          <cell r="D8012" t="str">
            <v>CB2297011-002-001</v>
          </cell>
          <cell r="E8012" t="str">
            <v>支架</v>
          </cell>
        </row>
        <row r="8013">
          <cell r="D8013" t="str">
            <v>CB2297011-001-001</v>
          </cell>
          <cell r="E8013" t="str">
            <v>支架</v>
          </cell>
        </row>
        <row r="8014">
          <cell r="D8014" t="str">
            <v>CB2297011-001-001</v>
          </cell>
          <cell r="E8014" t="str">
            <v>支架</v>
          </cell>
        </row>
        <row r="8015">
          <cell r="D8015" t="str">
            <v>CB5315191-012L003</v>
          </cell>
          <cell r="E8015" t="str">
            <v>进气下侧壁</v>
          </cell>
        </row>
        <row r="8016">
          <cell r="D8016" t="str">
            <v>CB5315191-012R003</v>
          </cell>
          <cell r="E8016" t="str">
            <v>进气下侧壁</v>
          </cell>
        </row>
        <row r="8017">
          <cell r="D8017" t="str">
            <v>CB5315191-012R003</v>
          </cell>
          <cell r="E8017" t="str">
            <v>进气下侧壁</v>
          </cell>
        </row>
        <row r="8018">
          <cell r="D8018" t="str">
            <v>CB5324500-003R002</v>
          </cell>
          <cell r="E8018" t="str">
            <v>前端框</v>
          </cell>
        </row>
        <row r="8019">
          <cell r="D8019" t="str">
            <v>CB5324500-003L002</v>
          </cell>
          <cell r="E8019" t="str">
            <v>前端框</v>
          </cell>
        </row>
        <row r="8020">
          <cell r="D8020" t="str">
            <v>DD-J10-55165-703</v>
          </cell>
          <cell r="E8020" t="str">
            <v>摇臂</v>
          </cell>
        </row>
        <row r="8021">
          <cell r="D8021" t="str">
            <v>DD-J10-55165-703</v>
          </cell>
          <cell r="E8021" t="str">
            <v>摇臂</v>
          </cell>
        </row>
        <row r="8022">
          <cell r="D8022" t="str">
            <v>BC5333100-007-001</v>
          </cell>
          <cell r="E8022" t="str">
            <v>下大梁</v>
          </cell>
        </row>
        <row r="8023">
          <cell r="D8023" t="str">
            <v>BC5333100-007-001</v>
          </cell>
          <cell r="E8023" t="str">
            <v>下大梁</v>
          </cell>
        </row>
        <row r="8024">
          <cell r="D8024" t="str">
            <v>DD-J10-34103-4</v>
          </cell>
          <cell r="E8024" t="str">
            <v>上边肋</v>
          </cell>
        </row>
        <row r="8025">
          <cell r="D8025" t="str">
            <v>DD-J10-34103-4</v>
          </cell>
          <cell r="E8025" t="str">
            <v>上边肋</v>
          </cell>
        </row>
        <row r="8026">
          <cell r="D8026" t="str">
            <v>DD-J10-34103-4</v>
          </cell>
          <cell r="E8026" t="str">
            <v>上边肋</v>
          </cell>
        </row>
        <row r="8027">
          <cell r="D8027" t="str">
            <v>DD-J10B-02041-202G2</v>
          </cell>
          <cell r="E8027" t="str">
            <v>地板</v>
          </cell>
        </row>
        <row r="8028">
          <cell r="D8028" t="str">
            <v>DD-J10B-04321-30-1-Y</v>
          </cell>
          <cell r="E8028" t="str">
            <v>侧下梁（右件）</v>
          </cell>
        </row>
        <row r="8029">
          <cell r="D8029" t="str">
            <v>DD-J10B-34303-4</v>
          </cell>
          <cell r="E8029" t="str">
            <v>支座</v>
          </cell>
        </row>
        <row r="8030">
          <cell r="D8030" t="str">
            <v>DD-J10B-34303-4</v>
          </cell>
          <cell r="E8030" t="str">
            <v>支座</v>
          </cell>
        </row>
        <row r="8031">
          <cell r="D8031" t="str">
            <v>DD-J10B-34303-4</v>
          </cell>
          <cell r="E8031" t="str">
            <v>支座</v>
          </cell>
        </row>
        <row r="8032">
          <cell r="D8032" t="str">
            <v>DD-J10-21102-120-1-Y</v>
          </cell>
          <cell r="E8032" t="str">
            <v>9480梁（右件）</v>
          </cell>
        </row>
        <row r="8033">
          <cell r="D8033" t="str">
            <v>GU5716000-012L001</v>
          </cell>
          <cell r="E8033" t="str">
            <v>副翼2号挂点接头</v>
          </cell>
        </row>
        <row r="8034">
          <cell r="D8034" t="str">
            <v>GU5716000-012R001</v>
          </cell>
          <cell r="E8034" t="str">
            <v>副翼2号挂点接头</v>
          </cell>
        </row>
        <row r="8035">
          <cell r="D8035" t="str">
            <v>GU5715030-003R001</v>
          </cell>
          <cell r="E8035" t="str">
            <v>前缘20号肋</v>
          </cell>
        </row>
        <row r="8036">
          <cell r="D8036" t="str">
            <v>DD-J10B-02081-61-Z</v>
          </cell>
          <cell r="E8036" t="str">
            <v>角材</v>
          </cell>
        </row>
        <row r="8037">
          <cell r="D8037" t="str">
            <v>DD-J10B-02081-61-Z</v>
          </cell>
          <cell r="E8037" t="str">
            <v>角材</v>
          </cell>
        </row>
        <row r="8038">
          <cell r="D8038" t="str">
            <v>DD-J10B-02081-61-Z</v>
          </cell>
          <cell r="E8038" t="str">
            <v>角材</v>
          </cell>
        </row>
        <row r="8039">
          <cell r="D8039" t="str">
            <v>DD-J10B-02081-61-Z</v>
          </cell>
          <cell r="E8039" t="str">
            <v>角材</v>
          </cell>
        </row>
        <row r="8040">
          <cell r="D8040" t="str">
            <v>DD-J10B-02081-61-Y</v>
          </cell>
          <cell r="E8040" t="str">
            <v>角材</v>
          </cell>
        </row>
        <row r="8041">
          <cell r="D8041" t="str">
            <v>DD-J10B-02081-61-Y</v>
          </cell>
          <cell r="E8041" t="str">
            <v>角材</v>
          </cell>
        </row>
        <row r="8042">
          <cell r="D8042" t="str">
            <v>DD-J10B-02081-61-Y</v>
          </cell>
          <cell r="E8042" t="str">
            <v>角材</v>
          </cell>
        </row>
        <row r="8043">
          <cell r="D8043" t="str">
            <v>DD-J10-21102-60/-1/1-Y</v>
          </cell>
          <cell r="E8043" t="str">
            <v>11968下口盖</v>
          </cell>
        </row>
        <row r="8044">
          <cell r="D8044" t="str">
            <v>DD-J10-21102-60/-1/1-Y</v>
          </cell>
          <cell r="E8044" t="str">
            <v>11968下口盖</v>
          </cell>
        </row>
        <row r="8045">
          <cell r="D8045" t="str">
            <v>DD-J10-21102-60/-1/1-Y</v>
          </cell>
          <cell r="E8045" t="str">
            <v>11968下口盖</v>
          </cell>
        </row>
        <row r="8046">
          <cell r="D8046" t="str">
            <v>DD-J10-21102-60/-1/2-Y</v>
          </cell>
          <cell r="E8046" t="str">
            <v>11968下口盖</v>
          </cell>
        </row>
        <row r="8047">
          <cell r="D8047" t="str">
            <v>DD-J10-21102-60/-1/2-Y</v>
          </cell>
          <cell r="E8047" t="str">
            <v>11968下口盖</v>
          </cell>
        </row>
        <row r="8048">
          <cell r="D8048" t="str">
            <v>DD-J10-21102-60/-1/2-Y</v>
          </cell>
          <cell r="E8048" t="str">
            <v>11968下口盖</v>
          </cell>
        </row>
        <row r="8049">
          <cell r="D8049" t="str">
            <v>DD-J10-21102-60/-1/2-Z</v>
          </cell>
          <cell r="E8049" t="str">
            <v>11968下口盖</v>
          </cell>
        </row>
        <row r="8050">
          <cell r="D8050" t="str">
            <v>DD-J10-21102-60/-1/2-Z</v>
          </cell>
          <cell r="E8050" t="str">
            <v>11968下口盖</v>
          </cell>
        </row>
        <row r="8051">
          <cell r="D8051" t="str">
            <v>DD-J10-21102-60/-1/2-Z</v>
          </cell>
          <cell r="E8051" t="str">
            <v>11968下口盖</v>
          </cell>
        </row>
        <row r="8052">
          <cell r="D8052" t="str">
            <v>DD-J10-21102-60/-1/2-Z</v>
          </cell>
          <cell r="E8052" t="str">
            <v>11968下口盖</v>
          </cell>
        </row>
        <row r="8053">
          <cell r="D8053" t="str">
            <v>DD-J10-21102-60/-1/3-Z</v>
          </cell>
          <cell r="E8053" t="str">
            <v>11968下口盖</v>
          </cell>
        </row>
        <row r="8054">
          <cell r="D8054" t="str">
            <v>DD-J10-21102-60/-1/3-Z</v>
          </cell>
          <cell r="E8054" t="str">
            <v>11968下口盖</v>
          </cell>
        </row>
        <row r="8055">
          <cell r="D8055" t="str">
            <v>DD-J10-21102-60/-1/3-Z</v>
          </cell>
          <cell r="E8055" t="str">
            <v>11968下口盖</v>
          </cell>
        </row>
        <row r="8056">
          <cell r="D8056" t="str">
            <v>DD-J10-21102-60/-1/3-Y</v>
          </cell>
          <cell r="E8056" t="str">
            <v>11968下口盖</v>
          </cell>
        </row>
        <row r="8057">
          <cell r="D8057" t="str">
            <v>DD-J10-21102-60/-1/3-Y</v>
          </cell>
          <cell r="E8057" t="str">
            <v>11968下口盖</v>
          </cell>
        </row>
        <row r="8058">
          <cell r="D8058" t="str">
            <v>DD-J10-21102-60/-1/3-Y</v>
          </cell>
          <cell r="E8058" t="str">
            <v>11968下口盖</v>
          </cell>
        </row>
        <row r="8059">
          <cell r="D8059" t="str">
            <v>DD-J10-21102-60/-1/3-Y</v>
          </cell>
          <cell r="E8059" t="str">
            <v>11968下口盖</v>
          </cell>
        </row>
        <row r="8060">
          <cell r="D8060" t="str">
            <v>DD-J10-21102-60/-1/4-Z</v>
          </cell>
          <cell r="E8060" t="str">
            <v>11968下口盖</v>
          </cell>
        </row>
        <row r="8061">
          <cell r="D8061" t="str">
            <v>DD-J10-21102-60/-1/4-Z</v>
          </cell>
          <cell r="E8061" t="str">
            <v>11968下口盖</v>
          </cell>
        </row>
        <row r="8062">
          <cell r="D8062" t="str">
            <v>DD-J10-21102-60/-1/4-Z</v>
          </cell>
          <cell r="E8062" t="str">
            <v>11968下口盖</v>
          </cell>
        </row>
        <row r="8063">
          <cell r="D8063" t="str">
            <v>DD-J10-21102-271</v>
          </cell>
          <cell r="E8063" t="str">
            <v>3#上垫片</v>
          </cell>
        </row>
        <row r="8064">
          <cell r="D8064" t="str">
            <v>DD-J10-21102-271</v>
          </cell>
          <cell r="E8064" t="str">
            <v>3#上垫片</v>
          </cell>
        </row>
        <row r="8065">
          <cell r="D8065" t="str">
            <v>DD-J10-21102-271</v>
          </cell>
          <cell r="E8065" t="str">
            <v>3#上垫片</v>
          </cell>
        </row>
        <row r="8066">
          <cell r="D8066" t="str">
            <v>DD-J10-21102-272</v>
          </cell>
          <cell r="E8066" t="str">
            <v>3#下垫片</v>
          </cell>
        </row>
        <row r="8067">
          <cell r="D8067" t="str">
            <v>DD-J10-21102-272</v>
          </cell>
          <cell r="E8067" t="str">
            <v>3#下垫片</v>
          </cell>
        </row>
        <row r="8068">
          <cell r="D8068" t="str">
            <v>DD-J10-21102-272</v>
          </cell>
          <cell r="E8068" t="str">
            <v>3#下垫片</v>
          </cell>
        </row>
        <row r="8069">
          <cell r="D8069" t="str">
            <v>DD-J10-21102-273</v>
          </cell>
          <cell r="E8069" t="str">
            <v>4#上垫片</v>
          </cell>
        </row>
        <row r="8070">
          <cell r="D8070" t="str">
            <v>DD-J10-21102-273</v>
          </cell>
          <cell r="E8070" t="str">
            <v>4#上垫片</v>
          </cell>
        </row>
        <row r="8071">
          <cell r="D8071" t="str">
            <v>DD-J10-21102-274</v>
          </cell>
          <cell r="E8071" t="str">
            <v>4#下垫片</v>
          </cell>
        </row>
        <row r="8072">
          <cell r="D8072" t="str">
            <v>DD-J10-21102-274</v>
          </cell>
          <cell r="E8072" t="str">
            <v>4#下垫片</v>
          </cell>
        </row>
        <row r="8073">
          <cell r="D8073" t="str">
            <v>DD-J10-21102-274</v>
          </cell>
          <cell r="E8073" t="str">
            <v>4#下垫片</v>
          </cell>
        </row>
        <row r="8074">
          <cell r="D8074" t="str">
            <v>DD-J10B-02021-3/1-Z</v>
          </cell>
          <cell r="E8074" t="str">
            <v>雷达罩锁支座</v>
          </cell>
        </row>
        <row r="8075">
          <cell r="D8075" t="str">
            <v>DD-J10B-02021-3/1-Y</v>
          </cell>
          <cell r="E8075" t="str">
            <v>雷达罩锁支座</v>
          </cell>
        </row>
        <row r="8076">
          <cell r="D8076" t="str">
            <v>DD-J10B-02021-3/2-Z</v>
          </cell>
          <cell r="E8076" t="str">
            <v>雷达罩锁支座</v>
          </cell>
        </row>
        <row r="8077">
          <cell r="D8077" t="str">
            <v>DD-J10B-02021-3/2-Y</v>
          </cell>
          <cell r="E8077" t="str">
            <v>雷达罩锁支座</v>
          </cell>
        </row>
        <row r="8078">
          <cell r="D8078" t="str">
            <v>DD-J10B-34303-7G2</v>
          </cell>
          <cell r="E8078" t="str">
            <v>第1隔板</v>
          </cell>
        </row>
        <row r="8079">
          <cell r="D8079" t="str">
            <v>DD-J10B-34303-7G2</v>
          </cell>
          <cell r="E8079" t="str">
            <v>第1隔板</v>
          </cell>
        </row>
        <row r="8080">
          <cell r="D8080" t="str">
            <v>DD-J10B-34303-7G2</v>
          </cell>
          <cell r="E8080" t="str">
            <v>第1隔板</v>
          </cell>
        </row>
        <row r="8081">
          <cell r="D8081" t="str">
            <v>DD-J10B-34303-8G2</v>
          </cell>
          <cell r="E8081" t="str">
            <v>第2隔板</v>
          </cell>
        </row>
        <row r="8082">
          <cell r="D8082" t="str">
            <v>DD-J10B-34303-8G2</v>
          </cell>
          <cell r="E8082" t="str">
            <v>第2隔板</v>
          </cell>
        </row>
        <row r="8083">
          <cell r="D8083" t="str">
            <v>DD-J10B-34303-8G2</v>
          </cell>
          <cell r="E8083" t="str">
            <v>第2隔板</v>
          </cell>
        </row>
        <row r="8084">
          <cell r="D8084" t="str">
            <v>DD-J10B-34303-9G2</v>
          </cell>
          <cell r="E8084" t="str">
            <v>第3隔板</v>
          </cell>
        </row>
        <row r="8085">
          <cell r="D8085" t="str">
            <v>DD-J10B-34303-9G2</v>
          </cell>
          <cell r="E8085" t="str">
            <v>第3隔板</v>
          </cell>
        </row>
        <row r="8086">
          <cell r="D8086" t="str">
            <v>DD-J10B-34303-9G2</v>
          </cell>
          <cell r="E8086" t="str">
            <v>第3隔板</v>
          </cell>
        </row>
        <row r="8087">
          <cell r="D8087" t="str">
            <v>DD-J10B-34303-11G2</v>
          </cell>
          <cell r="E8087" t="str">
            <v>第4隔板</v>
          </cell>
        </row>
        <row r="8088">
          <cell r="D8088" t="str">
            <v>DD-J10B-34303-11G2</v>
          </cell>
          <cell r="E8088" t="str">
            <v>第4隔板</v>
          </cell>
        </row>
        <row r="8089">
          <cell r="D8089" t="str">
            <v>DD-J10B-34303-11G2</v>
          </cell>
          <cell r="E8089" t="str">
            <v>第4隔板</v>
          </cell>
        </row>
        <row r="8090">
          <cell r="D8090" t="str">
            <v>DD-J10B-34303-12G2</v>
          </cell>
          <cell r="E8090" t="str">
            <v>第5隔板</v>
          </cell>
        </row>
        <row r="8091">
          <cell r="D8091" t="str">
            <v>DD-J10B-34303-12G2</v>
          </cell>
          <cell r="E8091" t="str">
            <v>第5隔板</v>
          </cell>
        </row>
        <row r="8092">
          <cell r="D8092" t="str">
            <v>DD-J10B-34303-12G2</v>
          </cell>
          <cell r="E8092" t="str">
            <v>第5隔板</v>
          </cell>
        </row>
        <row r="8093">
          <cell r="D8093" t="str">
            <v>DD-J10B-34303-13G2</v>
          </cell>
          <cell r="E8093" t="str">
            <v>第6隔板</v>
          </cell>
        </row>
        <row r="8094">
          <cell r="D8094" t="str">
            <v>DD-J10B-34303-13G2</v>
          </cell>
          <cell r="E8094" t="str">
            <v>第6隔板</v>
          </cell>
        </row>
        <row r="8095">
          <cell r="D8095" t="str">
            <v>DD-J10B-34303-13G2</v>
          </cell>
          <cell r="E8095" t="str">
            <v>第6隔板</v>
          </cell>
        </row>
        <row r="8096">
          <cell r="D8096" t="str">
            <v>BC5333213-001-001</v>
          </cell>
          <cell r="E8096" t="str">
            <v>下大梁</v>
          </cell>
        </row>
        <row r="8097">
          <cell r="D8097" t="str">
            <v>BC5333213-001-001</v>
          </cell>
          <cell r="E8097" t="str">
            <v>下大梁</v>
          </cell>
        </row>
        <row r="8098">
          <cell r="D8098" t="str">
            <v>BC5333213-001-001</v>
          </cell>
          <cell r="E8098" t="str">
            <v>下大梁</v>
          </cell>
        </row>
        <row r="8099">
          <cell r="D8099" t="str">
            <v>BC5333213-001-001</v>
          </cell>
          <cell r="E8099" t="str">
            <v>下大梁</v>
          </cell>
        </row>
        <row r="8100">
          <cell r="D8100" t="str">
            <v>BC5337100-104R001</v>
          </cell>
          <cell r="E8100" t="str">
            <v>上受剪接头</v>
          </cell>
        </row>
        <row r="8101">
          <cell r="D8101" t="str">
            <v>BC5337100-104R001</v>
          </cell>
          <cell r="E8101" t="str">
            <v>上受剪接头</v>
          </cell>
        </row>
        <row r="8102">
          <cell r="D8102" t="str">
            <v>BC5337100-104R001</v>
          </cell>
          <cell r="E8102" t="str">
            <v>上受剪接头</v>
          </cell>
        </row>
        <row r="8103">
          <cell r="D8103" t="str">
            <v>BC5337100-104R001</v>
          </cell>
          <cell r="E8103" t="str">
            <v>上受剪接头</v>
          </cell>
        </row>
        <row r="8104">
          <cell r="D8104" t="str">
            <v>BC5337100-104R001</v>
          </cell>
          <cell r="E8104" t="str">
            <v>上受剪接头</v>
          </cell>
        </row>
        <row r="8105">
          <cell r="D8105" t="str">
            <v>BC5337100-104R001</v>
          </cell>
          <cell r="E8105" t="str">
            <v>上受剪接头</v>
          </cell>
        </row>
        <row r="8106">
          <cell r="D8106" t="str">
            <v>BC5337100-104R001</v>
          </cell>
          <cell r="E8106" t="str">
            <v>上受剪接头</v>
          </cell>
        </row>
        <row r="8107">
          <cell r="D8107" t="str">
            <v>BC5337100-104R001</v>
          </cell>
          <cell r="E8107" t="str">
            <v>上受剪接头</v>
          </cell>
        </row>
        <row r="8108">
          <cell r="D8108" t="str">
            <v>BC5337100-104R001</v>
          </cell>
          <cell r="E8108" t="str">
            <v>上受剪接头</v>
          </cell>
        </row>
        <row r="8109">
          <cell r="D8109" t="str">
            <v>BC5337100-105R001</v>
          </cell>
          <cell r="E8109" t="str">
            <v>中受剪接头</v>
          </cell>
        </row>
        <row r="8110">
          <cell r="D8110" t="str">
            <v>BC5337100-105R001</v>
          </cell>
          <cell r="E8110" t="str">
            <v>中受剪接头</v>
          </cell>
        </row>
        <row r="8111">
          <cell r="D8111" t="str">
            <v>BC5337100-105R001</v>
          </cell>
          <cell r="E8111" t="str">
            <v>中受剪接头</v>
          </cell>
        </row>
        <row r="8112">
          <cell r="D8112" t="str">
            <v>BC5337100-105R001</v>
          </cell>
          <cell r="E8112" t="str">
            <v>中受剪接头</v>
          </cell>
        </row>
        <row r="8113">
          <cell r="D8113" t="str">
            <v>BC5337100-105R001</v>
          </cell>
          <cell r="E8113" t="str">
            <v>中受剪接头</v>
          </cell>
        </row>
        <row r="8114">
          <cell r="D8114" t="str">
            <v>BC5337100-105R001</v>
          </cell>
          <cell r="E8114" t="str">
            <v>中受剪接头</v>
          </cell>
        </row>
        <row r="8115">
          <cell r="D8115" t="str">
            <v>BC5337100-105R001</v>
          </cell>
          <cell r="E8115" t="str">
            <v>中受剪接头</v>
          </cell>
        </row>
        <row r="8116">
          <cell r="D8116" t="str">
            <v>BC5337100-105R001</v>
          </cell>
          <cell r="E8116" t="str">
            <v>中受剪接头</v>
          </cell>
        </row>
        <row r="8117">
          <cell r="D8117" t="str">
            <v>BC5337100-105R001</v>
          </cell>
          <cell r="E8117" t="str">
            <v>中受剪接头</v>
          </cell>
        </row>
        <row r="8118">
          <cell r="D8118" t="str">
            <v>BC5337100-106R001</v>
          </cell>
          <cell r="E8118" t="str">
            <v>下受剪接头</v>
          </cell>
        </row>
        <row r="8119">
          <cell r="D8119" t="str">
            <v>BC5337100-106R001</v>
          </cell>
          <cell r="E8119" t="str">
            <v>下受剪接头</v>
          </cell>
        </row>
        <row r="8120">
          <cell r="D8120" t="str">
            <v>BC5337100-106R001</v>
          </cell>
          <cell r="E8120" t="str">
            <v>下受剪接头</v>
          </cell>
        </row>
        <row r="8121">
          <cell r="D8121" t="str">
            <v>BC5337100-106R001</v>
          </cell>
          <cell r="E8121" t="str">
            <v>下受剪接头</v>
          </cell>
        </row>
        <row r="8122">
          <cell r="D8122" t="str">
            <v>BC5337100-106R001</v>
          </cell>
          <cell r="E8122" t="str">
            <v>下受剪接头</v>
          </cell>
        </row>
        <row r="8123">
          <cell r="D8123" t="str">
            <v>BC5337100-106R001</v>
          </cell>
          <cell r="E8123" t="str">
            <v>下受剪接头</v>
          </cell>
        </row>
        <row r="8124">
          <cell r="D8124" t="str">
            <v>BC5337100-106R001</v>
          </cell>
          <cell r="E8124" t="str">
            <v>下受剪接头</v>
          </cell>
        </row>
        <row r="8125">
          <cell r="D8125" t="str">
            <v>BC5337100-106R001</v>
          </cell>
          <cell r="E8125" t="str">
            <v>下受剪接头</v>
          </cell>
        </row>
        <row r="8126">
          <cell r="D8126" t="str">
            <v>BC5337100-106R001</v>
          </cell>
          <cell r="E8126" t="str">
            <v>下受剪接头</v>
          </cell>
        </row>
        <row r="8127">
          <cell r="D8127" t="str">
            <v>DD-J10B-04501-10-1-Y</v>
          </cell>
          <cell r="E8127" t="str">
            <v>BL900侧梁</v>
          </cell>
        </row>
        <row r="8128">
          <cell r="D8128" t="str">
            <v>DD-J10B-04501-10-1-Y</v>
          </cell>
          <cell r="E8128" t="str">
            <v>BL900侧梁</v>
          </cell>
        </row>
        <row r="8129">
          <cell r="D8129" t="str">
            <v>DD-J10B-04501-10-1-Z</v>
          </cell>
          <cell r="E8129" t="str">
            <v>BL900侧梁</v>
          </cell>
        </row>
        <row r="8130">
          <cell r="D8130" t="str">
            <v>DD-J10B-04501-10-1-Z</v>
          </cell>
          <cell r="E8130" t="str">
            <v>BL900侧梁</v>
          </cell>
        </row>
        <row r="8131">
          <cell r="D8131" t="str">
            <v>DD-J10B-94061-1061/3</v>
          </cell>
          <cell r="E8131" t="str">
            <v>法兰盘</v>
          </cell>
        </row>
        <row r="8132">
          <cell r="D8132" t="str">
            <v>DD-J10B-94061-1061/3</v>
          </cell>
          <cell r="E8132" t="str">
            <v>法兰盘</v>
          </cell>
        </row>
        <row r="8133">
          <cell r="D8133" t="str">
            <v>DD-J10B-94076-2051</v>
          </cell>
          <cell r="E8133" t="str">
            <v>外套螺母</v>
          </cell>
        </row>
        <row r="8134">
          <cell r="D8134" t="str">
            <v>DD-J10B-94076-2051</v>
          </cell>
          <cell r="E8134" t="str">
            <v>外套螺母</v>
          </cell>
        </row>
        <row r="8135">
          <cell r="D8135" t="str">
            <v>DD-J10B-94076-2051</v>
          </cell>
          <cell r="E8135" t="str">
            <v>外套螺母</v>
          </cell>
        </row>
        <row r="8136">
          <cell r="D8136" t="str">
            <v>DD-J10-55015-4100-1</v>
          </cell>
          <cell r="E8136" t="str">
            <v>垫圈</v>
          </cell>
        </row>
        <row r="8137">
          <cell r="D8137" t="str">
            <v>DD-J10-41123-1111</v>
          </cell>
          <cell r="E8137" t="str">
            <v>销子</v>
          </cell>
        </row>
        <row r="8138">
          <cell r="D8138" t="str">
            <v>DD-J10-41123-1101</v>
          </cell>
          <cell r="E8138" t="str">
            <v>壳体</v>
          </cell>
        </row>
        <row r="8139">
          <cell r="D8139" t="str">
            <v>DD-J10B-41163-30-1</v>
          </cell>
          <cell r="E8139" t="str">
            <v>管子</v>
          </cell>
        </row>
        <row r="8140">
          <cell r="D8140" t="str">
            <v>CB2292121-003-001</v>
          </cell>
          <cell r="E8140" t="str">
            <v>衬套</v>
          </cell>
        </row>
        <row r="8141">
          <cell r="D8141" t="str">
            <v>CB22877Y5-009-002</v>
          </cell>
          <cell r="E8141" t="str">
            <v>轴</v>
          </cell>
        </row>
        <row r="8142">
          <cell r="D8142" t="str">
            <v>DD-J10-06031-404</v>
          </cell>
          <cell r="E8142" t="str">
            <v>支座</v>
          </cell>
        </row>
        <row r="8143">
          <cell r="D8143" t="str">
            <v>CB5350510-002-006</v>
          </cell>
          <cell r="E8143" t="str">
            <v>扶手支座</v>
          </cell>
        </row>
        <row r="8144">
          <cell r="D8144" t="str">
            <v>CB22837C2-002-001</v>
          </cell>
          <cell r="E8144" t="str">
            <v>法兰</v>
          </cell>
        </row>
        <row r="8145">
          <cell r="D8145" t="str">
            <v>CB5811300-003-001</v>
          </cell>
          <cell r="E8145" t="str">
            <v>转轴</v>
          </cell>
        </row>
        <row r="8146">
          <cell r="D8146" t="str">
            <v>CB5811100-010-001</v>
          </cell>
          <cell r="E8146" t="str">
            <v>螺栓</v>
          </cell>
        </row>
        <row r="8147">
          <cell r="D8147" t="str">
            <v>CB5811100-010-001</v>
          </cell>
          <cell r="E8147" t="str">
            <v>螺栓</v>
          </cell>
        </row>
        <row r="8148">
          <cell r="D8148" t="str">
            <v>CB5811200-003-001</v>
          </cell>
          <cell r="E8148" t="str">
            <v>长安装螺栓</v>
          </cell>
        </row>
        <row r="8149">
          <cell r="D8149" t="str">
            <v>CB5811200-003-001</v>
          </cell>
          <cell r="E8149" t="str">
            <v>长安装螺栓</v>
          </cell>
        </row>
        <row r="8150">
          <cell r="D8150" t="str">
            <v>CB5814000-004-001</v>
          </cell>
          <cell r="E8150" t="str">
            <v>垫圈</v>
          </cell>
        </row>
        <row r="8151">
          <cell r="D8151" t="str">
            <v>CB5814000-005-001</v>
          </cell>
          <cell r="E8151" t="str">
            <v>垫圈</v>
          </cell>
        </row>
        <row r="8152">
          <cell r="D8152" t="str">
            <v>CB5812000-028-001</v>
          </cell>
          <cell r="E8152" t="str">
            <v>螺栓</v>
          </cell>
        </row>
        <row r="8153">
          <cell r="D8153" t="str">
            <v>BC5812000-005-001</v>
          </cell>
          <cell r="E8153" t="str">
            <v>拨轴</v>
          </cell>
        </row>
        <row r="8154">
          <cell r="D8154" t="str">
            <v>BC5812000-005-001</v>
          </cell>
          <cell r="E8154" t="str">
            <v>拨轴</v>
          </cell>
        </row>
        <row r="8155">
          <cell r="D8155" t="str">
            <v>CB22877Y5N007-001</v>
          </cell>
          <cell r="E8155" t="str">
            <v>衬套</v>
          </cell>
        </row>
        <row r="8156">
          <cell r="D8156" t="str">
            <v>CB229C421-003-001</v>
          </cell>
          <cell r="E8156" t="str">
            <v>衬套</v>
          </cell>
        </row>
        <row r="8157">
          <cell r="D8157" t="str">
            <v>CB22847Y1N007-001</v>
          </cell>
          <cell r="E8157" t="str">
            <v>衬套</v>
          </cell>
        </row>
        <row r="8158">
          <cell r="D8158" t="str">
            <v>CB22847Y1-008-001</v>
          </cell>
          <cell r="E8158" t="str">
            <v>轴</v>
          </cell>
        </row>
        <row r="8159">
          <cell r="D8159" t="str">
            <v>CB2292182-003-001</v>
          </cell>
          <cell r="E8159" t="str">
            <v>衬套</v>
          </cell>
        </row>
        <row r="8160">
          <cell r="D8160" t="str">
            <v>DD-J10-55014-2144</v>
          </cell>
          <cell r="E8160" t="str">
            <v>挡片</v>
          </cell>
        </row>
        <row r="8161">
          <cell r="D8161" t="str">
            <v>DD-J10-55165-1510-2</v>
          </cell>
          <cell r="E8161" t="str">
            <v>衬套</v>
          </cell>
        </row>
        <row r="8162">
          <cell r="D8162" t="str">
            <v>DD-J10B-94086-1100-1</v>
          </cell>
          <cell r="E8162" t="str">
            <v>管子</v>
          </cell>
        </row>
        <row r="8163">
          <cell r="D8163" t="str">
            <v>DD-J10B-64016-600G2-1G2</v>
          </cell>
          <cell r="E8163" t="str">
            <v>短管</v>
          </cell>
        </row>
        <row r="8164">
          <cell r="D8164" t="str">
            <v>DD-J10-42074-30-1</v>
          </cell>
          <cell r="E8164" t="str">
            <v>管子</v>
          </cell>
        </row>
        <row r="8165">
          <cell r="D8165" t="str">
            <v>DD-J10-94011-570-3</v>
          </cell>
          <cell r="E8165" t="str">
            <v>管子</v>
          </cell>
        </row>
        <row r="8166">
          <cell r="D8166" t="str">
            <v>DD-J10-61101-1310-1</v>
          </cell>
          <cell r="E8166" t="str">
            <v>导管</v>
          </cell>
        </row>
        <row r="8167">
          <cell r="D8167" t="str">
            <v>DD-J10B-86031-510-3</v>
          </cell>
          <cell r="E8167" t="str">
            <v>套管</v>
          </cell>
        </row>
        <row r="8168">
          <cell r="D8168" t="str">
            <v>DD-J10B-86031-510-4</v>
          </cell>
          <cell r="E8168" t="str">
            <v>套管</v>
          </cell>
        </row>
        <row r="8169">
          <cell r="D8169" t="str">
            <v>DD-J10-41123-1103</v>
          </cell>
          <cell r="E8169" t="str">
            <v>螺帽</v>
          </cell>
        </row>
        <row r="8170">
          <cell r="D8170" t="str">
            <v>DD-J10-96031-130-1</v>
          </cell>
          <cell r="E8170" t="str">
            <v>管子</v>
          </cell>
        </row>
        <row r="8171">
          <cell r="D8171" t="str">
            <v>DD-J10-96031-130-1</v>
          </cell>
          <cell r="E8171" t="str">
            <v>管子</v>
          </cell>
        </row>
        <row r="8172">
          <cell r="D8172" t="str">
            <v>DD-J10-96031-121</v>
          </cell>
          <cell r="E8172" t="str">
            <v>销棒</v>
          </cell>
        </row>
        <row r="8173">
          <cell r="D8173" t="str">
            <v>DD-J10-96031-121</v>
          </cell>
          <cell r="E8173" t="str">
            <v>销棒</v>
          </cell>
        </row>
        <row r="8174">
          <cell r="D8174" t="str">
            <v>DD-J10-41123-1112</v>
          </cell>
          <cell r="E8174" t="str">
            <v>拨棍</v>
          </cell>
        </row>
        <row r="8175">
          <cell r="D8175" t="str">
            <v>DD-J10-41153-130-2</v>
          </cell>
          <cell r="E8175" t="str">
            <v>管子</v>
          </cell>
        </row>
        <row r="8176">
          <cell r="D8176" t="str">
            <v>DD-J10B-41163-30-3</v>
          </cell>
          <cell r="E8176" t="str">
            <v>片</v>
          </cell>
        </row>
        <row r="8177">
          <cell r="D8177" t="str">
            <v>DD-J10B-41163-30-3</v>
          </cell>
          <cell r="E8177" t="str">
            <v>片</v>
          </cell>
        </row>
        <row r="8178">
          <cell r="D8178" t="str">
            <v>DD-J10B-41163-30-3</v>
          </cell>
          <cell r="E8178" t="str">
            <v>片</v>
          </cell>
        </row>
        <row r="8179">
          <cell r="D8179" t="str">
            <v>DD-J10-42074-20-1</v>
          </cell>
          <cell r="E8179" t="str">
            <v>管子</v>
          </cell>
        </row>
        <row r="8180">
          <cell r="D8180" t="str">
            <v>DD-J10-55181-2710-4</v>
          </cell>
          <cell r="E8180" t="str">
            <v>管</v>
          </cell>
        </row>
        <row r="8181">
          <cell r="D8181" t="str">
            <v>DD-J10B-68095-1710-3-Y</v>
          </cell>
          <cell r="E8181" t="str">
            <v>钢管</v>
          </cell>
        </row>
        <row r="8182">
          <cell r="D8182" t="str">
            <v>BC5333110-001R001</v>
          </cell>
          <cell r="E8182" t="str">
            <v>上大梁前段</v>
          </cell>
        </row>
        <row r="8183">
          <cell r="D8183" t="str">
            <v>BC5333110-001R001</v>
          </cell>
          <cell r="E8183" t="str">
            <v>上大梁前段</v>
          </cell>
        </row>
        <row r="8184">
          <cell r="D8184" t="str">
            <v>BC5333110-001R001</v>
          </cell>
          <cell r="E8184" t="str">
            <v>上大梁前段</v>
          </cell>
        </row>
        <row r="8185">
          <cell r="D8185" t="str">
            <v>BC5333110-001R001</v>
          </cell>
          <cell r="E8185" t="str">
            <v>上大梁前段</v>
          </cell>
        </row>
        <row r="8186">
          <cell r="D8186" t="str">
            <v>BC5333110-001L001</v>
          </cell>
          <cell r="E8186" t="str">
            <v>上大梁前段</v>
          </cell>
        </row>
        <row r="8187">
          <cell r="D8187" t="str">
            <v>BC5333110-001L001</v>
          </cell>
          <cell r="E8187" t="str">
            <v>上大梁前段</v>
          </cell>
        </row>
        <row r="8188">
          <cell r="D8188" t="str">
            <v>BC5333110-001L001</v>
          </cell>
          <cell r="E8188" t="str">
            <v>上大梁前段</v>
          </cell>
        </row>
        <row r="8189">
          <cell r="D8189" t="str">
            <v>BC5333110-001L001</v>
          </cell>
          <cell r="E8189" t="str">
            <v>上大梁前段</v>
          </cell>
        </row>
        <row r="8190">
          <cell r="D8190" t="str">
            <v>BC5333100-006L001</v>
          </cell>
          <cell r="E8190" t="str">
            <v>口框梁</v>
          </cell>
        </row>
        <row r="8191">
          <cell r="D8191" t="str">
            <v>BC5333100-006L001</v>
          </cell>
          <cell r="E8191" t="str">
            <v>口框梁</v>
          </cell>
        </row>
        <row r="8192">
          <cell r="D8192" t="str">
            <v>BC5333100-006L001</v>
          </cell>
          <cell r="E8192" t="str">
            <v>口框梁</v>
          </cell>
        </row>
        <row r="8193">
          <cell r="D8193" t="str">
            <v>BC5333100-006L001</v>
          </cell>
          <cell r="E8193" t="str">
            <v>口框梁</v>
          </cell>
        </row>
        <row r="8194">
          <cell r="D8194" t="str">
            <v>BC5333100-006L001</v>
          </cell>
          <cell r="E8194" t="str">
            <v>口框梁</v>
          </cell>
        </row>
        <row r="8195">
          <cell r="D8195" t="str">
            <v>BC5333100-006R001</v>
          </cell>
          <cell r="E8195" t="str">
            <v>口框梁</v>
          </cell>
        </row>
        <row r="8196">
          <cell r="D8196" t="str">
            <v>BC5333100-006R001</v>
          </cell>
          <cell r="E8196" t="str">
            <v>口框梁</v>
          </cell>
        </row>
        <row r="8197">
          <cell r="D8197" t="str">
            <v>BC5332100-009-001</v>
          </cell>
          <cell r="E8197" t="str">
            <v>滑轨支座</v>
          </cell>
        </row>
        <row r="8198">
          <cell r="D8198" t="str">
            <v>BC5332100-009-001</v>
          </cell>
          <cell r="E8198" t="str">
            <v>滑轨支座</v>
          </cell>
        </row>
        <row r="8199">
          <cell r="D8199" t="str">
            <v>BC5332100-009-001</v>
          </cell>
          <cell r="E8199" t="str">
            <v>滑轨支座</v>
          </cell>
        </row>
        <row r="8200">
          <cell r="D8200" t="str">
            <v>BC5332100-009-001</v>
          </cell>
          <cell r="E8200" t="str">
            <v>滑轨支座</v>
          </cell>
        </row>
        <row r="8201">
          <cell r="D8201" t="str">
            <v>BC5332100-009-001</v>
          </cell>
          <cell r="E8201" t="str">
            <v>滑轨支座</v>
          </cell>
        </row>
        <row r="8202">
          <cell r="D8202" t="str">
            <v>CB5322400-016-061</v>
          </cell>
          <cell r="E8202" t="str">
            <v>11140框左下半框</v>
          </cell>
        </row>
        <row r="8203">
          <cell r="D8203" t="str">
            <v>CB5322400-016-061</v>
          </cell>
          <cell r="E8203" t="str">
            <v>11140框左下半框</v>
          </cell>
        </row>
        <row r="8204">
          <cell r="D8204" t="str">
            <v>CB5322400-016-061</v>
          </cell>
          <cell r="E8204" t="str">
            <v>11140框左下半框</v>
          </cell>
        </row>
        <row r="8205">
          <cell r="D8205" t="str">
            <v>CB5322400-016-061</v>
          </cell>
          <cell r="E8205" t="str">
            <v>11140框左下半框</v>
          </cell>
        </row>
        <row r="8206">
          <cell r="D8206" t="str">
            <v>CB5322400-017-061</v>
          </cell>
          <cell r="E8206" t="str">
            <v>11140框右下半框</v>
          </cell>
        </row>
        <row r="8207">
          <cell r="D8207" t="str">
            <v>CB5322400-017-061</v>
          </cell>
          <cell r="E8207" t="str">
            <v>11140框右下半框</v>
          </cell>
        </row>
        <row r="8208">
          <cell r="D8208" t="str">
            <v>CB5322400-017-061</v>
          </cell>
          <cell r="E8208" t="str">
            <v>11140框右下半框</v>
          </cell>
        </row>
        <row r="8209">
          <cell r="D8209" t="str">
            <v>CB5322400-017-061</v>
          </cell>
          <cell r="E8209" t="str">
            <v>11140框右下半框</v>
          </cell>
        </row>
        <row r="8210">
          <cell r="D8210" t="str">
            <v>DD-J10B-94061-1061/1</v>
          </cell>
          <cell r="E8210" t="str">
            <v>法兰盘</v>
          </cell>
        </row>
        <row r="8211">
          <cell r="D8211" t="str">
            <v>DD-J10B-94061-1061/1</v>
          </cell>
          <cell r="E8211" t="str">
            <v>法兰盘</v>
          </cell>
        </row>
        <row r="8212">
          <cell r="D8212" t="str">
            <v>DD-J10B-94061-1061/2</v>
          </cell>
          <cell r="E8212" t="str">
            <v>法兰盘</v>
          </cell>
        </row>
        <row r="8213">
          <cell r="D8213" t="str">
            <v>DD-J10B-94061-1061/2</v>
          </cell>
          <cell r="E8213" t="str">
            <v>法兰盘</v>
          </cell>
        </row>
        <row r="8214">
          <cell r="D8214" t="str">
            <v>DD-J10B-94076-2051</v>
          </cell>
          <cell r="E8214" t="str">
            <v>外套螺母</v>
          </cell>
        </row>
        <row r="8215">
          <cell r="D8215" t="str">
            <v>DD-J10B-94076-2031/3</v>
          </cell>
          <cell r="E8215" t="str">
            <v>接管嘴</v>
          </cell>
        </row>
        <row r="8216">
          <cell r="D8216" t="str">
            <v>DD-J10B-94076-2031/3</v>
          </cell>
          <cell r="E8216" t="str">
            <v>接管嘴</v>
          </cell>
        </row>
        <row r="8217">
          <cell r="D8217" t="str">
            <v>DD-J10-55023-632</v>
          </cell>
          <cell r="E8217" t="str">
            <v>小衬套</v>
          </cell>
        </row>
        <row r="8218">
          <cell r="D8218" t="str">
            <v>DD-J10-86011-3100-3</v>
          </cell>
          <cell r="E8218" t="str">
            <v>凸台</v>
          </cell>
        </row>
        <row r="8219">
          <cell r="D8219" t="str">
            <v>DD-J10B-94061-520-2</v>
          </cell>
          <cell r="E8219" t="str">
            <v>衬套</v>
          </cell>
        </row>
        <row r="8220">
          <cell r="D8220" t="str">
            <v>DD-J10B-94076-620-4</v>
          </cell>
          <cell r="E8220" t="str">
            <v>衬套</v>
          </cell>
        </row>
        <row r="8221">
          <cell r="D8221" t="str">
            <v>J10B-26002-100G2-1G2-Y</v>
          </cell>
          <cell r="E8221" t="str">
            <v>翼尖接头</v>
          </cell>
        </row>
        <row r="8222">
          <cell r="D8222" t="str">
            <v>J10B-26002-100G2-1G2-Y</v>
          </cell>
          <cell r="E8222" t="str">
            <v>翼尖接头</v>
          </cell>
        </row>
        <row r="8223">
          <cell r="D8223" t="str">
            <v>J10B-26002-100G2-1G2-Y</v>
          </cell>
          <cell r="E8223" t="str">
            <v>翼尖接头</v>
          </cell>
        </row>
        <row r="8224">
          <cell r="D8224" t="str">
            <v>J10B-26002-100G2-1G2-Y</v>
          </cell>
          <cell r="E8224" t="str">
            <v>翼尖接头</v>
          </cell>
        </row>
        <row r="8225">
          <cell r="D8225" t="str">
            <v>J10B-26002-100G2-1G2-Y</v>
          </cell>
          <cell r="E8225" t="str">
            <v>翼尖接头</v>
          </cell>
        </row>
        <row r="8226">
          <cell r="D8226" t="str">
            <v>J10B-26002-100G2-1G2-Z</v>
          </cell>
          <cell r="E8226" t="str">
            <v>翼尖接头</v>
          </cell>
        </row>
        <row r="8227">
          <cell r="D8227" t="str">
            <v>J10B-26002-100G2-1G2-Z</v>
          </cell>
          <cell r="E8227" t="str">
            <v>翼尖接头</v>
          </cell>
        </row>
        <row r="8228">
          <cell r="D8228" t="str">
            <v>J10B-26002-100G2-1G2-Z</v>
          </cell>
          <cell r="E8228" t="str">
            <v>翼尖接头</v>
          </cell>
        </row>
        <row r="8229">
          <cell r="D8229" t="str">
            <v>DD-J10B-02081-404</v>
          </cell>
          <cell r="E8229" t="str">
            <v>支座</v>
          </cell>
        </row>
        <row r="8230">
          <cell r="D8230" t="str">
            <v>DD-J10B-02081-404</v>
          </cell>
          <cell r="E8230" t="str">
            <v>支座</v>
          </cell>
        </row>
        <row r="8231">
          <cell r="D8231" t="str">
            <v>DD-J10B-02081-404</v>
          </cell>
          <cell r="E8231" t="str">
            <v>支座</v>
          </cell>
        </row>
        <row r="8232">
          <cell r="D8232" t="str">
            <v>DD-J10B-02181-6-Z</v>
          </cell>
          <cell r="E8232" t="str">
            <v>盒子</v>
          </cell>
        </row>
        <row r="8233">
          <cell r="D8233" t="str">
            <v>DD-J10B-02181-6-Z</v>
          </cell>
          <cell r="E8233" t="str">
            <v>盒子</v>
          </cell>
        </row>
        <row r="8234">
          <cell r="D8234" t="str">
            <v>DD-J10B-02181-6-Y</v>
          </cell>
          <cell r="E8234" t="str">
            <v>盒子</v>
          </cell>
        </row>
        <row r="8235">
          <cell r="D8235" t="str">
            <v>DD-J10B-02181-6-Y</v>
          </cell>
          <cell r="E8235" t="str">
            <v>盒子</v>
          </cell>
        </row>
        <row r="8236">
          <cell r="D8236" t="str">
            <v>DD-J10-06051-24</v>
          </cell>
          <cell r="E8236" t="str">
            <v>手柄</v>
          </cell>
        </row>
        <row r="8237">
          <cell r="D8237" t="str">
            <v>DD-J10-06051-24</v>
          </cell>
          <cell r="E8237" t="str">
            <v>手柄</v>
          </cell>
        </row>
        <row r="8238">
          <cell r="D8238" t="str">
            <v>DD-J10-55051-6110-1</v>
          </cell>
          <cell r="E8238" t="str">
            <v>三通接头</v>
          </cell>
        </row>
        <row r="8239">
          <cell r="D8239" t="str">
            <v>DD-J10-04401-103</v>
          </cell>
          <cell r="E8239" t="str">
            <v>接头</v>
          </cell>
        </row>
        <row r="8240">
          <cell r="D8240" t="str">
            <v>DD-J10-04401-103</v>
          </cell>
          <cell r="E8240" t="str">
            <v>接头</v>
          </cell>
        </row>
        <row r="8241">
          <cell r="D8241" t="str">
            <v>DD-J10-04401-104</v>
          </cell>
          <cell r="E8241" t="str">
            <v>接头</v>
          </cell>
        </row>
        <row r="8242">
          <cell r="D8242" t="str">
            <v>DD-J10-04401-104</v>
          </cell>
          <cell r="E8242" t="str">
            <v>接头</v>
          </cell>
        </row>
        <row r="8243">
          <cell r="D8243" t="str">
            <v>DD-J10-54101-201</v>
          </cell>
          <cell r="E8243" t="str">
            <v>支座</v>
          </cell>
        </row>
        <row r="8244">
          <cell r="D8244" t="str">
            <v>BC221P2LF-002-001</v>
          </cell>
          <cell r="E8244" t="str">
            <v>传感器底座</v>
          </cell>
        </row>
        <row r="8245">
          <cell r="D8245" t="str">
            <v>CB22956R0-001L001</v>
          </cell>
          <cell r="E8245" t="str">
            <v>架子</v>
          </cell>
        </row>
        <row r="8246">
          <cell r="D8246" t="str">
            <v>CB22956R0-001R001</v>
          </cell>
          <cell r="E8246" t="str">
            <v>架子</v>
          </cell>
        </row>
        <row r="8247">
          <cell r="D8247" t="str">
            <v>BC5702200-003R002-TZ</v>
          </cell>
          <cell r="E8247" t="str">
            <v>前框</v>
          </cell>
        </row>
        <row r="8248">
          <cell r="D8248" t="str">
            <v>DD-J10-21102-120-1-Z</v>
          </cell>
          <cell r="E8248" t="str">
            <v>9480梁（左件）</v>
          </cell>
        </row>
        <row r="8249">
          <cell r="D8249" t="str">
            <v>DD-J10B-02161-501</v>
          </cell>
          <cell r="E8249" t="str">
            <v>5755横框</v>
          </cell>
        </row>
        <row r="8250">
          <cell r="D8250" t="str">
            <v>DD-J10B-04061-1</v>
          </cell>
          <cell r="E8250" t="str">
            <v>10860框</v>
          </cell>
        </row>
        <row r="8251">
          <cell r="D8251" t="str">
            <v>DD-J10B-04061-1</v>
          </cell>
          <cell r="E8251" t="str">
            <v>10860框</v>
          </cell>
        </row>
        <row r="8252">
          <cell r="D8252" t="str">
            <v>DD-J10B-04061-1</v>
          </cell>
          <cell r="E8252" t="str">
            <v>10860框</v>
          </cell>
        </row>
        <row r="8253">
          <cell r="D8253" t="str">
            <v>DD-J10B-04041-1</v>
          </cell>
          <cell r="E8253" t="str">
            <v>10060框</v>
          </cell>
        </row>
        <row r="8254">
          <cell r="D8254" t="str">
            <v>DD-J10B-04041-1</v>
          </cell>
          <cell r="E8254" t="str">
            <v>10060框</v>
          </cell>
        </row>
        <row r="8255">
          <cell r="D8255" t="str">
            <v>DD-J10B-04041-1</v>
          </cell>
          <cell r="E8255" t="str">
            <v>10060框</v>
          </cell>
        </row>
        <row r="8256">
          <cell r="D8256" t="str">
            <v>DD-J10B-26002-1G2-Z</v>
          </cell>
          <cell r="E8256" t="str">
            <v>梁（左件）</v>
          </cell>
        </row>
        <row r="8257">
          <cell r="D8257" t="str">
            <v>DD-J10B-26002-1G2-Z</v>
          </cell>
          <cell r="E8257" t="str">
            <v>梁（左件）</v>
          </cell>
        </row>
        <row r="8258">
          <cell r="D8258" t="str">
            <v>DD-J10B-26002-1G2-Z</v>
          </cell>
          <cell r="E8258" t="str">
            <v>梁（左件）</v>
          </cell>
        </row>
        <row r="8259">
          <cell r="D8259" t="str">
            <v>DD-J10B-26002-1G2-Y</v>
          </cell>
          <cell r="E8259" t="str">
            <v>梁（右件）</v>
          </cell>
        </row>
        <row r="8260">
          <cell r="D8260" t="str">
            <v>DD-J10B-26002-1G2-Y</v>
          </cell>
          <cell r="E8260" t="str">
            <v>梁（右件）</v>
          </cell>
        </row>
        <row r="8261">
          <cell r="D8261" t="str">
            <v>DD-J10B-26002-1G2-Y</v>
          </cell>
          <cell r="E8261" t="str">
            <v>梁（右件）</v>
          </cell>
        </row>
        <row r="8262">
          <cell r="D8262" t="str">
            <v>CB5327120-003L006</v>
          </cell>
          <cell r="E8262" t="str">
            <v>8270侧隔框</v>
          </cell>
        </row>
        <row r="8263">
          <cell r="D8263" t="str">
            <v>CB5327120-003L006</v>
          </cell>
          <cell r="E8263" t="str">
            <v>8270侧隔框</v>
          </cell>
        </row>
        <row r="8264">
          <cell r="D8264" t="str">
            <v>CB5327120-003L006</v>
          </cell>
          <cell r="E8264" t="str">
            <v>8270侧隔框</v>
          </cell>
        </row>
        <row r="8265">
          <cell r="D8265" t="str">
            <v>CB5327120-003R006</v>
          </cell>
          <cell r="E8265" t="str">
            <v>8270侧隔框</v>
          </cell>
        </row>
        <row r="8266">
          <cell r="D8266" t="str">
            <v>CB5327120-003R006</v>
          </cell>
          <cell r="E8266" t="str">
            <v>8270侧隔框</v>
          </cell>
        </row>
        <row r="8267">
          <cell r="D8267" t="str">
            <v>CB5327120-003R006</v>
          </cell>
          <cell r="E8267" t="str">
            <v>8270侧隔框</v>
          </cell>
        </row>
        <row r="8268">
          <cell r="D8268" t="str">
            <v>CB5327110-003L002</v>
          </cell>
          <cell r="E8268" t="str">
            <v>8635左隔框</v>
          </cell>
        </row>
        <row r="8269">
          <cell r="D8269" t="str">
            <v>CB5327110-003R002</v>
          </cell>
          <cell r="E8269" t="str">
            <v>8635右隔框</v>
          </cell>
        </row>
        <row r="8270">
          <cell r="D8270" t="str">
            <v>CB5314240-012-003</v>
          </cell>
          <cell r="E8270" t="str">
            <v>后顶板</v>
          </cell>
        </row>
        <row r="8271">
          <cell r="D8271" t="str">
            <v>CB5314240-012-003</v>
          </cell>
          <cell r="E8271" t="str">
            <v>后顶板</v>
          </cell>
        </row>
        <row r="8272">
          <cell r="D8272" t="str">
            <v>CB5314240-012-003</v>
          </cell>
          <cell r="E8272" t="str">
            <v>后顶板</v>
          </cell>
        </row>
        <row r="8273">
          <cell r="D8273" t="str">
            <v>CB5314240-012-003</v>
          </cell>
          <cell r="E8273" t="str">
            <v>后顶板</v>
          </cell>
        </row>
        <row r="8274">
          <cell r="D8274" t="str">
            <v>CB5314240-012-003</v>
          </cell>
          <cell r="E8274" t="str">
            <v>后顶板</v>
          </cell>
        </row>
        <row r="8275">
          <cell r="D8275" t="str">
            <v>DD-J10B-04321-30-1-Z</v>
          </cell>
          <cell r="E8275" t="str">
            <v>侧下梁（精加工）</v>
          </cell>
        </row>
        <row r="8276">
          <cell r="D8276" t="str">
            <v>DD-J10B-04321-30-1-Z</v>
          </cell>
          <cell r="E8276" t="str">
            <v>侧下梁</v>
          </cell>
        </row>
        <row r="8277">
          <cell r="D8277" t="str">
            <v>DD-J10B-04321-30-1-Y</v>
          </cell>
          <cell r="E8277" t="str">
            <v>侧下梁</v>
          </cell>
        </row>
        <row r="8278">
          <cell r="D8278" t="str">
            <v>DD-J10-05076-20-1-Z</v>
          </cell>
          <cell r="E8278" t="str">
            <v>梁</v>
          </cell>
        </row>
        <row r="8279">
          <cell r="D8279" t="str">
            <v>DD-J10-05076-20-1-Z</v>
          </cell>
          <cell r="E8279" t="str">
            <v>梁</v>
          </cell>
        </row>
        <row r="8280">
          <cell r="D8280" t="str">
            <v>DD-J10-05076-20-1-Z</v>
          </cell>
          <cell r="E8280" t="str">
            <v>梁</v>
          </cell>
        </row>
        <row r="8281">
          <cell r="D8281" t="str">
            <v>DD-J10-05076-20-1-Y</v>
          </cell>
          <cell r="E8281" t="str">
            <v>梁</v>
          </cell>
        </row>
        <row r="8282">
          <cell r="D8282" t="str">
            <v>DD-J10-05076-20-1-Y</v>
          </cell>
          <cell r="E8282" t="str">
            <v>梁</v>
          </cell>
        </row>
        <row r="8283">
          <cell r="D8283" t="str">
            <v>DD-J10-05076-20-1-Y</v>
          </cell>
          <cell r="E8283" t="str">
            <v>梁</v>
          </cell>
        </row>
        <row r="8284">
          <cell r="D8284" t="str">
            <v>DD-J10-05086-30-1-Z</v>
          </cell>
          <cell r="E8284" t="str">
            <v>梁</v>
          </cell>
        </row>
        <row r="8285">
          <cell r="D8285" t="str">
            <v>DD-J10-05086-30-1-Z</v>
          </cell>
          <cell r="E8285" t="str">
            <v>梁</v>
          </cell>
        </row>
        <row r="8286">
          <cell r="D8286" t="str">
            <v>DD-J10-05086-30-1-Z</v>
          </cell>
          <cell r="E8286" t="str">
            <v>梁</v>
          </cell>
        </row>
        <row r="8287">
          <cell r="D8287" t="str">
            <v>DD-J10-05086-30-1-Y</v>
          </cell>
          <cell r="E8287" t="str">
            <v>梁</v>
          </cell>
        </row>
        <row r="8288">
          <cell r="D8288" t="str">
            <v>DD-J10-05086-30-1-Y</v>
          </cell>
          <cell r="E8288" t="str">
            <v>梁</v>
          </cell>
        </row>
        <row r="8289">
          <cell r="D8289" t="str">
            <v>DD-J10-05086-30-1-Y</v>
          </cell>
          <cell r="E8289" t="str">
            <v>梁</v>
          </cell>
        </row>
        <row r="8290">
          <cell r="D8290" t="str">
            <v>DD-J10-05086-20-1-Z</v>
          </cell>
          <cell r="E8290" t="str">
            <v>梁</v>
          </cell>
        </row>
        <row r="8291">
          <cell r="D8291" t="str">
            <v>DD-J10-05086-20-1-Z</v>
          </cell>
          <cell r="E8291" t="str">
            <v>梁</v>
          </cell>
        </row>
        <row r="8292">
          <cell r="D8292" t="str">
            <v>DD-J10-05086-20-1-Z</v>
          </cell>
          <cell r="E8292" t="str">
            <v>梁</v>
          </cell>
        </row>
        <row r="8293">
          <cell r="D8293" t="str">
            <v>DD-J10-05086-20-1-Y</v>
          </cell>
          <cell r="E8293" t="str">
            <v>梁</v>
          </cell>
        </row>
        <row r="8294">
          <cell r="D8294" t="str">
            <v>DD-J10-05086-20-1-Y</v>
          </cell>
          <cell r="E8294" t="str">
            <v>梁</v>
          </cell>
        </row>
        <row r="8295">
          <cell r="D8295" t="str">
            <v>DD-J10-05086-20-1-Y</v>
          </cell>
          <cell r="E8295" t="str">
            <v>梁</v>
          </cell>
        </row>
        <row r="8296">
          <cell r="D8296" t="str">
            <v>DD-J10-05076-30-1-Z</v>
          </cell>
          <cell r="E8296" t="str">
            <v>梁</v>
          </cell>
        </row>
        <row r="8297">
          <cell r="D8297" t="str">
            <v>DD-J10-05076-30-1-Z</v>
          </cell>
          <cell r="E8297" t="str">
            <v>梁</v>
          </cell>
        </row>
        <row r="8298">
          <cell r="D8298" t="str">
            <v>DD-J10-05076-30-1-Z</v>
          </cell>
          <cell r="E8298" t="str">
            <v>梁</v>
          </cell>
        </row>
        <row r="8299">
          <cell r="D8299" t="str">
            <v>DD-J10-05076-30-1-Y</v>
          </cell>
          <cell r="E8299" t="str">
            <v>梁</v>
          </cell>
        </row>
        <row r="8300">
          <cell r="D8300" t="str">
            <v>DD-J10-05076-30-1-Y</v>
          </cell>
          <cell r="E8300" t="str">
            <v>梁</v>
          </cell>
        </row>
        <row r="8301">
          <cell r="D8301" t="str">
            <v>DD-J10-05076-30-1-Y</v>
          </cell>
          <cell r="E8301" t="str">
            <v>梁</v>
          </cell>
        </row>
        <row r="8302">
          <cell r="D8302" t="str">
            <v>BC5711304-001R002</v>
          </cell>
          <cell r="E8302" t="str">
            <v>口盖</v>
          </cell>
        </row>
        <row r="8303">
          <cell r="D8303" t="str">
            <v>BC5711304-001R002</v>
          </cell>
          <cell r="E8303" t="str">
            <v>口盖</v>
          </cell>
        </row>
        <row r="8304">
          <cell r="D8304" t="str">
            <v>BC5711304-001R002</v>
          </cell>
          <cell r="E8304" t="str">
            <v>口盖</v>
          </cell>
        </row>
        <row r="8305">
          <cell r="D8305" t="str">
            <v>BC5711304-001R002</v>
          </cell>
          <cell r="E8305" t="str">
            <v>口盖</v>
          </cell>
        </row>
        <row r="8306">
          <cell r="D8306" t="str">
            <v>BC5711304-001R002</v>
          </cell>
          <cell r="E8306" t="str">
            <v>口盖</v>
          </cell>
        </row>
        <row r="8307">
          <cell r="D8307" t="str">
            <v>BC5711304-001R002</v>
          </cell>
          <cell r="E8307" t="str">
            <v>口盖</v>
          </cell>
        </row>
        <row r="8308">
          <cell r="D8308" t="str">
            <v>BC5711304-001R002</v>
          </cell>
          <cell r="E8308" t="str">
            <v>口盖</v>
          </cell>
        </row>
        <row r="8309">
          <cell r="D8309" t="str">
            <v>BC5711304-001R002</v>
          </cell>
          <cell r="E8309" t="str">
            <v>口盖</v>
          </cell>
        </row>
        <row r="8310">
          <cell r="D8310" t="str">
            <v>BC5711304-001R002</v>
          </cell>
          <cell r="E8310" t="str">
            <v>口盖</v>
          </cell>
        </row>
        <row r="8311">
          <cell r="D8311" t="str">
            <v>BC5711304-001R002</v>
          </cell>
          <cell r="E8311" t="str">
            <v>口盖</v>
          </cell>
        </row>
        <row r="8312">
          <cell r="D8312" t="str">
            <v>BC5711304-001R002</v>
          </cell>
          <cell r="E8312" t="str">
            <v>口盖</v>
          </cell>
        </row>
        <row r="8313">
          <cell r="D8313" t="str">
            <v>BC5711304-001R002</v>
          </cell>
          <cell r="E8313" t="str">
            <v>口盖</v>
          </cell>
        </row>
        <row r="8314">
          <cell r="D8314" t="str">
            <v>BC5711304-001R002</v>
          </cell>
          <cell r="E8314" t="str">
            <v>口盖</v>
          </cell>
        </row>
        <row r="8315">
          <cell r="D8315" t="str">
            <v>BC5711304-001R002</v>
          </cell>
          <cell r="E8315" t="str">
            <v>口盖</v>
          </cell>
        </row>
        <row r="8316">
          <cell r="D8316" t="str">
            <v>BC5711304-001L002</v>
          </cell>
          <cell r="E8316" t="str">
            <v>口盖</v>
          </cell>
        </row>
        <row r="8317">
          <cell r="D8317" t="str">
            <v>BC5711304-001L002</v>
          </cell>
          <cell r="E8317" t="str">
            <v>口盖</v>
          </cell>
        </row>
        <row r="8318">
          <cell r="D8318" t="str">
            <v>BC5711304-001L002</v>
          </cell>
          <cell r="E8318" t="str">
            <v>口盖</v>
          </cell>
        </row>
        <row r="8319">
          <cell r="D8319" t="str">
            <v>BC5711304-001L002</v>
          </cell>
          <cell r="E8319" t="str">
            <v>口盖</v>
          </cell>
        </row>
        <row r="8320">
          <cell r="D8320" t="str">
            <v>BC5711304-001L002</v>
          </cell>
          <cell r="E8320" t="str">
            <v>口盖</v>
          </cell>
        </row>
        <row r="8321">
          <cell r="D8321" t="str">
            <v>BC5711304-001L002</v>
          </cell>
          <cell r="E8321" t="str">
            <v>口盖</v>
          </cell>
        </row>
        <row r="8322">
          <cell r="D8322" t="str">
            <v>BC5711304-001L002</v>
          </cell>
          <cell r="E8322" t="str">
            <v>口盖</v>
          </cell>
        </row>
        <row r="8323">
          <cell r="D8323" t="str">
            <v>BC5711304-001L002</v>
          </cell>
          <cell r="E8323" t="str">
            <v>口盖</v>
          </cell>
        </row>
        <row r="8324">
          <cell r="D8324" t="str">
            <v>BC5711304-001L002</v>
          </cell>
          <cell r="E8324" t="str">
            <v>口盖</v>
          </cell>
        </row>
        <row r="8325">
          <cell r="D8325" t="str">
            <v>BC5711304-001L002</v>
          </cell>
          <cell r="E8325" t="str">
            <v>口盖</v>
          </cell>
        </row>
        <row r="8326">
          <cell r="D8326" t="str">
            <v>BC5711304-001L002</v>
          </cell>
          <cell r="E8326" t="str">
            <v>口盖</v>
          </cell>
        </row>
        <row r="8327">
          <cell r="D8327" t="str">
            <v>BC5711304-001L002</v>
          </cell>
          <cell r="E8327" t="str">
            <v>口盖</v>
          </cell>
        </row>
        <row r="8328">
          <cell r="D8328" t="str">
            <v>BC5711304-001L002</v>
          </cell>
          <cell r="E8328" t="str">
            <v>口盖</v>
          </cell>
        </row>
        <row r="8329">
          <cell r="D8329" t="str">
            <v>BC5711304-001L002</v>
          </cell>
          <cell r="E8329" t="str">
            <v>口盖</v>
          </cell>
        </row>
        <row r="8330">
          <cell r="D8330" t="str">
            <v>CB5314107-001-002</v>
          </cell>
          <cell r="E8330" t="str">
            <v>5550上框</v>
          </cell>
        </row>
        <row r="8331">
          <cell r="D8331" t="str">
            <v>CB5314107-001-002</v>
          </cell>
          <cell r="E8331" t="str">
            <v>5550上框</v>
          </cell>
        </row>
        <row r="8332">
          <cell r="D8332" t="str">
            <v>CB5323210-002-028</v>
          </cell>
          <cell r="E8332" t="str">
            <v>10540中框</v>
          </cell>
        </row>
        <row r="8333">
          <cell r="D8333" t="str">
            <v>CB5323210-002-028</v>
          </cell>
          <cell r="E8333" t="str">
            <v>10540中框</v>
          </cell>
        </row>
        <row r="8334">
          <cell r="D8334" t="str">
            <v>CB5323210-002-028</v>
          </cell>
          <cell r="E8334" t="str">
            <v>10540中框</v>
          </cell>
        </row>
        <row r="8335">
          <cell r="D8335" t="str">
            <v>CB5323210-002-028</v>
          </cell>
          <cell r="E8335" t="str">
            <v>10540中框</v>
          </cell>
        </row>
        <row r="8336">
          <cell r="D8336" t="str">
            <v>CB5323210-002-028</v>
          </cell>
          <cell r="E8336" t="str">
            <v>10540中框</v>
          </cell>
        </row>
        <row r="8337">
          <cell r="D8337" t="str">
            <v>DD-J10B-04051-1</v>
          </cell>
          <cell r="E8337" t="str">
            <v>10460框</v>
          </cell>
        </row>
        <row r="8338">
          <cell r="D8338" t="str">
            <v>DD-J10B-04051-1</v>
          </cell>
          <cell r="E8338" t="str">
            <v>10460框</v>
          </cell>
        </row>
        <row r="8339">
          <cell r="D8339" t="str">
            <v>DD-J10B-71031-110-1</v>
          </cell>
          <cell r="E8339" t="str">
            <v>樑</v>
          </cell>
        </row>
        <row r="8340">
          <cell r="D8340" t="str">
            <v>DD-J10B-71031-110-1</v>
          </cell>
          <cell r="E8340" t="str">
            <v>樑</v>
          </cell>
        </row>
        <row r="8341">
          <cell r="D8341" t="str">
            <v>DD-J10B-71031-110-1</v>
          </cell>
          <cell r="E8341" t="str">
            <v>樑</v>
          </cell>
        </row>
        <row r="8342">
          <cell r="D8342" t="str">
            <v>DD-J10B-04321-1-Z</v>
          </cell>
          <cell r="E8342" t="str">
            <v>樑</v>
          </cell>
        </row>
        <row r="8343">
          <cell r="D8343" t="str">
            <v>DD-J10B-04321-1-Y</v>
          </cell>
        </row>
        <row r="8344">
          <cell r="D8344" t="str">
            <v>DD-J10B-02041-300-3</v>
          </cell>
          <cell r="E8344" t="str">
            <v>右内侧角材</v>
          </cell>
        </row>
        <row r="8345">
          <cell r="D8345" t="str">
            <v>DD-J10B-02041-300-3</v>
          </cell>
          <cell r="E8345" t="str">
            <v>右内侧角材</v>
          </cell>
        </row>
        <row r="8346">
          <cell r="D8346" t="str">
            <v>DD-J10B-02041-300-3</v>
          </cell>
          <cell r="E8346" t="str">
            <v>右内侧角材</v>
          </cell>
        </row>
        <row r="8347">
          <cell r="D8347" t="str">
            <v>CB2283792-002-002</v>
          </cell>
          <cell r="E8347" t="str">
            <v>法兰</v>
          </cell>
        </row>
        <row r="8348">
          <cell r="D8348" t="str">
            <v>CB5324320-004R006</v>
          </cell>
          <cell r="E8348" t="str">
            <v>侧下支持件</v>
          </cell>
        </row>
        <row r="8349">
          <cell r="D8349" t="str">
            <v>CB5324320-004L006</v>
          </cell>
          <cell r="E8349" t="str">
            <v>侧下支持件</v>
          </cell>
        </row>
        <row r="8350">
          <cell r="D8350" t="str">
            <v>CB22921L3-001-003</v>
          </cell>
          <cell r="E8350" t="str">
            <v>支座</v>
          </cell>
        </row>
        <row r="8351">
          <cell r="D8351" t="str">
            <v>CB2297021-001-001</v>
          </cell>
          <cell r="E8351" t="str">
            <v>支架</v>
          </cell>
        </row>
        <row r="8352">
          <cell r="D8352" t="str">
            <v>CB22956R1-001L001</v>
          </cell>
          <cell r="E8352" t="str">
            <v>座子</v>
          </cell>
        </row>
        <row r="8353">
          <cell r="D8353" t="str">
            <v>XXX-000-01</v>
          </cell>
          <cell r="E8353" t="str">
            <v>腔体</v>
          </cell>
        </row>
        <row r="8354">
          <cell r="D8354" t="str">
            <v>XXX-000-01</v>
          </cell>
          <cell r="E8354" t="str">
            <v>腔体</v>
          </cell>
        </row>
        <row r="8355">
          <cell r="D8355" t="str">
            <v>XXX-000-02</v>
          </cell>
          <cell r="E8355" t="str">
            <v>上盖板</v>
          </cell>
        </row>
        <row r="8356">
          <cell r="D8356" t="str">
            <v>XXX-000-03</v>
          </cell>
          <cell r="E8356" t="str">
            <v>下盖板</v>
          </cell>
        </row>
        <row r="8357">
          <cell r="D8357" t="str">
            <v>XXX-000-04</v>
          </cell>
          <cell r="E8357" t="str">
            <v>前盖板</v>
          </cell>
        </row>
        <row r="8358">
          <cell r="D8358" t="str">
            <v>XXX-000-05</v>
          </cell>
          <cell r="E8358" t="str">
            <v>后盖板</v>
          </cell>
        </row>
        <row r="8359">
          <cell r="D8359" t="str">
            <v>XXX-000-06</v>
          </cell>
          <cell r="E8359" t="str">
            <v>侧盖板</v>
          </cell>
        </row>
        <row r="8360">
          <cell r="D8360" t="str">
            <v>XXX-000-07</v>
          </cell>
          <cell r="E8360" t="str">
            <v>挡板</v>
          </cell>
        </row>
        <row r="8361">
          <cell r="D8361" t="str">
            <v>XXX-000-08</v>
          </cell>
          <cell r="E8361" t="str">
            <v>小盖板一</v>
          </cell>
        </row>
        <row r="8362">
          <cell r="D8362" t="str">
            <v>XXX-000-09</v>
          </cell>
          <cell r="E8362" t="str">
            <v>小盖板二</v>
          </cell>
        </row>
        <row r="8363">
          <cell r="D8363" t="str">
            <v>XXX-000-10</v>
          </cell>
          <cell r="E8363" t="str">
            <v>小盖板三</v>
          </cell>
        </row>
        <row r="8364">
          <cell r="D8364" t="str">
            <v>XXX-000-11</v>
          </cell>
          <cell r="E8364" t="str">
            <v>小盖板四</v>
          </cell>
        </row>
        <row r="8365">
          <cell r="D8365" t="str">
            <v>XXX-000-15</v>
          </cell>
          <cell r="E8365" t="str">
            <v>支柱</v>
          </cell>
        </row>
        <row r="8366">
          <cell r="D8366" t="str">
            <v>DD-J10-21102-272</v>
          </cell>
          <cell r="E8366" t="str">
            <v>3#下垫片</v>
          </cell>
        </row>
        <row r="8367">
          <cell r="D8367" t="str">
            <v>DD-J10B-04501-10-1-Y</v>
          </cell>
          <cell r="E8367" t="str">
            <v>BL900侧梁</v>
          </cell>
        </row>
        <row r="8368">
          <cell r="D8368" t="str">
            <v>DD-J10B-04501-10-1-Y</v>
          </cell>
          <cell r="E8368" t="str">
            <v>BL900侧梁</v>
          </cell>
        </row>
        <row r="8369">
          <cell r="D8369" t="str">
            <v>DD-J10B-21402-10G2-1G2-Y</v>
          </cell>
          <cell r="E8369" t="str">
            <v>固定前缘边肋（右件）</v>
          </cell>
        </row>
        <row r="8370">
          <cell r="D8370" t="str">
            <v>DD-J10B-21402-10G2-1G2-Y</v>
          </cell>
          <cell r="E8370" t="str">
            <v>固定前缘边肋（右件）</v>
          </cell>
        </row>
        <row r="8371">
          <cell r="D8371" t="str">
            <v>DD-J10B-24002-60G2-1G2-Z</v>
          </cell>
          <cell r="E8371" t="str">
            <v>付翼前梁</v>
          </cell>
        </row>
        <row r="8372">
          <cell r="D8372" t="str">
            <v>DD-J10B-24002-60G2-1G2-Z</v>
          </cell>
          <cell r="E8372" t="str">
            <v>付翼前梁</v>
          </cell>
        </row>
        <row r="8373">
          <cell r="D8373" t="str">
            <v>DD-J10B-24002-60G2-1G2-Z</v>
          </cell>
          <cell r="E8373" t="str">
            <v>付翼前梁</v>
          </cell>
        </row>
        <row r="8374">
          <cell r="D8374" t="str">
            <v>DD-J10B-24002-60G2-1G2-Z</v>
          </cell>
          <cell r="E8374" t="str">
            <v>付翼前梁</v>
          </cell>
        </row>
        <row r="8375">
          <cell r="D8375" t="str">
            <v>CB5713600-001R004</v>
          </cell>
          <cell r="E8375" t="str">
            <v>前梁一段</v>
          </cell>
        </row>
        <row r="8376">
          <cell r="D8376" t="str">
            <v>CB5713600-001R004</v>
          </cell>
          <cell r="E8376" t="str">
            <v>前梁一段</v>
          </cell>
        </row>
        <row r="8377">
          <cell r="D8377" t="str">
            <v>CB5327110-002R004</v>
          </cell>
          <cell r="E8377" t="str">
            <v>8270右隔框</v>
          </cell>
        </row>
        <row r="8378">
          <cell r="D8378" t="str">
            <v>CB5327110-002R004</v>
          </cell>
          <cell r="E8378" t="str">
            <v>8270右隔框</v>
          </cell>
        </row>
        <row r="8379">
          <cell r="D8379" t="str">
            <v>CB5327110-002R004</v>
          </cell>
          <cell r="E8379" t="str">
            <v>8270右隔框</v>
          </cell>
        </row>
        <row r="8380">
          <cell r="D8380" t="str">
            <v>CB5327110-002R004</v>
          </cell>
          <cell r="E8380" t="str">
            <v>8270右隔框</v>
          </cell>
        </row>
        <row r="8381">
          <cell r="D8381" t="str">
            <v>CB5327110-002R004</v>
          </cell>
          <cell r="E8381" t="str">
            <v>8270右隔框</v>
          </cell>
        </row>
        <row r="8382">
          <cell r="D8382" t="str">
            <v>CB5327110-002L004</v>
          </cell>
          <cell r="E8382" t="str">
            <v>8270左隔框</v>
          </cell>
        </row>
        <row r="8383">
          <cell r="D8383" t="str">
            <v>CB5327110-002L004</v>
          </cell>
          <cell r="E8383" t="str">
            <v>8270左隔框</v>
          </cell>
        </row>
        <row r="8384">
          <cell r="D8384" t="str">
            <v>CB5327110-002L004</v>
          </cell>
          <cell r="E8384" t="str">
            <v>8270左隔框</v>
          </cell>
        </row>
        <row r="8385">
          <cell r="D8385" t="str">
            <v>CB5327110-002L004</v>
          </cell>
          <cell r="E8385" t="str">
            <v>8270左隔框</v>
          </cell>
        </row>
        <row r="8386">
          <cell r="D8386" t="str">
            <v>CB5327110-002L004</v>
          </cell>
          <cell r="E8386" t="str">
            <v>8270左隔框</v>
          </cell>
        </row>
        <row r="8387">
          <cell r="D8387" t="str">
            <v>DD-J10B-55141-101</v>
          </cell>
          <cell r="E8387" t="str">
            <v>90°弯管接头</v>
          </cell>
        </row>
        <row r="8388">
          <cell r="D8388" t="str">
            <v>CB5811300-002-001</v>
          </cell>
          <cell r="E8388" t="str">
            <v>垫圈</v>
          </cell>
        </row>
        <row r="8389">
          <cell r="D8389" t="str">
            <v>BC221T5ML-007-001</v>
          </cell>
          <cell r="E8389" t="str">
            <v>阀套</v>
          </cell>
        </row>
        <row r="8390">
          <cell r="D8390" t="str">
            <v>DD-J10B-94011-582G2</v>
          </cell>
          <cell r="E8390" t="str">
            <v>堵头</v>
          </cell>
        </row>
        <row r="8391">
          <cell r="D8391" t="str">
            <v>DD-J10B-94011-582G2</v>
          </cell>
          <cell r="E8391" t="str">
            <v>堵头</v>
          </cell>
        </row>
        <row r="8392">
          <cell r="D8392" t="str">
            <v>DD-J10-06061-6</v>
          </cell>
          <cell r="E8392" t="str">
            <v>支座</v>
          </cell>
        </row>
        <row r="8393">
          <cell r="D8393" t="str">
            <v>CB5323320-007L001</v>
          </cell>
          <cell r="E8393" t="str">
            <v>角盒</v>
          </cell>
        </row>
        <row r="8394">
          <cell r="D8394" t="str">
            <v>CB5323320-007R001</v>
          </cell>
          <cell r="E8394" t="str">
            <v>角盒</v>
          </cell>
        </row>
        <row r="8395">
          <cell r="D8395" t="str">
            <v>CB5350500-010L006</v>
          </cell>
          <cell r="E8395" t="str">
            <v>1号护板维型肋左件</v>
          </cell>
        </row>
        <row r="8396">
          <cell r="D8396" t="str">
            <v>CB5350500-010R006</v>
          </cell>
          <cell r="E8396" t="str">
            <v>1号护板维型肋右件</v>
          </cell>
        </row>
        <row r="8397">
          <cell r="D8397" t="str">
            <v>CB5350500-016L006</v>
          </cell>
          <cell r="E8397" t="str">
            <v>7号护板维型肋左件</v>
          </cell>
        </row>
        <row r="8398">
          <cell r="D8398" t="str">
            <v>CB5350500-016R006</v>
          </cell>
          <cell r="E8398" t="str">
            <v>7号护板维型肋右件</v>
          </cell>
        </row>
        <row r="8399">
          <cell r="D8399" t="str">
            <v>DD-J10-21102-33-Y</v>
          </cell>
          <cell r="E8399" t="str">
            <v>10460上接头</v>
          </cell>
        </row>
        <row r="8400">
          <cell r="D8400" t="str">
            <v>DD-J10-21102-32-Z</v>
          </cell>
          <cell r="E8400" t="str">
            <v>10060下接头</v>
          </cell>
        </row>
        <row r="8401">
          <cell r="D8401" t="str">
            <v>DD-J10-21102-32-Z</v>
          </cell>
          <cell r="E8401" t="str">
            <v>10060下接头</v>
          </cell>
        </row>
        <row r="8402">
          <cell r="D8402" t="str">
            <v>DD-J10-21102-32-Y</v>
          </cell>
          <cell r="E8402" t="str">
            <v>10060下接头</v>
          </cell>
        </row>
        <row r="8403">
          <cell r="D8403" t="str">
            <v>DD-J10-21102-32-Y</v>
          </cell>
          <cell r="E8403" t="str">
            <v>10060下接头</v>
          </cell>
        </row>
        <row r="8404">
          <cell r="D8404" t="str">
            <v>CB5314107-001-002</v>
          </cell>
          <cell r="E8404" t="str">
            <v>5550上框</v>
          </cell>
        </row>
        <row r="8405">
          <cell r="D8405" t="str">
            <v>CB5314107-001-002</v>
          </cell>
          <cell r="E8405" t="str">
            <v>5550上框</v>
          </cell>
        </row>
        <row r="8406">
          <cell r="D8406" t="str">
            <v>DD-J10B-55121-6</v>
          </cell>
          <cell r="E8406" t="str">
            <v>角片</v>
          </cell>
        </row>
        <row r="8407">
          <cell r="D8407" t="str">
            <v>DD-J10B-55121-6</v>
          </cell>
          <cell r="E8407" t="str">
            <v>角片</v>
          </cell>
        </row>
        <row r="8408">
          <cell r="D8408" t="str">
            <v>CB3092441-001-001</v>
          </cell>
          <cell r="E8408" t="str">
            <v>连接片1</v>
          </cell>
        </row>
        <row r="8409">
          <cell r="D8409" t="str">
            <v>DD-J10B-04011-1(SYJ)</v>
          </cell>
          <cell r="E8409" t="str">
            <v>7100框</v>
          </cell>
        </row>
        <row r="8410">
          <cell r="D8410" t="str">
            <v>DD-J10-55181-66</v>
          </cell>
          <cell r="E8410" t="str">
            <v>转接管接头</v>
          </cell>
        </row>
        <row r="8411">
          <cell r="D8411" t="str">
            <v>DD-J10B-94061-401</v>
          </cell>
          <cell r="E8411" t="str">
            <v>支架</v>
          </cell>
        </row>
        <row r="8412">
          <cell r="D8412" t="str">
            <v>DD-J10B-86051-2</v>
          </cell>
          <cell r="E8412" t="str">
            <v>激励器转接件</v>
          </cell>
        </row>
        <row r="8413">
          <cell r="D8413" t="str">
            <v>DD-J10B-63001-651</v>
          </cell>
          <cell r="E8413" t="str">
            <v>法兰盘</v>
          </cell>
        </row>
        <row r="8414">
          <cell r="D8414" t="str">
            <v>DD-J10B-61001-8001</v>
          </cell>
          <cell r="E8414" t="str">
            <v>卡片</v>
          </cell>
        </row>
        <row r="8415">
          <cell r="D8415" t="str">
            <v>DD-J10B-61001-8001</v>
          </cell>
          <cell r="E8415" t="str">
            <v>卡片</v>
          </cell>
        </row>
        <row r="8416">
          <cell r="D8416" t="str">
            <v>DD-J10B-94076-803</v>
          </cell>
          <cell r="E8416" t="str">
            <v>支架</v>
          </cell>
        </row>
        <row r="8417">
          <cell r="D8417" t="str">
            <v>XXXXXX/F1-0000-01</v>
          </cell>
          <cell r="E8417" t="str">
            <v>壳体</v>
          </cell>
        </row>
        <row r="8418">
          <cell r="D8418" t="str">
            <v>XXXXXX/F1-0000-02</v>
          </cell>
          <cell r="E8418" t="str">
            <v>后盖</v>
          </cell>
        </row>
        <row r="8419">
          <cell r="D8419" t="str">
            <v>XXXXXX/F1-0000-03</v>
          </cell>
          <cell r="E8419" t="str">
            <v>后盖压环</v>
          </cell>
        </row>
        <row r="8420">
          <cell r="D8420" t="str">
            <v>XXXXXX/F1-0000-04</v>
          </cell>
          <cell r="E8420" t="str">
            <v>XXX隔板</v>
          </cell>
        </row>
        <row r="8421">
          <cell r="D8421" t="str">
            <v>XXXXXX/F1-0000-05</v>
          </cell>
          <cell r="E8421" t="str">
            <v>压盖</v>
          </cell>
        </row>
        <row r="8422">
          <cell r="D8422" t="str">
            <v>XXXXXX/F1-0000-07</v>
          </cell>
          <cell r="E8422" t="str">
            <v>隔离环</v>
          </cell>
        </row>
        <row r="8423">
          <cell r="D8423" t="str">
            <v>XXXXXX/F1-0000-10</v>
          </cell>
          <cell r="E8423" t="str">
            <v>衬套</v>
          </cell>
        </row>
        <row r="8424">
          <cell r="D8424" t="str">
            <v>XXXXXX/F1-2000-01</v>
          </cell>
          <cell r="E8424" t="str">
            <v>XXX处理腔体</v>
          </cell>
        </row>
        <row r="8425">
          <cell r="D8425" t="str">
            <v>XXXXXX/F1-2000-05</v>
          </cell>
          <cell r="E8425" t="str">
            <v>灌封腔体1</v>
          </cell>
        </row>
        <row r="8426">
          <cell r="D8426" t="str">
            <v>XXXXXX/F1-2000-06</v>
          </cell>
          <cell r="E8426" t="str">
            <v>灌封腔体2</v>
          </cell>
        </row>
        <row r="8427">
          <cell r="D8427" t="str">
            <v>XXXXXX/F1-2000-07</v>
          </cell>
          <cell r="E8427" t="str">
            <v>灌封腔体3</v>
          </cell>
        </row>
        <row r="8428">
          <cell r="D8428" t="str">
            <v>DD-J10-21102-390-1-Z</v>
          </cell>
          <cell r="E8428" t="str">
            <v>1150肋九段</v>
          </cell>
        </row>
        <row r="8429">
          <cell r="D8429" t="str">
            <v>DD-J10-21102-410-1-Z</v>
          </cell>
          <cell r="E8429" t="str">
            <v>1150肋根肋</v>
          </cell>
        </row>
        <row r="8430">
          <cell r="D8430" t="str">
            <v>DD-J10-21102-410-1-Z</v>
          </cell>
          <cell r="E8430" t="str">
            <v>1150肋根肋</v>
          </cell>
        </row>
        <row r="8431">
          <cell r="D8431" t="str">
            <v>DD-J10-21102-410-1-Y</v>
          </cell>
          <cell r="E8431" t="str">
            <v>1150肋根肋</v>
          </cell>
        </row>
        <row r="8432">
          <cell r="D8432" t="str">
            <v>CB5314300-025-003</v>
          </cell>
          <cell r="E8432" t="str">
            <v>蒙皮加强件</v>
          </cell>
        </row>
        <row r="8433">
          <cell r="D8433" t="str">
            <v>DD-J10-33003-4</v>
          </cell>
          <cell r="E8433" t="str">
            <v>梁</v>
          </cell>
        </row>
        <row r="8434">
          <cell r="D8434" t="str">
            <v>DD-J10B-67011-20010-2</v>
          </cell>
          <cell r="E8434" t="str">
            <v>弓形件</v>
          </cell>
        </row>
        <row r="8435">
          <cell r="D8435" t="str">
            <v>DD-J10-67096-50-1</v>
          </cell>
          <cell r="E8435" t="str">
            <v>Z型件</v>
          </cell>
        </row>
        <row r="8436">
          <cell r="D8436" t="str">
            <v>DD-J10-64016-210-1</v>
          </cell>
          <cell r="E8436" t="str">
            <v>管子</v>
          </cell>
        </row>
        <row r="8437">
          <cell r="D8437" t="str">
            <v>DD-J10B-65000-1720G2-1</v>
          </cell>
          <cell r="E8437" t="str">
            <v>管子</v>
          </cell>
        </row>
        <row r="8438">
          <cell r="D8438" t="str">
            <v>CB5512300-015R001</v>
          </cell>
          <cell r="E8438" t="str">
            <v>角盒</v>
          </cell>
        </row>
        <row r="8439">
          <cell r="D8439" t="str">
            <v>CB5512300-014L001</v>
          </cell>
          <cell r="E8439" t="str">
            <v>角盒</v>
          </cell>
        </row>
        <row r="8440">
          <cell r="D8440" t="str">
            <v>DD-J10B-24002-60G2-1G2-Y</v>
          </cell>
          <cell r="E8440" t="str">
            <v>付翼前梁</v>
          </cell>
        </row>
        <row r="8441">
          <cell r="D8441" t="str">
            <v>CB5327120-010L015</v>
          </cell>
          <cell r="E8441" t="str">
            <v>9555侧隔框</v>
          </cell>
        </row>
        <row r="8442">
          <cell r="D8442" t="str">
            <v>CB5327120-010R015</v>
          </cell>
          <cell r="E8442" t="str">
            <v>9555侧隔框</v>
          </cell>
        </row>
        <row r="8443">
          <cell r="D8443" t="str">
            <v>Y20-5826100003-001</v>
          </cell>
          <cell r="E8443" t="str">
            <v>摩擦片</v>
          </cell>
        </row>
        <row r="8444">
          <cell r="D8444" t="str">
            <v>CB22837C2-002-001</v>
          </cell>
          <cell r="E8444" t="str">
            <v>法兰</v>
          </cell>
        </row>
        <row r="8445">
          <cell r="D8445" t="str">
            <v>CB2292112-003-001</v>
          </cell>
          <cell r="E8445" t="str">
            <v>小轴</v>
          </cell>
        </row>
        <row r="8446">
          <cell r="D8446" t="str">
            <v>DD-J10-86011-3210-1</v>
          </cell>
          <cell r="E8446" t="str">
            <v>左转接管</v>
          </cell>
        </row>
        <row r="8447">
          <cell r="D8447" t="str">
            <v>DD-J10-55181-2540-1</v>
          </cell>
          <cell r="E8447" t="str">
            <v>螺栓</v>
          </cell>
        </row>
        <row r="8448">
          <cell r="D8448" t="str">
            <v>DD-J10-64031-1221</v>
          </cell>
          <cell r="E8448" t="str">
            <v>耳片</v>
          </cell>
        </row>
        <row r="8449">
          <cell r="D8449" t="str">
            <v>DD-J10B-94076-2031/1</v>
          </cell>
          <cell r="E8449" t="str">
            <v>接管嘴</v>
          </cell>
        </row>
        <row r="8450">
          <cell r="D8450" t="str">
            <v>DD-J10B-94076-2031/1</v>
          </cell>
          <cell r="E8450" t="str">
            <v>接管嘴</v>
          </cell>
        </row>
        <row r="8451">
          <cell r="D8451" t="str">
            <v>DD-J10B-94076-2031/2</v>
          </cell>
          <cell r="E8451" t="str">
            <v>接管嘴</v>
          </cell>
        </row>
        <row r="8452">
          <cell r="D8452" t="str">
            <v>DD-J10B-94076-2031/2</v>
          </cell>
          <cell r="E8452" t="str">
            <v>接管嘴</v>
          </cell>
        </row>
        <row r="8453">
          <cell r="D8453" t="str">
            <v>DD-J10B-94061-1061/2</v>
          </cell>
          <cell r="E8453" t="str">
            <v>法兰盘</v>
          </cell>
        </row>
        <row r="8454">
          <cell r="D8454" t="str">
            <v>DD-J10B-94076-1311</v>
          </cell>
          <cell r="E8454" t="str">
            <v>衬盘</v>
          </cell>
        </row>
        <row r="8455">
          <cell r="D8455" t="str">
            <v>CB2292112-004-001</v>
          </cell>
          <cell r="E8455" t="str">
            <v>螺栓</v>
          </cell>
        </row>
        <row r="8456">
          <cell r="D8456" t="str">
            <v>DD-FC1-41123-1102</v>
          </cell>
          <cell r="E8456" t="str">
            <v>堵塞</v>
          </cell>
        </row>
        <row r="8457">
          <cell r="D8457" t="str">
            <v>DD-FC1-41123-1102</v>
          </cell>
          <cell r="E8457" t="str">
            <v>堵塞</v>
          </cell>
        </row>
        <row r="8458">
          <cell r="D8458" t="str">
            <v>DD-J10-41035-120-2</v>
          </cell>
          <cell r="E8458" t="str">
            <v>管子</v>
          </cell>
        </row>
        <row r="8459">
          <cell r="D8459" t="str">
            <v>DD-J10B-55141-2010-3</v>
          </cell>
          <cell r="E8459" t="str">
            <v>衬套</v>
          </cell>
        </row>
        <row r="8460">
          <cell r="D8460" t="str">
            <v>DD-J10B-64016-700-1</v>
          </cell>
          <cell r="E8460" t="str">
            <v>短管</v>
          </cell>
        </row>
        <row r="8461">
          <cell r="D8461" t="str">
            <v>DD-J10-55181-2540-2</v>
          </cell>
          <cell r="E8461" t="str">
            <v>小轴</v>
          </cell>
        </row>
        <row r="8462">
          <cell r="D8462" t="str">
            <v>DD-J10-62021-40-1</v>
          </cell>
          <cell r="E8462" t="str">
            <v>短管</v>
          </cell>
        </row>
        <row r="8463">
          <cell r="D8463" t="str">
            <v>DD-J10B-68095-1200-3</v>
          </cell>
          <cell r="E8463" t="str">
            <v>衬套</v>
          </cell>
        </row>
        <row r="8464">
          <cell r="D8464" t="str">
            <v>DD-J10B-61101-3110-1</v>
          </cell>
          <cell r="E8464" t="str">
            <v>导管</v>
          </cell>
        </row>
        <row r="8465">
          <cell r="D8465" t="str">
            <v>DD-J10-96031-130-1</v>
          </cell>
          <cell r="E8465" t="str">
            <v>管子</v>
          </cell>
        </row>
        <row r="8466">
          <cell r="D8466" t="str">
            <v>DD-J10B-41163-30-1</v>
          </cell>
          <cell r="E8466" t="str">
            <v>管子</v>
          </cell>
        </row>
        <row r="8467">
          <cell r="D8467" t="str">
            <v>DD-J10-41153-130-2</v>
          </cell>
          <cell r="E8467" t="str">
            <v>管子</v>
          </cell>
        </row>
        <row r="8468">
          <cell r="D8468" t="str">
            <v>DD-J10-96031-104</v>
          </cell>
          <cell r="E8468" t="str">
            <v>接管嘴</v>
          </cell>
        </row>
        <row r="8469">
          <cell r="D8469" t="str">
            <v>DD-J10-96031-111</v>
          </cell>
          <cell r="E8469" t="str">
            <v>螺母</v>
          </cell>
        </row>
        <row r="8470">
          <cell r="D8470" t="str">
            <v>DD-J10-96031-121</v>
          </cell>
          <cell r="E8470" t="str">
            <v>销棒</v>
          </cell>
        </row>
        <row r="8471">
          <cell r="D8471" t="str">
            <v>DD-J10-96031-113</v>
          </cell>
          <cell r="E8471" t="str">
            <v>衬套</v>
          </cell>
        </row>
        <row r="8472">
          <cell r="D8472" t="str">
            <v>DD-J10B-94076-811</v>
          </cell>
          <cell r="E8472" t="str">
            <v>法兰盘</v>
          </cell>
        </row>
        <row r="8473">
          <cell r="D8473" t="str">
            <v>GU5336113-001R001</v>
          </cell>
          <cell r="E8473" t="str">
            <v>STA8510~9055右上大梁</v>
          </cell>
        </row>
        <row r="8474">
          <cell r="D8474" t="str">
            <v>CB5327120-013L015</v>
          </cell>
          <cell r="E8474" t="str">
            <v>10150侧隔框</v>
          </cell>
        </row>
        <row r="8475">
          <cell r="D8475" t="str">
            <v>CB5327120-013L015</v>
          </cell>
          <cell r="E8475" t="str">
            <v>10150侧隔框</v>
          </cell>
        </row>
        <row r="8476">
          <cell r="D8476" t="str">
            <v>CB5327120-013L015</v>
          </cell>
          <cell r="E8476" t="str">
            <v>10150侧隔框</v>
          </cell>
        </row>
        <row r="8477">
          <cell r="D8477" t="str">
            <v>CB5327120-013L015</v>
          </cell>
          <cell r="E8477" t="str">
            <v>10150侧隔框</v>
          </cell>
        </row>
        <row r="8478">
          <cell r="D8478" t="str">
            <v>CB5327120-013L015</v>
          </cell>
          <cell r="E8478" t="str">
            <v>10150侧隔框</v>
          </cell>
        </row>
        <row r="8479">
          <cell r="D8479" t="str">
            <v>CB5327120-013L015</v>
          </cell>
          <cell r="E8479" t="str">
            <v>10150侧隔框</v>
          </cell>
        </row>
        <row r="8480">
          <cell r="D8480" t="str">
            <v>CB5327120-013R015</v>
          </cell>
          <cell r="E8480" t="str">
            <v>10150侧隔框</v>
          </cell>
        </row>
        <row r="8481">
          <cell r="D8481" t="str">
            <v>CB5327120-013R015</v>
          </cell>
          <cell r="E8481" t="str">
            <v>10150侧隔框</v>
          </cell>
        </row>
        <row r="8482">
          <cell r="D8482" t="str">
            <v>CB5327120-013R015</v>
          </cell>
          <cell r="E8482" t="str">
            <v>10150侧隔框</v>
          </cell>
        </row>
        <row r="8483">
          <cell r="D8483" t="str">
            <v>CB5327120-013R015</v>
          </cell>
          <cell r="E8483" t="str">
            <v>10150侧隔框</v>
          </cell>
        </row>
        <row r="8484">
          <cell r="D8484" t="str">
            <v>CB5327120-013R015</v>
          </cell>
          <cell r="E8484" t="str">
            <v>10150侧隔框</v>
          </cell>
        </row>
        <row r="8485">
          <cell r="D8485" t="str">
            <v>CB5327120-013R015</v>
          </cell>
          <cell r="E8485" t="str">
            <v>10150侧隔框</v>
          </cell>
        </row>
        <row r="8486">
          <cell r="D8486" t="str">
            <v>CB5327120-010L015</v>
          </cell>
          <cell r="E8486" t="str">
            <v>9555侧隔框</v>
          </cell>
        </row>
        <row r="8487">
          <cell r="D8487" t="str">
            <v>CB5327120-010L015</v>
          </cell>
          <cell r="E8487" t="str">
            <v>9555侧隔框</v>
          </cell>
        </row>
        <row r="8488">
          <cell r="D8488" t="str">
            <v>CB5327120-010L015</v>
          </cell>
          <cell r="E8488" t="str">
            <v>9555侧隔框</v>
          </cell>
        </row>
        <row r="8489">
          <cell r="D8489" t="str">
            <v>CB5327120-010L015</v>
          </cell>
          <cell r="E8489" t="str">
            <v>9555侧隔框</v>
          </cell>
        </row>
        <row r="8490">
          <cell r="D8490" t="str">
            <v>CB5327120-010L015</v>
          </cell>
          <cell r="E8490" t="str">
            <v>9555侧隔框</v>
          </cell>
        </row>
        <row r="8491">
          <cell r="D8491" t="str">
            <v>CB5327120-010L015</v>
          </cell>
          <cell r="E8491" t="str">
            <v>9555侧隔框</v>
          </cell>
        </row>
        <row r="8492">
          <cell r="D8492" t="str">
            <v>CB5327120-010R015</v>
          </cell>
          <cell r="E8492" t="str">
            <v>9555侧隔框</v>
          </cell>
        </row>
        <row r="8493">
          <cell r="D8493" t="str">
            <v>CB5327120-010R015</v>
          </cell>
          <cell r="E8493" t="str">
            <v>9555侧隔框</v>
          </cell>
        </row>
        <row r="8494">
          <cell r="D8494" t="str">
            <v>CB5327120-010R015</v>
          </cell>
          <cell r="E8494" t="str">
            <v>9555侧隔框</v>
          </cell>
        </row>
        <row r="8495">
          <cell r="D8495" t="str">
            <v>CB5327120-010R015</v>
          </cell>
          <cell r="E8495" t="str">
            <v>9555侧隔框</v>
          </cell>
        </row>
        <row r="8496">
          <cell r="D8496" t="str">
            <v>CB5327120-010R015</v>
          </cell>
          <cell r="E8496" t="str">
            <v>9555侧隔框</v>
          </cell>
        </row>
        <row r="8497">
          <cell r="D8497" t="str">
            <v>CB5327120-010R015</v>
          </cell>
          <cell r="E8497" t="str">
            <v>9555侧隔框</v>
          </cell>
        </row>
        <row r="8498">
          <cell r="D8498" t="str">
            <v>CB5811400-001-001</v>
          </cell>
          <cell r="E8498" t="str">
            <v>支架</v>
          </cell>
        </row>
        <row r="8499">
          <cell r="D8499" t="str">
            <v>CB5811400-001-001</v>
          </cell>
          <cell r="E8499" t="str">
            <v>支架</v>
          </cell>
        </row>
        <row r="8500">
          <cell r="D8500" t="str">
            <v>CB5811400-001-001</v>
          </cell>
          <cell r="E8500" t="str">
            <v>支架</v>
          </cell>
        </row>
        <row r="8501">
          <cell r="D8501" t="str">
            <v>CB5811400-001-001</v>
          </cell>
          <cell r="E8501" t="str">
            <v>支架</v>
          </cell>
        </row>
        <row r="8502">
          <cell r="D8502" t="str">
            <v>CB5811400-001-001</v>
          </cell>
          <cell r="E8502" t="str">
            <v>支架</v>
          </cell>
        </row>
        <row r="8503">
          <cell r="D8503" t="str">
            <v>CB5811400-001-001</v>
          </cell>
          <cell r="E8503" t="str">
            <v>支架</v>
          </cell>
        </row>
        <row r="8504">
          <cell r="D8504" t="str">
            <v>CB5811400-001-001</v>
          </cell>
          <cell r="E8504" t="str">
            <v>支架</v>
          </cell>
        </row>
        <row r="8505">
          <cell r="D8505" t="str">
            <v>CB5811400-001-001</v>
          </cell>
          <cell r="E8505" t="str">
            <v>支架</v>
          </cell>
        </row>
        <row r="8506">
          <cell r="D8506" t="str">
            <v>CB5811400-001-001</v>
          </cell>
          <cell r="E8506" t="str">
            <v>支架</v>
          </cell>
        </row>
        <row r="8507">
          <cell r="D8507" t="str">
            <v>CB5811400-001-001</v>
          </cell>
          <cell r="E8507" t="str">
            <v>支架</v>
          </cell>
        </row>
        <row r="8508">
          <cell r="D8508" t="str">
            <v>CB5811400-001-001</v>
          </cell>
          <cell r="E8508" t="str">
            <v>支架</v>
          </cell>
        </row>
        <row r="8509">
          <cell r="D8509" t="str">
            <v>54-6000-01</v>
          </cell>
          <cell r="E8509" t="str">
            <v>壳体</v>
          </cell>
        </row>
        <row r="8510">
          <cell r="D8510" t="str">
            <v>54-0000-02</v>
          </cell>
          <cell r="E8510" t="str">
            <v>盖板</v>
          </cell>
        </row>
        <row r="8511">
          <cell r="D8511" t="str">
            <v>DD-J10B-04051-1</v>
          </cell>
          <cell r="E8511" t="str">
            <v>10460框</v>
          </cell>
        </row>
        <row r="8512">
          <cell r="D8512" t="str">
            <v>DD-J10B-02121-1AG2-Y</v>
          </cell>
          <cell r="E8512" t="str">
            <v>BL280侧壁（右件）</v>
          </cell>
        </row>
        <row r="8513">
          <cell r="D8513" t="str">
            <v>DD-J10B-02121-1AG2-Z</v>
          </cell>
          <cell r="E8513" t="str">
            <v>BL280侧壁（左件）</v>
          </cell>
        </row>
        <row r="8514">
          <cell r="D8514" t="str">
            <v>DD-J10B-04321-30-1-Z</v>
          </cell>
          <cell r="E8514" t="str">
            <v>侧下梁（左件）</v>
          </cell>
        </row>
        <row r="8515">
          <cell r="D8515" t="str">
            <v>DD-J10B-04321-30-1-Z</v>
          </cell>
          <cell r="E8515" t="str">
            <v>侧下梁（左件）</v>
          </cell>
        </row>
        <row r="8516">
          <cell r="D8516" t="str">
            <v>DD-J10B-04321-30-1-Z</v>
          </cell>
          <cell r="E8516" t="str">
            <v>侧下梁（左件）</v>
          </cell>
        </row>
        <row r="8517">
          <cell r="D8517" t="str">
            <v>DD-J10B-04321-30-1-Z</v>
          </cell>
          <cell r="E8517" t="str">
            <v>侧下梁（左件）</v>
          </cell>
        </row>
        <row r="8518">
          <cell r="D8518" t="str">
            <v>DD-J10B-04321-30-1-Z</v>
          </cell>
          <cell r="E8518" t="str">
            <v>侧下梁（左件）</v>
          </cell>
        </row>
        <row r="8519">
          <cell r="D8519" t="str">
            <v>DD-J10B-04321-30-1-Z</v>
          </cell>
          <cell r="E8519" t="str">
            <v>侧下梁（左件）</v>
          </cell>
        </row>
        <row r="8520">
          <cell r="D8520" t="str">
            <v>DD-J10B-04321-30-1-Z</v>
          </cell>
          <cell r="E8520" t="str">
            <v>侧下梁（左件）</v>
          </cell>
        </row>
        <row r="8521">
          <cell r="D8521" t="str">
            <v>DD-J10B-04321-30-1-Z</v>
          </cell>
          <cell r="E8521" t="str">
            <v>侧下梁（左件）</v>
          </cell>
        </row>
        <row r="8522">
          <cell r="D8522" t="str">
            <v>CB5811400-002-001</v>
          </cell>
          <cell r="E8522" t="str">
            <v>支架</v>
          </cell>
        </row>
        <row r="8523">
          <cell r="D8523" t="str">
            <v>CB5811400-002-001</v>
          </cell>
          <cell r="E8523" t="str">
            <v>支架</v>
          </cell>
        </row>
        <row r="8524">
          <cell r="D8524" t="str">
            <v>CB5811400-002-001</v>
          </cell>
          <cell r="E8524" t="str">
            <v>支架</v>
          </cell>
        </row>
        <row r="8525">
          <cell r="D8525" t="str">
            <v>CB5811400-002-001</v>
          </cell>
          <cell r="E8525" t="str">
            <v>支架</v>
          </cell>
        </row>
        <row r="8526">
          <cell r="D8526" t="str">
            <v>CB5811400-002-001</v>
          </cell>
          <cell r="E8526" t="str">
            <v>支架</v>
          </cell>
        </row>
        <row r="8527">
          <cell r="D8527" t="str">
            <v>CB5811400-002-001</v>
          </cell>
          <cell r="E8527" t="str">
            <v>支架</v>
          </cell>
        </row>
        <row r="8528">
          <cell r="D8528" t="str">
            <v>CB5811400-002-001</v>
          </cell>
          <cell r="E8528" t="str">
            <v>支架</v>
          </cell>
        </row>
        <row r="8529">
          <cell r="D8529" t="str">
            <v>CB5811400-002-001</v>
          </cell>
          <cell r="E8529" t="str">
            <v>支架</v>
          </cell>
        </row>
        <row r="8530">
          <cell r="D8530" t="str">
            <v>CB5811400-002-001</v>
          </cell>
          <cell r="E8530" t="str">
            <v>支架</v>
          </cell>
        </row>
        <row r="8531">
          <cell r="D8531" t="str">
            <v>CB5811400-002-001</v>
          </cell>
          <cell r="E8531" t="str">
            <v>支架</v>
          </cell>
        </row>
        <row r="8532">
          <cell r="D8532" t="str">
            <v>CB5811400-002-001</v>
          </cell>
          <cell r="E8532" t="str">
            <v>支架</v>
          </cell>
        </row>
        <row r="8533">
          <cell r="D8533" t="str">
            <v>BC2332100-002-002</v>
          </cell>
          <cell r="E8533" t="str">
            <v>卡箍支架（右）</v>
          </cell>
        </row>
        <row r="8534">
          <cell r="D8534" t="str">
            <v>BC2332100-002-002</v>
          </cell>
          <cell r="E8534" t="str">
            <v>卡箍支架（右）</v>
          </cell>
        </row>
        <row r="8535">
          <cell r="D8535" t="str">
            <v>BC2332100-001-002</v>
          </cell>
          <cell r="E8535" t="str">
            <v>卡箍支架（左）</v>
          </cell>
        </row>
        <row r="8536">
          <cell r="D8536" t="str">
            <v>BC2332100-001-002</v>
          </cell>
          <cell r="E8536" t="str">
            <v>卡箍支架（左）</v>
          </cell>
        </row>
        <row r="8537">
          <cell r="D8537" t="str">
            <v>DD-J10B-55141-111</v>
          </cell>
          <cell r="E8537" t="str">
            <v>90°弯管接头</v>
          </cell>
        </row>
        <row r="8538">
          <cell r="D8538" t="str">
            <v>DD-J10B-55141-111</v>
          </cell>
          <cell r="E8538" t="str">
            <v>90°弯管接头</v>
          </cell>
        </row>
        <row r="8539">
          <cell r="D8539" t="str">
            <v>DD-J10B-55141-111</v>
          </cell>
          <cell r="E8539" t="str">
            <v>90°弯管接头</v>
          </cell>
        </row>
        <row r="8540">
          <cell r="D8540" t="str">
            <v>DD-J10-55121-1</v>
          </cell>
          <cell r="E8540" t="str">
            <v>三通管接头</v>
          </cell>
        </row>
        <row r="8541">
          <cell r="D8541" t="str">
            <v>DD-J10-55051-6110-1</v>
          </cell>
          <cell r="E8541" t="str">
            <v>三通接头</v>
          </cell>
        </row>
        <row r="8542">
          <cell r="D8542" t="str">
            <v>DD-J10-55051-6110-1</v>
          </cell>
          <cell r="E8542" t="str">
            <v>三通接头</v>
          </cell>
        </row>
        <row r="8543">
          <cell r="D8543" t="str">
            <v>DD-J10-05076-20-1-Z</v>
          </cell>
          <cell r="E8543" t="str">
            <v>梁</v>
          </cell>
        </row>
        <row r="8544">
          <cell r="D8544" t="str">
            <v>DD-J10-05076-20-1-Y</v>
          </cell>
          <cell r="E8544" t="str">
            <v>梁</v>
          </cell>
        </row>
        <row r="8545">
          <cell r="D8545" t="str">
            <v>DD-J10-05076-30-1-Z</v>
          </cell>
          <cell r="E8545" t="str">
            <v>梁</v>
          </cell>
        </row>
        <row r="8546">
          <cell r="D8546" t="str">
            <v>DD-J10-05076-30-1-Y</v>
          </cell>
          <cell r="E8546" t="str">
            <v>梁</v>
          </cell>
        </row>
        <row r="8547">
          <cell r="D8547" t="str">
            <v>DD-J10-05086-20-1-Z</v>
          </cell>
          <cell r="E8547" t="str">
            <v>梁</v>
          </cell>
        </row>
        <row r="8548">
          <cell r="D8548" t="str">
            <v>DD-J10-05086-20-1-Y</v>
          </cell>
          <cell r="E8548" t="str">
            <v>梁</v>
          </cell>
        </row>
        <row r="8549">
          <cell r="D8549" t="str">
            <v>DD-J10-05086-30-1-Z</v>
          </cell>
          <cell r="E8549" t="str">
            <v>梁</v>
          </cell>
        </row>
        <row r="8550">
          <cell r="D8550" t="str">
            <v>DD-J10-05086-30-1-Y</v>
          </cell>
          <cell r="E8550" t="str">
            <v>梁</v>
          </cell>
        </row>
        <row r="8551">
          <cell r="D8551" t="str">
            <v>DD-J10B-34303-7G2</v>
          </cell>
          <cell r="E8551" t="str">
            <v>第1隔板</v>
          </cell>
        </row>
        <row r="8552">
          <cell r="D8552" t="str">
            <v>DD-J10B-34303-7G2</v>
          </cell>
          <cell r="E8552" t="str">
            <v>第1隔板</v>
          </cell>
        </row>
        <row r="8553">
          <cell r="D8553" t="str">
            <v>DD-J10B-34303-8G2</v>
          </cell>
          <cell r="E8553" t="str">
            <v>第2隔板</v>
          </cell>
        </row>
        <row r="8554">
          <cell r="D8554" t="str">
            <v>DD-J10B-34303-8G2</v>
          </cell>
          <cell r="E8554" t="str">
            <v>第2隔板</v>
          </cell>
        </row>
        <row r="8555">
          <cell r="D8555" t="str">
            <v>DD-J10B-34303-9G2</v>
          </cell>
          <cell r="E8555" t="str">
            <v>第3隔板</v>
          </cell>
        </row>
        <row r="8556">
          <cell r="D8556" t="str">
            <v>DD-J10B-34303-9G2</v>
          </cell>
          <cell r="E8556" t="str">
            <v>第3隔板</v>
          </cell>
        </row>
        <row r="8557">
          <cell r="D8557" t="str">
            <v>DD-J10B-34303-11G2</v>
          </cell>
          <cell r="E8557" t="str">
            <v>第4隔板</v>
          </cell>
        </row>
        <row r="8558">
          <cell r="D8558" t="str">
            <v>DD-J10B-34303-11G2</v>
          </cell>
          <cell r="E8558" t="str">
            <v>第4隔板</v>
          </cell>
        </row>
        <row r="8559">
          <cell r="D8559" t="str">
            <v>DD-J10B-34303-12G2</v>
          </cell>
          <cell r="E8559" t="str">
            <v>第5隔板</v>
          </cell>
        </row>
        <row r="8560">
          <cell r="D8560" t="str">
            <v>DD-J10B-34303-12G2</v>
          </cell>
          <cell r="E8560" t="str">
            <v>第5隔板</v>
          </cell>
        </row>
        <row r="8561">
          <cell r="D8561" t="str">
            <v>DD-J10B-34303-13G2</v>
          </cell>
          <cell r="E8561" t="str">
            <v>第6隔板</v>
          </cell>
        </row>
        <row r="8562">
          <cell r="D8562" t="str">
            <v>DD-J10B-34303-13G2</v>
          </cell>
          <cell r="E8562" t="str">
            <v>第6隔板</v>
          </cell>
        </row>
        <row r="8563">
          <cell r="D8563" t="str">
            <v>DD-J10-21002-1-Y</v>
          </cell>
          <cell r="E8563" t="str">
            <v>4号上壁板（右件）</v>
          </cell>
        </row>
        <row r="8564">
          <cell r="D8564" t="str">
            <v>DD-J10-21002-1-Y</v>
          </cell>
          <cell r="E8564" t="str">
            <v>4号上壁板（右件）</v>
          </cell>
        </row>
        <row r="8565">
          <cell r="D8565" t="str">
            <v>DD-J10-21002-1-Z</v>
          </cell>
          <cell r="E8565" t="str">
            <v>4号上壁板（左件）</v>
          </cell>
        </row>
        <row r="8566">
          <cell r="D8566" t="str">
            <v>DD-J10-21002-1-Z</v>
          </cell>
          <cell r="E8566" t="str">
            <v>4号上壁板（左件）</v>
          </cell>
        </row>
        <row r="8567">
          <cell r="D8567" t="str">
            <v>CB5327120-003R006</v>
          </cell>
          <cell r="E8567" t="str">
            <v>8270侧隔框</v>
          </cell>
        </row>
        <row r="8568">
          <cell r="D8568" t="str">
            <v>CB5327120-003R006</v>
          </cell>
          <cell r="E8568" t="str">
            <v>8270侧隔框</v>
          </cell>
        </row>
        <row r="8569">
          <cell r="D8569" t="str">
            <v>CB5327120-003L006</v>
          </cell>
          <cell r="E8569" t="str">
            <v>8270侧隔框</v>
          </cell>
        </row>
        <row r="8570">
          <cell r="D8570" t="str">
            <v>CB5327120-003L006</v>
          </cell>
          <cell r="E8570" t="str">
            <v>8270侧隔框</v>
          </cell>
        </row>
        <row r="8571">
          <cell r="D8571" t="str">
            <v>260A1510-017-001 B</v>
          </cell>
          <cell r="E8571" t="str">
            <v>支撑板</v>
          </cell>
        </row>
        <row r="8572">
          <cell r="D8572" t="str">
            <v>260A1510-021-001 C</v>
          </cell>
          <cell r="E8572" t="str">
            <v>支撑板</v>
          </cell>
        </row>
        <row r="8573">
          <cell r="D8573" t="str">
            <v>531A3430-000-057 B</v>
          </cell>
          <cell r="E8573" t="str">
            <v>角材</v>
          </cell>
        </row>
        <row r="8574">
          <cell r="D8574" t="str">
            <v>260A1510-014-001 A</v>
          </cell>
          <cell r="E8574" t="str">
            <v>T型角材</v>
          </cell>
        </row>
        <row r="8575">
          <cell r="D8575" t="str">
            <v>521A1171-003-001 B1</v>
          </cell>
          <cell r="E8575" t="str">
            <v>支架</v>
          </cell>
        </row>
        <row r="8576">
          <cell r="D8576" t="str">
            <v>521A1141-000-003 B</v>
          </cell>
          <cell r="E8576" t="str">
            <v>加强板</v>
          </cell>
        </row>
        <row r="8577">
          <cell r="D8577" t="str">
            <v>DD-J10-21102-60/-1/2-Y</v>
          </cell>
          <cell r="E8577" t="str">
            <v>11968下口盖</v>
          </cell>
        </row>
        <row r="8578">
          <cell r="D8578" t="str">
            <v>DD-J10B-04501-10-1-Y</v>
          </cell>
          <cell r="E8578" t="str">
            <v>BL900侧梁</v>
          </cell>
        </row>
        <row r="8579">
          <cell r="D8579" t="str">
            <v>DD-J10B-04501-10-1-Z</v>
          </cell>
          <cell r="E8579" t="str">
            <v>BL900侧梁</v>
          </cell>
        </row>
        <row r="8580">
          <cell r="D8580" t="str">
            <v>DD-J10B-04501-10-1-Z</v>
          </cell>
          <cell r="E8580" t="str">
            <v>BL900侧梁</v>
          </cell>
        </row>
        <row r="8581">
          <cell r="D8581" t="str">
            <v>DD-J10B-04501-10-1-Z</v>
          </cell>
          <cell r="E8581" t="str">
            <v>BL900侧梁</v>
          </cell>
        </row>
        <row r="8582">
          <cell r="D8582" t="str">
            <v>DD-J10B-04501-10-1-Z</v>
          </cell>
          <cell r="E8582" t="str">
            <v>BL900侧梁</v>
          </cell>
        </row>
        <row r="8583">
          <cell r="D8583" t="str">
            <v>DD-J10B-04501-10-1-Z</v>
          </cell>
          <cell r="E8583" t="str">
            <v>BL900侧梁</v>
          </cell>
        </row>
        <row r="8584">
          <cell r="D8584" t="str">
            <v>CB229C071-001L001</v>
          </cell>
          <cell r="E8584" t="str">
            <v>支架</v>
          </cell>
        </row>
        <row r="8585">
          <cell r="D8585" t="str">
            <v>DD-J10B-73010-310G2-1</v>
          </cell>
          <cell r="E8585" t="str">
            <v>过渡板</v>
          </cell>
        </row>
        <row r="8586">
          <cell r="D8586" t="str">
            <v>DD-J10B-65000-1810G2-1</v>
          </cell>
          <cell r="E8586" t="str">
            <v>支座</v>
          </cell>
        </row>
        <row r="8587">
          <cell r="D8587" t="str">
            <v>DD-J10-21102-250-2-Y</v>
          </cell>
          <cell r="E8587" t="str">
            <v>11900梁二段</v>
          </cell>
        </row>
        <row r="8588">
          <cell r="D8588" t="str">
            <v>DD-J10-21102-250-2-Y</v>
          </cell>
          <cell r="E8588" t="str">
            <v>11900梁二段</v>
          </cell>
        </row>
        <row r="8589">
          <cell r="D8589" t="str">
            <v>DD-J10-21102-250-2-Z</v>
          </cell>
          <cell r="E8589" t="str">
            <v>11900梁二段</v>
          </cell>
        </row>
        <row r="8590">
          <cell r="D8590" t="str">
            <v>DD-J10-21102-250-2-Z</v>
          </cell>
          <cell r="E8590" t="str">
            <v>11900梁二段</v>
          </cell>
        </row>
        <row r="8591">
          <cell r="D8591" t="str">
            <v>DD-J10-21102-390-1-Y</v>
          </cell>
          <cell r="E8591" t="str">
            <v>1150肋九段</v>
          </cell>
        </row>
        <row r="8592">
          <cell r="D8592" t="str">
            <v>DD-J10-21102-390-1-Y</v>
          </cell>
          <cell r="E8592" t="str">
            <v>1150肋九段</v>
          </cell>
        </row>
        <row r="8593">
          <cell r="D8593" t="str">
            <v>DD-J10-21102-390-1-Y</v>
          </cell>
          <cell r="E8593" t="str">
            <v>1150肋九段</v>
          </cell>
        </row>
        <row r="8594">
          <cell r="D8594" t="str">
            <v>DD-J10-21102-410-1-Y</v>
          </cell>
          <cell r="E8594" t="str">
            <v>1150肋根肋</v>
          </cell>
        </row>
        <row r="8595">
          <cell r="D8595" t="str">
            <v>DD-J10-21102-410-1-Y</v>
          </cell>
          <cell r="E8595" t="str">
            <v>1150肋根肋</v>
          </cell>
        </row>
        <row r="8596">
          <cell r="D8596" t="str">
            <v>DD-J10-21102-410-1-Z</v>
          </cell>
          <cell r="E8596" t="str">
            <v>1150肋根肋</v>
          </cell>
        </row>
        <row r="8597">
          <cell r="D8597" t="str">
            <v>DD-J10-21102-250-1-Y</v>
          </cell>
          <cell r="E8597" t="str">
            <v>11900梁一段（右件）</v>
          </cell>
        </row>
        <row r="8598">
          <cell r="D8598" t="str">
            <v>DD-J10-21102-250-1-Y</v>
          </cell>
          <cell r="E8598" t="str">
            <v>11900梁一段（右件）</v>
          </cell>
        </row>
        <row r="8599">
          <cell r="D8599" t="str">
            <v>DD-J10-21102-250-1-Y</v>
          </cell>
          <cell r="E8599" t="str">
            <v>11900梁一段（右件）</v>
          </cell>
        </row>
        <row r="8600">
          <cell r="D8600" t="str">
            <v>DD-J10B-41163-30-3</v>
          </cell>
          <cell r="E8600" t="str">
            <v>片</v>
          </cell>
        </row>
        <row r="8601">
          <cell r="D8601" t="str">
            <v>BC5836010-005-001</v>
          </cell>
          <cell r="E8601" t="str">
            <v>堵塞</v>
          </cell>
        </row>
        <row r="8602">
          <cell r="D8602" t="str">
            <v>XXX-0000-01</v>
          </cell>
          <cell r="E8602" t="str">
            <v>壳体</v>
          </cell>
        </row>
        <row r="8603">
          <cell r="D8603" t="str">
            <v>XXX-0000-02</v>
          </cell>
          <cell r="E8603" t="str">
            <v>盖板</v>
          </cell>
        </row>
        <row r="8604">
          <cell r="D8604" t="str">
            <v>XXX-0000-03</v>
          </cell>
          <cell r="E8604" t="str">
            <v>压板A</v>
          </cell>
        </row>
        <row r="8605">
          <cell r="D8605" t="str">
            <v>XXX-0000-04</v>
          </cell>
          <cell r="E8605" t="str">
            <v>压板B</v>
          </cell>
        </row>
        <row r="8606">
          <cell r="D8606" t="str">
            <v>XXX-0000-05</v>
          </cell>
          <cell r="E8606" t="str">
            <v>压板C</v>
          </cell>
        </row>
        <row r="8607">
          <cell r="D8607" t="str">
            <v>BC2332200-001-001</v>
          </cell>
          <cell r="E8607" t="str">
            <v>卡钉</v>
          </cell>
        </row>
        <row r="8608">
          <cell r="D8608" t="str">
            <v>CB5752000-022R002</v>
          </cell>
          <cell r="E8608" t="str">
            <v>角片</v>
          </cell>
        </row>
        <row r="8609">
          <cell r="D8609" t="str">
            <v>CB5752000-022R002</v>
          </cell>
          <cell r="E8609" t="str">
            <v>角片</v>
          </cell>
        </row>
        <row r="8610">
          <cell r="D8610" t="str">
            <v>CB5752000-022R002</v>
          </cell>
          <cell r="E8610" t="str">
            <v>角片</v>
          </cell>
        </row>
        <row r="8611">
          <cell r="D8611" t="str">
            <v>CB5752000-022R002</v>
          </cell>
          <cell r="E8611" t="str">
            <v>角片</v>
          </cell>
        </row>
        <row r="8612">
          <cell r="D8612" t="str">
            <v>CB5752000-022R002</v>
          </cell>
          <cell r="E8612" t="str">
            <v>角片</v>
          </cell>
        </row>
        <row r="8613">
          <cell r="D8613" t="str">
            <v>CB5752000-022R002</v>
          </cell>
          <cell r="E8613" t="str">
            <v>角片</v>
          </cell>
        </row>
        <row r="8614">
          <cell r="D8614" t="str">
            <v>CB5752000-022R002</v>
          </cell>
          <cell r="E8614" t="str">
            <v>角片</v>
          </cell>
        </row>
        <row r="8615">
          <cell r="D8615" t="str">
            <v>CB5752000-022R002</v>
          </cell>
          <cell r="E8615" t="str">
            <v>角片</v>
          </cell>
        </row>
        <row r="8616">
          <cell r="D8616" t="str">
            <v>CB5752000-022R002</v>
          </cell>
          <cell r="E8616" t="str">
            <v>角片</v>
          </cell>
        </row>
        <row r="8617">
          <cell r="D8617" t="str">
            <v>CB5752000-022R002</v>
          </cell>
          <cell r="E8617" t="str">
            <v>角片</v>
          </cell>
        </row>
        <row r="8618">
          <cell r="D8618" t="str">
            <v>CB5752000-022R002</v>
          </cell>
          <cell r="E8618" t="str">
            <v>角片</v>
          </cell>
        </row>
        <row r="8619">
          <cell r="D8619" t="str">
            <v>CB5752000-022R002</v>
          </cell>
          <cell r="E8619" t="str">
            <v>角片</v>
          </cell>
        </row>
        <row r="8620">
          <cell r="D8620" t="str">
            <v>CB5752000-022L003</v>
          </cell>
          <cell r="E8620" t="str">
            <v>角片</v>
          </cell>
        </row>
        <row r="8621">
          <cell r="D8621" t="str">
            <v>CB5752000-022L003</v>
          </cell>
          <cell r="E8621" t="str">
            <v>角片</v>
          </cell>
        </row>
        <row r="8622">
          <cell r="D8622" t="str">
            <v>CB5752000-022L003</v>
          </cell>
          <cell r="E8622" t="str">
            <v>角片</v>
          </cell>
        </row>
        <row r="8623">
          <cell r="D8623" t="str">
            <v>CB5752000-022L003</v>
          </cell>
          <cell r="E8623" t="str">
            <v>角片</v>
          </cell>
        </row>
        <row r="8624">
          <cell r="D8624" t="str">
            <v>CB5752000-022L003</v>
          </cell>
          <cell r="E8624" t="str">
            <v>角片</v>
          </cell>
        </row>
        <row r="8625">
          <cell r="D8625" t="str">
            <v>CB5752000-022L003</v>
          </cell>
          <cell r="E8625" t="str">
            <v>角片</v>
          </cell>
        </row>
        <row r="8626">
          <cell r="D8626" t="str">
            <v>CB5752000-022L003</v>
          </cell>
          <cell r="E8626" t="str">
            <v>角片</v>
          </cell>
        </row>
        <row r="8627">
          <cell r="D8627" t="str">
            <v>CB5752000-022L003</v>
          </cell>
          <cell r="E8627" t="str">
            <v>角片</v>
          </cell>
        </row>
        <row r="8628">
          <cell r="D8628" t="str">
            <v>CB5752000-022L003</v>
          </cell>
          <cell r="E8628" t="str">
            <v>角片</v>
          </cell>
        </row>
        <row r="8629">
          <cell r="D8629" t="str">
            <v>CB5752000-022L003</v>
          </cell>
          <cell r="E8629" t="str">
            <v>角片</v>
          </cell>
        </row>
        <row r="8630">
          <cell r="D8630" t="str">
            <v>CB5752000-022L003</v>
          </cell>
          <cell r="E8630" t="str">
            <v>角片</v>
          </cell>
        </row>
        <row r="8631">
          <cell r="D8631" t="str">
            <v>CB5752000-022L003</v>
          </cell>
          <cell r="E8631" t="str">
            <v>角片</v>
          </cell>
        </row>
        <row r="8632">
          <cell r="D8632" t="str">
            <v>CB5752000-023R002</v>
          </cell>
          <cell r="E8632" t="str">
            <v>角片</v>
          </cell>
        </row>
        <row r="8633">
          <cell r="D8633" t="str">
            <v>CB5752000-023R002</v>
          </cell>
          <cell r="E8633" t="str">
            <v>角片</v>
          </cell>
        </row>
        <row r="8634">
          <cell r="D8634" t="str">
            <v>CB5752000-023R002</v>
          </cell>
          <cell r="E8634" t="str">
            <v>角片</v>
          </cell>
        </row>
        <row r="8635">
          <cell r="D8635" t="str">
            <v>CB5752000-023R002</v>
          </cell>
          <cell r="E8635" t="str">
            <v>角片</v>
          </cell>
        </row>
        <row r="8636">
          <cell r="D8636" t="str">
            <v>CB5752000-023R002</v>
          </cell>
          <cell r="E8636" t="str">
            <v>角片</v>
          </cell>
        </row>
        <row r="8637">
          <cell r="D8637" t="str">
            <v>CB5752000-023R002</v>
          </cell>
          <cell r="E8637" t="str">
            <v>角片</v>
          </cell>
        </row>
        <row r="8638">
          <cell r="D8638" t="str">
            <v>CB5752000-023R002</v>
          </cell>
          <cell r="E8638" t="str">
            <v>角片</v>
          </cell>
        </row>
        <row r="8639">
          <cell r="D8639" t="str">
            <v>CB5752000-023R002</v>
          </cell>
          <cell r="E8639" t="str">
            <v>角片</v>
          </cell>
        </row>
        <row r="8640">
          <cell r="D8640" t="str">
            <v>CB5752000-023R002</v>
          </cell>
          <cell r="E8640" t="str">
            <v>角片</v>
          </cell>
        </row>
        <row r="8641">
          <cell r="D8641" t="str">
            <v>CB5752000-023R002</v>
          </cell>
          <cell r="E8641" t="str">
            <v>角片</v>
          </cell>
        </row>
        <row r="8642">
          <cell r="D8642" t="str">
            <v>CB5752000-023R002</v>
          </cell>
          <cell r="E8642" t="str">
            <v>角片</v>
          </cell>
        </row>
        <row r="8643">
          <cell r="D8643" t="str">
            <v>CB5752000-023R002</v>
          </cell>
          <cell r="E8643" t="str">
            <v>角片</v>
          </cell>
        </row>
        <row r="8644">
          <cell r="D8644" t="str">
            <v>CB5752000-023L003</v>
          </cell>
          <cell r="E8644" t="str">
            <v>角片</v>
          </cell>
        </row>
        <row r="8645">
          <cell r="D8645" t="str">
            <v>CB5752000-023L003</v>
          </cell>
          <cell r="E8645" t="str">
            <v>角片</v>
          </cell>
        </row>
        <row r="8646">
          <cell r="D8646" t="str">
            <v>CB5752000-023L003</v>
          </cell>
          <cell r="E8646" t="str">
            <v>角片</v>
          </cell>
        </row>
        <row r="8647">
          <cell r="D8647" t="str">
            <v>CB5752000-023L003</v>
          </cell>
          <cell r="E8647" t="str">
            <v>角片</v>
          </cell>
        </row>
        <row r="8648">
          <cell r="D8648" t="str">
            <v>CB5752000-023L003</v>
          </cell>
          <cell r="E8648" t="str">
            <v>角片</v>
          </cell>
        </row>
        <row r="8649">
          <cell r="D8649" t="str">
            <v>CB5752000-023L003</v>
          </cell>
          <cell r="E8649" t="str">
            <v>角片</v>
          </cell>
        </row>
        <row r="8650">
          <cell r="D8650" t="str">
            <v>CB5752000-023L003</v>
          </cell>
          <cell r="E8650" t="str">
            <v>角片</v>
          </cell>
        </row>
        <row r="8651">
          <cell r="D8651" t="str">
            <v>CB5752000-023L003</v>
          </cell>
          <cell r="E8651" t="str">
            <v>角片</v>
          </cell>
        </row>
        <row r="8652">
          <cell r="D8652" t="str">
            <v>CB5752000-023L003</v>
          </cell>
          <cell r="E8652" t="str">
            <v>角片</v>
          </cell>
        </row>
        <row r="8653">
          <cell r="D8653" t="str">
            <v>CB5752000-023L003</v>
          </cell>
          <cell r="E8653" t="str">
            <v>角片</v>
          </cell>
        </row>
        <row r="8654">
          <cell r="D8654" t="str">
            <v>CB5752000-023L003</v>
          </cell>
          <cell r="E8654" t="str">
            <v>角片</v>
          </cell>
        </row>
        <row r="8655">
          <cell r="D8655" t="str">
            <v>CB5752000-023L003</v>
          </cell>
          <cell r="E8655" t="str">
            <v>角片</v>
          </cell>
        </row>
        <row r="8656">
          <cell r="D8656" t="str">
            <v>531A5500-001-501 B</v>
          </cell>
          <cell r="E8656" t="str">
            <v>纵梁上半部分</v>
          </cell>
        </row>
        <row r="8657">
          <cell r="D8657" t="str">
            <v>529A1200-002-001 E1</v>
          </cell>
          <cell r="E8657" t="str">
            <v>铰链接头</v>
          </cell>
        </row>
        <row r="8658">
          <cell r="D8658" t="str">
            <v>531A5600-001-501 B</v>
          </cell>
          <cell r="E8658" t="str">
            <v>纵梁</v>
          </cell>
        </row>
        <row r="8659">
          <cell r="D8659" t="str">
            <v>531A1300-003-001 B</v>
          </cell>
          <cell r="E8659" t="str">
            <v>支撑件</v>
          </cell>
        </row>
        <row r="8660">
          <cell r="D8660" t="str">
            <v>531A1100-014-001 C1</v>
          </cell>
          <cell r="E8660" t="str">
            <v>合页</v>
          </cell>
        </row>
        <row r="8661">
          <cell r="D8661" t="str">
            <v>531A1100-014-001 C1</v>
          </cell>
          <cell r="E8661" t="str">
            <v>合页</v>
          </cell>
        </row>
        <row r="8662">
          <cell r="D8662" t="str">
            <v>531A9800-007-001 B</v>
          </cell>
          <cell r="E8662" t="str">
            <v>挂钩</v>
          </cell>
        </row>
        <row r="8663">
          <cell r="D8663" t="str">
            <v>531A9800-009-001 B</v>
          </cell>
          <cell r="E8663" t="str">
            <v>支座</v>
          </cell>
        </row>
        <row r="8664">
          <cell r="D8664" t="str">
            <v>531A1400-006-001 B</v>
          </cell>
          <cell r="E8664" t="str">
            <v>接头</v>
          </cell>
        </row>
        <row r="8665">
          <cell r="D8665" t="str">
            <v>531A9910-003-001 B</v>
          </cell>
          <cell r="E8665" t="str">
            <v>接头</v>
          </cell>
        </row>
        <row r="8666">
          <cell r="D8666" t="str">
            <v>GU5714000-001R001</v>
          </cell>
          <cell r="E8666" t="str">
            <v>1300肋</v>
          </cell>
        </row>
        <row r="8667">
          <cell r="D8667" t="str">
            <v>GU5714000-001L001</v>
          </cell>
          <cell r="E8667" t="str">
            <v>1300肋</v>
          </cell>
        </row>
        <row r="8668">
          <cell r="D8668" t="str">
            <v>GU5714000-003L001</v>
          </cell>
          <cell r="E8668" t="str">
            <v>2750肋</v>
          </cell>
        </row>
        <row r="8669">
          <cell r="D8669" t="str">
            <v>GU5714000-003R001</v>
          </cell>
          <cell r="E8669" t="str">
            <v>2750肋</v>
          </cell>
        </row>
        <row r="8670">
          <cell r="D8670" t="str">
            <v>GU5714000-004L001</v>
          </cell>
          <cell r="E8670" t="str">
            <v>3500肋</v>
          </cell>
        </row>
        <row r="8671">
          <cell r="D8671" t="str">
            <v>GU5714000-004R001</v>
          </cell>
          <cell r="E8671" t="str">
            <v>3500肋</v>
          </cell>
        </row>
        <row r="8672">
          <cell r="D8672" t="str">
            <v>GU5714000-005L001</v>
          </cell>
          <cell r="E8672" t="str">
            <v>4500肋</v>
          </cell>
        </row>
        <row r="8673">
          <cell r="D8673" t="str">
            <v>GU5714000-005R001</v>
          </cell>
          <cell r="E8673" t="str">
            <v>4500肋</v>
          </cell>
        </row>
        <row r="8674">
          <cell r="D8674" t="str">
            <v>GU5714000-006L001</v>
          </cell>
          <cell r="E8674" t="str">
            <v>5500肋</v>
          </cell>
        </row>
        <row r="8675">
          <cell r="D8675" t="str">
            <v>GU5714000-006R001</v>
          </cell>
          <cell r="E8675" t="str">
            <v>5500肋</v>
          </cell>
        </row>
        <row r="8676">
          <cell r="D8676" t="str">
            <v>DD-J10B-34303-7G2</v>
          </cell>
          <cell r="E8676" t="str">
            <v>第1隔板</v>
          </cell>
        </row>
        <row r="8677">
          <cell r="D8677" t="str">
            <v>DD-J10B-34303-8G2</v>
          </cell>
          <cell r="E8677" t="str">
            <v>第2隔板</v>
          </cell>
        </row>
        <row r="8678">
          <cell r="D8678" t="str">
            <v>DD-J10B-34303-9G2</v>
          </cell>
          <cell r="E8678" t="str">
            <v>第3隔板</v>
          </cell>
        </row>
        <row r="8679">
          <cell r="D8679" t="str">
            <v>DD-J10B-34303-11G2</v>
          </cell>
          <cell r="E8679" t="str">
            <v>第4隔板</v>
          </cell>
        </row>
        <row r="8680">
          <cell r="D8680" t="str">
            <v>DD-J10B-34303-12G2</v>
          </cell>
          <cell r="E8680" t="str">
            <v>第5隔板</v>
          </cell>
        </row>
        <row r="8681">
          <cell r="D8681" t="str">
            <v>DD-J10B-34303-13G2</v>
          </cell>
          <cell r="E8681" t="str">
            <v>第6隔板</v>
          </cell>
        </row>
        <row r="8682">
          <cell r="D8682" t="str">
            <v>Y20-4252103803-001</v>
          </cell>
          <cell r="E8682" t="str">
            <v>角片</v>
          </cell>
        </row>
        <row r="8683">
          <cell r="D8683" t="str">
            <v>YR-4351100504-001</v>
          </cell>
          <cell r="E8683" t="str">
            <v>螺旋锁座</v>
          </cell>
        </row>
        <row r="8684">
          <cell r="D8684" t="str">
            <v>DD-J10B-02041-2-Y</v>
          </cell>
          <cell r="E8684" t="str">
            <v>前上大梁</v>
          </cell>
        </row>
        <row r="8685">
          <cell r="D8685" t="str">
            <v>DD-J10B-21002-2-Z</v>
          </cell>
          <cell r="E8685" t="str">
            <v>4号下壁板（左件）</v>
          </cell>
        </row>
        <row r="8686">
          <cell r="D8686" t="str">
            <v>DD-J10B-21002-2-Z</v>
          </cell>
          <cell r="E8686" t="str">
            <v>4号下壁板（左件）</v>
          </cell>
        </row>
        <row r="8687">
          <cell r="D8687" t="str">
            <v>DD-J10B-21002-2-Y</v>
          </cell>
          <cell r="E8687" t="str">
            <v>4号下壁板（右件）</v>
          </cell>
        </row>
        <row r="8688">
          <cell r="D8688" t="str">
            <v>DD-J10B-21002-2-Y</v>
          </cell>
          <cell r="E8688" t="str">
            <v>4号下壁板（右件）</v>
          </cell>
        </row>
        <row r="8689">
          <cell r="D8689" t="str">
            <v>DD-J10B-04011-1</v>
          </cell>
          <cell r="E8689" t="str">
            <v>7100框</v>
          </cell>
        </row>
        <row r="8690">
          <cell r="D8690" t="str">
            <v>DD-J10B-04011-1</v>
          </cell>
          <cell r="E8690" t="str">
            <v>7100框</v>
          </cell>
        </row>
        <row r="8691">
          <cell r="D8691" t="str">
            <v>DD-J10B-04011-1</v>
          </cell>
          <cell r="E8691" t="str">
            <v>7100框</v>
          </cell>
        </row>
        <row r="8692">
          <cell r="D8692" t="str">
            <v>DD-J10B-04011-1</v>
          </cell>
          <cell r="E8692" t="str">
            <v>7100框</v>
          </cell>
        </row>
        <row r="8693">
          <cell r="D8693" t="str">
            <v>531A1100-008-001 B1</v>
          </cell>
          <cell r="E8693" t="str">
            <v>铰链支撑件</v>
          </cell>
        </row>
        <row r="8694">
          <cell r="D8694" t="str">
            <v>531A1100-008-002 B1</v>
          </cell>
          <cell r="E8694" t="str">
            <v>铰链支撑件</v>
          </cell>
        </row>
        <row r="8695">
          <cell r="D8695" t="str">
            <v>531A1100-008-002 B1</v>
          </cell>
          <cell r="E8695" t="str">
            <v>铰链支撑件</v>
          </cell>
        </row>
        <row r="8696">
          <cell r="D8696" t="str">
            <v>531A9910-001-001 B</v>
          </cell>
          <cell r="E8696" t="str">
            <v>脚踏板支架</v>
          </cell>
        </row>
        <row r="8697">
          <cell r="D8697" t="str">
            <v>531A9910-001-002 B</v>
          </cell>
          <cell r="E8697" t="str">
            <v>脚踏板支架</v>
          </cell>
        </row>
        <row r="8698">
          <cell r="D8698" t="str">
            <v>521A1150-002-001 B1</v>
          </cell>
          <cell r="E8698" t="str">
            <v>接头</v>
          </cell>
        </row>
        <row r="8699">
          <cell r="D8699" t="str">
            <v>531A5600-001-502 B</v>
          </cell>
          <cell r="E8699" t="str">
            <v>纵梁</v>
          </cell>
        </row>
        <row r="8700">
          <cell r="D8700" t="str">
            <v>531A5900-001-501 B1</v>
          </cell>
          <cell r="E8700" t="str">
            <v>纵梁上半部分</v>
          </cell>
        </row>
        <row r="8701">
          <cell r="D8701" t="str">
            <v>529A1200-002-002 E1</v>
          </cell>
          <cell r="E8701" t="str">
            <v>铰链接头</v>
          </cell>
        </row>
        <row r="8702">
          <cell r="D8702" t="str">
            <v>529A1200-002-002 E1</v>
          </cell>
          <cell r="E8702" t="str">
            <v>铰链接头</v>
          </cell>
        </row>
        <row r="8703">
          <cell r="D8703" t="str">
            <v>GU5716000-012R001</v>
          </cell>
          <cell r="E8703" t="str">
            <v>副翼2号挂点接头</v>
          </cell>
        </row>
        <row r="8704">
          <cell r="D8704" t="str">
            <v>GU5714000-001L001</v>
          </cell>
          <cell r="E8704" t="str">
            <v>1300肋</v>
          </cell>
        </row>
        <row r="8705">
          <cell r="D8705" t="str">
            <v>GU5714000-001R001</v>
          </cell>
          <cell r="E8705" t="str">
            <v>1300肋</v>
          </cell>
        </row>
        <row r="8706">
          <cell r="D8706" t="str">
            <v>GU5714000-003L001</v>
          </cell>
          <cell r="E8706" t="str">
            <v>2750肋</v>
          </cell>
        </row>
        <row r="8707">
          <cell r="D8707" t="str">
            <v>GU5714000-003R001</v>
          </cell>
          <cell r="E8707" t="str">
            <v>2750肋</v>
          </cell>
        </row>
        <row r="8708">
          <cell r="D8708" t="str">
            <v>GU5714000-004L001</v>
          </cell>
          <cell r="E8708" t="str">
            <v>3500肋</v>
          </cell>
        </row>
        <row r="8709">
          <cell r="D8709" t="str">
            <v>GU5714000-004R001</v>
          </cell>
          <cell r="E8709" t="str">
            <v>3500肋</v>
          </cell>
        </row>
        <row r="8710">
          <cell r="D8710" t="str">
            <v>GU5714000-006L001</v>
          </cell>
          <cell r="E8710" t="str">
            <v>5500肋</v>
          </cell>
        </row>
        <row r="8711">
          <cell r="D8711" t="str">
            <v>GU5714000-006R001</v>
          </cell>
          <cell r="E8711" t="str">
            <v>5500肋</v>
          </cell>
        </row>
        <row r="8712">
          <cell r="D8712" t="str">
            <v>GU5714000-005L001</v>
          </cell>
          <cell r="E8712" t="str">
            <v>4500肋</v>
          </cell>
        </row>
        <row r="8713">
          <cell r="D8713" t="str">
            <v>GU5714000-005R001</v>
          </cell>
          <cell r="E8713" t="str">
            <v>4500肋</v>
          </cell>
        </row>
        <row r="8714">
          <cell r="D8714" t="str">
            <v>DD-J10B-24002-60G2-1G2-Y</v>
          </cell>
          <cell r="E8714" t="str">
            <v>付翼前梁</v>
          </cell>
        </row>
        <row r="8715">
          <cell r="D8715" t="str">
            <v>DD-J10B-24002-60G2-1G2-Y</v>
          </cell>
          <cell r="E8715" t="str">
            <v>付翼前梁</v>
          </cell>
        </row>
        <row r="8716">
          <cell r="D8716" t="str">
            <v>DD-J10B-24002-60G2-1G2-Y</v>
          </cell>
          <cell r="E8716" t="str">
            <v>付翼前梁</v>
          </cell>
        </row>
        <row r="8717">
          <cell r="D8717" t="str">
            <v>DD-J10B-26002-1G2-Z</v>
          </cell>
          <cell r="E8717" t="str">
            <v>梁（左件）</v>
          </cell>
        </row>
        <row r="8718">
          <cell r="D8718" t="str">
            <v>DD-J10B-26002-1G2-Z</v>
          </cell>
          <cell r="E8718" t="str">
            <v>梁（左件）</v>
          </cell>
        </row>
        <row r="8719">
          <cell r="D8719" t="str">
            <v>DD-J10B-26002-1G2-Y</v>
          </cell>
          <cell r="E8719" t="str">
            <v>梁（右件）</v>
          </cell>
        </row>
        <row r="8720">
          <cell r="D8720" t="str">
            <v>DD-J10B-26002-1G2-Y</v>
          </cell>
          <cell r="E8720" t="str">
            <v>梁（右件）</v>
          </cell>
        </row>
        <row r="8721">
          <cell r="D8721" t="str">
            <v>CB2283792-002-002</v>
          </cell>
          <cell r="E8721" t="str">
            <v>法兰</v>
          </cell>
        </row>
        <row r="8722">
          <cell r="D8722" t="str">
            <v>531A5100-128-501 B</v>
          </cell>
          <cell r="E8722" t="str">
            <v>后观察窗下窗框</v>
          </cell>
        </row>
        <row r="8723">
          <cell r="D8723" t="str">
            <v>531A5100-128-501 B</v>
          </cell>
          <cell r="E8723" t="str">
            <v>后观察窗下窗框</v>
          </cell>
        </row>
        <row r="8724">
          <cell r="D8724" t="str">
            <v>531A5100-128-502 B</v>
          </cell>
          <cell r="E8724" t="str">
            <v>后观察窗下窗框</v>
          </cell>
        </row>
        <row r="8725">
          <cell r="D8725" t="str">
            <v>531A5100-128-502 B</v>
          </cell>
          <cell r="E8725" t="str">
            <v>后观察窗下窗框</v>
          </cell>
        </row>
        <row r="8726">
          <cell r="D8726" t="str">
            <v>531A5100-126-501 C1</v>
          </cell>
          <cell r="E8726" t="str">
            <v>通风窗与后观察窗上窗框</v>
          </cell>
        </row>
        <row r="8727">
          <cell r="D8727" t="str">
            <v>531A5100-126-501 C1</v>
          </cell>
          <cell r="E8727" t="str">
            <v>通风窗与后观察窗上窗框</v>
          </cell>
        </row>
        <row r="8728">
          <cell r="D8728" t="str">
            <v>531A5100-126-502 C1</v>
          </cell>
          <cell r="E8728" t="str">
            <v>通风窗与后观察窗上窗框</v>
          </cell>
        </row>
        <row r="8729">
          <cell r="D8729" t="str">
            <v>531A5100-126-502 C1</v>
          </cell>
          <cell r="E8729" t="str">
            <v>通风窗与后观察窗上窗框</v>
          </cell>
        </row>
        <row r="8730">
          <cell r="D8730" t="str">
            <v>CB5322400-016-061</v>
          </cell>
          <cell r="E8730" t="str">
            <v>11140框左下半框</v>
          </cell>
        </row>
        <row r="8731">
          <cell r="D8731" t="str">
            <v>CB5322400-016-061</v>
          </cell>
          <cell r="E8731" t="str">
            <v>11140框左下半框</v>
          </cell>
        </row>
        <row r="8732">
          <cell r="D8732" t="str">
            <v>CB5322400-016-061</v>
          </cell>
          <cell r="E8732" t="str">
            <v>11140框左下半框</v>
          </cell>
        </row>
        <row r="8733">
          <cell r="D8733" t="str">
            <v>CB5322400-016-061</v>
          </cell>
          <cell r="E8733" t="str">
            <v>11140框左下半框</v>
          </cell>
        </row>
        <row r="8734">
          <cell r="D8734" t="str">
            <v>CB5322400-016-061</v>
          </cell>
          <cell r="E8734" t="str">
            <v>11140框左下半框</v>
          </cell>
        </row>
        <row r="8735">
          <cell r="D8735" t="str">
            <v>CB5322400-016-061</v>
          </cell>
          <cell r="E8735" t="str">
            <v>11140框左下半框</v>
          </cell>
        </row>
        <row r="8736">
          <cell r="D8736" t="str">
            <v>CB5322400-017-061</v>
          </cell>
          <cell r="E8736" t="str">
            <v>11140框右下半框</v>
          </cell>
        </row>
        <row r="8737">
          <cell r="D8737" t="str">
            <v>CB5322400-017-061</v>
          </cell>
          <cell r="E8737" t="str">
            <v>11140框右下半框</v>
          </cell>
        </row>
        <row r="8738">
          <cell r="D8738" t="str">
            <v>CB5322400-017-061</v>
          </cell>
          <cell r="E8738" t="str">
            <v>11140框右下半框</v>
          </cell>
        </row>
        <row r="8739">
          <cell r="D8739" t="str">
            <v>CB5322400-017-061</v>
          </cell>
          <cell r="E8739" t="str">
            <v>11140框右下半框</v>
          </cell>
        </row>
        <row r="8740">
          <cell r="D8740" t="str">
            <v>CB5322400-017-061</v>
          </cell>
          <cell r="E8740" t="str">
            <v>11140框右下半框</v>
          </cell>
        </row>
        <row r="8741">
          <cell r="D8741" t="str">
            <v>CB5322400-017-061</v>
          </cell>
          <cell r="E8741" t="str">
            <v>11140框右下半框</v>
          </cell>
        </row>
        <row r="8742">
          <cell r="D8742" t="str">
            <v>DD-J10B-26002-1G2-Y</v>
          </cell>
          <cell r="E8742" t="str">
            <v>梁（右件）</v>
          </cell>
        </row>
        <row r="8743">
          <cell r="D8743" t="str">
            <v>DD-J10B-26002-1G2-Y</v>
          </cell>
          <cell r="E8743" t="str">
            <v>梁（右件）</v>
          </cell>
        </row>
        <row r="8744">
          <cell r="D8744" t="str">
            <v>DD-J10B-26002-1G2-Z</v>
          </cell>
          <cell r="E8744" t="str">
            <v>梁（左件）</v>
          </cell>
        </row>
        <row r="8745">
          <cell r="D8745" t="str">
            <v>DD-J10B-26002-1G2-Z</v>
          </cell>
          <cell r="E8745" t="str">
            <v>梁（左件）</v>
          </cell>
        </row>
        <row r="8746">
          <cell r="D8746" t="str">
            <v>DD-J10B-78001-460-1</v>
          </cell>
          <cell r="E8746" t="str">
            <v>铰链</v>
          </cell>
        </row>
        <row r="8747">
          <cell r="D8747" t="str">
            <v>DD-J10B-78001-460-1</v>
          </cell>
          <cell r="E8747" t="str">
            <v>铰链</v>
          </cell>
        </row>
        <row r="8748">
          <cell r="D8748" t="str">
            <v>DD-J10B-06061-22</v>
          </cell>
          <cell r="E8748" t="str">
            <v>摇臂</v>
          </cell>
        </row>
        <row r="8749">
          <cell r="D8749" t="str">
            <v>DD-J10B-61201-12</v>
          </cell>
          <cell r="E8749" t="str">
            <v>接头</v>
          </cell>
        </row>
        <row r="8750">
          <cell r="D8750" t="str">
            <v>DD-J10B-65000-1710G2-1</v>
          </cell>
          <cell r="E8750" t="str">
            <v>连杆</v>
          </cell>
        </row>
        <row r="8751">
          <cell r="D8751" t="str">
            <v>521A1100-001-001 B1</v>
          </cell>
          <cell r="E8751" t="str">
            <v>接头</v>
          </cell>
        </row>
        <row r="8752">
          <cell r="D8752" t="str">
            <v>521A1160-001-001 C1</v>
          </cell>
          <cell r="E8752" t="str">
            <v>接头</v>
          </cell>
        </row>
        <row r="8753">
          <cell r="D8753" t="str">
            <v>521A1160-002-001 B2</v>
          </cell>
          <cell r="E8753" t="str">
            <v>接头</v>
          </cell>
        </row>
        <row r="8754">
          <cell r="D8754" t="str">
            <v>CB5324413-004-002</v>
          </cell>
          <cell r="E8754" t="str">
            <v>油箱底板（中）</v>
          </cell>
        </row>
        <row r="8755">
          <cell r="D8755" t="str">
            <v>DD-J10-21102-32-Y</v>
          </cell>
          <cell r="E8755" t="str">
            <v>10060下接头</v>
          </cell>
        </row>
        <row r="8756">
          <cell r="D8756" t="str">
            <v>DD-J10-21102-32-Y</v>
          </cell>
          <cell r="E8756" t="str">
            <v>10060下接头</v>
          </cell>
        </row>
        <row r="8757">
          <cell r="D8757" t="str">
            <v>DD-J10-21102-32-Y</v>
          </cell>
          <cell r="E8757" t="str">
            <v>10060下接头</v>
          </cell>
        </row>
        <row r="8758">
          <cell r="D8758" t="str">
            <v>DD-J10-21102-32-Z</v>
          </cell>
          <cell r="E8758" t="str">
            <v>10060下接头</v>
          </cell>
        </row>
        <row r="8759">
          <cell r="D8759" t="str">
            <v>DD-J10-21102-32-Z</v>
          </cell>
          <cell r="E8759" t="str">
            <v>10060下接头</v>
          </cell>
        </row>
        <row r="8760">
          <cell r="D8760" t="str">
            <v>DD-J10-21102-32-Z</v>
          </cell>
          <cell r="E8760" t="str">
            <v>10060下接头</v>
          </cell>
        </row>
        <row r="8761">
          <cell r="D8761" t="str">
            <v>DD-J10-21102-31-Y</v>
          </cell>
          <cell r="E8761" t="str">
            <v>10060上接头</v>
          </cell>
        </row>
        <row r="8762">
          <cell r="D8762" t="str">
            <v>DD-J10-21102-31-Z</v>
          </cell>
          <cell r="E8762" t="str">
            <v>10060上接头</v>
          </cell>
        </row>
        <row r="8763">
          <cell r="D8763" t="str">
            <v>DD-J10B-02161-501</v>
          </cell>
          <cell r="E8763" t="str">
            <v>5755横框</v>
          </cell>
        </row>
        <row r="8764">
          <cell r="D8764" t="str">
            <v>DD-J10B-02161-501</v>
          </cell>
          <cell r="E8764" t="str">
            <v>5755横框</v>
          </cell>
        </row>
        <row r="8765">
          <cell r="D8765" t="str">
            <v>BC2712520-003-001</v>
          </cell>
          <cell r="E8765" t="str">
            <v>支架</v>
          </cell>
        </row>
        <row r="8766">
          <cell r="D8766" t="str">
            <v>BC5333651-001-001</v>
          </cell>
          <cell r="E8766" t="str">
            <v>壳体</v>
          </cell>
        </row>
        <row r="8767">
          <cell r="D8767" t="str">
            <v>BC2712522-001-001</v>
          </cell>
          <cell r="E8767" t="str">
            <v>支座</v>
          </cell>
        </row>
        <row r="8768">
          <cell r="D8768" t="str">
            <v>BC2711313-006-001</v>
          </cell>
          <cell r="E8768" t="str">
            <v>球头</v>
          </cell>
        </row>
        <row r="8769">
          <cell r="D8769" t="str">
            <v>DD-J10-42074-90-1-Z</v>
          </cell>
          <cell r="E8769" t="str">
            <v>支座</v>
          </cell>
        </row>
        <row r="8770">
          <cell r="D8770" t="str">
            <v>DD-J10-42074-90-1-Z</v>
          </cell>
          <cell r="E8770" t="str">
            <v>支座</v>
          </cell>
        </row>
        <row r="8771">
          <cell r="D8771" t="str">
            <v>DD-J10-42074-90-1-Y</v>
          </cell>
          <cell r="E8771" t="str">
            <v>支座</v>
          </cell>
        </row>
        <row r="8772">
          <cell r="D8772" t="str">
            <v>DD-J10-42074-90-1-Y</v>
          </cell>
          <cell r="E8772" t="str">
            <v>支座</v>
          </cell>
        </row>
        <row r="8773">
          <cell r="D8773" t="str">
            <v>DD-J10B-67011-6103</v>
          </cell>
          <cell r="E8773" t="str">
            <v>角片</v>
          </cell>
        </row>
        <row r="8774">
          <cell r="D8774" t="str">
            <v>DD-J10B-67011-6103</v>
          </cell>
          <cell r="E8774" t="str">
            <v>角片</v>
          </cell>
        </row>
        <row r="8775">
          <cell r="D8775" t="str">
            <v>531A5100-123-501 B1</v>
          </cell>
          <cell r="E8775" t="str">
            <v>主风挡下窗框</v>
          </cell>
        </row>
        <row r="8776">
          <cell r="D8776" t="str">
            <v>531A5100-123-502 B1</v>
          </cell>
          <cell r="E8776" t="str">
            <v>主风挡下窗框</v>
          </cell>
        </row>
        <row r="8777">
          <cell r="D8777" t="str">
            <v>531A5100-123-502 B1</v>
          </cell>
          <cell r="E8777" t="str">
            <v>主风挡下窗框</v>
          </cell>
        </row>
        <row r="8778">
          <cell r="D8778" t="str">
            <v>521A1100-002-001 C</v>
          </cell>
          <cell r="E8778" t="str">
            <v>接头</v>
          </cell>
        </row>
        <row r="8779">
          <cell r="D8779" t="str">
            <v>531A9110-001-001 B1</v>
          </cell>
          <cell r="E8779" t="str">
            <v>前起落架舱门结构支撑梁</v>
          </cell>
        </row>
        <row r="8780">
          <cell r="D8780" t="str">
            <v>LT3E-521500000-03N01</v>
          </cell>
          <cell r="E8780" t="str">
            <v>连接角片</v>
          </cell>
        </row>
        <row r="8781">
          <cell r="D8781" t="str">
            <v>LT3E-521500000-03N01</v>
          </cell>
          <cell r="E8781" t="str">
            <v>连接角片</v>
          </cell>
        </row>
        <row r="8782">
          <cell r="D8782" t="str">
            <v>LT3E-521500000-03N01</v>
          </cell>
          <cell r="E8782" t="str">
            <v>连接角片</v>
          </cell>
        </row>
        <row r="8783">
          <cell r="D8783" t="str">
            <v>LT3E-521500000-04N01</v>
          </cell>
          <cell r="E8783" t="str">
            <v>连接角片</v>
          </cell>
        </row>
        <row r="8784">
          <cell r="D8784" t="str">
            <v>LT3E-521500000-04N01</v>
          </cell>
          <cell r="E8784" t="str">
            <v>连接角片</v>
          </cell>
        </row>
        <row r="8785">
          <cell r="D8785" t="str">
            <v>CB5822016-032R001</v>
          </cell>
          <cell r="E8785" t="str">
            <v>角片</v>
          </cell>
        </row>
        <row r="8786">
          <cell r="D8786" t="str">
            <v>CB5822016-032R001</v>
          </cell>
          <cell r="E8786" t="str">
            <v>角片</v>
          </cell>
        </row>
        <row r="8787">
          <cell r="D8787" t="str">
            <v>CB5822016-032L001</v>
          </cell>
          <cell r="E8787" t="str">
            <v>角片</v>
          </cell>
        </row>
        <row r="8788">
          <cell r="D8788" t="str">
            <v>CB5822016-032L001</v>
          </cell>
          <cell r="E8788" t="str">
            <v>角片</v>
          </cell>
        </row>
        <row r="8789">
          <cell r="D8789" t="str">
            <v>DD-J10B-94076-620-1</v>
          </cell>
          <cell r="E8789" t="str">
            <v>管子</v>
          </cell>
        </row>
        <row r="8790">
          <cell r="D8790" t="str">
            <v>CB5315191-014R004</v>
          </cell>
          <cell r="E8790" t="str">
            <v>排气下侧壁</v>
          </cell>
        </row>
        <row r="8791">
          <cell r="D8791" t="str">
            <v>CB5315191-014L004</v>
          </cell>
          <cell r="E8791" t="str">
            <v>排气下侧壁</v>
          </cell>
        </row>
        <row r="8792">
          <cell r="D8792" t="str">
            <v>DD-J10B-65000-1810G2-1</v>
          </cell>
          <cell r="E8792" t="str">
            <v>支座</v>
          </cell>
        </row>
        <row r="8793">
          <cell r="D8793" t="str">
            <v>DD-J10B-65000-1810G2-1</v>
          </cell>
          <cell r="E8793" t="str">
            <v>支座</v>
          </cell>
        </row>
        <row r="8794">
          <cell r="D8794" t="str">
            <v>DD-J10B-65000-1810G2-1</v>
          </cell>
          <cell r="E8794" t="str">
            <v>支座</v>
          </cell>
        </row>
        <row r="8795">
          <cell r="D8795" t="str">
            <v>531A5100-122-501 B1</v>
          </cell>
          <cell r="E8795" t="str">
            <v>主风挡上窗框</v>
          </cell>
        </row>
        <row r="8796">
          <cell r="D8796" t="str">
            <v>531A5100-122-501 B1</v>
          </cell>
          <cell r="E8796" t="str">
            <v>主风挡上窗框</v>
          </cell>
        </row>
        <row r="8797">
          <cell r="D8797" t="str">
            <v>531A5100-122-502 B1</v>
          </cell>
          <cell r="E8797" t="str">
            <v>主风挡上窗框</v>
          </cell>
        </row>
        <row r="8798">
          <cell r="D8798" t="str">
            <v>531A5100-122-502 B1</v>
          </cell>
          <cell r="E8798" t="str">
            <v>主风挡上窗框</v>
          </cell>
        </row>
        <row r="8799">
          <cell r="D8799" t="str">
            <v>521A4430-001-001 B2</v>
          </cell>
          <cell r="E8799" t="str">
            <v>钩子</v>
          </cell>
        </row>
        <row r="8800">
          <cell r="D8800" t="str">
            <v>521A1150-001-001 B1</v>
          </cell>
          <cell r="E8800" t="str">
            <v>接头</v>
          </cell>
        </row>
        <row r="8801">
          <cell r="D8801" t="str">
            <v>CB5715000-001L002</v>
          </cell>
          <cell r="E8801" t="str">
            <v>固定前缘边肋</v>
          </cell>
        </row>
        <row r="8802">
          <cell r="D8802" t="str">
            <v>CB5715000-001R002</v>
          </cell>
          <cell r="E8802" t="str">
            <v>固定前缘边肋</v>
          </cell>
        </row>
        <row r="8803">
          <cell r="D8803" t="str">
            <v>CB5742000-202R001</v>
          </cell>
          <cell r="E8803" t="str">
            <v>前梁二段</v>
          </cell>
        </row>
        <row r="8804">
          <cell r="D8804" t="str">
            <v>CB5742000-202L001</v>
          </cell>
          <cell r="E8804" t="str">
            <v>前梁二段</v>
          </cell>
        </row>
        <row r="8805">
          <cell r="D8805" t="str">
            <v>DD-J10B-21402-10G2-1G2-Y</v>
          </cell>
          <cell r="E8805" t="str">
            <v>固定前缘边肋（右件）</v>
          </cell>
        </row>
        <row r="8806">
          <cell r="D8806" t="str">
            <v>DD-J10B-21402-10G2-1G2-Y</v>
          </cell>
          <cell r="E8806" t="str">
            <v>固定前缘边肋（右件）</v>
          </cell>
        </row>
        <row r="8807">
          <cell r="D8807" t="str">
            <v>DD-J10B-21402-10G2-1G2-Y</v>
          </cell>
          <cell r="E8807" t="str">
            <v>固定前缘边肋（右件）</v>
          </cell>
        </row>
        <row r="8808">
          <cell r="D8808" t="str">
            <v>DD-J10B-21402-10G2-1G2-Y</v>
          </cell>
          <cell r="E8808" t="str">
            <v>固定前缘边肋（右件）</v>
          </cell>
        </row>
        <row r="8809">
          <cell r="D8809" t="str">
            <v>DD-J10B-21402-90G2-1G2-Y</v>
          </cell>
          <cell r="E8809" t="str">
            <v>固定前缘端肋（右件）</v>
          </cell>
        </row>
        <row r="8810">
          <cell r="D8810" t="str">
            <v>DD-J10B-21402-90G2-1G2-Y</v>
          </cell>
          <cell r="E8810" t="str">
            <v>固定前缘端肋（右件）</v>
          </cell>
        </row>
        <row r="8811">
          <cell r="D8811" t="str">
            <v>DD-J10B-21402-90G2-1G2-Y</v>
          </cell>
          <cell r="E8811" t="str">
            <v>固定前缘端肋（右件）</v>
          </cell>
        </row>
        <row r="8812">
          <cell r="D8812" t="str">
            <v>DD-J10B-21402-90G2-1G2-Z</v>
          </cell>
          <cell r="E8812" t="str">
            <v>固定前缘端肋（左件）</v>
          </cell>
        </row>
        <row r="8813">
          <cell r="D8813" t="str">
            <v>DD-J10B-21402-90G2-1G2-Z</v>
          </cell>
          <cell r="E8813" t="str">
            <v>固定前缘端肋（左件）</v>
          </cell>
        </row>
        <row r="8814">
          <cell r="D8814" t="str">
            <v>DD-J10B-21402-90G2-1G2-Z</v>
          </cell>
          <cell r="E8814" t="str">
            <v>固定前缘端肋（左件）</v>
          </cell>
        </row>
        <row r="8815">
          <cell r="D8815" t="str">
            <v>DD-J10B-21302-40G2-1-Y</v>
          </cell>
          <cell r="E8815" t="str">
            <v>后梁四段</v>
          </cell>
        </row>
        <row r="8816">
          <cell r="D8816" t="str">
            <v>DD-J10B-21302-40G2-1-Y</v>
          </cell>
          <cell r="E8816" t="str">
            <v>后梁四段</v>
          </cell>
        </row>
        <row r="8817">
          <cell r="D8817" t="str">
            <v>BC221T1AA-002-001</v>
          </cell>
          <cell r="E8817" t="str">
            <v>法兰</v>
          </cell>
        </row>
        <row r="8818">
          <cell r="D8818" t="str">
            <v>BC221T1AC-001-002</v>
          </cell>
          <cell r="E8818" t="str">
            <v>法兰</v>
          </cell>
        </row>
        <row r="8819">
          <cell r="D8819" t="str">
            <v>BC221T1BB-001-001</v>
          </cell>
          <cell r="E8819" t="str">
            <v>法兰</v>
          </cell>
        </row>
        <row r="8820">
          <cell r="D8820" t="str">
            <v>BC2281245-002-001</v>
          </cell>
          <cell r="E8820" t="str">
            <v>接头</v>
          </cell>
        </row>
        <row r="8821">
          <cell r="D8821" t="str">
            <v>BC5812800-001-001</v>
          </cell>
          <cell r="E8821" t="str">
            <v>摇臂</v>
          </cell>
        </row>
        <row r="8822">
          <cell r="D8822" t="str">
            <v>BC5812800-001-001</v>
          </cell>
          <cell r="E8822" t="str">
            <v>摇臂</v>
          </cell>
        </row>
        <row r="8823">
          <cell r="D8823" t="str">
            <v>DD-J10S-54101-720-1</v>
          </cell>
          <cell r="E8823" t="str">
            <v>支座</v>
          </cell>
        </row>
        <row r="8824">
          <cell r="D8824" t="str">
            <v>DD-J10-21102-250-1-Z</v>
          </cell>
          <cell r="E8824" t="str">
            <v>11900梁一段（左件）</v>
          </cell>
        </row>
        <row r="8825">
          <cell r="D8825" t="str">
            <v>CB5327220-002L001</v>
          </cell>
          <cell r="E8825" t="str">
            <v>型材</v>
          </cell>
        </row>
        <row r="8826">
          <cell r="D8826" t="str">
            <v>CB5327220-002L001</v>
          </cell>
          <cell r="E8826" t="str">
            <v>型材</v>
          </cell>
        </row>
        <row r="8827">
          <cell r="D8827" t="str">
            <v>CB5327220-002L001</v>
          </cell>
          <cell r="E8827" t="str">
            <v>型材</v>
          </cell>
        </row>
        <row r="8828">
          <cell r="D8828" t="str">
            <v>CB5327220-002R001</v>
          </cell>
          <cell r="E8828" t="str">
            <v>型材</v>
          </cell>
        </row>
        <row r="8829">
          <cell r="D8829" t="str">
            <v>CB5327220-002R001</v>
          </cell>
          <cell r="E8829" t="str">
            <v>型材</v>
          </cell>
        </row>
        <row r="8830">
          <cell r="D8830" t="str">
            <v>CB5327220-002R001</v>
          </cell>
          <cell r="E8830" t="str">
            <v>型材</v>
          </cell>
        </row>
        <row r="8831">
          <cell r="D8831" t="str">
            <v>DD-J10B-04041-1</v>
          </cell>
          <cell r="E8831" t="str">
            <v>10060框</v>
          </cell>
        </row>
        <row r="8832">
          <cell r="D8832" t="str">
            <v>DD-J10B-04041-1</v>
          </cell>
          <cell r="E8832" t="str">
            <v>10060框</v>
          </cell>
        </row>
        <row r="8833">
          <cell r="D8833" t="str">
            <v>DD-J10B-04061-1</v>
          </cell>
          <cell r="E8833" t="str">
            <v>10860框</v>
          </cell>
        </row>
        <row r="8834">
          <cell r="D8834" t="str">
            <v>DD-J10B-04061-1</v>
          </cell>
          <cell r="E8834" t="str">
            <v>10860框</v>
          </cell>
        </row>
        <row r="8835">
          <cell r="D8835" t="str">
            <v>531A5100-122-501 B1</v>
          </cell>
          <cell r="E8835" t="str">
            <v>主风挡上窗框</v>
          </cell>
        </row>
        <row r="8836">
          <cell r="D8836" t="str">
            <v>531A5100-122-502 B1</v>
          </cell>
          <cell r="E8836" t="str">
            <v>主风挡上窗框</v>
          </cell>
        </row>
        <row r="8837">
          <cell r="D8837" t="str">
            <v>5319A910002G010</v>
          </cell>
          <cell r="E8837" t="str">
            <v>脚踏板</v>
          </cell>
        </row>
        <row r="8838">
          <cell r="D8838" t="str">
            <v>531A3430-000-035 C</v>
          </cell>
          <cell r="E8838" t="str">
            <v>角材</v>
          </cell>
        </row>
        <row r="8839">
          <cell r="D8839" t="str">
            <v>BC5327100-009R002</v>
          </cell>
          <cell r="E8839" t="str">
            <v>1090外侧梁</v>
          </cell>
        </row>
        <row r="8840">
          <cell r="D8840" t="str">
            <v>BC5327100-009R002</v>
          </cell>
          <cell r="E8840" t="str">
            <v>1090外侧梁</v>
          </cell>
        </row>
        <row r="8841">
          <cell r="D8841" t="str">
            <v>BC5327100-009R002</v>
          </cell>
          <cell r="E8841" t="str">
            <v>1090外侧梁</v>
          </cell>
        </row>
        <row r="8842">
          <cell r="D8842" t="str">
            <v>BC5327100-009R002</v>
          </cell>
          <cell r="E8842" t="str">
            <v>1090外侧梁</v>
          </cell>
        </row>
        <row r="8843">
          <cell r="D8843" t="str">
            <v>BC5327100-010L001</v>
          </cell>
          <cell r="E8843" t="str">
            <v>7515隔框</v>
          </cell>
        </row>
        <row r="8844">
          <cell r="D8844" t="str">
            <v>BC5327100-010L001</v>
          </cell>
          <cell r="E8844" t="str">
            <v>7515隔框</v>
          </cell>
        </row>
        <row r="8845">
          <cell r="D8845" t="str">
            <v>BC5327100-010L001</v>
          </cell>
          <cell r="E8845" t="str">
            <v>7515隔框</v>
          </cell>
        </row>
        <row r="8846">
          <cell r="D8846" t="str">
            <v>BC5327100-010L001</v>
          </cell>
          <cell r="E8846" t="str">
            <v>7515隔框</v>
          </cell>
        </row>
        <row r="8847">
          <cell r="D8847" t="str">
            <v>BC5327100-010R001</v>
          </cell>
          <cell r="E8847" t="str">
            <v>7515隔框</v>
          </cell>
        </row>
        <row r="8848">
          <cell r="D8848" t="str">
            <v>BC5327100-010R001</v>
          </cell>
          <cell r="E8848" t="str">
            <v>7515隔框</v>
          </cell>
        </row>
        <row r="8849">
          <cell r="D8849" t="str">
            <v>BC5327100-010R001</v>
          </cell>
          <cell r="E8849" t="str">
            <v>7515隔框</v>
          </cell>
        </row>
        <row r="8850">
          <cell r="D8850" t="str">
            <v>BC5327100-010R001</v>
          </cell>
          <cell r="E8850" t="str">
            <v>7515隔框</v>
          </cell>
        </row>
        <row r="8851">
          <cell r="D8851" t="str">
            <v>LT3E-551100000-63R01</v>
          </cell>
          <cell r="E8851" t="str">
            <v>挡板</v>
          </cell>
        </row>
        <row r="8852">
          <cell r="D8852" t="str">
            <v>LT3E-551100000-63R01</v>
          </cell>
          <cell r="E8852" t="str">
            <v>挡板</v>
          </cell>
        </row>
        <row r="8853">
          <cell r="D8853" t="str">
            <v>LT3E-551100000-64L01</v>
          </cell>
          <cell r="E8853" t="str">
            <v>挡板</v>
          </cell>
        </row>
        <row r="8854">
          <cell r="D8854" t="str">
            <v>LT3E-551100000-64L01</v>
          </cell>
          <cell r="E8854" t="str">
            <v>挡板</v>
          </cell>
        </row>
        <row r="8855">
          <cell r="D8855" t="str">
            <v>DD-J10-06031-302</v>
          </cell>
          <cell r="E8855" t="str">
            <v>支座</v>
          </cell>
        </row>
        <row r="8856">
          <cell r="D8856" t="str">
            <v>DD-J10-06031-302</v>
          </cell>
          <cell r="E8856" t="str">
            <v>支座</v>
          </cell>
        </row>
        <row r="8857">
          <cell r="D8857" t="str">
            <v>GU5714000-006R001</v>
          </cell>
          <cell r="E8857" t="str">
            <v>5500肋</v>
          </cell>
        </row>
        <row r="8858">
          <cell r="D8858" t="str">
            <v>GU5714000-006R001</v>
          </cell>
          <cell r="E8858" t="str">
            <v>5500肋</v>
          </cell>
        </row>
        <row r="8859">
          <cell r="D8859" t="str">
            <v>GU5714000-006L001</v>
          </cell>
          <cell r="E8859" t="str">
            <v>5500肋</v>
          </cell>
        </row>
        <row r="8860">
          <cell r="D8860" t="str">
            <v>GU5714000-005R001</v>
          </cell>
          <cell r="E8860" t="str">
            <v>4500肋</v>
          </cell>
        </row>
        <row r="8861">
          <cell r="D8861" t="str">
            <v>GU5714000-005L001</v>
          </cell>
          <cell r="E8861" t="str">
            <v>4500肋</v>
          </cell>
        </row>
        <row r="8862">
          <cell r="D8862" t="str">
            <v>GU5714000-004R001</v>
          </cell>
          <cell r="E8862" t="str">
            <v>3500肋</v>
          </cell>
        </row>
        <row r="8863">
          <cell r="D8863" t="str">
            <v>GU5714000-004L001</v>
          </cell>
          <cell r="E8863" t="str">
            <v>3500肋</v>
          </cell>
        </row>
        <row r="8864">
          <cell r="D8864" t="str">
            <v>GU5714000-003R001</v>
          </cell>
          <cell r="E8864" t="str">
            <v>2750肋</v>
          </cell>
        </row>
        <row r="8865">
          <cell r="D8865" t="str">
            <v>GU5714000-003L001</v>
          </cell>
          <cell r="E8865" t="str">
            <v>2750肋</v>
          </cell>
        </row>
        <row r="8866">
          <cell r="D8866" t="str">
            <v>GU5714000-001R001</v>
          </cell>
          <cell r="E8866" t="str">
            <v>1300肋</v>
          </cell>
        </row>
        <row r="8867">
          <cell r="D8867" t="str">
            <v>GU5714000-001L001</v>
          </cell>
          <cell r="E8867" t="str">
            <v>1300肋</v>
          </cell>
        </row>
        <row r="8868">
          <cell r="D8868" t="str">
            <v>CB5314107-001-002</v>
          </cell>
          <cell r="E8868" t="str">
            <v>5550上框（精加工）</v>
          </cell>
        </row>
        <row r="8869">
          <cell r="D8869" t="str">
            <v>CB5314107-001-002</v>
          </cell>
          <cell r="E8869" t="str">
            <v>5550上框（精加工）</v>
          </cell>
        </row>
        <row r="8870">
          <cell r="D8870" t="str">
            <v>CB5314107-001-002</v>
          </cell>
          <cell r="E8870" t="str">
            <v>5550上框（精加工）</v>
          </cell>
        </row>
        <row r="8871">
          <cell r="D8871" t="str">
            <v>DD-J10B-02041-2-Z</v>
          </cell>
          <cell r="E8871" t="str">
            <v>前上大梁（左）</v>
          </cell>
        </row>
        <row r="8872">
          <cell r="D8872" t="str">
            <v>DD-J10B-02041-2-Z</v>
          </cell>
          <cell r="E8872" t="str">
            <v>前上大梁（左）</v>
          </cell>
        </row>
        <row r="8873">
          <cell r="D8873" t="str">
            <v>DD-J10B-02041-2-Z</v>
          </cell>
          <cell r="E8873" t="str">
            <v>前上大梁（左）</v>
          </cell>
        </row>
        <row r="8874">
          <cell r="D8874" t="str">
            <v>DD-J10B-02041-2-Y</v>
          </cell>
          <cell r="E8874" t="str">
            <v>前上大梁（右）</v>
          </cell>
        </row>
        <row r="8875">
          <cell r="D8875" t="str">
            <v>DD-J10B-02041-2-Y</v>
          </cell>
          <cell r="E8875" t="str">
            <v>前上大梁（右）</v>
          </cell>
        </row>
        <row r="8876">
          <cell r="D8876" t="str">
            <v>DD-J10B-02041-2-Y</v>
          </cell>
          <cell r="E8876" t="str">
            <v>前上大梁（右）</v>
          </cell>
        </row>
        <row r="8877">
          <cell r="D8877" t="str">
            <v>LT3E-551100000-64R01</v>
          </cell>
          <cell r="E8877" t="str">
            <v>挡板</v>
          </cell>
        </row>
        <row r="8878">
          <cell r="D8878" t="str">
            <v>528A1230-000-003 B1</v>
          </cell>
          <cell r="E8878" t="str">
            <v>铰链</v>
          </cell>
        </row>
        <row r="8879">
          <cell r="D8879" t="str">
            <v>528A1120-000-003 C</v>
          </cell>
          <cell r="E8879" t="str">
            <v>后铰链</v>
          </cell>
        </row>
        <row r="8880">
          <cell r="D8880" t="str">
            <v>528A1120-000-004 C</v>
          </cell>
          <cell r="E8880" t="str">
            <v>后铰链</v>
          </cell>
        </row>
        <row r="8881">
          <cell r="D8881" t="str">
            <v>521A1090-001-001 C</v>
          </cell>
          <cell r="E8881" t="str">
            <v>接头</v>
          </cell>
        </row>
        <row r="8882">
          <cell r="D8882" t="str">
            <v>521A1150-000-009 C</v>
          </cell>
          <cell r="E8882" t="str">
            <v>加强板</v>
          </cell>
        </row>
        <row r="8883">
          <cell r="D8883" t="str">
            <v>529A1000-004-001 C</v>
          </cell>
          <cell r="E8883" t="str">
            <v>外手柄</v>
          </cell>
        </row>
        <row r="8884">
          <cell r="D8884" t="str">
            <v>528A1200-000-011 D</v>
          </cell>
          <cell r="E8884" t="str">
            <v>T型角材</v>
          </cell>
        </row>
        <row r="8885">
          <cell r="D8885" t="str">
            <v>528A1200-000-012 D</v>
          </cell>
          <cell r="E8885" t="str">
            <v>T型角材</v>
          </cell>
        </row>
        <row r="8886">
          <cell r="D8886" t="str">
            <v>CB5714100-003L003</v>
          </cell>
          <cell r="E8886" t="str">
            <v>根肋三段</v>
          </cell>
        </row>
        <row r="8887">
          <cell r="D8887" t="str">
            <v>CB5714100-003R003</v>
          </cell>
          <cell r="E8887" t="str">
            <v>根肋三段</v>
          </cell>
        </row>
        <row r="8888">
          <cell r="D8888" t="str">
            <v>DD-J10B-94076-1312</v>
          </cell>
          <cell r="E8888" t="str">
            <v>衬盘</v>
          </cell>
        </row>
        <row r="8889">
          <cell r="D8889" t="str">
            <v>DD-J10B-94076-1312</v>
          </cell>
          <cell r="E8889" t="str">
            <v>衬盘</v>
          </cell>
        </row>
        <row r="8890">
          <cell r="D8890" t="str">
            <v>DD-J10B-94076-1312</v>
          </cell>
          <cell r="E8890" t="str">
            <v>衬盘</v>
          </cell>
        </row>
        <row r="8891">
          <cell r="D8891" t="str">
            <v>DD-J10B-94076-1312</v>
          </cell>
          <cell r="E8891" t="str">
            <v>衬盘</v>
          </cell>
        </row>
        <row r="8892">
          <cell r="D8892" t="str">
            <v>DD-J10B-94076-1311</v>
          </cell>
          <cell r="E8892" t="str">
            <v>衬盘</v>
          </cell>
        </row>
        <row r="8893">
          <cell r="D8893" t="str">
            <v>DD-J10B-94076-1311</v>
          </cell>
          <cell r="E8893" t="str">
            <v>衬盘</v>
          </cell>
        </row>
        <row r="8894">
          <cell r="D8894" t="str">
            <v>DD-J10B-94061-1021</v>
          </cell>
          <cell r="E8894" t="str">
            <v>导管接头</v>
          </cell>
        </row>
        <row r="8895">
          <cell r="D8895" t="str">
            <v>DD-J10B-94076-2031/3</v>
          </cell>
          <cell r="E8895" t="str">
            <v>接管嘴</v>
          </cell>
        </row>
        <row r="8896">
          <cell r="D8896" t="str">
            <v>DD-J10B-94076-2051</v>
          </cell>
          <cell r="E8896" t="str">
            <v>外套螺母</v>
          </cell>
        </row>
        <row r="8897">
          <cell r="D8897" t="str">
            <v>DD-J10B-94076-2051</v>
          </cell>
          <cell r="E8897" t="str">
            <v>外套螺母</v>
          </cell>
        </row>
        <row r="8898">
          <cell r="D8898" t="str">
            <v>DD-J10B-94076-2051</v>
          </cell>
          <cell r="E8898" t="str">
            <v>外套螺母</v>
          </cell>
        </row>
        <row r="8899">
          <cell r="D8899" t="str">
            <v>DD-J10B-94061-1061/3</v>
          </cell>
          <cell r="E8899" t="str">
            <v>法兰盘</v>
          </cell>
        </row>
        <row r="8900">
          <cell r="D8900" t="str">
            <v>DD-J10B-94076-2031/2</v>
          </cell>
          <cell r="E8900" t="str">
            <v>接管嘴</v>
          </cell>
        </row>
        <row r="8901">
          <cell r="D8901" t="str">
            <v>DD-J10B-94076-2031/2</v>
          </cell>
          <cell r="E8901" t="str">
            <v>接管嘴</v>
          </cell>
        </row>
        <row r="8902">
          <cell r="D8902" t="str">
            <v>DD-J10B-94076-2031/1</v>
          </cell>
          <cell r="E8902" t="str">
            <v>接管嘴</v>
          </cell>
        </row>
        <row r="8903">
          <cell r="D8903" t="str">
            <v>DD-J10B-94076-2031/1</v>
          </cell>
          <cell r="E8903" t="str">
            <v>接管嘴</v>
          </cell>
        </row>
        <row r="8904">
          <cell r="D8904" t="str">
            <v>DD-J10B-94076-2031/1</v>
          </cell>
          <cell r="E8904" t="str">
            <v>接管嘴</v>
          </cell>
        </row>
        <row r="8905">
          <cell r="D8905" t="str">
            <v>DD-J10B-94061-1061/3</v>
          </cell>
          <cell r="E8905" t="str">
            <v>法兰盘</v>
          </cell>
        </row>
        <row r="8906">
          <cell r="D8906" t="str">
            <v>DD-J10B-94061-1061/3</v>
          </cell>
          <cell r="E8906" t="str">
            <v>法兰盘</v>
          </cell>
        </row>
        <row r="8907">
          <cell r="D8907" t="str">
            <v>DD-J10B-94076-1311</v>
          </cell>
          <cell r="E8907" t="str">
            <v>衬盘</v>
          </cell>
        </row>
        <row r="8908">
          <cell r="D8908" t="str">
            <v>DD-J10B-94076-1311</v>
          </cell>
          <cell r="E8908" t="str">
            <v>衬盘</v>
          </cell>
        </row>
        <row r="8909">
          <cell r="D8909" t="str">
            <v>DD-J10B-94076-1311</v>
          </cell>
          <cell r="E8909" t="str">
            <v>衬盘</v>
          </cell>
        </row>
        <row r="8910">
          <cell r="D8910" t="str">
            <v>DD-J10-05346-1-Z</v>
          </cell>
          <cell r="E8910" t="str">
            <v>受剪接头</v>
          </cell>
        </row>
        <row r="8911">
          <cell r="D8911" t="str">
            <v>DD-J10-05346-1-Z</v>
          </cell>
          <cell r="E8911" t="str">
            <v>受剪接头</v>
          </cell>
        </row>
        <row r="8912">
          <cell r="D8912" t="str">
            <v>DD-J10-05346-1-Z</v>
          </cell>
          <cell r="E8912" t="str">
            <v>受剪接头</v>
          </cell>
        </row>
        <row r="8913">
          <cell r="D8913" t="str">
            <v>DD-J10-05346-1-Z</v>
          </cell>
          <cell r="E8913" t="str">
            <v>受剪接头</v>
          </cell>
        </row>
        <row r="8914">
          <cell r="D8914" t="str">
            <v>DD-J10-05346-1-Z</v>
          </cell>
          <cell r="E8914" t="str">
            <v>受剪接头</v>
          </cell>
        </row>
        <row r="8915">
          <cell r="D8915" t="str">
            <v>DD-J10-05346-1-Z</v>
          </cell>
          <cell r="E8915" t="str">
            <v>受剪接头</v>
          </cell>
        </row>
        <row r="8916">
          <cell r="D8916" t="str">
            <v>DD-J10-05346-1-Z</v>
          </cell>
          <cell r="E8916" t="str">
            <v>受剪接头</v>
          </cell>
        </row>
        <row r="8917">
          <cell r="D8917" t="str">
            <v>DD-J10-05346-1-Z</v>
          </cell>
          <cell r="E8917" t="str">
            <v>受剪接头</v>
          </cell>
        </row>
        <row r="8918">
          <cell r="D8918" t="str">
            <v>DD-J10-05346-1-Z</v>
          </cell>
          <cell r="E8918" t="str">
            <v>受剪接头</v>
          </cell>
        </row>
        <row r="8919">
          <cell r="D8919" t="str">
            <v>DD-J10-05346-1-Z</v>
          </cell>
          <cell r="E8919" t="str">
            <v>受剪接头</v>
          </cell>
        </row>
        <row r="8920">
          <cell r="D8920" t="str">
            <v>DD-J10-05346-1-Z</v>
          </cell>
          <cell r="E8920" t="str">
            <v>受剪接头</v>
          </cell>
        </row>
        <row r="8921">
          <cell r="D8921" t="str">
            <v>DD-J10-05346-1-Z</v>
          </cell>
          <cell r="E8921" t="str">
            <v>受剪接头</v>
          </cell>
        </row>
        <row r="8922">
          <cell r="D8922" t="str">
            <v>DD-J10-05346-1-Z</v>
          </cell>
          <cell r="E8922" t="str">
            <v>受剪接头</v>
          </cell>
        </row>
        <row r="8923">
          <cell r="D8923" t="str">
            <v>DD-J10-05346-1-Z</v>
          </cell>
          <cell r="E8923" t="str">
            <v>受剪接头</v>
          </cell>
        </row>
        <row r="8924">
          <cell r="D8924" t="str">
            <v>DD-J10-05346-1-Z</v>
          </cell>
          <cell r="E8924" t="str">
            <v>受剪接头</v>
          </cell>
        </row>
        <row r="8925">
          <cell r="D8925" t="str">
            <v>DD-J10-05346-1-Z</v>
          </cell>
          <cell r="E8925" t="str">
            <v>受剪接头</v>
          </cell>
        </row>
        <row r="8926">
          <cell r="D8926" t="str">
            <v>DD-J10-05346-1-Y</v>
          </cell>
          <cell r="E8926" t="str">
            <v>受剪接头</v>
          </cell>
        </row>
        <row r="8927">
          <cell r="D8927" t="str">
            <v>DD-J10-05346-1-Y</v>
          </cell>
          <cell r="E8927" t="str">
            <v>受剪接头</v>
          </cell>
        </row>
        <row r="8928">
          <cell r="D8928" t="str">
            <v>DD-J10-05346-1-Y</v>
          </cell>
          <cell r="E8928" t="str">
            <v>受剪接头</v>
          </cell>
        </row>
        <row r="8929">
          <cell r="D8929" t="str">
            <v>DD-J10-05346-1-Y</v>
          </cell>
          <cell r="E8929" t="str">
            <v>受剪接头</v>
          </cell>
        </row>
        <row r="8930">
          <cell r="D8930" t="str">
            <v>DD-J10-05346-1-Y</v>
          </cell>
          <cell r="E8930" t="str">
            <v>受剪接头</v>
          </cell>
        </row>
        <row r="8931">
          <cell r="D8931" t="str">
            <v>DD-J10-05346-1-Y</v>
          </cell>
          <cell r="E8931" t="str">
            <v>受剪接头</v>
          </cell>
        </row>
        <row r="8932">
          <cell r="D8932" t="str">
            <v>DD-J10-05346-1-Y</v>
          </cell>
          <cell r="E8932" t="str">
            <v>受剪接头</v>
          </cell>
        </row>
        <row r="8933">
          <cell r="D8933" t="str">
            <v>DD-J10-05346-1-Y</v>
          </cell>
          <cell r="E8933" t="str">
            <v>受剪接头</v>
          </cell>
        </row>
        <row r="8934">
          <cell r="D8934" t="str">
            <v>DD-J10-05346-1-Y</v>
          </cell>
          <cell r="E8934" t="str">
            <v>受剪接头</v>
          </cell>
        </row>
        <row r="8935">
          <cell r="D8935" t="str">
            <v>DD-J10-05346-1-Y</v>
          </cell>
          <cell r="E8935" t="str">
            <v>受剪接头</v>
          </cell>
        </row>
        <row r="8936">
          <cell r="D8936" t="str">
            <v>DD-J10-05346-1-Y</v>
          </cell>
          <cell r="E8936" t="str">
            <v>受剪接头</v>
          </cell>
        </row>
        <row r="8937">
          <cell r="D8937" t="str">
            <v>DD-J10-05346-1-Y</v>
          </cell>
          <cell r="E8937" t="str">
            <v>受剪接头</v>
          </cell>
        </row>
        <row r="8938">
          <cell r="D8938" t="str">
            <v>DD-J10-05346-1-Y</v>
          </cell>
          <cell r="E8938" t="str">
            <v>受剪接头</v>
          </cell>
        </row>
        <row r="8939">
          <cell r="D8939" t="str">
            <v>DD-J10-05346-1-Y</v>
          </cell>
          <cell r="E8939" t="str">
            <v>受剪接头</v>
          </cell>
        </row>
        <row r="8940">
          <cell r="D8940" t="str">
            <v>DD-J10-05346-1-Y</v>
          </cell>
          <cell r="E8940" t="str">
            <v>受剪接头</v>
          </cell>
        </row>
        <row r="8941">
          <cell r="D8941" t="str">
            <v>DD-J10-05346-1-Y</v>
          </cell>
          <cell r="E8941" t="str">
            <v>受剪接头</v>
          </cell>
        </row>
        <row r="8942">
          <cell r="D8942" t="str">
            <v>DD-J10B-04321-30-1-Y</v>
          </cell>
          <cell r="E8942" t="str">
            <v>侧下梁（右件）</v>
          </cell>
        </row>
        <row r="8943">
          <cell r="D8943" t="str">
            <v>DD-J10B-04321-30-1-Y</v>
          </cell>
          <cell r="E8943" t="str">
            <v>侧下梁（右件）</v>
          </cell>
        </row>
        <row r="8944">
          <cell r="D8944" t="str">
            <v>CB5314107-001-002</v>
          </cell>
          <cell r="E8944" t="str">
            <v>5550上框</v>
          </cell>
        </row>
        <row r="8945">
          <cell r="D8945" t="str">
            <v>DD-J10B-04051-1</v>
          </cell>
          <cell r="E8945" t="str">
            <v>10460框</v>
          </cell>
        </row>
        <row r="8946">
          <cell r="D8946" t="str">
            <v>DD-J10B-04051-1</v>
          </cell>
          <cell r="E8946" t="str">
            <v>10460框</v>
          </cell>
        </row>
        <row r="8947">
          <cell r="D8947" t="str">
            <v>528A1100-000-027 B</v>
          </cell>
          <cell r="E8947" t="str">
            <v>加强板</v>
          </cell>
        </row>
        <row r="8948">
          <cell r="D8948" t="str">
            <v>528A1100-000-028 B</v>
          </cell>
          <cell r="E8948" t="str">
            <v>加强板</v>
          </cell>
        </row>
        <row r="8949">
          <cell r="D8949" t="str">
            <v>531A9100-007-001 D</v>
          </cell>
          <cell r="E8949" t="str">
            <v>前起落架水平接头</v>
          </cell>
        </row>
        <row r="8950">
          <cell r="D8950" t="str">
            <v>528A1230-000-004 B1</v>
          </cell>
          <cell r="E8950" t="str">
            <v>铰链</v>
          </cell>
        </row>
        <row r="8951">
          <cell r="D8951" t="str">
            <v>DD-J10B-42074-140-1</v>
          </cell>
          <cell r="E8951" t="str">
            <v>拉杆</v>
          </cell>
        </row>
        <row r="8952">
          <cell r="D8952" t="str">
            <v>DD-J10B-94076-620-1</v>
          </cell>
          <cell r="E8952" t="str">
            <v>管子</v>
          </cell>
        </row>
        <row r="8953">
          <cell r="D8953" t="str">
            <v>DD-J10B-94061-510-2</v>
          </cell>
          <cell r="E8953" t="str">
            <v>支撑管</v>
          </cell>
        </row>
        <row r="8954">
          <cell r="D8954" t="str">
            <v>DD-J10-54111-1200-1</v>
          </cell>
          <cell r="E8954" t="str">
            <v>衬套</v>
          </cell>
        </row>
        <row r="8955">
          <cell r="D8955" t="str">
            <v>DD-J10-68095-1100-2</v>
          </cell>
          <cell r="E8955" t="str">
            <v>衬套</v>
          </cell>
        </row>
        <row r="8956">
          <cell r="D8956" t="str">
            <v>DD-J10B-41163-30-1</v>
          </cell>
          <cell r="E8956" t="str">
            <v>管子</v>
          </cell>
        </row>
        <row r="8957">
          <cell r="D8957" t="str">
            <v>DD-J10-55181-710-1</v>
          </cell>
          <cell r="E8957" t="str">
            <v>衬套</v>
          </cell>
        </row>
        <row r="8958">
          <cell r="D8958" t="str">
            <v>DD-J10-55165-1440-3</v>
          </cell>
          <cell r="E8958" t="str">
            <v>衬套</v>
          </cell>
        </row>
        <row r="8959">
          <cell r="D8959" t="str">
            <v>DD-J10B-94076-1312</v>
          </cell>
          <cell r="E8959" t="str">
            <v>衬盘</v>
          </cell>
        </row>
        <row r="8960">
          <cell r="D8960" t="str">
            <v>DD-J10-86021-4010-1</v>
          </cell>
          <cell r="E8960" t="str">
            <v>套筒</v>
          </cell>
        </row>
        <row r="8961">
          <cell r="D8961" t="str">
            <v>DD-J10-54101-2805</v>
          </cell>
          <cell r="E8961" t="str">
            <v>滑轮</v>
          </cell>
        </row>
        <row r="8962">
          <cell r="D8962" t="str">
            <v>DD-J10-86021-4020-1</v>
          </cell>
          <cell r="E8962" t="str">
            <v>套筒</v>
          </cell>
        </row>
        <row r="8963">
          <cell r="D8963" t="str">
            <v>DD-J10B-42074-130-1</v>
          </cell>
          <cell r="E8963" t="str">
            <v>拉杆</v>
          </cell>
        </row>
        <row r="8964">
          <cell r="D8964" t="str">
            <v>DD-J10-94021-730-3</v>
          </cell>
          <cell r="E8964" t="str">
            <v>环</v>
          </cell>
        </row>
        <row r="8965">
          <cell r="D8965" t="str">
            <v>DD-J10-94021-740-3</v>
          </cell>
          <cell r="E8965" t="str">
            <v>环</v>
          </cell>
        </row>
        <row r="8966">
          <cell r="D8966" t="str">
            <v>CB271221B-003-001</v>
          </cell>
          <cell r="E8966" t="str">
            <v>管子</v>
          </cell>
        </row>
        <row r="8967">
          <cell r="D8967" t="str">
            <v>DD-FC1-41123-1111</v>
          </cell>
          <cell r="E8967" t="str">
            <v>销子</v>
          </cell>
        </row>
        <row r="8968">
          <cell r="D8968" t="str">
            <v>DD-FC1-41123-1103</v>
          </cell>
          <cell r="E8968" t="str">
            <v>螺帽</v>
          </cell>
        </row>
        <row r="8969">
          <cell r="D8969" t="str">
            <v>DD-FC1-41123-1112</v>
          </cell>
          <cell r="E8969" t="str">
            <v>拨棍</v>
          </cell>
        </row>
        <row r="8970">
          <cell r="D8970" t="str">
            <v>DD-FC1-41123-1101</v>
          </cell>
          <cell r="E8970" t="str">
            <v>壳体</v>
          </cell>
        </row>
        <row r="8971">
          <cell r="D8971" t="str">
            <v>BC2711322-002-001</v>
          </cell>
          <cell r="E8971" t="str">
            <v>接头</v>
          </cell>
        </row>
        <row r="8972">
          <cell r="D8972" t="str">
            <v>BC3230400-001-300</v>
          </cell>
          <cell r="E8972" t="str">
            <v>过渡板</v>
          </cell>
        </row>
        <row r="8973">
          <cell r="D8973" t="str">
            <v>BC2283630-003-002</v>
          </cell>
          <cell r="E8973" t="str">
            <v>接头</v>
          </cell>
        </row>
        <row r="8974">
          <cell r="D8974" t="str">
            <v>BC2283630-003-002</v>
          </cell>
          <cell r="E8974" t="str">
            <v>接头</v>
          </cell>
        </row>
        <row r="8975">
          <cell r="D8975" t="str">
            <v>BC5836011-001-001</v>
          </cell>
          <cell r="E8975" t="str">
            <v>壳体</v>
          </cell>
        </row>
        <row r="8976">
          <cell r="D8976" t="str">
            <v>BC221T1YC-001-001</v>
          </cell>
          <cell r="E8976" t="str">
            <v>喇叭口</v>
          </cell>
        </row>
        <row r="8977">
          <cell r="D8977" t="str">
            <v>BC221T1AC-003-001</v>
          </cell>
          <cell r="E8977" t="str">
            <v>传感器座</v>
          </cell>
        </row>
        <row r="8978">
          <cell r="D8978" t="str">
            <v>BC221T1AA-001-001</v>
          </cell>
          <cell r="E8978" t="str">
            <v>法兰</v>
          </cell>
        </row>
        <row r="8979">
          <cell r="D8979" t="str">
            <v>BC221T1CA-001-001</v>
          </cell>
          <cell r="E8979" t="str">
            <v>接管嘴</v>
          </cell>
        </row>
        <row r="8980">
          <cell r="D8980" t="str">
            <v>BC221T1AC-002-002</v>
          </cell>
          <cell r="E8980" t="str">
            <v>法兰</v>
          </cell>
        </row>
        <row r="8981">
          <cell r="D8981" t="str">
            <v>BC221T1AA-002-001</v>
          </cell>
          <cell r="E8981" t="str">
            <v>法兰</v>
          </cell>
        </row>
        <row r="8982">
          <cell r="D8982" t="str">
            <v>BC221T1AC-002-002</v>
          </cell>
          <cell r="E8982" t="str">
            <v>法兰</v>
          </cell>
        </row>
        <row r="8983">
          <cell r="D8983" t="str">
            <v>BC2712521-001-001</v>
          </cell>
          <cell r="E8983" t="str">
            <v>摇臂</v>
          </cell>
        </row>
        <row r="8984">
          <cell r="D8984" t="str">
            <v>BC2712521-001-001</v>
          </cell>
          <cell r="E8984" t="str">
            <v>摇臂</v>
          </cell>
        </row>
        <row r="8985">
          <cell r="D8985" t="str">
            <v>DD-J10-06061-6</v>
          </cell>
          <cell r="E8985" t="str">
            <v>支座</v>
          </cell>
        </row>
        <row r="8986">
          <cell r="D8986" t="str">
            <v>DD-J10-06061-6</v>
          </cell>
          <cell r="E8986" t="str">
            <v>支座</v>
          </cell>
        </row>
        <row r="8987">
          <cell r="D8987" t="str">
            <v>CB2248143-001-006</v>
          </cell>
          <cell r="E8987" t="str">
            <v>支片3</v>
          </cell>
        </row>
        <row r="8988">
          <cell r="D8988" t="str">
            <v>CB2248143-001-006</v>
          </cell>
          <cell r="E8988" t="str">
            <v>支片3</v>
          </cell>
        </row>
        <row r="8989">
          <cell r="D8989" t="str">
            <v>CB5811100-013-001</v>
          </cell>
          <cell r="E8989" t="str">
            <v>垫圈</v>
          </cell>
        </row>
        <row r="8990">
          <cell r="D8990" t="str">
            <v>CB5323400-008R001</v>
          </cell>
          <cell r="E8990" t="str">
            <v>外侧轴承盖</v>
          </cell>
        </row>
        <row r="8991">
          <cell r="D8991" t="str">
            <v>260A1865-004-001</v>
          </cell>
          <cell r="E8991" t="str">
            <v>衬垫</v>
          </cell>
        </row>
        <row r="8992">
          <cell r="D8992" t="str">
            <v>260A1865-004-001</v>
          </cell>
          <cell r="E8992" t="str">
            <v>衬垫</v>
          </cell>
        </row>
        <row r="8993">
          <cell r="D8993" t="str">
            <v>531A4200-021-001</v>
          </cell>
          <cell r="E8993" t="str">
            <v>垫片</v>
          </cell>
        </row>
        <row r="8994">
          <cell r="D8994" t="str">
            <v>531A4200-021-001</v>
          </cell>
          <cell r="E8994" t="str">
            <v>垫片</v>
          </cell>
        </row>
        <row r="8995">
          <cell r="D8995" t="str">
            <v>529A4300-009-001</v>
          </cell>
          <cell r="E8995" t="str">
            <v>垫圈</v>
          </cell>
        </row>
        <row r="8996">
          <cell r="D8996" t="str">
            <v>529A4300-008-001</v>
          </cell>
          <cell r="E8996" t="str">
            <v>垫圈</v>
          </cell>
        </row>
        <row r="8997">
          <cell r="D8997" t="str">
            <v>521A4300-000-003</v>
          </cell>
          <cell r="E8997" t="str">
            <v>管子</v>
          </cell>
        </row>
        <row r="8998">
          <cell r="D8998" t="str">
            <v>521A4300-000-003</v>
          </cell>
          <cell r="E8998" t="str">
            <v>管子</v>
          </cell>
        </row>
        <row r="8999">
          <cell r="D8999" t="str">
            <v>227A1400-004-001</v>
          </cell>
          <cell r="E8999" t="str">
            <v>衬套</v>
          </cell>
        </row>
        <row r="9000">
          <cell r="D9000" t="str">
            <v>561A3341-011-501</v>
          </cell>
          <cell r="E9000" t="str">
            <v>止动垫片</v>
          </cell>
        </row>
        <row r="9001">
          <cell r="D9001" t="str">
            <v>561A3341-011-501</v>
          </cell>
          <cell r="E9001" t="str">
            <v>止动垫片</v>
          </cell>
        </row>
        <row r="9002">
          <cell r="D9002" t="str">
            <v>260A1865-008-001</v>
          </cell>
          <cell r="E9002" t="str">
            <v>垫片</v>
          </cell>
        </row>
        <row r="9003">
          <cell r="D9003" t="str">
            <v>531A4100-050-003</v>
          </cell>
          <cell r="E9003" t="str">
            <v>金属管材</v>
          </cell>
        </row>
        <row r="9004">
          <cell r="D9004" t="str">
            <v>CB5327310-014L001</v>
          </cell>
          <cell r="E9004" t="str">
            <v>大舱门前缘冒型材</v>
          </cell>
        </row>
        <row r="9005">
          <cell r="D9005" t="str">
            <v>CB5327310-014R001</v>
          </cell>
          <cell r="E9005" t="str">
            <v>大舱门前缘冒型材</v>
          </cell>
        </row>
        <row r="9006">
          <cell r="D9006" t="str">
            <v>DD-J10-55015-4100-1</v>
          </cell>
          <cell r="E9006" t="str">
            <v>垫圈</v>
          </cell>
        </row>
        <row r="9007">
          <cell r="D9007" t="str">
            <v>529A1000-005-001 B</v>
          </cell>
          <cell r="E9007" t="str">
            <v>内手柄</v>
          </cell>
        </row>
        <row r="9008">
          <cell r="D9008" t="str">
            <v>DD-J10-34003-2</v>
          </cell>
          <cell r="E9008" t="str">
            <v>后梁</v>
          </cell>
        </row>
        <row r="9009">
          <cell r="D9009" t="str">
            <v>DD-J10-34003-2</v>
          </cell>
          <cell r="E9009" t="str">
            <v>后梁</v>
          </cell>
        </row>
        <row r="9010">
          <cell r="D9010" t="str">
            <v>DD-J10-34003-2</v>
          </cell>
          <cell r="E9010" t="str">
            <v>后梁</v>
          </cell>
        </row>
        <row r="9011">
          <cell r="D9011" t="str">
            <v>Y20-5314120012-001</v>
          </cell>
          <cell r="E9011" t="str">
            <v>对接角片</v>
          </cell>
        </row>
        <row r="9012">
          <cell r="D9012" t="str">
            <v>DD-J10-05346-2-Y</v>
          </cell>
          <cell r="E9012" t="str">
            <v>受剪接头</v>
          </cell>
        </row>
        <row r="9013">
          <cell r="D9013" t="str">
            <v>DD-J10-05346-2-Y</v>
          </cell>
          <cell r="E9013" t="str">
            <v>受剪接头</v>
          </cell>
        </row>
        <row r="9014">
          <cell r="D9014" t="str">
            <v>DD-J10-05346-2-Y</v>
          </cell>
          <cell r="E9014" t="str">
            <v>受剪接头</v>
          </cell>
        </row>
        <row r="9015">
          <cell r="D9015" t="str">
            <v>DD-J10-05346-3-Z</v>
          </cell>
          <cell r="E9015" t="str">
            <v>受剪接头</v>
          </cell>
        </row>
        <row r="9016">
          <cell r="D9016" t="str">
            <v>DD-J10-05346-3-Z</v>
          </cell>
          <cell r="E9016" t="str">
            <v>受剪接头</v>
          </cell>
        </row>
        <row r="9017">
          <cell r="D9017" t="str">
            <v>DD-J10-05346-3-Z</v>
          </cell>
          <cell r="E9017" t="str">
            <v>受剪接头</v>
          </cell>
        </row>
        <row r="9018">
          <cell r="D9018" t="str">
            <v>DD-J10-05346-3-Z</v>
          </cell>
          <cell r="E9018" t="str">
            <v>受剪接头</v>
          </cell>
        </row>
        <row r="9019">
          <cell r="D9019" t="str">
            <v>DD-J10-05346-3-Z</v>
          </cell>
          <cell r="E9019" t="str">
            <v>受剪接头</v>
          </cell>
        </row>
        <row r="9020">
          <cell r="D9020" t="str">
            <v>DD-J10-05346-3-Z</v>
          </cell>
          <cell r="E9020" t="str">
            <v>受剪接头</v>
          </cell>
        </row>
        <row r="9021">
          <cell r="D9021" t="str">
            <v>DD-J10-05346-3-Y</v>
          </cell>
          <cell r="E9021" t="str">
            <v>受剪接头</v>
          </cell>
        </row>
        <row r="9022">
          <cell r="D9022" t="str">
            <v>DD-J10-05346-3-Y</v>
          </cell>
          <cell r="E9022" t="str">
            <v>受剪接头</v>
          </cell>
        </row>
        <row r="9023">
          <cell r="D9023" t="str">
            <v>DD-J10-05346-3-Y</v>
          </cell>
          <cell r="E9023" t="str">
            <v>受剪接头</v>
          </cell>
        </row>
        <row r="9024">
          <cell r="D9024" t="str">
            <v>DD-J10-05346-3-Y</v>
          </cell>
          <cell r="E9024" t="str">
            <v>受剪接头</v>
          </cell>
        </row>
        <row r="9025">
          <cell r="D9025" t="str">
            <v>DD-J10-05346-3-Y</v>
          </cell>
          <cell r="E9025" t="str">
            <v>受剪接头</v>
          </cell>
        </row>
        <row r="9026">
          <cell r="D9026" t="str">
            <v>DD-J10-05346-3-Y</v>
          </cell>
          <cell r="E9026" t="str">
            <v>受剪接头</v>
          </cell>
        </row>
        <row r="9027">
          <cell r="D9027" t="str">
            <v>DD-J10-05346-3-Y</v>
          </cell>
          <cell r="E9027" t="str">
            <v>受剪接头</v>
          </cell>
        </row>
        <row r="9028">
          <cell r="D9028" t="str">
            <v>DD-J10-05346-2-Y</v>
          </cell>
          <cell r="E9028" t="str">
            <v>受剪接头</v>
          </cell>
        </row>
        <row r="9029">
          <cell r="D9029" t="str">
            <v>DD-J10-05346-2-Y</v>
          </cell>
          <cell r="E9029" t="str">
            <v>受剪接头</v>
          </cell>
        </row>
        <row r="9030">
          <cell r="D9030" t="str">
            <v>DD-J10-05346-2-Y</v>
          </cell>
          <cell r="E9030" t="str">
            <v>受剪接头</v>
          </cell>
        </row>
        <row r="9031">
          <cell r="D9031" t="str">
            <v>DD-J10-05346-2-Y</v>
          </cell>
          <cell r="E9031" t="str">
            <v>受剪接头</v>
          </cell>
        </row>
        <row r="9032">
          <cell r="D9032" t="str">
            <v>DD-J10-05346-2-Y</v>
          </cell>
          <cell r="E9032" t="str">
            <v>受剪接头</v>
          </cell>
        </row>
        <row r="9033">
          <cell r="D9033" t="str">
            <v>DD-J10-05346-2-Y</v>
          </cell>
          <cell r="E9033" t="str">
            <v>受剪接头</v>
          </cell>
        </row>
        <row r="9034">
          <cell r="D9034" t="str">
            <v>DD-J10-05346-2-Y</v>
          </cell>
          <cell r="E9034" t="str">
            <v>受剪接头</v>
          </cell>
        </row>
        <row r="9035">
          <cell r="D9035" t="str">
            <v>DD-J10-05346-2-Y</v>
          </cell>
          <cell r="E9035" t="str">
            <v>受剪接头</v>
          </cell>
        </row>
        <row r="9036">
          <cell r="D9036" t="str">
            <v>DD-J10-05346-2-Y</v>
          </cell>
          <cell r="E9036" t="str">
            <v>受剪接头</v>
          </cell>
        </row>
        <row r="9037">
          <cell r="D9037" t="str">
            <v>DD-J10-05346-2-Y</v>
          </cell>
          <cell r="E9037" t="str">
            <v>受剪接头</v>
          </cell>
        </row>
        <row r="9038">
          <cell r="D9038" t="str">
            <v>DD-J10-05346-2-Y</v>
          </cell>
          <cell r="E9038" t="str">
            <v>受剪接头</v>
          </cell>
        </row>
        <row r="9039">
          <cell r="D9039" t="str">
            <v>DD-J10-05346-2-Y</v>
          </cell>
          <cell r="E9039" t="str">
            <v>受剪接头</v>
          </cell>
        </row>
        <row r="9040">
          <cell r="D9040" t="str">
            <v>DD-J10-05346-2-Y</v>
          </cell>
          <cell r="E9040" t="str">
            <v>受剪接头</v>
          </cell>
        </row>
        <row r="9041">
          <cell r="D9041" t="str">
            <v>DD-J10-05346-2-Z</v>
          </cell>
          <cell r="E9041" t="str">
            <v>受剪接头</v>
          </cell>
        </row>
        <row r="9042">
          <cell r="D9042" t="str">
            <v>DD-J10-05346-2-Z</v>
          </cell>
          <cell r="E9042" t="str">
            <v>受剪接头</v>
          </cell>
        </row>
        <row r="9043">
          <cell r="D9043" t="str">
            <v>DD-J10-05346-2-Z</v>
          </cell>
          <cell r="E9043" t="str">
            <v>受剪接头</v>
          </cell>
        </row>
        <row r="9044">
          <cell r="D9044" t="str">
            <v>DD-J10-05346-2-Z</v>
          </cell>
          <cell r="E9044" t="str">
            <v>受剪接头</v>
          </cell>
        </row>
        <row r="9045">
          <cell r="D9045" t="str">
            <v>DD-J10-05346-2-Z</v>
          </cell>
          <cell r="E9045" t="str">
            <v>受剪接头</v>
          </cell>
        </row>
        <row r="9046">
          <cell r="D9046" t="str">
            <v>DD-J10-05346-2-Z</v>
          </cell>
          <cell r="E9046" t="str">
            <v>受剪接头</v>
          </cell>
        </row>
        <row r="9047">
          <cell r="D9047" t="str">
            <v>DD-J10-05346-2-Z</v>
          </cell>
          <cell r="E9047" t="str">
            <v>受剪接头</v>
          </cell>
        </row>
        <row r="9048">
          <cell r="D9048" t="str">
            <v>DD-J10-05346-2-Z</v>
          </cell>
          <cell r="E9048" t="str">
            <v>受剪接头</v>
          </cell>
        </row>
        <row r="9049">
          <cell r="D9049" t="str">
            <v>DD-J10-05346-2-Z</v>
          </cell>
          <cell r="E9049" t="str">
            <v>受剪接头</v>
          </cell>
        </row>
        <row r="9050">
          <cell r="D9050" t="str">
            <v>DD-J10-05346-2-Z</v>
          </cell>
          <cell r="E9050" t="str">
            <v>受剪接头</v>
          </cell>
        </row>
        <row r="9051">
          <cell r="D9051" t="str">
            <v>DD-J10-05346-2-Z</v>
          </cell>
          <cell r="E9051" t="str">
            <v>受剪接头</v>
          </cell>
        </row>
        <row r="9052">
          <cell r="D9052" t="str">
            <v>DD-J10-05346-2-Z</v>
          </cell>
          <cell r="E9052" t="str">
            <v>受剪接头</v>
          </cell>
        </row>
        <row r="9053">
          <cell r="D9053" t="str">
            <v>DD-J10-05346-2-Z</v>
          </cell>
          <cell r="E9053" t="str">
            <v>受剪接头</v>
          </cell>
        </row>
        <row r="9054">
          <cell r="D9054" t="str">
            <v>DD-J10-05346-2-Z</v>
          </cell>
          <cell r="E9054" t="str">
            <v>受剪接头</v>
          </cell>
        </row>
        <row r="9055">
          <cell r="D9055" t="str">
            <v>DD-J10-05346-2-Z</v>
          </cell>
          <cell r="E9055" t="str">
            <v>受剪接头</v>
          </cell>
        </row>
        <row r="9056">
          <cell r="D9056" t="str">
            <v>DD-J10-05346-2-Z</v>
          </cell>
          <cell r="E9056" t="str">
            <v>受剪接头</v>
          </cell>
        </row>
        <row r="9057">
          <cell r="D9057" t="str">
            <v>CB22921N2-001-001</v>
          </cell>
          <cell r="E9057" t="str">
            <v>角片</v>
          </cell>
        </row>
        <row r="9058">
          <cell r="D9058" t="str">
            <v>DD-J10-61031-801</v>
          </cell>
          <cell r="E9058" t="str">
            <v>直管接头</v>
          </cell>
        </row>
        <row r="9059">
          <cell r="D9059" t="str">
            <v>DD-J10-61031-801</v>
          </cell>
          <cell r="E9059" t="str">
            <v>直管接头</v>
          </cell>
        </row>
        <row r="9060">
          <cell r="D9060" t="str">
            <v>DD-J10B-65000-2250-1GF</v>
          </cell>
          <cell r="E9060" t="str">
            <v>管子</v>
          </cell>
        </row>
        <row r="9061">
          <cell r="D9061" t="str">
            <v>DD-J10B-65000-2250-1GF</v>
          </cell>
          <cell r="E9061" t="str">
            <v>管子</v>
          </cell>
        </row>
        <row r="9062">
          <cell r="D9062" t="str">
            <v>DD-J10S-96011-1202</v>
          </cell>
          <cell r="E9062" t="str">
            <v>接嘴</v>
          </cell>
        </row>
        <row r="9063">
          <cell r="D9063" t="str">
            <v>DD-J10S-96011-1202</v>
          </cell>
          <cell r="E9063" t="str">
            <v>接嘴</v>
          </cell>
        </row>
        <row r="9064">
          <cell r="D9064" t="str">
            <v>DD-J10S-96011-1202</v>
          </cell>
          <cell r="E9064" t="str">
            <v>接嘴</v>
          </cell>
        </row>
        <row r="9065">
          <cell r="D9065" t="str">
            <v>GU5714000-004L001</v>
          </cell>
          <cell r="E9065" t="str">
            <v>3500肋</v>
          </cell>
        </row>
        <row r="9066">
          <cell r="D9066" t="str">
            <v>GU5714000-005L001</v>
          </cell>
          <cell r="E9066" t="str">
            <v>4500肋</v>
          </cell>
        </row>
        <row r="9067">
          <cell r="D9067" t="str">
            <v>GU5714000-005R001</v>
          </cell>
          <cell r="E9067" t="str">
            <v>4500肋</v>
          </cell>
        </row>
        <row r="9068">
          <cell r="D9068" t="str">
            <v>GU5714000-006L001</v>
          </cell>
          <cell r="E9068" t="str">
            <v>5500肋</v>
          </cell>
        </row>
        <row r="9069">
          <cell r="D9069" t="str">
            <v>GU5714000-006R001</v>
          </cell>
          <cell r="E9069" t="str">
            <v>5500肋</v>
          </cell>
        </row>
        <row r="9070">
          <cell r="D9070" t="str">
            <v>528A1210-000-003 C</v>
          </cell>
          <cell r="E9070" t="str">
            <v>铰链</v>
          </cell>
        </row>
        <row r="9071">
          <cell r="D9071" t="str">
            <v>528A1210-000-003 C</v>
          </cell>
          <cell r="E9071" t="str">
            <v>铰链</v>
          </cell>
        </row>
        <row r="9072">
          <cell r="D9072" t="str">
            <v>528A1210-000-004 C</v>
          </cell>
          <cell r="E9072" t="str">
            <v>铰链</v>
          </cell>
        </row>
        <row r="9073">
          <cell r="D9073" t="str">
            <v>Y20-5313102007-001</v>
          </cell>
          <cell r="E9073" t="str">
            <v>短梁</v>
          </cell>
        </row>
        <row r="9074">
          <cell r="D9074" t="str">
            <v>DD-J10-21102-120-1-Z</v>
          </cell>
          <cell r="E9074" t="str">
            <v>9480梁（左件）</v>
          </cell>
        </row>
        <row r="9075">
          <cell r="D9075" t="str">
            <v>DD-J10-21102-120-1-Z</v>
          </cell>
          <cell r="E9075" t="str">
            <v>9480梁（左件）</v>
          </cell>
        </row>
        <row r="9076">
          <cell r="D9076" t="str">
            <v>DD-J10-55181-6431</v>
          </cell>
          <cell r="E9076" t="str">
            <v>变径三通管接头</v>
          </cell>
        </row>
        <row r="9077">
          <cell r="D9077" t="str">
            <v>DD-J10-55181-6431</v>
          </cell>
          <cell r="E9077" t="str">
            <v>变径三通管接头</v>
          </cell>
        </row>
        <row r="9078">
          <cell r="D9078" t="str">
            <v>DD-J10-55181-6431</v>
          </cell>
          <cell r="E9078" t="str">
            <v>变径三通管接头</v>
          </cell>
        </row>
        <row r="9079">
          <cell r="D9079" t="str">
            <v>DD-J10-55121-1</v>
          </cell>
          <cell r="E9079" t="str">
            <v>三通管接头</v>
          </cell>
        </row>
        <row r="9080">
          <cell r="D9080" t="str">
            <v>DD-J10B-54601-10-1</v>
          </cell>
          <cell r="E9080" t="str">
            <v>过渡板</v>
          </cell>
        </row>
        <row r="9081">
          <cell r="D9081" t="str">
            <v>DD-J10-91001-1</v>
          </cell>
          <cell r="E9081" t="str">
            <v>支座</v>
          </cell>
        </row>
        <row r="9082">
          <cell r="D9082" t="str">
            <v>DD-J10-91001-1</v>
          </cell>
          <cell r="E9082" t="str">
            <v>支座</v>
          </cell>
        </row>
        <row r="9083">
          <cell r="D9083" t="str">
            <v>DD-J10B-94076-802</v>
          </cell>
          <cell r="E9083" t="str">
            <v>支架</v>
          </cell>
        </row>
        <row r="9084">
          <cell r="D9084" t="str">
            <v>BC3012110-006-001</v>
          </cell>
          <cell r="E9084" t="str">
            <v>显示器托架</v>
          </cell>
        </row>
        <row r="9085">
          <cell r="D9085" t="str">
            <v>BC2299242-002-001</v>
          </cell>
          <cell r="E9085" t="str">
            <v>支架底座</v>
          </cell>
        </row>
        <row r="9086">
          <cell r="D9086" t="str">
            <v>BC5824000-002-001</v>
          </cell>
          <cell r="E9086" t="str">
            <v>耳片接头</v>
          </cell>
        </row>
        <row r="9087">
          <cell r="D9087" t="str">
            <v>CB5714100-004R002</v>
          </cell>
          <cell r="E9087" t="str">
            <v>根肋四段</v>
          </cell>
        </row>
        <row r="9088">
          <cell r="D9088" t="str">
            <v>CB5714100-004L002</v>
          </cell>
          <cell r="E9088" t="str">
            <v>根肋四段</v>
          </cell>
        </row>
        <row r="9089">
          <cell r="D9089" t="str">
            <v>CB5323120-001L002</v>
          </cell>
          <cell r="E9089" t="str">
            <v>7820~8270侧上梁</v>
          </cell>
        </row>
        <row r="9090">
          <cell r="D9090" t="str">
            <v>CB5323120-001L002</v>
          </cell>
          <cell r="E9090" t="str">
            <v>7820~8270侧上梁</v>
          </cell>
        </row>
        <row r="9091">
          <cell r="D9091" t="str">
            <v>CB5323120-001L002</v>
          </cell>
          <cell r="E9091" t="str">
            <v>7820~8270侧上梁</v>
          </cell>
        </row>
        <row r="9092">
          <cell r="D9092" t="str">
            <v>CB5323120-001R005</v>
          </cell>
          <cell r="E9092" t="str">
            <v>7820~8270侧上梁</v>
          </cell>
        </row>
        <row r="9093">
          <cell r="D9093" t="str">
            <v>CB5323120-001R005</v>
          </cell>
          <cell r="E9093" t="str">
            <v>7820~8270侧上梁</v>
          </cell>
        </row>
        <row r="9094">
          <cell r="D9094" t="str">
            <v>DD-J10-55181-2540-2</v>
          </cell>
          <cell r="E9094" t="str">
            <v>小轴</v>
          </cell>
        </row>
        <row r="9095">
          <cell r="D9095" t="str">
            <v>DD-J10-68095-1300-3</v>
          </cell>
          <cell r="E9095" t="str">
            <v>衬套</v>
          </cell>
        </row>
        <row r="9096">
          <cell r="D9096" t="str">
            <v>DD-J10B-21402-10G2-1G2-Y</v>
          </cell>
          <cell r="E9096" t="str">
            <v>固定前缘边肋（右件）</v>
          </cell>
        </row>
        <row r="9097">
          <cell r="D9097" t="str">
            <v>DD-J10B-21402-10G2-1G2-Z</v>
          </cell>
          <cell r="E9097" t="str">
            <v>固定前缘边肋（左件）</v>
          </cell>
        </row>
        <row r="9098">
          <cell r="D9098" t="str">
            <v>DD-J10B-21402-10G2-1G2-Z</v>
          </cell>
          <cell r="E9098" t="str">
            <v>固定前缘边肋（左件）</v>
          </cell>
        </row>
        <row r="9099">
          <cell r="D9099" t="str">
            <v>DD-J10B-21402-10G2-1G2-Z</v>
          </cell>
          <cell r="E9099" t="str">
            <v>固定前缘边肋（左件）</v>
          </cell>
        </row>
        <row r="9100">
          <cell r="D9100" t="str">
            <v>DD-J10B-21402-10G2-1G2-Z</v>
          </cell>
          <cell r="E9100" t="str">
            <v>固定前缘边肋（左件）</v>
          </cell>
        </row>
        <row r="9101">
          <cell r="D9101" t="str">
            <v>DD-J10B-21402-10G2-1G2-Z</v>
          </cell>
          <cell r="E9101" t="str">
            <v>固定前缘边肋（左件）</v>
          </cell>
        </row>
        <row r="9102">
          <cell r="D9102" t="str">
            <v>DD-J10B-21402-10G2-1G2-Z</v>
          </cell>
          <cell r="E9102" t="str">
            <v>固定前缘边肋（左件）</v>
          </cell>
        </row>
        <row r="9103">
          <cell r="D9103" t="str">
            <v>Y20-5828031202-001</v>
          </cell>
          <cell r="E9103" t="str">
            <v>支架</v>
          </cell>
        </row>
        <row r="9104">
          <cell r="D9104" t="str">
            <v>Y20-5828031202-001</v>
          </cell>
          <cell r="E9104" t="str">
            <v>支架</v>
          </cell>
        </row>
        <row r="9105">
          <cell r="D9105" t="str">
            <v>CB229C050-002-003</v>
          </cell>
          <cell r="E9105" t="str">
            <v>拨杆</v>
          </cell>
        </row>
        <row r="9106">
          <cell r="D9106" t="str">
            <v>DD-J10B-21302-40G2-1-Z</v>
          </cell>
          <cell r="E9106" t="str">
            <v>后梁四段</v>
          </cell>
        </row>
        <row r="9107">
          <cell r="D9107" t="str">
            <v>DD-J10B-21302-40G2-1-Z</v>
          </cell>
          <cell r="E9107" t="str">
            <v>后梁四段</v>
          </cell>
        </row>
        <row r="9108">
          <cell r="D9108" t="str">
            <v>DD-J10B-02111-2-Y</v>
          </cell>
          <cell r="E9108" t="str">
            <v>角盒</v>
          </cell>
        </row>
        <row r="9109">
          <cell r="D9109" t="str">
            <v>DD-J10B-02111-2-Y</v>
          </cell>
          <cell r="E9109" t="str">
            <v>角盒</v>
          </cell>
        </row>
        <row r="9110">
          <cell r="D9110" t="str">
            <v>DD-J10B-02111-2-Y</v>
          </cell>
          <cell r="E9110" t="str">
            <v>角盒</v>
          </cell>
        </row>
        <row r="9111">
          <cell r="D9111" t="str">
            <v>DD-J10B-02111-2-Z</v>
          </cell>
          <cell r="E9111" t="str">
            <v>角盒</v>
          </cell>
        </row>
        <row r="9112">
          <cell r="D9112" t="str">
            <v>DD-J10B-02111-2-Z</v>
          </cell>
          <cell r="E9112" t="str">
            <v>角盒</v>
          </cell>
        </row>
        <row r="9113">
          <cell r="D9113" t="str">
            <v>BC2332100-001-002</v>
          </cell>
          <cell r="E9113" t="str">
            <v>卡箍支架（左）</v>
          </cell>
        </row>
        <row r="9114">
          <cell r="D9114" t="str">
            <v>BC2332100-002-002</v>
          </cell>
          <cell r="E9114" t="str">
            <v>卡箍支架（右）</v>
          </cell>
        </row>
        <row r="9115">
          <cell r="D9115" t="str">
            <v>BC5824000-002-001</v>
          </cell>
          <cell r="E9115" t="str">
            <v>耳片接头</v>
          </cell>
        </row>
        <row r="9116">
          <cell r="D9116" t="str">
            <v>BC5322500-009-001</v>
          </cell>
          <cell r="E9116" t="str">
            <v>T型材1</v>
          </cell>
        </row>
        <row r="9117">
          <cell r="D9117" t="str">
            <v>XXX-000-01</v>
          </cell>
          <cell r="E9117" t="str">
            <v>壳体</v>
          </cell>
        </row>
        <row r="9118">
          <cell r="D9118" t="str">
            <v>XXX-000-02</v>
          </cell>
          <cell r="E9118" t="str">
            <v>上盖</v>
          </cell>
        </row>
        <row r="9119">
          <cell r="D9119" t="str">
            <v>XXX-110-01</v>
          </cell>
          <cell r="E9119" t="str">
            <v>XXX板固定架A</v>
          </cell>
        </row>
        <row r="9120">
          <cell r="D9120" t="str">
            <v>XXX-120-01</v>
          </cell>
          <cell r="E9120" t="str">
            <v>XXX板固定架B</v>
          </cell>
        </row>
        <row r="9121">
          <cell r="D9121" t="str">
            <v>XXX-130-01</v>
          </cell>
          <cell r="E9121" t="str">
            <v>XXX板固定架C</v>
          </cell>
        </row>
        <row r="9122">
          <cell r="D9122" t="str">
            <v>XXX-230-01</v>
          </cell>
          <cell r="E9122" t="str">
            <v>支杆</v>
          </cell>
        </row>
        <row r="9123">
          <cell r="D9123" t="str">
            <v>DD-J10B-04011-1</v>
          </cell>
          <cell r="E9123" t="str">
            <v>7100框</v>
          </cell>
        </row>
        <row r="9124">
          <cell r="D9124" t="str">
            <v>DD-J10B-04011-1</v>
          </cell>
          <cell r="E9124" t="str">
            <v>7100框</v>
          </cell>
        </row>
        <row r="9125">
          <cell r="D9125" t="str">
            <v>DD-J10B-04011-1</v>
          </cell>
          <cell r="E9125" t="str">
            <v>7100框</v>
          </cell>
        </row>
        <row r="9126">
          <cell r="D9126" t="str">
            <v>DD-J10B-04011-1</v>
          </cell>
          <cell r="E9126" t="str">
            <v>7100框</v>
          </cell>
        </row>
        <row r="9127">
          <cell r="D9127" t="str">
            <v>DD-J10B-04061-1</v>
          </cell>
          <cell r="E9127" t="str">
            <v>10860框</v>
          </cell>
        </row>
        <row r="9128">
          <cell r="D9128" t="str">
            <v>DD-J10B-04041-1</v>
          </cell>
          <cell r="E9128" t="str">
            <v>10060框</v>
          </cell>
        </row>
        <row r="9129">
          <cell r="D9129" t="str">
            <v>DD-J10B-04041-1</v>
          </cell>
          <cell r="E9129" t="str">
            <v>10060框</v>
          </cell>
        </row>
        <row r="9130">
          <cell r="D9130" t="str">
            <v>531A5100-125-501 B1</v>
          </cell>
          <cell r="E9130" t="str">
            <v>通风窗下窗框</v>
          </cell>
        </row>
        <row r="9131">
          <cell r="D9131" t="str">
            <v>531A5100-125-502 B1</v>
          </cell>
          <cell r="E9131" t="str">
            <v>通风窗下窗框</v>
          </cell>
        </row>
        <row r="9132">
          <cell r="D9132" t="str">
            <v>BC2711314-001-001</v>
          </cell>
          <cell r="E9132" t="str">
            <v>短管</v>
          </cell>
        </row>
        <row r="9133">
          <cell r="D9133" t="str">
            <v>BC2350100-005-001</v>
          </cell>
          <cell r="E9133" t="str">
            <v>三通接头</v>
          </cell>
        </row>
        <row r="9134">
          <cell r="D9134" t="str">
            <v>BC2716320-001-002</v>
          </cell>
          <cell r="E9134" t="str">
            <v>安装支架</v>
          </cell>
        </row>
        <row r="9135">
          <cell r="D9135" t="str">
            <v>BC3101300-005-001</v>
          </cell>
          <cell r="E9135" t="str">
            <v>下支座螺栓</v>
          </cell>
        </row>
        <row r="9136">
          <cell r="D9136" t="str">
            <v>BC3101300-004-001</v>
          </cell>
          <cell r="E9136" t="str">
            <v>上支座螺栓</v>
          </cell>
        </row>
        <row r="9137">
          <cell r="D9137" t="str">
            <v>BC2712521-004-001</v>
          </cell>
          <cell r="E9137" t="str">
            <v>限位销</v>
          </cell>
        </row>
        <row r="9138">
          <cell r="D9138" t="str">
            <v>BC2297470-001-001</v>
          </cell>
          <cell r="E9138" t="str">
            <v>管夹</v>
          </cell>
        </row>
        <row r="9139">
          <cell r="D9139" t="str">
            <v>BC27149G2-002-001</v>
          </cell>
          <cell r="E9139" t="str">
            <v>管</v>
          </cell>
        </row>
        <row r="9140">
          <cell r="D9140" t="str">
            <v>BC2714800-002-001</v>
          </cell>
          <cell r="E9140" t="str">
            <v>外套螺母</v>
          </cell>
        </row>
        <row r="9141">
          <cell r="D9141" t="str">
            <v>BC2711344-002-001</v>
          </cell>
          <cell r="E9141" t="str">
            <v>短管</v>
          </cell>
        </row>
        <row r="9142">
          <cell r="D9142" t="str">
            <v>BC5836011-001-001</v>
          </cell>
          <cell r="E9142" t="str">
            <v>壳体</v>
          </cell>
        </row>
        <row r="9143">
          <cell r="D9143" t="str">
            <v>BC5324360-002-001</v>
          </cell>
          <cell r="E9143" t="str">
            <v>堵塞</v>
          </cell>
        </row>
        <row r="9144">
          <cell r="D9144" t="str">
            <v>DD-J10B-54302-10-1-Y</v>
          </cell>
          <cell r="E9144" t="str">
            <v>支座</v>
          </cell>
        </row>
        <row r="9145">
          <cell r="D9145" t="str">
            <v>DD-J10B-54302-10-1-Y</v>
          </cell>
          <cell r="E9145" t="str">
            <v>支座</v>
          </cell>
        </row>
        <row r="9146">
          <cell r="D9146" t="str">
            <v>DD-J10-41153-140-1</v>
          </cell>
          <cell r="E9146" t="str">
            <v>开锁摇臂</v>
          </cell>
        </row>
        <row r="9147">
          <cell r="D9147" t="str">
            <v>DD-J10-41153-140-1</v>
          </cell>
          <cell r="E9147" t="str">
            <v>开锁摇臂</v>
          </cell>
        </row>
        <row r="9148">
          <cell r="D9148" t="str">
            <v>DD-J10-41153-140-1</v>
          </cell>
          <cell r="E9148" t="str">
            <v>开锁摇臂</v>
          </cell>
        </row>
        <row r="9149">
          <cell r="D9149" t="str">
            <v>DD-J10-41153-140-1</v>
          </cell>
          <cell r="E9149" t="str">
            <v>开锁摇臂</v>
          </cell>
        </row>
        <row r="9150">
          <cell r="D9150" t="str">
            <v>DD-J10B-02021-52/1-Z</v>
          </cell>
          <cell r="E9150" t="str">
            <v>锁芯</v>
          </cell>
        </row>
        <row r="9151">
          <cell r="D9151" t="str">
            <v>DD-J10B-02021-52/1-Y</v>
          </cell>
          <cell r="E9151" t="str">
            <v>锁芯</v>
          </cell>
        </row>
        <row r="9152">
          <cell r="D9152" t="str">
            <v>DD-J10B-02021-52/1-Y</v>
          </cell>
          <cell r="E9152" t="str">
            <v>锁芯</v>
          </cell>
        </row>
        <row r="9153">
          <cell r="D9153" t="str">
            <v>DD-J10B-02021-52/2-Z</v>
          </cell>
          <cell r="E9153" t="str">
            <v>锁芯</v>
          </cell>
        </row>
        <row r="9154">
          <cell r="D9154" t="str">
            <v>DD-J10B-02021-52/2-Z</v>
          </cell>
          <cell r="E9154" t="str">
            <v>锁芯</v>
          </cell>
        </row>
        <row r="9155">
          <cell r="D9155" t="str">
            <v>DD-J10B-02021-52/2-Y</v>
          </cell>
          <cell r="E9155" t="str">
            <v>锁芯</v>
          </cell>
        </row>
        <row r="9156">
          <cell r="D9156" t="str">
            <v>DD-J10B-02021-52/2-Y</v>
          </cell>
          <cell r="E9156" t="str">
            <v>锁芯</v>
          </cell>
        </row>
        <row r="9157">
          <cell r="D9157" t="str">
            <v>DD-J10B-65000-1901G2</v>
          </cell>
          <cell r="E9157" t="str">
            <v>固定板</v>
          </cell>
        </row>
        <row r="9158">
          <cell r="D9158" t="str">
            <v>DD-J10-06031-404</v>
          </cell>
          <cell r="E9158" t="str">
            <v>支座</v>
          </cell>
        </row>
        <row r="9159">
          <cell r="D9159" t="str">
            <v>DD-J10-06031-404</v>
          </cell>
          <cell r="E9159" t="str">
            <v>支座</v>
          </cell>
        </row>
        <row r="9160">
          <cell r="D9160" t="str">
            <v>DD-J10B-94076-501-Y</v>
          </cell>
          <cell r="E9160" t="str">
            <v>拉杆支座</v>
          </cell>
        </row>
        <row r="9161">
          <cell r="D9161" t="str">
            <v>DD-J10B-94076-501-Y</v>
          </cell>
          <cell r="E9161" t="str">
            <v>拉杆支座</v>
          </cell>
        </row>
        <row r="9162">
          <cell r="D9162" t="str">
            <v>DD-J10B-94076-501-Z</v>
          </cell>
          <cell r="E9162" t="str">
            <v>拉杆支座</v>
          </cell>
        </row>
        <row r="9163">
          <cell r="D9163" t="str">
            <v>DD-J10B-94076-501-Z</v>
          </cell>
          <cell r="E9163" t="str">
            <v>拉杆支座</v>
          </cell>
        </row>
        <row r="9164">
          <cell r="D9164" t="str">
            <v>DD-J10B-94076-501-Z</v>
          </cell>
          <cell r="E9164" t="str">
            <v>拉杆支座</v>
          </cell>
        </row>
        <row r="9165">
          <cell r="D9165" t="str">
            <v>DD-J10B-94011-701</v>
          </cell>
          <cell r="E9165" t="str">
            <v>支臂</v>
          </cell>
        </row>
        <row r="9166">
          <cell r="D9166" t="str">
            <v>DD-J10B-94011-701</v>
          </cell>
          <cell r="E9166" t="str">
            <v>支臂</v>
          </cell>
        </row>
        <row r="9167">
          <cell r="D9167" t="str">
            <v>BC5324360-007-001</v>
          </cell>
          <cell r="E9167" t="str">
            <v>垫片</v>
          </cell>
        </row>
        <row r="9168">
          <cell r="D9168" t="str">
            <v>BC2297401-001-001</v>
          </cell>
          <cell r="E9168" t="str">
            <v>三通接头</v>
          </cell>
        </row>
        <row r="9169">
          <cell r="D9169" t="str">
            <v>BC5812420-001-003</v>
          </cell>
          <cell r="E9169" t="str">
            <v>锁钩本体</v>
          </cell>
        </row>
        <row r="9170">
          <cell r="D9170" t="str">
            <v>DD-J10-06031-404</v>
          </cell>
          <cell r="E9170" t="str">
            <v>支座</v>
          </cell>
        </row>
        <row r="9171">
          <cell r="D9171" t="str">
            <v>DD-J10-96011-12</v>
          </cell>
          <cell r="E9171" t="str">
            <v>管接头</v>
          </cell>
        </row>
        <row r="9172">
          <cell r="D9172" t="str">
            <v>DD-J10-96011-12</v>
          </cell>
          <cell r="E9172" t="str">
            <v>管接头</v>
          </cell>
        </row>
        <row r="9173">
          <cell r="D9173" t="str">
            <v>DD-J10B-61041-18</v>
          </cell>
          <cell r="E9173" t="str">
            <v>管接头</v>
          </cell>
        </row>
        <row r="9174">
          <cell r="D9174" t="str">
            <v>DD-J10B-61041-18</v>
          </cell>
          <cell r="E9174" t="str">
            <v>管接头</v>
          </cell>
        </row>
        <row r="9175">
          <cell r="D9175" t="str">
            <v>DD-J10-61101-5001/16</v>
          </cell>
          <cell r="E9175" t="str">
            <v>管接头</v>
          </cell>
        </row>
        <row r="9176">
          <cell r="D9176" t="str">
            <v>DD-J10-61101-5001/16</v>
          </cell>
          <cell r="E9176" t="str">
            <v>管接头</v>
          </cell>
        </row>
        <row r="9177">
          <cell r="D9177" t="str">
            <v>DD-J10-61041-2</v>
          </cell>
          <cell r="E9177" t="str">
            <v>管接头</v>
          </cell>
        </row>
        <row r="9178">
          <cell r="D9178" t="str">
            <v>DD-J10-61041-2</v>
          </cell>
          <cell r="E9178" t="str">
            <v>管接头</v>
          </cell>
        </row>
        <row r="9179">
          <cell r="D9179" t="str">
            <v>DD-J10-61001-7001</v>
          </cell>
          <cell r="E9179" t="str">
            <v>管接头</v>
          </cell>
        </row>
        <row r="9180">
          <cell r="D9180" t="str">
            <v>DD-J10-61001-7001</v>
          </cell>
          <cell r="E9180" t="str">
            <v>管接头</v>
          </cell>
        </row>
        <row r="9181">
          <cell r="D9181" t="str">
            <v>DD-J10-62021-7</v>
          </cell>
          <cell r="E9181" t="str">
            <v>管接头</v>
          </cell>
        </row>
        <row r="9182">
          <cell r="D9182" t="str">
            <v>DD-J10-62021-7</v>
          </cell>
          <cell r="E9182" t="str">
            <v>管接头</v>
          </cell>
        </row>
        <row r="9183">
          <cell r="D9183" t="str">
            <v>DD-J10B-64016-501</v>
          </cell>
          <cell r="E9183" t="str">
            <v>管接头</v>
          </cell>
        </row>
        <row r="9184">
          <cell r="D9184" t="str">
            <v>DD-J10B-64016-501</v>
          </cell>
          <cell r="E9184" t="str">
            <v>管接头</v>
          </cell>
        </row>
        <row r="9185">
          <cell r="D9185" t="str">
            <v>DD-J10B-55171-151G2</v>
          </cell>
          <cell r="E9185" t="str">
            <v>三通管接头</v>
          </cell>
        </row>
        <row r="9186">
          <cell r="D9186" t="str">
            <v>DD-J10B-55171-151G2</v>
          </cell>
          <cell r="E9186" t="str">
            <v>三通管接头</v>
          </cell>
        </row>
        <row r="9187">
          <cell r="D9187" t="str">
            <v>DD-J10-61101-15</v>
          </cell>
          <cell r="E9187" t="str">
            <v>接管嘴</v>
          </cell>
        </row>
        <row r="9188">
          <cell r="D9188" t="str">
            <v>DD-J10-61101-15</v>
          </cell>
          <cell r="E9188" t="str">
            <v>接管嘴</v>
          </cell>
        </row>
        <row r="9189">
          <cell r="D9189" t="str">
            <v>DD-J10B-55015-4203</v>
          </cell>
          <cell r="E9189" t="str">
            <v>接管嘴</v>
          </cell>
        </row>
        <row r="9190">
          <cell r="D9190" t="str">
            <v>DD-J10-61052-4</v>
          </cell>
          <cell r="E9190" t="str">
            <v>接管嘴</v>
          </cell>
        </row>
        <row r="9191">
          <cell r="D9191" t="str">
            <v>DD-J10-61052-4</v>
          </cell>
          <cell r="E9191" t="str">
            <v>接管嘴</v>
          </cell>
        </row>
        <row r="9192">
          <cell r="D9192" t="str">
            <v>DD-J10-61052-4</v>
          </cell>
          <cell r="E9192" t="str">
            <v>接管嘴</v>
          </cell>
        </row>
        <row r="9193">
          <cell r="D9193" t="str">
            <v>DD-J10B-61001-1</v>
          </cell>
          <cell r="E9193" t="str">
            <v>接头</v>
          </cell>
        </row>
        <row r="9194">
          <cell r="D9194" t="str">
            <v>DD-J10B-61001-1</v>
          </cell>
          <cell r="E9194" t="str">
            <v>接头</v>
          </cell>
        </row>
        <row r="9195">
          <cell r="D9195" t="str">
            <v>DD-J10B-54302-30-1</v>
          </cell>
          <cell r="E9195" t="str">
            <v>故障保护装置支座</v>
          </cell>
        </row>
        <row r="9196">
          <cell r="D9196" t="str">
            <v>DD-J10B-54302-30-1</v>
          </cell>
          <cell r="E9196" t="str">
            <v>故障保护装置支座</v>
          </cell>
        </row>
        <row r="9197">
          <cell r="D9197" t="str">
            <v>DD-J10-41153-140-1</v>
          </cell>
          <cell r="E9197" t="str">
            <v>开锁摇臂</v>
          </cell>
        </row>
        <row r="9198">
          <cell r="D9198" t="str">
            <v>Y20-5212290007-002</v>
          </cell>
          <cell r="E9198" t="str">
            <v>合页片</v>
          </cell>
        </row>
        <row r="9199">
          <cell r="D9199" t="str">
            <v>521A4090-000-003</v>
          </cell>
          <cell r="E9199" t="str">
            <v>杆</v>
          </cell>
        </row>
        <row r="9200">
          <cell r="D9200" t="str">
            <v>521A4230-000-003</v>
          </cell>
          <cell r="E9200" t="str">
            <v>连杆</v>
          </cell>
        </row>
        <row r="9201">
          <cell r="D9201" t="str">
            <v>521A4230-000-003</v>
          </cell>
          <cell r="E9201" t="str">
            <v>连杆</v>
          </cell>
        </row>
        <row r="9202">
          <cell r="D9202" t="str">
            <v>529A4310-002-001</v>
          </cell>
          <cell r="E9202" t="str">
            <v>堵头</v>
          </cell>
        </row>
        <row r="9203">
          <cell r="D9203" t="str">
            <v>531A9800-011-001</v>
          </cell>
          <cell r="E9203" t="str">
            <v>圆柱销</v>
          </cell>
        </row>
        <row r="9204">
          <cell r="D9204" t="str">
            <v>561A3341-005-501</v>
          </cell>
          <cell r="E9204" t="str">
            <v>滚轮</v>
          </cell>
        </row>
        <row r="9205">
          <cell r="D9205" t="str">
            <v>561A3341-005-501</v>
          </cell>
          <cell r="E9205" t="str">
            <v>滚轮</v>
          </cell>
        </row>
        <row r="9206">
          <cell r="D9206" t="str">
            <v>561A3341-005-501</v>
          </cell>
          <cell r="E9206" t="str">
            <v>滚轮</v>
          </cell>
        </row>
        <row r="9207">
          <cell r="D9207" t="str">
            <v>561A3200-106-501</v>
          </cell>
          <cell r="E9207" t="str">
            <v>垫圈</v>
          </cell>
        </row>
        <row r="9208">
          <cell r="D9208" t="str">
            <v>561A3300-054-501</v>
          </cell>
          <cell r="E9208" t="str">
            <v>滚轮</v>
          </cell>
        </row>
        <row r="9209">
          <cell r="D9209" t="str">
            <v>561A3300-054-501</v>
          </cell>
          <cell r="E9209" t="str">
            <v>滚轮</v>
          </cell>
        </row>
        <row r="9210">
          <cell r="D9210" t="str">
            <v>529A4310-001-001</v>
          </cell>
          <cell r="E9210" t="str">
            <v>套筒</v>
          </cell>
        </row>
        <row r="9211">
          <cell r="D9211" t="str">
            <v>529A4310-001-001</v>
          </cell>
          <cell r="E9211" t="str">
            <v>套筒</v>
          </cell>
        </row>
        <row r="9212">
          <cell r="D9212" t="str">
            <v>529A4310-001-001</v>
          </cell>
          <cell r="E9212" t="str">
            <v>套筒</v>
          </cell>
        </row>
        <row r="9213">
          <cell r="D9213" t="str">
            <v>521A4410-000-003</v>
          </cell>
          <cell r="E9213" t="str">
            <v>杆</v>
          </cell>
        </row>
        <row r="9214">
          <cell r="D9214" t="str">
            <v>521A4410-000-003</v>
          </cell>
          <cell r="E9214" t="str">
            <v>杆</v>
          </cell>
        </row>
        <row r="9215">
          <cell r="D9215" t="str">
            <v>529A4300-003-001</v>
          </cell>
          <cell r="E9215" t="str">
            <v>U形转轴</v>
          </cell>
        </row>
        <row r="9216">
          <cell r="D9216" t="str">
            <v>529A4300-003-001</v>
          </cell>
          <cell r="E9216" t="str">
            <v>529A4300-003-001</v>
          </cell>
        </row>
        <row r="9217">
          <cell r="D9217" t="str">
            <v>529A4300-003-001</v>
          </cell>
          <cell r="E9217" t="str">
            <v>529A4300-003-001</v>
          </cell>
        </row>
        <row r="9218">
          <cell r="D9218" t="str">
            <v>561A3300-056-501</v>
          </cell>
          <cell r="E9218" t="str">
            <v>衬套</v>
          </cell>
        </row>
        <row r="9219">
          <cell r="D9219" t="str">
            <v>561A3200-105-501</v>
          </cell>
          <cell r="E9219" t="str">
            <v>垫圈</v>
          </cell>
        </row>
        <row r="9220">
          <cell r="D9220" t="str">
            <v>561A3200-105-501</v>
          </cell>
          <cell r="E9220" t="str">
            <v>垫圈</v>
          </cell>
        </row>
        <row r="9221">
          <cell r="D9221" t="str">
            <v>531A2100-073-001</v>
          </cell>
          <cell r="E9221" t="str">
            <v>销钉</v>
          </cell>
        </row>
        <row r="9222">
          <cell r="D9222" t="str">
            <v>524A2240-001-001</v>
          </cell>
          <cell r="E9222" t="str">
            <v>服务门下折板角形合页</v>
          </cell>
        </row>
        <row r="9223">
          <cell r="D9223" t="str">
            <v>524A2240-001-001</v>
          </cell>
          <cell r="E9223" t="str">
            <v>服务门下折板角形合页</v>
          </cell>
        </row>
        <row r="9224">
          <cell r="D9224" t="str">
            <v>524A2240-001-001</v>
          </cell>
          <cell r="E9224" t="str">
            <v>服务门下折板角形合页</v>
          </cell>
        </row>
        <row r="9225">
          <cell r="D9225" t="str">
            <v>BC5822100-002L001</v>
          </cell>
          <cell r="E9225" t="str">
            <v>止动摇臂</v>
          </cell>
        </row>
        <row r="9226">
          <cell r="D9226" t="str">
            <v>BC5822100-002R001</v>
          </cell>
          <cell r="E9226" t="str">
            <v>止动摇臂</v>
          </cell>
        </row>
        <row r="9227">
          <cell r="D9227" t="str">
            <v>BC5812812-001-001</v>
          </cell>
          <cell r="E9227" t="str">
            <v>耳环螺栓</v>
          </cell>
        </row>
        <row r="9228">
          <cell r="D9228" t="str">
            <v>BC5812812-001-001</v>
          </cell>
          <cell r="E9228" t="str">
            <v>耳环螺栓</v>
          </cell>
        </row>
        <row r="9229">
          <cell r="D9229" t="str">
            <v>BC5822100-007-001</v>
          </cell>
          <cell r="E9229" t="str">
            <v>轴</v>
          </cell>
        </row>
        <row r="9230">
          <cell r="D9230" t="str">
            <v>BC5812300-001-001</v>
          </cell>
          <cell r="E9230" t="str">
            <v>螺栓</v>
          </cell>
        </row>
        <row r="9231">
          <cell r="D9231" t="str">
            <v>BC5812300-001-001</v>
          </cell>
          <cell r="E9231" t="str">
            <v>螺栓</v>
          </cell>
        </row>
        <row r="9232">
          <cell r="D9232" t="str">
            <v>BC5812500-001-001</v>
          </cell>
          <cell r="E9232" t="str">
            <v>螺栓</v>
          </cell>
        </row>
        <row r="9233">
          <cell r="D9233" t="str">
            <v>BC5812500-001-001</v>
          </cell>
          <cell r="E9233" t="str">
            <v>螺栓</v>
          </cell>
        </row>
        <row r="9234">
          <cell r="D9234" t="str">
            <v>BC5711420-001-002</v>
          </cell>
          <cell r="E9234" t="str">
            <v>螺栓</v>
          </cell>
        </row>
        <row r="9235">
          <cell r="D9235" t="str">
            <v>BC5812000-004-001</v>
          </cell>
          <cell r="E9235" t="str">
            <v>螺栓</v>
          </cell>
        </row>
        <row r="9236">
          <cell r="D9236" t="str">
            <v>BC5812000-011-001</v>
          </cell>
          <cell r="E9236" t="str">
            <v>拉杆</v>
          </cell>
        </row>
        <row r="9237">
          <cell r="D9237" t="str">
            <v>LT3E-513030000-03L02</v>
          </cell>
          <cell r="E9237" t="str">
            <v>卫通天线罩口框梁后段（左）</v>
          </cell>
        </row>
        <row r="9238">
          <cell r="D9238" t="str">
            <v>LT3E-513030000-03L02</v>
          </cell>
          <cell r="E9238" t="str">
            <v>卫通天线罩口框梁后段（左）</v>
          </cell>
        </row>
        <row r="9239">
          <cell r="D9239" t="str">
            <v>LT3E-513030000-03R02</v>
          </cell>
          <cell r="E9239" t="str">
            <v>卫通天线罩口框梁后段（右）</v>
          </cell>
        </row>
        <row r="9240">
          <cell r="D9240" t="str">
            <v>LT3E-513030000-03R02</v>
          </cell>
          <cell r="E9240" t="str">
            <v>卫通天线罩口框梁后段（右）</v>
          </cell>
        </row>
        <row r="9241">
          <cell r="D9241" t="str">
            <v>DD-J10-67096-50-1</v>
          </cell>
          <cell r="E9241" t="str">
            <v>Z型件</v>
          </cell>
        </row>
        <row r="9242">
          <cell r="D9242" t="str">
            <v>BC5711440-001-002</v>
          </cell>
          <cell r="E9242" t="str">
            <v>螺栓</v>
          </cell>
        </row>
        <row r="9243">
          <cell r="D9243" t="str">
            <v>BC5711410-001-002</v>
          </cell>
          <cell r="E9243" t="str">
            <v>螺栓</v>
          </cell>
        </row>
        <row r="9244">
          <cell r="D9244" t="str">
            <v>BC5822100-009-001</v>
          </cell>
          <cell r="E9244" t="str">
            <v>衬套</v>
          </cell>
        </row>
        <row r="9245">
          <cell r="D9245" t="str">
            <v>BC5812000-012-001</v>
          </cell>
          <cell r="E9245" t="str">
            <v>拉杆</v>
          </cell>
        </row>
        <row r="9246">
          <cell r="D9246" t="str">
            <v>BC5812200-001-001</v>
          </cell>
          <cell r="E9246" t="str">
            <v>轴</v>
          </cell>
        </row>
        <row r="9247">
          <cell r="D9247" t="str">
            <v>BC5711430-001-002</v>
          </cell>
          <cell r="E9247" t="str">
            <v>螺栓</v>
          </cell>
        </row>
        <row r="9248">
          <cell r="D9248" t="str">
            <v>561A3310-007-501</v>
          </cell>
          <cell r="E9248" t="str">
            <v>衬套</v>
          </cell>
        </row>
        <row r="9249">
          <cell r="D9249" t="str">
            <v>524A2330-002-001</v>
          </cell>
          <cell r="E9249" t="str">
            <v>衬套</v>
          </cell>
        </row>
        <row r="9250">
          <cell r="D9250" t="str">
            <v>524A2341-002-001</v>
          </cell>
          <cell r="E9250" t="str">
            <v>衬套</v>
          </cell>
        </row>
        <row r="9251">
          <cell r="D9251" t="str">
            <v>5214A000043G010</v>
          </cell>
          <cell r="E9251" t="str">
            <v>螺栓</v>
          </cell>
        </row>
        <row r="9252">
          <cell r="D9252" t="str">
            <v>521A4220-000-003</v>
          </cell>
          <cell r="E9252" t="str">
            <v>轴</v>
          </cell>
        </row>
        <row r="9253">
          <cell r="D9253" t="str">
            <v>524A2230-002-001</v>
          </cell>
          <cell r="E9253" t="str">
            <v>服务门上折板平板合页</v>
          </cell>
        </row>
        <row r="9254">
          <cell r="D9254" t="str">
            <v>CB5314107-001-002</v>
          </cell>
          <cell r="E9254" t="str">
            <v>5550上框</v>
          </cell>
        </row>
        <row r="9255">
          <cell r="D9255" t="str">
            <v>CB5314107-001-002</v>
          </cell>
          <cell r="E9255" t="str">
            <v>5550上框</v>
          </cell>
        </row>
        <row r="9256">
          <cell r="D9256" t="str">
            <v>CB5314107-005-001</v>
          </cell>
          <cell r="E9256" t="str">
            <v>油箱口盖</v>
          </cell>
        </row>
        <row r="9257">
          <cell r="D9257" t="str">
            <v>DD-J10B-54302-10-1-Z</v>
          </cell>
          <cell r="E9257" t="str">
            <v>支座</v>
          </cell>
        </row>
        <row r="9258">
          <cell r="D9258" t="str">
            <v>DD-J10B-54302-10-1-Z</v>
          </cell>
          <cell r="E9258" t="str">
            <v>支座</v>
          </cell>
        </row>
        <row r="9259">
          <cell r="D9259" t="str">
            <v>521A1200-007-001 C1</v>
          </cell>
          <cell r="E9259" t="str">
            <v>支撑件</v>
          </cell>
        </row>
        <row r="9260">
          <cell r="D9260" t="str">
            <v>CB5752000-022L003</v>
          </cell>
          <cell r="E9260" t="str">
            <v>角片</v>
          </cell>
        </row>
        <row r="9261">
          <cell r="D9261" t="str">
            <v>CB5752000-022L003</v>
          </cell>
          <cell r="E9261" t="str">
            <v>角片</v>
          </cell>
        </row>
        <row r="9262">
          <cell r="D9262" t="str">
            <v>CB5752000-022L003</v>
          </cell>
          <cell r="E9262" t="str">
            <v>角片</v>
          </cell>
        </row>
        <row r="9263">
          <cell r="D9263" t="str">
            <v>CB5752000-022L003</v>
          </cell>
          <cell r="E9263" t="str">
            <v>角片</v>
          </cell>
        </row>
        <row r="9264">
          <cell r="D9264" t="str">
            <v>CB5752000-022L003</v>
          </cell>
          <cell r="E9264" t="str">
            <v>角片</v>
          </cell>
        </row>
        <row r="9265">
          <cell r="D9265" t="str">
            <v>CB5752000-022L003</v>
          </cell>
          <cell r="E9265" t="str">
            <v>角片</v>
          </cell>
        </row>
        <row r="9266">
          <cell r="D9266" t="str">
            <v>CB5752000-022L003</v>
          </cell>
          <cell r="E9266" t="str">
            <v>角片</v>
          </cell>
        </row>
        <row r="9267">
          <cell r="D9267" t="str">
            <v>CB5752000-022L003</v>
          </cell>
          <cell r="E9267" t="str">
            <v>角片</v>
          </cell>
        </row>
        <row r="9268">
          <cell r="D9268" t="str">
            <v>CB5752000-022L003</v>
          </cell>
          <cell r="E9268" t="str">
            <v>角片</v>
          </cell>
        </row>
        <row r="9269">
          <cell r="D9269" t="str">
            <v>CB5752000-022L003</v>
          </cell>
          <cell r="E9269" t="str">
            <v>角片</v>
          </cell>
        </row>
        <row r="9270">
          <cell r="D9270" t="str">
            <v>CB5752000-022R002</v>
          </cell>
          <cell r="E9270" t="str">
            <v>角片</v>
          </cell>
        </row>
        <row r="9271">
          <cell r="D9271" t="str">
            <v>CB5752000-022R002</v>
          </cell>
          <cell r="E9271" t="str">
            <v>角片</v>
          </cell>
        </row>
        <row r="9272">
          <cell r="D9272" t="str">
            <v>CB5752000-022R002</v>
          </cell>
          <cell r="E9272" t="str">
            <v>角片</v>
          </cell>
        </row>
        <row r="9273">
          <cell r="D9273" t="str">
            <v>CB5752000-022R002</v>
          </cell>
          <cell r="E9273" t="str">
            <v>角片</v>
          </cell>
        </row>
        <row r="9274">
          <cell r="D9274" t="str">
            <v>CB5752000-022R002</v>
          </cell>
          <cell r="E9274" t="str">
            <v>角片</v>
          </cell>
        </row>
        <row r="9275">
          <cell r="D9275" t="str">
            <v>CB5752000-022R002</v>
          </cell>
          <cell r="E9275" t="str">
            <v>角片</v>
          </cell>
        </row>
        <row r="9276">
          <cell r="D9276" t="str">
            <v>CB5752000-022R002</v>
          </cell>
          <cell r="E9276" t="str">
            <v>角片</v>
          </cell>
        </row>
        <row r="9277">
          <cell r="D9277" t="str">
            <v>CB5752000-022R002</v>
          </cell>
          <cell r="E9277" t="str">
            <v>角片</v>
          </cell>
        </row>
        <row r="9278">
          <cell r="D9278" t="str">
            <v>CB5752000-022R002</v>
          </cell>
          <cell r="E9278" t="str">
            <v>角片</v>
          </cell>
        </row>
        <row r="9279">
          <cell r="D9279" t="str">
            <v>CB5752000-022R002</v>
          </cell>
          <cell r="E9279" t="str">
            <v>角片</v>
          </cell>
        </row>
        <row r="9280">
          <cell r="D9280" t="str">
            <v>CB5752000-023L003</v>
          </cell>
          <cell r="E9280" t="str">
            <v>角片</v>
          </cell>
        </row>
        <row r="9281">
          <cell r="D9281" t="str">
            <v>CB5752000-023L003</v>
          </cell>
          <cell r="E9281" t="str">
            <v>角片</v>
          </cell>
        </row>
        <row r="9282">
          <cell r="D9282" t="str">
            <v>CB5752000-023L003</v>
          </cell>
          <cell r="E9282" t="str">
            <v>角片</v>
          </cell>
        </row>
        <row r="9283">
          <cell r="D9283" t="str">
            <v>CB5752000-023L003</v>
          </cell>
          <cell r="E9283" t="str">
            <v>角片</v>
          </cell>
        </row>
        <row r="9284">
          <cell r="D9284" t="str">
            <v>CB5752000-023L003</v>
          </cell>
          <cell r="E9284" t="str">
            <v>角片</v>
          </cell>
        </row>
        <row r="9285">
          <cell r="D9285" t="str">
            <v>CB5752000-023L003</v>
          </cell>
          <cell r="E9285" t="str">
            <v>角片</v>
          </cell>
        </row>
        <row r="9286">
          <cell r="D9286" t="str">
            <v>CB5752000-023L003</v>
          </cell>
          <cell r="E9286" t="str">
            <v>角片</v>
          </cell>
        </row>
        <row r="9287">
          <cell r="D9287" t="str">
            <v>CB5752000-023L003</v>
          </cell>
          <cell r="E9287" t="str">
            <v>角片</v>
          </cell>
        </row>
        <row r="9288">
          <cell r="D9288" t="str">
            <v>CB5752000-023L003</v>
          </cell>
          <cell r="E9288" t="str">
            <v>角片</v>
          </cell>
        </row>
        <row r="9289">
          <cell r="D9289" t="str">
            <v>CB5752000-023L003</v>
          </cell>
          <cell r="E9289" t="str">
            <v>角片</v>
          </cell>
        </row>
        <row r="9290">
          <cell r="D9290" t="str">
            <v>CB5752000-023R002</v>
          </cell>
          <cell r="E9290" t="str">
            <v>角片</v>
          </cell>
        </row>
        <row r="9291">
          <cell r="D9291" t="str">
            <v>CB5752000-023R002</v>
          </cell>
          <cell r="E9291" t="str">
            <v>角片</v>
          </cell>
        </row>
        <row r="9292">
          <cell r="D9292" t="str">
            <v>CB5752000-023R002</v>
          </cell>
          <cell r="E9292" t="str">
            <v>角片</v>
          </cell>
        </row>
        <row r="9293">
          <cell r="D9293" t="str">
            <v>CB5752000-023R002</v>
          </cell>
          <cell r="E9293" t="str">
            <v>角片</v>
          </cell>
        </row>
        <row r="9294">
          <cell r="D9294" t="str">
            <v>CB5752000-023R002</v>
          </cell>
          <cell r="E9294" t="str">
            <v>角片</v>
          </cell>
        </row>
        <row r="9295">
          <cell r="D9295" t="str">
            <v>CB5752000-023R002</v>
          </cell>
          <cell r="E9295" t="str">
            <v>角片</v>
          </cell>
        </row>
        <row r="9296">
          <cell r="D9296" t="str">
            <v>CB5752000-023R002</v>
          </cell>
          <cell r="E9296" t="str">
            <v>角片</v>
          </cell>
        </row>
        <row r="9297">
          <cell r="D9297" t="str">
            <v>CB5752000-023R002</v>
          </cell>
          <cell r="E9297" t="str">
            <v>角片</v>
          </cell>
        </row>
        <row r="9298">
          <cell r="D9298" t="str">
            <v>CB5752000-023R002</v>
          </cell>
          <cell r="E9298" t="str">
            <v>角片</v>
          </cell>
        </row>
        <row r="9299">
          <cell r="D9299" t="str">
            <v>CB5752000-023R002</v>
          </cell>
          <cell r="E9299" t="str">
            <v>角片</v>
          </cell>
        </row>
        <row r="9300">
          <cell r="D9300" t="str">
            <v>DD-J10-21102-390-1-Z</v>
          </cell>
          <cell r="E9300" t="str">
            <v>1150肋九段</v>
          </cell>
        </row>
        <row r="9301">
          <cell r="D9301" t="str">
            <v>DD-J10-21102-390-1-Z</v>
          </cell>
          <cell r="E9301" t="str">
            <v>1150肋九段</v>
          </cell>
        </row>
        <row r="9302">
          <cell r="D9302" t="str">
            <v>DD-J10-21102-410-1-Y</v>
          </cell>
          <cell r="E9302" t="str">
            <v>1150肋根肋</v>
          </cell>
        </row>
        <row r="9303">
          <cell r="D9303" t="str">
            <v>DD-J10-21102-410-1-Y</v>
          </cell>
          <cell r="E9303" t="str">
            <v>1150肋根肋</v>
          </cell>
        </row>
        <row r="9304">
          <cell r="D9304" t="str">
            <v>CB229C440-002R001</v>
          </cell>
          <cell r="E9304" t="str">
            <v>支架</v>
          </cell>
        </row>
        <row r="9305">
          <cell r="D9305" t="str">
            <v>DD-J10B-82000-101G2</v>
          </cell>
          <cell r="E9305" t="str">
            <v>地板</v>
          </cell>
        </row>
        <row r="9306">
          <cell r="D9306" t="str">
            <v>DD-J10B-82000-101G2</v>
          </cell>
          <cell r="E9306" t="str">
            <v>地板</v>
          </cell>
        </row>
        <row r="9307">
          <cell r="D9307" t="str">
            <v>DD-J10B-82000-101G2</v>
          </cell>
          <cell r="E9307" t="str">
            <v>地板</v>
          </cell>
        </row>
        <row r="9308">
          <cell r="D9308" t="str">
            <v>CB5324310-016-006</v>
          </cell>
          <cell r="E9308" t="str">
            <v>带板</v>
          </cell>
        </row>
        <row r="9309">
          <cell r="D9309" t="str">
            <v>DD-J10S-96011-1811</v>
          </cell>
          <cell r="E9309" t="str">
            <v>转接嘴</v>
          </cell>
        </row>
        <row r="9310">
          <cell r="D9310" t="str">
            <v>DD-J10S-96011-1811</v>
          </cell>
          <cell r="E9310" t="str">
            <v>转接嘴</v>
          </cell>
        </row>
        <row r="9311">
          <cell r="D9311" t="str">
            <v>LT3E-544100000-03N02</v>
          </cell>
          <cell r="E9311" t="str">
            <v>隔板</v>
          </cell>
        </row>
        <row r="9312">
          <cell r="D9312" t="str">
            <v>LT3E-544100000-03N02</v>
          </cell>
          <cell r="E9312" t="str">
            <v>隔板</v>
          </cell>
        </row>
        <row r="9313">
          <cell r="D9313" t="str">
            <v>LT3E-544100000-03N02</v>
          </cell>
          <cell r="E9313" t="str">
            <v>隔板</v>
          </cell>
        </row>
        <row r="9314">
          <cell r="D9314" t="str">
            <v>LT3E-541101000-04N01</v>
          </cell>
          <cell r="E9314" t="str">
            <v>L型材</v>
          </cell>
        </row>
        <row r="9315">
          <cell r="D9315" t="str">
            <v>LT3E-541101000-04N01</v>
          </cell>
          <cell r="E9315" t="str">
            <v>L型材</v>
          </cell>
        </row>
        <row r="9316">
          <cell r="D9316" t="str">
            <v>LT3E-541101000-05N01</v>
          </cell>
          <cell r="E9316" t="str">
            <v>L型材</v>
          </cell>
        </row>
        <row r="9317">
          <cell r="D9317" t="str">
            <v>LT3E-541101000-05N01</v>
          </cell>
          <cell r="E9317" t="str">
            <v>L型材</v>
          </cell>
        </row>
        <row r="9318">
          <cell r="D9318" t="str">
            <v>LT3E-541101000-06N01</v>
          </cell>
          <cell r="E9318" t="str">
            <v>L型材</v>
          </cell>
        </row>
        <row r="9319">
          <cell r="D9319" t="str">
            <v>LT3E-541101000-06N01</v>
          </cell>
          <cell r="E9319" t="str">
            <v>L型材</v>
          </cell>
        </row>
        <row r="9320">
          <cell r="D9320" t="str">
            <v>LT3E-544100000-18L03</v>
          </cell>
          <cell r="E9320" t="str">
            <v>型材（左）</v>
          </cell>
        </row>
        <row r="9321">
          <cell r="D9321" t="str">
            <v>LT3E-544100000-18L03</v>
          </cell>
          <cell r="E9321" t="str">
            <v>型材（左）</v>
          </cell>
        </row>
        <row r="9322">
          <cell r="D9322" t="str">
            <v>LT3E-544100000-18R03</v>
          </cell>
          <cell r="E9322" t="str">
            <v>型材（右）</v>
          </cell>
        </row>
        <row r="9323">
          <cell r="D9323" t="str">
            <v>LT3E-544100000-18R03</v>
          </cell>
          <cell r="E9323" t="str">
            <v>型材（右）</v>
          </cell>
        </row>
        <row r="9324">
          <cell r="D9324" t="str">
            <v>LT3E-544100000-20L01</v>
          </cell>
          <cell r="E9324" t="str">
            <v>型材（左）</v>
          </cell>
        </row>
        <row r="9325">
          <cell r="D9325" t="str">
            <v>LT3E-544100000-20L01</v>
          </cell>
          <cell r="E9325" t="str">
            <v>型材（左）</v>
          </cell>
        </row>
        <row r="9326">
          <cell r="D9326" t="str">
            <v>LT3E-544100000-20R01</v>
          </cell>
          <cell r="E9326" t="str">
            <v>型材（右）</v>
          </cell>
        </row>
        <row r="9327">
          <cell r="D9327" t="str">
            <v>LT3E-544100000-20R01</v>
          </cell>
          <cell r="E9327" t="str">
            <v>型材（右）</v>
          </cell>
        </row>
        <row r="9328">
          <cell r="D9328" t="str">
            <v>CB2292321-001-003</v>
          </cell>
          <cell r="E9328" t="str">
            <v>支座</v>
          </cell>
        </row>
        <row r="9329">
          <cell r="D9329" t="str">
            <v>BC221P2LB-003-001</v>
          </cell>
          <cell r="E9329" t="str">
            <v>传感器底座</v>
          </cell>
        </row>
        <row r="9330">
          <cell r="D9330" t="str">
            <v>BC221P2LB-003-001</v>
          </cell>
          <cell r="E9330" t="str">
            <v>传感器底座</v>
          </cell>
        </row>
        <row r="9331">
          <cell r="D9331" t="str">
            <v>BC23502BN-001-001</v>
          </cell>
          <cell r="E9331" t="str">
            <v>支架</v>
          </cell>
        </row>
        <row r="9332">
          <cell r="D9332" t="str">
            <v>BC3012110-006-001</v>
          </cell>
          <cell r="E9332" t="str">
            <v>显示器托架</v>
          </cell>
        </row>
        <row r="9333">
          <cell r="D9333" t="str">
            <v>DD-J10B-55141-101</v>
          </cell>
          <cell r="E9333" t="str">
            <v>90°弯管接头</v>
          </cell>
        </row>
        <row r="9334">
          <cell r="D9334" t="str">
            <v>DD-J10B-04051-1</v>
          </cell>
          <cell r="E9334" t="str">
            <v>10460框</v>
          </cell>
        </row>
        <row r="9335">
          <cell r="D9335" t="str">
            <v>DD-J10B-04051-1</v>
          </cell>
          <cell r="E9335" t="str">
            <v>10460框</v>
          </cell>
        </row>
        <row r="9336">
          <cell r="D9336" t="str">
            <v>DD-J10B-26002-1G2-Z</v>
          </cell>
          <cell r="E9336" t="str">
            <v>梁（左件）</v>
          </cell>
        </row>
        <row r="9337">
          <cell r="D9337" t="str">
            <v>DD-J10B-26002-1G2-Z</v>
          </cell>
          <cell r="E9337" t="str">
            <v>梁（左件）</v>
          </cell>
        </row>
        <row r="9338">
          <cell r="D9338" t="str">
            <v>DD-J10B-26002-1G2-Z</v>
          </cell>
          <cell r="E9338" t="str">
            <v>梁（左件）</v>
          </cell>
        </row>
        <row r="9339">
          <cell r="D9339" t="str">
            <v>DD-J10B-26002-1G2-Y</v>
          </cell>
          <cell r="E9339" t="str">
            <v>梁（右件）</v>
          </cell>
        </row>
        <row r="9340">
          <cell r="D9340" t="str">
            <v>DD-J10B-26002-1G2-Y</v>
          </cell>
          <cell r="E9340" t="str">
            <v>梁（右件）</v>
          </cell>
        </row>
        <row r="9341">
          <cell r="D9341" t="str">
            <v>DD-J10B-26002-1G2-Y</v>
          </cell>
          <cell r="E9341" t="str">
            <v>梁（右件）</v>
          </cell>
        </row>
        <row r="9342">
          <cell r="D9342" t="str">
            <v>DD-J10-33003-4</v>
          </cell>
          <cell r="E9342" t="str">
            <v>梁</v>
          </cell>
        </row>
        <row r="9343">
          <cell r="D9343" t="str">
            <v>DD-J10-33003-4</v>
          </cell>
          <cell r="E9343" t="str">
            <v>梁</v>
          </cell>
        </row>
        <row r="9344">
          <cell r="D9344" t="str">
            <v>DD-J10-33003-4</v>
          </cell>
          <cell r="E9344" t="str">
            <v>梁</v>
          </cell>
        </row>
        <row r="9345">
          <cell r="D9345" t="str">
            <v>BC3230500-001-300</v>
          </cell>
          <cell r="E9345" t="str">
            <v>过渡板</v>
          </cell>
        </row>
        <row r="9346">
          <cell r="D9346" t="str">
            <v>BC3230400-001-300</v>
          </cell>
          <cell r="E9346" t="str">
            <v>过渡板</v>
          </cell>
        </row>
        <row r="9347">
          <cell r="D9347" t="str">
            <v>BC2712311-004-003</v>
          </cell>
          <cell r="E9347" t="str">
            <v>保护罩支座</v>
          </cell>
        </row>
        <row r="9348">
          <cell r="D9348" t="str">
            <v>DD-J10-55222-3105</v>
          </cell>
          <cell r="E9348" t="str">
            <v>30°拧入式管接头</v>
          </cell>
        </row>
        <row r="9349">
          <cell r="D9349" t="str">
            <v>DD-J10-55222-3105</v>
          </cell>
          <cell r="E9349" t="str">
            <v>30°拧入式管接头</v>
          </cell>
        </row>
        <row r="9350">
          <cell r="D9350" t="str">
            <v>5214A000024G010</v>
          </cell>
          <cell r="E9350" t="str">
            <v>插杆</v>
          </cell>
        </row>
        <row r="9351">
          <cell r="D9351" t="str">
            <v>5214A000024G010</v>
          </cell>
          <cell r="E9351" t="str">
            <v>插杆</v>
          </cell>
        </row>
        <row r="9352">
          <cell r="D9352" t="str">
            <v>531A5100-128-501 B</v>
          </cell>
          <cell r="E9352" t="str">
            <v>后观察窗下窗框</v>
          </cell>
        </row>
        <row r="9353">
          <cell r="D9353" t="str">
            <v>531A5100-128-501 B</v>
          </cell>
          <cell r="E9353" t="str">
            <v>后观察窗下窗框</v>
          </cell>
        </row>
        <row r="9354">
          <cell r="D9354" t="str">
            <v>531A5100-128-502 B</v>
          </cell>
          <cell r="E9354" t="str">
            <v>后观察窗下窗框</v>
          </cell>
        </row>
        <row r="9355">
          <cell r="D9355" t="str">
            <v>531A5100-128-502 B</v>
          </cell>
          <cell r="E9355" t="str">
            <v>后观察窗下窗框</v>
          </cell>
        </row>
        <row r="9356">
          <cell r="D9356" t="str">
            <v>Y20-5312225701-001</v>
          </cell>
          <cell r="E9356" t="str">
            <v>纵向加强件</v>
          </cell>
        </row>
        <row r="9357">
          <cell r="D9357" t="str">
            <v>CB3014944-001-002</v>
          </cell>
          <cell r="E9357" t="str">
            <v>左后垂直操纵台面板</v>
          </cell>
        </row>
        <row r="9358">
          <cell r="D9358" t="str">
            <v>CB3014944-001-002</v>
          </cell>
          <cell r="E9358" t="str">
            <v>左后垂直操纵台面板</v>
          </cell>
        </row>
        <row r="9359">
          <cell r="D9359" t="str">
            <v>CB5326200-134L002</v>
          </cell>
          <cell r="E9359" t="str">
            <v>9010 4号加强筋</v>
          </cell>
        </row>
        <row r="9360">
          <cell r="D9360" t="str">
            <v>CB5326200-134L002</v>
          </cell>
          <cell r="E9360" t="str">
            <v>9010 4号加强筋</v>
          </cell>
        </row>
        <row r="9361">
          <cell r="D9361" t="str">
            <v>CB5326200-134L002</v>
          </cell>
          <cell r="E9361" t="str">
            <v>9010 4号加强筋</v>
          </cell>
        </row>
        <row r="9362">
          <cell r="D9362" t="str">
            <v>CB5326200-134L002</v>
          </cell>
          <cell r="E9362" t="str">
            <v>9010 4号加强筋</v>
          </cell>
        </row>
        <row r="9363">
          <cell r="D9363" t="str">
            <v>CB5326200-134L002</v>
          </cell>
          <cell r="E9363" t="str">
            <v>9010 4号加强筋</v>
          </cell>
        </row>
        <row r="9364">
          <cell r="D9364" t="str">
            <v>CB5326200-134L002</v>
          </cell>
          <cell r="E9364" t="str">
            <v>9010 4号加强筋</v>
          </cell>
        </row>
        <row r="9365">
          <cell r="D9365" t="str">
            <v>CB5326200-134L002</v>
          </cell>
          <cell r="E9365" t="str">
            <v>9010 4号加强筋</v>
          </cell>
        </row>
        <row r="9366">
          <cell r="D9366" t="str">
            <v>CB5326200-134L002</v>
          </cell>
          <cell r="E9366" t="str">
            <v>9010 4号加强筋</v>
          </cell>
        </row>
        <row r="9367">
          <cell r="D9367" t="str">
            <v>CB5326200-134L002</v>
          </cell>
          <cell r="E9367" t="str">
            <v>9010 4号加强筋</v>
          </cell>
        </row>
        <row r="9368">
          <cell r="D9368" t="str">
            <v>CB5326200-134L002</v>
          </cell>
          <cell r="E9368" t="str">
            <v>9010 4号加强筋</v>
          </cell>
        </row>
        <row r="9369">
          <cell r="D9369" t="str">
            <v>CB5326200-134R002</v>
          </cell>
          <cell r="E9369" t="str">
            <v>9010 4号加强筋</v>
          </cell>
        </row>
        <row r="9370">
          <cell r="D9370" t="str">
            <v>CB5326200-134R002</v>
          </cell>
          <cell r="E9370" t="str">
            <v>9010 4号加强筋</v>
          </cell>
        </row>
        <row r="9371">
          <cell r="D9371" t="str">
            <v>CB5326200-134R002</v>
          </cell>
          <cell r="E9371" t="str">
            <v>9010 4号加强筋</v>
          </cell>
        </row>
        <row r="9372">
          <cell r="D9372" t="str">
            <v>CB5326200-134R002</v>
          </cell>
          <cell r="E9372" t="str">
            <v>9010 4号加强筋</v>
          </cell>
        </row>
        <row r="9373">
          <cell r="D9373" t="str">
            <v>CB5326200-134R002</v>
          </cell>
          <cell r="E9373" t="str">
            <v>9010 4号加强筋</v>
          </cell>
        </row>
        <row r="9374">
          <cell r="D9374" t="str">
            <v>CB5326200-134R002</v>
          </cell>
          <cell r="E9374" t="str">
            <v>9010 4号加强筋</v>
          </cell>
        </row>
        <row r="9375">
          <cell r="D9375" t="str">
            <v>CB5326200-134R002</v>
          </cell>
          <cell r="E9375" t="str">
            <v>9010 4号加强筋</v>
          </cell>
        </row>
        <row r="9376">
          <cell r="D9376" t="str">
            <v>CB5326200-134R002</v>
          </cell>
          <cell r="E9376" t="str">
            <v>9010 4号加强筋</v>
          </cell>
        </row>
        <row r="9377">
          <cell r="D9377" t="str">
            <v>CB5326200-134R002</v>
          </cell>
          <cell r="E9377" t="str">
            <v>9010 4号加强筋</v>
          </cell>
        </row>
        <row r="9378">
          <cell r="D9378" t="str">
            <v>CB5326200-134R002</v>
          </cell>
          <cell r="E9378" t="str">
            <v>9010 4号加强筋</v>
          </cell>
        </row>
        <row r="9379">
          <cell r="D9379" t="str">
            <v>CB5326200-125L002</v>
          </cell>
          <cell r="E9379" t="str">
            <v>9200 3号加强筋</v>
          </cell>
        </row>
        <row r="9380">
          <cell r="D9380" t="str">
            <v>CB5326200-125L002</v>
          </cell>
          <cell r="E9380" t="str">
            <v>9200 3号加强筋</v>
          </cell>
        </row>
        <row r="9381">
          <cell r="D9381" t="str">
            <v>CB5326200-125L002</v>
          </cell>
          <cell r="E9381" t="str">
            <v>9200 3号加强筋</v>
          </cell>
        </row>
        <row r="9382">
          <cell r="D9382" t="str">
            <v>CB5326200-125L002</v>
          </cell>
          <cell r="E9382" t="str">
            <v>9200 3号加强筋</v>
          </cell>
        </row>
        <row r="9383">
          <cell r="D9383" t="str">
            <v>CB5326200-125L002</v>
          </cell>
          <cell r="E9383" t="str">
            <v>9200 3号加强筋</v>
          </cell>
        </row>
        <row r="9384">
          <cell r="D9384" t="str">
            <v>CB5326200-125L002</v>
          </cell>
          <cell r="E9384" t="str">
            <v>9200 3号加强筋</v>
          </cell>
        </row>
        <row r="9385">
          <cell r="D9385" t="str">
            <v>CB5326200-125L002</v>
          </cell>
          <cell r="E9385" t="str">
            <v>9200 3号加强筋</v>
          </cell>
        </row>
        <row r="9386">
          <cell r="D9386" t="str">
            <v>CB5326200-125L002</v>
          </cell>
          <cell r="E9386" t="str">
            <v>9200 3号加强筋</v>
          </cell>
        </row>
        <row r="9387">
          <cell r="D9387" t="str">
            <v>CB5326200-125L002</v>
          </cell>
          <cell r="E9387" t="str">
            <v>9200 3号加强筋</v>
          </cell>
        </row>
        <row r="9388">
          <cell r="D9388" t="str">
            <v>CB5326200-125L002</v>
          </cell>
          <cell r="E9388" t="str">
            <v>9200 3号加强筋</v>
          </cell>
        </row>
        <row r="9389">
          <cell r="D9389" t="str">
            <v>CB5326200-125R002</v>
          </cell>
          <cell r="E9389" t="str">
            <v>9200 3号加强筋</v>
          </cell>
        </row>
        <row r="9390">
          <cell r="D9390" t="str">
            <v>CB5326200-125R002</v>
          </cell>
          <cell r="E9390" t="str">
            <v>9200 3号加强筋</v>
          </cell>
        </row>
        <row r="9391">
          <cell r="D9391" t="str">
            <v>CB5326200-125R002</v>
          </cell>
          <cell r="E9391" t="str">
            <v>9200 3号加强筋</v>
          </cell>
        </row>
        <row r="9392">
          <cell r="D9392" t="str">
            <v>CB5326200-125R002</v>
          </cell>
          <cell r="E9392" t="str">
            <v>9200 3号加强筋</v>
          </cell>
        </row>
        <row r="9393">
          <cell r="D9393" t="str">
            <v>CB5326200-125R002</v>
          </cell>
          <cell r="E9393" t="str">
            <v>9200 3号加强筋</v>
          </cell>
        </row>
        <row r="9394">
          <cell r="D9394" t="str">
            <v>CB5326200-125R002</v>
          </cell>
          <cell r="E9394" t="str">
            <v>9200 3号加强筋</v>
          </cell>
        </row>
        <row r="9395">
          <cell r="D9395" t="str">
            <v>CB5326200-125R002</v>
          </cell>
          <cell r="E9395" t="str">
            <v>9200 3号加强筋</v>
          </cell>
        </row>
        <row r="9396">
          <cell r="D9396" t="str">
            <v>CB5326200-125R002</v>
          </cell>
          <cell r="E9396" t="str">
            <v>9200 3号加强筋</v>
          </cell>
        </row>
        <row r="9397">
          <cell r="D9397" t="str">
            <v>CB5326200-125R002</v>
          </cell>
          <cell r="E9397" t="str">
            <v>9200 3号加强筋</v>
          </cell>
        </row>
        <row r="9398">
          <cell r="D9398" t="str">
            <v>CB5326200-125R002</v>
          </cell>
          <cell r="E9398" t="str">
            <v>9200 3号加强筋</v>
          </cell>
        </row>
        <row r="9399">
          <cell r="D9399" t="str">
            <v>CB5326200-131L002</v>
          </cell>
          <cell r="E9399" t="str">
            <v>8455 4号加强筋</v>
          </cell>
        </row>
        <row r="9400">
          <cell r="D9400" t="str">
            <v>CB5326200-131L002</v>
          </cell>
          <cell r="E9400" t="str">
            <v>8455 4号加强筋</v>
          </cell>
        </row>
        <row r="9401">
          <cell r="D9401" t="str">
            <v>CB5326200-131L002</v>
          </cell>
          <cell r="E9401" t="str">
            <v>8455 4号加强筋</v>
          </cell>
        </row>
        <row r="9402">
          <cell r="D9402" t="str">
            <v>CB5326200-131L002</v>
          </cell>
          <cell r="E9402" t="str">
            <v>8455 4号加强筋</v>
          </cell>
        </row>
        <row r="9403">
          <cell r="D9403" t="str">
            <v>CB5326200-131L002</v>
          </cell>
          <cell r="E9403" t="str">
            <v>8455 4号加强筋</v>
          </cell>
        </row>
        <row r="9404">
          <cell r="D9404" t="str">
            <v>CB5326200-131L002</v>
          </cell>
          <cell r="E9404" t="str">
            <v>8455 4号加强筋</v>
          </cell>
        </row>
        <row r="9405">
          <cell r="D9405" t="str">
            <v>CB5326200-131L002</v>
          </cell>
          <cell r="E9405" t="str">
            <v>8455 4号加强筋</v>
          </cell>
        </row>
        <row r="9406">
          <cell r="D9406" t="str">
            <v>CB5326200-131L002</v>
          </cell>
          <cell r="E9406" t="str">
            <v>8455 4号加强筋</v>
          </cell>
        </row>
        <row r="9407">
          <cell r="D9407" t="str">
            <v>CB5326200-131L002</v>
          </cell>
          <cell r="E9407" t="str">
            <v>8455 4号加强筋</v>
          </cell>
        </row>
        <row r="9408">
          <cell r="D9408" t="str">
            <v>CB5326200-131L002</v>
          </cell>
          <cell r="E9408" t="str">
            <v>8455 4号加强筋</v>
          </cell>
        </row>
        <row r="9409">
          <cell r="D9409" t="str">
            <v>CB5326200-131R002</v>
          </cell>
          <cell r="E9409" t="str">
            <v>8455 4号加强筋</v>
          </cell>
        </row>
        <row r="9410">
          <cell r="D9410" t="str">
            <v>CB5326200-131R002</v>
          </cell>
          <cell r="E9410" t="str">
            <v>8455 4号加强筋</v>
          </cell>
        </row>
        <row r="9411">
          <cell r="D9411" t="str">
            <v>CB5326200-131R002</v>
          </cell>
          <cell r="E9411" t="str">
            <v>8455 4号加强筋</v>
          </cell>
        </row>
        <row r="9412">
          <cell r="D9412" t="str">
            <v>CB5326200-131R002</v>
          </cell>
          <cell r="E9412" t="str">
            <v>8455 4号加强筋</v>
          </cell>
        </row>
        <row r="9413">
          <cell r="D9413" t="str">
            <v>CB5326200-131R002</v>
          </cell>
          <cell r="E9413" t="str">
            <v>8455 4号加强筋</v>
          </cell>
        </row>
        <row r="9414">
          <cell r="D9414" t="str">
            <v>CB5326200-131R002</v>
          </cell>
          <cell r="E9414" t="str">
            <v>8455 4号加强筋</v>
          </cell>
        </row>
        <row r="9415">
          <cell r="D9415" t="str">
            <v>CB5326200-131R002</v>
          </cell>
          <cell r="E9415" t="str">
            <v>8455 4号加强筋</v>
          </cell>
        </row>
        <row r="9416">
          <cell r="D9416" t="str">
            <v>CB5326200-131R002</v>
          </cell>
          <cell r="E9416" t="str">
            <v>8455 4号加强筋</v>
          </cell>
        </row>
        <row r="9417">
          <cell r="D9417" t="str">
            <v>CB5326200-131R002</v>
          </cell>
          <cell r="E9417" t="str">
            <v>8455 4号加强筋</v>
          </cell>
        </row>
        <row r="9418">
          <cell r="D9418" t="str">
            <v>CB5326200-131R002</v>
          </cell>
          <cell r="E9418" t="str">
            <v>8455 4号加强筋</v>
          </cell>
        </row>
        <row r="9419">
          <cell r="D9419" t="str">
            <v>CB5326200-133L002</v>
          </cell>
          <cell r="E9419" t="str">
            <v>8815 4号加强筋</v>
          </cell>
        </row>
        <row r="9420">
          <cell r="D9420" t="str">
            <v>CB5326200-133L002</v>
          </cell>
          <cell r="E9420" t="str">
            <v>8815 4号加强筋</v>
          </cell>
        </row>
        <row r="9421">
          <cell r="D9421" t="str">
            <v>CB5326200-133L002</v>
          </cell>
          <cell r="E9421" t="str">
            <v>8815 4号加强筋</v>
          </cell>
        </row>
        <row r="9422">
          <cell r="D9422" t="str">
            <v>CB5326200-133L002</v>
          </cell>
          <cell r="E9422" t="str">
            <v>8815 4号加强筋</v>
          </cell>
        </row>
        <row r="9423">
          <cell r="D9423" t="str">
            <v>CB5326200-133L002</v>
          </cell>
          <cell r="E9423" t="str">
            <v>8815 4号加强筋</v>
          </cell>
        </row>
        <row r="9424">
          <cell r="D9424" t="str">
            <v>CB5326200-133L002</v>
          </cell>
          <cell r="E9424" t="str">
            <v>8815 4号加强筋</v>
          </cell>
        </row>
        <row r="9425">
          <cell r="D9425" t="str">
            <v>CB5326200-133L002</v>
          </cell>
          <cell r="E9425" t="str">
            <v>8815 4号加强筋</v>
          </cell>
        </row>
        <row r="9426">
          <cell r="D9426" t="str">
            <v>CB5326200-133L002</v>
          </cell>
          <cell r="E9426" t="str">
            <v>8815 4号加强筋</v>
          </cell>
        </row>
        <row r="9427">
          <cell r="D9427" t="str">
            <v>CB5326200-133L002</v>
          </cell>
          <cell r="E9427" t="str">
            <v>8815 4号加强筋</v>
          </cell>
        </row>
        <row r="9428">
          <cell r="D9428" t="str">
            <v>CB5326200-133L002</v>
          </cell>
          <cell r="E9428" t="str">
            <v>8815 4号加强筋</v>
          </cell>
        </row>
        <row r="9429">
          <cell r="D9429" t="str">
            <v>CB5326200-133R002</v>
          </cell>
          <cell r="E9429" t="str">
            <v>8815 4号加强筋</v>
          </cell>
        </row>
        <row r="9430">
          <cell r="D9430" t="str">
            <v>CB5326200-133R002</v>
          </cell>
          <cell r="E9430" t="str">
            <v>8815 4号加强筋</v>
          </cell>
        </row>
        <row r="9431">
          <cell r="D9431" t="str">
            <v>CB5326200-133R002</v>
          </cell>
          <cell r="E9431" t="str">
            <v>8815 4号加强筋</v>
          </cell>
        </row>
        <row r="9432">
          <cell r="D9432" t="str">
            <v>CB5326200-133R002</v>
          </cell>
          <cell r="E9432" t="str">
            <v>8815 4号加强筋</v>
          </cell>
        </row>
        <row r="9433">
          <cell r="D9433" t="str">
            <v>CB5326200-133R002</v>
          </cell>
          <cell r="E9433" t="str">
            <v>8815 4号加强筋</v>
          </cell>
        </row>
        <row r="9434">
          <cell r="D9434" t="str">
            <v>CB5326200-133R002</v>
          </cell>
          <cell r="E9434" t="str">
            <v>8815 4号加强筋</v>
          </cell>
        </row>
        <row r="9435">
          <cell r="D9435" t="str">
            <v>CB5326200-133R002</v>
          </cell>
          <cell r="E9435" t="str">
            <v>8815 4号加强筋</v>
          </cell>
        </row>
        <row r="9436">
          <cell r="D9436" t="str">
            <v>CB5326200-133R002</v>
          </cell>
          <cell r="E9436" t="str">
            <v>8815 4号加强筋</v>
          </cell>
        </row>
        <row r="9437">
          <cell r="D9437" t="str">
            <v>CB5326200-133R002</v>
          </cell>
          <cell r="E9437" t="str">
            <v>8815 4号加强筋</v>
          </cell>
        </row>
        <row r="9438">
          <cell r="D9438" t="str">
            <v>CB5326200-133R002</v>
          </cell>
          <cell r="E9438" t="str">
            <v>8815 4号加强筋</v>
          </cell>
        </row>
        <row r="9439">
          <cell r="D9439" t="str">
            <v>CB5512300-006R003</v>
          </cell>
          <cell r="E9439" t="str">
            <v>1#斜肋</v>
          </cell>
        </row>
        <row r="9440">
          <cell r="D9440" t="str">
            <v>CB5715000-001R002</v>
          </cell>
          <cell r="E9440" t="str">
            <v>固定前缘边肋</v>
          </cell>
        </row>
        <row r="9441">
          <cell r="D9441" t="str">
            <v>CB5715000-001R002</v>
          </cell>
          <cell r="E9441" t="str">
            <v>固定前缘边肋</v>
          </cell>
        </row>
        <row r="9442">
          <cell r="D9442" t="str">
            <v>CB5715000-001R002</v>
          </cell>
          <cell r="E9442" t="str">
            <v>固定前缘边肋</v>
          </cell>
        </row>
        <row r="9443">
          <cell r="D9443" t="str">
            <v>CB5715000-001R002</v>
          </cell>
          <cell r="E9443" t="str">
            <v>固定前缘边肋</v>
          </cell>
        </row>
        <row r="9444">
          <cell r="D9444" t="str">
            <v>CB5715000-001L002</v>
          </cell>
          <cell r="E9444" t="str">
            <v>固定前缘边肋</v>
          </cell>
        </row>
        <row r="9445">
          <cell r="D9445" t="str">
            <v>CB5715000-001L002</v>
          </cell>
          <cell r="E9445" t="str">
            <v>固定前缘边肋</v>
          </cell>
        </row>
        <row r="9446">
          <cell r="D9446" t="str">
            <v>CB5715000-001L002</v>
          </cell>
          <cell r="E9446" t="str">
            <v>固定前缘边肋</v>
          </cell>
        </row>
        <row r="9447">
          <cell r="D9447" t="str">
            <v>CB5715000-001L002</v>
          </cell>
          <cell r="E9447" t="str">
            <v>固定前缘边肋</v>
          </cell>
        </row>
        <row r="9448">
          <cell r="D9448" t="str">
            <v>521A4430-002-001 B2</v>
          </cell>
          <cell r="E9448" t="str">
            <v>底座</v>
          </cell>
        </row>
        <row r="9449">
          <cell r="D9449" t="str">
            <v>531A1100-008-001 B1</v>
          </cell>
          <cell r="E9449" t="str">
            <v>铰链支撑件</v>
          </cell>
        </row>
        <row r="9450">
          <cell r="D9450" t="str">
            <v>531A1100-008-002 B1</v>
          </cell>
          <cell r="E9450" t="str">
            <v>铰链支撑件</v>
          </cell>
        </row>
        <row r="9451">
          <cell r="D9451" t="str">
            <v>CB5327310-014L001</v>
          </cell>
          <cell r="E9451" t="str">
            <v>大舱门前缘冒型材</v>
          </cell>
        </row>
        <row r="9452">
          <cell r="D9452" t="str">
            <v>CB5327310-014R001</v>
          </cell>
          <cell r="E9452" t="str">
            <v>大舱门前缘冒型材</v>
          </cell>
        </row>
        <row r="9453">
          <cell r="D9453" t="str">
            <v>CB5822016-029L001</v>
          </cell>
          <cell r="E9453" t="str">
            <v>角片</v>
          </cell>
        </row>
        <row r="9454">
          <cell r="D9454" t="str">
            <v>CB5822016-029L001</v>
          </cell>
          <cell r="E9454" t="str">
            <v>角片</v>
          </cell>
        </row>
        <row r="9455">
          <cell r="D9455" t="str">
            <v>CB5822016-029R001</v>
          </cell>
          <cell r="E9455" t="str">
            <v>角片</v>
          </cell>
        </row>
        <row r="9456">
          <cell r="D9456" t="str">
            <v>CB5822016-029R001</v>
          </cell>
          <cell r="E9456" t="str">
            <v>角片</v>
          </cell>
        </row>
        <row r="9457">
          <cell r="D9457" t="str">
            <v>CB5822016-034L001</v>
          </cell>
          <cell r="E9457" t="str">
            <v>角片</v>
          </cell>
        </row>
        <row r="9458">
          <cell r="D9458" t="str">
            <v>CB5822016-034L001</v>
          </cell>
          <cell r="E9458" t="str">
            <v>角片</v>
          </cell>
        </row>
        <row r="9459">
          <cell r="D9459" t="str">
            <v>CB5822016-034R001</v>
          </cell>
          <cell r="E9459" t="str">
            <v>角片</v>
          </cell>
        </row>
        <row r="9460">
          <cell r="D9460" t="str">
            <v>CB5822016-034R001</v>
          </cell>
          <cell r="E9460" t="str">
            <v>角片</v>
          </cell>
        </row>
        <row r="9461">
          <cell r="D9461" t="str">
            <v>CB5822016-024L001</v>
          </cell>
          <cell r="E9461" t="str">
            <v>角片</v>
          </cell>
        </row>
        <row r="9462">
          <cell r="D9462" t="str">
            <v>CB5822016-024L001</v>
          </cell>
          <cell r="E9462" t="str">
            <v>角片</v>
          </cell>
        </row>
        <row r="9463">
          <cell r="D9463" t="str">
            <v>CB5822016-024R001</v>
          </cell>
          <cell r="E9463" t="str">
            <v>角片</v>
          </cell>
        </row>
        <row r="9464">
          <cell r="D9464" t="str">
            <v>CB5822016-024R001</v>
          </cell>
          <cell r="E9464" t="str">
            <v>角片</v>
          </cell>
        </row>
        <row r="9465">
          <cell r="D9465" t="str">
            <v>LT3E-542100210-05L01</v>
          </cell>
          <cell r="E9465" t="str">
            <v>L型材</v>
          </cell>
        </row>
        <row r="9466">
          <cell r="D9466" t="str">
            <v>LT3E-542100210-05L01</v>
          </cell>
          <cell r="E9466" t="str">
            <v>L型材</v>
          </cell>
        </row>
        <row r="9467">
          <cell r="D9467" t="str">
            <v>LT3E-542100210-05R01</v>
          </cell>
          <cell r="E9467" t="str">
            <v>L型材</v>
          </cell>
        </row>
        <row r="9468">
          <cell r="D9468" t="str">
            <v>LT3E-542100210-05R01</v>
          </cell>
          <cell r="E9468" t="str">
            <v>L型材</v>
          </cell>
        </row>
        <row r="9469">
          <cell r="D9469" t="str">
            <v>CB2293181-004-001</v>
          </cell>
          <cell r="E9469" t="str">
            <v>衬套</v>
          </cell>
        </row>
        <row r="9470">
          <cell r="D9470" t="str">
            <v>DD-J10-06031-302</v>
          </cell>
          <cell r="E9470" t="str">
            <v>支座</v>
          </cell>
        </row>
        <row r="9471">
          <cell r="D9471" t="str">
            <v>DD-J10-06031-302</v>
          </cell>
          <cell r="E9471" t="str">
            <v>支座</v>
          </cell>
        </row>
        <row r="9472">
          <cell r="D9472" t="str">
            <v>DD-J10-06031-302</v>
          </cell>
          <cell r="E9472" t="str">
            <v>支座</v>
          </cell>
        </row>
        <row r="9473">
          <cell r="D9473" t="str">
            <v>DD-J10-55165-331</v>
          </cell>
          <cell r="E9473" t="str">
            <v>三通管接头</v>
          </cell>
        </row>
        <row r="9474">
          <cell r="D9474" t="str">
            <v>DD-J10-55165-331</v>
          </cell>
          <cell r="E9474" t="str">
            <v>三通管接头</v>
          </cell>
        </row>
        <row r="9475">
          <cell r="D9475" t="str">
            <v>DD-J10B-94076-802</v>
          </cell>
          <cell r="E9475" t="str">
            <v>支架</v>
          </cell>
        </row>
        <row r="9476">
          <cell r="D9476" t="str">
            <v>DD-J10-86021-5000-1</v>
          </cell>
          <cell r="E9476" t="str">
            <v>斜垫块</v>
          </cell>
        </row>
        <row r="9477">
          <cell r="D9477" t="str">
            <v>DD-J10-86021-5000-3</v>
          </cell>
          <cell r="E9477" t="str">
            <v>垫块</v>
          </cell>
        </row>
        <row r="9478">
          <cell r="D9478" t="str">
            <v>DD-J10-86021-6000-2</v>
          </cell>
          <cell r="E9478" t="str">
            <v>垫块</v>
          </cell>
        </row>
        <row r="9479">
          <cell r="D9479" t="str">
            <v>DD-J10B-68074-1710-3</v>
          </cell>
          <cell r="E9479" t="str">
            <v>钢管</v>
          </cell>
        </row>
        <row r="9480">
          <cell r="D9480" t="str">
            <v>DD-J10B-68074-1720-3</v>
          </cell>
          <cell r="E9480" t="str">
            <v>钢管</v>
          </cell>
        </row>
        <row r="9481">
          <cell r="D9481" t="str">
            <v>DD-J10-54101-2801</v>
          </cell>
          <cell r="E9481" t="str">
            <v>手柄</v>
          </cell>
        </row>
        <row r="9482">
          <cell r="D9482" t="str">
            <v>DD-J10-54101-2802</v>
          </cell>
          <cell r="E9482" t="str">
            <v>套筒</v>
          </cell>
        </row>
        <row r="9483">
          <cell r="D9483" t="str">
            <v>DD-J10B-94076-220-2</v>
          </cell>
          <cell r="E9483" t="str">
            <v>衬套</v>
          </cell>
        </row>
        <row r="9484">
          <cell r="D9484" t="str">
            <v>DD-J10B-94061-1061/1</v>
          </cell>
          <cell r="E9484" t="str">
            <v>法兰盘</v>
          </cell>
        </row>
        <row r="9485">
          <cell r="D9485" t="str">
            <v>DD-J10-55014-2010-1</v>
          </cell>
          <cell r="E9485" t="str">
            <v>管子</v>
          </cell>
        </row>
        <row r="9486">
          <cell r="D9486" t="str">
            <v>DD-J10-54101-2821</v>
          </cell>
          <cell r="E9486" t="str">
            <v>插销</v>
          </cell>
        </row>
        <row r="9487">
          <cell r="D9487" t="str">
            <v>DD-J10B-68095-1720-3</v>
          </cell>
          <cell r="E9487" t="str">
            <v>钢管</v>
          </cell>
        </row>
        <row r="9488">
          <cell r="D9488" t="str">
            <v>DD-J10-42074-160-1</v>
          </cell>
          <cell r="E9488" t="str">
            <v>拉杆</v>
          </cell>
        </row>
        <row r="9489">
          <cell r="D9489" t="str">
            <v>DD-J10-55165-1430-2</v>
          </cell>
          <cell r="E9489" t="str">
            <v>衬套</v>
          </cell>
        </row>
        <row r="9490">
          <cell r="D9490" t="str">
            <v>DD-J10B-68095-1710-3-Z</v>
          </cell>
          <cell r="E9490" t="str">
            <v>钢管</v>
          </cell>
        </row>
        <row r="9491">
          <cell r="D9491" t="str">
            <v>DD-J10B-68095-1710-3-Y</v>
          </cell>
          <cell r="E9491" t="str">
            <v>钢管</v>
          </cell>
        </row>
        <row r="9492">
          <cell r="D9492" t="str">
            <v>DD-J10B-94076-720-2</v>
          </cell>
          <cell r="E9492" t="str">
            <v>衬套</v>
          </cell>
        </row>
        <row r="9493">
          <cell r="D9493" t="str">
            <v>CB22921F1-004-001</v>
          </cell>
          <cell r="E9493" t="str">
            <v>衬套</v>
          </cell>
        </row>
        <row r="9494">
          <cell r="D9494" t="str">
            <v>DD-J10B-94051-3640-2</v>
          </cell>
          <cell r="E9494" t="str">
            <v>管子</v>
          </cell>
        </row>
        <row r="9495">
          <cell r="D9495" t="str">
            <v>DD-J10B-04041-1</v>
          </cell>
          <cell r="E9495" t="str">
            <v>10060框</v>
          </cell>
        </row>
        <row r="9496">
          <cell r="D9496" t="str">
            <v>DD-J10B-04041-1</v>
          </cell>
          <cell r="E9496" t="str">
            <v>10060框</v>
          </cell>
        </row>
        <row r="9497">
          <cell r="D9497" t="str">
            <v>DD-J10B-04041-1</v>
          </cell>
          <cell r="E9497" t="str">
            <v>10060框</v>
          </cell>
        </row>
        <row r="9498">
          <cell r="D9498" t="str">
            <v>DD-J10B-04041-1</v>
          </cell>
          <cell r="E9498" t="str">
            <v>10060框</v>
          </cell>
        </row>
        <row r="9499">
          <cell r="D9499" t="str">
            <v>CB5512300-006L003</v>
          </cell>
          <cell r="E9499" t="str">
            <v>1#斜肋</v>
          </cell>
        </row>
        <row r="9500">
          <cell r="D9500" t="str">
            <v>BC5333100-006R001</v>
          </cell>
          <cell r="E9500" t="str">
            <v>口框梁</v>
          </cell>
        </row>
        <row r="9501">
          <cell r="D9501" t="str">
            <v>DD-J10-21102-32-Y</v>
          </cell>
          <cell r="E9501" t="str">
            <v>10060下接头</v>
          </cell>
        </row>
        <row r="9502">
          <cell r="D9502" t="str">
            <v>DD-J10-21102-32-Z</v>
          </cell>
          <cell r="E9502" t="str">
            <v>10060下接头</v>
          </cell>
        </row>
        <row r="9503">
          <cell r="D9503" t="str">
            <v>DD-J10B-04501-10-1-Z</v>
          </cell>
          <cell r="E9503" t="str">
            <v>BL900侧梁</v>
          </cell>
        </row>
        <row r="9504">
          <cell r="D9504" t="str">
            <v>DD-J10B-04501-10-1-Z</v>
          </cell>
          <cell r="E9504" t="str">
            <v>BL900侧梁</v>
          </cell>
        </row>
        <row r="9505">
          <cell r="D9505" t="str">
            <v>DD-J10B-04501-10-1-Z</v>
          </cell>
          <cell r="E9505" t="str">
            <v>侧下梁（精加工）</v>
          </cell>
        </row>
        <row r="9506">
          <cell r="D9506" t="str">
            <v>DD-J10B-04501-10-1-Z</v>
          </cell>
          <cell r="E9506" t="str">
            <v>侧下梁（精加工）</v>
          </cell>
        </row>
        <row r="9507">
          <cell r="D9507" t="str">
            <v>DD-J10B-04501-10-1-Y</v>
          </cell>
          <cell r="E9507" t="str">
            <v>BL900侧梁</v>
          </cell>
        </row>
        <row r="9508">
          <cell r="D9508" t="str">
            <v>DD-J10B-04501-10-1-Y</v>
          </cell>
          <cell r="E9508" t="str">
            <v>BL900侧梁</v>
          </cell>
        </row>
        <row r="9509">
          <cell r="D9509" t="str">
            <v>DD-J10B-04501-10-1-Y</v>
          </cell>
          <cell r="E9509" t="str">
            <v>BL900侧梁</v>
          </cell>
        </row>
        <row r="9510">
          <cell r="D9510" t="str">
            <v>DD-J10B-04501-10-1-Y</v>
          </cell>
          <cell r="E9510" t="str">
            <v>BL900侧梁</v>
          </cell>
        </row>
        <row r="9511">
          <cell r="D9511" t="str">
            <v>DD-J10B-04501-10-1-Y</v>
          </cell>
          <cell r="E9511" t="str">
            <v>BL900侧梁</v>
          </cell>
        </row>
        <row r="9512">
          <cell r="D9512" t="str">
            <v>DD-J10B-04501-10-1-Y</v>
          </cell>
          <cell r="E9512" t="str">
            <v>BL900侧梁</v>
          </cell>
        </row>
        <row r="9513">
          <cell r="D9513" t="str">
            <v>DD-J10B-04501-10-1-Y</v>
          </cell>
          <cell r="E9513" t="str">
            <v>BL900侧梁</v>
          </cell>
        </row>
        <row r="9514">
          <cell r="D9514" t="str">
            <v>DD-J10B-04501-10-1-Y</v>
          </cell>
          <cell r="E9514" t="str">
            <v>BL900侧梁</v>
          </cell>
        </row>
        <row r="9515">
          <cell r="D9515" t="str">
            <v>CB5314240-012-003</v>
          </cell>
          <cell r="E9515" t="str">
            <v>后顶板</v>
          </cell>
        </row>
        <row r="9516">
          <cell r="D9516" t="str">
            <v>CB5314240-012-003</v>
          </cell>
          <cell r="E9516" t="str">
            <v>后顶板</v>
          </cell>
        </row>
        <row r="9517">
          <cell r="D9517" t="str">
            <v>DD-J10B-21402-90G2-1G2-Z</v>
          </cell>
          <cell r="E9517" t="str">
            <v>固定前缘端肋</v>
          </cell>
        </row>
        <row r="9518">
          <cell r="D9518" t="str">
            <v>DD-J10B-21402-90G2-1G2-Z</v>
          </cell>
          <cell r="E9518" t="str">
            <v>固定前缘端肋</v>
          </cell>
        </row>
        <row r="9519">
          <cell r="D9519" t="str">
            <v>DD-J10B-21402-90G2-1G2-Z</v>
          </cell>
          <cell r="E9519" t="str">
            <v>固定前缘端肋</v>
          </cell>
        </row>
        <row r="9520">
          <cell r="D9520" t="str">
            <v>DD-J10B-21402-90G2-1G2-Y</v>
          </cell>
          <cell r="E9520" t="str">
            <v>固定前缘端肋</v>
          </cell>
        </row>
        <row r="9521">
          <cell r="D9521" t="str">
            <v>DD-J10B-21402-90G2-1G2-Y</v>
          </cell>
          <cell r="E9521" t="str">
            <v>固定前缘端肋</v>
          </cell>
        </row>
        <row r="9522">
          <cell r="D9522" t="str">
            <v>DD-J10B-21402-90G2-1G2-Y</v>
          </cell>
          <cell r="E9522" t="str">
            <v>固定前缘端肋</v>
          </cell>
        </row>
        <row r="9523">
          <cell r="D9523" t="str">
            <v>531A1100-015-001 B</v>
          </cell>
          <cell r="E9523" t="str">
            <v>合页</v>
          </cell>
        </row>
        <row r="9524">
          <cell r="D9524" t="str">
            <v>531A5100-125-501 B1</v>
          </cell>
          <cell r="E9524" t="str">
            <v>通风窗下窗框</v>
          </cell>
        </row>
        <row r="9525">
          <cell r="D9525" t="str">
            <v>531A5100-125-502 B1</v>
          </cell>
          <cell r="E9525" t="str">
            <v>通风窗下窗框</v>
          </cell>
        </row>
        <row r="9526">
          <cell r="D9526" t="str">
            <v>531A5100-124-501 B</v>
          </cell>
          <cell r="E9526" t="str">
            <v>6#面立柱</v>
          </cell>
        </row>
        <row r="9527">
          <cell r="D9527" t="str">
            <v>531A5100-124-501 B</v>
          </cell>
          <cell r="E9527" t="str">
            <v>6#面立柱</v>
          </cell>
        </row>
        <row r="9528">
          <cell r="D9528" t="str">
            <v>531A5100-124-502 B</v>
          </cell>
          <cell r="E9528" t="str">
            <v>6#面立柱</v>
          </cell>
        </row>
        <row r="9529">
          <cell r="D9529" t="str">
            <v>531A5100-124-502 B</v>
          </cell>
          <cell r="E9529" t="str">
            <v>6#面立柱</v>
          </cell>
        </row>
        <row r="9530">
          <cell r="D9530" t="str">
            <v>5214A000025G010</v>
          </cell>
          <cell r="E9530" t="str">
            <v>手柄</v>
          </cell>
        </row>
        <row r="9531">
          <cell r="D9531" t="str">
            <v>DD-J10B-04051-1</v>
          </cell>
          <cell r="E9531" t="str">
            <v>10460框</v>
          </cell>
        </row>
        <row r="9532">
          <cell r="D9532" t="str">
            <v>DD-J10B-04051-1</v>
          </cell>
          <cell r="E9532" t="str">
            <v>10460框</v>
          </cell>
        </row>
        <row r="9533">
          <cell r="D9533" t="str">
            <v>DD-J10B-04051-1</v>
          </cell>
          <cell r="E9533" t="str">
            <v>10460框</v>
          </cell>
        </row>
        <row r="9534">
          <cell r="D9534" t="str">
            <v>DD-J10B-04051-1</v>
          </cell>
          <cell r="E9534" t="str">
            <v>10460框</v>
          </cell>
        </row>
        <row r="9535">
          <cell r="D9535" t="str">
            <v>DD-J10B-21402-10G2-1G2-Y</v>
          </cell>
          <cell r="E9535" t="str">
            <v>固定前缘边肋</v>
          </cell>
        </row>
        <row r="9536">
          <cell r="D9536" t="str">
            <v>DD-J10B-25002-30G2-1G2-Z</v>
          </cell>
          <cell r="E9536" t="str">
            <v>梁（左件）</v>
          </cell>
        </row>
        <row r="9537">
          <cell r="D9537" t="str">
            <v>DD-J10B-25002-30G2-1G2-Z</v>
          </cell>
          <cell r="E9537" t="str">
            <v>梁（左件）</v>
          </cell>
        </row>
        <row r="9538">
          <cell r="D9538" t="str">
            <v>DD-J10B-25002-30G2-1G2-Z</v>
          </cell>
          <cell r="E9538" t="str">
            <v>梁（左件）</v>
          </cell>
        </row>
        <row r="9539">
          <cell r="D9539" t="str">
            <v>DD-J10B-25002-30G2-1G2-Z</v>
          </cell>
          <cell r="E9539" t="str">
            <v>梁（左件）</v>
          </cell>
        </row>
        <row r="9540">
          <cell r="D9540" t="str">
            <v>DD-J10B-25002-30G2-1G2-Y</v>
          </cell>
          <cell r="E9540" t="str">
            <v>梁（右件）</v>
          </cell>
        </row>
        <row r="9541">
          <cell r="D9541" t="str">
            <v>DD-J10B-25002-30G2-1G2-Y</v>
          </cell>
          <cell r="E9541" t="str">
            <v>梁（右件）</v>
          </cell>
        </row>
        <row r="9542">
          <cell r="D9542" t="str">
            <v>DD-J10B-25002-30G2-1G2-Y</v>
          </cell>
          <cell r="E9542" t="str">
            <v>梁（右件）</v>
          </cell>
        </row>
        <row r="9543">
          <cell r="D9543" t="str">
            <v>DD-J10B-25002-30G2-1G2-Y</v>
          </cell>
          <cell r="E9543" t="str">
            <v>梁（右件）</v>
          </cell>
        </row>
        <row r="9544">
          <cell r="D9544" t="str">
            <v>DD-J10-25002-1-Y</v>
          </cell>
          <cell r="E9544" t="str">
            <v>第3肋</v>
          </cell>
        </row>
        <row r="9545">
          <cell r="D9545" t="str">
            <v>DD-J10-25002-1-Y</v>
          </cell>
          <cell r="E9545" t="str">
            <v>第3肋</v>
          </cell>
        </row>
        <row r="9546">
          <cell r="D9546" t="str">
            <v>DD-J10-25002-1-Y</v>
          </cell>
          <cell r="E9546" t="str">
            <v>第3肋</v>
          </cell>
        </row>
        <row r="9547">
          <cell r="D9547" t="str">
            <v>DD-J10-25002-1-Z</v>
          </cell>
          <cell r="E9547" t="str">
            <v>第3肋</v>
          </cell>
        </row>
        <row r="9548">
          <cell r="D9548" t="str">
            <v>DD-J10-25002-1-Z</v>
          </cell>
          <cell r="E9548" t="str">
            <v>第3肋</v>
          </cell>
        </row>
        <row r="9549">
          <cell r="D9549" t="str">
            <v>DD-J10-25002-1-Z</v>
          </cell>
          <cell r="E9549" t="str">
            <v>第3肋</v>
          </cell>
        </row>
        <row r="9550">
          <cell r="D9550" t="str">
            <v>XXX-F1-100-01</v>
          </cell>
          <cell r="E9550" t="str">
            <v>负载骨架</v>
          </cell>
        </row>
        <row r="9551">
          <cell r="D9551" t="str">
            <v>XXX-F1-000-01</v>
          </cell>
          <cell r="E9551" t="str">
            <v>负载底座</v>
          </cell>
        </row>
        <row r="9552">
          <cell r="D9552" t="str">
            <v>XXXC-900-2</v>
          </cell>
          <cell r="E9552" t="str">
            <v>底板固定螺孔</v>
          </cell>
        </row>
        <row r="9553">
          <cell r="D9553" t="str">
            <v>XXXC-900-1</v>
          </cell>
          <cell r="E9553" t="str">
            <v>底板</v>
          </cell>
        </row>
        <row r="9554">
          <cell r="D9554" t="str">
            <v>XXXC-500-1</v>
          </cell>
          <cell r="E9554" t="str">
            <v>接地环</v>
          </cell>
        </row>
        <row r="9555">
          <cell r="D9555" t="str">
            <v>XXXC-311-03</v>
          </cell>
          <cell r="E9555" t="str">
            <v>引线片</v>
          </cell>
        </row>
        <row r="9556">
          <cell r="D9556" t="str">
            <v>XXXC-311-02</v>
          </cell>
          <cell r="E9556" t="str">
            <v>骨架</v>
          </cell>
        </row>
        <row r="9557">
          <cell r="D9557" t="str">
            <v>XXXC-311-01</v>
          </cell>
          <cell r="E9557" t="str">
            <v>出线柱</v>
          </cell>
        </row>
        <row r="9558">
          <cell r="D9558" t="str">
            <v>XXXC-220-01</v>
          </cell>
          <cell r="E9558" t="str">
            <v>散热片</v>
          </cell>
        </row>
        <row r="9559">
          <cell r="D9559" t="str">
            <v>XXXC-200-01</v>
          </cell>
          <cell r="E9559" t="str">
            <v>绝缘板1</v>
          </cell>
        </row>
        <row r="9560">
          <cell r="D9560" t="str">
            <v>XXXC-120-02</v>
          </cell>
          <cell r="E9560" t="str">
            <v>散热片配合螺孔</v>
          </cell>
        </row>
        <row r="9561">
          <cell r="D9561" t="str">
            <v>XXXC-120-01</v>
          </cell>
          <cell r="E9561" t="str">
            <v>散热片11</v>
          </cell>
        </row>
        <row r="9562">
          <cell r="D9562" t="str">
            <v>XXXC-100-03</v>
          </cell>
          <cell r="E9562" t="str">
            <v>垫片</v>
          </cell>
        </row>
        <row r="9563">
          <cell r="D9563" t="str">
            <v>XXXC-100-02</v>
          </cell>
          <cell r="E9563" t="str">
            <v>晶体管固定螺孔</v>
          </cell>
        </row>
        <row r="9564">
          <cell r="D9564" t="str">
            <v>XXXC-100-01</v>
          </cell>
          <cell r="E9564" t="str">
            <v>绝缘板11</v>
          </cell>
        </row>
        <row r="9565">
          <cell r="D9565" t="str">
            <v>XXXC-000-11</v>
          </cell>
          <cell r="E9565" t="str">
            <v>底板压盖</v>
          </cell>
        </row>
        <row r="9566">
          <cell r="D9566" t="str">
            <v>XXXC-000-09</v>
          </cell>
          <cell r="E9566" t="str">
            <v>隔板</v>
          </cell>
        </row>
        <row r="9567">
          <cell r="D9567" t="str">
            <v>XXXC-000-08</v>
          </cell>
          <cell r="E9567" t="str">
            <v>高压绝缘板</v>
          </cell>
        </row>
        <row r="9568">
          <cell r="D9568" t="str">
            <v>XXXC-000-07</v>
          </cell>
          <cell r="E9568" t="str">
            <v>固定块</v>
          </cell>
        </row>
        <row r="9569">
          <cell r="D9569" t="str">
            <v>XXXC-000-06</v>
          </cell>
          <cell r="E9569" t="str">
            <v>高压连接环</v>
          </cell>
        </row>
        <row r="9570">
          <cell r="D9570" t="str">
            <v>XXXC-000-04</v>
          </cell>
          <cell r="E9570" t="str">
            <v>高压护盖</v>
          </cell>
        </row>
        <row r="9571">
          <cell r="D9571" t="str">
            <v>XXXC-000-03</v>
          </cell>
          <cell r="E9571" t="str">
            <v>变压器固定杆</v>
          </cell>
        </row>
        <row r="9572">
          <cell r="D9572" t="str">
            <v>XXXC-000-02</v>
          </cell>
          <cell r="E9572" t="str">
            <v>盖板</v>
          </cell>
        </row>
        <row r="9573">
          <cell r="D9573" t="str">
            <v>XXXC-000-01</v>
          </cell>
          <cell r="E9573" t="str">
            <v>外壳</v>
          </cell>
        </row>
        <row r="9574">
          <cell r="D9574" t="str">
            <v>XXX-500-03</v>
          </cell>
          <cell r="E9574" t="str">
            <v>绝缘座</v>
          </cell>
        </row>
        <row r="9575">
          <cell r="D9575" t="str">
            <v>XXX-500-01</v>
          </cell>
          <cell r="E9575" t="str">
            <v>XXX阴极座</v>
          </cell>
        </row>
        <row r="9576">
          <cell r="D9576" t="str">
            <v>XXX-300-05</v>
          </cell>
          <cell r="E9576" t="str">
            <v>盖板</v>
          </cell>
        </row>
        <row r="9577">
          <cell r="D9577" t="str">
            <v>XXX-11111-03</v>
          </cell>
          <cell r="E9577" t="str">
            <v>引线片11</v>
          </cell>
        </row>
        <row r="9578">
          <cell r="D9578" t="str">
            <v>XXX-11111-02</v>
          </cell>
          <cell r="E9578" t="str">
            <v>引线片1</v>
          </cell>
        </row>
        <row r="9579">
          <cell r="D9579" t="str">
            <v>XXX-1100-1</v>
          </cell>
          <cell r="E9579" t="str">
            <v>固定板</v>
          </cell>
        </row>
        <row r="9580">
          <cell r="D9580" t="str">
            <v>XXX-1000-2</v>
          </cell>
          <cell r="E9580" t="str">
            <v>高压硅堆固定架</v>
          </cell>
        </row>
        <row r="9581">
          <cell r="D9581" t="str">
            <v>XXX-1000-1</v>
          </cell>
          <cell r="E9581" t="str">
            <v>接线柱</v>
          </cell>
        </row>
        <row r="9582">
          <cell r="D9582" t="str">
            <v>BC2271603-001-004</v>
          </cell>
          <cell r="E9582" t="str">
            <v>加速度传感器组件过渡支架</v>
          </cell>
        </row>
        <row r="9583">
          <cell r="D9583" t="str">
            <v>CB2294170-001-001</v>
          </cell>
          <cell r="E9583" t="str">
            <v>压杆</v>
          </cell>
        </row>
        <row r="9584">
          <cell r="D9584" t="str">
            <v>CB2294170-001-001</v>
          </cell>
          <cell r="E9584" t="str">
            <v>压杆</v>
          </cell>
        </row>
        <row r="9585">
          <cell r="D9585" t="str">
            <v>CB2295170-001-001</v>
          </cell>
          <cell r="E9585" t="str">
            <v>安装支座</v>
          </cell>
        </row>
        <row r="9586">
          <cell r="D9586" t="str">
            <v>CB2280231N003-001</v>
          </cell>
          <cell r="E9586" t="str">
            <v>管子</v>
          </cell>
        </row>
        <row r="9587">
          <cell r="D9587" t="str">
            <v>CB2280231-003-002</v>
          </cell>
          <cell r="E9587" t="str">
            <v>管子</v>
          </cell>
        </row>
        <row r="9588">
          <cell r="D9588" t="str">
            <v>CB2280231-003-002</v>
          </cell>
          <cell r="E9588" t="str">
            <v>管子</v>
          </cell>
        </row>
        <row r="9589">
          <cell r="D9589" t="str">
            <v>CB2280231-003-002</v>
          </cell>
          <cell r="E9589" t="str">
            <v>管子</v>
          </cell>
        </row>
        <row r="9590">
          <cell r="D9590" t="str">
            <v>CB22857Y9N005-001</v>
          </cell>
          <cell r="E9590" t="str">
            <v>导管</v>
          </cell>
        </row>
        <row r="9591">
          <cell r="D9591" t="str">
            <v>CB22857YBN005-001</v>
          </cell>
          <cell r="E9591" t="str">
            <v>管子</v>
          </cell>
        </row>
        <row r="9592">
          <cell r="D9592" t="str">
            <v>CB22847Y5N004-001</v>
          </cell>
          <cell r="E9592" t="str">
            <v>衬套</v>
          </cell>
        </row>
        <row r="9593">
          <cell r="D9593" t="str">
            <v>DD-J10B-94076-1311</v>
          </cell>
          <cell r="E9593" t="str">
            <v>衬盘</v>
          </cell>
        </row>
        <row r="9594">
          <cell r="D9594" t="str">
            <v>DD-J10-61001-722</v>
          </cell>
          <cell r="E9594" t="str">
            <v>螺栓</v>
          </cell>
        </row>
        <row r="9595">
          <cell r="D9595" t="str">
            <v>DD-J10-55014-1400-2</v>
          </cell>
          <cell r="E9595" t="str">
            <v>堵片</v>
          </cell>
        </row>
        <row r="9596">
          <cell r="D9596" t="str">
            <v>DD-J10-55165-1430-2</v>
          </cell>
          <cell r="E9596" t="str">
            <v>衬套</v>
          </cell>
        </row>
        <row r="9597">
          <cell r="D9597" t="str">
            <v>DD-J10B-55165-1480-1</v>
          </cell>
          <cell r="E9597" t="str">
            <v>螺栓</v>
          </cell>
        </row>
        <row r="9598">
          <cell r="D9598" t="str">
            <v>DD-J10B-94076-1312</v>
          </cell>
          <cell r="E9598" t="str">
            <v>衬盘</v>
          </cell>
        </row>
        <row r="9599">
          <cell r="D9599" t="str">
            <v>3414000-06</v>
          </cell>
          <cell r="E9599" t="str">
            <v>电阻安装座</v>
          </cell>
        </row>
        <row r="9600">
          <cell r="D9600" t="str">
            <v>XX01-F1-100-01</v>
          </cell>
          <cell r="E9600" t="str">
            <v>负载骨架</v>
          </cell>
        </row>
        <row r="9601">
          <cell r="D9601" t="str">
            <v>XXX-000-01</v>
          </cell>
          <cell r="E9601" t="str">
            <v>盖板</v>
          </cell>
        </row>
        <row r="9602">
          <cell r="D9602" t="str">
            <v>XXX-000-02</v>
          </cell>
          <cell r="E9602" t="str">
            <v>腔体</v>
          </cell>
        </row>
        <row r="9603">
          <cell r="D9603" t="str">
            <v>XXX-000-03</v>
          </cell>
          <cell r="E9603" t="str">
            <v>底板</v>
          </cell>
        </row>
        <row r="9604">
          <cell r="D9604" t="str">
            <v>XXX-000-04</v>
          </cell>
          <cell r="E9604" t="str">
            <v>密封垫1</v>
          </cell>
        </row>
        <row r="9605">
          <cell r="D9605" t="str">
            <v>XXX-000-05</v>
          </cell>
          <cell r="E9605" t="str">
            <v>密封垫2</v>
          </cell>
        </row>
        <row r="9606">
          <cell r="D9606" t="str">
            <v>XXX-000-06</v>
          </cell>
          <cell r="E9606" t="str">
            <v>密封垫3</v>
          </cell>
        </row>
        <row r="9607">
          <cell r="D9607" t="str">
            <v>XXXXXX-0000-01(F2)</v>
          </cell>
          <cell r="E9607" t="str">
            <v>后盖（F2)</v>
          </cell>
        </row>
        <row r="9608">
          <cell r="D9608" t="str">
            <v>XXXXXX-0000-06(F2)</v>
          </cell>
          <cell r="E9608" t="str">
            <v>线夹套筒（F2）</v>
          </cell>
        </row>
        <row r="9609">
          <cell r="D9609" t="str">
            <v>XXXXXX-0000-07(F2)</v>
          </cell>
          <cell r="E9609" t="str">
            <v>线夹压环（F2）</v>
          </cell>
        </row>
        <row r="9610">
          <cell r="D9610" t="str">
            <v>XXXXXX-1000-01(S2)</v>
          </cell>
          <cell r="E9610" t="str">
            <v>壳体</v>
          </cell>
        </row>
        <row r="9611">
          <cell r="D9611" t="str">
            <v>XXXXXX-3000-01(S2)</v>
          </cell>
          <cell r="E9611" t="str">
            <v>XH腔</v>
          </cell>
        </row>
        <row r="9612">
          <cell r="D9612" t="str">
            <v>CB5314107-001-002</v>
          </cell>
          <cell r="E9612" t="str">
            <v>5550上框</v>
          </cell>
        </row>
        <row r="9613">
          <cell r="D9613" t="str">
            <v>CB5314107-001-002</v>
          </cell>
          <cell r="E9613" t="str">
            <v>5550上框</v>
          </cell>
        </row>
        <row r="9614">
          <cell r="D9614" t="str">
            <v>CB5314107-001-002</v>
          </cell>
          <cell r="E9614" t="str">
            <v>5550上框</v>
          </cell>
        </row>
        <row r="9615">
          <cell r="D9615" t="str">
            <v>BC5337100-108L001</v>
          </cell>
          <cell r="E9615" t="str">
            <v>下边条受剪接头</v>
          </cell>
        </row>
        <row r="9616">
          <cell r="D9616" t="str">
            <v>BC5337100-108L001</v>
          </cell>
          <cell r="E9616" t="str">
            <v>下边条受剪接头</v>
          </cell>
        </row>
        <row r="9617">
          <cell r="D9617" t="str">
            <v>BC5337100-108L001</v>
          </cell>
          <cell r="E9617" t="str">
            <v>下边条受剪接头</v>
          </cell>
        </row>
        <row r="9618">
          <cell r="D9618" t="str">
            <v>BC5337100-108L001</v>
          </cell>
          <cell r="E9618" t="str">
            <v>下边条受剪接头</v>
          </cell>
        </row>
        <row r="9619">
          <cell r="D9619" t="str">
            <v>BC5337100-108L001</v>
          </cell>
          <cell r="E9619" t="str">
            <v>下边条受剪接头</v>
          </cell>
        </row>
        <row r="9620">
          <cell r="D9620" t="str">
            <v>BC5337100-108L001</v>
          </cell>
          <cell r="E9620" t="str">
            <v>下边条受剪接头</v>
          </cell>
        </row>
        <row r="9621">
          <cell r="D9621" t="str">
            <v>BC5337100-108L001</v>
          </cell>
          <cell r="E9621" t="str">
            <v>下边条受剪接头</v>
          </cell>
        </row>
        <row r="9622">
          <cell r="D9622" t="str">
            <v>BC5337100-108L001</v>
          </cell>
          <cell r="E9622" t="str">
            <v>下边条受剪接头</v>
          </cell>
        </row>
        <row r="9623">
          <cell r="D9623" t="str">
            <v>BC5337100-108L001</v>
          </cell>
          <cell r="E9623" t="str">
            <v>下边条受剪接头</v>
          </cell>
        </row>
        <row r="9624">
          <cell r="D9624" t="str">
            <v>BC5337100-108L001</v>
          </cell>
          <cell r="E9624" t="str">
            <v>下边条受剪接头</v>
          </cell>
        </row>
        <row r="9625">
          <cell r="D9625" t="str">
            <v>BC5337100-108L001</v>
          </cell>
          <cell r="E9625" t="str">
            <v>下边条受剪接头</v>
          </cell>
        </row>
        <row r="9626">
          <cell r="D9626" t="str">
            <v>BC5337100-108R001</v>
          </cell>
          <cell r="E9626" t="str">
            <v>下边条受剪接头</v>
          </cell>
        </row>
        <row r="9627">
          <cell r="D9627" t="str">
            <v>BC5337100-108R001</v>
          </cell>
          <cell r="E9627" t="str">
            <v>下边条受剪接头</v>
          </cell>
        </row>
        <row r="9628">
          <cell r="D9628" t="str">
            <v>BC5337100-108R001</v>
          </cell>
          <cell r="E9628" t="str">
            <v>下边条受剪接头</v>
          </cell>
        </row>
        <row r="9629">
          <cell r="D9629" t="str">
            <v>BC5337100-108R001</v>
          </cell>
          <cell r="E9629" t="str">
            <v>下边条受剪接头</v>
          </cell>
        </row>
        <row r="9630">
          <cell r="D9630" t="str">
            <v>BC5337100-108R001</v>
          </cell>
          <cell r="E9630" t="str">
            <v>下边条受剪接头</v>
          </cell>
        </row>
        <row r="9631">
          <cell r="D9631" t="str">
            <v>BC5337100-108R001</v>
          </cell>
          <cell r="E9631" t="str">
            <v>下边条受剪接头</v>
          </cell>
        </row>
        <row r="9632">
          <cell r="D9632" t="str">
            <v>BC5337100-108R001</v>
          </cell>
          <cell r="E9632" t="str">
            <v>下边条受剪接头</v>
          </cell>
        </row>
        <row r="9633">
          <cell r="D9633" t="str">
            <v>BC5337100-108R001</v>
          </cell>
          <cell r="E9633" t="str">
            <v>下边条受剪接头</v>
          </cell>
        </row>
        <row r="9634">
          <cell r="D9634" t="str">
            <v>BC5337100-108R001</v>
          </cell>
          <cell r="E9634" t="str">
            <v>下边条受剪接头</v>
          </cell>
        </row>
        <row r="9635">
          <cell r="D9635" t="str">
            <v>BC5337100-108R001</v>
          </cell>
          <cell r="E9635" t="str">
            <v>下边条受剪接头</v>
          </cell>
        </row>
        <row r="9636">
          <cell r="D9636" t="str">
            <v>BC5337100-108R001</v>
          </cell>
          <cell r="E9636" t="str">
            <v>下边条受剪接头</v>
          </cell>
        </row>
        <row r="9637">
          <cell r="D9637" t="str">
            <v>BC221T2ME-001-001</v>
          </cell>
          <cell r="E9637" t="str">
            <v>法兰盘</v>
          </cell>
        </row>
        <row r="9638">
          <cell r="D9638" t="str">
            <v>5210A000001G010</v>
          </cell>
          <cell r="E9638" t="str">
            <v>止动螺钉</v>
          </cell>
        </row>
        <row r="9639">
          <cell r="D9639" t="str">
            <v>5613A380029G010</v>
          </cell>
          <cell r="E9639" t="str">
            <v>手柄握把</v>
          </cell>
        </row>
        <row r="9640">
          <cell r="D9640" t="str">
            <v>531A2230-007-001</v>
          </cell>
          <cell r="E9640" t="str">
            <v>板</v>
          </cell>
        </row>
        <row r="9641">
          <cell r="D9641" t="str">
            <v>561A3310-006-501</v>
          </cell>
          <cell r="E9641" t="str">
            <v>衬套</v>
          </cell>
        </row>
        <row r="9642">
          <cell r="D9642" t="str">
            <v>529A1000-006-001</v>
          </cell>
          <cell r="E9642" t="str">
            <v>舱门轴</v>
          </cell>
        </row>
        <row r="9643">
          <cell r="D9643" t="str">
            <v>529A1000-006-001</v>
          </cell>
          <cell r="E9643" t="str">
            <v>舱门轴</v>
          </cell>
        </row>
        <row r="9644">
          <cell r="D9644" t="str">
            <v>529A4310-004-001</v>
          </cell>
          <cell r="E9644" t="str">
            <v>垫圈</v>
          </cell>
        </row>
        <row r="9645">
          <cell r="D9645" t="str">
            <v>531A2100-075-001</v>
          </cell>
          <cell r="E9645" t="str">
            <v>销钉</v>
          </cell>
        </row>
        <row r="9646">
          <cell r="D9646" t="str">
            <v>531A2100-075-001</v>
          </cell>
          <cell r="E9646" t="str">
            <v>销钉</v>
          </cell>
        </row>
        <row r="9647">
          <cell r="D9647" t="str">
            <v>561A3300-059-501</v>
          </cell>
          <cell r="E9647" t="str">
            <v>轴</v>
          </cell>
        </row>
        <row r="9648">
          <cell r="D9648" t="str">
            <v>561A3310-005-501</v>
          </cell>
          <cell r="E9648" t="str">
            <v>轮子</v>
          </cell>
        </row>
        <row r="9649">
          <cell r="D9649" t="str">
            <v>561A3310-005-501</v>
          </cell>
          <cell r="E9649" t="str">
            <v>轮子</v>
          </cell>
        </row>
        <row r="9650">
          <cell r="D9650" t="str">
            <v>561A3310-005-501</v>
          </cell>
          <cell r="E9650" t="str">
            <v>轮子</v>
          </cell>
        </row>
        <row r="9651">
          <cell r="D9651" t="str">
            <v>561A3310-005-501</v>
          </cell>
          <cell r="E9651" t="str">
            <v>轮子</v>
          </cell>
        </row>
        <row r="9652">
          <cell r="D9652" t="str">
            <v>521A4000-039-001</v>
          </cell>
          <cell r="E9652" t="str">
            <v>轴</v>
          </cell>
        </row>
        <row r="9653">
          <cell r="D9653" t="str">
            <v>5215A000007G010</v>
          </cell>
          <cell r="E9653" t="str">
            <v>门下轴-铰链</v>
          </cell>
        </row>
        <row r="9654">
          <cell r="D9654" t="str">
            <v>5214A230001G010</v>
          </cell>
          <cell r="E9654" t="str">
            <v>管子</v>
          </cell>
        </row>
        <row r="9655">
          <cell r="D9655" t="str">
            <v>5215A000009G010</v>
          </cell>
          <cell r="E9655" t="str">
            <v>门框下轴-铰链</v>
          </cell>
        </row>
        <row r="9656">
          <cell r="D9656" t="str">
            <v>5215A000009G010</v>
          </cell>
          <cell r="E9656" t="str">
            <v>门框下轴-铰链</v>
          </cell>
        </row>
        <row r="9657">
          <cell r="D9657" t="str">
            <v>5215A000007G010</v>
          </cell>
          <cell r="E9657" t="str">
            <v>门下轴-铰链</v>
          </cell>
        </row>
        <row r="9658">
          <cell r="D9658" t="str">
            <v>BC2712530-003-001</v>
          </cell>
          <cell r="E9658" t="str">
            <v>M6套筒</v>
          </cell>
        </row>
        <row r="9659">
          <cell r="D9659" t="str">
            <v>BC22971B1-002-001</v>
          </cell>
          <cell r="E9659" t="str">
            <v>带限流的直通过框接头</v>
          </cell>
        </row>
        <row r="9660">
          <cell r="D9660" t="str">
            <v>BC22971B1-002-001</v>
          </cell>
          <cell r="E9660" t="str">
            <v>带限流的直通过框接头</v>
          </cell>
        </row>
        <row r="9661">
          <cell r="D9661" t="str">
            <v>BC22971B1-002-001</v>
          </cell>
          <cell r="E9661" t="str">
            <v>带限流的直通过框接头</v>
          </cell>
        </row>
        <row r="9662">
          <cell r="D9662" t="str">
            <v>BC221T1BB-001-001</v>
          </cell>
          <cell r="E9662" t="str">
            <v>法兰</v>
          </cell>
        </row>
        <row r="9663">
          <cell r="D9663" t="str">
            <v>BC2711362-001-001</v>
          </cell>
          <cell r="E9663" t="str">
            <v>螺母</v>
          </cell>
        </row>
        <row r="9664">
          <cell r="D9664" t="str">
            <v>BC5812700-001-002</v>
          </cell>
          <cell r="E9664" t="str">
            <v>上套筒</v>
          </cell>
        </row>
        <row r="9665">
          <cell r="D9665" t="str">
            <v>BC228163B-002-003</v>
          </cell>
          <cell r="E9665" t="str">
            <v>法兰</v>
          </cell>
        </row>
        <row r="9666">
          <cell r="D9666" t="str">
            <v>CB2298615-001-001</v>
          </cell>
          <cell r="E9666" t="str">
            <v>管夹</v>
          </cell>
        </row>
        <row r="9667">
          <cell r="D9667" t="str">
            <v>CB22985H0-002-001</v>
          </cell>
          <cell r="E9667" t="str">
            <v>管夹</v>
          </cell>
        </row>
        <row r="9668">
          <cell r="D9668" t="str">
            <v>CB22985H0-002-001</v>
          </cell>
          <cell r="E9668" t="str">
            <v>管夹</v>
          </cell>
        </row>
        <row r="9669">
          <cell r="D9669" t="str">
            <v>CB22983U0-002-001</v>
          </cell>
          <cell r="E9669" t="str">
            <v>管夹</v>
          </cell>
        </row>
        <row r="9670">
          <cell r="D9670" t="str">
            <v>CB229861B-001-001</v>
          </cell>
          <cell r="E9670" t="str">
            <v>管夹</v>
          </cell>
        </row>
        <row r="9671">
          <cell r="D9671" t="str">
            <v>CB22987E0-002-001</v>
          </cell>
          <cell r="E9671" t="str">
            <v>管夹</v>
          </cell>
        </row>
        <row r="9672">
          <cell r="D9672" t="str">
            <v>CB2298816-001-001</v>
          </cell>
          <cell r="E9672" t="str">
            <v>管夹</v>
          </cell>
        </row>
        <row r="9673">
          <cell r="D9673" t="str">
            <v>CB2298814-001-001</v>
          </cell>
          <cell r="E9673" t="str">
            <v>管夹</v>
          </cell>
        </row>
        <row r="9674">
          <cell r="D9674" t="str">
            <v>CB2284751-003-001</v>
          </cell>
          <cell r="E9674" t="str">
            <v>法兰盘</v>
          </cell>
        </row>
        <row r="9675">
          <cell r="D9675" t="str">
            <v>CB2284751-003-001</v>
          </cell>
          <cell r="E9675" t="str">
            <v>法兰盘</v>
          </cell>
        </row>
        <row r="9676">
          <cell r="D9676" t="str">
            <v>CB2284751-003-001</v>
          </cell>
          <cell r="E9676" t="str">
            <v>法兰盘</v>
          </cell>
        </row>
        <row r="9677">
          <cell r="D9677" t="str">
            <v>CB2284751-003-001</v>
          </cell>
          <cell r="E9677" t="str">
            <v>法兰盘</v>
          </cell>
        </row>
        <row r="9678">
          <cell r="D9678" t="str">
            <v>CB2284751-003-001</v>
          </cell>
          <cell r="E9678" t="str">
            <v>法兰盘</v>
          </cell>
        </row>
        <row r="9679">
          <cell r="D9679" t="str">
            <v>CB2284751-003-001</v>
          </cell>
          <cell r="E9679" t="str">
            <v>法兰盘</v>
          </cell>
        </row>
        <row r="9680">
          <cell r="D9680" t="str">
            <v>CB22984L0-002-001</v>
          </cell>
          <cell r="E9680" t="str">
            <v>管夹</v>
          </cell>
        </row>
        <row r="9681">
          <cell r="D9681" t="str">
            <v>CB2297820-001-001</v>
          </cell>
          <cell r="E9681" t="str">
            <v>组合导管夹</v>
          </cell>
        </row>
        <row r="9682">
          <cell r="D9682" t="str">
            <v>CB2298622-001-001</v>
          </cell>
          <cell r="E9682" t="str">
            <v>管夹</v>
          </cell>
        </row>
        <row r="9683">
          <cell r="D9683" t="str">
            <v>CB22987R0-002-001</v>
          </cell>
          <cell r="E9683" t="str">
            <v>管夹</v>
          </cell>
        </row>
        <row r="9684">
          <cell r="D9684" t="str">
            <v>CB2298818-001-001</v>
          </cell>
          <cell r="E9684" t="str">
            <v>管夹</v>
          </cell>
        </row>
        <row r="9685">
          <cell r="D9685" t="str">
            <v>CB22985T0-002-001</v>
          </cell>
          <cell r="E9685" t="str">
            <v>管夹</v>
          </cell>
        </row>
        <row r="9686">
          <cell r="D9686" t="str">
            <v>CB22983Q0-002-001</v>
          </cell>
          <cell r="E9686" t="str">
            <v>管夹</v>
          </cell>
        </row>
        <row r="9687">
          <cell r="D9687" t="str">
            <v>CB2298612-002-001</v>
          </cell>
          <cell r="E9687" t="str">
            <v>管夹</v>
          </cell>
        </row>
        <row r="9688">
          <cell r="D9688" t="str">
            <v>CB22984M0-002-001</v>
          </cell>
          <cell r="E9688" t="str">
            <v>管夹</v>
          </cell>
        </row>
        <row r="9689">
          <cell r="D9689" t="str">
            <v>CB22984M0-002-001</v>
          </cell>
          <cell r="E9689" t="str">
            <v>管夹</v>
          </cell>
        </row>
        <row r="9690">
          <cell r="D9690" t="str">
            <v>CB22987C0-002-001</v>
          </cell>
          <cell r="E9690" t="str">
            <v>管夹</v>
          </cell>
        </row>
        <row r="9691">
          <cell r="D9691" t="str">
            <v>CB5350510-002-006</v>
          </cell>
          <cell r="E9691" t="str">
            <v>扶手支座</v>
          </cell>
        </row>
        <row r="9692">
          <cell r="D9692" t="str">
            <v>CB5323120-001R005</v>
          </cell>
          <cell r="E9692" t="str">
            <v>7820~8270侧上梁</v>
          </cell>
        </row>
        <row r="9693">
          <cell r="D9693" t="str">
            <v>CB5323120-001R005</v>
          </cell>
          <cell r="E9693" t="str">
            <v>7820~8270侧上梁</v>
          </cell>
        </row>
        <row r="9694">
          <cell r="D9694" t="str">
            <v>CB5323120-001L002</v>
          </cell>
          <cell r="E9694" t="str">
            <v>7820~8270侧上梁</v>
          </cell>
        </row>
        <row r="9695">
          <cell r="D9695" t="str">
            <v>CB5324420-001L003</v>
          </cell>
          <cell r="E9695" t="str">
            <v>侧下梁</v>
          </cell>
        </row>
        <row r="9696">
          <cell r="D9696" t="str">
            <v>CB5324420-001L003</v>
          </cell>
          <cell r="E9696" t="str">
            <v>侧下梁</v>
          </cell>
        </row>
        <row r="9697">
          <cell r="D9697" t="str">
            <v>CB5324420-001R003</v>
          </cell>
          <cell r="E9697" t="str">
            <v>侧下梁</v>
          </cell>
        </row>
        <row r="9698">
          <cell r="D9698" t="str">
            <v>CB5324420-001R003</v>
          </cell>
          <cell r="E9698" t="str">
            <v>侧下梁</v>
          </cell>
        </row>
        <row r="9699">
          <cell r="D9699" t="str">
            <v>CB22931L1-001-003</v>
          </cell>
          <cell r="E9699" t="str">
            <v>底座</v>
          </cell>
        </row>
        <row r="9700">
          <cell r="D9700" t="str">
            <v>XXX-100-04</v>
          </cell>
          <cell r="E9700" t="str">
            <v>调谐钉</v>
          </cell>
        </row>
        <row r="9701">
          <cell r="D9701" t="str">
            <v>XXX-100-05-01</v>
          </cell>
          <cell r="E9701" t="str">
            <v>塞片</v>
          </cell>
        </row>
        <row r="9702">
          <cell r="D9702" t="str">
            <v>XXX-100-05-02</v>
          </cell>
          <cell r="E9702" t="str">
            <v>塞片</v>
          </cell>
        </row>
        <row r="9703">
          <cell r="D9703" t="str">
            <v>XXX-100-06-01</v>
          </cell>
          <cell r="E9703" t="str">
            <v>底板</v>
          </cell>
        </row>
        <row r="9704">
          <cell r="D9704" t="str">
            <v>XXX-100-06-02</v>
          </cell>
          <cell r="E9704" t="str">
            <v>底板</v>
          </cell>
        </row>
        <row r="9705">
          <cell r="D9705" t="str">
            <v>XXX-100-06-03</v>
          </cell>
          <cell r="E9705" t="str">
            <v>底板</v>
          </cell>
        </row>
        <row r="9706">
          <cell r="D9706" t="str">
            <v>XXX-100-07-01</v>
          </cell>
          <cell r="E9706" t="str">
            <v>贴片</v>
          </cell>
        </row>
        <row r="9707">
          <cell r="D9707" t="str">
            <v>XXX-100-07-02</v>
          </cell>
          <cell r="E9707" t="str">
            <v>贴片</v>
          </cell>
        </row>
        <row r="9708">
          <cell r="D9708" t="str">
            <v>XXX-100-07-03</v>
          </cell>
          <cell r="E9708" t="str">
            <v>贴片</v>
          </cell>
        </row>
        <row r="9709">
          <cell r="D9709" t="str">
            <v>XXX-100-07-04</v>
          </cell>
          <cell r="E9709" t="str">
            <v>贴片</v>
          </cell>
        </row>
        <row r="9710">
          <cell r="D9710" t="str">
            <v>XXX-100-07-05</v>
          </cell>
          <cell r="E9710" t="str">
            <v>贴片</v>
          </cell>
        </row>
        <row r="9711">
          <cell r="D9711" t="str">
            <v>XXX-100-07-06</v>
          </cell>
          <cell r="E9711" t="str">
            <v>贴片</v>
          </cell>
        </row>
        <row r="9712">
          <cell r="D9712" t="str">
            <v>XXX-100-08</v>
          </cell>
          <cell r="E9712" t="str">
            <v>插芯</v>
          </cell>
        </row>
        <row r="9713">
          <cell r="D9713" t="str">
            <v>XXX-100-09-01</v>
          </cell>
          <cell r="E9713" t="str">
            <v>调谐片</v>
          </cell>
        </row>
        <row r="9714">
          <cell r="D9714" t="str">
            <v>XXX-100-09-02</v>
          </cell>
          <cell r="E9714" t="str">
            <v>调谐片</v>
          </cell>
        </row>
        <row r="9715">
          <cell r="D9715" t="str">
            <v>XXX-200-01</v>
          </cell>
          <cell r="E9715" t="str">
            <v>功分器盖板</v>
          </cell>
        </row>
        <row r="9716">
          <cell r="D9716" t="str">
            <v>XXX-200-02</v>
          </cell>
          <cell r="E9716" t="str">
            <v>功分器腔体</v>
          </cell>
        </row>
        <row r="9717">
          <cell r="D9717" t="str">
            <v>DD-J10-55015-5102</v>
          </cell>
          <cell r="E9717" t="str">
            <v>接管嘴</v>
          </cell>
        </row>
        <row r="9718">
          <cell r="D9718" t="str">
            <v>DD-J10-55015-5102</v>
          </cell>
          <cell r="E9718" t="str">
            <v>接管嘴</v>
          </cell>
        </row>
        <row r="9719">
          <cell r="D9719" t="str">
            <v>DD-J10-55015-5201</v>
          </cell>
          <cell r="E9719" t="str">
            <v>接管嘴</v>
          </cell>
        </row>
        <row r="9720">
          <cell r="D9720" t="str">
            <v>DD-J10-55015-5201</v>
          </cell>
          <cell r="E9720" t="str">
            <v>接管嘴</v>
          </cell>
        </row>
        <row r="9721">
          <cell r="D9721" t="str">
            <v>DD-J10-55015-5503-Z</v>
          </cell>
          <cell r="E9721" t="str">
            <v>接管嘴</v>
          </cell>
        </row>
        <row r="9722">
          <cell r="D9722" t="str">
            <v>DD-J10-55015-5503-Z</v>
          </cell>
          <cell r="E9722" t="str">
            <v>接管嘴</v>
          </cell>
        </row>
        <row r="9723">
          <cell r="D9723" t="str">
            <v>DD-J10-55015-5503-Y</v>
          </cell>
          <cell r="E9723" t="str">
            <v>接管嘴</v>
          </cell>
        </row>
        <row r="9724">
          <cell r="D9724" t="str">
            <v>DD-J10-55015-5503-Y</v>
          </cell>
          <cell r="E9724" t="str">
            <v>接管嘴</v>
          </cell>
        </row>
        <row r="9725">
          <cell r="D9725" t="str">
            <v>DD-J10-55015-6201</v>
          </cell>
          <cell r="E9725" t="str">
            <v>接管嘴</v>
          </cell>
        </row>
        <row r="9726">
          <cell r="D9726" t="str">
            <v>DD-J10-55015-6201</v>
          </cell>
          <cell r="E9726" t="str">
            <v>接管嘴</v>
          </cell>
        </row>
        <row r="9727">
          <cell r="D9727" t="str">
            <v>DD-J10-55014-1401</v>
          </cell>
          <cell r="E9727" t="str">
            <v>管接头</v>
          </cell>
        </row>
        <row r="9728">
          <cell r="D9728" t="str">
            <v>DD-J10-55014-1401</v>
          </cell>
          <cell r="E9728" t="str">
            <v>管接头</v>
          </cell>
        </row>
        <row r="9729">
          <cell r="D9729" t="str">
            <v>DD-J10-55014-2131</v>
          </cell>
          <cell r="E9729" t="str">
            <v>接管嘴</v>
          </cell>
        </row>
        <row r="9730">
          <cell r="D9730" t="str">
            <v>DD-J10-55014-2131</v>
          </cell>
          <cell r="E9730" t="str">
            <v>接管嘴</v>
          </cell>
        </row>
        <row r="9731">
          <cell r="D9731" t="str">
            <v>BC5812000-005-001</v>
          </cell>
          <cell r="E9731" t="str">
            <v>拨轴</v>
          </cell>
        </row>
        <row r="9732">
          <cell r="D9732" t="str">
            <v>DD-J10B-77101-963</v>
          </cell>
          <cell r="E9732" t="str">
            <v>卡箍扣</v>
          </cell>
        </row>
        <row r="9733">
          <cell r="D9733" t="str">
            <v>DD-J10B-77101-963</v>
          </cell>
          <cell r="E9733" t="str">
            <v>卡箍扣</v>
          </cell>
        </row>
        <row r="9734">
          <cell r="D9734" t="str">
            <v>529A1000-006-001</v>
          </cell>
          <cell r="E9734" t="str">
            <v>舱门轴</v>
          </cell>
        </row>
        <row r="9735">
          <cell r="D9735" t="str">
            <v>531A4200-014-001</v>
          </cell>
          <cell r="E9735" t="str">
            <v>衬套</v>
          </cell>
        </row>
        <row r="9736">
          <cell r="D9736" t="str">
            <v>531A4200-014-001</v>
          </cell>
          <cell r="E9736" t="str">
            <v>衬套</v>
          </cell>
        </row>
        <row r="9737">
          <cell r="D9737" t="str">
            <v>521A4000-044-001</v>
          </cell>
          <cell r="E9737" t="str">
            <v>螺栓</v>
          </cell>
        </row>
        <row r="9738">
          <cell r="D9738" t="str">
            <v>521A4000-044-001</v>
          </cell>
          <cell r="E9738" t="str">
            <v>螺栓</v>
          </cell>
        </row>
        <row r="9739">
          <cell r="D9739" t="str">
            <v>521A4090-000-003</v>
          </cell>
          <cell r="E9739" t="str">
            <v>杆</v>
          </cell>
        </row>
        <row r="9740">
          <cell r="D9740" t="str">
            <v>521A4210-000-003</v>
          </cell>
          <cell r="E9740" t="str">
            <v>钢管</v>
          </cell>
        </row>
        <row r="9741">
          <cell r="D9741" t="str">
            <v>BC2286641-002-001</v>
          </cell>
          <cell r="E9741" t="str">
            <v>外套螺母</v>
          </cell>
        </row>
        <row r="9742">
          <cell r="D9742" t="str">
            <v>BC2283630-003-001</v>
          </cell>
          <cell r="E9742" t="str">
            <v>接头</v>
          </cell>
        </row>
        <row r="9743">
          <cell r="D9743" t="str">
            <v>BC221T4MG-001-001</v>
          </cell>
          <cell r="E9743" t="str">
            <v>抗荷单向活门法兰盘</v>
          </cell>
        </row>
        <row r="9744">
          <cell r="D9744" t="str">
            <v>CB22837C2-001-001</v>
          </cell>
          <cell r="E9744" t="str">
            <v>法兰</v>
          </cell>
        </row>
        <row r="9745">
          <cell r="D9745" t="str">
            <v>CB2283651-002-001</v>
          </cell>
          <cell r="E9745" t="str">
            <v>法兰</v>
          </cell>
        </row>
        <row r="9746">
          <cell r="D9746" t="str">
            <v>CB2283664-002-001</v>
          </cell>
          <cell r="E9746" t="str">
            <v>法兰</v>
          </cell>
        </row>
        <row r="9747">
          <cell r="D9747" t="str">
            <v>CB228455A-001-004</v>
          </cell>
          <cell r="E9747" t="str">
            <v>三通底座</v>
          </cell>
        </row>
        <row r="9748">
          <cell r="D9748" t="str">
            <v>CB2284764-003-003</v>
          </cell>
          <cell r="E9748" t="str">
            <v>接头</v>
          </cell>
        </row>
        <row r="9749">
          <cell r="D9749" t="str">
            <v>CB22843G0-004-001</v>
          </cell>
          <cell r="E9749" t="str">
            <v>穿框管接头</v>
          </cell>
        </row>
        <row r="9750">
          <cell r="D9750" t="str">
            <v>CB22843G0-003-001</v>
          </cell>
          <cell r="E9750" t="str">
            <v>变径穿框管接头</v>
          </cell>
        </row>
        <row r="9751">
          <cell r="D9751" t="str">
            <v>CB22837C3-001-001</v>
          </cell>
          <cell r="E9751" t="str">
            <v>法兰</v>
          </cell>
        </row>
        <row r="9752">
          <cell r="D9752" t="str">
            <v>CB22837C4-001-001</v>
          </cell>
          <cell r="E9752" t="str">
            <v>带胶垫槽法兰</v>
          </cell>
        </row>
        <row r="9753">
          <cell r="D9753" t="str">
            <v>CB22857G1-004-001</v>
          </cell>
          <cell r="E9753" t="str">
            <v>法兰</v>
          </cell>
        </row>
        <row r="9754">
          <cell r="D9754" t="str">
            <v>CB22857F8-003-002</v>
          </cell>
          <cell r="E9754" t="str">
            <v>法兰</v>
          </cell>
        </row>
        <row r="9755">
          <cell r="D9755" t="str">
            <v>CB22857F8-003-002</v>
          </cell>
          <cell r="E9755" t="str">
            <v>法兰</v>
          </cell>
        </row>
        <row r="9756">
          <cell r="D9756" t="str">
            <v>CB22857F7-003-002</v>
          </cell>
          <cell r="E9756" t="str">
            <v>法兰</v>
          </cell>
        </row>
        <row r="9757">
          <cell r="D9757" t="str">
            <v>CB22843G7-002-001</v>
          </cell>
          <cell r="E9757" t="str">
            <v>三叉管接头</v>
          </cell>
        </row>
        <row r="9758">
          <cell r="D9758" t="str">
            <v>CB2285673-002-001</v>
          </cell>
          <cell r="E9758" t="str">
            <v>法兰</v>
          </cell>
        </row>
        <row r="9759">
          <cell r="D9759" t="str">
            <v>CB2285673-002-001</v>
          </cell>
          <cell r="E9759" t="str">
            <v>法兰</v>
          </cell>
        </row>
        <row r="9760">
          <cell r="D9760" t="str">
            <v>CB22832G3-004-001</v>
          </cell>
          <cell r="E9760" t="str">
            <v>收口接头</v>
          </cell>
        </row>
        <row r="9761">
          <cell r="D9761" t="str">
            <v>CB2284450-001-001</v>
          </cell>
          <cell r="E9761" t="str">
            <v>穿框管接头</v>
          </cell>
        </row>
        <row r="9762">
          <cell r="D9762" t="str">
            <v>CB22837G0-002-002</v>
          </cell>
          <cell r="E9762" t="str">
            <v>穿框管接头</v>
          </cell>
        </row>
        <row r="9763">
          <cell r="D9763" t="str">
            <v>CB2283780-001-001</v>
          </cell>
          <cell r="E9763" t="str">
            <v>管接头</v>
          </cell>
        </row>
        <row r="9764">
          <cell r="D9764" t="str">
            <v>CB2283750-001-002</v>
          </cell>
          <cell r="E9764" t="str">
            <v>管接头</v>
          </cell>
        </row>
        <row r="9765">
          <cell r="D9765" t="str">
            <v>CB2283711-002-001</v>
          </cell>
          <cell r="E9765" t="str">
            <v>管接头</v>
          </cell>
        </row>
        <row r="9766">
          <cell r="D9766" t="str">
            <v>CB2284751-006-001</v>
          </cell>
          <cell r="E9766" t="str">
            <v>主动油总管四通</v>
          </cell>
        </row>
        <row r="9767">
          <cell r="D9767" t="str">
            <v>CB2284761-003-001</v>
          </cell>
          <cell r="E9767" t="str">
            <v>主动油总管四通</v>
          </cell>
        </row>
        <row r="9768">
          <cell r="D9768" t="str">
            <v>CB2284761-003-001</v>
          </cell>
          <cell r="E9768" t="str">
            <v>主动油总管四通</v>
          </cell>
        </row>
        <row r="9769">
          <cell r="D9769" t="str">
            <v>CB22837F0-001-001</v>
          </cell>
          <cell r="E9769" t="str">
            <v>接头</v>
          </cell>
        </row>
        <row r="9770">
          <cell r="D9770" t="str">
            <v>DD-J10B-04501-10-1-Z</v>
          </cell>
          <cell r="E9770" t="str">
            <v>BL900侧梁</v>
          </cell>
        </row>
        <row r="9771">
          <cell r="D9771" t="str">
            <v>531A5100-126-501 C1</v>
          </cell>
          <cell r="E9771" t="str">
            <v>通风窗与后观察窗上窗框</v>
          </cell>
        </row>
        <row r="9772">
          <cell r="D9772" t="str">
            <v>531A5100-126-502 C1</v>
          </cell>
          <cell r="E9772" t="str">
            <v>通风窗与后观察窗上窗框</v>
          </cell>
        </row>
        <row r="9773">
          <cell r="D9773" t="str">
            <v>531A5100-123-501 B1</v>
          </cell>
          <cell r="E9773" t="str">
            <v>主风挡下窗框</v>
          </cell>
        </row>
        <row r="9774">
          <cell r="D9774" t="str">
            <v>531A5100-123-502 B1</v>
          </cell>
          <cell r="E9774" t="str">
            <v>主风挡下窗框</v>
          </cell>
        </row>
        <row r="9775">
          <cell r="D9775" t="str">
            <v>531A5100-123-501 B1</v>
          </cell>
          <cell r="E9775" t="str">
            <v>主风挡下窗框</v>
          </cell>
        </row>
        <row r="9776">
          <cell r="D9776" t="str">
            <v>531A5100-123-502 B1</v>
          </cell>
          <cell r="E9776" t="str">
            <v>主风挡下窗框</v>
          </cell>
        </row>
        <row r="9777">
          <cell r="D9777" t="str">
            <v>CB5314107-005-001</v>
          </cell>
          <cell r="E9777" t="str">
            <v>油箱口盖</v>
          </cell>
        </row>
        <row r="9778">
          <cell r="D9778" t="str">
            <v>BC5337100-101R001</v>
          </cell>
          <cell r="E9778" t="str">
            <v>上受拉接头</v>
          </cell>
        </row>
        <row r="9779">
          <cell r="D9779" t="str">
            <v>BC5337100-101R001</v>
          </cell>
          <cell r="E9779" t="str">
            <v>上受拉接头</v>
          </cell>
        </row>
        <row r="9780">
          <cell r="D9780" t="str">
            <v>BC5337100-101R001</v>
          </cell>
          <cell r="E9780" t="str">
            <v>上受拉接头</v>
          </cell>
        </row>
        <row r="9781">
          <cell r="D9781" t="str">
            <v>BC5337100-101R001</v>
          </cell>
          <cell r="E9781" t="str">
            <v>上受拉接头</v>
          </cell>
        </row>
        <row r="9782">
          <cell r="D9782" t="str">
            <v>BC5337100-101R001</v>
          </cell>
          <cell r="E9782" t="str">
            <v>上受拉接头</v>
          </cell>
        </row>
        <row r="9783">
          <cell r="D9783" t="str">
            <v>BC5337100-101R001</v>
          </cell>
          <cell r="E9783" t="str">
            <v>上受拉接头</v>
          </cell>
        </row>
        <row r="9784">
          <cell r="D9784" t="str">
            <v>BC5337100-101R001</v>
          </cell>
          <cell r="E9784" t="str">
            <v>上受拉接头</v>
          </cell>
        </row>
        <row r="9785">
          <cell r="D9785" t="str">
            <v>BC5337100-101R001</v>
          </cell>
          <cell r="E9785" t="str">
            <v>上受拉接头</v>
          </cell>
        </row>
        <row r="9786">
          <cell r="D9786" t="str">
            <v>BC5337100-101R001</v>
          </cell>
          <cell r="E9786" t="str">
            <v>上受拉接头</v>
          </cell>
        </row>
        <row r="9787">
          <cell r="D9787" t="str">
            <v>BC5337100-101R001</v>
          </cell>
          <cell r="E9787" t="str">
            <v>上受拉接头</v>
          </cell>
        </row>
        <row r="9788">
          <cell r="D9788" t="str">
            <v>BC5337100-101R001</v>
          </cell>
          <cell r="E9788" t="str">
            <v>上受拉接头</v>
          </cell>
        </row>
        <row r="9789">
          <cell r="D9789" t="str">
            <v>BC5337100-101R001</v>
          </cell>
          <cell r="E9789" t="str">
            <v>上受拉接头</v>
          </cell>
        </row>
        <row r="9790">
          <cell r="D9790" t="str">
            <v>BC5337100-101R001</v>
          </cell>
          <cell r="E9790" t="str">
            <v>上受拉接头</v>
          </cell>
        </row>
        <row r="9791">
          <cell r="D9791" t="str">
            <v>BC5337100-101R001</v>
          </cell>
          <cell r="E9791" t="str">
            <v>上受拉接头</v>
          </cell>
        </row>
        <row r="9792">
          <cell r="D9792" t="str">
            <v>BC5337100-102R001</v>
          </cell>
          <cell r="E9792" t="str">
            <v>中受拉接头</v>
          </cell>
        </row>
        <row r="9793">
          <cell r="D9793" t="str">
            <v>BC5337100-102R001</v>
          </cell>
          <cell r="E9793" t="str">
            <v>中受拉接头</v>
          </cell>
        </row>
        <row r="9794">
          <cell r="D9794" t="str">
            <v>BC5337100-102R001</v>
          </cell>
          <cell r="E9794" t="str">
            <v>中受拉接头</v>
          </cell>
        </row>
        <row r="9795">
          <cell r="D9795" t="str">
            <v>BC5337100-102R001</v>
          </cell>
          <cell r="E9795" t="str">
            <v>中受拉接头</v>
          </cell>
        </row>
        <row r="9796">
          <cell r="D9796" t="str">
            <v>BC5337100-102R001</v>
          </cell>
          <cell r="E9796" t="str">
            <v>中受拉接头</v>
          </cell>
        </row>
        <row r="9797">
          <cell r="D9797" t="str">
            <v>BC5337100-102R001</v>
          </cell>
          <cell r="E9797" t="str">
            <v>中受拉接头</v>
          </cell>
        </row>
        <row r="9798">
          <cell r="D9798" t="str">
            <v>BC5337100-102R001</v>
          </cell>
          <cell r="E9798" t="str">
            <v>中受拉接头</v>
          </cell>
        </row>
        <row r="9799">
          <cell r="D9799" t="str">
            <v>BC5337100-102R001</v>
          </cell>
          <cell r="E9799" t="str">
            <v>中受拉接头</v>
          </cell>
        </row>
        <row r="9800">
          <cell r="D9800" t="str">
            <v>BC5337100-102R001</v>
          </cell>
          <cell r="E9800" t="str">
            <v>中受拉接头</v>
          </cell>
        </row>
        <row r="9801">
          <cell r="D9801" t="str">
            <v>BC5337100-102R001</v>
          </cell>
          <cell r="E9801" t="str">
            <v>中受拉接头</v>
          </cell>
        </row>
        <row r="9802">
          <cell r="D9802" t="str">
            <v>BC5337100-102R001</v>
          </cell>
          <cell r="E9802" t="str">
            <v>中受拉接头</v>
          </cell>
        </row>
        <row r="9803">
          <cell r="D9803" t="str">
            <v>BC5337100-102R001</v>
          </cell>
          <cell r="E9803" t="str">
            <v>中受拉接头</v>
          </cell>
        </row>
        <row r="9804">
          <cell r="D9804" t="str">
            <v>BC5337100-102R001</v>
          </cell>
          <cell r="E9804" t="str">
            <v>中受拉接头</v>
          </cell>
        </row>
        <row r="9805">
          <cell r="D9805" t="str">
            <v>BC5337100-102R001</v>
          </cell>
          <cell r="E9805" t="str">
            <v>中受拉接头</v>
          </cell>
        </row>
        <row r="9806">
          <cell r="D9806" t="str">
            <v>BC5337100-103R001</v>
          </cell>
          <cell r="E9806" t="str">
            <v>下受拉接头</v>
          </cell>
        </row>
        <row r="9807">
          <cell r="D9807" t="str">
            <v>BC5337100-103R001</v>
          </cell>
          <cell r="E9807" t="str">
            <v>下受拉接头</v>
          </cell>
        </row>
        <row r="9808">
          <cell r="D9808" t="str">
            <v>BC5337100-103R001</v>
          </cell>
          <cell r="E9808" t="str">
            <v>下受拉接头</v>
          </cell>
        </row>
        <row r="9809">
          <cell r="D9809" t="str">
            <v>BC5337100-103R001</v>
          </cell>
          <cell r="E9809" t="str">
            <v>下受拉接头</v>
          </cell>
        </row>
        <row r="9810">
          <cell r="D9810" t="str">
            <v>BC5337100-103R001</v>
          </cell>
          <cell r="E9810" t="str">
            <v>下受拉接头</v>
          </cell>
        </row>
        <row r="9811">
          <cell r="D9811" t="str">
            <v>BC5337100-103R001</v>
          </cell>
          <cell r="E9811" t="str">
            <v>下受拉接头</v>
          </cell>
        </row>
        <row r="9812">
          <cell r="D9812" t="str">
            <v>BC5337100-103R001</v>
          </cell>
          <cell r="E9812" t="str">
            <v>下受拉接头</v>
          </cell>
        </row>
        <row r="9813">
          <cell r="D9813" t="str">
            <v>BC5337100-103R001</v>
          </cell>
          <cell r="E9813" t="str">
            <v>下受拉接头</v>
          </cell>
        </row>
        <row r="9814">
          <cell r="D9814" t="str">
            <v>BC5337100-103R001</v>
          </cell>
          <cell r="E9814" t="str">
            <v>下受拉接头</v>
          </cell>
        </row>
        <row r="9815">
          <cell r="D9815" t="str">
            <v>BC5337100-103R001</v>
          </cell>
          <cell r="E9815" t="str">
            <v>下受拉接头</v>
          </cell>
        </row>
        <row r="9816">
          <cell r="D9816" t="str">
            <v>BC5337100-103R001</v>
          </cell>
          <cell r="E9816" t="str">
            <v>下受拉接头</v>
          </cell>
        </row>
        <row r="9817">
          <cell r="D9817" t="str">
            <v>BC5337100-103R001</v>
          </cell>
          <cell r="E9817" t="str">
            <v>下受拉接头</v>
          </cell>
        </row>
        <row r="9818">
          <cell r="D9818" t="str">
            <v>BC5337100-103R001</v>
          </cell>
          <cell r="E9818" t="str">
            <v>下受拉接头</v>
          </cell>
        </row>
        <row r="9819">
          <cell r="D9819" t="str">
            <v>BC5337100-103R001</v>
          </cell>
          <cell r="E9819" t="str">
            <v>下受拉接头</v>
          </cell>
        </row>
        <row r="9820">
          <cell r="D9820" t="str">
            <v>BC5337100-101L001</v>
          </cell>
          <cell r="E9820" t="str">
            <v>上受拉接头</v>
          </cell>
        </row>
        <row r="9821">
          <cell r="D9821" t="str">
            <v>BC5337100-101L001</v>
          </cell>
          <cell r="E9821" t="str">
            <v>上受拉接头</v>
          </cell>
        </row>
        <row r="9822">
          <cell r="D9822" t="str">
            <v>BC5337100-101L001</v>
          </cell>
          <cell r="E9822" t="str">
            <v>上受拉接头</v>
          </cell>
        </row>
        <row r="9823">
          <cell r="D9823" t="str">
            <v>BC5337100-101L001</v>
          </cell>
          <cell r="E9823" t="str">
            <v>上受拉接头</v>
          </cell>
        </row>
        <row r="9824">
          <cell r="D9824" t="str">
            <v>BC5337100-101L001</v>
          </cell>
          <cell r="E9824" t="str">
            <v>上受拉接头</v>
          </cell>
        </row>
        <row r="9825">
          <cell r="D9825" t="str">
            <v>BC5337100-101L001</v>
          </cell>
          <cell r="E9825" t="str">
            <v>上受拉接头</v>
          </cell>
        </row>
        <row r="9826">
          <cell r="D9826" t="str">
            <v>BC5337100-101L001</v>
          </cell>
          <cell r="E9826" t="str">
            <v>上受拉接头</v>
          </cell>
        </row>
        <row r="9827">
          <cell r="D9827" t="str">
            <v>BC5337100-101L001</v>
          </cell>
          <cell r="E9827" t="str">
            <v>上受拉接头</v>
          </cell>
        </row>
        <row r="9828">
          <cell r="D9828" t="str">
            <v>BC5337100-101L001</v>
          </cell>
          <cell r="E9828" t="str">
            <v>上受拉接头</v>
          </cell>
        </row>
        <row r="9829">
          <cell r="D9829" t="str">
            <v>BC5337100-101L001</v>
          </cell>
          <cell r="E9829" t="str">
            <v>上受拉接头</v>
          </cell>
        </row>
        <row r="9830">
          <cell r="D9830" t="str">
            <v>BC5337100-101L001</v>
          </cell>
          <cell r="E9830" t="str">
            <v>上受拉接头</v>
          </cell>
        </row>
        <row r="9831">
          <cell r="D9831" t="str">
            <v>BC5337100-101L001</v>
          </cell>
          <cell r="E9831" t="str">
            <v>上受拉接头</v>
          </cell>
        </row>
        <row r="9832">
          <cell r="D9832" t="str">
            <v>BC5337100-101L001</v>
          </cell>
          <cell r="E9832" t="str">
            <v>上受拉接头</v>
          </cell>
        </row>
        <row r="9833">
          <cell r="D9833" t="str">
            <v>BC5337100-101L001</v>
          </cell>
          <cell r="E9833" t="str">
            <v>上受拉接头</v>
          </cell>
        </row>
        <row r="9834">
          <cell r="D9834" t="str">
            <v>BC5337100-102L001</v>
          </cell>
          <cell r="E9834" t="str">
            <v>中受拉接头</v>
          </cell>
        </row>
        <row r="9835">
          <cell r="D9835" t="str">
            <v>BC5337100-102L001</v>
          </cell>
          <cell r="E9835" t="str">
            <v>中受拉接头</v>
          </cell>
        </row>
        <row r="9836">
          <cell r="D9836" t="str">
            <v>BC5337100-102L001</v>
          </cell>
          <cell r="E9836" t="str">
            <v>中受拉接头</v>
          </cell>
        </row>
        <row r="9837">
          <cell r="D9837" t="str">
            <v>BC5337100-102L001</v>
          </cell>
          <cell r="E9837" t="str">
            <v>中受拉接头</v>
          </cell>
        </row>
        <row r="9838">
          <cell r="D9838" t="str">
            <v>BC5337100-102L001</v>
          </cell>
          <cell r="E9838" t="str">
            <v>中受拉接头</v>
          </cell>
        </row>
        <row r="9839">
          <cell r="D9839" t="str">
            <v>BC5337100-102L001</v>
          </cell>
          <cell r="E9839" t="str">
            <v>中受拉接头</v>
          </cell>
        </row>
        <row r="9840">
          <cell r="D9840" t="str">
            <v>BC5337100-102L001</v>
          </cell>
          <cell r="E9840" t="str">
            <v>中受拉接头</v>
          </cell>
        </row>
        <row r="9841">
          <cell r="D9841" t="str">
            <v>BC5337100-102L001</v>
          </cell>
          <cell r="E9841" t="str">
            <v>中受拉接头</v>
          </cell>
        </row>
        <row r="9842">
          <cell r="D9842" t="str">
            <v>BC5337100-102L001</v>
          </cell>
          <cell r="E9842" t="str">
            <v>中受拉接头</v>
          </cell>
        </row>
        <row r="9843">
          <cell r="D9843" t="str">
            <v>BC5337100-102L001</v>
          </cell>
          <cell r="E9843" t="str">
            <v>中受拉接头</v>
          </cell>
        </row>
        <row r="9844">
          <cell r="D9844" t="str">
            <v>BC5337100-102L001</v>
          </cell>
          <cell r="E9844" t="str">
            <v>中受拉接头</v>
          </cell>
        </row>
        <row r="9845">
          <cell r="D9845" t="str">
            <v>BC5337100-102L001</v>
          </cell>
          <cell r="E9845" t="str">
            <v>中受拉接头</v>
          </cell>
        </row>
        <row r="9846">
          <cell r="D9846" t="str">
            <v>BC5337100-102L001</v>
          </cell>
          <cell r="E9846" t="str">
            <v>中受拉接头</v>
          </cell>
        </row>
        <row r="9847">
          <cell r="D9847" t="str">
            <v>BC5337100-102L001</v>
          </cell>
          <cell r="E9847" t="str">
            <v>中受拉接头</v>
          </cell>
        </row>
        <row r="9848">
          <cell r="D9848" t="str">
            <v>BC5337100-103L001</v>
          </cell>
          <cell r="E9848" t="str">
            <v>下受拉接头</v>
          </cell>
        </row>
        <row r="9849">
          <cell r="D9849" t="str">
            <v>BC5337100-103L001</v>
          </cell>
          <cell r="E9849" t="str">
            <v>下受拉接头</v>
          </cell>
        </row>
        <row r="9850">
          <cell r="D9850" t="str">
            <v>BC5337100-103L001</v>
          </cell>
          <cell r="E9850" t="str">
            <v>下受拉接头</v>
          </cell>
        </row>
        <row r="9851">
          <cell r="D9851" t="str">
            <v>BC5337100-103L001</v>
          </cell>
          <cell r="E9851" t="str">
            <v>下受拉接头</v>
          </cell>
        </row>
        <row r="9852">
          <cell r="D9852" t="str">
            <v>BC5337100-103L001</v>
          </cell>
          <cell r="E9852" t="str">
            <v>下受拉接头</v>
          </cell>
        </row>
        <row r="9853">
          <cell r="D9853" t="str">
            <v>BC5337100-103L001</v>
          </cell>
          <cell r="E9853" t="str">
            <v>下受拉接头</v>
          </cell>
        </row>
        <row r="9854">
          <cell r="D9854" t="str">
            <v>BC5337100-103L001</v>
          </cell>
          <cell r="E9854" t="str">
            <v>下受拉接头</v>
          </cell>
        </row>
        <row r="9855">
          <cell r="D9855" t="str">
            <v>BC5337100-103L001</v>
          </cell>
          <cell r="E9855" t="str">
            <v>下受拉接头</v>
          </cell>
        </row>
        <row r="9856">
          <cell r="D9856" t="str">
            <v>BC5337100-103L001</v>
          </cell>
          <cell r="E9856" t="str">
            <v>下受拉接头</v>
          </cell>
        </row>
        <row r="9857">
          <cell r="D9857" t="str">
            <v>BC5337100-103L001</v>
          </cell>
          <cell r="E9857" t="str">
            <v>下受拉接头</v>
          </cell>
        </row>
        <row r="9858">
          <cell r="D9858" t="str">
            <v>BC5337100-103L001</v>
          </cell>
          <cell r="E9858" t="str">
            <v>下受拉接头</v>
          </cell>
        </row>
        <row r="9859">
          <cell r="D9859" t="str">
            <v>BC5337100-103L001</v>
          </cell>
          <cell r="E9859" t="str">
            <v>下受拉接头</v>
          </cell>
        </row>
        <row r="9860">
          <cell r="D9860" t="str">
            <v>BC5337100-103L001</v>
          </cell>
          <cell r="E9860" t="str">
            <v>下受拉接头</v>
          </cell>
        </row>
        <row r="9861">
          <cell r="D9861" t="str">
            <v>BC5337100-103L001</v>
          </cell>
          <cell r="E9861" t="str">
            <v>下受拉接头</v>
          </cell>
        </row>
        <row r="9862">
          <cell r="D9862" t="str">
            <v>BC5337100-104R001</v>
          </cell>
          <cell r="E9862" t="str">
            <v>上受剪接头</v>
          </cell>
        </row>
        <row r="9863">
          <cell r="D9863" t="str">
            <v>BC5337100-104R001</v>
          </cell>
          <cell r="E9863" t="str">
            <v>上受剪接头</v>
          </cell>
        </row>
        <row r="9864">
          <cell r="D9864" t="str">
            <v>BC5337100-104R001</v>
          </cell>
          <cell r="E9864" t="str">
            <v>上受剪接头</v>
          </cell>
        </row>
        <row r="9865">
          <cell r="D9865" t="str">
            <v>BC5337100-104R001</v>
          </cell>
          <cell r="E9865" t="str">
            <v>上受剪接头</v>
          </cell>
        </row>
        <row r="9866">
          <cell r="D9866" t="str">
            <v>BC5337100-104R001</v>
          </cell>
          <cell r="E9866" t="str">
            <v>上受剪接头</v>
          </cell>
        </row>
        <row r="9867">
          <cell r="D9867" t="str">
            <v>BC5337100-104R001</v>
          </cell>
          <cell r="E9867" t="str">
            <v>上受剪接头</v>
          </cell>
        </row>
        <row r="9868">
          <cell r="D9868" t="str">
            <v>BC5337100-104R001</v>
          </cell>
          <cell r="E9868" t="str">
            <v>上受剪接头</v>
          </cell>
        </row>
        <row r="9869">
          <cell r="D9869" t="str">
            <v>BC5337100-104R001</v>
          </cell>
          <cell r="E9869" t="str">
            <v>上受剪接头</v>
          </cell>
        </row>
        <row r="9870">
          <cell r="D9870" t="str">
            <v>BC5337100-104R001</v>
          </cell>
          <cell r="E9870" t="str">
            <v>上受剪接头</v>
          </cell>
        </row>
        <row r="9871">
          <cell r="D9871" t="str">
            <v>BC5337100-104R001</v>
          </cell>
          <cell r="E9871" t="str">
            <v>上受剪接头</v>
          </cell>
        </row>
        <row r="9872">
          <cell r="D9872" t="str">
            <v>BC5337100-104R001</v>
          </cell>
          <cell r="E9872" t="str">
            <v>上受剪接头</v>
          </cell>
        </row>
        <row r="9873">
          <cell r="D9873" t="str">
            <v>BC5337100-104R001</v>
          </cell>
          <cell r="E9873" t="str">
            <v>上受剪接头</v>
          </cell>
        </row>
        <row r="9874">
          <cell r="D9874" t="str">
            <v>BC5337100-104R001</v>
          </cell>
          <cell r="E9874" t="str">
            <v>上受剪接头</v>
          </cell>
        </row>
        <row r="9875">
          <cell r="D9875" t="str">
            <v>BC5337100-104R001</v>
          </cell>
          <cell r="E9875" t="str">
            <v>上受剪接头</v>
          </cell>
        </row>
        <row r="9876">
          <cell r="D9876" t="str">
            <v>BC5337100-104R001</v>
          </cell>
          <cell r="E9876" t="str">
            <v>上受剪接头</v>
          </cell>
        </row>
        <row r="9877">
          <cell r="D9877" t="str">
            <v>BC5337100-105R001</v>
          </cell>
          <cell r="E9877" t="str">
            <v>中受剪接头</v>
          </cell>
        </row>
        <row r="9878">
          <cell r="D9878" t="str">
            <v>BC5337100-105R001</v>
          </cell>
          <cell r="E9878" t="str">
            <v>中受剪接头</v>
          </cell>
        </row>
        <row r="9879">
          <cell r="D9879" t="str">
            <v>BC5337100-105R001</v>
          </cell>
          <cell r="E9879" t="str">
            <v>中受剪接头</v>
          </cell>
        </row>
        <row r="9880">
          <cell r="D9880" t="str">
            <v>BC5337100-105R001</v>
          </cell>
          <cell r="E9880" t="str">
            <v>中受剪接头</v>
          </cell>
        </row>
        <row r="9881">
          <cell r="D9881" t="str">
            <v>BC5337100-105R001</v>
          </cell>
          <cell r="E9881" t="str">
            <v>中受剪接头</v>
          </cell>
        </row>
        <row r="9882">
          <cell r="D9882" t="str">
            <v>BC5337100-105R001</v>
          </cell>
          <cell r="E9882" t="str">
            <v>中受剪接头</v>
          </cell>
        </row>
        <row r="9883">
          <cell r="D9883" t="str">
            <v>BC5337100-105R001</v>
          </cell>
          <cell r="E9883" t="str">
            <v>中受剪接头</v>
          </cell>
        </row>
        <row r="9884">
          <cell r="D9884" t="str">
            <v>BC5337100-105R001</v>
          </cell>
          <cell r="E9884" t="str">
            <v>中受剪接头</v>
          </cell>
        </row>
        <row r="9885">
          <cell r="D9885" t="str">
            <v>BC5337100-105R001</v>
          </cell>
          <cell r="E9885" t="str">
            <v>中受剪接头</v>
          </cell>
        </row>
        <row r="9886">
          <cell r="D9886" t="str">
            <v>BC5337100-105R001</v>
          </cell>
          <cell r="E9886" t="str">
            <v>中受剪接头</v>
          </cell>
        </row>
        <row r="9887">
          <cell r="D9887" t="str">
            <v>BC5337100-105R001</v>
          </cell>
          <cell r="E9887" t="str">
            <v>中受剪接头</v>
          </cell>
        </row>
        <row r="9888">
          <cell r="D9888" t="str">
            <v>BC5337100-105R001</v>
          </cell>
          <cell r="E9888" t="str">
            <v>中受剪接头</v>
          </cell>
        </row>
        <row r="9889">
          <cell r="D9889" t="str">
            <v>BC5337100-105R001</v>
          </cell>
          <cell r="E9889" t="str">
            <v>中受剪接头</v>
          </cell>
        </row>
        <row r="9890">
          <cell r="D9890" t="str">
            <v>BC5337100-105R001</v>
          </cell>
          <cell r="E9890" t="str">
            <v>中受剪接头</v>
          </cell>
        </row>
        <row r="9891">
          <cell r="D9891" t="str">
            <v>BC5337100-105R001</v>
          </cell>
          <cell r="E9891" t="str">
            <v>中受剪接头</v>
          </cell>
        </row>
        <row r="9892">
          <cell r="D9892" t="str">
            <v>BC5337100-106R001</v>
          </cell>
          <cell r="E9892" t="str">
            <v>下受剪接头</v>
          </cell>
        </row>
        <row r="9893">
          <cell r="D9893" t="str">
            <v>BC5337100-106R001</v>
          </cell>
          <cell r="E9893" t="str">
            <v>下受剪接头</v>
          </cell>
        </row>
        <row r="9894">
          <cell r="D9894" t="str">
            <v>BC5337100-106R001</v>
          </cell>
          <cell r="E9894" t="str">
            <v>下受剪接头</v>
          </cell>
        </row>
        <row r="9895">
          <cell r="D9895" t="str">
            <v>BC5337100-106R001</v>
          </cell>
          <cell r="E9895" t="str">
            <v>下受剪接头</v>
          </cell>
        </row>
        <row r="9896">
          <cell r="D9896" t="str">
            <v>BC5337100-106R001</v>
          </cell>
          <cell r="E9896" t="str">
            <v>下受剪接头</v>
          </cell>
        </row>
        <row r="9897">
          <cell r="D9897" t="str">
            <v>BC5337100-106R001</v>
          </cell>
          <cell r="E9897" t="str">
            <v>下受剪接头</v>
          </cell>
        </row>
        <row r="9898">
          <cell r="D9898" t="str">
            <v>BC5337100-106R001</v>
          </cell>
          <cell r="E9898" t="str">
            <v>下受剪接头</v>
          </cell>
        </row>
        <row r="9899">
          <cell r="D9899" t="str">
            <v>BC5337100-106R001</v>
          </cell>
          <cell r="E9899" t="str">
            <v>下受剪接头</v>
          </cell>
        </row>
        <row r="9900">
          <cell r="D9900" t="str">
            <v>BC5337100-106R001</v>
          </cell>
          <cell r="E9900" t="str">
            <v>下受剪接头</v>
          </cell>
        </row>
        <row r="9901">
          <cell r="D9901" t="str">
            <v>BC5337100-106R001</v>
          </cell>
          <cell r="E9901" t="str">
            <v>下受剪接头</v>
          </cell>
        </row>
        <row r="9902">
          <cell r="D9902" t="str">
            <v>BC5337100-106R001</v>
          </cell>
          <cell r="E9902" t="str">
            <v>下受剪接头</v>
          </cell>
        </row>
        <row r="9903">
          <cell r="D9903" t="str">
            <v>BC5337100-106R001</v>
          </cell>
          <cell r="E9903" t="str">
            <v>下受剪接头</v>
          </cell>
        </row>
        <row r="9904">
          <cell r="D9904" t="str">
            <v>BC5337100-106R001</v>
          </cell>
          <cell r="E9904" t="str">
            <v>下受剪接头</v>
          </cell>
        </row>
        <row r="9905">
          <cell r="D9905" t="str">
            <v>BC5337100-106R001</v>
          </cell>
          <cell r="E9905" t="str">
            <v>下受剪接头</v>
          </cell>
        </row>
        <row r="9906">
          <cell r="D9906" t="str">
            <v>BC5337100-106R001</v>
          </cell>
          <cell r="E9906" t="str">
            <v>下受剪接头</v>
          </cell>
        </row>
        <row r="9907">
          <cell r="D9907" t="str">
            <v>BC5337100-104L001</v>
          </cell>
          <cell r="E9907" t="str">
            <v>上受剪接头</v>
          </cell>
        </row>
        <row r="9908">
          <cell r="D9908" t="str">
            <v>BC5337100-104L001</v>
          </cell>
          <cell r="E9908" t="str">
            <v>上受剪接头</v>
          </cell>
        </row>
        <row r="9909">
          <cell r="D9909" t="str">
            <v>BC5337100-104L001</v>
          </cell>
          <cell r="E9909" t="str">
            <v>上受剪接头</v>
          </cell>
        </row>
        <row r="9910">
          <cell r="D9910" t="str">
            <v>BC5337100-104L001</v>
          </cell>
          <cell r="E9910" t="str">
            <v>上受剪接头</v>
          </cell>
        </row>
        <row r="9911">
          <cell r="D9911" t="str">
            <v>BC5337100-104L001</v>
          </cell>
          <cell r="E9911" t="str">
            <v>上受剪接头</v>
          </cell>
        </row>
        <row r="9912">
          <cell r="D9912" t="str">
            <v>BC5337100-104L001</v>
          </cell>
          <cell r="E9912" t="str">
            <v>上受剪接头</v>
          </cell>
        </row>
        <row r="9913">
          <cell r="D9913" t="str">
            <v>BC5337100-104L001</v>
          </cell>
          <cell r="E9913" t="str">
            <v>上受剪接头</v>
          </cell>
        </row>
        <row r="9914">
          <cell r="D9914" t="str">
            <v>BC5337100-104L001</v>
          </cell>
          <cell r="E9914" t="str">
            <v>上受剪接头</v>
          </cell>
        </row>
        <row r="9915">
          <cell r="D9915" t="str">
            <v>BC5337100-104L001</v>
          </cell>
          <cell r="E9915" t="str">
            <v>上受剪接头</v>
          </cell>
        </row>
        <row r="9916">
          <cell r="D9916" t="str">
            <v>BC5337100-104L001</v>
          </cell>
          <cell r="E9916" t="str">
            <v>上受剪接头</v>
          </cell>
        </row>
        <row r="9917">
          <cell r="D9917" t="str">
            <v>BC5337100-104L001</v>
          </cell>
          <cell r="E9917" t="str">
            <v>上受剪接头</v>
          </cell>
        </row>
        <row r="9918">
          <cell r="D9918" t="str">
            <v>BC5337100-104L001</v>
          </cell>
          <cell r="E9918" t="str">
            <v>上受剪接头</v>
          </cell>
        </row>
        <row r="9919">
          <cell r="D9919" t="str">
            <v>BC5337100-104L001</v>
          </cell>
          <cell r="E9919" t="str">
            <v>上受剪接头</v>
          </cell>
        </row>
        <row r="9920">
          <cell r="D9920" t="str">
            <v>BC5337100-104L001</v>
          </cell>
          <cell r="E9920" t="str">
            <v>上受剪接头</v>
          </cell>
        </row>
        <row r="9921">
          <cell r="D9921" t="str">
            <v>BC5337100-105L001</v>
          </cell>
          <cell r="E9921" t="str">
            <v>中受剪接头</v>
          </cell>
        </row>
        <row r="9922">
          <cell r="D9922" t="str">
            <v>BC5337100-105L001</v>
          </cell>
          <cell r="E9922" t="str">
            <v>中受剪接头</v>
          </cell>
        </row>
        <row r="9923">
          <cell r="D9923" t="str">
            <v>BC5337100-105L001</v>
          </cell>
          <cell r="E9923" t="str">
            <v>中受剪接头</v>
          </cell>
        </row>
        <row r="9924">
          <cell r="D9924" t="str">
            <v>BC5337100-105L001</v>
          </cell>
          <cell r="E9924" t="str">
            <v>中受剪接头</v>
          </cell>
        </row>
        <row r="9925">
          <cell r="D9925" t="str">
            <v>BC5337100-105L001</v>
          </cell>
          <cell r="E9925" t="str">
            <v>中受剪接头</v>
          </cell>
        </row>
        <row r="9926">
          <cell r="D9926" t="str">
            <v>BC5337100-105L001</v>
          </cell>
          <cell r="E9926" t="str">
            <v>中受剪接头</v>
          </cell>
        </row>
        <row r="9927">
          <cell r="D9927" t="str">
            <v>BC5337100-105L001</v>
          </cell>
          <cell r="E9927" t="str">
            <v>中受剪接头</v>
          </cell>
        </row>
        <row r="9928">
          <cell r="D9928" t="str">
            <v>BC5337100-105L001</v>
          </cell>
          <cell r="E9928" t="str">
            <v>中受剪接头</v>
          </cell>
        </row>
        <row r="9929">
          <cell r="D9929" t="str">
            <v>BC5337100-105L001</v>
          </cell>
          <cell r="E9929" t="str">
            <v>中受剪接头</v>
          </cell>
        </row>
        <row r="9930">
          <cell r="D9930" t="str">
            <v>BC5337100-105L001</v>
          </cell>
          <cell r="E9930" t="str">
            <v>中受剪接头</v>
          </cell>
        </row>
        <row r="9931">
          <cell r="D9931" t="str">
            <v>BC5337100-105L001</v>
          </cell>
          <cell r="E9931" t="str">
            <v>中受剪接头</v>
          </cell>
        </row>
        <row r="9932">
          <cell r="D9932" t="str">
            <v>BC5337100-105L001</v>
          </cell>
          <cell r="E9932" t="str">
            <v>中受剪接头</v>
          </cell>
        </row>
        <row r="9933">
          <cell r="D9933" t="str">
            <v>BC5337100-105L001</v>
          </cell>
          <cell r="E9933" t="str">
            <v>中受剪接头</v>
          </cell>
        </row>
        <row r="9934">
          <cell r="D9934" t="str">
            <v>BC5337100-105L001</v>
          </cell>
          <cell r="E9934" t="str">
            <v>中受剪接头</v>
          </cell>
        </row>
        <row r="9935">
          <cell r="D9935" t="str">
            <v>BC5337100-106L001</v>
          </cell>
          <cell r="E9935" t="str">
            <v>下受剪接头</v>
          </cell>
        </row>
        <row r="9936">
          <cell r="D9936" t="str">
            <v>BC5337100-106L001</v>
          </cell>
          <cell r="E9936" t="str">
            <v>下受剪接头</v>
          </cell>
        </row>
        <row r="9937">
          <cell r="D9937" t="str">
            <v>BC5337100-106L001</v>
          </cell>
          <cell r="E9937" t="str">
            <v>下受剪接头</v>
          </cell>
        </row>
        <row r="9938">
          <cell r="D9938" t="str">
            <v>BC5337100-106L001</v>
          </cell>
          <cell r="E9938" t="str">
            <v>下受剪接头</v>
          </cell>
        </row>
        <row r="9939">
          <cell r="D9939" t="str">
            <v>BC5337100-106L001</v>
          </cell>
          <cell r="E9939" t="str">
            <v>下受剪接头</v>
          </cell>
        </row>
        <row r="9940">
          <cell r="D9940" t="str">
            <v>BC5337100-106L001</v>
          </cell>
          <cell r="E9940" t="str">
            <v>下受剪接头</v>
          </cell>
        </row>
        <row r="9941">
          <cell r="D9941" t="str">
            <v>BC5337100-106L001</v>
          </cell>
          <cell r="E9941" t="str">
            <v>下受剪接头</v>
          </cell>
        </row>
        <row r="9942">
          <cell r="D9942" t="str">
            <v>BC5337100-106L001</v>
          </cell>
          <cell r="E9942" t="str">
            <v>下受剪接头</v>
          </cell>
        </row>
        <row r="9943">
          <cell r="D9943" t="str">
            <v>BC5337100-106L001</v>
          </cell>
          <cell r="E9943" t="str">
            <v>下受剪接头</v>
          </cell>
        </row>
        <row r="9944">
          <cell r="D9944" t="str">
            <v>BC5337100-106L001</v>
          </cell>
          <cell r="E9944" t="str">
            <v>下受剪接头</v>
          </cell>
        </row>
        <row r="9945">
          <cell r="D9945" t="str">
            <v>BC5337100-106L001</v>
          </cell>
          <cell r="E9945" t="str">
            <v>下受剪接头</v>
          </cell>
        </row>
        <row r="9946">
          <cell r="D9946" t="str">
            <v>BC5337100-106L001</v>
          </cell>
          <cell r="E9946" t="str">
            <v>下受剪接头</v>
          </cell>
        </row>
        <row r="9947">
          <cell r="D9947" t="str">
            <v>BC5337100-106L001</v>
          </cell>
          <cell r="E9947" t="str">
            <v>下受剪接头</v>
          </cell>
        </row>
        <row r="9948">
          <cell r="D9948" t="str">
            <v>BC5337100-106L001</v>
          </cell>
          <cell r="E9948" t="str">
            <v>下受剪接头</v>
          </cell>
        </row>
        <row r="9949">
          <cell r="D9949" t="str">
            <v>BC5337100-107R001</v>
          </cell>
          <cell r="E9949" t="str">
            <v>上边条受剪接头</v>
          </cell>
        </row>
        <row r="9950">
          <cell r="D9950" t="str">
            <v>BC5337100-107R001</v>
          </cell>
          <cell r="E9950" t="str">
            <v>上边条受剪接头</v>
          </cell>
        </row>
        <row r="9951">
          <cell r="D9951" t="str">
            <v>BC5337100-107R001</v>
          </cell>
          <cell r="E9951" t="str">
            <v>上边条受剪接头</v>
          </cell>
        </row>
        <row r="9952">
          <cell r="D9952" t="str">
            <v>BC5337100-107R001</v>
          </cell>
          <cell r="E9952" t="str">
            <v>上边条受剪接头</v>
          </cell>
        </row>
        <row r="9953">
          <cell r="D9953" t="str">
            <v>BC5337100-107R001</v>
          </cell>
          <cell r="E9953" t="str">
            <v>上边条受剪接头</v>
          </cell>
        </row>
        <row r="9954">
          <cell r="D9954" t="str">
            <v>BC5337100-107R001</v>
          </cell>
          <cell r="E9954" t="str">
            <v>上边条受剪接头</v>
          </cell>
        </row>
        <row r="9955">
          <cell r="D9955" t="str">
            <v>BC5337100-107R001</v>
          </cell>
          <cell r="E9955" t="str">
            <v>上边条受剪接头</v>
          </cell>
        </row>
        <row r="9956">
          <cell r="D9956" t="str">
            <v>BC5337100-107R001</v>
          </cell>
          <cell r="E9956" t="str">
            <v>上边条受剪接头</v>
          </cell>
        </row>
        <row r="9957">
          <cell r="D9957" t="str">
            <v>BC5337100-107R001</v>
          </cell>
          <cell r="E9957" t="str">
            <v>上边条受剪接头</v>
          </cell>
        </row>
        <row r="9958">
          <cell r="D9958" t="str">
            <v>BC5337100-107R001</v>
          </cell>
          <cell r="E9958" t="str">
            <v>上边条受剪接头</v>
          </cell>
        </row>
        <row r="9959">
          <cell r="D9959" t="str">
            <v>BC5337100-107R001</v>
          </cell>
          <cell r="E9959" t="str">
            <v>上边条受剪接头</v>
          </cell>
        </row>
        <row r="9960">
          <cell r="D9960" t="str">
            <v>BC5337100-107R001</v>
          </cell>
          <cell r="E9960" t="str">
            <v>上边条受剪接头</v>
          </cell>
        </row>
        <row r="9961">
          <cell r="D9961" t="str">
            <v>BC5337100-107R001</v>
          </cell>
          <cell r="E9961" t="str">
            <v>上边条受剪接头</v>
          </cell>
        </row>
        <row r="9962">
          <cell r="D9962" t="str">
            <v>BC5337100-107R001</v>
          </cell>
          <cell r="E9962" t="str">
            <v>上边条受剪接头</v>
          </cell>
        </row>
        <row r="9963">
          <cell r="D9963" t="str">
            <v>BC5337100-107L001</v>
          </cell>
          <cell r="E9963" t="str">
            <v>上边条受剪接头</v>
          </cell>
        </row>
        <row r="9964">
          <cell r="D9964" t="str">
            <v>BC5337100-107L001</v>
          </cell>
          <cell r="E9964" t="str">
            <v>上边条受剪接头</v>
          </cell>
        </row>
        <row r="9965">
          <cell r="D9965" t="str">
            <v>BC5337100-107L001</v>
          </cell>
          <cell r="E9965" t="str">
            <v>上边条受剪接头</v>
          </cell>
        </row>
        <row r="9966">
          <cell r="D9966" t="str">
            <v>BC5337100-107L001</v>
          </cell>
          <cell r="E9966" t="str">
            <v>上边条受剪接头</v>
          </cell>
        </row>
        <row r="9967">
          <cell r="D9967" t="str">
            <v>BC5337100-107L001</v>
          </cell>
          <cell r="E9967" t="str">
            <v>上边条受剪接头</v>
          </cell>
        </row>
        <row r="9968">
          <cell r="D9968" t="str">
            <v>BC5337100-107L001</v>
          </cell>
          <cell r="E9968" t="str">
            <v>上边条受剪接头</v>
          </cell>
        </row>
        <row r="9969">
          <cell r="D9969" t="str">
            <v>BC5337100-107L001</v>
          </cell>
          <cell r="E9969" t="str">
            <v>上边条受剪接头</v>
          </cell>
        </row>
        <row r="9970">
          <cell r="D9970" t="str">
            <v>BC5337100-107L001</v>
          </cell>
          <cell r="E9970" t="str">
            <v>上边条受剪接头</v>
          </cell>
        </row>
        <row r="9971">
          <cell r="D9971" t="str">
            <v>BC5337100-107L001</v>
          </cell>
          <cell r="E9971" t="str">
            <v>上边条受剪接头</v>
          </cell>
        </row>
        <row r="9972">
          <cell r="D9972" t="str">
            <v>BC5337100-107L001</v>
          </cell>
          <cell r="E9972" t="str">
            <v>上边条受剪接头</v>
          </cell>
        </row>
        <row r="9973">
          <cell r="D9973" t="str">
            <v>BC5337100-107L001</v>
          </cell>
          <cell r="E9973" t="str">
            <v>上边条受剪接头</v>
          </cell>
        </row>
        <row r="9974">
          <cell r="D9974" t="str">
            <v>BC5337100-107L001</v>
          </cell>
          <cell r="E9974" t="str">
            <v>上边条受剪接头</v>
          </cell>
        </row>
        <row r="9975">
          <cell r="D9975" t="str">
            <v>BC5337100-107L001</v>
          </cell>
          <cell r="E9975" t="str">
            <v>上边条受剪接头</v>
          </cell>
        </row>
        <row r="9976">
          <cell r="D9976" t="str">
            <v>BC5337100-107L001</v>
          </cell>
          <cell r="E9976" t="str">
            <v>上边条受剪接头</v>
          </cell>
        </row>
        <row r="9977">
          <cell r="D9977" t="str">
            <v>DD-J10B-26002-1G2-Z</v>
          </cell>
          <cell r="E9977" t="str">
            <v>梁（左件）</v>
          </cell>
        </row>
        <row r="9978">
          <cell r="D9978" t="str">
            <v>DD-J10B-26002-1G2-Z</v>
          </cell>
          <cell r="E9978" t="str">
            <v>梁（左件）</v>
          </cell>
        </row>
        <row r="9979">
          <cell r="D9979" t="str">
            <v>DD-J10B-26002-1G2-Z</v>
          </cell>
          <cell r="E9979" t="str">
            <v>梁（左件）</v>
          </cell>
        </row>
        <row r="9980">
          <cell r="D9980" t="str">
            <v>DD-J10B-26002-1G2-Z</v>
          </cell>
          <cell r="E9980" t="str">
            <v>梁（左件）</v>
          </cell>
        </row>
        <row r="9981">
          <cell r="D9981" t="str">
            <v>DD-J10B-26002-1G2-Y</v>
          </cell>
          <cell r="E9981" t="str">
            <v>梁（右件）</v>
          </cell>
        </row>
        <row r="9982">
          <cell r="D9982" t="str">
            <v>DD-J10B-26002-1G2-Y</v>
          </cell>
          <cell r="E9982" t="str">
            <v>梁（右件）</v>
          </cell>
        </row>
        <row r="9983">
          <cell r="D9983" t="str">
            <v>DD-J10B-26002-1G2-Y</v>
          </cell>
          <cell r="E9983" t="str">
            <v>梁（右件）</v>
          </cell>
        </row>
        <row r="9984">
          <cell r="D9984" t="str">
            <v>DD-J10B-26002-1G2-Y</v>
          </cell>
          <cell r="E9984" t="str">
            <v>梁（右件）</v>
          </cell>
        </row>
        <row r="9985">
          <cell r="D9985" t="str">
            <v>531A5100-128-501 B</v>
          </cell>
          <cell r="E9985" t="str">
            <v>后观察窗下窗框</v>
          </cell>
        </row>
        <row r="9986">
          <cell r="D9986" t="str">
            <v>531A5100-128-501 B</v>
          </cell>
          <cell r="E9986" t="str">
            <v>后观察窗下窗框</v>
          </cell>
        </row>
        <row r="9987">
          <cell r="D9987" t="str">
            <v>531A5100-128-501 B</v>
          </cell>
          <cell r="E9987" t="str">
            <v>后观察窗下窗框</v>
          </cell>
        </row>
        <row r="9988">
          <cell r="D9988" t="str">
            <v>531A5100-128-502 B</v>
          </cell>
          <cell r="E9988" t="str">
            <v>后观察窗下窗框</v>
          </cell>
        </row>
        <row r="9989">
          <cell r="D9989" t="str">
            <v>531A5100-128-502 B</v>
          </cell>
          <cell r="E9989" t="str">
            <v>后观察窗下窗框</v>
          </cell>
        </row>
        <row r="9990">
          <cell r="D9990" t="str">
            <v>531A5100-128-502 B</v>
          </cell>
          <cell r="E9990" t="str">
            <v>后观察窗下窗框</v>
          </cell>
        </row>
        <row r="9991">
          <cell r="D9991" t="str">
            <v>531A5100-122-501 B1</v>
          </cell>
          <cell r="E9991" t="str">
            <v>主风挡上窗框</v>
          </cell>
        </row>
        <row r="9992">
          <cell r="D9992" t="str">
            <v>531A5100-122-502 B1</v>
          </cell>
          <cell r="E9992" t="str">
            <v>主风挡上窗框</v>
          </cell>
        </row>
        <row r="9993">
          <cell r="D9993" t="str">
            <v>561A3341-009-501</v>
          </cell>
          <cell r="E9993" t="str">
            <v>螺母</v>
          </cell>
        </row>
        <row r="9994">
          <cell r="D9994" t="str">
            <v>561A3341-009-501</v>
          </cell>
          <cell r="E9994" t="str">
            <v>螺母</v>
          </cell>
        </row>
        <row r="9995">
          <cell r="D9995" t="str">
            <v>DD-J10B-65000-1901G2</v>
          </cell>
          <cell r="E9995" t="str">
            <v>固定板</v>
          </cell>
        </row>
        <row r="9996">
          <cell r="D9996" t="str">
            <v>BC3132110-003-001</v>
          </cell>
          <cell r="E9996" t="str">
            <v>杆</v>
          </cell>
        </row>
        <row r="9997">
          <cell r="D9997" t="str">
            <v>BC2712311-004-003</v>
          </cell>
          <cell r="E9997" t="str">
            <v>保护罩支座</v>
          </cell>
        </row>
        <row r="9998">
          <cell r="D9998" t="str">
            <v>BC2712311-004-003</v>
          </cell>
          <cell r="E9998" t="str">
            <v>保护罩支座</v>
          </cell>
        </row>
        <row r="9999">
          <cell r="D9999" t="str">
            <v>BC2299241-004-001</v>
          </cell>
          <cell r="E9999" t="str">
            <v>套筒</v>
          </cell>
        </row>
        <row r="10000">
          <cell r="D10000" t="str">
            <v>EA5732100-005L101</v>
          </cell>
          <cell r="E10000" t="str">
            <v>后翼前缘第5肋</v>
          </cell>
        </row>
        <row r="10001">
          <cell r="D10001" t="str">
            <v>EA5732100-005R101</v>
          </cell>
          <cell r="E10001" t="str">
            <v>后翼前缘第5肋</v>
          </cell>
        </row>
        <row r="10002">
          <cell r="D10002" t="str">
            <v>EA5700041-008R101</v>
          </cell>
          <cell r="E10002" t="str">
            <v>后下对接肋</v>
          </cell>
        </row>
        <row r="10003">
          <cell r="D10003" t="str">
            <v>EA5700041-008L101</v>
          </cell>
          <cell r="E10003" t="str">
            <v>后下对接肋</v>
          </cell>
        </row>
        <row r="10004">
          <cell r="D10004" t="str">
            <v>EA5731400-003R101</v>
          </cell>
          <cell r="E10004" t="str">
            <v>后翼主翼面3肋</v>
          </cell>
        </row>
        <row r="10005">
          <cell r="D10005" t="str">
            <v>EA5731400-003L101</v>
          </cell>
          <cell r="E10005" t="str">
            <v>后翼主翼面3肋</v>
          </cell>
        </row>
        <row r="10006">
          <cell r="D10006" t="str">
            <v>EA5731400-002L101</v>
          </cell>
          <cell r="E10006" t="str">
            <v>后翼主翼面2肋</v>
          </cell>
        </row>
        <row r="10007">
          <cell r="D10007" t="str">
            <v>EA5731400-002R101</v>
          </cell>
          <cell r="E10007" t="str">
            <v>后翼主翼面2肋</v>
          </cell>
        </row>
        <row r="10008">
          <cell r="D10008" t="str">
            <v>EA5721120-001L101</v>
          </cell>
          <cell r="E10008" t="str">
            <v>前翼外段前梁二段</v>
          </cell>
        </row>
        <row r="10009">
          <cell r="D10009" t="str">
            <v>EA5721120-001R101</v>
          </cell>
          <cell r="E10009" t="str">
            <v>前翼外段前梁二段</v>
          </cell>
        </row>
        <row r="10010">
          <cell r="D10010" t="str">
            <v>CB5324413-004-002</v>
          </cell>
          <cell r="E10010" t="str">
            <v>油箱底板（中）</v>
          </cell>
        </row>
        <row r="10011">
          <cell r="D10011" t="str">
            <v>CB5324413-004-002</v>
          </cell>
          <cell r="E10011" t="str">
            <v>油箱底板（中）</v>
          </cell>
        </row>
        <row r="10012">
          <cell r="D10012" t="str">
            <v>CB5325210-001-004</v>
          </cell>
          <cell r="E10012" t="str">
            <v>辅助动力舱口盖前段</v>
          </cell>
        </row>
        <row r="10013">
          <cell r="D10013" t="str">
            <v>CB5325210-001-004</v>
          </cell>
          <cell r="E10013" t="str">
            <v>辅助动力舱口盖前段</v>
          </cell>
        </row>
        <row r="10014">
          <cell r="D10014" t="str">
            <v>CB5325210-001-004</v>
          </cell>
          <cell r="E10014" t="str">
            <v>辅助动力舱口盖前段</v>
          </cell>
        </row>
        <row r="10015">
          <cell r="D10015" t="str">
            <v>CB5325210-001-004</v>
          </cell>
          <cell r="E10015" t="str">
            <v>辅助动力舱口盖前段</v>
          </cell>
        </row>
        <row r="10016">
          <cell r="D10016" t="str">
            <v>CB5325210-001-004</v>
          </cell>
          <cell r="E10016" t="str">
            <v>辅助动力舱口盖前段</v>
          </cell>
        </row>
        <row r="10017">
          <cell r="D10017" t="str">
            <v>DD-J10B-21002-2-Z</v>
          </cell>
          <cell r="E10017" t="str">
            <v>4号下壁板（左件）</v>
          </cell>
        </row>
        <row r="10018">
          <cell r="D10018" t="str">
            <v>DD-J10B-05236-111-Y</v>
          </cell>
          <cell r="E10018" t="str">
            <v>前隔框</v>
          </cell>
        </row>
        <row r="10019">
          <cell r="D10019" t="str">
            <v>DD-J10B-05236-111-Y</v>
          </cell>
          <cell r="E10019" t="str">
            <v>前隔框</v>
          </cell>
        </row>
        <row r="10020">
          <cell r="D10020" t="str">
            <v>DD-J10B-05236-111-Y</v>
          </cell>
          <cell r="E10020" t="str">
            <v>前隔框</v>
          </cell>
        </row>
        <row r="10021">
          <cell r="D10021" t="str">
            <v>DD-J10B-05236-111-Y</v>
          </cell>
          <cell r="E10021" t="str">
            <v>前隔框</v>
          </cell>
        </row>
        <row r="10022">
          <cell r="D10022" t="str">
            <v>DD-J10B-05236-111-Z</v>
          </cell>
          <cell r="E10022" t="str">
            <v>前隔框</v>
          </cell>
        </row>
        <row r="10023">
          <cell r="D10023" t="str">
            <v>DD-J10B-05236-111-Z</v>
          </cell>
          <cell r="E10023" t="str">
            <v>前隔框</v>
          </cell>
        </row>
        <row r="10024">
          <cell r="D10024" t="str">
            <v>DD-J10B-05236-111-Z</v>
          </cell>
          <cell r="E10024" t="str">
            <v>前隔框</v>
          </cell>
        </row>
        <row r="10025">
          <cell r="D10025" t="str">
            <v>DD-J10B-05236-111-Z</v>
          </cell>
          <cell r="E10025" t="str">
            <v>前隔框</v>
          </cell>
        </row>
        <row r="10026">
          <cell r="D10026" t="str">
            <v>Y20-4252203187-001</v>
          </cell>
          <cell r="E10026" t="str">
            <v>支架</v>
          </cell>
        </row>
        <row r="10027">
          <cell r="D10027" t="str">
            <v>Y20-4252203187-002</v>
          </cell>
          <cell r="E10027" t="str">
            <v>支架</v>
          </cell>
        </row>
        <row r="10028">
          <cell r="D10028" t="str">
            <v>Y20-4252203194-001</v>
          </cell>
          <cell r="E10028" t="str">
            <v>支架</v>
          </cell>
        </row>
        <row r="10029">
          <cell r="D10029" t="str">
            <v>Y20-4252203194-002</v>
          </cell>
          <cell r="E10029" t="str">
            <v>支架</v>
          </cell>
        </row>
        <row r="10030">
          <cell r="D10030" t="str">
            <v>CB5327120-003L006</v>
          </cell>
          <cell r="E10030" t="str">
            <v>8270侧隔框</v>
          </cell>
        </row>
        <row r="10031">
          <cell r="D10031" t="str">
            <v>CB5327120-003L006</v>
          </cell>
          <cell r="E10031" t="str">
            <v>8270侧隔框</v>
          </cell>
        </row>
        <row r="10032">
          <cell r="D10032" t="str">
            <v>CB5327120-003L006</v>
          </cell>
          <cell r="E10032" t="str">
            <v>8270侧隔框</v>
          </cell>
        </row>
        <row r="10033">
          <cell r="D10033" t="str">
            <v>CB5327120-003L006</v>
          </cell>
          <cell r="E10033" t="str">
            <v>8270侧隔框</v>
          </cell>
        </row>
        <row r="10034">
          <cell r="D10034" t="str">
            <v>CB5327120-003L006</v>
          </cell>
          <cell r="E10034" t="str">
            <v>8270侧隔框</v>
          </cell>
        </row>
        <row r="10035">
          <cell r="D10035" t="str">
            <v>CB5327120-003R006</v>
          </cell>
          <cell r="E10035" t="str">
            <v>8270侧隔框</v>
          </cell>
        </row>
        <row r="10036">
          <cell r="D10036" t="str">
            <v>CB5327120-003R006</v>
          </cell>
          <cell r="E10036" t="str">
            <v>8270侧隔框</v>
          </cell>
        </row>
        <row r="10037">
          <cell r="D10037" t="str">
            <v>CB5327120-003R006</v>
          </cell>
          <cell r="E10037" t="str">
            <v>8270侧隔框</v>
          </cell>
        </row>
        <row r="10038">
          <cell r="D10038" t="str">
            <v>CB5327120-003R006</v>
          </cell>
          <cell r="E10038" t="str">
            <v>8270侧隔框</v>
          </cell>
        </row>
        <row r="10039">
          <cell r="D10039" t="str">
            <v>CB5327120-003R006</v>
          </cell>
          <cell r="E10039" t="str">
            <v>8270侧隔框</v>
          </cell>
        </row>
        <row r="10040">
          <cell r="D10040" t="str">
            <v>Y20-4354233101-001</v>
          </cell>
          <cell r="E10040" t="str">
            <v>氧气瓶支架</v>
          </cell>
        </row>
        <row r="10041">
          <cell r="D10041" t="str">
            <v>BC5812800-001-001</v>
          </cell>
          <cell r="E10041" t="str">
            <v>摇臂</v>
          </cell>
        </row>
        <row r="10042">
          <cell r="D10042" t="str">
            <v>BC5812800-001-001</v>
          </cell>
          <cell r="E10042" t="str">
            <v>摇臂</v>
          </cell>
        </row>
        <row r="10043">
          <cell r="D10043" t="str">
            <v>BC5812800-001-001</v>
          </cell>
          <cell r="E10043" t="str">
            <v>摇臂</v>
          </cell>
        </row>
        <row r="10044">
          <cell r="D10044" t="str">
            <v>BC5812800-001-001</v>
          </cell>
          <cell r="E10044" t="str">
            <v>摇臂</v>
          </cell>
        </row>
        <row r="10045">
          <cell r="D10045" t="str">
            <v>BC22107LC-002-001</v>
          </cell>
          <cell r="E10045" t="str">
            <v>堵头</v>
          </cell>
        </row>
        <row r="10046">
          <cell r="D10046" t="str">
            <v>BC221T2ME-001-001</v>
          </cell>
          <cell r="E10046" t="str">
            <v>法兰盘</v>
          </cell>
        </row>
        <row r="10047">
          <cell r="D10047" t="str">
            <v>DD-J10B-55015-4203</v>
          </cell>
          <cell r="E10047" t="str">
            <v>接管嘴</v>
          </cell>
        </row>
        <row r="10048">
          <cell r="D10048" t="str">
            <v>DD-J10B-55015-4203</v>
          </cell>
          <cell r="E10048" t="str">
            <v>接管嘴</v>
          </cell>
        </row>
        <row r="10049">
          <cell r="D10049" t="str">
            <v>260A1510-006-001</v>
          </cell>
          <cell r="E10049" t="str">
            <v>衬套</v>
          </cell>
        </row>
        <row r="10050">
          <cell r="D10050" t="str">
            <v>561A3310-015-501</v>
          </cell>
          <cell r="E10050" t="str">
            <v>衬套</v>
          </cell>
        </row>
        <row r="10051">
          <cell r="D10051" t="str">
            <v>561A3310-009-501</v>
          </cell>
          <cell r="E10051" t="str">
            <v>衬套</v>
          </cell>
        </row>
        <row r="10052">
          <cell r="D10052" t="str">
            <v>DD-J10B-61001-2</v>
          </cell>
          <cell r="E10052" t="str">
            <v>接头</v>
          </cell>
        </row>
        <row r="10053">
          <cell r="D10053" t="str">
            <v>DD-J10B-61001-2</v>
          </cell>
          <cell r="E10053" t="str">
            <v>接头</v>
          </cell>
        </row>
        <row r="10054">
          <cell r="D10054" t="str">
            <v>CB2292321-001-003</v>
          </cell>
          <cell r="E10054" t="str">
            <v>支座</v>
          </cell>
        </row>
        <row r="10055">
          <cell r="D10055" t="str">
            <v>CB22924K0-001-005</v>
          </cell>
          <cell r="E10055" t="str">
            <v>角片</v>
          </cell>
        </row>
        <row r="10056">
          <cell r="D10056" t="str">
            <v>CB22924J0-002-005</v>
          </cell>
          <cell r="E10056" t="str">
            <v>角片</v>
          </cell>
        </row>
        <row r="10057">
          <cell r="D10057" t="str">
            <v>BC2299252-002-001</v>
          </cell>
          <cell r="E10057" t="str">
            <v>支架底座</v>
          </cell>
        </row>
        <row r="10058">
          <cell r="D10058" t="str">
            <v>CB5327110-002L004</v>
          </cell>
          <cell r="E10058" t="str">
            <v>8270左隔框</v>
          </cell>
        </row>
        <row r="10059">
          <cell r="D10059" t="str">
            <v>CB5327110-002L004</v>
          </cell>
          <cell r="E10059" t="str">
            <v>8270左隔框</v>
          </cell>
        </row>
        <row r="10060">
          <cell r="D10060" t="str">
            <v>CB5327110-002L004</v>
          </cell>
          <cell r="E10060" t="str">
            <v>8270左隔框</v>
          </cell>
        </row>
        <row r="10061">
          <cell r="D10061" t="str">
            <v>CB5327110-002L004</v>
          </cell>
          <cell r="E10061" t="str">
            <v>8270左隔框</v>
          </cell>
        </row>
        <row r="10062">
          <cell r="D10062" t="str">
            <v>CB5327110-002L004</v>
          </cell>
          <cell r="E10062" t="str">
            <v>8270左隔框</v>
          </cell>
        </row>
        <row r="10063">
          <cell r="D10063" t="str">
            <v>CB5327110-002R004</v>
          </cell>
          <cell r="E10063" t="str">
            <v>8270右隔框</v>
          </cell>
        </row>
        <row r="10064">
          <cell r="D10064" t="str">
            <v>CB5327110-002R004</v>
          </cell>
          <cell r="E10064" t="str">
            <v>8270右隔框</v>
          </cell>
        </row>
        <row r="10065">
          <cell r="D10065" t="str">
            <v>CB5327110-002R004</v>
          </cell>
          <cell r="E10065" t="str">
            <v>8270右隔框</v>
          </cell>
        </row>
        <row r="10066">
          <cell r="D10066" t="str">
            <v>CB5327110-002R004</v>
          </cell>
          <cell r="E10066" t="str">
            <v>8270右隔框</v>
          </cell>
        </row>
        <row r="10067">
          <cell r="D10067" t="str">
            <v>CB5327110-002R004</v>
          </cell>
          <cell r="E10067" t="str">
            <v>8270右隔框</v>
          </cell>
        </row>
        <row r="10068">
          <cell r="D10068" t="str">
            <v>CB5327120-013R015</v>
          </cell>
          <cell r="E10068" t="str">
            <v>10150侧隔框</v>
          </cell>
        </row>
        <row r="10069">
          <cell r="D10069" t="str">
            <v>CB5327120-013R015</v>
          </cell>
          <cell r="E10069" t="str">
            <v>10150侧隔框</v>
          </cell>
        </row>
        <row r="10070">
          <cell r="D10070" t="str">
            <v>CB5327120-013R015</v>
          </cell>
          <cell r="E10070" t="str">
            <v>10150侧隔框</v>
          </cell>
        </row>
        <row r="10071">
          <cell r="D10071" t="str">
            <v>CB5327120-013R015</v>
          </cell>
          <cell r="E10071" t="str">
            <v>10150侧隔框</v>
          </cell>
        </row>
        <row r="10072">
          <cell r="D10072" t="str">
            <v>CB5327120-013R015</v>
          </cell>
          <cell r="E10072" t="str">
            <v>10150侧隔框</v>
          </cell>
        </row>
        <row r="10073">
          <cell r="D10073" t="str">
            <v>CB5327120-013R015</v>
          </cell>
          <cell r="E10073" t="str">
            <v>10150侧隔框</v>
          </cell>
        </row>
        <row r="10074">
          <cell r="D10074" t="str">
            <v>CB5327120-013R015</v>
          </cell>
          <cell r="E10074" t="str">
            <v>10150侧隔框</v>
          </cell>
        </row>
        <row r="10075">
          <cell r="D10075" t="str">
            <v>CB5327120-013R015</v>
          </cell>
          <cell r="E10075" t="str">
            <v>10150侧隔框</v>
          </cell>
        </row>
        <row r="10076">
          <cell r="D10076" t="str">
            <v>CB5327120-013R015</v>
          </cell>
          <cell r="E10076" t="str">
            <v>10150侧隔框</v>
          </cell>
        </row>
        <row r="10077">
          <cell r="D10077" t="str">
            <v>CB5327120-013R015</v>
          </cell>
          <cell r="E10077" t="str">
            <v>10150侧隔框</v>
          </cell>
        </row>
        <row r="10078">
          <cell r="D10078" t="str">
            <v>CB5327120-013L015</v>
          </cell>
          <cell r="E10078" t="str">
            <v>10150侧隔框</v>
          </cell>
        </row>
        <row r="10079">
          <cell r="D10079" t="str">
            <v>CB5327120-013L015</v>
          </cell>
          <cell r="E10079" t="str">
            <v>10150侧隔框</v>
          </cell>
        </row>
        <row r="10080">
          <cell r="D10080" t="str">
            <v>CB5327120-013L015</v>
          </cell>
          <cell r="E10080" t="str">
            <v>10150侧隔框</v>
          </cell>
        </row>
        <row r="10081">
          <cell r="D10081" t="str">
            <v>CB5327120-013L015</v>
          </cell>
          <cell r="E10081" t="str">
            <v>10150侧隔框</v>
          </cell>
        </row>
        <row r="10082">
          <cell r="D10082" t="str">
            <v>CB5327120-013L015</v>
          </cell>
          <cell r="E10082" t="str">
            <v>10150侧隔框</v>
          </cell>
        </row>
        <row r="10083">
          <cell r="D10083" t="str">
            <v>CB5327120-013L015</v>
          </cell>
          <cell r="E10083" t="str">
            <v>10150侧隔框</v>
          </cell>
        </row>
        <row r="10084">
          <cell r="D10084" t="str">
            <v>CB5327120-013L015</v>
          </cell>
          <cell r="E10084" t="str">
            <v>10150侧隔框</v>
          </cell>
        </row>
        <row r="10085">
          <cell r="D10085" t="str">
            <v>CB5327120-013L015</v>
          </cell>
          <cell r="E10085" t="str">
            <v>10150侧隔框</v>
          </cell>
        </row>
        <row r="10086">
          <cell r="D10086" t="str">
            <v>CB5327120-013L015</v>
          </cell>
          <cell r="E10086" t="str">
            <v>10150侧隔框</v>
          </cell>
        </row>
        <row r="10087">
          <cell r="D10087" t="str">
            <v>CB5327120-013L015</v>
          </cell>
          <cell r="E10087" t="str">
            <v>10150侧隔框</v>
          </cell>
        </row>
        <row r="10088">
          <cell r="D10088" t="str">
            <v>CB5327120-010R015</v>
          </cell>
          <cell r="E10088" t="str">
            <v>9555侧隔框</v>
          </cell>
        </row>
        <row r="10089">
          <cell r="D10089" t="str">
            <v>CB5327120-010R015</v>
          </cell>
          <cell r="E10089" t="str">
            <v>9555侧隔框</v>
          </cell>
        </row>
        <row r="10090">
          <cell r="D10090" t="str">
            <v>CB5327120-010R015</v>
          </cell>
          <cell r="E10090" t="str">
            <v>9555侧隔框</v>
          </cell>
        </row>
        <row r="10091">
          <cell r="D10091" t="str">
            <v>CB5327120-010R015</v>
          </cell>
          <cell r="E10091" t="str">
            <v>9555侧隔框</v>
          </cell>
        </row>
        <row r="10092">
          <cell r="D10092" t="str">
            <v>CB5327120-010R015</v>
          </cell>
          <cell r="E10092" t="str">
            <v>9555侧隔框</v>
          </cell>
        </row>
        <row r="10093">
          <cell r="D10093" t="str">
            <v>CB5327120-010R015</v>
          </cell>
          <cell r="E10093" t="str">
            <v>9555侧隔框</v>
          </cell>
        </row>
        <row r="10094">
          <cell r="D10094" t="str">
            <v>CB5327120-010R015</v>
          </cell>
          <cell r="E10094" t="str">
            <v>9555侧隔框</v>
          </cell>
        </row>
        <row r="10095">
          <cell r="D10095" t="str">
            <v>CB5327120-010R015</v>
          </cell>
          <cell r="E10095" t="str">
            <v>9555侧隔框</v>
          </cell>
        </row>
        <row r="10096">
          <cell r="D10096" t="str">
            <v>CB5327120-010R015</v>
          </cell>
          <cell r="E10096" t="str">
            <v>9555侧隔框</v>
          </cell>
        </row>
        <row r="10097">
          <cell r="D10097" t="str">
            <v>CB5327120-010R015</v>
          </cell>
          <cell r="E10097" t="str">
            <v>9555侧隔框</v>
          </cell>
        </row>
        <row r="10098">
          <cell r="D10098" t="str">
            <v>CB5327120-010L015</v>
          </cell>
          <cell r="E10098" t="str">
            <v>9555侧隔框</v>
          </cell>
        </row>
        <row r="10099">
          <cell r="D10099" t="str">
            <v>CB5327120-010L015</v>
          </cell>
          <cell r="E10099" t="str">
            <v>9555侧隔框</v>
          </cell>
        </row>
        <row r="10100">
          <cell r="D10100" t="str">
            <v>CB5327120-010L015</v>
          </cell>
          <cell r="E10100" t="str">
            <v>9555侧隔框</v>
          </cell>
        </row>
        <row r="10101">
          <cell r="D10101" t="str">
            <v>CB5327120-010L015</v>
          </cell>
          <cell r="E10101" t="str">
            <v>9555侧隔框</v>
          </cell>
        </row>
        <row r="10102">
          <cell r="D10102" t="str">
            <v>CB5327120-010L015</v>
          </cell>
          <cell r="E10102" t="str">
            <v>9555侧隔框</v>
          </cell>
        </row>
        <row r="10103">
          <cell r="D10103" t="str">
            <v>CB5327120-010L015</v>
          </cell>
          <cell r="E10103" t="str">
            <v>9555侧隔框</v>
          </cell>
        </row>
        <row r="10104">
          <cell r="D10104" t="str">
            <v>CB5327120-010L015</v>
          </cell>
          <cell r="E10104" t="str">
            <v>9555侧隔框</v>
          </cell>
        </row>
        <row r="10105">
          <cell r="D10105" t="str">
            <v>CB5327120-010L015</v>
          </cell>
          <cell r="E10105" t="str">
            <v>9555侧隔框</v>
          </cell>
        </row>
        <row r="10106">
          <cell r="D10106" t="str">
            <v>CB5327120-010L015</v>
          </cell>
          <cell r="E10106" t="str">
            <v>9555侧隔框</v>
          </cell>
        </row>
        <row r="10107">
          <cell r="D10107" t="str">
            <v>CB5327120-010L015</v>
          </cell>
          <cell r="E10107" t="str">
            <v>9555侧隔框</v>
          </cell>
        </row>
        <row r="10108">
          <cell r="D10108" t="str">
            <v>DD-J10B-04051-1</v>
          </cell>
          <cell r="E10108" t="str">
            <v>10460框</v>
          </cell>
        </row>
        <row r="10109">
          <cell r="D10109" t="str">
            <v>DD-J10B-04051-1</v>
          </cell>
          <cell r="E10109" t="str">
            <v>10460框</v>
          </cell>
        </row>
        <row r="10110">
          <cell r="D10110" t="str">
            <v>DD-J10B-04061-1</v>
          </cell>
          <cell r="E10110" t="str">
            <v>10860框</v>
          </cell>
        </row>
        <row r="10111">
          <cell r="D10111" t="str">
            <v>DD-J10B-04061-1</v>
          </cell>
          <cell r="E10111" t="str">
            <v>10860框</v>
          </cell>
        </row>
        <row r="10112">
          <cell r="D10112" t="str">
            <v>DD-J10B-04061-1</v>
          </cell>
          <cell r="E10112" t="str">
            <v>10860框</v>
          </cell>
        </row>
        <row r="10113">
          <cell r="D10113" t="str">
            <v>DD-J10-21102-31-Z</v>
          </cell>
          <cell r="E10113" t="str">
            <v>10060上接头</v>
          </cell>
        </row>
        <row r="10114">
          <cell r="D10114" t="str">
            <v>DD-J10-21102-31-Z</v>
          </cell>
          <cell r="E10114" t="str">
            <v>10060上接头</v>
          </cell>
        </row>
        <row r="10115">
          <cell r="D10115" t="str">
            <v>DD-J10-21102-31-Y</v>
          </cell>
          <cell r="E10115" t="str">
            <v>10060上接头</v>
          </cell>
        </row>
        <row r="10116">
          <cell r="D10116" t="str">
            <v>DD-J10-21102-31-Y</v>
          </cell>
          <cell r="E10116" t="str">
            <v>10060上接头</v>
          </cell>
        </row>
        <row r="10117">
          <cell r="D10117" t="str">
            <v>DD-J10-21102-33-Z</v>
          </cell>
          <cell r="E10117" t="str">
            <v>10460上接头</v>
          </cell>
        </row>
        <row r="10118">
          <cell r="D10118" t="str">
            <v>DD-J10-21102-33-Z</v>
          </cell>
          <cell r="E10118" t="str">
            <v>10460上接头</v>
          </cell>
        </row>
        <row r="10119">
          <cell r="D10119" t="str">
            <v>DD-J10-21102-33-Y</v>
          </cell>
          <cell r="E10119" t="str">
            <v>10460上接头</v>
          </cell>
        </row>
        <row r="10120">
          <cell r="D10120" t="str">
            <v>DD-J10-21102-33-Y</v>
          </cell>
          <cell r="E10120" t="str">
            <v>10460上接头</v>
          </cell>
        </row>
        <row r="10121">
          <cell r="D10121" t="str">
            <v>DD-J10-21102-33-Y</v>
          </cell>
          <cell r="E10121" t="str">
            <v>10460上接头</v>
          </cell>
        </row>
        <row r="10122">
          <cell r="D10122" t="str">
            <v>DD-J10B-04321-30-1-Y</v>
          </cell>
          <cell r="E10122" t="str">
            <v>侧下梁（精加工）</v>
          </cell>
        </row>
        <row r="10123">
          <cell r="D10123" t="str">
            <v>DD-J10B-04321-30-1-Y</v>
          </cell>
          <cell r="E10123" t="str">
            <v>侧下梁（精加工）</v>
          </cell>
        </row>
        <row r="10124">
          <cell r="D10124" t="str">
            <v>DD-J10B-04321-30-1-Y</v>
          </cell>
          <cell r="E10124" t="str">
            <v>侧下梁（精加工）</v>
          </cell>
        </row>
        <row r="10125">
          <cell r="D10125" t="str">
            <v>DD-J10B-04321-30-1-Y</v>
          </cell>
          <cell r="E10125" t="str">
            <v>侧下梁（精加工）</v>
          </cell>
        </row>
        <row r="10126">
          <cell r="D10126" t="str">
            <v>DD-J10B-04321-30-1-Z</v>
          </cell>
          <cell r="E10126" t="str">
            <v>侧下梁（精加工）</v>
          </cell>
        </row>
        <row r="10127">
          <cell r="D10127" t="str">
            <v>DD-J10B-04321-30-1-Z</v>
          </cell>
          <cell r="E10127" t="str">
            <v>侧下梁（精加工）</v>
          </cell>
        </row>
        <row r="10128">
          <cell r="D10128" t="str">
            <v>DD-J10B-04321-30-1-Z</v>
          </cell>
          <cell r="E10128" t="str">
            <v>侧下梁（精加工）</v>
          </cell>
        </row>
        <row r="10129">
          <cell r="D10129" t="str">
            <v>DD-J10B-04321-30-1-Z</v>
          </cell>
          <cell r="E10129" t="str">
            <v>侧下梁（精加工）</v>
          </cell>
        </row>
        <row r="10130">
          <cell r="D10130" t="str">
            <v>DD-J10B-04321-30-1-Z</v>
          </cell>
          <cell r="E10130" t="str">
            <v>侧下梁（精加工）</v>
          </cell>
        </row>
        <row r="10131">
          <cell r="D10131" t="str">
            <v>BC5337100-108R001</v>
          </cell>
          <cell r="E10131" t="str">
            <v>下边条受剪接头</v>
          </cell>
        </row>
        <row r="10132">
          <cell r="D10132" t="str">
            <v>BC5337100-108L001</v>
          </cell>
          <cell r="E10132" t="str">
            <v>下边条受剪接头</v>
          </cell>
        </row>
        <row r="10133">
          <cell r="D10133" t="str">
            <v>DD-J10B-02041-202G2</v>
          </cell>
          <cell r="E10133" t="str">
            <v>地板</v>
          </cell>
        </row>
        <row r="10134">
          <cell r="D10134" t="str">
            <v>DD-J10B-02041-202G2</v>
          </cell>
          <cell r="E10134" t="str">
            <v>地板</v>
          </cell>
        </row>
        <row r="10135">
          <cell r="D10135" t="str">
            <v>CB5324310-003-006</v>
          </cell>
          <cell r="E10135" t="str">
            <v>角盒</v>
          </cell>
        </row>
        <row r="10136">
          <cell r="D10136" t="str">
            <v>CB5324310-003-006</v>
          </cell>
          <cell r="E10136" t="str">
            <v>角盒</v>
          </cell>
        </row>
        <row r="10137">
          <cell r="D10137" t="str">
            <v>CB5315190-002L001</v>
          </cell>
          <cell r="E10137" t="str">
            <v>WL-600地板梁</v>
          </cell>
        </row>
        <row r="10138">
          <cell r="D10138" t="str">
            <v>CB5315190-002L001</v>
          </cell>
          <cell r="E10138" t="str">
            <v>WL-600地板梁</v>
          </cell>
        </row>
        <row r="10139">
          <cell r="D10139" t="str">
            <v>CB5315190-002L001</v>
          </cell>
          <cell r="E10139" t="str">
            <v>WL-600地板梁</v>
          </cell>
        </row>
        <row r="10140">
          <cell r="D10140" t="str">
            <v>CB5315190-002R001</v>
          </cell>
          <cell r="E10140" t="str">
            <v>WL-600地板梁</v>
          </cell>
        </row>
        <row r="10141">
          <cell r="D10141" t="str">
            <v>CB5315190-002R001</v>
          </cell>
          <cell r="E10141" t="str">
            <v>WL-600地板梁</v>
          </cell>
        </row>
        <row r="10142">
          <cell r="D10142" t="str">
            <v>CB5315190-002R001</v>
          </cell>
          <cell r="E10142" t="str">
            <v>WL-600地板梁</v>
          </cell>
        </row>
        <row r="10143">
          <cell r="D10143" t="str">
            <v>CB5314107-005-001</v>
          </cell>
          <cell r="E10143" t="str">
            <v>油箱口盖</v>
          </cell>
        </row>
        <row r="10144">
          <cell r="D10144" t="str">
            <v>CB5314107-005-001</v>
          </cell>
          <cell r="E10144" t="str">
            <v>油箱口盖</v>
          </cell>
        </row>
        <row r="10145">
          <cell r="D10145" t="str">
            <v>CB5314107-005-001</v>
          </cell>
          <cell r="E10145" t="str">
            <v>油箱口盖</v>
          </cell>
        </row>
        <row r="10146">
          <cell r="D10146" t="str">
            <v>CB5314107-005-001</v>
          </cell>
          <cell r="E10146" t="str">
            <v>油箱口盖</v>
          </cell>
        </row>
        <row r="10147">
          <cell r="D10147" t="str">
            <v>CB22931L1-001-003</v>
          </cell>
          <cell r="E10147" t="str">
            <v>底座</v>
          </cell>
        </row>
        <row r="10148">
          <cell r="D10148" t="str">
            <v>DD-J10B-65000-1820G2-1</v>
          </cell>
          <cell r="E10148" t="str">
            <v>摇臂</v>
          </cell>
        </row>
        <row r="10149">
          <cell r="D10149" t="str">
            <v>531A5100-124-501 B</v>
          </cell>
          <cell r="E10149" t="str">
            <v>6#面立柱</v>
          </cell>
        </row>
        <row r="10150">
          <cell r="D10150" t="str">
            <v>531A5100-124-502 B</v>
          </cell>
          <cell r="E10150" t="str">
            <v>6#面立柱</v>
          </cell>
        </row>
        <row r="10151">
          <cell r="D10151" t="str">
            <v>CB5314107-001-002</v>
          </cell>
          <cell r="E10151" t="str">
            <v>5550上框（精加工）</v>
          </cell>
        </row>
        <row r="10152">
          <cell r="D10152" t="str">
            <v>CB5314107-001-002</v>
          </cell>
          <cell r="E10152" t="str">
            <v>5550上框（精加工）</v>
          </cell>
        </row>
        <row r="10153">
          <cell r="D10153" t="str">
            <v>CB5713600-001R004</v>
          </cell>
          <cell r="E10153" t="str">
            <v>前梁一段</v>
          </cell>
        </row>
        <row r="10154">
          <cell r="D10154" t="str">
            <v>CB5713600-001R004</v>
          </cell>
          <cell r="E10154" t="str">
            <v>前梁一段</v>
          </cell>
        </row>
        <row r="10155">
          <cell r="D10155" t="str">
            <v>CB5713600-001L006</v>
          </cell>
          <cell r="E10155" t="str">
            <v>前梁一段</v>
          </cell>
        </row>
        <row r="10156">
          <cell r="D10156" t="str">
            <v>CB5713600-001L006</v>
          </cell>
          <cell r="E10156" t="str">
            <v>前梁一段</v>
          </cell>
        </row>
        <row r="10157">
          <cell r="D10157" t="str">
            <v>CB5327110-003L002</v>
          </cell>
          <cell r="E10157" t="str">
            <v>8635左隔框</v>
          </cell>
        </row>
        <row r="10158">
          <cell r="D10158" t="str">
            <v>CB5327110-003L002</v>
          </cell>
          <cell r="E10158" t="str">
            <v>8635左隔框</v>
          </cell>
        </row>
        <row r="10159">
          <cell r="D10159" t="str">
            <v>CB5327110-003L002</v>
          </cell>
          <cell r="E10159" t="str">
            <v>8635左隔框</v>
          </cell>
        </row>
        <row r="10160">
          <cell r="D10160" t="str">
            <v>CB5327110-003L002</v>
          </cell>
          <cell r="E10160" t="str">
            <v>8635左隔框</v>
          </cell>
        </row>
        <row r="10161">
          <cell r="D10161" t="str">
            <v>CB5327110-003L002</v>
          </cell>
          <cell r="E10161" t="str">
            <v>8635左隔框</v>
          </cell>
        </row>
        <row r="10162">
          <cell r="D10162" t="str">
            <v>CB5327110-003L002</v>
          </cell>
          <cell r="E10162" t="str">
            <v>8635左隔框</v>
          </cell>
        </row>
        <row r="10163">
          <cell r="D10163" t="str">
            <v>CB5327110-003L002</v>
          </cell>
          <cell r="E10163" t="str">
            <v>8635左隔框</v>
          </cell>
        </row>
        <row r="10164">
          <cell r="D10164" t="str">
            <v>CB5327110-003L002</v>
          </cell>
          <cell r="E10164" t="str">
            <v>8635左隔框</v>
          </cell>
        </row>
        <row r="10165">
          <cell r="D10165" t="str">
            <v>CB5327110-003L002</v>
          </cell>
          <cell r="E10165" t="str">
            <v>8635左隔框</v>
          </cell>
        </row>
        <row r="10166">
          <cell r="D10166" t="str">
            <v>CB5327110-003L002</v>
          </cell>
          <cell r="E10166" t="str">
            <v>8635左隔框</v>
          </cell>
        </row>
        <row r="10167">
          <cell r="D10167" t="str">
            <v>CB5327110-003R002</v>
          </cell>
          <cell r="E10167" t="str">
            <v>8635右隔框</v>
          </cell>
        </row>
        <row r="10168">
          <cell r="D10168" t="str">
            <v>CB5327110-003R002</v>
          </cell>
          <cell r="E10168" t="str">
            <v>8635右隔框</v>
          </cell>
        </row>
        <row r="10169">
          <cell r="D10169" t="str">
            <v>CB5327110-003R002</v>
          </cell>
          <cell r="E10169" t="str">
            <v>8635右隔框</v>
          </cell>
        </row>
        <row r="10170">
          <cell r="D10170" t="str">
            <v>CB5327110-003R002</v>
          </cell>
          <cell r="E10170" t="str">
            <v>8635右隔框</v>
          </cell>
        </row>
        <row r="10171">
          <cell r="D10171" t="str">
            <v>CB5327110-003R002</v>
          </cell>
          <cell r="E10171" t="str">
            <v>8635右隔框</v>
          </cell>
        </row>
        <row r="10172">
          <cell r="D10172" t="str">
            <v>CB5327110-003R002</v>
          </cell>
          <cell r="E10172" t="str">
            <v>8635右隔框</v>
          </cell>
        </row>
        <row r="10173">
          <cell r="D10173" t="str">
            <v>CB5327110-003R002</v>
          </cell>
          <cell r="E10173" t="str">
            <v>8635右隔框</v>
          </cell>
        </row>
        <row r="10174">
          <cell r="D10174" t="str">
            <v>CB5327110-003R002</v>
          </cell>
          <cell r="E10174" t="str">
            <v>8635右隔框</v>
          </cell>
        </row>
        <row r="10175">
          <cell r="D10175" t="str">
            <v>CB5327110-003R002</v>
          </cell>
          <cell r="E10175" t="str">
            <v>8635右隔框</v>
          </cell>
        </row>
        <row r="10176">
          <cell r="D10176" t="str">
            <v>CB5327110-003R002</v>
          </cell>
          <cell r="E10176" t="str">
            <v>8635右隔框</v>
          </cell>
        </row>
        <row r="10177">
          <cell r="D10177" t="str">
            <v>CB22109NG-001-002</v>
          </cell>
          <cell r="E10177" t="str">
            <v>左侧B3JAU限流三通</v>
          </cell>
        </row>
        <row r="10178">
          <cell r="D10178" t="str">
            <v>531A1100-014-001 C1</v>
          </cell>
          <cell r="E10178" t="str">
            <v>合页</v>
          </cell>
        </row>
        <row r="10179">
          <cell r="D10179" t="str">
            <v>531A9910-003-001 B</v>
          </cell>
          <cell r="E10179" t="str">
            <v>接头</v>
          </cell>
        </row>
        <row r="10180">
          <cell r="D10180" t="str">
            <v>531A9110-001-001 B1</v>
          </cell>
          <cell r="E10180" t="str">
            <v>前起落架舱门结构支撑梁</v>
          </cell>
        </row>
        <row r="10181">
          <cell r="D10181" t="str">
            <v>DD-J10B-21402-10G2-1G2-Y</v>
          </cell>
          <cell r="E10181" t="str">
            <v>固定前缘边肋（右件）</v>
          </cell>
        </row>
        <row r="10182">
          <cell r="D10182" t="str">
            <v>DD-J10-21102-33-Z</v>
          </cell>
          <cell r="E10182" t="str">
            <v>10460上接头</v>
          </cell>
        </row>
        <row r="10183">
          <cell r="D10183" t="str">
            <v>DD-J10-21102-33-Z</v>
          </cell>
          <cell r="E10183" t="str">
            <v>10460上接头</v>
          </cell>
        </row>
        <row r="10184">
          <cell r="D10184" t="str">
            <v>DD-J10-21102-33-Y</v>
          </cell>
          <cell r="E10184" t="str">
            <v>10460上接头</v>
          </cell>
        </row>
        <row r="10185">
          <cell r="D10185" t="str">
            <v>DD-J10-21102-33-Y</v>
          </cell>
          <cell r="E10185" t="str">
            <v>10460上接头</v>
          </cell>
        </row>
        <row r="10186">
          <cell r="D10186" t="str">
            <v>DD-J10-21102-33-Y</v>
          </cell>
          <cell r="E10186" t="str">
            <v>10460上接头</v>
          </cell>
        </row>
        <row r="10187">
          <cell r="D10187" t="str">
            <v>DD-J10-21102-33-Y</v>
          </cell>
          <cell r="E10187" t="str">
            <v>10460上接头</v>
          </cell>
        </row>
        <row r="10188">
          <cell r="D10188" t="str">
            <v>DD-J10-21102-31-Y</v>
          </cell>
          <cell r="E10188" t="str">
            <v>10060上接头</v>
          </cell>
        </row>
        <row r="10189">
          <cell r="D10189" t="str">
            <v>DD-J10-21102-31-Y</v>
          </cell>
          <cell r="E10189" t="str">
            <v>10060上接头</v>
          </cell>
        </row>
        <row r="10190">
          <cell r="D10190" t="str">
            <v>DD-J10-21102-31-Y</v>
          </cell>
          <cell r="E10190" t="str">
            <v>10060上接头</v>
          </cell>
        </row>
        <row r="10191">
          <cell r="D10191" t="str">
            <v>DD-J10-21102-31-Y</v>
          </cell>
          <cell r="E10191" t="str">
            <v>10060上接头</v>
          </cell>
        </row>
        <row r="10192">
          <cell r="D10192" t="str">
            <v>DD-J10-21102-31-Z</v>
          </cell>
          <cell r="E10192" t="str">
            <v>10060上接头</v>
          </cell>
        </row>
        <row r="10193">
          <cell r="D10193" t="str">
            <v>DD-J10-21102-31-Z</v>
          </cell>
          <cell r="E10193" t="str">
            <v>10060上接头</v>
          </cell>
        </row>
        <row r="10194">
          <cell r="D10194" t="str">
            <v>DD-J10-21102-31-Z</v>
          </cell>
          <cell r="E10194" t="str">
            <v>10060上接头</v>
          </cell>
        </row>
        <row r="10195">
          <cell r="D10195" t="str">
            <v>DD-J10-21102-31-Z</v>
          </cell>
          <cell r="E10195" t="str">
            <v>10060上接头</v>
          </cell>
        </row>
        <row r="10196">
          <cell r="D10196" t="str">
            <v>DD-J10B-25002-30G2-1G2-Z</v>
          </cell>
          <cell r="E10196" t="str">
            <v>梁（左件）</v>
          </cell>
        </row>
        <row r="10197">
          <cell r="D10197" t="str">
            <v>DD-J10B-25002-30G2-1G2-Z</v>
          </cell>
          <cell r="E10197" t="str">
            <v>梁（左件）</v>
          </cell>
        </row>
        <row r="10198">
          <cell r="D10198" t="str">
            <v>DD-J10B-25002-30G2-1G2-Z</v>
          </cell>
          <cell r="E10198" t="str">
            <v>梁（左件）</v>
          </cell>
        </row>
        <row r="10199">
          <cell r="D10199" t="str">
            <v>DD-J10B-02081-61-Z</v>
          </cell>
          <cell r="E10199" t="str">
            <v>角材</v>
          </cell>
        </row>
        <row r="10200">
          <cell r="D10200" t="str">
            <v>DD-J10B-02081-61-Z</v>
          </cell>
          <cell r="E10200" t="str">
            <v>角材</v>
          </cell>
        </row>
        <row r="10201">
          <cell r="D10201" t="str">
            <v>DD-J10B-02081-61-Y</v>
          </cell>
          <cell r="E10201" t="str">
            <v>角材</v>
          </cell>
        </row>
        <row r="10202">
          <cell r="D10202" t="str">
            <v>DD-J10B-02081-61-Y</v>
          </cell>
          <cell r="E10202" t="str">
            <v>角材</v>
          </cell>
        </row>
        <row r="10203">
          <cell r="D10203" t="str">
            <v>DD-J10-21102-271</v>
          </cell>
          <cell r="E10203" t="str">
            <v>3#上垫片</v>
          </cell>
        </row>
        <row r="10204">
          <cell r="D10204" t="str">
            <v>DD-J10-21102-271</v>
          </cell>
          <cell r="E10204" t="str">
            <v>3#上垫片</v>
          </cell>
        </row>
        <row r="10205">
          <cell r="D10205" t="str">
            <v>DD-J10-21102-272</v>
          </cell>
          <cell r="E10205" t="str">
            <v>3#下垫片</v>
          </cell>
        </row>
        <row r="10206">
          <cell r="D10206" t="str">
            <v>DD-J10-21102-272</v>
          </cell>
          <cell r="E10206" t="str">
            <v>3#下垫片</v>
          </cell>
        </row>
        <row r="10207">
          <cell r="D10207" t="str">
            <v>DD-J10-21102-273</v>
          </cell>
          <cell r="E10207" t="str">
            <v>4#上垫片</v>
          </cell>
        </row>
        <row r="10208">
          <cell r="D10208" t="str">
            <v>DD-J10-21102-273</v>
          </cell>
          <cell r="E10208" t="str">
            <v>4#上垫片</v>
          </cell>
        </row>
        <row r="10209">
          <cell r="D10209" t="str">
            <v>DD-J10-21102-273</v>
          </cell>
          <cell r="E10209" t="str">
            <v>4#上垫片</v>
          </cell>
        </row>
        <row r="10210">
          <cell r="D10210" t="str">
            <v>CB2245110-001-001</v>
          </cell>
          <cell r="E10210" t="str">
            <v>支架1</v>
          </cell>
        </row>
        <row r="10211">
          <cell r="D10211" t="str">
            <v>CB22877J9-003-001</v>
          </cell>
          <cell r="E10211" t="str">
            <v>变径三通接头</v>
          </cell>
        </row>
        <row r="10212">
          <cell r="D10212" t="str">
            <v>CB22877J9-003-001</v>
          </cell>
          <cell r="E10212" t="str">
            <v>变径三通接头</v>
          </cell>
        </row>
        <row r="10213">
          <cell r="D10213" t="str">
            <v>CB22877J9-003-001</v>
          </cell>
          <cell r="E10213" t="str">
            <v>变径三通接头</v>
          </cell>
        </row>
        <row r="10214">
          <cell r="D10214" t="str">
            <v>CB2285201-001-001</v>
          </cell>
          <cell r="E10214" t="str">
            <v>带法兰盘的接管嘴</v>
          </cell>
        </row>
        <row r="10215">
          <cell r="D10215" t="str">
            <v>CB2284752-005-001</v>
          </cell>
          <cell r="E10215" t="str">
            <v>接头</v>
          </cell>
        </row>
        <row r="10216">
          <cell r="D10216" t="str">
            <v>CB22837C2-001-001</v>
          </cell>
          <cell r="E10216" t="str">
            <v>法兰</v>
          </cell>
        </row>
        <row r="10217">
          <cell r="D10217" t="str">
            <v>CB2263268-001-002</v>
          </cell>
          <cell r="E10217" t="str">
            <v>三通管接头</v>
          </cell>
        </row>
        <row r="10218">
          <cell r="D10218" t="str">
            <v>CB2263268-001-002</v>
          </cell>
          <cell r="E10218" t="str">
            <v>三通管接头</v>
          </cell>
        </row>
        <row r="10219">
          <cell r="D10219" t="str">
            <v>CB22843G7-002-001</v>
          </cell>
          <cell r="E10219" t="str">
            <v>三叉管接头</v>
          </cell>
        </row>
        <row r="10220">
          <cell r="D10220" t="str">
            <v>CB2280211-028-001</v>
          </cell>
          <cell r="E10220" t="str">
            <v>穿框管接头</v>
          </cell>
        </row>
        <row r="10221">
          <cell r="D10221" t="str">
            <v>CB221T9LFN004-002</v>
          </cell>
          <cell r="E10221" t="str">
            <v>液体压力传感器接管嘴</v>
          </cell>
        </row>
        <row r="10222">
          <cell r="D10222" t="str">
            <v>CB2280211-010-001</v>
          </cell>
          <cell r="E10222" t="str">
            <v>穿框管接头</v>
          </cell>
        </row>
        <row r="10223">
          <cell r="D10223" t="str">
            <v>CB2280211-006-001</v>
          </cell>
          <cell r="E10223" t="str">
            <v>穿框管接头</v>
          </cell>
        </row>
        <row r="10224">
          <cell r="D10224" t="str">
            <v>CB22877HD-001-001</v>
          </cell>
          <cell r="E10224" t="str">
            <v>变径直通管接头</v>
          </cell>
        </row>
        <row r="10225">
          <cell r="D10225" t="str">
            <v>BC5324360-002-001</v>
          </cell>
          <cell r="E10225" t="str">
            <v>堵塞</v>
          </cell>
        </row>
        <row r="10226">
          <cell r="D10226" t="str">
            <v>CB2263267-001-002</v>
          </cell>
          <cell r="E10226" t="str">
            <v>直通管接头</v>
          </cell>
        </row>
        <row r="10227">
          <cell r="D10227" t="str">
            <v>CB22857F7-003-002</v>
          </cell>
          <cell r="E10227" t="str">
            <v>法兰</v>
          </cell>
        </row>
        <row r="10228">
          <cell r="D10228" t="str">
            <v>CB229C420-004-001</v>
          </cell>
          <cell r="E10228" t="str">
            <v>套筒</v>
          </cell>
        </row>
        <row r="10229">
          <cell r="D10229" t="str">
            <v>CB2747C30-012-001</v>
          </cell>
          <cell r="E10229" t="str">
            <v>管接嘴</v>
          </cell>
        </row>
        <row r="10230">
          <cell r="D10230" t="str">
            <v>CB2716663-003-002</v>
          </cell>
          <cell r="E10230" t="str">
            <v>弯头平管嘴</v>
          </cell>
        </row>
        <row r="10231">
          <cell r="D10231" t="str">
            <v>CB2747G90-006-001</v>
          </cell>
          <cell r="E10231" t="str">
            <v>管接头3</v>
          </cell>
        </row>
        <row r="10232">
          <cell r="D10232" t="str">
            <v>CB22109TD-001-001</v>
          </cell>
          <cell r="E10232" t="str">
            <v>带排水孔的管接头</v>
          </cell>
        </row>
        <row r="10233">
          <cell r="D10233" t="str">
            <v>CB221T1LL-005-001</v>
          </cell>
          <cell r="E10233" t="str">
            <v>接管嘴</v>
          </cell>
        </row>
        <row r="10234">
          <cell r="D10234" t="str">
            <v>524A2230-001-001</v>
          </cell>
          <cell r="E10234" t="str">
            <v>服务门上折板角形合页</v>
          </cell>
        </row>
        <row r="10235">
          <cell r="D10235" t="str">
            <v>BC5812600-001-001</v>
          </cell>
          <cell r="E10235" t="str">
            <v>摇臂</v>
          </cell>
        </row>
        <row r="10236">
          <cell r="D10236" t="str">
            <v>BC5812600-001-001</v>
          </cell>
          <cell r="E10236" t="str">
            <v>摇臂</v>
          </cell>
        </row>
        <row r="10237">
          <cell r="D10237" t="str">
            <v>CB22827C3-002-007</v>
          </cell>
          <cell r="E10237" t="str">
            <v>三通接头</v>
          </cell>
        </row>
        <row r="10238">
          <cell r="D10238" t="str">
            <v>CB22827C3-002-007</v>
          </cell>
          <cell r="E10238" t="str">
            <v>三通接头</v>
          </cell>
        </row>
        <row r="10239">
          <cell r="D10239" t="str">
            <v>CB2280211-020-001</v>
          </cell>
          <cell r="E10239" t="str">
            <v>穿框管接头</v>
          </cell>
        </row>
        <row r="10240">
          <cell r="D10240" t="str">
            <v>CB2284752-005-001</v>
          </cell>
          <cell r="E10240" t="str">
            <v>接头</v>
          </cell>
        </row>
        <row r="10241">
          <cell r="D10241" t="str">
            <v>CB2284762-002-002</v>
          </cell>
          <cell r="E10241" t="str">
            <v>法兰</v>
          </cell>
        </row>
        <row r="10242">
          <cell r="D10242" t="str">
            <v>CB22837C2-001-001</v>
          </cell>
          <cell r="E10242" t="str">
            <v>法兰</v>
          </cell>
        </row>
        <row r="10243">
          <cell r="D10243" t="str">
            <v>CB2284764-002-001</v>
          </cell>
          <cell r="E10243" t="str">
            <v>接头</v>
          </cell>
        </row>
        <row r="10244">
          <cell r="D10244" t="str">
            <v>CB2747GA0-002-002</v>
          </cell>
          <cell r="E10244" t="str">
            <v>扩压式管接头</v>
          </cell>
        </row>
        <row r="10245">
          <cell r="D10245" t="str">
            <v>CB2747B10-003-002</v>
          </cell>
          <cell r="E10245" t="str">
            <v>管接头</v>
          </cell>
        </row>
        <row r="10246">
          <cell r="D10246" t="str">
            <v>CB2747B10-003-002</v>
          </cell>
          <cell r="E10246" t="str">
            <v>管接头</v>
          </cell>
        </row>
        <row r="10247">
          <cell r="D10247" t="str">
            <v>CB26036A6-001-001</v>
          </cell>
          <cell r="E10247" t="str">
            <v>直通过框接头</v>
          </cell>
        </row>
        <row r="10248">
          <cell r="D10248" t="str">
            <v>CB5327500-003-001</v>
          </cell>
          <cell r="E10248" t="str">
            <v>螺栓</v>
          </cell>
        </row>
        <row r="10249">
          <cell r="D10249" t="str">
            <v>521A4260-000-003</v>
          </cell>
          <cell r="E10249" t="str">
            <v>管子</v>
          </cell>
        </row>
        <row r="10250">
          <cell r="D10250" t="str">
            <v>521A4260-000-003</v>
          </cell>
          <cell r="E10250" t="str">
            <v>管子</v>
          </cell>
        </row>
        <row r="10251">
          <cell r="D10251" t="str">
            <v>521A4260-000-003</v>
          </cell>
          <cell r="E10251" t="str">
            <v>管子</v>
          </cell>
        </row>
        <row r="10252">
          <cell r="D10252" t="str">
            <v>CB5811100-001-001</v>
          </cell>
          <cell r="E10252" t="str">
            <v>垫圈</v>
          </cell>
        </row>
        <row r="10253">
          <cell r="D10253" t="str">
            <v>CB2747G30-003-002</v>
          </cell>
          <cell r="E10253" t="str">
            <v>管接头</v>
          </cell>
        </row>
        <row r="10254">
          <cell r="D10254" t="str">
            <v>5613A380029G010</v>
          </cell>
          <cell r="E10254" t="str">
            <v>手柄握把</v>
          </cell>
        </row>
        <row r="10255">
          <cell r="D10255" t="str">
            <v>5210A000001G010</v>
          </cell>
          <cell r="E10255" t="str">
            <v>止动螺钉</v>
          </cell>
        </row>
        <row r="10256">
          <cell r="D10256" t="str">
            <v>5210A000001G010</v>
          </cell>
          <cell r="E10256" t="str">
            <v>止动螺钉</v>
          </cell>
        </row>
        <row r="10257">
          <cell r="D10257" t="str">
            <v>CB229C440-001-001</v>
          </cell>
          <cell r="E10257" t="str">
            <v>组合导管夹</v>
          </cell>
        </row>
        <row r="10258">
          <cell r="D10258" t="str">
            <v>CB5811100-014-001</v>
          </cell>
          <cell r="E10258" t="str">
            <v>螺栓</v>
          </cell>
        </row>
        <row r="10259">
          <cell r="D10259" t="str">
            <v>CB2280211-022-001</v>
          </cell>
          <cell r="E10259" t="str">
            <v>穿框管接头</v>
          </cell>
        </row>
        <row r="10260">
          <cell r="D10260" t="str">
            <v>CB2280211-016-001</v>
          </cell>
          <cell r="E10260" t="str">
            <v>穿框管接头</v>
          </cell>
        </row>
        <row r="10261">
          <cell r="D10261" t="str">
            <v>CB2280211-035-001</v>
          </cell>
          <cell r="E10261" t="str">
            <v>穿框管接头</v>
          </cell>
        </row>
        <row r="10262">
          <cell r="D10262" t="str">
            <v>531A2100-073-001</v>
          </cell>
          <cell r="E10262" t="str">
            <v>销钉</v>
          </cell>
        </row>
        <row r="10263">
          <cell r="D10263" t="str">
            <v>CB221T2LF-003-003</v>
          </cell>
          <cell r="E10263" t="str">
            <v>接管嘴</v>
          </cell>
        </row>
        <row r="10264">
          <cell r="D10264" t="str">
            <v>CB2210982-001-002</v>
          </cell>
          <cell r="E10264" t="str">
            <v>管接头</v>
          </cell>
        </row>
        <row r="10265">
          <cell r="D10265" t="str">
            <v>531A2100-075-001</v>
          </cell>
          <cell r="E10265" t="str">
            <v>销钉</v>
          </cell>
        </row>
        <row r="10266">
          <cell r="D10266" t="str">
            <v>CB2747F80-003-001</v>
          </cell>
          <cell r="E10266" t="str">
            <v>管接头</v>
          </cell>
        </row>
        <row r="10267">
          <cell r="D10267" t="str">
            <v>CB221T1LD-003-001</v>
          </cell>
          <cell r="E10267" t="str">
            <v>接管嘴</v>
          </cell>
        </row>
        <row r="10268">
          <cell r="D10268" t="str">
            <v>CB221T1LD-003-001</v>
          </cell>
          <cell r="E10268" t="str">
            <v>接管嘴</v>
          </cell>
        </row>
        <row r="10269">
          <cell r="D10269" t="str">
            <v>CB229C420-001-001</v>
          </cell>
          <cell r="E10269" t="str">
            <v>套筒</v>
          </cell>
        </row>
        <row r="10270">
          <cell r="D10270" t="str">
            <v>CB2747G90-003-001</v>
          </cell>
          <cell r="E10270" t="str">
            <v>管接头1</v>
          </cell>
        </row>
        <row r="10271">
          <cell r="D10271" t="str">
            <v>CB221T2LN-001-001</v>
          </cell>
          <cell r="E10271" t="str">
            <v>接管嘴</v>
          </cell>
        </row>
        <row r="10272">
          <cell r="D10272" t="str">
            <v>CB2747G10-002-002</v>
          </cell>
          <cell r="E10272" t="str">
            <v>管接头</v>
          </cell>
        </row>
        <row r="10273">
          <cell r="D10273" t="str">
            <v>CB22109PF-001-002</v>
          </cell>
          <cell r="E10273" t="str">
            <v>三通管接头</v>
          </cell>
        </row>
        <row r="10274">
          <cell r="D10274" t="str">
            <v>CB2232N08-001-001</v>
          </cell>
          <cell r="E10274" t="str">
            <v>垫片</v>
          </cell>
        </row>
        <row r="10275">
          <cell r="D10275" t="str">
            <v>CB22109QM-001-001</v>
          </cell>
          <cell r="E10275" t="str">
            <v>三通管接头</v>
          </cell>
        </row>
        <row r="10276">
          <cell r="D10276" t="str">
            <v>CB221T3LG-002-001</v>
          </cell>
          <cell r="E10276" t="str">
            <v>接头</v>
          </cell>
        </row>
        <row r="10277">
          <cell r="D10277" t="str">
            <v>CB221T9MLN003-001</v>
          </cell>
          <cell r="E10277" t="str">
            <v>液体压力传感器接管嘴</v>
          </cell>
        </row>
        <row r="10278">
          <cell r="D10278" t="str">
            <v>CB221T2LB-001-001</v>
          </cell>
          <cell r="E10278" t="str">
            <v>接管嘴</v>
          </cell>
        </row>
        <row r="10279">
          <cell r="D10279" t="str">
            <v>529A1000-000-015</v>
          </cell>
          <cell r="E10279" t="str">
            <v>齿形垫圈</v>
          </cell>
        </row>
        <row r="10280">
          <cell r="D10280" t="str">
            <v>529A1000-000-015</v>
          </cell>
          <cell r="E10280" t="str">
            <v>齿形垫圈</v>
          </cell>
        </row>
        <row r="10281">
          <cell r="D10281" t="str">
            <v>BC531D230-003-002</v>
          </cell>
          <cell r="E10281" t="str">
            <v>支架</v>
          </cell>
        </row>
        <row r="10282">
          <cell r="D10282" t="str">
            <v>BC531D230-004-002</v>
          </cell>
          <cell r="E10282" t="str">
            <v>支架</v>
          </cell>
        </row>
        <row r="10283">
          <cell r="D10283" t="str">
            <v>DD-J10-41153-105</v>
          </cell>
          <cell r="E10283" t="str">
            <v>联锁摇臂</v>
          </cell>
        </row>
        <row r="10284">
          <cell r="D10284" t="str">
            <v>DD-J10B-94076-802</v>
          </cell>
          <cell r="E10284" t="str">
            <v>支架</v>
          </cell>
        </row>
        <row r="10285">
          <cell r="D10285" t="str">
            <v>CB5315193-005-003</v>
          </cell>
          <cell r="E10285" t="str">
            <v>口盖</v>
          </cell>
        </row>
        <row r="10286">
          <cell r="D10286" t="str">
            <v>DD-J10-55181-6</v>
          </cell>
          <cell r="E10286" t="str">
            <v>变径三通管接头</v>
          </cell>
        </row>
        <row r="10287">
          <cell r="D10287" t="str">
            <v>DD-J10-55181-6</v>
          </cell>
          <cell r="E10287" t="str">
            <v>变径三通管接头</v>
          </cell>
        </row>
        <row r="10288">
          <cell r="D10288" t="str">
            <v>BC5812800-001-001</v>
          </cell>
          <cell r="E10288" t="str">
            <v>摇臂</v>
          </cell>
        </row>
        <row r="10289">
          <cell r="D10289" t="str">
            <v>531A2110-007-001</v>
          </cell>
          <cell r="E10289" t="str">
            <v>衬套</v>
          </cell>
        </row>
        <row r="10290">
          <cell r="D10290" t="str">
            <v>5214A220001G010</v>
          </cell>
          <cell r="E10290" t="str">
            <v>连杆</v>
          </cell>
        </row>
        <row r="10291">
          <cell r="D10291" t="str">
            <v>524A2300-011-001</v>
          </cell>
          <cell r="E10291" t="str">
            <v>转轴</v>
          </cell>
        </row>
        <row r="10292">
          <cell r="D10292" t="str">
            <v>CB2284751-003-001</v>
          </cell>
          <cell r="E10292" t="str">
            <v>法兰盘</v>
          </cell>
        </row>
        <row r="10293">
          <cell r="D10293" t="str">
            <v>CB5325125-403L001</v>
          </cell>
          <cell r="E10293" t="str">
            <v>支座</v>
          </cell>
        </row>
        <row r="10294">
          <cell r="D10294" t="str">
            <v>CB5325125-403R001</v>
          </cell>
          <cell r="E10294" t="str">
            <v>支座</v>
          </cell>
        </row>
        <row r="10295">
          <cell r="D10295" t="str">
            <v>CB2284460-007-001</v>
          </cell>
          <cell r="E10295" t="str">
            <v>四通接头</v>
          </cell>
        </row>
        <row r="10296">
          <cell r="D10296" t="str">
            <v>CB2284460-007-001</v>
          </cell>
          <cell r="E10296" t="str">
            <v>四通接头</v>
          </cell>
        </row>
        <row r="10297">
          <cell r="D10297" t="str">
            <v>CB2248146-001-006</v>
          </cell>
          <cell r="E10297" t="str">
            <v>支片6</v>
          </cell>
        </row>
        <row r="10298">
          <cell r="D10298" t="str">
            <v>CB22837C2-002-001</v>
          </cell>
          <cell r="E10298" t="str">
            <v>法兰</v>
          </cell>
        </row>
        <row r="10299">
          <cell r="D10299" t="str">
            <v>CB22837C2-002-001</v>
          </cell>
          <cell r="E10299" t="str">
            <v>法兰</v>
          </cell>
        </row>
        <row r="10300">
          <cell r="D10300" t="str">
            <v>CB2283792-002-002</v>
          </cell>
          <cell r="E10300" t="str">
            <v>法兰</v>
          </cell>
        </row>
        <row r="10301">
          <cell r="D10301" t="str">
            <v>CB5814000-002-001</v>
          </cell>
          <cell r="E10301" t="str">
            <v>前支架</v>
          </cell>
        </row>
        <row r="10302">
          <cell r="D10302" t="str">
            <v>CB2284460-004-001</v>
          </cell>
          <cell r="E10302" t="str">
            <v>四通接头</v>
          </cell>
        </row>
        <row r="10303">
          <cell r="D10303" t="str">
            <v>CB2248143-001-006</v>
          </cell>
          <cell r="E10303" t="str">
            <v>支片3</v>
          </cell>
        </row>
        <row r="10304">
          <cell r="D10304" t="str">
            <v>CB2284480-004-001</v>
          </cell>
          <cell r="E10304" t="str">
            <v>四通接头</v>
          </cell>
        </row>
        <row r="10305">
          <cell r="D10305" t="str">
            <v>CB2284480-004-001</v>
          </cell>
          <cell r="E10305" t="str">
            <v>四通接头</v>
          </cell>
        </row>
        <row r="10306">
          <cell r="D10306" t="str">
            <v>CB2284480-004-001</v>
          </cell>
          <cell r="E10306" t="str">
            <v>四通接头</v>
          </cell>
        </row>
        <row r="10307">
          <cell r="D10307" t="str">
            <v>CB2284460-004-001</v>
          </cell>
          <cell r="E10307" t="str">
            <v>四通接头</v>
          </cell>
        </row>
        <row r="10308">
          <cell r="D10308" t="str">
            <v>CB2284480-003-001</v>
          </cell>
          <cell r="E10308" t="str">
            <v>四通接头</v>
          </cell>
        </row>
        <row r="10309">
          <cell r="D10309" t="str">
            <v>CB221097C-002-002</v>
          </cell>
          <cell r="E10309" t="str">
            <v>支架</v>
          </cell>
        </row>
        <row r="10310">
          <cell r="D10310" t="str">
            <v>260A1510-008-001</v>
          </cell>
          <cell r="E10310" t="str">
            <v>衬套</v>
          </cell>
        </row>
        <row r="10311">
          <cell r="D10311" t="str">
            <v>BC5333100-007-001</v>
          </cell>
          <cell r="E10311" t="str">
            <v>下大梁</v>
          </cell>
        </row>
        <row r="10312">
          <cell r="D10312" t="str">
            <v>DD-J10B-02021-3/1-Z</v>
          </cell>
          <cell r="E10312" t="str">
            <v>雷达罩锁支座</v>
          </cell>
        </row>
        <row r="10313">
          <cell r="D10313" t="str">
            <v>DD-J10B-02021-3/1-Z</v>
          </cell>
          <cell r="E10313" t="str">
            <v>雷达罩锁支座</v>
          </cell>
        </row>
        <row r="10314">
          <cell r="D10314" t="str">
            <v>DD-J10B-02021-3/1-Y</v>
          </cell>
          <cell r="E10314" t="str">
            <v>雷达罩锁支座</v>
          </cell>
        </row>
        <row r="10315">
          <cell r="D10315" t="str">
            <v>DD-J10B-02021-3/1-Y</v>
          </cell>
          <cell r="E10315" t="str">
            <v>雷达罩锁支座</v>
          </cell>
        </row>
        <row r="10316">
          <cell r="D10316" t="str">
            <v>DD-J10B-02021-3/2-Z</v>
          </cell>
          <cell r="E10316" t="str">
            <v>雷达罩锁支座</v>
          </cell>
        </row>
        <row r="10317">
          <cell r="D10317" t="str">
            <v>DD-J10B-02021-3/2-Z</v>
          </cell>
          <cell r="E10317" t="str">
            <v>雷达罩锁支座</v>
          </cell>
        </row>
        <row r="10318">
          <cell r="D10318" t="str">
            <v>DD-J10B-02021-3/2-Y</v>
          </cell>
          <cell r="E10318" t="str">
            <v>雷达罩锁支座</v>
          </cell>
        </row>
        <row r="10319">
          <cell r="D10319" t="str">
            <v>DD-J10B-02021-3/2-Y</v>
          </cell>
          <cell r="E10319" t="str">
            <v>雷达罩锁支座</v>
          </cell>
        </row>
        <row r="10320">
          <cell r="D10320" t="str">
            <v>DD-J10-21102-274</v>
          </cell>
          <cell r="E10320" t="str">
            <v>4#下垫片</v>
          </cell>
        </row>
        <row r="10321">
          <cell r="D10321" t="str">
            <v>DD-J10-21102-274</v>
          </cell>
          <cell r="E10321" t="str">
            <v>4#下垫片</v>
          </cell>
        </row>
        <row r="10322">
          <cell r="D10322" t="str">
            <v>260A1510-014-001 A</v>
          </cell>
          <cell r="E10322" t="str">
            <v>T型角材</v>
          </cell>
        </row>
        <row r="10323">
          <cell r="D10323" t="str">
            <v>531A1100-015-001 B</v>
          </cell>
          <cell r="E10323" t="str">
            <v>合页</v>
          </cell>
        </row>
        <row r="10324">
          <cell r="D10324" t="str">
            <v>260A1510-021-001 C</v>
          </cell>
          <cell r="E10324" t="str">
            <v>支撑板</v>
          </cell>
        </row>
        <row r="10325">
          <cell r="D10325" t="str">
            <v>260A1510-021-001 C</v>
          </cell>
          <cell r="E10325" t="str">
            <v>支撑板</v>
          </cell>
        </row>
        <row r="10326">
          <cell r="D10326" t="str">
            <v>531A5600-001-501 B</v>
          </cell>
          <cell r="E10326" t="str">
            <v>纵梁</v>
          </cell>
        </row>
        <row r="10327">
          <cell r="D10327" t="str">
            <v>531A5600-001-502 B</v>
          </cell>
          <cell r="E10327" t="str">
            <v>纵梁</v>
          </cell>
        </row>
        <row r="10328">
          <cell r="D10328" t="str">
            <v>531A3430-000-057 B</v>
          </cell>
          <cell r="E10328" t="str">
            <v>角材</v>
          </cell>
        </row>
        <row r="10329">
          <cell r="D10329" t="str">
            <v>531A1300-003-001 B</v>
          </cell>
          <cell r="E10329" t="str">
            <v>支撑件</v>
          </cell>
        </row>
        <row r="10330">
          <cell r="D10330" t="str">
            <v>260A1510-017-001 B</v>
          </cell>
          <cell r="E10330" t="str">
            <v>支撑板</v>
          </cell>
        </row>
        <row r="10331">
          <cell r="D10331" t="str">
            <v>531A9800-007-001 B</v>
          </cell>
          <cell r="E10331" t="str">
            <v>挂钩</v>
          </cell>
        </row>
        <row r="10332">
          <cell r="D10332" t="str">
            <v>531A9800-009-001 B</v>
          </cell>
          <cell r="E10332" t="str">
            <v>支座</v>
          </cell>
        </row>
        <row r="10333">
          <cell r="D10333" t="str">
            <v>5210A000001G010</v>
          </cell>
          <cell r="E10333" t="str">
            <v>止动螺钉</v>
          </cell>
        </row>
        <row r="10334">
          <cell r="D10334" t="str">
            <v>521A4180-000-003</v>
          </cell>
          <cell r="E10334" t="str">
            <v>钢管</v>
          </cell>
        </row>
        <row r="10335">
          <cell r="D10335" t="str">
            <v>521A4200-000-003</v>
          </cell>
          <cell r="E10335" t="str">
            <v>钢管</v>
          </cell>
        </row>
        <row r="10336">
          <cell r="D10336" t="str">
            <v>521A4200-000-003</v>
          </cell>
          <cell r="E10336" t="str">
            <v>钢管</v>
          </cell>
        </row>
        <row r="10337">
          <cell r="D10337" t="str">
            <v>CB5350500-016L006</v>
          </cell>
          <cell r="E10337" t="str">
            <v>7号护板维型肋左件</v>
          </cell>
        </row>
        <row r="10338">
          <cell r="D10338" t="str">
            <v>CB2284752-004-001</v>
          </cell>
          <cell r="E10338" t="str">
            <v>法兰</v>
          </cell>
        </row>
        <row r="10339">
          <cell r="D10339" t="str">
            <v>CB5325125-404L001</v>
          </cell>
          <cell r="E10339" t="str">
            <v>摇臂</v>
          </cell>
        </row>
        <row r="10340">
          <cell r="D10340" t="str">
            <v>CB5325125-404R001</v>
          </cell>
          <cell r="E10340" t="str">
            <v>摇臂</v>
          </cell>
        </row>
        <row r="10341">
          <cell r="D10341" t="str">
            <v>CB5325125-404R001</v>
          </cell>
          <cell r="E10341" t="str">
            <v>摇臂</v>
          </cell>
        </row>
        <row r="10342">
          <cell r="D10342" t="str">
            <v>BC5333100-007-001</v>
          </cell>
          <cell r="E10342" t="str">
            <v>下大梁</v>
          </cell>
        </row>
        <row r="10343">
          <cell r="D10343" t="str">
            <v>531A9110-001-001 B1</v>
          </cell>
          <cell r="E10343" t="str">
            <v>前起落架舱门结构支撑梁</v>
          </cell>
        </row>
        <row r="10344">
          <cell r="D10344" t="str">
            <v>DD-J10B-04321-30-1-Y</v>
          </cell>
          <cell r="E10344" t="str">
            <v>侧下梁（右件）</v>
          </cell>
        </row>
        <row r="10345">
          <cell r="D10345" t="str">
            <v>DD-J10B-04321-30-1-Y</v>
          </cell>
          <cell r="E10345" t="str">
            <v>侧下梁（右件）</v>
          </cell>
        </row>
        <row r="10346">
          <cell r="D10346" t="str">
            <v>DD-J10B-04321-30-1-Y</v>
          </cell>
          <cell r="E10346" t="str">
            <v>侧下梁（右件）</v>
          </cell>
        </row>
        <row r="10347">
          <cell r="D10347" t="str">
            <v>DD-J10B-04321-30-1-Y</v>
          </cell>
          <cell r="E10347" t="str">
            <v>侧下梁（右件）</v>
          </cell>
        </row>
        <row r="10348">
          <cell r="D10348" t="str">
            <v>DD-J10B-04321-30-1-Z</v>
          </cell>
          <cell r="E10348" t="str">
            <v>侧下梁（左件）</v>
          </cell>
        </row>
        <row r="10349">
          <cell r="D10349" t="str">
            <v>DD-J10B-04321-30-1-Z</v>
          </cell>
          <cell r="E10349" t="str">
            <v>侧下梁（左件）</v>
          </cell>
        </row>
        <row r="10350">
          <cell r="D10350" t="str">
            <v>DD-J10B-04321-30-1-Z</v>
          </cell>
          <cell r="E10350" t="str">
            <v>侧下梁（左件）</v>
          </cell>
        </row>
        <row r="10351">
          <cell r="D10351" t="str">
            <v>DD-J10B-04321-30-1-Z</v>
          </cell>
          <cell r="E10351" t="str">
            <v>侧下梁（左件）</v>
          </cell>
        </row>
        <row r="10352">
          <cell r="D10352" t="str">
            <v>XXX-3420000-01</v>
          </cell>
          <cell r="E10352" t="str">
            <v>壳体</v>
          </cell>
        </row>
        <row r="10353">
          <cell r="D10353" t="str">
            <v>XXX-3420000-02</v>
          </cell>
          <cell r="E10353" t="str">
            <v>上盖板</v>
          </cell>
        </row>
        <row r="10354">
          <cell r="D10354" t="str">
            <v>XXX-3420000-03</v>
          </cell>
          <cell r="E10354" t="str">
            <v>下盖板</v>
          </cell>
        </row>
        <row r="10355">
          <cell r="D10355" t="str">
            <v>XXXXXX-2000-01(S4)</v>
          </cell>
          <cell r="E10355" t="str">
            <v>套筒</v>
          </cell>
        </row>
        <row r="10356">
          <cell r="D10356" t="str">
            <v>XXXXXX-2000-02(S4)</v>
          </cell>
          <cell r="E10356" t="str">
            <v>安装座</v>
          </cell>
        </row>
        <row r="10357">
          <cell r="D10357" t="str">
            <v>XXXXXX-2100-01(S4)</v>
          </cell>
          <cell r="E10357" t="str">
            <v>CDU盒</v>
          </cell>
        </row>
        <row r="10358">
          <cell r="D10358" t="str">
            <v>DD-J10B-02121-1AG2-Y</v>
          </cell>
          <cell r="E10358" t="str">
            <v>BL280侧壁（右件）</v>
          </cell>
        </row>
        <row r="10359">
          <cell r="D10359" t="str">
            <v>DD-J10B-02121-1AG2-Y</v>
          </cell>
          <cell r="E10359" t="str">
            <v>BL280侧壁（右件）</v>
          </cell>
        </row>
        <row r="10360">
          <cell r="D10360" t="str">
            <v>DD-J10B-02121-1AG2-Y</v>
          </cell>
          <cell r="E10360" t="str">
            <v>BL280侧壁（右件）</v>
          </cell>
        </row>
        <row r="10361">
          <cell r="D10361" t="str">
            <v>DD-J10B-02121-1AG2-Y</v>
          </cell>
          <cell r="E10361" t="str">
            <v>BL280侧壁（右件）</v>
          </cell>
        </row>
        <row r="10362">
          <cell r="D10362" t="str">
            <v>DD-J10B-02121-1AG2-Y</v>
          </cell>
          <cell r="E10362" t="str">
            <v>BL280侧壁（右件）</v>
          </cell>
        </row>
        <row r="10363">
          <cell r="D10363" t="str">
            <v>DD-J10B-02121-1AG2-Y</v>
          </cell>
          <cell r="E10363" t="str">
            <v>BL280侧壁（右件）</v>
          </cell>
        </row>
        <row r="10364">
          <cell r="D10364" t="str">
            <v>DD-J10B-02121-1AG2-Z</v>
          </cell>
          <cell r="E10364" t="str">
            <v>BL280侧壁（左件）</v>
          </cell>
        </row>
        <row r="10365">
          <cell r="D10365" t="str">
            <v>DD-J10B-02121-1AG2-Z</v>
          </cell>
          <cell r="E10365" t="str">
            <v>BL280侧壁（左件）</v>
          </cell>
        </row>
        <row r="10366">
          <cell r="D10366" t="str">
            <v>DD-J10B-02121-1AG2-Z</v>
          </cell>
          <cell r="E10366" t="str">
            <v>BL280侧壁（左件）</v>
          </cell>
        </row>
        <row r="10367">
          <cell r="D10367" t="str">
            <v>DD-J10B-02121-1AG2-Z</v>
          </cell>
          <cell r="E10367" t="str">
            <v>BL280侧壁（左件）</v>
          </cell>
        </row>
        <row r="10368">
          <cell r="D10368" t="str">
            <v>DD-J10B-02121-1AG2-Z</v>
          </cell>
          <cell r="E10368" t="str">
            <v>BL280侧壁（左件）</v>
          </cell>
        </row>
        <row r="10369">
          <cell r="D10369" t="str">
            <v>DD-J10B-02121-1AG2-Z</v>
          </cell>
          <cell r="E10369" t="str">
            <v>BL280侧壁（左件）</v>
          </cell>
        </row>
        <row r="10370">
          <cell r="D10370" t="str">
            <v>DD-J10-21102-120-1-Y</v>
          </cell>
          <cell r="E10370" t="str">
            <v>9480梁（右件）</v>
          </cell>
        </row>
        <row r="10371">
          <cell r="D10371" t="str">
            <v>DD-J10B-02041-300-3</v>
          </cell>
          <cell r="E10371" t="str">
            <v>右内侧角材</v>
          </cell>
        </row>
        <row r="10372">
          <cell r="D10372" t="str">
            <v>DD-J10B-02041-300-3</v>
          </cell>
          <cell r="E10372" t="str">
            <v>右内侧角材</v>
          </cell>
        </row>
        <row r="10373">
          <cell r="D10373" t="str">
            <v>DD-J10B-34303-4</v>
          </cell>
          <cell r="E10373" t="str">
            <v>支座</v>
          </cell>
        </row>
        <row r="10374">
          <cell r="D10374" t="str">
            <v>DD-J10B-34303-4</v>
          </cell>
          <cell r="E10374" t="str">
            <v>支座</v>
          </cell>
        </row>
        <row r="10375">
          <cell r="D10375" t="str">
            <v>DD-J10B-02161-501</v>
          </cell>
          <cell r="E10375" t="str">
            <v>5755横框</v>
          </cell>
        </row>
        <row r="10376">
          <cell r="D10376" t="str">
            <v>DD-J10B-02161-501</v>
          </cell>
          <cell r="E10376" t="str">
            <v>5755横框</v>
          </cell>
        </row>
        <row r="10377">
          <cell r="D10377" t="str">
            <v>DD-J10B-02041-2-Z</v>
          </cell>
          <cell r="E10377" t="str">
            <v>前上大梁（左）</v>
          </cell>
        </row>
        <row r="10378">
          <cell r="D10378" t="str">
            <v>DD-J10B-02041-2-Z</v>
          </cell>
          <cell r="E10378" t="str">
            <v>前上大梁（左）</v>
          </cell>
        </row>
        <row r="10379">
          <cell r="D10379" t="str">
            <v>DD-J10B-02041-2-Z</v>
          </cell>
          <cell r="E10379" t="str">
            <v>前上大梁（左）</v>
          </cell>
        </row>
        <row r="10380">
          <cell r="D10380" t="str">
            <v>DD-J10B-02041-2-Y</v>
          </cell>
          <cell r="E10380" t="str">
            <v>前上大梁（右）</v>
          </cell>
        </row>
        <row r="10381">
          <cell r="D10381" t="str">
            <v>DD-J10B-02041-2-Y</v>
          </cell>
          <cell r="E10381" t="str">
            <v>前上大梁（右）</v>
          </cell>
        </row>
        <row r="10382">
          <cell r="D10382" t="str">
            <v>DD-J10B-02041-2-Y</v>
          </cell>
          <cell r="E10382" t="str">
            <v>前上大梁（右）</v>
          </cell>
        </row>
        <row r="10383">
          <cell r="D10383" t="str">
            <v>DD-J10B-02041-2-Y</v>
          </cell>
          <cell r="E10383" t="str">
            <v>前上大梁（右）</v>
          </cell>
        </row>
        <row r="10384">
          <cell r="D10384" t="str">
            <v>DD-J10B-21402-10G2-1G2-Y</v>
          </cell>
          <cell r="E10384" t="str">
            <v>固定前缘边肋（右件）</v>
          </cell>
        </row>
        <row r="10385">
          <cell r="D10385" t="str">
            <v>DD-J10B-21402-10G2-1G2-Y</v>
          </cell>
          <cell r="E10385" t="str">
            <v>固定前缘边肋（右件）</v>
          </cell>
        </row>
        <row r="10386">
          <cell r="D10386" t="str">
            <v>DD-J10B-21402-10G2-1G2-Y</v>
          </cell>
          <cell r="E10386" t="str">
            <v>固定前缘边肋（右件）</v>
          </cell>
        </row>
        <row r="10387">
          <cell r="D10387" t="str">
            <v>CB5327120-013L015</v>
          </cell>
          <cell r="E10387" t="str">
            <v>10150侧隔框</v>
          </cell>
        </row>
        <row r="10388">
          <cell r="D10388" t="str">
            <v>CB5327120-013L015</v>
          </cell>
          <cell r="E10388" t="str">
            <v>10150侧隔框</v>
          </cell>
        </row>
        <row r="10389">
          <cell r="D10389" t="str">
            <v>CB5327120-013L015</v>
          </cell>
          <cell r="E10389" t="str">
            <v>10150侧隔框</v>
          </cell>
        </row>
        <row r="10390">
          <cell r="D10390" t="str">
            <v>CB5327120-013L015</v>
          </cell>
          <cell r="E10390" t="str">
            <v>10150侧隔框</v>
          </cell>
        </row>
        <row r="10391">
          <cell r="D10391" t="str">
            <v>CB5327120-013L015</v>
          </cell>
          <cell r="E10391" t="str">
            <v>10150侧隔框</v>
          </cell>
        </row>
        <row r="10392">
          <cell r="D10392" t="str">
            <v>CB5327120-013R015</v>
          </cell>
          <cell r="E10392" t="str">
            <v>10150侧隔框</v>
          </cell>
        </row>
        <row r="10393">
          <cell r="D10393" t="str">
            <v>CB5327120-013R015</v>
          </cell>
          <cell r="E10393" t="str">
            <v>10150侧隔框</v>
          </cell>
        </row>
        <row r="10394">
          <cell r="D10394" t="str">
            <v>CB5327120-013R015</v>
          </cell>
          <cell r="E10394" t="str">
            <v>10150侧隔框</v>
          </cell>
        </row>
        <row r="10395">
          <cell r="D10395" t="str">
            <v>CB5327120-013R015</v>
          </cell>
          <cell r="E10395" t="str">
            <v>10150侧隔框</v>
          </cell>
        </row>
        <row r="10396">
          <cell r="D10396" t="str">
            <v>CB5327120-013R015</v>
          </cell>
          <cell r="E10396" t="str">
            <v>10150侧隔框</v>
          </cell>
        </row>
        <row r="10397">
          <cell r="D10397" t="str">
            <v>CB5327120-010L015</v>
          </cell>
          <cell r="E10397" t="str">
            <v>9555侧隔框</v>
          </cell>
        </row>
        <row r="10398">
          <cell r="D10398" t="str">
            <v>CB5327120-010L015</v>
          </cell>
          <cell r="E10398" t="str">
            <v>9555侧隔框</v>
          </cell>
        </row>
        <row r="10399">
          <cell r="D10399" t="str">
            <v>CB5327120-010L015</v>
          </cell>
          <cell r="E10399" t="str">
            <v>9555侧隔框</v>
          </cell>
        </row>
        <row r="10400">
          <cell r="D10400" t="str">
            <v>CB5327120-010L015</v>
          </cell>
          <cell r="E10400" t="str">
            <v>9555侧隔框</v>
          </cell>
        </row>
        <row r="10401">
          <cell r="D10401" t="str">
            <v>CB5327120-010L015</v>
          </cell>
          <cell r="E10401" t="str">
            <v>9555侧隔框</v>
          </cell>
        </row>
        <row r="10402">
          <cell r="D10402" t="str">
            <v>CB5327120-010R015</v>
          </cell>
          <cell r="E10402" t="str">
            <v>9555侧隔框</v>
          </cell>
        </row>
        <row r="10403">
          <cell r="D10403" t="str">
            <v>CB5327120-010R015</v>
          </cell>
          <cell r="E10403" t="str">
            <v>9555侧隔框</v>
          </cell>
        </row>
        <row r="10404">
          <cell r="D10404" t="str">
            <v>CB5327120-010R015</v>
          </cell>
          <cell r="E10404" t="str">
            <v>9555侧隔框</v>
          </cell>
        </row>
        <row r="10405">
          <cell r="D10405" t="str">
            <v>CB5327120-010R015</v>
          </cell>
          <cell r="E10405" t="str">
            <v>9555侧隔框</v>
          </cell>
        </row>
        <row r="10406">
          <cell r="D10406" t="str">
            <v>CB5327120-010R015</v>
          </cell>
          <cell r="E10406" t="str">
            <v>9555侧隔框</v>
          </cell>
        </row>
        <row r="10407">
          <cell r="D10407" t="str">
            <v>CB221T0LCN002-002</v>
          </cell>
          <cell r="E10407" t="str">
            <v>压力传感器接嘴</v>
          </cell>
        </row>
        <row r="10408">
          <cell r="D10408" t="str">
            <v>CB5811100-010-001</v>
          </cell>
          <cell r="E10408" t="str">
            <v>螺栓</v>
          </cell>
        </row>
        <row r="10409">
          <cell r="D10409" t="str">
            <v>CB5811100-010-001</v>
          </cell>
          <cell r="E10409" t="str">
            <v>螺栓</v>
          </cell>
        </row>
        <row r="10410">
          <cell r="D10410" t="str">
            <v>524A2330-001-001</v>
          </cell>
          <cell r="E10410" t="str">
            <v>曲柄</v>
          </cell>
        </row>
        <row r="10411">
          <cell r="D10411" t="str">
            <v>5613A380032G010</v>
          </cell>
          <cell r="E10411" t="str">
            <v>手柄底座</v>
          </cell>
        </row>
        <row r="10412">
          <cell r="D10412" t="str">
            <v>CB2747G30-002-002</v>
          </cell>
          <cell r="E10412" t="str">
            <v>管接头</v>
          </cell>
        </row>
        <row r="10413">
          <cell r="D10413" t="str">
            <v>DD-J10-55014-2160-1</v>
          </cell>
          <cell r="E10413" t="str">
            <v>耳环螺栓</v>
          </cell>
        </row>
        <row r="10414">
          <cell r="D10414" t="str">
            <v>DD-J10-55181-16</v>
          </cell>
          <cell r="E10414" t="str">
            <v>变径三通管接头</v>
          </cell>
        </row>
        <row r="10415">
          <cell r="D10415" t="str">
            <v>DD-J10-55181-16</v>
          </cell>
          <cell r="E10415" t="str">
            <v>变径三通管接头</v>
          </cell>
        </row>
        <row r="10416">
          <cell r="D10416" t="str">
            <v>CB5522200-020R001</v>
          </cell>
          <cell r="E10416" t="str">
            <v>实心块</v>
          </cell>
        </row>
        <row r="10417">
          <cell r="D10417" t="str">
            <v>CB5522200-020R001</v>
          </cell>
          <cell r="E10417" t="str">
            <v>实心块</v>
          </cell>
        </row>
        <row r="10418">
          <cell r="D10418" t="str">
            <v>CB5522200-020R001</v>
          </cell>
          <cell r="E10418" t="str">
            <v>实心块</v>
          </cell>
        </row>
        <row r="10419">
          <cell r="D10419" t="str">
            <v>CB5522200-020L001</v>
          </cell>
          <cell r="E10419" t="str">
            <v>实心块</v>
          </cell>
        </row>
        <row r="10420">
          <cell r="D10420" t="str">
            <v>CB5522200-020L001</v>
          </cell>
          <cell r="E10420" t="str">
            <v>实心块</v>
          </cell>
        </row>
        <row r="10421">
          <cell r="D10421" t="str">
            <v>CB5522200-020L001</v>
          </cell>
          <cell r="E10421" t="str">
            <v>实心块</v>
          </cell>
        </row>
        <row r="10422">
          <cell r="D10422" t="str">
            <v>CB5315190-002R001</v>
          </cell>
          <cell r="E10422" t="str">
            <v>WL-600地板梁</v>
          </cell>
        </row>
        <row r="10423">
          <cell r="D10423" t="str">
            <v>CB5315190-002L001</v>
          </cell>
          <cell r="E10423" t="str">
            <v>WL-600地板梁</v>
          </cell>
        </row>
        <row r="10424">
          <cell r="D10424" t="str">
            <v>CB5324310-011R006</v>
          </cell>
          <cell r="E10424" t="str">
            <v>型材</v>
          </cell>
        </row>
        <row r="10425">
          <cell r="D10425" t="str">
            <v>CB5324310-011R006</v>
          </cell>
          <cell r="E10425" t="str">
            <v>型材</v>
          </cell>
        </row>
        <row r="10426">
          <cell r="D10426" t="str">
            <v>CB5324310-011L006</v>
          </cell>
          <cell r="E10426" t="str">
            <v>型材</v>
          </cell>
        </row>
        <row r="10427">
          <cell r="D10427" t="str">
            <v>CB5324310-011L006</v>
          </cell>
          <cell r="E10427" t="str">
            <v>型材</v>
          </cell>
        </row>
        <row r="10428">
          <cell r="D10428" t="str">
            <v>CB5324321-010-006</v>
          </cell>
          <cell r="E10428" t="str">
            <v>加强件</v>
          </cell>
        </row>
        <row r="10429">
          <cell r="D10429" t="str">
            <v>CB5324321-010-006</v>
          </cell>
          <cell r="E10429" t="str">
            <v>加强件</v>
          </cell>
        </row>
        <row r="10430">
          <cell r="D10430" t="str">
            <v>CB5324310-009R006</v>
          </cell>
          <cell r="E10430" t="str">
            <v>型材</v>
          </cell>
        </row>
        <row r="10431">
          <cell r="D10431" t="str">
            <v>CB5324310-009R006</v>
          </cell>
          <cell r="E10431" t="str">
            <v>型材</v>
          </cell>
        </row>
        <row r="10432">
          <cell r="D10432" t="str">
            <v>CB5324310-009R006</v>
          </cell>
          <cell r="E10432" t="str">
            <v>型材</v>
          </cell>
        </row>
        <row r="10433">
          <cell r="D10433" t="str">
            <v>CB5324310-009L006</v>
          </cell>
          <cell r="E10433" t="str">
            <v>型材</v>
          </cell>
        </row>
        <row r="10434">
          <cell r="D10434" t="str">
            <v>CB5324310-009L006</v>
          </cell>
          <cell r="E10434" t="str">
            <v>型材</v>
          </cell>
        </row>
        <row r="10435">
          <cell r="D10435" t="str">
            <v>CB5324310-009L006</v>
          </cell>
          <cell r="E10435" t="str">
            <v>型材</v>
          </cell>
        </row>
        <row r="10436">
          <cell r="D10436" t="str">
            <v>CB3014940-001-002</v>
          </cell>
          <cell r="E10436" t="str">
            <v>左BL297侧框</v>
          </cell>
        </row>
        <row r="10437">
          <cell r="D10437" t="str">
            <v>CB3014940-001-002</v>
          </cell>
          <cell r="E10437" t="str">
            <v>左BL297侧框</v>
          </cell>
        </row>
        <row r="10438">
          <cell r="D10438" t="str">
            <v>CB3014940-001-002</v>
          </cell>
          <cell r="E10438" t="str">
            <v>左BL297侧框</v>
          </cell>
        </row>
        <row r="10439">
          <cell r="D10439" t="str">
            <v>CB5822016-024L001</v>
          </cell>
          <cell r="E10439" t="str">
            <v>角片</v>
          </cell>
        </row>
        <row r="10440">
          <cell r="D10440" t="str">
            <v>CB5822016-024R001</v>
          </cell>
          <cell r="E10440" t="str">
            <v>角片</v>
          </cell>
        </row>
        <row r="10441">
          <cell r="D10441" t="str">
            <v>CB5822016-032L001</v>
          </cell>
          <cell r="E10441" t="str">
            <v>角片</v>
          </cell>
        </row>
        <row r="10442">
          <cell r="D10442" t="str">
            <v>CB5822016-032R001</v>
          </cell>
          <cell r="E10442" t="str">
            <v>角片</v>
          </cell>
        </row>
        <row r="10443">
          <cell r="D10443" t="str">
            <v>CB5822016-034L001</v>
          </cell>
          <cell r="E10443" t="str">
            <v>角片</v>
          </cell>
        </row>
        <row r="10444">
          <cell r="D10444" t="str">
            <v>CB5822016-034L001</v>
          </cell>
          <cell r="E10444" t="str">
            <v>角片</v>
          </cell>
        </row>
        <row r="10445">
          <cell r="D10445" t="str">
            <v>CB5822016-034R001</v>
          </cell>
          <cell r="E10445" t="str">
            <v>角片</v>
          </cell>
        </row>
        <row r="10446">
          <cell r="D10446" t="str">
            <v>CB5822016-034R001</v>
          </cell>
          <cell r="E10446" t="str">
            <v>角片</v>
          </cell>
        </row>
        <row r="10447">
          <cell r="D10447" t="str">
            <v>DD-J10B-82000-101G2</v>
          </cell>
          <cell r="E10447" t="str">
            <v>地板</v>
          </cell>
        </row>
        <row r="10448">
          <cell r="D10448" t="str">
            <v>DD-J10-05086-30-1-Y</v>
          </cell>
          <cell r="E10448" t="str">
            <v>梁</v>
          </cell>
        </row>
        <row r="10449">
          <cell r="D10449" t="str">
            <v>DD-J10-05086-30-1-Y</v>
          </cell>
          <cell r="E10449" t="str">
            <v>梁</v>
          </cell>
        </row>
        <row r="10450">
          <cell r="D10450" t="str">
            <v>DD-J10-05086-30-1-Z</v>
          </cell>
          <cell r="E10450" t="str">
            <v>梁</v>
          </cell>
        </row>
        <row r="10451">
          <cell r="D10451" t="str">
            <v>DD-J10-05086-30-1-Z</v>
          </cell>
          <cell r="E10451" t="str">
            <v>梁</v>
          </cell>
        </row>
        <row r="10452">
          <cell r="D10452" t="str">
            <v>DD-J10-05086-20-1-Y</v>
          </cell>
          <cell r="E10452" t="str">
            <v>梁</v>
          </cell>
        </row>
        <row r="10453">
          <cell r="D10453" t="str">
            <v>DD-J10-05086-20-1-Y</v>
          </cell>
          <cell r="E10453" t="str">
            <v>梁</v>
          </cell>
        </row>
        <row r="10454">
          <cell r="D10454" t="str">
            <v>DD-J10-05086-20-1-Z</v>
          </cell>
          <cell r="E10454" t="str">
            <v>梁</v>
          </cell>
        </row>
        <row r="10455">
          <cell r="D10455" t="str">
            <v>DD-J10-05086-20-1-Z</v>
          </cell>
          <cell r="E10455" t="str">
            <v>梁</v>
          </cell>
        </row>
        <row r="10456">
          <cell r="D10456" t="str">
            <v>DD-J10-05086-20-1-Z</v>
          </cell>
          <cell r="E10456" t="str">
            <v>梁</v>
          </cell>
        </row>
        <row r="10457">
          <cell r="D10457" t="str">
            <v>DD-J10-05076-30-1-Y</v>
          </cell>
          <cell r="E10457" t="str">
            <v>梁</v>
          </cell>
        </row>
        <row r="10458">
          <cell r="D10458" t="str">
            <v>DD-J10-05076-30-1-Y</v>
          </cell>
          <cell r="E10458" t="str">
            <v>梁</v>
          </cell>
        </row>
        <row r="10459">
          <cell r="D10459" t="str">
            <v>DD-J10-05076-30-1-Z</v>
          </cell>
          <cell r="E10459" t="str">
            <v>梁</v>
          </cell>
        </row>
        <row r="10460">
          <cell r="D10460" t="str">
            <v>DD-J10-05076-30-1-Z</v>
          </cell>
          <cell r="E10460" t="str">
            <v>梁</v>
          </cell>
        </row>
        <row r="10461">
          <cell r="D10461" t="str">
            <v>DD-J10-05076-20-1-Y</v>
          </cell>
          <cell r="E10461" t="str">
            <v>梁</v>
          </cell>
        </row>
        <row r="10462">
          <cell r="D10462" t="str">
            <v>DD-J10-05076-20-1-Y</v>
          </cell>
          <cell r="E10462" t="str">
            <v>梁</v>
          </cell>
        </row>
        <row r="10463">
          <cell r="D10463" t="str">
            <v>DD-J10-05076-20-1-Z</v>
          </cell>
          <cell r="E10463" t="str">
            <v>梁</v>
          </cell>
        </row>
        <row r="10464">
          <cell r="D10464" t="str">
            <v>DD-J10-05076-20-1-Z</v>
          </cell>
          <cell r="E10464" t="str">
            <v>梁</v>
          </cell>
        </row>
        <row r="10465">
          <cell r="D10465" t="str">
            <v>DD-J10B-34303-7G2</v>
          </cell>
          <cell r="E10465" t="str">
            <v>第1隔板</v>
          </cell>
        </row>
        <row r="10466">
          <cell r="D10466" t="str">
            <v>DD-J10B-34303-7G2</v>
          </cell>
          <cell r="E10466" t="str">
            <v>第1隔板</v>
          </cell>
        </row>
        <row r="10467">
          <cell r="D10467" t="str">
            <v>DD-J10B-34303-8G2</v>
          </cell>
          <cell r="E10467" t="str">
            <v>第2隔板</v>
          </cell>
        </row>
        <row r="10468">
          <cell r="D10468" t="str">
            <v>DD-J10B-34303-8G2</v>
          </cell>
          <cell r="E10468" t="str">
            <v>第2隔板</v>
          </cell>
        </row>
        <row r="10469">
          <cell r="D10469" t="str">
            <v>DD-J10B-34303-9G2</v>
          </cell>
          <cell r="E10469" t="str">
            <v>第3隔板</v>
          </cell>
        </row>
        <row r="10470">
          <cell r="D10470" t="str">
            <v>DD-J10B-34303-9G2</v>
          </cell>
          <cell r="E10470" t="str">
            <v>第3隔板</v>
          </cell>
        </row>
        <row r="10471">
          <cell r="D10471" t="str">
            <v>DD-J10B-34303-11G2</v>
          </cell>
          <cell r="E10471" t="str">
            <v>第4隔板</v>
          </cell>
        </row>
        <row r="10472">
          <cell r="D10472" t="str">
            <v>DD-J10B-34303-11G2</v>
          </cell>
          <cell r="E10472" t="str">
            <v>第4隔板</v>
          </cell>
        </row>
        <row r="10473">
          <cell r="D10473" t="str">
            <v>DD-J10B-34303-12G2</v>
          </cell>
          <cell r="E10473" t="str">
            <v>第5隔板</v>
          </cell>
        </row>
        <row r="10474">
          <cell r="D10474" t="str">
            <v>DD-J10B-34303-12G2</v>
          </cell>
          <cell r="E10474" t="str">
            <v>第5隔板</v>
          </cell>
        </row>
        <row r="10475">
          <cell r="D10475" t="str">
            <v>DD-J10B-34303-13G2</v>
          </cell>
          <cell r="E10475" t="str">
            <v>第6隔板</v>
          </cell>
        </row>
        <row r="10476">
          <cell r="D10476" t="str">
            <v>DD-J10B-34303-13G2</v>
          </cell>
          <cell r="E10476" t="str">
            <v>第6隔板</v>
          </cell>
        </row>
        <row r="10477">
          <cell r="D10477" t="str">
            <v>CB5822016-029L001</v>
          </cell>
          <cell r="E10477" t="str">
            <v>角片</v>
          </cell>
        </row>
        <row r="10478">
          <cell r="D10478" t="str">
            <v>CB5822016-029R001</v>
          </cell>
          <cell r="E10478" t="str">
            <v>角片</v>
          </cell>
        </row>
        <row r="10479">
          <cell r="D10479" t="str">
            <v>CB5811300-002-001</v>
          </cell>
          <cell r="E10479" t="str">
            <v>垫圈</v>
          </cell>
        </row>
        <row r="10480">
          <cell r="D10480" t="str">
            <v>BC22971A1-005-001</v>
          </cell>
          <cell r="E10480" t="str">
            <v>缓冲头</v>
          </cell>
        </row>
        <row r="10481">
          <cell r="D10481" t="str">
            <v>BC5812820-001-001</v>
          </cell>
          <cell r="E10481" t="str">
            <v>拉杆</v>
          </cell>
        </row>
        <row r="10482">
          <cell r="D10482" t="str">
            <v>CB22109ME-002-001</v>
          </cell>
          <cell r="E10482" t="str">
            <v>150度弯管接头</v>
          </cell>
        </row>
        <row r="10483">
          <cell r="D10483" t="str">
            <v>524A2500-003-001</v>
          </cell>
          <cell r="E10483" t="str">
            <v>转接头</v>
          </cell>
        </row>
        <row r="10484">
          <cell r="D10484" t="str">
            <v>DD-J10B-04011-1</v>
          </cell>
          <cell r="E10484" t="str">
            <v>7100框</v>
          </cell>
        </row>
        <row r="10485">
          <cell r="D10485" t="str">
            <v>DD-J10B-04011-1</v>
          </cell>
          <cell r="E10485" t="str">
            <v>7100框</v>
          </cell>
        </row>
        <row r="10486">
          <cell r="D10486" t="str">
            <v>DD-J10B-04011-1</v>
          </cell>
          <cell r="E10486" t="str">
            <v>7100框</v>
          </cell>
        </row>
        <row r="10487">
          <cell r="D10487" t="str">
            <v>DD-J10B-04011-1</v>
          </cell>
          <cell r="E10487" t="str">
            <v>7100框</v>
          </cell>
        </row>
        <row r="10488">
          <cell r="D10488" t="str">
            <v>DD-J10B-04011-1</v>
          </cell>
          <cell r="E10488" t="str">
            <v>7100框</v>
          </cell>
        </row>
        <row r="10489">
          <cell r="D10489" t="str">
            <v>CB5314107-001-002</v>
          </cell>
          <cell r="E10489" t="str">
            <v>5550上框</v>
          </cell>
        </row>
        <row r="10490">
          <cell r="D10490" t="str">
            <v>CB5314107-001-002</v>
          </cell>
          <cell r="E10490" t="str">
            <v>5550上框</v>
          </cell>
        </row>
        <row r="10491">
          <cell r="D10491" t="str">
            <v>CB5314107-001-002</v>
          </cell>
          <cell r="E10491" t="str">
            <v>5550上框</v>
          </cell>
        </row>
        <row r="10492">
          <cell r="D10492" t="str">
            <v>CB5324413-004-002</v>
          </cell>
          <cell r="E10492" t="str">
            <v>油箱底板（中）</v>
          </cell>
        </row>
        <row r="10493">
          <cell r="D10493" t="str">
            <v>CB5324413-004-002</v>
          </cell>
          <cell r="E10493" t="str">
            <v>油箱底板（中）</v>
          </cell>
        </row>
        <row r="10494">
          <cell r="D10494" t="str">
            <v>BC5711304-001L002</v>
          </cell>
          <cell r="E10494" t="str">
            <v>口盖</v>
          </cell>
        </row>
        <row r="10495">
          <cell r="D10495" t="str">
            <v>EA5721120-001R101</v>
          </cell>
          <cell r="E10495" t="str">
            <v>前翼外段前梁二段</v>
          </cell>
        </row>
        <row r="10496">
          <cell r="D10496" t="str">
            <v>EA5721120-001R101</v>
          </cell>
          <cell r="E10496" t="str">
            <v>前翼外段前梁二段</v>
          </cell>
        </row>
        <row r="10497">
          <cell r="D10497" t="str">
            <v>EA5721120-001R101</v>
          </cell>
          <cell r="E10497" t="str">
            <v>前翼外段前梁二段</v>
          </cell>
        </row>
        <row r="10498">
          <cell r="D10498" t="str">
            <v>EA5721120-001R101</v>
          </cell>
          <cell r="E10498" t="str">
            <v>前翼外段前梁二段</v>
          </cell>
        </row>
        <row r="10499">
          <cell r="D10499" t="str">
            <v>EA5721120-001R101</v>
          </cell>
          <cell r="E10499" t="str">
            <v>前翼外段前梁二段</v>
          </cell>
        </row>
        <row r="10500">
          <cell r="D10500" t="str">
            <v>EA5721120-001L101</v>
          </cell>
          <cell r="E10500" t="str">
            <v>前翼外段前梁二段</v>
          </cell>
        </row>
        <row r="10501">
          <cell r="D10501" t="str">
            <v>EA5721120-001L101</v>
          </cell>
          <cell r="E10501" t="str">
            <v>前翼外段前梁二段</v>
          </cell>
        </row>
        <row r="10502">
          <cell r="D10502" t="str">
            <v>EA5721120-001L101</v>
          </cell>
          <cell r="E10502" t="str">
            <v>前翼外段前梁二段</v>
          </cell>
        </row>
        <row r="10503">
          <cell r="D10503" t="str">
            <v>EA5721120-001L101</v>
          </cell>
          <cell r="E10503" t="str">
            <v>前翼外段前梁二段</v>
          </cell>
        </row>
        <row r="10504">
          <cell r="D10504" t="str">
            <v>EA5721120-001L101</v>
          </cell>
          <cell r="E10504" t="str">
            <v>前翼外段前梁二段</v>
          </cell>
        </row>
        <row r="10505">
          <cell r="D10505" t="str">
            <v>EA5740020-004R101</v>
          </cell>
          <cell r="E10505" t="str">
            <v>右侧梁</v>
          </cell>
        </row>
        <row r="10506">
          <cell r="D10506" t="str">
            <v>EA5740020-004R101</v>
          </cell>
          <cell r="E10506" t="str">
            <v>右侧梁</v>
          </cell>
        </row>
        <row r="10507">
          <cell r="D10507" t="str">
            <v>EA5740020-004R101</v>
          </cell>
          <cell r="E10507" t="str">
            <v>右侧梁</v>
          </cell>
        </row>
        <row r="10508">
          <cell r="D10508" t="str">
            <v>EA5740020-004R101</v>
          </cell>
          <cell r="E10508" t="str">
            <v>右侧梁</v>
          </cell>
        </row>
        <row r="10509">
          <cell r="D10509" t="str">
            <v>EA5740020-004L101</v>
          </cell>
          <cell r="E10509" t="str">
            <v>右侧梁</v>
          </cell>
        </row>
        <row r="10510">
          <cell r="D10510" t="str">
            <v>EA5740020-004L101</v>
          </cell>
          <cell r="E10510" t="str">
            <v>右侧梁</v>
          </cell>
        </row>
        <row r="10511">
          <cell r="D10511" t="str">
            <v>EA5740020-004L101</v>
          </cell>
          <cell r="E10511" t="str">
            <v>右侧梁</v>
          </cell>
        </row>
        <row r="10512">
          <cell r="D10512" t="str">
            <v>EA5740020-004L101</v>
          </cell>
          <cell r="E10512" t="str">
            <v>右侧梁</v>
          </cell>
        </row>
        <row r="10513">
          <cell r="D10513" t="str">
            <v>EA5732100-005R101</v>
          </cell>
          <cell r="E10513" t="str">
            <v>后翼前缘第5肋</v>
          </cell>
        </row>
        <row r="10514">
          <cell r="D10514" t="str">
            <v>EA5732100-005R101</v>
          </cell>
          <cell r="E10514" t="str">
            <v>后翼前缘第5肋</v>
          </cell>
        </row>
        <row r="10515">
          <cell r="D10515" t="str">
            <v>EA5732100-005R101</v>
          </cell>
          <cell r="E10515" t="str">
            <v>后翼前缘第5肋</v>
          </cell>
        </row>
        <row r="10516">
          <cell r="D10516" t="str">
            <v>EA5732100-005R101</v>
          </cell>
          <cell r="E10516" t="str">
            <v>后翼前缘第5肋</v>
          </cell>
        </row>
        <row r="10517">
          <cell r="D10517" t="str">
            <v>EA5732100-005L101</v>
          </cell>
          <cell r="E10517" t="str">
            <v>后翼前缘第5肋</v>
          </cell>
        </row>
        <row r="10518">
          <cell r="D10518" t="str">
            <v>EA5732100-005L101</v>
          </cell>
          <cell r="E10518" t="str">
            <v>后翼前缘第5肋</v>
          </cell>
        </row>
        <row r="10519">
          <cell r="D10519" t="str">
            <v>EA5732100-005L101</v>
          </cell>
          <cell r="E10519" t="str">
            <v>后翼前缘第5肋</v>
          </cell>
        </row>
        <row r="10520">
          <cell r="D10520" t="str">
            <v>EA5732100-005L101</v>
          </cell>
          <cell r="E10520" t="str">
            <v>后翼前缘第5肋</v>
          </cell>
        </row>
        <row r="10521">
          <cell r="D10521" t="str">
            <v>DD-J10-05346-3-Y</v>
          </cell>
          <cell r="E10521" t="str">
            <v>受剪接头</v>
          </cell>
        </row>
        <row r="10522">
          <cell r="D10522" t="str">
            <v>DD-J10-05346-3-Y</v>
          </cell>
          <cell r="E10522" t="str">
            <v>受剪接头</v>
          </cell>
        </row>
        <row r="10523">
          <cell r="D10523" t="str">
            <v>DD-J10-05346-3-Y</v>
          </cell>
          <cell r="E10523" t="str">
            <v>受剪接头</v>
          </cell>
        </row>
        <row r="10524">
          <cell r="D10524" t="str">
            <v>DD-J10-05346-3-Y</v>
          </cell>
          <cell r="E10524" t="str">
            <v>受剪接头</v>
          </cell>
        </row>
        <row r="10525">
          <cell r="D10525" t="str">
            <v>DD-J10-05346-3-Y</v>
          </cell>
          <cell r="E10525" t="str">
            <v>受剪接头</v>
          </cell>
        </row>
        <row r="10526">
          <cell r="D10526" t="str">
            <v>DD-J10-05346-3-Y</v>
          </cell>
          <cell r="E10526" t="str">
            <v>受剪接头</v>
          </cell>
        </row>
        <row r="10527">
          <cell r="D10527" t="str">
            <v>DD-J10-05346-3-Y</v>
          </cell>
          <cell r="E10527" t="str">
            <v>受剪接头</v>
          </cell>
        </row>
        <row r="10528">
          <cell r="D10528" t="str">
            <v>DD-J10-05346-3-Y</v>
          </cell>
          <cell r="E10528" t="str">
            <v>受剪接头</v>
          </cell>
        </row>
        <row r="10529">
          <cell r="D10529" t="str">
            <v>DD-J10-05346-3-Y</v>
          </cell>
          <cell r="E10529" t="str">
            <v>受剪接头</v>
          </cell>
        </row>
        <row r="10530">
          <cell r="D10530" t="str">
            <v>DD-J10-05346-3-Y</v>
          </cell>
          <cell r="E10530" t="str">
            <v>受剪接头</v>
          </cell>
        </row>
        <row r="10531">
          <cell r="D10531" t="str">
            <v>DD-J10-05346-3-Y</v>
          </cell>
          <cell r="E10531" t="str">
            <v>受剪接头</v>
          </cell>
        </row>
        <row r="10532">
          <cell r="D10532" t="str">
            <v>DD-J10-05346-3-Y</v>
          </cell>
          <cell r="E10532" t="str">
            <v>受剪接头</v>
          </cell>
        </row>
        <row r="10533">
          <cell r="D10533" t="str">
            <v>DD-J10-05346-3-Y</v>
          </cell>
          <cell r="E10533" t="str">
            <v>受剪接头</v>
          </cell>
        </row>
        <row r="10534">
          <cell r="D10534" t="str">
            <v>DD-J10-05346-3-Y</v>
          </cell>
          <cell r="E10534" t="str">
            <v>受剪接头</v>
          </cell>
        </row>
        <row r="10535">
          <cell r="D10535" t="str">
            <v>DD-J10-05346-3-Y</v>
          </cell>
          <cell r="E10535" t="str">
            <v>受剪接头</v>
          </cell>
        </row>
        <row r="10536">
          <cell r="D10536" t="str">
            <v>DD-J10-05346-3-Y</v>
          </cell>
          <cell r="E10536" t="str">
            <v>受剪接头</v>
          </cell>
        </row>
        <row r="10537">
          <cell r="D10537" t="str">
            <v>DD-J10-05346-3-Y</v>
          </cell>
          <cell r="E10537" t="str">
            <v>受剪接头</v>
          </cell>
        </row>
        <row r="10538">
          <cell r="D10538" t="str">
            <v>DD-J10-05346-3-Y</v>
          </cell>
          <cell r="E10538" t="str">
            <v>受剪接头</v>
          </cell>
        </row>
        <row r="10539">
          <cell r="D10539" t="str">
            <v>DD-J10-05346-3-Y</v>
          </cell>
          <cell r="E10539" t="str">
            <v>受剪接头</v>
          </cell>
        </row>
        <row r="10540">
          <cell r="D10540" t="str">
            <v>DD-J10-05346-3-Y</v>
          </cell>
          <cell r="E10540" t="str">
            <v>受剪接头</v>
          </cell>
        </row>
        <row r="10541">
          <cell r="D10541" t="str">
            <v>DD-J10-05346-3-Y</v>
          </cell>
          <cell r="E10541" t="str">
            <v>受剪接头</v>
          </cell>
        </row>
        <row r="10542">
          <cell r="D10542" t="str">
            <v>DD-J10-05346-3-Y</v>
          </cell>
          <cell r="E10542" t="str">
            <v>受剪接头</v>
          </cell>
        </row>
        <row r="10543">
          <cell r="D10543" t="str">
            <v>DD-J10-05346-3-Y</v>
          </cell>
          <cell r="E10543" t="str">
            <v>受剪接头</v>
          </cell>
        </row>
        <row r="10544">
          <cell r="D10544" t="str">
            <v>DD-J10-05346-3-Y</v>
          </cell>
          <cell r="E10544" t="str">
            <v>受剪接头</v>
          </cell>
        </row>
        <row r="10545">
          <cell r="D10545" t="str">
            <v>DD-J10-05346-3-Z</v>
          </cell>
          <cell r="E10545" t="str">
            <v>受剪接头</v>
          </cell>
        </row>
        <row r="10546">
          <cell r="D10546" t="str">
            <v>DD-J10-05346-3-Z</v>
          </cell>
          <cell r="E10546" t="str">
            <v>受剪接头</v>
          </cell>
        </row>
        <row r="10547">
          <cell r="D10547" t="str">
            <v>DD-J10-05346-3-Z</v>
          </cell>
          <cell r="E10547" t="str">
            <v>受剪接头</v>
          </cell>
        </row>
        <row r="10548">
          <cell r="D10548" t="str">
            <v>DD-J10-05346-3-Z</v>
          </cell>
          <cell r="E10548" t="str">
            <v>受剪接头</v>
          </cell>
        </row>
        <row r="10549">
          <cell r="D10549" t="str">
            <v>DD-J10-05346-3-Z</v>
          </cell>
          <cell r="E10549" t="str">
            <v>受剪接头</v>
          </cell>
        </row>
        <row r="10550">
          <cell r="D10550" t="str">
            <v>DD-J10-05346-3-Z</v>
          </cell>
          <cell r="E10550" t="str">
            <v>受剪接头</v>
          </cell>
        </row>
        <row r="10551">
          <cell r="D10551" t="str">
            <v>DD-J10-05346-3-Z</v>
          </cell>
          <cell r="E10551" t="str">
            <v>受剪接头</v>
          </cell>
        </row>
        <row r="10552">
          <cell r="D10552" t="str">
            <v>DD-J10-05346-3-Z</v>
          </cell>
          <cell r="E10552" t="str">
            <v>受剪接头</v>
          </cell>
        </row>
        <row r="10553">
          <cell r="D10553" t="str">
            <v>DD-J10-05346-3-Z</v>
          </cell>
          <cell r="E10553" t="str">
            <v>受剪接头</v>
          </cell>
        </row>
        <row r="10554">
          <cell r="D10554" t="str">
            <v>DD-J10-05346-3-Z</v>
          </cell>
          <cell r="E10554" t="str">
            <v>受剪接头</v>
          </cell>
        </row>
        <row r="10555">
          <cell r="D10555" t="str">
            <v>DD-J10-05346-3-Z</v>
          </cell>
          <cell r="E10555" t="str">
            <v>受剪接头</v>
          </cell>
        </row>
        <row r="10556">
          <cell r="D10556" t="str">
            <v>DD-J10-05346-3-Z</v>
          </cell>
          <cell r="E10556" t="str">
            <v>受剪接头</v>
          </cell>
        </row>
        <row r="10557">
          <cell r="D10557" t="str">
            <v>DD-J10-05346-3-Z</v>
          </cell>
          <cell r="E10557" t="str">
            <v>受剪接头</v>
          </cell>
        </row>
        <row r="10558">
          <cell r="D10558" t="str">
            <v>DD-J10-05346-3-Z</v>
          </cell>
          <cell r="E10558" t="str">
            <v>受剪接头</v>
          </cell>
        </row>
        <row r="10559">
          <cell r="D10559" t="str">
            <v>DD-J10-05346-3-Z</v>
          </cell>
          <cell r="E10559" t="str">
            <v>受剪接头</v>
          </cell>
        </row>
        <row r="10560">
          <cell r="D10560" t="str">
            <v>DD-J10-05346-3-Z</v>
          </cell>
          <cell r="E10560" t="str">
            <v>受剪接头</v>
          </cell>
        </row>
        <row r="10561">
          <cell r="D10561" t="str">
            <v>DD-J10-05346-3-Z</v>
          </cell>
          <cell r="E10561" t="str">
            <v>受剪接头</v>
          </cell>
        </row>
        <row r="10562">
          <cell r="D10562" t="str">
            <v>DD-J10-05346-3-Z</v>
          </cell>
          <cell r="E10562" t="str">
            <v>受剪接头</v>
          </cell>
        </row>
        <row r="10563">
          <cell r="D10563" t="str">
            <v>DD-J10-05346-3-Z</v>
          </cell>
          <cell r="E10563" t="str">
            <v>受剪接头</v>
          </cell>
        </row>
        <row r="10564">
          <cell r="D10564" t="str">
            <v>DD-J10-05346-3-Z</v>
          </cell>
          <cell r="E10564" t="str">
            <v>受剪接头</v>
          </cell>
        </row>
        <row r="10565">
          <cell r="D10565" t="str">
            <v>DD-J10-05346-3-Z</v>
          </cell>
          <cell r="E10565" t="str">
            <v>受剪接头</v>
          </cell>
        </row>
        <row r="10566">
          <cell r="D10566" t="str">
            <v>DD-J10-05346-3-Z</v>
          </cell>
          <cell r="E10566" t="str">
            <v>受剪接头</v>
          </cell>
        </row>
        <row r="10567">
          <cell r="D10567" t="str">
            <v>DD-J10-05346-3-Z</v>
          </cell>
          <cell r="E10567" t="str">
            <v>受剪接头</v>
          </cell>
        </row>
        <row r="10568">
          <cell r="D10568" t="str">
            <v>DD-J10-05346-3-Z</v>
          </cell>
          <cell r="E10568" t="str">
            <v>受剪接头</v>
          </cell>
        </row>
        <row r="10569">
          <cell r="D10569" t="str">
            <v>DD-J10-05346-3-Z</v>
          </cell>
          <cell r="E10569" t="str">
            <v>受剪接头</v>
          </cell>
        </row>
        <row r="10570">
          <cell r="D10570" t="str">
            <v>XXX1 XXX-000-00</v>
          </cell>
          <cell r="E10570" t="str">
            <v>XXX振动夹具组合件</v>
          </cell>
        </row>
        <row r="10571">
          <cell r="D10571" t="str">
            <v>XXX1 XXX-000-01</v>
          </cell>
          <cell r="E10571" t="str">
            <v>XXX振动夹具</v>
          </cell>
        </row>
        <row r="10572">
          <cell r="D10572" t="str">
            <v>XXX2 XXX-000-00</v>
          </cell>
          <cell r="E10572" t="str">
            <v>XXX离心夹具组合件</v>
          </cell>
        </row>
        <row r="10573">
          <cell r="D10573" t="str">
            <v>XXX2 XXX-000-01</v>
          </cell>
          <cell r="E10573" t="str">
            <v>XXX离心夹具</v>
          </cell>
        </row>
        <row r="10574">
          <cell r="D10574" t="str">
            <v>XXX3 XXX-000-00</v>
          </cell>
          <cell r="E10574" t="str">
            <v>XXX颠振试验夹具组合件</v>
          </cell>
        </row>
        <row r="10575">
          <cell r="D10575" t="str">
            <v>XXX3 XXX-000-01</v>
          </cell>
          <cell r="E10575" t="str">
            <v>XXX颠振试验夹具</v>
          </cell>
        </row>
        <row r="10576">
          <cell r="D10576" t="str">
            <v>XXX-3400000-01</v>
          </cell>
          <cell r="E10576" t="str">
            <v>外盖板</v>
          </cell>
        </row>
        <row r="10577">
          <cell r="D10577" t="str">
            <v>XXX-3421100-01</v>
          </cell>
          <cell r="E10577" t="str">
            <v>盖板</v>
          </cell>
        </row>
        <row r="10578">
          <cell r="D10578" t="str">
            <v>XXX-3422000-01</v>
          </cell>
          <cell r="E10578" t="str">
            <v>壳体</v>
          </cell>
        </row>
        <row r="10579">
          <cell r="D10579" t="str">
            <v>XXX-3431000-02</v>
          </cell>
          <cell r="E10579" t="str">
            <v>XXX头接线片1</v>
          </cell>
        </row>
        <row r="10580">
          <cell r="D10580" t="str">
            <v>XXX-3431000-03</v>
          </cell>
          <cell r="E10580" t="str">
            <v>正负极接线片</v>
          </cell>
        </row>
        <row r="10581">
          <cell r="D10581" t="str">
            <v>XXX-3431000-05</v>
          </cell>
          <cell r="E10581" t="str">
            <v>XXX头接线片2</v>
          </cell>
        </row>
        <row r="10582">
          <cell r="D10582" t="str">
            <v>XXX-3433000-01</v>
          </cell>
          <cell r="E10582" t="str">
            <v>正极集电片1</v>
          </cell>
        </row>
        <row r="10583">
          <cell r="D10583" t="str">
            <v>XXX-3433000-02</v>
          </cell>
          <cell r="E10583" t="str">
            <v>正极集电片2</v>
          </cell>
        </row>
        <row r="10584">
          <cell r="D10584" t="str">
            <v>XXX-3433000-03</v>
          </cell>
          <cell r="E10584" t="str">
            <v>负极集电片</v>
          </cell>
        </row>
        <row r="10585">
          <cell r="D10585" t="str">
            <v>XXX-JP01</v>
          </cell>
          <cell r="E10585" t="str">
            <v>导线接线片</v>
          </cell>
        </row>
        <row r="10586">
          <cell r="D10586" t="str">
            <v>XXX-JZ01</v>
          </cell>
          <cell r="E10586" t="str">
            <v>接线柱</v>
          </cell>
        </row>
        <row r="10587">
          <cell r="D10587" t="str">
            <v>EA5700041-008R101</v>
          </cell>
          <cell r="E10587" t="str">
            <v>后下对接肋</v>
          </cell>
        </row>
        <row r="10588">
          <cell r="D10588" t="str">
            <v>EA5700041-008R101</v>
          </cell>
          <cell r="E10588" t="str">
            <v>后下对接肋</v>
          </cell>
        </row>
        <row r="10589">
          <cell r="D10589" t="str">
            <v>EA5700041-008L101</v>
          </cell>
          <cell r="E10589" t="str">
            <v>后下对接肋</v>
          </cell>
        </row>
        <row r="10590">
          <cell r="D10590" t="str">
            <v>EA5700041-008L101</v>
          </cell>
          <cell r="E10590" t="str">
            <v>后下对接肋</v>
          </cell>
        </row>
        <row r="10591">
          <cell r="D10591" t="str">
            <v>DD-J10B-02161-0G2-201G2</v>
          </cell>
          <cell r="E10591" t="str">
            <v>密封垫</v>
          </cell>
        </row>
        <row r="10592">
          <cell r="D10592" t="str">
            <v>DD-J10B-02161-0G2-202G2-Y</v>
          </cell>
          <cell r="E10592" t="str">
            <v>密封垫</v>
          </cell>
        </row>
        <row r="10593">
          <cell r="D10593" t="str">
            <v>DD-J10B-02161-0G2-202G2-Z</v>
          </cell>
          <cell r="E10593" t="str">
            <v>密封垫</v>
          </cell>
        </row>
        <row r="10594">
          <cell r="D10594" t="str">
            <v>DD-J10B-02161-0G2-203G2</v>
          </cell>
          <cell r="E10594" t="str">
            <v>密封垫</v>
          </cell>
        </row>
        <row r="10595">
          <cell r="D10595" t="str">
            <v>DD-J10-21102-60/-1/1-Y</v>
          </cell>
          <cell r="E10595" t="str">
            <v>11968下口盖</v>
          </cell>
        </row>
        <row r="10596">
          <cell r="D10596" t="str">
            <v>DD-J10-21102-60/-1/1-Y</v>
          </cell>
          <cell r="E10596" t="str">
            <v>11968下口盖</v>
          </cell>
        </row>
        <row r="10597">
          <cell r="D10597" t="str">
            <v>DD-J10-21102-60/-1/1-Y</v>
          </cell>
          <cell r="E10597" t="str">
            <v>11968下口盖</v>
          </cell>
        </row>
        <row r="10598">
          <cell r="D10598" t="str">
            <v>DD-J10-21102-60/-1/2-Y</v>
          </cell>
          <cell r="E10598" t="str">
            <v>11968下口盖</v>
          </cell>
        </row>
        <row r="10599">
          <cell r="D10599" t="str">
            <v>DD-J10-21102-60/-1/2-Y</v>
          </cell>
          <cell r="E10599" t="str">
            <v>11968下口盖</v>
          </cell>
        </row>
        <row r="10600">
          <cell r="D10600" t="str">
            <v>DD-J10-21102-60/-1/2-Y</v>
          </cell>
          <cell r="E10600" t="str">
            <v>11968下口盖</v>
          </cell>
        </row>
        <row r="10601">
          <cell r="D10601" t="str">
            <v>DD-J10-21102-60/-1/2-Z</v>
          </cell>
          <cell r="E10601" t="str">
            <v>11968下口盖</v>
          </cell>
        </row>
        <row r="10602">
          <cell r="D10602" t="str">
            <v>DD-J10-21102-60/-1/2-Z</v>
          </cell>
          <cell r="E10602" t="str">
            <v>11968下口盖</v>
          </cell>
        </row>
        <row r="10603">
          <cell r="D10603" t="str">
            <v>DD-J10-21102-60/-1/2-Z</v>
          </cell>
          <cell r="E10603" t="str">
            <v>11968下口盖</v>
          </cell>
        </row>
        <row r="10604">
          <cell r="D10604" t="str">
            <v>DD-J10-21102-60/-1/3-Y</v>
          </cell>
          <cell r="E10604" t="str">
            <v>11968下口盖</v>
          </cell>
        </row>
        <row r="10605">
          <cell r="D10605" t="str">
            <v>DD-J10-21102-60/-1/3-Y</v>
          </cell>
          <cell r="E10605" t="str">
            <v>11968下口盖</v>
          </cell>
        </row>
        <row r="10606">
          <cell r="D10606" t="str">
            <v>DD-J10-21102-60/-1/3-Y</v>
          </cell>
          <cell r="E10606" t="str">
            <v>11968下口盖</v>
          </cell>
        </row>
        <row r="10607">
          <cell r="D10607" t="str">
            <v>DD-J10-21102-60/-1/3-Z</v>
          </cell>
          <cell r="E10607" t="str">
            <v>11968下口盖</v>
          </cell>
        </row>
        <row r="10608">
          <cell r="D10608" t="str">
            <v>DD-J10-21102-60/-1/3-Z</v>
          </cell>
          <cell r="E10608" t="str">
            <v>11968下口盖</v>
          </cell>
        </row>
        <row r="10609">
          <cell r="D10609" t="str">
            <v>DD-J10-21102-60/-1/3-Z</v>
          </cell>
          <cell r="E10609" t="str">
            <v>11968下口盖</v>
          </cell>
        </row>
        <row r="10610">
          <cell r="D10610" t="str">
            <v>DD-J10-21102-60/-1/4-Z</v>
          </cell>
          <cell r="E10610" t="str">
            <v>11968下口盖</v>
          </cell>
        </row>
        <row r="10611">
          <cell r="D10611" t="str">
            <v>DD-J10-21102-60/-1/4-Z</v>
          </cell>
          <cell r="E10611" t="str">
            <v>11968下口盖</v>
          </cell>
        </row>
        <row r="10612">
          <cell r="D10612" t="str">
            <v>DD-J10-21102-60/-1/4-Z</v>
          </cell>
          <cell r="E10612" t="str">
            <v>11968下口盖</v>
          </cell>
        </row>
        <row r="10613">
          <cell r="D10613" t="str">
            <v>CB5327120-003R006</v>
          </cell>
          <cell r="E10613" t="str">
            <v>8270侧隔框</v>
          </cell>
        </row>
        <row r="10614">
          <cell r="D10614" t="str">
            <v>CB5327120-003R006</v>
          </cell>
          <cell r="E10614" t="str">
            <v>8270侧隔框</v>
          </cell>
        </row>
        <row r="10615">
          <cell r="D10615" t="str">
            <v>CB5327120-003R006</v>
          </cell>
          <cell r="E10615" t="str">
            <v>8270侧隔框</v>
          </cell>
        </row>
        <row r="10616">
          <cell r="D10616" t="str">
            <v>CB5327120-003R006</v>
          </cell>
          <cell r="E10616" t="str">
            <v>8270侧隔框</v>
          </cell>
        </row>
        <row r="10617">
          <cell r="D10617" t="str">
            <v>CB5327120-003R006</v>
          </cell>
          <cell r="E10617" t="str">
            <v>8270侧隔框</v>
          </cell>
        </row>
        <row r="10618">
          <cell r="D10618" t="str">
            <v>CB5327120-003L006</v>
          </cell>
          <cell r="E10618" t="str">
            <v>8270侧隔框</v>
          </cell>
        </row>
        <row r="10619">
          <cell r="D10619" t="str">
            <v>CB5327120-003L006</v>
          </cell>
          <cell r="E10619" t="str">
            <v>8270侧隔框</v>
          </cell>
        </row>
        <row r="10620">
          <cell r="D10620" t="str">
            <v>CB5327120-003L006</v>
          </cell>
          <cell r="E10620" t="str">
            <v>8270侧隔框</v>
          </cell>
        </row>
        <row r="10621">
          <cell r="D10621" t="str">
            <v>CB5327120-003L006</v>
          </cell>
          <cell r="E10621" t="str">
            <v>8270侧隔框</v>
          </cell>
        </row>
        <row r="10622">
          <cell r="D10622" t="str">
            <v>CB5327120-003L006</v>
          </cell>
          <cell r="E10622" t="str">
            <v>8270侧隔框</v>
          </cell>
        </row>
        <row r="10623">
          <cell r="D10623" t="str">
            <v>CB5314240-012-003</v>
          </cell>
          <cell r="E10623" t="str">
            <v>后顶板</v>
          </cell>
        </row>
        <row r="10624">
          <cell r="D10624" t="str">
            <v>CB5314240-012-003</v>
          </cell>
          <cell r="E10624" t="str">
            <v>后顶板</v>
          </cell>
        </row>
        <row r="10625">
          <cell r="D10625" t="str">
            <v>CB5314240-012-003</v>
          </cell>
          <cell r="E10625" t="str">
            <v>后顶板</v>
          </cell>
        </row>
        <row r="10626">
          <cell r="D10626" t="str">
            <v>CB5314240-012-003</v>
          </cell>
          <cell r="E10626" t="str">
            <v>后顶板</v>
          </cell>
        </row>
        <row r="10627">
          <cell r="D10627" t="str">
            <v>CB3014944-001-002</v>
          </cell>
          <cell r="E10627" t="str">
            <v>左后垂直操纵台面板</v>
          </cell>
        </row>
        <row r="10628">
          <cell r="D10628" t="str">
            <v>CB3014944-001-002</v>
          </cell>
          <cell r="E10628" t="str">
            <v>左后垂直操纵台面板</v>
          </cell>
        </row>
        <row r="10629">
          <cell r="D10629" t="str">
            <v>CB5325210-001-004</v>
          </cell>
          <cell r="E10629" t="str">
            <v>辅助动力舱口盖前段</v>
          </cell>
        </row>
        <row r="10630">
          <cell r="D10630" t="str">
            <v>CB5325210-001-004</v>
          </cell>
          <cell r="E10630" t="str">
            <v>辅助动力舱口盖前段</v>
          </cell>
        </row>
        <row r="10631">
          <cell r="D10631" t="str">
            <v>CB5325210-001-004</v>
          </cell>
          <cell r="E10631" t="str">
            <v>辅助动力舱口盖前段</v>
          </cell>
        </row>
        <row r="10632">
          <cell r="D10632" t="str">
            <v>CB5325210-001-004</v>
          </cell>
          <cell r="E10632" t="str">
            <v>辅助动力舱口盖前段</v>
          </cell>
        </row>
        <row r="10633">
          <cell r="D10633" t="str">
            <v>CB5325210-001-004</v>
          </cell>
          <cell r="E10633" t="str">
            <v>辅助动力舱口盖前段</v>
          </cell>
        </row>
        <row r="10634">
          <cell r="D10634" t="str">
            <v>CB271221B-003-001</v>
          </cell>
          <cell r="E10634" t="str">
            <v>管子</v>
          </cell>
        </row>
        <row r="10635">
          <cell r="D10635" t="str">
            <v>DD-FC1-41153-21</v>
          </cell>
          <cell r="E10635" t="str">
            <v>单耳接头</v>
          </cell>
        </row>
        <row r="10636">
          <cell r="D10636" t="str">
            <v>DD-J10-96031-121</v>
          </cell>
          <cell r="E10636" t="str">
            <v>销棒</v>
          </cell>
        </row>
        <row r="10637">
          <cell r="D10637" t="str">
            <v>DD-J10B-94076-620-4</v>
          </cell>
          <cell r="E10637" t="str">
            <v>衬套</v>
          </cell>
        </row>
        <row r="10638">
          <cell r="D10638" t="str">
            <v>DD-J10B-86031-510-4</v>
          </cell>
          <cell r="E10638" t="str">
            <v>套管</v>
          </cell>
        </row>
        <row r="10639">
          <cell r="D10639" t="str">
            <v>DD-J10-55181-2810-4</v>
          </cell>
          <cell r="E10639" t="str">
            <v>管</v>
          </cell>
        </row>
        <row r="10640">
          <cell r="D10640" t="str">
            <v>DD-J10B-55141-2010-3</v>
          </cell>
          <cell r="E10640" t="str">
            <v>衬套</v>
          </cell>
        </row>
        <row r="10641">
          <cell r="D10641" t="str">
            <v>DD-J10B-61101-3110-1</v>
          </cell>
          <cell r="E10641" t="str">
            <v>导管</v>
          </cell>
        </row>
        <row r="10642">
          <cell r="D10642" t="str">
            <v>DD-J10B-68095-1710-3-Y</v>
          </cell>
          <cell r="E10642" t="str">
            <v>钢管</v>
          </cell>
        </row>
        <row r="10643">
          <cell r="D10643" t="str">
            <v>DD-J10B-94076-220-2</v>
          </cell>
          <cell r="E10643" t="str">
            <v>衬套</v>
          </cell>
        </row>
        <row r="10644">
          <cell r="D10644" t="str">
            <v>DD-J10-55165-710-3</v>
          </cell>
          <cell r="E10644" t="str">
            <v>衬套</v>
          </cell>
        </row>
        <row r="10645">
          <cell r="D10645" t="str">
            <v>DD-J10-68095-1300-3</v>
          </cell>
          <cell r="E10645" t="str">
            <v>衬套</v>
          </cell>
        </row>
        <row r="10646">
          <cell r="D10646" t="str">
            <v>DD-J10-55181-2710-4</v>
          </cell>
          <cell r="E10646" t="str">
            <v>管</v>
          </cell>
        </row>
        <row r="10647">
          <cell r="D10647" t="str">
            <v>DD-J10B-94061-520-2</v>
          </cell>
          <cell r="E10647" t="str">
            <v>衬套</v>
          </cell>
        </row>
        <row r="10648">
          <cell r="D10648" t="str">
            <v>DD-J10-41035-120-2</v>
          </cell>
          <cell r="E10648" t="str">
            <v>管子</v>
          </cell>
        </row>
        <row r="10649">
          <cell r="D10649" t="str">
            <v>DD-J10-68095-1100-2</v>
          </cell>
          <cell r="E10649" t="str">
            <v>衬套</v>
          </cell>
        </row>
        <row r="10650">
          <cell r="D10650" t="str">
            <v>DD-J10-96031-104</v>
          </cell>
          <cell r="E10650" t="str">
            <v>接管嘴</v>
          </cell>
        </row>
        <row r="10651">
          <cell r="D10651" t="str">
            <v>DD-J10-55165-1440-3</v>
          </cell>
          <cell r="E10651" t="str">
            <v>衬套</v>
          </cell>
        </row>
        <row r="10652">
          <cell r="D10652" t="str">
            <v>DD-J10-55165-1460-3</v>
          </cell>
          <cell r="E10652" t="str">
            <v>衬套</v>
          </cell>
        </row>
        <row r="10653">
          <cell r="D10653" t="str">
            <v>DD-J10-41153-130-2</v>
          </cell>
          <cell r="E10653" t="str">
            <v>管子</v>
          </cell>
        </row>
        <row r="10654">
          <cell r="D10654" t="str">
            <v>DD-J10-55165-1460-3</v>
          </cell>
          <cell r="E10654" t="str">
            <v>衬套</v>
          </cell>
        </row>
        <row r="10655">
          <cell r="D10655" t="str">
            <v>DD-J10-96031-111</v>
          </cell>
          <cell r="E10655" t="str">
            <v>螺母</v>
          </cell>
        </row>
        <row r="10656">
          <cell r="D10656" t="str">
            <v>DD-J10B-94061-520-2</v>
          </cell>
          <cell r="E10656" t="str">
            <v>衬套</v>
          </cell>
        </row>
        <row r="10657">
          <cell r="D10657" t="str">
            <v>DD-J10B-94076-720-2</v>
          </cell>
          <cell r="E10657" t="str">
            <v>衬套</v>
          </cell>
        </row>
        <row r="10658">
          <cell r="D10658" t="str">
            <v>DD-J10-55165-1440-3</v>
          </cell>
          <cell r="E10658" t="str">
            <v>衬套</v>
          </cell>
        </row>
        <row r="10659">
          <cell r="D10659" t="str">
            <v>DD-J10-54101-2803</v>
          </cell>
          <cell r="E10659" t="str">
            <v>止动器</v>
          </cell>
        </row>
        <row r="10660">
          <cell r="D10660" t="str">
            <v>DD-J10B-94076-811</v>
          </cell>
          <cell r="E10660" t="str">
            <v>法兰盘</v>
          </cell>
        </row>
        <row r="10661">
          <cell r="D10661" t="str">
            <v>DD-J10B-94076-811</v>
          </cell>
          <cell r="E10661" t="str">
            <v>法兰盘</v>
          </cell>
        </row>
        <row r="10662">
          <cell r="D10662" t="str">
            <v>DD-J10-86011-3210-1</v>
          </cell>
          <cell r="E10662" t="str">
            <v>左转接管</v>
          </cell>
        </row>
        <row r="10663">
          <cell r="D10663" t="str">
            <v>DD-J10-55165-1430-2</v>
          </cell>
          <cell r="E10663" t="str">
            <v>衬套</v>
          </cell>
        </row>
        <row r="10664">
          <cell r="D10664" t="str">
            <v>DD-FC1-41123-1111</v>
          </cell>
          <cell r="E10664" t="str">
            <v>销子</v>
          </cell>
        </row>
        <row r="10665">
          <cell r="D10665" t="str">
            <v>DD-FC1-41123-1112</v>
          </cell>
          <cell r="E10665" t="str">
            <v>拨棍</v>
          </cell>
        </row>
        <row r="10666">
          <cell r="D10666" t="str">
            <v>D531-13003-200-00</v>
          </cell>
          <cell r="E10666" t="str">
            <v>垫圈</v>
          </cell>
        </row>
        <row r="10667">
          <cell r="D10667" t="str">
            <v>DD-J10B-55141-101</v>
          </cell>
          <cell r="E10667" t="str">
            <v>90°弯管接头</v>
          </cell>
        </row>
        <row r="10668">
          <cell r="D10668" t="str">
            <v>DD-J10-63001-511</v>
          </cell>
          <cell r="E10668" t="str">
            <v>阳密封式法兰盘</v>
          </cell>
        </row>
        <row r="10669">
          <cell r="D10669" t="str">
            <v>DD-J10B-61201-12</v>
          </cell>
          <cell r="E10669" t="str">
            <v>接头</v>
          </cell>
        </row>
        <row r="10670">
          <cell r="D10670" t="str">
            <v>DD-J10B-61201-12</v>
          </cell>
          <cell r="E10670" t="str">
            <v>接头</v>
          </cell>
        </row>
        <row r="10671">
          <cell r="D10671" t="str">
            <v>DD-J10B-61201-12</v>
          </cell>
          <cell r="E10671" t="str">
            <v>接头</v>
          </cell>
        </row>
        <row r="10672">
          <cell r="D10672" t="str">
            <v>CB2292321-001-003</v>
          </cell>
          <cell r="E10672" t="str">
            <v>支座</v>
          </cell>
        </row>
        <row r="10673">
          <cell r="D10673" t="str">
            <v>CB2294170-001-001</v>
          </cell>
          <cell r="E10673" t="str">
            <v>压杆</v>
          </cell>
        </row>
        <row r="10674">
          <cell r="D10674" t="str">
            <v>BC22841Y3-001-003</v>
          </cell>
          <cell r="E10674" t="str">
            <v>支架</v>
          </cell>
        </row>
        <row r="10675">
          <cell r="D10675" t="str">
            <v>BC3101242-014-001</v>
          </cell>
          <cell r="E10675" t="str">
            <v>输弹道锁座</v>
          </cell>
        </row>
        <row r="10676">
          <cell r="D10676" t="str">
            <v>BC2711313-006-001</v>
          </cell>
          <cell r="E10676" t="str">
            <v>球头</v>
          </cell>
        </row>
        <row r="10677">
          <cell r="D10677" t="str">
            <v>BC3101230-006-001</v>
          </cell>
          <cell r="E10677" t="str">
            <v>双耳座</v>
          </cell>
        </row>
        <row r="10678">
          <cell r="D10678" t="str">
            <v>BC5822100-009-001</v>
          </cell>
          <cell r="E10678" t="str">
            <v>衬套</v>
          </cell>
        </row>
        <row r="10679">
          <cell r="D10679" t="str">
            <v>BC3101300-004-001</v>
          </cell>
          <cell r="E10679" t="str">
            <v>上支座螺栓</v>
          </cell>
        </row>
        <row r="10680">
          <cell r="D10680" t="str">
            <v>BC3101300-005-001</v>
          </cell>
          <cell r="E10680" t="str">
            <v>下支座螺栓</v>
          </cell>
        </row>
        <row r="10681">
          <cell r="D10681" t="str">
            <v>BC3101300-005-001</v>
          </cell>
          <cell r="E10681" t="str">
            <v>下支座螺栓</v>
          </cell>
        </row>
        <row r="10682">
          <cell r="D10682" t="str">
            <v>BC2298150-003-002</v>
          </cell>
          <cell r="E10682" t="str">
            <v>调节螺杆</v>
          </cell>
        </row>
        <row r="10683">
          <cell r="D10683" t="str">
            <v>BC5324360-007-001</v>
          </cell>
          <cell r="E10683" t="str">
            <v>垫片</v>
          </cell>
        </row>
        <row r="10684">
          <cell r="D10684" t="str">
            <v>BC5812820-001-001</v>
          </cell>
          <cell r="E10684" t="str">
            <v>拉杆</v>
          </cell>
        </row>
        <row r="10685">
          <cell r="D10685" t="str">
            <v>BC22971B1-002-001</v>
          </cell>
          <cell r="E10685" t="str">
            <v>带限流的直通过框接头</v>
          </cell>
        </row>
        <row r="10686">
          <cell r="D10686" t="str">
            <v>BC2712522-001-001</v>
          </cell>
          <cell r="E10686" t="str">
            <v>支座</v>
          </cell>
        </row>
        <row r="10687">
          <cell r="D10687" t="str">
            <v>BC5333651-001-001</v>
          </cell>
          <cell r="E10687" t="str">
            <v>壳体</v>
          </cell>
        </row>
        <row r="10688">
          <cell r="D10688" t="str">
            <v>BC2286641-003-001</v>
          </cell>
          <cell r="E10688" t="str">
            <v>平管嘴</v>
          </cell>
        </row>
        <row r="10689">
          <cell r="D10689" t="str">
            <v>BC2711314-001-001</v>
          </cell>
          <cell r="E10689" t="str">
            <v>短管</v>
          </cell>
        </row>
        <row r="10690">
          <cell r="D10690" t="str">
            <v>BC2711344-002-001</v>
          </cell>
          <cell r="E10690" t="str">
            <v>短管</v>
          </cell>
        </row>
        <row r="10691">
          <cell r="D10691" t="str">
            <v>BC27149G2-002-001</v>
          </cell>
          <cell r="E10691" t="str">
            <v>管</v>
          </cell>
        </row>
        <row r="10692">
          <cell r="D10692" t="str">
            <v>5613A380025G010</v>
          </cell>
          <cell r="E10692" t="str">
            <v>圆柱销</v>
          </cell>
        </row>
        <row r="10693">
          <cell r="D10693" t="str">
            <v>5613A380024G010</v>
          </cell>
          <cell r="E10693" t="str">
            <v>圆柱销</v>
          </cell>
        </row>
        <row r="10694">
          <cell r="D10694" t="str">
            <v>531A2110-007-001</v>
          </cell>
          <cell r="E10694" t="str">
            <v>衬套</v>
          </cell>
        </row>
        <row r="10695">
          <cell r="D10695" t="str">
            <v>531A2110-007-001</v>
          </cell>
          <cell r="E10695" t="str">
            <v>衬套</v>
          </cell>
        </row>
        <row r="10696">
          <cell r="D10696" t="str">
            <v>561A3310-008-501</v>
          </cell>
          <cell r="E10696" t="str">
            <v>衬套</v>
          </cell>
        </row>
        <row r="10697">
          <cell r="D10697" t="str">
            <v>DD-J10-55015-5503-Y</v>
          </cell>
          <cell r="E10697" t="str">
            <v>接管嘴</v>
          </cell>
        </row>
        <row r="10698">
          <cell r="D10698" t="str">
            <v>DD-J10-55015-5503-Y</v>
          </cell>
          <cell r="E10698" t="str">
            <v>接管嘴</v>
          </cell>
        </row>
        <row r="10699">
          <cell r="D10699" t="str">
            <v>DD-J10-55015-5503-Y</v>
          </cell>
          <cell r="E10699" t="str">
            <v>接管嘴</v>
          </cell>
        </row>
        <row r="10700">
          <cell r="D10700" t="str">
            <v>DD-J10-62021-11106</v>
          </cell>
          <cell r="E10700" t="str">
            <v>壳体</v>
          </cell>
        </row>
        <row r="10701">
          <cell r="D10701" t="str">
            <v>DD-J10-62021-11106</v>
          </cell>
          <cell r="E10701" t="str">
            <v>壳体</v>
          </cell>
        </row>
        <row r="10702">
          <cell r="D10702" t="str">
            <v>DD-J10-55015-5201</v>
          </cell>
          <cell r="E10702" t="str">
            <v>接管嘴</v>
          </cell>
        </row>
        <row r="10703">
          <cell r="D10703" t="str">
            <v>DD-J10-55015-5201</v>
          </cell>
          <cell r="E10703" t="str">
            <v>接管嘴</v>
          </cell>
        </row>
        <row r="10704">
          <cell r="D10704" t="str">
            <v>DD-J10-55014-1102</v>
          </cell>
          <cell r="E10704" t="str">
            <v>管接头</v>
          </cell>
        </row>
        <row r="10705">
          <cell r="D10705" t="str">
            <v>DD-J10-06041-81</v>
          </cell>
          <cell r="E10705" t="str">
            <v>弯管接头</v>
          </cell>
        </row>
        <row r="10706">
          <cell r="D10706" t="str">
            <v>DD-J10-06041-81</v>
          </cell>
          <cell r="E10706" t="str">
            <v>弯管接头</v>
          </cell>
        </row>
        <row r="10707">
          <cell r="D10707" t="str">
            <v>DD-J10-41153-140-1</v>
          </cell>
          <cell r="E10707" t="str">
            <v>开锁摇臂</v>
          </cell>
        </row>
        <row r="10708">
          <cell r="D10708" t="str">
            <v>DD-J10-06041-81</v>
          </cell>
          <cell r="E10708" t="str">
            <v>弯管接头</v>
          </cell>
        </row>
        <row r="10709">
          <cell r="D10709" t="str">
            <v>DD-J10-55014-2131</v>
          </cell>
          <cell r="E10709" t="str">
            <v>接管嘴</v>
          </cell>
        </row>
        <row r="10710">
          <cell r="D10710" t="str">
            <v>DD-J10B-55181-19</v>
          </cell>
          <cell r="E10710" t="str">
            <v>转接管接头</v>
          </cell>
        </row>
        <row r="10711">
          <cell r="D10711" t="str">
            <v>DD-J10B-55181-19</v>
          </cell>
          <cell r="E10711" t="str">
            <v>转接管接头</v>
          </cell>
        </row>
        <row r="10712">
          <cell r="D10712" t="str">
            <v>DD-J10-61001-7001</v>
          </cell>
          <cell r="E10712" t="str">
            <v>管接头</v>
          </cell>
        </row>
        <row r="10713">
          <cell r="D10713" t="str">
            <v>DD-J10B-94091-24G2</v>
          </cell>
          <cell r="E10713" t="str">
            <v>20-28变径直通接头</v>
          </cell>
        </row>
        <row r="10714">
          <cell r="D10714" t="str">
            <v>DD-J10B-94091-24G2</v>
          </cell>
          <cell r="E10714" t="str">
            <v>20-28变径直通接头</v>
          </cell>
        </row>
        <row r="10715">
          <cell r="D10715" t="str">
            <v>DD-J10-61101-5001/16</v>
          </cell>
          <cell r="E10715" t="str">
            <v>管接头</v>
          </cell>
        </row>
        <row r="10716">
          <cell r="D10716" t="str">
            <v>DD-J10B-61041-18</v>
          </cell>
          <cell r="E10716" t="str">
            <v>管接头</v>
          </cell>
        </row>
        <row r="10717">
          <cell r="D10717" t="str">
            <v>DD-J10S-96011-1811</v>
          </cell>
          <cell r="E10717" t="str">
            <v>转接嘴</v>
          </cell>
        </row>
        <row r="10718">
          <cell r="D10718" t="str">
            <v>DD-J10S-96011-1811</v>
          </cell>
          <cell r="E10718" t="str">
            <v>转接嘴</v>
          </cell>
        </row>
        <row r="10719">
          <cell r="D10719" t="str">
            <v>DD-J10S-96011-1202</v>
          </cell>
          <cell r="E10719" t="str">
            <v>接嘴</v>
          </cell>
        </row>
        <row r="10720">
          <cell r="D10720" t="str">
            <v>DD-J10-61031-801</v>
          </cell>
          <cell r="E10720" t="str">
            <v>直管接头</v>
          </cell>
        </row>
        <row r="10721">
          <cell r="D10721" t="str">
            <v>DD-J10B-61001-1</v>
          </cell>
          <cell r="E10721" t="str">
            <v>接头</v>
          </cell>
        </row>
        <row r="10722">
          <cell r="D10722" t="str">
            <v>DD-J10B-55015-4203</v>
          </cell>
          <cell r="E10722" t="str">
            <v>接管嘴</v>
          </cell>
        </row>
        <row r="10723">
          <cell r="D10723" t="str">
            <v>DD-J10-55015-5102</v>
          </cell>
          <cell r="E10723" t="str">
            <v>接管嘴</v>
          </cell>
        </row>
        <row r="10724">
          <cell r="D10724" t="str">
            <v>DD-J10-55015-5503-Z</v>
          </cell>
          <cell r="E10724" t="str">
            <v>接管嘴</v>
          </cell>
        </row>
        <row r="10725">
          <cell r="D10725" t="str">
            <v>DD-J10-61041-2</v>
          </cell>
          <cell r="E10725" t="str">
            <v>管接头</v>
          </cell>
        </row>
        <row r="10726">
          <cell r="D10726" t="str">
            <v>DD-J10B-77101-963</v>
          </cell>
          <cell r="E10726" t="str">
            <v>卡箍扣</v>
          </cell>
        </row>
        <row r="10727">
          <cell r="D10727" t="str">
            <v>CB5811100-013-001</v>
          </cell>
          <cell r="E10727" t="str">
            <v>垫圈</v>
          </cell>
        </row>
        <row r="10728">
          <cell r="D10728" t="str">
            <v>CB2747B20-003-002</v>
          </cell>
          <cell r="E10728" t="str">
            <v>管接头</v>
          </cell>
        </row>
        <row r="10729">
          <cell r="D10729" t="str">
            <v>CB2747B20-003-002</v>
          </cell>
          <cell r="E10729" t="str">
            <v>管接头</v>
          </cell>
        </row>
        <row r="10730">
          <cell r="D10730" t="str">
            <v>CB2747B20-003-002</v>
          </cell>
          <cell r="E10730" t="str">
            <v>管接头</v>
          </cell>
        </row>
        <row r="10731">
          <cell r="D10731" t="str">
            <v>CB2747B20-003-002</v>
          </cell>
          <cell r="E10731" t="str">
            <v>管接头</v>
          </cell>
        </row>
        <row r="10732">
          <cell r="D10732" t="str">
            <v>CB229942A-001-001</v>
          </cell>
          <cell r="E10732" t="str">
            <v>管夹</v>
          </cell>
        </row>
        <row r="10733">
          <cell r="D10733" t="str">
            <v>CB2263270-001-001</v>
          </cell>
          <cell r="E10733" t="str">
            <v>喷嘴</v>
          </cell>
        </row>
        <row r="10734">
          <cell r="D10734" t="str">
            <v>CB2263270-001-001</v>
          </cell>
          <cell r="E10734" t="str">
            <v>喷嘴</v>
          </cell>
        </row>
        <row r="10735">
          <cell r="D10735" t="str">
            <v>CB2263270-001-001</v>
          </cell>
          <cell r="E10735" t="str">
            <v>喷嘴</v>
          </cell>
        </row>
        <row r="10736">
          <cell r="D10736" t="str">
            <v>CB2284150-002-002</v>
          </cell>
          <cell r="E10736" t="str">
            <v>穿框管接头</v>
          </cell>
        </row>
        <row r="10737">
          <cell r="D10737" t="str">
            <v>CB5327500-003-001</v>
          </cell>
          <cell r="E10737" t="str">
            <v>螺栓</v>
          </cell>
        </row>
        <row r="10738">
          <cell r="D10738" t="str">
            <v>CB22110LAN002-001</v>
          </cell>
          <cell r="E10738" t="str">
            <v>管嘴</v>
          </cell>
        </row>
        <row r="10739">
          <cell r="D10739" t="str">
            <v>CB22110LAN002-001</v>
          </cell>
          <cell r="E10739" t="str">
            <v>管嘴</v>
          </cell>
        </row>
        <row r="10740">
          <cell r="D10740" t="str">
            <v>CB22110LAN002-001</v>
          </cell>
          <cell r="E10740" t="str">
            <v>管嘴</v>
          </cell>
        </row>
        <row r="10741">
          <cell r="D10741" t="str">
            <v>CB5811100-003-001</v>
          </cell>
          <cell r="E10741" t="str">
            <v>螺栓</v>
          </cell>
        </row>
        <row r="10742">
          <cell r="D10742" t="str">
            <v>CB5811300-001-001</v>
          </cell>
          <cell r="E10742" t="str">
            <v>螺栓</v>
          </cell>
        </row>
        <row r="10743">
          <cell r="D10743" t="str">
            <v>CB5811300-003-001</v>
          </cell>
          <cell r="E10743" t="str">
            <v>转轴</v>
          </cell>
        </row>
        <row r="10744">
          <cell r="D10744" t="str">
            <v>CB5811300-003-001</v>
          </cell>
          <cell r="E10744" t="str">
            <v>转轴</v>
          </cell>
        </row>
        <row r="10745">
          <cell r="D10745" t="str">
            <v>CB3092441-001-001</v>
          </cell>
          <cell r="E10745" t="str">
            <v>连接片1</v>
          </cell>
        </row>
        <row r="10746">
          <cell r="D10746" t="str">
            <v>CB3092441-002-001</v>
          </cell>
          <cell r="E10746" t="str">
            <v>连接片2</v>
          </cell>
        </row>
        <row r="10747">
          <cell r="D10747" t="str">
            <v>CB5812000-028-001</v>
          </cell>
          <cell r="E10747" t="str">
            <v>螺栓</v>
          </cell>
        </row>
        <row r="10748">
          <cell r="D10748" t="str">
            <v>CB5812000-028-001</v>
          </cell>
          <cell r="E10748" t="str">
            <v>螺栓</v>
          </cell>
        </row>
        <row r="10749">
          <cell r="D10749" t="str">
            <v>CB5811100-005-001</v>
          </cell>
          <cell r="E10749" t="str">
            <v>螺栓</v>
          </cell>
        </row>
        <row r="10750">
          <cell r="D10750" t="str">
            <v>CB221T9MLN003-001</v>
          </cell>
          <cell r="E10750" t="str">
            <v>液体压力传感器接管嘴</v>
          </cell>
        </row>
        <row r="10751">
          <cell r="D10751" t="str">
            <v>CB221T9MLN003-001</v>
          </cell>
          <cell r="E10751" t="str">
            <v>液体压力传感器接管嘴</v>
          </cell>
        </row>
        <row r="10752">
          <cell r="D10752" t="str">
            <v>CB221T9LFN004-002</v>
          </cell>
          <cell r="E10752" t="str">
            <v>液体压力传感器接管嘴</v>
          </cell>
        </row>
        <row r="10753">
          <cell r="D10753" t="str">
            <v>CB2298814-002-001</v>
          </cell>
          <cell r="E10753" t="str">
            <v>角片</v>
          </cell>
        </row>
        <row r="10754">
          <cell r="D10754" t="str">
            <v>CB5814000-002-001</v>
          </cell>
          <cell r="E10754" t="str">
            <v>前支架</v>
          </cell>
        </row>
        <row r="10755">
          <cell r="D10755" t="str">
            <v>CB22921N2-001-001</v>
          </cell>
          <cell r="E10755" t="str">
            <v>角片</v>
          </cell>
        </row>
        <row r="10756">
          <cell r="D10756" t="str">
            <v>CB2284460-007-001</v>
          </cell>
          <cell r="E10756" t="str">
            <v>四通接头</v>
          </cell>
        </row>
        <row r="10757">
          <cell r="D10757" t="str">
            <v>CB2248146-001-006</v>
          </cell>
          <cell r="E10757" t="str">
            <v>支片6</v>
          </cell>
        </row>
        <row r="10758">
          <cell r="D10758" t="str">
            <v>CB2248143-001-006</v>
          </cell>
          <cell r="E10758" t="str">
            <v>支片3</v>
          </cell>
        </row>
        <row r="10759">
          <cell r="D10759" t="str">
            <v>CB2284450-001-001</v>
          </cell>
          <cell r="E10759" t="str">
            <v>穿框管接头</v>
          </cell>
        </row>
        <row r="10760">
          <cell r="D10760" t="str">
            <v>CB2284752-005-001</v>
          </cell>
          <cell r="E10760" t="str">
            <v>接头</v>
          </cell>
        </row>
        <row r="10761">
          <cell r="D10761" t="str">
            <v>CB5811200-003-001</v>
          </cell>
          <cell r="E10761" t="str">
            <v>长安装螺栓</v>
          </cell>
        </row>
        <row r="10762">
          <cell r="D10762" t="str">
            <v>CB2284462-001-001</v>
          </cell>
          <cell r="E10762" t="str">
            <v>法兰</v>
          </cell>
        </row>
        <row r="10763">
          <cell r="D10763" t="str">
            <v>BC3230400-001-300</v>
          </cell>
          <cell r="E10763" t="str">
            <v>过渡板</v>
          </cell>
        </row>
        <row r="10764">
          <cell r="D10764" t="str">
            <v>BC3230500-001-300</v>
          </cell>
          <cell r="E10764" t="str">
            <v>过渡板</v>
          </cell>
        </row>
        <row r="10765">
          <cell r="D10765" t="str">
            <v>BC2712520-003-001</v>
          </cell>
          <cell r="E10765" t="str">
            <v>支架</v>
          </cell>
        </row>
        <row r="10766">
          <cell r="D10766" t="str">
            <v>CB2280211-025-001</v>
          </cell>
          <cell r="E10766" t="str">
            <v>穿框管接头</v>
          </cell>
        </row>
        <row r="10767">
          <cell r="D10767" t="str">
            <v>CB2285758-004-001</v>
          </cell>
          <cell r="E10767" t="str">
            <v>接头</v>
          </cell>
        </row>
        <row r="10768">
          <cell r="D10768" t="str">
            <v>CB2285758-004-001</v>
          </cell>
          <cell r="E10768" t="str">
            <v>接头</v>
          </cell>
        </row>
        <row r="10769">
          <cell r="D10769" t="str">
            <v>CB2747G90-003-001</v>
          </cell>
          <cell r="E10769" t="str">
            <v>管接头1</v>
          </cell>
        </row>
        <row r="10770">
          <cell r="D10770" t="str">
            <v>CB22984B0-002-001</v>
          </cell>
          <cell r="E10770" t="str">
            <v>管夹</v>
          </cell>
        </row>
        <row r="10771">
          <cell r="D10771" t="str">
            <v>CB22984B0-002-001</v>
          </cell>
          <cell r="E10771" t="str">
            <v>管夹</v>
          </cell>
        </row>
        <row r="10772">
          <cell r="D10772" t="str">
            <v>CB221097C-002-002</v>
          </cell>
          <cell r="E10772" t="str">
            <v>支架</v>
          </cell>
        </row>
        <row r="10773">
          <cell r="D10773" t="str">
            <v>DD-J10-61052-4</v>
          </cell>
          <cell r="E10773" t="str">
            <v>接管嘴</v>
          </cell>
        </row>
        <row r="10774">
          <cell r="D10774" t="str">
            <v>DD-J10-61052-4</v>
          </cell>
          <cell r="E10774" t="str">
            <v>接管嘴</v>
          </cell>
        </row>
        <row r="10775">
          <cell r="D10775" t="str">
            <v>DD-J10B-94011-582G2</v>
          </cell>
          <cell r="E10775" t="str">
            <v>堵头</v>
          </cell>
        </row>
        <row r="10776">
          <cell r="D10776" t="str">
            <v>DD-J10B-94011-582G2</v>
          </cell>
          <cell r="E10776" t="str">
            <v>堵头</v>
          </cell>
        </row>
        <row r="10777">
          <cell r="D10777" t="str">
            <v>DD-J10B-71031-110-1</v>
          </cell>
          <cell r="E10777" t="str">
            <v>樑</v>
          </cell>
        </row>
        <row r="10778">
          <cell r="D10778" t="str">
            <v>DD-J10-33003-4</v>
          </cell>
          <cell r="E10778" t="str">
            <v>梁</v>
          </cell>
        </row>
        <row r="10779">
          <cell r="D10779" t="str">
            <v>DD-J10-33003-4</v>
          </cell>
          <cell r="E10779" t="str">
            <v>梁</v>
          </cell>
        </row>
        <row r="10780">
          <cell r="D10780" t="str">
            <v>DD-J10-33003-4</v>
          </cell>
          <cell r="E10780" t="str">
            <v>梁</v>
          </cell>
        </row>
        <row r="10781">
          <cell r="D10781" t="str">
            <v>CB5327220-002R001</v>
          </cell>
          <cell r="E10781" t="str">
            <v>型材</v>
          </cell>
        </row>
        <row r="10782">
          <cell r="D10782" t="str">
            <v>CB5327220-002R001</v>
          </cell>
          <cell r="E10782" t="str">
            <v>型材</v>
          </cell>
        </row>
        <row r="10783">
          <cell r="D10783" t="str">
            <v>CB5327220-002R001</v>
          </cell>
          <cell r="E10783" t="str">
            <v>型材</v>
          </cell>
        </row>
        <row r="10784">
          <cell r="D10784" t="str">
            <v>CB5327220-002L001</v>
          </cell>
          <cell r="E10784" t="str">
            <v>型材</v>
          </cell>
        </row>
        <row r="10785">
          <cell r="D10785" t="str">
            <v>CB5327220-002L001</v>
          </cell>
          <cell r="E10785" t="str">
            <v>型材</v>
          </cell>
        </row>
        <row r="10786">
          <cell r="D10786" t="str">
            <v>CB5327220-002L001</v>
          </cell>
          <cell r="E10786" t="str">
            <v>型材</v>
          </cell>
        </row>
        <row r="10787">
          <cell r="D10787" t="str">
            <v>CB5512300-014L001</v>
          </cell>
          <cell r="E10787" t="str">
            <v>角盒</v>
          </cell>
        </row>
        <row r="10788">
          <cell r="D10788" t="str">
            <v>CB5512300-014L001</v>
          </cell>
          <cell r="E10788" t="str">
            <v>角盒</v>
          </cell>
        </row>
        <row r="10789">
          <cell r="D10789" t="str">
            <v>CB5512300-014R001</v>
          </cell>
          <cell r="E10789" t="str">
            <v>角盒</v>
          </cell>
        </row>
        <row r="10790">
          <cell r="D10790" t="str">
            <v>CB5512300-014R001</v>
          </cell>
          <cell r="E10790" t="str">
            <v>角盒</v>
          </cell>
        </row>
        <row r="10791">
          <cell r="D10791" t="str">
            <v>CB5512300-015R001</v>
          </cell>
          <cell r="E10791" t="str">
            <v>角盒</v>
          </cell>
        </row>
        <row r="10792">
          <cell r="D10792" t="str">
            <v>CB5512300-015R001</v>
          </cell>
          <cell r="E10792" t="str">
            <v>角盒</v>
          </cell>
        </row>
        <row r="10793">
          <cell r="D10793" t="str">
            <v>CB5512300-015L001</v>
          </cell>
          <cell r="E10793" t="str">
            <v>角盒</v>
          </cell>
        </row>
        <row r="10794">
          <cell r="D10794" t="str">
            <v>CB5512300-015L001</v>
          </cell>
          <cell r="E10794" t="str">
            <v>角盒</v>
          </cell>
        </row>
        <row r="10795">
          <cell r="D10795" t="str">
            <v>DD-J10-55165-331</v>
          </cell>
          <cell r="E10795" t="str">
            <v>三通管接头</v>
          </cell>
        </row>
        <row r="10796">
          <cell r="D10796" t="str">
            <v>DD-J10-55165-331</v>
          </cell>
          <cell r="E10796" t="str">
            <v>三通管接头</v>
          </cell>
        </row>
        <row r="10797">
          <cell r="D10797" t="str">
            <v>DD-J10B-55141-111</v>
          </cell>
          <cell r="E10797" t="str">
            <v>90°弯管接头</v>
          </cell>
        </row>
        <row r="10798">
          <cell r="D10798" t="str">
            <v>DD-J10-55051-6110-1</v>
          </cell>
          <cell r="E10798" t="str">
            <v>三通接头</v>
          </cell>
        </row>
        <row r="10799">
          <cell r="D10799" t="str">
            <v>DD-J10-55051-6110-1</v>
          </cell>
          <cell r="E10799" t="str">
            <v>三通接头</v>
          </cell>
        </row>
        <row r="10800">
          <cell r="D10800" t="str">
            <v>DD-J10-55051-6110-1</v>
          </cell>
          <cell r="E10800" t="str">
            <v>三通接头</v>
          </cell>
        </row>
        <row r="10801">
          <cell r="D10801" t="str">
            <v>DD-J10-04401-103</v>
          </cell>
          <cell r="E10801" t="str">
            <v>接头</v>
          </cell>
        </row>
        <row r="10802">
          <cell r="D10802" t="str">
            <v>DD-J10-04401-104</v>
          </cell>
          <cell r="E10802" t="str">
            <v>接头</v>
          </cell>
        </row>
        <row r="10803">
          <cell r="D10803" t="str">
            <v>CB5714100-002L003</v>
          </cell>
          <cell r="E10803" t="str">
            <v>根肋二段</v>
          </cell>
        </row>
        <row r="10804">
          <cell r="D10804" t="str">
            <v>CB2294170-003-001</v>
          </cell>
          <cell r="E10804" t="str">
            <v>支架</v>
          </cell>
        </row>
        <row r="10805">
          <cell r="D10805" t="str">
            <v>CB2294170-003-001</v>
          </cell>
          <cell r="E10805" t="str">
            <v>支架</v>
          </cell>
        </row>
        <row r="10806">
          <cell r="D10806" t="str">
            <v>CB229C050-002-003</v>
          </cell>
          <cell r="E10806" t="str">
            <v>拨杆</v>
          </cell>
        </row>
        <row r="10807">
          <cell r="D10807" t="str">
            <v>CB2297120-006-002</v>
          </cell>
          <cell r="E10807" t="str">
            <v>支架</v>
          </cell>
        </row>
        <row r="10808">
          <cell r="D10808" t="str">
            <v>CB2298091-001-001</v>
          </cell>
          <cell r="E10808" t="str">
            <v>支架</v>
          </cell>
        </row>
        <row r="10809">
          <cell r="D10809" t="str">
            <v>CB5315191-012L003</v>
          </cell>
          <cell r="E10809" t="str">
            <v>进气下侧壁</v>
          </cell>
        </row>
        <row r="10810">
          <cell r="D10810" t="str">
            <v>CB2298091-001-001</v>
          </cell>
          <cell r="E10810" t="str">
            <v>支架</v>
          </cell>
        </row>
        <row r="10811">
          <cell r="D10811" t="str">
            <v>CB2297021-001-001</v>
          </cell>
          <cell r="E10811" t="str">
            <v>支架</v>
          </cell>
        </row>
        <row r="10812">
          <cell r="D10812" t="str">
            <v>BC221T2MF-002-001</v>
          </cell>
          <cell r="E10812" t="str">
            <v>传感器底座</v>
          </cell>
        </row>
        <row r="10813">
          <cell r="D10813" t="str">
            <v>BC221T2MF-002-001</v>
          </cell>
          <cell r="E10813" t="str">
            <v>传感器底座</v>
          </cell>
        </row>
        <row r="10814">
          <cell r="D10814" t="str">
            <v>BC2299242-002-001</v>
          </cell>
          <cell r="E10814" t="str">
            <v>支架底座</v>
          </cell>
        </row>
        <row r="10815">
          <cell r="D10815" t="str">
            <v>BC2297470-001-001</v>
          </cell>
          <cell r="E10815" t="str">
            <v>管夹</v>
          </cell>
        </row>
        <row r="10816">
          <cell r="D10816" t="str">
            <v>BC2297401-001-001</v>
          </cell>
          <cell r="E10816" t="str">
            <v>三通接头</v>
          </cell>
        </row>
        <row r="10817">
          <cell r="D10817" t="str">
            <v>BC2297401-001-001</v>
          </cell>
          <cell r="E10817" t="str">
            <v>三通接头</v>
          </cell>
        </row>
        <row r="10818">
          <cell r="D10818" t="str">
            <v>BC2297401-001-001</v>
          </cell>
          <cell r="E10818" t="str">
            <v>三通接头</v>
          </cell>
        </row>
        <row r="10819">
          <cell r="D10819" t="str">
            <v>BC5819311-001-001</v>
          </cell>
          <cell r="E10819" t="str">
            <v>耳环螺栓</v>
          </cell>
        </row>
        <row r="10820">
          <cell r="D10820" t="str">
            <v>Y20-5319400017-001</v>
          </cell>
          <cell r="E10820" t="str">
            <v>扶手支座</v>
          </cell>
        </row>
        <row r="10821">
          <cell r="D10821" t="str">
            <v>DD-J10B-55121-6</v>
          </cell>
          <cell r="E10821" t="str">
            <v>角片</v>
          </cell>
        </row>
        <row r="10822">
          <cell r="D10822" t="str">
            <v>CB5811400-001-001</v>
          </cell>
          <cell r="E10822" t="str">
            <v>支架</v>
          </cell>
        </row>
        <row r="10823">
          <cell r="D10823" t="str">
            <v>CB5811400-001-001</v>
          </cell>
          <cell r="E10823" t="str">
            <v>支架</v>
          </cell>
        </row>
        <row r="10824">
          <cell r="D10824" t="str">
            <v>CB5811400-001-001</v>
          </cell>
          <cell r="E10824" t="str">
            <v>支架</v>
          </cell>
        </row>
        <row r="10825">
          <cell r="D10825" t="str">
            <v>CB5811400-001-001</v>
          </cell>
          <cell r="E10825" t="str">
            <v>支架</v>
          </cell>
        </row>
        <row r="10826">
          <cell r="D10826" t="str">
            <v>CB5811400-001-001</v>
          </cell>
          <cell r="E10826" t="str">
            <v>支架</v>
          </cell>
        </row>
        <row r="10827">
          <cell r="D10827" t="str">
            <v>CB5811400-001-001</v>
          </cell>
          <cell r="E10827" t="str">
            <v>支架</v>
          </cell>
        </row>
        <row r="10828">
          <cell r="D10828" t="str">
            <v>CB5811400-001-001</v>
          </cell>
          <cell r="E10828" t="str">
            <v>支架</v>
          </cell>
        </row>
        <row r="10829">
          <cell r="D10829" t="str">
            <v>CB5811400-001-001</v>
          </cell>
          <cell r="E10829" t="str">
            <v>支架</v>
          </cell>
        </row>
        <row r="10830">
          <cell r="D10830" t="str">
            <v>CB5811400-001-001</v>
          </cell>
          <cell r="E10830" t="str">
            <v>支架</v>
          </cell>
        </row>
        <row r="10831">
          <cell r="D10831" t="str">
            <v>CB5811400-001-001</v>
          </cell>
          <cell r="E10831" t="str">
            <v>支架</v>
          </cell>
        </row>
        <row r="10832">
          <cell r="D10832" t="str">
            <v>CB5811400-001-001</v>
          </cell>
          <cell r="E10832" t="str">
            <v>支架</v>
          </cell>
        </row>
        <row r="10833">
          <cell r="D10833" t="str">
            <v>CB5811400-001-001</v>
          </cell>
          <cell r="E10833" t="str">
            <v>支架</v>
          </cell>
        </row>
        <row r="10834">
          <cell r="D10834" t="str">
            <v>CB5811400-001-001</v>
          </cell>
          <cell r="E10834" t="str">
            <v>支架</v>
          </cell>
        </row>
        <row r="10835">
          <cell r="D10835" t="str">
            <v>CB5811400-001-001</v>
          </cell>
          <cell r="E10835" t="str">
            <v>支架</v>
          </cell>
        </row>
        <row r="10836">
          <cell r="D10836" t="str">
            <v>CB5811400-001-001</v>
          </cell>
          <cell r="E10836" t="str">
            <v>支架</v>
          </cell>
        </row>
        <row r="10837">
          <cell r="D10837" t="str">
            <v>CB5811400-001-001</v>
          </cell>
          <cell r="E10837" t="str">
            <v>支架</v>
          </cell>
        </row>
        <row r="10838">
          <cell r="D10838" t="str">
            <v>CB5811400-001-001</v>
          </cell>
          <cell r="E10838" t="str">
            <v>支架</v>
          </cell>
        </row>
        <row r="10839">
          <cell r="D10839" t="str">
            <v>CB5811400-001-001</v>
          </cell>
          <cell r="E10839" t="str">
            <v>支架</v>
          </cell>
        </row>
        <row r="10840">
          <cell r="D10840" t="str">
            <v>CB5811400-001-001</v>
          </cell>
          <cell r="E10840" t="str">
            <v>支架</v>
          </cell>
        </row>
        <row r="10841">
          <cell r="D10841" t="str">
            <v>CB5811400-001-001</v>
          </cell>
          <cell r="E10841" t="str">
            <v>支架</v>
          </cell>
        </row>
        <row r="10842">
          <cell r="D10842" t="str">
            <v>CB2284461-001-001</v>
          </cell>
          <cell r="E10842" t="str">
            <v>法兰</v>
          </cell>
        </row>
        <row r="10843">
          <cell r="D10843" t="str">
            <v>BC2712542-001-001</v>
          </cell>
          <cell r="E10843" t="str">
            <v>带耳螺栓</v>
          </cell>
        </row>
        <row r="10844">
          <cell r="D10844" t="str">
            <v>CB5324310-016-006</v>
          </cell>
          <cell r="E10844" t="str">
            <v>带板</v>
          </cell>
        </row>
        <row r="10845">
          <cell r="D10845" t="str">
            <v>DD-J10-05216-32</v>
          </cell>
          <cell r="E10845" t="str">
            <v>转接头</v>
          </cell>
        </row>
        <row r="10846">
          <cell r="D10846" t="str">
            <v>DD-J10-05216-32</v>
          </cell>
          <cell r="E10846" t="str">
            <v>转接头</v>
          </cell>
        </row>
        <row r="10847">
          <cell r="D10847" t="str">
            <v>DD-J10-05216-32</v>
          </cell>
          <cell r="E10847" t="str">
            <v>转接头</v>
          </cell>
        </row>
        <row r="10848">
          <cell r="D10848" t="str">
            <v>DD-J10-05216-32</v>
          </cell>
          <cell r="E10848" t="str">
            <v>转接头</v>
          </cell>
        </row>
        <row r="10849">
          <cell r="D10849" t="str">
            <v>CB5742000-202R001</v>
          </cell>
          <cell r="E10849" t="str">
            <v>前梁二段</v>
          </cell>
        </row>
        <row r="10850">
          <cell r="D10850" t="str">
            <v>CB5742000-202L001</v>
          </cell>
          <cell r="E10850" t="str">
            <v>前梁二段</v>
          </cell>
        </row>
        <row r="10851">
          <cell r="D10851" t="str">
            <v>CB5322400-016-061</v>
          </cell>
          <cell r="E10851" t="str">
            <v>11140框左下半框</v>
          </cell>
        </row>
        <row r="10852">
          <cell r="D10852" t="str">
            <v>CB5322400-016-061</v>
          </cell>
          <cell r="E10852" t="str">
            <v>11140框左下半框</v>
          </cell>
        </row>
        <row r="10853">
          <cell r="D10853" t="str">
            <v>CB5322400-016-061</v>
          </cell>
          <cell r="E10853" t="str">
            <v>11140框左下半框</v>
          </cell>
        </row>
        <row r="10854">
          <cell r="D10854" t="str">
            <v>CB5322400-017-061</v>
          </cell>
          <cell r="E10854" t="str">
            <v>11140框右下半框</v>
          </cell>
        </row>
        <row r="10855">
          <cell r="D10855" t="str">
            <v>CB5322400-017-061</v>
          </cell>
          <cell r="E10855" t="str">
            <v>11140框右下半框</v>
          </cell>
        </row>
        <row r="10856">
          <cell r="D10856" t="str">
            <v>CB5322400-017-061</v>
          </cell>
          <cell r="E10856" t="str">
            <v>11140框右下半框</v>
          </cell>
        </row>
        <row r="10857">
          <cell r="D10857" t="str">
            <v>BC3101241-012-001</v>
          </cell>
          <cell r="E10857" t="str">
            <v>锁柄</v>
          </cell>
        </row>
        <row r="10858">
          <cell r="D10858" t="str">
            <v>BC3101241-012-001</v>
          </cell>
          <cell r="E10858" t="str">
            <v>锁柄</v>
          </cell>
        </row>
        <row r="10859">
          <cell r="D10859" t="str">
            <v>BC3101242-012-001</v>
          </cell>
          <cell r="E10859" t="str">
            <v>锁柄</v>
          </cell>
        </row>
        <row r="10860">
          <cell r="D10860" t="str">
            <v>BC3101242-012-001</v>
          </cell>
          <cell r="E10860" t="str">
            <v>锁柄</v>
          </cell>
        </row>
        <row r="10861">
          <cell r="D10861" t="str">
            <v>BC3101242-013L001</v>
          </cell>
          <cell r="E10861" t="str">
            <v>套筒</v>
          </cell>
        </row>
        <row r="10862">
          <cell r="D10862" t="str">
            <v>BC3101242-013L001</v>
          </cell>
          <cell r="E10862" t="str">
            <v>套筒</v>
          </cell>
        </row>
        <row r="10863">
          <cell r="D10863" t="str">
            <v>BC3101242-013L001</v>
          </cell>
          <cell r="E10863" t="str">
            <v>套筒</v>
          </cell>
        </row>
        <row r="10864">
          <cell r="D10864" t="str">
            <v>BC3101242-013R001</v>
          </cell>
          <cell r="E10864" t="str">
            <v>套筒</v>
          </cell>
        </row>
        <row r="10865">
          <cell r="D10865" t="str">
            <v>BC3101242-013R001</v>
          </cell>
          <cell r="E10865" t="str">
            <v>套筒</v>
          </cell>
        </row>
        <row r="10866">
          <cell r="D10866" t="str">
            <v>BC3101242-013R001</v>
          </cell>
          <cell r="E10866" t="str">
            <v>套筒</v>
          </cell>
        </row>
        <row r="10867">
          <cell r="D10867" t="str">
            <v>BC3101230-005-001</v>
          </cell>
          <cell r="E10867" t="str">
            <v>衬套</v>
          </cell>
        </row>
        <row r="10868">
          <cell r="D10868" t="str">
            <v>BC3101230-005-001</v>
          </cell>
          <cell r="E10868" t="str">
            <v>衬套</v>
          </cell>
        </row>
        <row r="10869">
          <cell r="D10869" t="str">
            <v>BC221T4BA-001-001</v>
          </cell>
          <cell r="E10869" t="str">
            <v>传感器底座</v>
          </cell>
        </row>
        <row r="10870">
          <cell r="D10870" t="str">
            <v>BC2271901-001-003</v>
          </cell>
          <cell r="E10870" t="str">
            <v>过渡板</v>
          </cell>
        </row>
        <row r="10871">
          <cell r="D10871" t="str">
            <v>BC22971B1-003-001</v>
          </cell>
          <cell r="E10871" t="str">
            <v>带限流的直通过框接头</v>
          </cell>
        </row>
        <row r="10872">
          <cell r="D10872" t="str">
            <v>BC5812920-001-001</v>
          </cell>
          <cell r="E10872" t="str">
            <v>耳环螺栓</v>
          </cell>
        </row>
        <row r="10873">
          <cell r="D10873" t="str">
            <v>CB2263280-001-002</v>
          </cell>
          <cell r="E10873" t="str">
            <v>喷嘴</v>
          </cell>
        </row>
        <row r="10874">
          <cell r="D10874" t="str">
            <v>CB2263280-001-002</v>
          </cell>
          <cell r="E10874" t="str">
            <v>喷嘴</v>
          </cell>
        </row>
        <row r="10875">
          <cell r="D10875" t="str">
            <v>CB5811100-001-001</v>
          </cell>
          <cell r="E10875" t="str">
            <v>垫圈</v>
          </cell>
        </row>
        <row r="10876">
          <cell r="D10876" t="str">
            <v>CB5811100-001-001</v>
          </cell>
          <cell r="E10876" t="str">
            <v>垫圈</v>
          </cell>
        </row>
        <row r="10877">
          <cell r="D10877" t="str">
            <v>CB5811100-006-001</v>
          </cell>
          <cell r="E10877" t="str">
            <v>垫圈</v>
          </cell>
        </row>
        <row r="10878">
          <cell r="D10878" t="str">
            <v>CB5811100-006-001</v>
          </cell>
          <cell r="E10878" t="str">
            <v>垫圈</v>
          </cell>
        </row>
        <row r="10879">
          <cell r="D10879" t="str">
            <v>CB5814000-004-001</v>
          </cell>
          <cell r="E10879" t="str">
            <v>垫圈</v>
          </cell>
        </row>
        <row r="10880">
          <cell r="D10880" t="str">
            <v>CB5814000-005-001</v>
          </cell>
          <cell r="E10880" t="str">
            <v>垫圈</v>
          </cell>
        </row>
        <row r="10881">
          <cell r="D10881" t="str">
            <v>CB229C050-014-003</v>
          </cell>
          <cell r="E10881" t="str">
            <v>Z支架</v>
          </cell>
        </row>
        <row r="10882">
          <cell r="D10882" t="str">
            <v>CB229C050-014-003</v>
          </cell>
          <cell r="E10882" t="str">
            <v>Z支架</v>
          </cell>
        </row>
        <row r="10883">
          <cell r="D10883" t="str">
            <v>Y20-5312100303-001</v>
          </cell>
          <cell r="E10883" t="str">
            <v>合页</v>
          </cell>
        </row>
        <row r="10884">
          <cell r="D10884" t="str">
            <v>Y20-5312100232-001</v>
          </cell>
          <cell r="E10884" t="str">
            <v>衬套</v>
          </cell>
        </row>
        <row r="10885">
          <cell r="D10885" t="str">
            <v>524A2230-002-001</v>
          </cell>
          <cell r="E10885" t="str">
            <v>服务门上折板平板合页</v>
          </cell>
        </row>
        <row r="10886">
          <cell r="D10886" t="str">
            <v>561A3310-005-501</v>
          </cell>
          <cell r="E10886" t="str">
            <v>轮子</v>
          </cell>
        </row>
        <row r="10887">
          <cell r="D10887" t="str">
            <v>521A4200-001-001</v>
          </cell>
          <cell r="E10887" t="str">
            <v>端头</v>
          </cell>
        </row>
        <row r="10888">
          <cell r="D10888" t="str">
            <v>561A3351-002-501</v>
          </cell>
          <cell r="E10888" t="str">
            <v>滚轮转轴</v>
          </cell>
        </row>
        <row r="10889">
          <cell r="D10889" t="str">
            <v>561A3351-002-501</v>
          </cell>
          <cell r="E10889" t="str">
            <v>滚轮转轴</v>
          </cell>
        </row>
        <row r="10890">
          <cell r="D10890" t="str">
            <v>DD-J10B-41045-8</v>
          </cell>
          <cell r="E10890" t="str">
            <v>轴</v>
          </cell>
        </row>
        <row r="10891">
          <cell r="D10891" t="str">
            <v>DD-J10B-41045-8</v>
          </cell>
          <cell r="E10891" t="str">
            <v>轴</v>
          </cell>
        </row>
        <row r="10892">
          <cell r="D10892" t="str">
            <v>XXX-3300000-01</v>
          </cell>
          <cell r="E10892" t="str">
            <v>腔体</v>
          </cell>
        </row>
        <row r="10893">
          <cell r="D10893" t="str">
            <v>XXX-3300000-02</v>
          </cell>
          <cell r="E10893" t="str">
            <v>插座挡板I</v>
          </cell>
        </row>
        <row r="10894">
          <cell r="D10894" t="str">
            <v>XXX-3300000-03</v>
          </cell>
          <cell r="E10894" t="str">
            <v>插座挡板II</v>
          </cell>
        </row>
        <row r="10895">
          <cell r="D10895" t="str">
            <v>XXX-3310000-01</v>
          </cell>
          <cell r="E10895" t="str">
            <v>卡接连接件I</v>
          </cell>
        </row>
        <row r="10896">
          <cell r="D10896" t="str">
            <v>XXX-3320000-01</v>
          </cell>
          <cell r="E10896" t="str">
            <v>卡接连接件II</v>
          </cell>
        </row>
        <row r="10897">
          <cell r="D10897" t="str">
            <v>XXX-3330000-01</v>
          </cell>
          <cell r="E10897" t="str">
            <v>卡接连接件III</v>
          </cell>
        </row>
        <row r="10898">
          <cell r="D10898" t="str">
            <v>XXX-3340000-01</v>
          </cell>
          <cell r="E10898" t="str">
            <v>盖板</v>
          </cell>
        </row>
        <row r="10899">
          <cell r="D10899" t="str">
            <v>CB5315190-002L001</v>
          </cell>
          <cell r="E10899" t="str">
            <v>WL-600地板梁</v>
          </cell>
        </row>
        <row r="10900">
          <cell r="D10900" t="str">
            <v>CB5512300-015L001</v>
          </cell>
          <cell r="E10900" t="str">
            <v>角盒</v>
          </cell>
        </row>
        <row r="10901">
          <cell r="D10901" t="str">
            <v>CB5512300-015L001</v>
          </cell>
          <cell r="E10901" t="str">
            <v>角盒</v>
          </cell>
        </row>
        <row r="10902">
          <cell r="D10902" t="str">
            <v>CB5512300-015L001</v>
          </cell>
          <cell r="E10902" t="str">
            <v>角盒</v>
          </cell>
        </row>
        <row r="10903">
          <cell r="D10903" t="str">
            <v>CB5512300-015R001</v>
          </cell>
          <cell r="E10903" t="str">
            <v>角盒</v>
          </cell>
        </row>
        <row r="10904">
          <cell r="D10904" t="str">
            <v>CB5512300-015R001</v>
          </cell>
          <cell r="E10904" t="str">
            <v>角盒</v>
          </cell>
        </row>
        <row r="10905">
          <cell r="D10905" t="str">
            <v>CB5512300-014L001</v>
          </cell>
          <cell r="E10905" t="str">
            <v>角盒</v>
          </cell>
        </row>
        <row r="10906">
          <cell r="D10906" t="str">
            <v>CB5512300-014L001</v>
          </cell>
          <cell r="E10906" t="str">
            <v>角盒</v>
          </cell>
        </row>
        <row r="10907">
          <cell r="D10907" t="str">
            <v>CB5512300-014L001</v>
          </cell>
          <cell r="E10907" t="str">
            <v>角盒</v>
          </cell>
        </row>
        <row r="10908">
          <cell r="D10908" t="str">
            <v>CB3014940-001-002</v>
          </cell>
          <cell r="E10908" t="str">
            <v>左BL297侧框</v>
          </cell>
        </row>
        <row r="10909">
          <cell r="D10909" t="str">
            <v>CB3014940-001-002</v>
          </cell>
          <cell r="E10909" t="str">
            <v>左BL297侧框</v>
          </cell>
        </row>
        <row r="10910">
          <cell r="D10910" t="str">
            <v>BC2271901-001-003</v>
          </cell>
          <cell r="E10910" t="str">
            <v>过渡板</v>
          </cell>
        </row>
        <row r="10911">
          <cell r="D10911" t="str">
            <v>DD-J10S-96011-1201</v>
          </cell>
          <cell r="E10911" t="str">
            <v>三通管</v>
          </cell>
        </row>
        <row r="10912">
          <cell r="D10912" t="str">
            <v>DD-J10B-55015-4203</v>
          </cell>
          <cell r="E10912" t="str">
            <v>接管嘴</v>
          </cell>
        </row>
        <row r="10913">
          <cell r="D10913" t="str">
            <v>DD-J10B-55015-4203</v>
          </cell>
          <cell r="E10913" t="str">
            <v>接管嘴</v>
          </cell>
        </row>
        <row r="10914">
          <cell r="D10914" t="str">
            <v>DD-J10-55181-14</v>
          </cell>
          <cell r="E10914" t="str">
            <v>变径四通管接头</v>
          </cell>
        </row>
        <row r="10915">
          <cell r="D10915" t="str">
            <v>DD-J10B-61201-712</v>
          </cell>
          <cell r="E10915" t="str">
            <v>弯接头</v>
          </cell>
        </row>
        <row r="10916">
          <cell r="D10916" t="str">
            <v>DD-J10B-61201-712</v>
          </cell>
          <cell r="E10916" t="str">
            <v>弯接头</v>
          </cell>
        </row>
        <row r="10917">
          <cell r="D10917" t="str">
            <v>DD-J10-61031-44</v>
          </cell>
          <cell r="E10917" t="str">
            <v>压板</v>
          </cell>
        </row>
        <row r="10918">
          <cell r="D10918" t="str">
            <v>DD-J10-61031-44</v>
          </cell>
          <cell r="E10918" t="str">
            <v>压板</v>
          </cell>
        </row>
        <row r="10919">
          <cell r="D10919" t="str">
            <v>DD-J10B-94091-4071G2</v>
          </cell>
          <cell r="E10919" t="str">
            <v>四通</v>
          </cell>
        </row>
        <row r="10920">
          <cell r="D10920" t="str">
            <v>DD-J10B-94091-4071G2</v>
          </cell>
          <cell r="E10920" t="str">
            <v>四通</v>
          </cell>
        </row>
        <row r="10921">
          <cell r="D10921" t="str">
            <v>531A1400-006-001 B</v>
          </cell>
          <cell r="E10921" t="str">
            <v>接头</v>
          </cell>
        </row>
        <row r="10922">
          <cell r="D10922" t="str">
            <v>EA5731400-003R101</v>
          </cell>
          <cell r="E10922" t="str">
            <v>后翼主翼面3肋</v>
          </cell>
        </row>
        <row r="10923">
          <cell r="D10923" t="str">
            <v>EA5731400-003R101</v>
          </cell>
          <cell r="E10923" t="str">
            <v>后翼主翼面3肋</v>
          </cell>
        </row>
        <row r="10924">
          <cell r="D10924" t="str">
            <v>EA5731400-003R101</v>
          </cell>
          <cell r="E10924" t="str">
            <v>后翼主翼面3肋</v>
          </cell>
        </row>
        <row r="10925">
          <cell r="D10925" t="str">
            <v>EA5731400-003L101</v>
          </cell>
          <cell r="E10925" t="str">
            <v>后翼主翼面3肋</v>
          </cell>
        </row>
        <row r="10926">
          <cell r="D10926" t="str">
            <v>EA5731400-003L101</v>
          </cell>
          <cell r="E10926" t="str">
            <v>后翼主翼面3肋</v>
          </cell>
        </row>
        <row r="10927">
          <cell r="D10927" t="str">
            <v>EA5731400-003L101</v>
          </cell>
          <cell r="E10927" t="str">
            <v>后翼主翼面3肋</v>
          </cell>
        </row>
        <row r="10928">
          <cell r="D10928" t="str">
            <v>EA5731400-002R101</v>
          </cell>
          <cell r="E10928" t="str">
            <v>后翼主翼面2肋</v>
          </cell>
        </row>
        <row r="10929">
          <cell r="D10929" t="str">
            <v>EA5731400-002R101</v>
          </cell>
          <cell r="E10929" t="str">
            <v>后翼主翼面2肋</v>
          </cell>
        </row>
        <row r="10930">
          <cell r="D10930" t="str">
            <v>EA5731400-002R101</v>
          </cell>
          <cell r="E10930" t="str">
            <v>后翼主翼面2肋</v>
          </cell>
        </row>
        <row r="10931">
          <cell r="D10931" t="str">
            <v>EA5731400-002L101</v>
          </cell>
          <cell r="E10931" t="str">
            <v>后翼主翼面2肋</v>
          </cell>
        </row>
        <row r="10932">
          <cell r="D10932" t="str">
            <v>EA5731400-002L101</v>
          </cell>
          <cell r="E10932" t="str">
            <v>后翼主翼面2肋</v>
          </cell>
        </row>
        <row r="10933">
          <cell r="D10933" t="str">
            <v>EA5731400-002L101</v>
          </cell>
          <cell r="E10933" t="str">
            <v>后翼主翼面2肋</v>
          </cell>
        </row>
        <row r="10934">
          <cell r="D10934" t="str">
            <v>CB5324410-002L002</v>
          </cell>
          <cell r="E10934" t="str">
            <v>后翼主翼面2肋</v>
          </cell>
        </row>
        <row r="10935">
          <cell r="D10935" t="str">
            <v>CB5324410-002L002</v>
          </cell>
        </row>
        <row r="10936">
          <cell r="D10936" t="str">
            <v>CB5324410-002L002</v>
          </cell>
        </row>
        <row r="10937">
          <cell r="D10937" t="str">
            <v>CB5323210-005L065</v>
          </cell>
          <cell r="E10937" t="str">
            <v>9350-11140左侧上梁</v>
          </cell>
        </row>
        <row r="10938">
          <cell r="D10938" t="str">
            <v>CB5323210-005L065</v>
          </cell>
          <cell r="E10938" t="str">
            <v>9350-11140左侧上梁</v>
          </cell>
        </row>
        <row r="10939">
          <cell r="D10939" t="str">
            <v>CB5323210-005L065</v>
          </cell>
          <cell r="E10939" t="str">
            <v>9350-11140左侧上梁</v>
          </cell>
        </row>
        <row r="10940">
          <cell r="D10940" t="str">
            <v>CB5323210-005L065</v>
          </cell>
          <cell r="E10940" t="str">
            <v>9350-11140左侧上梁</v>
          </cell>
        </row>
        <row r="10941">
          <cell r="D10941" t="str">
            <v>CB5323210-005L065</v>
          </cell>
          <cell r="E10941" t="str">
            <v>9350-11140左侧上梁</v>
          </cell>
        </row>
        <row r="10942">
          <cell r="D10942" t="str">
            <v>CB5323220-052-024</v>
          </cell>
          <cell r="E10942" t="str">
            <v>9350-11140右侧上梁</v>
          </cell>
        </row>
        <row r="10943">
          <cell r="D10943" t="str">
            <v>CB5323220-052-024</v>
          </cell>
          <cell r="E10943" t="str">
            <v>9350-11140右侧上梁</v>
          </cell>
        </row>
        <row r="10944">
          <cell r="D10944" t="str">
            <v>CB5323220-052-024</v>
          </cell>
          <cell r="E10944" t="str">
            <v>9350-11140右侧上梁</v>
          </cell>
        </row>
        <row r="10945">
          <cell r="D10945" t="str">
            <v>CB5323220-052-024</v>
          </cell>
          <cell r="E10945" t="str">
            <v>9350-11140右侧上梁</v>
          </cell>
        </row>
        <row r="10946">
          <cell r="D10946" t="str">
            <v>CB5323220-052-024</v>
          </cell>
          <cell r="E10946" t="str">
            <v>9350-11140右侧上梁</v>
          </cell>
        </row>
        <row r="10947">
          <cell r="D10947" t="str">
            <v>DD-J10-21102-31-Y</v>
          </cell>
          <cell r="E10947" t="str">
            <v>10060上接头</v>
          </cell>
        </row>
        <row r="10948">
          <cell r="D10948" t="str">
            <v>DD-J10-21102-31-Y</v>
          </cell>
          <cell r="E10948" t="str">
            <v>10060上接头</v>
          </cell>
        </row>
        <row r="10949">
          <cell r="D10949" t="str">
            <v>DD-J10-21102-31-Z</v>
          </cell>
          <cell r="E10949" t="str">
            <v>10060上接头</v>
          </cell>
        </row>
        <row r="10950">
          <cell r="D10950" t="str">
            <v>DD-J10-21102-31-Z</v>
          </cell>
          <cell r="E10950" t="str">
            <v>10060上接头</v>
          </cell>
        </row>
        <row r="10951">
          <cell r="D10951" t="str">
            <v>DD-J10-21102-33-Y</v>
          </cell>
          <cell r="E10951" t="str">
            <v>10460上接头</v>
          </cell>
        </row>
        <row r="10952">
          <cell r="D10952" t="str">
            <v>DD-J10-21102-33-Y</v>
          </cell>
          <cell r="E10952" t="str">
            <v>10460上接头</v>
          </cell>
        </row>
        <row r="10953">
          <cell r="D10953" t="str">
            <v>DD-J10-21102-33-Z</v>
          </cell>
          <cell r="E10953" t="str">
            <v>10460上接头</v>
          </cell>
        </row>
        <row r="10954">
          <cell r="D10954" t="str">
            <v>DD-J10-21102-33-Z</v>
          </cell>
          <cell r="E10954" t="str">
            <v>10460上接头</v>
          </cell>
        </row>
        <row r="10955">
          <cell r="D10955" t="str">
            <v>DD-J10B-04041-1</v>
          </cell>
          <cell r="E10955" t="str">
            <v>10060框</v>
          </cell>
        </row>
        <row r="10956">
          <cell r="D10956" t="str">
            <v>DD-J10B-04041-1</v>
          </cell>
          <cell r="E10956" t="str">
            <v>10060框</v>
          </cell>
        </row>
        <row r="10957">
          <cell r="D10957" t="str">
            <v>DD-J10B-04041-1</v>
          </cell>
          <cell r="E10957" t="str">
            <v>10060框</v>
          </cell>
        </row>
        <row r="10958">
          <cell r="D10958" t="str">
            <v>DD-J10B-04041-1</v>
          </cell>
          <cell r="E10958" t="str">
            <v>10060框</v>
          </cell>
        </row>
        <row r="10959">
          <cell r="D10959" t="str">
            <v>DD-J10-05346-1-Z</v>
          </cell>
          <cell r="E10959" t="str">
            <v>受剪接头</v>
          </cell>
        </row>
        <row r="10960">
          <cell r="D10960" t="str">
            <v>DD-J10-05346-1-Z</v>
          </cell>
          <cell r="E10960" t="str">
            <v>受剪接头</v>
          </cell>
        </row>
        <row r="10961">
          <cell r="D10961" t="str">
            <v>DD-J10-05346-1-Z</v>
          </cell>
          <cell r="E10961" t="str">
            <v>受剪接头</v>
          </cell>
        </row>
        <row r="10962">
          <cell r="D10962" t="str">
            <v>DD-J10-05346-1-Z</v>
          </cell>
          <cell r="E10962" t="str">
            <v>受剪接头</v>
          </cell>
        </row>
        <row r="10963">
          <cell r="D10963" t="str">
            <v>DD-J10-05346-1-Z</v>
          </cell>
          <cell r="E10963" t="str">
            <v>受剪接头</v>
          </cell>
        </row>
        <row r="10964">
          <cell r="D10964" t="str">
            <v>DD-J10-05346-1-Z</v>
          </cell>
          <cell r="E10964" t="str">
            <v>受剪接头</v>
          </cell>
        </row>
        <row r="10965">
          <cell r="D10965" t="str">
            <v>DD-J10-05346-1-Z</v>
          </cell>
          <cell r="E10965" t="str">
            <v>受剪接头</v>
          </cell>
        </row>
        <row r="10966">
          <cell r="D10966" t="str">
            <v>DD-J10-05346-1-Z</v>
          </cell>
          <cell r="E10966" t="str">
            <v>受剪接头</v>
          </cell>
        </row>
        <row r="10967">
          <cell r="D10967" t="str">
            <v>DD-J10-05346-1-Z</v>
          </cell>
          <cell r="E10967" t="str">
            <v>受剪接头</v>
          </cell>
        </row>
        <row r="10968">
          <cell r="D10968" t="str">
            <v>DD-J10-05346-1-Z</v>
          </cell>
          <cell r="E10968" t="str">
            <v>受剪接头</v>
          </cell>
        </row>
        <row r="10969">
          <cell r="D10969" t="str">
            <v>DD-J10-05346-1-Z</v>
          </cell>
          <cell r="E10969" t="str">
            <v>受剪接头</v>
          </cell>
        </row>
        <row r="10970">
          <cell r="D10970" t="str">
            <v>DD-J10-05346-1-Z</v>
          </cell>
          <cell r="E10970" t="str">
            <v>受剪接头</v>
          </cell>
        </row>
        <row r="10971">
          <cell r="D10971" t="str">
            <v>DD-J10-05346-1-Z</v>
          </cell>
          <cell r="E10971" t="str">
            <v>受剪接头</v>
          </cell>
        </row>
        <row r="10972">
          <cell r="D10972" t="str">
            <v>DD-J10-05346-1-Z</v>
          </cell>
          <cell r="E10972" t="str">
            <v>受剪接头</v>
          </cell>
        </row>
        <row r="10973">
          <cell r="D10973" t="str">
            <v>DD-J10-05346-1-Z</v>
          </cell>
          <cell r="E10973" t="str">
            <v>受剪接头</v>
          </cell>
        </row>
        <row r="10974">
          <cell r="D10974" t="str">
            <v>DD-J10-05346-1-Z</v>
          </cell>
          <cell r="E10974" t="str">
            <v>受剪接头</v>
          </cell>
        </row>
        <row r="10975">
          <cell r="D10975" t="str">
            <v>DD-J10-05346-1-Z</v>
          </cell>
          <cell r="E10975" t="str">
            <v>受剪接头</v>
          </cell>
        </row>
        <row r="10976">
          <cell r="D10976" t="str">
            <v>DD-J10-05346-1-Z</v>
          </cell>
          <cell r="E10976" t="str">
            <v>受剪接头</v>
          </cell>
        </row>
        <row r="10977">
          <cell r="D10977" t="str">
            <v>DD-J10-05346-1-Z</v>
          </cell>
          <cell r="E10977" t="str">
            <v>受剪接头</v>
          </cell>
        </row>
        <row r="10978">
          <cell r="D10978" t="str">
            <v>DD-J10-05346-1-Z</v>
          </cell>
          <cell r="E10978" t="str">
            <v>受剪接头</v>
          </cell>
        </row>
        <row r="10979">
          <cell r="D10979" t="str">
            <v>DD-J10-05346-1-Z</v>
          </cell>
          <cell r="E10979" t="str">
            <v>受剪接头</v>
          </cell>
        </row>
        <row r="10980">
          <cell r="D10980" t="str">
            <v>DD-J10-05346-1-Z</v>
          </cell>
          <cell r="E10980" t="str">
            <v>受剪接头</v>
          </cell>
        </row>
        <row r="10981">
          <cell r="D10981" t="str">
            <v>DD-J10-05346-1-Z</v>
          </cell>
          <cell r="E10981" t="str">
            <v>受剪接头</v>
          </cell>
        </row>
        <row r="10982">
          <cell r="D10982" t="str">
            <v>DD-J10-05346-1-Z</v>
          </cell>
          <cell r="E10982" t="str">
            <v>受剪接头</v>
          </cell>
        </row>
        <row r="10983">
          <cell r="D10983" t="str">
            <v>DD-J10-05346-1-Y</v>
          </cell>
          <cell r="E10983" t="str">
            <v>受剪接头</v>
          </cell>
        </row>
        <row r="10984">
          <cell r="D10984" t="str">
            <v>DD-J10-05346-1-Y</v>
          </cell>
          <cell r="E10984" t="str">
            <v>受剪接头</v>
          </cell>
        </row>
        <row r="10985">
          <cell r="D10985" t="str">
            <v>DD-J10-05346-1-Y</v>
          </cell>
          <cell r="E10985" t="str">
            <v>受剪接头</v>
          </cell>
        </row>
        <row r="10986">
          <cell r="D10986" t="str">
            <v>DD-J10-05346-1-Y</v>
          </cell>
          <cell r="E10986" t="str">
            <v>受剪接头</v>
          </cell>
        </row>
        <row r="10987">
          <cell r="D10987" t="str">
            <v>DD-J10-05346-1-Y</v>
          </cell>
          <cell r="E10987" t="str">
            <v>受剪接头</v>
          </cell>
        </row>
        <row r="10988">
          <cell r="D10988" t="str">
            <v>DD-J10-05346-1-Y</v>
          </cell>
          <cell r="E10988" t="str">
            <v>受剪接头</v>
          </cell>
        </row>
        <row r="10989">
          <cell r="D10989" t="str">
            <v>DD-J10-05346-1-Y</v>
          </cell>
          <cell r="E10989" t="str">
            <v>受剪接头</v>
          </cell>
        </row>
        <row r="10990">
          <cell r="D10990" t="str">
            <v>DD-J10-05346-1-Y</v>
          </cell>
          <cell r="E10990" t="str">
            <v>受剪接头</v>
          </cell>
        </row>
        <row r="10991">
          <cell r="D10991" t="str">
            <v>DD-J10-05346-1-Y</v>
          </cell>
          <cell r="E10991" t="str">
            <v>受剪接头</v>
          </cell>
        </row>
        <row r="10992">
          <cell r="D10992" t="str">
            <v>DD-J10-05346-1-Y</v>
          </cell>
          <cell r="E10992" t="str">
            <v>受剪接头</v>
          </cell>
        </row>
        <row r="10993">
          <cell r="D10993" t="str">
            <v>DD-J10-05346-1-Y</v>
          </cell>
          <cell r="E10993" t="str">
            <v>受剪接头</v>
          </cell>
        </row>
        <row r="10994">
          <cell r="D10994" t="str">
            <v>DD-J10-05346-1-Y</v>
          </cell>
          <cell r="E10994" t="str">
            <v>受剪接头</v>
          </cell>
        </row>
        <row r="10995">
          <cell r="D10995" t="str">
            <v>DD-J10-05346-1-Y</v>
          </cell>
          <cell r="E10995" t="str">
            <v>受剪接头</v>
          </cell>
        </row>
        <row r="10996">
          <cell r="D10996" t="str">
            <v>DD-J10-05346-1-Y</v>
          </cell>
          <cell r="E10996" t="str">
            <v>受剪接头</v>
          </cell>
        </row>
        <row r="10997">
          <cell r="D10997" t="str">
            <v>DD-J10-05346-1-Y</v>
          </cell>
          <cell r="E10997" t="str">
            <v>受剪接头</v>
          </cell>
        </row>
        <row r="10998">
          <cell r="D10998" t="str">
            <v>DD-J10-05346-1-Y</v>
          </cell>
          <cell r="E10998" t="str">
            <v>受剪接头</v>
          </cell>
        </row>
        <row r="10999">
          <cell r="D10999" t="str">
            <v>DD-J10-05346-1-Y</v>
          </cell>
          <cell r="E10999" t="str">
            <v>受剪接头</v>
          </cell>
        </row>
        <row r="11000">
          <cell r="D11000" t="str">
            <v>DD-J10-05346-1-Y</v>
          </cell>
          <cell r="E11000" t="str">
            <v>受剪接头</v>
          </cell>
        </row>
        <row r="11001">
          <cell r="D11001" t="str">
            <v>DD-J10-05346-1-Y</v>
          </cell>
          <cell r="E11001" t="str">
            <v>受剪接头</v>
          </cell>
        </row>
        <row r="11002">
          <cell r="D11002" t="str">
            <v>DD-J10-05346-1-Y</v>
          </cell>
          <cell r="E11002" t="str">
            <v>受剪接头</v>
          </cell>
        </row>
        <row r="11003">
          <cell r="D11003" t="str">
            <v>DD-J10-05346-1-Y</v>
          </cell>
          <cell r="E11003" t="str">
            <v>受剪接头</v>
          </cell>
        </row>
        <row r="11004">
          <cell r="D11004" t="str">
            <v>DD-J10-05346-1-Y</v>
          </cell>
          <cell r="E11004" t="str">
            <v>受剪接头</v>
          </cell>
        </row>
        <row r="11005">
          <cell r="D11005" t="str">
            <v>DD-J10-05346-1-Y</v>
          </cell>
          <cell r="E11005" t="str">
            <v>受剪接头</v>
          </cell>
        </row>
        <row r="11006">
          <cell r="D11006" t="str">
            <v>DD-J10-05346-1-Y</v>
          </cell>
          <cell r="E11006" t="str">
            <v>受剪接头</v>
          </cell>
        </row>
        <row r="11007">
          <cell r="D11007" t="str">
            <v>DD-J10-05346-2-Y</v>
          </cell>
          <cell r="E11007" t="str">
            <v>受剪接头</v>
          </cell>
        </row>
        <row r="11008">
          <cell r="D11008" t="str">
            <v>DD-J10-05346-2-Y</v>
          </cell>
          <cell r="E11008" t="str">
            <v>受剪接头</v>
          </cell>
        </row>
        <row r="11009">
          <cell r="D11009" t="str">
            <v>DD-J10-05346-2-Y</v>
          </cell>
          <cell r="E11009" t="str">
            <v>受剪接头</v>
          </cell>
        </row>
        <row r="11010">
          <cell r="D11010" t="str">
            <v>DD-J10-05346-2-Y</v>
          </cell>
          <cell r="E11010" t="str">
            <v>受剪接头</v>
          </cell>
        </row>
        <row r="11011">
          <cell r="D11011" t="str">
            <v>DD-J10-05346-2-Y</v>
          </cell>
          <cell r="E11011" t="str">
            <v>受剪接头</v>
          </cell>
        </row>
        <row r="11012">
          <cell r="D11012" t="str">
            <v>DD-J10-05346-2-Y</v>
          </cell>
          <cell r="E11012" t="str">
            <v>受剪接头</v>
          </cell>
        </row>
        <row r="11013">
          <cell r="D11013" t="str">
            <v>DD-J10-05346-2-Y</v>
          </cell>
          <cell r="E11013" t="str">
            <v>受剪接头</v>
          </cell>
        </row>
        <row r="11014">
          <cell r="D11014" t="str">
            <v>DD-J10-05346-2-Y</v>
          </cell>
          <cell r="E11014" t="str">
            <v>受剪接头</v>
          </cell>
        </row>
        <row r="11015">
          <cell r="D11015" t="str">
            <v>DD-J10-05346-2-Y</v>
          </cell>
          <cell r="E11015" t="str">
            <v>受剪接头</v>
          </cell>
        </row>
        <row r="11016">
          <cell r="D11016" t="str">
            <v>DD-J10-05346-2-Y</v>
          </cell>
          <cell r="E11016" t="str">
            <v>受剪接头</v>
          </cell>
        </row>
        <row r="11017">
          <cell r="D11017" t="str">
            <v>DD-J10-05346-2-Y</v>
          </cell>
          <cell r="E11017" t="str">
            <v>受剪接头</v>
          </cell>
        </row>
        <row r="11018">
          <cell r="D11018" t="str">
            <v>DD-J10-05346-2-Y</v>
          </cell>
          <cell r="E11018" t="str">
            <v>受剪接头</v>
          </cell>
        </row>
        <row r="11019">
          <cell r="D11019" t="str">
            <v>DD-J10-05346-2-Y</v>
          </cell>
          <cell r="E11019" t="str">
            <v>受剪接头</v>
          </cell>
        </row>
        <row r="11020">
          <cell r="D11020" t="str">
            <v>DD-J10-05346-2-Y</v>
          </cell>
          <cell r="E11020" t="str">
            <v>受剪接头</v>
          </cell>
        </row>
        <row r="11021">
          <cell r="D11021" t="str">
            <v>DD-J10-05346-2-Y</v>
          </cell>
          <cell r="E11021" t="str">
            <v>受剪接头</v>
          </cell>
        </row>
        <row r="11022">
          <cell r="D11022" t="str">
            <v>DD-J10-05346-2-Y</v>
          </cell>
          <cell r="E11022" t="str">
            <v>受剪接头</v>
          </cell>
        </row>
        <row r="11023">
          <cell r="D11023" t="str">
            <v>DD-J10-05346-2-Y</v>
          </cell>
          <cell r="E11023" t="str">
            <v>受剪接头</v>
          </cell>
        </row>
        <row r="11024">
          <cell r="D11024" t="str">
            <v>DD-J10-05346-2-Y</v>
          </cell>
          <cell r="E11024" t="str">
            <v>受剪接头</v>
          </cell>
        </row>
        <row r="11025">
          <cell r="D11025" t="str">
            <v>DD-J10-05346-2-Y</v>
          </cell>
          <cell r="E11025" t="str">
            <v>受剪接头</v>
          </cell>
        </row>
        <row r="11026">
          <cell r="D11026" t="str">
            <v>DD-J10-05346-2-Y</v>
          </cell>
          <cell r="E11026" t="str">
            <v>受剪接头</v>
          </cell>
        </row>
        <row r="11027">
          <cell r="D11027" t="str">
            <v>DD-J10-05346-2-Y</v>
          </cell>
          <cell r="E11027" t="str">
            <v>受剪接头</v>
          </cell>
        </row>
        <row r="11028">
          <cell r="D11028" t="str">
            <v>DD-J10-05346-2-Y</v>
          </cell>
          <cell r="E11028" t="str">
            <v>受剪接头</v>
          </cell>
        </row>
        <row r="11029">
          <cell r="D11029" t="str">
            <v>DD-J10-05346-2-Y</v>
          </cell>
          <cell r="E11029" t="str">
            <v>受剪接头</v>
          </cell>
        </row>
        <row r="11030">
          <cell r="D11030" t="str">
            <v>DD-J10-05346-2-Y</v>
          </cell>
          <cell r="E11030" t="str">
            <v>受剪接头</v>
          </cell>
        </row>
        <row r="11031">
          <cell r="D11031" t="str">
            <v>DD-J10-05346-2-Z</v>
          </cell>
          <cell r="E11031" t="str">
            <v>受剪接头</v>
          </cell>
        </row>
        <row r="11032">
          <cell r="D11032" t="str">
            <v>DD-J10-05346-2-Z</v>
          </cell>
          <cell r="E11032" t="str">
            <v>受剪接头</v>
          </cell>
        </row>
        <row r="11033">
          <cell r="D11033" t="str">
            <v>DD-J10-05346-2-Z</v>
          </cell>
          <cell r="E11033" t="str">
            <v>受剪接头</v>
          </cell>
        </row>
        <row r="11034">
          <cell r="D11034" t="str">
            <v>DD-J10-05346-2-Z</v>
          </cell>
          <cell r="E11034" t="str">
            <v>受剪接头</v>
          </cell>
        </row>
        <row r="11035">
          <cell r="D11035" t="str">
            <v>DD-J10-05346-2-Z</v>
          </cell>
          <cell r="E11035" t="str">
            <v>受剪接头</v>
          </cell>
        </row>
        <row r="11036">
          <cell r="D11036" t="str">
            <v>DD-J10-05346-2-Z</v>
          </cell>
          <cell r="E11036" t="str">
            <v>受剪接头</v>
          </cell>
        </row>
        <row r="11037">
          <cell r="D11037" t="str">
            <v>DD-J10-05346-2-Z</v>
          </cell>
          <cell r="E11037" t="str">
            <v>受剪接头</v>
          </cell>
        </row>
        <row r="11038">
          <cell r="D11038" t="str">
            <v>DD-J10-05346-2-Z</v>
          </cell>
          <cell r="E11038" t="str">
            <v>受剪接头</v>
          </cell>
        </row>
        <row r="11039">
          <cell r="D11039" t="str">
            <v>DD-J10-05346-2-Z</v>
          </cell>
          <cell r="E11039" t="str">
            <v>受剪接头</v>
          </cell>
        </row>
        <row r="11040">
          <cell r="D11040" t="str">
            <v>DD-J10-05346-2-Z</v>
          </cell>
          <cell r="E11040" t="str">
            <v>受剪接头</v>
          </cell>
        </row>
        <row r="11041">
          <cell r="D11041" t="str">
            <v>DD-J10-05346-2-Z</v>
          </cell>
          <cell r="E11041" t="str">
            <v>受剪接头</v>
          </cell>
        </row>
        <row r="11042">
          <cell r="D11042" t="str">
            <v>DD-J10-05346-2-Z</v>
          </cell>
          <cell r="E11042" t="str">
            <v>受剪接头</v>
          </cell>
        </row>
        <row r="11043">
          <cell r="D11043" t="str">
            <v>DD-J10-05346-2-Z</v>
          </cell>
          <cell r="E11043" t="str">
            <v>受剪接头</v>
          </cell>
        </row>
        <row r="11044">
          <cell r="D11044" t="str">
            <v>DD-J10-05346-2-Z</v>
          </cell>
          <cell r="E11044" t="str">
            <v>受剪接头</v>
          </cell>
        </row>
        <row r="11045">
          <cell r="D11045" t="str">
            <v>DD-J10-05346-2-Z</v>
          </cell>
          <cell r="E11045" t="str">
            <v>受剪接头</v>
          </cell>
        </row>
        <row r="11046">
          <cell r="D11046" t="str">
            <v>DD-J10-05346-2-Z</v>
          </cell>
          <cell r="E11046" t="str">
            <v>受剪接头</v>
          </cell>
        </row>
        <row r="11047">
          <cell r="D11047" t="str">
            <v>DD-J10-05346-2-Z</v>
          </cell>
          <cell r="E11047" t="str">
            <v>受剪接头</v>
          </cell>
        </row>
        <row r="11048">
          <cell r="D11048" t="str">
            <v>DD-J10-05346-2-Z</v>
          </cell>
          <cell r="E11048" t="str">
            <v>受剪接头</v>
          </cell>
        </row>
        <row r="11049">
          <cell r="D11049" t="str">
            <v>DD-J10-05346-2-Z</v>
          </cell>
          <cell r="E11049" t="str">
            <v>受剪接头</v>
          </cell>
        </row>
        <row r="11050">
          <cell r="D11050" t="str">
            <v>DD-J10-05346-2-Z</v>
          </cell>
          <cell r="E11050" t="str">
            <v>受剪接头</v>
          </cell>
        </row>
        <row r="11051">
          <cell r="D11051" t="str">
            <v>DD-J10-05346-2-Z</v>
          </cell>
          <cell r="E11051" t="str">
            <v>受剪接头</v>
          </cell>
        </row>
        <row r="11052">
          <cell r="D11052" t="str">
            <v>DD-J10-05346-2-Z</v>
          </cell>
          <cell r="E11052" t="str">
            <v>受剪接头</v>
          </cell>
        </row>
        <row r="11053">
          <cell r="D11053" t="str">
            <v>DD-J10-05346-2-Z</v>
          </cell>
          <cell r="E11053" t="str">
            <v>受剪接头</v>
          </cell>
        </row>
        <row r="11054">
          <cell r="D11054" t="str">
            <v>DD-J10-05346-2-Z</v>
          </cell>
          <cell r="E11054" t="str">
            <v>受剪接头</v>
          </cell>
        </row>
        <row r="11055">
          <cell r="D11055" t="str">
            <v>BC5337100-108L001</v>
          </cell>
          <cell r="E11055" t="str">
            <v>下边条受剪接头</v>
          </cell>
        </row>
        <row r="11056">
          <cell r="D11056" t="str">
            <v>BC5337100-108L001</v>
          </cell>
          <cell r="E11056" t="str">
            <v>下边条受剪接头</v>
          </cell>
        </row>
        <row r="11057">
          <cell r="D11057" t="str">
            <v>BC5337100-108L001</v>
          </cell>
          <cell r="E11057" t="str">
            <v>下边条受剪接头</v>
          </cell>
        </row>
        <row r="11058">
          <cell r="D11058" t="str">
            <v>BC5337100-108L001</v>
          </cell>
          <cell r="E11058" t="str">
            <v>下边条受剪接头</v>
          </cell>
        </row>
        <row r="11059">
          <cell r="D11059" t="str">
            <v>BC5337100-108L001</v>
          </cell>
          <cell r="E11059" t="str">
            <v>下边条受剪接头</v>
          </cell>
        </row>
        <row r="11060">
          <cell r="D11060" t="str">
            <v>BC5337100-108L001</v>
          </cell>
          <cell r="E11060" t="str">
            <v>下边条受剪接头</v>
          </cell>
        </row>
        <row r="11061">
          <cell r="D11061" t="str">
            <v>BC5337100-108L001</v>
          </cell>
          <cell r="E11061" t="str">
            <v>下边条受剪接头</v>
          </cell>
        </row>
        <row r="11062">
          <cell r="D11062" t="str">
            <v>BC5337100-108L001</v>
          </cell>
          <cell r="E11062" t="str">
            <v>下边条受剪接头</v>
          </cell>
        </row>
        <row r="11063">
          <cell r="D11063" t="str">
            <v>BC5337100-108L001</v>
          </cell>
          <cell r="E11063" t="str">
            <v>下边条受剪接头</v>
          </cell>
        </row>
        <row r="11064">
          <cell r="D11064" t="str">
            <v>BC5337100-108L001</v>
          </cell>
          <cell r="E11064" t="str">
            <v>下边条受剪接头</v>
          </cell>
        </row>
        <row r="11065">
          <cell r="D11065" t="str">
            <v>BC5337100-108L001</v>
          </cell>
          <cell r="E11065" t="str">
            <v>下边条受剪接头</v>
          </cell>
        </row>
        <row r="11066">
          <cell r="D11066" t="str">
            <v>BC5337100-108L001</v>
          </cell>
          <cell r="E11066" t="str">
            <v>下边条受剪接头</v>
          </cell>
        </row>
        <row r="11067">
          <cell r="D11067" t="str">
            <v>BC5337100-108R001</v>
          </cell>
          <cell r="E11067" t="str">
            <v>下边条受剪接头</v>
          </cell>
        </row>
        <row r="11068">
          <cell r="D11068" t="str">
            <v>BC5337100-108R001</v>
          </cell>
          <cell r="E11068" t="str">
            <v>下边条受剪接头</v>
          </cell>
        </row>
        <row r="11069">
          <cell r="D11069" t="str">
            <v>BC5337100-108R001</v>
          </cell>
          <cell r="E11069" t="str">
            <v>下边条受剪接头</v>
          </cell>
        </row>
        <row r="11070">
          <cell r="D11070" t="str">
            <v>BC5337100-108R001</v>
          </cell>
          <cell r="E11070" t="str">
            <v>下边条受剪接头</v>
          </cell>
        </row>
        <row r="11071">
          <cell r="D11071" t="str">
            <v>BC5337100-108R001</v>
          </cell>
          <cell r="E11071" t="str">
            <v>下边条受剪接头</v>
          </cell>
        </row>
        <row r="11072">
          <cell r="D11072" t="str">
            <v>BC5337100-108R001</v>
          </cell>
          <cell r="E11072" t="str">
            <v>下边条受剪接头</v>
          </cell>
        </row>
        <row r="11073">
          <cell r="D11073" t="str">
            <v>BC5337100-108R001</v>
          </cell>
          <cell r="E11073" t="str">
            <v>下边条受剪接头</v>
          </cell>
        </row>
        <row r="11074">
          <cell r="D11074" t="str">
            <v>BC5337100-108R001</v>
          </cell>
          <cell r="E11074" t="str">
            <v>下边条受剪接头</v>
          </cell>
        </row>
        <row r="11075">
          <cell r="D11075" t="str">
            <v>BC5337100-108R001</v>
          </cell>
          <cell r="E11075" t="str">
            <v>下边条受剪接头</v>
          </cell>
        </row>
        <row r="11076">
          <cell r="D11076" t="str">
            <v>BC5337100-108R001</v>
          </cell>
          <cell r="E11076" t="str">
            <v>下边条受剪接头</v>
          </cell>
        </row>
        <row r="11077">
          <cell r="D11077" t="str">
            <v>BC5337100-108R001</v>
          </cell>
          <cell r="E11077" t="str">
            <v>下边条受剪接头</v>
          </cell>
        </row>
        <row r="11078">
          <cell r="D11078" t="str">
            <v>BC5337100-108R001</v>
          </cell>
          <cell r="E11078" t="str">
            <v>下边条受剪接头</v>
          </cell>
        </row>
        <row r="11079">
          <cell r="D11079" t="str">
            <v>521A4180-001-001</v>
          </cell>
          <cell r="E11079" t="str">
            <v>端头</v>
          </cell>
        </row>
        <row r="11080">
          <cell r="D11080" t="str">
            <v>521A4180-001-001</v>
          </cell>
          <cell r="E11080" t="str">
            <v>端头</v>
          </cell>
        </row>
        <row r="11081">
          <cell r="D11081" t="str">
            <v>521A4180-001-001</v>
          </cell>
          <cell r="E11081" t="str">
            <v>端头</v>
          </cell>
        </row>
        <row r="11082">
          <cell r="D11082" t="str">
            <v>521A4180-001-001</v>
          </cell>
          <cell r="E11082" t="str">
            <v>端头</v>
          </cell>
        </row>
        <row r="11083">
          <cell r="D11083" t="str">
            <v>BC5812820-001-001</v>
          </cell>
          <cell r="E11083" t="str">
            <v>拉杆</v>
          </cell>
        </row>
        <row r="11084">
          <cell r="D11084" t="str">
            <v>BC221T5ML-007-001</v>
          </cell>
          <cell r="E11084" t="str">
            <v>阀套</v>
          </cell>
        </row>
        <row r="11085">
          <cell r="D11085" t="str">
            <v>BC2281245-003-001</v>
          </cell>
          <cell r="E11085" t="str">
            <v>套筒</v>
          </cell>
        </row>
        <row r="11086">
          <cell r="D11086" t="str">
            <v>BC221T4MG-001-001</v>
          </cell>
          <cell r="E11086" t="str">
            <v>抗荷单向活门法兰盘</v>
          </cell>
        </row>
        <row r="11087">
          <cell r="D11087" t="str">
            <v>BC5812600-003-001</v>
          </cell>
          <cell r="E11087" t="str">
            <v>衬套</v>
          </cell>
        </row>
        <row r="11088">
          <cell r="D11088" t="str">
            <v>BC5812000-003-001</v>
          </cell>
          <cell r="E11088" t="str">
            <v>衬套</v>
          </cell>
        </row>
        <row r="11089">
          <cell r="D11089" t="str">
            <v>BC5812100-004-001</v>
          </cell>
          <cell r="E11089" t="str">
            <v>衬套</v>
          </cell>
        </row>
        <row r="11090">
          <cell r="D11090" t="str">
            <v>BC5812100-009-001</v>
          </cell>
          <cell r="E11090" t="str">
            <v>衬套</v>
          </cell>
        </row>
        <row r="11091">
          <cell r="D11091" t="str">
            <v>CB221T1LA-001-001</v>
          </cell>
          <cell r="E11091" t="str">
            <v>管接头</v>
          </cell>
        </row>
        <row r="11092">
          <cell r="D11092" t="str">
            <v>CB3092441-002-001</v>
          </cell>
          <cell r="E11092" t="str">
            <v>连接片2</v>
          </cell>
        </row>
        <row r="11093">
          <cell r="D11093" t="str">
            <v>CB22110LAN002-001</v>
          </cell>
          <cell r="E11093" t="str">
            <v>管嘴</v>
          </cell>
        </row>
        <row r="11094">
          <cell r="D11094" t="str">
            <v>CB5811100-004-001</v>
          </cell>
          <cell r="E11094" t="str">
            <v>连接轴</v>
          </cell>
        </row>
        <row r="11095">
          <cell r="D11095" t="str">
            <v>CB5811100-004-001</v>
          </cell>
          <cell r="E11095" t="str">
            <v>连接轴</v>
          </cell>
        </row>
        <row r="11096">
          <cell r="D11096" t="str">
            <v>CB5350510-002-006</v>
          </cell>
          <cell r="E11096" t="str">
            <v>扶手支座</v>
          </cell>
        </row>
        <row r="11097">
          <cell r="D11097" t="str">
            <v>Y20-5826100003-001</v>
          </cell>
          <cell r="E11097" t="str">
            <v>摩擦片</v>
          </cell>
        </row>
        <row r="11098">
          <cell r="D11098" t="str">
            <v>DD-J10-61101-15</v>
          </cell>
          <cell r="E11098" t="str">
            <v>接管嘴</v>
          </cell>
        </row>
        <row r="11099">
          <cell r="D11099" t="str">
            <v>DD-J10B-94091-24G2</v>
          </cell>
          <cell r="E11099" t="str">
            <v>20-28变径直通接头</v>
          </cell>
        </row>
        <row r="11100">
          <cell r="D11100" t="str">
            <v>DD-J10B-94091-4141G2</v>
          </cell>
          <cell r="E11100" t="str">
            <v>三通接头</v>
          </cell>
        </row>
        <row r="11101">
          <cell r="D11101" t="str">
            <v>DD-J10B-94091-4141G2</v>
          </cell>
          <cell r="E11101" t="str">
            <v>三通接头</v>
          </cell>
        </row>
        <row r="11102">
          <cell r="D11102" t="str">
            <v>CB5713600-001R004</v>
          </cell>
          <cell r="E11102" t="str">
            <v>前梁一段</v>
          </cell>
        </row>
        <row r="11103">
          <cell r="D11103" t="str">
            <v>CB5713600-001L006</v>
          </cell>
          <cell r="E11103" t="str">
            <v>前梁一段</v>
          </cell>
        </row>
        <row r="11104">
          <cell r="D11104" t="str">
            <v>CB5512300-006L003</v>
          </cell>
          <cell r="E11104" t="str">
            <v>1#斜肋</v>
          </cell>
        </row>
        <row r="11105">
          <cell r="D11105" t="str">
            <v>CB5512300-006L003</v>
          </cell>
          <cell r="E11105" t="str">
            <v>1#斜肋</v>
          </cell>
        </row>
        <row r="11106">
          <cell r="D11106" t="str">
            <v>CB5512300-006L003</v>
          </cell>
          <cell r="E11106" t="str">
            <v>1#斜肋</v>
          </cell>
        </row>
        <row r="11107">
          <cell r="D11107" t="str">
            <v>CB5512300-006R003</v>
          </cell>
          <cell r="E11107" t="str">
            <v>1#斜肋</v>
          </cell>
        </row>
        <row r="11108">
          <cell r="D11108" t="str">
            <v>CB5512300-006R003</v>
          </cell>
          <cell r="E11108" t="str">
            <v>1#斜肋</v>
          </cell>
        </row>
        <row r="11109">
          <cell r="D11109" t="str">
            <v>CB5512300-006R003</v>
          </cell>
          <cell r="E11109" t="str">
            <v>1#斜肋</v>
          </cell>
        </row>
        <row r="11110">
          <cell r="D11110" t="str">
            <v>CB5314107-001-002</v>
          </cell>
          <cell r="E11110" t="str">
            <v>5550上框</v>
          </cell>
        </row>
        <row r="11111">
          <cell r="D11111" t="str">
            <v>CB5314107-001-002</v>
          </cell>
          <cell r="E11111" t="str">
            <v>5550上框</v>
          </cell>
        </row>
        <row r="11112">
          <cell r="D11112" t="str">
            <v>CB5314107-001-002</v>
          </cell>
          <cell r="E11112" t="str">
            <v>5550上框</v>
          </cell>
        </row>
        <row r="11113">
          <cell r="D11113" t="str">
            <v>CB5323210-002-028</v>
          </cell>
          <cell r="E11113" t="str">
            <v>10540中框</v>
          </cell>
        </row>
        <row r="11114">
          <cell r="D11114" t="str">
            <v>CB5323210-002-028</v>
          </cell>
          <cell r="E11114" t="str">
            <v>10540中框</v>
          </cell>
        </row>
        <row r="11115">
          <cell r="D11115" t="str">
            <v>CB5323210-002-028</v>
          </cell>
          <cell r="E11115" t="str">
            <v>10540中框</v>
          </cell>
        </row>
        <row r="11116">
          <cell r="D11116" t="str">
            <v>CB5323210-002-028</v>
          </cell>
          <cell r="E11116" t="str">
            <v>10540中框</v>
          </cell>
        </row>
        <row r="11117">
          <cell r="D11117" t="str">
            <v>CB5323210-002-028</v>
          </cell>
          <cell r="E11117" t="str">
            <v>10540中框</v>
          </cell>
        </row>
        <row r="11118">
          <cell r="D11118" t="str">
            <v>CB5323210-002-028</v>
          </cell>
          <cell r="E11118" t="str">
            <v>10540中框</v>
          </cell>
        </row>
        <row r="11119">
          <cell r="D11119" t="str">
            <v>CB5323210-002-028</v>
          </cell>
          <cell r="E11119" t="str">
            <v>10540中框</v>
          </cell>
        </row>
        <row r="11120">
          <cell r="D11120" t="str">
            <v>CB5323210-002-028</v>
          </cell>
          <cell r="E11120" t="str">
            <v>10540中框</v>
          </cell>
        </row>
        <row r="11121">
          <cell r="D11121" t="str">
            <v>DD-J10B-04051-1</v>
          </cell>
          <cell r="E11121" t="str">
            <v>10460框</v>
          </cell>
        </row>
        <row r="11122">
          <cell r="D11122" t="str">
            <v>DD-J10B-04051-1</v>
          </cell>
          <cell r="E11122" t="str">
            <v>10460框</v>
          </cell>
        </row>
        <row r="11123">
          <cell r="D11123" t="str">
            <v>DD-J10B-04051-1</v>
          </cell>
          <cell r="E11123" t="str">
            <v>10460框</v>
          </cell>
        </row>
        <row r="11124">
          <cell r="D11124" t="str">
            <v>DD-J10B-04051-1</v>
          </cell>
          <cell r="E11124" t="str">
            <v>10460框</v>
          </cell>
        </row>
        <row r="11125">
          <cell r="D11125" t="str">
            <v>CB5714100-002R003</v>
          </cell>
          <cell r="E11125" t="str">
            <v>根肋二段</v>
          </cell>
        </row>
        <row r="11126">
          <cell r="D11126" t="str">
            <v>CB5714100-002R003</v>
          </cell>
          <cell r="E11126" t="str">
            <v>根肋二段</v>
          </cell>
        </row>
        <row r="11127">
          <cell r="D11127" t="str">
            <v>CB5714100-002L003</v>
          </cell>
          <cell r="E11127" t="str">
            <v>根肋二段</v>
          </cell>
        </row>
        <row r="11128">
          <cell r="D11128" t="str">
            <v>CB5714100-002L003</v>
          </cell>
          <cell r="E11128" t="str">
            <v>根肋二段</v>
          </cell>
        </row>
        <row r="11129">
          <cell r="D11129" t="str">
            <v>CB5714100-002L003</v>
          </cell>
          <cell r="E11129" t="str">
            <v>根肋二段</v>
          </cell>
        </row>
        <row r="11130">
          <cell r="D11130" t="str">
            <v>CB5714100-002L003</v>
          </cell>
          <cell r="E11130" t="str">
            <v>根肋二段</v>
          </cell>
        </row>
        <row r="11131">
          <cell r="D11131" t="str">
            <v>CB5714100-002L003</v>
          </cell>
          <cell r="E11131" t="str">
            <v>根肋二段</v>
          </cell>
        </row>
        <row r="11132">
          <cell r="D11132" t="str">
            <v>CB5714100-002L003</v>
          </cell>
          <cell r="E11132" t="str">
            <v>根肋二段</v>
          </cell>
        </row>
        <row r="11133">
          <cell r="D11133" t="str">
            <v>CB5714100-001R004</v>
          </cell>
          <cell r="E11133" t="str">
            <v>根肋一段</v>
          </cell>
        </row>
        <row r="11134">
          <cell r="D11134" t="str">
            <v>CB5714100-001L004</v>
          </cell>
          <cell r="E11134" t="str">
            <v>根肋一段</v>
          </cell>
        </row>
        <row r="11135">
          <cell r="D11135" t="str">
            <v>CB5714100-001L004</v>
          </cell>
          <cell r="E11135" t="str">
            <v>根肋一段</v>
          </cell>
        </row>
        <row r="11136">
          <cell r="D11136" t="str">
            <v>CB5714100-001L004</v>
          </cell>
          <cell r="E11136" t="str">
            <v>根肋一段</v>
          </cell>
        </row>
        <row r="11137">
          <cell r="D11137" t="str">
            <v>CB5714100-001R004</v>
          </cell>
          <cell r="E11137" t="str">
            <v>根肋一段</v>
          </cell>
        </row>
        <row r="11138">
          <cell r="D11138" t="str">
            <v>CB5714100-001R004</v>
          </cell>
          <cell r="E11138" t="str">
            <v>根肋一段</v>
          </cell>
        </row>
        <row r="11139">
          <cell r="D11139" t="str">
            <v>CB5714100-004R002</v>
          </cell>
          <cell r="E11139" t="str">
            <v>根肋四段</v>
          </cell>
        </row>
        <row r="11140">
          <cell r="D11140" t="str">
            <v>CB5714100-004L002</v>
          </cell>
          <cell r="E11140" t="str">
            <v>根肋四段</v>
          </cell>
        </row>
        <row r="11141">
          <cell r="D11141" t="str">
            <v>CB5313200-004R006</v>
          </cell>
          <cell r="E11141" t="str">
            <v>右前分合面框</v>
          </cell>
        </row>
        <row r="11142">
          <cell r="D11142" t="str">
            <v>CB5313200-004R006</v>
          </cell>
          <cell r="E11142" t="str">
            <v>右前分合面框</v>
          </cell>
        </row>
        <row r="11143">
          <cell r="D11143" t="str">
            <v>CB5313200-004L006</v>
          </cell>
          <cell r="E11143" t="str">
            <v>左前分合面框</v>
          </cell>
        </row>
        <row r="11144">
          <cell r="D11144" t="str">
            <v>CB5313200-004L006</v>
          </cell>
          <cell r="E11144" t="str">
            <v>左前分合面框</v>
          </cell>
        </row>
        <row r="11145">
          <cell r="D11145" t="str">
            <v>CB5313200-004L006</v>
          </cell>
          <cell r="E11145" t="str">
            <v>左前分合面框</v>
          </cell>
        </row>
        <row r="11146">
          <cell r="D11146" t="str">
            <v>CB22921L3-001-003</v>
          </cell>
          <cell r="E11146" t="str">
            <v>支座</v>
          </cell>
        </row>
        <row r="11147">
          <cell r="D11147" t="str">
            <v>CB22921L3-001-003</v>
          </cell>
          <cell r="E11147" t="str">
            <v>支座</v>
          </cell>
        </row>
        <row r="11148">
          <cell r="D11148" t="str">
            <v>CB22921L3-001-003</v>
          </cell>
          <cell r="E11148" t="str">
            <v>支座</v>
          </cell>
        </row>
        <row r="11149">
          <cell r="D11149" t="str">
            <v>CB22921L3-001-003</v>
          </cell>
          <cell r="E11149" t="str">
            <v>支座</v>
          </cell>
        </row>
        <row r="11150">
          <cell r="D11150" t="str">
            <v>CB2292321-001-003</v>
          </cell>
          <cell r="E11150" t="str">
            <v>支座</v>
          </cell>
        </row>
        <row r="11151">
          <cell r="D11151" t="str">
            <v>CB22924J0-001-001</v>
          </cell>
          <cell r="E11151" t="str">
            <v>角片</v>
          </cell>
        </row>
        <row r="11152">
          <cell r="D11152" t="str">
            <v>CB22924J0-001-001</v>
          </cell>
          <cell r="E11152" t="str">
            <v>角片</v>
          </cell>
        </row>
        <row r="11153">
          <cell r="D11153" t="str">
            <v>CB229C050-002-003</v>
          </cell>
          <cell r="E11153" t="str">
            <v>拨杆</v>
          </cell>
        </row>
        <row r="11154">
          <cell r="D11154" t="str">
            <v>CB5714200-001R001</v>
          </cell>
          <cell r="E11154" t="str">
            <v>2470肋一段</v>
          </cell>
        </row>
        <row r="11155">
          <cell r="D11155" t="str">
            <v>CB5714200-001R001</v>
          </cell>
          <cell r="E11155" t="str">
            <v>2470肋一段</v>
          </cell>
        </row>
        <row r="11156">
          <cell r="D11156" t="str">
            <v>CB5714200-001R001</v>
          </cell>
          <cell r="E11156" t="str">
            <v>2470肋一段</v>
          </cell>
        </row>
        <row r="11157">
          <cell r="D11157" t="str">
            <v>CB5714200-001L001</v>
          </cell>
          <cell r="E11157" t="str">
            <v>2470肋一段</v>
          </cell>
        </row>
        <row r="11158">
          <cell r="D11158" t="str">
            <v>CB5714200-001L001</v>
          </cell>
          <cell r="E11158" t="str">
            <v>2470肋一段</v>
          </cell>
        </row>
        <row r="11159">
          <cell r="D11159" t="str">
            <v>CB5714200-001L001</v>
          </cell>
          <cell r="E11159" t="str">
            <v>2470肋一段</v>
          </cell>
        </row>
        <row r="11160">
          <cell r="D11160" t="str">
            <v>CB5714200-005R002</v>
          </cell>
          <cell r="E11160" t="str">
            <v>2470肋五段</v>
          </cell>
        </row>
        <row r="11161">
          <cell r="D11161" t="str">
            <v>CB5714200-005R002</v>
          </cell>
          <cell r="E11161" t="str">
            <v>2470肋五段</v>
          </cell>
        </row>
        <row r="11162">
          <cell r="D11162" t="str">
            <v>CB5714200-005R002</v>
          </cell>
          <cell r="E11162" t="str">
            <v>2470肋五段</v>
          </cell>
        </row>
        <row r="11163">
          <cell r="D11163" t="str">
            <v>CB5714200-005L002</v>
          </cell>
          <cell r="E11163" t="str">
            <v>2470肋五段</v>
          </cell>
        </row>
        <row r="11164">
          <cell r="D11164" t="str">
            <v>CB5714200-005L002</v>
          </cell>
          <cell r="E11164" t="str">
            <v>2470肋五段</v>
          </cell>
        </row>
        <row r="11165">
          <cell r="D11165" t="str">
            <v>CB5714200-005L002</v>
          </cell>
          <cell r="E11165" t="str">
            <v>2470肋五段</v>
          </cell>
        </row>
        <row r="11166">
          <cell r="D11166" t="str">
            <v>521A4000-015-001</v>
          </cell>
          <cell r="E11166" t="str">
            <v>轴</v>
          </cell>
        </row>
        <row r="11167">
          <cell r="D11167" t="str">
            <v>521A4000-015-001</v>
          </cell>
          <cell r="E11167" t="str">
            <v>轴</v>
          </cell>
        </row>
        <row r="11168">
          <cell r="D11168" t="str">
            <v>521A4000-015-001</v>
          </cell>
          <cell r="E11168" t="str">
            <v>轴</v>
          </cell>
        </row>
        <row r="11169">
          <cell r="D11169" t="str">
            <v>CB2292321-001-003</v>
          </cell>
          <cell r="E11169" t="str">
            <v>支座</v>
          </cell>
        </row>
        <row r="11170">
          <cell r="D11170" t="str">
            <v>531A6200-203-001</v>
          </cell>
          <cell r="E11170" t="str">
            <v>衬套</v>
          </cell>
        </row>
        <row r="11171">
          <cell r="D11171" t="str">
            <v>531A6200-203-001</v>
          </cell>
          <cell r="E11171" t="str">
            <v>衬套</v>
          </cell>
        </row>
        <row r="11172">
          <cell r="D11172" t="str">
            <v>521A4300-002-001</v>
          </cell>
          <cell r="E11172" t="str">
            <v>轴</v>
          </cell>
        </row>
        <row r="11173">
          <cell r="D11173" t="str">
            <v>521A4300-002-001</v>
          </cell>
          <cell r="E11173" t="str">
            <v>轴</v>
          </cell>
        </row>
        <row r="11174">
          <cell r="D11174" t="str">
            <v>521A4300-002-001</v>
          </cell>
          <cell r="E11174" t="str">
            <v>轴</v>
          </cell>
        </row>
        <row r="11175">
          <cell r="D11175" t="str">
            <v>561A3310-008-501</v>
          </cell>
          <cell r="E11175" t="str">
            <v>衬套</v>
          </cell>
        </row>
        <row r="11176">
          <cell r="D11176" t="str">
            <v>531A4200-061-001</v>
          </cell>
          <cell r="E11176" t="str">
            <v>螺栓</v>
          </cell>
        </row>
        <row r="11177">
          <cell r="D11177" t="str">
            <v>531A4200-062-001</v>
          </cell>
          <cell r="E11177" t="str">
            <v>螺栓</v>
          </cell>
        </row>
        <row r="11178">
          <cell r="D11178" t="str">
            <v>531A4200-062-001</v>
          </cell>
          <cell r="E11178" t="str">
            <v>螺栓</v>
          </cell>
        </row>
        <row r="11179">
          <cell r="D11179" t="str">
            <v>BC2281245-002-001</v>
          </cell>
          <cell r="E11179" t="str">
            <v>接头</v>
          </cell>
        </row>
        <row r="11180">
          <cell r="D11180" t="str">
            <v>BC228163C-003-003</v>
          </cell>
          <cell r="E11180" t="str">
            <v>法兰</v>
          </cell>
        </row>
        <row r="11181">
          <cell r="D11181" t="str">
            <v>BC2332J01-008-001</v>
          </cell>
          <cell r="E11181" t="str">
            <v>衬套</v>
          </cell>
        </row>
        <row r="11182">
          <cell r="D11182" t="str">
            <v>Y20-5281111002-001</v>
          </cell>
          <cell r="E11182" t="str">
            <v>衬套</v>
          </cell>
        </row>
        <row r="11183">
          <cell r="D11183" t="str">
            <v>CB221T2LR-001-001</v>
          </cell>
          <cell r="E11183" t="str">
            <v>平管嘴</v>
          </cell>
        </row>
        <row r="11184">
          <cell r="D11184" t="str">
            <v>CB221T2LR-001-001</v>
          </cell>
          <cell r="E11184" t="str">
            <v>平管嘴</v>
          </cell>
        </row>
        <row r="11185">
          <cell r="D11185" t="str">
            <v>CB221T9LFN004-002</v>
          </cell>
          <cell r="E11185" t="str">
            <v>液体压力传感器接管嘴</v>
          </cell>
        </row>
        <row r="11186">
          <cell r="D11186" t="str">
            <v>CB2285662-002-001</v>
          </cell>
          <cell r="E11186" t="str">
            <v>穿框管接头</v>
          </cell>
        </row>
        <row r="11187">
          <cell r="D11187" t="str">
            <v>CB2284480-003-001</v>
          </cell>
          <cell r="E11187" t="str">
            <v>四通接头</v>
          </cell>
        </row>
        <row r="11188">
          <cell r="D11188" t="str">
            <v>CB2284480-003-001</v>
          </cell>
          <cell r="E11188" t="str">
            <v>四通接头</v>
          </cell>
        </row>
        <row r="11189">
          <cell r="D11189" t="str">
            <v>CB229B412-003-001</v>
          </cell>
          <cell r="E11189" t="str">
            <v>管夹</v>
          </cell>
        </row>
        <row r="11190">
          <cell r="D11190" t="str">
            <v>BC5812200-001-001</v>
          </cell>
          <cell r="E11190" t="str">
            <v>轴</v>
          </cell>
        </row>
        <row r="11191">
          <cell r="D11191" t="str">
            <v>DD-J10B-02021-52/1-Z</v>
          </cell>
          <cell r="E11191" t="str">
            <v>锁芯</v>
          </cell>
        </row>
        <row r="11192">
          <cell r="D11192" t="str">
            <v>DD-J10B-02021-52/2-Z</v>
          </cell>
          <cell r="E11192" t="str">
            <v>锁芯</v>
          </cell>
        </row>
        <row r="11193">
          <cell r="D11193" t="str">
            <v>DD-J10B-02021-52/2-Z</v>
          </cell>
          <cell r="E11193" t="str">
            <v>锁芯</v>
          </cell>
        </row>
        <row r="11194">
          <cell r="D11194" t="str">
            <v>DD-J10-55015-6100-1</v>
          </cell>
          <cell r="E11194" t="str">
            <v>耳环螺栓</v>
          </cell>
        </row>
        <row r="11195">
          <cell r="D11195" t="str">
            <v>DD-J10B-41045-8</v>
          </cell>
          <cell r="E11195" t="str">
            <v>轴</v>
          </cell>
        </row>
        <row r="11196">
          <cell r="D11196" t="str">
            <v>DD-J10-55222-3106</v>
          </cell>
          <cell r="E11196" t="str">
            <v>30°拧入式管接头</v>
          </cell>
        </row>
        <row r="11197">
          <cell r="D11197" t="str">
            <v>DD-J10-55222-3106</v>
          </cell>
          <cell r="E11197" t="str">
            <v>30°拧入式管接头</v>
          </cell>
        </row>
        <row r="11198">
          <cell r="D11198" t="str">
            <v>DD-J10-55014-2131</v>
          </cell>
          <cell r="E11198" t="str">
            <v>接管嘴</v>
          </cell>
        </row>
        <row r="11199">
          <cell r="D11199" t="str">
            <v>DD-J10-55014-3200-1</v>
          </cell>
          <cell r="E11199" t="str">
            <v>耳环螺栓</v>
          </cell>
        </row>
        <row r="11200">
          <cell r="D11200" t="str">
            <v>DD-J10-55014-1102</v>
          </cell>
          <cell r="E11200" t="str">
            <v>管接头</v>
          </cell>
        </row>
        <row r="11201">
          <cell r="D11201" t="str">
            <v>DD-J10-55014-1102</v>
          </cell>
          <cell r="E11201" t="str">
            <v>管接头</v>
          </cell>
        </row>
        <row r="11202">
          <cell r="D11202" t="str">
            <v>DD-J10-55165-703</v>
          </cell>
          <cell r="E11202" t="str">
            <v>摇臂</v>
          </cell>
        </row>
        <row r="11203">
          <cell r="D11203" t="str">
            <v>DD-J10-55165-703</v>
          </cell>
          <cell r="E11203" t="str">
            <v>摇臂</v>
          </cell>
        </row>
        <row r="11204">
          <cell r="D11204" t="str">
            <v>DD-J10-55165-703</v>
          </cell>
          <cell r="E11204" t="str">
            <v>摇臂</v>
          </cell>
        </row>
        <row r="11205">
          <cell r="D11205" t="str">
            <v>DD-J10-55165-703</v>
          </cell>
          <cell r="E11205" t="str">
            <v>摇臂</v>
          </cell>
        </row>
        <row r="11206">
          <cell r="D11206" t="str">
            <v>DD-J10-55165-703</v>
          </cell>
          <cell r="E11206" t="str">
            <v>摇臂</v>
          </cell>
        </row>
        <row r="11207">
          <cell r="D11207" t="str">
            <v>DD-J10-55014-3200-1</v>
          </cell>
          <cell r="E11207" t="str">
            <v>耳环螺栓</v>
          </cell>
        </row>
        <row r="11208">
          <cell r="D11208" t="str">
            <v>DD-J10-55014-3200-1</v>
          </cell>
          <cell r="E11208" t="str">
            <v>耳环螺栓</v>
          </cell>
        </row>
        <row r="11209">
          <cell r="D11209" t="str">
            <v>DD-J10-55014-3200-1</v>
          </cell>
          <cell r="E11209" t="str">
            <v>耳环螺栓</v>
          </cell>
        </row>
        <row r="11210">
          <cell r="D11210" t="str">
            <v>CB5324500-004R004</v>
          </cell>
          <cell r="E11210" t="str">
            <v>后端框</v>
          </cell>
        </row>
        <row r="11211">
          <cell r="D11211" t="str">
            <v>CB5324500-004R004</v>
          </cell>
          <cell r="E11211" t="str">
            <v>后端框</v>
          </cell>
        </row>
        <row r="11212">
          <cell r="D11212" t="str">
            <v>CB5324500-004R004</v>
          </cell>
          <cell r="E11212" t="str">
            <v>后端框</v>
          </cell>
        </row>
        <row r="11213">
          <cell r="D11213" t="str">
            <v>CB5324500-004R004</v>
          </cell>
          <cell r="E11213" t="str">
            <v>后端框</v>
          </cell>
        </row>
        <row r="11214">
          <cell r="D11214" t="str">
            <v>CB5324500-004L004</v>
          </cell>
          <cell r="E11214" t="str">
            <v>后端框</v>
          </cell>
        </row>
        <row r="11215">
          <cell r="D11215" t="str">
            <v>CB5324500-004L004</v>
          </cell>
          <cell r="E11215" t="str">
            <v>后端框</v>
          </cell>
        </row>
        <row r="11216">
          <cell r="D11216" t="str">
            <v>CB5324500-004L004</v>
          </cell>
          <cell r="E11216" t="str">
            <v>后端框</v>
          </cell>
        </row>
        <row r="11217">
          <cell r="D11217" t="str">
            <v>CB5324500-004L004</v>
          </cell>
          <cell r="E11217" t="str">
            <v>后端框</v>
          </cell>
        </row>
        <row r="11218">
          <cell r="D11218" t="str">
            <v>CB5324500-004L004</v>
          </cell>
          <cell r="E11218" t="str">
            <v>后端框</v>
          </cell>
        </row>
        <row r="11219">
          <cell r="D11219" t="str">
            <v>CB2294170-003-001</v>
          </cell>
          <cell r="E11219" t="str">
            <v>支架</v>
          </cell>
        </row>
        <row r="11220">
          <cell r="D11220" t="str">
            <v>CB229C050-007-003</v>
          </cell>
          <cell r="E11220" t="str">
            <v>摇臂</v>
          </cell>
        </row>
        <row r="11221">
          <cell r="D11221" t="str">
            <v>BC2332100-001-002</v>
          </cell>
          <cell r="E11221" t="str">
            <v>卡箍支架（左）</v>
          </cell>
        </row>
        <row r="11222">
          <cell r="D11222" t="str">
            <v>BC22841Y3-001-003</v>
          </cell>
          <cell r="E11222" t="str">
            <v>支架</v>
          </cell>
        </row>
        <row r="11223">
          <cell r="D11223" t="str">
            <v>BC3012510-001-002</v>
          </cell>
          <cell r="E11223" t="str">
            <v>后左斜操纵台</v>
          </cell>
        </row>
        <row r="11224">
          <cell r="D11224" t="str">
            <v>BC22823Y1-001-001</v>
          </cell>
          <cell r="E11224" t="str">
            <v>支臂</v>
          </cell>
        </row>
        <row r="11225">
          <cell r="D11225" t="str">
            <v>BC2282608-002-001</v>
          </cell>
          <cell r="E11225" t="str">
            <v>角片</v>
          </cell>
        </row>
        <row r="11226">
          <cell r="D11226" t="str">
            <v>BC2292172-001-001</v>
          </cell>
          <cell r="E11226" t="str">
            <v>散热器支架2</v>
          </cell>
        </row>
        <row r="11227">
          <cell r="D11227" t="str">
            <v>BC5824000-002-001</v>
          </cell>
          <cell r="E11227" t="str">
            <v>耳片接头</v>
          </cell>
        </row>
        <row r="11228">
          <cell r="D11228" t="str">
            <v>BC22823Y1-001-001</v>
          </cell>
          <cell r="E11228" t="str">
            <v>支臂</v>
          </cell>
        </row>
        <row r="11229">
          <cell r="D11229" t="str">
            <v>BC2280241-060-001</v>
          </cell>
          <cell r="E11229" t="str">
            <v>带柔性接头的法兰（φ60）</v>
          </cell>
        </row>
        <row r="11230">
          <cell r="D11230" t="str">
            <v>BC221P2LB-003-001</v>
          </cell>
          <cell r="E11230" t="str">
            <v>传感器底座</v>
          </cell>
        </row>
        <row r="11231">
          <cell r="D11231" t="str">
            <v>DD-J10-55181-6431</v>
          </cell>
          <cell r="E11231" t="str">
            <v>变径三通管接头</v>
          </cell>
        </row>
        <row r="11232">
          <cell r="D11232" t="str">
            <v>DD-J10B-55141-101</v>
          </cell>
          <cell r="E11232" t="str">
            <v>90°弯管接头</v>
          </cell>
        </row>
        <row r="11233">
          <cell r="D11233" t="str">
            <v>DD-J10-55165-331</v>
          </cell>
          <cell r="E11233" t="str">
            <v>三通管接头</v>
          </cell>
        </row>
        <row r="11234">
          <cell r="D11234" t="str">
            <v>DD-J10-55165-331</v>
          </cell>
          <cell r="E11234" t="str">
            <v>三通管接头</v>
          </cell>
        </row>
        <row r="11235">
          <cell r="D11235" t="str">
            <v>DD-J10B-06061-22</v>
          </cell>
          <cell r="E11235" t="str">
            <v>摇臂</v>
          </cell>
        </row>
        <row r="11236">
          <cell r="D11236" t="str">
            <v>DD-J10B-06061-22</v>
          </cell>
          <cell r="E11236" t="str">
            <v>摇臂</v>
          </cell>
        </row>
        <row r="11237">
          <cell r="D11237" t="str">
            <v>DD-J10B-06061-22</v>
          </cell>
          <cell r="E11237" t="str">
            <v>摇臂</v>
          </cell>
        </row>
        <row r="11238">
          <cell r="D11238" t="str">
            <v>DD-J10-06051-24</v>
          </cell>
          <cell r="E11238" t="str">
            <v>手柄</v>
          </cell>
        </row>
        <row r="11239">
          <cell r="D11239" t="str">
            <v>DD-J10-06051-24</v>
          </cell>
          <cell r="E11239" t="str">
            <v>手柄</v>
          </cell>
        </row>
        <row r="11240">
          <cell r="D11240" t="str">
            <v>DD-J10-06051-24</v>
          </cell>
          <cell r="E11240" t="str">
            <v>手柄</v>
          </cell>
        </row>
        <row r="11241">
          <cell r="D11241" t="str">
            <v>DD-J10B-65000-1710G2-1</v>
          </cell>
          <cell r="E11241" t="str">
            <v>连杆</v>
          </cell>
        </row>
        <row r="11242">
          <cell r="D11242" t="str">
            <v>DD-J10B-65000-1710G2-1</v>
          </cell>
          <cell r="E11242" t="str">
            <v>连杆</v>
          </cell>
        </row>
        <row r="11243">
          <cell r="D11243" t="str">
            <v>DD-J10B-65000-1720G2-1</v>
          </cell>
          <cell r="E11243" t="str">
            <v>管子</v>
          </cell>
        </row>
        <row r="11244">
          <cell r="D11244" t="str">
            <v>DD-J10B-65000-1720G2-1</v>
          </cell>
          <cell r="E11244" t="str">
            <v>管子</v>
          </cell>
        </row>
        <row r="11245">
          <cell r="D11245" t="str">
            <v>DD-J10B-02181-6-Y</v>
          </cell>
          <cell r="E11245" t="str">
            <v>盒子</v>
          </cell>
        </row>
        <row r="11246">
          <cell r="D11246" t="str">
            <v>DD-J10B-02181-6-Y</v>
          </cell>
          <cell r="E11246" t="str">
            <v>盒子</v>
          </cell>
        </row>
        <row r="11247">
          <cell r="D11247" t="str">
            <v>DD-J10B-02181-6-Z</v>
          </cell>
          <cell r="E11247" t="str">
            <v>盒子</v>
          </cell>
        </row>
        <row r="11248">
          <cell r="D11248" t="str">
            <v>J10B-26002-100G2-1G2-Z</v>
          </cell>
          <cell r="E11248" t="str">
            <v>翼尖接头</v>
          </cell>
        </row>
        <row r="11249">
          <cell r="D11249" t="str">
            <v>DD-J10B-02081-404</v>
          </cell>
          <cell r="E11249" t="str">
            <v>支座</v>
          </cell>
        </row>
        <row r="11250">
          <cell r="D11250" t="str">
            <v>DD-J10B-02081-404</v>
          </cell>
          <cell r="E11250" t="str">
            <v>支座</v>
          </cell>
        </row>
        <row r="11251">
          <cell r="D11251" t="str">
            <v>DD-J10-54101-201</v>
          </cell>
          <cell r="E11251" t="str">
            <v>支座</v>
          </cell>
        </row>
        <row r="11252">
          <cell r="D11252" t="str">
            <v>DD-J10B-86051-2</v>
          </cell>
          <cell r="E11252" t="str">
            <v>激励器转接件</v>
          </cell>
        </row>
        <row r="11253">
          <cell r="D11253" t="str">
            <v>DD-J10B-86051-2</v>
          </cell>
          <cell r="E11253" t="str">
            <v>激励器转接件</v>
          </cell>
        </row>
        <row r="11254">
          <cell r="D11254" t="str">
            <v>DD-J10B-94076-802</v>
          </cell>
          <cell r="E11254" t="str">
            <v>支架</v>
          </cell>
        </row>
        <row r="11255">
          <cell r="D11255" t="str">
            <v>DD-J10B-94076-802</v>
          </cell>
          <cell r="E11255" t="str">
            <v>支架</v>
          </cell>
        </row>
        <row r="11256">
          <cell r="D11256" t="str">
            <v>DD-J10B-94076-802</v>
          </cell>
          <cell r="E11256" t="str">
            <v>支架</v>
          </cell>
        </row>
        <row r="11257">
          <cell r="D11257" t="str">
            <v>DD-J10B-02021-3/1-Z</v>
          </cell>
          <cell r="E11257" t="str">
            <v>雷达罩锁支座</v>
          </cell>
        </row>
        <row r="11258">
          <cell r="D11258" t="str">
            <v>DD-J10B-02021-3/1-Y</v>
          </cell>
          <cell r="E11258" t="str">
            <v>雷达罩锁支座</v>
          </cell>
        </row>
        <row r="11259">
          <cell r="D11259" t="str">
            <v>DD-J10B-02021-3/1-Y</v>
          </cell>
          <cell r="E11259" t="str">
            <v>雷达罩锁支座</v>
          </cell>
        </row>
        <row r="11260">
          <cell r="D11260" t="str">
            <v>DD-J10B-02021-3/2-Z</v>
          </cell>
          <cell r="E11260" t="str">
            <v>雷达罩锁支座</v>
          </cell>
        </row>
        <row r="11261">
          <cell r="D11261" t="str">
            <v>DD-J10B-02021-3/2-Y</v>
          </cell>
          <cell r="E11261" t="str">
            <v>雷达罩锁支座</v>
          </cell>
        </row>
        <row r="11262">
          <cell r="D11262" t="str">
            <v>DD-J10B-02021-3/2-Y</v>
          </cell>
          <cell r="E11262" t="str">
            <v>雷达罩锁支座</v>
          </cell>
        </row>
        <row r="11263">
          <cell r="D11263" t="str">
            <v>DD-J10B-04011-1</v>
          </cell>
          <cell r="E11263" t="str">
            <v>7100框</v>
          </cell>
        </row>
        <row r="11264">
          <cell r="D11264" t="str">
            <v>DD-J10B-04011-1</v>
          </cell>
          <cell r="E11264" t="str">
            <v>7100框</v>
          </cell>
        </row>
        <row r="11265">
          <cell r="D11265" t="str">
            <v>DD-J10B-04011-1</v>
          </cell>
          <cell r="E11265" t="str">
            <v>7100框</v>
          </cell>
        </row>
        <row r="11266">
          <cell r="D11266" t="str">
            <v>DD-J10B-04011-1</v>
          </cell>
          <cell r="E11266" t="str">
            <v>7100框</v>
          </cell>
        </row>
        <row r="11267">
          <cell r="D11267" t="str">
            <v>DD-J10B-04061-1</v>
          </cell>
          <cell r="E11267" t="str">
            <v>10860框</v>
          </cell>
        </row>
        <row r="11268">
          <cell r="D11268" t="str">
            <v>DD-J10B-04061-1</v>
          </cell>
          <cell r="E11268" t="str">
            <v>10860框</v>
          </cell>
        </row>
        <row r="11269">
          <cell r="D11269" t="str">
            <v>531A9910-001-001 B</v>
          </cell>
          <cell r="E11269" t="str">
            <v>脚踏板支架</v>
          </cell>
        </row>
        <row r="11270">
          <cell r="D11270" t="str">
            <v>531A3430-000-035 C</v>
          </cell>
          <cell r="E11270" t="str">
            <v>角材</v>
          </cell>
        </row>
        <row r="11271">
          <cell r="D11271" t="str">
            <v>528A1200-000-011 D</v>
          </cell>
          <cell r="E11271" t="str">
            <v>T型角材</v>
          </cell>
        </row>
        <row r="11272">
          <cell r="D11272" t="str">
            <v>521A1100-001-001 B1</v>
          </cell>
          <cell r="E11272" t="str">
            <v>接头</v>
          </cell>
        </row>
        <row r="11273">
          <cell r="D11273" t="str">
            <v>521A1100-002-001 C</v>
          </cell>
          <cell r="E11273" t="str">
            <v>接头</v>
          </cell>
        </row>
        <row r="11274">
          <cell r="D11274" t="str">
            <v>521A1100-002-001 C</v>
          </cell>
          <cell r="E11274" t="str">
            <v>接头</v>
          </cell>
        </row>
        <row r="11275">
          <cell r="D11275" t="str">
            <v>5214A000017G010</v>
          </cell>
          <cell r="E11275" t="str">
            <v>轴</v>
          </cell>
        </row>
        <row r="11276">
          <cell r="D11276" t="str">
            <v>5214A000017G010</v>
          </cell>
          <cell r="E11276" t="str">
            <v>轴</v>
          </cell>
        </row>
        <row r="11277">
          <cell r="D11277" t="str">
            <v>DD-J10-55181-6</v>
          </cell>
          <cell r="E11277" t="str">
            <v>变径三通管接头</v>
          </cell>
        </row>
        <row r="11278">
          <cell r="D11278" t="str">
            <v>DD-J10-55181-13</v>
          </cell>
          <cell r="E11278" t="str">
            <v>变径三通管接头</v>
          </cell>
        </row>
        <row r="11279">
          <cell r="D11279" t="str">
            <v>DD-J10-55181-13</v>
          </cell>
          <cell r="E11279" t="str">
            <v>变径三通管接头</v>
          </cell>
        </row>
        <row r="11280">
          <cell r="D11280" t="str">
            <v>DD-J10-55181-16</v>
          </cell>
          <cell r="E11280" t="str">
            <v>变径三通管接头</v>
          </cell>
        </row>
        <row r="11281">
          <cell r="D11281" t="str">
            <v>DD-J10-55181-14</v>
          </cell>
          <cell r="E11281" t="str">
            <v>变径四通管接头</v>
          </cell>
        </row>
        <row r="11282">
          <cell r="D11282" t="str">
            <v>DD-J10-55181-14</v>
          </cell>
          <cell r="E11282" t="str">
            <v>变径四通管接头</v>
          </cell>
        </row>
        <row r="11283">
          <cell r="D11283" t="str">
            <v>DD-J10-55121-2</v>
          </cell>
          <cell r="E11283" t="str">
            <v>三通管接头</v>
          </cell>
        </row>
        <row r="11284">
          <cell r="D11284" t="str">
            <v>DD-J10-55121-2</v>
          </cell>
          <cell r="E11284" t="str">
            <v>三通管接头</v>
          </cell>
        </row>
        <row r="11285">
          <cell r="D11285" t="str">
            <v>DD-J10B-94091-25G2</v>
          </cell>
          <cell r="E11285" t="str">
            <v>20-20-16三通接头</v>
          </cell>
        </row>
        <row r="11286">
          <cell r="D11286" t="str">
            <v>DD-J10B-94091-25G2</v>
          </cell>
          <cell r="E11286" t="str">
            <v>20-20-16三通接头</v>
          </cell>
        </row>
        <row r="11287">
          <cell r="D11287" t="str">
            <v>DD-J10B-94091-26G2</v>
          </cell>
          <cell r="E11287" t="str">
            <v>20-20-16-4四通接头</v>
          </cell>
        </row>
        <row r="11288">
          <cell r="D11288" t="str">
            <v>DD-J10B-94091-26G2</v>
          </cell>
          <cell r="E11288" t="str">
            <v>20-20-16-4四通接头</v>
          </cell>
        </row>
        <row r="11289">
          <cell r="D11289" t="str">
            <v>DD-J10B-94091-86G2</v>
          </cell>
          <cell r="E11289" t="str">
            <v>三通接头</v>
          </cell>
        </row>
        <row r="11290">
          <cell r="D11290" t="str">
            <v>DD-J10B-94091-86G2</v>
          </cell>
          <cell r="E11290" t="str">
            <v>三通接头</v>
          </cell>
        </row>
        <row r="11291">
          <cell r="D11291" t="str">
            <v>DD-J10B-94091-4081G2</v>
          </cell>
          <cell r="E11291" t="str">
            <v>三通</v>
          </cell>
        </row>
        <row r="11292">
          <cell r="D11292" t="str">
            <v>DD-J10B-94091-4081G2</v>
          </cell>
          <cell r="E11292" t="str">
            <v>三通</v>
          </cell>
        </row>
        <row r="11293">
          <cell r="D11293" t="str">
            <v>BC2297401-001-001</v>
          </cell>
          <cell r="E11293" t="str">
            <v>三通接头</v>
          </cell>
        </row>
        <row r="11294">
          <cell r="D11294" t="str">
            <v>5214A000018G010</v>
          </cell>
          <cell r="E11294" t="str">
            <v>销</v>
          </cell>
        </row>
        <row r="11295">
          <cell r="D11295" t="str">
            <v>CB2280211-004-001</v>
          </cell>
          <cell r="E11295" t="str">
            <v>穿框管接头</v>
          </cell>
        </row>
        <row r="11296">
          <cell r="D11296" t="str">
            <v>CB5811400-002-001</v>
          </cell>
          <cell r="E11296" t="str">
            <v>支架</v>
          </cell>
        </row>
        <row r="11297">
          <cell r="D11297" t="str">
            <v>CB5811400-002-001</v>
          </cell>
          <cell r="E11297" t="str">
            <v>支架</v>
          </cell>
        </row>
        <row r="11298">
          <cell r="D11298" t="str">
            <v>CB5811400-002-001</v>
          </cell>
          <cell r="E11298" t="str">
            <v>支架</v>
          </cell>
        </row>
        <row r="11299">
          <cell r="D11299" t="str">
            <v>CB5811400-002-001</v>
          </cell>
          <cell r="E11299" t="str">
            <v>支架</v>
          </cell>
        </row>
        <row r="11300">
          <cell r="D11300" t="str">
            <v>CB5811400-002-001</v>
          </cell>
          <cell r="E11300" t="str">
            <v>支架</v>
          </cell>
        </row>
        <row r="11301">
          <cell r="D11301" t="str">
            <v>CB5811400-002-001</v>
          </cell>
          <cell r="E11301" t="str">
            <v>支架</v>
          </cell>
        </row>
        <row r="11302">
          <cell r="D11302" t="str">
            <v>CB5811400-002-001</v>
          </cell>
          <cell r="E11302" t="str">
            <v>支架</v>
          </cell>
        </row>
        <row r="11303">
          <cell r="D11303" t="str">
            <v>CB5811400-002-001</v>
          </cell>
          <cell r="E11303" t="str">
            <v>支架</v>
          </cell>
        </row>
        <row r="11304">
          <cell r="D11304" t="str">
            <v>CB5811400-002-001</v>
          </cell>
          <cell r="E11304" t="str">
            <v>支架</v>
          </cell>
        </row>
        <row r="11305">
          <cell r="D11305" t="str">
            <v>CB5811400-002-001</v>
          </cell>
          <cell r="E11305" t="str">
            <v>支架</v>
          </cell>
        </row>
        <row r="11306">
          <cell r="D11306" t="str">
            <v>CB5811400-002-001</v>
          </cell>
          <cell r="E11306" t="str">
            <v>支架</v>
          </cell>
        </row>
        <row r="11307">
          <cell r="D11307" t="str">
            <v>CB5811400-002-001</v>
          </cell>
          <cell r="E11307" t="str">
            <v>支架</v>
          </cell>
        </row>
        <row r="11308">
          <cell r="D11308" t="str">
            <v>CB5811400-002-001</v>
          </cell>
          <cell r="E11308" t="str">
            <v>支架</v>
          </cell>
        </row>
        <row r="11309">
          <cell r="D11309" t="str">
            <v>CB5811400-002-001</v>
          </cell>
          <cell r="E11309" t="str">
            <v>支架</v>
          </cell>
        </row>
        <row r="11310">
          <cell r="D11310" t="str">
            <v>CB5811400-002-001</v>
          </cell>
          <cell r="E11310" t="str">
            <v>支架</v>
          </cell>
        </row>
        <row r="11311">
          <cell r="D11311" t="str">
            <v>CB5811400-002-001</v>
          </cell>
          <cell r="E11311" t="str">
            <v>支架</v>
          </cell>
        </row>
        <row r="11312">
          <cell r="D11312" t="str">
            <v>CB5811400-002-001</v>
          </cell>
          <cell r="E11312" t="str">
            <v>支架</v>
          </cell>
        </row>
        <row r="11313">
          <cell r="D11313" t="str">
            <v>CB5811400-002-001</v>
          </cell>
          <cell r="E11313" t="str">
            <v>支架</v>
          </cell>
        </row>
        <row r="11314">
          <cell r="D11314" t="str">
            <v>CB5811400-002-001</v>
          </cell>
          <cell r="E11314" t="str">
            <v>支架</v>
          </cell>
        </row>
        <row r="11315">
          <cell r="D11315" t="str">
            <v>CB5811400-002-001</v>
          </cell>
          <cell r="E11315" t="str">
            <v>支架</v>
          </cell>
        </row>
        <row r="11316">
          <cell r="D11316" t="str">
            <v>CB5742000-008-006</v>
          </cell>
          <cell r="E11316" t="str">
            <v>角片</v>
          </cell>
        </row>
        <row r="11317">
          <cell r="D11317" t="str">
            <v>CB5742000-008-006</v>
          </cell>
          <cell r="E11317" t="str">
            <v>角片</v>
          </cell>
        </row>
        <row r="11318">
          <cell r="D11318" t="str">
            <v>CB5742000-008-006</v>
          </cell>
          <cell r="E11318" t="str">
            <v>角片</v>
          </cell>
        </row>
        <row r="11319">
          <cell r="D11319" t="str">
            <v>CB5742000-008-006</v>
          </cell>
          <cell r="E11319" t="str">
            <v>角片</v>
          </cell>
        </row>
        <row r="11320">
          <cell r="D11320" t="str">
            <v>CB5742000-008-006</v>
          </cell>
          <cell r="E11320" t="str">
            <v>角片</v>
          </cell>
        </row>
        <row r="11321">
          <cell r="D11321" t="str">
            <v>CB5742000-008-006</v>
          </cell>
          <cell r="E11321" t="str">
            <v>角片</v>
          </cell>
        </row>
        <row r="11322">
          <cell r="D11322" t="str">
            <v>CB5742000-008-006</v>
          </cell>
          <cell r="E11322" t="str">
            <v>角片</v>
          </cell>
        </row>
        <row r="11323">
          <cell r="D11323" t="str">
            <v>CB5742000-008-006</v>
          </cell>
          <cell r="E11323" t="str">
            <v>角片</v>
          </cell>
        </row>
        <row r="11324">
          <cell r="D11324" t="str">
            <v>CB5742000-008-006</v>
          </cell>
          <cell r="E11324" t="str">
            <v>角片</v>
          </cell>
        </row>
        <row r="11325">
          <cell r="D11325" t="str">
            <v>CB5742000-008-006</v>
          </cell>
          <cell r="E11325" t="str">
            <v>角片</v>
          </cell>
        </row>
        <row r="11326">
          <cell r="D11326" t="str">
            <v>CB5742000-008-006</v>
          </cell>
          <cell r="E11326" t="str">
            <v>角片</v>
          </cell>
        </row>
        <row r="11327">
          <cell r="D11327" t="str">
            <v>CB5742000-008-006</v>
          </cell>
          <cell r="E11327" t="str">
            <v>角片</v>
          </cell>
        </row>
        <row r="11328">
          <cell r="D11328" t="str">
            <v>CB5742000-008-006</v>
          </cell>
          <cell r="E11328" t="str">
            <v>角片</v>
          </cell>
        </row>
        <row r="11329">
          <cell r="D11329" t="str">
            <v>CB5742000-008-006</v>
          </cell>
          <cell r="E11329" t="str">
            <v>角片</v>
          </cell>
        </row>
        <row r="11330">
          <cell r="D11330" t="str">
            <v>CB5742000-008-006</v>
          </cell>
          <cell r="E11330" t="str">
            <v>角片</v>
          </cell>
        </row>
        <row r="11331">
          <cell r="D11331" t="str">
            <v>CB5742000-008-006</v>
          </cell>
          <cell r="E11331" t="str">
            <v>角片</v>
          </cell>
        </row>
        <row r="11332">
          <cell r="D11332" t="str">
            <v>CB5742000-008-006</v>
          </cell>
          <cell r="E11332" t="str">
            <v>角片</v>
          </cell>
        </row>
        <row r="11333">
          <cell r="D11333" t="str">
            <v>CB5742000-008-006</v>
          </cell>
          <cell r="E11333" t="str">
            <v>角片</v>
          </cell>
        </row>
        <row r="11334">
          <cell r="D11334" t="str">
            <v>CB5742000-008-006</v>
          </cell>
          <cell r="E11334" t="str">
            <v>角片</v>
          </cell>
        </row>
        <row r="11335">
          <cell r="D11335" t="str">
            <v>CB5742000-008-006</v>
          </cell>
          <cell r="E11335" t="str">
            <v>角片</v>
          </cell>
        </row>
        <row r="11336">
          <cell r="D11336" t="str">
            <v>CB5742000-008-006</v>
          </cell>
          <cell r="E11336" t="str">
            <v>角片</v>
          </cell>
        </row>
        <row r="11337">
          <cell r="D11337" t="str">
            <v>CB5742000-008-006</v>
          </cell>
          <cell r="E11337" t="str">
            <v>角片</v>
          </cell>
        </row>
        <row r="11338">
          <cell r="D11338" t="str">
            <v>CB5752000-023L003</v>
          </cell>
          <cell r="E11338" t="str">
            <v>角片</v>
          </cell>
        </row>
        <row r="11339">
          <cell r="D11339" t="str">
            <v>CB5752000-023L003</v>
          </cell>
          <cell r="E11339" t="str">
            <v>角片</v>
          </cell>
        </row>
        <row r="11340">
          <cell r="D11340" t="str">
            <v>CB5752000-023L003</v>
          </cell>
          <cell r="E11340" t="str">
            <v>角片</v>
          </cell>
        </row>
        <row r="11341">
          <cell r="D11341" t="str">
            <v>CB5752000-023L003</v>
          </cell>
          <cell r="E11341" t="str">
            <v>角片</v>
          </cell>
        </row>
        <row r="11342">
          <cell r="D11342" t="str">
            <v>CB5752000-023L003</v>
          </cell>
          <cell r="E11342" t="str">
            <v>角片</v>
          </cell>
        </row>
        <row r="11343">
          <cell r="D11343" t="str">
            <v>CB5752000-023L003</v>
          </cell>
          <cell r="E11343" t="str">
            <v>角片</v>
          </cell>
        </row>
        <row r="11344">
          <cell r="D11344" t="str">
            <v>CB5752000-023L003</v>
          </cell>
          <cell r="E11344" t="str">
            <v>角片</v>
          </cell>
        </row>
        <row r="11345">
          <cell r="D11345" t="str">
            <v>CB5752000-023L003</v>
          </cell>
          <cell r="E11345" t="str">
            <v>角片</v>
          </cell>
        </row>
        <row r="11346">
          <cell r="D11346" t="str">
            <v>CB5752000-023L003</v>
          </cell>
          <cell r="E11346" t="str">
            <v>角片</v>
          </cell>
        </row>
        <row r="11347">
          <cell r="D11347" t="str">
            <v>CB5752000-023L003</v>
          </cell>
          <cell r="E11347" t="str">
            <v>角片</v>
          </cell>
        </row>
        <row r="11348">
          <cell r="D11348" t="str">
            <v>CB5752000-023L003</v>
          </cell>
          <cell r="E11348" t="str">
            <v>角片</v>
          </cell>
        </row>
        <row r="11349">
          <cell r="D11349" t="str">
            <v>CB5752000-023L003</v>
          </cell>
          <cell r="E11349" t="str">
            <v>角片</v>
          </cell>
        </row>
        <row r="11350">
          <cell r="D11350" t="str">
            <v>CB5752000-023L003</v>
          </cell>
          <cell r="E11350" t="str">
            <v>角片</v>
          </cell>
        </row>
        <row r="11351">
          <cell r="D11351" t="str">
            <v>CB5752000-023L003</v>
          </cell>
          <cell r="E11351" t="str">
            <v>角片</v>
          </cell>
        </row>
        <row r="11352">
          <cell r="D11352" t="str">
            <v>CB5752000-023L003</v>
          </cell>
          <cell r="E11352" t="str">
            <v>角片</v>
          </cell>
        </row>
        <row r="11353">
          <cell r="D11353" t="str">
            <v>CB5752000-023L003</v>
          </cell>
          <cell r="E11353" t="str">
            <v>角片</v>
          </cell>
        </row>
        <row r="11354">
          <cell r="D11354" t="str">
            <v>CB5752000-023L003</v>
          </cell>
          <cell r="E11354" t="str">
            <v>角片</v>
          </cell>
        </row>
        <row r="11355">
          <cell r="D11355" t="str">
            <v>CB5752000-023L003</v>
          </cell>
          <cell r="E11355" t="str">
            <v>角片</v>
          </cell>
        </row>
        <row r="11356">
          <cell r="D11356" t="str">
            <v>CB5752000-023R002</v>
          </cell>
          <cell r="E11356" t="str">
            <v>角片</v>
          </cell>
        </row>
        <row r="11357">
          <cell r="D11357" t="str">
            <v>CB5752000-023R002</v>
          </cell>
          <cell r="E11357" t="str">
            <v>角片</v>
          </cell>
        </row>
        <row r="11358">
          <cell r="D11358" t="str">
            <v>CB5752000-023R002</v>
          </cell>
          <cell r="E11358" t="str">
            <v>角片</v>
          </cell>
        </row>
        <row r="11359">
          <cell r="D11359" t="str">
            <v>CB5752000-023R002</v>
          </cell>
          <cell r="E11359" t="str">
            <v>角片</v>
          </cell>
        </row>
        <row r="11360">
          <cell r="D11360" t="str">
            <v>CB5752000-023R002</v>
          </cell>
          <cell r="E11360" t="str">
            <v>角片</v>
          </cell>
        </row>
        <row r="11361">
          <cell r="D11361" t="str">
            <v>CB5752000-023R002</v>
          </cell>
          <cell r="E11361" t="str">
            <v>角片</v>
          </cell>
        </row>
        <row r="11362">
          <cell r="D11362" t="str">
            <v>CB5752000-023R002</v>
          </cell>
          <cell r="E11362" t="str">
            <v>角片</v>
          </cell>
        </row>
        <row r="11363">
          <cell r="D11363" t="str">
            <v>CB5752000-023R002</v>
          </cell>
          <cell r="E11363" t="str">
            <v>角片</v>
          </cell>
        </row>
        <row r="11364">
          <cell r="D11364" t="str">
            <v>CB5752000-023R002</v>
          </cell>
          <cell r="E11364" t="str">
            <v>角片</v>
          </cell>
        </row>
        <row r="11365">
          <cell r="D11365" t="str">
            <v>CB5752000-023R002</v>
          </cell>
          <cell r="E11365" t="str">
            <v>角片</v>
          </cell>
        </row>
        <row r="11366">
          <cell r="D11366" t="str">
            <v>CB5752000-023R002</v>
          </cell>
          <cell r="E11366" t="str">
            <v>角片</v>
          </cell>
        </row>
        <row r="11367">
          <cell r="D11367" t="str">
            <v>CB5752000-023R002</v>
          </cell>
          <cell r="E11367" t="str">
            <v>角片</v>
          </cell>
        </row>
        <row r="11368">
          <cell r="D11368" t="str">
            <v>CB5752000-023R002</v>
          </cell>
          <cell r="E11368" t="str">
            <v>角片</v>
          </cell>
        </row>
        <row r="11369">
          <cell r="D11369" t="str">
            <v>CB5752000-023R002</v>
          </cell>
          <cell r="E11369" t="str">
            <v>角片</v>
          </cell>
        </row>
        <row r="11370">
          <cell r="D11370" t="str">
            <v>CB5752000-023R002</v>
          </cell>
          <cell r="E11370" t="str">
            <v>角片</v>
          </cell>
        </row>
        <row r="11371">
          <cell r="D11371" t="str">
            <v>CB5752000-023R002</v>
          </cell>
          <cell r="E11371" t="str">
            <v>角片</v>
          </cell>
        </row>
        <row r="11372">
          <cell r="D11372" t="str">
            <v>CB5752000-023R002</v>
          </cell>
          <cell r="E11372" t="str">
            <v>角片</v>
          </cell>
        </row>
        <row r="11373">
          <cell r="D11373" t="str">
            <v>CB5752000-023R002</v>
          </cell>
          <cell r="E11373" t="str">
            <v>角片</v>
          </cell>
        </row>
        <row r="11374">
          <cell r="D11374" t="str">
            <v>CB5752000-022L003</v>
          </cell>
          <cell r="E11374" t="str">
            <v>角片</v>
          </cell>
        </row>
        <row r="11375">
          <cell r="D11375" t="str">
            <v>CB5752000-022L003</v>
          </cell>
          <cell r="E11375" t="str">
            <v>角片</v>
          </cell>
        </row>
        <row r="11376">
          <cell r="D11376" t="str">
            <v>CB5752000-022L003</v>
          </cell>
          <cell r="E11376" t="str">
            <v>角片</v>
          </cell>
        </row>
        <row r="11377">
          <cell r="D11377" t="str">
            <v>CB5752000-022L003</v>
          </cell>
          <cell r="E11377" t="str">
            <v>角片</v>
          </cell>
        </row>
        <row r="11378">
          <cell r="D11378" t="str">
            <v>CB5752000-022L003</v>
          </cell>
          <cell r="E11378" t="str">
            <v>角片</v>
          </cell>
        </row>
        <row r="11379">
          <cell r="D11379" t="str">
            <v>CB5752000-022L003</v>
          </cell>
          <cell r="E11379" t="str">
            <v>角片</v>
          </cell>
        </row>
        <row r="11380">
          <cell r="D11380" t="str">
            <v>CB5752000-022L003</v>
          </cell>
          <cell r="E11380" t="str">
            <v>角片</v>
          </cell>
        </row>
        <row r="11381">
          <cell r="D11381" t="str">
            <v>CB5752000-022L003</v>
          </cell>
          <cell r="E11381" t="str">
            <v>角片</v>
          </cell>
        </row>
        <row r="11382">
          <cell r="D11382" t="str">
            <v>CB5752000-022L003</v>
          </cell>
          <cell r="E11382" t="str">
            <v>角片</v>
          </cell>
        </row>
        <row r="11383">
          <cell r="D11383" t="str">
            <v>CB5752000-022L003</v>
          </cell>
          <cell r="E11383" t="str">
            <v>角片</v>
          </cell>
        </row>
        <row r="11384">
          <cell r="D11384" t="str">
            <v>CB5752000-022L003</v>
          </cell>
          <cell r="E11384" t="str">
            <v>角片</v>
          </cell>
        </row>
        <row r="11385">
          <cell r="D11385" t="str">
            <v>CB5752000-022L003</v>
          </cell>
          <cell r="E11385" t="str">
            <v>角片</v>
          </cell>
        </row>
        <row r="11386">
          <cell r="D11386" t="str">
            <v>CB5752000-022L003</v>
          </cell>
          <cell r="E11386" t="str">
            <v>角片</v>
          </cell>
        </row>
        <row r="11387">
          <cell r="D11387" t="str">
            <v>CB5752000-022L003</v>
          </cell>
          <cell r="E11387" t="str">
            <v>角片</v>
          </cell>
        </row>
        <row r="11388">
          <cell r="D11388" t="str">
            <v>CB5752000-022L003</v>
          </cell>
          <cell r="E11388" t="str">
            <v>角片</v>
          </cell>
        </row>
        <row r="11389">
          <cell r="D11389" t="str">
            <v>CB5752000-022L003</v>
          </cell>
          <cell r="E11389" t="str">
            <v>角片</v>
          </cell>
        </row>
        <row r="11390">
          <cell r="D11390" t="str">
            <v>CB5752000-022L003</v>
          </cell>
          <cell r="E11390" t="str">
            <v>角片</v>
          </cell>
        </row>
        <row r="11391">
          <cell r="D11391" t="str">
            <v>CB5752000-022L003</v>
          </cell>
          <cell r="E11391" t="str">
            <v>角片</v>
          </cell>
        </row>
        <row r="11392">
          <cell r="D11392" t="str">
            <v>CB5752000-022R002</v>
          </cell>
          <cell r="E11392" t="str">
            <v>角片</v>
          </cell>
        </row>
        <row r="11393">
          <cell r="D11393" t="str">
            <v>CB5752000-022R002</v>
          </cell>
          <cell r="E11393" t="str">
            <v>角片</v>
          </cell>
        </row>
        <row r="11394">
          <cell r="D11394" t="str">
            <v>CB5752000-022R002</v>
          </cell>
          <cell r="E11394" t="str">
            <v>角片</v>
          </cell>
        </row>
        <row r="11395">
          <cell r="D11395" t="str">
            <v>CB5752000-022R002</v>
          </cell>
          <cell r="E11395" t="str">
            <v>角片</v>
          </cell>
        </row>
        <row r="11396">
          <cell r="D11396" t="str">
            <v>CB5752000-022R002</v>
          </cell>
          <cell r="E11396" t="str">
            <v>角片</v>
          </cell>
        </row>
        <row r="11397">
          <cell r="D11397" t="str">
            <v>CB5752000-022R002</v>
          </cell>
          <cell r="E11397" t="str">
            <v>角片</v>
          </cell>
        </row>
        <row r="11398">
          <cell r="D11398" t="str">
            <v>CB5752000-022R002</v>
          </cell>
          <cell r="E11398" t="str">
            <v>角片</v>
          </cell>
        </row>
        <row r="11399">
          <cell r="D11399" t="str">
            <v>CB5752000-022R002</v>
          </cell>
          <cell r="E11399" t="str">
            <v>角片</v>
          </cell>
        </row>
        <row r="11400">
          <cell r="D11400" t="str">
            <v>CB5752000-022R002</v>
          </cell>
          <cell r="E11400" t="str">
            <v>角片</v>
          </cell>
        </row>
        <row r="11401">
          <cell r="D11401" t="str">
            <v>CB5752000-022R002</v>
          </cell>
          <cell r="E11401" t="str">
            <v>角片</v>
          </cell>
        </row>
        <row r="11402">
          <cell r="D11402" t="str">
            <v>CB5752000-022R002</v>
          </cell>
          <cell r="E11402" t="str">
            <v>角片</v>
          </cell>
        </row>
        <row r="11403">
          <cell r="D11403" t="str">
            <v>CB5752000-022R002</v>
          </cell>
          <cell r="E11403" t="str">
            <v>角片</v>
          </cell>
        </row>
        <row r="11404">
          <cell r="D11404" t="str">
            <v>CB5752000-022R002</v>
          </cell>
          <cell r="E11404" t="str">
            <v>角片</v>
          </cell>
        </row>
        <row r="11405">
          <cell r="D11405" t="str">
            <v>CB5752000-022R002</v>
          </cell>
          <cell r="E11405" t="str">
            <v>角片</v>
          </cell>
        </row>
        <row r="11406">
          <cell r="D11406" t="str">
            <v>CB5752000-022R002</v>
          </cell>
          <cell r="E11406" t="str">
            <v>角片</v>
          </cell>
        </row>
        <row r="11407">
          <cell r="D11407" t="str">
            <v>CB5752000-022R002</v>
          </cell>
          <cell r="E11407" t="str">
            <v>角片</v>
          </cell>
        </row>
        <row r="11408">
          <cell r="D11408" t="str">
            <v>CB5752000-022R002</v>
          </cell>
          <cell r="E11408" t="str">
            <v>角片</v>
          </cell>
        </row>
        <row r="11409">
          <cell r="D11409" t="str">
            <v>CB5752000-022R002</v>
          </cell>
          <cell r="E11409" t="str">
            <v>角片</v>
          </cell>
        </row>
        <row r="11410">
          <cell r="D11410" t="str">
            <v>XXX-3130000-01</v>
          </cell>
          <cell r="E11410" t="str">
            <v>底座</v>
          </cell>
        </row>
        <row r="11411">
          <cell r="D11411" t="str">
            <v>XXX-3130000-02</v>
          </cell>
          <cell r="E11411" t="str">
            <v>外罩</v>
          </cell>
        </row>
        <row r="11412">
          <cell r="D11412" t="str">
            <v>XXX-3130000-03</v>
          </cell>
          <cell r="E11412" t="str">
            <v>压线卡</v>
          </cell>
        </row>
        <row r="11413">
          <cell r="D11413" t="str">
            <v>XXX-3130000-04</v>
          </cell>
          <cell r="E11413" t="str">
            <v>导电片框</v>
          </cell>
        </row>
        <row r="11414">
          <cell r="D11414" t="str">
            <v>XXX-3130000-06</v>
          </cell>
          <cell r="E11414" t="str">
            <v>M10密封螺塞</v>
          </cell>
        </row>
        <row r="11415">
          <cell r="D11415" t="str">
            <v>XXX-3130000-08</v>
          </cell>
          <cell r="E11415" t="str">
            <v>垫圈</v>
          </cell>
        </row>
        <row r="11416">
          <cell r="D11416" t="str">
            <v>XXX-3130000-09</v>
          </cell>
          <cell r="E11416" t="str">
            <v>M8密封螺塞</v>
          </cell>
        </row>
        <row r="11417">
          <cell r="D11417" t="str">
            <v>XXX-3130000-10</v>
          </cell>
          <cell r="E11417" t="str">
            <v>插座架</v>
          </cell>
        </row>
        <row r="11418">
          <cell r="D11418" t="str">
            <v>XXX-3131000-01</v>
          </cell>
          <cell r="E11418" t="str">
            <v>衬片</v>
          </cell>
        </row>
        <row r="11419">
          <cell r="D11419" t="str">
            <v>XXX-3133000-01</v>
          </cell>
          <cell r="E11419" t="str">
            <v>右电刷转轴</v>
          </cell>
        </row>
        <row r="11420">
          <cell r="D11420" t="str">
            <v>XXX-3134000-01</v>
          </cell>
          <cell r="E11420" t="str">
            <v>左电刷转轴</v>
          </cell>
        </row>
        <row r="11421">
          <cell r="D11421" t="str">
            <v>XXX-3135000-02</v>
          </cell>
          <cell r="E11421" t="str">
            <v>电刷架</v>
          </cell>
        </row>
        <row r="11422">
          <cell r="D11422" t="str">
            <v>XXX-3135000-03</v>
          </cell>
          <cell r="E11422" t="str">
            <v>绝缘板</v>
          </cell>
        </row>
        <row r="11423">
          <cell r="D11423" t="str">
            <v>DD-J10B-04321-30-1-Y</v>
          </cell>
          <cell r="E11423" t="str">
            <v>侧下梁（右件）</v>
          </cell>
        </row>
        <row r="11424">
          <cell r="D11424" t="str">
            <v>DD-J10B-04321-30-1-Y</v>
          </cell>
          <cell r="E11424" t="str">
            <v>侧下梁（右件）</v>
          </cell>
        </row>
        <row r="11425">
          <cell r="D11425" t="str">
            <v>DD-J10B-04321-30-1-Y</v>
          </cell>
          <cell r="E11425" t="str">
            <v>侧下梁（右件）</v>
          </cell>
        </row>
        <row r="11426">
          <cell r="D11426" t="str">
            <v>DD-J10B-04321-30-1-Y</v>
          </cell>
          <cell r="E11426" t="str">
            <v>侧下梁（右件）</v>
          </cell>
        </row>
        <row r="11427">
          <cell r="D11427" t="str">
            <v>DD-J10B-04321-30-1-Y</v>
          </cell>
          <cell r="E11427" t="str">
            <v>侧下梁（右件）</v>
          </cell>
        </row>
        <row r="11428">
          <cell r="D11428" t="str">
            <v>DD-J10B-04321-30-1-Y</v>
          </cell>
          <cell r="E11428" t="str">
            <v>侧下梁（右件）</v>
          </cell>
        </row>
        <row r="11429">
          <cell r="D11429" t="str">
            <v>DD-J10B-04321-30-1-Y</v>
          </cell>
          <cell r="E11429" t="str">
            <v>侧下梁（右件）</v>
          </cell>
        </row>
        <row r="11430">
          <cell r="D11430" t="str">
            <v>DD-J10B-04321-30-1-Y</v>
          </cell>
          <cell r="E11430" t="str">
            <v>侧下梁（右件）</v>
          </cell>
        </row>
        <row r="11431">
          <cell r="D11431" t="str">
            <v>DD-J10B-04321-30-1-Z</v>
          </cell>
          <cell r="E11431" t="str">
            <v>侧下梁（左件）</v>
          </cell>
        </row>
        <row r="11432">
          <cell r="D11432" t="str">
            <v>DD-J10B-04321-30-1-Z</v>
          </cell>
          <cell r="E11432" t="str">
            <v>侧下梁（左件）</v>
          </cell>
        </row>
        <row r="11433">
          <cell r="D11433" t="str">
            <v>DD-J10B-04321-30-1-Z</v>
          </cell>
          <cell r="E11433" t="str">
            <v>侧下梁（左件）</v>
          </cell>
        </row>
        <row r="11434">
          <cell r="D11434" t="str">
            <v>DD-J10B-04321-30-1-Z</v>
          </cell>
          <cell r="E11434" t="str">
            <v>侧下梁（左件）</v>
          </cell>
        </row>
        <row r="11435">
          <cell r="D11435" t="str">
            <v>DD-J10B-04321-30-1-Z</v>
          </cell>
          <cell r="E11435" t="str">
            <v>侧下梁（左件）</v>
          </cell>
        </row>
        <row r="11436">
          <cell r="D11436" t="str">
            <v>DD-J10B-04321-30-1-Z</v>
          </cell>
          <cell r="E11436" t="str">
            <v>侧下梁（左件）</v>
          </cell>
        </row>
        <row r="11437">
          <cell r="D11437" t="str">
            <v>DD-J10B-04321-30-1-Z</v>
          </cell>
          <cell r="E11437" t="str">
            <v>侧下梁（左件）</v>
          </cell>
        </row>
        <row r="11438">
          <cell r="D11438" t="str">
            <v>DD-J10B-04321-30-1-Z</v>
          </cell>
          <cell r="E11438" t="str">
            <v>侧下梁（左件）</v>
          </cell>
        </row>
        <row r="11439">
          <cell r="D11439" t="str">
            <v>CB5315193-005-003</v>
          </cell>
          <cell r="E11439" t="str">
            <v>口盖</v>
          </cell>
        </row>
        <row r="11440">
          <cell r="D11440" t="str">
            <v>CB5315193-005-003</v>
          </cell>
          <cell r="E11440" t="str">
            <v>口盖</v>
          </cell>
        </row>
        <row r="11441">
          <cell r="D11441" t="str">
            <v>CB22924K0-001-005</v>
          </cell>
          <cell r="E11441" t="str">
            <v>角片</v>
          </cell>
        </row>
        <row r="11442">
          <cell r="D11442" t="str">
            <v>CB22924J0-002-005</v>
          </cell>
          <cell r="E11442" t="str">
            <v>角片</v>
          </cell>
        </row>
        <row r="11443">
          <cell r="D11443" t="str">
            <v>CB22924K0-001-005</v>
          </cell>
          <cell r="E11443" t="str">
            <v>角片</v>
          </cell>
        </row>
        <row r="11444">
          <cell r="D11444" t="str">
            <v>DD-J10B-54601-10-1</v>
          </cell>
          <cell r="E11444" t="str">
            <v>过渡板</v>
          </cell>
        </row>
        <row r="11445">
          <cell r="D11445" t="str">
            <v>DD-J10B-54601-10-1</v>
          </cell>
          <cell r="E11445" t="str">
            <v>过渡板</v>
          </cell>
        </row>
        <row r="11446">
          <cell r="D11446" t="str">
            <v>DD-J10B-94061-401</v>
          </cell>
          <cell r="E11446" t="str">
            <v>支架</v>
          </cell>
        </row>
        <row r="11447">
          <cell r="D11447" t="str">
            <v>DD-J10B-94061-401</v>
          </cell>
          <cell r="E11447" t="str">
            <v>支架</v>
          </cell>
        </row>
        <row r="11448">
          <cell r="D11448" t="str">
            <v>DD-J10-55015-5300-1</v>
          </cell>
          <cell r="E11448" t="str">
            <v>耳环螺栓</v>
          </cell>
        </row>
        <row r="11449">
          <cell r="D11449" t="str">
            <v>DD-J10-55015-5300-1</v>
          </cell>
          <cell r="E11449" t="str">
            <v>耳环螺栓</v>
          </cell>
        </row>
        <row r="11450">
          <cell r="D11450" t="str">
            <v>DD-J10-55015-5300-1</v>
          </cell>
          <cell r="E11450" t="str">
            <v>耳环螺栓</v>
          </cell>
        </row>
        <row r="11451">
          <cell r="D11451" t="str">
            <v>DD-J10-55015-5300-1</v>
          </cell>
          <cell r="E11451" t="str">
            <v>耳环螺栓</v>
          </cell>
        </row>
        <row r="11452">
          <cell r="D11452" t="str">
            <v>DD-J10-55015-5300-1</v>
          </cell>
          <cell r="E11452" t="str">
            <v>耳环螺栓</v>
          </cell>
        </row>
        <row r="11453">
          <cell r="D11453" t="str">
            <v>DD-J10-55015-5300-1</v>
          </cell>
          <cell r="E11453" t="str">
            <v>耳环螺栓</v>
          </cell>
        </row>
        <row r="11454">
          <cell r="D11454" t="str">
            <v>DD-J10-55015-5300-1</v>
          </cell>
          <cell r="E11454" t="str">
            <v>耳环螺栓</v>
          </cell>
        </row>
        <row r="11455">
          <cell r="D11455" t="str">
            <v>DD-J10-55015-5300-1</v>
          </cell>
          <cell r="E11455" t="str">
            <v>耳环螺栓</v>
          </cell>
        </row>
        <row r="11456">
          <cell r="D11456" t="str">
            <v>DD-J10-55015-5300-1</v>
          </cell>
          <cell r="E11456" t="str">
            <v>耳环螺栓</v>
          </cell>
        </row>
        <row r="11457">
          <cell r="D11457" t="str">
            <v>DD-J10-55015-5300-1</v>
          </cell>
          <cell r="E11457" t="str">
            <v>耳环螺栓</v>
          </cell>
        </row>
        <row r="11458">
          <cell r="D11458" t="str">
            <v>DD-J10-55015-6201</v>
          </cell>
          <cell r="E11458" t="str">
            <v>接管嘴</v>
          </cell>
        </row>
        <row r="11459">
          <cell r="D11459" t="str">
            <v>DD-J10-55015-6201</v>
          </cell>
          <cell r="E11459" t="str">
            <v>接管嘴</v>
          </cell>
        </row>
        <row r="11460">
          <cell r="D11460" t="str">
            <v>BC2297401-001-001</v>
          </cell>
          <cell r="E11460" t="str">
            <v>三通接头</v>
          </cell>
        </row>
        <row r="11461">
          <cell r="D11461" t="str">
            <v>CB5512300-015R001</v>
          </cell>
          <cell r="E11461" t="str">
            <v>角盒</v>
          </cell>
        </row>
        <row r="11462">
          <cell r="D11462" t="str">
            <v>CB5512300-015R001</v>
          </cell>
          <cell r="E11462" t="str">
            <v>角盒</v>
          </cell>
        </row>
        <row r="11463">
          <cell r="D11463" t="str">
            <v>CB5512300-015L001</v>
          </cell>
          <cell r="E11463" t="str">
            <v>角盒</v>
          </cell>
        </row>
        <row r="11464">
          <cell r="D11464" t="str">
            <v>CB5512300-015L001</v>
          </cell>
          <cell r="E11464" t="str">
            <v>角盒</v>
          </cell>
        </row>
        <row r="11465">
          <cell r="D11465" t="str">
            <v>CB5512300-015L001</v>
          </cell>
          <cell r="E11465" t="str">
            <v>角盒</v>
          </cell>
        </row>
        <row r="11466">
          <cell r="D11466" t="str">
            <v>CB5512300-014L001</v>
          </cell>
          <cell r="E11466" t="str">
            <v>角盒</v>
          </cell>
        </row>
        <row r="11467">
          <cell r="D11467" t="str">
            <v>CB5512300-014L001</v>
          </cell>
          <cell r="E11467" t="str">
            <v>角盒</v>
          </cell>
        </row>
        <row r="11468">
          <cell r="D11468" t="str">
            <v>CB5512300-014R001</v>
          </cell>
          <cell r="E11468" t="str">
            <v>角盒</v>
          </cell>
        </row>
        <row r="11469">
          <cell r="D11469" t="str">
            <v>CB5512300-014R001</v>
          </cell>
          <cell r="E11469" t="str">
            <v>角盒</v>
          </cell>
        </row>
        <row r="11470">
          <cell r="D11470" t="str">
            <v>CB5512300-014R001</v>
          </cell>
          <cell r="E11470" t="str">
            <v>角盒</v>
          </cell>
        </row>
        <row r="11471">
          <cell r="D11471" t="str">
            <v>CB5512300-014R001</v>
          </cell>
          <cell r="E11471" t="str">
            <v>角盒</v>
          </cell>
        </row>
        <row r="11472">
          <cell r="D11472" t="str">
            <v>CB5512300-014R001</v>
          </cell>
          <cell r="E11472" t="str">
            <v>角盒</v>
          </cell>
        </row>
        <row r="11473">
          <cell r="D11473" t="str">
            <v>EA5740020-004L101</v>
          </cell>
          <cell r="E11473" t="str">
            <v>右侧梁</v>
          </cell>
        </row>
        <row r="11474">
          <cell r="D11474" t="str">
            <v>EA5740020-004L101</v>
          </cell>
          <cell r="E11474" t="str">
            <v>右侧梁</v>
          </cell>
        </row>
        <row r="11475">
          <cell r="D11475" t="str">
            <v>EA5740020-004L101</v>
          </cell>
          <cell r="E11475" t="str">
            <v>右侧梁</v>
          </cell>
        </row>
        <row r="11476">
          <cell r="D11476" t="str">
            <v>EA5740020-004R101</v>
          </cell>
          <cell r="E11476" t="str">
            <v>右侧梁</v>
          </cell>
        </row>
        <row r="11477">
          <cell r="D11477" t="str">
            <v>EA5740020-004R101</v>
          </cell>
          <cell r="E11477" t="str">
            <v>右侧梁</v>
          </cell>
        </row>
        <row r="11478">
          <cell r="D11478" t="str">
            <v>EA5740020-004R101</v>
          </cell>
          <cell r="E11478" t="str">
            <v>右侧梁</v>
          </cell>
        </row>
        <row r="11479">
          <cell r="D11479" t="str">
            <v>DD-J10B-02161-0G2-201G2</v>
          </cell>
          <cell r="E11479" t="str">
            <v>密封垫</v>
          </cell>
        </row>
        <row r="11480">
          <cell r="D11480" t="str">
            <v>DD-J10B-02161-0G2-201G2</v>
          </cell>
          <cell r="E11480" t="str">
            <v>密封垫</v>
          </cell>
        </row>
        <row r="11481">
          <cell r="D11481" t="str">
            <v>DD-J10B-02161-0G2-201G2</v>
          </cell>
          <cell r="E11481" t="str">
            <v>密封垫</v>
          </cell>
        </row>
        <row r="11482">
          <cell r="D11482" t="str">
            <v>DD-J10B-02161-0G2-202G2-Y</v>
          </cell>
          <cell r="E11482" t="str">
            <v>密封垫</v>
          </cell>
        </row>
        <row r="11483">
          <cell r="D11483" t="str">
            <v>DD-J10B-02161-0G2-202G2-Y</v>
          </cell>
          <cell r="E11483" t="str">
            <v>密封垫</v>
          </cell>
        </row>
        <row r="11484">
          <cell r="D11484" t="str">
            <v>DD-J10B-02161-0G2-202G2-Y</v>
          </cell>
          <cell r="E11484" t="str">
            <v>密封垫</v>
          </cell>
        </row>
        <row r="11485">
          <cell r="D11485" t="str">
            <v>DD-J10B-02161-0G2-202G2-Z</v>
          </cell>
          <cell r="E11485" t="str">
            <v>密封垫</v>
          </cell>
        </row>
        <row r="11486">
          <cell r="D11486" t="str">
            <v>DD-J10B-02161-0G2-202G2-Z</v>
          </cell>
          <cell r="E11486" t="str">
            <v>密封垫</v>
          </cell>
        </row>
        <row r="11487">
          <cell r="D11487" t="str">
            <v>DD-J10B-02161-0G2-202G2-Z</v>
          </cell>
          <cell r="E11487" t="str">
            <v>密封垫</v>
          </cell>
        </row>
        <row r="11488">
          <cell r="D11488" t="str">
            <v>DD-J10B-02161-0G2-203G2</v>
          </cell>
          <cell r="E11488" t="str">
            <v>密封垫</v>
          </cell>
        </row>
        <row r="11489">
          <cell r="D11489" t="str">
            <v>DD-J10B-02161-0G2-203G2</v>
          </cell>
          <cell r="E11489" t="str">
            <v>密封垫</v>
          </cell>
        </row>
        <row r="11490">
          <cell r="D11490" t="str">
            <v>DD-J10B-02161-0G2-203G2</v>
          </cell>
          <cell r="E11490" t="str">
            <v>密封垫</v>
          </cell>
        </row>
        <row r="11491">
          <cell r="D11491" t="str">
            <v>DD-J10B-02121-1AG2-Z</v>
          </cell>
          <cell r="E11491" t="str">
            <v>BL280侧壁（左件）</v>
          </cell>
        </row>
        <row r="11492">
          <cell r="D11492" t="str">
            <v>DD-J10B-02121-1AG2-Z</v>
          </cell>
          <cell r="E11492" t="str">
            <v>BL280侧壁（左件）</v>
          </cell>
        </row>
        <row r="11493">
          <cell r="D11493" t="str">
            <v>DD-J10B-02121-1AG2-Z</v>
          </cell>
          <cell r="E11493" t="str">
            <v>BL280侧壁（左件）</v>
          </cell>
        </row>
        <row r="11494">
          <cell r="D11494" t="str">
            <v>DD-J10B-02121-1AG2-Z</v>
          </cell>
          <cell r="E11494" t="str">
            <v>BL280侧壁（左件）</v>
          </cell>
        </row>
        <row r="11495">
          <cell r="D11495" t="str">
            <v>DD-J10B-02121-1AG2-Z</v>
          </cell>
          <cell r="E11495" t="str">
            <v>BL280侧壁（左件）</v>
          </cell>
        </row>
        <row r="11496">
          <cell r="D11496" t="str">
            <v>DD-J10B-02121-1AG2-Z</v>
          </cell>
          <cell r="E11496" t="str">
            <v>BL280侧壁（左件）</v>
          </cell>
        </row>
        <row r="11497">
          <cell r="D11497" t="str">
            <v>DD-J10B-02121-1AG2-Z</v>
          </cell>
          <cell r="E11497" t="str">
            <v>BL280侧壁（左件）</v>
          </cell>
        </row>
        <row r="11498">
          <cell r="D11498" t="str">
            <v>DD-J10B-02121-1AG2-Z</v>
          </cell>
          <cell r="E11498" t="str">
            <v>BL280侧壁（左件）</v>
          </cell>
        </row>
        <row r="11499">
          <cell r="D11499" t="str">
            <v>DD-J10B-02121-1AG2-Y</v>
          </cell>
          <cell r="E11499" t="str">
            <v>BL280侧壁（右件）</v>
          </cell>
        </row>
        <row r="11500">
          <cell r="D11500" t="str">
            <v>DD-J10B-02121-1AG2-Y</v>
          </cell>
          <cell r="E11500" t="str">
            <v>BL280侧壁（右件）</v>
          </cell>
        </row>
        <row r="11501">
          <cell r="D11501" t="str">
            <v>DD-J10B-02121-1AG2-Y</v>
          </cell>
          <cell r="E11501" t="str">
            <v>BL280侧壁（右件）</v>
          </cell>
        </row>
        <row r="11502">
          <cell r="D11502" t="str">
            <v>DD-J10B-02121-1AG2-Y</v>
          </cell>
          <cell r="E11502" t="str">
            <v>BL280侧壁（右件）</v>
          </cell>
        </row>
        <row r="11503">
          <cell r="D11503" t="str">
            <v>DD-J10B-02121-1AG2-Y</v>
          </cell>
          <cell r="E11503" t="str">
            <v>BL280侧壁（右件）</v>
          </cell>
        </row>
        <row r="11504">
          <cell r="D11504" t="str">
            <v>DD-J10B-02121-1AG2-Y</v>
          </cell>
          <cell r="E11504" t="str">
            <v>BL280侧壁（右件）</v>
          </cell>
        </row>
        <row r="11505">
          <cell r="D11505" t="str">
            <v>DD-J10B-02121-1AG2-Y</v>
          </cell>
          <cell r="E11505" t="str">
            <v>BL280侧壁（右件）</v>
          </cell>
        </row>
        <row r="11506">
          <cell r="D11506" t="str">
            <v>DD-J10B-02121-1AG2-Y</v>
          </cell>
          <cell r="E11506" t="str">
            <v>BL280侧壁（右件）</v>
          </cell>
        </row>
        <row r="11507">
          <cell r="D11507" t="str">
            <v>DD-J10B-02121-1AG2-Y</v>
          </cell>
          <cell r="E11507" t="str">
            <v>BL280侧壁（右件）</v>
          </cell>
        </row>
        <row r="11508">
          <cell r="D11508" t="str">
            <v>DD-J10B-02121-1AG2-Y</v>
          </cell>
          <cell r="E11508" t="str">
            <v>BL280侧壁（右件）</v>
          </cell>
        </row>
        <row r="11509">
          <cell r="D11509" t="str">
            <v>DD-J10B-02121-1AG2-Y</v>
          </cell>
          <cell r="E11509" t="str">
            <v>BL280侧壁（右件）</v>
          </cell>
        </row>
        <row r="11510">
          <cell r="D11510" t="str">
            <v>531A1300-003-001 B</v>
          </cell>
          <cell r="E11510" t="str">
            <v>支撑件</v>
          </cell>
        </row>
        <row r="11511">
          <cell r="D11511" t="str">
            <v>529A1000-004-001 C</v>
          </cell>
          <cell r="E11511" t="str">
            <v>外手柄</v>
          </cell>
        </row>
        <row r="11512">
          <cell r="D11512" t="str">
            <v>CB5324413-004-002</v>
          </cell>
          <cell r="E11512" t="str">
            <v>油箱底板（中）</v>
          </cell>
        </row>
        <row r="11513">
          <cell r="D11513" t="str">
            <v>CB5324413-004-002</v>
          </cell>
          <cell r="E11513" t="str">
            <v>油箱底板（中）</v>
          </cell>
        </row>
        <row r="11514">
          <cell r="D11514" t="str">
            <v>CB5322400-016-061</v>
          </cell>
          <cell r="E11514" t="str">
            <v>11140框左下半框</v>
          </cell>
        </row>
        <row r="11515">
          <cell r="D11515" t="str">
            <v>CB5322400-016-061</v>
          </cell>
          <cell r="E11515" t="str">
            <v>11140框左下半框</v>
          </cell>
        </row>
        <row r="11516">
          <cell r="D11516" t="str">
            <v>CB5322400-016-061</v>
          </cell>
          <cell r="E11516" t="str">
            <v>11140框左下半框</v>
          </cell>
        </row>
        <row r="11517">
          <cell r="D11517" t="str">
            <v>CB5322400-016-061</v>
          </cell>
          <cell r="E11517" t="str">
            <v>11140框左下半框</v>
          </cell>
        </row>
        <row r="11518">
          <cell r="D11518" t="str">
            <v>CB5322400-016-061</v>
          </cell>
          <cell r="E11518" t="str">
            <v>11140框左下半框</v>
          </cell>
        </row>
        <row r="11519">
          <cell r="D11519" t="str">
            <v>CB5322400-016-061</v>
          </cell>
          <cell r="E11519" t="str">
            <v>11140框左下半框</v>
          </cell>
        </row>
        <row r="11520">
          <cell r="D11520" t="str">
            <v>CB5322400-016-061</v>
          </cell>
          <cell r="E11520" t="str">
            <v>11140框左下半框</v>
          </cell>
        </row>
        <row r="11521">
          <cell r="D11521" t="str">
            <v>CB5322400-017-061</v>
          </cell>
          <cell r="E11521" t="str">
            <v>11140框右下半框</v>
          </cell>
        </row>
        <row r="11522">
          <cell r="D11522" t="str">
            <v>CB5322400-017-061</v>
          </cell>
          <cell r="E11522" t="str">
            <v>11140框右下半框</v>
          </cell>
        </row>
        <row r="11523">
          <cell r="D11523" t="str">
            <v>CB5322400-017-061</v>
          </cell>
          <cell r="E11523" t="str">
            <v>11140框右下半框</v>
          </cell>
        </row>
        <row r="11524">
          <cell r="D11524" t="str">
            <v>CB5322400-017-061</v>
          </cell>
          <cell r="E11524" t="str">
            <v>11140框右下半框</v>
          </cell>
        </row>
        <row r="11525">
          <cell r="D11525" t="str">
            <v>CB5322400-017-061</v>
          </cell>
          <cell r="E11525" t="str">
            <v>11140框右下半框</v>
          </cell>
        </row>
        <row r="11526">
          <cell r="D11526" t="str">
            <v>CB5322400-017-061</v>
          </cell>
          <cell r="E11526" t="str">
            <v>11140框右下半框</v>
          </cell>
        </row>
        <row r="11527">
          <cell r="D11527" t="str">
            <v>CB5322400-017-061</v>
          </cell>
          <cell r="E11527" t="str">
            <v>11140框右下半框</v>
          </cell>
        </row>
        <row r="11528">
          <cell r="D11528" t="str">
            <v>CB22857YB-008-001</v>
          </cell>
          <cell r="E11528" t="str">
            <v>轴</v>
          </cell>
        </row>
        <row r="11529">
          <cell r="D11529" t="str">
            <v>CB2280231-004-001</v>
          </cell>
          <cell r="E11529" t="str">
            <v>轴</v>
          </cell>
        </row>
        <row r="11530">
          <cell r="D11530" t="str">
            <v>CB2292112-003-001</v>
          </cell>
          <cell r="E11530" t="str">
            <v>小轴</v>
          </cell>
        </row>
        <row r="11531">
          <cell r="D11531" t="str">
            <v>CB2280231-004-001</v>
          </cell>
          <cell r="E11531" t="str">
            <v>轴</v>
          </cell>
        </row>
        <row r="11532">
          <cell r="D11532" t="str">
            <v>DD-J10-55055-2611</v>
          </cell>
          <cell r="E11532" t="str">
            <v>接管嘴</v>
          </cell>
        </row>
        <row r="11533">
          <cell r="D11533" t="str">
            <v>DD-J10-55051-6110-3</v>
          </cell>
          <cell r="E11533" t="str">
            <v>衬套</v>
          </cell>
        </row>
        <row r="11534">
          <cell r="D11534" t="str">
            <v>DD-J10B-68074-1710-3</v>
          </cell>
          <cell r="E11534" t="str">
            <v>钢管</v>
          </cell>
        </row>
        <row r="11535">
          <cell r="D11535" t="str">
            <v>DD-J10B-68074-1720-3</v>
          </cell>
          <cell r="E11535" t="str">
            <v>钢管</v>
          </cell>
        </row>
        <row r="11536">
          <cell r="D11536" t="str">
            <v>DD-J10-94021-730-3</v>
          </cell>
          <cell r="E11536" t="str">
            <v>环</v>
          </cell>
        </row>
        <row r="11537">
          <cell r="D11537" t="str">
            <v>DD-J10-94021-730-3</v>
          </cell>
          <cell r="E11537" t="str">
            <v>环</v>
          </cell>
        </row>
        <row r="11538">
          <cell r="D11538" t="str">
            <v>DD-J10-54101-2822</v>
          </cell>
          <cell r="E11538" t="str">
            <v>钢套</v>
          </cell>
        </row>
        <row r="11539">
          <cell r="D11539" t="str">
            <v>DD-J10-55015-4100-1</v>
          </cell>
          <cell r="E11539" t="str">
            <v>垫圈</v>
          </cell>
        </row>
        <row r="11540">
          <cell r="D11540" t="str">
            <v>DD-J10B-94061-1021</v>
          </cell>
          <cell r="E11540" t="str">
            <v>导管接头</v>
          </cell>
        </row>
        <row r="11541">
          <cell r="D11541" t="str">
            <v>DD-J10B-94076-2031/3</v>
          </cell>
          <cell r="E11541" t="str">
            <v>接管嘴</v>
          </cell>
        </row>
        <row r="11542">
          <cell r="D11542" t="str">
            <v>DD-J10B-94076-2031/3</v>
          </cell>
          <cell r="E11542" t="str">
            <v>接管嘴</v>
          </cell>
        </row>
        <row r="11543">
          <cell r="D11543" t="str">
            <v>DD-J10B-94076-2031/3</v>
          </cell>
          <cell r="E11543" t="str">
            <v>接管嘴</v>
          </cell>
        </row>
        <row r="11544">
          <cell r="D11544" t="str">
            <v>DD-J10B-94076-2051</v>
          </cell>
          <cell r="E11544" t="str">
            <v>外套螺母</v>
          </cell>
        </row>
        <row r="11545">
          <cell r="D11545" t="str">
            <v>DD-J10B-94076-2051</v>
          </cell>
          <cell r="E11545" t="str">
            <v>外套螺母</v>
          </cell>
        </row>
        <row r="11546">
          <cell r="D11546" t="str">
            <v>DD-J10B-94061-1021</v>
          </cell>
          <cell r="E11546" t="str">
            <v>导管接头</v>
          </cell>
        </row>
        <row r="11547">
          <cell r="D11547" t="str">
            <v>DD-J10B-94061-1061/3</v>
          </cell>
          <cell r="E11547" t="str">
            <v>法兰盘</v>
          </cell>
        </row>
        <row r="11548">
          <cell r="D11548" t="str">
            <v>DD-J10B-94076-1312</v>
          </cell>
          <cell r="E11548" t="str">
            <v>衬盘</v>
          </cell>
        </row>
        <row r="11549">
          <cell r="D11549" t="str">
            <v>DD-J10B-94076-1311</v>
          </cell>
          <cell r="E11549" t="str">
            <v>衬盘</v>
          </cell>
        </row>
        <row r="11550">
          <cell r="D11550" t="str">
            <v>DD-J10B-94076-1311</v>
          </cell>
          <cell r="E11550" t="str">
            <v>衬盘</v>
          </cell>
        </row>
        <row r="11551">
          <cell r="D11551" t="str">
            <v>DD-J10B-94076-1312</v>
          </cell>
          <cell r="E11551" t="str">
            <v>衬盘</v>
          </cell>
        </row>
        <row r="11552">
          <cell r="D11552" t="str">
            <v>DD-J10B-94076-2031/2</v>
          </cell>
          <cell r="E11552" t="str">
            <v>接管嘴</v>
          </cell>
        </row>
        <row r="11553">
          <cell r="D11553" t="str">
            <v>DD-J10-86011-3210-1</v>
          </cell>
          <cell r="E11553" t="str">
            <v>左转接管</v>
          </cell>
        </row>
        <row r="11554">
          <cell r="D11554" t="str">
            <v>DD-J10-64031-1221</v>
          </cell>
          <cell r="E11554" t="str">
            <v>耳片</v>
          </cell>
        </row>
        <row r="11555">
          <cell r="D11555" t="str">
            <v>DD-J10-55055-2620-3</v>
          </cell>
          <cell r="E11555" t="str">
            <v>衬套</v>
          </cell>
        </row>
        <row r="11556">
          <cell r="D11556" t="str">
            <v>DD-J10-62021-40-1</v>
          </cell>
          <cell r="E11556" t="str">
            <v>短管</v>
          </cell>
        </row>
        <row r="11557">
          <cell r="D11557" t="str">
            <v>DD-J10-55181-710-1</v>
          </cell>
          <cell r="E11557" t="str">
            <v>衬套</v>
          </cell>
        </row>
        <row r="11558">
          <cell r="D11558" t="str">
            <v>DD-J10-55165-1510-2</v>
          </cell>
          <cell r="E11558" t="str">
            <v>衬套</v>
          </cell>
        </row>
        <row r="11559">
          <cell r="D11559" t="str">
            <v>DD-J10-61101-1310-1</v>
          </cell>
          <cell r="E11559" t="str">
            <v>导管</v>
          </cell>
        </row>
        <row r="11560">
          <cell r="D11560" t="str">
            <v>DD-J10B-94086-1100-1</v>
          </cell>
          <cell r="E11560" t="str">
            <v>管子</v>
          </cell>
        </row>
        <row r="11561">
          <cell r="D11561" t="str">
            <v>DD-J10-54111-1200-1</v>
          </cell>
          <cell r="E11561" t="str">
            <v>衬套</v>
          </cell>
        </row>
        <row r="11562">
          <cell r="D11562" t="str">
            <v>DD-J10-55051-6110-3</v>
          </cell>
          <cell r="E11562" t="str">
            <v>衬套</v>
          </cell>
        </row>
        <row r="11563">
          <cell r="D11563" t="str">
            <v>DD-J10-55023-632</v>
          </cell>
          <cell r="E11563" t="str">
            <v>小衬套</v>
          </cell>
        </row>
        <row r="11564">
          <cell r="D11564" t="str">
            <v>DD-J10-86021-4010-1</v>
          </cell>
          <cell r="E11564" t="str">
            <v>套筒</v>
          </cell>
        </row>
        <row r="11565">
          <cell r="D11565" t="str">
            <v>DD-J10-55055-2620-3</v>
          </cell>
          <cell r="E11565" t="str">
            <v>衬套</v>
          </cell>
        </row>
        <row r="11566">
          <cell r="D11566" t="str">
            <v>DD-J10B-94061-510-2</v>
          </cell>
          <cell r="E11566" t="str">
            <v>支撑管</v>
          </cell>
        </row>
        <row r="11567">
          <cell r="D11567" t="str">
            <v>DD-J10B-41163-30-1</v>
          </cell>
          <cell r="E11567" t="str">
            <v>管子</v>
          </cell>
        </row>
        <row r="11568">
          <cell r="D11568" t="str">
            <v>DD-J10-55014-2010-1</v>
          </cell>
          <cell r="E11568" t="str">
            <v>管子</v>
          </cell>
        </row>
        <row r="11569">
          <cell r="D11569" t="str">
            <v>DD-J10-55014-1400-2</v>
          </cell>
          <cell r="E11569" t="str">
            <v>堵片</v>
          </cell>
        </row>
        <row r="11570">
          <cell r="D11570" t="str">
            <v>DD-J10-61001-722</v>
          </cell>
          <cell r="E11570" t="str">
            <v>螺栓</v>
          </cell>
        </row>
        <row r="11571">
          <cell r="D11571" t="str">
            <v>DD-J10B-42074-140-1</v>
          </cell>
          <cell r="E11571" t="str">
            <v>拉杆</v>
          </cell>
        </row>
        <row r="11572">
          <cell r="D11572" t="str">
            <v>DD-J10B-42074-140-1</v>
          </cell>
          <cell r="E11572" t="str">
            <v>拉杆</v>
          </cell>
        </row>
        <row r="11573">
          <cell r="D11573" t="str">
            <v>DD-J10-55025-703</v>
          </cell>
          <cell r="E11573" t="str">
            <v>衬套</v>
          </cell>
        </row>
        <row r="11574">
          <cell r="D11574" t="str">
            <v>DD-J10-86011-3100-3</v>
          </cell>
          <cell r="E11574" t="str">
            <v>凸台</v>
          </cell>
        </row>
        <row r="11575">
          <cell r="D11575" t="str">
            <v>DD-J10B-64016-600G2-1G2</v>
          </cell>
          <cell r="E11575" t="str">
            <v>短管</v>
          </cell>
        </row>
        <row r="11576">
          <cell r="D11576" t="str">
            <v>DD-J10B-68095-1720-3</v>
          </cell>
          <cell r="E11576" t="str">
            <v>钢管</v>
          </cell>
        </row>
        <row r="11577">
          <cell r="D11577" t="str">
            <v>DD-J10-55165-1460-3</v>
          </cell>
          <cell r="E11577" t="str">
            <v>衬套</v>
          </cell>
        </row>
        <row r="11578">
          <cell r="D11578" t="str">
            <v>DD-J10-96031-130-1</v>
          </cell>
          <cell r="E11578" t="str">
            <v>管子</v>
          </cell>
        </row>
        <row r="11579">
          <cell r="D11579" t="str">
            <v>DD-J10B-68095-1710-3-Y</v>
          </cell>
          <cell r="E11579" t="str">
            <v>钢管</v>
          </cell>
        </row>
        <row r="11580">
          <cell r="D11580" t="str">
            <v>DD-J10B-68095-1710-3-Z</v>
          </cell>
          <cell r="E11580" t="str">
            <v>钢管</v>
          </cell>
        </row>
        <row r="11581">
          <cell r="D11581" t="str">
            <v>DD-J10-94011-570-3</v>
          </cell>
          <cell r="E11581" t="str">
            <v>管子</v>
          </cell>
        </row>
        <row r="11582">
          <cell r="D11582" t="str">
            <v>DD-J10B-68095-1200-3</v>
          </cell>
          <cell r="E11582" t="str">
            <v>衬套</v>
          </cell>
        </row>
        <row r="11583">
          <cell r="D11583" t="str">
            <v>DD-J10-42074-160-1</v>
          </cell>
          <cell r="E11583" t="str">
            <v>拉杆</v>
          </cell>
        </row>
        <row r="11584">
          <cell r="D11584" t="str">
            <v>DD-J10B-42074-130-1</v>
          </cell>
          <cell r="E11584" t="str">
            <v>拉杆</v>
          </cell>
        </row>
        <row r="11585">
          <cell r="D11585" t="str">
            <v>DD-J10-55165-1430-2</v>
          </cell>
          <cell r="E11585" t="str">
            <v>衬套</v>
          </cell>
        </row>
        <row r="11586">
          <cell r="D11586" t="str">
            <v>DD-J10-55025-704</v>
          </cell>
          <cell r="E11586" t="str">
            <v>套筒</v>
          </cell>
        </row>
        <row r="11587">
          <cell r="D11587" t="str">
            <v>CB5315190-002R001</v>
          </cell>
          <cell r="E11587" t="str">
            <v>WL-600地板梁</v>
          </cell>
        </row>
        <row r="11588">
          <cell r="D11588" t="str">
            <v>DD-J10-21102-250-1-Z</v>
          </cell>
          <cell r="E11588" t="str">
            <v>11900梁一段（左件）</v>
          </cell>
        </row>
        <row r="11589">
          <cell r="D11589" t="str">
            <v>DD-J10-21102-250-1-Z</v>
          </cell>
          <cell r="E11589" t="str">
            <v>11900梁一段（左件）</v>
          </cell>
        </row>
        <row r="11590">
          <cell r="D11590" t="str">
            <v>DD-J10-21102-250-1-Z</v>
          </cell>
          <cell r="E11590" t="str">
            <v>11900梁一段（左件）</v>
          </cell>
        </row>
        <row r="11591">
          <cell r="D11591" t="str">
            <v>DD-J10-21102-250-1-Z</v>
          </cell>
          <cell r="E11591" t="str">
            <v>11900梁一段（左件）</v>
          </cell>
        </row>
        <row r="11592">
          <cell r="D11592" t="str">
            <v>DD-J10-05216-32</v>
          </cell>
          <cell r="E11592" t="str">
            <v>转接头</v>
          </cell>
        </row>
        <row r="11593">
          <cell r="D11593" t="str">
            <v>DD-J10B-24002-60G2-1G2-Y</v>
          </cell>
          <cell r="E11593" t="str">
            <v>付翼前梁</v>
          </cell>
        </row>
        <row r="11594">
          <cell r="D11594" t="str">
            <v>DD-J10B-24002-60G2-1G2-Y</v>
          </cell>
          <cell r="E11594" t="str">
            <v>付翼前梁</v>
          </cell>
        </row>
        <row r="11595">
          <cell r="D11595" t="str">
            <v>DD-J10B-24002-60G2-1G2-Z</v>
          </cell>
          <cell r="E11595" t="str">
            <v>付翼前梁</v>
          </cell>
        </row>
        <row r="11596">
          <cell r="D11596" t="str">
            <v>DD-J10B-24002-60G2-1G2-Z</v>
          </cell>
          <cell r="E11596" t="str">
            <v>付翼前梁</v>
          </cell>
        </row>
        <row r="11597">
          <cell r="D11597" t="str">
            <v>DD-J10B-04321-30-1-Y</v>
          </cell>
          <cell r="E11597" t="str">
            <v>侧下梁（右件）</v>
          </cell>
        </row>
        <row r="11598">
          <cell r="D11598" t="str">
            <v>DD-J10B-04321-30-1-Y</v>
          </cell>
          <cell r="E11598" t="str">
            <v>侧下梁（右件）</v>
          </cell>
        </row>
        <row r="11599">
          <cell r="D11599" t="str">
            <v>DD-J10B-04321-30-1-Y</v>
          </cell>
          <cell r="E11599" t="str">
            <v>侧下梁（右件）</v>
          </cell>
        </row>
        <row r="11600">
          <cell r="D11600" t="str">
            <v>DD-J10B-04321-30-1-Y</v>
          </cell>
          <cell r="E11600" t="str">
            <v>侧下梁（右件）</v>
          </cell>
        </row>
        <row r="11601">
          <cell r="D11601" t="str">
            <v>DD-J10B-04321-30-1-Y</v>
          </cell>
          <cell r="E11601" t="str">
            <v>侧下梁（右件）</v>
          </cell>
        </row>
        <row r="11602">
          <cell r="D11602" t="str">
            <v>DD-J10B-04321-30-1-Y</v>
          </cell>
          <cell r="E11602" t="str">
            <v>侧下梁（右件）</v>
          </cell>
        </row>
        <row r="11603">
          <cell r="D11603" t="str">
            <v>DD-J10B-04321-30-1-Y</v>
          </cell>
          <cell r="E11603" t="str">
            <v>侧下梁（右件）</v>
          </cell>
        </row>
        <row r="11604">
          <cell r="D11604" t="str">
            <v>DD-J10B-04321-30-1-Y</v>
          </cell>
          <cell r="E11604" t="str">
            <v>侧下梁（右件）</v>
          </cell>
        </row>
        <row r="11605">
          <cell r="D11605" t="str">
            <v>DD-J10B-04321-30-1-Y</v>
          </cell>
          <cell r="E11605" t="str">
            <v>侧下梁（右件）</v>
          </cell>
        </row>
        <row r="11606">
          <cell r="D11606" t="str">
            <v>DD-J10B-04321-30-1-Y</v>
          </cell>
          <cell r="E11606" t="str">
            <v>侧下梁（右件）</v>
          </cell>
        </row>
        <row r="11607">
          <cell r="D11607" t="str">
            <v>CB5327120-013R015</v>
          </cell>
          <cell r="E11607" t="str">
            <v>10150侧隔框</v>
          </cell>
        </row>
        <row r="11608">
          <cell r="D11608" t="str">
            <v>CB5327120-013R015</v>
          </cell>
          <cell r="E11608" t="str">
            <v>10150侧隔框</v>
          </cell>
        </row>
        <row r="11609">
          <cell r="D11609" t="str">
            <v>CB5327120-013R015</v>
          </cell>
          <cell r="E11609" t="str">
            <v>10150侧隔框</v>
          </cell>
        </row>
        <row r="11610">
          <cell r="D11610" t="str">
            <v>CB5327120-013R015</v>
          </cell>
          <cell r="E11610" t="str">
            <v>10150侧隔框</v>
          </cell>
        </row>
        <row r="11611">
          <cell r="D11611" t="str">
            <v>CB5327120-013R015</v>
          </cell>
          <cell r="E11611" t="str">
            <v>10150侧隔框</v>
          </cell>
        </row>
        <row r="11612">
          <cell r="D11612" t="str">
            <v>CB5327120-013L015</v>
          </cell>
          <cell r="E11612" t="str">
            <v>10150侧隔框</v>
          </cell>
        </row>
        <row r="11613">
          <cell r="D11613" t="str">
            <v>CB5327120-013L015</v>
          </cell>
          <cell r="E11613" t="str">
            <v>10150侧隔框</v>
          </cell>
        </row>
        <row r="11614">
          <cell r="D11614" t="str">
            <v>CB5327120-013L015</v>
          </cell>
          <cell r="E11614" t="str">
            <v>10150侧隔框</v>
          </cell>
        </row>
        <row r="11615">
          <cell r="D11615" t="str">
            <v>CB5327120-013L015</v>
          </cell>
          <cell r="E11615" t="str">
            <v>10150侧隔框</v>
          </cell>
        </row>
        <row r="11616">
          <cell r="D11616" t="str">
            <v>CB5327120-013L015</v>
          </cell>
          <cell r="E11616" t="str">
            <v>10150侧隔框</v>
          </cell>
        </row>
        <row r="11617">
          <cell r="D11617" t="str">
            <v>CB5327120-010R015</v>
          </cell>
          <cell r="E11617" t="str">
            <v>9555侧隔框</v>
          </cell>
        </row>
        <row r="11618">
          <cell r="D11618" t="str">
            <v>CB5327120-010R015</v>
          </cell>
          <cell r="E11618" t="str">
            <v>9555侧隔框</v>
          </cell>
        </row>
        <row r="11619">
          <cell r="D11619" t="str">
            <v>CB5327120-010R015</v>
          </cell>
          <cell r="E11619" t="str">
            <v>9555侧隔框</v>
          </cell>
        </row>
        <row r="11620">
          <cell r="D11620" t="str">
            <v>CB5327120-010R015</v>
          </cell>
          <cell r="E11620" t="str">
            <v>9555侧隔框</v>
          </cell>
        </row>
        <row r="11621">
          <cell r="D11621" t="str">
            <v>CB5327120-010R015</v>
          </cell>
          <cell r="E11621" t="str">
            <v>9555侧隔框</v>
          </cell>
        </row>
        <row r="11622">
          <cell r="D11622" t="str">
            <v>CB5327120-010L015</v>
          </cell>
          <cell r="E11622" t="str">
            <v>9555侧隔框</v>
          </cell>
        </row>
        <row r="11623">
          <cell r="D11623" t="str">
            <v>CB5327120-010L015</v>
          </cell>
          <cell r="E11623" t="str">
            <v>9555侧隔框</v>
          </cell>
        </row>
        <row r="11624">
          <cell r="D11624" t="str">
            <v>CB5327120-010L015</v>
          </cell>
          <cell r="E11624" t="str">
            <v>9555侧隔框</v>
          </cell>
        </row>
        <row r="11625">
          <cell r="D11625" t="str">
            <v>CB5327120-010L015</v>
          </cell>
          <cell r="E11625" t="str">
            <v>9555侧隔框</v>
          </cell>
        </row>
        <row r="11626">
          <cell r="D11626" t="str">
            <v>CB5327120-010L015</v>
          </cell>
          <cell r="E11626" t="str">
            <v>9555侧隔框</v>
          </cell>
        </row>
        <row r="11627">
          <cell r="D11627" t="str">
            <v>531A5100-124-501 B</v>
          </cell>
          <cell r="E11627" t="str">
            <v>6#面立柱</v>
          </cell>
        </row>
        <row r="11628">
          <cell r="D11628" t="str">
            <v>531A5100-124-502 B</v>
          </cell>
          <cell r="E11628" t="str">
            <v>6#面立柱</v>
          </cell>
        </row>
        <row r="11629">
          <cell r="D11629" t="str">
            <v>CB2297012-001-001</v>
          </cell>
          <cell r="E11629" t="str">
            <v>支架</v>
          </cell>
        </row>
        <row r="11630">
          <cell r="D11630" t="str">
            <v>CB2297012-001-001</v>
          </cell>
          <cell r="E11630" t="str">
            <v>支架</v>
          </cell>
        </row>
        <row r="11631">
          <cell r="D11631" t="str">
            <v>CB229C440-002R001</v>
          </cell>
          <cell r="E11631" t="str">
            <v>支架</v>
          </cell>
        </row>
        <row r="11632">
          <cell r="D11632" t="str">
            <v>CB5324500-003L002</v>
          </cell>
          <cell r="E11632" t="str">
            <v>前端框</v>
          </cell>
        </row>
        <row r="11633">
          <cell r="D11633" t="str">
            <v>CB5314300-025-003</v>
          </cell>
          <cell r="E11633" t="str">
            <v>蒙皮加强件</v>
          </cell>
        </row>
        <row r="11634">
          <cell r="D11634" t="str">
            <v>CB5314300-025-003</v>
          </cell>
          <cell r="E11634" t="str">
            <v>蒙皮加强件</v>
          </cell>
        </row>
        <row r="11635">
          <cell r="D11635" t="str">
            <v>CB5324320-007L009</v>
          </cell>
          <cell r="E11635" t="str">
            <v>横梁</v>
          </cell>
        </row>
        <row r="11636">
          <cell r="D11636" t="str">
            <v>CB5324320-007R009</v>
          </cell>
          <cell r="E11636" t="str">
            <v>横梁</v>
          </cell>
        </row>
        <row r="11637">
          <cell r="D11637" t="str">
            <v>CB5324320-007R009</v>
          </cell>
          <cell r="E11637" t="str">
            <v>横梁</v>
          </cell>
        </row>
        <row r="11638">
          <cell r="D11638" t="str">
            <v>CB5324320-007R009</v>
          </cell>
          <cell r="E11638" t="str">
            <v>横梁</v>
          </cell>
        </row>
        <row r="11639">
          <cell r="D11639" t="str">
            <v>CB5327120-002L033</v>
          </cell>
          <cell r="E11639" t="str">
            <v>8120侧隔框</v>
          </cell>
        </row>
        <row r="11640">
          <cell r="D11640" t="str">
            <v>CB5327120-002L033</v>
          </cell>
          <cell r="E11640" t="str">
            <v>8120侧隔框</v>
          </cell>
        </row>
        <row r="11641">
          <cell r="D11641" t="str">
            <v>CB5327120-002R033</v>
          </cell>
          <cell r="E11641" t="str">
            <v>8120侧隔框</v>
          </cell>
        </row>
        <row r="11642">
          <cell r="D11642" t="str">
            <v>CB5315191-014L004</v>
          </cell>
          <cell r="E11642" t="str">
            <v>排气下侧壁</v>
          </cell>
        </row>
        <row r="11643">
          <cell r="D11643" t="str">
            <v>CB5315191-014R004</v>
          </cell>
          <cell r="E11643" t="str">
            <v>排气下侧壁</v>
          </cell>
        </row>
        <row r="11644">
          <cell r="D11644" t="str">
            <v>CB5315191-014R004</v>
          </cell>
          <cell r="E11644" t="str">
            <v>排气下侧壁</v>
          </cell>
        </row>
        <row r="11645">
          <cell r="D11645" t="str">
            <v>XXX-3151000-01</v>
          </cell>
          <cell r="E11645" t="str">
            <v>上盖</v>
          </cell>
        </row>
        <row r="11646">
          <cell r="D11646" t="str">
            <v>XXX-3151000-02</v>
          </cell>
          <cell r="E11646" t="str">
            <v>底座</v>
          </cell>
        </row>
        <row r="11647">
          <cell r="D11647" t="str">
            <v>XXX-3151000-03</v>
          </cell>
          <cell r="E11647" t="str">
            <v>下盖</v>
          </cell>
        </row>
        <row r="11648">
          <cell r="D11648" t="str">
            <v>XXX-3151000-04</v>
          </cell>
          <cell r="E11648" t="str">
            <v>支座</v>
          </cell>
        </row>
        <row r="11649">
          <cell r="D11649" t="str">
            <v>XXX-3152000-01</v>
          </cell>
          <cell r="E11649" t="str">
            <v>顶盖</v>
          </cell>
        </row>
        <row r="11650">
          <cell r="D11650" t="str">
            <v>XXX-3152000-02</v>
          </cell>
          <cell r="E11650" t="str">
            <v>腔体</v>
          </cell>
        </row>
        <row r="11651">
          <cell r="D11651" t="str">
            <v>XXX-3152000-03</v>
          </cell>
          <cell r="E11651" t="str">
            <v>压块</v>
          </cell>
        </row>
        <row r="11652">
          <cell r="D11652" t="str">
            <v>XXX-000-01</v>
          </cell>
          <cell r="E11652" t="str">
            <v>底座</v>
          </cell>
        </row>
        <row r="11653">
          <cell r="D11653" t="str">
            <v>XXX-000-02</v>
          </cell>
          <cell r="E11653" t="str">
            <v>外罩</v>
          </cell>
        </row>
        <row r="11654">
          <cell r="D11654" t="str">
            <v>XXX-000-03</v>
          </cell>
          <cell r="E11654" t="str">
            <v>压线卡</v>
          </cell>
        </row>
        <row r="11655">
          <cell r="D11655" t="str">
            <v>XXX-000-04</v>
          </cell>
          <cell r="E11655" t="str">
            <v>导电片框</v>
          </cell>
        </row>
        <row r="11656">
          <cell r="D11656" t="str">
            <v>XXX-000-06</v>
          </cell>
          <cell r="E11656" t="str">
            <v>M10密封螺塞</v>
          </cell>
        </row>
        <row r="11657">
          <cell r="D11657" t="str">
            <v>XXX-000-08</v>
          </cell>
          <cell r="E11657" t="str">
            <v>垫圈</v>
          </cell>
        </row>
        <row r="11658">
          <cell r="D11658" t="str">
            <v>XXX-000-09</v>
          </cell>
          <cell r="E11658" t="str">
            <v>M8密封螺塞</v>
          </cell>
        </row>
        <row r="11659">
          <cell r="D11659" t="str">
            <v>XXX-100-01</v>
          </cell>
          <cell r="E11659" t="str">
            <v>衬片</v>
          </cell>
        </row>
        <row r="11660">
          <cell r="D11660" t="str">
            <v>XXX-300-01</v>
          </cell>
          <cell r="E11660" t="str">
            <v>右电刷转轴</v>
          </cell>
        </row>
        <row r="11661">
          <cell r="D11661" t="str">
            <v>XXX-400-01</v>
          </cell>
          <cell r="E11661" t="str">
            <v>左电刷转轴</v>
          </cell>
        </row>
        <row r="11662">
          <cell r="D11662" t="str">
            <v>XXX-500-02</v>
          </cell>
          <cell r="E11662" t="str">
            <v>电刷架</v>
          </cell>
        </row>
        <row r="11663">
          <cell r="D11663" t="str">
            <v>XXX-500-03</v>
          </cell>
          <cell r="E11663" t="str">
            <v>绝缘板</v>
          </cell>
        </row>
        <row r="11664">
          <cell r="D11664" t="str">
            <v>XXX-000-F1</v>
          </cell>
          <cell r="E11664" t="str">
            <v>钥匙</v>
          </cell>
        </row>
        <row r="11665">
          <cell r="D11665" t="str">
            <v>XXX-000-F2</v>
          </cell>
          <cell r="E11665" t="str">
            <v>测量杆</v>
          </cell>
        </row>
        <row r="11666">
          <cell r="D11666" t="str">
            <v>XXX-000-F3</v>
          </cell>
          <cell r="E11666" t="str">
            <v>圆盘</v>
          </cell>
        </row>
        <row r="11667">
          <cell r="D11667" t="str">
            <v>521A4000-028-001</v>
          </cell>
          <cell r="E11667" t="str">
            <v>保持件</v>
          </cell>
        </row>
        <row r="11668">
          <cell r="D11668" t="str">
            <v>DD-J10-55015-6100-1</v>
          </cell>
          <cell r="E11668" t="str">
            <v>耳环螺栓</v>
          </cell>
        </row>
        <row r="11669">
          <cell r="D11669" t="str">
            <v>DD-J10-55015-6100-1</v>
          </cell>
          <cell r="E11669" t="str">
            <v>耳环螺栓</v>
          </cell>
        </row>
        <row r="11670">
          <cell r="D11670" t="str">
            <v>DD-J10-55015-6100-1</v>
          </cell>
          <cell r="E11670" t="str">
            <v>耳环螺栓</v>
          </cell>
        </row>
        <row r="11671">
          <cell r="D11671" t="str">
            <v>DD-J10-55015-6100-1</v>
          </cell>
          <cell r="E11671" t="str">
            <v>耳环螺栓</v>
          </cell>
        </row>
        <row r="11672">
          <cell r="D11672" t="str">
            <v>DD-J10-55015-6100-1</v>
          </cell>
          <cell r="E11672" t="str">
            <v>耳环螺栓</v>
          </cell>
        </row>
        <row r="11673">
          <cell r="D11673" t="str">
            <v>DD-J10-55015-6100-1</v>
          </cell>
          <cell r="E11673" t="str">
            <v>耳环螺栓</v>
          </cell>
        </row>
        <row r="11674">
          <cell r="D11674" t="str">
            <v>DD-J10-55015-6100-1</v>
          </cell>
          <cell r="E11674" t="str">
            <v>耳环螺栓</v>
          </cell>
        </row>
        <row r="11675">
          <cell r="D11675" t="str">
            <v>DD-J10-55222-3106</v>
          </cell>
          <cell r="E11675" t="str">
            <v>30°拧入式管接头</v>
          </cell>
        </row>
        <row r="11676">
          <cell r="D11676" t="str">
            <v>DD-J10-55222-3106</v>
          </cell>
          <cell r="E11676" t="str">
            <v>30°拧入式管接头</v>
          </cell>
        </row>
        <row r="11677">
          <cell r="D11677" t="str">
            <v>DD-J10-55014-1401</v>
          </cell>
          <cell r="E11677" t="str">
            <v>管接头</v>
          </cell>
        </row>
        <row r="11678">
          <cell r="D11678" t="str">
            <v>DD-J10-55014-2131</v>
          </cell>
          <cell r="E11678" t="str">
            <v>接管嘴</v>
          </cell>
        </row>
        <row r="11679">
          <cell r="D11679" t="str">
            <v>DD-J10-55014-2131</v>
          </cell>
          <cell r="E11679" t="str">
            <v>接管嘴</v>
          </cell>
        </row>
        <row r="11680">
          <cell r="D11680" t="str">
            <v>BC3331500-001-001</v>
          </cell>
          <cell r="E11680" t="str">
            <v>高度表发射天线安装支架</v>
          </cell>
        </row>
        <row r="11681">
          <cell r="D11681" t="str">
            <v>BC2299241-004-001</v>
          </cell>
          <cell r="E11681" t="str">
            <v>套筒</v>
          </cell>
        </row>
        <row r="11682">
          <cell r="D11682" t="str">
            <v>BC2299241-004-001</v>
          </cell>
          <cell r="E11682" t="str">
            <v>套筒</v>
          </cell>
        </row>
        <row r="11683">
          <cell r="D11683" t="str">
            <v>BC5822100-003-001</v>
          </cell>
          <cell r="E11683" t="str">
            <v>作动摇臂</v>
          </cell>
        </row>
        <row r="11684">
          <cell r="D11684" t="str">
            <v>BC5822100-003-001</v>
          </cell>
          <cell r="E11684" t="str">
            <v>作动摇臂</v>
          </cell>
        </row>
        <row r="11685">
          <cell r="D11685" t="str">
            <v>BC5812600-001-001</v>
          </cell>
          <cell r="E11685" t="str">
            <v>摇臂</v>
          </cell>
        </row>
        <row r="11686">
          <cell r="D11686" t="str">
            <v>BC5812600-001-001</v>
          </cell>
          <cell r="E11686" t="str">
            <v>摇臂</v>
          </cell>
        </row>
        <row r="11687">
          <cell r="D11687" t="str">
            <v>CB2284751-003-001</v>
          </cell>
          <cell r="E11687" t="str">
            <v>法兰盘</v>
          </cell>
        </row>
        <row r="11688">
          <cell r="D11688" t="str">
            <v>CB5325153-303-007</v>
          </cell>
          <cell r="E11688" t="str">
            <v>摇臂座</v>
          </cell>
        </row>
        <row r="11689">
          <cell r="D11689" t="str">
            <v>CB5814000-003-001</v>
          </cell>
          <cell r="E11689" t="str">
            <v>后支架</v>
          </cell>
        </row>
        <row r="11690">
          <cell r="D11690" t="str">
            <v>CB5814000-003-001</v>
          </cell>
          <cell r="E11690" t="str">
            <v>后支架</v>
          </cell>
        </row>
        <row r="11691">
          <cell r="D11691" t="str">
            <v>CB5325125-404R001</v>
          </cell>
          <cell r="E11691" t="str">
            <v>摇臂</v>
          </cell>
        </row>
        <row r="11692">
          <cell r="D11692" t="str">
            <v>CB5325125-404R001</v>
          </cell>
          <cell r="E11692" t="str">
            <v>摇臂</v>
          </cell>
        </row>
        <row r="11693">
          <cell r="D11693" t="str">
            <v>CB2284480-003-001</v>
          </cell>
          <cell r="E11693" t="str">
            <v>四通接头</v>
          </cell>
        </row>
        <row r="11694">
          <cell r="D11694" t="str">
            <v>CB2284480-004-001</v>
          </cell>
          <cell r="E11694" t="str">
            <v>四通接头</v>
          </cell>
        </row>
        <row r="11695">
          <cell r="D11695" t="str">
            <v>CB2284460-007-001</v>
          </cell>
          <cell r="E11695" t="str">
            <v>四通接头</v>
          </cell>
        </row>
        <row r="11696">
          <cell r="D11696" t="str">
            <v>CB5323400-008R001</v>
          </cell>
          <cell r="E11696" t="str">
            <v>外侧轴承盖</v>
          </cell>
        </row>
        <row r="11697">
          <cell r="D11697" t="str">
            <v>CB5323400-008L001</v>
          </cell>
          <cell r="E11697" t="str">
            <v>外侧轴承盖</v>
          </cell>
        </row>
        <row r="11698">
          <cell r="D11698" t="str">
            <v>CB2248143-001-006</v>
          </cell>
          <cell r="E11698" t="str">
            <v>支片3</v>
          </cell>
        </row>
        <row r="11699">
          <cell r="D11699" t="str">
            <v>CB2284460-006-001</v>
          </cell>
          <cell r="E11699" t="str">
            <v>三通接头</v>
          </cell>
        </row>
        <row r="11700">
          <cell r="D11700" t="str">
            <v>CB2287726-001-001</v>
          </cell>
          <cell r="E11700" t="str">
            <v>安装支架</v>
          </cell>
        </row>
        <row r="11701">
          <cell r="D11701" t="str">
            <v>DD-J10-21002-1-Y</v>
          </cell>
          <cell r="E11701" t="str">
            <v>4号上壁板（右件）</v>
          </cell>
        </row>
        <row r="11702">
          <cell r="D11702" t="str">
            <v>DD-J10-21002-1-Y</v>
          </cell>
          <cell r="E11702" t="str">
            <v>4号上壁板（右件）</v>
          </cell>
        </row>
        <row r="11703">
          <cell r="D11703" t="str">
            <v>DD-J10-21002-1-Y</v>
          </cell>
          <cell r="E11703" t="str">
            <v>4号上壁板（右件）</v>
          </cell>
        </row>
        <row r="11704">
          <cell r="D11704" t="str">
            <v>DD-J10-21002-1-Z</v>
          </cell>
          <cell r="E11704" t="str">
            <v>4号上壁板（左件）</v>
          </cell>
        </row>
        <row r="11705">
          <cell r="D11705" t="str">
            <v>DD-J10-21002-1-Z</v>
          </cell>
          <cell r="E11705" t="str">
            <v>4号上壁板（左件）</v>
          </cell>
        </row>
        <row r="11706">
          <cell r="D11706" t="str">
            <v>DD-J10-21002-1-Z</v>
          </cell>
          <cell r="E11706" t="str">
            <v>4号上壁板（左件）</v>
          </cell>
        </row>
        <row r="11707">
          <cell r="D11707" t="str">
            <v>531A5100-125-501 B1</v>
          </cell>
          <cell r="E11707" t="str">
            <v>通风窗下窗框</v>
          </cell>
        </row>
        <row r="11708">
          <cell r="D11708" t="str">
            <v>531A5100-125-501 B1</v>
          </cell>
          <cell r="E11708" t="str">
            <v>通风窗下窗框</v>
          </cell>
        </row>
        <row r="11709">
          <cell r="D11709" t="str">
            <v>531A5100-125-502 B1</v>
          </cell>
          <cell r="E11709" t="str">
            <v>通风窗下窗框</v>
          </cell>
        </row>
        <row r="11710">
          <cell r="D11710" t="str">
            <v>531A5100-125-502 B1</v>
          </cell>
          <cell r="E11710" t="str">
            <v>通风窗下窗框</v>
          </cell>
        </row>
        <row r="11711">
          <cell r="D11711" t="str">
            <v>DD-J10S-96011-90-2</v>
          </cell>
          <cell r="E11711" t="str">
            <v>夹子</v>
          </cell>
        </row>
        <row r="11712">
          <cell r="D11712" t="str">
            <v>DD-J10S-96011-90-2</v>
          </cell>
          <cell r="E11712" t="str">
            <v>夹子</v>
          </cell>
        </row>
        <row r="11713">
          <cell r="D11713" t="str">
            <v>DD-J10S-96011-1201</v>
          </cell>
          <cell r="E11713" t="str">
            <v>三通管</v>
          </cell>
        </row>
        <row r="11714">
          <cell r="D11714" t="str">
            <v>DD-J10-55014-3101</v>
          </cell>
          <cell r="E11714" t="str">
            <v>接管嘴</v>
          </cell>
        </row>
        <row r="11715">
          <cell r="D11715" t="str">
            <v>DD-J10-55014-3101</v>
          </cell>
          <cell r="E11715" t="str">
            <v>接管嘴</v>
          </cell>
        </row>
        <row r="11716">
          <cell r="D11716" t="str">
            <v>DD-J10-61031-44</v>
          </cell>
          <cell r="E11716" t="str">
            <v>压板</v>
          </cell>
        </row>
        <row r="11717">
          <cell r="D11717" t="str">
            <v>Y20-4761200088-001</v>
          </cell>
          <cell r="E11717" t="str">
            <v>支架悬挂横梁</v>
          </cell>
        </row>
        <row r="11718">
          <cell r="D11718" t="str">
            <v>Y20-4761200093-001</v>
          </cell>
          <cell r="E11718" t="str">
            <v>支架悬挂横梁</v>
          </cell>
        </row>
        <row r="11719">
          <cell r="D11719" t="str">
            <v>Y20-4212300016-001</v>
          </cell>
          <cell r="E11719" t="str">
            <v>支架</v>
          </cell>
        </row>
        <row r="11720">
          <cell r="D11720" t="str">
            <v>Y20-4212300016-002</v>
          </cell>
          <cell r="E11720" t="str">
            <v>支架</v>
          </cell>
        </row>
        <row r="11721">
          <cell r="D11721" t="str">
            <v>CB5713600-001L006</v>
          </cell>
          <cell r="E11721" t="str">
            <v>前梁一段</v>
          </cell>
        </row>
        <row r="11722">
          <cell r="D11722" t="str">
            <v>CB5713600-001L006</v>
          </cell>
          <cell r="E11722" t="str">
            <v>前梁一段</v>
          </cell>
        </row>
        <row r="11723">
          <cell r="D11723" t="str">
            <v>CB5713600-001L006</v>
          </cell>
          <cell r="E11723" t="str">
            <v>前梁一段</v>
          </cell>
        </row>
        <row r="11724">
          <cell r="D11724" t="str">
            <v>CB5713600-001L006</v>
          </cell>
          <cell r="E11724" t="str">
            <v>前梁一段</v>
          </cell>
        </row>
        <row r="11725">
          <cell r="D11725" t="str">
            <v>DD-J10B-04501-10-1-Z</v>
          </cell>
          <cell r="E11725" t="str">
            <v>BL900侧梁</v>
          </cell>
        </row>
        <row r="11726">
          <cell r="D11726" t="str">
            <v>DD-J10B-04501-10-1-Z</v>
          </cell>
          <cell r="E11726" t="str">
            <v>BL900侧梁</v>
          </cell>
        </row>
        <row r="11727">
          <cell r="D11727" t="str">
            <v>DD-J10B-04501-10-1-Z</v>
          </cell>
          <cell r="E11727" t="str">
            <v>BL900侧梁</v>
          </cell>
        </row>
        <row r="11728">
          <cell r="D11728" t="str">
            <v>DD-J10B-04501-10-1-Z</v>
          </cell>
          <cell r="E11728" t="str">
            <v>BL900侧梁</v>
          </cell>
        </row>
        <row r="11729">
          <cell r="D11729" t="str">
            <v>DD-J10B-04501-10-1-Z</v>
          </cell>
          <cell r="E11729" t="str">
            <v>BL900侧梁</v>
          </cell>
        </row>
        <row r="11730">
          <cell r="D11730" t="str">
            <v>DD-J10B-04501-10-1-Z</v>
          </cell>
          <cell r="E11730" t="str">
            <v>BL900侧梁</v>
          </cell>
        </row>
        <row r="11731">
          <cell r="D11731" t="str">
            <v>DD-J10B-04501-10-1-Z</v>
          </cell>
          <cell r="E11731" t="str">
            <v>BL900侧梁</v>
          </cell>
        </row>
        <row r="11732">
          <cell r="D11732" t="str">
            <v>DD-J10B-04501-10-1-Z</v>
          </cell>
          <cell r="E11732" t="str">
            <v>BL900侧梁</v>
          </cell>
        </row>
        <row r="11733">
          <cell r="D11733" t="str">
            <v>DD-J10B-04501-10-1-Z</v>
          </cell>
          <cell r="E11733" t="str">
            <v>BL900侧梁</v>
          </cell>
        </row>
        <row r="11734">
          <cell r="D11734" t="str">
            <v>DD-J10B-04501-10-1-Z</v>
          </cell>
          <cell r="E11734" t="str">
            <v>BL900侧梁</v>
          </cell>
        </row>
        <row r="11735">
          <cell r="D11735" t="str">
            <v>DD-J10B-04501-10-1-Y</v>
          </cell>
          <cell r="E11735" t="str">
            <v>BL900侧梁</v>
          </cell>
        </row>
        <row r="11736">
          <cell r="D11736" t="str">
            <v>DD-J10B-04501-10-1-Y</v>
          </cell>
          <cell r="E11736" t="str">
            <v>BL900侧梁</v>
          </cell>
        </row>
        <row r="11737">
          <cell r="D11737" t="str">
            <v>DD-J10B-04501-10-1-Y</v>
          </cell>
          <cell r="E11737" t="str">
            <v>BL900侧梁</v>
          </cell>
        </row>
        <row r="11738">
          <cell r="D11738" t="str">
            <v>DD-J10B-04501-10-1-Y</v>
          </cell>
          <cell r="E11738" t="str">
            <v>BL900侧梁</v>
          </cell>
        </row>
        <row r="11739">
          <cell r="D11739" t="str">
            <v>DD-J10B-04501-10-1-Y</v>
          </cell>
          <cell r="E11739" t="str">
            <v>BL900侧梁</v>
          </cell>
        </row>
        <row r="11740">
          <cell r="D11740" t="str">
            <v>DD-J10B-04501-10-1-Y</v>
          </cell>
          <cell r="E11740" t="str">
            <v>BL900侧梁</v>
          </cell>
        </row>
        <row r="11741">
          <cell r="D11741" t="str">
            <v>DD-J10B-04501-10-1-Y</v>
          </cell>
          <cell r="E11741" t="str">
            <v>BL900侧梁</v>
          </cell>
        </row>
        <row r="11742">
          <cell r="D11742" t="str">
            <v>DD-J10B-04501-10-1-Y</v>
          </cell>
          <cell r="E11742" t="str">
            <v>BL900侧梁</v>
          </cell>
        </row>
        <row r="11743">
          <cell r="D11743" t="str">
            <v>DD-J10B-04501-10-1-Y</v>
          </cell>
          <cell r="E11743" t="str">
            <v>BL900侧梁</v>
          </cell>
        </row>
        <row r="11744">
          <cell r="D11744" t="str">
            <v>DD-J10B-04061-1</v>
          </cell>
          <cell r="E11744" t="str">
            <v>10860框</v>
          </cell>
        </row>
        <row r="11745">
          <cell r="D11745" t="str">
            <v>DD-J10B-04061-1</v>
          </cell>
          <cell r="E11745" t="str">
            <v>10860框</v>
          </cell>
        </row>
        <row r="11746">
          <cell r="D11746" t="str">
            <v>DD-J10B-04321-30-1-Z</v>
          </cell>
          <cell r="E11746" t="str">
            <v>侧下梁（左件）</v>
          </cell>
        </row>
        <row r="11747">
          <cell r="D11747" t="str">
            <v>DD-J10B-04321-30-1-Z</v>
          </cell>
          <cell r="E11747" t="str">
            <v>侧下梁（左件）</v>
          </cell>
        </row>
        <row r="11748">
          <cell r="D11748" t="str">
            <v>DD-J10B-04321-30-1-Z</v>
          </cell>
          <cell r="E11748" t="str">
            <v>侧下梁（左件）</v>
          </cell>
        </row>
        <row r="11749">
          <cell r="D11749" t="str">
            <v>DD-J10B-04321-30-1-Z</v>
          </cell>
          <cell r="E11749" t="str">
            <v>侧下梁（左件）</v>
          </cell>
        </row>
        <row r="11750">
          <cell r="D11750" t="str">
            <v>DD-J10B-04321-30-1-Z</v>
          </cell>
          <cell r="E11750" t="str">
            <v>侧下梁（左件）</v>
          </cell>
        </row>
        <row r="11751">
          <cell r="D11751" t="str">
            <v>561A3300-059-501</v>
          </cell>
          <cell r="E11751" t="str">
            <v>轴</v>
          </cell>
        </row>
        <row r="11752">
          <cell r="D11752" t="str">
            <v>CB22844A0-001-001</v>
          </cell>
          <cell r="E11752" t="str">
            <v>三通接头</v>
          </cell>
        </row>
        <row r="11753">
          <cell r="D11753" t="str">
            <v>CB22857F8-003-002</v>
          </cell>
          <cell r="E11753" t="str">
            <v>法兰</v>
          </cell>
        </row>
        <row r="11754">
          <cell r="D11754" t="str">
            <v>CB2284480-003-001</v>
          </cell>
          <cell r="E11754" t="str">
            <v>四通接头</v>
          </cell>
        </row>
        <row r="11755">
          <cell r="D11755" t="str">
            <v>CB22857F8-003-002</v>
          </cell>
          <cell r="E11755" t="str">
            <v>法兰</v>
          </cell>
        </row>
        <row r="11756">
          <cell r="D11756" t="str">
            <v>CB2263280-001-002</v>
          </cell>
          <cell r="E11756" t="str">
            <v>喷嘴</v>
          </cell>
        </row>
        <row r="11757">
          <cell r="D11757" t="str">
            <v>CB2263280-001-002</v>
          </cell>
          <cell r="E11757" t="str">
            <v>喷嘴</v>
          </cell>
        </row>
        <row r="11758">
          <cell r="D11758" t="str">
            <v>CB2284461-001-001</v>
          </cell>
          <cell r="E11758" t="str">
            <v>法兰</v>
          </cell>
        </row>
        <row r="11759">
          <cell r="D11759" t="str">
            <v>CB2284461-001-001</v>
          </cell>
          <cell r="E11759" t="str">
            <v>法兰</v>
          </cell>
        </row>
        <row r="11760">
          <cell r="D11760" t="str">
            <v>CB221T0LCN002-002</v>
          </cell>
          <cell r="E11760" t="str">
            <v>压力传感器接嘴</v>
          </cell>
        </row>
        <row r="11761">
          <cell r="D11761" t="str">
            <v>CB221T0LCN002-002</v>
          </cell>
          <cell r="E11761" t="str">
            <v>压力传感器接嘴</v>
          </cell>
        </row>
        <row r="11762">
          <cell r="D11762" t="str">
            <v>CB2747R00-002-001</v>
          </cell>
          <cell r="E11762" t="str">
            <v>三通管接头</v>
          </cell>
        </row>
        <row r="11763">
          <cell r="D11763" t="str">
            <v>CB2747R00-002-001</v>
          </cell>
          <cell r="E11763" t="str">
            <v>三通管接头</v>
          </cell>
        </row>
        <row r="11764">
          <cell r="D11764" t="str">
            <v>CB22109MD-001-003</v>
          </cell>
          <cell r="E11764" t="str">
            <v>四通管接头</v>
          </cell>
        </row>
        <row r="11765">
          <cell r="D11765" t="str">
            <v>CB22109MD-001-003</v>
          </cell>
          <cell r="E11765" t="str">
            <v>四通管接头</v>
          </cell>
        </row>
        <row r="11766">
          <cell r="D11766" t="str">
            <v>CB2280211-004-001</v>
          </cell>
          <cell r="E11766" t="str">
            <v>穿框管接头</v>
          </cell>
        </row>
        <row r="11767">
          <cell r="D11767" t="str">
            <v>CB2284460-004-001</v>
          </cell>
          <cell r="E11767" t="str">
            <v>四通接头</v>
          </cell>
        </row>
        <row r="11768">
          <cell r="D11768" t="str">
            <v>CB221T3LG-002-001</v>
          </cell>
          <cell r="E11768" t="str">
            <v>接头</v>
          </cell>
        </row>
        <row r="11769">
          <cell r="D11769" t="str">
            <v>CB22837C3-001-001</v>
          </cell>
          <cell r="E11769" t="str">
            <v>法兰</v>
          </cell>
        </row>
        <row r="11770">
          <cell r="D11770" t="str">
            <v>DD-J10B-64016-501</v>
          </cell>
          <cell r="E11770" t="str">
            <v>管接头</v>
          </cell>
        </row>
        <row r="11771">
          <cell r="D11771" t="str">
            <v>DD-J10-55181-16</v>
          </cell>
          <cell r="E11771" t="str">
            <v>变径三通管接头</v>
          </cell>
        </row>
        <row r="11772">
          <cell r="D11772" t="str">
            <v>DD-J10-55181-16</v>
          </cell>
          <cell r="E11772" t="str">
            <v>变径三通管接头</v>
          </cell>
        </row>
        <row r="11773">
          <cell r="D11773" t="str">
            <v>DD-J10-06061-6</v>
          </cell>
          <cell r="E11773" t="str">
            <v>支座</v>
          </cell>
        </row>
        <row r="11774">
          <cell r="D11774" t="str">
            <v>DD-J10-06061-6</v>
          </cell>
          <cell r="E11774" t="str">
            <v>支座</v>
          </cell>
        </row>
        <row r="11775">
          <cell r="D11775" t="str">
            <v>DD-J10-62021-7</v>
          </cell>
          <cell r="E11775" t="str">
            <v>管接头</v>
          </cell>
        </row>
        <row r="11776">
          <cell r="D11776" t="str">
            <v>DD-J10B-02021-52/1-Y</v>
          </cell>
          <cell r="E11776" t="str">
            <v>锁芯</v>
          </cell>
        </row>
        <row r="11777">
          <cell r="D11777" t="str">
            <v>DD-J10B-02021-52/2-Y</v>
          </cell>
          <cell r="E11777" t="str">
            <v>锁芯</v>
          </cell>
        </row>
        <row r="11778">
          <cell r="D11778" t="str">
            <v>DD-J10-55121-2</v>
          </cell>
          <cell r="E11778" t="str">
            <v>三通管接头</v>
          </cell>
        </row>
        <row r="11779">
          <cell r="D11779" t="str">
            <v>DD-J10-55181-13</v>
          </cell>
          <cell r="E11779" t="str">
            <v>变径三通管接头</v>
          </cell>
        </row>
        <row r="11780">
          <cell r="D11780" t="str">
            <v>DD-J10B-94091-86G2</v>
          </cell>
          <cell r="E11780" t="str">
            <v>三通接头</v>
          </cell>
        </row>
        <row r="11781">
          <cell r="D11781" t="str">
            <v>DD-J10-55181-16</v>
          </cell>
          <cell r="E11781" t="str">
            <v>变径三通管接头</v>
          </cell>
        </row>
        <row r="11782">
          <cell r="D11782" t="str">
            <v>DD-J10-55181-16</v>
          </cell>
          <cell r="E11782" t="str">
            <v>变径三通管接头</v>
          </cell>
        </row>
        <row r="11783">
          <cell r="D11783" t="str">
            <v>BC5711420-001-002</v>
          </cell>
          <cell r="E11783" t="str">
            <v>螺栓</v>
          </cell>
        </row>
        <row r="11784">
          <cell r="D11784" t="str">
            <v>BC5711420-001-002</v>
          </cell>
          <cell r="E11784" t="str">
            <v>螺栓</v>
          </cell>
        </row>
        <row r="11785">
          <cell r="D11785" t="str">
            <v>BC2711322-002-001</v>
          </cell>
          <cell r="E11785" t="str">
            <v>接头</v>
          </cell>
        </row>
        <row r="11786">
          <cell r="D11786" t="str">
            <v>BC2712522-001-001</v>
          </cell>
          <cell r="E11786" t="str">
            <v>支座</v>
          </cell>
        </row>
        <row r="11787">
          <cell r="D11787" t="str">
            <v>BC5812000-012-001</v>
          </cell>
          <cell r="E11787" t="str">
            <v>拉杆</v>
          </cell>
        </row>
        <row r="11788">
          <cell r="D11788" t="str">
            <v>BC2231341-009-004</v>
          </cell>
          <cell r="E11788" t="str">
            <v>R16防火堵盖</v>
          </cell>
        </row>
        <row r="11789">
          <cell r="D11789" t="str">
            <v>BC2712530-003-001</v>
          </cell>
          <cell r="E11789" t="str">
            <v>M6套筒</v>
          </cell>
        </row>
        <row r="11790">
          <cell r="D11790" t="str">
            <v>BC5702101-004-002</v>
          </cell>
          <cell r="E11790" t="str">
            <v>小合页</v>
          </cell>
        </row>
        <row r="11791">
          <cell r="D11791" t="str">
            <v>BC2712522-001-001</v>
          </cell>
          <cell r="E11791" t="str">
            <v>支座</v>
          </cell>
        </row>
        <row r="11792">
          <cell r="D11792" t="str">
            <v>BC2281245-002-001</v>
          </cell>
          <cell r="E11792" t="str">
            <v>接头</v>
          </cell>
        </row>
        <row r="11793">
          <cell r="D11793" t="str">
            <v>BC5812200-001-001</v>
          </cell>
          <cell r="E11793" t="str">
            <v>轴</v>
          </cell>
        </row>
        <row r="11794">
          <cell r="D11794" t="str">
            <v>BC5812200-001-001</v>
          </cell>
          <cell r="E11794" t="str">
            <v>轴</v>
          </cell>
        </row>
        <row r="11795">
          <cell r="D11795" t="str">
            <v>BC2282608-003-001</v>
          </cell>
          <cell r="E11795" t="str">
            <v>角片</v>
          </cell>
        </row>
        <row r="11796">
          <cell r="D11796" t="str">
            <v>BC3011320-003-001</v>
          </cell>
          <cell r="E11796" t="str">
            <v>安装支架</v>
          </cell>
        </row>
        <row r="11797">
          <cell r="D11797" t="str">
            <v>BC2280241-060-001</v>
          </cell>
          <cell r="E11797" t="str">
            <v>带柔性接头的法兰（φ60）</v>
          </cell>
        </row>
        <row r="11798">
          <cell r="D11798" t="str">
            <v>BC2280241-065-001</v>
          </cell>
          <cell r="E11798" t="str">
            <v>带柔性接头的法兰（φ65）</v>
          </cell>
        </row>
        <row r="11799">
          <cell r="D11799" t="str">
            <v>DD-J10B-78001-460-1</v>
          </cell>
          <cell r="E11799" t="str">
            <v>铰链</v>
          </cell>
        </row>
        <row r="11800">
          <cell r="D11800" t="str">
            <v>DD-J10B-78001-460-1</v>
          </cell>
          <cell r="E11800" t="str">
            <v>铰链</v>
          </cell>
        </row>
        <row r="11801">
          <cell r="D11801" t="str">
            <v>DD-J10B-78001-460-1</v>
          </cell>
          <cell r="E11801" t="str">
            <v>铰链</v>
          </cell>
        </row>
        <row r="11802">
          <cell r="D11802" t="str">
            <v>CB229C050-007-003</v>
          </cell>
          <cell r="E11802" t="str">
            <v>摇臂</v>
          </cell>
        </row>
        <row r="11803">
          <cell r="D11803" t="str">
            <v>BC2563500-001-001</v>
          </cell>
          <cell r="E11803" t="str">
            <v>轴</v>
          </cell>
        </row>
        <row r="11804">
          <cell r="D11804" t="str">
            <v>XXX-100-04</v>
          </cell>
          <cell r="E11804" t="str">
            <v>防尘盖1</v>
          </cell>
        </row>
        <row r="11805">
          <cell r="D11805" t="str">
            <v>XXX-100-05</v>
          </cell>
          <cell r="E11805" t="str">
            <v>调谐片</v>
          </cell>
        </row>
        <row r="11806">
          <cell r="D11806" t="str">
            <v>XXX-100-05</v>
          </cell>
          <cell r="E11806" t="str">
            <v>调谐片</v>
          </cell>
        </row>
        <row r="11807">
          <cell r="D11807" t="str">
            <v>XXX-100-06</v>
          </cell>
          <cell r="E11807" t="str">
            <v>底板</v>
          </cell>
        </row>
        <row r="11808">
          <cell r="D11808" t="str">
            <v>XXX-100-06</v>
          </cell>
          <cell r="E11808" t="str">
            <v>底板</v>
          </cell>
        </row>
        <row r="11809">
          <cell r="D11809" t="str">
            <v>XXX-100-06</v>
          </cell>
          <cell r="E11809" t="str">
            <v>底板</v>
          </cell>
        </row>
        <row r="11810">
          <cell r="D11810" t="str">
            <v>XXX-100-07</v>
          </cell>
          <cell r="E11810" t="str">
            <v>贴片</v>
          </cell>
        </row>
        <row r="11811">
          <cell r="D11811" t="str">
            <v>XXX-100-07</v>
          </cell>
          <cell r="E11811" t="str">
            <v>贴片</v>
          </cell>
        </row>
        <row r="11812">
          <cell r="D11812" t="str">
            <v>XXX-100-08</v>
          </cell>
          <cell r="E11812" t="str">
            <v>插芯</v>
          </cell>
        </row>
        <row r="11813">
          <cell r="D11813" t="str">
            <v>XXX-100-09</v>
          </cell>
          <cell r="E11813" t="str">
            <v>调谐钉</v>
          </cell>
        </row>
        <row r="11814">
          <cell r="D11814" t="str">
            <v>XXX-100-10</v>
          </cell>
          <cell r="E11814" t="str">
            <v>塞片</v>
          </cell>
        </row>
        <row r="11815">
          <cell r="D11815" t="str">
            <v>XXX-200-01</v>
          </cell>
          <cell r="E11815" t="str">
            <v>盖板</v>
          </cell>
        </row>
        <row r="11816">
          <cell r="D11816" t="str">
            <v>XXX-200-02</v>
          </cell>
          <cell r="E11816" t="str">
            <v>腔体</v>
          </cell>
        </row>
        <row r="11817">
          <cell r="D11817" t="str">
            <v>XXX-300-01</v>
          </cell>
          <cell r="E11817" t="str">
            <v>防尘盖11</v>
          </cell>
        </row>
        <row r="11818">
          <cell r="D11818" t="str">
            <v>CB5324321-010-006</v>
          </cell>
          <cell r="E11818" t="str">
            <v>加强件</v>
          </cell>
        </row>
        <row r="11819">
          <cell r="D11819" t="str">
            <v>CB5324321-010-006</v>
          </cell>
          <cell r="E11819" t="str">
            <v>加强件</v>
          </cell>
        </row>
        <row r="11820">
          <cell r="D11820" t="str">
            <v>CB5822016-024L001</v>
          </cell>
          <cell r="E11820" t="str">
            <v>角片</v>
          </cell>
        </row>
        <row r="11821">
          <cell r="D11821" t="str">
            <v>CB5822016-024R001</v>
          </cell>
          <cell r="E11821" t="str">
            <v>角片</v>
          </cell>
        </row>
        <row r="11822">
          <cell r="D11822" t="str">
            <v>CB5822016-032L001</v>
          </cell>
          <cell r="E11822" t="str">
            <v>角片</v>
          </cell>
        </row>
        <row r="11823">
          <cell r="D11823" t="str">
            <v>CB5822016-032R001</v>
          </cell>
          <cell r="E11823" t="str">
            <v>角片</v>
          </cell>
        </row>
        <row r="11824">
          <cell r="D11824" t="str">
            <v>CB5822016-029L001</v>
          </cell>
          <cell r="E11824" t="str">
            <v>角片</v>
          </cell>
        </row>
        <row r="11825">
          <cell r="D11825" t="str">
            <v>CB5822016-029R001</v>
          </cell>
          <cell r="E11825" t="str">
            <v>角片</v>
          </cell>
        </row>
        <row r="11826">
          <cell r="D11826" t="str">
            <v>DD-J10B-05236-111-Z</v>
          </cell>
          <cell r="E11826" t="str">
            <v>前隔框</v>
          </cell>
        </row>
        <row r="11827">
          <cell r="D11827" t="str">
            <v>DD-J10B-05236-111-Y</v>
          </cell>
          <cell r="E11827" t="str">
            <v>前隔框</v>
          </cell>
        </row>
        <row r="11828">
          <cell r="D11828" t="str">
            <v>DD-J10B-05236-111-Z</v>
          </cell>
          <cell r="E11828" t="str">
            <v>前隔框</v>
          </cell>
        </row>
        <row r="11829">
          <cell r="D11829" t="str">
            <v>DD-J10B-05236-111-Y</v>
          </cell>
          <cell r="E11829" t="str">
            <v>前隔框</v>
          </cell>
        </row>
        <row r="11830">
          <cell r="D11830" t="str">
            <v>DD-J10-21102-410-1-Z</v>
          </cell>
          <cell r="E11830" t="str">
            <v>1150肋根肋</v>
          </cell>
        </row>
        <row r="11831">
          <cell r="D11831" t="str">
            <v>DD-J10-21102-410-1-Z</v>
          </cell>
          <cell r="E11831" t="str">
            <v>1150肋根肋</v>
          </cell>
        </row>
        <row r="11832">
          <cell r="D11832" t="str">
            <v>DD-J10-21102-410-1-Y</v>
          </cell>
          <cell r="E11832" t="str">
            <v>1150肋根肋</v>
          </cell>
        </row>
        <row r="11833">
          <cell r="D11833" t="str">
            <v>CB22956R1-001L001</v>
          </cell>
          <cell r="E11833" t="str">
            <v>座子</v>
          </cell>
        </row>
        <row r="11834">
          <cell r="D11834" t="str">
            <v>CB22956R1-001R001</v>
          </cell>
          <cell r="E11834" t="str">
            <v>座子</v>
          </cell>
        </row>
        <row r="11835">
          <cell r="D11835" t="str">
            <v>CB2297021-001-001</v>
          </cell>
          <cell r="E11835" t="str">
            <v>支架</v>
          </cell>
        </row>
        <row r="11836">
          <cell r="D11836" t="str">
            <v>CB229C440-002R001</v>
          </cell>
          <cell r="E11836" t="str">
            <v>支架</v>
          </cell>
        </row>
        <row r="11837">
          <cell r="D11837" t="str">
            <v>CB5324500-003R002</v>
          </cell>
          <cell r="E11837" t="str">
            <v>前端框</v>
          </cell>
        </row>
        <row r="11838">
          <cell r="D11838" t="str">
            <v>CB5324500-003R002</v>
          </cell>
          <cell r="E11838" t="str">
            <v>前端框</v>
          </cell>
        </row>
        <row r="11839">
          <cell r="D11839" t="str">
            <v>CB5324500-003R002</v>
          </cell>
          <cell r="E11839" t="str">
            <v>前端框</v>
          </cell>
        </row>
        <row r="11840">
          <cell r="D11840" t="str">
            <v>CB5324500-003L002</v>
          </cell>
          <cell r="E11840" t="str">
            <v>前端框</v>
          </cell>
        </row>
        <row r="11841">
          <cell r="D11841" t="str">
            <v>Y20-4383220005-001</v>
          </cell>
          <cell r="E11841" t="str">
            <v>支架</v>
          </cell>
        </row>
        <row r="11842">
          <cell r="D11842" t="str">
            <v>Y20-4761200096-001</v>
          </cell>
          <cell r="E11842" t="str">
            <v>悬挂横梁</v>
          </cell>
        </row>
        <row r="11843">
          <cell r="D11843" t="str">
            <v>Y20-4761200096-001</v>
          </cell>
          <cell r="E11843" t="str">
            <v>悬挂横梁</v>
          </cell>
        </row>
        <row r="11844">
          <cell r="D11844" t="str">
            <v>Y20-4354233101-001</v>
          </cell>
          <cell r="E11844" t="str">
            <v>氧气瓶支架</v>
          </cell>
        </row>
        <row r="11845">
          <cell r="D11845" t="str">
            <v>Y20-4354233101-001</v>
          </cell>
          <cell r="E11845" t="str">
            <v>氧气瓶支架</v>
          </cell>
        </row>
        <row r="11846">
          <cell r="D11846" t="str">
            <v>Y20-4354233101-001</v>
          </cell>
          <cell r="E11846" t="str">
            <v>氧气瓶支架</v>
          </cell>
        </row>
        <row r="11847">
          <cell r="D11847" t="str">
            <v>Y20-4354233101-001</v>
          </cell>
          <cell r="E11847" t="str">
            <v>氧气瓶支架</v>
          </cell>
        </row>
        <row r="11848">
          <cell r="D11848" t="str">
            <v>DD-J10B-04051-1</v>
          </cell>
          <cell r="E11848" t="str">
            <v>10460框</v>
          </cell>
        </row>
        <row r="11849">
          <cell r="D11849" t="str">
            <v>CB5715000-002L002</v>
          </cell>
          <cell r="E11849" t="str">
            <v>固定前缘根肋</v>
          </cell>
        </row>
        <row r="11850">
          <cell r="D11850" t="str">
            <v>CB5715000-002L002</v>
          </cell>
          <cell r="E11850" t="str">
            <v>固定前缘根肋</v>
          </cell>
        </row>
        <row r="11851">
          <cell r="D11851" t="str">
            <v>CB5715000-002L002</v>
          </cell>
          <cell r="E11851" t="str">
            <v>固定前缘根肋</v>
          </cell>
        </row>
        <row r="11852">
          <cell r="D11852" t="str">
            <v>CB5715000-002L002</v>
          </cell>
          <cell r="E11852" t="str">
            <v>固定前缘根肋</v>
          </cell>
        </row>
        <row r="11853">
          <cell r="D11853" t="str">
            <v>CB5715000-002L002</v>
          </cell>
          <cell r="E11853" t="str">
            <v>固定前缘根肋</v>
          </cell>
        </row>
        <row r="11854">
          <cell r="D11854" t="str">
            <v>CB5715000-002R002</v>
          </cell>
          <cell r="E11854" t="str">
            <v>固定前缘根肋</v>
          </cell>
        </row>
        <row r="11855">
          <cell r="D11855" t="str">
            <v>CB5715000-002R002</v>
          </cell>
          <cell r="E11855" t="str">
            <v>固定前缘根肋</v>
          </cell>
        </row>
        <row r="11856">
          <cell r="D11856" t="str">
            <v>CB5715000-002R002</v>
          </cell>
          <cell r="E11856" t="str">
            <v>固定前缘根肋</v>
          </cell>
        </row>
        <row r="11857">
          <cell r="D11857" t="str">
            <v>CB5715000-002R002</v>
          </cell>
          <cell r="E11857" t="str">
            <v>固定前缘根肋</v>
          </cell>
        </row>
        <row r="11858">
          <cell r="D11858" t="str">
            <v>CB5715000-002R002</v>
          </cell>
          <cell r="E11858" t="str">
            <v>固定前缘根肋</v>
          </cell>
        </row>
        <row r="11859">
          <cell r="D11859" t="str">
            <v>CB5512300-005R002</v>
          </cell>
          <cell r="E11859" t="str">
            <v>根肋后段</v>
          </cell>
        </row>
        <row r="11860">
          <cell r="D11860" t="str">
            <v>CB5512300-005R002</v>
          </cell>
          <cell r="E11860" t="str">
            <v>根肋后段</v>
          </cell>
        </row>
        <row r="11861">
          <cell r="D11861" t="str">
            <v>CB5512300-005R002</v>
          </cell>
          <cell r="E11861" t="str">
            <v>根肋后段</v>
          </cell>
        </row>
        <row r="11862">
          <cell r="D11862" t="str">
            <v>CB5512300-005R002</v>
          </cell>
          <cell r="E11862" t="str">
            <v>根肋后段</v>
          </cell>
        </row>
        <row r="11863">
          <cell r="D11863" t="str">
            <v>CB5512300-005R002</v>
          </cell>
          <cell r="E11863" t="str">
            <v>根肋后段</v>
          </cell>
        </row>
        <row r="11864">
          <cell r="D11864" t="str">
            <v>CB5512300-005R002</v>
          </cell>
          <cell r="E11864" t="str">
            <v>根肋后段</v>
          </cell>
        </row>
        <row r="11865">
          <cell r="D11865" t="str">
            <v>CB5742000-202L001</v>
          </cell>
          <cell r="E11865" t="str">
            <v>前梁二段</v>
          </cell>
        </row>
        <row r="11866">
          <cell r="D11866" t="str">
            <v>CB5742000-202L001</v>
          </cell>
          <cell r="E11866" t="str">
            <v>前梁二段</v>
          </cell>
        </row>
        <row r="11867">
          <cell r="D11867" t="str">
            <v>CB5742000-202L001</v>
          </cell>
          <cell r="E11867" t="str">
            <v>前梁二段</v>
          </cell>
        </row>
        <row r="11868">
          <cell r="D11868" t="str">
            <v>CB5742000-202L001</v>
          </cell>
          <cell r="E11868" t="str">
            <v>前梁二段</v>
          </cell>
        </row>
        <row r="11869">
          <cell r="D11869" t="str">
            <v>CB5742000-202R001</v>
          </cell>
          <cell r="E11869" t="str">
            <v>前梁二段</v>
          </cell>
        </row>
        <row r="11870">
          <cell r="D11870" t="str">
            <v>CB5742000-202R001</v>
          </cell>
          <cell r="E11870" t="str">
            <v>前梁二段</v>
          </cell>
        </row>
        <row r="11871">
          <cell r="D11871" t="str">
            <v>CB5742000-202R001</v>
          </cell>
          <cell r="E11871" t="str">
            <v>前梁二段</v>
          </cell>
        </row>
        <row r="11872">
          <cell r="D11872" t="str">
            <v>CB5742000-202R001</v>
          </cell>
          <cell r="E11872" t="str">
            <v>前梁二段</v>
          </cell>
        </row>
        <row r="11873">
          <cell r="D11873" t="str">
            <v>XXX-000-01</v>
          </cell>
          <cell r="E11873" t="str">
            <v>盖板</v>
          </cell>
        </row>
        <row r="11874">
          <cell r="D11874" t="str">
            <v>XXX-000-02</v>
          </cell>
          <cell r="E11874" t="str">
            <v>腔体</v>
          </cell>
        </row>
        <row r="11875">
          <cell r="D11875" t="str">
            <v>XXX-000-03</v>
          </cell>
          <cell r="E11875" t="str">
            <v>底板</v>
          </cell>
        </row>
        <row r="11876">
          <cell r="D11876" t="str">
            <v>531A1100-015-001 B</v>
          </cell>
          <cell r="E11876" t="str">
            <v>合页</v>
          </cell>
        </row>
        <row r="11877">
          <cell r="D11877" t="str">
            <v>521A1171-003-001 B1</v>
          </cell>
          <cell r="E11877" t="str">
            <v>支架</v>
          </cell>
        </row>
        <row r="11878">
          <cell r="D11878" t="str">
            <v>531A9910-001-002 B</v>
          </cell>
          <cell r="E11878" t="str">
            <v>脚踏板支架</v>
          </cell>
        </row>
        <row r="11879">
          <cell r="D11879" t="str">
            <v>DD-J10B-02111-2-Z</v>
          </cell>
          <cell r="E11879" t="str">
            <v>角盒</v>
          </cell>
        </row>
        <row r="11880">
          <cell r="D11880" t="str">
            <v>CB2280231-004-001</v>
          </cell>
          <cell r="E11880" t="str">
            <v>轴</v>
          </cell>
        </row>
        <row r="11881">
          <cell r="D11881" t="str">
            <v>CB2276730-001-001</v>
          </cell>
          <cell r="E11881" t="str">
            <v>操纵台侧壁板</v>
          </cell>
        </row>
        <row r="11882">
          <cell r="D11882" t="str">
            <v>CB2276730-001-001</v>
          </cell>
          <cell r="E11882" t="str">
            <v>操纵台侧壁板</v>
          </cell>
        </row>
        <row r="11883">
          <cell r="D11883" t="str">
            <v>CB2276730-001-001</v>
          </cell>
          <cell r="E11883" t="str">
            <v>操纵台侧壁板</v>
          </cell>
        </row>
        <row r="11884">
          <cell r="D11884" t="str">
            <v>CB2276730-001-001</v>
          </cell>
          <cell r="E11884" t="str">
            <v>操纵台侧壁板</v>
          </cell>
        </row>
        <row r="11885">
          <cell r="D11885" t="str">
            <v>BC2283630-003-003</v>
          </cell>
          <cell r="E11885" t="str">
            <v>接头</v>
          </cell>
        </row>
        <row r="11886">
          <cell r="D11886" t="str">
            <v>BC2283630-003-003</v>
          </cell>
          <cell r="E11886" t="str">
            <v>接头</v>
          </cell>
        </row>
        <row r="11887">
          <cell r="D11887" t="str">
            <v>BC221T5ML-007-001</v>
          </cell>
          <cell r="E11887" t="str">
            <v>阀套</v>
          </cell>
        </row>
        <row r="11888">
          <cell r="D11888" t="str">
            <v>DD-J10B-04321-30-1-Y</v>
          </cell>
          <cell r="E11888" t="str">
            <v>侧下梁（右件）</v>
          </cell>
        </row>
        <row r="11889">
          <cell r="D11889" t="str">
            <v>521A1090-001-001</v>
          </cell>
          <cell r="E11889" t="str">
            <v>接头</v>
          </cell>
        </row>
        <row r="11890">
          <cell r="D11890" t="str">
            <v>521A1090-001-001</v>
          </cell>
          <cell r="E11890" t="str">
            <v>接头</v>
          </cell>
        </row>
        <row r="11891">
          <cell r="D11891" t="str">
            <v>CB5324310-016-006</v>
          </cell>
          <cell r="E11891" t="str">
            <v>带板</v>
          </cell>
        </row>
        <row r="11892">
          <cell r="D11892" t="str">
            <v>CB5327110-002R004</v>
          </cell>
          <cell r="E11892" t="str">
            <v>8270右隔框</v>
          </cell>
        </row>
        <row r="11893">
          <cell r="D11893" t="str">
            <v>CB5327110-002R004</v>
          </cell>
          <cell r="E11893" t="str">
            <v>8270右隔框</v>
          </cell>
        </row>
        <row r="11894">
          <cell r="D11894" t="str">
            <v>CB5327110-002R004</v>
          </cell>
          <cell r="E11894" t="str">
            <v>8270右隔框</v>
          </cell>
        </row>
        <row r="11895">
          <cell r="D11895" t="str">
            <v>CB5327110-002L004</v>
          </cell>
          <cell r="E11895" t="str">
            <v>8270左隔框</v>
          </cell>
        </row>
        <row r="11896">
          <cell r="D11896" t="str">
            <v>CB5327110-002L004</v>
          </cell>
          <cell r="E11896" t="str">
            <v>8270左隔框</v>
          </cell>
        </row>
        <row r="11897">
          <cell r="D11897" t="str">
            <v>CB5327110-002L004</v>
          </cell>
          <cell r="E11897" t="str">
            <v>8270左隔框</v>
          </cell>
        </row>
        <row r="11898">
          <cell r="D11898" t="str">
            <v>CB5327110-002L004</v>
          </cell>
          <cell r="E11898" t="str">
            <v>8270左隔框</v>
          </cell>
        </row>
        <row r="11899">
          <cell r="D11899" t="str">
            <v>CB5327110-002L004</v>
          </cell>
          <cell r="E11899" t="str">
            <v>8270左隔框</v>
          </cell>
        </row>
        <row r="11900">
          <cell r="D11900" t="str">
            <v>CB5323210-005L065</v>
          </cell>
          <cell r="E11900" t="str">
            <v>9350-11140左侧上梁</v>
          </cell>
        </row>
        <row r="11901">
          <cell r="D11901" t="str">
            <v>CB5323210-005L065</v>
          </cell>
          <cell r="E11901" t="str">
            <v>9350-11140左侧上梁</v>
          </cell>
        </row>
        <row r="11902">
          <cell r="D11902" t="str">
            <v>CB5323210-005L065</v>
          </cell>
          <cell r="E11902" t="str">
            <v>9350-11140左侧上梁</v>
          </cell>
        </row>
        <row r="11903">
          <cell r="D11903" t="str">
            <v>CB5323210-005L065</v>
          </cell>
          <cell r="E11903" t="str">
            <v>9350-11140左侧上梁</v>
          </cell>
        </row>
        <row r="11904">
          <cell r="D11904" t="str">
            <v>CB5323220-052-024</v>
          </cell>
          <cell r="E11904" t="str">
            <v>9350-11140右侧上梁</v>
          </cell>
        </row>
        <row r="11905">
          <cell r="D11905" t="str">
            <v>CB5323220-052-024</v>
          </cell>
          <cell r="E11905" t="str">
            <v>9350-11140右侧上梁</v>
          </cell>
        </row>
        <row r="11906">
          <cell r="D11906" t="str">
            <v>CB5323220-052-024</v>
          </cell>
          <cell r="E11906" t="str">
            <v>9350-11140右侧上梁</v>
          </cell>
        </row>
        <row r="11907">
          <cell r="D11907" t="str">
            <v>CB5323220-052-024</v>
          </cell>
          <cell r="E11907" t="str">
            <v>9350-11140右侧上梁</v>
          </cell>
        </row>
        <row r="11908">
          <cell r="D11908" t="str">
            <v>Y20-5319160013-001</v>
          </cell>
          <cell r="E11908" t="str">
            <v>接头</v>
          </cell>
        </row>
        <row r="11909">
          <cell r="D11909" t="str">
            <v>Y20-5317015061-001</v>
          </cell>
          <cell r="E11909" t="str">
            <v>T形长桁</v>
          </cell>
        </row>
        <row r="11910">
          <cell r="D11910" t="str">
            <v>Y20-5317015061-001</v>
          </cell>
          <cell r="E11910" t="str">
            <v>T形长桁</v>
          </cell>
        </row>
        <row r="11911">
          <cell r="D11911" t="str">
            <v>Y20-5317015061-001</v>
          </cell>
          <cell r="E11911" t="str">
            <v>T形长桁</v>
          </cell>
        </row>
        <row r="11912">
          <cell r="D11912" t="str">
            <v>Y20-5317015061-001</v>
          </cell>
          <cell r="E11912" t="str">
            <v>T形长桁</v>
          </cell>
        </row>
        <row r="11913">
          <cell r="D11913" t="str">
            <v>Y20-5318100045-001</v>
          </cell>
          <cell r="E11913" t="str">
            <v>加强件</v>
          </cell>
        </row>
        <row r="11914">
          <cell r="D11914" t="str">
            <v>Y20-5318100045-001</v>
          </cell>
          <cell r="E11914" t="str">
            <v>加强件</v>
          </cell>
        </row>
        <row r="11915">
          <cell r="D11915" t="str">
            <v>Y20-5318100045-001</v>
          </cell>
          <cell r="E11915" t="str">
            <v>加强件</v>
          </cell>
        </row>
        <row r="11916">
          <cell r="D11916" t="str">
            <v>Y20-5312225905-001</v>
          </cell>
          <cell r="E11916" t="str">
            <v>短梁</v>
          </cell>
        </row>
        <row r="11917">
          <cell r="D11917" t="str">
            <v>Y20-5312225905-002</v>
          </cell>
          <cell r="E11917" t="str">
            <v>短梁</v>
          </cell>
        </row>
        <row r="11918">
          <cell r="D11918" t="str">
            <v>Y20-4252203187-001</v>
          </cell>
          <cell r="E11918" t="str">
            <v>支架</v>
          </cell>
        </row>
        <row r="11919">
          <cell r="D11919" t="str">
            <v>Y20-4252203187-001</v>
          </cell>
          <cell r="E11919" t="str">
            <v>支架</v>
          </cell>
        </row>
        <row r="11920">
          <cell r="D11920" t="str">
            <v>Y20-4252203187-002</v>
          </cell>
          <cell r="E11920" t="str">
            <v>支架</v>
          </cell>
        </row>
        <row r="11921">
          <cell r="D11921" t="str">
            <v>Y20-5315100012-001</v>
          </cell>
          <cell r="E11921" t="str">
            <v>AB柱加强件</v>
          </cell>
        </row>
        <row r="11922">
          <cell r="D11922" t="str">
            <v>Y20-5315100012-001</v>
          </cell>
          <cell r="E11922" t="str">
            <v>AB柱加强件</v>
          </cell>
        </row>
        <row r="11923">
          <cell r="D11923" t="str">
            <v>Y20-5315100012-001</v>
          </cell>
          <cell r="E11923" t="str">
            <v>AB柱加强件</v>
          </cell>
        </row>
        <row r="11924">
          <cell r="D11924" t="str">
            <v>Y20-5315100012-001</v>
          </cell>
          <cell r="E11924" t="str">
            <v>AB柱加强件</v>
          </cell>
        </row>
        <row r="11925">
          <cell r="D11925" t="str">
            <v>Y20-5315100012-002</v>
          </cell>
          <cell r="E11925" t="str">
            <v>AB柱加强件</v>
          </cell>
        </row>
        <row r="11926">
          <cell r="D11926" t="str">
            <v>Y20-5315100012-002</v>
          </cell>
          <cell r="E11926" t="str">
            <v>AB柱加强件</v>
          </cell>
        </row>
        <row r="11927">
          <cell r="D11927" t="str">
            <v>Y20-5315100012-002</v>
          </cell>
          <cell r="E11927" t="str">
            <v>AB柱加强件</v>
          </cell>
        </row>
        <row r="11928">
          <cell r="D11928" t="str">
            <v>Y20-5315100012-002</v>
          </cell>
          <cell r="E11928" t="str">
            <v>AB柱加强件</v>
          </cell>
        </row>
        <row r="11929">
          <cell r="D11929" t="str">
            <v>Y20-5212290004-001</v>
          </cell>
          <cell r="E11929" t="str">
            <v>合页</v>
          </cell>
        </row>
        <row r="11930">
          <cell r="D11930" t="str">
            <v>Y20-5212290004-001</v>
          </cell>
          <cell r="E11930" t="str">
            <v>合页</v>
          </cell>
        </row>
        <row r="11931">
          <cell r="D11931" t="str">
            <v>Y20-5212290004-001</v>
          </cell>
          <cell r="E11931" t="str">
            <v>合页</v>
          </cell>
        </row>
        <row r="11932">
          <cell r="D11932" t="str">
            <v>Y20-5212290004-001</v>
          </cell>
          <cell r="E11932" t="str">
            <v>合页</v>
          </cell>
        </row>
        <row r="11933">
          <cell r="D11933" t="str">
            <v>Y20-5212290004-001</v>
          </cell>
          <cell r="E11933" t="str">
            <v>合页</v>
          </cell>
        </row>
        <row r="11934">
          <cell r="D11934" t="str">
            <v>Y20-5212290004-001</v>
          </cell>
          <cell r="E11934" t="str">
            <v>合页</v>
          </cell>
        </row>
        <row r="11935">
          <cell r="D11935" t="str">
            <v>Y20-5212290004-001</v>
          </cell>
          <cell r="E11935" t="str">
            <v>合页</v>
          </cell>
        </row>
        <row r="11936">
          <cell r="D11936" t="str">
            <v>Y20-5212290004-001</v>
          </cell>
          <cell r="E11936" t="str">
            <v>合页</v>
          </cell>
        </row>
        <row r="11937">
          <cell r="D11937" t="str">
            <v>Y20-5212290004-001</v>
          </cell>
          <cell r="E11937" t="str">
            <v>合页</v>
          </cell>
        </row>
        <row r="11938">
          <cell r="D11938" t="str">
            <v>Y20-5212290004-001</v>
          </cell>
          <cell r="E11938" t="str">
            <v>合页</v>
          </cell>
        </row>
        <row r="11939">
          <cell r="D11939" t="str">
            <v>BC5812000-002-001</v>
          </cell>
          <cell r="E11939" t="str">
            <v>螺栓</v>
          </cell>
        </row>
        <row r="11940">
          <cell r="D11940" t="str">
            <v>BC5812000-002-001</v>
          </cell>
          <cell r="E11940" t="str">
            <v>螺栓</v>
          </cell>
        </row>
        <row r="11941">
          <cell r="D11941" t="str">
            <v>BC2298420-004-001</v>
          </cell>
          <cell r="E11941" t="str">
            <v>组合导管夹</v>
          </cell>
        </row>
        <row r="11942">
          <cell r="D11942" t="str">
            <v>BC2711344-002-001</v>
          </cell>
          <cell r="E11942" t="str">
            <v>短管</v>
          </cell>
        </row>
        <row r="11943">
          <cell r="D11943" t="str">
            <v>BC2711363-001-001</v>
          </cell>
          <cell r="E11943" t="str">
            <v>螺母</v>
          </cell>
        </row>
        <row r="11944">
          <cell r="D11944" t="str">
            <v>BC221T5ML-007-001</v>
          </cell>
          <cell r="E11944" t="str">
            <v>阀套</v>
          </cell>
        </row>
        <row r="11945">
          <cell r="D11945" t="str">
            <v>DD-J10B-65000-2250-1GF</v>
          </cell>
          <cell r="E11945" t="str">
            <v>管子</v>
          </cell>
        </row>
        <row r="11946">
          <cell r="D11946" t="str">
            <v>DD-J10B-65000-2250-1GF</v>
          </cell>
          <cell r="E11946" t="str">
            <v>管子</v>
          </cell>
        </row>
        <row r="11947">
          <cell r="D11947" t="str">
            <v>CB5325153-303-007</v>
          </cell>
          <cell r="E11947" t="str">
            <v>摇臂座</v>
          </cell>
        </row>
        <row r="11948">
          <cell r="D11948" t="str">
            <v>CB22844A0-001-001</v>
          </cell>
          <cell r="E11948" t="str">
            <v>三通接头</v>
          </cell>
        </row>
        <row r="11949">
          <cell r="D11949" t="str">
            <v>CB2284462-001-001</v>
          </cell>
          <cell r="E11949" t="str">
            <v>法兰</v>
          </cell>
        </row>
        <row r="11950">
          <cell r="D11950" t="str">
            <v>CB2284462-001-001</v>
          </cell>
          <cell r="E11950" t="str">
            <v>法兰</v>
          </cell>
        </row>
        <row r="11951">
          <cell r="D11951" t="str">
            <v>CB2284462-001-001</v>
          </cell>
          <cell r="E11951" t="str">
            <v>法兰</v>
          </cell>
        </row>
        <row r="11952">
          <cell r="D11952" t="str">
            <v>Y20-5319120045-001</v>
          </cell>
          <cell r="E11952" t="str">
            <v>角盒</v>
          </cell>
        </row>
        <row r="11953">
          <cell r="D11953" t="str">
            <v>XXX-6400000_F1</v>
          </cell>
          <cell r="E11953" t="str">
            <v>安装螺钉</v>
          </cell>
        </row>
        <row r="11954">
          <cell r="D11954" t="str">
            <v>XXX-6400000-01</v>
          </cell>
          <cell r="E11954" t="str">
            <v>壳体</v>
          </cell>
        </row>
        <row r="11955">
          <cell r="D11955" t="str">
            <v>XXX-6400000-02</v>
          </cell>
          <cell r="E11955" t="str">
            <v>上盖板</v>
          </cell>
        </row>
        <row r="11956">
          <cell r="D11956" t="str">
            <v>XXX-6400000-03</v>
          </cell>
          <cell r="E11956" t="str">
            <v>下盖板</v>
          </cell>
        </row>
        <row r="11957">
          <cell r="D11957" t="str">
            <v>BC5812910-001-001</v>
          </cell>
          <cell r="E11957" t="str">
            <v>拉杆</v>
          </cell>
        </row>
        <row r="11958">
          <cell r="D11958" t="str">
            <v>BC22934G0-002-002</v>
          </cell>
          <cell r="E11958" t="str">
            <v>三通接头</v>
          </cell>
        </row>
        <row r="11959">
          <cell r="D11959" t="str">
            <v>531A4200-063-001</v>
          </cell>
          <cell r="E11959" t="str">
            <v>滚轮</v>
          </cell>
        </row>
        <row r="11960">
          <cell r="D11960" t="str">
            <v>531A4200-063-001</v>
          </cell>
          <cell r="E11960" t="str">
            <v>滚轮</v>
          </cell>
        </row>
        <row r="11961">
          <cell r="D11961" t="str">
            <v>CB22109MW-001-002</v>
          </cell>
          <cell r="E11961" t="str">
            <v>过框三通接头</v>
          </cell>
        </row>
        <row r="11962">
          <cell r="D11962" t="str">
            <v>CB2283792-002-002</v>
          </cell>
          <cell r="E11962" t="str">
            <v>法兰</v>
          </cell>
        </row>
        <row r="11963">
          <cell r="D11963" t="str">
            <v>DD-J10-55014-3101</v>
          </cell>
          <cell r="E11963" t="str">
            <v>接管嘴</v>
          </cell>
        </row>
        <row r="11964">
          <cell r="D11964" t="str">
            <v>CB5822016-034L001</v>
          </cell>
          <cell r="E11964" t="str">
            <v>角片</v>
          </cell>
        </row>
        <row r="11965">
          <cell r="D11965" t="str">
            <v>CB5822016-034R001</v>
          </cell>
          <cell r="E11965" t="str">
            <v>角片</v>
          </cell>
        </row>
        <row r="11966">
          <cell r="D11966" t="str">
            <v>CB5314107-005-001</v>
          </cell>
          <cell r="E11966" t="str">
            <v>油箱口盖</v>
          </cell>
        </row>
        <row r="11967">
          <cell r="D11967" t="str">
            <v>CB5314107-005-001</v>
          </cell>
          <cell r="E11967" t="str">
            <v>油箱口盖</v>
          </cell>
        </row>
        <row r="11968">
          <cell r="D11968" t="str">
            <v>DD-J10B-02041-300-3</v>
          </cell>
          <cell r="E11968" t="str">
            <v>右内侧角材</v>
          </cell>
        </row>
        <row r="11969">
          <cell r="D11969" t="str">
            <v>DD-J10-25002-1-Z</v>
          </cell>
          <cell r="E11969" t="str">
            <v>第3肋</v>
          </cell>
        </row>
        <row r="11970">
          <cell r="D11970" t="str">
            <v>DD-J10-25002-1-Z</v>
          </cell>
          <cell r="E11970" t="str">
            <v>第3肋</v>
          </cell>
        </row>
        <row r="11971">
          <cell r="D11971" t="str">
            <v>DD-J10-25002-1-Z</v>
          </cell>
          <cell r="E11971" t="str">
            <v>第3肋</v>
          </cell>
        </row>
        <row r="11972">
          <cell r="D11972" t="str">
            <v>DD-J10-25002-1-Z</v>
          </cell>
          <cell r="E11972" t="str">
            <v>第3肋</v>
          </cell>
        </row>
        <row r="11973">
          <cell r="D11973" t="str">
            <v>DD-J10-25002-1-Y</v>
          </cell>
          <cell r="E11973" t="str">
            <v>第3肋</v>
          </cell>
        </row>
        <row r="11974">
          <cell r="D11974" t="str">
            <v>DD-J10-25002-1-Y</v>
          </cell>
          <cell r="E11974" t="str">
            <v>第3肋</v>
          </cell>
        </row>
        <row r="11975">
          <cell r="D11975" t="str">
            <v>DD-J10-25002-1-Y</v>
          </cell>
          <cell r="E11975" t="str">
            <v>第3肋</v>
          </cell>
        </row>
        <row r="11976">
          <cell r="D11976" t="str">
            <v>DD-J10-25002-1-Y</v>
          </cell>
          <cell r="E11976" t="str">
            <v>第3肋</v>
          </cell>
        </row>
        <row r="11977">
          <cell r="D11977" t="str">
            <v>CB5324320-004L006</v>
          </cell>
          <cell r="E11977" t="str">
            <v>侧下支持件</v>
          </cell>
        </row>
        <row r="11978">
          <cell r="D11978" t="str">
            <v>CB5324320-004R006</v>
          </cell>
          <cell r="E11978" t="str">
            <v>侧下支持件</v>
          </cell>
        </row>
        <row r="11979">
          <cell r="D11979" t="str">
            <v>CB229C070-001R001</v>
          </cell>
          <cell r="E11979" t="str">
            <v>支架</v>
          </cell>
        </row>
        <row r="11980">
          <cell r="D11980" t="str">
            <v>CB229C071-001L001</v>
          </cell>
          <cell r="E11980" t="str">
            <v>支架</v>
          </cell>
        </row>
        <row r="11981">
          <cell r="D11981" t="str">
            <v>CB5315191-012L003</v>
          </cell>
          <cell r="E11981" t="str">
            <v>进气下侧壁</v>
          </cell>
        </row>
        <row r="11982">
          <cell r="D11982" t="str">
            <v>CB5324500-003L002</v>
          </cell>
          <cell r="E11982" t="str">
            <v>前端框</v>
          </cell>
        </row>
        <row r="11983">
          <cell r="D11983" t="str">
            <v>CB2297011-001-001</v>
          </cell>
          <cell r="E11983" t="str">
            <v>支架</v>
          </cell>
        </row>
        <row r="11984">
          <cell r="D11984" t="str">
            <v>CB2297011-002-001</v>
          </cell>
          <cell r="E11984" t="str">
            <v>支架</v>
          </cell>
        </row>
        <row r="11985">
          <cell r="D11985" t="str">
            <v>CB2297012-001-001</v>
          </cell>
          <cell r="E11985" t="str">
            <v>支架</v>
          </cell>
        </row>
        <row r="11986">
          <cell r="D11986" t="str">
            <v>CB2297031-001-001</v>
          </cell>
          <cell r="E11986" t="str">
            <v>支架</v>
          </cell>
        </row>
        <row r="11987">
          <cell r="D11987" t="str">
            <v>CB2297120-005-002</v>
          </cell>
          <cell r="E11987" t="str">
            <v>支架</v>
          </cell>
        </row>
        <row r="11988">
          <cell r="D11988" t="str">
            <v>CB2297120-006-002</v>
          </cell>
          <cell r="E11988" t="str">
            <v>支架</v>
          </cell>
        </row>
        <row r="11989">
          <cell r="D11989" t="str">
            <v>CB2297041-001-001</v>
          </cell>
          <cell r="E11989" t="str">
            <v>支架</v>
          </cell>
        </row>
        <row r="11990">
          <cell r="D11990" t="str">
            <v>CB2297032-001-001</v>
          </cell>
          <cell r="E11990" t="str">
            <v>支架</v>
          </cell>
        </row>
        <row r="11991">
          <cell r="D11991" t="str">
            <v>CB2294440-005-001</v>
          </cell>
          <cell r="E11991" t="str">
            <v>支架</v>
          </cell>
        </row>
        <row r="11992">
          <cell r="D11992" t="str">
            <v>CB2294440-005-001</v>
          </cell>
          <cell r="E11992" t="str">
            <v>支架</v>
          </cell>
        </row>
        <row r="11993">
          <cell r="D11993" t="str">
            <v>CB5315191-012R003</v>
          </cell>
          <cell r="E11993" t="str">
            <v>进气下侧壁</v>
          </cell>
        </row>
        <row r="11994">
          <cell r="D11994" t="str">
            <v>CB2294456-007-001</v>
          </cell>
          <cell r="E11994" t="str">
            <v>垫片</v>
          </cell>
        </row>
        <row r="11995">
          <cell r="D11995" t="str">
            <v>CB2294456-001-001</v>
          </cell>
          <cell r="E11995" t="str">
            <v>盖</v>
          </cell>
        </row>
        <row r="11996">
          <cell r="D11996" t="str">
            <v>BC2292251-001-001</v>
          </cell>
          <cell r="E11996" t="str">
            <v>接管嘴</v>
          </cell>
        </row>
        <row r="11997">
          <cell r="D11997" t="str">
            <v>DD-J10B-55015-4203</v>
          </cell>
          <cell r="E11997" t="str">
            <v>接管嘴</v>
          </cell>
        </row>
        <row r="11998">
          <cell r="D11998" t="str">
            <v>DD-J10B-55015-4203</v>
          </cell>
          <cell r="E11998" t="str">
            <v>接管嘴</v>
          </cell>
        </row>
        <row r="11999">
          <cell r="D11999" t="str">
            <v>DD-J10-55015-5102</v>
          </cell>
          <cell r="E11999" t="str">
            <v>接管嘴</v>
          </cell>
        </row>
        <row r="12000">
          <cell r="D12000" t="str">
            <v>DD-J10-55015-5102</v>
          </cell>
          <cell r="E12000" t="str">
            <v>接管嘴</v>
          </cell>
        </row>
        <row r="12001">
          <cell r="D12001" t="str">
            <v>DD-J10-55015-5201</v>
          </cell>
          <cell r="E12001" t="str">
            <v>接管嘴</v>
          </cell>
        </row>
        <row r="12002">
          <cell r="D12002" t="str">
            <v>DD-J10-55015-5201</v>
          </cell>
          <cell r="E12002" t="str">
            <v>接管嘴</v>
          </cell>
        </row>
        <row r="12003">
          <cell r="D12003" t="str">
            <v>DD-J10-55015-5503-Y</v>
          </cell>
          <cell r="E12003" t="str">
            <v>接管嘴</v>
          </cell>
        </row>
        <row r="12004">
          <cell r="D12004" t="str">
            <v>DD-J10-55015-5503-Z</v>
          </cell>
          <cell r="E12004" t="str">
            <v>接管嘴</v>
          </cell>
        </row>
        <row r="12005">
          <cell r="D12005" t="str">
            <v>DD-J10-55015-5503-Z</v>
          </cell>
          <cell r="E12005" t="str">
            <v>接管嘴</v>
          </cell>
        </row>
        <row r="12006">
          <cell r="D12006" t="str">
            <v>DD-J10-55015-5503-Z</v>
          </cell>
          <cell r="E12006" t="str">
            <v>接管嘴</v>
          </cell>
        </row>
        <row r="12007">
          <cell r="D12007" t="str">
            <v>DD-J10B-04061-1</v>
          </cell>
          <cell r="E12007" t="str">
            <v>10860框</v>
          </cell>
        </row>
        <row r="12008">
          <cell r="D12008" t="str">
            <v>DD-J10B-04061-1</v>
          </cell>
          <cell r="E12008" t="str">
            <v>10860框</v>
          </cell>
        </row>
        <row r="12009">
          <cell r="D12009" t="str">
            <v>CB5323210-005L065</v>
          </cell>
          <cell r="E12009" t="str">
            <v>9350-11140左侧上梁</v>
          </cell>
        </row>
        <row r="12010">
          <cell r="D12010" t="str">
            <v>CB5323220-052-024</v>
          </cell>
          <cell r="E12010" t="str">
            <v>9350-11140右侧上梁</v>
          </cell>
        </row>
        <row r="12011">
          <cell r="D12011" t="str">
            <v>Y20-5319120059-001</v>
          </cell>
          <cell r="E12011" t="str">
            <v>隔挡角材</v>
          </cell>
        </row>
        <row r="12012">
          <cell r="D12012" t="str">
            <v>Y20-5312100064-001</v>
          </cell>
          <cell r="E12012" t="str">
            <v>型材</v>
          </cell>
        </row>
        <row r="12013">
          <cell r="D12013" t="str">
            <v>Y20-5314118004-001</v>
          </cell>
          <cell r="E12013" t="str">
            <v>对接角片</v>
          </cell>
        </row>
        <row r="12014">
          <cell r="D12014" t="str">
            <v>Y20-5314118004-002</v>
          </cell>
          <cell r="E12014" t="str">
            <v>对接角片</v>
          </cell>
        </row>
        <row r="12015">
          <cell r="D12015" t="str">
            <v>Y20-5316100301-001</v>
          </cell>
          <cell r="E12015" t="str">
            <v>地板纵向件</v>
          </cell>
        </row>
        <row r="12016">
          <cell r="D12016" t="str">
            <v>Y20-5316100301-001</v>
          </cell>
          <cell r="E12016" t="str">
            <v>地板纵向件</v>
          </cell>
        </row>
        <row r="12017">
          <cell r="D12017" t="str">
            <v>Y20-5311123015-001</v>
          </cell>
          <cell r="E12017" t="str">
            <v>应急救生船抛放口盖</v>
          </cell>
        </row>
        <row r="12018">
          <cell r="D12018" t="str">
            <v>Y20-5316100300-001</v>
          </cell>
          <cell r="E12018" t="str">
            <v>地板纵向件</v>
          </cell>
        </row>
        <row r="12019">
          <cell r="D12019" t="str">
            <v>Y20-5316320025-001</v>
          </cell>
          <cell r="E12019" t="str">
            <v>16-17框地板纵梁</v>
          </cell>
        </row>
        <row r="12020">
          <cell r="D12020" t="str">
            <v>Y20-5316320025-001</v>
          </cell>
          <cell r="E12020" t="str">
            <v>16-17框地板纵梁</v>
          </cell>
        </row>
        <row r="12021">
          <cell r="D12021" t="str">
            <v>Y20-5314117012-001</v>
          </cell>
          <cell r="E12021" t="str">
            <v>对接角片</v>
          </cell>
        </row>
        <row r="12022">
          <cell r="D12022" t="str">
            <v>Y20-5314117012-002</v>
          </cell>
          <cell r="E12022" t="str">
            <v>对接角片</v>
          </cell>
        </row>
        <row r="12023">
          <cell r="D12023" t="str">
            <v>Y20-5314117013-001</v>
          </cell>
          <cell r="E12023" t="str">
            <v>对接角片</v>
          </cell>
        </row>
        <row r="12024">
          <cell r="D12024" t="str">
            <v>Y20-5314117013-002</v>
          </cell>
          <cell r="E12024" t="str">
            <v>对接角片</v>
          </cell>
        </row>
        <row r="12025">
          <cell r="D12025" t="str">
            <v>Y20-5314120012-001</v>
          </cell>
          <cell r="E12025" t="str">
            <v>对接角片</v>
          </cell>
        </row>
        <row r="12026">
          <cell r="D12026" t="str">
            <v>Y20-5314120012-002</v>
          </cell>
          <cell r="E12026" t="str">
            <v>对接角片</v>
          </cell>
        </row>
        <row r="12027">
          <cell r="D12027" t="str">
            <v>Y20-5312225701-001</v>
          </cell>
          <cell r="E12027" t="str">
            <v>纵向加强件</v>
          </cell>
        </row>
        <row r="12028">
          <cell r="D12028" t="str">
            <v>Y20-5312225701-001</v>
          </cell>
          <cell r="E12028" t="str">
            <v>纵向加强件</v>
          </cell>
        </row>
        <row r="12029">
          <cell r="D12029" t="str">
            <v>Y20-5312225701-001</v>
          </cell>
          <cell r="E12029" t="str">
            <v>纵向加强件</v>
          </cell>
        </row>
        <row r="12030">
          <cell r="D12030" t="str">
            <v>Y20-5312225701-001</v>
          </cell>
          <cell r="E12030" t="str">
            <v>纵向加强件</v>
          </cell>
        </row>
        <row r="12031">
          <cell r="D12031" t="str">
            <v>Y20-5312225701-002</v>
          </cell>
          <cell r="E12031" t="str">
            <v>纵向加强件</v>
          </cell>
        </row>
        <row r="12032">
          <cell r="D12032" t="str">
            <v>Y20-5312225701-002</v>
          </cell>
          <cell r="E12032" t="str">
            <v>纵向加强件</v>
          </cell>
        </row>
        <row r="12033">
          <cell r="D12033" t="str">
            <v>Y20-5312225701-002</v>
          </cell>
          <cell r="E12033" t="str">
            <v>纵向加强件</v>
          </cell>
        </row>
        <row r="12034">
          <cell r="D12034" t="str">
            <v>Y20-5312225701-002</v>
          </cell>
          <cell r="E12034" t="str">
            <v>纵向加强件</v>
          </cell>
        </row>
        <row r="12035">
          <cell r="D12035" t="str">
            <v>Y20-5828025006-001</v>
          </cell>
          <cell r="E12035" t="str">
            <v>支撑衬套</v>
          </cell>
        </row>
        <row r="12036">
          <cell r="D12036" t="str">
            <v>Y20-5318210002-002</v>
          </cell>
          <cell r="E12036" t="str">
            <v>前撑杆交点衬套</v>
          </cell>
        </row>
        <row r="12037">
          <cell r="D12037" t="str">
            <v>CB2248145-001-006</v>
          </cell>
          <cell r="E12037" t="str">
            <v>支片5</v>
          </cell>
        </row>
        <row r="12038">
          <cell r="D12038" t="str">
            <v>CB5314240-012-003</v>
          </cell>
          <cell r="E12038" t="str">
            <v>后顶板</v>
          </cell>
        </row>
        <row r="12039">
          <cell r="D12039" t="str">
            <v>CB5314240-012-003</v>
          </cell>
          <cell r="E12039" t="str">
            <v>后顶板</v>
          </cell>
        </row>
        <row r="12040">
          <cell r="D12040" t="str">
            <v>CB5314240-012-003</v>
          </cell>
          <cell r="E12040" t="str">
            <v>后顶板</v>
          </cell>
        </row>
        <row r="12041">
          <cell r="D12041" t="str">
            <v>DD-J10B-21402-90G2-1G2-Y</v>
          </cell>
          <cell r="E12041" t="str">
            <v>固定前缘端肋（右件）</v>
          </cell>
        </row>
        <row r="12042">
          <cell r="D12042" t="str">
            <v>DD-J10B-21402-90G2-1G2-Y</v>
          </cell>
          <cell r="E12042" t="str">
            <v>固定前缘端肋（右件）</v>
          </cell>
        </row>
        <row r="12043">
          <cell r="D12043" t="str">
            <v>DD-J10B-21402-90G2-1G2-Y</v>
          </cell>
          <cell r="E12043" t="str">
            <v>固定前缘端肋（右件）</v>
          </cell>
        </row>
        <row r="12044">
          <cell r="D12044" t="str">
            <v>DD-J10B-21402-90G2-1G2-Z</v>
          </cell>
          <cell r="E12044" t="str">
            <v>固定前缘端肋（左件）</v>
          </cell>
        </row>
        <row r="12045">
          <cell r="D12045" t="str">
            <v>DD-J10B-21402-90G2-1G2-Z</v>
          </cell>
          <cell r="E12045" t="str">
            <v>固定前缘端肋（左件）</v>
          </cell>
        </row>
        <row r="12046">
          <cell r="D12046" t="str">
            <v>DD-J10B-21402-90G2-1G2-Z</v>
          </cell>
          <cell r="E12046" t="str">
            <v>固定前缘端肋（左件）</v>
          </cell>
        </row>
        <row r="12047">
          <cell r="D12047" t="str">
            <v>DD-J10-06031-302</v>
          </cell>
          <cell r="E12047" t="str">
            <v>支座</v>
          </cell>
        </row>
        <row r="12048">
          <cell r="D12048" t="str">
            <v>DD-J10-06031-302</v>
          </cell>
          <cell r="E12048" t="str">
            <v>支座</v>
          </cell>
        </row>
        <row r="12049">
          <cell r="D12049" t="str">
            <v>DD-J10-41173-147</v>
          </cell>
          <cell r="E12049" t="str">
            <v>拨叉</v>
          </cell>
        </row>
        <row r="12050">
          <cell r="D12050" t="str">
            <v>DD-J10-41173-147</v>
          </cell>
          <cell r="E12050" t="str">
            <v>拨叉</v>
          </cell>
        </row>
        <row r="12051">
          <cell r="D12051" t="str">
            <v>DD-J10-41173-141</v>
          </cell>
          <cell r="E12051" t="str">
            <v>拨叉</v>
          </cell>
        </row>
        <row r="12052">
          <cell r="D12052" t="str">
            <v>DD-J10-55014-1401</v>
          </cell>
          <cell r="E12052" t="str">
            <v>管接头</v>
          </cell>
        </row>
        <row r="12053">
          <cell r="D12053" t="str">
            <v>DD-J10-41153-140-1</v>
          </cell>
          <cell r="E12053" t="str">
            <v>开锁摇臂</v>
          </cell>
        </row>
        <row r="12054">
          <cell r="D12054" t="str">
            <v>DD-J10B-55181-19</v>
          </cell>
          <cell r="E12054" t="str">
            <v>转接管接头</v>
          </cell>
        </row>
        <row r="12055">
          <cell r="D12055" t="str">
            <v>DD-J10B-55181-19</v>
          </cell>
          <cell r="E12055" t="str">
            <v>转接管接头</v>
          </cell>
        </row>
        <row r="12056">
          <cell r="D12056" t="str">
            <v>BC2332H01-008-001</v>
          </cell>
          <cell r="E12056" t="str">
            <v>衬套</v>
          </cell>
        </row>
        <row r="12057">
          <cell r="D12057" t="str">
            <v>BC2716320-001-002</v>
          </cell>
          <cell r="E12057" t="str">
            <v>安装支架</v>
          </cell>
        </row>
        <row r="12058">
          <cell r="D12058" t="str">
            <v>BC5819311-001-001</v>
          </cell>
          <cell r="E12058" t="str">
            <v>耳环螺栓</v>
          </cell>
        </row>
        <row r="12059">
          <cell r="D12059" t="str">
            <v>BC2712542-001-001</v>
          </cell>
          <cell r="E12059" t="str">
            <v>带耳螺栓</v>
          </cell>
        </row>
        <row r="12060">
          <cell r="D12060" t="str">
            <v>BC2712542-001-001</v>
          </cell>
          <cell r="E12060" t="str">
            <v>带耳螺栓</v>
          </cell>
        </row>
        <row r="12061">
          <cell r="D12061" t="str">
            <v>BC5812812-001-001</v>
          </cell>
          <cell r="E12061" t="str">
            <v>耳环螺栓</v>
          </cell>
        </row>
        <row r="12062">
          <cell r="D12062" t="str">
            <v>BC2295R10-001-001</v>
          </cell>
          <cell r="E12062" t="str">
            <v>三通管接头</v>
          </cell>
        </row>
        <row r="12063">
          <cell r="D12063" t="str">
            <v>BC221T1AC-001-002</v>
          </cell>
          <cell r="E12063" t="str">
            <v>法兰</v>
          </cell>
        </row>
        <row r="12064">
          <cell r="D12064" t="str">
            <v>BC2714800-002-001</v>
          </cell>
          <cell r="E12064" t="str">
            <v>外套螺母</v>
          </cell>
        </row>
        <row r="12065">
          <cell r="D12065" t="str">
            <v>CB22844A0-002-001</v>
          </cell>
          <cell r="E12065" t="str">
            <v>三通接头</v>
          </cell>
        </row>
        <row r="12066">
          <cell r="D12066" t="str">
            <v>CB22844A0-002-001</v>
          </cell>
          <cell r="E12066" t="str">
            <v>三通接头</v>
          </cell>
        </row>
        <row r="12067">
          <cell r="D12067" t="str">
            <v>CB2284460-007-001</v>
          </cell>
          <cell r="E12067" t="str">
            <v>四通接头</v>
          </cell>
        </row>
        <row r="12068">
          <cell r="D12068" t="str">
            <v>CB2284480-004-001</v>
          </cell>
          <cell r="E12068" t="str">
            <v>四通接头</v>
          </cell>
        </row>
        <row r="12069">
          <cell r="D12069" t="str">
            <v>CB2747F80-003-001</v>
          </cell>
          <cell r="E12069" t="str">
            <v>管接头</v>
          </cell>
        </row>
        <row r="12070">
          <cell r="D12070" t="str">
            <v>CB2747F80-003-001</v>
          </cell>
          <cell r="E12070" t="str">
            <v>管接头</v>
          </cell>
        </row>
        <row r="12071">
          <cell r="D12071" t="str">
            <v>CB2280211-025-001</v>
          </cell>
          <cell r="E12071" t="str">
            <v>穿框管接头</v>
          </cell>
        </row>
        <row r="12072">
          <cell r="D12072" t="str">
            <v>CB2280211-025-001</v>
          </cell>
          <cell r="E12072" t="str">
            <v>穿框管接头</v>
          </cell>
        </row>
        <row r="12073">
          <cell r="D12073" t="str">
            <v>CB2280211-025-001</v>
          </cell>
          <cell r="E12073" t="str">
            <v>穿框管接头</v>
          </cell>
        </row>
        <row r="12074">
          <cell r="D12074" t="str">
            <v>CB221T1LD-003-001</v>
          </cell>
          <cell r="E12074" t="str">
            <v>接管嘴</v>
          </cell>
        </row>
        <row r="12075">
          <cell r="D12075" t="str">
            <v>CB221T1LD-003-001</v>
          </cell>
          <cell r="E12075" t="str">
            <v>接管嘴</v>
          </cell>
        </row>
        <row r="12076">
          <cell r="D12076" t="str">
            <v>CB2283664-002-001</v>
          </cell>
          <cell r="E12076" t="str">
            <v>法兰</v>
          </cell>
        </row>
        <row r="12077">
          <cell r="D12077" t="str">
            <v>EA5740020-004R101</v>
          </cell>
          <cell r="E12077" t="str">
            <v>右侧梁</v>
          </cell>
        </row>
        <row r="12078">
          <cell r="D12078" t="str">
            <v>EA5740020-004L101</v>
          </cell>
          <cell r="E12078" t="str">
            <v>右侧梁</v>
          </cell>
        </row>
        <row r="12079">
          <cell r="D12079" t="str">
            <v>Y20-5828025006-001</v>
          </cell>
          <cell r="E12079" t="str">
            <v>支撑衬套</v>
          </cell>
        </row>
        <row r="12080">
          <cell r="D12080" t="str">
            <v>CB2280211-006-001</v>
          </cell>
          <cell r="E12080" t="str">
            <v>穿框管接头</v>
          </cell>
        </row>
        <row r="12081">
          <cell r="D12081" t="str">
            <v>DD-J10B-54302-30-1</v>
          </cell>
          <cell r="E12081" t="str">
            <v>故障保护装置支座</v>
          </cell>
        </row>
        <row r="12082">
          <cell r="D12082" t="str">
            <v>DD-J10B-54302-30-1</v>
          </cell>
          <cell r="E12082" t="str">
            <v>故障保护装置支座</v>
          </cell>
        </row>
        <row r="12083">
          <cell r="D12083" t="str">
            <v>DD-J10B-94091-25G2</v>
          </cell>
          <cell r="E12083" t="str">
            <v>20-20-16三通接头</v>
          </cell>
        </row>
        <row r="12084">
          <cell r="D12084" t="str">
            <v>DD-J10B-61201-712</v>
          </cell>
          <cell r="E12084" t="str">
            <v>弯接头</v>
          </cell>
        </row>
        <row r="12085">
          <cell r="D12085" t="str">
            <v>DD-J10B-94091-4071G2</v>
          </cell>
          <cell r="E12085" t="str">
            <v>四通</v>
          </cell>
        </row>
        <row r="12086">
          <cell r="D12086" t="str">
            <v>DD-J10B-94091-4081G2</v>
          </cell>
          <cell r="E12086" t="str">
            <v>三通</v>
          </cell>
        </row>
        <row r="12087">
          <cell r="D12087" t="str">
            <v>BC2295132-002-002</v>
          </cell>
          <cell r="E12087" t="str">
            <v>三通接头</v>
          </cell>
        </row>
        <row r="12088">
          <cell r="D12088" t="str">
            <v>BC2295132-002-002</v>
          </cell>
          <cell r="E12088" t="str">
            <v>三通接头</v>
          </cell>
        </row>
        <row r="12089">
          <cell r="D12089" t="str">
            <v>BC5812000-005-001</v>
          </cell>
          <cell r="E12089" t="str">
            <v>拨轴</v>
          </cell>
        </row>
        <row r="12090">
          <cell r="D12090" t="str">
            <v>BC5711440-001-002</v>
          </cell>
          <cell r="E12090" t="str">
            <v>螺栓</v>
          </cell>
        </row>
        <row r="12091">
          <cell r="D12091" t="str">
            <v>BC22971B1-002-001</v>
          </cell>
          <cell r="E12091" t="str">
            <v>带限流的直通过框接头</v>
          </cell>
        </row>
        <row r="12092">
          <cell r="D12092" t="str">
            <v>BC22971B1-002-001</v>
          </cell>
          <cell r="E12092" t="str">
            <v>带限流的直通过框接头</v>
          </cell>
        </row>
        <row r="12093">
          <cell r="D12093" t="str">
            <v>BC2712521-001-001</v>
          </cell>
          <cell r="E12093" t="str">
            <v>摇臂</v>
          </cell>
        </row>
        <row r="12094">
          <cell r="D12094" t="str">
            <v>BC5314400-009-001</v>
          </cell>
          <cell r="E12094" t="str">
            <v>垫块</v>
          </cell>
        </row>
        <row r="12095">
          <cell r="D12095" t="str">
            <v>BC5812420-001-003</v>
          </cell>
          <cell r="E12095" t="str">
            <v>锁钩本体</v>
          </cell>
        </row>
        <row r="12096">
          <cell r="D12096" t="str">
            <v>DD-J10-55181-66</v>
          </cell>
          <cell r="E12096" t="str">
            <v>转接管接头</v>
          </cell>
        </row>
        <row r="12097">
          <cell r="D12097" t="str">
            <v>5613A380032G010</v>
          </cell>
          <cell r="E12097" t="str">
            <v>手柄底座</v>
          </cell>
        </row>
        <row r="12098">
          <cell r="D12098" t="str">
            <v>5613A380032G010</v>
          </cell>
          <cell r="E12098" t="str">
            <v>手柄底座</v>
          </cell>
        </row>
        <row r="12099">
          <cell r="D12099" t="str">
            <v>CB5324413-004-002</v>
          </cell>
          <cell r="E12099" t="str">
            <v>油箱底板（中）</v>
          </cell>
        </row>
        <row r="12100">
          <cell r="D12100" t="str">
            <v>521A1200-007-001</v>
          </cell>
          <cell r="E12100" t="str">
            <v>支撑件</v>
          </cell>
        </row>
        <row r="12101">
          <cell r="D12101" t="str">
            <v>531A5500-001-501</v>
          </cell>
          <cell r="E12101" t="str">
            <v>纵梁上半部分</v>
          </cell>
        </row>
        <row r="12102">
          <cell r="D12102" t="str">
            <v>DD-J10B-04051-1</v>
          </cell>
          <cell r="E12102" t="str">
            <v>10460框</v>
          </cell>
        </row>
        <row r="12103">
          <cell r="D12103" t="str">
            <v>DD-J10B-21002-2-Z</v>
          </cell>
          <cell r="E12103" t="str">
            <v>4号下壁板（左件）</v>
          </cell>
        </row>
        <row r="12104">
          <cell r="D12104" t="str">
            <v>DD-J10B-21002-2-Z</v>
          </cell>
          <cell r="E12104" t="str">
            <v>4号下壁板（左件）</v>
          </cell>
        </row>
        <row r="12105">
          <cell r="D12105" t="str">
            <v>DD-J10B-21002-2-Y</v>
          </cell>
          <cell r="E12105" t="str">
            <v>4号下壁板（右件）</v>
          </cell>
        </row>
        <row r="12106">
          <cell r="D12106" t="str">
            <v>DD-J10B-21002-2-Y</v>
          </cell>
          <cell r="E12106" t="str">
            <v>4号下壁板（右件）</v>
          </cell>
        </row>
        <row r="12107">
          <cell r="D12107" t="str">
            <v>DD-J10B-21002-2-Y</v>
          </cell>
          <cell r="E12107" t="str">
            <v>4号下壁板（右件）</v>
          </cell>
        </row>
        <row r="12108">
          <cell r="D12108" t="str">
            <v>DD-J10-21102-31-Y</v>
          </cell>
          <cell r="E12108" t="str">
            <v>10060上接头</v>
          </cell>
        </row>
        <row r="12109">
          <cell r="D12109" t="str">
            <v>DD-J10-21102-31-Y</v>
          </cell>
          <cell r="E12109" t="str">
            <v>10060上接头</v>
          </cell>
        </row>
        <row r="12110">
          <cell r="D12110" t="str">
            <v>DD-J10-21102-31-Z</v>
          </cell>
          <cell r="E12110" t="str">
            <v>10060上接头</v>
          </cell>
        </row>
        <row r="12111">
          <cell r="D12111" t="str">
            <v>DD-J10-21102-31-Z</v>
          </cell>
          <cell r="E12111" t="str">
            <v>10060上接头</v>
          </cell>
        </row>
        <row r="12112">
          <cell r="D12112" t="str">
            <v>DD-J10-21102-31-Z</v>
          </cell>
          <cell r="E12112" t="str">
            <v>10060上接头</v>
          </cell>
        </row>
        <row r="12113">
          <cell r="D12113" t="str">
            <v>Y20-5318100048-001</v>
          </cell>
          <cell r="E12113" t="str">
            <v>12框加强件</v>
          </cell>
        </row>
        <row r="12114">
          <cell r="D12114" t="str">
            <v>Y20-4383220003-001</v>
          </cell>
          <cell r="E12114" t="str">
            <v>支架</v>
          </cell>
        </row>
        <row r="12115">
          <cell r="D12115" t="str">
            <v>Y20-5312225905-001</v>
          </cell>
          <cell r="E12115" t="str">
            <v>短梁</v>
          </cell>
        </row>
        <row r="12116">
          <cell r="D12116" t="str">
            <v>Y20-5312225905-002</v>
          </cell>
          <cell r="E12116" t="str">
            <v>短梁</v>
          </cell>
        </row>
        <row r="12117">
          <cell r="D12117" t="str">
            <v>Y20-5313102007-001</v>
          </cell>
          <cell r="E12117" t="str">
            <v>短梁</v>
          </cell>
        </row>
        <row r="12118">
          <cell r="D12118" t="str">
            <v>Y20-5313102007-001</v>
          </cell>
          <cell r="E12118" t="str">
            <v>短梁</v>
          </cell>
        </row>
        <row r="12119">
          <cell r="D12119" t="str">
            <v>Y20-4252103803-001</v>
          </cell>
          <cell r="E12119" t="str">
            <v>角片</v>
          </cell>
        </row>
        <row r="12120">
          <cell r="D12120" t="str">
            <v>Y20-4252103803-001</v>
          </cell>
          <cell r="E12120" t="str">
            <v>角片</v>
          </cell>
        </row>
        <row r="12121">
          <cell r="D12121" t="str">
            <v>Y20-4252103803-001</v>
          </cell>
          <cell r="E12121" t="str">
            <v>角片</v>
          </cell>
        </row>
        <row r="12122">
          <cell r="D12122" t="str">
            <v>Y20-4252103803-001</v>
          </cell>
          <cell r="E12122" t="str">
            <v>角片</v>
          </cell>
        </row>
        <row r="12123">
          <cell r="D12123" t="str">
            <v>Y20-5319170012-001</v>
          </cell>
          <cell r="E12123" t="str">
            <v>机加角型材</v>
          </cell>
        </row>
        <row r="12124">
          <cell r="D12124" t="str">
            <v>Y20-5319170012-001</v>
          </cell>
          <cell r="E12124" t="str">
            <v>机加角型材</v>
          </cell>
        </row>
        <row r="12125">
          <cell r="D12125" t="str">
            <v>Y20-5319170012-001</v>
          </cell>
          <cell r="E12125" t="str">
            <v>机加角型材</v>
          </cell>
        </row>
        <row r="12126">
          <cell r="D12126" t="str">
            <v>Y20-5319170012-001</v>
          </cell>
          <cell r="E12126" t="str">
            <v>机加角型材</v>
          </cell>
        </row>
        <row r="12127">
          <cell r="D12127" t="str">
            <v>Y20-5319170012-002</v>
          </cell>
          <cell r="E12127" t="str">
            <v>机加角型材</v>
          </cell>
        </row>
        <row r="12128">
          <cell r="D12128" t="str">
            <v>Y20-5319170012-002</v>
          </cell>
          <cell r="E12128" t="str">
            <v>机加角型材</v>
          </cell>
        </row>
        <row r="12129">
          <cell r="D12129" t="str">
            <v>Y20-5319170012-002</v>
          </cell>
          <cell r="E12129" t="str">
            <v>机加角型材</v>
          </cell>
        </row>
        <row r="12130">
          <cell r="D12130" t="str">
            <v>Y20-5319170012-002</v>
          </cell>
          <cell r="E12130" t="str">
            <v>机加角型材</v>
          </cell>
        </row>
        <row r="12131">
          <cell r="D12131" t="str">
            <v>Y20-5317018021-001</v>
          </cell>
          <cell r="E12131" t="str">
            <v>工字型材</v>
          </cell>
        </row>
        <row r="12132">
          <cell r="D12132" t="str">
            <v>Y20-5317018021-001</v>
          </cell>
          <cell r="E12132" t="str">
            <v>工字型材</v>
          </cell>
        </row>
        <row r="12133">
          <cell r="D12133" t="str">
            <v>Y20-5317018021-001</v>
          </cell>
          <cell r="E12133" t="str">
            <v>工字型材</v>
          </cell>
        </row>
        <row r="12134">
          <cell r="D12134" t="str">
            <v>Y20-5317018021-001</v>
          </cell>
          <cell r="E12134" t="str">
            <v>工字型材</v>
          </cell>
        </row>
        <row r="12135">
          <cell r="D12135" t="str">
            <v>Y20-5317018021-001</v>
          </cell>
          <cell r="E12135" t="str">
            <v>工字型材</v>
          </cell>
        </row>
        <row r="12136">
          <cell r="D12136" t="str">
            <v>Y20-5317018021-001</v>
          </cell>
          <cell r="E12136" t="str">
            <v>工字型材</v>
          </cell>
        </row>
        <row r="12137">
          <cell r="D12137" t="str">
            <v>Y20-5317018021-001</v>
          </cell>
          <cell r="E12137" t="str">
            <v>工字型材</v>
          </cell>
        </row>
        <row r="12138">
          <cell r="D12138" t="str">
            <v>Y20-5317018021-001</v>
          </cell>
          <cell r="E12138" t="str">
            <v>工字型材</v>
          </cell>
        </row>
        <row r="12139">
          <cell r="D12139" t="str">
            <v>Y20-5317018021-001</v>
          </cell>
          <cell r="E12139" t="str">
            <v>工字型材</v>
          </cell>
        </row>
        <row r="12140">
          <cell r="D12140" t="str">
            <v>Y20-5317018021-001</v>
          </cell>
          <cell r="E12140" t="str">
            <v>工字型材</v>
          </cell>
        </row>
        <row r="12141">
          <cell r="D12141" t="str">
            <v>Y20-5312224004-001</v>
          </cell>
          <cell r="E12141" t="str">
            <v>18框前33长桁</v>
          </cell>
        </row>
        <row r="12142">
          <cell r="D12142" t="str">
            <v>Y20-5312224004-001</v>
          </cell>
          <cell r="E12142" t="str">
            <v>18框前33长桁</v>
          </cell>
        </row>
        <row r="12143">
          <cell r="D12143" t="str">
            <v>Y20-5312224004-001</v>
          </cell>
          <cell r="E12143" t="str">
            <v>18框前33长桁</v>
          </cell>
        </row>
        <row r="12144">
          <cell r="D12144" t="str">
            <v>Y20-5312224004-001</v>
          </cell>
          <cell r="E12144" t="str">
            <v>18框前33长桁</v>
          </cell>
        </row>
        <row r="12145">
          <cell r="D12145" t="str">
            <v>Y20-5312224004-001</v>
          </cell>
          <cell r="E12145" t="str">
            <v>18框前33长桁</v>
          </cell>
        </row>
        <row r="12146">
          <cell r="D12146" t="str">
            <v>Y20-5312224004-001</v>
          </cell>
          <cell r="E12146" t="str">
            <v>18框前33长桁</v>
          </cell>
        </row>
        <row r="12147">
          <cell r="D12147" t="str">
            <v>Y20-5312224004-002</v>
          </cell>
          <cell r="E12147" t="str">
            <v>18框前33长桁</v>
          </cell>
        </row>
        <row r="12148">
          <cell r="D12148" t="str">
            <v>Y20-5312224004-002</v>
          </cell>
          <cell r="E12148" t="str">
            <v>18框前33长桁</v>
          </cell>
        </row>
        <row r="12149">
          <cell r="D12149" t="str">
            <v>Y20-5312224004-002</v>
          </cell>
          <cell r="E12149" t="str">
            <v>18框前33长桁</v>
          </cell>
        </row>
        <row r="12150">
          <cell r="D12150" t="str">
            <v>Y20-5312224004-002</v>
          </cell>
          <cell r="E12150" t="str">
            <v>18框前33长桁</v>
          </cell>
        </row>
        <row r="12151">
          <cell r="D12151" t="str">
            <v>Y20-5312224004-002</v>
          </cell>
          <cell r="E12151" t="str">
            <v>18框前33长桁</v>
          </cell>
        </row>
        <row r="12152">
          <cell r="D12152" t="str">
            <v>Y20-5312224004-002</v>
          </cell>
          <cell r="E12152" t="str">
            <v>18框前33长桁</v>
          </cell>
        </row>
        <row r="12153">
          <cell r="D12153" t="str">
            <v>CB5512300-005L002</v>
          </cell>
          <cell r="E12153" t="str">
            <v>根肋后段</v>
          </cell>
        </row>
        <row r="12154">
          <cell r="D12154" t="str">
            <v>CB5512300-005R002</v>
          </cell>
          <cell r="E12154" t="str">
            <v>根肋后段</v>
          </cell>
        </row>
        <row r="12155">
          <cell r="D12155" t="str">
            <v>DD-J10-55051-6101</v>
          </cell>
          <cell r="E12155" t="str">
            <v>接管嘴</v>
          </cell>
        </row>
        <row r="12156">
          <cell r="D12156" t="str">
            <v>CB2276731-007-001</v>
          </cell>
          <cell r="E12156" t="str">
            <v>筋条5</v>
          </cell>
        </row>
        <row r="12157">
          <cell r="D12157" t="str">
            <v>CB2284752-004-001</v>
          </cell>
          <cell r="E12157" t="str">
            <v>法兰</v>
          </cell>
        </row>
        <row r="12158">
          <cell r="D12158" t="str">
            <v>BC5812000-003-001</v>
          </cell>
          <cell r="E12158" t="str">
            <v>衬套</v>
          </cell>
        </row>
        <row r="12159">
          <cell r="D12159" t="str">
            <v>BC5812000-011-001</v>
          </cell>
          <cell r="E12159" t="str">
            <v>拉杆</v>
          </cell>
        </row>
        <row r="12160">
          <cell r="D12160" t="str">
            <v>CB5713600-001R004</v>
          </cell>
          <cell r="E12160" t="str">
            <v>前梁一段</v>
          </cell>
        </row>
        <row r="12161">
          <cell r="D12161" t="str">
            <v>CB5713600-001L006</v>
          </cell>
          <cell r="E12161" t="str">
            <v>前梁一段</v>
          </cell>
        </row>
        <row r="12162">
          <cell r="D12162" t="str">
            <v>531A1100-008-001</v>
          </cell>
          <cell r="E12162" t="str">
            <v>铰链支撑件</v>
          </cell>
        </row>
        <row r="12163">
          <cell r="D12163" t="str">
            <v>531A3430-000-057</v>
          </cell>
          <cell r="E12163" t="str">
            <v>角材</v>
          </cell>
        </row>
        <row r="12164">
          <cell r="D12164" t="str">
            <v>260A1510-021-001</v>
          </cell>
          <cell r="E12164" t="str">
            <v>支撑板</v>
          </cell>
        </row>
        <row r="12165">
          <cell r="D12165" t="str">
            <v>531A1400-006-001</v>
          </cell>
          <cell r="E12165" t="str">
            <v>接头</v>
          </cell>
        </row>
        <row r="12166">
          <cell r="D12166" t="str">
            <v>531A9800-009-001</v>
          </cell>
          <cell r="E12166" t="str">
            <v>支座</v>
          </cell>
        </row>
        <row r="12167">
          <cell r="D12167" t="str">
            <v>531A9800-007-001</v>
          </cell>
          <cell r="E12167" t="str">
            <v>挂钩</v>
          </cell>
        </row>
        <row r="12168">
          <cell r="D12168" t="str">
            <v>531A9910-001-001</v>
          </cell>
          <cell r="E12168" t="str">
            <v>脚踏板支架</v>
          </cell>
        </row>
        <row r="12169">
          <cell r="D12169" t="str">
            <v>531A9910-001-002</v>
          </cell>
          <cell r="E12169" t="str">
            <v>脚踏板支架</v>
          </cell>
        </row>
        <row r="12170">
          <cell r="D12170" t="str">
            <v>531A9910-003-001</v>
          </cell>
          <cell r="E12170" t="str">
            <v>接头</v>
          </cell>
        </row>
        <row r="12171">
          <cell r="D12171" t="str">
            <v>CB5512300-005L002</v>
          </cell>
          <cell r="E12171" t="str">
            <v>根肋后段</v>
          </cell>
        </row>
        <row r="12172">
          <cell r="D12172" t="str">
            <v>CB5512300-005L002</v>
          </cell>
          <cell r="E12172" t="str">
            <v>根肋后段</v>
          </cell>
        </row>
        <row r="12173">
          <cell r="D12173" t="str">
            <v>CB5512300-005L002</v>
          </cell>
          <cell r="E12173" t="str">
            <v>根肋后段</v>
          </cell>
        </row>
        <row r="12174">
          <cell r="D12174" t="str">
            <v>CB5512300-005L002</v>
          </cell>
          <cell r="E12174" t="str">
            <v>根肋后段</v>
          </cell>
        </row>
        <row r="12175">
          <cell r="D12175" t="str">
            <v>CB5512300-005R002</v>
          </cell>
          <cell r="E12175" t="str">
            <v>根肋后段</v>
          </cell>
        </row>
        <row r="12176">
          <cell r="D12176" t="str">
            <v>CB5512300-005R002</v>
          </cell>
          <cell r="E12176" t="str">
            <v>根肋后段</v>
          </cell>
        </row>
        <row r="12177">
          <cell r="D12177" t="str">
            <v>CB5512300-005R002</v>
          </cell>
          <cell r="E12177" t="str">
            <v>根肋后段</v>
          </cell>
        </row>
        <row r="12178">
          <cell r="D12178" t="str">
            <v>CB5512300-006L003</v>
          </cell>
          <cell r="E12178" t="str">
            <v>1#斜肋</v>
          </cell>
        </row>
        <row r="12179">
          <cell r="D12179" t="str">
            <v>CB5512300-006L003</v>
          </cell>
          <cell r="E12179" t="str">
            <v>1#斜肋</v>
          </cell>
        </row>
        <row r="12180">
          <cell r="D12180" t="str">
            <v>CB5512300-006L003</v>
          </cell>
          <cell r="E12180" t="str">
            <v>1#斜肋</v>
          </cell>
        </row>
        <row r="12181">
          <cell r="D12181" t="str">
            <v>CB5512300-006L003</v>
          </cell>
          <cell r="E12181" t="str">
            <v>1#斜肋</v>
          </cell>
        </row>
        <row r="12182">
          <cell r="D12182" t="str">
            <v>CB5512300-006R003</v>
          </cell>
          <cell r="E12182" t="str">
            <v>1#斜肋</v>
          </cell>
        </row>
        <row r="12183">
          <cell r="D12183" t="str">
            <v>CB5512300-006R003</v>
          </cell>
          <cell r="E12183" t="str">
            <v>1#斜肋</v>
          </cell>
        </row>
        <row r="12184">
          <cell r="D12184" t="str">
            <v>CB5512300-006R003</v>
          </cell>
          <cell r="E12184" t="str">
            <v>1#斜肋</v>
          </cell>
        </row>
        <row r="12185">
          <cell r="D12185" t="str">
            <v>CB5512300-006R003</v>
          </cell>
          <cell r="E12185" t="str">
            <v>1#斜肋</v>
          </cell>
        </row>
        <row r="12186">
          <cell r="D12186" t="str">
            <v>5214A000001G010</v>
          </cell>
          <cell r="E12186" t="str">
            <v>垫圈</v>
          </cell>
        </row>
        <row r="12187">
          <cell r="D12187" t="str">
            <v>CB2210260-001-001</v>
          </cell>
          <cell r="E12187" t="str">
            <v>支架</v>
          </cell>
        </row>
        <row r="12188">
          <cell r="D12188" t="str">
            <v>CB2298814-002-001</v>
          </cell>
          <cell r="E12188" t="str">
            <v>角片</v>
          </cell>
        </row>
        <row r="12189">
          <cell r="D12189" t="str">
            <v>CB5323320-007L001</v>
          </cell>
          <cell r="E12189" t="str">
            <v>角盒</v>
          </cell>
        </row>
        <row r="12190">
          <cell r="D12190" t="str">
            <v>CB5323320-007R001</v>
          </cell>
          <cell r="E12190" t="str">
            <v>角盒</v>
          </cell>
        </row>
        <row r="12191">
          <cell r="D12191" t="str">
            <v>CB5323400-008R001</v>
          </cell>
          <cell r="E12191" t="str">
            <v>外侧轴承盖</v>
          </cell>
        </row>
        <row r="12192">
          <cell r="D12192" t="str">
            <v>CB5323400-008L001</v>
          </cell>
          <cell r="E12192" t="str">
            <v>外侧轴承盖</v>
          </cell>
        </row>
        <row r="12193">
          <cell r="D12193" t="str">
            <v>BC228263E-004-001</v>
          </cell>
          <cell r="E12193" t="str">
            <v>法兰</v>
          </cell>
        </row>
        <row r="12194">
          <cell r="D12194" t="str">
            <v>BC221T3LE-002-001</v>
          </cell>
          <cell r="E12194" t="str">
            <v>支座</v>
          </cell>
        </row>
        <row r="12195">
          <cell r="D12195" t="str">
            <v>BC221P2LB-003-001</v>
          </cell>
          <cell r="E12195" t="str">
            <v>传感器底座</v>
          </cell>
        </row>
        <row r="12196">
          <cell r="D12196" t="str">
            <v>BC2299242-002-001</v>
          </cell>
          <cell r="E12196" t="str">
            <v>支架底座</v>
          </cell>
        </row>
        <row r="12197">
          <cell r="D12197" t="str">
            <v>BC2299252-002-001</v>
          </cell>
          <cell r="E12197" t="str">
            <v>支架底座</v>
          </cell>
        </row>
        <row r="12198">
          <cell r="D12198" t="str">
            <v>DD-J10B-65000-1720G2-1</v>
          </cell>
          <cell r="E12198" t="str">
            <v>管子</v>
          </cell>
        </row>
        <row r="12199">
          <cell r="D12199" t="str">
            <v>DD-J10B-65000-1720G2-1</v>
          </cell>
          <cell r="E12199" t="str">
            <v>管子</v>
          </cell>
        </row>
        <row r="12200">
          <cell r="D12200" t="str">
            <v>DD-J10B-61001-8001</v>
          </cell>
          <cell r="E12200" t="str">
            <v>卡片</v>
          </cell>
        </row>
        <row r="12201">
          <cell r="D12201" t="str">
            <v>XXX-000-00</v>
          </cell>
          <cell r="E12201" t="str">
            <v>XXX振动夹具组合件</v>
          </cell>
        </row>
        <row r="12202">
          <cell r="D12202" t="str">
            <v>XXX-000-01</v>
          </cell>
          <cell r="E12202" t="str">
            <v>XXX振动夹具</v>
          </cell>
        </row>
        <row r="12203">
          <cell r="D12203" t="str">
            <v>XXX-000-02</v>
          </cell>
          <cell r="E12203" t="str">
            <v>XXX上包带</v>
          </cell>
        </row>
        <row r="12204">
          <cell r="D12204" t="str">
            <v>XXX-000-03</v>
          </cell>
          <cell r="E12204" t="str">
            <v>XXX包带底座</v>
          </cell>
        </row>
        <row r="12205">
          <cell r="D12205" t="str">
            <v>XXXGR-000-00</v>
          </cell>
          <cell r="E12205" t="str">
            <v>XXX复合离心夹具组合件</v>
          </cell>
        </row>
        <row r="12206">
          <cell r="D12206" t="str">
            <v>XXXGR-000-01</v>
          </cell>
          <cell r="E12206" t="str">
            <v>XXX复合离心夹具</v>
          </cell>
        </row>
        <row r="12207">
          <cell r="D12207" t="str">
            <v>XXX-3900000-01</v>
          </cell>
          <cell r="E12207" t="str">
            <v>基座</v>
          </cell>
        </row>
        <row r="12208">
          <cell r="D12208" t="str">
            <v>XXX-3900000-02</v>
          </cell>
          <cell r="E12208" t="str">
            <v>上盖</v>
          </cell>
        </row>
        <row r="12209">
          <cell r="D12209" t="str">
            <v>XXX-3900000-03</v>
          </cell>
          <cell r="E12209" t="str">
            <v>中心柱</v>
          </cell>
        </row>
        <row r="12210">
          <cell r="D12210" t="str">
            <v>XXX-3900000-04</v>
          </cell>
          <cell r="E12210" t="str">
            <v>质量块</v>
          </cell>
        </row>
        <row r="12211">
          <cell r="D12211" t="str">
            <v>XXX-3900000-05</v>
          </cell>
          <cell r="E12211" t="str">
            <v>负极接电片</v>
          </cell>
        </row>
        <row r="12212">
          <cell r="D12212" t="str">
            <v>XXX-3900000-06</v>
          </cell>
          <cell r="E12212" t="str">
            <v>正极接电片</v>
          </cell>
        </row>
        <row r="12213">
          <cell r="D12213" t="str">
            <v>XXX-3900000-07</v>
          </cell>
          <cell r="E12213" t="str">
            <v>预紧螺母</v>
          </cell>
        </row>
        <row r="12214">
          <cell r="D12214" t="str">
            <v>5214A000003G010</v>
          </cell>
          <cell r="E12214" t="str">
            <v>销钉</v>
          </cell>
        </row>
        <row r="12215">
          <cell r="D12215" t="str">
            <v>2710A400004G010</v>
          </cell>
          <cell r="E12215" t="str">
            <v>衬套</v>
          </cell>
        </row>
        <row r="12216">
          <cell r="D12216" t="str">
            <v>DD-J10-55014-3101</v>
          </cell>
          <cell r="E12216" t="str">
            <v>接管嘴</v>
          </cell>
        </row>
        <row r="12217">
          <cell r="D12217" t="str">
            <v>DD-J10-55014-3101</v>
          </cell>
          <cell r="E12217" t="str">
            <v>接管嘴</v>
          </cell>
        </row>
        <row r="12218">
          <cell r="D12218" t="str">
            <v>DD-J10-55014-3101</v>
          </cell>
          <cell r="E12218" t="str">
            <v>接管嘴</v>
          </cell>
        </row>
        <row r="12219">
          <cell r="D12219" t="str">
            <v>DD-J10-55014-2160-1</v>
          </cell>
          <cell r="E12219" t="str">
            <v>耳环螺栓</v>
          </cell>
        </row>
        <row r="12220">
          <cell r="D12220" t="str">
            <v>DD-J10-55014-2160-1</v>
          </cell>
          <cell r="E12220" t="str">
            <v>耳环螺栓</v>
          </cell>
        </row>
        <row r="12221">
          <cell r="D12221" t="str">
            <v>DD-J10B-94091-4141G2</v>
          </cell>
          <cell r="E12221" t="str">
            <v>三通接头</v>
          </cell>
        </row>
        <row r="12222">
          <cell r="D12222" t="str">
            <v>DD-J10B-94091-4141G2</v>
          </cell>
          <cell r="E12222" t="str">
            <v>三通接头</v>
          </cell>
        </row>
        <row r="12223">
          <cell r="D12223" t="str">
            <v>DD-J10-55014-2143</v>
          </cell>
          <cell r="E12223" t="str">
            <v>三通管接头</v>
          </cell>
        </row>
        <row r="12224">
          <cell r="D12224" t="str">
            <v>DD-J10-55014-2143</v>
          </cell>
          <cell r="E12224" t="str">
            <v>三通管接头</v>
          </cell>
        </row>
        <row r="12225">
          <cell r="D12225" t="str">
            <v>DD-J10B-65000-1901G2</v>
          </cell>
          <cell r="E12225" t="str">
            <v>固定板</v>
          </cell>
        </row>
        <row r="12226">
          <cell r="D12226" t="str">
            <v>DD-J10B-65000-1901G2</v>
          </cell>
          <cell r="E12226" t="str">
            <v>固定板</v>
          </cell>
        </row>
        <row r="12227">
          <cell r="D12227" t="str">
            <v>DD-J10B-54302-10-1-Y</v>
          </cell>
          <cell r="E12227" t="str">
            <v>支座</v>
          </cell>
        </row>
        <row r="12228">
          <cell r="D12228" t="str">
            <v>DD-J10B-54302-10-1-Z</v>
          </cell>
          <cell r="E12228" t="str">
            <v>支座</v>
          </cell>
        </row>
        <row r="12229">
          <cell r="D12229" t="str">
            <v>DD-J10B-54302-10-1-Z</v>
          </cell>
          <cell r="E12229" t="str">
            <v>支座</v>
          </cell>
        </row>
        <row r="12230">
          <cell r="D12230" t="str">
            <v>BC5812100-006-001</v>
          </cell>
          <cell r="E12230" t="str">
            <v>衬套</v>
          </cell>
        </row>
        <row r="12231">
          <cell r="D12231" t="str">
            <v>BC5812100-007-001</v>
          </cell>
          <cell r="E12231" t="str">
            <v>衬套</v>
          </cell>
        </row>
        <row r="12232">
          <cell r="D12232" t="str">
            <v>BC5812300-001-001</v>
          </cell>
          <cell r="E12232" t="str">
            <v>螺栓</v>
          </cell>
        </row>
        <row r="12233">
          <cell r="D12233" t="str">
            <v>BC5812300-001-001</v>
          </cell>
          <cell r="E12233" t="str">
            <v>螺栓</v>
          </cell>
        </row>
        <row r="12234">
          <cell r="D12234" t="str">
            <v>BC221T1AC-003-001</v>
          </cell>
          <cell r="E12234" t="str">
            <v>传感器座</v>
          </cell>
        </row>
        <row r="12235">
          <cell r="D12235" t="str">
            <v>BC5812000-010-001</v>
          </cell>
          <cell r="E12235" t="str">
            <v>螺桩</v>
          </cell>
        </row>
        <row r="12236">
          <cell r="D12236" t="str">
            <v>CB5742000-008-006</v>
          </cell>
          <cell r="E12236" t="str">
            <v>角片</v>
          </cell>
        </row>
        <row r="12237">
          <cell r="D12237" t="str">
            <v>CB5742000-008-006</v>
          </cell>
          <cell r="E12237" t="str">
            <v>角片</v>
          </cell>
        </row>
        <row r="12238">
          <cell r="D12238" t="str">
            <v>CB5742000-008-006</v>
          </cell>
          <cell r="E12238" t="str">
            <v>角片</v>
          </cell>
        </row>
        <row r="12239">
          <cell r="D12239" t="str">
            <v>CB5742000-008-006</v>
          </cell>
          <cell r="E12239" t="str">
            <v>角片</v>
          </cell>
        </row>
        <row r="12240">
          <cell r="D12240" t="str">
            <v>CB5742000-008-006</v>
          </cell>
          <cell r="E12240" t="str">
            <v>角片</v>
          </cell>
        </row>
        <row r="12241">
          <cell r="D12241" t="str">
            <v>CB5742000-008-006</v>
          </cell>
          <cell r="E12241" t="str">
            <v>角片</v>
          </cell>
        </row>
        <row r="12242">
          <cell r="D12242" t="str">
            <v>CB5742000-008-006</v>
          </cell>
          <cell r="E12242" t="str">
            <v>角片</v>
          </cell>
        </row>
        <row r="12243">
          <cell r="D12243" t="str">
            <v>CB5742000-008-006</v>
          </cell>
          <cell r="E12243" t="str">
            <v>角片</v>
          </cell>
        </row>
        <row r="12244">
          <cell r="D12244" t="str">
            <v>CB5315120-002R001</v>
          </cell>
          <cell r="E12244" t="str">
            <v>6820框内段</v>
          </cell>
        </row>
        <row r="12245">
          <cell r="D12245" t="str">
            <v>CB5315120-002R001</v>
          </cell>
          <cell r="E12245" t="str">
            <v>6820框内段</v>
          </cell>
        </row>
        <row r="12246">
          <cell r="D12246" t="str">
            <v>CB5315120-002R001</v>
          </cell>
          <cell r="E12246" t="str">
            <v>6820框内段</v>
          </cell>
        </row>
        <row r="12247">
          <cell r="D12247" t="str">
            <v>CB5315120-002R001</v>
          </cell>
          <cell r="E12247" t="str">
            <v>6820框内段</v>
          </cell>
        </row>
        <row r="12248">
          <cell r="D12248" t="str">
            <v>CB5315120-002R001</v>
          </cell>
          <cell r="E12248" t="str">
            <v>6820框内段</v>
          </cell>
        </row>
        <row r="12249">
          <cell r="D12249" t="str">
            <v>CB5315120-002R001</v>
          </cell>
          <cell r="E12249" t="str">
            <v>6820框内段</v>
          </cell>
        </row>
        <row r="12250">
          <cell r="D12250" t="str">
            <v>CB5315120-002R001</v>
          </cell>
          <cell r="E12250" t="str">
            <v>6820框内段</v>
          </cell>
        </row>
        <row r="12251">
          <cell r="D12251" t="str">
            <v>CB5315120-002R001</v>
          </cell>
          <cell r="E12251" t="str">
            <v>6820框内段</v>
          </cell>
        </row>
        <row r="12252">
          <cell r="D12252" t="str">
            <v>CB5315120-002R001</v>
          </cell>
          <cell r="E12252" t="str">
            <v>6820框内段</v>
          </cell>
        </row>
        <row r="12253">
          <cell r="D12253" t="str">
            <v>CB5315120-002L001</v>
          </cell>
          <cell r="E12253" t="str">
            <v>6820框内段</v>
          </cell>
        </row>
        <row r="12254">
          <cell r="D12254" t="str">
            <v>CB5315120-002L001</v>
          </cell>
          <cell r="E12254" t="str">
            <v>6820框内段</v>
          </cell>
        </row>
        <row r="12255">
          <cell r="D12255" t="str">
            <v>CB5315120-002L001</v>
          </cell>
          <cell r="E12255" t="str">
            <v>6820框内段</v>
          </cell>
        </row>
        <row r="12256">
          <cell r="D12256" t="str">
            <v>CB5315120-002L001</v>
          </cell>
          <cell r="E12256" t="str">
            <v>6820框内段</v>
          </cell>
        </row>
        <row r="12257">
          <cell r="D12257" t="str">
            <v>CB5315120-002L001</v>
          </cell>
          <cell r="E12257" t="str">
            <v>6820框内段</v>
          </cell>
        </row>
        <row r="12258">
          <cell r="D12258" t="str">
            <v>CB5315120-002L001</v>
          </cell>
          <cell r="E12258" t="str">
            <v>6820框内段</v>
          </cell>
        </row>
        <row r="12259">
          <cell r="D12259" t="str">
            <v>CB5315120-002L001</v>
          </cell>
          <cell r="E12259" t="str">
            <v>6820框内段</v>
          </cell>
        </row>
        <row r="12260">
          <cell r="D12260" t="str">
            <v>CB5315120-002L001</v>
          </cell>
          <cell r="E12260" t="str">
            <v>6820框内段</v>
          </cell>
        </row>
        <row r="12261">
          <cell r="D12261" t="str">
            <v>CB5315120-002L001</v>
          </cell>
          <cell r="E12261" t="str">
            <v>6820框内段</v>
          </cell>
        </row>
        <row r="12262">
          <cell r="D12262" t="str">
            <v>CB5315130-002R001</v>
          </cell>
          <cell r="E12262" t="str">
            <v>6940框内段</v>
          </cell>
        </row>
        <row r="12263">
          <cell r="D12263" t="str">
            <v>CB5315130-002R001</v>
          </cell>
          <cell r="E12263" t="str">
            <v>6940框内段</v>
          </cell>
        </row>
        <row r="12264">
          <cell r="D12264" t="str">
            <v>CB5315130-002R001</v>
          </cell>
          <cell r="E12264" t="str">
            <v>6940框内段</v>
          </cell>
        </row>
        <row r="12265">
          <cell r="D12265" t="str">
            <v>CB5315130-002L001</v>
          </cell>
          <cell r="E12265" t="str">
            <v>6940框内段</v>
          </cell>
        </row>
        <row r="12266">
          <cell r="D12266" t="str">
            <v>CB5315130-002L001</v>
          </cell>
          <cell r="E12266" t="str">
            <v>6940框内段</v>
          </cell>
        </row>
        <row r="12267">
          <cell r="D12267" t="str">
            <v>CB5315130-002L001</v>
          </cell>
          <cell r="E12267" t="str">
            <v>6940框内段</v>
          </cell>
        </row>
        <row r="12268">
          <cell r="D12268" t="str">
            <v>CB5324310-009L006</v>
          </cell>
          <cell r="E12268" t="str">
            <v>型材</v>
          </cell>
        </row>
        <row r="12269">
          <cell r="D12269" t="str">
            <v>CB5324310-009R006</v>
          </cell>
          <cell r="E12269" t="str">
            <v>型材</v>
          </cell>
        </row>
        <row r="12270">
          <cell r="D12270" t="str">
            <v>CB5324321-010-006</v>
          </cell>
          <cell r="E12270" t="str">
            <v>加强件</v>
          </cell>
        </row>
        <row r="12271">
          <cell r="D12271" t="str">
            <v>CB5324321-010-006</v>
          </cell>
          <cell r="E12271" t="str">
            <v>加强件</v>
          </cell>
        </row>
        <row r="12272">
          <cell r="D12272" t="str">
            <v>CB5324321-010-006</v>
          </cell>
          <cell r="E12272" t="str">
            <v>加强件</v>
          </cell>
        </row>
        <row r="12273">
          <cell r="D12273" t="str">
            <v>DD-J10B-82000-101G2</v>
          </cell>
          <cell r="E12273" t="str">
            <v>地板</v>
          </cell>
        </row>
        <row r="12274">
          <cell r="D12274" t="str">
            <v>BC5812910-001-001</v>
          </cell>
          <cell r="E12274" t="str">
            <v>拉杆</v>
          </cell>
        </row>
        <row r="12275">
          <cell r="D12275" t="str">
            <v>BC2295132-002-002</v>
          </cell>
          <cell r="E12275" t="str">
            <v>三通接头</v>
          </cell>
        </row>
        <row r="12276">
          <cell r="D12276" t="str">
            <v>BC2295132-002-002</v>
          </cell>
          <cell r="E12276" t="str">
            <v>三通接头</v>
          </cell>
        </row>
        <row r="12277">
          <cell r="D12277" t="str">
            <v>BC2295132-002-002</v>
          </cell>
          <cell r="E12277" t="str">
            <v>三通接头</v>
          </cell>
        </row>
        <row r="12278">
          <cell r="D12278" t="str">
            <v>CB5350500-016R006</v>
          </cell>
          <cell r="E12278" t="str">
            <v>7号护板维型肋右件</v>
          </cell>
        </row>
        <row r="12279">
          <cell r="D12279" t="str">
            <v>CB5350500-010L006</v>
          </cell>
          <cell r="E12279" t="str">
            <v>1号护板维型肋左件</v>
          </cell>
        </row>
        <row r="12280">
          <cell r="D12280" t="str">
            <v>CB5350500-010L006</v>
          </cell>
          <cell r="E12280" t="str">
            <v>1号护板维型肋左件</v>
          </cell>
        </row>
        <row r="12281">
          <cell r="D12281" t="str">
            <v>CB22844A0-002-001</v>
          </cell>
          <cell r="E12281" t="str">
            <v>三通接头</v>
          </cell>
        </row>
        <row r="12282">
          <cell r="D12282" t="str">
            <v>DD-J10-21102-32-Y</v>
          </cell>
          <cell r="E12282" t="str">
            <v>10060下接头</v>
          </cell>
        </row>
        <row r="12283">
          <cell r="D12283" t="str">
            <v>DD-J10-21102-33-Y</v>
          </cell>
          <cell r="E12283" t="str">
            <v>10460上接头</v>
          </cell>
        </row>
        <row r="12284">
          <cell r="D12284" t="str">
            <v>DD-J10-21102-33-Y</v>
          </cell>
          <cell r="E12284" t="str">
            <v>10460上接头</v>
          </cell>
        </row>
        <row r="12285">
          <cell r="D12285" t="str">
            <v>DD-J10-21102-33-Y</v>
          </cell>
          <cell r="E12285" t="str">
            <v>10460上接头</v>
          </cell>
        </row>
        <row r="12286">
          <cell r="D12286" t="str">
            <v>DD-J10-21102-33-Y</v>
          </cell>
          <cell r="E12286" t="str">
            <v>10460上接头</v>
          </cell>
        </row>
        <row r="12287">
          <cell r="D12287" t="str">
            <v>DD-J10-21102-33-Z</v>
          </cell>
          <cell r="E12287" t="str">
            <v>10460上接头</v>
          </cell>
        </row>
        <row r="12288">
          <cell r="D12288" t="str">
            <v>DD-J10-21102-33-Z</v>
          </cell>
          <cell r="E12288" t="str">
            <v>10460上接头</v>
          </cell>
        </row>
        <row r="12289">
          <cell r="D12289" t="str">
            <v>DD-J10-21102-33-Z</v>
          </cell>
          <cell r="E12289" t="str">
            <v>10460上接头</v>
          </cell>
        </row>
        <row r="12290">
          <cell r="D12290" t="str">
            <v>531A9110-001-001</v>
          </cell>
          <cell r="E12290" t="str">
            <v>前起落架舱门结构支撑梁</v>
          </cell>
        </row>
        <row r="12291">
          <cell r="D12291" t="str">
            <v>531A9110-001-001</v>
          </cell>
          <cell r="E12291" t="str">
            <v>前起落架舱门结构支撑梁</v>
          </cell>
        </row>
        <row r="12292">
          <cell r="D12292" t="str">
            <v>531A5100-126-501</v>
          </cell>
          <cell r="E12292" t="str">
            <v>通风窗与后观察窗上窗框</v>
          </cell>
        </row>
        <row r="12293">
          <cell r="D12293" t="str">
            <v>531A5100-126-501</v>
          </cell>
          <cell r="E12293" t="str">
            <v>通风窗与后观察窗上窗框</v>
          </cell>
        </row>
        <row r="12294">
          <cell r="D12294" t="str">
            <v>531A5100-126-501</v>
          </cell>
          <cell r="E12294" t="str">
            <v>通风窗与后观察窗上窗框</v>
          </cell>
        </row>
        <row r="12295">
          <cell r="D12295" t="str">
            <v>531A5100-126-502</v>
          </cell>
          <cell r="E12295" t="str">
            <v>通风窗与后观察窗上窗框</v>
          </cell>
        </row>
        <row r="12296">
          <cell r="D12296" t="str">
            <v>531A5100-126-502</v>
          </cell>
          <cell r="E12296" t="str">
            <v>通风窗与后观察窗上窗框</v>
          </cell>
        </row>
        <row r="12297">
          <cell r="D12297" t="str">
            <v>531A5100-126-502</v>
          </cell>
          <cell r="E12297" t="str">
            <v>通风窗与后观察窗上窗框</v>
          </cell>
        </row>
        <row r="12298">
          <cell r="D12298" t="str">
            <v>CB5350500-016R006</v>
          </cell>
          <cell r="E12298" t="str">
            <v>7号护板维型肋右件</v>
          </cell>
        </row>
        <row r="12299">
          <cell r="D12299" t="str">
            <v>CB22921N2-001-001</v>
          </cell>
          <cell r="E12299" t="str">
            <v>角片</v>
          </cell>
        </row>
        <row r="12300">
          <cell r="D12300" t="str">
            <v>CB5323400-008R001</v>
          </cell>
          <cell r="E12300" t="str">
            <v>外侧轴承盖</v>
          </cell>
        </row>
        <row r="12301">
          <cell r="D12301" t="str">
            <v>CB22844A0-002-001</v>
          </cell>
          <cell r="E12301" t="str">
            <v>三通接头</v>
          </cell>
        </row>
        <row r="12302">
          <cell r="D12302" t="str">
            <v>DD-J10-55222-3105</v>
          </cell>
          <cell r="E12302" t="str">
            <v>30°拧入式管接头</v>
          </cell>
        </row>
        <row r="12303">
          <cell r="D12303" t="str">
            <v>DD-J10-55222-3105</v>
          </cell>
          <cell r="E12303" t="str">
            <v>30°拧入式管接头</v>
          </cell>
        </row>
        <row r="12304">
          <cell r="D12304" t="str">
            <v>DD-J10-55222-3105</v>
          </cell>
          <cell r="E12304" t="str">
            <v>30°拧入式管接头</v>
          </cell>
        </row>
        <row r="12305">
          <cell r="D12305" t="str">
            <v>BC3012410-002-001</v>
          </cell>
          <cell r="E12305" t="str">
            <v>显示器托架</v>
          </cell>
        </row>
        <row r="12306">
          <cell r="D12306" t="str">
            <v>J10B-26002-100G2-1G2-Y</v>
          </cell>
          <cell r="E12306" t="str">
            <v>翼尖接头</v>
          </cell>
        </row>
        <row r="12307">
          <cell r="D12307" t="str">
            <v>J10B-26002-100G2-1G2-Y</v>
          </cell>
          <cell r="E12307" t="str">
            <v>翼尖接头</v>
          </cell>
        </row>
        <row r="12308">
          <cell r="D12308" t="str">
            <v>DD-J10-55014-2160-1</v>
          </cell>
          <cell r="E12308" t="str">
            <v>耳环螺栓</v>
          </cell>
        </row>
        <row r="12309">
          <cell r="D12309" t="str">
            <v>DD-J10-55014-2160-1</v>
          </cell>
          <cell r="E12309" t="str">
            <v>耳环螺栓</v>
          </cell>
        </row>
        <row r="12310">
          <cell r="D12310" t="str">
            <v>DD-J10-55014-2160-1</v>
          </cell>
          <cell r="E12310" t="str">
            <v>耳环螺栓</v>
          </cell>
        </row>
        <row r="12311">
          <cell r="D12311" t="str">
            <v>DD-J10-55014-2160-1</v>
          </cell>
          <cell r="E12311" t="str">
            <v>耳环螺栓</v>
          </cell>
        </row>
        <row r="12312">
          <cell r="D12312" t="str">
            <v>DD-J10-55014-2160-1</v>
          </cell>
          <cell r="E12312" t="str">
            <v>耳环螺栓</v>
          </cell>
        </row>
        <row r="12313">
          <cell r="D12313" t="str">
            <v>DD-J10-55014-3200-1</v>
          </cell>
          <cell r="E12313" t="str">
            <v>耳环螺栓</v>
          </cell>
        </row>
        <row r="12314">
          <cell r="D12314" t="str">
            <v>DD-J10-55014-3200-1</v>
          </cell>
          <cell r="E12314" t="str">
            <v>耳环螺栓</v>
          </cell>
        </row>
        <row r="12315">
          <cell r="D12315" t="str">
            <v>DD-J10-55014-3200-1</v>
          </cell>
          <cell r="E12315" t="str">
            <v>耳环螺栓</v>
          </cell>
        </row>
        <row r="12316">
          <cell r="D12316" t="str">
            <v>DD-J10-55014-3200-1</v>
          </cell>
          <cell r="E12316" t="str">
            <v>耳环螺栓</v>
          </cell>
        </row>
        <row r="12317">
          <cell r="D12317" t="str">
            <v>DD-J10-55014-3200-1</v>
          </cell>
          <cell r="E12317" t="str">
            <v>耳环螺栓</v>
          </cell>
        </row>
        <row r="12318">
          <cell r="D12318" t="str">
            <v>CB5350500-016L006</v>
          </cell>
          <cell r="E12318" t="str">
            <v>7号护板维型肋左件</v>
          </cell>
        </row>
        <row r="12319">
          <cell r="D12319" t="str">
            <v>DD-J10-55014-1102</v>
          </cell>
          <cell r="E12319" t="str">
            <v>管接头</v>
          </cell>
        </row>
        <row r="12320">
          <cell r="D12320" t="str">
            <v>DD-J10-55014-1102</v>
          </cell>
          <cell r="E12320" t="str">
            <v>管接头</v>
          </cell>
        </row>
        <row r="12321">
          <cell r="D12321" t="str">
            <v>DD-J10-55014-1102</v>
          </cell>
          <cell r="E12321" t="str">
            <v>管接头</v>
          </cell>
        </row>
        <row r="12322">
          <cell r="D12322" t="str">
            <v>DD-J10-55014-3101</v>
          </cell>
          <cell r="E12322" t="str">
            <v>接管嘴</v>
          </cell>
        </row>
        <row r="12323">
          <cell r="D12323" t="str">
            <v>Y20-4252203194-001</v>
          </cell>
          <cell r="E12323" t="str">
            <v>支架</v>
          </cell>
        </row>
        <row r="12324">
          <cell r="D12324" t="str">
            <v>Y20-4252203194-002</v>
          </cell>
          <cell r="E12324" t="str">
            <v>支架</v>
          </cell>
        </row>
        <row r="12325">
          <cell r="D12325" t="str">
            <v>Y20-4252203187-001</v>
          </cell>
          <cell r="E12325" t="str">
            <v>支架</v>
          </cell>
        </row>
        <row r="12326">
          <cell r="D12326" t="str">
            <v>Y20-4252203187-002</v>
          </cell>
          <cell r="E12326" t="str">
            <v>支架</v>
          </cell>
        </row>
        <row r="12327">
          <cell r="D12327" t="str">
            <v>CB22956R0-001L001</v>
          </cell>
          <cell r="E12327" t="str">
            <v>架子</v>
          </cell>
        </row>
        <row r="12328">
          <cell r="D12328" t="str">
            <v>CB22956R0-001R001</v>
          </cell>
          <cell r="E12328" t="str">
            <v>架子</v>
          </cell>
        </row>
        <row r="12329">
          <cell r="D12329" t="str">
            <v>YR-4351100502-001</v>
          </cell>
          <cell r="E12329" t="str">
            <v>支架</v>
          </cell>
        </row>
        <row r="12330">
          <cell r="D12330" t="str">
            <v>YR-4351100502-001</v>
          </cell>
          <cell r="E12330" t="str">
            <v>支架</v>
          </cell>
        </row>
        <row r="12331">
          <cell r="D12331" t="str">
            <v>Y20-5312100023-001</v>
          </cell>
          <cell r="E12331" t="str">
            <v>边梁</v>
          </cell>
        </row>
        <row r="12332">
          <cell r="D12332" t="str">
            <v>Y20-5319160013-001</v>
          </cell>
          <cell r="E12332" t="str">
            <v>接头</v>
          </cell>
        </row>
        <row r="12333">
          <cell r="D12333" t="str">
            <v>Y20-4252203194-001</v>
          </cell>
          <cell r="E12333" t="str">
            <v>支架</v>
          </cell>
        </row>
        <row r="12334">
          <cell r="D12334" t="str">
            <v>Y20-5312100023-002</v>
          </cell>
          <cell r="E12334" t="str">
            <v>边梁</v>
          </cell>
        </row>
        <row r="12335">
          <cell r="D12335" t="str">
            <v>Y20-5312100023-002</v>
          </cell>
          <cell r="E12335" t="str">
            <v>边梁</v>
          </cell>
        </row>
        <row r="12336">
          <cell r="D12336" t="str">
            <v>Y20-5316100319-001</v>
          </cell>
          <cell r="E12336" t="str">
            <v>地板纵向件</v>
          </cell>
        </row>
        <row r="12337">
          <cell r="D12337" t="str">
            <v>Y20-5316100319-001</v>
          </cell>
          <cell r="E12337" t="str">
            <v>地板纵向件</v>
          </cell>
        </row>
        <row r="12338">
          <cell r="D12338" t="str">
            <v>Y20-4252203194-002</v>
          </cell>
          <cell r="E12338" t="str">
            <v>支架</v>
          </cell>
        </row>
        <row r="12339">
          <cell r="D12339" t="str">
            <v>Y20-4252203194-002</v>
          </cell>
          <cell r="E12339" t="str">
            <v>支架</v>
          </cell>
        </row>
        <row r="12340">
          <cell r="D12340" t="str">
            <v>GU5716000-001R001</v>
          </cell>
          <cell r="E12340" t="str">
            <v>后舱根肋</v>
          </cell>
        </row>
        <row r="12341">
          <cell r="D12341" t="str">
            <v>528A1200-000-012</v>
          </cell>
          <cell r="E12341" t="str">
            <v>T型角材</v>
          </cell>
        </row>
        <row r="12342">
          <cell r="D12342" t="str">
            <v>521A1160-002-001</v>
          </cell>
          <cell r="E12342" t="str">
            <v>接头</v>
          </cell>
        </row>
        <row r="12343">
          <cell r="D12343" t="str">
            <v>521A1160-002-001</v>
          </cell>
          <cell r="E12343" t="str">
            <v>接头</v>
          </cell>
        </row>
        <row r="12344">
          <cell r="D12344" t="str">
            <v>521A1160-001-001</v>
          </cell>
          <cell r="E12344" t="str">
            <v>接头</v>
          </cell>
        </row>
        <row r="12345">
          <cell r="D12345" t="str">
            <v>521A1160-001-001</v>
          </cell>
          <cell r="E12345" t="str">
            <v>接头</v>
          </cell>
        </row>
        <row r="12346">
          <cell r="D12346" t="str">
            <v>521A1160-001-001</v>
          </cell>
          <cell r="E12346" t="str">
            <v>接头</v>
          </cell>
        </row>
        <row r="12347">
          <cell r="D12347" t="str">
            <v>LT3E-513030000-03R02</v>
          </cell>
          <cell r="E12347" t="str">
            <v>卫通天线罩口框梁后段（右）</v>
          </cell>
        </row>
        <row r="12348">
          <cell r="D12348" t="str">
            <v>LT3E-513030000-03L02</v>
          </cell>
          <cell r="E12348" t="str">
            <v>卫通天线罩口框梁后段（左）</v>
          </cell>
        </row>
        <row r="12349">
          <cell r="D12349" t="str">
            <v>LT3E-521500000-03N01</v>
          </cell>
          <cell r="E12349" t="str">
            <v>连接角片</v>
          </cell>
        </row>
        <row r="12350">
          <cell r="D12350" t="str">
            <v>LT3E-521500000-04N01</v>
          </cell>
          <cell r="E12350" t="str">
            <v>连接角片</v>
          </cell>
        </row>
        <row r="12351">
          <cell r="D12351" t="str">
            <v>LT3E-544100000-03N02</v>
          </cell>
          <cell r="E12351" t="str">
            <v>隔板</v>
          </cell>
        </row>
        <row r="12352">
          <cell r="D12352" t="str">
            <v>LT3E-544100000-18L03</v>
          </cell>
          <cell r="E12352" t="str">
            <v>型材（左）</v>
          </cell>
        </row>
        <row r="12353">
          <cell r="D12353" t="str">
            <v>LT3E-544100000-18R03</v>
          </cell>
          <cell r="E12353" t="str">
            <v>型材（右）</v>
          </cell>
        </row>
        <row r="12354">
          <cell r="D12354" t="str">
            <v>LT3E-544100000-20L01</v>
          </cell>
          <cell r="E12354" t="str">
            <v>型材（左）</v>
          </cell>
        </row>
        <row r="12355">
          <cell r="D12355" t="str">
            <v>LT3E-544100000-20R01</v>
          </cell>
          <cell r="E12355" t="str">
            <v>型材（右）</v>
          </cell>
        </row>
        <row r="12356">
          <cell r="D12356" t="str">
            <v>EA5700041-008L101</v>
          </cell>
          <cell r="E12356" t="str">
            <v>后下对接肋</v>
          </cell>
        </row>
        <row r="12357">
          <cell r="D12357" t="str">
            <v>EA5700041-008R101</v>
          </cell>
          <cell r="E12357" t="str">
            <v>后下对接肋</v>
          </cell>
        </row>
        <row r="12358">
          <cell r="D12358" t="str">
            <v>DD-J10B-02041-2-Z</v>
          </cell>
          <cell r="E12358" t="str">
            <v>前上大梁（左）</v>
          </cell>
        </row>
        <row r="12359">
          <cell r="D12359" t="str">
            <v>DD-J10B-02041-2-Z</v>
          </cell>
          <cell r="E12359" t="str">
            <v>前上大梁（左）</v>
          </cell>
        </row>
        <row r="12360">
          <cell r="D12360" t="str">
            <v>DD-J10B-02041-2-Y</v>
          </cell>
          <cell r="E12360" t="str">
            <v>前上大梁（右）</v>
          </cell>
        </row>
        <row r="12361">
          <cell r="D12361" t="str">
            <v>DD-J10B-02041-2-Y</v>
          </cell>
          <cell r="E12361" t="str">
            <v>前上大梁（右）</v>
          </cell>
        </row>
        <row r="12362">
          <cell r="D12362" t="str">
            <v>DD-J10B-02121-1AG2-Y</v>
          </cell>
          <cell r="E12362" t="str">
            <v>BL280侧壁（右件)</v>
          </cell>
        </row>
        <row r="12363">
          <cell r="D12363" t="str">
            <v>DD-J10B-02041-202G2</v>
          </cell>
          <cell r="E12363" t="str">
            <v>地板</v>
          </cell>
        </row>
        <row r="12364">
          <cell r="D12364" t="str">
            <v>DD-J10-21102-32-Y</v>
          </cell>
          <cell r="E12364" t="str">
            <v>10060下接头</v>
          </cell>
        </row>
        <row r="12365">
          <cell r="D12365" t="str">
            <v>DD-J10-21102-32-Y</v>
          </cell>
          <cell r="E12365" t="str">
            <v>10060下接头</v>
          </cell>
        </row>
        <row r="12366">
          <cell r="D12366" t="str">
            <v>DD-J10-21102-32-Y</v>
          </cell>
          <cell r="E12366" t="str">
            <v>10060下接头</v>
          </cell>
        </row>
        <row r="12367">
          <cell r="D12367" t="str">
            <v>DD-J10-21102-32-Y</v>
          </cell>
          <cell r="E12367" t="str">
            <v>10060下接头</v>
          </cell>
        </row>
        <row r="12368">
          <cell r="D12368" t="str">
            <v>DD-J10-21102-32-Y</v>
          </cell>
          <cell r="E12368" t="str">
            <v>10060下接头</v>
          </cell>
        </row>
        <row r="12369">
          <cell r="D12369" t="str">
            <v>DD-J10-21102-32-Z</v>
          </cell>
          <cell r="E12369" t="str">
            <v>10060下接头</v>
          </cell>
        </row>
        <row r="12370">
          <cell r="D12370" t="str">
            <v>DD-J10-21102-32-Z</v>
          </cell>
          <cell r="E12370" t="str">
            <v>10060下接头</v>
          </cell>
        </row>
        <row r="12371">
          <cell r="D12371" t="str">
            <v>DD-J10-21102-32-Z</v>
          </cell>
          <cell r="E12371" t="str">
            <v>10060下接头</v>
          </cell>
        </row>
        <row r="12372">
          <cell r="D12372" t="str">
            <v>CB5322400-017-061</v>
          </cell>
          <cell r="E12372" t="str">
            <v>11140框右下半框</v>
          </cell>
        </row>
        <row r="12373">
          <cell r="D12373" t="str">
            <v>CB5322400-017-061</v>
          </cell>
          <cell r="E12373" t="str">
            <v>11140框右下半框</v>
          </cell>
        </row>
        <row r="12374">
          <cell r="D12374" t="str">
            <v>CB5322400-017-061</v>
          </cell>
          <cell r="E12374" t="str">
            <v>11140框右下半框</v>
          </cell>
        </row>
        <row r="12375">
          <cell r="D12375" t="str">
            <v>CB5322400-017-061</v>
          </cell>
          <cell r="E12375" t="str">
            <v>11140框右下半框</v>
          </cell>
        </row>
        <row r="12376">
          <cell r="D12376" t="str">
            <v>CB5322400-017-061</v>
          </cell>
          <cell r="E12376" t="str">
            <v>11140框右下半框</v>
          </cell>
        </row>
        <row r="12377">
          <cell r="D12377" t="str">
            <v>CB5322400-017-061</v>
          </cell>
          <cell r="E12377" t="str">
            <v>11140框右下半框</v>
          </cell>
        </row>
        <row r="12378">
          <cell r="D12378" t="str">
            <v>CB5322400-017-061</v>
          </cell>
          <cell r="E12378" t="str">
            <v>11140框右下半框</v>
          </cell>
        </row>
        <row r="12379">
          <cell r="D12379" t="str">
            <v>CB5322400-017-061</v>
          </cell>
          <cell r="E12379" t="str">
            <v>11140框右下半框</v>
          </cell>
        </row>
        <row r="12380">
          <cell r="D12380" t="str">
            <v>CB5322400-017-061</v>
          </cell>
          <cell r="E12380" t="str">
            <v>11140框右下半框</v>
          </cell>
        </row>
        <row r="12381">
          <cell r="D12381" t="str">
            <v>CB5322400-017-061</v>
          </cell>
          <cell r="E12381" t="str">
            <v>11140框右下半框</v>
          </cell>
        </row>
        <row r="12382">
          <cell r="D12382" t="str">
            <v>CB5322400-016-061</v>
          </cell>
          <cell r="E12382" t="str">
            <v>11140框左下半框</v>
          </cell>
        </row>
        <row r="12383">
          <cell r="D12383" t="str">
            <v>CB5322400-016-061</v>
          </cell>
          <cell r="E12383" t="str">
            <v>11140框左下半框</v>
          </cell>
        </row>
        <row r="12384">
          <cell r="D12384" t="str">
            <v>CB5322400-016-061</v>
          </cell>
          <cell r="E12384" t="str">
            <v>11140框左下半框</v>
          </cell>
        </row>
        <row r="12385">
          <cell r="D12385" t="str">
            <v>CB5322400-016-061</v>
          </cell>
          <cell r="E12385" t="str">
            <v>11140框左下半框</v>
          </cell>
        </row>
        <row r="12386">
          <cell r="D12386" t="str">
            <v>CB5322400-016-061</v>
          </cell>
          <cell r="E12386" t="str">
            <v>11140框左下半框</v>
          </cell>
        </row>
        <row r="12387">
          <cell r="D12387" t="str">
            <v>CB5322400-016-061</v>
          </cell>
          <cell r="E12387" t="str">
            <v>11140框左下半框</v>
          </cell>
        </row>
        <row r="12388">
          <cell r="D12388" t="str">
            <v>CB5322400-016-061</v>
          </cell>
          <cell r="E12388" t="str">
            <v>11140框左下半框</v>
          </cell>
        </row>
        <row r="12389">
          <cell r="D12389" t="str">
            <v>CB5322400-016-061</v>
          </cell>
          <cell r="E12389" t="str">
            <v>11140框左下半框</v>
          </cell>
        </row>
        <row r="12390">
          <cell r="D12390" t="str">
            <v>CB5322400-016-061</v>
          </cell>
          <cell r="E12390" t="str">
            <v>11140框左下半框</v>
          </cell>
        </row>
        <row r="12391">
          <cell r="D12391" t="str">
            <v>CB5322400-016-061</v>
          </cell>
          <cell r="E12391" t="str">
            <v>11140框左下半框</v>
          </cell>
        </row>
        <row r="12392">
          <cell r="D12392" t="str">
            <v>CB5512300-004L002</v>
          </cell>
          <cell r="E12392" t="str">
            <v>根肋前段</v>
          </cell>
        </row>
        <row r="12393">
          <cell r="D12393" t="str">
            <v>CB5512300-004L002</v>
          </cell>
          <cell r="E12393" t="str">
            <v>根肋前段</v>
          </cell>
        </row>
        <row r="12394">
          <cell r="D12394" t="str">
            <v>CB5512300-004L002</v>
          </cell>
          <cell r="E12394" t="str">
            <v>根肋前段</v>
          </cell>
        </row>
        <row r="12395">
          <cell r="D12395" t="str">
            <v>CB5512300-004L002</v>
          </cell>
          <cell r="E12395" t="str">
            <v>根肋前段</v>
          </cell>
        </row>
        <row r="12396">
          <cell r="D12396" t="str">
            <v>CB5512300-004R002</v>
          </cell>
          <cell r="E12396" t="str">
            <v>根肋前段</v>
          </cell>
        </row>
        <row r="12397">
          <cell r="D12397" t="str">
            <v>CB5512300-004R002</v>
          </cell>
          <cell r="E12397" t="str">
            <v>根肋前段</v>
          </cell>
        </row>
        <row r="12398">
          <cell r="D12398" t="str">
            <v>CB5512300-004R002</v>
          </cell>
          <cell r="E12398" t="str">
            <v>根肋前段</v>
          </cell>
        </row>
        <row r="12399">
          <cell r="D12399" t="str">
            <v>CB5512300-004R002</v>
          </cell>
          <cell r="E12399" t="str">
            <v>根肋前段</v>
          </cell>
        </row>
        <row r="12400">
          <cell r="D12400" t="str">
            <v>CB5512300-004R002</v>
          </cell>
          <cell r="E12400" t="str">
            <v>根肋前段</v>
          </cell>
        </row>
        <row r="12401">
          <cell r="D12401" t="str">
            <v>CB5512300-004R002</v>
          </cell>
          <cell r="E12401" t="str">
            <v>根肋前段</v>
          </cell>
        </row>
        <row r="12402">
          <cell r="D12402" t="str">
            <v>CB5323210-002-028</v>
          </cell>
          <cell r="E12402" t="str">
            <v>10540中框</v>
          </cell>
        </row>
        <row r="12403">
          <cell r="D12403" t="str">
            <v>CB5323210-002-028</v>
          </cell>
          <cell r="E12403" t="str">
            <v>10540中框</v>
          </cell>
        </row>
        <row r="12404">
          <cell r="D12404" t="str">
            <v>CB5822016-024L001</v>
          </cell>
          <cell r="E12404" t="str">
            <v>角片</v>
          </cell>
        </row>
        <row r="12405">
          <cell r="D12405" t="str">
            <v>CB5822016-024L001</v>
          </cell>
          <cell r="E12405" t="str">
            <v>角片</v>
          </cell>
        </row>
        <row r="12406">
          <cell r="D12406" t="str">
            <v>CB5822016-024L001</v>
          </cell>
          <cell r="E12406" t="str">
            <v>角片</v>
          </cell>
        </row>
        <row r="12407">
          <cell r="D12407" t="str">
            <v>CB5822016-024R001</v>
          </cell>
          <cell r="E12407" t="str">
            <v>角片</v>
          </cell>
        </row>
        <row r="12408">
          <cell r="D12408" t="str">
            <v>CB5822016-024R001</v>
          </cell>
          <cell r="E12408" t="str">
            <v>角片</v>
          </cell>
        </row>
        <row r="12409">
          <cell r="D12409" t="str">
            <v>CB5822016-024R001</v>
          </cell>
          <cell r="E12409" t="str">
            <v>角片</v>
          </cell>
        </row>
        <row r="12410">
          <cell r="D12410" t="str">
            <v>CB5822016-032L001</v>
          </cell>
          <cell r="E12410" t="str">
            <v>角片</v>
          </cell>
        </row>
        <row r="12411">
          <cell r="D12411" t="str">
            <v>CB5822016-032L001</v>
          </cell>
          <cell r="E12411" t="str">
            <v>角片</v>
          </cell>
        </row>
        <row r="12412">
          <cell r="D12412" t="str">
            <v>CB5822016-032L001</v>
          </cell>
          <cell r="E12412" t="str">
            <v>角片</v>
          </cell>
        </row>
        <row r="12413">
          <cell r="D12413" t="str">
            <v>CB5822016-032R001</v>
          </cell>
          <cell r="E12413" t="str">
            <v>角片</v>
          </cell>
        </row>
        <row r="12414">
          <cell r="D12414" t="str">
            <v>CB5822016-032R001</v>
          </cell>
          <cell r="E12414" t="str">
            <v>角片</v>
          </cell>
        </row>
        <row r="12415">
          <cell r="D12415" t="str">
            <v>CB5822016-032R001</v>
          </cell>
          <cell r="E12415" t="str">
            <v>角片</v>
          </cell>
        </row>
        <row r="12416">
          <cell r="D12416" t="str">
            <v>CB5822016-034L001</v>
          </cell>
          <cell r="E12416" t="str">
            <v>角片</v>
          </cell>
        </row>
        <row r="12417">
          <cell r="D12417" t="str">
            <v>CB5822016-034R001</v>
          </cell>
          <cell r="E12417" t="str">
            <v>角片</v>
          </cell>
        </row>
        <row r="12418">
          <cell r="D12418" t="str">
            <v>CB5822016-029R001</v>
          </cell>
          <cell r="E12418" t="str">
            <v>角片</v>
          </cell>
        </row>
        <row r="12419">
          <cell r="D12419" t="str">
            <v>CB5822016-029R001</v>
          </cell>
          <cell r="E12419" t="str">
            <v>角片</v>
          </cell>
        </row>
        <row r="12420">
          <cell r="D12420" t="str">
            <v>CB5822016-029R001</v>
          </cell>
          <cell r="E12420" t="str">
            <v>角片</v>
          </cell>
        </row>
        <row r="12421">
          <cell r="D12421" t="str">
            <v>Y20-5612000006-001</v>
          </cell>
          <cell r="E12421" t="str">
            <v>5号支座</v>
          </cell>
        </row>
        <row r="12422">
          <cell r="D12422" t="str">
            <v>Y20-5212290006-002</v>
          </cell>
          <cell r="E12422" t="str">
            <v>合页片</v>
          </cell>
        </row>
        <row r="12423">
          <cell r="D12423" t="str">
            <v>Y20-5212290006-002</v>
          </cell>
          <cell r="E12423" t="str">
            <v>合页片</v>
          </cell>
        </row>
        <row r="12424">
          <cell r="D12424" t="str">
            <v>Y20-5828060002-001</v>
          </cell>
          <cell r="E12424" t="str">
            <v>拨片</v>
          </cell>
        </row>
        <row r="12425">
          <cell r="D12425" t="str">
            <v>Y20-5212290009-001</v>
          </cell>
          <cell r="E12425" t="str">
            <v>合页片</v>
          </cell>
        </row>
        <row r="12426">
          <cell r="D12426" t="str">
            <v>Y20-5212290009-001</v>
          </cell>
          <cell r="E12426" t="str">
            <v>合页片</v>
          </cell>
        </row>
        <row r="12427">
          <cell r="D12427" t="str">
            <v>Y20-5316100332-001</v>
          </cell>
          <cell r="E12427" t="str">
            <v>滑轨横向件</v>
          </cell>
        </row>
        <row r="12428">
          <cell r="D12428" t="str">
            <v>Y20-5316100415-001</v>
          </cell>
          <cell r="E12428" t="str">
            <v>加强件</v>
          </cell>
        </row>
        <row r="12429">
          <cell r="D12429" t="str">
            <v>Y20-5316100415-001</v>
          </cell>
          <cell r="E12429" t="str">
            <v>加强件</v>
          </cell>
        </row>
        <row r="12430">
          <cell r="D12430" t="str">
            <v>Y20-5316100415-002</v>
          </cell>
          <cell r="E12430" t="str">
            <v>加强件</v>
          </cell>
        </row>
        <row r="12431">
          <cell r="D12431" t="str">
            <v>Y20-5212290005-001</v>
          </cell>
          <cell r="E12431" t="str">
            <v>合页片</v>
          </cell>
        </row>
        <row r="12432">
          <cell r="D12432" t="str">
            <v>Y20-5212290005-001</v>
          </cell>
          <cell r="E12432" t="str">
            <v>合页片</v>
          </cell>
        </row>
        <row r="12433">
          <cell r="D12433" t="str">
            <v>Y20-5212290005-001</v>
          </cell>
          <cell r="E12433" t="str">
            <v>合页片</v>
          </cell>
        </row>
        <row r="12434">
          <cell r="D12434" t="str">
            <v>Y20-5319400017-001</v>
          </cell>
          <cell r="E12434" t="str">
            <v>扶手支座</v>
          </cell>
        </row>
        <row r="12435">
          <cell r="D12435" t="str">
            <v>Y20-5319400018-001</v>
          </cell>
          <cell r="E12435" t="str">
            <v>扶手支座</v>
          </cell>
        </row>
        <row r="12436">
          <cell r="D12436" t="str">
            <v>Y20-5319400015-001</v>
          </cell>
          <cell r="E12436" t="str">
            <v>扶手支座</v>
          </cell>
        </row>
        <row r="12437">
          <cell r="D12437" t="str">
            <v>Y20-5319400015-001</v>
          </cell>
          <cell r="E12437" t="str">
            <v>扶手支座</v>
          </cell>
        </row>
        <row r="12438">
          <cell r="D12438" t="str">
            <v>Y20-5612000006-002</v>
          </cell>
          <cell r="E12438" t="str">
            <v>5号支座</v>
          </cell>
        </row>
        <row r="12439">
          <cell r="D12439" t="str">
            <v>DD-J10B-61001-2</v>
          </cell>
          <cell r="E12439" t="str">
            <v>接头</v>
          </cell>
        </row>
        <row r="12440">
          <cell r="D12440" t="str">
            <v>DD-J10B-61001-2</v>
          </cell>
          <cell r="E12440" t="str">
            <v>接头</v>
          </cell>
        </row>
        <row r="12441">
          <cell r="D12441" t="str">
            <v>DD-J10B-61001-2</v>
          </cell>
          <cell r="E12441" t="str">
            <v>接头</v>
          </cell>
        </row>
        <row r="12442">
          <cell r="D12442" t="str">
            <v>DD-J10B-21302-40G2-1-Y</v>
          </cell>
          <cell r="E12442" t="str">
            <v>后梁四段</v>
          </cell>
        </row>
        <row r="12443">
          <cell r="D12443" t="str">
            <v>DD-J10B-21302-40G2-1-Y</v>
          </cell>
          <cell r="E12443" t="str">
            <v>后梁四段</v>
          </cell>
        </row>
        <row r="12444">
          <cell r="D12444" t="str">
            <v>DD-J10B-02111-2-Y</v>
          </cell>
          <cell r="E12444" t="str">
            <v>角盒</v>
          </cell>
        </row>
        <row r="12445">
          <cell r="D12445" t="str">
            <v>DD-J10B-02021-3/2-Z-TZ</v>
          </cell>
          <cell r="E12445" t="str">
            <v>雷达罩锁支座</v>
          </cell>
        </row>
        <row r="12446">
          <cell r="D12446" t="str">
            <v>DD-J10B-02021-3/2-Y-TZ</v>
          </cell>
          <cell r="E12446" t="str">
            <v>雷达罩锁支座</v>
          </cell>
        </row>
        <row r="12447">
          <cell r="D12447" t="str">
            <v>DD-J10B-02161-501</v>
          </cell>
          <cell r="E12447" t="str">
            <v>5755横框</v>
          </cell>
        </row>
        <row r="12448">
          <cell r="D12448" t="str">
            <v>CB2295170-001-002</v>
          </cell>
          <cell r="E12448" t="str">
            <v>安装支座</v>
          </cell>
        </row>
        <row r="12449">
          <cell r="D12449" t="str">
            <v>CB2295170-001-002</v>
          </cell>
          <cell r="E12449" t="str">
            <v>安装支座</v>
          </cell>
        </row>
        <row r="12450">
          <cell r="D12450" t="str">
            <v>XXX-66000000-01</v>
          </cell>
          <cell r="E12450" t="str">
            <v>盖板</v>
          </cell>
        </row>
        <row r="12451">
          <cell r="D12451" t="str">
            <v>XXX-66000000-02</v>
          </cell>
          <cell r="E12451" t="str">
            <v>盒体</v>
          </cell>
        </row>
        <row r="12452">
          <cell r="D12452" t="str">
            <v>XXX-66000000-03</v>
          </cell>
          <cell r="E12452" t="str">
            <v>底板</v>
          </cell>
        </row>
        <row r="12453">
          <cell r="D12453" t="str">
            <v>XXX_F2-000-01</v>
          </cell>
          <cell r="E12453" t="str">
            <v>盒体</v>
          </cell>
        </row>
        <row r="12454">
          <cell r="D12454" t="str">
            <v>XXX_F2-000-02</v>
          </cell>
          <cell r="E12454" t="str">
            <v>盒盖</v>
          </cell>
        </row>
        <row r="12455">
          <cell r="D12455" t="str">
            <v>XXX_F2-000-03</v>
          </cell>
          <cell r="E12455" t="str">
            <v>绝缘垫片</v>
          </cell>
        </row>
        <row r="12456">
          <cell r="D12456" t="str">
            <v>XXX_F3</v>
          </cell>
          <cell r="E12456" t="str">
            <v>保护罩</v>
          </cell>
        </row>
        <row r="12457">
          <cell r="D12457" t="str">
            <v>DD-J10B-02041-202G2</v>
          </cell>
          <cell r="E12457" t="str">
            <v>地板</v>
          </cell>
        </row>
        <row r="12458">
          <cell r="D12458" t="str">
            <v>DD-J10B-02041-202G2</v>
          </cell>
          <cell r="E12458" t="str">
            <v>地板</v>
          </cell>
        </row>
        <row r="12459">
          <cell r="D12459" t="str">
            <v>DD-J10B-02041-202G2</v>
          </cell>
          <cell r="E12459" t="str">
            <v>地板</v>
          </cell>
        </row>
        <row r="12460">
          <cell r="D12460" t="str">
            <v>DD-J10B-34303-7G2</v>
          </cell>
          <cell r="E12460" t="str">
            <v>第1隔板</v>
          </cell>
        </row>
        <row r="12461">
          <cell r="D12461" t="str">
            <v>DD-J10B-34303-7G2</v>
          </cell>
          <cell r="E12461" t="str">
            <v>第1隔板</v>
          </cell>
        </row>
        <row r="12462">
          <cell r="D12462" t="str">
            <v>DD-J10B-34303-7G2</v>
          </cell>
          <cell r="E12462" t="str">
            <v>第1隔板</v>
          </cell>
        </row>
        <row r="12463">
          <cell r="D12463" t="str">
            <v>DD-J10B-34303-8G2</v>
          </cell>
          <cell r="E12463" t="str">
            <v>第2隔板</v>
          </cell>
        </row>
        <row r="12464">
          <cell r="D12464" t="str">
            <v>DD-J10B-34303-8G2</v>
          </cell>
          <cell r="E12464" t="str">
            <v>第2隔板</v>
          </cell>
        </row>
        <row r="12465">
          <cell r="D12465" t="str">
            <v>DD-J10B-34303-8G2</v>
          </cell>
          <cell r="E12465" t="str">
            <v>第2隔板</v>
          </cell>
        </row>
        <row r="12466">
          <cell r="D12466" t="str">
            <v>DD-J10B-34303-9G2</v>
          </cell>
          <cell r="E12466" t="str">
            <v>第3隔板</v>
          </cell>
        </row>
        <row r="12467">
          <cell r="D12467" t="str">
            <v>DD-J10B-34303-9G2</v>
          </cell>
          <cell r="E12467" t="str">
            <v>第3隔板</v>
          </cell>
        </row>
        <row r="12468">
          <cell r="D12468" t="str">
            <v>DD-J10B-34303-9G2</v>
          </cell>
          <cell r="E12468" t="str">
            <v>第3隔板</v>
          </cell>
        </row>
        <row r="12469">
          <cell r="D12469" t="str">
            <v>DD-J10B-34303-11G2</v>
          </cell>
          <cell r="E12469" t="str">
            <v>第4隔板</v>
          </cell>
        </row>
        <row r="12470">
          <cell r="D12470" t="str">
            <v>DD-J10B-34303-11G2</v>
          </cell>
          <cell r="E12470" t="str">
            <v>第4隔板</v>
          </cell>
        </row>
        <row r="12471">
          <cell r="D12471" t="str">
            <v>DD-J10B-34303-11G2</v>
          </cell>
          <cell r="E12471" t="str">
            <v>第4隔板</v>
          </cell>
        </row>
        <row r="12472">
          <cell r="D12472" t="str">
            <v>DD-J10B-34303-12G2</v>
          </cell>
          <cell r="E12472" t="str">
            <v>第5隔板</v>
          </cell>
        </row>
        <row r="12473">
          <cell r="D12473" t="str">
            <v>DD-J10B-34303-12G2</v>
          </cell>
          <cell r="E12473" t="str">
            <v>第5隔板</v>
          </cell>
        </row>
        <row r="12474">
          <cell r="D12474" t="str">
            <v>DD-J10B-34303-12G2</v>
          </cell>
          <cell r="E12474" t="str">
            <v>第5隔板</v>
          </cell>
        </row>
        <row r="12475">
          <cell r="D12475" t="str">
            <v>DD-J10B-34303-13G2</v>
          </cell>
          <cell r="E12475" t="str">
            <v>第6隔板</v>
          </cell>
        </row>
        <row r="12476">
          <cell r="D12476" t="str">
            <v>DD-J10B-34303-13G2</v>
          </cell>
          <cell r="E12476" t="str">
            <v>第6隔板</v>
          </cell>
        </row>
        <row r="12477">
          <cell r="D12477" t="str">
            <v>DD-J10B-34303-13G2</v>
          </cell>
          <cell r="E12477" t="str">
            <v>第6隔板</v>
          </cell>
        </row>
        <row r="12478">
          <cell r="D12478" t="str">
            <v>DD-J10-21102-250-1-Y</v>
          </cell>
          <cell r="E12478" t="str">
            <v>11900梁一段（右件）</v>
          </cell>
        </row>
        <row r="12479">
          <cell r="D12479" t="str">
            <v>DD-J10-21102-250-1-Y</v>
          </cell>
          <cell r="E12479" t="str">
            <v>11900梁一段（右件）</v>
          </cell>
        </row>
        <row r="12480">
          <cell r="D12480" t="str">
            <v>DD-J10-21102-250-1-Y</v>
          </cell>
          <cell r="E12480" t="str">
            <v>11900梁一段（右件）</v>
          </cell>
        </row>
        <row r="12481">
          <cell r="D12481" t="str">
            <v>DD-J10-21102-250-1-Z</v>
          </cell>
          <cell r="E12481" t="str">
            <v>11900梁一段（左件）</v>
          </cell>
        </row>
        <row r="12482">
          <cell r="D12482" t="str">
            <v>DD-J10-21102-250-1-Z</v>
          </cell>
          <cell r="E12482" t="str">
            <v>11900梁一段（左件）</v>
          </cell>
        </row>
        <row r="12483">
          <cell r="D12483" t="str">
            <v>DD-J10-21102-250-1-Z</v>
          </cell>
          <cell r="E12483" t="str">
            <v>11900梁一段（左件）</v>
          </cell>
        </row>
        <row r="12484">
          <cell r="D12484" t="str">
            <v>DD-J10-21102-250-1-Z</v>
          </cell>
          <cell r="E12484" t="str">
            <v>11900梁一段（左件）</v>
          </cell>
        </row>
        <row r="12485">
          <cell r="D12485" t="str">
            <v>DD-J10B-82000-101G2</v>
          </cell>
          <cell r="E12485" t="str">
            <v>地板</v>
          </cell>
        </row>
        <row r="12486">
          <cell r="D12486" t="str">
            <v>DD-J10B-82000-101G2</v>
          </cell>
          <cell r="E12486" t="str">
            <v>地板</v>
          </cell>
        </row>
        <row r="12487">
          <cell r="D12487" t="str">
            <v>DD-J10B-82000-101G2</v>
          </cell>
          <cell r="E12487" t="str">
            <v>地板</v>
          </cell>
        </row>
        <row r="12488">
          <cell r="D12488" t="str">
            <v>DD-J10B-82000-101G2</v>
          </cell>
          <cell r="E12488" t="str">
            <v>地板</v>
          </cell>
        </row>
        <row r="12489">
          <cell r="D12489" t="str">
            <v>DD-J10B-71031-110-1</v>
          </cell>
          <cell r="E12489" t="str">
            <v>樑</v>
          </cell>
        </row>
        <row r="12490">
          <cell r="D12490" t="str">
            <v>DD-J10B-71031-110-1</v>
          </cell>
          <cell r="E12490" t="str">
            <v>樑</v>
          </cell>
        </row>
        <row r="12491">
          <cell r="D12491" t="str">
            <v>DD-J10B-71031-110-1</v>
          </cell>
          <cell r="E12491" t="str">
            <v>樑</v>
          </cell>
        </row>
        <row r="12492">
          <cell r="D12492" t="str">
            <v>DD-J10B-71031-110-1</v>
          </cell>
          <cell r="E12492" t="str">
            <v>樑</v>
          </cell>
        </row>
        <row r="12493">
          <cell r="D12493" t="str">
            <v>CB5315130-002L001</v>
          </cell>
          <cell r="E12493" t="str">
            <v>6940框内段</v>
          </cell>
        </row>
        <row r="12494">
          <cell r="D12494" t="str">
            <v>CB5315130-002L001</v>
          </cell>
          <cell r="E12494" t="str">
            <v>6940框内段</v>
          </cell>
        </row>
        <row r="12495">
          <cell r="D12495" t="str">
            <v>CB5315130-002L001</v>
          </cell>
          <cell r="E12495" t="str">
            <v>6940框内段</v>
          </cell>
        </row>
        <row r="12496">
          <cell r="D12496" t="str">
            <v>CB5315130-002L001</v>
          </cell>
          <cell r="E12496" t="str">
            <v>6940框内段</v>
          </cell>
        </row>
        <row r="12497">
          <cell r="D12497" t="str">
            <v>CB5315130-002L001</v>
          </cell>
          <cell r="E12497" t="str">
            <v>6940框内段</v>
          </cell>
        </row>
        <row r="12498">
          <cell r="D12498" t="str">
            <v>CB5315130-002R001</v>
          </cell>
          <cell r="E12498" t="str">
            <v>6940框内段</v>
          </cell>
        </row>
        <row r="12499">
          <cell r="D12499" t="str">
            <v>CB5315130-002R001</v>
          </cell>
          <cell r="E12499" t="str">
            <v>6940框内段</v>
          </cell>
        </row>
        <row r="12500">
          <cell r="D12500" t="str">
            <v>CB5315130-002R001</v>
          </cell>
          <cell r="E12500" t="str">
            <v>6940框内段</v>
          </cell>
        </row>
        <row r="12501">
          <cell r="D12501" t="str">
            <v>CB5315130-002R001</v>
          </cell>
          <cell r="E12501" t="str">
            <v>6940框内段</v>
          </cell>
        </row>
        <row r="12502">
          <cell r="D12502" t="str">
            <v>CB5315130-002R001</v>
          </cell>
          <cell r="E12502" t="str">
            <v>6940框内段</v>
          </cell>
        </row>
        <row r="12503">
          <cell r="D12503" t="str">
            <v>CB5315120-002L001</v>
          </cell>
          <cell r="E12503" t="str">
            <v>6820框内段</v>
          </cell>
        </row>
        <row r="12504">
          <cell r="D12504" t="str">
            <v>CB5315120-002R001</v>
          </cell>
          <cell r="E12504" t="str">
            <v>6820框内段</v>
          </cell>
        </row>
        <row r="12505">
          <cell r="D12505" t="str">
            <v>CB5314107-005-001</v>
          </cell>
          <cell r="E12505" t="str">
            <v>油箱口盖</v>
          </cell>
        </row>
        <row r="12506">
          <cell r="D12506" t="str">
            <v>CB5314107-005-001</v>
          </cell>
          <cell r="E12506" t="str">
            <v>油箱口盖</v>
          </cell>
        </row>
        <row r="12507">
          <cell r="D12507" t="str">
            <v>CB5314107-005-001</v>
          </cell>
          <cell r="E12507" t="str">
            <v>油箱口盖</v>
          </cell>
        </row>
        <row r="12508">
          <cell r="D12508" t="str">
            <v>DD-J10-63001-511</v>
          </cell>
          <cell r="E12508" t="str">
            <v>阳密封式法兰盘</v>
          </cell>
        </row>
        <row r="12509">
          <cell r="D12509" t="str">
            <v>CB22837C2-002-001</v>
          </cell>
          <cell r="E12509" t="str">
            <v>法兰</v>
          </cell>
        </row>
        <row r="12510">
          <cell r="D12510" t="str">
            <v>DD-J10-06031-404</v>
          </cell>
          <cell r="E12510" t="str">
            <v>支座</v>
          </cell>
        </row>
        <row r="12511">
          <cell r="D12511" t="str">
            <v>DD-J10-06031-404</v>
          </cell>
          <cell r="E12511" t="str">
            <v>支座</v>
          </cell>
        </row>
        <row r="12512">
          <cell r="D12512" t="str">
            <v>BC5822000-003-001</v>
          </cell>
          <cell r="E12512" t="str">
            <v>螺栓</v>
          </cell>
        </row>
        <row r="12513">
          <cell r="D12513" t="str">
            <v>BC221T5ME-001-001</v>
          </cell>
          <cell r="E12513" t="str">
            <v>法兰</v>
          </cell>
        </row>
        <row r="12514">
          <cell r="D12514" t="str">
            <v>BC5812600-002-001</v>
          </cell>
          <cell r="E12514" t="str">
            <v>衬套</v>
          </cell>
        </row>
        <row r="12515">
          <cell r="D12515" t="str">
            <v>BC5812420-002-001</v>
          </cell>
          <cell r="E12515" t="str">
            <v>转轴衬套</v>
          </cell>
        </row>
        <row r="12516">
          <cell r="D12516" t="str">
            <v>BC5812420-003-001</v>
          </cell>
          <cell r="E12516" t="str">
            <v>拉杆衬套</v>
          </cell>
        </row>
        <row r="12517">
          <cell r="D12517" t="str">
            <v>BC5812000-008-001</v>
          </cell>
          <cell r="E12517" t="str">
            <v>螺桩</v>
          </cell>
        </row>
        <row r="12518">
          <cell r="D12518" t="str">
            <v>Y20-5319170003-001</v>
          </cell>
          <cell r="E12518" t="str">
            <v>角型材</v>
          </cell>
        </row>
        <row r="12519">
          <cell r="D12519" t="str">
            <v>Y20-5312100302-001</v>
          </cell>
          <cell r="E12519" t="str">
            <v>合页</v>
          </cell>
        </row>
        <row r="12520">
          <cell r="D12520" t="str">
            <v>Y20-5312100302-001</v>
          </cell>
          <cell r="E12520" t="str">
            <v>合页</v>
          </cell>
        </row>
        <row r="12521">
          <cell r="D12521" t="str">
            <v>Y20-5212290014-001</v>
          </cell>
          <cell r="E12521" t="str">
            <v>合页</v>
          </cell>
        </row>
        <row r="12522">
          <cell r="D12522" t="str">
            <v>Y20-5212290014-001</v>
          </cell>
          <cell r="E12522" t="str">
            <v>合页</v>
          </cell>
        </row>
        <row r="12523">
          <cell r="D12523" t="str">
            <v>Y20-5313100202-001</v>
          </cell>
          <cell r="E12523" t="str">
            <v>合页</v>
          </cell>
        </row>
        <row r="12524">
          <cell r="D12524" t="str">
            <v>Y20-5313100203-001</v>
          </cell>
          <cell r="E12524" t="str">
            <v>合页</v>
          </cell>
        </row>
        <row r="12525">
          <cell r="D12525" t="str">
            <v>Y20-5312100303-001</v>
          </cell>
          <cell r="E12525" t="str">
            <v>合页</v>
          </cell>
        </row>
        <row r="12526">
          <cell r="D12526" t="str">
            <v>Y20-5312100303-001</v>
          </cell>
          <cell r="E12526" t="str">
            <v>合页</v>
          </cell>
        </row>
        <row r="12527">
          <cell r="D12527" t="str">
            <v>Y20-5312100303-001</v>
          </cell>
          <cell r="E12527" t="str">
            <v>合页</v>
          </cell>
        </row>
        <row r="12528">
          <cell r="D12528" t="str">
            <v>Y20-5312120201-001</v>
          </cell>
          <cell r="E12528" t="str">
            <v>衬套</v>
          </cell>
        </row>
        <row r="12529">
          <cell r="D12529" t="str">
            <v>Y20-5826100003-001</v>
          </cell>
          <cell r="E12529" t="str">
            <v>摩擦片</v>
          </cell>
        </row>
        <row r="12530">
          <cell r="D12530" t="str">
            <v>Y20-5212290013-001</v>
          </cell>
          <cell r="E12530" t="str">
            <v>合页</v>
          </cell>
        </row>
        <row r="12531">
          <cell r="D12531" t="str">
            <v>Y20-5212290013-001</v>
          </cell>
          <cell r="E12531" t="str">
            <v>合页</v>
          </cell>
        </row>
        <row r="12532">
          <cell r="D12532" t="str">
            <v>Y20-5226300010-001</v>
          </cell>
          <cell r="E12532" t="str">
            <v>锁盒支撑角片</v>
          </cell>
        </row>
        <row r="12533">
          <cell r="D12533" t="str">
            <v>Y20-5319170004-001</v>
          </cell>
          <cell r="E12533" t="str">
            <v>角型材</v>
          </cell>
        </row>
        <row r="12534">
          <cell r="D12534" t="str">
            <v>Y20-5318200003-001</v>
          </cell>
          <cell r="E12534" t="str">
            <v>主交点衬套</v>
          </cell>
        </row>
        <row r="12535">
          <cell r="D12535" t="str">
            <v>Y20-5318200003-002</v>
          </cell>
          <cell r="E12535" t="str">
            <v>主交点衬套</v>
          </cell>
        </row>
        <row r="12536">
          <cell r="D12536" t="str">
            <v>Y20-5318200002-001</v>
          </cell>
          <cell r="E12536" t="str">
            <v>主交点衬套</v>
          </cell>
        </row>
        <row r="12537">
          <cell r="D12537" t="str">
            <v>Y20-5318200002-002</v>
          </cell>
          <cell r="E12537" t="str">
            <v>主交点衬套</v>
          </cell>
        </row>
        <row r="12538">
          <cell r="D12538" t="str">
            <v>Y20-5312130104-001</v>
          </cell>
          <cell r="E12538" t="str">
            <v>衬套</v>
          </cell>
        </row>
        <row r="12539">
          <cell r="D12539" t="str">
            <v>Y20-5312130202-001</v>
          </cell>
          <cell r="E12539" t="str">
            <v>衬套</v>
          </cell>
        </row>
        <row r="12540">
          <cell r="D12540" t="str">
            <v>Y20-5318210002-001</v>
          </cell>
          <cell r="E12540" t="str">
            <v>前撑杆交点衬套</v>
          </cell>
        </row>
        <row r="12541">
          <cell r="D12541" t="str">
            <v>Y20-5318210004-001</v>
          </cell>
          <cell r="E12541" t="str">
            <v>舱门摇臂交点衬套</v>
          </cell>
        </row>
        <row r="12542">
          <cell r="D12542" t="str">
            <v>Y20-5318210004-002</v>
          </cell>
          <cell r="E12542" t="str">
            <v>舱门摇臂交点衬套</v>
          </cell>
        </row>
        <row r="12543">
          <cell r="D12543" t="str">
            <v>Y20-5318210004-002</v>
          </cell>
          <cell r="E12543" t="str">
            <v>舱门摇臂交点衬套</v>
          </cell>
        </row>
        <row r="12544">
          <cell r="D12544" t="str">
            <v>Y20-5312120101-001</v>
          </cell>
          <cell r="E12544" t="str">
            <v>衬套</v>
          </cell>
        </row>
        <row r="12545">
          <cell r="D12545" t="str">
            <v>Y20-5212010202-001</v>
          </cell>
          <cell r="E12545" t="str">
            <v>衬套</v>
          </cell>
        </row>
        <row r="12546">
          <cell r="D12546" t="str">
            <v>DD-J10-55055-2611</v>
          </cell>
          <cell r="E12546" t="str">
            <v>接管嘴</v>
          </cell>
        </row>
        <row r="12547">
          <cell r="D12547" t="str">
            <v>DD-J10-55055-2611</v>
          </cell>
          <cell r="E12547" t="str">
            <v>接管嘴</v>
          </cell>
        </row>
        <row r="12548">
          <cell r="D12548" t="str">
            <v>DD-J10-55055-2611</v>
          </cell>
          <cell r="E12548" t="str">
            <v>接管嘴</v>
          </cell>
        </row>
        <row r="12549">
          <cell r="D12549" t="str">
            <v>DD-J10-55055-2611</v>
          </cell>
          <cell r="E12549" t="str">
            <v>接管嘴</v>
          </cell>
        </row>
        <row r="12550">
          <cell r="D12550" t="str">
            <v>XXX1 XXX-000-01</v>
          </cell>
          <cell r="E12550" t="str">
            <v>XXX振动夹具</v>
          </cell>
        </row>
        <row r="12551">
          <cell r="D12551" t="str">
            <v>XXX1 XXX-000-02</v>
          </cell>
          <cell r="E12551" t="str">
            <v>XXX上包带</v>
          </cell>
        </row>
        <row r="12552">
          <cell r="D12552" t="str">
            <v>XXX1 XXX-000-03</v>
          </cell>
          <cell r="E12552" t="str">
            <v>XXX包带底座</v>
          </cell>
        </row>
        <row r="12553">
          <cell r="D12553" t="str">
            <v>XXX3 XXX-000-00</v>
          </cell>
          <cell r="E12553" t="str">
            <v>XXX复合离心夹具组合件</v>
          </cell>
        </row>
        <row r="12554">
          <cell r="D12554" t="str">
            <v>XXX3 XXX-000-01</v>
          </cell>
          <cell r="E12554" t="str">
            <v>XXX复合离心夹具</v>
          </cell>
        </row>
        <row r="12555">
          <cell r="D12555" t="str">
            <v>XXX-6410000-01</v>
          </cell>
          <cell r="E12555" t="str">
            <v>腔体</v>
          </cell>
        </row>
        <row r="12556">
          <cell r="D12556" t="str">
            <v>XXX-6410000-02</v>
          </cell>
          <cell r="E12556" t="str">
            <v>介质块</v>
          </cell>
        </row>
        <row r="12557">
          <cell r="D12557" t="str">
            <v>XXX-6410000-03</v>
          </cell>
          <cell r="E12557" t="str">
            <v>SMA(12.2)垫圈</v>
          </cell>
        </row>
        <row r="12558">
          <cell r="D12558" t="str">
            <v>XXX-6410000-02</v>
          </cell>
          <cell r="E12558" t="str">
            <v>夹板</v>
          </cell>
        </row>
        <row r="12559">
          <cell r="D12559" t="str">
            <v>DD-J10B-04321-30-1-Z</v>
          </cell>
          <cell r="E12559" t="str">
            <v>侧下梁（左件）</v>
          </cell>
        </row>
        <row r="12560">
          <cell r="D12560" t="str">
            <v>DD-J10B-21402-90G2-1G2-Y</v>
          </cell>
          <cell r="E12560" t="str">
            <v>夹板</v>
          </cell>
        </row>
        <row r="12561">
          <cell r="D12561" t="str">
            <v>DD-J10B-21402-90G2-1G2-Y</v>
          </cell>
          <cell r="E12561" t="str">
            <v>固定前缘端肋（右件）</v>
          </cell>
        </row>
        <row r="12562">
          <cell r="D12562" t="str">
            <v>DD-J10B-21402-90G2-1G2-Y</v>
          </cell>
          <cell r="E12562" t="str">
            <v>固定前缘端肋（右件）</v>
          </cell>
        </row>
        <row r="12563">
          <cell r="D12563" t="str">
            <v>DD-J10B-21402-90G2-1G2-Y</v>
          </cell>
          <cell r="E12563" t="str">
            <v>固定前缘端肋（右件）</v>
          </cell>
        </row>
        <row r="12564">
          <cell r="D12564" t="str">
            <v>DD-J10B-21402-90G2-1G2-Y</v>
          </cell>
          <cell r="E12564" t="str">
            <v>固定前缘端肋（右件）</v>
          </cell>
        </row>
        <row r="12565">
          <cell r="D12565" t="str">
            <v>DD-J10B-21402-90G2-1G2-Z</v>
          </cell>
          <cell r="E12565" t="str">
            <v>固定前缘端肋（左件）</v>
          </cell>
        </row>
        <row r="12566">
          <cell r="D12566" t="str">
            <v>DD-J10B-21402-90G2-1G2-Z</v>
          </cell>
          <cell r="E12566" t="str">
            <v>固定前缘端肋（左件）</v>
          </cell>
        </row>
        <row r="12567">
          <cell r="D12567" t="str">
            <v>DD-J10B-21402-90G2-1G2-Z</v>
          </cell>
          <cell r="E12567" t="str">
            <v>固定前缘端肋（左件）</v>
          </cell>
        </row>
        <row r="12568">
          <cell r="D12568" t="str">
            <v>DD-J10B-21402-90G2-1G2-Z</v>
          </cell>
          <cell r="E12568" t="str">
            <v>固定前缘端肋（左件）</v>
          </cell>
        </row>
        <row r="12569">
          <cell r="D12569" t="str">
            <v>DD-J10B-21402-90G2-1G2-Z</v>
          </cell>
          <cell r="E12569" t="str">
            <v>固定前缘端肋（左件）</v>
          </cell>
        </row>
        <row r="12570">
          <cell r="D12570" t="str">
            <v>CB5327110-002R004</v>
          </cell>
          <cell r="E12570" t="str">
            <v>8270右隔框</v>
          </cell>
        </row>
        <row r="12571">
          <cell r="D12571" t="str">
            <v>CB5327110-002R004</v>
          </cell>
          <cell r="E12571" t="str">
            <v>8270右隔框</v>
          </cell>
        </row>
        <row r="12572">
          <cell r="D12572" t="str">
            <v>CB3014944-001-002</v>
          </cell>
          <cell r="E12572" t="str">
            <v>左后垂直操纵台面板</v>
          </cell>
        </row>
        <row r="12573">
          <cell r="D12573" t="str">
            <v>CB3014944-001-002</v>
          </cell>
          <cell r="E12573" t="str">
            <v>左后垂直操纵台面板</v>
          </cell>
        </row>
        <row r="12574">
          <cell r="D12574" t="str">
            <v>CB3014944-001-002</v>
          </cell>
          <cell r="E12574" t="str">
            <v>左后垂直操纵台面板</v>
          </cell>
        </row>
        <row r="12575">
          <cell r="D12575" t="str">
            <v>CB3014944-001-002</v>
          </cell>
          <cell r="E12575" t="str">
            <v>左后垂直操纵台面板</v>
          </cell>
        </row>
        <row r="12576">
          <cell r="D12576" t="str">
            <v>CB3014944-001-002</v>
          </cell>
          <cell r="E12576" t="str">
            <v>左后垂直操纵台面板</v>
          </cell>
        </row>
        <row r="12577">
          <cell r="D12577" t="str">
            <v>CB5324310-016-006</v>
          </cell>
          <cell r="E12577" t="str">
            <v>带板</v>
          </cell>
        </row>
        <row r="12578">
          <cell r="D12578" t="str">
            <v>CB5324310-016-006</v>
          </cell>
          <cell r="E12578" t="str">
            <v>带板</v>
          </cell>
        </row>
        <row r="12579">
          <cell r="D12579" t="str">
            <v>CB5324310-016-006</v>
          </cell>
          <cell r="E12579" t="str">
            <v>带板</v>
          </cell>
        </row>
        <row r="12580">
          <cell r="D12580" t="str">
            <v>CB5324310-016-006</v>
          </cell>
          <cell r="E12580" t="str">
            <v>带板</v>
          </cell>
        </row>
        <row r="12581">
          <cell r="D12581" t="str">
            <v>CB5512300-006L003</v>
          </cell>
          <cell r="E12581" t="str">
            <v>1#斜肋</v>
          </cell>
        </row>
        <row r="12582">
          <cell r="D12582" t="str">
            <v>CB5512300-006L003</v>
          </cell>
          <cell r="E12582" t="str">
            <v>1#斜肋</v>
          </cell>
        </row>
        <row r="12583">
          <cell r="D12583" t="str">
            <v>CB5512300-006L003</v>
          </cell>
          <cell r="E12583" t="str">
            <v>1#斜肋</v>
          </cell>
        </row>
        <row r="12584">
          <cell r="D12584" t="str">
            <v>CB5512300-006L003</v>
          </cell>
          <cell r="E12584" t="str">
            <v>1#斜肋</v>
          </cell>
        </row>
        <row r="12585">
          <cell r="D12585" t="str">
            <v>CB5512300-006L003</v>
          </cell>
          <cell r="E12585" t="str">
            <v>1#斜肋</v>
          </cell>
        </row>
        <row r="12586">
          <cell r="D12586" t="str">
            <v>CB5512300-006L003</v>
          </cell>
          <cell r="E12586" t="str">
            <v>1#斜肋</v>
          </cell>
        </row>
        <row r="12587">
          <cell r="D12587" t="str">
            <v>CB5512300-006L003</v>
          </cell>
          <cell r="E12587" t="str">
            <v>1#斜肋</v>
          </cell>
        </row>
        <row r="12588">
          <cell r="D12588" t="str">
            <v>CB5512300-006L003</v>
          </cell>
          <cell r="E12588" t="str">
            <v>1#斜肋</v>
          </cell>
        </row>
        <row r="12589">
          <cell r="D12589" t="str">
            <v>CB5512300-006L003</v>
          </cell>
          <cell r="E12589" t="str">
            <v>1#斜肋</v>
          </cell>
        </row>
        <row r="12590">
          <cell r="D12590" t="str">
            <v>CB5512300-006L003</v>
          </cell>
          <cell r="E12590" t="str">
            <v>1#斜肋</v>
          </cell>
        </row>
        <row r="12591">
          <cell r="D12591" t="str">
            <v>CB5512300-006L003</v>
          </cell>
          <cell r="E12591" t="str">
            <v>1#斜肋</v>
          </cell>
        </row>
        <row r="12592">
          <cell r="D12592" t="str">
            <v>CB5512300-006L003</v>
          </cell>
          <cell r="E12592" t="str">
            <v>1#斜肋</v>
          </cell>
        </row>
        <row r="12593">
          <cell r="D12593" t="str">
            <v>CB5512300-006L003</v>
          </cell>
          <cell r="E12593" t="str">
            <v>1#斜肋</v>
          </cell>
        </row>
        <row r="12594">
          <cell r="D12594" t="str">
            <v>CB5512300-006L003</v>
          </cell>
          <cell r="E12594" t="str">
            <v>1#斜肋</v>
          </cell>
        </row>
        <row r="12595">
          <cell r="D12595" t="str">
            <v>CB5512300-006L003</v>
          </cell>
          <cell r="E12595" t="str">
            <v>1#斜肋</v>
          </cell>
        </row>
        <row r="12596">
          <cell r="D12596" t="str">
            <v>CB5512300-006L003</v>
          </cell>
          <cell r="E12596" t="str">
            <v>1#斜肋</v>
          </cell>
        </row>
        <row r="12597">
          <cell r="D12597" t="str">
            <v>CB5512300-006L003</v>
          </cell>
          <cell r="E12597" t="str">
            <v>1#斜肋</v>
          </cell>
        </row>
        <row r="12598">
          <cell r="D12598" t="str">
            <v>CB5512300-006L003</v>
          </cell>
          <cell r="E12598" t="str">
            <v>1#斜肋</v>
          </cell>
        </row>
        <row r="12599">
          <cell r="D12599" t="str">
            <v>CB5512300-006L003</v>
          </cell>
          <cell r="E12599" t="str">
            <v>1#斜肋</v>
          </cell>
        </row>
        <row r="12600">
          <cell r="D12600" t="str">
            <v>CB5512300-006L003</v>
          </cell>
          <cell r="E12600" t="str">
            <v>1#斜肋</v>
          </cell>
        </row>
        <row r="12601">
          <cell r="D12601" t="str">
            <v>CB5512300-006L003</v>
          </cell>
          <cell r="E12601" t="str">
            <v>1#斜肋</v>
          </cell>
        </row>
        <row r="12602">
          <cell r="D12602" t="str">
            <v>CB5512300-006L003</v>
          </cell>
          <cell r="E12602" t="str">
            <v>1#斜肋</v>
          </cell>
        </row>
        <row r="12603">
          <cell r="D12603" t="str">
            <v>CB5512300-006R003</v>
          </cell>
          <cell r="E12603" t="str">
            <v>1#斜肋</v>
          </cell>
        </row>
        <row r="12604">
          <cell r="D12604" t="str">
            <v>CB5512300-006R003</v>
          </cell>
          <cell r="E12604" t="str">
            <v>1#斜肋</v>
          </cell>
        </row>
        <row r="12605">
          <cell r="D12605" t="str">
            <v>CB5512300-006R003</v>
          </cell>
          <cell r="E12605" t="str">
            <v>1#斜肋</v>
          </cell>
        </row>
        <row r="12606">
          <cell r="D12606" t="str">
            <v>CB5512300-006R003</v>
          </cell>
          <cell r="E12606" t="str">
            <v>1#斜肋</v>
          </cell>
        </row>
        <row r="12607">
          <cell r="D12607" t="str">
            <v>CB5512300-006R003</v>
          </cell>
          <cell r="E12607" t="str">
            <v>1#斜肋</v>
          </cell>
        </row>
        <row r="12608">
          <cell r="D12608" t="str">
            <v>CB5512300-006R003</v>
          </cell>
          <cell r="E12608" t="str">
            <v>1#斜肋</v>
          </cell>
        </row>
        <row r="12609">
          <cell r="D12609" t="str">
            <v>CB5512300-006R003</v>
          </cell>
          <cell r="E12609" t="str">
            <v>1#斜肋</v>
          </cell>
        </row>
        <row r="12610">
          <cell r="D12610" t="str">
            <v>CB5512300-006R003</v>
          </cell>
          <cell r="E12610" t="str">
            <v>1#斜肋</v>
          </cell>
        </row>
        <row r="12611">
          <cell r="D12611" t="str">
            <v>CB5512300-006R003</v>
          </cell>
          <cell r="E12611" t="str">
            <v>1#斜肋</v>
          </cell>
        </row>
        <row r="12612">
          <cell r="D12612" t="str">
            <v>CB5512300-006R003</v>
          </cell>
          <cell r="E12612" t="str">
            <v>1#斜肋</v>
          </cell>
        </row>
        <row r="12613">
          <cell r="D12613" t="str">
            <v>CB5512300-006R003</v>
          </cell>
          <cell r="E12613" t="str">
            <v>1#斜肋</v>
          </cell>
        </row>
        <row r="12614">
          <cell r="D12614" t="str">
            <v>CB5512300-006R003</v>
          </cell>
          <cell r="E12614" t="str">
            <v>1#斜肋</v>
          </cell>
        </row>
        <row r="12615">
          <cell r="D12615" t="str">
            <v>CB5512300-006R003</v>
          </cell>
          <cell r="E12615" t="str">
            <v>1#斜肋</v>
          </cell>
        </row>
        <row r="12616">
          <cell r="D12616" t="str">
            <v>CB5512300-006R003</v>
          </cell>
          <cell r="E12616" t="str">
            <v>1#斜肋</v>
          </cell>
        </row>
        <row r="12617">
          <cell r="D12617" t="str">
            <v>CB5512300-006R003</v>
          </cell>
          <cell r="E12617" t="str">
            <v>1#斜肋</v>
          </cell>
        </row>
        <row r="12618">
          <cell r="D12618" t="str">
            <v>CB5512300-006R003</v>
          </cell>
          <cell r="E12618" t="str">
            <v>1#斜肋</v>
          </cell>
        </row>
        <row r="12619">
          <cell r="D12619" t="str">
            <v>CB5512300-006R003</v>
          </cell>
          <cell r="E12619" t="str">
            <v>1#斜肋</v>
          </cell>
        </row>
        <row r="12620">
          <cell r="D12620" t="str">
            <v>CB5512300-006R003</v>
          </cell>
          <cell r="E12620" t="str">
            <v>1#斜肋</v>
          </cell>
        </row>
        <row r="12621">
          <cell r="D12621" t="str">
            <v>CB5512300-006R003</v>
          </cell>
          <cell r="E12621" t="str">
            <v>1#斜肋</v>
          </cell>
        </row>
        <row r="12622">
          <cell r="D12622" t="str">
            <v>CB5512300-006R003</v>
          </cell>
          <cell r="E12622" t="str">
            <v>1#斜肋</v>
          </cell>
        </row>
        <row r="12623">
          <cell r="D12623" t="str">
            <v>CB5512300-006R003</v>
          </cell>
          <cell r="E12623" t="str">
            <v>1#斜肋</v>
          </cell>
        </row>
        <row r="12624">
          <cell r="D12624" t="str">
            <v>CB5512300-006L003</v>
          </cell>
          <cell r="E12624" t="str">
            <v>1#斜肋</v>
          </cell>
        </row>
        <row r="12625">
          <cell r="D12625" t="str">
            <v>CB5512300-006R003</v>
          </cell>
          <cell r="E12625" t="str">
            <v>1#斜肋</v>
          </cell>
        </row>
        <row r="12626">
          <cell r="D12626" t="str">
            <v>CB5512300-006R003</v>
          </cell>
          <cell r="E12626" t="str">
            <v>1#斜肋</v>
          </cell>
        </row>
        <row r="12627">
          <cell r="D12627" t="str">
            <v>Y20-5316320208-001</v>
          </cell>
          <cell r="E12627" t="str">
            <v>梯子支撑件</v>
          </cell>
        </row>
        <row r="12628">
          <cell r="D12628" t="str">
            <v>Y20-5316320208-001</v>
          </cell>
          <cell r="E12628" t="str">
            <v>梯子支撑件</v>
          </cell>
        </row>
        <row r="12629">
          <cell r="D12629" t="str">
            <v>Y20-5311123022-001</v>
          </cell>
          <cell r="E12629" t="str">
            <v>口框加强件</v>
          </cell>
        </row>
        <row r="12630">
          <cell r="D12630" t="str">
            <v>Y20-5311123022-002</v>
          </cell>
          <cell r="E12630" t="str">
            <v>口框加强件</v>
          </cell>
        </row>
        <row r="12631">
          <cell r="D12631" t="str">
            <v>Y20-4382112001-001</v>
          </cell>
          <cell r="E12631" t="str">
            <v>后槽型件</v>
          </cell>
        </row>
        <row r="12632">
          <cell r="D12632" t="str">
            <v>Y20-4382112001-001</v>
          </cell>
          <cell r="E12632" t="str">
            <v>后槽型件</v>
          </cell>
        </row>
        <row r="12633">
          <cell r="D12633" t="str">
            <v>Y20-4382112002-001</v>
          </cell>
          <cell r="E12633" t="str">
            <v>前槽型件</v>
          </cell>
        </row>
        <row r="12634">
          <cell r="D12634" t="str">
            <v>Y20-4382112002-001</v>
          </cell>
          <cell r="E12634" t="str">
            <v>前槽型件</v>
          </cell>
        </row>
        <row r="12635">
          <cell r="D12635" t="str">
            <v>LT3E-551100000-63L01</v>
          </cell>
          <cell r="E12635" t="str">
            <v>挡板</v>
          </cell>
        </row>
        <row r="12636">
          <cell r="D12636" t="str">
            <v>LT3E-551100000-63R01</v>
          </cell>
          <cell r="E12636" t="str">
            <v>挡板</v>
          </cell>
        </row>
        <row r="12637">
          <cell r="D12637" t="str">
            <v>DD-J10B-25002-30G2-1G2-Y</v>
          </cell>
          <cell r="E12637" t="str">
            <v>梁（右件）</v>
          </cell>
        </row>
        <row r="12638">
          <cell r="D12638" t="str">
            <v>DD-J10B-25002-30G2-1G2-Y</v>
          </cell>
          <cell r="E12638" t="str">
            <v>梁（右件）</v>
          </cell>
        </row>
        <row r="12639">
          <cell r="D12639" t="str">
            <v>DD-J10B-25002-30G2-1G2-Y</v>
          </cell>
          <cell r="E12639" t="str">
            <v>梁（右件）</v>
          </cell>
        </row>
        <row r="12640">
          <cell r="D12640" t="str">
            <v>DD-J10B-25002-30G2-1G2-Y</v>
          </cell>
          <cell r="E12640" t="str">
            <v>梁（右件）</v>
          </cell>
        </row>
        <row r="12641">
          <cell r="D12641" t="str">
            <v>DD-J10B-25002-30G2-1G2-Y</v>
          </cell>
          <cell r="E12641" t="str">
            <v>梁（右件）</v>
          </cell>
        </row>
        <row r="12642">
          <cell r="D12642" t="str">
            <v>DD-J10B-25002-30G2-1G2-Z</v>
          </cell>
          <cell r="E12642" t="str">
            <v>梁（左件）</v>
          </cell>
        </row>
        <row r="12643">
          <cell r="D12643" t="str">
            <v>DD-J10B-25002-30G2-1G2-Z</v>
          </cell>
          <cell r="E12643" t="str">
            <v>梁（左件）</v>
          </cell>
        </row>
        <row r="12644">
          <cell r="D12644" t="str">
            <v>DD-J10B-25002-30G2-1G2-Z</v>
          </cell>
          <cell r="E12644" t="str">
            <v>梁（左件）</v>
          </cell>
        </row>
        <row r="12645">
          <cell r="D12645" t="str">
            <v>DD-J10B-25002-30G2-1G2-Z</v>
          </cell>
          <cell r="E12645" t="str">
            <v>梁（左件）</v>
          </cell>
        </row>
        <row r="12646">
          <cell r="D12646" t="str">
            <v>CB5822016-029R001</v>
          </cell>
          <cell r="E12646" t="str">
            <v>角片</v>
          </cell>
        </row>
        <row r="12647">
          <cell r="D12647" t="str">
            <v>CB5822016-029L001</v>
          </cell>
          <cell r="E12647" t="str">
            <v>角片</v>
          </cell>
        </row>
        <row r="12648">
          <cell r="D12648" t="str">
            <v>CB5822016-029L001</v>
          </cell>
          <cell r="E12648" t="str">
            <v>角片</v>
          </cell>
        </row>
        <row r="12649">
          <cell r="D12649" t="str">
            <v>CB5512300-014L001</v>
          </cell>
          <cell r="E12649" t="str">
            <v>角盒</v>
          </cell>
        </row>
        <row r="12650">
          <cell r="D12650" t="str">
            <v>CB5327310-014L001</v>
          </cell>
          <cell r="E12650" t="str">
            <v>大舱门前缘冒型材</v>
          </cell>
        </row>
        <row r="12651">
          <cell r="D12651" t="str">
            <v>CB5327310-014L001</v>
          </cell>
          <cell r="E12651" t="str">
            <v>大舱门前缘冒型材</v>
          </cell>
        </row>
        <row r="12652">
          <cell r="D12652" t="str">
            <v>CB5327310-014L001</v>
          </cell>
          <cell r="E12652" t="str">
            <v>大舱门前缘冒型材</v>
          </cell>
        </row>
        <row r="12653">
          <cell r="D12653" t="str">
            <v>CB5327310-014R001</v>
          </cell>
          <cell r="E12653" t="str">
            <v>大舱门前缘冒型材</v>
          </cell>
        </row>
        <row r="12654">
          <cell r="D12654" t="str">
            <v>CB5327310-014R001</v>
          </cell>
          <cell r="E12654" t="str">
            <v>大舱门前缘冒型材</v>
          </cell>
        </row>
        <row r="12655">
          <cell r="D12655" t="str">
            <v>CB5327310-014R001</v>
          </cell>
          <cell r="E12655" t="str">
            <v>大舱门前缘冒型材</v>
          </cell>
        </row>
        <row r="12656">
          <cell r="D12656" t="str">
            <v>CB5324310-011L006</v>
          </cell>
          <cell r="E12656" t="str">
            <v>型材</v>
          </cell>
        </row>
        <row r="12657">
          <cell r="D12657" t="str">
            <v>CB5324310-011L006</v>
          </cell>
          <cell r="E12657" t="str">
            <v>型材</v>
          </cell>
        </row>
        <row r="12658">
          <cell r="D12658" t="str">
            <v>CB5324310-011R006</v>
          </cell>
          <cell r="E12658" t="str">
            <v>型材</v>
          </cell>
        </row>
        <row r="12659">
          <cell r="D12659" t="str">
            <v>CB5324310-011R006</v>
          </cell>
          <cell r="E12659" t="str">
            <v>型材</v>
          </cell>
        </row>
        <row r="12660">
          <cell r="D12660" t="str">
            <v>CB5315130-002R001</v>
          </cell>
          <cell r="E12660" t="str">
            <v>6940框内段</v>
          </cell>
        </row>
        <row r="12661">
          <cell r="D12661" t="str">
            <v>CB5315130-002R001</v>
          </cell>
          <cell r="E12661" t="str">
            <v>6940框内段</v>
          </cell>
        </row>
        <row r="12662">
          <cell r="D12662" t="str">
            <v>CB5315130-002L001</v>
          </cell>
          <cell r="E12662" t="str">
            <v>6940框内段</v>
          </cell>
        </row>
        <row r="12663">
          <cell r="D12663" t="str">
            <v>CB5315130-002L001</v>
          </cell>
          <cell r="E12663" t="str">
            <v>6940框内段</v>
          </cell>
        </row>
        <row r="12664">
          <cell r="D12664" t="str">
            <v>CB5822016-032L001</v>
          </cell>
          <cell r="E12664" t="str">
            <v>角片</v>
          </cell>
        </row>
        <row r="12665">
          <cell r="D12665" t="str">
            <v>CB5822016-032L001</v>
          </cell>
          <cell r="E12665" t="str">
            <v>角片</v>
          </cell>
        </row>
        <row r="12666">
          <cell r="D12666" t="str">
            <v>CB5822016-032L001</v>
          </cell>
          <cell r="E12666" t="str">
            <v>角片</v>
          </cell>
        </row>
        <row r="12667">
          <cell r="D12667" t="str">
            <v>CB5822016-032L001</v>
          </cell>
          <cell r="E12667" t="str">
            <v>角片</v>
          </cell>
        </row>
        <row r="12668">
          <cell r="D12668" t="str">
            <v>CB5822016-032R001</v>
          </cell>
          <cell r="E12668" t="str">
            <v>角片</v>
          </cell>
        </row>
        <row r="12669">
          <cell r="D12669" t="str">
            <v>CB5822016-032R001</v>
          </cell>
          <cell r="E12669" t="str">
            <v>角片</v>
          </cell>
        </row>
        <row r="12670">
          <cell r="D12670" t="str">
            <v>CB5822016-032R001</v>
          </cell>
          <cell r="E12670" t="str">
            <v>角片</v>
          </cell>
        </row>
        <row r="12671">
          <cell r="D12671" t="str">
            <v>CB5822016-032R001</v>
          </cell>
          <cell r="E12671" t="str">
            <v>角片</v>
          </cell>
        </row>
        <row r="12672">
          <cell r="D12672" t="str">
            <v>BC2286640-001-001</v>
          </cell>
          <cell r="E12672" t="str">
            <v>管接头</v>
          </cell>
        </row>
        <row r="12673">
          <cell r="D12673" t="str">
            <v>BC2286641-002-001</v>
          </cell>
          <cell r="E12673" t="str">
            <v>外套螺母</v>
          </cell>
        </row>
        <row r="12674">
          <cell r="D12674" t="str">
            <v>BC2286641-003-001</v>
          </cell>
          <cell r="E12674" t="str">
            <v>平管嘴</v>
          </cell>
        </row>
        <row r="12675">
          <cell r="D12675" t="str">
            <v>Y20-4252103803-001</v>
          </cell>
          <cell r="E12675" t="str">
            <v>角片</v>
          </cell>
        </row>
        <row r="12676">
          <cell r="D12676" t="str">
            <v>Y20-4252103803-001</v>
          </cell>
          <cell r="E12676" t="str">
            <v>角片</v>
          </cell>
        </row>
        <row r="12677">
          <cell r="D12677" t="str">
            <v>Y20-4252103803-001</v>
          </cell>
          <cell r="E12677" t="str">
            <v>角片</v>
          </cell>
        </row>
        <row r="12678">
          <cell r="D12678" t="str">
            <v>Y20-4252103803-001</v>
          </cell>
          <cell r="E12678" t="str">
            <v>角片</v>
          </cell>
        </row>
        <row r="12679">
          <cell r="D12679" t="str">
            <v>LT3E-551100000-64R01</v>
          </cell>
          <cell r="E12679" t="str">
            <v>挡板</v>
          </cell>
        </row>
        <row r="12680">
          <cell r="D12680" t="str">
            <v>BC2350100-005-001</v>
          </cell>
          <cell r="E12680" t="str">
            <v>三通接头</v>
          </cell>
        </row>
        <row r="12681">
          <cell r="D12681" t="str">
            <v>BC2350100-005-001</v>
          </cell>
          <cell r="E12681" t="str">
            <v>三通接头</v>
          </cell>
        </row>
        <row r="12682">
          <cell r="D12682" t="str">
            <v>DD-J10B-55015-4100-1</v>
          </cell>
          <cell r="E12682" t="str">
            <v>垫圈</v>
          </cell>
        </row>
        <row r="12683">
          <cell r="D12683" t="str">
            <v>LT3E-551100000-64L01</v>
          </cell>
          <cell r="E12683" t="str">
            <v>挡板</v>
          </cell>
        </row>
        <row r="12684">
          <cell r="D12684" t="str">
            <v>531A5500-001-501</v>
          </cell>
          <cell r="E12684" t="str">
            <v>纵梁上半部分</v>
          </cell>
        </row>
        <row r="12685">
          <cell r="D12685" t="str">
            <v>531A5600-001-501</v>
          </cell>
          <cell r="E12685" t="str">
            <v>纵梁</v>
          </cell>
        </row>
        <row r="12686">
          <cell r="D12686" t="str">
            <v>531A1100-008-002</v>
          </cell>
          <cell r="E12686" t="str">
            <v>铰链支撑件</v>
          </cell>
        </row>
        <row r="12687">
          <cell r="D12687" t="str">
            <v>528A1100-000-027</v>
          </cell>
          <cell r="E12687" t="str">
            <v>加强板</v>
          </cell>
        </row>
        <row r="12688">
          <cell r="D12688" t="str">
            <v>528A1100-000-028</v>
          </cell>
          <cell r="E12688" t="str">
            <v>加强板</v>
          </cell>
        </row>
        <row r="12689">
          <cell r="D12689" t="str">
            <v>528A1100-000-028</v>
          </cell>
          <cell r="E12689" t="str">
            <v>加强板</v>
          </cell>
        </row>
        <row r="12690">
          <cell r="D12690" t="str">
            <v>528A1100-000-027</v>
          </cell>
          <cell r="E12690" t="str">
            <v>加强板</v>
          </cell>
        </row>
        <row r="12691">
          <cell r="D12691" t="str">
            <v>528A1100-000-028</v>
          </cell>
          <cell r="E12691" t="str">
            <v>加强板</v>
          </cell>
        </row>
        <row r="12692">
          <cell r="D12692" t="str">
            <v>521A1150-001-001</v>
          </cell>
          <cell r="E12692" t="str">
            <v>接头</v>
          </cell>
        </row>
        <row r="12693">
          <cell r="D12693" t="str">
            <v>521A1150-001-001</v>
          </cell>
          <cell r="E12693" t="str">
            <v>接头</v>
          </cell>
        </row>
        <row r="12694">
          <cell r="D12694" t="str">
            <v>DD-J10-21102-553-Z</v>
          </cell>
          <cell r="E12694" t="str">
            <v>1780肋三段（左件）</v>
          </cell>
        </row>
        <row r="12695">
          <cell r="D12695" t="str">
            <v>DD-J10-34003-2</v>
          </cell>
          <cell r="E12695" t="str">
            <v>后梁</v>
          </cell>
        </row>
        <row r="12696">
          <cell r="D12696" t="str">
            <v>DD-J10-34003-2</v>
          </cell>
          <cell r="E12696" t="str">
            <v>后梁</v>
          </cell>
        </row>
        <row r="12697">
          <cell r="D12697" t="str">
            <v>DD-J10-34003-2</v>
          </cell>
          <cell r="E12697" t="str">
            <v>后梁</v>
          </cell>
        </row>
        <row r="12698">
          <cell r="D12698" t="str">
            <v>DD-J10-34003-2</v>
          </cell>
          <cell r="E12698" t="str">
            <v>后梁</v>
          </cell>
        </row>
        <row r="12699">
          <cell r="D12699" t="str">
            <v>DD-J10-34003-2</v>
          </cell>
          <cell r="E12699" t="str">
            <v>后梁</v>
          </cell>
        </row>
        <row r="12700">
          <cell r="D12700" t="str">
            <v>DD-J10B-21402-10G2-1G2-Z</v>
          </cell>
          <cell r="E12700" t="str">
            <v>固定前缘边肋（左件）</v>
          </cell>
        </row>
        <row r="12701">
          <cell r="D12701" t="str">
            <v>DD-J10B-21402-10G2-1G2-Z</v>
          </cell>
          <cell r="E12701" t="str">
            <v>固定前缘边肋（左件）</v>
          </cell>
        </row>
        <row r="12702">
          <cell r="D12702" t="str">
            <v>DD-J10B-21402-10G2-1G2-Z</v>
          </cell>
          <cell r="E12702" t="str">
            <v>固定前缘边肋（左件）</v>
          </cell>
        </row>
        <row r="12703">
          <cell r="D12703" t="str">
            <v>Y20-5316107001-002</v>
          </cell>
          <cell r="E12703" t="str">
            <v>脚蹬纵向加强件</v>
          </cell>
        </row>
        <row r="12704">
          <cell r="D12704" t="str">
            <v>Y20-5315400053-001</v>
          </cell>
          <cell r="E12704" t="str">
            <v>接头</v>
          </cell>
        </row>
        <row r="12705">
          <cell r="D12705" t="str">
            <v>Y20-5315400053-002</v>
          </cell>
          <cell r="E12705" t="str">
            <v>接头</v>
          </cell>
        </row>
        <row r="12706">
          <cell r="D12706" t="str">
            <v>Y20-5316200098-001</v>
          </cell>
          <cell r="E12706" t="str">
            <v>横梁</v>
          </cell>
        </row>
        <row r="12707">
          <cell r="D12707" t="str">
            <v>Y20-5316200098-001</v>
          </cell>
          <cell r="E12707" t="str">
            <v>横梁</v>
          </cell>
        </row>
        <row r="12708">
          <cell r="D12708" t="str">
            <v>Y20-5319170012-001</v>
          </cell>
          <cell r="E12708" t="str">
            <v>机加角型材</v>
          </cell>
        </row>
        <row r="12709">
          <cell r="D12709" t="str">
            <v>Y20-5319170012-001</v>
          </cell>
          <cell r="E12709" t="str">
            <v>机加角型材</v>
          </cell>
        </row>
        <row r="12710">
          <cell r="D12710" t="str">
            <v>Y20-5319170012-001</v>
          </cell>
          <cell r="E12710" t="str">
            <v>机加角型材</v>
          </cell>
        </row>
        <row r="12711">
          <cell r="D12711" t="str">
            <v>Y20-5319170012-001</v>
          </cell>
          <cell r="E12711" t="str">
            <v>机加角型材</v>
          </cell>
        </row>
        <row r="12712">
          <cell r="D12712" t="str">
            <v>Y20-5319170012-001</v>
          </cell>
          <cell r="E12712" t="str">
            <v>机加角型材</v>
          </cell>
        </row>
        <row r="12713">
          <cell r="D12713" t="str">
            <v>Y20-5319170012-001</v>
          </cell>
          <cell r="E12713" t="str">
            <v>机加角型材</v>
          </cell>
        </row>
        <row r="12714">
          <cell r="D12714" t="str">
            <v>Y20-5319170012-002</v>
          </cell>
          <cell r="E12714" t="str">
            <v>机加角型材</v>
          </cell>
        </row>
        <row r="12715">
          <cell r="D12715" t="str">
            <v>Y20-5319170012-002</v>
          </cell>
          <cell r="E12715" t="str">
            <v>机加角型材</v>
          </cell>
        </row>
        <row r="12716">
          <cell r="D12716" t="str">
            <v>Y20-5319170012-002</v>
          </cell>
          <cell r="E12716" t="str">
            <v>机加角型材</v>
          </cell>
        </row>
        <row r="12717">
          <cell r="D12717" t="str">
            <v>Y20-5319170012-002</v>
          </cell>
          <cell r="E12717" t="str">
            <v>机加角型材</v>
          </cell>
        </row>
        <row r="12718">
          <cell r="D12718" t="str">
            <v>Y20-5319170012-002</v>
          </cell>
          <cell r="E12718" t="str">
            <v>机加角型材</v>
          </cell>
        </row>
        <row r="12719">
          <cell r="D12719" t="str">
            <v>Y20-5319170012-002</v>
          </cell>
          <cell r="E12719" t="str">
            <v>机加角型材</v>
          </cell>
        </row>
        <row r="12720">
          <cell r="D12720" t="str">
            <v>CB5324310-016-006</v>
          </cell>
          <cell r="E12720" t="str">
            <v>带板</v>
          </cell>
        </row>
        <row r="12721">
          <cell r="D12721" t="str">
            <v>CB5324310-016-006</v>
          </cell>
          <cell r="E12721" t="str">
            <v>带板</v>
          </cell>
        </row>
        <row r="12722">
          <cell r="D12722" t="str">
            <v>CB5324310-016-006</v>
          </cell>
          <cell r="E12722" t="str">
            <v>带板</v>
          </cell>
        </row>
        <row r="12723">
          <cell r="D12723" t="str">
            <v>CB5715000-001L002</v>
          </cell>
          <cell r="E12723" t="str">
            <v>固定前缘边肋</v>
          </cell>
        </row>
        <row r="12724">
          <cell r="D12724" t="str">
            <v>CB5715000-001L002</v>
          </cell>
          <cell r="E12724" t="str">
            <v>固定前缘边肋</v>
          </cell>
        </row>
        <row r="12725">
          <cell r="D12725" t="str">
            <v>CB5715000-001L002</v>
          </cell>
          <cell r="E12725" t="str">
            <v>固定前缘边肋</v>
          </cell>
        </row>
        <row r="12726">
          <cell r="D12726" t="str">
            <v>CB5715000-001L002</v>
          </cell>
          <cell r="E12726" t="str">
            <v>固定前缘边肋</v>
          </cell>
        </row>
        <row r="12727">
          <cell r="D12727" t="str">
            <v>CB5325210-001-004</v>
          </cell>
          <cell r="E12727" t="str">
            <v>辅助动力舱口盖前段</v>
          </cell>
        </row>
        <row r="12728">
          <cell r="D12728" t="str">
            <v>CB5325210-001-004</v>
          </cell>
          <cell r="E12728" t="str">
            <v>辅助动力舱口盖前段</v>
          </cell>
        </row>
        <row r="12729">
          <cell r="D12729" t="str">
            <v>CB5325210-001-004</v>
          </cell>
          <cell r="E12729" t="str">
            <v>辅助动力舱口盖前段</v>
          </cell>
        </row>
        <row r="12730">
          <cell r="D12730" t="str">
            <v>CB5325210-001-004</v>
          </cell>
          <cell r="E12730" t="str">
            <v>辅助动力舱口盖前段</v>
          </cell>
        </row>
        <row r="12731">
          <cell r="D12731" t="str">
            <v>CB5325210-001-004</v>
          </cell>
          <cell r="E12731" t="str">
            <v>辅助动力舱口盖前段</v>
          </cell>
        </row>
        <row r="12732">
          <cell r="D12732" t="str">
            <v>CB5325210-001-004</v>
          </cell>
          <cell r="E12732" t="str">
            <v>辅助动力舱口盖前段</v>
          </cell>
        </row>
        <row r="12733">
          <cell r="D12733" t="str">
            <v>CB5325210-001-004</v>
          </cell>
          <cell r="E12733" t="str">
            <v>辅助动力舱口盖前段</v>
          </cell>
        </row>
        <row r="12734">
          <cell r="D12734" t="str">
            <v>CB5325210-001-004</v>
          </cell>
          <cell r="E12734" t="str">
            <v>辅助动力舱口盖前段</v>
          </cell>
        </row>
        <row r="12735">
          <cell r="D12735" t="str">
            <v>CB5325210-001-004</v>
          </cell>
          <cell r="E12735" t="str">
            <v>辅助动力舱口盖前段</v>
          </cell>
        </row>
        <row r="12736">
          <cell r="D12736" t="str">
            <v>CB5325210-001-004</v>
          </cell>
          <cell r="E12736" t="str">
            <v>辅助动力舱口盖前段</v>
          </cell>
        </row>
        <row r="12737">
          <cell r="D12737" t="str">
            <v>CB5325210-001-004</v>
          </cell>
          <cell r="E12737" t="str">
            <v>辅助动力舱口盖前段</v>
          </cell>
        </row>
        <row r="12738">
          <cell r="D12738" t="str">
            <v>DD-J10B-55171-151G2</v>
          </cell>
          <cell r="E12738" t="str">
            <v>三通管接头</v>
          </cell>
        </row>
        <row r="12739">
          <cell r="D12739" t="str">
            <v>DD-J10B-55171-151G2</v>
          </cell>
          <cell r="E12739" t="str">
            <v>三通管接头</v>
          </cell>
        </row>
        <row r="12740">
          <cell r="D12740" t="str">
            <v>XXX-3810000-01</v>
          </cell>
          <cell r="E12740" t="str">
            <v>XXX I腔体</v>
          </cell>
        </row>
        <row r="12741">
          <cell r="D12741" t="str">
            <v>XXX-3810000-02</v>
          </cell>
          <cell r="E12741" t="str">
            <v>压环</v>
          </cell>
        </row>
        <row r="12742">
          <cell r="D12742" t="str">
            <v>XXX-3810000-03</v>
          </cell>
          <cell r="E12742" t="str">
            <v>介质</v>
          </cell>
        </row>
        <row r="12743">
          <cell r="D12743" t="str">
            <v>XXX-3810000-04</v>
          </cell>
          <cell r="E12743" t="str">
            <v>压块</v>
          </cell>
        </row>
        <row r="12744">
          <cell r="D12744" t="str">
            <v>XXX-3810000-05</v>
          </cell>
          <cell r="E12744" t="str">
            <v>压条</v>
          </cell>
        </row>
        <row r="12745">
          <cell r="D12745" t="str">
            <v>XXX-3810000-06</v>
          </cell>
          <cell r="E12745" t="str">
            <v>XXX I盖板</v>
          </cell>
        </row>
        <row r="12746">
          <cell r="D12746" t="str">
            <v>XXX-3810000-07</v>
          </cell>
          <cell r="E12746" t="str">
            <v>偶极子A</v>
          </cell>
        </row>
        <row r="12747">
          <cell r="D12747" t="str">
            <v>XXX-3810000-08</v>
          </cell>
          <cell r="E12747" t="str">
            <v>偶极子B</v>
          </cell>
        </row>
        <row r="12748">
          <cell r="D12748" t="str">
            <v>XXX-3810000-09</v>
          </cell>
          <cell r="E12748" t="str">
            <v>馈电阵子A</v>
          </cell>
        </row>
        <row r="12749">
          <cell r="D12749" t="str">
            <v>XXX-3810000-10</v>
          </cell>
          <cell r="E12749" t="str">
            <v>馈电阵子B</v>
          </cell>
        </row>
        <row r="12750">
          <cell r="D12750" t="str">
            <v>XXX-3810000-11</v>
          </cell>
          <cell r="E12750" t="str">
            <v>SMA(12.2-A)垫圈</v>
          </cell>
        </row>
        <row r="12751">
          <cell r="D12751" t="str">
            <v>XXX-3810000-12</v>
          </cell>
          <cell r="E12751" t="str">
            <v>介质固定块A</v>
          </cell>
        </row>
        <row r="12752">
          <cell r="D12752" t="str">
            <v>XXX-3820000-01</v>
          </cell>
          <cell r="E12752" t="str">
            <v>XXXII腔体</v>
          </cell>
        </row>
        <row r="12753">
          <cell r="D12753" t="str">
            <v>XXX-3820000-02</v>
          </cell>
          <cell r="E12753" t="str">
            <v>XXXII盖板</v>
          </cell>
        </row>
        <row r="12754">
          <cell r="D12754" t="str">
            <v>XXX-3820000-03</v>
          </cell>
          <cell r="E12754" t="str">
            <v>馈电阵子C</v>
          </cell>
        </row>
        <row r="12755">
          <cell r="D12755" t="str">
            <v>XXX-3820000-04</v>
          </cell>
          <cell r="E12755" t="str">
            <v>SMA(12.2-B)垫圈</v>
          </cell>
        </row>
        <row r="12756">
          <cell r="D12756" t="str">
            <v>XXX-3820000-05</v>
          </cell>
          <cell r="E12756" t="str">
            <v>介质固定块B</v>
          </cell>
        </row>
        <row r="12757">
          <cell r="D12757" t="str">
            <v>XXX-31131200-01</v>
          </cell>
          <cell r="E12757" t="str">
            <v>变压器壳体</v>
          </cell>
        </row>
        <row r="12758">
          <cell r="D12758" t="str">
            <v>XXX-31131211-00</v>
          </cell>
          <cell r="E12758" t="str">
            <v>变压器骨架</v>
          </cell>
        </row>
        <row r="12759">
          <cell r="D12759" t="str">
            <v>XXX-31131211-01</v>
          </cell>
          <cell r="E12759" t="str">
            <v>变压器骨架座</v>
          </cell>
        </row>
        <row r="12760">
          <cell r="D12760" t="str">
            <v>XXX-31132000-01</v>
          </cell>
          <cell r="E12760" t="str">
            <v>XXX插头盖板</v>
          </cell>
        </row>
        <row r="12761">
          <cell r="D12761" t="str">
            <v>XXX-31132000-03</v>
          </cell>
          <cell r="E12761" t="str">
            <v>XXX插头绝缘子</v>
          </cell>
        </row>
        <row r="12762">
          <cell r="D12762" t="str">
            <v>XXX-31132000-04</v>
          </cell>
          <cell r="E12762" t="str">
            <v>XXX插头壳体</v>
          </cell>
        </row>
        <row r="12763">
          <cell r="D12763" t="str">
            <v>XXX-31132000-05</v>
          </cell>
          <cell r="E12763" t="str">
            <v>XXX接地焊接座</v>
          </cell>
        </row>
        <row r="12764">
          <cell r="D12764" t="str">
            <v>XXX-31133000-01</v>
          </cell>
          <cell r="E12764" t="str">
            <v>XXX源插头盖板</v>
          </cell>
        </row>
        <row r="12765">
          <cell r="D12765" t="str">
            <v>XXX-31133000-03</v>
          </cell>
          <cell r="E12765" t="str">
            <v>XXX源插头绝缘子</v>
          </cell>
        </row>
        <row r="12766">
          <cell r="D12766" t="str">
            <v>XXX-31133000-04</v>
          </cell>
          <cell r="E12766" t="str">
            <v>XXX源插头壳体</v>
          </cell>
        </row>
        <row r="12767">
          <cell r="D12767" t="str">
            <v>XXX-31133000-05</v>
          </cell>
          <cell r="E12767" t="str">
            <v>XXX源接地焊接座一</v>
          </cell>
        </row>
        <row r="12768">
          <cell r="D12768" t="str">
            <v>XXX-31133000-06</v>
          </cell>
          <cell r="E12768" t="str">
            <v>XXX源接地焊接座二</v>
          </cell>
        </row>
        <row r="12769">
          <cell r="D12769" t="str">
            <v>XXX-3[13]00000-03</v>
          </cell>
          <cell r="E12769" t="str">
            <v>销座</v>
          </cell>
        </row>
        <row r="12770">
          <cell r="D12770" t="str">
            <v>XXX-3[13]00000-05</v>
          </cell>
          <cell r="E12770" t="str">
            <v>防尘盖</v>
          </cell>
        </row>
        <row r="12771">
          <cell r="D12771" t="str">
            <v>XXX-3[13]00000-07</v>
          </cell>
          <cell r="E12771" t="str">
            <v>导电片框</v>
          </cell>
        </row>
        <row r="12772">
          <cell r="D12772" t="str">
            <v>XXX-3[13]00000-11</v>
          </cell>
          <cell r="E12772" t="str">
            <v>压线卡（三）</v>
          </cell>
        </row>
        <row r="12773">
          <cell r="D12773" t="str">
            <v>XXX-3[13]00000-13</v>
          </cell>
          <cell r="E12773" t="str">
            <v>压线卡（一）</v>
          </cell>
        </row>
        <row r="12774">
          <cell r="D12774" t="str">
            <v>XXX-3[13]10000-02</v>
          </cell>
          <cell r="E12774" t="str">
            <v>平板（一）</v>
          </cell>
        </row>
        <row r="12775">
          <cell r="D12775" t="str">
            <v>XXX-3[13]10000-03</v>
          </cell>
          <cell r="E12775" t="str">
            <v>平板（二）</v>
          </cell>
        </row>
        <row r="12776">
          <cell r="D12776" t="str">
            <v>XXX-3[13]10000-04</v>
          </cell>
          <cell r="E12776" t="str">
            <v>固定块</v>
          </cell>
        </row>
        <row r="12777">
          <cell r="D12777" t="str">
            <v>XXX-3[13]10000-05</v>
          </cell>
          <cell r="E12777" t="str">
            <v>固定座</v>
          </cell>
        </row>
        <row r="12778">
          <cell r="D12778" t="str">
            <v>XXX-3[13]10000-06</v>
          </cell>
          <cell r="E12778" t="str">
            <v>基座</v>
          </cell>
        </row>
        <row r="12779">
          <cell r="D12779" t="str">
            <v>XXX-3[13]10000-07</v>
          </cell>
          <cell r="E12779" t="str">
            <v>压板</v>
          </cell>
        </row>
        <row r="12780">
          <cell r="D12780" t="str">
            <v>XXX-3[13]10000-08</v>
          </cell>
          <cell r="E12780" t="str">
            <v>上盖</v>
          </cell>
        </row>
        <row r="12781">
          <cell r="D12781" t="str">
            <v>XXX-3[13]10000-09</v>
          </cell>
          <cell r="E12781" t="str">
            <v>下盖</v>
          </cell>
        </row>
        <row r="12782">
          <cell r="D12782" t="str">
            <v>XXX-3[13]10000-10</v>
          </cell>
          <cell r="E12782" t="str">
            <v>中压板</v>
          </cell>
        </row>
        <row r="12783">
          <cell r="D12783" t="str">
            <v>XXX-3[13]10000-11</v>
          </cell>
          <cell r="E12783" t="str">
            <v>质量块</v>
          </cell>
        </row>
        <row r="12784">
          <cell r="D12784" t="str">
            <v>XXX-3[13]10000-13</v>
          </cell>
          <cell r="E12784" t="str">
            <v>活塞</v>
          </cell>
        </row>
        <row r="12785">
          <cell r="D12785" t="str">
            <v>XXX-3[13]10000-14</v>
          </cell>
          <cell r="E12785" t="str">
            <v>电刷架</v>
          </cell>
        </row>
        <row r="12786">
          <cell r="D12786" t="str">
            <v>XXX-3[13]50000-01</v>
          </cell>
          <cell r="E12786" t="str">
            <v>左电刷转轴</v>
          </cell>
        </row>
        <row r="12787">
          <cell r="D12787" t="str">
            <v>XXX-3[13]60000-01</v>
          </cell>
          <cell r="E12787" t="str">
            <v>右电刷转轴</v>
          </cell>
        </row>
        <row r="12788">
          <cell r="D12788" t="str">
            <v>CB5324320-004L006</v>
          </cell>
          <cell r="E12788" t="str">
            <v>侧下支持件</v>
          </cell>
        </row>
        <row r="12789">
          <cell r="D12789" t="str">
            <v>CB5324320-004L006</v>
          </cell>
          <cell r="E12789" t="str">
            <v>侧下支持件</v>
          </cell>
        </row>
        <row r="12790">
          <cell r="D12790" t="str">
            <v>CB2298611-001-001</v>
          </cell>
          <cell r="E12790" t="str">
            <v>支架</v>
          </cell>
        </row>
        <row r="12791">
          <cell r="D12791" t="str">
            <v>CB2298612-001-001</v>
          </cell>
          <cell r="E12791" t="str">
            <v>支架</v>
          </cell>
        </row>
        <row r="12792">
          <cell r="D12792" t="str">
            <v>CB2298621-001-002</v>
          </cell>
          <cell r="E12792" t="str">
            <v>支架</v>
          </cell>
        </row>
        <row r="12793">
          <cell r="D12793" t="str">
            <v>CB2298091-001-001</v>
          </cell>
          <cell r="E12793" t="str">
            <v>支架</v>
          </cell>
        </row>
        <row r="12794">
          <cell r="D12794" t="str">
            <v>DD-J10B-65000-1810G2-1</v>
          </cell>
          <cell r="E12794" t="str">
            <v>支座</v>
          </cell>
        </row>
        <row r="12795">
          <cell r="D12795" t="str">
            <v>DD-J10-21102-390-1-Z</v>
          </cell>
          <cell r="E12795" t="str">
            <v>1150肋九段</v>
          </cell>
        </row>
        <row r="12796">
          <cell r="D12796" t="str">
            <v>DD-J10-21102-390-1-Z</v>
          </cell>
          <cell r="E12796" t="str">
            <v>1150肋九段</v>
          </cell>
        </row>
        <row r="12797">
          <cell r="D12797" t="str">
            <v>DD-J10-21102-390-1-Z</v>
          </cell>
          <cell r="E12797" t="str">
            <v>1150肋九段</v>
          </cell>
        </row>
        <row r="12798">
          <cell r="D12798" t="str">
            <v>DD-J10-21102-390-1-Y</v>
          </cell>
          <cell r="E12798" t="str">
            <v>1150肋九段</v>
          </cell>
        </row>
        <row r="12799">
          <cell r="D12799" t="str">
            <v>DD-J10-21102-390-1-Y</v>
          </cell>
          <cell r="E12799" t="str">
            <v>1150肋九段</v>
          </cell>
        </row>
        <row r="12800">
          <cell r="D12800" t="str">
            <v>DD-J10-21102-390-1-Y</v>
          </cell>
          <cell r="E12800" t="str">
            <v>1150肋九段</v>
          </cell>
        </row>
        <row r="12801">
          <cell r="D12801" t="str">
            <v>DD-J10-21102-410-1-Y</v>
          </cell>
          <cell r="E12801" t="str">
            <v>1150肋根肋</v>
          </cell>
        </row>
        <row r="12802">
          <cell r="D12802" t="str">
            <v>DD-J10-21102-410-1-Y</v>
          </cell>
          <cell r="E12802" t="str">
            <v>1150肋根肋</v>
          </cell>
        </row>
        <row r="12803">
          <cell r="D12803" t="str">
            <v>DD-J10-21102-410-1-Y</v>
          </cell>
          <cell r="E12803" t="str">
            <v>1150肋根肋</v>
          </cell>
        </row>
        <row r="12804">
          <cell r="D12804" t="str">
            <v>DD-J10-21102-410-1-Y</v>
          </cell>
          <cell r="E12804" t="str">
            <v>1150肋根肋</v>
          </cell>
        </row>
        <row r="12805">
          <cell r="D12805" t="str">
            <v>DD-J10-21102-410-1-Z</v>
          </cell>
          <cell r="E12805" t="str">
            <v>1150肋根肋</v>
          </cell>
        </row>
        <row r="12806">
          <cell r="D12806" t="str">
            <v>DD-J10-21102-410-1-Z</v>
          </cell>
          <cell r="E12806" t="str">
            <v>1150肋根肋</v>
          </cell>
        </row>
        <row r="12807">
          <cell r="D12807" t="str">
            <v>DD-J10-21102-410-1-Z</v>
          </cell>
          <cell r="E12807" t="str">
            <v>1150肋根肋</v>
          </cell>
        </row>
        <row r="12808">
          <cell r="D12808" t="str">
            <v>DD-J10-21102-410-1-Z</v>
          </cell>
          <cell r="E12808" t="str">
            <v>1150肋根肋</v>
          </cell>
        </row>
        <row r="12809">
          <cell r="D12809" t="str">
            <v>DD-J10-21102-250-2-Y</v>
          </cell>
          <cell r="E12809" t="str">
            <v>11900梁二段</v>
          </cell>
        </row>
        <row r="12810">
          <cell r="D12810" t="str">
            <v>DD-J10-21102-250-2-Y</v>
          </cell>
          <cell r="E12810" t="str">
            <v>11900梁二段</v>
          </cell>
        </row>
        <row r="12811">
          <cell r="D12811" t="str">
            <v>DD-J10-21102-250-2-Z</v>
          </cell>
          <cell r="E12811" t="str">
            <v>11900梁二段</v>
          </cell>
        </row>
        <row r="12812">
          <cell r="D12812" t="str">
            <v>DD-J10-21102-250-2-Z</v>
          </cell>
          <cell r="E12812" t="str">
            <v>11900梁二段</v>
          </cell>
        </row>
        <row r="12813">
          <cell r="D12813" t="str">
            <v>CB5822016-034L001</v>
          </cell>
          <cell r="E12813" t="str">
            <v>角片</v>
          </cell>
        </row>
        <row r="12814">
          <cell r="D12814" t="str">
            <v>CB5822016-034R001</v>
          </cell>
          <cell r="E12814" t="str">
            <v>角片</v>
          </cell>
        </row>
        <row r="12815">
          <cell r="D12815" t="str">
            <v>DD-J10B-04321-1-Z</v>
          </cell>
          <cell r="E12815" t="str">
            <v>斜横梁</v>
          </cell>
        </row>
        <row r="12816">
          <cell r="D12816" t="str">
            <v>DD-J10B-04321-1-Z</v>
          </cell>
          <cell r="E12816" t="str">
            <v>斜横梁</v>
          </cell>
        </row>
        <row r="12817">
          <cell r="D12817" t="str">
            <v>DD-J10B-04321-1-Z</v>
          </cell>
          <cell r="E12817" t="str">
            <v>斜横梁</v>
          </cell>
        </row>
        <row r="12818">
          <cell r="D12818" t="str">
            <v>DD-J10B-04321-1-Z</v>
          </cell>
          <cell r="E12818" t="str">
            <v>斜横梁</v>
          </cell>
        </row>
        <row r="12819">
          <cell r="D12819" t="str">
            <v>DD-J10B-04321-1-Z</v>
          </cell>
          <cell r="E12819" t="str">
            <v>斜横梁</v>
          </cell>
        </row>
        <row r="12820">
          <cell r="D12820" t="str">
            <v>DD-J10B-04321-1-Y</v>
          </cell>
          <cell r="E12820" t="str">
            <v>斜横梁</v>
          </cell>
        </row>
        <row r="12821">
          <cell r="D12821" t="str">
            <v>DD-J10B-04321-1-Y</v>
          </cell>
          <cell r="E12821" t="str">
            <v>斜横梁</v>
          </cell>
        </row>
        <row r="12822">
          <cell r="D12822" t="str">
            <v>DD-J10B-04321-1-Y</v>
          </cell>
          <cell r="E12822" t="str">
            <v>斜横梁</v>
          </cell>
        </row>
        <row r="12823">
          <cell r="D12823" t="str">
            <v>DD-J10B-04321-1-Y</v>
          </cell>
          <cell r="E12823" t="str">
            <v>斜横梁</v>
          </cell>
        </row>
        <row r="12824">
          <cell r="D12824" t="str">
            <v>DD-J10B-04321-1-Y</v>
          </cell>
          <cell r="E12824" t="str">
            <v>斜横梁</v>
          </cell>
        </row>
        <row r="12825">
          <cell r="D12825" t="str">
            <v>DD-J10B-04321-1-Y</v>
          </cell>
          <cell r="E12825" t="str">
            <v>斜横梁</v>
          </cell>
        </row>
        <row r="12826">
          <cell r="D12826" t="str">
            <v>CB2287717-003-001</v>
          </cell>
          <cell r="E12826" t="str">
            <v>14200框左侧铆接支架</v>
          </cell>
        </row>
        <row r="12827">
          <cell r="D12827" t="str">
            <v>CB5324310-003-006</v>
          </cell>
          <cell r="E12827" t="str">
            <v>角盒</v>
          </cell>
        </row>
        <row r="12828">
          <cell r="D12828" t="str">
            <v>CB5324310-003-006</v>
          </cell>
          <cell r="E12828" t="str">
            <v>角盒</v>
          </cell>
        </row>
        <row r="12829">
          <cell r="D12829" t="str">
            <v>CB5324310-003-006</v>
          </cell>
          <cell r="E12829" t="str">
            <v>角盒</v>
          </cell>
        </row>
        <row r="12830">
          <cell r="D12830" t="str">
            <v>CB5325112-201L005</v>
          </cell>
          <cell r="E12830" t="str">
            <v>排气格栅</v>
          </cell>
        </row>
        <row r="12831">
          <cell r="D12831" t="str">
            <v>Y20-5311123023-001</v>
          </cell>
          <cell r="E12831" t="str">
            <v>口框加强件</v>
          </cell>
        </row>
        <row r="12832">
          <cell r="D12832" t="str">
            <v>Y20-5311123023-002</v>
          </cell>
          <cell r="E12832" t="str">
            <v>口框加强件</v>
          </cell>
        </row>
        <row r="12833">
          <cell r="D12833" t="str">
            <v>Y20-5311121033-001</v>
          </cell>
          <cell r="E12833" t="str">
            <v>21框5到10长桁外缘加强件</v>
          </cell>
        </row>
        <row r="12834">
          <cell r="D12834" t="str">
            <v>Y20-5311121033-001</v>
          </cell>
          <cell r="E12834" t="str">
            <v>21框5到10长桁外缘加强件</v>
          </cell>
        </row>
        <row r="12835">
          <cell r="D12835" t="str">
            <v>Y20-5311121033-002</v>
          </cell>
          <cell r="E12835" t="str">
            <v>21框5到10长桁外缘加强件</v>
          </cell>
        </row>
        <row r="12836">
          <cell r="D12836" t="str">
            <v>Y20-5311121033-002</v>
          </cell>
          <cell r="E12836" t="str">
            <v>21框5到10长桁外缘加强件</v>
          </cell>
        </row>
        <row r="12837">
          <cell r="D12837" t="str">
            <v>Y20-4252103803-001</v>
          </cell>
          <cell r="E12837" t="str">
            <v>角片</v>
          </cell>
        </row>
        <row r="12838">
          <cell r="D12838" t="str">
            <v>Y20-4252103803-001</v>
          </cell>
          <cell r="E12838" t="str">
            <v>角片</v>
          </cell>
        </row>
        <row r="12839">
          <cell r="D12839" t="str">
            <v>Y20-4252103803-001</v>
          </cell>
          <cell r="E12839" t="str">
            <v>角片</v>
          </cell>
        </row>
        <row r="12840">
          <cell r="D12840" t="str">
            <v>Y20-4252103803-001</v>
          </cell>
          <cell r="E12840" t="str">
            <v>角片</v>
          </cell>
        </row>
        <row r="12841">
          <cell r="D12841" t="str">
            <v>Y20-4252103803-001</v>
          </cell>
          <cell r="E12841" t="str">
            <v>角片</v>
          </cell>
        </row>
        <row r="12842">
          <cell r="D12842" t="str">
            <v>Y20-4252103803-001</v>
          </cell>
          <cell r="E12842" t="str">
            <v>角片</v>
          </cell>
        </row>
        <row r="12843">
          <cell r="D12843" t="str">
            <v>Y20-5312224004-001</v>
          </cell>
          <cell r="E12843" t="str">
            <v>18框前33长桁</v>
          </cell>
        </row>
        <row r="12844">
          <cell r="D12844" t="str">
            <v>Y20-5312224004-001</v>
          </cell>
          <cell r="E12844" t="str">
            <v>18框前33长桁</v>
          </cell>
        </row>
        <row r="12845">
          <cell r="D12845" t="str">
            <v>Y20-5312224004-001</v>
          </cell>
          <cell r="E12845" t="str">
            <v>18框前33长桁</v>
          </cell>
        </row>
        <row r="12846">
          <cell r="D12846" t="str">
            <v>Y20-5312224004-001</v>
          </cell>
          <cell r="E12846" t="str">
            <v>18框前33长桁</v>
          </cell>
        </row>
        <row r="12847">
          <cell r="D12847" t="str">
            <v>Y20-5312224004-002</v>
          </cell>
          <cell r="E12847" t="str">
            <v>18框前33长桁</v>
          </cell>
        </row>
        <row r="12848">
          <cell r="D12848" t="str">
            <v>Y20-5312224004-002</v>
          </cell>
          <cell r="E12848" t="str">
            <v>18框前33长桁</v>
          </cell>
        </row>
        <row r="12849">
          <cell r="D12849" t="str">
            <v>Y20-5312224004-002</v>
          </cell>
          <cell r="E12849" t="str">
            <v>18框前33长桁</v>
          </cell>
        </row>
        <row r="12850">
          <cell r="D12850" t="str">
            <v>Y20-5312224004-002</v>
          </cell>
          <cell r="E12850" t="str">
            <v>18框前33长桁</v>
          </cell>
        </row>
        <row r="12851">
          <cell r="D12851" t="str">
            <v>CB5512300-005L002</v>
          </cell>
          <cell r="E12851" t="str">
            <v>根肋后段</v>
          </cell>
        </row>
        <row r="12852">
          <cell r="D12852" t="str">
            <v>CB5715000-001R002</v>
          </cell>
          <cell r="E12852" t="str">
            <v>固定前缘边肋</v>
          </cell>
        </row>
        <row r="12853">
          <cell r="D12853" t="str">
            <v>CB5715000-001R002</v>
          </cell>
          <cell r="E12853" t="str">
            <v>固定前缘边肋</v>
          </cell>
        </row>
        <row r="12854">
          <cell r="D12854" t="str">
            <v>CB5715000-001R002</v>
          </cell>
          <cell r="E12854" t="str">
            <v>固定前缘边肋</v>
          </cell>
        </row>
        <row r="12855">
          <cell r="D12855" t="str">
            <v>CB5715000-001R002</v>
          </cell>
          <cell r="E12855" t="str">
            <v>固定前缘边肋</v>
          </cell>
        </row>
        <row r="12856">
          <cell r="D12856" t="str">
            <v>CB5512300-004L002</v>
          </cell>
          <cell r="E12856" t="str">
            <v>根肋前段</v>
          </cell>
        </row>
        <row r="12857">
          <cell r="D12857" t="str">
            <v>CB5512300-004L002</v>
          </cell>
          <cell r="E12857" t="str">
            <v>根肋前段</v>
          </cell>
        </row>
        <row r="12858">
          <cell r="D12858" t="str">
            <v>CB5512300-004L002</v>
          </cell>
          <cell r="E12858" t="str">
            <v>根肋前段</v>
          </cell>
        </row>
        <row r="12859">
          <cell r="D12859" t="str">
            <v>CB5512300-004L002</v>
          </cell>
          <cell r="E12859" t="str">
            <v>根肋前段</v>
          </cell>
        </row>
        <row r="12860">
          <cell r="D12860" t="str">
            <v>CB5512300-004R002</v>
          </cell>
          <cell r="E12860" t="str">
            <v>根肋前段</v>
          </cell>
        </row>
        <row r="12861">
          <cell r="D12861" t="str">
            <v>CB5512300-004R002</v>
          </cell>
          <cell r="E12861" t="str">
            <v>根肋前段</v>
          </cell>
        </row>
        <row r="12862">
          <cell r="D12862" t="str">
            <v>CB5512300-004R002</v>
          </cell>
          <cell r="E12862" t="str">
            <v>根肋前段</v>
          </cell>
        </row>
        <row r="12863">
          <cell r="D12863" t="str">
            <v>531A1100-014-001</v>
          </cell>
          <cell r="E12863" t="str">
            <v>合页</v>
          </cell>
        </row>
        <row r="12864">
          <cell r="D12864" t="str">
            <v>529A1200-002-002</v>
          </cell>
          <cell r="E12864" t="str">
            <v>铰链接头</v>
          </cell>
        </row>
        <row r="12865">
          <cell r="D12865" t="str">
            <v>521A1100-001-001</v>
          </cell>
          <cell r="E12865" t="str">
            <v>接头</v>
          </cell>
        </row>
        <row r="12866">
          <cell r="D12866" t="str">
            <v>521A1100-002-001</v>
          </cell>
          <cell r="E12866" t="str">
            <v>接头</v>
          </cell>
        </row>
        <row r="12867">
          <cell r="D12867" t="str">
            <v>521A1150-000-009</v>
          </cell>
          <cell r="E12867" t="str">
            <v>加强板</v>
          </cell>
        </row>
        <row r="12868">
          <cell r="D12868" t="str">
            <v>529A1000-004-001</v>
          </cell>
          <cell r="E12868" t="str">
            <v>外手柄</v>
          </cell>
        </row>
        <row r="12869">
          <cell r="D12869" t="str">
            <v>531A5900-001-501</v>
          </cell>
          <cell r="E12869" t="str">
            <v>纵梁上半部分</v>
          </cell>
        </row>
        <row r="12870">
          <cell r="D12870" t="str">
            <v>531A5900-001-501</v>
          </cell>
          <cell r="E12870" t="str">
            <v>纵梁上半部分</v>
          </cell>
        </row>
        <row r="12871">
          <cell r="D12871" t="str">
            <v>531A5600-001-502</v>
          </cell>
          <cell r="E12871" t="str">
            <v>纵梁</v>
          </cell>
        </row>
        <row r="12872">
          <cell r="D12872" t="str">
            <v>531A5600-001-502</v>
          </cell>
          <cell r="E12872" t="str">
            <v>纵梁</v>
          </cell>
        </row>
        <row r="12873">
          <cell r="D12873" t="str">
            <v>DD-J10B-21402-10G2-1G2-Y</v>
          </cell>
          <cell r="E12873" t="str">
            <v>固定前缘边肋（右件）</v>
          </cell>
        </row>
        <row r="12874">
          <cell r="D12874" t="str">
            <v>DD-J10B-21402-10G2-1G2-Y</v>
          </cell>
          <cell r="E12874" t="str">
            <v>固定前缘边肋（右件）</v>
          </cell>
        </row>
        <row r="12875">
          <cell r="D12875" t="str">
            <v>DD-J10B-21402-10G2-1G2-Y</v>
          </cell>
          <cell r="E12875" t="str">
            <v>固定前缘边肋（右件）</v>
          </cell>
        </row>
        <row r="12876">
          <cell r="D12876" t="str">
            <v>DD-J10B-21402-10G2-1G2-Y</v>
          </cell>
          <cell r="E12876" t="str">
            <v>固定前缘边肋（右件）</v>
          </cell>
        </row>
        <row r="12877">
          <cell r="D12877" t="str">
            <v>DD-J10B-21402-10G2-1G2-Y</v>
          </cell>
          <cell r="E12877" t="str">
            <v>固定前缘边肋（右件）</v>
          </cell>
        </row>
        <row r="12878">
          <cell r="D12878" t="str">
            <v>DD-J10B-21402-10G2-1G2-Z</v>
          </cell>
          <cell r="E12878" t="str">
            <v>固定前缘边肋（左件）</v>
          </cell>
        </row>
        <row r="12879">
          <cell r="D12879" t="str">
            <v>DD-J10B-21402-10G2-1G2-Z</v>
          </cell>
          <cell r="E12879" t="str">
            <v>固定前缘边肋（左件）</v>
          </cell>
        </row>
        <row r="12880">
          <cell r="D12880" t="str">
            <v>DD-J10B-21402-10G2-1G2-Z</v>
          </cell>
          <cell r="E12880" t="str">
            <v>固定前缘边肋（左件）</v>
          </cell>
        </row>
        <row r="12881">
          <cell r="D12881" t="str">
            <v>DD-J10B-21402-10G2-1G2-Z</v>
          </cell>
          <cell r="E12881" t="str">
            <v>固定前缘边肋（左件）</v>
          </cell>
        </row>
        <row r="12882">
          <cell r="D12882" t="str">
            <v>DD-J10B-21402-10G2-1G2-Z</v>
          </cell>
          <cell r="E12882" t="str">
            <v>固定前缘边肋（左件）</v>
          </cell>
        </row>
        <row r="12883">
          <cell r="D12883" t="str">
            <v>DD-J10-21102-32-Z</v>
          </cell>
          <cell r="E12883" t="str">
            <v>10060下接头</v>
          </cell>
        </row>
        <row r="12884">
          <cell r="D12884" t="str">
            <v>DD-J10-21102-32-Z</v>
          </cell>
          <cell r="E12884" t="str">
            <v>10060下接头</v>
          </cell>
        </row>
        <row r="12885">
          <cell r="D12885" t="str">
            <v>DD-J10-05216-32</v>
          </cell>
          <cell r="E12885" t="str">
            <v>转接头</v>
          </cell>
        </row>
        <row r="12886">
          <cell r="D12886" t="str">
            <v>DD-J10-21102-272</v>
          </cell>
          <cell r="E12886" t="str">
            <v>3#下垫片</v>
          </cell>
        </row>
        <row r="12887">
          <cell r="D12887" t="str">
            <v>DD-J10-21102-273</v>
          </cell>
          <cell r="E12887" t="str">
            <v>4#上垫片</v>
          </cell>
        </row>
        <row r="12888">
          <cell r="D12888" t="str">
            <v>DD-J10-21102-274</v>
          </cell>
          <cell r="E12888" t="str">
            <v>4#下垫片</v>
          </cell>
        </row>
        <row r="12889">
          <cell r="D12889" t="str">
            <v>DD-J10-21102-60/-1/1-Y</v>
          </cell>
          <cell r="E12889" t="str">
            <v>11968下口盖</v>
          </cell>
        </row>
        <row r="12890">
          <cell r="D12890" t="str">
            <v>DD-J10-21102-60/-1/2-Z</v>
          </cell>
          <cell r="E12890" t="str">
            <v>11968下口盖</v>
          </cell>
        </row>
        <row r="12891">
          <cell r="D12891" t="str">
            <v>DD-J10-21102-60/-1/3-Z</v>
          </cell>
          <cell r="E12891" t="str">
            <v>11968下口盖</v>
          </cell>
        </row>
        <row r="12892">
          <cell r="D12892" t="str">
            <v>DD-J10-21102-60/-1/3-Y</v>
          </cell>
          <cell r="E12892" t="str">
            <v>11968下口盖</v>
          </cell>
        </row>
        <row r="12893">
          <cell r="D12893" t="str">
            <v>DD-J10-21102-60/-1/4-Z</v>
          </cell>
          <cell r="E12893" t="str">
            <v>11968下口盖</v>
          </cell>
        </row>
        <row r="12894">
          <cell r="D12894" t="str">
            <v>BC5836011-001-001</v>
          </cell>
          <cell r="E12894" t="str">
            <v>壳体</v>
          </cell>
        </row>
        <row r="12895">
          <cell r="D12895" t="str">
            <v>DD-J10-55222-3105</v>
          </cell>
          <cell r="E12895" t="str">
            <v>30°拧入式管接头</v>
          </cell>
        </row>
        <row r="12896">
          <cell r="D12896" t="str">
            <v>DD-J10-55222-3105</v>
          </cell>
          <cell r="E12896" t="str">
            <v>30°拧入式管接头</v>
          </cell>
        </row>
        <row r="12897">
          <cell r="D12897" t="str">
            <v>DD-J10-55015-4100-1</v>
          </cell>
          <cell r="E12897" t="str">
            <v>垫圈</v>
          </cell>
        </row>
        <row r="12898">
          <cell r="D12898" t="str">
            <v>DD-J10-55015-4100-1</v>
          </cell>
          <cell r="E12898" t="str">
            <v>垫圈</v>
          </cell>
        </row>
        <row r="12899">
          <cell r="D12899" t="str">
            <v>DD-J10-41123-1102</v>
          </cell>
          <cell r="E12899" t="str">
            <v>塞子</v>
          </cell>
        </row>
        <row r="12900">
          <cell r="D12900" t="str">
            <v>DD-J10-41123-1112</v>
          </cell>
          <cell r="E12900" t="str">
            <v>拨棍</v>
          </cell>
        </row>
        <row r="12901">
          <cell r="D12901" t="str">
            <v>DD-J10-41123-1101</v>
          </cell>
          <cell r="E12901" t="str">
            <v>壳体</v>
          </cell>
        </row>
        <row r="12902">
          <cell r="D12902" t="str">
            <v>DD-J10-41153-140-2</v>
          </cell>
          <cell r="E12902" t="str">
            <v>指针</v>
          </cell>
        </row>
        <row r="12903">
          <cell r="D12903" t="str">
            <v>DD-J10-41153-140-2</v>
          </cell>
          <cell r="E12903" t="str">
            <v>指针</v>
          </cell>
        </row>
        <row r="12904">
          <cell r="D12904" t="str">
            <v>DD-J10B-55111-210-2</v>
          </cell>
          <cell r="E12904" t="str">
            <v>套管</v>
          </cell>
        </row>
        <row r="12905">
          <cell r="D12905" t="str">
            <v>DD-J10-68095-1400-1</v>
          </cell>
          <cell r="E12905" t="str">
            <v>套筒</v>
          </cell>
        </row>
        <row r="12906">
          <cell r="D12906" t="str">
            <v>DD-J10-55165-710-3</v>
          </cell>
          <cell r="E12906" t="str">
            <v>衬套</v>
          </cell>
        </row>
        <row r="12907">
          <cell r="D12907" t="str">
            <v>DD-J10-41123-1101</v>
          </cell>
          <cell r="E12907" t="str">
            <v>壳体</v>
          </cell>
        </row>
        <row r="12908">
          <cell r="D12908" t="str">
            <v>DD-J10-41123-1111</v>
          </cell>
          <cell r="E12908" t="str">
            <v>销子</v>
          </cell>
        </row>
        <row r="12909">
          <cell r="D12909" t="str">
            <v>DD-J10B-55111-210-2</v>
          </cell>
          <cell r="E12909" t="str">
            <v>套管</v>
          </cell>
        </row>
        <row r="12910">
          <cell r="D12910" t="str">
            <v>DD-J10B-55165-1480-1</v>
          </cell>
          <cell r="E12910" t="str">
            <v>螺栓</v>
          </cell>
        </row>
        <row r="12911">
          <cell r="D12911" t="str">
            <v>DD-J10-41123-1101</v>
          </cell>
          <cell r="E12911" t="str">
            <v>壳体</v>
          </cell>
        </row>
        <row r="12912">
          <cell r="D12912" t="str">
            <v>CB2280231N003-001</v>
          </cell>
          <cell r="E12912" t="str">
            <v>管子</v>
          </cell>
        </row>
        <row r="12913">
          <cell r="D12913" t="str">
            <v>CB2280231N003-001</v>
          </cell>
          <cell r="E12913" t="str">
            <v>管子</v>
          </cell>
        </row>
        <row r="12914">
          <cell r="D12914" t="str">
            <v>CB22857YBN005-001</v>
          </cell>
          <cell r="E12914" t="str">
            <v>管子</v>
          </cell>
        </row>
        <row r="12915">
          <cell r="D12915" t="str">
            <v>CB22857YBN005-001</v>
          </cell>
          <cell r="E12915" t="str">
            <v>管子</v>
          </cell>
        </row>
        <row r="12916">
          <cell r="D12916" t="str">
            <v>CB22857Y9N005-001</v>
          </cell>
          <cell r="E12916" t="str">
            <v>导管</v>
          </cell>
        </row>
        <row r="12917">
          <cell r="D12917" t="str">
            <v>CB22857Y9N005-001</v>
          </cell>
          <cell r="E12917" t="str">
            <v>导管</v>
          </cell>
        </row>
        <row r="12918">
          <cell r="D12918" t="str">
            <v>CB22847Y5N004-001</v>
          </cell>
          <cell r="E12918" t="str">
            <v>衬套</v>
          </cell>
        </row>
        <row r="12919">
          <cell r="D12919" t="str">
            <v>CB22847Y5N004-001</v>
          </cell>
          <cell r="E12919" t="str">
            <v>衬套</v>
          </cell>
        </row>
        <row r="12920">
          <cell r="D12920" t="str">
            <v>CB2292182-003-001</v>
          </cell>
          <cell r="E12920" t="str">
            <v>衬套</v>
          </cell>
        </row>
        <row r="12921">
          <cell r="D12921" t="str">
            <v>CB22847Y1N007-001</v>
          </cell>
          <cell r="E12921" t="str">
            <v>衬套</v>
          </cell>
        </row>
        <row r="12922">
          <cell r="D12922" t="str">
            <v>CB22877Y5N007-001</v>
          </cell>
          <cell r="E12922" t="str">
            <v>衬套</v>
          </cell>
        </row>
        <row r="12923">
          <cell r="D12923" t="str">
            <v>CB22921A1-003-001</v>
          </cell>
          <cell r="E12923" t="str">
            <v>衬套</v>
          </cell>
        </row>
        <row r="12924">
          <cell r="D12924" t="str">
            <v>CB229C431-003-001</v>
          </cell>
          <cell r="E12924" t="str">
            <v>衬套</v>
          </cell>
        </row>
        <row r="12925">
          <cell r="D12925" t="str">
            <v>531A5100-122-501</v>
          </cell>
          <cell r="E12925" t="str">
            <v>主风挡上窗框</v>
          </cell>
        </row>
        <row r="12926">
          <cell r="D12926" t="str">
            <v>531A5100-122-501</v>
          </cell>
          <cell r="E12926" t="str">
            <v>主风挡上窗框</v>
          </cell>
        </row>
        <row r="12927">
          <cell r="D12927" t="str">
            <v>531A5100-122-502</v>
          </cell>
          <cell r="E12927" t="str">
            <v>主风挡上窗框</v>
          </cell>
        </row>
        <row r="12928">
          <cell r="D12928" t="str">
            <v>531A5100-122-502</v>
          </cell>
          <cell r="E12928" t="str">
            <v>主风挡上窗框</v>
          </cell>
        </row>
        <row r="12929">
          <cell r="D12929" t="str">
            <v>531A5100-124-501</v>
          </cell>
          <cell r="E12929" t="str">
            <v>6#面立柱</v>
          </cell>
        </row>
        <row r="12930">
          <cell r="D12930" t="str">
            <v>531A5100-124-501</v>
          </cell>
          <cell r="E12930" t="str">
            <v>6#面立柱</v>
          </cell>
        </row>
        <row r="12931">
          <cell r="D12931" t="str">
            <v>531A5100-124-502</v>
          </cell>
          <cell r="E12931" t="str">
            <v>6#面立柱</v>
          </cell>
        </row>
        <row r="12932">
          <cell r="D12932" t="str">
            <v>531A5100-124-501</v>
          </cell>
          <cell r="E12932" t="str">
            <v>6#面立柱</v>
          </cell>
        </row>
        <row r="12933">
          <cell r="D12933" t="str">
            <v>531A5100-124-502</v>
          </cell>
          <cell r="E12933" t="str">
            <v>6#面立柱</v>
          </cell>
        </row>
        <row r="12934">
          <cell r="D12934" t="str">
            <v>529A1000-005-001</v>
          </cell>
          <cell r="E12934" t="str">
            <v>内手柄</v>
          </cell>
        </row>
        <row r="12935">
          <cell r="D12935" t="str">
            <v>521A1141-000-003</v>
          </cell>
          <cell r="E12935" t="str">
            <v>加强板</v>
          </cell>
        </row>
        <row r="12936">
          <cell r="D12936" t="str">
            <v>260A1510-017-001</v>
          </cell>
          <cell r="E12936" t="str">
            <v>支撑板</v>
          </cell>
        </row>
        <row r="12937">
          <cell r="D12937" t="str">
            <v>521A1150-002-001</v>
          </cell>
          <cell r="E12937" t="str">
            <v>接头</v>
          </cell>
        </row>
        <row r="12938">
          <cell r="D12938" t="str">
            <v>521A1150-002-001</v>
          </cell>
          <cell r="E12938" t="str">
            <v>接头</v>
          </cell>
        </row>
        <row r="12939">
          <cell r="D12939" t="str">
            <v>DD-J10-21102-120-1-Z</v>
          </cell>
          <cell r="E12939" t="str">
            <v>9480梁（左件）</v>
          </cell>
        </row>
        <row r="12940">
          <cell r="D12940" t="str">
            <v>DD-J10-21102-120-1-Z</v>
          </cell>
          <cell r="E12940" t="str">
            <v>9480梁（左件）</v>
          </cell>
        </row>
        <row r="12941">
          <cell r="D12941" t="str">
            <v>DD-J10-21102-2-Y</v>
          </cell>
          <cell r="E12941" t="str">
            <v>1号下壁板</v>
          </cell>
        </row>
        <row r="12942">
          <cell r="D12942" t="str">
            <v>DD-J10-21102-2-Y</v>
          </cell>
          <cell r="E12942" t="str">
            <v>1号下壁板</v>
          </cell>
        </row>
        <row r="12943">
          <cell r="D12943" t="str">
            <v>DD-J10-21102-2-Y</v>
          </cell>
          <cell r="E12943" t="str">
            <v>1号下壁板</v>
          </cell>
        </row>
        <row r="12944">
          <cell r="D12944" t="str">
            <v>DD-J10-21102-2-Z</v>
          </cell>
          <cell r="E12944" t="str">
            <v>1号下壁板</v>
          </cell>
        </row>
        <row r="12945">
          <cell r="D12945" t="str">
            <v>DD-J10-21102-2-Z</v>
          </cell>
          <cell r="E12945" t="str">
            <v>1号下壁板</v>
          </cell>
        </row>
        <row r="12946">
          <cell r="D12946" t="str">
            <v>DD-J10-21102-2-Z</v>
          </cell>
          <cell r="E12946" t="str">
            <v>1号下壁板</v>
          </cell>
        </row>
        <row r="12947">
          <cell r="D12947" t="str">
            <v>DD-J10-21102-2-Z</v>
          </cell>
          <cell r="E12947" t="str">
            <v>1号下壁板</v>
          </cell>
        </row>
        <row r="12948">
          <cell r="D12948" t="str">
            <v>BC5327100-009R002</v>
          </cell>
          <cell r="E12948" t="str">
            <v>1090外侧梁</v>
          </cell>
        </row>
        <row r="12949">
          <cell r="D12949" t="str">
            <v>BC5327100-009R002</v>
          </cell>
          <cell r="E12949" t="str">
            <v>1090外侧梁</v>
          </cell>
        </row>
        <row r="12950">
          <cell r="D12950" t="str">
            <v>BC5327100-010R001</v>
          </cell>
          <cell r="E12950" t="str">
            <v>7515隔框</v>
          </cell>
        </row>
        <row r="12951">
          <cell r="D12951" t="str">
            <v>BC5327100-010R001</v>
          </cell>
          <cell r="E12951" t="str">
            <v>7515隔框</v>
          </cell>
        </row>
        <row r="12952">
          <cell r="D12952" t="str">
            <v>BC5327100-010R001</v>
          </cell>
          <cell r="E12952" t="str">
            <v>7515隔框</v>
          </cell>
        </row>
        <row r="12953">
          <cell r="D12953" t="str">
            <v>BC5327100-010L001</v>
          </cell>
          <cell r="E12953" t="str">
            <v>7515隔框</v>
          </cell>
        </row>
        <row r="12954">
          <cell r="D12954" t="str">
            <v>BC5327100-010L001</v>
          </cell>
          <cell r="E12954" t="str">
            <v>7515隔框</v>
          </cell>
        </row>
        <row r="12955">
          <cell r="D12955" t="str">
            <v>BC5327100-010L001</v>
          </cell>
          <cell r="E12955" t="str">
            <v>7515隔框</v>
          </cell>
        </row>
        <row r="12956">
          <cell r="D12956" t="str">
            <v>BC5711304-001L002</v>
          </cell>
          <cell r="E12956" t="str">
            <v>口盖</v>
          </cell>
        </row>
        <row r="12957">
          <cell r="D12957" t="str">
            <v>BC5711304-001L002</v>
          </cell>
          <cell r="E12957" t="str">
            <v>口盖</v>
          </cell>
        </row>
        <row r="12958">
          <cell r="D12958" t="str">
            <v>BC5711304-001R002</v>
          </cell>
          <cell r="E12958" t="str">
            <v>口盖</v>
          </cell>
        </row>
        <row r="12959">
          <cell r="D12959" t="str">
            <v>BC5711304-001R002</v>
          </cell>
          <cell r="E12959" t="str">
            <v>口盖</v>
          </cell>
        </row>
        <row r="12960">
          <cell r="D12960" t="str">
            <v>BC5711410-001-002</v>
          </cell>
          <cell r="E12960" t="str">
            <v>螺栓</v>
          </cell>
        </row>
        <row r="12961">
          <cell r="D12961" t="str">
            <v>BC5711430-001-002</v>
          </cell>
          <cell r="E12961" t="str">
            <v>螺栓</v>
          </cell>
        </row>
        <row r="12962">
          <cell r="D12962" t="str">
            <v>CB2276730-001-001</v>
          </cell>
          <cell r="E12962" t="str">
            <v>操纵台侧壁板</v>
          </cell>
        </row>
        <row r="12963">
          <cell r="D12963" t="str">
            <v>CB5350500-016L006</v>
          </cell>
          <cell r="E12963" t="str">
            <v>7号护板维型肋左件</v>
          </cell>
        </row>
        <row r="12964">
          <cell r="D12964" t="str">
            <v>5210A000000X009</v>
          </cell>
          <cell r="E12964" t="str">
            <v>垫圈</v>
          </cell>
        </row>
        <row r="12965">
          <cell r="D12965" t="str">
            <v>260A1865-004-001</v>
          </cell>
          <cell r="E12965" t="str">
            <v>衬垫</v>
          </cell>
        </row>
        <row r="12966">
          <cell r="D12966" t="str">
            <v>DD-J10-42074-90-1-Y</v>
          </cell>
          <cell r="E12966" t="str">
            <v>支座</v>
          </cell>
        </row>
        <row r="12967">
          <cell r="D12967" t="str">
            <v>DD-J10-42074-90-1-Y</v>
          </cell>
          <cell r="E12967" t="str">
            <v>支座</v>
          </cell>
        </row>
        <row r="12968">
          <cell r="D12968" t="str">
            <v>DD-J10-42074-90-1-Y</v>
          </cell>
          <cell r="E12968" t="str">
            <v>支座</v>
          </cell>
        </row>
        <row r="12969">
          <cell r="D12969" t="str">
            <v>DD-J10-42074-90-1-Z</v>
          </cell>
          <cell r="E12969" t="str">
            <v>支座</v>
          </cell>
        </row>
        <row r="12970">
          <cell r="D12970" t="str">
            <v>BC5812700-003-001</v>
          </cell>
          <cell r="E12970" t="str">
            <v>螺栓</v>
          </cell>
        </row>
        <row r="12971">
          <cell r="D12971" t="str">
            <v>BC5812100-008-001</v>
          </cell>
          <cell r="E12971" t="str">
            <v>轴</v>
          </cell>
        </row>
        <row r="12972">
          <cell r="D12972" t="str">
            <v>BC5812000-009-001</v>
          </cell>
          <cell r="E12972" t="str">
            <v>衬套</v>
          </cell>
        </row>
        <row r="12973">
          <cell r="D12973" t="str">
            <v>BC5812000-009-001</v>
          </cell>
          <cell r="E12973" t="str">
            <v>衬套</v>
          </cell>
        </row>
        <row r="12974">
          <cell r="D12974" t="str">
            <v>BC5812000-004-001</v>
          </cell>
          <cell r="E12974" t="str">
            <v>螺栓</v>
          </cell>
        </row>
        <row r="12975">
          <cell r="D12975" t="str">
            <v>BC5812700-001-002</v>
          </cell>
          <cell r="E12975" t="str">
            <v>上套筒</v>
          </cell>
        </row>
        <row r="12976">
          <cell r="D12976" t="str">
            <v>BC5822100-007-001</v>
          </cell>
          <cell r="E12976" t="str">
            <v>轴</v>
          </cell>
        </row>
        <row r="12977">
          <cell r="D12977" t="str">
            <v>BC5822100-007-001</v>
          </cell>
          <cell r="E12977" t="str">
            <v>轴</v>
          </cell>
        </row>
        <row r="12978">
          <cell r="D12978" t="str">
            <v>Y20-5315200047-002</v>
          </cell>
          <cell r="E12978" t="str">
            <v>十字锁柱盘</v>
          </cell>
        </row>
        <row r="12979">
          <cell r="D12979" t="str">
            <v>Y20-5318100243-001</v>
          </cell>
          <cell r="E12979" t="str">
            <v>锥销</v>
          </cell>
        </row>
        <row r="12980">
          <cell r="D12980" t="str">
            <v>Y20-5318120002-001</v>
          </cell>
          <cell r="E12980" t="str">
            <v>前起作动筒支座衬套</v>
          </cell>
        </row>
        <row r="12981">
          <cell r="D12981" t="str">
            <v>Y20-5828025008-001</v>
          </cell>
          <cell r="E12981" t="str">
            <v>挡片</v>
          </cell>
        </row>
        <row r="12982">
          <cell r="D12982" t="str">
            <v>Y20-5312143001-001</v>
          </cell>
          <cell r="E12982" t="str">
            <v>叉型件</v>
          </cell>
        </row>
        <row r="12983">
          <cell r="D12983" t="str">
            <v>Y20-5312143001-001</v>
          </cell>
          <cell r="E12983" t="str">
            <v>叉型件</v>
          </cell>
        </row>
        <row r="12984">
          <cell r="D12984" t="str">
            <v>Y20-5226300011-001</v>
          </cell>
          <cell r="E12984" t="str">
            <v>锁盒支撑角片</v>
          </cell>
        </row>
        <row r="12985">
          <cell r="D12985" t="str">
            <v>Y20-5319170003-001</v>
          </cell>
          <cell r="E12985" t="str">
            <v>角型材</v>
          </cell>
        </row>
        <row r="12986">
          <cell r="D12986" t="str">
            <v>Y20-5315200047-001</v>
          </cell>
          <cell r="E12986" t="str">
            <v>十字锁柱盘</v>
          </cell>
        </row>
        <row r="12987">
          <cell r="D12987" t="str">
            <v>Y20-5312141002-001</v>
          </cell>
          <cell r="E12987" t="str">
            <v>衬套</v>
          </cell>
        </row>
        <row r="12988">
          <cell r="D12988" t="str">
            <v>Y20-5226300001-001</v>
          </cell>
          <cell r="E12988" t="str">
            <v>锁轴</v>
          </cell>
        </row>
        <row r="12989">
          <cell r="D12989" t="str">
            <v>Y20-5312140011-001</v>
          </cell>
          <cell r="E12989" t="str">
            <v>接头</v>
          </cell>
        </row>
        <row r="12990">
          <cell r="D12990" t="str">
            <v>Y20-5319170004-002</v>
          </cell>
          <cell r="E12990" t="str">
            <v>角型材</v>
          </cell>
        </row>
        <row r="12991">
          <cell r="D12991" t="str">
            <v>Y20-5319170004-002</v>
          </cell>
          <cell r="E12991" t="str">
            <v>角型材</v>
          </cell>
        </row>
        <row r="12992">
          <cell r="D12992" t="str">
            <v>BC5812910-002-001</v>
          </cell>
          <cell r="E12992" t="str">
            <v>接头</v>
          </cell>
        </row>
        <row r="12993">
          <cell r="D12993" t="str">
            <v>BC5812910-002-001</v>
          </cell>
          <cell r="E12993" t="str">
            <v>接头</v>
          </cell>
        </row>
        <row r="12994">
          <cell r="D12994" t="str">
            <v>BC221T1CA-001-001</v>
          </cell>
          <cell r="E12994" t="str">
            <v>接管嘴</v>
          </cell>
        </row>
        <row r="12995">
          <cell r="D12995" t="str">
            <v>BC5812000-001-001</v>
          </cell>
          <cell r="E12995" t="str">
            <v>轴</v>
          </cell>
        </row>
        <row r="12996">
          <cell r="D12996" t="str">
            <v>BC5836011-001-001</v>
          </cell>
          <cell r="E12996" t="str">
            <v>壳体</v>
          </cell>
        </row>
        <row r="12997">
          <cell r="D12997" t="str">
            <v>Y20-5281111003-001</v>
          </cell>
          <cell r="E12997" t="str">
            <v>衬套</v>
          </cell>
        </row>
        <row r="12998">
          <cell r="D12998" t="str">
            <v>Y20-5281111002-001</v>
          </cell>
          <cell r="E12998" t="str">
            <v>衬套</v>
          </cell>
        </row>
        <row r="12999">
          <cell r="D12999" t="str">
            <v>Y20-5828025007-001</v>
          </cell>
          <cell r="E12999" t="str">
            <v>滑块</v>
          </cell>
        </row>
        <row r="13000">
          <cell r="D13000" t="str">
            <v>Y20-5828025007-001</v>
          </cell>
          <cell r="E13000" t="str">
            <v>滑块</v>
          </cell>
        </row>
        <row r="13001">
          <cell r="D13001" t="str">
            <v>CB5315193-005-003</v>
          </cell>
          <cell r="E13001" t="str">
            <v>口盖</v>
          </cell>
        </row>
        <row r="13002">
          <cell r="D13002" t="str">
            <v>XXX-4231000-01</v>
          </cell>
          <cell r="E13002" t="str">
            <v>XXX插头盖板</v>
          </cell>
        </row>
        <row r="13003">
          <cell r="D13003" t="str">
            <v>XXX-4231000-02</v>
          </cell>
          <cell r="E13003" t="str">
            <v>XXX插头绝缘</v>
          </cell>
        </row>
        <row r="13004">
          <cell r="D13004" t="str">
            <v>XXX-4231000-04</v>
          </cell>
          <cell r="E13004" t="str">
            <v>XXX接地焊接座一</v>
          </cell>
        </row>
        <row r="13005">
          <cell r="D13005" t="str">
            <v>XXX-4231000-05</v>
          </cell>
          <cell r="E13005" t="str">
            <v>XXX插头壳体</v>
          </cell>
        </row>
        <row r="13006">
          <cell r="D13006" t="str">
            <v>XXX-4231000-06</v>
          </cell>
          <cell r="E13006" t="str">
            <v>XXX接地焊接座二</v>
          </cell>
        </row>
        <row r="13007">
          <cell r="D13007" t="str">
            <v>XXX-4241000-01</v>
          </cell>
          <cell r="E13007" t="str">
            <v>XXX插头盖板</v>
          </cell>
        </row>
        <row r="13008">
          <cell r="D13008" t="str">
            <v>XXX-4241000-03</v>
          </cell>
          <cell r="E13008" t="str">
            <v>XXX插头绝缘子</v>
          </cell>
        </row>
        <row r="13009">
          <cell r="D13009" t="str">
            <v>XXX-4241000-04</v>
          </cell>
          <cell r="E13009" t="str">
            <v>XXX插头壳体</v>
          </cell>
        </row>
        <row r="13010">
          <cell r="D13010" t="str">
            <v>XXX-4241000-06</v>
          </cell>
          <cell r="E13010" t="str">
            <v>XXX接地焊接座</v>
          </cell>
        </row>
        <row r="13011">
          <cell r="D13011" t="str">
            <v>XXX-6210000-01</v>
          </cell>
          <cell r="E13011" t="str">
            <v>支架</v>
          </cell>
        </row>
        <row r="13012">
          <cell r="D13012" t="str">
            <v>XXX-6210000-02</v>
          </cell>
          <cell r="E13012" t="str">
            <v>框架</v>
          </cell>
        </row>
        <row r="13013">
          <cell r="D13013" t="str">
            <v>XXX-6210000-03</v>
          </cell>
          <cell r="E13013" t="str">
            <v>盖板</v>
          </cell>
        </row>
        <row r="13014">
          <cell r="D13014" t="str">
            <v>XXX-6210000-04</v>
          </cell>
          <cell r="E13014" t="str">
            <v>压线卡</v>
          </cell>
        </row>
        <row r="13015">
          <cell r="D13015" t="str">
            <v>XXX-6220000-01</v>
          </cell>
          <cell r="E13015" t="str">
            <v>电源盒框架</v>
          </cell>
        </row>
        <row r="13016">
          <cell r="D13016" t="str">
            <v>XXX-6220000-02</v>
          </cell>
          <cell r="E13016" t="str">
            <v>电源盒盖板</v>
          </cell>
        </row>
        <row r="13017">
          <cell r="D13017" t="str">
            <v>529A1200-002-002</v>
          </cell>
          <cell r="E13017" t="str">
            <v>铰链接头</v>
          </cell>
        </row>
        <row r="13018">
          <cell r="D13018" t="str">
            <v>529A1200-002-002</v>
          </cell>
          <cell r="E13018" t="str">
            <v>铰链接头</v>
          </cell>
        </row>
        <row r="13019">
          <cell r="D13019" t="str">
            <v>BC5333213-001-001</v>
          </cell>
          <cell r="E13019" t="str">
            <v>下大梁</v>
          </cell>
        </row>
        <row r="13020">
          <cell r="D13020" t="str">
            <v>BC5333213-001-001</v>
          </cell>
          <cell r="E13020" t="str">
            <v>下大梁</v>
          </cell>
        </row>
        <row r="13021">
          <cell r="D13021" t="str">
            <v>BC5333213-001-001</v>
          </cell>
          <cell r="E13021" t="str">
            <v>下大梁</v>
          </cell>
        </row>
        <row r="13022">
          <cell r="D13022" t="str">
            <v>BC5332100-009-001</v>
          </cell>
          <cell r="E13022" t="str">
            <v>滑轨支座</v>
          </cell>
        </row>
        <row r="13023">
          <cell r="D13023" t="str">
            <v>BC5332100-009-001</v>
          </cell>
          <cell r="E13023" t="str">
            <v>滑轨支座</v>
          </cell>
        </row>
        <row r="13024">
          <cell r="D13024" t="str">
            <v>BC5332100-009-001</v>
          </cell>
          <cell r="E13024" t="str">
            <v>滑轨支座</v>
          </cell>
        </row>
        <row r="13025">
          <cell r="D13025" t="str">
            <v>BC5332100-009-001</v>
          </cell>
          <cell r="E13025" t="str">
            <v>滑轨支座</v>
          </cell>
        </row>
        <row r="13026">
          <cell r="D13026" t="str">
            <v>DD-J10-21102-31-Z</v>
          </cell>
          <cell r="E13026" t="str">
            <v>10060上接头</v>
          </cell>
        </row>
        <row r="13027">
          <cell r="D13027" t="str">
            <v>DD-J10-21102-31-Z</v>
          </cell>
          <cell r="E13027" t="str">
            <v>10060上接头</v>
          </cell>
        </row>
        <row r="13028">
          <cell r="D13028" t="str">
            <v>DD-J10-21102-31-Y</v>
          </cell>
          <cell r="E13028" t="str">
            <v>10060上接头</v>
          </cell>
        </row>
        <row r="13029">
          <cell r="D13029" t="str">
            <v>DD-J10-21102-31-Y</v>
          </cell>
          <cell r="E13029" t="str">
            <v>10060上接头</v>
          </cell>
        </row>
        <row r="13030">
          <cell r="D13030" t="str">
            <v>DD-J10-21102-31-Y</v>
          </cell>
          <cell r="E13030" t="str">
            <v>10060上接头</v>
          </cell>
        </row>
        <row r="13031">
          <cell r="D13031" t="str">
            <v>DD-J10-21102-31-Y</v>
          </cell>
          <cell r="E13031" t="str">
            <v>10060上接头</v>
          </cell>
        </row>
        <row r="13032">
          <cell r="D13032" t="str">
            <v>DD-J10-21102-31-Z</v>
          </cell>
          <cell r="E13032" t="str">
            <v>10060上接头</v>
          </cell>
        </row>
        <row r="13033">
          <cell r="D13033" t="str">
            <v>DD-J10-21102-31-Z</v>
          </cell>
          <cell r="E13033" t="str">
            <v>10060上接头</v>
          </cell>
        </row>
        <row r="13034">
          <cell r="D13034" t="str">
            <v>DD-J10-21102-32-Y</v>
          </cell>
          <cell r="E13034" t="str">
            <v>10060下接头</v>
          </cell>
        </row>
        <row r="13035">
          <cell r="D13035" t="str">
            <v>DD-J10-21102-33-Y</v>
          </cell>
          <cell r="E13035" t="str">
            <v>10460上接头</v>
          </cell>
        </row>
        <row r="13036">
          <cell r="D13036" t="str">
            <v>DD-J10-21102-33-Y</v>
          </cell>
          <cell r="E13036" t="str">
            <v>10460上接头</v>
          </cell>
        </row>
        <row r="13037">
          <cell r="D13037" t="str">
            <v>DD-J10-21102-33-Z</v>
          </cell>
          <cell r="E13037" t="str">
            <v>10460上接头</v>
          </cell>
        </row>
        <row r="13038">
          <cell r="D13038" t="str">
            <v>DD-J10-21102-33-Z</v>
          </cell>
          <cell r="E13038" t="str">
            <v>10460上接头</v>
          </cell>
        </row>
        <row r="13039">
          <cell r="D13039" t="str">
            <v>DD-J10-21102-33-Z</v>
          </cell>
          <cell r="E13039" t="str">
            <v>10460上接头</v>
          </cell>
        </row>
        <row r="13040">
          <cell r="D13040" t="str">
            <v>CB5822016-029L001</v>
          </cell>
          <cell r="E13040" t="str">
            <v>角片</v>
          </cell>
        </row>
        <row r="13041">
          <cell r="D13041" t="str">
            <v>CB5822016-034L001</v>
          </cell>
          <cell r="E13041" t="str">
            <v>角片</v>
          </cell>
        </row>
        <row r="13042">
          <cell r="D13042" t="str">
            <v>CB5822016-034R001</v>
          </cell>
          <cell r="E13042" t="str">
            <v>角片</v>
          </cell>
        </row>
        <row r="13043">
          <cell r="D13043" t="str">
            <v>DD-J10B-65000-1810G2-1</v>
          </cell>
          <cell r="E13043" t="str">
            <v>支座</v>
          </cell>
        </row>
        <row r="13044">
          <cell r="D13044" t="str">
            <v>Y20-5312143002-001</v>
          </cell>
          <cell r="E13044" t="str">
            <v>曲手柄转轴</v>
          </cell>
        </row>
        <row r="13045">
          <cell r="D13045" t="str">
            <v>Y20-5312143002-001</v>
          </cell>
          <cell r="E13045" t="str">
            <v>曲手柄转轴</v>
          </cell>
        </row>
        <row r="13046">
          <cell r="D13046" t="str">
            <v>Y20-5211023003-001</v>
          </cell>
          <cell r="E13046" t="str">
            <v>螺栓</v>
          </cell>
        </row>
        <row r="13047">
          <cell r="D13047" t="str">
            <v>Y20-5211023003-001</v>
          </cell>
          <cell r="E13047" t="str">
            <v>螺栓</v>
          </cell>
        </row>
        <row r="13048">
          <cell r="D13048" t="str">
            <v>Y20-5281112002-001</v>
          </cell>
          <cell r="E13048" t="str">
            <v>衬套</v>
          </cell>
        </row>
        <row r="13049">
          <cell r="D13049" t="str">
            <v>Y20-5211025003-001</v>
          </cell>
          <cell r="E13049" t="str">
            <v>螺栓</v>
          </cell>
        </row>
        <row r="13050">
          <cell r="D13050" t="str">
            <v>Y20-5211025003-001</v>
          </cell>
          <cell r="E13050" t="str">
            <v>螺栓</v>
          </cell>
        </row>
        <row r="13051">
          <cell r="D13051" t="str">
            <v>Y20-5226204002-001</v>
          </cell>
          <cell r="E13051" t="str">
            <v>衬套</v>
          </cell>
        </row>
        <row r="13052">
          <cell r="D13052" t="str">
            <v>DD-J10B-04051-1</v>
          </cell>
          <cell r="E13052" t="str">
            <v>10460框</v>
          </cell>
        </row>
        <row r="13053">
          <cell r="D13053" t="str">
            <v>DD-J10B-04051-1</v>
          </cell>
          <cell r="E13053" t="str">
            <v>10460框</v>
          </cell>
        </row>
        <row r="13054">
          <cell r="D13054" t="str">
            <v>DD-J10B-04051-1</v>
          </cell>
          <cell r="E13054" t="str">
            <v>10460框</v>
          </cell>
        </row>
        <row r="13055">
          <cell r="D13055" t="str">
            <v>DD-J10B-04051-1</v>
          </cell>
          <cell r="E13055" t="str">
            <v>10460框</v>
          </cell>
        </row>
        <row r="13056">
          <cell r="D13056" t="str">
            <v>BC2299175-001-001</v>
          </cell>
          <cell r="E13056" t="str">
            <v>支架</v>
          </cell>
        </row>
        <row r="13057">
          <cell r="D13057" t="str">
            <v>BC3012210-001-002</v>
          </cell>
          <cell r="E13057" t="str">
            <v>前左斜操纵台</v>
          </cell>
        </row>
        <row r="13058">
          <cell r="D13058" t="str">
            <v>DD-J10-61031-44</v>
          </cell>
          <cell r="E13058" t="str">
            <v>压板</v>
          </cell>
        </row>
        <row r="13059">
          <cell r="D13059" t="str">
            <v>DD-J10B-94091-86G2</v>
          </cell>
          <cell r="E13059" t="str">
            <v>三通接头</v>
          </cell>
        </row>
        <row r="13060">
          <cell r="D13060" t="str">
            <v>521A1141-000-003</v>
          </cell>
          <cell r="E13060" t="str">
            <v>加强板</v>
          </cell>
        </row>
        <row r="13061">
          <cell r="D13061" t="str">
            <v>521A1150-000-009</v>
          </cell>
          <cell r="E13061" t="str">
            <v>加强板</v>
          </cell>
        </row>
        <row r="13062">
          <cell r="D13062" t="str">
            <v>521A1200-007-001</v>
          </cell>
          <cell r="E13062" t="str">
            <v>支撑件</v>
          </cell>
        </row>
        <row r="13063">
          <cell r="D13063" t="str">
            <v>521A1171-003-001</v>
          </cell>
          <cell r="E13063" t="str">
            <v>支架</v>
          </cell>
        </row>
        <row r="13064">
          <cell r="D13064" t="str">
            <v>529A1000-005-001</v>
          </cell>
          <cell r="E13064" t="str">
            <v>内手柄</v>
          </cell>
        </row>
        <row r="13065">
          <cell r="D13065" t="str">
            <v>531A5100-123-501</v>
          </cell>
          <cell r="E13065" t="str">
            <v>主风挡下窗框</v>
          </cell>
        </row>
        <row r="13066">
          <cell r="D13066" t="str">
            <v>531A5100-123-501</v>
          </cell>
          <cell r="E13066" t="str">
            <v>主风挡下窗框</v>
          </cell>
        </row>
        <row r="13067">
          <cell r="D13067" t="str">
            <v>531A5100-123-502</v>
          </cell>
          <cell r="E13067" t="str">
            <v>主风挡下窗框</v>
          </cell>
        </row>
        <row r="13068">
          <cell r="D13068" t="str">
            <v>531A5100-123-502</v>
          </cell>
          <cell r="E13068" t="str">
            <v>主风挡下窗框</v>
          </cell>
        </row>
        <row r="13069">
          <cell r="D13069" t="str">
            <v>CB5822016-029L001</v>
          </cell>
          <cell r="E13069" t="str">
            <v>角片</v>
          </cell>
        </row>
        <row r="13070">
          <cell r="D13070" t="str">
            <v>CB5822016-029L001</v>
          </cell>
          <cell r="E13070" t="str">
            <v>角片</v>
          </cell>
        </row>
        <row r="13071">
          <cell r="D13071" t="str">
            <v>CB5822016-029R001</v>
          </cell>
          <cell r="E13071" t="str">
            <v>角片</v>
          </cell>
        </row>
        <row r="13072">
          <cell r="D13072" t="str">
            <v>CB5822016-024R001</v>
          </cell>
          <cell r="E13072" t="str">
            <v>角片</v>
          </cell>
        </row>
        <row r="13073">
          <cell r="D13073" t="str">
            <v>CB5822016-024R001</v>
          </cell>
          <cell r="E13073" t="str">
            <v>角片</v>
          </cell>
        </row>
        <row r="13074">
          <cell r="D13074" t="str">
            <v>CB5822016-024R001</v>
          </cell>
          <cell r="E13074" t="str">
            <v>角片</v>
          </cell>
        </row>
        <row r="13075">
          <cell r="D13075" t="str">
            <v>CB5822016-024R001</v>
          </cell>
          <cell r="E13075" t="str">
            <v>角片</v>
          </cell>
        </row>
        <row r="13076">
          <cell r="D13076" t="str">
            <v>CB5822016-024L001</v>
          </cell>
          <cell r="E13076" t="str">
            <v>角片</v>
          </cell>
        </row>
        <row r="13077">
          <cell r="D13077" t="str">
            <v>CB5822016-024L001</v>
          </cell>
          <cell r="E13077" t="str">
            <v>角片</v>
          </cell>
        </row>
        <row r="13078">
          <cell r="D13078" t="str">
            <v>CB5822016-024L001</v>
          </cell>
          <cell r="E13078" t="str">
            <v>角片</v>
          </cell>
        </row>
        <row r="13079">
          <cell r="D13079" t="str">
            <v>CB5822016-024L001</v>
          </cell>
          <cell r="E13079" t="str">
            <v>角片</v>
          </cell>
        </row>
        <row r="13080">
          <cell r="D13080" t="str">
            <v>CB5822016-034L001</v>
          </cell>
          <cell r="E13080" t="str">
            <v>角片</v>
          </cell>
        </row>
        <row r="13081">
          <cell r="D13081" t="str">
            <v>CB5822016-034R001</v>
          </cell>
          <cell r="E13081" t="str">
            <v>角片</v>
          </cell>
        </row>
        <row r="13082">
          <cell r="D13082" t="str">
            <v>CB5822016-032R001</v>
          </cell>
          <cell r="E13082" t="str">
            <v>角片</v>
          </cell>
        </row>
        <row r="13083">
          <cell r="D13083" t="str">
            <v>CB5822016-032R001</v>
          </cell>
          <cell r="E13083" t="str">
            <v>角片</v>
          </cell>
        </row>
        <row r="13084">
          <cell r="D13084" t="str">
            <v>CB5822016-032L001</v>
          </cell>
          <cell r="E13084" t="str">
            <v>角片</v>
          </cell>
        </row>
        <row r="13085">
          <cell r="D13085" t="str">
            <v>CB5822016-032L001</v>
          </cell>
          <cell r="E13085" t="str">
            <v>角片</v>
          </cell>
        </row>
        <row r="13086">
          <cell r="D13086" t="str">
            <v>CB5822016-032R001</v>
          </cell>
          <cell r="E13086" t="str">
            <v>角片</v>
          </cell>
        </row>
        <row r="13087">
          <cell r="D13087" t="str">
            <v>CB5822016-032R001</v>
          </cell>
          <cell r="E13087" t="str">
            <v>角片</v>
          </cell>
        </row>
        <row r="13088">
          <cell r="D13088" t="str">
            <v>CB5822016-032R001</v>
          </cell>
          <cell r="E13088" t="str">
            <v>角片</v>
          </cell>
        </row>
        <row r="13089">
          <cell r="D13089" t="str">
            <v>CB5822016-032L001</v>
          </cell>
          <cell r="E13089" t="str">
            <v>角片</v>
          </cell>
        </row>
        <row r="13090">
          <cell r="D13090" t="str">
            <v>CB5822016-032L001</v>
          </cell>
          <cell r="E13090" t="str">
            <v>角片</v>
          </cell>
        </row>
        <row r="13091">
          <cell r="D13091" t="str">
            <v>CB5822016-032L001</v>
          </cell>
          <cell r="E13091" t="str">
            <v>角片</v>
          </cell>
        </row>
        <row r="13092">
          <cell r="D13092" t="str">
            <v>BC5836011-001-001</v>
          </cell>
          <cell r="E13092" t="str">
            <v>壳体</v>
          </cell>
        </row>
        <row r="13093">
          <cell r="D13093" t="str">
            <v>BC5812700-002-001</v>
          </cell>
          <cell r="E13093" t="str">
            <v>支撑衬套</v>
          </cell>
        </row>
        <row r="13094">
          <cell r="D13094" t="str">
            <v>BC5812700-002-001</v>
          </cell>
          <cell r="E13094" t="str">
            <v>支撑衬套</v>
          </cell>
        </row>
        <row r="13095">
          <cell r="D13095" t="str">
            <v>BC5812710-001-001</v>
          </cell>
          <cell r="E13095" t="str">
            <v>下套筒</v>
          </cell>
        </row>
        <row r="13096">
          <cell r="D13096" t="str">
            <v>BC5812811-001-001</v>
          </cell>
          <cell r="E13096" t="str">
            <v>拉杆</v>
          </cell>
        </row>
        <row r="13097">
          <cell r="D13097" t="str">
            <v>BC3012510-001-002</v>
          </cell>
          <cell r="E13097" t="str">
            <v>后左斜操纵台</v>
          </cell>
        </row>
        <row r="13098">
          <cell r="D13098" t="str">
            <v>DD-J10B-67011-20010-2</v>
          </cell>
          <cell r="E13098" t="str">
            <v>弓形件</v>
          </cell>
        </row>
        <row r="13099">
          <cell r="D13099" t="str">
            <v>DD-J10B-67011-20010-2</v>
          </cell>
          <cell r="E13099" t="str">
            <v>弓形件</v>
          </cell>
        </row>
        <row r="13100">
          <cell r="D13100" t="str">
            <v>XXX-34000000-01</v>
          </cell>
          <cell r="E13100" t="str">
            <v>壳体</v>
          </cell>
        </row>
        <row r="13101">
          <cell r="D13101" t="str">
            <v>XXX-34000000-02</v>
          </cell>
          <cell r="E13101" t="str">
            <v>上盖板</v>
          </cell>
        </row>
        <row r="13102">
          <cell r="D13102" t="str">
            <v>XXX-34000000-03</v>
          </cell>
          <cell r="E13102" t="str">
            <v>下盖板</v>
          </cell>
        </row>
        <row r="13103">
          <cell r="D13103" t="str">
            <v>Y20-5281113002-001</v>
          </cell>
          <cell r="E13103" t="str">
            <v>衬套</v>
          </cell>
        </row>
        <row r="13104">
          <cell r="D13104" t="str">
            <v>Y20-5281121002-001</v>
          </cell>
          <cell r="E13104" t="str">
            <v>衬套</v>
          </cell>
        </row>
        <row r="13105">
          <cell r="D13105" t="str">
            <v>Y20-5281122002-001</v>
          </cell>
          <cell r="E13105" t="str">
            <v>衬套</v>
          </cell>
        </row>
        <row r="13106">
          <cell r="D13106" t="str">
            <v>Y20-5281123002-001</v>
          </cell>
          <cell r="E13106" t="str">
            <v>衬套</v>
          </cell>
        </row>
        <row r="13107">
          <cell r="D13107" t="str">
            <v>BC2298150-003-002</v>
          </cell>
          <cell r="E13107" t="str">
            <v>调节螺钉</v>
          </cell>
        </row>
        <row r="13108">
          <cell r="D13108" t="str">
            <v>CB5314107-001-003</v>
          </cell>
          <cell r="E13108" t="str">
            <v>5550上框（精加工）</v>
          </cell>
        </row>
        <row r="13109">
          <cell r="D13109" t="str">
            <v>CB5314107-001-003</v>
          </cell>
          <cell r="E13109" t="str">
            <v>5550上框（精加工）</v>
          </cell>
        </row>
        <row r="13110">
          <cell r="D13110" t="str">
            <v>CB5314107-001-003</v>
          </cell>
          <cell r="E13110" t="str">
            <v>5550上框（精加工）</v>
          </cell>
        </row>
        <row r="13111">
          <cell r="D13111" t="str">
            <v>CB5314107-001-003</v>
          </cell>
          <cell r="E13111" t="str">
            <v>5550上框（精加工）</v>
          </cell>
        </row>
        <row r="13112">
          <cell r="D13112" t="str">
            <v>CB5314107-001-003</v>
          </cell>
          <cell r="E13112" t="str">
            <v>5550上框（精加工）</v>
          </cell>
        </row>
        <row r="13113">
          <cell r="D13113" t="str">
            <v>CB5314107-001-003</v>
          </cell>
          <cell r="E13113" t="str">
            <v>5550上框（精加工）</v>
          </cell>
        </row>
        <row r="13114">
          <cell r="D13114" t="str">
            <v>CB5314107-001-003</v>
          </cell>
          <cell r="E13114" t="str">
            <v>5550上框（精加工）</v>
          </cell>
        </row>
        <row r="13115">
          <cell r="D13115" t="str">
            <v>CB5314107-001-003</v>
          </cell>
          <cell r="E13115" t="str">
            <v>5550上框（精加工）</v>
          </cell>
        </row>
        <row r="13116">
          <cell r="D13116" t="str">
            <v>CB5715000-001L002</v>
          </cell>
          <cell r="E13116" t="str">
            <v>固定前缘边肋</v>
          </cell>
        </row>
        <row r="13117">
          <cell r="D13117" t="str">
            <v>CB5715000-001L002</v>
          </cell>
          <cell r="E13117" t="str">
            <v>固定前缘边肋</v>
          </cell>
        </row>
        <row r="13118">
          <cell r="D13118" t="str">
            <v>CB5715000-001L002</v>
          </cell>
          <cell r="E13118" t="str">
            <v>固定前缘边肋</v>
          </cell>
        </row>
        <row r="13119">
          <cell r="D13119" t="str">
            <v>CB5715000-001L002</v>
          </cell>
          <cell r="E13119" t="str">
            <v>固定前缘边肋</v>
          </cell>
        </row>
        <row r="13120">
          <cell r="D13120" t="str">
            <v>CB5715000-001L002</v>
          </cell>
          <cell r="E13120" t="str">
            <v>固定前缘边肋</v>
          </cell>
        </row>
        <row r="13121">
          <cell r="D13121" t="str">
            <v>CB5715000-001L002</v>
          </cell>
          <cell r="E13121" t="str">
            <v>固定前缘边肋</v>
          </cell>
        </row>
        <row r="13122">
          <cell r="D13122" t="str">
            <v>CB5715000-001R002</v>
          </cell>
          <cell r="E13122" t="str">
            <v>固定前缘边肋</v>
          </cell>
        </row>
        <row r="13123">
          <cell r="D13123" t="str">
            <v>CB5715000-001R002</v>
          </cell>
          <cell r="E13123" t="str">
            <v>固定前缘边肋</v>
          </cell>
        </row>
        <row r="13124">
          <cell r="D13124" t="str">
            <v>CB5715000-001R002</v>
          </cell>
          <cell r="E13124" t="str">
            <v>固定前缘边肋</v>
          </cell>
        </row>
        <row r="13125">
          <cell r="D13125" t="str">
            <v>CB5715000-001R002</v>
          </cell>
          <cell r="E13125" t="str">
            <v>固定前缘边肋</v>
          </cell>
        </row>
        <row r="13126">
          <cell r="D13126" t="str">
            <v>CB5715000-001R002</v>
          </cell>
          <cell r="E13126" t="str">
            <v>固定前缘边肋</v>
          </cell>
        </row>
        <row r="13127">
          <cell r="D13127" t="str">
            <v>CB5715000-001R002</v>
          </cell>
          <cell r="E13127" t="str">
            <v>固定前缘边肋</v>
          </cell>
        </row>
        <row r="13128">
          <cell r="D13128" t="str">
            <v>CB5714100-003L003</v>
          </cell>
          <cell r="E13128" t="str">
            <v>根肋三段</v>
          </cell>
        </row>
        <row r="13129">
          <cell r="D13129" t="str">
            <v>CB5822016-029L001</v>
          </cell>
          <cell r="E13129" t="str">
            <v>角片</v>
          </cell>
        </row>
        <row r="13130">
          <cell r="D13130" t="str">
            <v>CB5822016-034L001</v>
          </cell>
          <cell r="E13130" t="str">
            <v>角片</v>
          </cell>
        </row>
        <row r="13131">
          <cell r="D13131" t="str">
            <v>CB5822016-034L001</v>
          </cell>
          <cell r="E13131" t="str">
            <v>角片</v>
          </cell>
        </row>
        <row r="13132">
          <cell r="D13132" t="str">
            <v>CB5822016-034R001</v>
          </cell>
          <cell r="E13132" t="str">
            <v>角片</v>
          </cell>
        </row>
        <row r="13133">
          <cell r="D13133" t="str">
            <v>CB5822016-034R001</v>
          </cell>
          <cell r="E13133" t="str">
            <v>角片</v>
          </cell>
        </row>
        <row r="13134">
          <cell r="D13134" t="str">
            <v>CB5822016-032L001</v>
          </cell>
          <cell r="E13134" t="str">
            <v>角片</v>
          </cell>
        </row>
        <row r="13135">
          <cell r="D13135" t="str">
            <v>CB5822016-032R001</v>
          </cell>
          <cell r="E13135" t="str">
            <v>角片</v>
          </cell>
        </row>
        <row r="13136">
          <cell r="D13136" t="str">
            <v>CB5714100-003R003</v>
          </cell>
          <cell r="E13136" t="str">
            <v>根肋三段</v>
          </cell>
        </row>
        <row r="13137">
          <cell r="D13137" t="str">
            <v>CB5714100-003R003</v>
          </cell>
          <cell r="E13137" t="str">
            <v>根肋三段</v>
          </cell>
        </row>
        <row r="13138">
          <cell r="D13138" t="str">
            <v>CB5714100-003R003</v>
          </cell>
          <cell r="E13138" t="str">
            <v>根肋三段</v>
          </cell>
        </row>
        <row r="13139">
          <cell r="D13139" t="str">
            <v>CB5714100-003R003</v>
          </cell>
          <cell r="E13139" t="str">
            <v>根肋三段</v>
          </cell>
        </row>
        <row r="13140">
          <cell r="D13140" t="str">
            <v>CB5742000-202L001</v>
          </cell>
          <cell r="E13140" t="str">
            <v>前梁二段</v>
          </cell>
        </row>
        <row r="13141">
          <cell r="D13141" t="str">
            <v>CB5742000-202L001</v>
          </cell>
          <cell r="E13141" t="str">
            <v>前梁二段</v>
          </cell>
        </row>
        <row r="13142">
          <cell r="D13142" t="str">
            <v>CB5742000-202L001</v>
          </cell>
          <cell r="E13142" t="str">
            <v>前梁二段</v>
          </cell>
        </row>
        <row r="13143">
          <cell r="D13143" t="str">
            <v>CB5742000-202L001</v>
          </cell>
          <cell r="E13143" t="str">
            <v>前梁二段</v>
          </cell>
        </row>
        <row r="13144">
          <cell r="D13144" t="str">
            <v>CB5742000-202R001</v>
          </cell>
          <cell r="E13144" t="str">
            <v>前梁二段</v>
          </cell>
        </row>
        <row r="13145">
          <cell r="D13145" t="str">
            <v>CB5742000-202R001</v>
          </cell>
          <cell r="E13145" t="str">
            <v>前梁二段</v>
          </cell>
        </row>
        <row r="13146">
          <cell r="D13146" t="str">
            <v>CB5742000-202R001</v>
          </cell>
          <cell r="E13146" t="str">
            <v>前梁二段</v>
          </cell>
        </row>
        <row r="13147">
          <cell r="D13147" t="str">
            <v>CB5742000-202R001</v>
          </cell>
          <cell r="E13147" t="str">
            <v>前梁二段</v>
          </cell>
        </row>
        <row r="13148">
          <cell r="D13148" t="str">
            <v>CB5325210-001-004</v>
          </cell>
          <cell r="E13148" t="str">
            <v>辅助动力舱口盖前段</v>
          </cell>
        </row>
        <row r="13149">
          <cell r="D13149" t="str">
            <v>CB5325210-001-004</v>
          </cell>
          <cell r="E13149" t="str">
            <v>辅助动力舱口盖前段</v>
          </cell>
        </row>
        <row r="13150">
          <cell r="D13150" t="str">
            <v>CB5325210-001-004</v>
          </cell>
          <cell r="E13150" t="str">
            <v>辅助动力舱口盖前段</v>
          </cell>
        </row>
        <row r="13151">
          <cell r="D13151" t="str">
            <v>CB5325210-001-004</v>
          </cell>
          <cell r="E13151" t="str">
            <v>辅助动力舱口盖前段</v>
          </cell>
        </row>
        <row r="13152">
          <cell r="D13152" t="str">
            <v>CB5325210-001-004</v>
          </cell>
          <cell r="E13152" t="str">
            <v>辅助动力舱口盖前段</v>
          </cell>
        </row>
        <row r="13153">
          <cell r="D13153" t="str">
            <v>CB5822016-024L001</v>
          </cell>
          <cell r="E13153" t="str">
            <v>角片</v>
          </cell>
        </row>
        <row r="13154">
          <cell r="D13154" t="str">
            <v>CB5822016-024R001</v>
          </cell>
          <cell r="E13154" t="str">
            <v>角片</v>
          </cell>
        </row>
        <row r="13155">
          <cell r="D13155" t="str">
            <v>CB5822016-029L001</v>
          </cell>
          <cell r="E13155" t="str">
            <v>角片</v>
          </cell>
        </row>
        <row r="13156">
          <cell r="D13156" t="str">
            <v>CB5822016-029R001</v>
          </cell>
          <cell r="E13156" t="str">
            <v>角片</v>
          </cell>
        </row>
        <row r="13157">
          <cell r="D13157" t="str">
            <v>CB5822016-032L001</v>
          </cell>
          <cell r="E13157" t="str">
            <v>角片</v>
          </cell>
        </row>
        <row r="13158">
          <cell r="D13158" t="str">
            <v>CB5822016-032R001</v>
          </cell>
          <cell r="E13158" t="str">
            <v>角片</v>
          </cell>
        </row>
        <row r="13159">
          <cell r="D13159" t="str">
            <v>CB5715000-002R002</v>
          </cell>
          <cell r="E13159" t="str">
            <v>固定前缘根肋</v>
          </cell>
        </row>
        <row r="13160">
          <cell r="D13160" t="str">
            <v>CB5715000-002R002</v>
          </cell>
          <cell r="E13160" t="str">
            <v>固定前缘根肋</v>
          </cell>
        </row>
        <row r="13161">
          <cell r="D13161" t="str">
            <v>CB5715000-002R002</v>
          </cell>
          <cell r="E13161" t="str">
            <v>固定前缘根肋</v>
          </cell>
        </row>
        <row r="13162">
          <cell r="D13162" t="str">
            <v>CB5715000-002R002</v>
          </cell>
          <cell r="E13162" t="str">
            <v>固定前缘根肋</v>
          </cell>
        </row>
        <row r="13163">
          <cell r="D13163" t="str">
            <v>CB5715000-002R002</v>
          </cell>
          <cell r="E13163" t="str">
            <v>固定前缘根肋</v>
          </cell>
        </row>
        <row r="13164">
          <cell r="D13164" t="str">
            <v>CB5715000-002R002</v>
          </cell>
          <cell r="E13164" t="str">
            <v>固定前缘根肋</v>
          </cell>
        </row>
        <row r="13165">
          <cell r="D13165" t="str">
            <v>CB5715000-002R002</v>
          </cell>
          <cell r="E13165" t="str">
            <v>固定前缘根肋</v>
          </cell>
        </row>
        <row r="13166">
          <cell r="D13166" t="str">
            <v>CB5715000-002R002</v>
          </cell>
          <cell r="E13166" t="str">
            <v>固定前缘根肋</v>
          </cell>
        </row>
        <row r="13167">
          <cell r="D13167" t="str">
            <v>CB5715000-002R002</v>
          </cell>
          <cell r="E13167" t="str">
            <v>固定前缘根肋</v>
          </cell>
        </row>
        <row r="13168">
          <cell r="D13168" t="str">
            <v>CB5715000-002R002</v>
          </cell>
          <cell r="E13168" t="str">
            <v>固定前缘根肋</v>
          </cell>
        </row>
        <row r="13169">
          <cell r="D13169" t="str">
            <v>CB5715000-002L002</v>
          </cell>
          <cell r="E13169" t="str">
            <v>固定前缘根肋</v>
          </cell>
        </row>
        <row r="13170">
          <cell r="D13170" t="str">
            <v>CB5715000-002L002</v>
          </cell>
          <cell r="E13170" t="str">
            <v>固定前缘根肋</v>
          </cell>
        </row>
        <row r="13171">
          <cell r="D13171" t="str">
            <v>CB5715000-002L002</v>
          </cell>
          <cell r="E13171" t="str">
            <v>固定前缘根肋</v>
          </cell>
        </row>
        <row r="13172">
          <cell r="D13172" t="str">
            <v>CB5715000-002L002</v>
          </cell>
          <cell r="E13172" t="str">
            <v>固定前缘根肋</v>
          </cell>
        </row>
        <row r="13173">
          <cell r="D13173" t="str">
            <v>CB5715000-002L002</v>
          </cell>
          <cell r="E13173" t="str">
            <v>固定前缘根肋</v>
          </cell>
        </row>
        <row r="13174">
          <cell r="D13174" t="str">
            <v>CB5715000-002L002</v>
          </cell>
          <cell r="E13174" t="str">
            <v>固定前缘根肋</v>
          </cell>
        </row>
        <row r="13175">
          <cell r="D13175" t="str">
            <v>CB5715000-002L002</v>
          </cell>
          <cell r="E13175" t="str">
            <v>固定前缘根肋</v>
          </cell>
        </row>
        <row r="13176">
          <cell r="D13176" t="str">
            <v>CB5715000-002L002</v>
          </cell>
          <cell r="E13176" t="str">
            <v>固定前缘根肋</v>
          </cell>
        </row>
        <row r="13177">
          <cell r="D13177" t="str">
            <v>CB5715000-002L002</v>
          </cell>
          <cell r="E13177" t="str">
            <v>固定前缘根肋</v>
          </cell>
        </row>
        <row r="13178">
          <cell r="D13178" t="str">
            <v>CB5715000-002L002</v>
          </cell>
          <cell r="E13178" t="str">
            <v>固定前缘根肋</v>
          </cell>
        </row>
        <row r="13179">
          <cell r="D13179" t="str">
            <v>260A1510-014-001</v>
          </cell>
          <cell r="E13179" t="str">
            <v>T型角材</v>
          </cell>
        </row>
        <row r="13180">
          <cell r="D13180" t="str">
            <v>521A1100-001-001</v>
          </cell>
          <cell r="E13180" t="str">
            <v>接头</v>
          </cell>
        </row>
        <row r="13181">
          <cell r="D13181" t="str">
            <v>521A1100-001-001</v>
          </cell>
          <cell r="E13181" t="str">
            <v>接头</v>
          </cell>
        </row>
        <row r="13182">
          <cell r="D13182" t="str">
            <v>521A1100-002-001</v>
          </cell>
          <cell r="E13182" t="str">
            <v>接头</v>
          </cell>
        </row>
        <row r="13183">
          <cell r="D13183" t="str">
            <v>521A1100-002-001</v>
          </cell>
          <cell r="E13183" t="str">
            <v>接头</v>
          </cell>
        </row>
        <row r="13184">
          <cell r="D13184" t="str">
            <v>DD-J10-25002-1-Z</v>
          </cell>
          <cell r="E13184" t="str">
            <v>第3肋</v>
          </cell>
        </row>
        <row r="13185">
          <cell r="D13185" t="str">
            <v>DD-J10B-26002-1G2-Z</v>
          </cell>
          <cell r="E13185" t="str">
            <v>梁（左件）</v>
          </cell>
        </row>
        <row r="13186">
          <cell r="D13186" t="str">
            <v>DD-J10B-26002-1G2-Z</v>
          </cell>
          <cell r="E13186" t="str">
            <v>梁（左件）</v>
          </cell>
        </row>
        <row r="13187">
          <cell r="D13187" t="str">
            <v>DD-J10B-26002-1G2-Z</v>
          </cell>
          <cell r="E13187" t="str">
            <v>梁（左件）</v>
          </cell>
        </row>
        <row r="13188">
          <cell r="D13188" t="str">
            <v>DD-J10B-26002-1G2-Z</v>
          </cell>
          <cell r="E13188" t="str">
            <v>梁（左件）</v>
          </cell>
        </row>
        <row r="13189">
          <cell r="D13189" t="str">
            <v>DD-J10B-26002-1G2-Y</v>
          </cell>
          <cell r="E13189" t="str">
            <v>梁（右件）</v>
          </cell>
        </row>
        <row r="13190">
          <cell r="D13190" t="str">
            <v>DD-J10B-26002-1G2-Y</v>
          </cell>
          <cell r="E13190" t="str">
            <v>梁（右件）</v>
          </cell>
        </row>
        <row r="13191">
          <cell r="D13191" t="str">
            <v>DD-J10B-26002-1G2-Y</v>
          </cell>
          <cell r="E13191" t="str">
            <v>梁（右件）</v>
          </cell>
        </row>
        <row r="13192">
          <cell r="D13192" t="str">
            <v>DD-J10B-26002-1G2-Y</v>
          </cell>
          <cell r="E13192" t="str">
            <v>梁（右件）</v>
          </cell>
        </row>
        <row r="13193">
          <cell r="D13193" t="str">
            <v>BC5333110-001L001</v>
          </cell>
          <cell r="E13193" t="str">
            <v>上大梁前段</v>
          </cell>
        </row>
        <row r="13194">
          <cell r="D13194" t="str">
            <v>BC5333110-001L001</v>
          </cell>
          <cell r="E13194" t="str">
            <v>上大梁前段</v>
          </cell>
        </row>
        <row r="13195">
          <cell r="D13195" t="str">
            <v>BC5333110-001L001</v>
          </cell>
          <cell r="E13195" t="str">
            <v>上大梁前段</v>
          </cell>
        </row>
        <row r="13196">
          <cell r="D13196" t="str">
            <v>BC5333110-001R001</v>
          </cell>
          <cell r="E13196" t="str">
            <v>上大梁前段</v>
          </cell>
        </row>
        <row r="13197">
          <cell r="D13197" t="str">
            <v>BC5333110-001R001</v>
          </cell>
          <cell r="E13197" t="str">
            <v>上大梁前段</v>
          </cell>
        </row>
        <row r="13198">
          <cell r="D13198" t="str">
            <v>BC5333100-006R001</v>
          </cell>
          <cell r="E13198" t="str">
            <v>口框梁</v>
          </cell>
        </row>
        <row r="13199">
          <cell r="D13199" t="str">
            <v>BC5333100-006R001</v>
          </cell>
          <cell r="E13199" t="str">
            <v>口框梁</v>
          </cell>
        </row>
        <row r="13200">
          <cell r="D13200" t="str">
            <v>BC5333100-007-001</v>
          </cell>
          <cell r="E13200" t="str">
            <v>下大梁</v>
          </cell>
        </row>
        <row r="13201">
          <cell r="D13201" t="str">
            <v>BC5333100-007-001</v>
          </cell>
          <cell r="E13201" t="str">
            <v>下大梁</v>
          </cell>
        </row>
        <row r="13202">
          <cell r="D13202" t="str">
            <v>BC5333100-007-001</v>
          </cell>
          <cell r="E13202" t="str">
            <v>下大梁</v>
          </cell>
        </row>
        <row r="13203">
          <cell r="D13203" t="str">
            <v>CB22836Y6-003-001</v>
          </cell>
          <cell r="E13203" t="str">
            <v>轴</v>
          </cell>
        </row>
        <row r="13204">
          <cell r="D13204" t="str">
            <v>CB22836Y6-003-001</v>
          </cell>
          <cell r="E13204" t="str">
            <v>轴</v>
          </cell>
        </row>
        <row r="13205">
          <cell r="D13205" t="str">
            <v>CB2292112-004-001</v>
          </cell>
          <cell r="E13205" t="str">
            <v>螺栓</v>
          </cell>
        </row>
        <row r="13206">
          <cell r="D13206" t="str">
            <v>CB22921F1-004-001</v>
          </cell>
          <cell r="E13206" t="str">
            <v>衬套</v>
          </cell>
        </row>
        <row r="13207">
          <cell r="D13207" t="str">
            <v>CB2292112-003-001</v>
          </cell>
          <cell r="E13207" t="str">
            <v>小轴</v>
          </cell>
        </row>
        <row r="13208">
          <cell r="D13208" t="str">
            <v>CB229C421-003-001</v>
          </cell>
          <cell r="E13208" t="str">
            <v>衬套</v>
          </cell>
        </row>
        <row r="13209">
          <cell r="D13209" t="str">
            <v>DD-J10-54101-2805</v>
          </cell>
          <cell r="E13209" t="str">
            <v>滑轮</v>
          </cell>
        </row>
        <row r="13210">
          <cell r="D13210" t="str">
            <v>DD-J10-54101-2801</v>
          </cell>
          <cell r="E13210" t="str">
            <v>手柄</v>
          </cell>
        </row>
        <row r="13211">
          <cell r="D13211" t="str">
            <v>DD-J10-55196-311</v>
          </cell>
          <cell r="E13211" t="str">
            <v>螺栓</v>
          </cell>
        </row>
        <row r="13212">
          <cell r="D13212" t="str">
            <v>DD-J10-55196-311</v>
          </cell>
          <cell r="E13212" t="str">
            <v>螺栓</v>
          </cell>
        </row>
        <row r="13213">
          <cell r="D13213" t="str">
            <v>DD-J10-55196-311</v>
          </cell>
          <cell r="E13213" t="str">
            <v>螺栓</v>
          </cell>
        </row>
        <row r="13214">
          <cell r="D13214" t="str">
            <v>DD-J10-55196-311</v>
          </cell>
          <cell r="E13214" t="str">
            <v>螺栓</v>
          </cell>
        </row>
        <row r="13215">
          <cell r="D13215" t="str">
            <v>DD-J10-55181-2540-1</v>
          </cell>
          <cell r="E13215" t="str">
            <v>螺栓</v>
          </cell>
        </row>
        <row r="13216">
          <cell r="D13216" t="str">
            <v>DD-J10-55181-2540-2</v>
          </cell>
          <cell r="E13216" t="str">
            <v>小轴</v>
          </cell>
        </row>
        <row r="13217">
          <cell r="D13217" t="str">
            <v>DD-J10-86031-510-3</v>
          </cell>
          <cell r="E13217" t="str">
            <v>套管</v>
          </cell>
        </row>
        <row r="13218">
          <cell r="D13218" t="str">
            <v>DD-J10-86031-510-4</v>
          </cell>
          <cell r="E13218" t="str">
            <v>套管</v>
          </cell>
        </row>
        <row r="13219">
          <cell r="D13219" t="str">
            <v>DD-J10-94051-3640-2</v>
          </cell>
          <cell r="E13219" t="str">
            <v>管子</v>
          </cell>
        </row>
        <row r="13220">
          <cell r="D13220" t="str">
            <v>DD-J10-94051-3620-2</v>
          </cell>
          <cell r="E13220" t="str">
            <v>管子</v>
          </cell>
        </row>
        <row r="13221">
          <cell r="D13221" t="str">
            <v>DD-J10S-65011-1010-2</v>
          </cell>
          <cell r="E13221" t="str">
            <v>短管</v>
          </cell>
        </row>
        <row r="13222">
          <cell r="D13222" t="str">
            <v>CB22857YB-008-001</v>
          </cell>
          <cell r="E13222" t="str">
            <v>轴</v>
          </cell>
        </row>
        <row r="13223">
          <cell r="D13223" t="str">
            <v>CB22857YB-008-001</v>
          </cell>
          <cell r="E13223" t="str">
            <v>轴</v>
          </cell>
        </row>
        <row r="13224">
          <cell r="D13224" t="str">
            <v>CB22857YB-008-001</v>
          </cell>
          <cell r="E13224" t="str">
            <v>轴</v>
          </cell>
        </row>
        <row r="13225">
          <cell r="D13225" t="str">
            <v>CB22847Y1-008-001</v>
          </cell>
          <cell r="E13225" t="str">
            <v>轴</v>
          </cell>
        </row>
        <row r="13226">
          <cell r="D13226" t="str">
            <v>CB2292182-003-001</v>
          </cell>
          <cell r="E13226" t="str">
            <v>衬套</v>
          </cell>
        </row>
        <row r="13227">
          <cell r="D13227" t="str">
            <v>CB22857YBN005-001</v>
          </cell>
          <cell r="E13227" t="str">
            <v>管子</v>
          </cell>
        </row>
        <row r="13228">
          <cell r="D13228" t="str">
            <v>DD-J10-86021-6000-2</v>
          </cell>
          <cell r="E13228" t="str">
            <v>垫块</v>
          </cell>
        </row>
        <row r="13229">
          <cell r="D13229" t="str">
            <v>DD-J10-54101-2822</v>
          </cell>
          <cell r="E13229" t="str">
            <v>钢套</v>
          </cell>
        </row>
        <row r="13230">
          <cell r="D13230" t="str">
            <v>DD-J10-54101-2821</v>
          </cell>
          <cell r="E13230" t="str">
            <v>插销</v>
          </cell>
        </row>
        <row r="13231">
          <cell r="D13231" t="str">
            <v>DD-J10-54101-2803</v>
          </cell>
          <cell r="E13231" t="str">
            <v>止动器</v>
          </cell>
        </row>
        <row r="13232">
          <cell r="D13232" t="str">
            <v>DD-J10-86021-5000-3</v>
          </cell>
          <cell r="E13232" t="str">
            <v>垫块</v>
          </cell>
        </row>
        <row r="13233">
          <cell r="D13233" t="str">
            <v>DD-J10-54101-2802</v>
          </cell>
          <cell r="E13233" t="str">
            <v>套筒</v>
          </cell>
        </row>
        <row r="13234">
          <cell r="D13234" t="str">
            <v>DD-J10B-94061-1061/2</v>
          </cell>
          <cell r="E13234" t="str">
            <v>法兰盘</v>
          </cell>
        </row>
        <row r="13235">
          <cell r="D13235" t="str">
            <v>DD-J10S-65011-120-2</v>
          </cell>
          <cell r="E13235" t="str">
            <v>短管</v>
          </cell>
        </row>
        <row r="13236">
          <cell r="D13236" t="str">
            <v>CB2284752-004-001</v>
          </cell>
          <cell r="E13236" t="str">
            <v>法兰</v>
          </cell>
        </row>
        <row r="13237">
          <cell r="D13237" t="str">
            <v>CB2284752-004-001</v>
          </cell>
          <cell r="E13237" t="str">
            <v>法兰</v>
          </cell>
        </row>
        <row r="13238">
          <cell r="D13238" t="str">
            <v>BC2292193-006-001</v>
          </cell>
          <cell r="E13238" t="str">
            <v>内径4接头</v>
          </cell>
        </row>
        <row r="13239">
          <cell r="D13239" t="str">
            <v>BC2292193-005-001</v>
          </cell>
          <cell r="E13239" t="str">
            <v>内径6接头</v>
          </cell>
        </row>
        <row r="13240">
          <cell r="D13240" t="str">
            <v>260A1510-006-001</v>
          </cell>
          <cell r="E13240" t="str">
            <v>衬套</v>
          </cell>
        </row>
        <row r="13241">
          <cell r="D13241" t="str">
            <v>DD-J10-21102-32-Z</v>
          </cell>
          <cell r="E13241" t="str">
            <v>10060下接头</v>
          </cell>
        </row>
        <row r="13242">
          <cell r="D13242" t="str">
            <v>DD-J10-21102-32-Z</v>
          </cell>
          <cell r="E13242" t="str">
            <v>10060下接头</v>
          </cell>
        </row>
        <row r="13243">
          <cell r="D13243" t="str">
            <v>DD-J10-04501-10-1-Z</v>
          </cell>
          <cell r="E13243" t="str">
            <v>BL900侧梁(左件）</v>
          </cell>
        </row>
        <row r="13244">
          <cell r="D13244" t="str">
            <v>DD-J10-04501-10-1-Z</v>
          </cell>
          <cell r="E13244" t="str">
            <v>BL900侧梁(左件）</v>
          </cell>
        </row>
        <row r="13245">
          <cell r="D13245" t="str">
            <v>DD-J10-04501-10-1-Z</v>
          </cell>
          <cell r="E13245" t="str">
            <v>BL900侧梁(左件）</v>
          </cell>
        </row>
        <row r="13246">
          <cell r="D13246" t="str">
            <v>DD-J10-04501-10-1-Z</v>
          </cell>
          <cell r="E13246" t="str">
            <v>BL900侧梁(左件）</v>
          </cell>
        </row>
        <row r="13247">
          <cell r="D13247" t="str">
            <v>DD-J10-04501-10-1-Y</v>
          </cell>
          <cell r="E13247" t="str">
            <v>BL900侧梁(右件）</v>
          </cell>
        </row>
        <row r="13248">
          <cell r="D13248" t="str">
            <v>DD-J10-04501-10-1-Y</v>
          </cell>
          <cell r="E13248" t="str">
            <v>BL900侧梁(右件）</v>
          </cell>
        </row>
        <row r="13249">
          <cell r="D13249" t="str">
            <v>DD-J10-04501-10-1-Y</v>
          </cell>
          <cell r="E13249" t="str">
            <v>BL900侧梁(右件）</v>
          </cell>
        </row>
        <row r="13250">
          <cell r="D13250" t="str">
            <v>DD-J10-04501-10-1-Y</v>
          </cell>
          <cell r="E13250" t="str">
            <v>BL900侧梁(右件）</v>
          </cell>
        </row>
        <row r="13251">
          <cell r="D13251" t="str">
            <v>DD-J10B-26002-1G2-Y</v>
          </cell>
          <cell r="E13251" t="str">
            <v>梁（右件）</v>
          </cell>
        </row>
        <row r="13252">
          <cell r="D13252" t="str">
            <v>DD-J10B-26002-1G2-Y</v>
          </cell>
          <cell r="E13252" t="str">
            <v>梁（右件）</v>
          </cell>
        </row>
        <row r="13253">
          <cell r="D13253" t="str">
            <v>DD-J10B-26002-1G2-Y</v>
          </cell>
          <cell r="E13253" t="str">
            <v>梁（右件）</v>
          </cell>
        </row>
        <row r="13254">
          <cell r="D13254" t="str">
            <v>DD-J10B-26002-1G2-Y</v>
          </cell>
          <cell r="E13254" t="str">
            <v>梁（右件）</v>
          </cell>
        </row>
        <row r="13255">
          <cell r="D13255" t="str">
            <v>DD-J10B-26002-1G2-Y</v>
          </cell>
          <cell r="E13255" t="str">
            <v>梁（右件）</v>
          </cell>
        </row>
        <row r="13256">
          <cell r="D13256" t="str">
            <v>DD-J10B-26002-1G2-Y</v>
          </cell>
          <cell r="E13256" t="str">
            <v>梁（右件）</v>
          </cell>
        </row>
        <row r="13257">
          <cell r="D13257" t="str">
            <v>DD-J10B-26002-1G2-Y</v>
          </cell>
          <cell r="E13257" t="str">
            <v>梁（右件）</v>
          </cell>
        </row>
        <row r="13258">
          <cell r="D13258" t="str">
            <v>DD-J10B-26002-1G2-Y</v>
          </cell>
          <cell r="E13258" t="str">
            <v>梁（右件）</v>
          </cell>
        </row>
        <row r="13259">
          <cell r="D13259" t="str">
            <v>DD-J10B-26002-1G2-Y</v>
          </cell>
          <cell r="E13259" t="str">
            <v>梁（右件）</v>
          </cell>
        </row>
        <row r="13260">
          <cell r="D13260" t="str">
            <v>DD-J10B-26002-1G2-Y</v>
          </cell>
          <cell r="E13260" t="str">
            <v>梁（右件）</v>
          </cell>
        </row>
        <row r="13261">
          <cell r="D13261" t="str">
            <v>DD-J10B-26002-1G2-Y</v>
          </cell>
          <cell r="E13261" t="str">
            <v>梁（右件）</v>
          </cell>
        </row>
        <row r="13262">
          <cell r="D13262" t="str">
            <v>DD-J10B-26002-1G2-Y</v>
          </cell>
          <cell r="E13262" t="str">
            <v>梁（右件）</v>
          </cell>
        </row>
        <row r="13263">
          <cell r="D13263" t="str">
            <v>DD-J10B-26002-1G2-Z</v>
          </cell>
          <cell r="E13263" t="str">
            <v>梁（左件）</v>
          </cell>
        </row>
        <row r="13264">
          <cell r="D13264" t="str">
            <v>DD-J10B-26002-1G2-Z</v>
          </cell>
          <cell r="E13264" t="str">
            <v>梁（左件）</v>
          </cell>
        </row>
        <row r="13265">
          <cell r="D13265" t="str">
            <v>DD-J10B-26002-1G2-Z</v>
          </cell>
          <cell r="E13265" t="str">
            <v>梁（左件）</v>
          </cell>
        </row>
        <row r="13266">
          <cell r="D13266" t="str">
            <v>DD-J10B-26002-1G2-Z</v>
          </cell>
          <cell r="E13266" t="str">
            <v>梁（左件）</v>
          </cell>
        </row>
        <row r="13267">
          <cell r="D13267" t="str">
            <v>DD-J10B-26002-1G2-Z</v>
          </cell>
          <cell r="E13267" t="str">
            <v>梁（左件）</v>
          </cell>
        </row>
        <row r="13268">
          <cell r="D13268" t="str">
            <v>DD-J10B-26002-1G2-Z</v>
          </cell>
          <cell r="E13268" t="str">
            <v>梁（左件）</v>
          </cell>
        </row>
        <row r="13269">
          <cell r="D13269" t="str">
            <v>DD-J10B-26002-1G2-Z</v>
          </cell>
          <cell r="E13269" t="str">
            <v>梁（左件）</v>
          </cell>
        </row>
        <row r="13270">
          <cell r="D13270" t="str">
            <v>DD-J10B-26002-1G2-Z</v>
          </cell>
          <cell r="E13270" t="str">
            <v>梁（左件）</v>
          </cell>
        </row>
        <row r="13271">
          <cell r="D13271" t="str">
            <v>DD-J10B-26002-1G2-Z</v>
          </cell>
          <cell r="E13271" t="str">
            <v>梁（左件）</v>
          </cell>
        </row>
        <row r="13272">
          <cell r="D13272" t="str">
            <v>DD-J10B-26002-1G2-Z</v>
          </cell>
          <cell r="E13272" t="str">
            <v>梁（左件）</v>
          </cell>
        </row>
        <row r="13273">
          <cell r="D13273" t="str">
            <v>DD-J10B-26002-1G2-Z</v>
          </cell>
          <cell r="E13273" t="str">
            <v>梁（左件）</v>
          </cell>
        </row>
        <row r="13274">
          <cell r="D13274" t="str">
            <v>DD-J10B-26002-1G2-Z</v>
          </cell>
          <cell r="E13274" t="str">
            <v>梁（左件）</v>
          </cell>
        </row>
        <row r="13275">
          <cell r="D13275" t="str">
            <v>BC5333100-006R001</v>
          </cell>
          <cell r="E13275" t="str">
            <v>口框梁</v>
          </cell>
        </row>
        <row r="13276">
          <cell r="D13276" t="str">
            <v>BC5333100-006L001</v>
          </cell>
          <cell r="E13276" t="str">
            <v>口框梁</v>
          </cell>
        </row>
        <row r="13277">
          <cell r="D13277" t="str">
            <v>BC5333100-006L001</v>
          </cell>
          <cell r="E13277" t="str">
            <v>口框梁</v>
          </cell>
        </row>
        <row r="13278">
          <cell r="D13278" t="str">
            <v>BC5333100-006L001</v>
          </cell>
          <cell r="E13278" t="str">
            <v>口框梁</v>
          </cell>
        </row>
        <row r="13279">
          <cell r="D13279" t="str">
            <v>531A3430-000-035</v>
          </cell>
          <cell r="E13279" t="str">
            <v>角材</v>
          </cell>
        </row>
        <row r="13280">
          <cell r="D13280" t="str">
            <v>528A1200-000-011</v>
          </cell>
          <cell r="E13280" t="str">
            <v>T型角材</v>
          </cell>
        </row>
        <row r="13281">
          <cell r="D13281" t="str">
            <v>528A1200-000-012</v>
          </cell>
          <cell r="E13281" t="str">
            <v>T型角材</v>
          </cell>
        </row>
        <row r="13282">
          <cell r="D13282" t="str">
            <v>CB5314107-001-003</v>
          </cell>
          <cell r="E13282" t="str">
            <v>5550上框（精加工）</v>
          </cell>
        </row>
        <row r="13283">
          <cell r="D13283" t="str">
            <v>CB5713600-001R004</v>
          </cell>
          <cell r="E13283" t="str">
            <v>前梁一段</v>
          </cell>
        </row>
        <row r="13284">
          <cell r="D13284" t="str">
            <v>CB5713600-001R004</v>
          </cell>
          <cell r="E13284" t="str">
            <v>前梁一段</v>
          </cell>
        </row>
        <row r="13285">
          <cell r="D13285" t="str">
            <v>CB5714100-003R003</v>
          </cell>
          <cell r="E13285" t="str">
            <v>根肋三段</v>
          </cell>
        </row>
        <row r="13286">
          <cell r="D13286" t="str">
            <v>CB5714100-003R003</v>
          </cell>
          <cell r="E13286" t="str">
            <v>根肋三段</v>
          </cell>
        </row>
        <row r="13287">
          <cell r="D13287" t="str">
            <v>CB5714100-003R003</v>
          </cell>
          <cell r="E13287" t="str">
            <v>根肋三段</v>
          </cell>
        </row>
        <row r="13288">
          <cell r="D13288" t="str">
            <v>CB5714100-003R003</v>
          </cell>
          <cell r="E13288" t="str">
            <v>根肋三段</v>
          </cell>
        </row>
        <row r="13289">
          <cell r="D13289" t="str">
            <v>CB5714100-003L003</v>
          </cell>
          <cell r="E13289" t="str">
            <v>根肋三段</v>
          </cell>
        </row>
        <row r="13290">
          <cell r="D13290" t="str">
            <v>CB5714100-003L003</v>
          </cell>
          <cell r="E13290" t="str">
            <v>根肋三段</v>
          </cell>
        </row>
        <row r="13291">
          <cell r="D13291" t="str">
            <v>CB5714100-003L003</v>
          </cell>
          <cell r="E13291" t="str">
            <v>根肋三段</v>
          </cell>
        </row>
        <row r="13292">
          <cell r="D13292" t="str">
            <v>CB5714100-003L003</v>
          </cell>
          <cell r="E13292" t="str">
            <v>根肋三段</v>
          </cell>
        </row>
        <row r="13293">
          <cell r="D13293" t="str">
            <v>CB5714100-003L003</v>
          </cell>
          <cell r="E13293" t="str">
            <v>根肋三段</v>
          </cell>
        </row>
        <row r="13294">
          <cell r="D13294" t="str">
            <v>CB5714100-003L003</v>
          </cell>
          <cell r="E13294" t="str">
            <v>根肋三段</v>
          </cell>
        </row>
        <row r="13295">
          <cell r="D13295" t="str">
            <v>CB5714100-003L003</v>
          </cell>
          <cell r="E13295" t="str">
            <v>根肋三段</v>
          </cell>
        </row>
        <row r="13296">
          <cell r="D13296" t="str">
            <v>CB5822016-032L001</v>
          </cell>
          <cell r="E13296" t="str">
            <v>角片</v>
          </cell>
        </row>
        <row r="13297">
          <cell r="D13297" t="str">
            <v>CB5822016-032R001</v>
          </cell>
          <cell r="E13297" t="str">
            <v>角片</v>
          </cell>
        </row>
        <row r="13298">
          <cell r="D13298" t="str">
            <v>CB5822016-034L001</v>
          </cell>
          <cell r="E13298" t="str">
            <v>角片</v>
          </cell>
        </row>
        <row r="13299">
          <cell r="D13299" t="str">
            <v>CB5822016-034L001</v>
          </cell>
          <cell r="E13299" t="str">
            <v>角片</v>
          </cell>
        </row>
        <row r="13300">
          <cell r="D13300" t="str">
            <v>CB5822016-034R001</v>
          </cell>
          <cell r="E13300" t="str">
            <v>角片</v>
          </cell>
        </row>
        <row r="13301">
          <cell r="D13301" t="str">
            <v>CB5822016-034R001</v>
          </cell>
          <cell r="E13301" t="str">
            <v>角片</v>
          </cell>
        </row>
        <row r="13302">
          <cell r="D13302" t="str">
            <v>DD-J10B-65000-1810G2-1</v>
          </cell>
          <cell r="E13302" t="str">
            <v>支座</v>
          </cell>
        </row>
        <row r="13303">
          <cell r="D13303" t="str">
            <v>CB2295170-001-002</v>
          </cell>
          <cell r="E13303" t="str">
            <v>安装支座</v>
          </cell>
        </row>
        <row r="13304">
          <cell r="D13304" t="str">
            <v>DD-J10B-94076-803</v>
          </cell>
          <cell r="E13304" t="str">
            <v>支架</v>
          </cell>
        </row>
        <row r="13305">
          <cell r="D13305" t="str">
            <v>DD-J10B-94076-803</v>
          </cell>
          <cell r="E13305" t="str">
            <v>支架</v>
          </cell>
        </row>
        <row r="13306">
          <cell r="D13306" t="str">
            <v>DD-J10-91001-1</v>
          </cell>
          <cell r="E13306" t="str">
            <v>支座</v>
          </cell>
        </row>
        <row r="13307">
          <cell r="D13307" t="str">
            <v>DD-J10-91001-1</v>
          </cell>
          <cell r="E13307" t="str">
            <v>支座</v>
          </cell>
        </row>
        <row r="13308">
          <cell r="D13308" t="str">
            <v>DD-J10B-63001-651</v>
          </cell>
          <cell r="E13308" t="str">
            <v>法兰盘</v>
          </cell>
        </row>
        <row r="13309">
          <cell r="D13309" t="str">
            <v>CB5522200-020L001</v>
          </cell>
          <cell r="E13309" t="str">
            <v>实心块</v>
          </cell>
        </row>
        <row r="13310">
          <cell r="D13310" t="str">
            <v>CB5522200-020L001</v>
          </cell>
          <cell r="E13310" t="str">
            <v>实心块</v>
          </cell>
        </row>
        <row r="13311">
          <cell r="D13311" t="str">
            <v>CB5522200-020L001</v>
          </cell>
          <cell r="E13311" t="str">
            <v>实心块</v>
          </cell>
        </row>
        <row r="13312">
          <cell r="D13312" t="str">
            <v>CB5522200-020R001</v>
          </cell>
          <cell r="E13312" t="str">
            <v>实心块</v>
          </cell>
        </row>
        <row r="13313">
          <cell r="D13313" t="str">
            <v>CB5522200-020R001</v>
          </cell>
          <cell r="E13313" t="str">
            <v>实心块</v>
          </cell>
        </row>
        <row r="13314">
          <cell r="D13314" t="str">
            <v>CB5522200-020R001</v>
          </cell>
          <cell r="E13314" t="str">
            <v>实心块</v>
          </cell>
        </row>
        <row r="13315">
          <cell r="D13315" t="str">
            <v>260A1865-008-001</v>
          </cell>
          <cell r="E13315" t="str">
            <v>垫片</v>
          </cell>
        </row>
        <row r="13316">
          <cell r="D13316" t="str">
            <v>BC5311300-002-001</v>
          </cell>
          <cell r="E13316" t="str">
            <v>前铰链支座</v>
          </cell>
        </row>
        <row r="13317">
          <cell r="D13317" t="str">
            <v>BC5311300-003-001</v>
          </cell>
          <cell r="E13317" t="str">
            <v>前铰链支座</v>
          </cell>
        </row>
        <row r="13318">
          <cell r="D13318" t="str">
            <v>DD-J10B-94076-501-Y</v>
          </cell>
          <cell r="E13318" t="str">
            <v>拉杆支座</v>
          </cell>
        </row>
        <row r="13319">
          <cell r="D13319" t="str">
            <v>DD-J10B-94076-501-Z</v>
          </cell>
          <cell r="E13319" t="str">
            <v>拉杆支座</v>
          </cell>
        </row>
        <row r="13320">
          <cell r="D13320" t="str">
            <v>DD-J10B-94076-501-Z</v>
          </cell>
          <cell r="E13320" t="str">
            <v>拉杆支座</v>
          </cell>
        </row>
        <row r="13321">
          <cell r="D13321" t="str">
            <v>521A4430-001-001</v>
          </cell>
          <cell r="E13321" t="str">
            <v>钩子</v>
          </cell>
        </row>
        <row r="13322">
          <cell r="D13322" t="str">
            <v>528A1210-000-003</v>
          </cell>
          <cell r="E13322" t="str">
            <v>铰链</v>
          </cell>
        </row>
        <row r="13323">
          <cell r="D13323" t="str">
            <v>528A1210-000-003</v>
          </cell>
          <cell r="E13323" t="str">
            <v>铰链</v>
          </cell>
        </row>
        <row r="13324">
          <cell r="D13324" t="str">
            <v>DD-J10-04501-10-1-Y</v>
          </cell>
          <cell r="E13324" t="str">
            <v>BL900侧梁(右件）</v>
          </cell>
        </row>
        <row r="13325">
          <cell r="D13325" t="str">
            <v>DD-J10-04501-10-1-Y</v>
          </cell>
          <cell r="E13325" t="str">
            <v>BL900侧梁(右件）</v>
          </cell>
        </row>
        <row r="13326">
          <cell r="D13326" t="str">
            <v>DD-J10-04501-10-1-Y</v>
          </cell>
          <cell r="E13326" t="str">
            <v>BL900侧梁(右件）</v>
          </cell>
        </row>
        <row r="13327">
          <cell r="D13327" t="str">
            <v>DD-J10-04501-10-1-Y</v>
          </cell>
          <cell r="E13327" t="str">
            <v>BL900侧梁(右件）</v>
          </cell>
        </row>
        <row r="13328">
          <cell r="D13328" t="str">
            <v>DD-J10-42074-90-1-Y</v>
          </cell>
          <cell r="E13328" t="str">
            <v>支座</v>
          </cell>
        </row>
        <row r="13329">
          <cell r="D13329" t="str">
            <v>CB5314240-012-003</v>
          </cell>
          <cell r="E13329" t="str">
            <v>后顶板</v>
          </cell>
        </row>
        <row r="13330">
          <cell r="D13330" t="str">
            <v>CB5314240-012-003</v>
          </cell>
          <cell r="E13330" t="str">
            <v>后顶板</v>
          </cell>
        </row>
        <row r="13331">
          <cell r="D13331" t="str">
            <v>CB5314240-012-003</v>
          </cell>
          <cell r="E13331" t="str">
            <v>后顶板</v>
          </cell>
        </row>
        <row r="13332">
          <cell r="D13332" t="str">
            <v>CB5314240-012-003</v>
          </cell>
          <cell r="E13332" t="str">
            <v>后顶板</v>
          </cell>
        </row>
        <row r="13333">
          <cell r="D13333" t="str">
            <v>DD-J10B-21402-10G2-1G2-Z</v>
          </cell>
          <cell r="E13333" t="str">
            <v>固定前缘边肋（左件）</v>
          </cell>
        </row>
        <row r="13334">
          <cell r="D13334" t="str">
            <v>DD-J10-21102-33-Y</v>
          </cell>
          <cell r="E13334" t="str">
            <v>10460上接头</v>
          </cell>
        </row>
        <row r="13335">
          <cell r="D13335" t="str">
            <v>DD-J10-21102-33-Y</v>
          </cell>
          <cell r="E13335" t="str">
            <v>10460上接头</v>
          </cell>
        </row>
        <row r="13336">
          <cell r="D13336" t="str">
            <v>DD-J10-21102-33-Z</v>
          </cell>
          <cell r="E13336" t="str">
            <v>10460上接头</v>
          </cell>
        </row>
        <row r="13337">
          <cell r="D13337" t="str">
            <v>DD-J10-21102-33-Z</v>
          </cell>
          <cell r="E13337" t="str">
            <v>10460上接头</v>
          </cell>
        </row>
        <row r="13338">
          <cell r="D13338" t="str">
            <v>CB2284764-002-001</v>
          </cell>
          <cell r="E13338" t="str">
            <v>接头</v>
          </cell>
        </row>
        <row r="13339">
          <cell r="D13339" t="str">
            <v>CB229942A-001-001</v>
          </cell>
          <cell r="E13339" t="str">
            <v>管夹</v>
          </cell>
        </row>
        <row r="13340">
          <cell r="D13340" t="str">
            <v>DD-J10S-96011-1601</v>
          </cell>
          <cell r="E13340" t="str">
            <v>支臂</v>
          </cell>
        </row>
        <row r="13341">
          <cell r="D13341" t="str">
            <v>DD-J10S-71111-20-1</v>
          </cell>
          <cell r="E13341" t="str">
            <v>角材</v>
          </cell>
        </row>
        <row r="13342">
          <cell r="D13342" t="str">
            <v>BC2712521-004-001</v>
          </cell>
          <cell r="E13342" t="str">
            <v>限位销</v>
          </cell>
        </row>
        <row r="13343">
          <cell r="D13343" t="str">
            <v>BC221T1BB-001-001</v>
          </cell>
          <cell r="E13343" t="str">
            <v>法兰</v>
          </cell>
        </row>
        <row r="13344">
          <cell r="D13344" t="str">
            <v>CB5327110-002L004</v>
          </cell>
          <cell r="E13344" t="str">
            <v>8270左隔框</v>
          </cell>
        </row>
        <row r="13345">
          <cell r="D13345" t="str">
            <v>CB5327110-002L004</v>
          </cell>
          <cell r="E13345" t="str">
            <v>8270左隔框</v>
          </cell>
        </row>
        <row r="13346">
          <cell r="D13346" t="str">
            <v>CB5327110-002L004</v>
          </cell>
          <cell r="E13346" t="str">
            <v>8270左隔框</v>
          </cell>
        </row>
        <row r="13347">
          <cell r="D13347" t="str">
            <v>CB5327110-002L004</v>
          </cell>
          <cell r="E13347" t="str">
            <v>8270左隔框</v>
          </cell>
        </row>
        <row r="13348">
          <cell r="D13348" t="str">
            <v>CB5327110-002L004</v>
          </cell>
          <cell r="E13348" t="str">
            <v>8270左隔框</v>
          </cell>
        </row>
        <row r="13349">
          <cell r="D13349" t="str">
            <v>CB5327110-002R004</v>
          </cell>
          <cell r="E13349" t="str">
            <v>8270右隔框</v>
          </cell>
        </row>
        <row r="13350">
          <cell r="D13350" t="str">
            <v>CB5327110-002R004</v>
          </cell>
          <cell r="E13350" t="str">
            <v>8270右隔框</v>
          </cell>
        </row>
        <row r="13351">
          <cell r="D13351" t="str">
            <v>CB5327110-002R004</v>
          </cell>
          <cell r="E13351" t="str">
            <v>8270右隔框</v>
          </cell>
        </row>
        <row r="13352">
          <cell r="D13352" t="str">
            <v>CB5327110-002R004</v>
          </cell>
          <cell r="E13352" t="str">
            <v>8270右隔框</v>
          </cell>
        </row>
        <row r="13353">
          <cell r="D13353" t="str">
            <v>CB5327110-002R004</v>
          </cell>
          <cell r="E13353" t="str">
            <v>8270右隔框</v>
          </cell>
        </row>
        <row r="13354">
          <cell r="D13354" t="str">
            <v>CB5742000-202R001</v>
          </cell>
          <cell r="E13354" t="str">
            <v>前梁二段</v>
          </cell>
        </row>
        <row r="13355">
          <cell r="D13355" t="str">
            <v>CB5742000-202R001</v>
          </cell>
          <cell r="E13355" t="str">
            <v>前梁二段</v>
          </cell>
        </row>
        <row r="13356">
          <cell r="D13356" t="str">
            <v>CB5742000-202R001</v>
          </cell>
          <cell r="E13356" t="str">
            <v>前梁二段</v>
          </cell>
        </row>
        <row r="13357">
          <cell r="D13357" t="str">
            <v>CB5742000-202R001</v>
          </cell>
          <cell r="E13357" t="str">
            <v>前梁二段</v>
          </cell>
        </row>
        <row r="13358">
          <cell r="D13358" t="str">
            <v>CB5742000-202R001</v>
          </cell>
          <cell r="E13358" t="str">
            <v>前梁二段</v>
          </cell>
        </row>
        <row r="13359">
          <cell r="D13359" t="str">
            <v>CB5742000-202L001</v>
          </cell>
          <cell r="E13359" t="str">
            <v>前梁二段</v>
          </cell>
        </row>
        <row r="13360">
          <cell r="D13360" t="str">
            <v>CB5742000-202L001</v>
          </cell>
          <cell r="E13360" t="str">
            <v>前梁二段</v>
          </cell>
        </row>
        <row r="13361">
          <cell r="D13361" t="str">
            <v>CB5742000-202L001</v>
          </cell>
          <cell r="E13361" t="str">
            <v>前梁二段</v>
          </cell>
        </row>
        <row r="13362">
          <cell r="D13362" t="str">
            <v>CB5742000-202L001</v>
          </cell>
          <cell r="E13362" t="str">
            <v>前梁二段</v>
          </cell>
        </row>
        <row r="13363">
          <cell r="D13363" t="str">
            <v>CB5742000-202L001</v>
          </cell>
          <cell r="E13363" t="str">
            <v>前梁二段</v>
          </cell>
        </row>
        <row r="13364">
          <cell r="D13364" t="str">
            <v>DD-J10-21102-60/-1/2-Y</v>
          </cell>
          <cell r="E13364" t="str">
            <v>11968下口盖</v>
          </cell>
        </row>
        <row r="13365">
          <cell r="D13365" t="str">
            <v>DD-J10-04501-10-1-Z</v>
          </cell>
          <cell r="E13365" t="str">
            <v>BL900侧梁（左件）</v>
          </cell>
        </row>
        <row r="13366">
          <cell r="D13366" t="str">
            <v>DD-J10-04501-10-1-Z</v>
          </cell>
          <cell r="E13366" t="str">
            <v>BL900侧梁（左件）</v>
          </cell>
        </row>
        <row r="13367">
          <cell r="D13367" t="str">
            <v>DD-J10-04501-10-1-Z</v>
          </cell>
          <cell r="E13367" t="str">
            <v>BL900侧梁（左件）</v>
          </cell>
        </row>
        <row r="13368">
          <cell r="D13368" t="str">
            <v>DD-J10-04501-10-1-Z</v>
          </cell>
          <cell r="E13368" t="str">
            <v>BL900侧梁（左件）</v>
          </cell>
        </row>
        <row r="13369">
          <cell r="D13369" t="str">
            <v>CB5822016-029R001</v>
          </cell>
          <cell r="E13369" t="str">
            <v>角片</v>
          </cell>
        </row>
        <row r="13370">
          <cell r="D13370" t="str">
            <v>CB5822016-029R001</v>
          </cell>
          <cell r="E13370" t="str">
            <v>角片</v>
          </cell>
        </row>
        <row r="13371">
          <cell r="D13371" t="str">
            <v>CB5822016-029R001</v>
          </cell>
          <cell r="E13371" t="str">
            <v>角片</v>
          </cell>
        </row>
        <row r="13372">
          <cell r="D13372" t="str">
            <v>CB5822016-029R001</v>
          </cell>
          <cell r="E13372" t="str">
            <v>角片</v>
          </cell>
        </row>
        <row r="13373">
          <cell r="D13373" t="str">
            <v>CB5822016-024L001</v>
          </cell>
          <cell r="E13373" t="str">
            <v>角片</v>
          </cell>
        </row>
        <row r="13374">
          <cell r="D13374" t="str">
            <v>CB5822016-024R001</v>
          </cell>
          <cell r="E13374" t="str">
            <v>角片</v>
          </cell>
        </row>
        <row r="13375">
          <cell r="D13375" t="str">
            <v>DD-J10B-73010-310G2-1</v>
          </cell>
          <cell r="E13375" t="str">
            <v>过渡板</v>
          </cell>
        </row>
        <row r="13376">
          <cell r="D13376" t="str">
            <v>CB5324320-004L006</v>
          </cell>
          <cell r="E13376" t="str">
            <v>侧下支持件</v>
          </cell>
        </row>
        <row r="13377">
          <cell r="D13377" t="str">
            <v>CB5315191-014R004</v>
          </cell>
          <cell r="E13377" t="str">
            <v>排气下侧壁</v>
          </cell>
        </row>
        <row r="13378">
          <cell r="D13378" t="str">
            <v>CB2747G90-006-001</v>
          </cell>
          <cell r="E13378" t="str">
            <v>管接头3</v>
          </cell>
        </row>
        <row r="13379">
          <cell r="D13379" t="str">
            <v>CB2747G90-006-001</v>
          </cell>
          <cell r="E13379" t="str">
            <v>管接头3</v>
          </cell>
        </row>
        <row r="13380">
          <cell r="D13380" t="str">
            <v>CB2747G90-006-001</v>
          </cell>
          <cell r="E13380" t="str">
            <v>管接头3</v>
          </cell>
        </row>
        <row r="13381">
          <cell r="D13381" t="str">
            <v>CB2747G10-002-002</v>
          </cell>
          <cell r="E13381" t="str">
            <v>管接头</v>
          </cell>
        </row>
        <row r="13382">
          <cell r="D13382" t="str">
            <v>CB2284764-003-003</v>
          </cell>
          <cell r="E13382" t="str">
            <v>接头</v>
          </cell>
        </row>
        <row r="13383">
          <cell r="D13383" t="str">
            <v>BC2231341-009-004</v>
          </cell>
          <cell r="E13383" t="str">
            <v>R16防火堵盖</v>
          </cell>
        </row>
        <row r="13384">
          <cell r="D13384" t="str">
            <v>BC221T4BA-001-001</v>
          </cell>
          <cell r="E13384" t="str">
            <v>传感器底座</v>
          </cell>
        </row>
        <row r="13385">
          <cell r="D13385" t="str">
            <v>BC5324360-002-001</v>
          </cell>
          <cell r="E13385" t="str">
            <v>堵塞</v>
          </cell>
        </row>
        <row r="13386">
          <cell r="D13386" t="str">
            <v>BC2711313-006-001</v>
          </cell>
          <cell r="E13386" t="str">
            <v>球头</v>
          </cell>
        </row>
        <row r="13387">
          <cell r="D13387" t="str">
            <v>BC221T1AC-001-002</v>
          </cell>
          <cell r="E13387" t="str">
            <v>法兰</v>
          </cell>
        </row>
        <row r="13388">
          <cell r="D13388" t="str">
            <v>DD-J10B-67011-6103</v>
          </cell>
          <cell r="E13388" t="str">
            <v>角片</v>
          </cell>
        </row>
        <row r="13389">
          <cell r="D13389" t="str">
            <v>DD-J10S-06031-13</v>
          </cell>
          <cell r="E13389" t="str">
            <v>保护器</v>
          </cell>
        </row>
        <row r="13390">
          <cell r="D13390" t="str">
            <v>DD-J10S-96011-1202</v>
          </cell>
          <cell r="E13390" t="str">
            <v>接嘴</v>
          </cell>
        </row>
        <row r="13391">
          <cell r="D13391" t="str">
            <v>Y20-5226204002-001</v>
          </cell>
          <cell r="E13391" t="str">
            <v>衬套</v>
          </cell>
        </row>
        <row r="13392">
          <cell r="D13392" t="str">
            <v>524A2500-003-001</v>
          </cell>
          <cell r="E13392" t="str">
            <v>转接头</v>
          </cell>
        </row>
        <row r="13393">
          <cell r="D13393" t="str">
            <v>DD-J10-55014-2143</v>
          </cell>
          <cell r="E13393" t="str">
            <v>三通管接头</v>
          </cell>
        </row>
        <row r="13394">
          <cell r="D13394" t="str">
            <v>DD-J10-55014-2143</v>
          </cell>
          <cell r="E13394" t="str">
            <v>三通管接头</v>
          </cell>
        </row>
        <row r="13395">
          <cell r="D13395" t="str">
            <v>DD-J10-21102-271</v>
          </cell>
          <cell r="E13395" t="str">
            <v>3#上垫片</v>
          </cell>
        </row>
        <row r="13396">
          <cell r="D13396" t="str">
            <v>CB5314107-001-003</v>
          </cell>
          <cell r="E13396" t="str">
            <v>5550上框（精加工）</v>
          </cell>
        </row>
        <row r="13397">
          <cell r="D13397" t="str">
            <v>CB5314107-001-003</v>
          </cell>
          <cell r="E13397" t="str">
            <v>5550上框</v>
          </cell>
        </row>
        <row r="13398">
          <cell r="D13398" t="str">
            <v>CB5314107-001-003</v>
          </cell>
          <cell r="E13398" t="str">
            <v>5550上框</v>
          </cell>
        </row>
        <row r="13399">
          <cell r="D13399" t="str">
            <v>CB5314107-001-003</v>
          </cell>
          <cell r="E13399" t="str">
            <v>5550上框</v>
          </cell>
        </row>
        <row r="13400">
          <cell r="D13400" t="str">
            <v>DD-J10-55121-1</v>
          </cell>
          <cell r="E13400" t="str">
            <v>三通管接头</v>
          </cell>
        </row>
        <row r="13401">
          <cell r="D13401" t="str">
            <v>DD-J10-55121-1</v>
          </cell>
          <cell r="E13401" t="str">
            <v>三通管接头</v>
          </cell>
        </row>
        <row r="13402">
          <cell r="D13402" t="str">
            <v>DD-J10-55121-1</v>
          </cell>
          <cell r="E13402" t="str">
            <v>三通管接头</v>
          </cell>
        </row>
        <row r="13403">
          <cell r="D13403" t="str">
            <v>DD-J10-55051-6110-1</v>
          </cell>
          <cell r="E13403" t="str">
            <v>三通接头</v>
          </cell>
        </row>
        <row r="13404">
          <cell r="D13404" t="str">
            <v>531A9100-007-001</v>
          </cell>
          <cell r="E13404" t="str">
            <v>前起落架水平接头</v>
          </cell>
        </row>
        <row r="13405">
          <cell r="D13405" t="str">
            <v>531A9100-007-001</v>
          </cell>
          <cell r="E13405" t="str">
            <v>前起落架水平接头</v>
          </cell>
        </row>
        <row r="13406">
          <cell r="D13406" t="str">
            <v>GU5714000-001L001</v>
          </cell>
          <cell r="E13406" t="str">
            <v>1300肋</v>
          </cell>
        </row>
        <row r="13407">
          <cell r="D13407" t="str">
            <v>GU5714000-001L001</v>
          </cell>
          <cell r="E13407" t="str">
            <v>1300肋</v>
          </cell>
        </row>
        <row r="13408">
          <cell r="D13408" t="str">
            <v>GU5714000-001R001</v>
          </cell>
          <cell r="E13408" t="str">
            <v>1300肋</v>
          </cell>
        </row>
        <row r="13409">
          <cell r="D13409" t="str">
            <v>GU5714000-001R001</v>
          </cell>
          <cell r="E13409" t="str">
            <v>1300肋</v>
          </cell>
        </row>
        <row r="13410">
          <cell r="D13410" t="str">
            <v>GU5714000-003L001</v>
          </cell>
          <cell r="E13410" t="str">
            <v>2750肋</v>
          </cell>
        </row>
        <row r="13411">
          <cell r="D13411" t="str">
            <v>GU5714000-003L001</v>
          </cell>
          <cell r="E13411" t="str">
            <v>2750肋</v>
          </cell>
        </row>
        <row r="13412">
          <cell r="D13412" t="str">
            <v>GU5714000-003R001</v>
          </cell>
          <cell r="E13412" t="str">
            <v>2750肋</v>
          </cell>
        </row>
        <row r="13413">
          <cell r="D13413" t="str">
            <v>GU5714000-003R001</v>
          </cell>
          <cell r="E13413" t="str">
            <v>2750肋</v>
          </cell>
        </row>
        <row r="13414">
          <cell r="D13414" t="str">
            <v>GU5714000-004L001</v>
          </cell>
          <cell r="E13414" t="str">
            <v>3500肋</v>
          </cell>
        </row>
        <row r="13415">
          <cell r="D13415" t="str">
            <v>GU5714000-004L001</v>
          </cell>
          <cell r="E13415" t="str">
            <v>3500肋</v>
          </cell>
        </row>
        <row r="13416">
          <cell r="D13416" t="str">
            <v>GU5714000-004R001</v>
          </cell>
          <cell r="E13416" t="str">
            <v>3500肋</v>
          </cell>
        </row>
        <row r="13417">
          <cell r="D13417" t="str">
            <v>GU5714000-004R001</v>
          </cell>
          <cell r="E13417" t="str">
            <v>3500肋</v>
          </cell>
        </row>
        <row r="13418">
          <cell r="D13418" t="str">
            <v>GU5714000-005L001</v>
          </cell>
          <cell r="E13418" t="str">
            <v>4500肋</v>
          </cell>
        </row>
        <row r="13419">
          <cell r="D13419" t="str">
            <v>GU5714000-005L001</v>
          </cell>
          <cell r="E13419" t="str">
            <v>4500肋</v>
          </cell>
        </row>
        <row r="13420">
          <cell r="D13420" t="str">
            <v>GU5714000-005R001</v>
          </cell>
          <cell r="E13420" t="str">
            <v>4500肋</v>
          </cell>
        </row>
        <row r="13421">
          <cell r="D13421" t="str">
            <v>GU5714000-005R001</v>
          </cell>
          <cell r="E13421" t="str">
            <v>4500肋</v>
          </cell>
        </row>
        <row r="13422">
          <cell r="D13422" t="str">
            <v>GU5714000-006L001</v>
          </cell>
          <cell r="E13422" t="str">
            <v>5500肋</v>
          </cell>
        </row>
        <row r="13423">
          <cell r="D13423" t="str">
            <v>GU5714000-006L001</v>
          </cell>
          <cell r="E13423" t="str">
            <v>5500肋</v>
          </cell>
        </row>
        <row r="13424">
          <cell r="D13424" t="str">
            <v>GU5714000-006R001</v>
          </cell>
          <cell r="E13424" t="str">
            <v>5500肋</v>
          </cell>
        </row>
        <row r="13425">
          <cell r="D13425" t="str">
            <v>GU5714000-006R001</v>
          </cell>
          <cell r="E13425" t="str">
            <v>5500肋</v>
          </cell>
        </row>
        <row r="13426">
          <cell r="D13426" t="str">
            <v>DD-J10-05156-1-Y</v>
          </cell>
          <cell r="E13426" t="str">
            <v>外侧梁主件</v>
          </cell>
        </row>
        <row r="13427">
          <cell r="D13427" t="str">
            <v>DD-J10-05156-1-Y</v>
          </cell>
          <cell r="E13427" t="str">
            <v>外侧梁主件</v>
          </cell>
        </row>
        <row r="13428">
          <cell r="D13428" t="str">
            <v>DD-J10-05156-1-Y</v>
          </cell>
          <cell r="E13428" t="str">
            <v>外侧梁主件</v>
          </cell>
        </row>
        <row r="13429">
          <cell r="D13429" t="str">
            <v>DD-J10-05156-1-Y</v>
          </cell>
          <cell r="E13429" t="str">
            <v>外侧梁主件</v>
          </cell>
        </row>
        <row r="13430">
          <cell r="D13430" t="str">
            <v>DD-J10-05156-1-Y</v>
          </cell>
          <cell r="E13430" t="str">
            <v>外侧梁主件</v>
          </cell>
        </row>
        <row r="13431">
          <cell r="D13431" t="str">
            <v>DD-J10-05156-1-Y</v>
          </cell>
          <cell r="E13431" t="str">
            <v>外侧梁主件</v>
          </cell>
        </row>
        <row r="13432">
          <cell r="D13432" t="str">
            <v>DD-J10-05156-1-Y</v>
          </cell>
          <cell r="E13432" t="str">
            <v>外侧梁主件</v>
          </cell>
        </row>
        <row r="13433">
          <cell r="D13433" t="str">
            <v>DD-J10-05156-1-Y</v>
          </cell>
          <cell r="E13433" t="str">
            <v>外侧梁主件</v>
          </cell>
        </row>
        <row r="13434">
          <cell r="D13434" t="str">
            <v>DD-J10-05156-1-Z</v>
          </cell>
          <cell r="E13434" t="str">
            <v>外侧梁主件</v>
          </cell>
        </row>
        <row r="13435">
          <cell r="D13435" t="str">
            <v>DD-J10-05156-1-Z</v>
          </cell>
          <cell r="E13435" t="str">
            <v>外侧梁主件</v>
          </cell>
        </row>
        <row r="13436">
          <cell r="D13436" t="str">
            <v>DD-J10-05156-1-Z</v>
          </cell>
          <cell r="E13436" t="str">
            <v>外侧梁主件</v>
          </cell>
        </row>
        <row r="13437">
          <cell r="D13437" t="str">
            <v>DD-J10-05156-1-Z</v>
          </cell>
          <cell r="E13437" t="str">
            <v>外侧梁主件</v>
          </cell>
        </row>
        <row r="13438">
          <cell r="D13438" t="str">
            <v>DD-J10-05156-1-Z</v>
          </cell>
          <cell r="E13438" t="str">
            <v>外侧梁主件</v>
          </cell>
        </row>
        <row r="13439">
          <cell r="D13439" t="str">
            <v>DD-J10-05156-1-Z</v>
          </cell>
          <cell r="E13439" t="str">
            <v>外侧梁主件</v>
          </cell>
        </row>
        <row r="13440">
          <cell r="D13440" t="str">
            <v>DD-J10-05156-1-Z</v>
          </cell>
          <cell r="E13440" t="str">
            <v>外侧梁主件</v>
          </cell>
        </row>
        <row r="13441">
          <cell r="D13441" t="str">
            <v>DD-J10-05156-1-Z</v>
          </cell>
          <cell r="E13441" t="str">
            <v>外侧梁主件</v>
          </cell>
        </row>
        <row r="13442">
          <cell r="D13442" t="str">
            <v>BC5525200-003-002</v>
          </cell>
          <cell r="E13442" t="str">
            <v>对穿螺栓</v>
          </cell>
        </row>
        <row r="13443">
          <cell r="D13443" t="str">
            <v>BC2281650-005-001</v>
          </cell>
          <cell r="E13443" t="str">
            <v>角片</v>
          </cell>
        </row>
        <row r="13444">
          <cell r="D13444" t="str">
            <v>DD-J10-86021-5000-1</v>
          </cell>
          <cell r="E13444" t="str">
            <v>斜垫块</v>
          </cell>
        </row>
        <row r="13445">
          <cell r="D13445" t="str">
            <v>CB2294170-001-001</v>
          </cell>
          <cell r="E13445" t="str">
            <v>压杆</v>
          </cell>
        </row>
        <row r="13446">
          <cell r="D13446" t="str">
            <v>CB2294170-001-001</v>
          </cell>
          <cell r="E13446" t="str">
            <v>压杆</v>
          </cell>
        </row>
        <row r="13447">
          <cell r="D13447" t="str">
            <v>CB5315191-014R004</v>
          </cell>
          <cell r="E13447" t="str">
            <v>排气下侧壁</v>
          </cell>
        </row>
        <row r="13448">
          <cell r="D13448" t="str">
            <v>CB5315191-014R004</v>
          </cell>
          <cell r="E13448" t="str">
            <v>排气下侧壁</v>
          </cell>
        </row>
        <row r="13449">
          <cell r="D13449" t="str">
            <v>531A6200-203-001</v>
          </cell>
          <cell r="E13449" t="str">
            <v>衬套</v>
          </cell>
        </row>
        <row r="13450">
          <cell r="D13450" t="str">
            <v>BC5812100-005-001</v>
          </cell>
          <cell r="E13450" t="str">
            <v>衬套</v>
          </cell>
        </row>
        <row r="13451">
          <cell r="D13451" t="str">
            <v>DD-J10S-91001-1</v>
          </cell>
          <cell r="E13451" t="str">
            <v>支座</v>
          </cell>
        </row>
        <row r="13452">
          <cell r="D13452" t="str">
            <v>DD-J10S-91001-1</v>
          </cell>
          <cell r="E13452" t="str">
            <v>支座</v>
          </cell>
        </row>
        <row r="13453">
          <cell r="D13453" t="str">
            <v>DD-J10S-91001-1</v>
          </cell>
          <cell r="E13453" t="str">
            <v>支座</v>
          </cell>
        </row>
        <row r="13454">
          <cell r="D13454" t="str">
            <v>DD-J10B-94011-701</v>
          </cell>
          <cell r="E13454" t="str">
            <v>支臂</v>
          </cell>
        </row>
        <row r="13455">
          <cell r="D13455" t="str">
            <v>DD-J10-42074-90-1-Z</v>
          </cell>
          <cell r="E13455" t="str">
            <v>支座</v>
          </cell>
        </row>
        <row r="13456">
          <cell r="D13456" t="str">
            <v>DD-J10-42074-90-1-Z</v>
          </cell>
          <cell r="E13456" t="str">
            <v>支座</v>
          </cell>
        </row>
        <row r="13457">
          <cell r="D13457" t="str">
            <v>DD-J10-42074-90-1-Z</v>
          </cell>
          <cell r="E13457" t="str">
            <v>支座</v>
          </cell>
        </row>
        <row r="13458">
          <cell r="D13458" t="str">
            <v>CB2283651-002-001</v>
          </cell>
          <cell r="E13458" t="str">
            <v>法兰</v>
          </cell>
        </row>
        <row r="13459">
          <cell r="D13459" t="str">
            <v>CB22877J9-003-001</v>
          </cell>
          <cell r="E13459" t="str">
            <v>变径三通接头</v>
          </cell>
        </row>
        <row r="13460">
          <cell r="D13460" t="str">
            <v>CB2284761-003-001</v>
          </cell>
          <cell r="E13460" t="str">
            <v>主动油总管四通</v>
          </cell>
        </row>
        <row r="13461">
          <cell r="D13461" t="str">
            <v>CB2284762-002-002</v>
          </cell>
          <cell r="E13461" t="str">
            <v>法兰</v>
          </cell>
        </row>
        <row r="13462">
          <cell r="D13462" t="str">
            <v>CB2284762-002-002</v>
          </cell>
          <cell r="E13462" t="str">
            <v>法兰</v>
          </cell>
        </row>
        <row r="13463">
          <cell r="D13463" t="str">
            <v>CB2280211-010-001</v>
          </cell>
          <cell r="E13463" t="str">
            <v>穿框管接头</v>
          </cell>
        </row>
        <row r="13464">
          <cell r="D13464" t="str">
            <v>CB22857F8-003-002</v>
          </cell>
          <cell r="E13464" t="str">
            <v>法兰</v>
          </cell>
        </row>
        <row r="13465">
          <cell r="D13465" t="str">
            <v>CB228455A-001-004</v>
          </cell>
          <cell r="E13465" t="str">
            <v>三通底座</v>
          </cell>
        </row>
        <row r="13466">
          <cell r="D13466" t="str">
            <v>CB2284751-006-001</v>
          </cell>
          <cell r="E13466" t="str">
            <v>主动油总管四通</v>
          </cell>
        </row>
        <row r="13467">
          <cell r="D13467" t="str">
            <v>CB2284752-004-001</v>
          </cell>
          <cell r="E13467" t="str">
            <v>法兰</v>
          </cell>
        </row>
        <row r="13468">
          <cell r="D13468" t="str">
            <v>CB22832G3-004-001</v>
          </cell>
          <cell r="E13468" t="str">
            <v>收口接头</v>
          </cell>
        </row>
        <row r="13469">
          <cell r="D13469" t="str">
            <v>CB2280211-028-001</v>
          </cell>
          <cell r="E13469" t="str">
            <v>穿框管接头</v>
          </cell>
        </row>
        <row r="13470">
          <cell r="D13470" t="str">
            <v>CB2280211-006-001</v>
          </cell>
          <cell r="E13470" t="str">
            <v>穿框管接头</v>
          </cell>
        </row>
        <row r="13471">
          <cell r="D13471" t="str">
            <v>CB2283750-001-002</v>
          </cell>
          <cell r="E13471" t="str">
            <v>管接头</v>
          </cell>
        </row>
        <row r="13472">
          <cell r="D13472" t="str">
            <v>CB2280211-020-001</v>
          </cell>
          <cell r="E13472" t="str">
            <v>穿框管接头</v>
          </cell>
        </row>
        <row r="13473">
          <cell r="D13473" t="str">
            <v>CB2284150-002-002</v>
          </cell>
          <cell r="E13473" t="str">
            <v>穿框管接头</v>
          </cell>
        </row>
        <row r="13474">
          <cell r="D13474" t="str">
            <v>CB2280211-035-001</v>
          </cell>
          <cell r="E13474" t="str">
            <v>穿框管接头</v>
          </cell>
        </row>
        <row r="13475">
          <cell r="D13475" t="str">
            <v>CB22843G0-003-001</v>
          </cell>
          <cell r="E13475" t="str">
            <v>变径穿框管接头</v>
          </cell>
        </row>
        <row r="13476">
          <cell r="D13476" t="str">
            <v>CB22843G0-004-001</v>
          </cell>
          <cell r="E13476" t="str">
            <v>穿框管接头</v>
          </cell>
        </row>
        <row r="13477">
          <cell r="D13477" t="str">
            <v>CB2285758-004-001</v>
          </cell>
          <cell r="E13477" t="str">
            <v>接头</v>
          </cell>
        </row>
        <row r="13478">
          <cell r="D13478" t="str">
            <v>CB22857F7-003-002</v>
          </cell>
          <cell r="E13478" t="str">
            <v>法兰</v>
          </cell>
        </row>
        <row r="13479">
          <cell r="D13479" t="str">
            <v>CB22984M0-002-002</v>
          </cell>
          <cell r="E13479" t="str">
            <v>管夹</v>
          </cell>
        </row>
        <row r="13480">
          <cell r="D13480" t="str">
            <v>CB22984M0-002-002</v>
          </cell>
          <cell r="E13480" t="str">
            <v>管夹</v>
          </cell>
        </row>
        <row r="13481">
          <cell r="D13481" t="str">
            <v>CB2287717-003-001</v>
          </cell>
          <cell r="E13481" t="str">
            <v>14200框左侧铆接支架</v>
          </cell>
        </row>
        <row r="13482">
          <cell r="D13482" t="str">
            <v>DD-J10-21102-390-1-Z</v>
          </cell>
          <cell r="E13482" t="str">
            <v>1150肋九段</v>
          </cell>
        </row>
        <row r="13483">
          <cell r="D13483" t="str">
            <v>DD-J10-04021-3</v>
          </cell>
          <cell r="E13483" t="str">
            <v>角盒</v>
          </cell>
        </row>
        <row r="13484">
          <cell r="D13484" t="str">
            <v>DD-J10-34103-4</v>
          </cell>
          <cell r="E13484" t="str">
            <v>上边肋</v>
          </cell>
        </row>
        <row r="13485">
          <cell r="D13485" t="str">
            <v>DD-J10-05236-13-Z</v>
          </cell>
          <cell r="E13485" t="str">
            <v>腹鳍后接头（左件）</v>
          </cell>
        </row>
        <row r="13486">
          <cell r="D13486" t="str">
            <v>DD-J10-05236-13-Y</v>
          </cell>
          <cell r="E13486" t="str">
            <v>腹鳍后接头（右件）</v>
          </cell>
        </row>
        <row r="13487">
          <cell r="D13487" t="str">
            <v>DD-J10-34003-2</v>
          </cell>
          <cell r="E13487" t="str">
            <v>后梁</v>
          </cell>
        </row>
        <row r="13488">
          <cell r="D13488" t="str">
            <v>DD-J10-34003-2</v>
          </cell>
          <cell r="E13488" t="str">
            <v>后梁</v>
          </cell>
        </row>
        <row r="13489">
          <cell r="D13489" t="str">
            <v>DD-J10-55055-2611</v>
          </cell>
          <cell r="E13489" t="str">
            <v>接管嘴</v>
          </cell>
        </row>
        <row r="13490">
          <cell r="D13490" t="str">
            <v>DD-J10-55055-2611</v>
          </cell>
          <cell r="E13490" t="str">
            <v>接管嘴</v>
          </cell>
        </row>
        <row r="13491">
          <cell r="D13491" t="str">
            <v>DD-J10-55055-2611</v>
          </cell>
          <cell r="E13491" t="str">
            <v>接管嘴</v>
          </cell>
        </row>
        <row r="13492">
          <cell r="D13492" t="str">
            <v>CB22984M0-002-001</v>
          </cell>
          <cell r="E13492" t="str">
            <v>管夹</v>
          </cell>
        </row>
        <row r="13493">
          <cell r="D13493" t="str">
            <v>CB22985T0-002-001</v>
          </cell>
          <cell r="E13493" t="str">
            <v>管夹</v>
          </cell>
        </row>
        <row r="13494">
          <cell r="D13494" t="str">
            <v>CB22983Q0-002-001</v>
          </cell>
          <cell r="E13494" t="str">
            <v>管夹</v>
          </cell>
        </row>
        <row r="13495">
          <cell r="D13495" t="str">
            <v>CB22987E0-002-001</v>
          </cell>
          <cell r="E13495" t="str">
            <v>管夹</v>
          </cell>
        </row>
        <row r="13496">
          <cell r="D13496" t="str">
            <v>CB2298814-001-001</v>
          </cell>
          <cell r="E13496" t="str">
            <v>管夹</v>
          </cell>
        </row>
        <row r="13497">
          <cell r="D13497" t="str">
            <v>CB2298818-001-001</v>
          </cell>
          <cell r="E13497" t="str">
            <v>管夹</v>
          </cell>
        </row>
        <row r="13498">
          <cell r="D13498" t="str">
            <v>CB2298615-001-001</v>
          </cell>
          <cell r="E13498" t="str">
            <v>管夹</v>
          </cell>
        </row>
        <row r="13499">
          <cell r="D13499" t="str">
            <v>CB229C420-004-001</v>
          </cell>
          <cell r="E13499" t="str">
            <v>套筒</v>
          </cell>
        </row>
        <row r="13500">
          <cell r="D13500" t="str">
            <v>CB22987C0-002-001</v>
          </cell>
          <cell r="E13500" t="str">
            <v>管夹</v>
          </cell>
        </row>
        <row r="13501">
          <cell r="D13501" t="str">
            <v>CB22985H0-002-002</v>
          </cell>
          <cell r="E13501" t="str">
            <v>管夹</v>
          </cell>
        </row>
        <row r="13502">
          <cell r="D13502" t="str">
            <v>CB229C440-001-001</v>
          </cell>
          <cell r="E13502" t="str">
            <v>组合导管夹</v>
          </cell>
        </row>
        <row r="13503">
          <cell r="D13503" t="str">
            <v>DD-J10-71211-310-1</v>
          </cell>
          <cell r="E13503" t="str">
            <v>平显支臂</v>
          </cell>
        </row>
        <row r="13504">
          <cell r="D13504" t="str">
            <v>DD-J10-42074-90-1-Y</v>
          </cell>
          <cell r="E13504" t="str">
            <v>支座</v>
          </cell>
        </row>
        <row r="13505">
          <cell r="D13505" t="str">
            <v>DD-J10-42074-90-1-Z</v>
          </cell>
          <cell r="E13505" t="str">
            <v>支座</v>
          </cell>
        </row>
        <row r="13506">
          <cell r="D13506" t="str">
            <v>DD-J10S-71011-11110-1</v>
          </cell>
          <cell r="E13506" t="str">
            <v>导轨支架</v>
          </cell>
        </row>
        <row r="13507">
          <cell r="D13507" t="str">
            <v>DD-J10-86051-2</v>
          </cell>
          <cell r="E13507" t="str">
            <v>激励器安装支座</v>
          </cell>
        </row>
        <row r="13508">
          <cell r="D13508" t="str">
            <v>DD-J10S-94021-33</v>
          </cell>
          <cell r="E13508" t="str">
            <v>角材</v>
          </cell>
        </row>
        <row r="13509">
          <cell r="D13509" t="str">
            <v>DD-J10S-96011-4110-1</v>
          </cell>
          <cell r="E13509" t="str">
            <v>支架</v>
          </cell>
        </row>
        <row r="13510">
          <cell r="D13510" t="str">
            <v>DD-J10S-71011-10031</v>
          </cell>
          <cell r="E13510" t="str">
            <v>MFCD支架</v>
          </cell>
        </row>
        <row r="13511">
          <cell r="D13511" t="str">
            <v>DD-J10S-82000-712</v>
          </cell>
          <cell r="E13511" t="str">
            <v>安装座</v>
          </cell>
        </row>
        <row r="13512">
          <cell r="D13512" t="str">
            <v>DD-J10S-96011-4201</v>
          </cell>
          <cell r="E13512" t="str">
            <v>安装板</v>
          </cell>
        </row>
        <row r="13513">
          <cell r="D13513" t="str">
            <v>DD-J10S-06031-410-1</v>
          </cell>
          <cell r="E13513" t="str">
            <v>支座</v>
          </cell>
        </row>
        <row r="13514">
          <cell r="D13514" t="str">
            <v>DD-J10S-94021-32</v>
          </cell>
          <cell r="E13514" t="str">
            <v>角材</v>
          </cell>
        </row>
        <row r="13515">
          <cell r="D13515" t="str">
            <v>DD-J10S-65001-2104</v>
          </cell>
          <cell r="E13515" t="str">
            <v>调节螺管</v>
          </cell>
        </row>
        <row r="13516">
          <cell r="D13516" t="str">
            <v>DD-J10-61101-15</v>
          </cell>
          <cell r="E13516" t="str">
            <v>接管嘴</v>
          </cell>
        </row>
        <row r="13517">
          <cell r="D13517" t="str">
            <v>DD-J10-61101-15</v>
          </cell>
          <cell r="E13517" t="str">
            <v>接管嘴</v>
          </cell>
        </row>
        <row r="13518">
          <cell r="D13518" t="str">
            <v>DD-J10-67131-1</v>
          </cell>
          <cell r="E13518" t="str">
            <v>插板</v>
          </cell>
        </row>
        <row r="13519">
          <cell r="D13519" t="str">
            <v>DD-J10-71211-321</v>
          </cell>
          <cell r="E13519" t="str">
            <v>平显过渡支架</v>
          </cell>
        </row>
        <row r="13520">
          <cell r="D13520" t="str">
            <v>DD-J10-62021-7</v>
          </cell>
          <cell r="E13520" t="str">
            <v>管接头</v>
          </cell>
        </row>
        <row r="13521">
          <cell r="D13521" t="str">
            <v>DD-J10-77201-201</v>
          </cell>
          <cell r="E13521" t="str">
            <v>过渡板</v>
          </cell>
        </row>
        <row r="13522">
          <cell r="D13522" t="str">
            <v>DD-J10-61031-801</v>
          </cell>
          <cell r="E13522" t="str">
            <v>直管接头</v>
          </cell>
        </row>
        <row r="13523">
          <cell r="D13523" t="str">
            <v>DD-J10-68341-1</v>
          </cell>
          <cell r="E13523" t="str">
            <v>弓形件</v>
          </cell>
        </row>
        <row r="13524">
          <cell r="D13524" t="str">
            <v>DD-J10-68171-11</v>
          </cell>
          <cell r="E13524" t="str">
            <v>压片</v>
          </cell>
        </row>
        <row r="13525">
          <cell r="D13525" t="str">
            <v>DD-J10-78081-201</v>
          </cell>
          <cell r="E13525" t="str">
            <v>板</v>
          </cell>
        </row>
        <row r="13526">
          <cell r="D13526" t="str">
            <v>DD-J10B-65000-1901G2</v>
          </cell>
          <cell r="E13526" t="str">
            <v>固定板</v>
          </cell>
        </row>
        <row r="13527">
          <cell r="D13527" t="str">
            <v>DD-J10-42074-90-1-Y</v>
          </cell>
          <cell r="E13527" t="str">
            <v>支座</v>
          </cell>
        </row>
        <row r="13528">
          <cell r="D13528" t="str">
            <v>DD-J10-55165-190-1</v>
          </cell>
          <cell r="E13528" t="str">
            <v>夹子</v>
          </cell>
        </row>
        <row r="13529">
          <cell r="D13529" t="str">
            <v>DD-J10-61041-2</v>
          </cell>
          <cell r="E13529" t="str">
            <v>管接头</v>
          </cell>
        </row>
        <row r="13530">
          <cell r="D13530" t="str">
            <v>DD-J10-61041-2</v>
          </cell>
          <cell r="E13530" t="str">
            <v>管接头</v>
          </cell>
        </row>
        <row r="13531">
          <cell r="D13531" t="str">
            <v>DD-J10S-96011-1811</v>
          </cell>
          <cell r="E13531" t="str">
            <v>转接嘴</v>
          </cell>
        </row>
        <row r="13532">
          <cell r="D13532" t="str">
            <v>DD-J10S-96011-1811</v>
          </cell>
          <cell r="E13532" t="str">
            <v>转接嘴</v>
          </cell>
        </row>
        <row r="13533">
          <cell r="D13533" t="str">
            <v>DD-J10S-96011-90-1</v>
          </cell>
          <cell r="E13533" t="str">
            <v>底座</v>
          </cell>
        </row>
        <row r="13534">
          <cell r="D13534" t="str">
            <v>DD-J10S-96011-90-1</v>
          </cell>
          <cell r="E13534" t="str">
            <v>底座</v>
          </cell>
        </row>
        <row r="13535">
          <cell r="D13535" t="str">
            <v>DD-J10-78001-1101</v>
          </cell>
          <cell r="E13535" t="str">
            <v>壳体</v>
          </cell>
        </row>
        <row r="13536">
          <cell r="D13536" t="str">
            <v>DD-J10-61101-5001/16</v>
          </cell>
          <cell r="E13536" t="str">
            <v>管接头</v>
          </cell>
        </row>
        <row r="13537">
          <cell r="D13537" t="str">
            <v>DD-J10-61101-5001/16</v>
          </cell>
          <cell r="E13537" t="str">
            <v>管接头</v>
          </cell>
        </row>
        <row r="13538">
          <cell r="D13538" t="str">
            <v>DD-J10-61001-7001</v>
          </cell>
          <cell r="E13538" t="str">
            <v>管接头</v>
          </cell>
        </row>
        <row r="13539">
          <cell r="D13539" t="str">
            <v>DD-J10-61001-7001</v>
          </cell>
          <cell r="E13539" t="str">
            <v>管接头</v>
          </cell>
        </row>
        <row r="13540">
          <cell r="D13540" t="str">
            <v>CB2284752-005-002</v>
          </cell>
          <cell r="E13540" t="str">
            <v>接头</v>
          </cell>
        </row>
        <row r="13541">
          <cell r="D13541" t="str">
            <v>CB2245110-001-001</v>
          </cell>
          <cell r="E13541" t="str">
            <v>支架1</v>
          </cell>
        </row>
        <row r="13542">
          <cell r="D13542" t="str">
            <v>CB2245110-001-001</v>
          </cell>
          <cell r="E13542" t="str">
            <v>支架1</v>
          </cell>
        </row>
        <row r="13543">
          <cell r="D13543" t="str">
            <v>CB22984B0-002-001</v>
          </cell>
          <cell r="E13543" t="str">
            <v>管夹</v>
          </cell>
        </row>
        <row r="13544">
          <cell r="D13544" t="str">
            <v>CB2298612-002-001</v>
          </cell>
          <cell r="E13544" t="str">
            <v>管夹</v>
          </cell>
        </row>
        <row r="13545">
          <cell r="D13545" t="str">
            <v>CB2232N08-001-001</v>
          </cell>
          <cell r="E13545" t="str">
            <v>垫片</v>
          </cell>
        </row>
        <row r="13546">
          <cell r="D13546" t="str">
            <v>CB221T1LL-005-001</v>
          </cell>
          <cell r="E13546" t="str">
            <v>接管嘴</v>
          </cell>
        </row>
        <row r="13547">
          <cell r="D13547" t="str">
            <v>CB22109TD-001-001</v>
          </cell>
          <cell r="E13547" t="str">
            <v>带排水孔的管接头</v>
          </cell>
        </row>
        <row r="13548">
          <cell r="D13548" t="str">
            <v>CB2285673-002-001</v>
          </cell>
          <cell r="E13548" t="str">
            <v>法兰</v>
          </cell>
        </row>
        <row r="13549">
          <cell r="D13549" t="str">
            <v>BC5812810-001-001</v>
          </cell>
          <cell r="E13549" t="str">
            <v>螺母</v>
          </cell>
        </row>
        <row r="13550">
          <cell r="D13550" t="str">
            <v>BC5812100-002-001</v>
          </cell>
          <cell r="E13550" t="str">
            <v>衬套</v>
          </cell>
        </row>
        <row r="13551">
          <cell r="D13551" t="str">
            <v>BC2955352-001-002</v>
          </cell>
          <cell r="E13551" t="str">
            <v>角片</v>
          </cell>
        </row>
        <row r="13552">
          <cell r="D13552" t="str">
            <v>BC221T1AC-002-002</v>
          </cell>
          <cell r="E13552" t="str">
            <v>法兰</v>
          </cell>
        </row>
        <row r="13553">
          <cell r="D13553" t="str">
            <v>BC2332200-001-001</v>
          </cell>
          <cell r="E13553" t="str">
            <v>卡钉</v>
          </cell>
        </row>
        <row r="13554">
          <cell r="D13554" t="str">
            <v>BC5812420-001-002</v>
          </cell>
          <cell r="E13554" t="str">
            <v>锁钩本体</v>
          </cell>
        </row>
        <row r="13555">
          <cell r="D13555" t="str">
            <v>BC2563130-002-001</v>
          </cell>
          <cell r="E13555" t="str">
            <v>支座</v>
          </cell>
        </row>
        <row r="13556">
          <cell r="D13556" t="str">
            <v>Y20-5212290007-001</v>
          </cell>
          <cell r="E13556" t="str">
            <v>合页片</v>
          </cell>
        </row>
        <row r="13557">
          <cell r="D13557" t="str">
            <v>Y20-5212290007-002</v>
          </cell>
          <cell r="E13557" t="str">
            <v>合页片</v>
          </cell>
        </row>
        <row r="13558">
          <cell r="D13558" t="str">
            <v>Y20-5212290008-001</v>
          </cell>
          <cell r="E13558" t="str">
            <v>合页片</v>
          </cell>
        </row>
        <row r="13559">
          <cell r="D13559" t="str">
            <v>Y20-5212290008-001</v>
          </cell>
          <cell r="E13559" t="str">
            <v>合页片</v>
          </cell>
        </row>
        <row r="13560">
          <cell r="D13560" t="str">
            <v>Y20-5212290011-001</v>
          </cell>
          <cell r="E13560" t="str">
            <v>合页片</v>
          </cell>
        </row>
        <row r="13561">
          <cell r="D13561" t="str">
            <v>CB221T0LCN002-002</v>
          </cell>
          <cell r="E13561" t="str">
            <v>压力传感器接嘴</v>
          </cell>
        </row>
        <row r="13562">
          <cell r="D13562" t="str">
            <v>CB2297820-001-001</v>
          </cell>
          <cell r="E13562" t="str">
            <v>组合导管夹</v>
          </cell>
        </row>
        <row r="13563">
          <cell r="D13563" t="str">
            <v>CB2298622-001-001</v>
          </cell>
          <cell r="E13563" t="str">
            <v>管夹</v>
          </cell>
        </row>
        <row r="13564">
          <cell r="D13564" t="str">
            <v>CB22985H0-002-001</v>
          </cell>
          <cell r="E13564" t="str">
            <v>管夹</v>
          </cell>
        </row>
        <row r="13565">
          <cell r="D13565" t="str">
            <v>CB22987R0-002-001</v>
          </cell>
          <cell r="E13565" t="str">
            <v>管夹</v>
          </cell>
        </row>
        <row r="13566">
          <cell r="D13566" t="str">
            <v>CB2280211-025-001</v>
          </cell>
          <cell r="E13566" t="str">
            <v>穿框管接头</v>
          </cell>
        </row>
        <row r="13567">
          <cell r="D13567" t="str">
            <v>CB2263267-001-002</v>
          </cell>
          <cell r="E13567" t="str">
            <v>直通管接头</v>
          </cell>
        </row>
        <row r="13568">
          <cell r="D13568" t="str">
            <v>CB2284450-001-001</v>
          </cell>
          <cell r="E13568" t="str">
            <v>穿框管接头</v>
          </cell>
        </row>
        <row r="13569">
          <cell r="D13569" t="str">
            <v>CB2284450-001-001</v>
          </cell>
          <cell r="E13569" t="str">
            <v>穿框管接头</v>
          </cell>
        </row>
        <row r="13570">
          <cell r="D13570" t="str">
            <v>CB221T9LFN004-002</v>
          </cell>
          <cell r="E13570" t="str">
            <v>液体压力传感器接管嘴</v>
          </cell>
        </row>
        <row r="13571">
          <cell r="D13571" t="str">
            <v>CB221T9LFN004-002</v>
          </cell>
          <cell r="E13571" t="str">
            <v>液体压力传感器接管嘴</v>
          </cell>
        </row>
        <row r="13572">
          <cell r="D13572" t="str">
            <v>CB22837F0-001-001</v>
          </cell>
          <cell r="E13572" t="str">
            <v>接头</v>
          </cell>
        </row>
        <row r="13573">
          <cell r="D13573" t="str">
            <v>CB22837C2-001-001</v>
          </cell>
          <cell r="E13573" t="str">
            <v>法兰</v>
          </cell>
        </row>
        <row r="13574">
          <cell r="D13574" t="str">
            <v>CB22837C3-001-001</v>
          </cell>
          <cell r="E13574" t="str">
            <v>法兰</v>
          </cell>
        </row>
        <row r="13575">
          <cell r="D13575" t="str">
            <v>CB2284764-003-003</v>
          </cell>
          <cell r="E13575" t="str">
            <v>接头</v>
          </cell>
        </row>
        <row r="13576">
          <cell r="D13576" t="str">
            <v>CB22984L0-002-001</v>
          </cell>
          <cell r="E13576" t="str">
            <v>管夹</v>
          </cell>
        </row>
        <row r="13577">
          <cell r="D13577" t="str">
            <v>CB2283664-002-001</v>
          </cell>
          <cell r="E13577" t="str">
            <v>法兰</v>
          </cell>
        </row>
        <row r="13578">
          <cell r="D13578" t="str">
            <v>CB2285662-002-001</v>
          </cell>
          <cell r="E13578" t="str">
            <v>穿框管接头</v>
          </cell>
        </row>
        <row r="13579">
          <cell r="D13579" t="str">
            <v>CB229861B-001-001</v>
          </cell>
          <cell r="E13579" t="str">
            <v>管夹</v>
          </cell>
        </row>
        <row r="13580">
          <cell r="D13580" t="str">
            <v>CB22983U0-002-001</v>
          </cell>
          <cell r="E13580" t="str">
            <v>管夹</v>
          </cell>
        </row>
        <row r="13581">
          <cell r="D13581" t="str">
            <v>CB2283780-001-001</v>
          </cell>
          <cell r="E13581" t="str">
            <v>管接头</v>
          </cell>
        </row>
        <row r="13582">
          <cell r="D13582" t="str">
            <v>CB2283711-002-001</v>
          </cell>
          <cell r="E13582" t="str">
            <v>管接头</v>
          </cell>
        </row>
        <row r="13583">
          <cell r="D13583" t="str">
            <v>CB22837C4-001-001</v>
          </cell>
          <cell r="E13583" t="str">
            <v>带胶垫槽法兰</v>
          </cell>
        </row>
        <row r="13584">
          <cell r="D13584" t="str">
            <v>CB2263270-001-001</v>
          </cell>
          <cell r="E13584" t="str">
            <v>喷嘴</v>
          </cell>
        </row>
        <row r="13585">
          <cell r="D13585" t="str">
            <v>CB2280211-022-001</v>
          </cell>
          <cell r="E13585" t="str">
            <v>穿框管接头</v>
          </cell>
        </row>
        <row r="13586">
          <cell r="D13586" t="str">
            <v>CB2285201-001-001</v>
          </cell>
          <cell r="E13586" t="str">
            <v>带法兰盘的接管嘴</v>
          </cell>
        </row>
        <row r="13587">
          <cell r="D13587" t="str">
            <v>DD-J10S-65006-1320-1</v>
          </cell>
          <cell r="E13587" t="str">
            <v>支座</v>
          </cell>
        </row>
        <row r="13588">
          <cell r="D13588" t="str">
            <v>DD-J10-55134-310-1</v>
          </cell>
          <cell r="E13588" t="str">
            <v>支架</v>
          </cell>
        </row>
        <row r="13589">
          <cell r="D13589" t="str">
            <v>CB22109QM-001-001</v>
          </cell>
          <cell r="E13589" t="str">
            <v>三通管接头</v>
          </cell>
        </row>
        <row r="13590">
          <cell r="D13590" t="str">
            <v>CB22109NG-001-002</v>
          </cell>
          <cell r="E13590" t="str">
            <v>左侧B3JAU限流三通</v>
          </cell>
        </row>
        <row r="13591">
          <cell r="D13591" t="str">
            <v>CB22109PF-001-002</v>
          </cell>
          <cell r="E13591" t="str">
            <v>三通管接头（前左B4JAU旁通）</v>
          </cell>
        </row>
        <row r="13592">
          <cell r="D13592" t="str">
            <v>CB22109MW-001-002</v>
          </cell>
          <cell r="E13592" t="str">
            <v>过框三通接头</v>
          </cell>
        </row>
        <row r="13593">
          <cell r="D13593" t="str">
            <v>CB22837C2-002-001</v>
          </cell>
          <cell r="E13593" t="str">
            <v>法兰</v>
          </cell>
        </row>
        <row r="13594">
          <cell r="D13594" t="str">
            <v>DD-J10B-04061-1</v>
          </cell>
          <cell r="E13594" t="str">
            <v>10860框</v>
          </cell>
        </row>
        <row r="13595">
          <cell r="D13595" t="str">
            <v>DD-J10B-04061-1</v>
          </cell>
          <cell r="E13595" t="str">
            <v>10860框</v>
          </cell>
        </row>
        <row r="13596">
          <cell r="D13596" t="str">
            <v>DD-J10B-04061-1</v>
          </cell>
          <cell r="E13596" t="str">
            <v>10860框</v>
          </cell>
        </row>
        <row r="13597">
          <cell r="D13597" t="str">
            <v>DD-J10B-04061-1</v>
          </cell>
          <cell r="E13597" t="str">
            <v>10860框</v>
          </cell>
        </row>
        <row r="13598">
          <cell r="D13598" t="str">
            <v>DD-J10B-04061-1</v>
          </cell>
          <cell r="E13598" t="str">
            <v>10860框</v>
          </cell>
        </row>
        <row r="13599">
          <cell r="D13599" t="str">
            <v>DD-J10B-04061-1</v>
          </cell>
          <cell r="E13599" t="str">
            <v>10860框</v>
          </cell>
        </row>
        <row r="13600">
          <cell r="D13600" t="str">
            <v>CB2294456-001-001</v>
          </cell>
          <cell r="E13600" t="str">
            <v>盖</v>
          </cell>
        </row>
        <row r="13601">
          <cell r="D13601" t="str">
            <v>CB2294456-001-001</v>
          </cell>
          <cell r="E13601" t="str">
            <v>盖</v>
          </cell>
        </row>
        <row r="13602">
          <cell r="D13602" t="str">
            <v>CB22827C3-002-007</v>
          </cell>
          <cell r="E13602" t="str">
            <v>三通接头</v>
          </cell>
        </row>
        <row r="13603">
          <cell r="D13603" t="str">
            <v>CB221T3LG-002-001</v>
          </cell>
          <cell r="E13603" t="str">
            <v>接头</v>
          </cell>
        </row>
        <row r="13604">
          <cell r="D13604" t="str">
            <v>CB2294456-007-001</v>
          </cell>
          <cell r="E13604" t="str">
            <v>垫片</v>
          </cell>
        </row>
        <row r="13605">
          <cell r="D13605" t="str">
            <v>CB2298816-001-001</v>
          </cell>
          <cell r="E13605" t="str">
            <v>管夹</v>
          </cell>
        </row>
        <row r="13606">
          <cell r="D13606" t="str">
            <v>CB229C050-014-003</v>
          </cell>
          <cell r="E13606" t="str">
            <v>Z支架</v>
          </cell>
        </row>
        <row r="13607">
          <cell r="D13607" t="str">
            <v>CB229C050-014-003</v>
          </cell>
          <cell r="E13607" t="str">
            <v>Z支架</v>
          </cell>
        </row>
        <row r="13608">
          <cell r="D13608" t="str">
            <v>CB229C420-001-001</v>
          </cell>
          <cell r="E13608" t="str">
            <v>套筒</v>
          </cell>
        </row>
        <row r="13609">
          <cell r="D13609" t="str">
            <v>BC22971A1-005-001</v>
          </cell>
          <cell r="E13609" t="str">
            <v>缓冲头</v>
          </cell>
        </row>
        <row r="13610">
          <cell r="D13610" t="str">
            <v>DD-J10B-04041-1</v>
          </cell>
          <cell r="E13610" t="str">
            <v>10060框</v>
          </cell>
        </row>
        <row r="13611">
          <cell r="D13611" t="str">
            <v>DD-J10B-04041-1</v>
          </cell>
          <cell r="E13611" t="str">
            <v>10060框</v>
          </cell>
        </row>
        <row r="13612">
          <cell r="D13612" t="str">
            <v>DD-J10B-04041-1</v>
          </cell>
          <cell r="E13612" t="str">
            <v>10060框</v>
          </cell>
        </row>
        <row r="13613">
          <cell r="D13613" t="str">
            <v>DD-J10B-04041-1</v>
          </cell>
          <cell r="E13613" t="str">
            <v>10060框</v>
          </cell>
        </row>
        <row r="13614">
          <cell r="D13614" t="str">
            <v>DD-J10B-04041-1</v>
          </cell>
          <cell r="E13614" t="str">
            <v>10060框</v>
          </cell>
        </row>
        <row r="13615">
          <cell r="D13615" t="str">
            <v>CB5327110-003R002</v>
          </cell>
          <cell r="E13615" t="str">
            <v>8635右隔框</v>
          </cell>
        </row>
        <row r="13616">
          <cell r="D13616" t="str">
            <v>CB5327110-003R002</v>
          </cell>
          <cell r="E13616" t="str">
            <v>8635右隔框</v>
          </cell>
        </row>
        <row r="13617">
          <cell r="D13617" t="str">
            <v>CB5327110-003R002</v>
          </cell>
          <cell r="E13617" t="str">
            <v>8635右隔框</v>
          </cell>
        </row>
        <row r="13618">
          <cell r="D13618" t="str">
            <v>CB5327110-003L002</v>
          </cell>
          <cell r="E13618" t="str">
            <v>8635左隔框</v>
          </cell>
        </row>
        <row r="13619">
          <cell r="D13619" t="str">
            <v>CB5327110-003L002</v>
          </cell>
          <cell r="E13619" t="str">
            <v>8635左隔框</v>
          </cell>
        </row>
        <row r="13620">
          <cell r="D13620" t="str">
            <v>CB5327110-003L002</v>
          </cell>
          <cell r="E13620" t="str">
            <v>8635左隔框</v>
          </cell>
        </row>
        <row r="13621">
          <cell r="D13621" t="str">
            <v>CB5327110-003R002</v>
          </cell>
          <cell r="E13621" t="str">
            <v>8635右隔框</v>
          </cell>
        </row>
        <row r="13622">
          <cell r="D13622" t="str">
            <v>CB5327110-003R002</v>
          </cell>
          <cell r="E13622" t="str">
            <v>8635右隔框</v>
          </cell>
        </row>
        <row r="13623">
          <cell r="D13623" t="str">
            <v>CB5327110-003R002</v>
          </cell>
          <cell r="E13623" t="str">
            <v>8635右隔框</v>
          </cell>
        </row>
        <row r="13624">
          <cell r="D13624" t="str">
            <v>CB5327110-003L002</v>
          </cell>
          <cell r="E13624" t="str">
            <v>8635左隔框</v>
          </cell>
        </row>
        <row r="13625">
          <cell r="D13625" t="str">
            <v>CB5327110-003L002</v>
          </cell>
          <cell r="E13625" t="str">
            <v>8635左隔框</v>
          </cell>
        </row>
        <row r="13626">
          <cell r="D13626" t="str">
            <v>CB5327110-003L002</v>
          </cell>
          <cell r="E13626" t="str">
            <v>8635左隔框</v>
          </cell>
        </row>
        <row r="13627">
          <cell r="D13627" t="str">
            <v>521A4000-024-001</v>
          </cell>
          <cell r="E13627" t="str">
            <v>插杆</v>
          </cell>
        </row>
        <row r="13628">
          <cell r="D13628" t="str">
            <v>CB5822016-032L001</v>
          </cell>
          <cell r="E13628" t="str">
            <v>角片</v>
          </cell>
        </row>
        <row r="13629">
          <cell r="D13629" t="str">
            <v>CB5822016-032R001</v>
          </cell>
          <cell r="E13629" t="str">
            <v>角片</v>
          </cell>
        </row>
        <row r="13630">
          <cell r="D13630" t="str">
            <v>DD-J10S-96011-4301</v>
          </cell>
          <cell r="E13630" t="str">
            <v>安装板</v>
          </cell>
        </row>
        <row r="13631">
          <cell r="D13631" t="str">
            <v>DD-J10S-96011-4301</v>
          </cell>
          <cell r="E13631" t="str">
            <v>安装板</v>
          </cell>
        </row>
        <row r="13632">
          <cell r="D13632" t="str">
            <v>DD-J10S-71081-22-Z</v>
          </cell>
          <cell r="E13632" t="str">
            <v>定位固定块</v>
          </cell>
        </row>
        <row r="13633">
          <cell r="D13633" t="str">
            <v>DD-J10S-71081-22-Y</v>
          </cell>
          <cell r="E13633" t="str">
            <v>定位固定块</v>
          </cell>
        </row>
        <row r="13634">
          <cell r="D13634" t="str">
            <v>DD-J10S-67241-50-3</v>
          </cell>
          <cell r="E13634" t="str">
            <v>夹子</v>
          </cell>
        </row>
        <row r="13635">
          <cell r="D13635" t="str">
            <v>DD-J10S-67241-50-1</v>
          </cell>
          <cell r="E13635" t="str">
            <v>夹子</v>
          </cell>
        </row>
        <row r="13636">
          <cell r="D13636" t="str">
            <v>Y20-5212290014-001</v>
          </cell>
          <cell r="E13636" t="str">
            <v>合页</v>
          </cell>
        </row>
        <row r="13637">
          <cell r="D13637" t="str">
            <v>BC221T4MG-001-001</v>
          </cell>
          <cell r="E13637" t="str">
            <v>抗荷单向活门法兰盘</v>
          </cell>
        </row>
        <row r="13638">
          <cell r="D13638" t="str">
            <v>CB22837G0-002-002</v>
          </cell>
          <cell r="E13638" t="str">
            <v>穿框管接头</v>
          </cell>
        </row>
        <row r="13639">
          <cell r="D13639" t="str">
            <v>CB228455A-001-004</v>
          </cell>
          <cell r="E13639" t="str">
            <v>三通底座</v>
          </cell>
        </row>
        <row r="13640">
          <cell r="D13640" t="str">
            <v>CB228455A-001-004</v>
          </cell>
          <cell r="E13640" t="str">
            <v>三通底座</v>
          </cell>
        </row>
        <row r="13641">
          <cell r="D13641" t="str">
            <v>CB22857G1-004-001</v>
          </cell>
          <cell r="E13641" t="str">
            <v>法兰</v>
          </cell>
        </row>
        <row r="13642">
          <cell r="D13642" t="str">
            <v>CB5811100-013-001</v>
          </cell>
          <cell r="E13642" t="str">
            <v>垫圈</v>
          </cell>
        </row>
        <row r="13643">
          <cell r="D13643" t="str">
            <v>CB22857F8-003-002</v>
          </cell>
          <cell r="E13643" t="str">
            <v>法兰</v>
          </cell>
        </row>
        <row r="13644">
          <cell r="D13644" t="str">
            <v>CB2280211-006-001</v>
          </cell>
          <cell r="E13644" t="str">
            <v>穿框管接头</v>
          </cell>
        </row>
        <row r="13645">
          <cell r="D13645" t="str">
            <v>CB22857G1-004-001</v>
          </cell>
          <cell r="E13645" t="str">
            <v>法兰</v>
          </cell>
        </row>
        <row r="13646">
          <cell r="D13646" t="str">
            <v>5319A910002G010</v>
          </cell>
          <cell r="E13646" t="str">
            <v>脚踏板</v>
          </cell>
        </row>
        <row r="13647">
          <cell r="D13647" t="str">
            <v>5319A910002G010</v>
          </cell>
          <cell r="E13647" t="str">
            <v>脚踏板</v>
          </cell>
        </row>
        <row r="13648">
          <cell r="D13648" t="str">
            <v>5319A910002G010</v>
          </cell>
          <cell r="E13648" t="str">
            <v>脚踏板</v>
          </cell>
        </row>
        <row r="13649">
          <cell r="D13649" t="str">
            <v>5319A910002G010</v>
          </cell>
          <cell r="E13649" t="str">
            <v>脚踏板</v>
          </cell>
        </row>
        <row r="13650">
          <cell r="D13650" t="str">
            <v>5319A910002G010</v>
          </cell>
          <cell r="E13650" t="str">
            <v>脚踏板</v>
          </cell>
        </row>
        <row r="13651">
          <cell r="D13651" t="str">
            <v>5319A910002G010</v>
          </cell>
          <cell r="E13651" t="str">
            <v>脚踏板</v>
          </cell>
        </row>
        <row r="13652">
          <cell r="D13652" t="str">
            <v>CB5742000-202L001</v>
          </cell>
          <cell r="E13652" t="str">
            <v>前梁二段</v>
          </cell>
        </row>
        <row r="13653">
          <cell r="D13653" t="str">
            <v>CB5742000-202R001</v>
          </cell>
          <cell r="E13653" t="str">
            <v>前梁二段</v>
          </cell>
        </row>
        <row r="13654">
          <cell r="D13654" t="str">
            <v>CB5327120-010L015</v>
          </cell>
          <cell r="E13654" t="str">
            <v>9555侧隔框</v>
          </cell>
        </row>
        <row r="13655">
          <cell r="D13655" t="str">
            <v>CB5327120-010L015</v>
          </cell>
          <cell r="E13655" t="str">
            <v>9555侧隔框</v>
          </cell>
        </row>
        <row r="13656">
          <cell r="D13656" t="str">
            <v>CB5327120-010L015</v>
          </cell>
          <cell r="E13656" t="str">
            <v>9555侧隔框</v>
          </cell>
        </row>
        <row r="13657">
          <cell r="D13657" t="str">
            <v>CB5327120-010L015</v>
          </cell>
          <cell r="E13657" t="str">
            <v>9555侧隔框</v>
          </cell>
        </row>
        <row r="13658">
          <cell r="D13658" t="str">
            <v>CB5327120-010L015</v>
          </cell>
          <cell r="E13658" t="str">
            <v>9555侧隔框</v>
          </cell>
        </row>
        <row r="13659">
          <cell r="D13659" t="str">
            <v>CB5327120-010L015</v>
          </cell>
          <cell r="E13659" t="str">
            <v>9555侧隔框</v>
          </cell>
        </row>
        <row r="13660">
          <cell r="D13660" t="str">
            <v>CB5327120-010L015</v>
          </cell>
          <cell r="E13660" t="str">
            <v>9555侧隔框</v>
          </cell>
        </row>
        <row r="13661">
          <cell r="D13661" t="str">
            <v>CB5327120-010L015</v>
          </cell>
          <cell r="E13661" t="str">
            <v>9555侧隔框</v>
          </cell>
        </row>
        <row r="13662">
          <cell r="D13662" t="str">
            <v>CB5327120-010L015</v>
          </cell>
          <cell r="E13662" t="str">
            <v>9555侧隔框</v>
          </cell>
        </row>
        <row r="13663">
          <cell r="D13663" t="str">
            <v>CB5327120-010L015</v>
          </cell>
          <cell r="E13663" t="str">
            <v>9555侧隔框</v>
          </cell>
        </row>
        <row r="13664">
          <cell r="D13664" t="str">
            <v>CB5327120-010L015</v>
          </cell>
          <cell r="E13664" t="str">
            <v>9555侧隔框</v>
          </cell>
        </row>
        <row r="13665">
          <cell r="D13665" t="str">
            <v>CB5327120-010L015</v>
          </cell>
          <cell r="E13665" t="str">
            <v>9555侧隔框</v>
          </cell>
        </row>
        <row r="13666">
          <cell r="D13666" t="str">
            <v>CB5327120-010L015</v>
          </cell>
          <cell r="E13666" t="str">
            <v>9555侧隔框</v>
          </cell>
        </row>
        <row r="13667">
          <cell r="D13667" t="str">
            <v>CB5327120-010L015</v>
          </cell>
          <cell r="E13667" t="str">
            <v>9555侧隔框</v>
          </cell>
        </row>
        <row r="13668">
          <cell r="D13668" t="str">
            <v>CB5327120-010R015</v>
          </cell>
          <cell r="E13668" t="str">
            <v>9555侧隔框</v>
          </cell>
        </row>
        <row r="13669">
          <cell r="D13669" t="str">
            <v>CB5327120-010R015</v>
          </cell>
          <cell r="E13669" t="str">
            <v>9555侧隔框</v>
          </cell>
        </row>
        <row r="13670">
          <cell r="D13670" t="str">
            <v>CB5327120-010R015</v>
          </cell>
          <cell r="E13670" t="str">
            <v>9555侧隔框</v>
          </cell>
        </row>
        <row r="13671">
          <cell r="D13671" t="str">
            <v>CB5327120-010R015</v>
          </cell>
          <cell r="E13671" t="str">
            <v>9555侧隔框</v>
          </cell>
        </row>
        <row r="13672">
          <cell r="D13672" t="str">
            <v>CB5327120-010R015</v>
          </cell>
          <cell r="E13672" t="str">
            <v>9555侧隔框</v>
          </cell>
        </row>
        <row r="13673">
          <cell r="D13673" t="str">
            <v>CB5327120-010R015</v>
          </cell>
          <cell r="E13673" t="str">
            <v>9555侧隔框</v>
          </cell>
        </row>
        <row r="13674">
          <cell r="D13674" t="str">
            <v>CB5327120-010R015</v>
          </cell>
          <cell r="E13674" t="str">
            <v>9555侧隔框</v>
          </cell>
        </row>
        <row r="13675">
          <cell r="D13675" t="str">
            <v>CB5327120-010R015</v>
          </cell>
          <cell r="E13675" t="str">
            <v>9555侧隔框</v>
          </cell>
        </row>
        <row r="13676">
          <cell r="D13676" t="str">
            <v>CB5327120-010R015</v>
          </cell>
          <cell r="E13676" t="str">
            <v>9555侧隔框</v>
          </cell>
        </row>
        <row r="13677">
          <cell r="D13677" t="str">
            <v>CB5327120-010R015</v>
          </cell>
          <cell r="E13677" t="str">
            <v>9555侧隔框</v>
          </cell>
        </row>
        <row r="13678">
          <cell r="D13678" t="str">
            <v>CB5327120-010R015</v>
          </cell>
          <cell r="E13678" t="str">
            <v>9555侧隔框</v>
          </cell>
        </row>
        <row r="13679">
          <cell r="D13679" t="str">
            <v>CB5327120-010R015</v>
          </cell>
          <cell r="E13679" t="str">
            <v>9555侧隔框</v>
          </cell>
        </row>
        <row r="13680">
          <cell r="D13680" t="str">
            <v>CB5327120-010R015</v>
          </cell>
          <cell r="E13680" t="str">
            <v>9555侧隔框</v>
          </cell>
        </row>
        <row r="13681">
          <cell r="D13681" t="str">
            <v>CB5327120-010R015</v>
          </cell>
          <cell r="E13681" t="str">
            <v>9555侧隔框</v>
          </cell>
        </row>
        <row r="13682">
          <cell r="D13682" t="str">
            <v>CB5327120-010R015</v>
          </cell>
          <cell r="E13682" t="str">
            <v>9555侧隔框</v>
          </cell>
        </row>
        <row r="13683">
          <cell r="D13683" t="str">
            <v>CB5327120-010R015</v>
          </cell>
          <cell r="E13683" t="str">
            <v>9555侧隔框</v>
          </cell>
        </row>
        <row r="13684">
          <cell r="D13684" t="str">
            <v>CB5327120-010L015</v>
          </cell>
          <cell r="E13684" t="str">
            <v>9555侧隔框</v>
          </cell>
        </row>
        <row r="13685">
          <cell r="D13685" t="str">
            <v>CB5327120-010L015</v>
          </cell>
          <cell r="E13685" t="str">
            <v>9555侧隔框</v>
          </cell>
        </row>
        <row r="13686">
          <cell r="D13686" t="str">
            <v>CB5327120-013R015</v>
          </cell>
          <cell r="E13686" t="str">
            <v>10150侧隔框</v>
          </cell>
        </row>
        <row r="13687">
          <cell r="D13687" t="str">
            <v>CB5327120-013R015</v>
          </cell>
          <cell r="E13687" t="str">
            <v>10150侧隔框</v>
          </cell>
        </row>
        <row r="13688">
          <cell r="D13688" t="str">
            <v>CB5327120-013R015</v>
          </cell>
          <cell r="E13688" t="str">
            <v>10150侧隔框</v>
          </cell>
        </row>
        <row r="13689">
          <cell r="D13689" t="str">
            <v>CB5327120-013R015</v>
          </cell>
          <cell r="E13689" t="str">
            <v>10150侧隔框</v>
          </cell>
        </row>
        <row r="13690">
          <cell r="D13690" t="str">
            <v>CB5327120-013R015</v>
          </cell>
          <cell r="E13690" t="str">
            <v>10150侧隔框</v>
          </cell>
        </row>
        <row r="13691">
          <cell r="D13691" t="str">
            <v>CB5327120-013R015</v>
          </cell>
          <cell r="E13691" t="str">
            <v>10150侧隔框</v>
          </cell>
        </row>
        <row r="13692">
          <cell r="D13692" t="str">
            <v>CB5327120-013R015</v>
          </cell>
          <cell r="E13692" t="str">
            <v>10150侧隔框</v>
          </cell>
        </row>
        <row r="13693">
          <cell r="D13693" t="str">
            <v>CB5327120-013R015</v>
          </cell>
          <cell r="E13693" t="str">
            <v>10150侧隔框</v>
          </cell>
        </row>
        <row r="13694">
          <cell r="D13694" t="str">
            <v>CB5327120-013R015</v>
          </cell>
          <cell r="E13694" t="str">
            <v>10150侧隔框</v>
          </cell>
        </row>
        <row r="13695">
          <cell r="D13695" t="str">
            <v>CB5327120-013R015</v>
          </cell>
          <cell r="E13695" t="str">
            <v>10150侧隔框</v>
          </cell>
        </row>
        <row r="13696">
          <cell r="D13696" t="str">
            <v>CB5327120-013R015</v>
          </cell>
          <cell r="E13696" t="str">
            <v>10150侧隔框</v>
          </cell>
        </row>
        <row r="13697">
          <cell r="D13697" t="str">
            <v>CB5327120-013R015</v>
          </cell>
          <cell r="E13697" t="str">
            <v>10150侧隔框</v>
          </cell>
        </row>
        <row r="13698">
          <cell r="D13698" t="str">
            <v>CB5327120-013R015</v>
          </cell>
          <cell r="E13698" t="str">
            <v>10150侧隔框</v>
          </cell>
        </row>
        <row r="13699">
          <cell r="D13699" t="str">
            <v>CB5327120-013R015</v>
          </cell>
          <cell r="E13699" t="str">
            <v>10150侧隔框</v>
          </cell>
        </row>
        <row r="13700">
          <cell r="D13700" t="str">
            <v>CB5327120-013L015</v>
          </cell>
          <cell r="E13700" t="str">
            <v>10150侧隔框</v>
          </cell>
        </row>
        <row r="13701">
          <cell r="D13701" t="str">
            <v>CB5327120-013L015</v>
          </cell>
          <cell r="E13701" t="str">
            <v>10150侧隔框</v>
          </cell>
        </row>
        <row r="13702">
          <cell r="D13702" t="str">
            <v>CB5327120-013L015</v>
          </cell>
          <cell r="E13702" t="str">
            <v>10150侧隔框</v>
          </cell>
        </row>
        <row r="13703">
          <cell r="D13703" t="str">
            <v>CB5327120-013L015</v>
          </cell>
          <cell r="E13703" t="str">
            <v>10150侧隔框</v>
          </cell>
        </row>
        <row r="13704">
          <cell r="D13704" t="str">
            <v>CB5327120-013L015</v>
          </cell>
          <cell r="E13704" t="str">
            <v>10150侧隔框</v>
          </cell>
        </row>
        <row r="13705">
          <cell r="D13705" t="str">
            <v>CB5327120-013L015</v>
          </cell>
          <cell r="E13705" t="str">
            <v>10150侧隔框</v>
          </cell>
        </row>
        <row r="13706">
          <cell r="D13706" t="str">
            <v>CB5327120-013L015</v>
          </cell>
          <cell r="E13706" t="str">
            <v>10150侧隔框</v>
          </cell>
        </row>
        <row r="13707">
          <cell r="D13707" t="str">
            <v>CB5327120-013L015</v>
          </cell>
          <cell r="E13707" t="str">
            <v>10150侧隔框</v>
          </cell>
        </row>
        <row r="13708">
          <cell r="D13708" t="str">
            <v>CB5327120-013L015</v>
          </cell>
          <cell r="E13708" t="str">
            <v>10150侧隔框</v>
          </cell>
        </row>
        <row r="13709">
          <cell r="D13709" t="str">
            <v>CB5327120-013L015</v>
          </cell>
          <cell r="E13709" t="str">
            <v>10150侧隔框</v>
          </cell>
        </row>
        <row r="13710">
          <cell r="D13710" t="str">
            <v>CB5327120-013L015</v>
          </cell>
          <cell r="E13710" t="str">
            <v>10150侧隔框</v>
          </cell>
        </row>
        <row r="13711">
          <cell r="D13711" t="str">
            <v>CB5327120-013L015</v>
          </cell>
          <cell r="E13711" t="str">
            <v>10150侧隔框</v>
          </cell>
        </row>
        <row r="13712">
          <cell r="D13712" t="str">
            <v>CB5327120-013L015</v>
          </cell>
          <cell r="E13712" t="str">
            <v>10150侧隔框</v>
          </cell>
        </row>
        <row r="13713">
          <cell r="D13713" t="str">
            <v>CB5327120-013L015</v>
          </cell>
          <cell r="E13713" t="str">
            <v>10150侧隔框</v>
          </cell>
        </row>
        <row r="13714">
          <cell r="D13714" t="str">
            <v>CB5327120-013L015</v>
          </cell>
          <cell r="E13714" t="str">
            <v>10150侧隔框</v>
          </cell>
        </row>
        <row r="13715">
          <cell r="D13715" t="str">
            <v>CB5327120-013L015</v>
          </cell>
          <cell r="E13715" t="str">
            <v>10150侧隔框</v>
          </cell>
        </row>
        <row r="13716">
          <cell r="D13716" t="str">
            <v>CB5327120-013R015</v>
          </cell>
          <cell r="E13716" t="str">
            <v>10150侧隔框</v>
          </cell>
        </row>
        <row r="13717">
          <cell r="D13717" t="str">
            <v>CB5327120-013R015</v>
          </cell>
          <cell r="E13717" t="str">
            <v>10150侧隔框</v>
          </cell>
        </row>
        <row r="13718">
          <cell r="D13718" t="str">
            <v>DD-J10-21102-554-Y</v>
          </cell>
          <cell r="E13718" t="str">
            <v>1780肋四段（右件）</v>
          </cell>
        </row>
        <row r="13719">
          <cell r="D13719" t="str">
            <v>CB5326200-125R002</v>
          </cell>
          <cell r="E13719" t="str">
            <v>9200 3号加强筋</v>
          </cell>
        </row>
        <row r="13720">
          <cell r="D13720" t="str">
            <v>CB5326200-125R002</v>
          </cell>
          <cell r="E13720" t="str">
            <v>9200 3号加强筋</v>
          </cell>
        </row>
        <row r="13721">
          <cell r="D13721" t="str">
            <v>CB5326200-125R002</v>
          </cell>
          <cell r="E13721" t="str">
            <v>9200 3号加强筋</v>
          </cell>
        </row>
        <row r="13722">
          <cell r="D13722" t="str">
            <v>CB5326200-125R002</v>
          </cell>
          <cell r="E13722" t="str">
            <v>9200 3号加强筋</v>
          </cell>
        </row>
        <row r="13723">
          <cell r="D13723" t="str">
            <v>CB5326200-125L002</v>
          </cell>
          <cell r="E13723" t="str">
            <v>9200 3号加强筋</v>
          </cell>
        </row>
        <row r="13724">
          <cell r="D13724" t="str">
            <v>CB5326200-125L002</v>
          </cell>
          <cell r="E13724" t="str">
            <v>9200 3号加强筋</v>
          </cell>
        </row>
        <row r="13725">
          <cell r="D13725" t="str">
            <v>CB5326200-125L002</v>
          </cell>
          <cell r="E13725" t="str">
            <v>9200 3号加强筋</v>
          </cell>
        </row>
        <row r="13726">
          <cell r="D13726" t="str">
            <v>CB5326200-125L002</v>
          </cell>
          <cell r="E13726" t="str">
            <v>9200 3号加强筋</v>
          </cell>
        </row>
        <row r="13727">
          <cell r="D13727" t="str">
            <v>DD-J10B-94061-1061/1</v>
          </cell>
          <cell r="E13727" t="str">
            <v>法兰盘</v>
          </cell>
        </row>
        <row r="13728">
          <cell r="D13728" t="str">
            <v>DD-J10B-94061-1061/1</v>
          </cell>
          <cell r="E13728" t="str">
            <v>法兰盘</v>
          </cell>
        </row>
        <row r="13729">
          <cell r="D13729" t="str">
            <v>DD-J10S-04031-1</v>
          </cell>
          <cell r="E13729" t="str">
            <v>8700框</v>
          </cell>
        </row>
        <row r="13730">
          <cell r="D13730" t="str">
            <v>DD-J10S-04031-1</v>
          </cell>
          <cell r="E13730" t="str">
            <v>8700框</v>
          </cell>
        </row>
        <row r="13731">
          <cell r="D13731" t="str">
            <v>528A1120-000-004</v>
          </cell>
          <cell r="E13731" t="str">
            <v>后铰链</v>
          </cell>
        </row>
        <row r="13732">
          <cell r="D13732" t="str">
            <v>528A1120-000-004</v>
          </cell>
          <cell r="E13732" t="str">
            <v>后铰链</v>
          </cell>
        </row>
        <row r="13733">
          <cell r="D13733" t="str">
            <v>528A1120-000-003</v>
          </cell>
          <cell r="E13733" t="str">
            <v>后铰链</v>
          </cell>
        </row>
        <row r="13734">
          <cell r="D13734" t="str">
            <v>528A1120-000-003</v>
          </cell>
          <cell r="E13734" t="str">
            <v>后铰链</v>
          </cell>
        </row>
        <row r="13735">
          <cell r="D13735" t="str">
            <v>CB5327110-003L002</v>
          </cell>
          <cell r="E13735" t="str">
            <v>8635左隔框</v>
          </cell>
        </row>
        <row r="13736">
          <cell r="D13736" t="str">
            <v>CB5327110-003L002</v>
          </cell>
          <cell r="E13736" t="str">
            <v>8635左隔框</v>
          </cell>
        </row>
        <row r="13737">
          <cell r="D13737" t="str">
            <v>CB5327110-003R002</v>
          </cell>
          <cell r="E13737" t="str">
            <v>8635右隔框</v>
          </cell>
        </row>
        <row r="13738">
          <cell r="D13738" t="str">
            <v>CB5327110-003R002</v>
          </cell>
          <cell r="E13738" t="str">
            <v>8635右隔框</v>
          </cell>
        </row>
        <row r="13739">
          <cell r="D13739" t="str">
            <v>DD-J10-55181-6241</v>
          </cell>
          <cell r="E13739" t="str">
            <v>弯管接头</v>
          </cell>
        </row>
        <row r="13740">
          <cell r="D13740" t="str">
            <v>DD-J10-55181-6241</v>
          </cell>
          <cell r="E13740" t="str">
            <v>弯管接头</v>
          </cell>
        </row>
        <row r="13741">
          <cell r="D13741" t="str">
            <v>DD-J10-55181-6241</v>
          </cell>
          <cell r="E13741" t="str">
            <v>弯管接头</v>
          </cell>
        </row>
        <row r="13742">
          <cell r="D13742" t="str">
            <v>DD-J10-55181-6241</v>
          </cell>
          <cell r="E13742" t="str">
            <v>弯管接头</v>
          </cell>
        </row>
        <row r="13743">
          <cell r="D13743" t="str">
            <v>DD-J10-55181-6241</v>
          </cell>
          <cell r="E13743" t="str">
            <v>弯管接头</v>
          </cell>
        </row>
        <row r="13744">
          <cell r="D13744" t="str">
            <v>DD-J10-55181-6241</v>
          </cell>
          <cell r="E13744" t="str">
            <v>弯管接头</v>
          </cell>
        </row>
        <row r="13745">
          <cell r="D13745" t="str">
            <v>DD-J10-55014-1102</v>
          </cell>
          <cell r="E13745" t="str">
            <v>管接头</v>
          </cell>
        </row>
        <row r="13746">
          <cell r="D13746" t="str">
            <v>DD-J10-06031-404</v>
          </cell>
          <cell r="E13746" t="str">
            <v>支座</v>
          </cell>
        </row>
        <row r="13747">
          <cell r="D13747" t="str">
            <v>DD-J10-06031-404</v>
          </cell>
          <cell r="E13747" t="str">
            <v>支座</v>
          </cell>
        </row>
        <row r="13748">
          <cell r="D13748" t="str">
            <v>DD-J10-21102-250-2-Y</v>
          </cell>
          <cell r="E13748" t="str">
            <v>11900梁二段</v>
          </cell>
        </row>
        <row r="13749">
          <cell r="D13749" t="str">
            <v>DD-J10-21102-410-1-Y</v>
          </cell>
          <cell r="E13749" t="str">
            <v>1150肋根肋</v>
          </cell>
        </row>
        <row r="13750">
          <cell r="D13750" t="str">
            <v>CB22921L3-001-003</v>
          </cell>
          <cell r="E13750" t="str">
            <v>支座</v>
          </cell>
        </row>
        <row r="13751">
          <cell r="D13751" t="str">
            <v>CB22921L3-001-003</v>
          </cell>
          <cell r="E13751" t="str">
            <v>支座</v>
          </cell>
        </row>
        <row r="13752">
          <cell r="D13752" t="str">
            <v>CB22956R1-001L001</v>
          </cell>
          <cell r="E13752" t="str">
            <v>座子</v>
          </cell>
        </row>
        <row r="13753">
          <cell r="D13753" t="str">
            <v>CB22956R1-001R001</v>
          </cell>
          <cell r="E13753" t="str">
            <v>座子</v>
          </cell>
        </row>
        <row r="13754">
          <cell r="D13754" t="str">
            <v>CB229C440-002R001</v>
          </cell>
          <cell r="E13754" t="str">
            <v>支架</v>
          </cell>
        </row>
        <row r="13755">
          <cell r="D13755" t="str">
            <v>CB2292321-001-003</v>
          </cell>
          <cell r="E13755" t="str">
            <v>支座</v>
          </cell>
        </row>
        <row r="13756">
          <cell r="D13756" t="str">
            <v>CB2292321-001-003</v>
          </cell>
          <cell r="E13756" t="str">
            <v>支座</v>
          </cell>
        </row>
        <row r="13757">
          <cell r="D13757" t="str">
            <v>CB22931L1-001-003</v>
          </cell>
          <cell r="E13757" t="str">
            <v>底座</v>
          </cell>
        </row>
        <row r="13758">
          <cell r="D13758" t="str">
            <v>CB5315191-012L003</v>
          </cell>
          <cell r="E13758" t="str">
            <v>进气下侧壁</v>
          </cell>
        </row>
        <row r="13759">
          <cell r="D13759" t="str">
            <v>CB5315191-012L003</v>
          </cell>
          <cell r="E13759" t="str">
            <v>进气下侧壁</v>
          </cell>
        </row>
        <row r="13760">
          <cell r="D13760" t="str">
            <v>CB2292321-001-003</v>
          </cell>
          <cell r="E13760" t="str">
            <v>支座</v>
          </cell>
        </row>
        <row r="13761">
          <cell r="D13761" t="str">
            <v>CB2292321-001-003</v>
          </cell>
          <cell r="E13761" t="str">
            <v>支座</v>
          </cell>
        </row>
        <row r="13762">
          <cell r="D13762" t="str">
            <v>CB5314107-005-001</v>
          </cell>
          <cell r="E13762" t="str">
            <v>油箱口盖</v>
          </cell>
        </row>
        <row r="13763">
          <cell r="D13763" t="str">
            <v>CB5314107-005-001</v>
          </cell>
          <cell r="E13763" t="str">
            <v>油箱口盖</v>
          </cell>
        </row>
        <row r="13764">
          <cell r="D13764" t="str">
            <v>CB5327310-014L001</v>
          </cell>
          <cell r="E13764" t="str">
            <v>大舱门前缘冒型材</v>
          </cell>
        </row>
        <row r="13765">
          <cell r="D13765" t="str">
            <v>CB5327310-014R001</v>
          </cell>
          <cell r="E13765" t="str">
            <v>大舱门前缘冒型材</v>
          </cell>
        </row>
        <row r="13766">
          <cell r="D13766" t="str">
            <v>CB5324310-009R006</v>
          </cell>
          <cell r="E13766" t="str">
            <v>型材</v>
          </cell>
        </row>
        <row r="13767">
          <cell r="D13767" t="str">
            <v>CB5324310-009R006</v>
          </cell>
          <cell r="E13767" t="str">
            <v>型材</v>
          </cell>
        </row>
        <row r="13768">
          <cell r="D13768" t="str">
            <v>CB5324310-009R006</v>
          </cell>
          <cell r="E13768" t="str">
            <v>型材</v>
          </cell>
        </row>
        <row r="13769">
          <cell r="D13769" t="str">
            <v>CB5324310-009L006</v>
          </cell>
          <cell r="E13769" t="str">
            <v>型材</v>
          </cell>
        </row>
        <row r="13770">
          <cell r="D13770" t="str">
            <v>CB5324310-009L006</v>
          </cell>
          <cell r="E13770" t="str">
            <v>型材</v>
          </cell>
        </row>
        <row r="13771">
          <cell r="D13771" t="str">
            <v>CB5324310-009L006</v>
          </cell>
          <cell r="E13771" t="str">
            <v>型材</v>
          </cell>
        </row>
        <row r="13772">
          <cell r="D13772" t="str">
            <v>CB5324321-010-006</v>
          </cell>
          <cell r="E13772" t="str">
            <v>加强件</v>
          </cell>
        </row>
        <row r="13773">
          <cell r="D13773" t="str">
            <v>CB5324321-010-006</v>
          </cell>
          <cell r="E13773" t="str">
            <v>加强件</v>
          </cell>
        </row>
        <row r="13774">
          <cell r="D13774" t="str">
            <v>CB5324321-010-006</v>
          </cell>
          <cell r="E13774" t="str">
            <v>加强件</v>
          </cell>
        </row>
        <row r="13775">
          <cell r="D13775" t="str">
            <v>CB5324321-010-006</v>
          </cell>
          <cell r="E13775" t="str">
            <v>加强件</v>
          </cell>
        </row>
        <row r="13776">
          <cell r="D13776" t="str">
            <v>CB5324321-010-006</v>
          </cell>
          <cell r="E13776" t="str">
            <v>加强件</v>
          </cell>
        </row>
        <row r="13777">
          <cell r="D13777" t="str">
            <v>CB5326200-131L002</v>
          </cell>
          <cell r="E13777" t="str">
            <v>8455 4号加强筋</v>
          </cell>
        </row>
        <row r="13778">
          <cell r="D13778" t="str">
            <v>CB5326200-131L002</v>
          </cell>
          <cell r="E13778" t="str">
            <v>8455 4号加强筋</v>
          </cell>
        </row>
        <row r="13779">
          <cell r="D13779" t="str">
            <v>CB5326200-131L002</v>
          </cell>
          <cell r="E13779" t="str">
            <v>8455 4号加强筋</v>
          </cell>
        </row>
        <row r="13780">
          <cell r="D13780" t="str">
            <v>CB5326200-131L002</v>
          </cell>
          <cell r="E13780" t="str">
            <v>8455 4号加强筋</v>
          </cell>
        </row>
        <row r="13781">
          <cell r="D13781" t="str">
            <v>CB5326200-131R002</v>
          </cell>
          <cell r="E13781" t="str">
            <v>8455 4号加强筋</v>
          </cell>
        </row>
        <row r="13782">
          <cell r="D13782" t="str">
            <v>CB5326200-131R002</v>
          </cell>
          <cell r="E13782" t="str">
            <v>8455 4号加强筋</v>
          </cell>
        </row>
        <row r="13783">
          <cell r="D13783" t="str">
            <v>CB5326200-131R002</v>
          </cell>
          <cell r="E13783" t="str">
            <v>8455 4号加强筋</v>
          </cell>
        </row>
        <row r="13784">
          <cell r="D13784" t="str">
            <v>CB5326200-131R002</v>
          </cell>
          <cell r="E13784" t="str">
            <v>8455 4号加强筋</v>
          </cell>
        </row>
        <row r="13785">
          <cell r="D13785" t="str">
            <v>CB5323210-005L065</v>
          </cell>
          <cell r="E13785" t="str">
            <v>9350-11140左侧上梁</v>
          </cell>
        </row>
        <row r="13786">
          <cell r="D13786" t="str">
            <v>CB5323210-005L065</v>
          </cell>
          <cell r="E13786" t="str">
            <v>9350-11140左侧上梁</v>
          </cell>
        </row>
        <row r="13787">
          <cell r="D13787" t="str">
            <v>CB5323210-005L065</v>
          </cell>
          <cell r="E13787" t="str">
            <v>9350-11140左侧上梁</v>
          </cell>
        </row>
        <row r="13788">
          <cell r="D13788" t="str">
            <v>CB5323210-005L065</v>
          </cell>
          <cell r="E13788" t="str">
            <v>9350-11140左侧上梁</v>
          </cell>
        </row>
        <row r="13789">
          <cell r="D13789" t="str">
            <v>CB5323210-005L065</v>
          </cell>
          <cell r="E13789" t="str">
            <v>9350-11140左侧上梁</v>
          </cell>
        </row>
        <row r="13790">
          <cell r="D13790" t="str">
            <v>CB5323210-005L065</v>
          </cell>
          <cell r="E13790" t="str">
            <v>9350-11140左侧上梁</v>
          </cell>
        </row>
        <row r="13791">
          <cell r="D13791" t="str">
            <v>CB5323210-005L065</v>
          </cell>
          <cell r="E13791" t="str">
            <v>9350-11140左侧上梁</v>
          </cell>
        </row>
        <row r="13792">
          <cell r="D13792" t="str">
            <v>CB5323210-005L065</v>
          </cell>
          <cell r="E13792" t="str">
            <v>9350-11140左侧上梁</v>
          </cell>
        </row>
        <row r="13793">
          <cell r="D13793" t="str">
            <v>CB5323210-005L065</v>
          </cell>
          <cell r="E13793" t="str">
            <v>9350-11140左侧上梁</v>
          </cell>
        </row>
        <row r="13794">
          <cell r="D13794" t="str">
            <v>CB5323210-005L065</v>
          </cell>
          <cell r="E13794" t="str">
            <v>9350-11140左侧上梁</v>
          </cell>
        </row>
        <row r="13795">
          <cell r="D13795" t="str">
            <v>CB5323220-052-024</v>
          </cell>
          <cell r="E13795" t="str">
            <v>9350-11140右侧上梁</v>
          </cell>
        </row>
        <row r="13796">
          <cell r="D13796" t="str">
            <v>CB5323220-052-024</v>
          </cell>
          <cell r="E13796" t="str">
            <v>9350-11140右侧上梁</v>
          </cell>
        </row>
        <row r="13797">
          <cell r="D13797" t="str">
            <v>CB5323220-052-024</v>
          </cell>
          <cell r="E13797" t="str">
            <v>9350-11140右侧上梁</v>
          </cell>
        </row>
        <row r="13798">
          <cell r="D13798" t="str">
            <v>CB5323220-052-024</v>
          </cell>
          <cell r="E13798" t="str">
            <v>9350-11140右侧上梁</v>
          </cell>
        </row>
        <row r="13799">
          <cell r="D13799" t="str">
            <v>CB5323220-052-024</v>
          </cell>
          <cell r="E13799" t="str">
            <v>9350-11140右侧上梁</v>
          </cell>
        </row>
        <row r="13800">
          <cell r="D13800" t="str">
            <v>CB5323220-052-024</v>
          </cell>
          <cell r="E13800" t="str">
            <v>9350-11140右侧上梁</v>
          </cell>
        </row>
        <row r="13801">
          <cell r="D13801" t="str">
            <v>CB5323220-052-024</v>
          </cell>
          <cell r="E13801" t="str">
            <v>9350-11140右侧上梁</v>
          </cell>
        </row>
        <row r="13802">
          <cell r="D13802" t="str">
            <v>CB5323220-052-024</v>
          </cell>
          <cell r="E13802" t="str">
            <v>9350-11140右侧上梁</v>
          </cell>
        </row>
        <row r="13803">
          <cell r="D13803" t="str">
            <v>CB5323220-052-024</v>
          </cell>
          <cell r="E13803" t="str">
            <v>9350-11140右侧上梁</v>
          </cell>
        </row>
        <row r="13804">
          <cell r="D13804" t="str">
            <v>CB5323220-052-024</v>
          </cell>
          <cell r="E13804" t="str">
            <v>9350-11140右侧上梁</v>
          </cell>
        </row>
        <row r="13805">
          <cell r="D13805" t="str">
            <v>DD-J10-77101-220-2</v>
          </cell>
          <cell r="E13805" t="str">
            <v>管夹下部</v>
          </cell>
        </row>
        <row r="13806">
          <cell r="D13806" t="str">
            <v>DD-J10-55171-130-3</v>
          </cell>
          <cell r="E13806" t="str">
            <v>夹子</v>
          </cell>
        </row>
        <row r="13807">
          <cell r="D13807" t="str">
            <v>DD-J10-55171-130-1</v>
          </cell>
          <cell r="E13807" t="str">
            <v>夹子</v>
          </cell>
        </row>
        <row r="13808">
          <cell r="D13808" t="str">
            <v>DD-J10S-96021-10-1</v>
          </cell>
          <cell r="E13808" t="str">
            <v>底座</v>
          </cell>
        </row>
        <row r="13809">
          <cell r="D13809" t="str">
            <v>DD-J10S-96021-10-2</v>
          </cell>
          <cell r="E13809" t="str">
            <v>夹子</v>
          </cell>
        </row>
        <row r="13810">
          <cell r="D13810" t="str">
            <v>DD-J10-55141-20-1</v>
          </cell>
          <cell r="E13810" t="str">
            <v>底座</v>
          </cell>
        </row>
        <row r="13811">
          <cell r="D13811" t="str">
            <v>DD-J10-55141-20-2</v>
          </cell>
          <cell r="E13811" t="str">
            <v>夹子</v>
          </cell>
        </row>
        <row r="13812">
          <cell r="D13812" t="str">
            <v>DD-J10-55165-180-3</v>
          </cell>
          <cell r="E13812" t="str">
            <v>夹子</v>
          </cell>
        </row>
        <row r="13813">
          <cell r="D13813" t="str">
            <v>DD-J10-55165-180-1</v>
          </cell>
          <cell r="E13813" t="str">
            <v>底座</v>
          </cell>
        </row>
        <row r="13814">
          <cell r="D13814" t="str">
            <v>DD-J10-55165-180-2</v>
          </cell>
          <cell r="E13814" t="str">
            <v>夹子</v>
          </cell>
        </row>
        <row r="13815">
          <cell r="D13815" t="str">
            <v>DD-J10-77101-220-1</v>
          </cell>
          <cell r="E13815" t="str">
            <v>管夹上部</v>
          </cell>
        </row>
        <row r="13816">
          <cell r="D13816" t="str">
            <v>DD-J10-77101-30-2</v>
          </cell>
          <cell r="E13816" t="str">
            <v>管夹下部</v>
          </cell>
        </row>
        <row r="13817">
          <cell r="D13817" t="str">
            <v>DD-J10-77101-30-1</v>
          </cell>
          <cell r="E13817" t="str">
            <v>管夹上部</v>
          </cell>
        </row>
        <row r="13818">
          <cell r="D13818" t="str">
            <v>DD-J10S-61001-2820-2</v>
          </cell>
          <cell r="E13818" t="str">
            <v>下管夹</v>
          </cell>
        </row>
        <row r="13819">
          <cell r="D13819" t="str">
            <v>DD-J10S-61001-2820-1</v>
          </cell>
          <cell r="E13819" t="str">
            <v>上管夹</v>
          </cell>
        </row>
        <row r="13820">
          <cell r="D13820" t="str">
            <v>DD-J10S-94051-18</v>
          </cell>
          <cell r="E13820" t="str">
            <v>支架</v>
          </cell>
        </row>
        <row r="13821">
          <cell r="D13821" t="str">
            <v>DD-J10-55155-120-1</v>
          </cell>
          <cell r="E13821" t="str">
            <v>底座</v>
          </cell>
        </row>
        <row r="13822">
          <cell r="D13822" t="str">
            <v>DD-J10-55155-120-2</v>
          </cell>
          <cell r="E13822" t="str">
            <v>夹子</v>
          </cell>
        </row>
        <row r="13823">
          <cell r="D13823" t="str">
            <v>DD-J10-55121-30-2</v>
          </cell>
          <cell r="E13823" t="str">
            <v>夹子</v>
          </cell>
        </row>
        <row r="13824">
          <cell r="D13824" t="str">
            <v>DD-J10-55171-130-2</v>
          </cell>
          <cell r="E13824" t="str">
            <v>夹子</v>
          </cell>
        </row>
        <row r="13825">
          <cell r="D13825" t="str">
            <v>DD-J10-55181-6010-1</v>
          </cell>
          <cell r="E13825" t="str">
            <v>夹子</v>
          </cell>
        </row>
        <row r="13826">
          <cell r="D13826" t="str">
            <v>DD-J10-55181-6010-2</v>
          </cell>
          <cell r="E13826" t="str">
            <v>夹子</v>
          </cell>
        </row>
        <row r="13827">
          <cell r="D13827" t="str">
            <v>DD-J10-55134-130-2</v>
          </cell>
          <cell r="E13827" t="str">
            <v>底座</v>
          </cell>
        </row>
        <row r="13828">
          <cell r="D13828" t="str">
            <v>DD-J10-55134-130-1</v>
          </cell>
          <cell r="E13828" t="str">
            <v>夹子</v>
          </cell>
        </row>
        <row r="13829">
          <cell r="D13829" t="str">
            <v>DD-J10-55134-120-1</v>
          </cell>
          <cell r="E13829" t="str">
            <v>夹子</v>
          </cell>
        </row>
        <row r="13830">
          <cell r="D13830" t="str">
            <v>DD-J10-55134-120-2</v>
          </cell>
          <cell r="E13830" t="str">
            <v>底座</v>
          </cell>
        </row>
        <row r="13831">
          <cell r="D13831" t="str">
            <v>DD-J10-55121-30-1</v>
          </cell>
          <cell r="E13831" t="str">
            <v>底座</v>
          </cell>
        </row>
        <row r="13832">
          <cell r="D13832" t="str">
            <v>561A3310-007-501</v>
          </cell>
          <cell r="E13832" t="str">
            <v>衬套</v>
          </cell>
        </row>
        <row r="13833">
          <cell r="D13833" t="str">
            <v>561A3310-007-501</v>
          </cell>
          <cell r="E13833" t="str">
            <v>衬套</v>
          </cell>
        </row>
        <row r="13834">
          <cell r="D13834" t="str">
            <v>DD-J10S-96011-1201</v>
          </cell>
          <cell r="E13834" t="str">
            <v>三通管</v>
          </cell>
        </row>
        <row r="13835">
          <cell r="D13835" t="str">
            <v>DD-J10S-96011-1201</v>
          </cell>
          <cell r="E13835" t="str">
            <v>三通管</v>
          </cell>
        </row>
        <row r="13836">
          <cell r="D13836" t="str">
            <v>DD-J10-96011-12</v>
          </cell>
          <cell r="E13836" t="str">
            <v>管接头</v>
          </cell>
        </row>
        <row r="13837">
          <cell r="D13837" t="str">
            <v>DD-J10-61052-4</v>
          </cell>
          <cell r="E13837" t="str">
            <v>接管嘴</v>
          </cell>
        </row>
        <row r="13838">
          <cell r="D13838" t="str">
            <v>DD-J10-61052-4</v>
          </cell>
          <cell r="E13838" t="str">
            <v>接管嘴</v>
          </cell>
        </row>
        <row r="13839">
          <cell r="D13839" t="str">
            <v>DD-J10-61052-4</v>
          </cell>
          <cell r="E13839" t="str">
            <v>接管嘴</v>
          </cell>
        </row>
        <row r="13840">
          <cell r="D13840" t="str">
            <v>DD-J10-78140-2110-1</v>
          </cell>
          <cell r="E13840" t="str">
            <v>铰链</v>
          </cell>
        </row>
        <row r="13841">
          <cell r="D13841" t="str">
            <v>BC2295175-005-001</v>
          </cell>
          <cell r="E13841" t="str">
            <v>缓冲头</v>
          </cell>
        </row>
        <row r="13842">
          <cell r="D13842" t="str">
            <v>Y20-5212290006-001</v>
          </cell>
          <cell r="E13842" t="str">
            <v>合页片</v>
          </cell>
        </row>
        <row r="13843">
          <cell r="D13843" t="str">
            <v>CB5811300-001-001</v>
          </cell>
          <cell r="E13843" t="str">
            <v>螺栓</v>
          </cell>
        </row>
        <row r="13844">
          <cell r="D13844" t="str">
            <v>CB5811300-001-001</v>
          </cell>
          <cell r="E13844" t="str">
            <v>螺栓</v>
          </cell>
        </row>
        <row r="13845">
          <cell r="D13845" t="str">
            <v>CB5811100-001-001</v>
          </cell>
          <cell r="E13845" t="str">
            <v>垫圈</v>
          </cell>
        </row>
        <row r="13846">
          <cell r="D13846" t="str">
            <v>CB5811200-003-001</v>
          </cell>
          <cell r="E13846" t="str">
            <v>长安装螺栓</v>
          </cell>
        </row>
        <row r="13847">
          <cell r="D13847" t="str">
            <v>CB22837C3-001-001</v>
          </cell>
          <cell r="E13847" t="str">
            <v>法兰</v>
          </cell>
        </row>
        <row r="13848">
          <cell r="D13848" t="str">
            <v>CB2280211-016-001</v>
          </cell>
          <cell r="E13848" t="str">
            <v>穿框管接头</v>
          </cell>
        </row>
        <row r="13849">
          <cell r="D13849" t="str">
            <v>CB26036A6-001-001</v>
          </cell>
          <cell r="E13849" t="str">
            <v>直通过框接头</v>
          </cell>
        </row>
        <row r="13850">
          <cell r="D13850" t="str">
            <v>CB5327500-003-001</v>
          </cell>
          <cell r="E13850" t="str">
            <v>螺栓</v>
          </cell>
        </row>
        <row r="13851">
          <cell r="D13851" t="str">
            <v>CB2747B10-003-002</v>
          </cell>
          <cell r="E13851" t="str">
            <v>管接头</v>
          </cell>
        </row>
        <row r="13852">
          <cell r="D13852" t="str">
            <v>CB2716663-003-002</v>
          </cell>
          <cell r="E13852" t="str">
            <v>弯头平管嘴</v>
          </cell>
        </row>
        <row r="13853">
          <cell r="D13853" t="str">
            <v>CB2716663-003-002</v>
          </cell>
          <cell r="E13853" t="str">
            <v>弯头平管嘴</v>
          </cell>
        </row>
        <row r="13854">
          <cell r="D13854" t="str">
            <v>CB2747B20-003-002</v>
          </cell>
          <cell r="E13854" t="str">
            <v>管接头</v>
          </cell>
        </row>
        <row r="13855">
          <cell r="D13855" t="str">
            <v>CB2283711-002-001</v>
          </cell>
          <cell r="E13855" t="str">
            <v>管接头</v>
          </cell>
        </row>
        <row r="13856">
          <cell r="D13856" t="str">
            <v>CB5811100-003-001</v>
          </cell>
          <cell r="E13856" t="str">
            <v>螺栓</v>
          </cell>
        </row>
        <row r="13857">
          <cell r="D13857" t="str">
            <v>CB2747F80-003-001</v>
          </cell>
          <cell r="E13857" t="str">
            <v>管接头</v>
          </cell>
        </row>
        <row r="13858">
          <cell r="D13858" t="str">
            <v>561A3310-008-501</v>
          </cell>
          <cell r="E13858" t="str">
            <v>衬套</v>
          </cell>
        </row>
        <row r="13859">
          <cell r="D13859" t="str">
            <v>561A3310-009-501</v>
          </cell>
          <cell r="E13859" t="str">
            <v>衬套</v>
          </cell>
        </row>
        <row r="13860">
          <cell r="D13860" t="str">
            <v>561A3310-006-501</v>
          </cell>
          <cell r="E13860" t="str">
            <v>衬套</v>
          </cell>
        </row>
        <row r="13861">
          <cell r="D13861" t="str">
            <v>BC3012110-005-001</v>
          </cell>
          <cell r="E13861" t="str">
            <v>电子飞行指示器托板</v>
          </cell>
        </row>
        <row r="13862">
          <cell r="D13862" t="str">
            <v>DD-J10-77101-40-1</v>
          </cell>
          <cell r="E13862" t="str">
            <v>管夹上部</v>
          </cell>
        </row>
        <row r="13863">
          <cell r="D13863" t="str">
            <v>DD-J10-77101-40-2</v>
          </cell>
          <cell r="E13863" t="str">
            <v>管夹下部</v>
          </cell>
        </row>
        <row r="13864">
          <cell r="D13864" t="str">
            <v>DD-J10-77101-50/1-1</v>
          </cell>
          <cell r="E13864" t="str">
            <v>管夹上部</v>
          </cell>
        </row>
        <row r="13865">
          <cell r="D13865" t="str">
            <v>DD-J10-77101-50/1-2</v>
          </cell>
          <cell r="E13865" t="str">
            <v>管夹下部</v>
          </cell>
        </row>
        <row r="13866">
          <cell r="D13866" t="str">
            <v>CB2276731-007-001</v>
          </cell>
          <cell r="E13866" t="str">
            <v>筋条5</v>
          </cell>
        </row>
        <row r="13867">
          <cell r="D13867" t="str">
            <v>561A3310-015-501</v>
          </cell>
          <cell r="E13867" t="str">
            <v>衬套</v>
          </cell>
        </row>
        <row r="13868">
          <cell r="D13868" t="str">
            <v>DD-J10-64016-210-1</v>
          </cell>
          <cell r="E13868" t="str">
            <v>管子</v>
          </cell>
        </row>
        <row r="13869">
          <cell r="D13869" t="str">
            <v>DD-J10-04401-103</v>
          </cell>
          <cell r="E13869" t="str">
            <v>接头</v>
          </cell>
        </row>
        <row r="13870">
          <cell r="D13870" t="str">
            <v>BC2299242-002-001</v>
          </cell>
          <cell r="E13870" t="str">
            <v>支架底座</v>
          </cell>
        </row>
        <row r="13871">
          <cell r="D13871" t="str">
            <v>BC2299242-002-001</v>
          </cell>
          <cell r="E13871" t="str">
            <v>支架底座</v>
          </cell>
        </row>
        <row r="13872">
          <cell r="D13872" t="str">
            <v>CB5715000-002L002</v>
          </cell>
          <cell r="E13872" t="str">
            <v>固定前缘根肋</v>
          </cell>
        </row>
        <row r="13873">
          <cell r="D13873" t="str">
            <v>CB5715000-002L002</v>
          </cell>
          <cell r="E13873" t="str">
            <v>固定前缘根肋</v>
          </cell>
        </row>
        <row r="13874">
          <cell r="D13874" t="str">
            <v>CB5715000-002L002</v>
          </cell>
          <cell r="E13874" t="str">
            <v>固定前缘根肋</v>
          </cell>
        </row>
        <row r="13875">
          <cell r="D13875" t="str">
            <v>CB5715000-002R002</v>
          </cell>
          <cell r="E13875" t="str">
            <v>固定前缘根肋</v>
          </cell>
        </row>
        <row r="13876">
          <cell r="D13876" t="str">
            <v>CB5715000-002R002</v>
          </cell>
          <cell r="E13876" t="str">
            <v>固定前缘根肋</v>
          </cell>
        </row>
        <row r="13877">
          <cell r="D13877" t="str">
            <v>CB5715000-002R002</v>
          </cell>
          <cell r="E13877" t="str">
            <v>固定前缘根肋</v>
          </cell>
        </row>
        <row r="13878">
          <cell r="D13878" t="str">
            <v>CB5326200-125L002</v>
          </cell>
          <cell r="E13878" t="str">
            <v>9200 3号加强筋</v>
          </cell>
        </row>
        <row r="13879">
          <cell r="D13879" t="str">
            <v>CB5326200-125L002</v>
          </cell>
          <cell r="E13879" t="str">
            <v>9200 3号加强筋</v>
          </cell>
        </row>
        <row r="13880">
          <cell r="D13880" t="str">
            <v>CB5326200-125R002</v>
          </cell>
          <cell r="E13880" t="str">
            <v>9200 3号加强筋</v>
          </cell>
        </row>
        <row r="13881">
          <cell r="D13881" t="str">
            <v>CB5326200-125R002</v>
          </cell>
          <cell r="E13881" t="str">
            <v>9200 3号加强筋</v>
          </cell>
        </row>
        <row r="13882">
          <cell r="D13882" t="str">
            <v>CB5715000-002R002</v>
          </cell>
          <cell r="E13882" t="str">
            <v>固定前缘根肋</v>
          </cell>
        </row>
        <row r="13883">
          <cell r="D13883" t="str">
            <v>CB5715000-002R002</v>
          </cell>
          <cell r="E13883" t="str">
            <v>固定前缘根肋</v>
          </cell>
        </row>
        <row r="13884">
          <cell r="D13884" t="str">
            <v>CB5715000-002R002</v>
          </cell>
          <cell r="E13884" t="str">
            <v>固定前缘根肋</v>
          </cell>
        </row>
        <row r="13885">
          <cell r="D13885" t="str">
            <v>CB5715000-002R002</v>
          </cell>
          <cell r="E13885" t="str">
            <v>固定前缘根肋</v>
          </cell>
        </row>
        <row r="13886">
          <cell r="D13886" t="str">
            <v>CB5715000-002R002</v>
          </cell>
          <cell r="E13886" t="str">
            <v>固定前缘根肋</v>
          </cell>
        </row>
        <row r="13887">
          <cell r="D13887" t="str">
            <v>CB5715000-002R002</v>
          </cell>
          <cell r="E13887" t="str">
            <v>固定前缘根肋</v>
          </cell>
        </row>
        <row r="13888">
          <cell r="D13888" t="str">
            <v>CB5715000-002R002</v>
          </cell>
          <cell r="E13888" t="str">
            <v>固定前缘根肋</v>
          </cell>
        </row>
        <row r="13889">
          <cell r="D13889" t="str">
            <v>CB5715000-002R002</v>
          </cell>
          <cell r="E13889" t="str">
            <v>固定前缘根肋</v>
          </cell>
        </row>
        <row r="13890">
          <cell r="D13890" t="str">
            <v>CB5715000-002L002</v>
          </cell>
          <cell r="E13890" t="str">
            <v>固定前缘根肋</v>
          </cell>
        </row>
        <row r="13891">
          <cell r="D13891" t="str">
            <v>CB5715000-002L002</v>
          </cell>
          <cell r="E13891" t="str">
            <v>固定前缘根肋</v>
          </cell>
        </row>
        <row r="13892">
          <cell r="D13892" t="str">
            <v>CB5715000-002L002</v>
          </cell>
          <cell r="E13892" t="str">
            <v>固定前缘根肋</v>
          </cell>
        </row>
        <row r="13893">
          <cell r="D13893" t="str">
            <v>CB5715000-002L002</v>
          </cell>
          <cell r="E13893" t="str">
            <v>固定前缘根肋</v>
          </cell>
        </row>
        <row r="13894">
          <cell r="D13894" t="str">
            <v>CB5715000-002L002</v>
          </cell>
          <cell r="E13894" t="str">
            <v>固定前缘根肋</v>
          </cell>
        </row>
        <row r="13895">
          <cell r="D13895" t="str">
            <v>CB5715000-002L002</v>
          </cell>
          <cell r="E13895" t="str">
            <v>固定前缘根肋</v>
          </cell>
        </row>
        <row r="13896">
          <cell r="D13896" t="str">
            <v>CB5715000-002L002</v>
          </cell>
          <cell r="E13896" t="str">
            <v>固定前缘根肋</v>
          </cell>
        </row>
        <row r="13897">
          <cell r="D13897" t="str">
            <v>CB5715000-002L002</v>
          </cell>
          <cell r="E13897" t="str">
            <v>固定前缘根肋</v>
          </cell>
        </row>
        <row r="13898">
          <cell r="D13898" t="str">
            <v>5311A120011G010</v>
          </cell>
          <cell r="E13898" t="str">
            <v>销钉</v>
          </cell>
        </row>
        <row r="13899">
          <cell r="D13899" t="str">
            <v>Y20-5319170003-002</v>
          </cell>
          <cell r="E13899" t="str">
            <v>角型材</v>
          </cell>
        </row>
        <row r="13900">
          <cell r="D13900" t="str">
            <v>Y20-5281123002-001</v>
          </cell>
          <cell r="E13900" t="str">
            <v>衬套</v>
          </cell>
        </row>
        <row r="13901">
          <cell r="D13901" t="str">
            <v>CB22844A0-001-001</v>
          </cell>
          <cell r="E13901" t="str">
            <v>三通接头</v>
          </cell>
        </row>
        <row r="13902">
          <cell r="D13902" t="str">
            <v>CB2284460-007-001</v>
          </cell>
          <cell r="E13902" t="str">
            <v>四通接头</v>
          </cell>
        </row>
        <row r="13903">
          <cell r="D13903" t="str">
            <v>CB2210260-001-001</v>
          </cell>
          <cell r="E13903" t="str">
            <v>支架</v>
          </cell>
        </row>
        <row r="13904">
          <cell r="D13904" t="str">
            <v>CB3092441-002-001</v>
          </cell>
          <cell r="E13904" t="str">
            <v>连接片2</v>
          </cell>
        </row>
        <row r="13905">
          <cell r="D13905" t="str">
            <v>CB3092441-002-001</v>
          </cell>
          <cell r="E13905" t="str">
            <v>连接片2</v>
          </cell>
        </row>
        <row r="13906">
          <cell r="D13906" t="str">
            <v>CB3092441-001-001</v>
          </cell>
          <cell r="E13906" t="str">
            <v>连接片1</v>
          </cell>
        </row>
        <row r="13907">
          <cell r="D13907" t="str">
            <v>CB22921N2-001-001</v>
          </cell>
          <cell r="E13907" t="str">
            <v>角片</v>
          </cell>
        </row>
        <row r="13908">
          <cell r="D13908" t="str">
            <v>CB22844A0-001-001</v>
          </cell>
          <cell r="E13908" t="str">
            <v>三通接头</v>
          </cell>
        </row>
        <row r="13909">
          <cell r="D13909" t="str">
            <v>CB2287717-003-001</v>
          </cell>
          <cell r="E13909" t="str">
            <v>14200框左侧铆接支架</v>
          </cell>
        </row>
        <row r="13910">
          <cell r="D13910" t="str">
            <v>CB2276730-001-001</v>
          </cell>
          <cell r="E13910" t="str">
            <v>操纵台侧壁板</v>
          </cell>
        </row>
        <row r="13911">
          <cell r="D13911" t="str">
            <v>CB221097C-002-002</v>
          </cell>
          <cell r="E13911" t="str">
            <v>支架</v>
          </cell>
        </row>
        <row r="13912">
          <cell r="D13912" t="str">
            <v>BC5711440-001-002</v>
          </cell>
          <cell r="E13912" t="str">
            <v>螺栓</v>
          </cell>
        </row>
        <row r="13913">
          <cell r="D13913" t="str">
            <v>BC221T5ML-007-001</v>
          </cell>
          <cell r="E13913" t="str">
            <v>阀套</v>
          </cell>
        </row>
        <row r="13914">
          <cell r="D13914" t="str">
            <v>DD-J10-54231-2-Y</v>
          </cell>
          <cell r="E13914" t="str">
            <v>鸭翼伺服作动器安装支座</v>
          </cell>
        </row>
        <row r="13915">
          <cell r="D13915" t="str">
            <v>DD-J10-54231-2-Z</v>
          </cell>
          <cell r="E13915" t="str">
            <v>鸭翼伺服作动器安装支座</v>
          </cell>
        </row>
        <row r="13916">
          <cell r="D13916" t="str">
            <v>CB5814000-002-001</v>
          </cell>
          <cell r="E13916" t="str">
            <v>前支架</v>
          </cell>
        </row>
        <row r="13917">
          <cell r="D13917" t="str">
            <v>CB5325125-403L001</v>
          </cell>
          <cell r="E13917" t="str">
            <v>支座</v>
          </cell>
        </row>
        <row r="13918">
          <cell r="D13918" t="str">
            <v>CB5325125-403R001</v>
          </cell>
          <cell r="E13918" t="str">
            <v>支座</v>
          </cell>
        </row>
        <row r="13919">
          <cell r="D13919" t="str">
            <v>CB5814000-003-001</v>
          </cell>
          <cell r="E13919" t="str">
            <v>后支架</v>
          </cell>
        </row>
        <row r="13920">
          <cell r="D13920" t="str">
            <v>368-25-50-91557-111</v>
          </cell>
          <cell r="E13920" t="str">
            <v>板组件</v>
          </cell>
        </row>
        <row r="13921">
          <cell r="D13921" t="str">
            <v>368-25-22-94810-101</v>
          </cell>
          <cell r="E13921" t="str">
            <v>密封条带组件</v>
          </cell>
        </row>
        <row r="13922">
          <cell r="D13922" t="str">
            <v>368-25-22-94810-103</v>
          </cell>
          <cell r="E13922" t="str">
            <v>密封条带组件</v>
          </cell>
        </row>
        <row r="13923">
          <cell r="D13923" t="str">
            <v>368-25-22-94810-105</v>
          </cell>
          <cell r="E13923" t="str">
            <v>密封条带组件</v>
          </cell>
        </row>
        <row r="13924">
          <cell r="D13924" t="str">
            <v>366-59-01-15365-105</v>
          </cell>
          <cell r="E13924" t="str">
            <v>套管</v>
          </cell>
        </row>
        <row r="13925">
          <cell r="D13925" t="str">
            <v>371-21-00-C1123-201</v>
          </cell>
          <cell r="E13925" t="str">
            <v>条带</v>
          </cell>
        </row>
        <row r="13926">
          <cell r="D13926" t="str">
            <v>371-25-13-C5011-103</v>
          </cell>
          <cell r="E13926" t="str">
            <v>复材面板组件</v>
          </cell>
        </row>
        <row r="13927">
          <cell r="D13927" t="str">
            <v>371-25-21-C5082-201</v>
          </cell>
          <cell r="E13927" t="str">
            <v>条带</v>
          </cell>
        </row>
        <row r="13928">
          <cell r="D13928" t="str">
            <v>371-25-22-C4913-101-500</v>
          </cell>
          <cell r="E13928" t="str">
            <v>天花面板组件</v>
          </cell>
        </row>
        <row r="13929">
          <cell r="D13929" t="str">
            <v>371-25-22-C4915-201</v>
          </cell>
          <cell r="E13929" t="str">
            <v>天花面板</v>
          </cell>
        </row>
        <row r="13930">
          <cell r="D13930" t="str">
            <v>371-25-22-C4918-101</v>
          </cell>
          <cell r="E13930" t="str">
            <v>复材内饰面板组件</v>
          </cell>
        </row>
        <row r="13931">
          <cell r="D13931" t="str">
            <v>371-25-22-C4919-101</v>
          </cell>
          <cell r="E13931" t="str">
            <v>板组件</v>
          </cell>
        </row>
        <row r="13932">
          <cell r="D13932" t="str">
            <v>371-25-22-C5051-101</v>
          </cell>
          <cell r="E13932" t="str">
            <v>天花板组件</v>
          </cell>
        </row>
        <row r="13933">
          <cell r="D13933" t="str">
            <v>371-25-22-C5051-102</v>
          </cell>
          <cell r="E13933" t="str">
            <v>天花板组件</v>
          </cell>
        </row>
        <row r="13934">
          <cell r="D13934" t="str">
            <v>371-25-22-C5052-101</v>
          </cell>
          <cell r="E13934" t="str">
            <v>天花板组件</v>
          </cell>
        </row>
        <row r="13935">
          <cell r="D13935" t="str">
            <v>371-25-22-C5053-101</v>
          </cell>
          <cell r="E13935" t="str">
            <v>天花板组件</v>
          </cell>
        </row>
        <row r="13936">
          <cell r="D13936" t="str">
            <v>371-25-22-C5053-102</v>
          </cell>
          <cell r="E13936" t="str">
            <v>天花板组件</v>
          </cell>
        </row>
        <row r="13937">
          <cell r="D13937" t="str">
            <v>371-25-22-C5102-101</v>
          </cell>
          <cell r="E13937" t="str">
            <v>天花板组件</v>
          </cell>
        </row>
        <row r="13938">
          <cell r="D13938" t="str">
            <v>371-25-22-C5103-101</v>
          </cell>
          <cell r="E13938" t="str">
            <v>天花板组件</v>
          </cell>
        </row>
        <row r="13939">
          <cell r="D13939" t="str">
            <v>371-25-22-C5103-101</v>
          </cell>
          <cell r="E13939" t="str">
            <v>天花板组件</v>
          </cell>
        </row>
        <row r="13940">
          <cell r="D13940" t="str">
            <v>371-25-22-C5117-201</v>
          </cell>
          <cell r="E13940" t="str">
            <v>烟雾隔板</v>
          </cell>
        </row>
        <row r="13941">
          <cell r="D13941" t="str">
            <v>371-25-22-C5132-101</v>
          </cell>
          <cell r="E13941" t="str">
            <v>天花板组件</v>
          </cell>
        </row>
        <row r="13942">
          <cell r="D13942" t="str">
            <v>371-25-22-C5132-101</v>
          </cell>
          <cell r="E13942" t="str">
            <v>天花板组件</v>
          </cell>
        </row>
        <row r="13943">
          <cell r="D13943" t="str">
            <v>371-25-22-C5132-102</v>
          </cell>
          <cell r="E13943" t="str">
            <v>天花板组件</v>
          </cell>
        </row>
        <row r="13944">
          <cell r="D13944" t="str">
            <v>371-25-22-C5132-102</v>
          </cell>
          <cell r="E13944" t="str">
            <v>天花板组件</v>
          </cell>
        </row>
        <row r="13945">
          <cell r="D13945" t="str">
            <v>371-25-22-C5151-103</v>
          </cell>
          <cell r="E13945" t="str">
            <v>复材面板组件</v>
          </cell>
        </row>
        <row r="13946">
          <cell r="D13946" t="str">
            <v>371-25-22-C5152-101</v>
          </cell>
          <cell r="E13946" t="str">
            <v>复材面板组件</v>
          </cell>
        </row>
        <row r="13947">
          <cell r="D13947" t="str">
            <v>371-25-22-C5155-101</v>
          </cell>
          <cell r="E13947" t="str">
            <v>复材面板组件</v>
          </cell>
        </row>
        <row r="13948">
          <cell r="D13948" t="str">
            <v>371-25-23-C4834-101</v>
          </cell>
          <cell r="E13948" t="str">
            <v>复材面板组件</v>
          </cell>
        </row>
        <row r="13949">
          <cell r="D13949" t="str">
            <v>371-25-23-C4836-101</v>
          </cell>
          <cell r="E13949" t="str">
            <v>复材面板组件</v>
          </cell>
        </row>
        <row r="13950">
          <cell r="D13950" t="str">
            <v>371-25-23-C4963-101</v>
          </cell>
          <cell r="E13950" t="str">
            <v>复材面板组件</v>
          </cell>
        </row>
        <row r="13951">
          <cell r="D13951" t="str">
            <v>371-25-23-C4965-103</v>
          </cell>
          <cell r="E13951" t="str">
            <v>复材面板组件</v>
          </cell>
        </row>
        <row r="13952">
          <cell r="D13952" t="str">
            <v>371-25-23-C4966-101</v>
          </cell>
          <cell r="E13952" t="str">
            <v>复材面板组件</v>
          </cell>
        </row>
        <row r="13953">
          <cell r="D13953" t="str">
            <v>371-25-23-C4968-101</v>
          </cell>
          <cell r="E13953" t="str">
            <v>复材面板组件</v>
          </cell>
        </row>
        <row r="13954">
          <cell r="D13954" t="str">
            <v>371-25-23-C4969-101</v>
          </cell>
          <cell r="E13954" t="str">
            <v>复材面板组件</v>
          </cell>
        </row>
        <row r="13955">
          <cell r="D13955" t="str">
            <v>371-25-23-C4970-101</v>
          </cell>
          <cell r="E13955" t="str">
            <v>复材面板组件</v>
          </cell>
        </row>
        <row r="13956">
          <cell r="D13956" t="str">
            <v>371-25-23-C4971-101</v>
          </cell>
          <cell r="E13956" t="str">
            <v>复材面板组件</v>
          </cell>
        </row>
        <row r="13957">
          <cell r="D13957" t="str">
            <v>371-25-23-C4972-103</v>
          </cell>
          <cell r="E13957" t="str">
            <v>复材面板组件</v>
          </cell>
        </row>
        <row r="13958">
          <cell r="D13958" t="str">
            <v>371-25-23-C4973-103</v>
          </cell>
          <cell r="E13958" t="str">
            <v>复材面板组件</v>
          </cell>
        </row>
        <row r="13959">
          <cell r="D13959" t="str">
            <v>371-25-23-C4973-107</v>
          </cell>
          <cell r="E13959" t="str">
            <v>复材面板组件</v>
          </cell>
        </row>
        <row r="13960">
          <cell r="D13960" t="str">
            <v>371-25-23-C5020-101</v>
          </cell>
          <cell r="E13960" t="str">
            <v>复材面板组件</v>
          </cell>
        </row>
        <row r="13961">
          <cell r="D13961" t="str">
            <v>371-25-31-C4533-105-500</v>
          </cell>
          <cell r="E13961" t="str">
            <v>复材面板组件</v>
          </cell>
        </row>
        <row r="13962">
          <cell r="D13962" t="str">
            <v>371-25-31-C4533-105-501</v>
          </cell>
          <cell r="E13962" t="str">
            <v>复材面板组件</v>
          </cell>
        </row>
        <row r="13963">
          <cell r="D13963" t="str">
            <v>371-25-31-C4534-107-500</v>
          </cell>
          <cell r="E13963" t="str">
            <v>复材面板组件</v>
          </cell>
        </row>
        <row r="13964">
          <cell r="D13964" t="str">
            <v>371-25-31-C4534-107-501</v>
          </cell>
          <cell r="E13964" t="str">
            <v>复材面板组件</v>
          </cell>
        </row>
        <row r="13965">
          <cell r="D13965" t="str">
            <v>371-25-31-C4536-103</v>
          </cell>
          <cell r="E13965" t="str">
            <v>复材面板组件</v>
          </cell>
        </row>
        <row r="13966">
          <cell r="D13966" t="str">
            <v>371-25-31-C4537-101</v>
          </cell>
          <cell r="E13966" t="str">
            <v>复材面板组件</v>
          </cell>
        </row>
        <row r="13967">
          <cell r="D13967" t="str">
            <v>371-25-31-C4538-101</v>
          </cell>
          <cell r="E13967" t="str">
            <v>复材面板组件</v>
          </cell>
        </row>
        <row r="13968">
          <cell r="D13968" t="str">
            <v>371-25-31-C4539-103-500</v>
          </cell>
          <cell r="E13968" t="str">
            <v>复材面板组件</v>
          </cell>
        </row>
        <row r="13969">
          <cell r="D13969" t="str">
            <v>371-25-31-C4542-101</v>
          </cell>
          <cell r="E13969" t="str">
            <v>复材面板组件</v>
          </cell>
        </row>
        <row r="13970">
          <cell r="D13970" t="str">
            <v>371-25-31-C4543-101</v>
          </cell>
          <cell r="E13970" t="str">
            <v>复材面板组件</v>
          </cell>
        </row>
        <row r="13971">
          <cell r="D13971" t="str">
            <v>371-25-31-C4551-103</v>
          </cell>
          <cell r="E13971" t="str">
            <v>复材面板组件</v>
          </cell>
        </row>
        <row r="13972">
          <cell r="D13972" t="str">
            <v>371-25-31-C4564-101</v>
          </cell>
          <cell r="E13972" t="str">
            <v>复材面板组件</v>
          </cell>
        </row>
        <row r="13973">
          <cell r="D13973" t="str">
            <v>371-25-31-C4565-103</v>
          </cell>
          <cell r="E13973" t="str">
            <v>复材面板组件</v>
          </cell>
        </row>
        <row r="13974">
          <cell r="D13974" t="str">
            <v>371-25-31-C4566-107-500</v>
          </cell>
          <cell r="E13974" t="str">
            <v>复材面板组件</v>
          </cell>
        </row>
        <row r="13975">
          <cell r="D13975" t="str">
            <v>371-25-31-C4568-103-500</v>
          </cell>
          <cell r="E13975" t="str">
            <v>复材面板组件</v>
          </cell>
        </row>
        <row r="13976">
          <cell r="D13976" t="str">
            <v>371-25-31-C4569-101</v>
          </cell>
          <cell r="E13976" t="str">
            <v>复材面板组件</v>
          </cell>
        </row>
        <row r="13977">
          <cell r="D13977" t="str">
            <v>371-25-31-C4570-101</v>
          </cell>
          <cell r="E13977" t="str">
            <v>复材面板组件</v>
          </cell>
        </row>
        <row r="13978">
          <cell r="D13978" t="str">
            <v>371-25-31-C4571-101</v>
          </cell>
          <cell r="E13978" t="str">
            <v>复材面板组件</v>
          </cell>
        </row>
        <row r="13979">
          <cell r="D13979" t="str">
            <v>371-25-31-C4574-101</v>
          </cell>
          <cell r="E13979" t="str">
            <v>复材面板组件</v>
          </cell>
        </row>
        <row r="13980">
          <cell r="D13980" t="str">
            <v>371-25-31-C4575-101</v>
          </cell>
          <cell r="E13980" t="str">
            <v>复材面板组件</v>
          </cell>
        </row>
        <row r="13981">
          <cell r="D13981" t="str">
            <v>371-25-31-C4576-101-500</v>
          </cell>
          <cell r="E13981" t="str">
            <v>复材面板组件</v>
          </cell>
        </row>
        <row r="13982">
          <cell r="D13982" t="str">
            <v>371-25-31-C4577-101</v>
          </cell>
          <cell r="E13982" t="str">
            <v>复材面板组件</v>
          </cell>
        </row>
        <row r="13983">
          <cell r="D13983" t="str">
            <v>371-25-31-C4595-205</v>
          </cell>
          <cell r="E13983" t="str">
            <v>条带</v>
          </cell>
        </row>
        <row r="13984">
          <cell r="D13984" t="str">
            <v>371-25-31-C4596-101-500</v>
          </cell>
          <cell r="E13984" t="str">
            <v>复材面板组件</v>
          </cell>
        </row>
        <row r="13985">
          <cell r="D13985" t="str">
            <v>371-25-31-C4602-103</v>
          </cell>
          <cell r="E13985" t="str">
            <v>复材面板组件</v>
          </cell>
        </row>
        <row r="13986">
          <cell r="D13986" t="str">
            <v>371-25-31-C4610-101</v>
          </cell>
          <cell r="E13986" t="str">
            <v>复材面板组件</v>
          </cell>
        </row>
        <row r="13987">
          <cell r="D13987" t="str">
            <v>371-25-31-C4636-101</v>
          </cell>
          <cell r="E13987" t="str">
            <v>复材面板组件</v>
          </cell>
        </row>
        <row r="13988">
          <cell r="D13988" t="str">
            <v>371-38-00-C1979-101</v>
          </cell>
          <cell r="E13988" t="str">
            <v>复材面板组件</v>
          </cell>
        </row>
        <row r="13989">
          <cell r="D13989" t="str">
            <v>371-53-00-C7815-101</v>
          </cell>
          <cell r="E13989" t="str">
            <v>地板组件</v>
          </cell>
        </row>
        <row r="13990">
          <cell r="D13990" t="str">
            <v>371-53-00-C7816-101</v>
          </cell>
          <cell r="E13990" t="str">
            <v>地板组件</v>
          </cell>
        </row>
        <row r="13991">
          <cell r="D13991" t="str">
            <v>371-53-00-C7819-101</v>
          </cell>
          <cell r="E13991" t="str">
            <v>地板组件</v>
          </cell>
        </row>
        <row r="13992">
          <cell r="D13992" t="str">
            <v>371-53-11-C2059-203</v>
          </cell>
          <cell r="E13992" t="str">
            <v>隔板</v>
          </cell>
        </row>
        <row r="13993">
          <cell r="D13993" t="str">
            <v>371-53-11-C2404-103</v>
          </cell>
          <cell r="E13993" t="str">
            <v>地板组件</v>
          </cell>
        </row>
        <row r="13994">
          <cell r="D13994" t="str">
            <v>371-53-11-C2407-103</v>
          </cell>
          <cell r="E13994" t="str">
            <v>地板组件</v>
          </cell>
        </row>
        <row r="13995">
          <cell r="D13995" t="str">
            <v>371-53-11-C2417-101</v>
          </cell>
          <cell r="E13995" t="str">
            <v>地板组件</v>
          </cell>
        </row>
        <row r="13996">
          <cell r="D13996" t="str">
            <v>371-53-11-C3502-103</v>
          </cell>
          <cell r="E13996" t="str">
            <v>地板组件</v>
          </cell>
        </row>
        <row r="13997">
          <cell r="D13997" t="str">
            <v>371-53-11-C3503-101</v>
          </cell>
          <cell r="E13997" t="str">
            <v>地板组件</v>
          </cell>
        </row>
        <row r="13998">
          <cell r="D13998" t="str">
            <v>371-53-11-C3504-103</v>
          </cell>
          <cell r="E13998" t="str">
            <v>地板组件</v>
          </cell>
        </row>
        <row r="13999">
          <cell r="D13999" t="str">
            <v>371-53-11-C3505-103</v>
          </cell>
          <cell r="E13999" t="str">
            <v>地板</v>
          </cell>
        </row>
        <row r="14000">
          <cell r="D14000" t="str">
            <v>371-53-11-C3506-101</v>
          </cell>
          <cell r="E14000" t="str">
            <v>地板组件</v>
          </cell>
        </row>
        <row r="14001">
          <cell r="D14001" t="str">
            <v>371-53-11-C3507-101</v>
          </cell>
          <cell r="E14001" t="str">
            <v>地板组件</v>
          </cell>
        </row>
        <row r="14002">
          <cell r="D14002" t="str">
            <v>371-53-11-C3508-103</v>
          </cell>
          <cell r="E14002" t="str">
            <v>地板组件</v>
          </cell>
        </row>
        <row r="14003">
          <cell r="D14003" t="str">
            <v>371-53-11-C3509-103</v>
          </cell>
          <cell r="E14003" t="str">
            <v>地板组件</v>
          </cell>
        </row>
        <row r="14004">
          <cell r="D14004" t="str">
            <v>371-53-11-C3510-103</v>
          </cell>
          <cell r="E14004" t="str">
            <v>地板组件</v>
          </cell>
        </row>
        <row r="14005">
          <cell r="D14005" t="str">
            <v>371-53-11-C3750-103</v>
          </cell>
          <cell r="E14005" t="str">
            <v>地板组件</v>
          </cell>
        </row>
        <row r="14006">
          <cell r="D14006" t="str">
            <v>371-53-11-C3751-103</v>
          </cell>
          <cell r="E14006" t="str">
            <v>地板组件</v>
          </cell>
        </row>
        <row r="14007">
          <cell r="D14007" t="str">
            <v>371-53-11-C3753-103</v>
          </cell>
          <cell r="E14007" t="str">
            <v>地板组件</v>
          </cell>
        </row>
        <row r="14008">
          <cell r="D14008" t="str">
            <v>371-53-11-C3754-101</v>
          </cell>
          <cell r="E14008" t="str">
            <v>地板组件</v>
          </cell>
        </row>
        <row r="14009">
          <cell r="D14009" t="str">
            <v>371-53-11-C3755-101</v>
          </cell>
          <cell r="E14009" t="str">
            <v>地板组件</v>
          </cell>
        </row>
        <row r="14010">
          <cell r="D14010" t="str">
            <v>371-53-11-C3756-103</v>
          </cell>
          <cell r="E14010" t="str">
            <v>地板组件</v>
          </cell>
        </row>
        <row r="14011">
          <cell r="D14011" t="str">
            <v>371-53-13-C4210-103</v>
          </cell>
          <cell r="E14011" t="str">
            <v>地板组件</v>
          </cell>
        </row>
        <row r="14012">
          <cell r="D14012" t="str">
            <v>371-53-13-C4211-103</v>
          </cell>
          <cell r="E14012" t="str">
            <v>地板组件</v>
          </cell>
        </row>
        <row r="14013">
          <cell r="D14013" t="str">
            <v>371-53-13-C4212-103</v>
          </cell>
          <cell r="E14013" t="str">
            <v>地板组件</v>
          </cell>
        </row>
        <row r="14014">
          <cell r="D14014" t="str">
            <v>371-53-13-C4213-101</v>
          </cell>
          <cell r="E14014" t="str">
            <v>地板组件</v>
          </cell>
        </row>
        <row r="14015">
          <cell r="D14015" t="str">
            <v>371-53-13-C4214-103</v>
          </cell>
          <cell r="E14015" t="str">
            <v>地板组件</v>
          </cell>
        </row>
        <row r="14016">
          <cell r="D14016" t="str">
            <v>371-53-13-C4215-101</v>
          </cell>
          <cell r="E14016" t="str">
            <v>地板组件</v>
          </cell>
        </row>
        <row r="14017">
          <cell r="D14017" t="str">
            <v>371-53-13-C4216-103</v>
          </cell>
          <cell r="E14017" t="str">
            <v>地板组件</v>
          </cell>
        </row>
        <row r="14018">
          <cell r="D14018" t="str">
            <v>371-53-13-C4217-101</v>
          </cell>
          <cell r="E14018" t="str">
            <v>地板组件</v>
          </cell>
        </row>
        <row r="14019">
          <cell r="D14019" t="str">
            <v>371-53-13-C4218-103</v>
          </cell>
          <cell r="E14019" t="str">
            <v>地板组件</v>
          </cell>
        </row>
        <row r="14020">
          <cell r="D14020" t="str">
            <v>371-53-13-C4219-101</v>
          </cell>
          <cell r="E14020" t="str">
            <v>地板组件</v>
          </cell>
        </row>
        <row r="14021">
          <cell r="D14021" t="str">
            <v>371-53-13-C4220-101</v>
          </cell>
          <cell r="E14021" t="str">
            <v>地板组件</v>
          </cell>
        </row>
        <row r="14022">
          <cell r="D14022" t="str">
            <v>371-53-13-C4221-101</v>
          </cell>
          <cell r="E14022" t="str">
            <v>地板组件</v>
          </cell>
        </row>
        <row r="14023">
          <cell r="D14023" t="str">
            <v>371-53-13-C4222-103</v>
          </cell>
          <cell r="E14023" t="str">
            <v>地板组件</v>
          </cell>
        </row>
        <row r="14024">
          <cell r="D14024" t="str">
            <v>371-53-13-C4223-103</v>
          </cell>
          <cell r="E14024" t="str">
            <v>地板组件</v>
          </cell>
        </row>
        <row r="14025">
          <cell r="D14025" t="str">
            <v>371-53-13-C4224-103</v>
          </cell>
          <cell r="E14025" t="str">
            <v>地板组件</v>
          </cell>
        </row>
        <row r="14026">
          <cell r="D14026" t="str">
            <v>371-53-13-C4225-103</v>
          </cell>
          <cell r="E14026" t="str">
            <v>地板组件</v>
          </cell>
        </row>
        <row r="14027">
          <cell r="D14027" t="str">
            <v>371-53-13-C4226-101</v>
          </cell>
          <cell r="E14027" t="str">
            <v>地板组件</v>
          </cell>
        </row>
        <row r="14028">
          <cell r="D14028" t="str">
            <v>371-53-13-C4227-101</v>
          </cell>
          <cell r="E14028" t="str">
            <v>地板组件</v>
          </cell>
        </row>
        <row r="14029">
          <cell r="D14029" t="str">
            <v>371-53-13-C4228-103</v>
          </cell>
          <cell r="E14029" t="str">
            <v>地板组件</v>
          </cell>
        </row>
        <row r="14030">
          <cell r="D14030" t="str">
            <v>371-53-16-C4260-103</v>
          </cell>
          <cell r="E14030" t="str">
            <v>地板组件</v>
          </cell>
        </row>
        <row r="14031">
          <cell r="D14031" t="str">
            <v>371-53-16-C4261-103</v>
          </cell>
          <cell r="E14031" t="str">
            <v>地板组件</v>
          </cell>
        </row>
        <row r="14032">
          <cell r="D14032" t="str">
            <v>371-53-16-C4262-101</v>
          </cell>
          <cell r="E14032" t="str">
            <v>地板组件</v>
          </cell>
        </row>
        <row r="14033">
          <cell r="D14033" t="str">
            <v>371-53-16-C4263-103</v>
          </cell>
          <cell r="E14033" t="str">
            <v>地板组件</v>
          </cell>
        </row>
        <row r="14034">
          <cell r="D14034" t="str">
            <v>371-53-16-C4264-103</v>
          </cell>
          <cell r="E14034" t="str">
            <v>地板组件</v>
          </cell>
        </row>
        <row r="14035">
          <cell r="D14035" t="str">
            <v>371-53-16-C4265-101</v>
          </cell>
          <cell r="E14035" t="str">
            <v>地板组件</v>
          </cell>
        </row>
        <row r="14036">
          <cell r="D14036" t="str">
            <v>371-25-60-C5159-105</v>
          </cell>
          <cell r="E14036" t="str">
            <v>复材面板组件</v>
          </cell>
        </row>
        <row r="14037">
          <cell r="D14037" t="str">
            <v>371-25-22-C4876-103</v>
          </cell>
          <cell r="E14037" t="str">
            <v>板</v>
          </cell>
        </row>
        <row r="14038">
          <cell r="D14038" t="str">
            <v>368-00-00-94714-201</v>
          </cell>
          <cell r="E14038" t="str">
            <v>隔离块</v>
          </cell>
        </row>
        <row r="14039">
          <cell r="D14039" t="str">
            <v>368-00-00-94714-217</v>
          </cell>
          <cell r="E14039" t="str">
            <v>隔离块</v>
          </cell>
        </row>
        <row r="14040">
          <cell r="D14040" t="str">
            <v>368-00-00-94714-221</v>
          </cell>
          <cell r="E14040" t="str">
            <v>隔离块</v>
          </cell>
        </row>
        <row r="14041">
          <cell r="D14041" t="str">
            <v>368-00-00-94714-223</v>
          </cell>
          <cell r="E14041" t="str">
            <v>隔离块</v>
          </cell>
        </row>
        <row r="14042">
          <cell r="D14042" t="str">
            <v>368-25-20-91572-207</v>
          </cell>
          <cell r="E14042" t="str">
            <v>垫圈</v>
          </cell>
        </row>
        <row r="14043">
          <cell r="D14043" t="str">
            <v>368-25-50-91557-111</v>
          </cell>
          <cell r="E14043" t="str">
            <v>板组件</v>
          </cell>
        </row>
        <row r="14044">
          <cell r="D14044" t="str">
            <v>368-53-00-90885-201</v>
          </cell>
          <cell r="E14044" t="str">
            <v>酚醛隔离板</v>
          </cell>
        </row>
        <row r="14045">
          <cell r="D14045" t="str">
            <v>368-53-11-90552-203</v>
          </cell>
          <cell r="E14045" t="str">
            <v>导缆器</v>
          </cell>
        </row>
        <row r="14046">
          <cell r="D14046" t="str">
            <v>368-53-11-90552-215</v>
          </cell>
          <cell r="E14046" t="str">
            <v>导缆器</v>
          </cell>
        </row>
        <row r="14047">
          <cell r="D14047" t="str">
            <v>371-53-13-C4350-201</v>
          </cell>
          <cell r="E14047" t="str">
            <v>导缆器</v>
          </cell>
        </row>
        <row r="14048">
          <cell r="D14048" t="str">
            <v>368-25-22-94810-101</v>
          </cell>
          <cell r="E14048" t="str">
            <v>密封条带组件</v>
          </cell>
        </row>
        <row r="14049">
          <cell r="D14049" t="str">
            <v>368-25-22-94810-103</v>
          </cell>
          <cell r="E14049" t="str">
            <v>密封条带组件</v>
          </cell>
        </row>
        <row r="14050">
          <cell r="D14050" t="str">
            <v>368-25-22-94810-105</v>
          </cell>
          <cell r="E14050" t="str">
            <v>密封条带组件</v>
          </cell>
        </row>
        <row r="14051">
          <cell r="D14051" t="str">
            <v>368-25-22-94810-219</v>
          </cell>
          <cell r="E14051" t="str">
            <v>柔软衬垫</v>
          </cell>
        </row>
        <row r="14052">
          <cell r="D14052" t="str">
            <v>368-25-22-94810-229</v>
          </cell>
          <cell r="E14052" t="str">
            <v>罩</v>
          </cell>
        </row>
        <row r="14053">
          <cell r="D14053" t="str">
            <v>368-25-40-91553-205</v>
          </cell>
          <cell r="E14053" t="str">
            <v>尼龙条带</v>
          </cell>
        </row>
        <row r="14054">
          <cell r="D14054" t="str">
            <v>368-26-00-91398-201</v>
          </cell>
          <cell r="E14054" t="str">
            <v>隔离板</v>
          </cell>
        </row>
        <row r="14055">
          <cell r="D14055" t="str">
            <v>368-27-00-91120-201</v>
          </cell>
          <cell r="E14055" t="str">
            <v>隔离板</v>
          </cell>
        </row>
        <row r="14056">
          <cell r="D14056" t="str">
            <v>368-27-00-91120-203</v>
          </cell>
          <cell r="E14056" t="str">
            <v>隔离板</v>
          </cell>
        </row>
        <row r="14057">
          <cell r="D14057" t="str">
            <v>368-27-00-91120-205</v>
          </cell>
          <cell r="E14057" t="str">
            <v>隔离板</v>
          </cell>
        </row>
        <row r="14058">
          <cell r="D14058" t="str">
            <v>368-35-00-91291-201</v>
          </cell>
          <cell r="E14058" t="str">
            <v>条带</v>
          </cell>
        </row>
        <row r="14059">
          <cell r="D14059" t="str">
            <v>368-52-00-95218-205</v>
          </cell>
          <cell r="E14059" t="str">
            <v>封条</v>
          </cell>
        </row>
        <row r="14060">
          <cell r="D14060" t="str">
            <v>366-59-01-15365-105</v>
          </cell>
          <cell r="E14060" t="str">
            <v>套管</v>
          </cell>
        </row>
        <row r="14061">
          <cell r="D14061" t="str">
            <v>368-25-61-91623-203</v>
          </cell>
          <cell r="E14061" t="str">
            <v>板</v>
          </cell>
        </row>
        <row r="14062">
          <cell r="D14062" t="str">
            <v>368-25-61-91623-205</v>
          </cell>
          <cell r="E14062" t="str">
            <v>带</v>
          </cell>
        </row>
        <row r="14063">
          <cell r="D14063" t="str">
            <v>368-53-11-90552-201</v>
          </cell>
          <cell r="E14063" t="str">
            <v>导缆器</v>
          </cell>
        </row>
        <row r="14064">
          <cell r="D14064" t="str">
            <v>371-21-00-C1123-201</v>
          </cell>
          <cell r="E14064" t="str">
            <v>条带</v>
          </cell>
        </row>
        <row r="14065">
          <cell r="D14065" t="str">
            <v>371-21-00-C1123-203</v>
          </cell>
          <cell r="E14065" t="str">
            <v>条带</v>
          </cell>
        </row>
        <row r="14066">
          <cell r="D14066" t="str">
            <v>371-21-00-C1123-205</v>
          </cell>
          <cell r="E14066" t="str">
            <v>条带</v>
          </cell>
        </row>
        <row r="14067">
          <cell r="D14067" t="str">
            <v>371-21-00-C1123-207</v>
          </cell>
          <cell r="E14067" t="str">
            <v>板</v>
          </cell>
        </row>
        <row r="14068">
          <cell r="D14068" t="str">
            <v>371-25-13-C5011-103</v>
          </cell>
          <cell r="E14068" t="str">
            <v>复材面板组件</v>
          </cell>
        </row>
        <row r="14069">
          <cell r="D14069" t="str">
            <v>371-25-20-C4701-201</v>
          </cell>
          <cell r="E14069" t="str">
            <v>帽子</v>
          </cell>
        </row>
        <row r="14070">
          <cell r="D14070" t="str">
            <v>371-25-21-C5082-201</v>
          </cell>
          <cell r="E14070" t="str">
            <v>条带</v>
          </cell>
        </row>
        <row r="14071">
          <cell r="D14071" t="str">
            <v>371-25-21-C5082-203</v>
          </cell>
          <cell r="E14071" t="str">
            <v>条带</v>
          </cell>
        </row>
        <row r="14072">
          <cell r="D14072" t="str">
            <v>371-25-21-C5381-201</v>
          </cell>
          <cell r="E14072" t="str">
            <v>条带</v>
          </cell>
        </row>
        <row r="14073">
          <cell r="D14073" t="str">
            <v>371-25-21-C5391-201</v>
          </cell>
          <cell r="E14073" t="str">
            <v>条带</v>
          </cell>
        </row>
        <row r="14074">
          <cell r="D14074" t="str">
            <v>371-56-00-C7684-201</v>
          </cell>
          <cell r="E14074" t="str">
            <v>填冲件</v>
          </cell>
        </row>
        <row r="14075">
          <cell r="D14075" t="str">
            <v>371-25-22-C4913-101-500</v>
          </cell>
          <cell r="E14075" t="str">
            <v>天花面板组件</v>
          </cell>
        </row>
        <row r="14076">
          <cell r="D14076" t="str">
            <v>371-25-22-C4915-201</v>
          </cell>
          <cell r="E14076" t="str">
            <v>天花面板</v>
          </cell>
        </row>
        <row r="14077">
          <cell r="D14077" t="str">
            <v>371-25-22-C4918-101</v>
          </cell>
          <cell r="E14077" t="str">
            <v>复材内饰面板组件</v>
          </cell>
        </row>
        <row r="14078">
          <cell r="D14078" t="str">
            <v>371-25-22-C4919-101</v>
          </cell>
          <cell r="E14078" t="str">
            <v>板组件</v>
          </cell>
        </row>
        <row r="14079">
          <cell r="D14079" t="str">
            <v>371-25-22-C5051-101</v>
          </cell>
          <cell r="E14079" t="str">
            <v>天花板组件</v>
          </cell>
        </row>
        <row r="14080">
          <cell r="D14080" t="str">
            <v>371-25-22-C5051-102</v>
          </cell>
          <cell r="E14080" t="str">
            <v>天花板组件</v>
          </cell>
        </row>
        <row r="14081">
          <cell r="D14081" t="str">
            <v>371-25-22-C5052-101</v>
          </cell>
          <cell r="E14081" t="str">
            <v>天花板组件</v>
          </cell>
        </row>
        <row r="14082">
          <cell r="D14082" t="str">
            <v>371-25-22-C5053-101</v>
          </cell>
          <cell r="E14082" t="str">
            <v>天花板组件</v>
          </cell>
        </row>
        <row r="14083">
          <cell r="D14083" t="str">
            <v>371-25-22-C5053-102</v>
          </cell>
          <cell r="E14083" t="str">
            <v>天花板组件</v>
          </cell>
        </row>
        <row r="14084">
          <cell r="D14084" t="str">
            <v>371-25-22-C5102-101</v>
          </cell>
          <cell r="E14084" t="str">
            <v>天花板组件</v>
          </cell>
        </row>
        <row r="14085">
          <cell r="D14085" t="str">
            <v>371-25-22-C5103-101</v>
          </cell>
          <cell r="E14085" t="str">
            <v>天花板组件</v>
          </cell>
        </row>
        <row r="14086">
          <cell r="D14086" t="str">
            <v>371-25-22-C5117-201</v>
          </cell>
          <cell r="E14086" t="str">
            <v>烟雾隔板</v>
          </cell>
        </row>
        <row r="14087">
          <cell r="D14087" t="str">
            <v>371-25-22-C5121-201</v>
          </cell>
          <cell r="E14087" t="str">
            <v>连接条带</v>
          </cell>
        </row>
        <row r="14088">
          <cell r="D14088" t="str">
            <v>371-25-22-C5121-202</v>
          </cell>
          <cell r="E14088" t="str">
            <v>连接条带</v>
          </cell>
        </row>
        <row r="14089">
          <cell r="D14089" t="str">
            <v>371-25-22-C5128-201</v>
          </cell>
          <cell r="E14089" t="str">
            <v>连接条带</v>
          </cell>
        </row>
        <row r="14090">
          <cell r="D14090" t="str">
            <v>371-25-22-C5130-201</v>
          </cell>
          <cell r="E14090" t="str">
            <v>连接条带</v>
          </cell>
        </row>
        <row r="14091">
          <cell r="D14091" t="str">
            <v>371-25-22-C5131-201</v>
          </cell>
          <cell r="E14091" t="str">
            <v>连接条带</v>
          </cell>
        </row>
        <row r="14092">
          <cell r="D14092" t="str">
            <v>371-25-22-C5132-101</v>
          </cell>
          <cell r="E14092" t="str">
            <v>天花板组件</v>
          </cell>
        </row>
        <row r="14093">
          <cell r="D14093" t="str">
            <v>371-25-22-C5132-102</v>
          </cell>
          <cell r="E14093" t="str">
            <v>天花板组件</v>
          </cell>
        </row>
        <row r="14094">
          <cell r="D14094" t="str">
            <v>371-25-22-C5151-103</v>
          </cell>
          <cell r="E14094" t="str">
            <v>复材面板组件</v>
          </cell>
        </row>
        <row r="14095">
          <cell r="D14095" t="str">
            <v>371-25-22-C5152-101</v>
          </cell>
          <cell r="E14095" t="str">
            <v>复材面板组件</v>
          </cell>
        </row>
        <row r="14096">
          <cell r="D14096" t="str">
            <v>371-25-22-C5155-101</v>
          </cell>
          <cell r="E14096" t="str">
            <v>复材面板组件</v>
          </cell>
        </row>
        <row r="14097">
          <cell r="D14097" t="str">
            <v>371-25-23-C4834-101</v>
          </cell>
          <cell r="E14097" t="str">
            <v>复材面板组件</v>
          </cell>
        </row>
        <row r="14098">
          <cell r="D14098" t="str">
            <v>371-25-23-C4836-101</v>
          </cell>
          <cell r="E14098" t="str">
            <v>复材面板组件</v>
          </cell>
        </row>
        <row r="14099">
          <cell r="D14099" t="str">
            <v>371-25-23-C4963-101</v>
          </cell>
          <cell r="E14099" t="str">
            <v>复材面板组件</v>
          </cell>
        </row>
        <row r="14100">
          <cell r="D14100" t="str">
            <v>371-25-23-C4965-103</v>
          </cell>
          <cell r="E14100" t="str">
            <v>复材面板组件</v>
          </cell>
        </row>
        <row r="14101">
          <cell r="D14101" t="str">
            <v>371-25-23-C4966-101</v>
          </cell>
          <cell r="E14101" t="str">
            <v>复材面板组件</v>
          </cell>
        </row>
        <row r="14102">
          <cell r="D14102" t="str">
            <v>371-25-23-C4968-101</v>
          </cell>
          <cell r="E14102" t="str">
            <v>复材面板组件</v>
          </cell>
        </row>
        <row r="14103">
          <cell r="D14103" t="str">
            <v>371-25-23-C4969-101</v>
          </cell>
          <cell r="E14103" t="str">
            <v>复材面板组件</v>
          </cell>
        </row>
        <row r="14104">
          <cell r="D14104" t="str">
            <v>371-25-23-C4970-101</v>
          </cell>
          <cell r="E14104" t="str">
            <v>复材面板组件</v>
          </cell>
        </row>
        <row r="14105">
          <cell r="D14105" t="str">
            <v>371-25-23-C4971-101</v>
          </cell>
          <cell r="E14105" t="str">
            <v>复材面板组件</v>
          </cell>
        </row>
        <row r="14106">
          <cell r="D14106" t="str">
            <v>371-25-23-C4972-103</v>
          </cell>
          <cell r="E14106" t="str">
            <v>复材面板组件</v>
          </cell>
        </row>
        <row r="14107">
          <cell r="D14107" t="str">
            <v>371-25-23-C4973-103</v>
          </cell>
          <cell r="E14107" t="str">
            <v>复材面板组件</v>
          </cell>
        </row>
        <row r="14108">
          <cell r="D14108" t="str">
            <v>371-25-23-C4973-107</v>
          </cell>
          <cell r="E14108" t="str">
            <v>复材面板组件</v>
          </cell>
        </row>
        <row r="14109">
          <cell r="D14109" t="str">
            <v>371-25-23-C5013-201</v>
          </cell>
          <cell r="E14109" t="str">
            <v>盖板</v>
          </cell>
        </row>
        <row r="14110">
          <cell r="D14110" t="str">
            <v>371-25-23-C5020-101</v>
          </cell>
          <cell r="E14110" t="str">
            <v>复材面板组件</v>
          </cell>
        </row>
        <row r="14111">
          <cell r="D14111" t="str">
            <v>371-25-24-C1277-201</v>
          </cell>
          <cell r="E14111" t="str">
            <v>隔离板</v>
          </cell>
        </row>
        <row r="14112">
          <cell r="D14112" t="str">
            <v>371-25-24-C1278-201</v>
          </cell>
          <cell r="E14112" t="str">
            <v>隔离板</v>
          </cell>
        </row>
        <row r="14113">
          <cell r="D14113" t="str">
            <v>371-25-24-C5395-201</v>
          </cell>
          <cell r="E14113" t="str">
            <v>隔离板</v>
          </cell>
        </row>
        <row r="14114">
          <cell r="D14114" t="str">
            <v>371-25-24-C5395-202</v>
          </cell>
          <cell r="E14114" t="str">
            <v>隔离板</v>
          </cell>
        </row>
        <row r="14115">
          <cell r="D14115" t="str">
            <v>371-25-24-C5398-201</v>
          </cell>
          <cell r="E14115" t="str">
            <v>隔离板</v>
          </cell>
        </row>
        <row r="14116">
          <cell r="D14116" t="str">
            <v>371-25-24-C5398-202</v>
          </cell>
          <cell r="E14116" t="str">
            <v>隔离板</v>
          </cell>
        </row>
        <row r="14117">
          <cell r="D14117" t="str">
            <v>371-25-31-C4533-105-500</v>
          </cell>
          <cell r="E14117" t="str">
            <v>复材面板组件</v>
          </cell>
        </row>
        <row r="14118">
          <cell r="D14118" t="str">
            <v>371-25-31-C4533-105-501</v>
          </cell>
          <cell r="E14118" t="str">
            <v>复材面板组件</v>
          </cell>
        </row>
        <row r="14119">
          <cell r="D14119" t="str">
            <v>371-25-31-C4534-107-500</v>
          </cell>
          <cell r="E14119" t="str">
            <v>复材面板组件</v>
          </cell>
        </row>
        <row r="14120">
          <cell r="D14120" t="str">
            <v>371-25-31-C4534-107-501</v>
          </cell>
          <cell r="E14120" t="str">
            <v>复材面板组件</v>
          </cell>
        </row>
        <row r="14121">
          <cell r="D14121" t="str">
            <v>371-25-31-C4536-103</v>
          </cell>
          <cell r="E14121" t="str">
            <v>复材面板组件</v>
          </cell>
        </row>
        <row r="14122">
          <cell r="D14122" t="str">
            <v>371-25-31-C4537-101</v>
          </cell>
          <cell r="E14122" t="str">
            <v>复材面板组件</v>
          </cell>
        </row>
        <row r="14123">
          <cell r="D14123" t="str">
            <v>371-25-31-C4538-101</v>
          </cell>
          <cell r="E14123" t="str">
            <v>复材面板组件</v>
          </cell>
        </row>
        <row r="14124">
          <cell r="D14124" t="str">
            <v>371-25-31-C4539-103-500</v>
          </cell>
          <cell r="E14124" t="str">
            <v>复材面板组件</v>
          </cell>
        </row>
        <row r="14125">
          <cell r="D14125" t="str">
            <v>371-25-31-C4542-101</v>
          </cell>
          <cell r="E14125" t="str">
            <v>复材面板组件</v>
          </cell>
        </row>
        <row r="14126">
          <cell r="D14126" t="str">
            <v>371-25-31-C4543-101</v>
          </cell>
          <cell r="E14126" t="str">
            <v>复材面板组件</v>
          </cell>
        </row>
        <row r="14127">
          <cell r="D14127" t="str">
            <v>371-25-31-C4551-103</v>
          </cell>
          <cell r="E14127" t="str">
            <v>复材面板组件</v>
          </cell>
        </row>
        <row r="14128">
          <cell r="D14128" t="str">
            <v>371-25-31-C4564-101</v>
          </cell>
          <cell r="E14128" t="str">
            <v>复材面板组件</v>
          </cell>
        </row>
        <row r="14129">
          <cell r="D14129" t="str">
            <v>371-25-31-C4565-103</v>
          </cell>
          <cell r="E14129" t="str">
            <v>复材面板组件</v>
          </cell>
        </row>
        <row r="14130">
          <cell r="D14130" t="str">
            <v>371-25-31-C4566-107-500</v>
          </cell>
          <cell r="E14130" t="str">
            <v>复材面板组件</v>
          </cell>
        </row>
        <row r="14131">
          <cell r="D14131" t="str">
            <v>371-25-31-C4568-103-500</v>
          </cell>
          <cell r="E14131" t="str">
            <v>复材面板组件</v>
          </cell>
        </row>
        <row r="14132">
          <cell r="D14132" t="str">
            <v>371-25-31-C4569-101</v>
          </cell>
          <cell r="E14132" t="str">
            <v>复材面板组件</v>
          </cell>
        </row>
        <row r="14133">
          <cell r="D14133" t="str">
            <v>371-25-31-C4570-101</v>
          </cell>
          <cell r="E14133" t="str">
            <v>复材面板组件</v>
          </cell>
        </row>
        <row r="14134">
          <cell r="D14134" t="str">
            <v>371-25-31-C4571-101</v>
          </cell>
          <cell r="E14134" t="str">
            <v>复材面板组件</v>
          </cell>
        </row>
        <row r="14135">
          <cell r="D14135" t="str">
            <v>371-25-31-C4574-101</v>
          </cell>
          <cell r="E14135" t="str">
            <v>复材面板组件</v>
          </cell>
        </row>
        <row r="14136">
          <cell r="D14136" t="str">
            <v>371-25-31-C4575-101</v>
          </cell>
          <cell r="E14136" t="str">
            <v>复材面板组件</v>
          </cell>
        </row>
        <row r="14137">
          <cell r="D14137" t="str">
            <v>371-25-31-C4576-101-500</v>
          </cell>
          <cell r="E14137" t="str">
            <v>复材面板组件</v>
          </cell>
        </row>
        <row r="14138">
          <cell r="D14138" t="str">
            <v>371-25-31-C4577-101</v>
          </cell>
          <cell r="E14138" t="str">
            <v>复材面板组件</v>
          </cell>
        </row>
        <row r="14139">
          <cell r="D14139" t="str">
            <v>371-25-31-C4594-205</v>
          </cell>
          <cell r="E14139" t="str">
            <v>条带</v>
          </cell>
        </row>
        <row r="14140">
          <cell r="D14140" t="str">
            <v>371-25-31-C4595-201</v>
          </cell>
          <cell r="E14140" t="str">
            <v>条带</v>
          </cell>
        </row>
        <row r="14141">
          <cell r="D14141" t="str">
            <v>371-25-31-C4595-203</v>
          </cell>
          <cell r="E14141" t="str">
            <v>条带</v>
          </cell>
        </row>
        <row r="14142">
          <cell r="D14142" t="str">
            <v>371-25-31-C4595-205</v>
          </cell>
          <cell r="E14142" t="str">
            <v>条带</v>
          </cell>
        </row>
        <row r="14143">
          <cell r="D14143" t="str">
            <v>371-25-31-C4596-101-500</v>
          </cell>
          <cell r="E14143" t="str">
            <v>复材面板组件</v>
          </cell>
        </row>
        <row r="14144">
          <cell r="D14144" t="str">
            <v>371-25-31-C4602-103</v>
          </cell>
          <cell r="E14144" t="str">
            <v>复材面板组件</v>
          </cell>
        </row>
        <row r="14145">
          <cell r="D14145" t="str">
            <v>371-25-31-C4610-101</v>
          </cell>
          <cell r="E14145" t="str">
            <v>复材面板组件</v>
          </cell>
        </row>
        <row r="14146">
          <cell r="D14146" t="str">
            <v>371-25-31-C4636-101</v>
          </cell>
          <cell r="E14146" t="str">
            <v>复材面板组件</v>
          </cell>
        </row>
        <row r="14147">
          <cell r="D14147" t="str">
            <v>371-25-31-C4650-201</v>
          </cell>
          <cell r="E14147" t="str">
            <v>空气过滤器</v>
          </cell>
        </row>
        <row r="14148">
          <cell r="D14148" t="str">
            <v>371-25-50-C5138-201</v>
          </cell>
          <cell r="E14148" t="str">
            <v>条带</v>
          </cell>
        </row>
        <row r="14149">
          <cell r="D14149" t="str">
            <v>371-25-50-C5139-201</v>
          </cell>
          <cell r="E14149" t="str">
            <v>衬垫</v>
          </cell>
        </row>
        <row r="14150">
          <cell r="D14150" t="str">
            <v>371-25-50-C5140-203</v>
          </cell>
          <cell r="E14150" t="str">
            <v>衬垫</v>
          </cell>
        </row>
        <row r="14151">
          <cell r="D14151" t="str">
            <v>371-25-50-C5141-201</v>
          </cell>
          <cell r="E14151" t="str">
            <v>衬垫</v>
          </cell>
        </row>
        <row r="14152">
          <cell r="D14152" t="str">
            <v>371-25-50-C5142-201</v>
          </cell>
          <cell r="E14152" t="str">
            <v>衬垫</v>
          </cell>
        </row>
        <row r="14153">
          <cell r="D14153" t="str">
            <v>371-25-50-C5143-201</v>
          </cell>
          <cell r="E14153" t="str">
            <v>衬垫</v>
          </cell>
        </row>
        <row r="14154">
          <cell r="D14154" t="str">
            <v>371-25-50-C5148-201</v>
          </cell>
          <cell r="E14154" t="str">
            <v>衬垫</v>
          </cell>
        </row>
        <row r="14155">
          <cell r="D14155" t="str">
            <v>371-25-50-C5149-201</v>
          </cell>
          <cell r="E14155" t="str">
            <v>衬垫</v>
          </cell>
        </row>
        <row r="14156">
          <cell r="D14156" t="str">
            <v>371-26-00-C1392-201</v>
          </cell>
          <cell r="E14156" t="str">
            <v>衬垫</v>
          </cell>
        </row>
        <row r="14157">
          <cell r="D14157" t="str">
            <v>371-26-00-C1392-203</v>
          </cell>
          <cell r="E14157" t="str">
            <v>衬垫</v>
          </cell>
        </row>
        <row r="14158">
          <cell r="D14158" t="str">
            <v>371-27-20-C8275-201</v>
          </cell>
          <cell r="E14158" t="str">
            <v>小导缆器</v>
          </cell>
        </row>
        <row r="14159">
          <cell r="D14159" t="str">
            <v>371-27-30-C8373-201</v>
          </cell>
          <cell r="E14159" t="str">
            <v>小导缆器</v>
          </cell>
        </row>
        <row r="14160">
          <cell r="D14160" t="str">
            <v>371-38-00-C1979-101</v>
          </cell>
          <cell r="E14160" t="str">
            <v>复材面板组件</v>
          </cell>
        </row>
        <row r="14161">
          <cell r="D14161" t="str">
            <v>371-53-00-C2408-201</v>
          </cell>
          <cell r="E14161" t="str">
            <v>导缆器</v>
          </cell>
        </row>
        <row r="14162">
          <cell r="D14162" t="str">
            <v>371-53-00-C3021-201</v>
          </cell>
          <cell r="E14162" t="str">
            <v>导缆器</v>
          </cell>
        </row>
        <row r="14163">
          <cell r="D14163" t="str">
            <v>371-53-00-C3022-201</v>
          </cell>
          <cell r="E14163" t="str">
            <v>板</v>
          </cell>
        </row>
        <row r="14164">
          <cell r="D14164" t="str">
            <v>371-53-00-C3029-201</v>
          </cell>
          <cell r="E14164" t="str">
            <v>板</v>
          </cell>
        </row>
        <row r="14165">
          <cell r="D14165" t="str">
            <v>371-53-00-C3034-201</v>
          </cell>
          <cell r="E14165" t="str">
            <v>板</v>
          </cell>
        </row>
        <row r="14166">
          <cell r="D14166" t="str">
            <v>371-53-00-C3035-201</v>
          </cell>
          <cell r="E14166" t="str">
            <v>板</v>
          </cell>
        </row>
        <row r="14167">
          <cell r="D14167" t="str">
            <v>371-53-00-C3036-201</v>
          </cell>
          <cell r="E14167" t="str">
            <v>板</v>
          </cell>
        </row>
        <row r="14168">
          <cell r="D14168" t="str">
            <v>371-53-00-C3058-201</v>
          </cell>
          <cell r="E14168" t="str">
            <v>板</v>
          </cell>
        </row>
        <row r="14169">
          <cell r="D14169" t="str">
            <v>371-53-00-C3059-201</v>
          </cell>
          <cell r="E14169" t="str">
            <v>板</v>
          </cell>
        </row>
        <row r="14170">
          <cell r="D14170" t="str">
            <v>371-53-00-C3060-201</v>
          </cell>
          <cell r="E14170" t="str">
            <v>板</v>
          </cell>
        </row>
        <row r="14171">
          <cell r="D14171" t="str">
            <v>371-53-00-C3061-201</v>
          </cell>
          <cell r="E14171" t="str">
            <v>导缆器</v>
          </cell>
        </row>
        <row r="14172">
          <cell r="D14172" t="str">
            <v>371-53-00-C3063-201</v>
          </cell>
          <cell r="E14172" t="str">
            <v>板</v>
          </cell>
        </row>
        <row r="14173">
          <cell r="D14173" t="str">
            <v>371-53-00-C3107-201</v>
          </cell>
          <cell r="E14173" t="str">
            <v>板</v>
          </cell>
        </row>
        <row r="14174">
          <cell r="D14174" t="str">
            <v>371-53-00-C3117-201</v>
          </cell>
          <cell r="E14174" t="str">
            <v>板</v>
          </cell>
        </row>
        <row r="14175">
          <cell r="D14175" t="str">
            <v>371-53-00-C3161-201</v>
          </cell>
          <cell r="E14175" t="str">
            <v>板</v>
          </cell>
        </row>
        <row r="14176">
          <cell r="D14176" t="str">
            <v>371-53-00-C3344-201</v>
          </cell>
          <cell r="E14176" t="str">
            <v>导缆器</v>
          </cell>
        </row>
        <row r="14177">
          <cell r="D14177" t="str">
            <v>371-53-00-C3532-201</v>
          </cell>
          <cell r="E14177" t="str">
            <v>导缆器</v>
          </cell>
        </row>
        <row r="14178">
          <cell r="D14178" t="str">
            <v>371-53-00-C3710-201</v>
          </cell>
          <cell r="E14178" t="str">
            <v>导缆器</v>
          </cell>
        </row>
        <row r="14179">
          <cell r="D14179" t="str">
            <v>371-53-00-C3740-201</v>
          </cell>
          <cell r="E14179" t="str">
            <v>导缆器</v>
          </cell>
        </row>
        <row r="14180">
          <cell r="D14180" t="str">
            <v>371-53-00-C3741-201</v>
          </cell>
          <cell r="E14180" t="str">
            <v>板</v>
          </cell>
        </row>
        <row r="14181">
          <cell r="D14181" t="str">
            <v>371-53-00-C3742-201</v>
          </cell>
          <cell r="E14181" t="str">
            <v>板</v>
          </cell>
        </row>
        <row r="14182">
          <cell r="D14182" t="str">
            <v>371-53-00-C3743-201</v>
          </cell>
          <cell r="E14182" t="str">
            <v>导缆器</v>
          </cell>
        </row>
        <row r="14183">
          <cell r="D14183" t="str">
            <v>371-53-00-C3744-201</v>
          </cell>
          <cell r="E14183" t="str">
            <v>导缆器</v>
          </cell>
        </row>
        <row r="14184">
          <cell r="D14184" t="str">
            <v>371-53-00-C3745-203</v>
          </cell>
          <cell r="E14184" t="str">
            <v>导缆器</v>
          </cell>
        </row>
        <row r="14185">
          <cell r="D14185" t="str">
            <v>371-53-00-C3746-203</v>
          </cell>
          <cell r="E14185" t="str">
            <v>导缆器</v>
          </cell>
        </row>
        <row r="14186">
          <cell r="D14186" t="str">
            <v>371-53-00-C3747-201</v>
          </cell>
          <cell r="E14186" t="str">
            <v>导缆器</v>
          </cell>
        </row>
        <row r="14187">
          <cell r="D14187" t="str">
            <v>371-53-00-C3748-201</v>
          </cell>
          <cell r="E14187" t="str">
            <v>导缆器</v>
          </cell>
        </row>
        <row r="14188">
          <cell r="D14188" t="str">
            <v>371-53-00-C3749-201</v>
          </cell>
          <cell r="E14188" t="str">
            <v>板</v>
          </cell>
        </row>
        <row r="14189">
          <cell r="D14189" t="str">
            <v>371-53-00-C7815-101</v>
          </cell>
          <cell r="E14189" t="str">
            <v>地板组件</v>
          </cell>
        </row>
        <row r="14190">
          <cell r="D14190" t="str">
            <v>371-53-00-C7816-101</v>
          </cell>
          <cell r="E14190" t="str">
            <v>地板组件</v>
          </cell>
        </row>
        <row r="14191">
          <cell r="D14191" t="str">
            <v>371-53-00-C7819-101</v>
          </cell>
          <cell r="E14191" t="str">
            <v>地板组件</v>
          </cell>
        </row>
        <row r="14192">
          <cell r="D14192" t="str">
            <v>371-53-11-C2059-203</v>
          </cell>
          <cell r="E14192" t="str">
            <v>隔板</v>
          </cell>
        </row>
        <row r="14193">
          <cell r="D14193" t="str">
            <v>371-53-11-C2387-201</v>
          </cell>
          <cell r="E14193" t="str">
            <v>导缆器</v>
          </cell>
        </row>
        <row r="14194">
          <cell r="D14194" t="str">
            <v>371-53-11-C2404-103</v>
          </cell>
          <cell r="E14194" t="str">
            <v>地板组件</v>
          </cell>
        </row>
        <row r="14195">
          <cell r="D14195" t="str">
            <v>371-53-11-C2407-103</v>
          </cell>
          <cell r="E14195" t="str">
            <v>地板组件</v>
          </cell>
        </row>
        <row r="14196">
          <cell r="D14196" t="str">
            <v>371-53-11-C2417-101</v>
          </cell>
          <cell r="E14196" t="str">
            <v>地板组件</v>
          </cell>
        </row>
        <row r="14197">
          <cell r="D14197" t="str">
            <v>371-53-11-C3502-103</v>
          </cell>
          <cell r="E14197" t="str">
            <v>地板组件</v>
          </cell>
        </row>
        <row r="14198">
          <cell r="D14198" t="str">
            <v>371-53-11-C3503-101</v>
          </cell>
          <cell r="E14198" t="str">
            <v>地板组件</v>
          </cell>
        </row>
        <row r="14199">
          <cell r="D14199" t="str">
            <v>371-53-11-C3504-103</v>
          </cell>
          <cell r="E14199" t="str">
            <v>地板组件</v>
          </cell>
        </row>
        <row r="14200">
          <cell r="D14200" t="str">
            <v>371-53-11-C3505-103</v>
          </cell>
          <cell r="E14200" t="str">
            <v>地板</v>
          </cell>
        </row>
        <row r="14201">
          <cell r="D14201" t="str">
            <v>371-53-11-C3506-101</v>
          </cell>
          <cell r="E14201" t="str">
            <v>地板组件</v>
          </cell>
        </row>
        <row r="14202">
          <cell r="D14202" t="str">
            <v>371-53-11-C3507-101</v>
          </cell>
          <cell r="E14202" t="str">
            <v>地板组件</v>
          </cell>
        </row>
        <row r="14203">
          <cell r="D14203" t="str">
            <v>371-53-11-C3508-103</v>
          </cell>
          <cell r="E14203" t="str">
            <v>地板组件</v>
          </cell>
        </row>
        <row r="14204">
          <cell r="D14204" t="str">
            <v>371-53-11-C3509-103</v>
          </cell>
          <cell r="E14204" t="str">
            <v>地板组件</v>
          </cell>
        </row>
        <row r="14205">
          <cell r="D14205" t="str">
            <v>371-53-11-C3510-103</v>
          </cell>
          <cell r="E14205" t="str">
            <v>地板组件</v>
          </cell>
        </row>
        <row r="14206">
          <cell r="D14206" t="str">
            <v>371-53-11-C3750-103</v>
          </cell>
          <cell r="E14206" t="str">
            <v>地板组件</v>
          </cell>
        </row>
        <row r="14207">
          <cell r="D14207" t="str">
            <v>371-53-11-C3751-103</v>
          </cell>
          <cell r="E14207" t="str">
            <v>地板组件</v>
          </cell>
        </row>
        <row r="14208">
          <cell r="D14208" t="str">
            <v>371-53-11-C3753-103</v>
          </cell>
          <cell r="E14208" t="str">
            <v>地板组件</v>
          </cell>
        </row>
        <row r="14209">
          <cell r="D14209" t="str">
            <v>371-53-11-C3754-101</v>
          </cell>
          <cell r="E14209" t="str">
            <v>地板组件</v>
          </cell>
        </row>
        <row r="14210">
          <cell r="D14210" t="str">
            <v>371-53-11-C3755-101</v>
          </cell>
          <cell r="E14210" t="str">
            <v>地板组件</v>
          </cell>
        </row>
        <row r="14211">
          <cell r="D14211" t="str">
            <v>371-53-11-C3756-103</v>
          </cell>
          <cell r="E14211" t="str">
            <v>地板组件</v>
          </cell>
        </row>
        <row r="14212">
          <cell r="D14212" t="str">
            <v>371-53-11-C3981-201</v>
          </cell>
          <cell r="E14212" t="str">
            <v>导缆器</v>
          </cell>
        </row>
        <row r="14213">
          <cell r="D14213" t="str">
            <v>371-53-13-C4210-103</v>
          </cell>
          <cell r="E14213" t="str">
            <v>地板组件</v>
          </cell>
        </row>
        <row r="14214">
          <cell r="D14214" t="str">
            <v>371-53-13-C4211-103</v>
          </cell>
          <cell r="E14214" t="str">
            <v>地板组件</v>
          </cell>
        </row>
        <row r="14215">
          <cell r="D14215" t="str">
            <v>371-53-13-C4212-103</v>
          </cell>
          <cell r="E14215" t="str">
            <v>地板组件</v>
          </cell>
        </row>
        <row r="14216">
          <cell r="D14216" t="str">
            <v>371-53-13-C4213-101</v>
          </cell>
          <cell r="E14216" t="str">
            <v>地板组件</v>
          </cell>
        </row>
        <row r="14217">
          <cell r="D14217" t="str">
            <v>371-53-13-C4214-103</v>
          </cell>
          <cell r="E14217" t="str">
            <v>地板组件</v>
          </cell>
        </row>
        <row r="14218">
          <cell r="D14218" t="str">
            <v>371-53-13-C4215-101</v>
          </cell>
          <cell r="E14218" t="str">
            <v>地板组件</v>
          </cell>
        </row>
        <row r="14219">
          <cell r="D14219" t="str">
            <v>371-53-13-C4216-103</v>
          </cell>
          <cell r="E14219" t="str">
            <v>地板组件</v>
          </cell>
        </row>
        <row r="14220">
          <cell r="D14220" t="str">
            <v>371-53-13-C4217-101</v>
          </cell>
          <cell r="E14220" t="str">
            <v>地板组件</v>
          </cell>
        </row>
        <row r="14221">
          <cell r="D14221" t="str">
            <v>371-53-13-C4218-103</v>
          </cell>
          <cell r="E14221" t="str">
            <v>地板组件</v>
          </cell>
        </row>
        <row r="14222">
          <cell r="D14222" t="str">
            <v>371-53-13-C4219-101</v>
          </cell>
          <cell r="E14222" t="str">
            <v>地板组件</v>
          </cell>
        </row>
        <row r="14223">
          <cell r="D14223" t="str">
            <v>371-53-13-C4220-101</v>
          </cell>
          <cell r="E14223" t="str">
            <v>地板组件</v>
          </cell>
        </row>
        <row r="14224">
          <cell r="D14224" t="str">
            <v>371-53-13-C4221-101</v>
          </cell>
          <cell r="E14224" t="str">
            <v>地板组件</v>
          </cell>
        </row>
        <row r="14225">
          <cell r="D14225" t="str">
            <v>371-53-13-C4222-103</v>
          </cell>
          <cell r="E14225" t="str">
            <v>地板组件</v>
          </cell>
        </row>
        <row r="14226">
          <cell r="D14226" t="str">
            <v>371-53-13-C4223-103</v>
          </cell>
          <cell r="E14226" t="str">
            <v>地板组件</v>
          </cell>
        </row>
        <row r="14227">
          <cell r="D14227" t="str">
            <v>371-53-13-C4224-103</v>
          </cell>
          <cell r="E14227" t="str">
            <v>地板组件</v>
          </cell>
        </row>
        <row r="14228">
          <cell r="D14228" t="str">
            <v>371-53-13-C4225-103</v>
          </cell>
          <cell r="E14228" t="str">
            <v>地板组件</v>
          </cell>
        </row>
        <row r="14229">
          <cell r="D14229" t="str">
            <v>371-53-13-C4226-101</v>
          </cell>
          <cell r="E14229" t="str">
            <v>地板组件</v>
          </cell>
        </row>
        <row r="14230">
          <cell r="D14230" t="str">
            <v>371-53-13-C4227-101</v>
          </cell>
          <cell r="E14230" t="str">
            <v>地板组件</v>
          </cell>
        </row>
        <row r="14231">
          <cell r="D14231" t="str">
            <v>371-53-13-C4228-103</v>
          </cell>
          <cell r="E14231" t="str">
            <v>地板组件</v>
          </cell>
        </row>
        <row r="14232">
          <cell r="D14232" t="str">
            <v>371-53-13-C4350-201</v>
          </cell>
          <cell r="E14232" t="str">
            <v>导缆器</v>
          </cell>
        </row>
        <row r="14233">
          <cell r="D14233" t="str">
            <v>371-53-16-C4260-103</v>
          </cell>
          <cell r="E14233" t="str">
            <v>地板组件</v>
          </cell>
        </row>
        <row r="14234">
          <cell r="D14234" t="str">
            <v>371-53-16-C4261-103</v>
          </cell>
          <cell r="E14234" t="str">
            <v>地板组件</v>
          </cell>
        </row>
        <row r="14235">
          <cell r="D14235" t="str">
            <v>371-53-16-C4262-101</v>
          </cell>
          <cell r="E14235" t="str">
            <v>地板组件</v>
          </cell>
        </row>
        <row r="14236">
          <cell r="D14236" t="str">
            <v>371-53-16-C4263-103</v>
          </cell>
          <cell r="E14236" t="str">
            <v>地板组件</v>
          </cell>
        </row>
        <row r="14237">
          <cell r="D14237" t="str">
            <v>371-53-16-C4264-103</v>
          </cell>
          <cell r="E14237" t="str">
            <v>地板组件</v>
          </cell>
        </row>
        <row r="14238">
          <cell r="D14238" t="str">
            <v>371-53-16-C4265-101</v>
          </cell>
          <cell r="E14238" t="str">
            <v>地板组件</v>
          </cell>
        </row>
        <row r="14239">
          <cell r="D14239" t="str">
            <v>371-25-60-C5159-105</v>
          </cell>
          <cell r="E14239" t="str">
            <v>复材面板组件</v>
          </cell>
        </row>
        <row r="14240">
          <cell r="D14240" t="str">
            <v>371-25-22-C4876-103</v>
          </cell>
          <cell r="E14240" t="str">
            <v>板</v>
          </cell>
        </row>
        <row r="14241">
          <cell r="D14241" t="str">
            <v>366-59-01-15365-105</v>
          </cell>
          <cell r="E14241" t="str">
            <v>套管</v>
          </cell>
        </row>
        <row r="14242">
          <cell r="D14242" t="str">
            <v>371-25-13-C5011-103</v>
          </cell>
          <cell r="E14242" t="str">
            <v>复材面板组件</v>
          </cell>
        </row>
        <row r="14243">
          <cell r="D14243" t="str">
            <v>371-25-22-C4822-203</v>
          </cell>
          <cell r="E14243" t="str">
            <v>条带</v>
          </cell>
        </row>
        <row r="14244">
          <cell r="D14244" t="str">
            <v>371-25-22-C5152-101</v>
          </cell>
          <cell r="E14244" t="str">
            <v>复材面板组件</v>
          </cell>
        </row>
        <row r="14245">
          <cell r="D14245" t="str">
            <v>371-25-23-C4968-101</v>
          </cell>
          <cell r="E14245" t="str">
            <v>复材面板组件</v>
          </cell>
        </row>
        <row r="14246">
          <cell r="D14246" t="str">
            <v>371-25-23-C4969-101</v>
          </cell>
          <cell r="E14246" t="str">
            <v>复材面板组件</v>
          </cell>
        </row>
        <row r="14247">
          <cell r="D14247" t="str">
            <v>371-25-23-C5013-201</v>
          </cell>
          <cell r="E14247" t="str">
            <v>盖板</v>
          </cell>
        </row>
        <row r="14248">
          <cell r="D14248" t="str">
            <v>371-25-31-C4533-105-501</v>
          </cell>
          <cell r="E14248" t="str">
            <v>复材面板组件</v>
          </cell>
        </row>
        <row r="14249">
          <cell r="D14249" t="str">
            <v>371-25-31-C4536-103</v>
          </cell>
          <cell r="E14249" t="str">
            <v>复材面板组件</v>
          </cell>
        </row>
        <row r="14250">
          <cell r="D14250" t="str">
            <v>371-25-31-C4568-103-500</v>
          </cell>
          <cell r="E14250" t="str">
            <v>复材面板组件</v>
          </cell>
        </row>
        <row r="14251">
          <cell r="D14251" t="str">
            <v>371-25-31-C4575-101</v>
          </cell>
          <cell r="E14251" t="str">
            <v>复材面板组件</v>
          </cell>
        </row>
        <row r="14252">
          <cell r="D14252" t="str">
            <v>371-25-50-C5142-201</v>
          </cell>
          <cell r="E14252" t="str">
            <v>衬垫</v>
          </cell>
        </row>
        <row r="14253">
          <cell r="D14253" t="str">
            <v>371-27-30-C8373-201</v>
          </cell>
          <cell r="E14253" t="str">
            <v>小导缆器</v>
          </cell>
        </row>
        <row r="14254">
          <cell r="D14254" t="str">
            <v>371-53-00-C3022-201</v>
          </cell>
          <cell r="E14254" t="str">
            <v>板</v>
          </cell>
        </row>
        <row r="14255">
          <cell r="D14255" t="str">
            <v>371-53-00-C3029-201</v>
          </cell>
          <cell r="E14255" t="str">
            <v>板</v>
          </cell>
        </row>
        <row r="14256">
          <cell r="D14256" t="str">
            <v>371-53-00-C3060-201</v>
          </cell>
          <cell r="E14256" t="str">
            <v>板</v>
          </cell>
        </row>
        <row r="14257">
          <cell r="D14257" t="str">
            <v>371-53-00-C3063-201</v>
          </cell>
          <cell r="E14257" t="str">
            <v>板</v>
          </cell>
        </row>
        <row r="14258">
          <cell r="D14258" t="str">
            <v>371-53-00-C3161-201</v>
          </cell>
          <cell r="E14258" t="str">
            <v>板</v>
          </cell>
        </row>
        <row r="14259">
          <cell r="D14259" t="str">
            <v>371-53-00-C3344-201</v>
          </cell>
          <cell r="E14259" t="str">
            <v>导缆器</v>
          </cell>
        </row>
        <row r="14260">
          <cell r="D14260" t="str">
            <v>371-53-00-C3740-201</v>
          </cell>
          <cell r="E14260" t="str">
            <v>导缆器</v>
          </cell>
        </row>
        <row r="14261">
          <cell r="D14261" t="str">
            <v>371-53-00-C3745-203</v>
          </cell>
          <cell r="E14261" t="str">
            <v>导缆器</v>
          </cell>
        </row>
        <row r="14262">
          <cell r="D14262" t="str">
            <v>371-53-00-C3746-203</v>
          </cell>
          <cell r="E14262" t="str">
            <v>导缆器</v>
          </cell>
        </row>
        <row r="14263">
          <cell r="D14263" t="str">
            <v>371-53-00-C3747-201</v>
          </cell>
          <cell r="E14263" t="str">
            <v>导缆器</v>
          </cell>
        </row>
        <row r="14264">
          <cell r="D14264" t="str">
            <v>371-53-00-C3747-201</v>
          </cell>
          <cell r="E14264" t="str">
            <v>导缆器</v>
          </cell>
        </row>
        <row r="14265">
          <cell r="D14265" t="str">
            <v>371-53-00-C3747-201</v>
          </cell>
          <cell r="E14265" t="str">
            <v>导缆器</v>
          </cell>
        </row>
        <row r="14266">
          <cell r="D14266" t="str">
            <v>371-53-00-C3749-201</v>
          </cell>
          <cell r="E14266" t="str">
            <v>板</v>
          </cell>
        </row>
        <row r="14267">
          <cell r="D14267" t="str">
            <v>371-53-11-C2417-101</v>
          </cell>
          <cell r="E14267" t="str">
            <v>地板组件</v>
          </cell>
        </row>
        <row r="14268">
          <cell r="D14268" t="str">
            <v>XXX-3700000-01</v>
          </cell>
          <cell r="E14268" t="str">
            <v>壳体</v>
          </cell>
        </row>
        <row r="14269">
          <cell r="D14269" t="str">
            <v>XXX-3700000-02</v>
          </cell>
          <cell r="E14269" t="str">
            <v>上盖板</v>
          </cell>
        </row>
        <row r="14270">
          <cell r="D14270" t="str">
            <v>XXX-3700000-03</v>
          </cell>
          <cell r="E14270" t="str">
            <v>下盖板</v>
          </cell>
        </row>
        <row r="14271">
          <cell r="D14271" t="str">
            <v>CB2295170-001-002</v>
          </cell>
          <cell r="E14271" t="str">
            <v>安装支座</v>
          </cell>
        </row>
        <row r="14272">
          <cell r="D14272" t="str">
            <v>CB5325125-404L001</v>
          </cell>
          <cell r="E14272" t="str">
            <v>摇臂</v>
          </cell>
        </row>
        <row r="14273">
          <cell r="D14273" t="str">
            <v>CB2283792-002-002</v>
          </cell>
          <cell r="E14273" t="str">
            <v>法兰</v>
          </cell>
        </row>
        <row r="14274">
          <cell r="D14274" t="str">
            <v>CB5314107-005-001</v>
          </cell>
          <cell r="E14274" t="str">
            <v>油箱口盖</v>
          </cell>
        </row>
        <row r="14275">
          <cell r="D14275" t="str">
            <v>CB5314107-005-001</v>
          </cell>
          <cell r="E14275" t="str">
            <v>油箱口盖</v>
          </cell>
        </row>
        <row r="14276">
          <cell r="D14276" t="str">
            <v>CB5324413-004-002</v>
          </cell>
          <cell r="E14276" t="str">
            <v>油箱底板（中）</v>
          </cell>
        </row>
        <row r="14277">
          <cell r="D14277" t="str">
            <v>CB5324413-004-002</v>
          </cell>
          <cell r="E14277" t="str">
            <v>油箱底板（中）</v>
          </cell>
        </row>
        <row r="14278">
          <cell r="D14278" t="str">
            <v>CB5324310-009L006</v>
          </cell>
          <cell r="E14278" t="str">
            <v>型材</v>
          </cell>
        </row>
        <row r="14279">
          <cell r="D14279" t="str">
            <v>CB5324310-009L006</v>
          </cell>
          <cell r="E14279" t="str">
            <v>型材</v>
          </cell>
        </row>
        <row r="14280">
          <cell r="D14280" t="str">
            <v>CB5324310-009L006</v>
          </cell>
          <cell r="E14280" t="str">
            <v>型材</v>
          </cell>
        </row>
        <row r="14281">
          <cell r="D14281" t="str">
            <v>CB5324310-009L006</v>
          </cell>
          <cell r="E14281" t="str">
            <v>型材</v>
          </cell>
        </row>
        <row r="14282">
          <cell r="D14282" t="str">
            <v>CB5324310-009R006</v>
          </cell>
          <cell r="E14282" t="str">
            <v>型材</v>
          </cell>
        </row>
        <row r="14283">
          <cell r="D14283" t="str">
            <v>CB5324310-009R006</v>
          </cell>
          <cell r="E14283" t="str">
            <v>型材</v>
          </cell>
        </row>
        <row r="14284">
          <cell r="D14284" t="str">
            <v>CB5324310-009R006</v>
          </cell>
          <cell r="E14284" t="str">
            <v>型材</v>
          </cell>
        </row>
        <row r="14285">
          <cell r="D14285" t="str">
            <v>CB5324310-009R006</v>
          </cell>
          <cell r="E14285" t="str">
            <v>型材</v>
          </cell>
        </row>
        <row r="14286">
          <cell r="D14286" t="str">
            <v>CB5324310-011L006</v>
          </cell>
          <cell r="E14286" t="str">
            <v>型材</v>
          </cell>
        </row>
        <row r="14287">
          <cell r="D14287" t="str">
            <v>CB5324310-011L006</v>
          </cell>
          <cell r="E14287" t="str">
            <v>型材</v>
          </cell>
        </row>
        <row r="14288">
          <cell r="D14288" t="str">
            <v>CB5324310-011L006</v>
          </cell>
          <cell r="E14288" t="str">
            <v>型材</v>
          </cell>
        </row>
        <row r="14289">
          <cell r="D14289" t="str">
            <v>CB5324310-011L006</v>
          </cell>
          <cell r="E14289" t="str">
            <v>型材</v>
          </cell>
        </row>
        <row r="14290">
          <cell r="D14290" t="str">
            <v>CB5324310-011R006</v>
          </cell>
          <cell r="E14290" t="str">
            <v>型材</v>
          </cell>
        </row>
        <row r="14291">
          <cell r="D14291" t="str">
            <v>CB5324310-011R006</v>
          </cell>
          <cell r="E14291" t="str">
            <v>型材</v>
          </cell>
        </row>
        <row r="14292">
          <cell r="D14292" t="str">
            <v>CB5324310-011R006</v>
          </cell>
          <cell r="E14292" t="str">
            <v>型材</v>
          </cell>
        </row>
        <row r="14293">
          <cell r="D14293" t="str">
            <v>CB5324310-011R006</v>
          </cell>
          <cell r="E14293" t="str">
            <v>型材</v>
          </cell>
        </row>
        <row r="14294">
          <cell r="D14294" t="str">
            <v>CB5315120-002L001</v>
          </cell>
          <cell r="E14294" t="str">
            <v>6820框内段</v>
          </cell>
        </row>
        <row r="14295">
          <cell r="D14295" t="str">
            <v>CB5315120-002L001</v>
          </cell>
          <cell r="E14295" t="str">
            <v>6820框内段</v>
          </cell>
        </row>
        <row r="14296">
          <cell r="D14296" t="str">
            <v>CB5315120-002L001</v>
          </cell>
          <cell r="E14296" t="str">
            <v>6820框内段</v>
          </cell>
        </row>
        <row r="14297">
          <cell r="D14297" t="str">
            <v>CB5315120-002L001</v>
          </cell>
          <cell r="E14297" t="str">
            <v>6820框内段</v>
          </cell>
        </row>
        <row r="14298">
          <cell r="D14298" t="str">
            <v>CB5315120-002L001</v>
          </cell>
          <cell r="E14298" t="str">
            <v>6820框内段</v>
          </cell>
        </row>
        <row r="14299">
          <cell r="D14299" t="str">
            <v>CB5315120-002L001</v>
          </cell>
          <cell r="E14299" t="str">
            <v>6820框内段</v>
          </cell>
        </row>
        <row r="14300">
          <cell r="D14300" t="str">
            <v>CB5315120-002R001</v>
          </cell>
          <cell r="E14300" t="str">
            <v>6820框内段</v>
          </cell>
        </row>
        <row r="14301">
          <cell r="D14301" t="str">
            <v>CB5315120-002R001</v>
          </cell>
          <cell r="E14301" t="str">
            <v>6820框内段</v>
          </cell>
        </row>
        <row r="14302">
          <cell r="D14302" t="str">
            <v>CB5315120-002R001</v>
          </cell>
          <cell r="E14302" t="str">
            <v>6820框内段</v>
          </cell>
        </row>
        <row r="14303">
          <cell r="D14303" t="str">
            <v>CB5315120-002R001</v>
          </cell>
          <cell r="E14303" t="str">
            <v>6820框内段</v>
          </cell>
        </row>
        <row r="14304">
          <cell r="D14304" t="str">
            <v>CB5315120-002R001</v>
          </cell>
          <cell r="E14304" t="str">
            <v>6820框内段</v>
          </cell>
        </row>
        <row r="14305">
          <cell r="D14305" t="str">
            <v>CB5315120-002R001</v>
          </cell>
          <cell r="E14305" t="str">
            <v>6820框内段</v>
          </cell>
        </row>
        <row r="14306">
          <cell r="D14306" t="str">
            <v>CB5315190-002L001</v>
          </cell>
          <cell r="E14306" t="str">
            <v>WL-600地板梁</v>
          </cell>
        </row>
        <row r="14307">
          <cell r="D14307" t="str">
            <v>CB5315190-002R001</v>
          </cell>
          <cell r="E14307" t="str">
            <v>WL-600地板梁</v>
          </cell>
        </row>
        <row r="14308">
          <cell r="D14308" t="str">
            <v>CB5315130-002R001</v>
          </cell>
          <cell r="E14308" t="str">
            <v>6940框内段</v>
          </cell>
        </row>
        <row r="14309">
          <cell r="D14309" t="str">
            <v>CB5315130-002R001</v>
          </cell>
          <cell r="E14309" t="str">
            <v>6940框内段</v>
          </cell>
        </row>
        <row r="14310">
          <cell r="D14310" t="str">
            <v>CB5315130-002R001</v>
          </cell>
          <cell r="E14310" t="str">
            <v>6940框内段</v>
          </cell>
        </row>
        <row r="14311">
          <cell r="D14311" t="str">
            <v>CB5315130-002R001</v>
          </cell>
          <cell r="E14311" t="str">
            <v>6940框内段</v>
          </cell>
        </row>
        <row r="14312">
          <cell r="D14312" t="str">
            <v>CB5315130-002R001</v>
          </cell>
          <cell r="E14312" t="str">
            <v>6940框内段</v>
          </cell>
        </row>
        <row r="14313">
          <cell r="D14313" t="str">
            <v>CB5315130-002R001</v>
          </cell>
          <cell r="E14313" t="str">
            <v>6940框内段</v>
          </cell>
        </row>
        <row r="14314">
          <cell r="D14314" t="str">
            <v>CB5315130-002R001</v>
          </cell>
          <cell r="E14314" t="str">
            <v>6940框内段</v>
          </cell>
        </row>
        <row r="14315">
          <cell r="D14315" t="str">
            <v>CB5315130-002L001</v>
          </cell>
          <cell r="E14315" t="str">
            <v>6940框内段</v>
          </cell>
        </row>
        <row r="14316">
          <cell r="D14316" t="str">
            <v>CB5315130-002L001</v>
          </cell>
          <cell r="E14316" t="str">
            <v>6940框内段</v>
          </cell>
        </row>
        <row r="14317">
          <cell r="D14317" t="str">
            <v>CB5315130-002L001</v>
          </cell>
          <cell r="E14317" t="str">
            <v>6940框内段</v>
          </cell>
        </row>
        <row r="14318">
          <cell r="D14318" t="str">
            <v>CB5315130-002L001</v>
          </cell>
          <cell r="E14318" t="str">
            <v>6940框内段</v>
          </cell>
        </row>
        <row r="14319">
          <cell r="D14319" t="str">
            <v>CB5315130-002L001</v>
          </cell>
          <cell r="E14319" t="str">
            <v>6940框内段</v>
          </cell>
        </row>
        <row r="14320">
          <cell r="D14320" t="str">
            <v>CB5315130-002L001</v>
          </cell>
          <cell r="E14320" t="str">
            <v>6940框内段</v>
          </cell>
        </row>
        <row r="14321">
          <cell r="D14321" t="str">
            <v>CB5315130-002L001</v>
          </cell>
          <cell r="E14321" t="str">
            <v>6940框内段</v>
          </cell>
        </row>
        <row r="14322">
          <cell r="D14322" t="str">
            <v>CB5322400-016-061</v>
          </cell>
          <cell r="E14322" t="str">
            <v>11140框左下半框</v>
          </cell>
        </row>
        <row r="14323">
          <cell r="D14323" t="str">
            <v>CB5322400-016-061</v>
          </cell>
          <cell r="E14323" t="str">
            <v>11140框左下半框</v>
          </cell>
        </row>
        <row r="14324">
          <cell r="D14324" t="str">
            <v>CB5322400-016-061</v>
          </cell>
          <cell r="E14324" t="str">
            <v>11140框左下半框</v>
          </cell>
        </row>
        <row r="14325">
          <cell r="D14325" t="str">
            <v>CB5322400-016-061</v>
          </cell>
          <cell r="E14325" t="str">
            <v>11140框左下半框</v>
          </cell>
        </row>
        <row r="14326">
          <cell r="D14326" t="str">
            <v>CB5322400-016-061</v>
          </cell>
          <cell r="E14326" t="str">
            <v>11140框左下半框</v>
          </cell>
        </row>
        <row r="14327">
          <cell r="D14327" t="str">
            <v>CB5322400-016-061</v>
          </cell>
          <cell r="E14327" t="str">
            <v>11140框左下半框</v>
          </cell>
        </row>
        <row r="14328">
          <cell r="D14328" t="str">
            <v>CB5322400-016-061</v>
          </cell>
          <cell r="E14328" t="str">
            <v>11140框左下半框</v>
          </cell>
        </row>
        <row r="14329">
          <cell r="D14329" t="str">
            <v>CB5322400-016-061</v>
          </cell>
          <cell r="E14329" t="str">
            <v>11140框左下半框</v>
          </cell>
        </row>
        <row r="14330">
          <cell r="D14330" t="str">
            <v>CB5322400-016-061</v>
          </cell>
          <cell r="E14330" t="str">
            <v>11140框左下半框</v>
          </cell>
        </row>
        <row r="14331">
          <cell r="D14331" t="str">
            <v>CB5322400-016-061</v>
          </cell>
          <cell r="E14331" t="str">
            <v>11140框左下半框</v>
          </cell>
        </row>
        <row r="14332">
          <cell r="D14332" t="str">
            <v>CB5322400-017-061</v>
          </cell>
          <cell r="E14332" t="str">
            <v>11140框右下半框</v>
          </cell>
        </row>
        <row r="14333">
          <cell r="D14333" t="str">
            <v>CB5322400-017-061</v>
          </cell>
          <cell r="E14333" t="str">
            <v>11140框右下半框</v>
          </cell>
        </row>
        <row r="14334">
          <cell r="D14334" t="str">
            <v>CB5322400-017-061</v>
          </cell>
          <cell r="E14334" t="str">
            <v>11140框右下半框</v>
          </cell>
        </row>
        <row r="14335">
          <cell r="D14335" t="str">
            <v>CB5322400-017-061</v>
          </cell>
          <cell r="E14335" t="str">
            <v>11140框右下半框</v>
          </cell>
        </row>
        <row r="14336">
          <cell r="D14336" t="str">
            <v>CB5322400-017-061</v>
          </cell>
          <cell r="E14336" t="str">
            <v>11140框右下半框</v>
          </cell>
        </row>
        <row r="14337">
          <cell r="D14337" t="str">
            <v>CB5322400-017-061</v>
          </cell>
          <cell r="E14337" t="str">
            <v>11140框右下半框</v>
          </cell>
        </row>
        <row r="14338">
          <cell r="D14338" t="str">
            <v>CB5322400-017-061</v>
          </cell>
          <cell r="E14338" t="str">
            <v>11140框右下半框</v>
          </cell>
        </row>
        <row r="14339">
          <cell r="D14339" t="str">
            <v>CB5322400-017-061</v>
          </cell>
          <cell r="E14339" t="str">
            <v>11140框右下半框</v>
          </cell>
        </row>
        <row r="14340">
          <cell r="D14340" t="str">
            <v>CB5322400-017-061</v>
          </cell>
          <cell r="E14340" t="str">
            <v>11140框右下半框</v>
          </cell>
        </row>
        <row r="14341">
          <cell r="D14341" t="str">
            <v>CB5322400-017-061</v>
          </cell>
          <cell r="E14341" t="str">
            <v>11140框右下半框</v>
          </cell>
        </row>
        <row r="14342">
          <cell r="D14342" t="str">
            <v>CB2298091-001-001</v>
          </cell>
          <cell r="E14342" t="str">
            <v>支架</v>
          </cell>
        </row>
        <row r="14343">
          <cell r="D14343" t="str">
            <v>CB2297120-005-002</v>
          </cell>
          <cell r="E14343" t="str">
            <v>支架</v>
          </cell>
        </row>
        <row r="14344">
          <cell r="D14344" t="str">
            <v>CB2294440-005-001</v>
          </cell>
          <cell r="E14344" t="str">
            <v>支架</v>
          </cell>
        </row>
        <row r="14345">
          <cell r="D14345" t="str">
            <v>CB2298611-001-001</v>
          </cell>
          <cell r="E14345" t="str">
            <v>支架</v>
          </cell>
        </row>
        <row r="14346">
          <cell r="D14346" t="str">
            <v>CB2298612-001-001</v>
          </cell>
          <cell r="E14346" t="str">
            <v>支架</v>
          </cell>
        </row>
        <row r="14347">
          <cell r="D14347" t="str">
            <v>CB2298621-001-002</v>
          </cell>
          <cell r="E14347" t="str">
            <v>支架</v>
          </cell>
        </row>
        <row r="14348">
          <cell r="D14348" t="str">
            <v>CB229C070-001R001</v>
          </cell>
          <cell r="E14348" t="str">
            <v>支架</v>
          </cell>
        </row>
        <row r="14349">
          <cell r="D14349" t="str">
            <v>CB229C071-001L001</v>
          </cell>
          <cell r="E14349" t="str">
            <v>支架</v>
          </cell>
        </row>
        <row r="14350">
          <cell r="D14350" t="str">
            <v>CB2297021-001-001</v>
          </cell>
          <cell r="E14350" t="str">
            <v>支架</v>
          </cell>
        </row>
        <row r="14351">
          <cell r="D14351" t="str">
            <v>CB2292321-001-003</v>
          </cell>
          <cell r="E14351" t="str">
            <v>支座</v>
          </cell>
        </row>
        <row r="14352">
          <cell r="D14352" t="str">
            <v>CB2292321-001-003</v>
          </cell>
          <cell r="E14352" t="str">
            <v>支座</v>
          </cell>
        </row>
        <row r="14353">
          <cell r="D14353" t="str">
            <v>CB2292321-001-003</v>
          </cell>
          <cell r="E14353" t="str">
            <v>支座</v>
          </cell>
        </row>
        <row r="14354">
          <cell r="D14354" t="str">
            <v>CB2297031-001-001</v>
          </cell>
          <cell r="E14354" t="str">
            <v>支架</v>
          </cell>
        </row>
        <row r="14355">
          <cell r="D14355" t="str">
            <v>CB2297120-006-002</v>
          </cell>
          <cell r="E14355" t="str">
            <v>支架</v>
          </cell>
        </row>
        <row r="14356">
          <cell r="D14356" t="str">
            <v>DD-J10B-65000-1820G2-1</v>
          </cell>
          <cell r="E14356" t="str">
            <v>摇臂</v>
          </cell>
        </row>
        <row r="14357">
          <cell r="D14357" t="str">
            <v>DD-J10B-65000-1820G2-1</v>
          </cell>
          <cell r="E14357" t="str">
            <v>摇臂</v>
          </cell>
        </row>
        <row r="14358">
          <cell r="D14358" t="str">
            <v>DD-J10B-04051-1</v>
          </cell>
          <cell r="E14358" t="str">
            <v>10460框</v>
          </cell>
        </row>
        <row r="14359">
          <cell r="D14359" t="str">
            <v>DD-J10B-04051-1</v>
          </cell>
          <cell r="E14359" t="str">
            <v>10460框</v>
          </cell>
        </row>
        <row r="14360">
          <cell r="D14360" t="str">
            <v>CB5314107-001-003</v>
          </cell>
          <cell r="E14360" t="str">
            <v>5550上框</v>
          </cell>
        </row>
        <row r="14361">
          <cell r="D14361" t="str">
            <v>CB5314107-001-003</v>
          </cell>
          <cell r="E14361" t="str">
            <v>5550上框</v>
          </cell>
        </row>
        <row r="14362">
          <cell r="D14362" t="str">
            <v>CB5314107-001-003</v>
          </cell>
          <cell r="E14362" t="str">
            <v>5550上框</v>
          </cell>
        </row>
        <row r="14363">
          <cell r="D14363" t="str">
            <v>CB5314107-001-003</v>
          </cell>
          <cell r="E14363" t="str">
            <v>5550上框</v>
          </cell>
        </row>
        <row r="14364">
          <cell r="D14364" t="str">
            <v>CB5327110-003L002</v>
          </cell>
          <cell r="E14364" t="str">
            <v>8635左隔框</v>
          </cell>
        </row>
        <row r="14365">
          <cell r="D14365" t="str">
            <v>CB5327110-003L002</v>
          </cell>
          <cell r="E14365" t="str">
            <v>8635左隔框</v>
          </cell>
        </row>
        <row r="14366">
          <cell r="D14366" t="str">
            <v>CB5327110-003L002</v>
          </cell>
          <cell r="E14366" t="str">
            <v>8635左隔框</v>
          </cell>
        </row>
        <row r="14367">
          <cell r="D14367" t="str">
            <v>CB5327110-003L002</v>
          </cell>
          <cell r="E14367" t="str">
            <v>8635左隔框</v>
          </cell>
        </row>
        <row r="14368">
          <cell r="D14368" t="str">
            <v>CB5327110-003R002</v>
          </cell>
          <cell r="E14368" t="str">
            <v>8635右隔框</v>
          </cell>
        </row>
        <row r="14369">
          <cell r="D14369" t="str">
            <v>CB5327110-003R002</v>
          </cell>
          <cell r="E14369" t="str">
            <v>8635右隔框</v>
          </cell>
        </row>
        <row r="14370">
          <cell r="D14370" t="str">
            <v>CB5327110-003R002</v>
          </cell>
          <cell r="E14370" t="str">
            <v>8635右隔框</v>
          </cell>
        </row>
        <row r="14371">
          <cell r="D14371" t="str">
            <v>CB5327110-003R002</v>
          </cell>
          <cell r="E14371" t="str">
            <v>8635右隔框</v>
          </cell>
        </row>
        <row r="14372">
          <cell r="D14372" t="str">
            <v>CB5327110-002L004</v>
          </cell>
          <cell r="E14372" t="str">
            <v>8270左隔框</v>
          </cell>
        </row>
        <row r="14373">
          <cell r="D14373" t="str">
            <v>CB5327110-002L004</v>
          </cell>
          <cell r="E14373" t="str">
            <v>8270左隔框</v>
          </cell>
        </row>
        <row r="14374">
          <cell r="D14374" t="str">
            <v>CB5327110-002L004</v>
          </cell>
          <cell r="E14374" t="str">
            <v>8270左隔框</v>
          </cell>
        </row>
        <row r="14375">
          <cell r="D14375" t="str">
            <v>CB5327110-002R004</v>
          </cell>
          <cell r="E14375" t="str">
            <v>8270右隔框</v>
          </cell>
        </row>
        <row r="14376">
          <cell r="D14376" t="str">
            <v>CB5327110-002R004</v>
          </cell>
          <cell r="E14376" t="str">
            <v>8270右隔框</v>
          </cell>
        </row>
        <row r="14377">
          <cell r="D14377" t="str">
            <v>CB5327110-002R004</v>
          </cell>
          <cell r="E14377" t="str">
            <v>8270右隔框</v>
          </cell>
        </row>
        <row r="14378">
          <cell r="D14378" t="str">
            <v>CB5326200-131L002</v>
          </cell>
          <cell r="E14378" t="str">
            <v>8455 4号加强筋</v>
          </cell>
        </row>
        <row r="14379">
          <cell r="D14379" t="str">
            <v>CB5326200-131L002</v>
          </cell>
          <cell r="E14379" t="str">
            <v>8455 4号加强筋</v>
          </cell>
        </row>
        <row r="14380">
          <cell r="D14380" t="str">
            <v>CB5326200-131R002</v>
          </cell>
          <cell r="E14380" t="str">
            <v>8455 4号加强筋</v>
          </cell>
        </row>
        <row r="14381">
          <cell r="D14381" t="str">
            <v>CB5326200-131R002</v>
          </cell>
          <cell r="E14381" t="str">
            <v>8455 4号加强筋</v>
          </cell>
        </row>
        <row r="14382">
          <cell r="D14382" t="str">
            <v>528A1230-000-003</v>
          </cell>
          <cell r="E14382" t="str">
            <v>铰链</v>
          </cell>
        </row>
        <row r="14383">
          <cell r="D14383" t="str">
            <v>528A1230-000-003</v>
          </cell>
          <cell r="E14383" t="str">
            <v>铰链</v>
          </cell>
        </row>
        <row r="14384">
          <cell r="D14384" t="str">
            <v>528A1230-000-004</v>
          </cell>
          <cell r="E14384" t="str">
            <v>铰链</v>
          </cell>
        </row>
        <row r="14385">
          <cell r="D14385" t="str">
            <v>528A1210-000-004</v>
          </cell>
          <cell r="E14385" t="str">
            <v>铰链</v>
          </cell>
        </row>
        <row r="14386">
          <cell r="D14386" t="str">
            <v>529A1200-002-001</v>
          </cell>
          <cell r="E14386" t="str">
            <v>铰链接头</v>
          </cell>
        </row>
        <row r="14387">
          <cell r="D14387" t="str">
            <v>529A1200-002-001</v>
          </cell>
          <cell r="E14387" t="str">
            <v>铰链接头</v>
          </cell>
        </row>
        <row r="14388">
          <cell r="D14388" t="str">
            <v>524A2240-002-001</v>
          </cell>
          <cell r="E14388" t="str">
            <v>服务门下折板平板合页</v>
          </cell>
        </row>
        <row r="14389">
          <cell r="D14389" t="str">
            <v>524A2240-002-001</v>
          </cell>
          <cell r="E14389" t="str">
            <v>服务门下折板平板合页</v>
          </cell>
        </row>
        <row r="14390">
          <cell r="D14390" t="str">
            <v>BC2299241-004-001</v>
          </cell>
          <cell r="E14390" t="str">
            <v>套筒</v>
          </cell>
        </row>
        <row r="14391">
          <cell r="D14391" t="str">
            <v>BC2299241-004-001</v>
          </cell>
          <cell r="E14391" t="str">
            <v>套筒</v>
          </cell>
        </row>
        <row r="14392">
          <cell r="D14392" t="str">
            <v>BC5836010-005-001</v>
          </cell>
          <cell r="E14392" t="str">
            <v>堵塞</v>
          </cell>
        </row>
        <row r="14393">
          <cell r="D14393" t="str">
            <v>BC2711314-001-001</v>
          </cell>
          <cell r="E14393" t="str">
            <v>短管</v>
          </cell>
        </row>
        <row r="14394">
          <cell r="D14394" t="str">
            <v>BC2286640-001-001</v>
          </cell>
          <cell r="E14394" t="str">
            <v>管接头</v>
          </cell>
        </row>
        <row r="14395">
          <cell r="D14395" t="str">
            <v>CB2747GA0-002-002</v>
          </cell>
          <cell r="E14395" t="str">
            <v>扩压式管接头</v>
          </cell>
        </row>
        <row r="14396">
          <cell r="D14396" t="str">
            <v>CB5811100-004-001</v>
          </cell>
          <cell r="E14396" t="str">
            <v>连接轴</v>
          </cell>
        </row>
        <row r="14397">
          <cell r="D14397" t="str">
            <v>CB2284461-001-001</v>
          </cell>
          <cell r="E14397" t="str">
            <v>法兰</v>
          </cell>
        </row>
        <row r="14398">
          <cell r="D14398" t="str">
            <v>CB22837F1-001-001</v>
          </cell>
          <cell r="E14398" t="str">
            <v>法兰</v>
          </cell>
        </row>
        <row r="14399">
          <cell r="D14399" t="str">
            <v>CB2747G10-002-002</v>
          </cell>
          <cell r="E14399" t="str">
            <v>管接头</v>
          </cell>
        </row>
        <row r="14400">
          <cell r="D14400" t="str">
            <v>CB22877HD-001-001</v>
          </cell>
          <cell r="E14400" t="str">
            <v>变径直通管接头</v>
          </cell>
        </row>
        <row r="14401">
          <cell r="D14401" t="str">
            <v>CB22877HD-001-001</v>
          </cell>
          <cell r="E14401" t="str">
            <v>变径直通管接头</v>
          </cell>
        </row>
        <row r="14402">
          <cell r="D14402" t="str">
            <v>CB22832G3-004-001</v>
          </cell>
          <cell r="E14402" t="str">
            <v>收口接头</v>
          </cell>
        </row>
        <row r="14403">
          <cell r="D14403" t="str">
            <v>CB22843G7-002-001</v>
          </cell>
          <cell r="E14403" t="str">
            <v>三叉管接头</v>
          </cell>
        </row>
        <row r="14404">
          <cell r="D14404" t="str">
            <v>CB5325125-404R001</v>
          </cell>
          <cell r="E14404" t="str">
            <v>摇臂</v>
          </cell>
        </row>
        <row r="14405">
          <cell r="D14405" t="str">
            <v>CB5325125-404L001</v>
          </cell>
          <cell r="E14405" t="str">
            <v>摇臂</v>
          </cell>
        </row>
        <row r="14406">
          <cell r="D14406" t="str">
            <v>CB5811400-002-001</v>
          </cell>
          <cell r="E14406" t="str">
            <v>支架</v>
          </cell>
        </row>
        <row r="14407">
          <cell r="D14407" t="str">
            <v>DD-J10S-61011-32</v>
          </cell>
          <cell r="E14407" t="str">
            <v>接板</v>
          </cell>
        </row>
        <row r="14408">
          <cell r="D14408" t="str">
            <v>CB229B412-003-001</v>
          </cell>
          <cell r="E14408" t="str">
            <v>管夹</v>
          </cell>
        </row>
        <row r="14409">
          <cell r="D14409" t="str">
            <v>CB2284764-002-001</v>
          </cell>
          <cell r="E14409" t="str">
            <v>接头</v>
          </cell>
        </row>
        <row r="14410">
          <cell r="D14410" t="str">
            <v>BC3132110-003-001</v>
          </cell>
          <cell r="E14410" t="str">
            <v>杆</v>
          </cell>
        </row>
        <row r="14411">
          <cell r="D14411" t="str">
            <v>BC2711363-001-001</v>
          </cell>
          <cell r="E14411" t="str">
            <v>螺母</v>
          </cell>
        </row>
        <row r="14412">
          <cell r="D14412" t="str">
            <v>Y20-5312140011-001</v>
          </cell>
          <cell r="E14412" t="str">
            <v>接头</v>
          </cell>
        </row>
        <row r="14413">
          <cell r="D14413" t="str">
            <v>Y20-5318210002-002</v>
          </cell>
          <cell r="E14413" t="str">
            <v>前撑杆交点衬套</v>
          </cell>
        </row>
        <row r="14414">
          <cell r="D14414" t="str">
            <v>Y20-5312100231-001</v>
          </cell>
          <cell r="E14414" t="str">
            <v>支座</v>
          </cell>
        </row>
        <row r="14415">
          <cell r="D14415" t="str">
            <v>Y20-5319540003-001</v>
          </cell>
          <cell r="E14415" t="str">
            <v>转盘</v>
          </cell>
        </row>
        <row r="14416">
          <cell r="D14416" t="str">
            <v>Y20-5319540003-001</v>
          </cell>
          <cell r="E14416" t="str">
            <v>转盘</v>
          </cell>
        </row>
        <row r="14417">
          <cell r="D14417" t="str">
            <v>CB2280211-004-001</v>
          </cell>
          <cell r="E14417" t="str">
            <v>穿框管接头</v>
          </cell>
        </row>
        <row r="14418">
          <cell r="D14418" t="str">
            <v>CB2280211-004-001</v>
          </cell>
          <cell r="E14418" t="str">
            <v>穿框管接头</v>
          </cell>
        </row>
        <row r="14419">
          <cell r="D14419" t="str">
            <v>CB2747GA0-002-002</v>
          </cell>
          <cell r="E14419" t="str">
            <v>扩压式管接头</v>
          </cell>
        </row>
        <row r="14420">
          <cell r="D14420" t="str">
            <v>CB2747GA0-002-002</v>
          </cell>
          <cell r="E14420" t="str">
            <v>扩压式管接头</v>
          </cell>
        </row>
        <row r="14421">
          <cell r="D14421" t="str">
            <v>CB2747R00-002-001</v>
          </cell>
          <cell r="E14421" t="str">
            <v>三通管接头</v>
          </cell>
        </row>
        <row r="14422">
          <cell r="D14422" t="str">
            <v>CB2747R00-002-001</v>
          </cell>
          <cell r="E14422" t="str">
            <v>三通管接头</v>
          </cell>
        </row>
        <row r="14423">
          <cell r="D14423" t="str">
            <v>CB22984B0-002-001</v>
          </cell>
          <cell r="E14423" t="str">
            <v>管夹</v>
          </cell>
        </row>
        <row r="14424">
          <cell r="D14424" t="str">
            <v>CB2298612-002-001</v>
          </cell>
          <cell r="E14424" t="str">
            <v>管夹</v>
          </cell>
        </row>
        <row r="14425">
          <cell r="D14425" t="str">
            <v>CB2747G30-002-002</v>
          </cell>
          <cell r="E14425" t="str">
            <v>管接头</v>
          </cell>
        </row>
        <row r="14426">
          <cell r="D14426" t="str">
            <v>CB5814000-005-001</v>
          </cell>
          <cell r="E14426" t="str">
            <v>垫圈</v>
          </cell>
        </row>
        <row r="14427">
          <cell r="D14427" t="str">
            <v>CB5811100-010-001</v>
          </cell>
          <cell r="E14427" t="str">
            <v>螺栓</v>
          </cell>
        </row>
        <row r="14428">
          <cell r="D14428" t="str">
            <v>CB2747C30-012-001</v>
          </cell>
          <cell r="E14428" t="str">
            <v>管接嘴</v>
          </cell>
        </row>
        <row r="14429">
          <cell r="D14429" t="str">
            <v>CB2747C30-012-001</v>
          </cell>
          <cell r="E14429" t="str">
            <v>管接嘴</v>
          </cell>
        </row>
        <row r="14430">
          <cell r="D14430" t="str">
            <v>CB2747C30-012-001</v>
          </cell>
          <cell r="E14430" t="str">
            <v>管接嘴</v>
          </cell>
        </row>
        <row r="14431">
          <cell r="D14431" t="str">
            <v>CB2747G30-003-002</v>
          </cell>
          <cell r="E14431" t="str">
            <v>管接头</v>
          </cell>
        </row>
        <row r="14432">
          <cell r="D14432" t="str">
            <v>CB2747G30-003-002</v>
          </cell>
          <cell r="E14432" t="str">
            <v>管接头</v>
          </cell>
        </row>
        <row r="14433">
          <cell r="D14433" t="str">
            <v>CB5812000-028-001</v>
          </cell>
          <cell r="E14433" t="str">
            <v>螺栓</v>
          </cell>
        </row>
        <row r="14434">
          <cell r="D14434" t="str">
            <v>CB5811300-003-001</v>
          </cell>
          <cell r="E14434" t="str">
            <v>转轴</v>
          </cell>
        </row>
        <row r="14435">
          <cell r="D14435" t="str">
            <v>CB5814000-004-001</v>
          </cell>
          <cell r="E14435" t="str">
            <v>垫圈</v>
          </cell>
        </row>
        <row r="14436">
          <cell r="D14436" t="str">
            <v>CB2294170-003-001</v>
          </cell>
          <cell r="E14436" t="str">
            <v>支架</v>
          </cell>
        </row>
        <row r="14437">
          <cell r="D14437" t="str">
            <v>DD-J10-04401-104</v>
          </cell>
          <cell r="E14437" t="str">
            <v>接头</v>
          </cell>
        </row>
        <row r="14438">
          <cell r="D14438" t="str">
            <v>DD-J10-05236-1-Z</v>
          </cell>
          <cell r="E14438" t="str">
            <v>腹鳍前接头（左件）</v>
          </cell>
        </row>
        <row r="14439">
          <cell r="D14439" t="str">
            <v>DD-J10B-04041-1</v>
          </cell>
          <cell r="E14439" t="str">
            <v>10060框</v>
          </cell>
        </row>
        <row r="14440">
          <cell r="D14440" t="str">
            <v>DD-J10B-04041-1</v>
          </cell>
          <cell r="E14440" t="str">
            <v>10060框</v>
          </cell>
        </row>
        <row r="14441">
          <cell r="D14441" t="str">
            <v>DD-J10B-04041-1</v>
          </cell>
          <cell r="E14441" t="str">
            <v>10060框</v>
          </cell>
        </row>
        <row r="14442">
          <cell r="D14442" t="str">
            <v>DD-J10B-04041-1</v>
          </cell>
          <cell r="E14442" t="str">
            <v>10060框</v>
          </cell>
        </row>
        <row r="14443">
          <cell r="D14443" t="str">
            <v>DD-J10B-04041-1</v>
          </cell>
          <cell r="E14443" t="str">
            <v>10060框</v>
          </cell>
        </row>
        <row r="14444">
          <cell r="D14444" t="str">
            <v>DD-J10-96031-121</v>
          </cell>
          <cell r="E14444" t="str">
            <v>销棒</v>
          </cell>
        </row>
        <row r="14445">
          <cell r="D14445" t="str">
            <v>DD-J10-96031-121</v>
          </cell>
          <cell r="E14445" t="str">
            <v>销棒</v>
          </cell>
        </row>
        <row r="14446">
          <cell r="D14446" t="str">
            <v>DD-J10B-41163-30-1</v>
          </cell>
          <cell r="E14446" t="str">
            <v>管子</v>
          </cell>
        </row>
        <row r="14447">
          <cell r="D14447" t="str">
            <v>DD-J10-96031-111</v>
          </cell>
          <cell r="E14447" t="str">
            <v>螺母</v>
          </cell>
        </row>
        <row r="14448">
          <cell r="D14448" t="str">
            <v>DD-J10-86021-4020-1</v>
          </cell>
          <cell r="E14448" t="str">
            <v>套筒</v>
          </cell>
        </row>
        <row r="14449">
          <cell r="D14449" t="str">
            <v>DD-J10-86021-5000-1</v>
          </cell>
          <cell r="E14449" t="str">
            <v>斜垫块</v>
          </cell>
        </row>
        <row r="14450">
          <cell r="D14450" t="str">
            <v>DD-J10B-64016-700-1</v>
          </cell>
          <cell r="E14450" t="str">
            <v>短管</v>
          </cell>
        </row>
        <row r="14451">
          <cell r="D14451" t="str">
            <v>CB2280231N003-001</v>
          </cell>
          <cell r="E14451" t="str">
            <v>管子</v>
          </cell>
        </row>
        <row r="14452">
          <cell r="D14452" t="str">
            <v>CB22836Y6-003-001</v>
          </cell>
          <cell r="E14452" t="str">
            <v>轴</v>
          </cell>
        </row>
        <row r="14453">
          <cell r="D14453" t="str">
            <v>Y20-5312225026-002</v>
          </cell>
          <cell r="E14453" t="str">
            <v>纵向加强件</v>
          </cell>
        </row>
        <row r="14454">
          <cell r="D14454" t="str">
            <v>Y20-5312225026-001</v>
          </cell>
          <cell r="E14454" t="str">
            <v>纵向加强件</v>
          </cell>
        </row>
        <row r="14455">
          <cell r="D14455" t="str">
            <v>Y20-5312225029-002</v>
          </cell>
          <cell r="E14455" t="str">
            <v>纵向加强件</v>
          </cell>
        </row>
        <row r="14456">
          <cell r="D14456" t="str">
            <v>Y20-5312225029-001</v>
          </cell>
          <cell r="E14456" t="str">
            <v>纵向加强件</v>
          </cell>
        </row>
        <row r="14457">
          <cell r="D14457" t="str">
            <v>Y20-5312225027-002</v>
          </cell>
          <cell r="E14457" t="str">
            <v>纵向加强件</v>
          </cell>
        </row>
        <row r="14458">
          <cell r="D14458" t="str">
            <v>Y20-5312225027-001</v>
          </cell>
          <cell r="E14458" t="str">
            <v>纵向加强件</v>
          </cell>
        </row>
        <row r="14459">
          <cell r="D14459" t="str">
            <v>Y20-5312225025-002</v>
          </cell>
          <cell r="E14459" t="str">
            <v>纵向加强件</v>
          </cell>
        </row>
        <row r="14460">
          <cell r="D14460" t="str">
            <v>Y20-5312225025-001</v>
          </cell>
          <cell r="E14460" t="str">
            <v>纵向加强件</v>
          </cell>
        </row>
        <row r="14461">
          <cell r="D14461" t="str">
            <v>DD-J10-05236-1-Y</v>
          </cell>
          <cell r="E14461" t="str">
            <v>腹鳍前接头（右件）</v>
          </cell>
        </row>
        <row r="14462">
          <cell r="D14462" t="str">
            <v>DD-J10-05236-15-Z</v>
          </cell>
          <cell r="E14462" t="str">
            <v>角材（左件)</v>
          </cell>
        </row>
        <row r="14463">
          <cell r="D14463" t="str">
            <v>DD-J10-05236-15-Z</v>
          </cell>
          <cell r="E14463" t="str">
            <v>角材（左件)</v>
          </cell>
        </row>
        <row r="14464">
          <cell r="D14464" t="str">
            <v>DD-J10-25002-1-Y</v>
          </cell>
          <cell r="E14464" t="str">
            <v>第3肋</v>
          </cell>
        </row>
        <row r="14465">
          <cell r="D14465" t="str">
            <v>DD-J10-25002-1-Y</v>
          </cell>
          <cell r="E14465" t="str">
            <v>第3肋</v>
          </cell>
        </row>
        <row r="14466">
          <cell r="D14466" t="str">
            <v>DD-J10-21102-32-Y</v>
          </cell>
          <cell r="E14466" t="str">
            <v>10060下接头</v>
          </cell>
        </row>
        <row r="14467">
          <cell r="D14467" t="str">
            <v>DD-J10-21102-32-Y</v>
          </cell>
          <cell r="E14467" t="str">
            <v>10060下接头</v>
          </cell>
        </row>
        <row r="14468">
          <cell r="D14468" t="str">
            <v>DD-J10-21102-32-Z</v>
          </cell>
          <cell r="E14468" t="str">
            <v>10060下接头</v>
          </cell>
        </row>
        <row r="14469">
          <cell r="D14469" t="str">
            <v>DD-J10-21102-32-Z</v>
          </cell>
          <cell r="E14469" t="str">
            <v>10060下接头</v>
          </cell>
        </row>
        <row r="14470">
          <cell r="D14470" t="str">
            <v>CB5324310-011L006</v>
          </cell>
          <cell r="E14470" t="str">
            <v>型材</v>
          </cell>
        </row>
        <row r="14471">
          <cell r="D14471" t="str">
            <v>CB5324310-011R006</v>
          </cell>
          <cell r="E14471" t="str">
            <v>型材</v>
          </cell>
        </row>
        <row r="14472">
          <cell r="D14472" t="str">
            <v>CB5324310-016-006</v>
          </cell>
          <cell r="E14472" t="str">
            <v>带板</v>
          </cell>
        </row>
        <row r="14473">
          <cell r="D14473" t="str">
            <v>CB3014940-001-002</v>
          </cell>
          <cell r="E14473" t="str">
            <v>左BL297侧框</v>
          </cell>
        </row>
        <row r="14474">
          <cell r="D14474" t="str">
            <v>CB3014940-001-002</v>
          </cell>
          <cell r="E14474" t="str">
            <v>左BL297侧框</v>
          </cell>
        </row>
        <row r="14475">
          <cell r="D14475" t="str">
            <v>CB3014940-001-002</v>
          </cell>
          <cell r="E14475" t="str">
            <v>左BL297侧框</v>
          </cell>
        </row>
        <row r="14476">
          <cell r="D14476" t="str">
            <v>CB3014940-001-002</v>
          </cell>
          <cell r="E14476" t="str">
            <v>左BL297侧框</v>
          </cell>
        </row>
        <row r="14477">
          <cell r="D14477" t="str">
            <v>CB5324413-004-002</v>
          </cell>
          <cell r="E14477" t="str">
            <v>油箱底板（中）</v>
          </cell>
        </row>
        <row r="14478">
          <cell r="D14478" t="str">
            <v>CB5324413-004-002</v>
          </cell>
          <cell r="E14478" t="str">
            <v>油箱底板（中）</v>
          </cell>
        </row>
        <row r="14479">
          <cell r="D14479" t="str">
            <v>CB5512300-015R001</v>
          </cell>
          <cell r="E14479" t="str">
            <v>角盒</v>
          </cell>
        </row>
        <row r="14480">
          <cell r="D14480" t="str">
            <v>CB5512300-015R001</v>
          </cell>
          <cell r="E14480" t="str">
            <v>角盒</v>
          </cell>
        </row>
        <row r="14481">
          <cell r="D14481" t="str">
            <v>CB5512300-015R001</v>
          </cell>
          <cell r="E14481" t="str">
            <v>角盒</v>
          </cell>
        </row>
        <row r="14482">
          <cell r="D14482" t="str">
            <v>CB5512300-015L001</v>
          </cell>
          <cell r="E14482" t="str">
            <v>角盒</v>
          </cell>
        </row>
        <row r="14483">
          <cell r="D14483" t="str">
            <v>CB5512300-015L001</v>
          </cell>
          <cell r="E14483" t="str">
            <v>角盒</v>
          </cell>
        </row>
        <row r="14484">
          <cell r="D14484" t="str">
            <v>CB5512300-015L001</v>
          </cell>
          <cell r="E14484" t="str">
            <v>角盒</v>
          </cell>
        </row>
        <row r="14485">
          <cell r="D14485" t="str">
            <v>DD-J10-21102-250-2-Z</v>
          </cell>
          <cell r="E14485" t="str">
            <v>11900梁二段</v>
          </cell>
        </row>
        <row r="14486">
          <cell r="D14486" t="str">
            <v>CB5324320-004L006</v>
          </cell>
          <cell r="E14486" t="str">
            <v>侧下支持件</v>
          </cell>
        </row>
        <row r="14487">
          <cell r="D14487" t="str">
            <v>CB2297120-006-002</v>
          </cell>
          <cell r="E14487" t="str">
            <v>支架</v>
          </cell>
        </row>
        <row r="14488">
          <cell r="D14488" t="str">
            <v>CB5315191-014L004</v>
          </cell>
          <cell r="E14488" t="str">
            <v>排气下侧壁</v>
          </cell>
        </row>
        <row r="14489">
          <cell r="D14489" t="str">
            <v>CB2297041-001-001</v>
          </cell>
          <cell r="E14489" t="str">
            <v>支架</v>
          </cell>
        </row>
        <row r="14490">
          <cell r="D14490" t="str">
            <v>CB2297011-001-001</v>
          </cell>
          <cell r="E14490" t="str">
            <v>支架</v>
          </cell>
        </row>
        <row r="14491">
          <cell r="D14491" t="str">
            <v>CB2297011-002-001</v>
          </cell>
          <cell r="E14491" t="str">
            <v>支架</v>
          </cell>
        </row>
        <row r="14492">
          <cell r="D14492" t="str">
            <v>CB2297031-001-001</v>
          </cell>
          <cell r="E14492" t="str">
            <v>支架</v>
          </cell>
        </row>
        <row r="14493">
          <cell r="D14493" t="str">
            <v>CB2297032-001-001</v>
          </cell>
          <cell r="E14493" t="str">
            <v>支架</v>
          </cell>
        </row>
        <row r="14494">
          <cell r="D14494" t="str">
            <v>CB2297012-001-001</v>
          </cell>
          <cell r="E14494" t="str">
            <v>支架</v>
          </cell>
        </row>
        <row r="14495">
          <cell r="D14495" t="str">
            <v>CB2297120-005-002</v>
          </cell>
          <cell r="E14495" t="str">
            <v>支架</v>
          </cell>
        </row>
        <row r="14496">
          <cell r="D14496" t="str">
            <v>CB5811300-002-001</v>
          </cell>
          <cell r="E14496" t="str">
            <v>垫圈</v>
          </cell>
        </row>
        <row r="14497">
          <cell r="D14497" t="str">
            <v>CB2284460-007-001</v>
          </cell>
          <cell r="E14497" t="str">
            <v>四通接头</v>
          </cell>
        </row>
        <row r="14498">
          <cell r="D14498" t="str">
            <v>CB5313231-001-006</v>
          </cell>
          <cell r="E14498" t="str">
            <v>管接头</v>
          </cell>
        </row>
        <row r="14499">
          <cell r="D14499" t="str">
            <v>CB5313231-001-006</v>
          </cell>
          <cell r="E14499" t="str">
            <v>管接头</v>
          </cell>
        </row>
        <row r="14500">
          <cell r="D14500" t="str">
            <v>CB2276731-007-001</v>
          </cell>
          <cell r="E14500" t="str">
            <v>筋条5</v>
          </cell>
        </row>
        <row r="14501">
          <cell r="D14501" t="str">
            <v>CB2298814-002-001</v>
          </cell>
          <cell r="E14501" t="str">
            <v>角片</v>
          </cell>
        </row>
        <row r="14502">
          <cell r="D14502" t="str">
            <v>CB22844A0-002-001</v>
          </cell>
          <cell r="E14502" t="str">
            <v>三通接头</v>
          </cell>
        </row>
        <row r="14503">
          <cell r="D14503" t="str">
            <v>CB22844A0-002-001</v>
          </cell>
          <cell r="E14503" t="str">
            <v>三通接头</v>
          </cell>
        </row>
        <row r="14504">
          <cell r="D14504" t="str">
            <v>CB2284460-007-001</v>
          </cell>
          <cell r="E14504" t="str">
            <v>四通接头</v>
          </cell>
        </row>
        <row r="14505">
          <cell r="D14505" t="str">
            <v>CB2284460-004-001</v>
          </cell>
          <cell r="E14505" t="str">
            <v>四通接头</v>
          </cell>
        </row>
        <row r="14506">
          <cell r="D14506" t="str">
            <v>CB2248146-001-006</v>
          </cell>
          <cell r="E14506" t="str">
            <v>支片6</v>
          </cell>
        </row>
        <row r="14507">
          <cell r="D14507" t="str">
            <v>CB2248145-001-006</v>
          </cell>
          <cell r="E14507" t="str">
            <v>支片5</v>
          </cell>
        </row>
        <row r="14508">
          <cell r="D14508" t="str">
            <v>CB2248145-001-006</v>
          </cell>
          <cell r="E14508" t="str">
            <v>支片5</v>
          </cell>
        </row>
        <row r="14509">
          <cell r="D14509" t="str">
            <v>CB2284480-003-001</v>
          </cell>
          <cell r="E14509" t="str">
            <v>四通接头</v>
          </cell>
        </row>
        <row r="14510">
          <cell r="D14510" t="str">
            <v>CB2248143-001-006</v>
          </cell>
          <cell r="E14510" t="str">
            <v>支片3</v>
          </cell>
        </row>
        <row r="14511">
          <cell r="D14511" t="str">
            <v>CB5811100-006-001</v>
          </cell>
          <cell r="E14511" t="str">
            <v>垫圈</v>
          </cell>
        </row>
        <row r="14512">
          <cell r="D14512" t="str">
            <v>CB5811100-005-001</v>
          </cell>
          <cell r="E14512" t="str">
            <v>螺栓</v>
          </cell>
        </row>
        <row r="14513">
          <cell r="D14513" t="str">
            <v>CB22843G7-002-001</v>
          </cell>
          <cell r="E14513" t="str">
            <v>三叉管接头</v>
          </cell>
        </row>
        <row r="14514">
          <cell r="D14514" t="str">
            <v>CB22857F8-003-002</v>
          </cell>
          <cell r="E14514" t="str">
            <v>法兰</v>
          </cell>
        </row>
        <row r="14515">
          <cell r="D14515" t="str">
            <v>CB5350510-002-006</v>
          </cell>
          <cell r="E14515" t="str">
            <v>扶手支座</v>
          </cell>
        </row>
        <row r="14516">
          <cell r="D14516" t="str">
            <v>CB221T2LF-003-003</v>
          </cell>
          <cell r="E14516" t="str">
            <v>接管嘴</v>
          </cell>
        </row>
        <row r="14517">
          <cell r="D14517" t="str">
            <v>CB2263280-001-002</v>
          </cell>
          <cell r="E14517" t="str">
            <v>喷嘴</v>
          </cell>
        </row>
        <row r="14518">
          <cell r="D14518" t="str">
            <v>CB22110LAN002-001</v>
          </cell>
          <cell r="E14518" t="str">
            <v>管嘴</v>
          </cell>
        </row>
        <row r="14519">
          <cell r="D14519" t="str">
            <v>CB22110LAN002-001</v>
          </cell>
          <cell r="E14519" t="str">
            <v>管嘴</v>
          </cell>
        </row>
        <row r="14520">
          <cell r="D14520" t="str">
            <v>CB22110LAN002-001</v>
          </cell>
          <cell r="E14520" t="str">
            <v>管嘴</v>
          </cell>
        </row>
        <row r="14521">
          <cell r="D14521" t="str">
            <v>CB22110LAN002-001</v>
          </cell>
          <cell r="E14521" t="str">
            <v>管嘴</v>
          </cell>
        </row>
        <row r="14522">
          <cell r="D14522" t="str">
            <v>CB22110LAN002-001</v>
          </cell>
          <cell r="E14522" t="str">
            <v>管嘴</v>
          </cell>
        </row>
        <row r="14523">
          <cell r="D14523" t="str">
            <v>DD-J10-55165-190-2</v>
          </cell>
          <cell r="E14523" t="str">
            <v>夹子</v>
          </cell>
        </row>
        <row r="14524">
          <cell r="D14524" t="str">
            <v>CB22877HD-001-001</v>
          </cell>
          <cell r="E14524" t="str">
            <v>变径直通管接头</v>
          </cell>
        </row>
        <row r="14525">
          <cell r="D14525" t="str">
            <v>DD-J10B-02081-61-Y</v>
          </cell>
          <cell r="E14525" t="str">
            <v>角材</v>
          </cell>
        </row>
        <row r="14526">
          <cell r="D14526" t="str">
            <v>DD-J10B-02081-61-Z</v>
          </cell>
          <cell r="E14526" t="str">
            <v>角材</v>
          </cell>
        </row>
        <row r="14527">
          <cell r="D14527" t="str">
            <v>CB5326200-133L002</v>
          </cell>
          <cell r="E14527" t="str">
            <v>8815 4号加强筋</v>
          </cell>
        </row>
        <row r="14528">
          <cell r="D14528" t="str">
            <v>CB5326200-133L002</v>
          </cell>
          <cell r="E14528" t="str">
            <v>8815 4号加强筋</v>
          </cell>
        </row>
        <row r="14529">
          <cell r="D14529" t="str">
            <v>CB5326200-133R002</v>
          </cell>
          <cell r="E14529" t="str">
            <v>8815 4号加强筋</v>
          </cell>
        </row>
        <row r="14530">
          <cell r="D14530" t="str">
            <v>CB5326200-133R002</v>
          </cell>
          <cell r="E14530" t="str">
            <v>8815 4号加强筋</v>
          </cell>
        </row>
        <row r="14531">
          <cell r="D14531" t="str">
            <v>CB5326200-134L002</v>
          </cell>
          <cell r="E14531" t="str">
            <v>9010 4号加强筋</v>
          </cell>
        </row>
        <row r="14532">
          <cell r="D14532" t="str">
            <v>CB5326200-134L002</v>
          </cell>
          <cell r="E14532" t="str">
            <v>9010 4号加强筋</v>
          </cell>
        </row>
        <row r="14533">
          <cell r="D14533" t="str">
            <v>CB5326200-134R002</v>
          </cell>
          <cell r="E14533" t="str">
            <v>9010 4号加强筋</v>
          </cell>
        </row>
        <row r="14534">
          <cell r="D14534" t="str">
            <v>CB5326200-134R002</v>
          </cell>
          <cell r="E14534" t="str">
            <v>9010 4号加强筋</v>
          </cell>
        </row>
        <row r="14535">
          <cell r="D14535" t="str">
            <v>CB5314107-001-003</v>
          </cell>
          <cell r="E14535" t="str">
            <v>5550上框</v>
          </cell>
        </row>
        <row r="14536">
          <cell r="D14536" t="str">
            <v>CB5314107-001-003</v>
          </cell>
          <cell r="E14536" t="str">
            <v>5550上框</v>
          </cell>
        </row>
        <row r="14537">
          <cell r="D14537" t="str">
            <v>CB5314107-001-003</v>
          </cell>
          <cell r="E14537" t="str">
            <v>5550上框</v>
          </cell>
        </row>
        <row r="14538">
          <cell r="D14538" t="str">
            <v>CB5314107-001-003</v>
          </cell>
          <cell r="E14538" t="str">
            <v>5550上框</v>
          </cell>
        </row>
        <row r="14539">
          <cell r="D14539" t="str">
            <v>DD-J10-55165-190-3</v>
          </cell>
          <cell r="E14539" t="str">
            <v>夹子</v>
          </cell>
        </row>
        <row r="14540">
          <cell r="D14540" t="str">
            <v>DD-J10B-94061-1061/1</v>
          </cell>
          <cell r="E14540" t="str">
            <v>法兰盘</v>
          </cell>
        </row>
        <row r="14541">
          <cell r="D14541" t="str">
            <v>DD-J10B-94061-1061/1</v>
          </cell>
          <cell r="E14541" t="str">
            <v>法兰盘</v>
          </cell>
        </row>
        <row r="14542">
          <cell r="D14542" t="str">
            <v>DD-J10B-68095-1710-3-Z</v>
          </cell>
          <cell r="E14542" t="str">
            <v>钢管</v>
          </cell>
        </row>
        <row r="14543">
          <cell r="D14543" t="str">
            <v>DD-J10B-94061-1061/2</v>
          </cell>
          <cell r="E14543" t="str">
            <v>法兰盘</v>
          </cell>
        </row>
        <row r="14544">
          <cell r="D14544" t="str">
            <v>DD-J10-94021-740-3</v>
          </cell>
          <cell r="E14544" t="str">
            <v>环</v>
          </cell>
        </row>
        <row r="14545">
          <cell r="D14545" t="str">
            <v>DD-J10-41153-120-2</v>
          </cell>
          <cell r="E14545" t="str">
            <v>挡销</v>
          </cell>
        </row>
        <row r="14546">
          <cell r="D14546" t="str">
            <v>DD-J10-55165-3110-1</v>
          </cell>
          <cell r="E14546" t="str">
            <v>衬套</v>
          </cell>
        </row>
        <row r="14547">
          <cell r="D14547" t="str">
            <v>DD-J10B-41163-30-1</v>
          </cell>
          <cell r="E14547" t="str">
            <v>管子</v>
          </cell>
        </row>
        <row r="14548">
          <cell r="D14548" t="str">
            <v>DD-J10-55181-2540-1</v>
          </cell>
          <cell r="E14548" t="str">
            <v>螺栓</v>
          </cell>
        </row>
        <row r="14549">
          <cell r="D14549" t="str">
            <v>DD-J10B-86031-510-3</v>
          </cell>
          <cell r="E14549" t="str">
            <v>套管</v>
          </cell>
        </row>
        <row r="14550">
          <cell r="D14550" t="str">
            <v>CB5714100-001L004</v>
          </cell>
          <cell r="E14550" t="str">
            <v>根肋一段</v>
          </cell>
        </row>
        <row r="14551">
          <cell r="D14551" t="str">
            <v>CB5714100-001L004</v>
          </cell>
          <cell r="E14551" t="str">
            <v>根肋一段</v>
          </cell>
        </row>
        <row r="14552">
          <cell r="D14552" t="str">
            <v>CB5714100-001R004</v>
          </cell>
          <cell r="E14552" t="str">
            <v>根肋一段</v>
          </cell>
        </row>
        <row r="14553">
          <cell r="D14553" t="str">
            <v>CB5714100-001R004</v>
          </cell>
          <cell r="E14553" t="str">
            <v>根肋一段</v>
          </cell>
        </row>
        <row r="14554">
          <cell r="D14554" t="str">
            <v>CB5714100-002R003</v>
          </cell>
          <cell r="E14554" t="str">
            <v>根肋二段</v>
          </cell>
        </row>
        <row r="14555">
          <cell r="D14555" t="str">
            <v>CB5714100-002L003</v>
          </cell>
          <cell r="E14555" t="str">
            <v>根肋二段</v>
          </cell>
        </row>
        <row r="14556">
          <cell r="D14556" t="str">
            <v>CB5714100-002L003</v>
          </cell>
          <cell r="E14556" t="str">
            <v>根肋二段</v>
          </cell>
        </row>
        <row r="14557">
          <cell r="D14557" t="str">
            <v>CB5714100-002L003</v>
          </cell>
          <cell r="E14557" t="str">
            <v>根肋二段</v>
          </cell>
        </row>
        <row r="14558">
          <cell r="D14558" t="str">
            <v>CB5324500-004R004</v>
          </cell>
          <cell r="E14558" t="str">
            <v>后端框</v>
          </cell>
        </row>
        <row r="14559">
          <cell r="D14559" t="str">
            <v>CB5324500-004R004</v>
          </cell>
          <cell r="E14559" t="str">
            <v>后端框</v>
          </cell>
        </row>
        <row r="14560">
          <cell r="D14560" t="str">
            <v>CB5324500-004R004</v>
          </cell>
          <cell r="E14560" t="str">
            <v>后端框</v>
          </cell>
        </row>
        <row r="14561">
          <cell r="D14561" t="str">
            <v>CB5324500-004L004</v>
          </cell>
          <cell r="E14561" t="str">
            <v>后端框</v>
          </cell>
        </row>
        <row r="14562">
          <cell r="D14562" t="str">
            <v>CB5324500-004L004</v>
          </cell>
          <cell r="E14562" t="str">
            <v>后端框</v>
          </cell>
        </row>
        <row r="14563">
          <cell r="D14563" t="str">
            <v>CB2284461-001-001</v>
          </cell>
          <cell r="E14563" t="str">
            <v>法兰</v>
          </cell>
        </row>
        <row r="14564">
          <cell r="D14564" t="str">
            <v>CB2284461-001-001</v>
          </cell>
          <cell r="E14564" t="str">
            <v>法兰</v>
          </cell>
        </row>
        <row r="14565">
          <cell r="D14565" t="str">
            <v>CB22921N2-001-001</v>
          </cell>
          <cell r="E14565" t="str">
            <v>角片</v>
          </cell>
        </row>
        <row r="14566">
          <cell r="D14566" t="str">
            <v>CB22837F1-001-001</v>
          </cell>
          <cell r="E14566" t="str">
            <v>法兰</v>
          </cell>
        </row>
        <row r="14567">
          <cell r="D14567" t="str">
            <v>CB22844A0-002-001</v>
          </cell>
          <cell r="E14567" t="str">
            <v>三通接头</v>
          </cell>
        </row>
        <row r="14568">
          <cell r="D14568" t="str">
            <v>260A1865-004-001</v>
          </cell>
          <cell r="E14568" t="str">
            <v>衬垫</v>
          </cell>
        </row>
        <row r="14569">
          <cell r="D14569" t="str">
            <v>260A1865-004-001</v>
          </cell>
          <cell r="E14569" t="str">
            <v>衬垫</v>
          </cell>
        </row>
        <row r="14570">
          <cell r="D14570" t="str">
            <v>DD-J10B-63001-651</v>
          </cell>
          <cell r="E14570" t="str">
            <v>法兰盘</v>
          </cell>
        </row>
        <row r="14571">
          <cell r="D14571" t="str">
            <v>DD-J10-63001-511</v>
          </cell>
          <cell r="E14571" t="str">
            <v>阳密封式法兰盘</v>
          </cell>
        </row>
        <row r="14572">
          <cell r="D14572" t="str">
            <v>CB22844A0-001-001</v>
          </cell>
          <cell r="E14572" t="str">
            <v>三通接头</v>
          </cell>
        </row>
        <row r="14573">
          <cell r="D14573" t="str">
            <v>CB22844A0-001-001</v>
          </cell>
          <cell r="E14573" t="str">
            <v>三通接头</v>
          </cell>
        </row>
        <row r="14574">
          <cell r="D14574" t="str">
            <v>CB22844A0-001-001</v>
          </cell>
          <cell r="E14574" t="str">
            <v>三通接头</v>
          </cell>
        </row>
        <row r="14575">
          <cell r="D14575" t="str">
            <v>DD-J10-34103-4</v>
          </cell>
          <cell r="E14575" t="str">
            <v>上边肋</v>
          </cell>
        </row>
        <row r="14576">
          <cell r="D14576" t="str">
            <v>DD-J10B-02021-3/1-Z</v>
          </cell>
          <cell r="E14576" t="str">
            <v>雷达罩锁支座</v>
          </cell>
        </row>
        <row r="14577">
          <cell r="D14577" t="str">
            <v>DD-J10B-02021-3/2-Z</v>
          </cell>
          <cell r="E14577" t="str">
            <v>雷达罩锁支座</v>
          </cell>
        </row>
        <row r="14578">
          <cell r="D14578" t="str">
            <v>DD-J10B-02021-3/2-Y</v>
          </cell>
          <cell r="E14578" t="str">
            <v>雷达罩锁支座</v>
          </cell>
        </row>
        <row r="14579">
          <cell r="D14579" t="str">
            <v>DD-J10B-02021-3/1-Y</v>
          </cell>
          <cell r="E14579" t="str">
            <v>雷达罩锁支座</v>
          </cell>
        </row>
        <row r="14580">
          <cell r="D14580" t="str">
            <v>DD-J10B-02021-3/1-Y</v>
          </cell>
          <cell r="E14580" t="str">
            <v>雷达罩锁支座</v>
          </cell>
        </row>
        <row r="14581">
          <cell r="D14581" t="str">
            <v>BC5337100-101R001</v>
          </cell>
          <cell r="E14581" t="str">
            <v>上受拉接头</v>
          </cell>
        </row>
        <row r="14582">
          <cell r="D14582" t="str">
            <v>BC5337100-101R001</v>
          </cell>
          <cell r="E14582" t="str">
            <v>上受拉接头</v>
          </cell>
        </row>
        <row r="14583">
          <cell r="D14583" t="str">
            <v>BC5337100-101R001</v>
          </cell>
          <cell r="E14583" t="str">
            <v>上受拉接头</v>
          </cell>
        </row>
        <row r="14584">
          <cell r="D14584" t="str">
            <v>BC5337100-101R001</v>
          </cell>
          <cell r="E14584" t="str">
            <v>上受拉接头</v>
          </cell>
        </row>
        <row r="14585">
          <cell r="D14585" t="str">
            <v>BC5337100-101R001</v>
          </cell>
          <cell r="E14585" t="str">
            <v>上受拉接头</v>
          </cell>
        </row>
        <row r="14586">
          <cell r="D14586" t="str">
            <v>BC5337100-101R001</v>
          </cell>
          <cell r="E14586" t="str">
            <v>上受拉接头</v>
          </cell>
        </row>
        <row r="14587">
          <cell r="D14587" t="str">
            <v>BC5337100-101R001</v>
          </cell>
          <cell r="E14587" t="str">
            <v>上受拉接头</v>
          </cell>
        </row>
        <row r="14588">
          <cell r="D14588" t="str">
            <v>BC5337100-101R001</v>
          </cell>
          <cell r="E14588" t="str">
            <v>上受拉接头</v>
          </cell>
        </row>
        <row r="14589">
          <cell r="D14589" t="str">
            <v>BC5337100-101R001</v>
          </cell>
          <cell r="E14589" t="str">
            <v>上受拉接头</v>
          </cell>
        </row>
        <row r="14590">
          <cell r="D14590" t="str">
            <v>BC5337100-101R001</v>
          </cell>
          <cell r="E14590" t="str">
            <v>上受拉接头</v>
          </cell>
        </row>
        <row r="14591">
          <cell r="D14591" t="str">
            <v>BC5337100-101R001</v>
          </cell>
          <cell r="E14591" t="str">
            <v>上受拉接头</v>
          </cell>
        </row>
        <row r="14592">
          <cell r="D14592" t="str">
            <v>BC5337100-101R001</v>
          </cell>
          <cell r="E14592" t="str">
            <v>上受拉接头</v>
          </cell>
        </row>
        <row r="14593">
          <cell r="D14593" t="str">
            <v>BC5337100-102R001</v>
          </cell>
          <cell r="E14593" t="str">
            <v>中受拉接头</v>
          </cell>
        </row>
        <row r="14594">
          <cell r="D14594" t="str">
            <v>BC5337100-102R001</v>
          </cell>
          <cell r="E14594" t="str">
            <v>中受拉接头</v>
          </cell>
        </row>
        <row r="14595">
          <cell r="D14595" t="str">
            <v>BC5337100-102R001</v>
          </cell>
          <cell r="E14595" t="str">
            <v>中受拉接头</v>
          </cell>
        </row>
        <row r="14596">
          <cell r="D14596" t="str">
            <v>BC5337100-102R001</v>
          </cell>
          <cell r="E14596" t="str">
            <v>中受拉接头</v>
          </cell>
        </row>
        <row r="14597">
          <cell r="D14597" t="str">
            <v>BC5337100-102R001</v>
          </cell>
          <cell r="E14597" t="str">
            <v>中受拉接头</v>
          </cell>
        </row>
        <row r="14598">
          <cell r="D14598" t="str">
            <v>BC5337100-102R001</v>
          </cell>
          <cell r="E14598" t="str">
            <v>中受拉接头</v>
          </cell>
        </row>
        <row r="14599">
          <cell r="D14599" t="str">
            <v>BC5337100-102R001</v>
          </cell>
          <cell r="E14599" t="str">
            <v>中受拉接头</v>
          </cell>
        </row>
        <row r="14600">
          <cell r="D14600" t="str">
            <v>BC5337100-102R001</v>
          </cell>
          <cell r="E14600" t="str">
            <v>中受拉接头</v>
          </cell>
        </row>
        <row r="14601">
          <cell r="D14601" t="str">
            <v>BC5337100-102R001</v>
          </cell>
          <cell r="E14601" t="str">
            <v>中受拉接头</v>
          </cell>
        </row>
        <row r="14602">
          <cell r="D14602" t="str">
            <v>BC5337100-102R001</v>
          </cell>
          <cell r="E14602" t="str">
            <v>中受拉接头</v>
          </cell>
        </row>
        <row r="14603">
          <cell r="D14603" t="str">
            <v>BC5337100-102R001</v>
          </cell>
          <cell r="E14603" t="str">
            <v>中受拉接头</v>
          </cell>
        </row>
        <row r="14604">
          <cell r="D14604" t="str">
            <v>BC5337100-102R001</v>
          </cell>
          <cell r="E14604" t="str">
            <v>中受拉接头</v>
          </cell>
        </row>
        <row r="14605">
          <cell r="D14605" t="str">
            <v>BC5337100-103R001</v>
          </cell>
          <cell r="E14605" t="str">
            <v>下受拉接头</v>
          </cell>
        </row>
        <row r="14606">
          <cell r="D14606" t="str">
            <v>BC5337100-103R001</v>
          </cell>
          <cell r="E14606" t="str">
            <v>下受拉接头</v>
          </cell>
        </row>
        <row r="14607">
          <cell r="D14607" t="str">
            <v>BC5337100-103R001</v>
          </cell>
          <cell r="E14607" t="str">
            <v>下受拉接头</v>
          </cell>
        </row>
        <row r="14608">
          <cell r="D14608" t="str">
            <v>BC5337100-103R001</v>
          </cell>
          <cell r="E14608" t="str">
            <v>下受拉接头</v>
          </cell>
        </row>
        <row r="14609">
          <cell r="D14609" t="str">
            <v>BC5337100-103R001</v>
          </cell>
          <cell r="E14609" t="str">
            <v>下受拉接头</v>
          </cell>
        </row>
        <row r="14610">
          <cell r="D14610" t="str">
            <v>BC5337100-103R001</v>
          </cell>
          <cell r="E14610" t="str">
            <v>下受拉接头</v>
          </cell>
        </row>
        <row r="14611">
          <cell r="D14611" t="str">
            <v>BC5337100-103R001</v>
          </cell>
          <cell r="E14611" t="str">
            <v>下受拉接头</v>
          </cell>
        </row>
        <row r="14612">
          <cell r="D14612" t="str">
            <v>BC5337100-103R001</v>
          </cell>
          <cell r="E14612" t="str">
            <v>下受拉接头</v>
          </cell>
        </row>
        <row r="14613">
          <cell r="D14613" t="str">
            <v>BC5337100-103R001</v>
          </cell>
          <cell r="E14613" t="str">
            <v>下受拉接头</v>
          </cell>
        </row>
        <row r="14614">
          <cell r="D14614" t="str">
            <v>BC5337100-103R001</v>
          </cell>
          <cell r="E14614" t="str">
            <v>下受拉接头</v>
          </cell>
        </row>
        <row r="14615">
          <cell r="D14615" t="str">
            <v>BC5337100-103R001</v>
          </cell>
          <cell r="E14615" t="str">
            <v>下受拉接头</v>
          </cell>
        </row>
        <row r="14616">
          <cell r="D14616" t="str">
            <v>BC5337100-103R001</v>
          </cell>
          <cell r="E14616" t="str">
            <v>下受拉接头</v>
          </cell>
        </row>
        <row r="14617">
          <cell r="D14617" t="str">
            <v>BC5323300-007R001</v>
          </cell>
          <cell r="E14617" t="str">
            <v>下蒙皮</v>
          </cell>
        </row>
        <row r="14618">
          <cell r="D14618" t="str">
            <v>BC5323200-007L001</v>
          </cell>
          <cell r="E14618" t="str">
            <v>下蒙皮</v>
          </cell>
        </row>
        <row r="14619">
          <cell r="D14619" t="str">
            <v>CB22956R0-001L001</v>
          </cell>
          <cell r="E14619" t="str">
            <v>架子</v>
          </cell>
        </row>
        <row r="14620">
          <cell r="D14620" t="str">
            <v>CB22956R0-001R001</v>
          </cell>
          <cell r="E14620" t="str">
            <v>架子</v>
          </cell>
        </row>
        <row r="14621">
          <cell r="D14621" t="str">
            <v>CB5323320-007R001</v>
          </cell>
          <cell r="E14621" t="str">
            <v>角盒</v>
          </cell>
        </row>
        <row r="14622">
          <cell r="D14622" t="str">
            <v>CB5323320-007L001</v>
          </cell>
          <cell r="E14622" t="str">
            <v>角盒</v>
          </cell>
        </row>
        <row r="14623">
          <cell r="D14623" t="str">
            <v>CB221T2LF-003-003</v>
          </cell>
          <cell r="E14623" t="str">
            <v>接管嘴</v>
          </cell>
        </row>
        <row r="14624">
          <cell r="D14624" t="str">
            <v>CB221T2LR-001-001</v>
          </cell>
          <cell r="E14624" t="str">
            <v>平管嘴</v>
          </cell>
        </row>
        <row r="14625">
          <cell r="D14625" t="str">
            <v>CB5811100-014-001</v>
          </cell>
          <cell r="E14625" t="str">
            <v>螺栓</v>
          </cell>
        </row>
        <row r="14626">
          <cell r="D14626" t="str">
            <v>CB5324310-016-006</v>
          </cell>
          <cell r="E14626" t="str">
            <v>带板</v>
          </cell>
        </row>
        <row r="14627">
          <cell r="D14627" t="str">
            <v>CB221T2LN-001-001</v>
          </cell>
          <cell r="E14627" t="str">
            <v>接管嘴</v>
          </cell>
        </row>
        <row r="14628">
          <cell r="D14628" t="str">
            <v>CB221T2LR-001-001</v>
          </cell>
          <cell r="E14628" t="str">
            <v>平管嘴</v>
          </cell>
        </row>
        <row r="14629">
          <cell r="D14629" t="str">
            <v>CB221T2LR-001-001</v>
          </cell>
          <cell r="E14629" t="str">
            <v>平管嘴</v>
          </cell>
        </row>
        <row r="14630">
          <cell r="D14630" t="str">
            <v>CB2248143-001-006</v>
          </cell>
          <cell r="E14630" t="str">
            <v>支片3</v>
          </cell>
        </row>
        <row r="14631">
          <cell r="D14631" t="str">
            <v>CB2248143-001-006</v>
          </cell>
          <cell r="E14631" t="str">
            <v>支片3</v>
          </cell>
        </row>
        <row r="14632">
          <cell r="D14632" t="str">
            <v>CB2248143-001-006</v>
          </cell>
          <cell r="E14632" t="str">
            <v>支片3</v>
          </cell>
        </row>
        <row r="14633">
          <cell r="D14633" t="str">
            <v>CB2284460-004-001</v>
          </cell>
          <cell r="E14633" t="str">
            <v>四通接头</v>
          </cell>
        </row>
        <row r="14634">
          <cell r="D14634" t="str">
            <v>CB2284480-003-001</v>
          </cell>
          <cell r="E14634" t="str">
            <v>四通接头</v>
          </cell>
        </row>
        <row r="14635">
          <cell r="D14635" t="str">
            <v>CB2284480-003-001</v>
          </cell>
          <cell r="E14635" t="str">
            <v>四通接头</v>
          </cell>
        </row>
        <row r="14636">
          <cell r="D14636" t="str">
            <v>CB2284480-004-001</v>
          </cell>
          <cell r="E14636" t="str">
            <v>四通接头</v>
          </cell>
        </row>
        <row r="14637">
          <cell r="D14637" t="str">
            <v>CB2284480-004-001</v>
          </cell>
          <cell r="E14637" t="str">
            <v>四通接头</v>
          </cell>
        </row>
        <row r="14638">
          <cell r="D14638" t="str">
            <v>CB2284480-004-001</v>
          </cell>
          <cell r="E14638" t="str">
            <v>四通接头</v>
          </cell>
        </row>
        <row r="14639">
          <cell r="D14639" t="str">
            <v>CB5324310-016-006</v>
          </cell>
          <cell r="E14639" t="str">
            <v>带板</v>
          </cell>
        </row>
        <row r="14640">
          <cell r="D14640" t="str">
            <v>CB5714100-003R003</v>
          </cell>
          <cell r="E14640" t="str">
            <v>根肋三段</v>
          </cell>
        </row>
        <row r="14641">
          <cell r="D14641" t="str">
            <v>CB5714100-003R003</v>
          </cell>
          <cell r="E14641" t="str">
            <v>根肋三段</v>
          </cell>
        </row>
        <row r="14642">
          <cell r="D14642" t="str">
            <v>CB5714100-003R003</v>
          </cell>
          <cell r="E14642" t="str">
            <v>根肋三段</v>
          </cell>
        </row>
        <row r="14643">
          <cell r="D14643" t="str">
            <v>CB5714100-003R003</v>
          </cell>
          <cell r="E14643" t="str">
            <v>根肋三段</v>
          </cell>
        </row>
        <row r="14644">
          <cell r="D14644" t="str">
            <v>CB5714100-003R003</v>
          </cell>
          <cell r="E14644" t="str">
            <v>根肋三段</v>
          </cell>
        </row>
        <row r="14645">
          <cell r="D14645" t="str">
            <v>CB5714100-003R003</v>
          </cell>
          <cell r="E14645" t="str">
            <v>根肋三段</v>
          </cell>
        </row>
        <row r="14646">
          <cell r="D14646" t="str">
            <v>CB5714100-003R003</v>
          </cell>
          <cell r="E14646" t="str">
            <v>根肋三段</v>
          </cell>
        </row>
        <row r="14647">
          <cell r="D14647" t="str">
            <v>CB5714100-003R003</v>
          </cell>
          <cell r="E14647" t="str">
            <v>根肋三段</v>
          </cell>
        </row>
        <row r="14648">
          <cell r="D14648" t="str">
            <v>CB5714100-003R003</v>
          </cell>
          <cell r="E14648" t="str">
            <v>根肋三段</v>
          </cell>
        </row>
        <row r="14649">
          <cell r="D14649" t="str">
            <v>CB5714100-003R003</v>
          </cell>
          <cell r="E14649" t="str">
            <v>根肋三段</v>
          </cell>
        </row>
        <row r="14650">
          <cell r="D14650" t="str">
            <v>CB5714100-003L003</v>
          </cell>
          <cell r="E14650" t="str">
            <v>根肋三段</v>
          </cell>
        </row>
        <row r="14651">
          <cell r="D14651" t="str">
            <v>CB5714100-003L003</v>
          </cell>
          <cell r="E14651" t="str">
            <v>根肋三段</v>
          </cell>
        </row>
        <row r="14652">
          <cell r="D14652" t="str">
            <v>CB5714100-003L003</v>
          </cell>
          <cell r="E14652" t="str">
            <v>根肋三段</v>
          </cell>
        </row>
        <row r="14653">
          <cell r="D14653" t="str">
            <v>CB5714100-003L003</v>
          </cell>
          <cell r="E14653" t="str">
            <v>根肋三段</v>
          </cell>
        </row>
        <row r="14654">
          <cell r="D14654" t="str">
            <v>CB5714100-003L003</v>
          </cell>
          <cell r="E14654" t="str">
            <v>根肋三段</v>
          </cell>
        </row>
        <row r="14655">
          <cell r="D14655" t="str">
            <v>CB5714100-003L003</v>
          </cell>
          <cell r="E14655" t="str">
            <v>根肋三段</v>
          </cell>
        </row>
        <row r="14656">
          <cell r="D14656" t="str">
            <v>CB5714100-003L003</v>
          </cell>
          <cell r="E14656" t="str">
            <v>根肋三段</v>
          </cell>
        </row>
        <row r="14657">
          <cell r="D14657" t="str">
            <v>CB5714100-003L003</v>
          </cell>
          <cell r="E14657" t="str">
            <v>根肋三段</v>
          </cell>
        </row>
        <row r="14658">
          <cell r="D14658" t="str">
            <v>CB5714100-003L003</v>
          </cell>
          <cell r="E14658" t="str">
            <v>根肋三段</v>
          </cell>
        </row>
        <row r="14659">
          <cell r="D14659" t="str">
            <v>CB5714100-003L003</v>
          </cell>
          <cell r="E14659" t="str">
            <v>根肋三段</v>
          </cell>
        </row>
        <row r="14660">
          <cell r="D14660" t="str">
            <v>CB5315190-002L001</v>
          </cell>
          <cell r="E14660" t="str">
            <v>WL-600地板梁</v>
          </cell>
        </row>
        <row r="14661">
          <cell r="D14661" t="str">
            <v>CB5315190-002L001</v>
          </cell>
          <cell r="E14661" t="str">
            <v>WL-600地板梁</v>
          </cell>
        </row>
        <row r="14662">
          <cell r="D14662" t="str">
            <v>CB5315190-002L001</v>
          </cell>
          <cell r="E14662" t="str">
            <v>WL-600地板梁</v>
          </cell>
        </row>
        <row r="14663">
          <cell r="D14663" t="str">
            <v>CB5315190-002L001</v>
          </cell>
          <cell r="E14663" t="str">
            <v>WL-600地板梁</v>
          </cell>
        </row>
        <row r="14664">
          <cell r="D14664" t="str">
            <v>CB5315190-002R001</v>
          </cell>
          <cell r="E14664" t="str">
            <v>WL-600地板梁</v>
          </cell>
        </row>
        <row r="14665">
          <cell r="D14665" t="str">
            <v>CB5315190-002R001</v>
          </cell>
          <cell r="E14665" t="str">
            <v>WL-600地板梁</v>
          </cell>
        </row>
        <row r="14666">
          <cell r="D14666" t="str">
            <v>CB5315190-002R001</v>
          </cell>
          <cell r="E14666" t="str">
            <v>WL-600地板梁</v>
          </cell>
        </row>
        <row r="14667">
          <cell r="D14667" t="str">
            <v>CB5315190-002R001</v>
          </cell>
          <cell r="E14667" t="str">
            <v>WL-600地板梁</v>
          </cell>
        </row>
        <row r="14668">
          <cell r="D14668" t="str">
            <v>CB3014940-001-002</v>
          </cell>
          <cell r="E14668" t="str">
            <v>左BL297侧框</v>
          </cell>
        </row>
        <row r="14669">
          <cell r="D14669" t="str">
            <v>CB3014940-001-002</v>
          </cell>
          <cell r="E14669" t="str">
            <v>左BL297侧框</v>
          </cell>
        </row>
        <row r="14670">
          <cell r="D14670" t="str">
            <v>CB3014940-001-002</v>
          </cell>
          <cell r="E14670" t="str">
            <v>左BL297侧框</v>
          </cell>
        </row>
        <row r="14671">
          <cell r="D14671" t="str">
            <v>CB3014940-001-002</v>
          </cell>
          <cell r="E14671" t="str">
            <v>左BL297侧框</v>
          </cell>
        </row>
        <row r="14672">
          <cell r="D14672" t="str">
            <v>CB3014940-001-002</v>
          </cell>
          <cell r="E14672" t="str">
            <v>左BL297侧框</v>
          </cell>
        </row>
        <row r="14673">
          <cell r="D14673" t="str">
            <v>DD-J10-21102-553-Y</v>
          </cell>
          <cell r="E14673" t="str">
            <v>1780肋三段（右件）</v>
          </cell>
        </row>
        <row r="14674">
          <cell r="D14674" t="str">
            <v>DD-J10-21102-553-Y</v>
          </cell>
          <cell r="E14674" t="str">
            <v>1780肋三段（右件）</v>
          </cell>
        </row>
        <row r="14675">
          <cell r="D14675" t="str">
            <v>DD-J10-05156-3-Z</v>
          </cell>
          <cell r="E14675" t="str">
            <v>前接头下件（左件）</v>
          </cell>
        </row>
        <row r="14676">
          <cell r="D14676" t="str">
            <v>DD-J10-05156-3-Z</v>
          </cell>
          <cell r="E14676" t="str">
            <v>前接头下件（左件）</v>
          </cell>
        </row>
        <row r="14677">
          <cell r="D14677" t="str">
            <v>DD-J10-05156-3-Y</v>
          </cell>
          <cell r="E14677" t="str">
            <v>前接头下件（右件）</v>
          </cell>
        </row>
        <row r="14678">
          <cell r="D14678" t="str">
            <v>DD-J10-05156-3-Y</v>
          </cell>
          <cell r="E14678" t="str">
            <v>前接头下件（右件）</v>
          </cell>
        </row>
        <row r="14679">
          <cell r="D14679" t="str">
            <v>DD-J10-05156-2-Z</v>
          </cell>
          <cell r="E14679" t="str">
            <v>前接头上件（左件）</v>
          </cell>
        </row>
        <row r="14680">
          <cell r="D14680" t="str">
            <v>DD-J10-05156-2-Z</v>
          </cell>
          <cell r="E14680" t="str">
            <v>前接头上件（左件）</v>
          </cell>
        </row>
        <row r="14681">
          <cell r="D14681" t="str">
            <v>DD-J10-05156-2-Y</v>
          </cell>
          <cell r="E14681" t="str">
            <v>前接头上件（右件）</v>
          </cell>
        </row>
        <row r="14682">
          <cell r="D14682" t="str">
            <v>DD-J10-05156-2-Y</v>
          </cell>
          <cell r="E14682" t="str">
            <v>前接头上件（右件）</v>
          </cell>
        </row>
        <row r="14683">
          <cell r="D14683" t="str">
            <v>DD-J10-55015-5300-1</v>
          </cell>
          <cell r="E14683" t="str">
            <v>耳环螺栓</v>
          </cell>
        </row>
        <row r="14684">
          <cell r="D14684" t="str">
            <v>DD-J10-55015-5300-1</v>
          </cell>
          <cell r="E14684" t="str">
            <v>耳环螺栓</v>
          </cell>
        </row>
        <row r="14685">
          <cell r="D14685" t="str">
            <v>DD-J10-55015-5300-1</v>
          </cell>
          <cell r="E14685" t="str">
            <v>耳环螺栓</v>
          </cell>
        </row>
        <row r="14686">
          <cell r="D14686" t="str">
            <v>DD-J10-61052-172</v>
          </cell>
          <cell r="E14686" t="str">
            <v>接管嘴</v>
          </cell>
        </row>
        <row r="14687">
          <cell r="D14687" t="str">
            <v>CB2294170-003-001</v>
          </cell>
          <cell r="E14687" t="str">
            <v>支架</v>
          </cell>
        </row>
        <row r="14688">
          <cell r="D14688" t="str">
            <v>CB271221B-003-001</v>
          </cell>
          <cell r="E14688" t="str">
            <v>管子</v>
          </cell>
        </row>
        <row r="14689">
          <cell r="D14689" t="str">
            <v>DD-J10S-06021-107</v>
          </cell>
          <cell r="E14689" t="str">
            <v>后隔框</v>
          </cell>
        </row>
        <row r="14690">
          <cell r="D14690" t="str">
            <v>DD-J10S-06021-107</v>
          </cell>
          <cell r="E14690" t="str">
            <v>后隔框</v>
          </cell>
        </row>
        <row r="14691">
          <cell r="D14691" t="str">
            <v>DD-J10S-06021-107</v>
          </cell>
          <cell r="E14691" t="str">
            <v>后隔框</v>
          </cell>
        </row>
        <row r="14692">
          <cell r="D14692" t="str">
            <v>DD-J10S-06021-107</v>
          </cell>
          <cell r="E14692" t="str">
            <v>后隔框</v>
          </cell>
        </row>
        <row r="14693">
          <cell r="D14693" t="str">
            <v>DD-J10S-06021-107</v>
          </cell>
          <cell r="E14693" t="str">
            <v>后隔框</v>
          </cell>
        </row>
        <row r="14694">
          <cell r="D14694" t="str">
            <v>DD-J10S-06021-107</v>
          </cell>
          <cell r="E14694" t="str">
            <v>后隔框</v>
          </cell>
        </row>
        <row r="14695">
          <cell r="D14695" t="str">
            <v>DD-J10-05216-32</v>
          </cell>
          <cell r="E14695" t="str">
            <v>转接头</v>
          </cell>
        </row>
        <row r="14696">
          <cell r="D14696" t="str">
            <v>DD-J10-21102-271</v>
          </cell>
          <cell r="E14696" t="str">
            <v>3#上垫片</v>
          </cell>
        </row>
        <row r="14697">
          <cell r="D14697" t="str">
            <v>DD-J10-21102-272</v>
          </cell>
          <cell r="E14697" t="str">
            <v>3#下垫片</v>
          </cell>
        </row>
        <row r="14698">
          <cell r="D14698" t="str">
            <v>DD-J10B-04011-1</v>
          </cell>
          <cell r="E14698" t="str">
            <v>7100框</v>
          </cell>
        </row>
        <row r="14699">
          <cell r="D14699" t="str">
            <v>DD-J10B-04011-1</v>
          </cell>
          <cell r="E14699" t="str">
            <v>7100框</v>
          </cell>
        </row>
        <row r="14700">
          <cell r="D14700" t="str">
            <v>DD-J10B-04011-1</v>
          </cell>
          <cell r="E14700" t="str">
            <v>7100框</v>
          </cell>
        </row>
        <row r="14701">
          <cell r="D14701" t="str">
            <v>DD-J10B-04011-1</v>
          </cell>
          <cell r="E14701" t="str">
            <v>7100框</v>
          </cell>
        </row>
        <row r="14702">
          <cell r="D14702" t="str">
            <v>DD-J10B-24002-60G2-1G2-Y</v>
          </cell>
          <cell r="E14702" t="str">
            <v>付翼前梁</v>
          </cell>
        </row>
        <row r="14703">
          <cell r="D14703" t="str">
            <v>DD-J10B-24002-60G2-1G2-Y</v>
          </cell>
          <cell r="E14703" t="str">
            <v>付翼前梁</v>
          </cell>
        </row>
        <row r="14704">
          <cell r="D14704" t="str">
            <v>DD-J10B-24002-60G2-1G2-Y</v>
          </cell>
          <cell r="E14704" t="str">
            <v>付翼前梁</v>
          </cell>
        </row>
        <row r="14705">
          <cell r="D14705" t="str">
            <v>DD-J10B-24002-60G2-1G2-Z</v>
          </cell>
          <cell r="E14705" t="str">
            <v>付翼前梁</v>
          </cell>
        </row>
        <row r="14706">
          <cell r="D14706" t="str">
            <v>DD-J10B-24002-60G2-1G2-Z</v>
          </cell>
          <cell r="E14706" t="str">
            <v>付翼前梁</v>
          </cell>
        </row>
        <row r="14707">
          <cell r="D14707" t="str">
            <v>DD-J10B-24002-60G2-1G2-Z</v>
          </cell>
          <cell r="E14707" t="str">
            <v>付翼前梁</v>
          </cell>
        </row>
        <row r="14708">
          <cell r="D14708" t="str">
            <v>528A1210-000-004</v>
          </cell>
          <cell r="E14708" t="str">
            <v>铰链</v>
          </cell>
        </row>
        <row r="14709">
          <cell r="D14709" t="str">
            <v>521A4000-024-001</v>
          </cell>
          <cell r="E14709" t="str">
            <v>插杆</v>
          </cell>
        </row>
        <row r="14710">
          <cell r="D14710" t="str">
            <v>CB2284460-004-001</v>
          </cell>
          <cell r="E14710" t="str">
            <v>四通接头</v>
          </cell>
        </row>
        <row r="14711">
          <cell r="D14711" t="str">
            <v>DD-J10B-94076-1391</v>
          </cell>
          <cell r="E14711" t="str">
            <v>法兰盘</v>
          </cell>
        </row>
        <row r="14712">
          <cell r="D14712" t="str">
            <v>DD-J10B-94076-1391</v>
          </cell>
          <cell r="E14712" t="str">
            <v>法兰盘</v>
          </cell>
        </row>
        <row r="14713">
          <cell r="D14713" t="str">
            <v>DD-J10B-94076-1391</v>
          </cell>
          <cell r="E14713" t="str">
            <v>法兰盘</v>
          </cell>
        </row>
        <row r="14714">
          <cell r="D14714" t="str">
            <v>DD-J10B-94076-1391</v>
          </cell>
          <cell r="E14714" t="str">
            <v>法兰盘</v>
          </cell>
        </row>
        <row r="14715">
          <cell r="D14715" t="str">
            <v>DD-J10-68095-1400-1</v>
          </cell>
          <cell r="E14715" t="str">
            <v>套筒</v>
          </cell>
        </row>
        <row r="14716">
          <cell r="D14716" t="str">
            <v>CB2280231-003-002</v>
          </cell>
          <cell r="E14716" t="str">
            <v>管子</v>
          </cell>
        </row>
        <row r="14717">
          <cell r="D14717" t="str">
            <v>CB2280231-003-002</v>
          </cell>
          <cell r="E14717" t="str">
            <v>管子</v>
          </cell>
        </row>
        <row r="14718">
          <cell r="D14718" t="str">
            <v>CB2280231-003-002</v>
          </cell>
          <cell r="E14718" t="str">
            <v>管子</v>
          </cell>
        </row>
        <row r="14719">
          <cell r="D14719" t="str">
            <v>CB2280231-003-002</v>
          </cell>
          <cell r="E14719" t="str">
            <v>管子</v>
          </cell>
        </row>
        <row r="14720">
          <cell r="D14720" t="str">
            <v>CB2280231-003-002</v>
          </cell>
          <cell r="E14720" t="str">
            <v>管子</v>
          </cell>
        </row>
        <row r="14721">
          <cell r="D14721" t="str">
            <v>CB2280231-003-002</v>
          </cell>
          <cell r="E14721" t="str">
            <v>管子</v>
          </cell>
        </row>
        <row r="14722">
          <cell r="D14722" t="str">
            <v>CB22847Y1N007-001</v>
          </cell>
          <cell r="E14722" t="str">
            <v>衬套</v>
          </cell>
        </row>
        <row r="14723">
          <cell r="D14723" t="str">
            <v>CB22847Y1N007-001</v>
          </cell>
          <cell r="E14723" t="str">
            <v>衬套</v>
          </cell>
        </row>
        <row r="14724">
          <cell r="D14724" t="str">
            <v>CB2280231N003-001</v>
          </cell>
          <cell r="E14724" t="str">
            <v>管子</v>
          </cell>
        </row>
        <row r="14725">
          <cell r="D14725" t="str">
            <v>CB5327120-003L006</v>
          </cell>
          <cell r="E14725" t="str">
            <v>8270侧隔框</v>
          </cell>
        </row>
        <row r="14726">
          <cell r="D14726" t="str">
            <v>CB5327120-003L006</v>
          </cell>
          <cell r="E14726" t="str">
            <v>8270侧隔框</v>
          </cell>
        </row>
        <row r="14727">
          <cell r="D14727" t="str">
            <v>CB5327120-003L006</v>
          </cell>
          <cell r="E14727" t="str">
            <v>8270侧隔框</v>
          </cell>
        </row>
        <row r="14728">
          <cell r="D14728" t="str">
            <v>CB5327120-003L006</v>
          </cell>
          <cell r="E14728" t="str">
            <v>8270侧隔框</v>
          </cell>
        </row>
        <row r="14729">
          <cell r="D14729" t="str">
            <v>CB5327120-003L006</v>
          </cell>
          <cell r="E14729" t="str">
            <v>8270侧隔框</v>
          </cell>
        </row>
        <row r="14730">
          <cell r="D14730" t="str">
            <v>CB5327120-003L006</v>
          </cell>
          <cell r="E14730" t="str">
            <v>8270侧隔框</v>
          </cell>
        </row>
        <row r="14731">
          <cell r="D14731" t="str">
            <v>CB5327120-003L006</v>
          </cell>
          <cell r="E14731" t="str">
            <v>8270侧隔框</v>
          </cell>
        </row>
        <row r="14732">
          <cell r="D14732" t="str">
            <v>CB5327120-003L006</v>
          </cell>
          <cell r="E14732" t="str">
            <v>8270侧隔框</v>
          </cell>
        </row>
        <row r="14733">
          <cell r="D14733" t="str">
            <v>CB5327120-003L006</v>
          </cell>
          <cell r="E14733" t="str">
            <v>8270侧隔框</v>
          </cell>
        </row>
        <row r="14734">
          <cell r="D14734" t="str">
            <v>CB5327120-003L006</v>
          </cell>
          <cell r="E14734" t="str">
            <v>8270侧隔框</v>
          </cell>
        </row>
        <row r="14735">
          <cell r="D14735" t="str">
            <v>CB5327120-003R006</v>
          </cell>
          <cell r="E14735" t="str">
            <v>8270侧隔框</v>
          </cell>
        </row>
        <row r="14736">
          <cell r="D14736" t="str">
            <v>CB5327120-003R006</v>
          </cell>
          <cell r="E14736" t="str">
            <v>8270侧隔框</v>
          </cell>
        </row>
        <row r="14737">
          <cell r="D14737" t="str">
            <v>CB5327120-003R006</v>
          </cell>
          <cell r="E14737" t="str">
            <v>8270侧隔框</v>
          </cell>
        </row>
        <row r="14738">
          <cell r="D14738" t="str">
            <v>CB5327120-003R006</v>
          </cell>
          <cell r="E14738" t="str">
            <v>8270侧隔框</v>
          </cell>
        </row>
        <row r="14739">
          <cell r="D14739" t="str">
            <v>CB5327120-003R006</v>
          </cell>
          <cell r="E14739" t="str">
            <v>8270侧隔框</v>
          </cell>
        </row>
        <row r="14740">
          <cell r="D14740" t="str">
            <v>CB5327120-003R006</v>
          </cell>
          <cell r="E14740" t="str">
            <v>8270侧隔框</v>
          </cell>
        </row>
        <row r="14741">
          <cell r="D14741" t="str">
            <v>CB5327120-003R006</v>
          </cell>
          <cell r="E14741" t="str">
            <v>8270侧隔框</v>
          </cell>
        </row>
        <row r="14742">
          <cell r="D14742" t="str">
            <v>CB5327120-003R006</v>
          </cell>
          <cell r="E14742" t="str">
            <v>8270侧隔框</v>
          </cell>
        </row>
        <row r="14743">
          <cell r="D14743" t="str">
            <v>CB5327120-003R006</v>
          </cell>
          <cell r="E14743" t="str">
            <v>8270侧隔框</v>
          </cell>
        </row>
        <row r="14744">
          <cell r="D14744" t="str">
            <v>CB5327120-003R006</v>
          </cell>
          <cell r="E14744" t="str">
            <v>8270侧隔框</v>
          </cell>
        </row>
        <row r="14745">
          <cell r="D14745" t="str">
            <v>DD-J10-21102-60/-1/2-Y</v>
          </cell>
          <cell r="E14745" t="str">
            <v>11968下口盖</v>
          </cell>
        </row>
        <row r="14746">
          <cell r="D14746" t="str">
            <v>5214A000025G010</v>
          </cell>
          <cell r="E14746" t="str">
            <v>手柄</v>
          </cell>
        </row>
        <row r="14747">
          <cell r="D14747" t="str">
            <v>5214A000025G010</v>
          </cell>
          <cell r="E14747" t="str">
            <v>手柄</v>
          </cell>
        </row>
        <row r="14748">
          <cell r="D14748" t="str">
            <v>5214A000025G010</v>
          </cell>
          <cell r="E14748" t="str">
            <v>手柄</v>
          </cell>
        </row>
        <row r="14749">
          <cell r="D14749" t="str">
            <v>521A4430-002-001</v>
          </cell>
          <cell r="E14749" t="str">
            <v>底座</v>
          </cell>
        </row>
        <row r="14750">
          <cell r="D14750" t="str">
            <v>521A4430-002-001</v>
          </cell>
          <cell r="E14750" t="str">
            <v>底座</v>
          </cell>
        </row>
        <row r="14751">
          <cell r="D14751" t="str">
            <v>DD-J10B-02161-0G2-201G2</v>
          </cell>
          <cell r="E14751" t="str">
            <v>密封垫</v>
          </cell>
        </row>
        <row r="14752">
          <cell r="D14752" t="str">
            <v>DD-J10B-02161-0G2-202G2-Y</v>
          </cell>
          <cell r="E14752" t="str">
            <v>密封垫</v>
          </cell>
        </row>
        <row r="14753">
          <cell r="D14753" t="str">
            <v>DD-J10B-02161-0G2-202G2-Z</v>
          </cell>
          <cell r="E14753" t="str">
            <v>密封垫</v>
          </cell>
        </row>
        <row r="14754">
          <cell r="D14754" t="str">
            <v>DD-J10B-02161-0G2-203G2</v>
          </cell>
          <cell r="E14754" t="str">
            <v>密封垫</v>
          </cell>
        </row>
        <row r="14755">
          <cell r="D14755" t="str">
            <v>CB5326200-134L002</v>
          </cell>
          <cell r="E14755" t="str">
            <v>9010 4号加强筋</v>
          </cell>
        </row>
        <row r="14756">
          <cell r="D14756" t="str">
            <v>CB5326200-134L002</v>
          </cell>
          <cell r="E14756" t="str">
            <v>9010 4号加强筋</v>
          </cell>
        </row>
        <row r="14757">
          <cell r="D14757" t="str">
            <v>CB5326200-134L002</v>
          </cell>
          <cell r="E14757" t="str">
            <v>9010 4号加强筋</v>
          </cell>
        </row>
        <row r="14758">
          <cell r="D14758" t="str">
            <v>CB5326200-134L002</v>
          </cell>
          <cell r="E14758" t="str">
            <v>9010 4号加强筋</v>
          </cell>
        </row>
        <row r="14759">
          <cell r="D14759" t="str">
            <v>CB5326200-134R002</v>
          </cell>
          <cell r="E14759" t="str">
            <v>9010 4号加强筋</v>
          </cell>
        </row>
        <row r="14760">
          <cell r="D14760" t="str">
            <v>CB5326200-134R002</v>
          </cell>
          <cell r="E14760" t="str">
            <v>9010 4号加强筋</v>
          </cell>
        </row>
        <row r="14761">
          <cell r="D14761" t="str">
            <v>CB5326200-134R002</v>
          </cell>
          <cell r="E14761" t="str">
            <v>9010 4号加强筋</v>
          </cell>
        </row>
        <row r="14762">
          <cell r="D14762" t="str">
            <v>CB5326200-134R002</v>
          </cell>
          <cell r="E14762" t="str">
            <v>9010 4号加强筋</v>
          </cell>
        </row>
        <row r="14763">
          <cell r="D14763" t="str">
            <v>Y20-5312225701-001</v>
          </cell>
          <cell r="E14763" t="str">
            <v>纵向加强件</v>
          </cell>
        </row>
        <row r="14764">
          <cell r="D14764" t="str">
            <v>Y20-5312225701-001</v>
          </cell>
          <cell r="E14764" t="str">
            <v>纵向加强件</v>
          </cell>
        </row>
        <row r="14765">
          <cell r="D14765" t="str">
            <v>Y20-5312225701-001</v>
          </cell>
          <cell r="E14765" t="str">
            <v>纵向加强件</v>
          </cell>
        </row>
        <row r="14766">
          <cell r="D14766" t="str">
            <v>Y20-5312225701-002</v>
          </cell>
          <cell r="E14766" t="str">
            <v>纵向加强件</v>
          </cell>
        </row>
        <row r="14767">
          <cell r="D14767" t="str">
            <v>Y20-5312225701-002</v>
          </cell>
          <cell r="E14767" t="str">
            <v>纵向加强件</v>
          </cell>
        </row>
        <row r="14768">
          <cell r="D14768" t="str">
            <v>Y20-5312225701-002</v>
          </cell>
          <cell r="E14768" t="str">
            <v>纵向加强件</v>
          </cell>
        </row>
        <row r="14769">
          <cell r="D14769" t="str">
            <v>CB22109MN-001-003</v>
          </cell>
          <cell r="E14769" t="str">
            <v>变径直通接头</v>
          </cell>
        </row>
        <row r="14770">
          <cell r="D14770" t="str">
            <v>CB2284480-003-001</v>
          </cell>
          <cell r="E14770" t="str">
            <v>四通接头</v>
          </cell>
        </row>
        <row r="14771">
          <cell r="D14771" t="str">
            <v>CB2284480-004-001</v>
          </cell>
          <cell r="E14771" t="str">
            <v>四通接头</v>
          </cell>
        </row>
        <row r="14772">
          <cell r="D14772" t="str">
            <v>CB2284460-004-001</v>
          </cell>
          <cell r="E14772" t="str">
            <v>四通接头</v>
          </cell>
        </row>
        <row r="14773">
          <cell r="D14773" t="str">
            <v>CB5325153-303-008</v>
          </cell>
          <cell r="E14773" t="str">
            <v>摇臂座</v>
          </cell>
        </row>
        <row r="14774">
          <cell r="D14774" t="str">
            <v>Y20-5315200201-001</v>
          </cell>
          <cell r="E14774" t="str">
            <v>15框外缘角型接头</v>
          </cell>
        </row>
        <row r="14775">
          <cell r="D14775" t="str">
            <v>CB5752000-023L003</v>
          </cell>
          <cell r="E14775" t="str">
            <v>角片</v>
          </cell>
        </row>
        <row r="14776">
          <cell r="D14776" t="str">
            <v>CB5752000-023L003</v>
          </cell>
          <cell r="E14776" t="str">
            <v>角片</v>
          </cell>
        </row>
        <row r="14777">
          <cell r="D14777" t="str">
            <v>CB5752000-023L003</v>
          </cell>
          <cell r="E14777" t="str">
            <v>角片</v>
          </cell>
        </row>
        <row r="14778">
          <cell r="D14778" t="str">
            <v>CB5752000-023L003</v>
          </cell>
          <cell r="E14778" t="str">
            <v>角片</v>
          </cell>
        </row>
        <row r="14779">
          <cell r="D14779" t="str">
            <v>CB5752000-023L003</v>
          </cell>
          <cell r="E14779" t="str">
            <v>角片</v>
          </cell>
        </row>
        <row r="14780">
          <cell r="D14780" t="str">
            <v>CB5752000-023L003</v>
          </cell>
          <cell r="E14780" t="str">
            <v>角片</v>
          </cell>
        </row>
        <row r="14781">
          <cell r="D14781" t="str">
            <v>CB5752000-023L003</v>
          </cell>
          <cell r="E14781" t="str">
            <v>角片</v>
          </cell>
        </row>
        <row r="14782">
          <cell r="D14782" t="str">
            <v>CB5752000-023L003</v>
          </cell>
          <cell r="E14782" t="str">
            <v>角片</v>
          </cell>
        </row>
        <row r="14783">
          <cell r="D14783" t="str">
            <v>CB5752000-023L003</v>
          </cell>
          <cell r="E14783" t="str">
            <v>角片</v>
          </cell>
        </row>
        <row r="14784">
          <cell r="D14784" t="str">
            <v>CB5752000-023L003</v>
          </cell>
          <cell r="E14784" t="str">
            <v>角片</v>
          </cell>
        </row>
        <row r="14785">
          <cell r="D14785" t="str">
            <v>CB5752000-023L003</v>
          </cell>
          <cell r="E14785" t="str">
            <v>角片</v>
          </cell>
        </row>
        <row r="14786">
          <cell r="D14786" t="str">
            <v>CB5752000-023L003</v>
          </cell>
          <cell r="E14786" t="str">
            <v>角片</v>
          </cell>
        </row>
        <row r="14787">
          <cell r="D14787" t="str">
            <v>CB5752000-023L003</v>
          </cell>
          <cell r="E14787" t="str">
            <v>角片</v>
          </cell>
        </row>
        <row r="14788">
          <cell r="D14788" t="str">
            <v>CB5752000-023L003</v>
          </cell>
          <cell r="E14788" t="str">
            <v>角片</v>
          </cell>
        </row>
        <row r="14789">
          <cell r="D14789" t="str">
            <v>CB5752000-023L003</v>
          </cell>
          <cell r="E14789" t="str">
            <v>角片</v>
          </cell>
        </row>
        <row r="14790">
          <cell r="D14790" t="str">
            <v>CB5752000-023L003</v>
          </cell>
          <cell r="E14790" t="str">
            <v>角片</v>
          </cell>
        </row>
        <row r="14791">
          <cell r="D14791" t="str">
            <v>CB5752000-023L003</v>
          </cell>
          <cell r="E14791" t="str">
            <v>角片</v>
          </cell>
        </row>
        <row r="14792">
          <cell r="D14792" t="str">
            <v>CB5752000-023L003</v>
          </cell>
          <cell r="E14792" t="str">
            <v>角片</v>
          </cell>
        </row>
        <row r="14793">
          <cell r="D14793" t="str">
            <v>CB5752000-023L003</v>
          </cell>
          <cell r="E14793" t="str">
            <v>角片</v>
          </cell>
        </row>
        <row r="14794">
          <cell r="D14794" t="str">
            <v>CB5752000-023L003</v>
          </cell>
          <cell r="E14794" t="str">
            <v>角片</v>
          </cell>
        </row>
        <row r="14795">
          <cell r="D14795" t="str">
            <v>CB5752000-023L003</v>
          </cell>
          <cell r="E14795" t="str">
            <v>角片</v>
          </cell>
        </row>
        <row r="14796">
          <cell r="D14796" t="str">
            <v>CB5752000-023L003</v>
          </cell>
          <cell r="E14796" t="str">
            <v>角片</v>
          </cell>
        </row>
        <row r="14797">
          <cell r="D14797" t="str">
            <v>CB5752000-023L003</v>
          </cell>
          <cell r="E14797" t="str">
            <v>角片</v>
          </cell>
        </row>
        <row r="14798">
          <cell r="D14798" t="str">
            <v>CB5752000-023L003</v>
          </cell>
          <cell r="E14798" t="str">
            <v>角片</v>
          </cell>
        </row>
        <row r="14799">
          <cell r="D14799" t="str">
            <v>CB5752000-023R002</v>
          </cell>
          <cell r="E14799" t="str">
            <v>角片</v>
          </cell>
        </row>
        <row r="14800">
          <cell r="D14800" t="str">
            <v>CB5752000-023R002</v>
          </cell>
          <cell r="E14800" t="str">
            <v>角片</v>
          </cell>
        </row>
        <row r="14801">
          <cell r="D14801" t="str">
            <v>CB5752000-023R002</v>
          </cell>
          <cell r="E14801" t="str">
            <v>角片</v>
          </cell>
        </row>
        <row r="14802">
          <cell r="D14802" t="str">
            <v>CB5752000-023R002</v>
          </cell>
          <cell r="E14802" t="str">
            <v>角片</v>
          </cell>
        </row>
        <row r="14803">
          <cell r="D14803" t="str">
            <v>CB5752000-023R002</v>
          </cell>
          <cell r="E14803" t="str">
            <v>角片</v>
          </cell>
        </row>
        <row r="14804">
          <cell r="D14804" t="str">
            <v>CB5752000-023R002</v>
          </cell>
          <cell r="E14804" t="str">
            <v>角片</v>
          </cell>
        </row>
        <row r="14805">
          <cell r="D14805" t="str">
            <v>CB5752000-023R002</v>
          </cell>
          <cell r="E14805" t="str">
            <v>角片</v>
          </cell>
        </row>
        <row r="14806">
          <cell r="D14806" t="str">
            <v>CB5752000-023R002</v>
          </cell>
          <cell r="E14806" t="str">
            <v>角片</v>
          </cell>
        </row>
        <row r="14807">
          <cell r="D14807" t="str">
            <v>CB5752000-023R002</v>
          </cell>
          <cell r="E14807" t="str">
            <v>角片</v>
          </cell>
        </row>
        <row r="14808">
          <cell r="D14808" t="str">
            <v>CB5752000-023R002</v>
          </cell>
          <cell r="E14808" t="str">
            <v>角片</v>
          </cell>
        </row>
        <row r="14809">
          <cell r="D14809" t="str">
            <v>CB5752000-023R002</v>
          </cell>
          <cell r="E14809" t="str">
            <v>角片</v>
          </cell>
        </row>
        <row r="14810">
          <cell r="D14810" t="str">
            <v>CB5752000-023R002</v>
          </cell>
          <cell r="E14810" t="str">
            <v>角片</v>
          </cell>
        </row>
        <row r="14811">
          <cell r="D14811" t="str">
            <v>CB5752000-023R002</v>
          </cell>
          <cell r="E14811" t="str">
            <v>角片</v>
          </cell>
        </row>
        <row r="14812">
          <cell r="D14812" t="str">
            <v>CB5752000-023R002</v>
          </cell>
          <cell r="E14812" t="str">
            <v>角片</v>
          </cell>
        </row>
        <row r="14813">
          <cell r="D14813" t="str">
            <v>CB5752000-023R002</v>
          </cell>
          <cell r="E14813" t="str">
            <v>角片</v>
          </cell>
        </row>
        <row r="14814">
          <cell r="D14814" t="str">
            <v>CB5752000-023R002</v>
          </cell>
          <cell r="E14814" t="str">
            <v>角片</v>
          </cell>
        </row>
        <row r="14815">
          <cell r="D14815" t="str">
            <v>CB5752000-023R002</v>
          </cell>
          <cell r="E14815" t="str">
            <v>角片</v>
          </cell>
        </row>
        <row r="14816">
          <cell r="D14816" t="str">
            <v>CB5752000-023R002</v>
          </cell>
          <cell r="E14816" t="str">
            <v>角片</v>
          </cell>
        </row>
        <row r="14817">
          <cell r="D14817" t="str">
            <v>CB5752000-023R002</v>
          </cell>
          <cell r="E14817" t="str">
            <v>角片</v>
          </cell>
        </row>
        <row r="14818">
          <cell r="D14818" t="str">
            <v>CB5752000-023R002</v>
          </cell>
          <cell r="E14818" t="str">
            <v>角片</v>
          </cell>
        </row>
        <row r="14819">
          <cell r="D14819" t="str">
            <v>CB5752000-023R002</v>
          </cell>
          <cell r="E14819" t="str">
            <v>角片</v>
          </cell>
        </row>
        <row r="14820">
          <cell r="D14820" t="str">
            <v>CB5752000-023R002</v>
          </cell>
          <cell r="E14820" t="str">
            <v>角片</v>
          </cell>
        </row>
        <row r="14821">
          <cell r="D14821" t="str">
            <v>CB5752000-023R002</v>
          </cell>
          <cell r="E14821" t="str">
            <v>角片</v>
          </cell>
        </row>
        <row r="14822">
          <cell r="D14822" t="str">
            <v>CB5752000-023R002</v>
          </cell>
          <cell r="E14822" t="str">
            <v>角片</v>
          </cell>
        </row>
        <row r="14823">
          <cell r="D14823" t="str">
            <v>CB5752000-022L003</v>
          </cell>
          <cell r="E14823" t="str">
            <v>角片</v>
          </cell>
        </row>
        <row r="14824">
          <cell r="D14824" t="str">
            <v>CB5752000-022L003</v>
          </cell>
          <cell r="E14824" t="str">
            <v>角片</v>
          </cell>
        </row>
        <row r="14825">
          <cell r="D14825" t="str">
            <v>CB5752000-022L003</v>
          </cell>
          <cell r="E14825" t="str">
            <v>角片</v>
          </cell>
        </row>
        <row r="14826">
          <cell r="D14826" t="str">
            <v>CB5752000-022L003</v>
          </cell>
          <cell r="E14826" t="str">
            <v>角片</v>
          </cell>
        </row>
        <row r="14827">
          <cell r="D14827" t="str">
            <v>CB5752000-022L003</v>
          </cell>
          <cell r="E14827" t="str">
            <v>角片</v>
          </cell>
        </row>
        <row r="14828">
          <cell r="D14828" t="str">
            <v>CB5752000-022L003</v>
          </cell>
          <cell r="E14828" t="str">
            <v>角片</v>
          </cell>
        </row>
        <row r="14829">
          <cell r="D14829" t="str">
            <v>CB5752000-022L003</v>
          </cell>
          <cell r="E14829" t="str">
            <v>角片</v>
          </cell>
        </row>
        <row r="14830">
          <cell r="D14830" t="str">
            <v>CB5752000-022L003</v>
          </cell>
          <cell r="E14830" t="str">
            <v>角片</v>
          </cell>
        </row>
        <row r="14831">
          <cell r="D14831" t="str">
            <v>CB5752000-022L003</v>
          </cell>
          <cell r="E14831" t="str">
            <v>角片</v>
          </cell>
        </row>
        <row r="14832">
          <cell r="D14832" t="str">
            <v>CB5752000-022L003</v>
          </cell>
          <cell r="E14832" t="str">
            <v>角片</v>
          </cell>
        </row>
        <row r="14833">
          <cell r="D14833" t="str">
            <v>CB5752000-022L003</v>
          </cell>
          <cell r="E14833" t="str">
            <v>角片</v>
          </cell>
        </row>
        <row r="14834">
          <cell r="D14834" t="str">
            <v>CB5752000-022L003</v>
          </cell>
          <cell r="E14834" t="str">
            <v>角片</v>
          </cell>
        </row>
        <row r="14835">
          <cell r="D14835" t="str">
            <v>CB5752000-022L003</v>
          </cell>
          <cell r="E14835" t="str">
            <v>角片</v>
          </cell>
        </row>
        <row r="14836">
          <cell r="D14836" t="str">
            <v>CB5752000-022L003</v>
          </cell>
          <cell r="E14836" t="str">
            <v>角片</v>
          </cell>
        </row>
        <row r="14837">
          <cell r="D14837" t="str">
            <v>CB5752000-022L003</v>
          </cell>
          <cell r="E14837" t="str">
            <v>角片</v>
          </cell>
        </row>
        <row r="14838">
          <cell r="D14838" t="str">
            <v>CB5752000-022L003</v>
          </cell>
          <cell r="E14838" t="str">
            <v>角片</v>
          </cell>
        </row>
        <row r="14839">
          <cell r="D14839" t="str">
            <v>CB5752000-022L003</v>
          </cell>
          <cell r="E14839" t="str">
            <v>角片</v>
          </cell>
        </row>
        <row r="14840">
          <cell r="D14840" t="str">
            <v>CB5752000-022L003</v>
          </cell>
          <cell r="E14840" t="str">
            <v>角片</v>
          </cell>
        </row>
        <row r="14841">
          <cell r="D14841" t="str">
            <v>CB5752000-022L003</v>
          </cell>
          <cell r="E14841" t="str">
            <v>角片</v>
          </cell>
        </row>
        <row r="14842">
          <cell r="D14842" t="str">
            <v>CB5752000-022L003</v>
          </cell>
          <cell r="E14842" t="str">
            <v>角片</v>
          </cell>
        </row>
        <row r="14843">
          <cell r="D14843" t="str">
            <v>CB5752000-022L003</v>
          </cell>
          <cell r="E14843" t="str">
            <v>角片</v>
          </cell>
        </row>
        <row r="14844">
          <cell r="D14844" t="str">
            <v>CB5752000-022L003</v>
          </cell>
          <cell r="E14844" t="str">
            <v>角片</v>
          </cell>
        </row>
        <row r="14845">
          <cell r="D14845" t="str">
            <v>CB5752000-022L003</v>
          </cell>
          <cell r="E14845" t="str">
            <v>角片</v>
          </cell>
        </row>
        <row r="14846">
          <cell r="D14846" t="str">
            <v>CB5752000-022L003</v>
          </cell>
          <cell r="E14846" t="str">
            <v>角片</v>
          </cell>
        </row>
        <row r="14847">
          <cell r="D14847" t="str">
            <v>CB5752000-022R002</v>
          </cell>
          <cell r="E14847" t="str">
            <v>角片</v>
          </cell>
        </row>
        <row r="14848">
          <cell r="D14848" t="str">
            <v>CB5752000-022R002</v>
          </cell>
          <cell r="E14848" t="str">
            <v>角片</v>
          </cell>
        </row>
        <row r="14849">
          <cell r="D14849" t="str">
            <v>CB5752000-022R002</v>
          </cell>
          <cell r="E14849" t="str">
            <v>角片</v>
          </cell>
        </row>
        <row r="14850">
          <cell r="D14850" t="str">
            <v>CB5752000-022R002</v>
          </cell>
          <cell r="E14850" t="str">
            <v>角片</v>
          </cell>
        </row>
        <row r="14851">
          <cell r="D14851" t="str">
            <v>CB5752000-022R002</v>
          </cell>
          <cell r="E14851" t="str">
            <v>角片</v>
          </cell>
        </row>
        <row r="14852">
          <cell r="D14852" t="str">
            <v>CB5752000-022R002</v>
          </cell>
          <cell r="E14852" t="str">
            <v>角片</v>
          </cell>
        </row>
        <row r="14853">
          <cell r="D14853" t="str">
            <v>CB5752000-022R002</v>
          </cell>
          <cell r="E14853" t="str">
            <v>角片</v>
          </cell>
        </row>
        <row r="14854">
          <cell r="D14854" t="str">
            <v>CB5752000-022R002</v>
          </cell>
          <cell r="E14854" t="str">
            <v>角片</v>
          </cell>
        </row>
        <row r="14855">
          <cell r="D14855" t="str">
            <v>CB5752000-022R002</v>
          </cell>
          <cell r="E14855" t="str">
            <v>角片</v>
          </cell>
        </row>
        <row r="14856">
          <cell r="D14856" t="str">
            <v>CB5752000-022R002</v>
          </cell>
          <cell r="E14856" t="str">
            <v>角片</v>
          </cell>
        </row>
        <row r="14857">
          <cell r="D14857" t="str">
            <v>CB5752000-022R002</v>
          </cell>
          <cell r="E14857" t="str">
            <v>角片</v>
          </cell>
        </row>
        <row r="14858">
          <cell r="D14858" t="str">
            <v>CB5752000-022R002</v>
          </cell>
          <cell r="E14858" t="str">
            <v>角片</v>
          </cell>
        </row>
        <row r="14859">
          <cell r="D14859" t="str">
            <v>CB5752000-022R002</v>
          </cell>
          <cell r="E14859" t="str">
            <v>角片</v>
          </cell>
        </row>
        <row r="14860">
          <cell r="D14860" t="str">
            <v>CB5752000-022R002</v>
          </cell>
          <cell r="E14860" t="str">
            <v>角片</v>
          </cell>
        </row>
        <row r="14861">
          <cell r="D14861" t="str">
            <v>CB5752000-022R002</v>
          </cell>
          <cell r="E14861" t="str">
            <v>角片</v>
          </cell>
        </row>
        <row r="14862">
          <cell r="D14862" t="str">
            <v>CB5752000-022R002</v>
          </cell>
          <cell r="E14862" t="str">
            <v>角片</v>
          </cell>
        </row>
        <row r="14863">
          <cell r="D14863" t="str">
            <v>CB5752000-022R002</v>
          </cell>
          <cell r="E14863" t="str">
            <v>角片</v>
          </cell>
        </row>
        <row r="14864">
          <cell r="D14864" t="str">
            <v>CB5752000-022R002</v>
          </cell>
          <cell r="E14864" t="str">
            <v>角片</v>
          </cell>
        </row>
        <row r="14865">
          <cell r="D14865" t="str">
            <v>CB5752000-022R002</v>
          </cell>
          <cell r="E14865" t="str">
            <v>角片</v>
          </cell>
        </row>
        <row r="14866">
          <cell r="D14866" t="str">
            <v>CB5752000-022R002</v>
          </cell>
          <cell r="E14866" t="str">
            <v>角片</v>
          </cell>
        </row>
        <row r="14867">
          <cell r="D14867" t="str">
            <v>CB5752000-022R002</v>
          </cell>
          <cell r="E14867" t="str">
            <v>角片</v>
          </cell>
        </row>
        <row r="14868">
          <cell r="D14868" t="str">
            <v>CB5752000-022R002</v>
          </cell>
          <cell r="E14868" t="str">
            <v>角片</v>
          </cell>
        </row>
        <row r="14869">
          <cell r="D14869" t="str">
            <v>CB5752000-022R002</v>
          </cell>
          <cell r="E14869" t="str">
            <v>角片</v>
          </cell>
        </row>
        <row r="14870">
          <cell r="D14870" t="str">
            <v>CB5752000-022R002</v>
          </cell>
          <cell r="E14870" t="str">
            <v>角片</v>
          </cell>
        </row>
        <row r="14871">
          <cell r="D14871" t="str">
            <v>CB3014940-001-002</v>
          </cell>
          <cell r="E14871" t="str">
            <v>左BL297侧框</v>
          </cell>
        </row>
        <row r="14872">
          <cell r="D14872" t="str">
            <v>CB5324310-009L006</v>
          </cell>
          <cell r="E14872" t="str">
            <v>型材</v>
          </cell>
        </row>
        <row r="14873">
          <cell r="D14873" t="str">
            <v>CB5324310-009R006</v>
          </cell>
          <cell r="E14873" t="str">
            <v>型材</v>
          </cell>
        </row>
        <row r="14874">
          <cell r="D14874" t="str">
            <v>CB5327310-014R001</v>
          </cell>
          <cell r="E14874" t="str">
            <v>大舱门前缘冒型材</v>
          </cell>
        </row>
        <row r="14875">
          <cell r="D14875" t="str">
            <v>CB5327310-014R001</v>
          </cell>
          <cell r="E14875" t="str">
            <v>大舱门前缘冒型材</v>
          </cell>
        </row>
        <row r="14876">
          <cell r="D14876" t="str">
            <v>CB5327310-014L001</v>
          </cell>
          <cell r="E14876" t="str">
            <v>大舱门前缘冒型材</v>
          </cell>
        </row>
        <row r="14877">
          <cell r="D14877" t="str">
            <v>CB5327310-014L001</v>
          </cell>
          <cell r="E14877" t="str">
            <v>大舱门前缘冒型材</v>
          </cell>
        </row>
        <row r="14878">
          <cell r="D14878" t="str">
            <v>CB5512300-015L001</v>
          </cell>
          <cell r="E14878" t="str">
            <v>角盒</v>
          </cell>
        </row>
        <row r="14879">
          <cell r="D14879" t="str">
            <v>CB5512300-015R001</v>
          </cell>
          <cell r="E14879" t="str">
            <v>角盒</v>
          </cell>
        </row>
        <row r="14880">
          <cell r="D14880" t="str">
            <v>CB5324310-016-006</v>
          </cell>
          <cell r="E14880" t="str">
            <v>带板</v>
          </cell>
        </row>
        <row r="14881">
          <cell r="D14881" t="str">
            <v>CB5324310-016-006</v>
          </cell>
          <cell r="E14881" t="str">
            <v>带板</v>
          </cell>
        </row>
        <row r="14882">
          <cell r="D14882" t="str">
            <v>CB5324310-016-006</v>
          </cell>
          <cell r="E14882" t="str">
            <v>带板</v>
          </cell>
        </row>
        <row r="14883">
          <cell r="D14883" t="str">
            <v>CB5314107-005-001</v>
          </cell>
          <cell r="E14883" t="str">
            <v>油箱口盖</v>
          </cell>
        </row>
        <row r="14884">
          <cell r="D14884" t="str">
            <v>CB5314107-005-001</v>
          </cell>
          <cell r="E14884" t="str">
            <v>油箱口盖</v>
          </cell>
        </row>
        <row r="14885">
          <cell r="D14885" t="str">
            <v>CB5314107-005-001</v>
          </cell>
          <cell r="E14885" t="str">
            <v>油箱口盖</v>
          </cell>
        </row>
        <row r="14886">
          <cell r="D14886" t="str">
            <v>DD-J10B-02021-3/2-Y</v>
          </cell>
          <cell r="E14886" t="str">
            <v>雷达罩锁支座</v>
          </cell>
        </row>
        <row r="14887">
          <cell r="D14887" t="str">
            <v>DD-J10B-02021-3/2-Y</v>
          </cell>
          <cell r="E14887" t="str">
            <v>雷达罩锁支座</v>
          </cell>
        </row>
        <row r="14888">
          <cell r="D14888" t="str">
            <v>DD-J10B-02021-3/2-Z</v>
          </cell>
          <cell r="E14888" t="str">
            <v>雷达罩锁支座</v>
          </cell>
        </row>
        <row r="14889">
          <cell r="D14889" t="str">
            <v>DD-J10B-02021-3/2-Z</v>
          </cell>
          <cell r="E14889" t="str">
            <v>雷达罩锁支座</v>
          </cell>
        </row>
        <row r="14890">
          <cell r="D14890" t="str">
            <v>BC221T1AC-003-001</v>
          </cell>
          <cell r="E14890" t="str">
            <v>传感器座</v>
          </cell>
        </row>
        <row r="14891">
          <cell r="D14891" t="str">
            <v>BC2711322-002-001</v>
          </cell>
          <cell r="E14891" t="str">
            <v>接头</v>
          </cell>
        </row>
        <row r="14892">
          <cell r="D14892" t="str">
            <v>Y20-5317018032-001</v>
          </cell>
          <cell r="E14892" t="str">
            <v>立柱接头</v>
          </cell>
        </row>
        <row r="14893">
          <cell r="D14893" t="str">
            <v>Y20-5317018032-001</v>
          </cell>
          <cell r="E14893" t="str">
            <v>立柱接头</v>
          </cell>
        </row>
        <row r="14894">
          <cell r="D14894" t="str">
            <v>Y20-5317018033-001</v>
          </cell>
          <cell r="E14894" t="str">
            <v>立柱接头</v>
          </cell>
        </row>
        <row r="14895">
          <cell r="D14895" t="str">
            <v>Y20-5317018034-001</v>
          </cell>
          <cell r="E14895" t="str">
            <v>立柱接头</v>
          </cell>
        </row>
        <row r="14896">
          <cell r="D14896" t="str">
            <v>DD-J10B-02021-3/1-Y</v>
          </cell>
          <cell r="E14896" t="str">
            <v>雷达罩锁支座</v>
          </cell>
        </row>
        <row r="14897">
          <cell r="D14897" t="str">
            <v>DD-J10B-02021-3/1-Y</v>
          </cell>
          <cell r="E14897" t="str">
            <v>雷达罩锁支座</v>
          </cell>
        </row>
        <row r="14898">
          <cell r="D14898" t="str">
            <v>DD-J10B-02021-3/1-Y</v>
          </cell>
          <cell r="E14898" t="str">
            <v>雷达罩锁支座</v>
          </cell>
        </row>
        <row r="14899">
          <cell r="D14899" t="str">
            <v>DD-J10B-02021-3/1-Z</v>
          </cell>
          <cell r="E14899" t="str">
            <v>雷达罩锁支座</v>
          </cell>
        </row>
        <row r="14900">
          <cell r="D14900" t="str">
            <v>DD-J10B-02021-3/1-Z</v>
          </cell>
          <cell r="E14900" t="str">
            <v>雷达罩锁支座</v>
          </cell>
        </row>
        <row r="14901">
          <cell r="D14901" t="str">
            <v>DD-J10-21102-60/-1/3-Z</v>
          </cell>
          <cell r="E14901" t="str">
            <v>11968下口盖</v>
          </cell>
        </row>
        <row r="14902">
          <cell r="D14902" t="str">
            <v>CB5713600-001R004</v>
          </cell>
          <cell r="E14902" t="str">
            <v>前梁一段</v>
          </cell>
        </row>
        <row r="14903">
          <cell r="D14903" t="str">
            <v>CB5713600-001R004</v>
          </cell>
          <cell r="E14903" t="str">
            <v>前梁一段</v>
          </cell>
        </row>
        <row r="14904">
          <cell r="D14904" t="str">
            <v>CB5713600-001R004</v>
          </cell>
          <cell r="E14904" t="str">
            <v>前梁一段</v>
          </cell>
        </row>
        <row r="14905">
          <cell r="D14905" t="str">
            <v>CB5713600-001L006</v>
          </cell>
          <cell r="E14905" t="str">
            <v>前梁一段</v>
          </cell>
        </row>
        <row r="14906">
          <cell r="D14906" t="str">
            <v>CB5713600-001L006</v>
          </cell>
          <cell r="E14906" t="str">
            <v>前梁一段</v>
          </cell>
        </row>
        <row r="14907">
          <cell r="D14907" t="str">
            <v>CB5326200-133R002</v>
          </cell>
          <cell r="E14907" t="str">
            <v>8815 4号加强筋</v>
          </cell>
        </row>
        <row r="14908">
          <cell r="D14908" t="str">
            <v>CB5326200-133R002</v>
          </cell>
          <cell r="E14908" t="str">
            <v>8815 4号加强筋</v>
          </cell>
        </row>
        <row r="14909">
          <cell r="D14909" t="str">
            <v>CB5326200-133R002</v>
          </cell>
          <cell r="E14909" t="str">
            <v>8815 4号加强筋</v>
          </cell>
        </row>
        <row r="14910">
          <cell r="D14910" t="str">
            <v>CB5326200-133R002</v>
          </cell>
          <cell r="E14910" t="str">
            <v>8815 4号加强筋</v>
          </cell>
        </row>
        <row r="14911">
          <cell r="D14911" t="str">
            <v>CB5326200-133L002</v>
          </cell>
          <cell r="E14911" t="str">
            <v>8815 4号加强筋</v>
          </cell>
        </row>
        <row r="14912">
          <cell r="D14912" t="str">
            <v>CB5326200-133L002</v>
          </cell>
          <cell r="E14912" t="str">
            <v>8815 4号加强筋</v>
          </cell>
        </row>
        <row r="14913">
          <cell r="D14913" t="str">
            <v>CB5326200-133L002</v>
          </cell>
          <cell r="E14913" t="str">
            <v>8815 4号加强筋</v>
          </cell>
        </row>
        <row r="14914">
          <cell r="D14914" t="str">
            <v>CB5326200-133L002</v>
          </cell>
          <cell r="E14914" t="str">
            <v>8815 4号加强筋</v>
          </cell>
        </row>
        <row r="14915">
          <cell r="D14915" t="str">
            <v>DD-J10-55015-6100-1</v>
          </cell>
          <cell r="E14915" t="str">
            <v>耳环螺栓</v>
          </cell>
        </row>
        <row r="14916">
          <cell r="D14916" t="str">
            <v>DD-J10-55015-6100-1</v>
          </cell>
          <cell r="E14916" t="str">
            <v>耳环螺栓</v>
          </cell>
        </row>
        <row r="14917">
          <cell r="D14917" t="str">
            <v>CB2284460-006-001</v>
          </cell>
          <cell r="E14917" t="str">
            <v>三通接头</v>
          </cell>
        </row>
        <row r="14918">
          <cell r="D14918" t="str">
            <v>CB5323400-008R001</v>
          </cell>
          <cell r="E14918" t="str">
            <v>外侧轴承盖</v>
          </cell>
        </row>
        <row r="14919">
          <cell r="D14919" t="str">
            <v>CB5323400-008L001</v>
          </cell>
          <cell r="E14919" t="str">
            <v>外侧轴承盖</v>
          </cell>
        </row>
        <row r="14920">
          <cell r="D14920" t="str">
            <v>CB2280231-003-002</v>
          </cell>
          <cell r="E14920" t="str">
            <v>管子</v>
          </cell>
        </row>
        <row r="14921">
          <cell r="D14921" t="str">
            <v>CB22877Y5-009-002</v>
          </cell>
          <cell r="E14921" t="str">
            <v>轴</v>
          </cell>
        </row>
        <row r="14922">
          <cell r="D14922" t="str">
            <v>CB22847Y1N007-001</v>
          </cell>
          <cell r="E14922" t="str">
            <v>衬套</v>
          </cell>
        </row>
        <row r="14923">
          <cell r="D14923" t="str">
            <v>CB2280231N003-001</v>
          </cell>
          <cell r="E14923" t="str">
            <v>管子</v>
          </cell>
        </row>
        <row r="14924">
          <cell r="D14924" t="str">
            <v>DD-J10-21102-120-1-Y</v>
          </cell>
          <cell r="E14924" t="str">
            <v>9480梁（右件）</v>
          </cell>
        </row>
        <row r="14925">
          <cell r="D14925" t="str">
            <v>DD-J10B-34303-4</v>
          </cell>
          <cell r="E14925" t="str">
            <v>支座</v>
          </cell>
        </row>
        <row r="14926">
          <cell r="D14926" t="str">
            <v>Y20-4252203187-001</v>
          </cell>
          <cell r="E14926" t="str">
            <v>支架</v>
          </cell>
        </row>
        <row r="14927">
          <cell r="D14927" t="str">
            <v>Y20-4252203187-002</v>
          </cell>
          <cell r="E14927" t="str">
            <v>支架</v>
          </cell>
        </row>
        <row r="14928">
          <cell r="D14928" t="str">
            <v>Y20-5318100048-001</v>
          </cell>
          <cell r="E14928" t="str">
            <v>12框加强件</v>
          </cell>
        </row>
        <row r="14929">
          <cell r="D14929" t="str">
            <v>Y20-4761200096-001</v>
          </cell>
          <cell r="E14929" t="str">
            <v>悬挂横梁</v>
          </cell>
        </row>
        <row r="14930">
          <cell r="D14930" t="str">
            <v>Y20-5319120059-001</v>
          </cell>
          <cell r="E14930" t="str">
            <v>隔挡角材</v>
          </cell>
        </row>
        <row r="14931">
          <cell r="D14931" t="str">
            <v>Y20-5319120059-001</v>
          </cell>
          <cell r="E14931" t="str">
            <v>隔挡角材</v>
          </cell>
        </row>
        <row r="14932">
          <cell r="D14932" t="str">
            <v>Y20-5315400053-001</v>
          </cell>
          <cell r="E14932" t="str">
            <v>接头</v>
          </cell>
        </row>
        <row r="14933">
          <cell r="D14933" t="str">
            <v>Y20-5315400053-002</v>
          </cell>
          <cell r="E14933" t="str">
            <v>接头</v>
          </cell>
        </row>
        <row r="14934">
          <cell r="D14934" t="str">
            <v>Y20-5319170013-001</v>
          </cell>
          <cell r="E14934" t="str">
            <v>机加T形件</v>
          </cell>
        </row>
        <row r="14935">
          <cell r="D14935" t="str">
            <v>Y20-5319170013-001</v>
          </cell>
          <cell r="E14935" t="str">
            <v>机加T形件</v>
          </cell>
        </row>
        <row r="14936">
          <cell r="D14936" t="str">
            <v>Y20-5319170013-002</v>
          </cell>
          <cell r="E14936" t="str">
            <v>机加T形件</v>
          </cell>
        </row>
        <row r="14937">
          <cell r="D14937" t="str">
            <v>Y20-5319170013-002</v>
          </cell>
          <cell r="E14937" t="str">
            <v>机加T形件</v>
          </cell>
        </row>
        <row r="14938">
          <cell r="D14938" t="str">
            <v>Y20-5315100012-001</v>
          </cell>
          <cell r="E14938" t="str">
            <v>AB柱加强件</v>
          </cell>
        </row>
        <row r="14939">
          <cell r="D14939" t="str">
            <v>Y20-5315100012-001</v>
          </cell>
          <cell r="E14939" t="str">
            <v>AB柱加强件</v>
          </cell>
        </row>
        <row r="14940">
          <cell r="D14940" t="str">
            <v>Y20-5315100012-002</v>
          </cell>
          <cell r="E14940" t="str">
            <v>AB柱加强件</v>
          </cell>
        </row>
        <row r="14941">
          <cell r="D14941" t="str">
            <v>Y20-5315100012-002</v>
          </cell>
          <cell r="E14941" t="str">
            <v>AB柱加强件</v>
          </cell>
        </row>
        <row r="14942">
          <cell r="D14942" t="str">
            <v>Y20-5316320074-001</v>
          </cell>
          <cell r="E14942" t="str">
            <v>15-16框地板纵梁</v>
          </cell>
        </row>
        <row r="14943">
          <cell r="D14943" t="str">
            <v>Y20-5316320074-001</v>
          </cell>
          <cell r="E14943" t="str">
            <v>15-16框地板纵梁</v>
          </cell>
        </row>
        <row r="14944">
          <cell r="D14944" t="str">
            <v>Y20-5316320074-001</v>
          </cell>
          <cell r="E14944" t="str">
            <v>15-16框地板纵梁</v>
          </cell>
        </row>
        <row r="14945">
          <cell r="D14945" t="str">
            <v>Y20-5316320074-001</v>
          </cell>
          <cell r="E14945" t="str">
            <v>15-16框地板纵梁</v>
          </cell>
        </row>
        <row r="14946">
          <cell r="D14946" t="str">
            <v>DD-J10-41153-105</v>
          </cell>
          <cell r="E14946" t="str">
            <v>联锁摇臂</v>
          </cell>
        </row>
        <row r="14947">
          <cell r="D14947" t="str">
            <v>DD-J10-41153-105</v>
          </cell>
          <cell r="E14947" t="str">
            <v>联锁摇臂</v>
          </cell>
        </row>
        <row r="14948">
          <cell r="D14948" t="str">
            <v>DD-J10-41153-105</v>
          </cell>
          <cell r="E14948" t="str">
            <v>联锁摇臂</v>
          </cell>
        </row>
        <row r="14949">
          <cell r="D14949" t="str">
            <v>DD-J10-41153-105</v>
          </cell>
          <cell r="E14949" t="str">
            <v>联锁摇臂</v>
          </cell>
        </row>
        <row r="14950">
          <cell r="D14950" t="str">
            <v>DD-J10-55181-66</v>
          </cell>
          <cell r="E14950" t="str">
            <v>转接管接头</v>
          </cell>
        </row>
        <row r="14951">
          <cell r="D14951" t="str">
            <v>DD-J10-55181-66</v>
          </cell>
          <cell r="E14951" t="str">
            <v>转接管接头</v>
          </cell>
        </row>
        <row r="14952">
          <cell r="D14952" t="str">
            <v>DD-J10B-61201-12</v>
          </cell>
          <cell r="E14952" t="str">
            <v>接头</v>
          </cell>
        </row>
        <row r="14953">
          <cell r="D14953" t="str">
            <v>DD-J10-64016-210-1</v>
          </cell>
          <cell r="E14953" t="str">
            <v>管子</v>
          </cell>
        </row>
        <row r="14954">
          <cell r="D14954" t="str">
            <v>DD-J10B-94076-803</v>
          </cell>
          <cell r="E14954" t="str">
            <v>支架</v>
          </cell>
        </row>
        <row r="14955">
          <cell r="D14955" t="str">
            <v>DD-J10B-86051-2</v>
          </cell>
          <cell r="E14955" t="str">
            <v>激励器转接件</v>
          </cell>
        </row>
        <row r="14956">
          <cell r="D14956" t="str">
            <v>DD-J10-04401-103</v>
          </cell>
          <cell r="E14956" t="str">
            <v>接头</v>
          </cell>
        </row>
        <row r="14957">
          <cell r="D14957" t="str">
            <v>DD-J10-04401-104</v>
          </cell>
          <cell r="E14957" t="str">
            <v>接头</v>
          </cell>
        </row>
        <row r="14958">
          <cell r="D14958" t="str">
            <v>CB2287726-001-001</v>
          </cell>
          <cell r="E14958" t="str">
            <v>安装支架</v>
          </cell>
        </row>
        <row r="14959">
          <cell r="D14959" t="str">
            <v>CB2284460-006-001</v>
          </cell>
          <cell r="E14959" t="str">
            <v>三通接头</v>
          </cell>
        </row>
        <row r="14960">
          <cell r="D14960" t="str">
            <v>CB2284460-006-001</v>
          </cell>
          <cell r="E14960" t="str">
            <v>三通接头</v>
          </cell>
        </row>
        <row r="14961">
          <cell r="D14961" t="str">
            <v>DD-J10B-77101-963</v>
          </cell>
          <cell r="E14961" t="str">
            <v>卡箍扣</v>
          </cell>
        </row>
        <row r="14962">
          <cell r="D14962" t="str">
            <v>DD-J10B-77101-963</v>
          </cell>
          <cell r="E14962" t="str">
            <v>卡箍扣</v>
          </cell>
        </row>
        <row r="14963">
          <cell r="D14963" t="str">
            <v>DD-J10B-77101-963</v>
          </cell>
          <cell r="E14963" t="str">
            <v>卡箍扣</v>
          </cell>
        </row>
        <row r="14964">
          <cell r="D14964" t="str">
            <v>CB22956R0-001R001</v>
          </cell>
          <cell r="E14964" t="str">
            <v>架子</v>
          </cell>
        </row>
        <row r="14965">
          <cell r="D14965" t="str">
            <v>CB22956R0-001R001</v>
          </cell>
          <cell r="E14965" t="str">
            <v>架子</v>
          </cell>
        </row>
        <row r="14966">
          <cell r="D14966" t="str">
            <v>CB22956R0-001L001</v>
          </cell>
          <cell r="E14966" t="str">
            <v>架子</v>
          </cell>
        </row>
        <row r="14967">
          <cell r="D14967" t="str">
            <v>CB229C440-002R001</v>
          </cell>
          <cell r="E14967" t="str">
            <v>支架</v>
          </cell>
        </row>
        <row r="14968">
          <cell r="D14968" t="str">
            <v>CB2297021-001-001</v>
          </cell>
          <cell r="E14968" t="str">
            <v>支架</v>
          </cell>
        </row>
        <row r="14969">
          <cell r="D14969" t="str">
            <v>CB22931L1-001-003</v>
          </cell>
          <cell r="E14969" t="str">
            <v>底座</v>
          </cell>
        </row>
        <row r="14970">
          <cell r="D14970" t="str">
            <v>CB2297120-006-002</v>
          </cell>
          <cell r="E14970" t="str">
            <v>支架</v>
          </cell>
        </row>
        <row r="14971">
          <cell r="D14971" t="str">
            <v>CB2298091-001-001</v>
          </cell>
          <cell r="E14971" t="str">
            <v>支架</v>
          </cell>
        </row>
        <row r="14972">
          <cell r="D14972" t="str">
            <v>CB229C070-001R001</v>
          </cell>
          <cell r="E14972" t="str">
            <v>支架</v>
          </cell>
        </row>
        <row r="14973">
          <cell r="D14973" t="str">
            <v>CB229C071-001L001</v>
          </cell>
          <cell r="E14973" t="str">
            <v>支架</v>
          </cell>
        </row>
        <row r="14974">
          <cell r="D14974" t="str">
            <v>DD-J10B-55015-4100-1</v>
          </cell>
          <cell r="E14974" t="str">
            <v>垫圈</v>
          </cell>
        </row>
        <row r="14975">
          <cell r="D14975" t="str">
            <v>DD-J10-96031-113</v>
          </cell>
          <cell r="E14975" t="str">
            <v>衬套</v>
          </cell>
        </row>
        <row r="14976">
          <cell r="D14976" t="str">
            <v>DD-J10-96031-104</v>
          </cell>
          <cell r="E14976" t="str">
            <v>接管嘴</v>
          </cell>
        </row>
        <row r="14977">
          <cell r="D14977" t="str">
            <v>CB229C421-003-001</v>
          </cell>
          <cell r="E14977" t="str">
            <v>衬套</v>
          </cell>
        </row>
        <row r="14978">
          <cell r="D14978" t="str">
            <v>CB2280231-003-002</v>
          </cell>
          <cell r="E14978" t="str">
            <v>管子</v>
          </cell>
        </row>
        <row r="14979">
          <cell r="D14979" t="str">
            <v>CB2280231-003-002</v>
          </cell>
          <cell r="E14979" t="str">
            <v>管子</v>
          </cell>
        </row>
        <row r="14980">
          <cell r="D14980" t="str">
            <v>CB2280231-003-002</v>
          </cell>
          <cell r="E14980" t="str">
            <v>管子</v>
          </cell>
        </row>
        <row r="14981">
          <cell r="D14981" t="str">
            <v>CB22857Y9N005-001</v>
          </cell>
          <cell r="E14981" t="str">
            <v>导管</v>
          </cell>
        </row>
        <row r="14982">
          <cell r="D14982" t="str">
            <v>CB22847Y5N004-001</v>
          </cell>
          <cell r="E14982" t="str">
            <v>衬套</v>
          </cell>
        </row>
        <row r="14983">
          <cell r="D14983" t="str">
            <v>CB22877Y5N007-001</v>
          </cell>
          <cell r="E14983" t="str">
            <v>衬套</v>
          </cell>
        </row>
        <row r="14984">
          <cell r="D14984" t="str">
            <v>CB2280231N003-001</v>
          </cell>
          <cell r="E14984" t="str">
            <v>管子</v>
          </cell>
        </row>
        <row r="14985">
          <cell r="D14985" t="str">
            <v>CB22857YBN005-001</v>
          </cell>
          <cell r="E14985" t="str">
            <v>管子</v>
          </cell>
        </row>
        <row r="14986">
          <cell r="D14986" t="str">
            <v>CB229C421-003-001</v>
          </cell>
          <cell r="E14986" t="str">
            <v>衬套</v>
          </cell>
        </row>
        <row r="14987">
          <cell r="D14987" t="str">
            <v>CB22877Y5-009-002</v>
          </cell>
          <cell r="E14987" t="str">
            <v>轴</v>
          </cell>
        </row>
        <row r="14988">
          <cell r="D14988" t="str">
            <v>CB22877Y5N007-001</v>
          </cell>
          <cell r="E14988" t="str">
            <v>衬套</v>
          </cell>
        </row>
        <row r="14989">
          <cell r="D14989" t="str">
            <v>DD-J10-54231-2-Z</v>
          </cell>
          <cell r="E14989" t="str">
            <v>鸭翼伺服作动器安装支座</v>
          </cell>
        </row>
        <row r="14990">
          <cell r="D14990" t="str">
            <v>CB5512300-015L001</v>
          </cell>
          <cell r="E14990" t="str">
            <v>角盒</v>
          </cell>
        </row>
        <row r="14991">
          <cell r="D14991" t="str">
            <v>CB5522200-020L001</v>
          </cell>
          <cell r="E14991" t="str">
            <v>实心块</v>
          </cell>
        </row>
        <row r="14992">
          <cell r="D14992" t="str">
            <v>CB5522200-020L001</v>
          </cell>
          <cell r="E14992" t="str">
            <v>实心块</v>
          </cell>
        </row>
        <row r="14993">
          <cell r="D14993" t="str">
            <v>CB5522200-020R001</v>
          </cell>
          <cell r="E14993" t="str">
            <v>实心块</v>
          </cell>
        </row>
        <row r="14994">
          <cell r="D14994" t="str">
            <v>CB5522200-020R001</v>
          </cell>
          <cell r="E14994" t="str">
            <v>实心块</v>
          </cell>
        </row>
        <row r="14995">
          <cell r="D14995" t="str">
            <v>CB5512300-014L001</v>
          </cell>
          <cell r="E14995" t="str">
            <v>角盒</v>
          </cell>
        </row>
        <row r="14996">
          <cell r="D14996" t="str">
            <v>CB5512300-014L001</v>
          </cell>
          <cell r="E14996" t="str">
            <v>角盒</v>
          </cell>
        </row>
        <row r="14997">
          <cell r="D14997" t="str">
            <v>CB5512300-014L001</v>
          </cell>
          <cell r="E14997" t="str">
            <v>角盒</v>
          </cell>
        </row>
        <row r="14998">
          <cell r="D14998" t="str">
            <v>CB5512300-014R001</v>
          </cell>
          <cell r="E14998" t="str">
            <v>角盒</v>
          </cell>
        </row>
        <row r="14999">
          <cell r="D14999" t="str">
            <v>CB5512300-014R001</v>
          </cell>
          <cell r="E14999" t="str">
            <v>角盒</v>
          </cell>
        </row>
        <row r="15000">
          <cell r="D15000" t="str">
            <v>CB5512300-014R001</v>
          </cell>
          <cell r="E15000" t="str">
            <v>角盒</v>
          </cell>
        </row>
        <row r="15001">
          <cell r="D15001" t="str">
            <v>Y20-5828031202-001</v>
          </cell>
          <cell r="E15001" t="str">
            <v>支架</v>
          </cell>
        </row>
        <row r="15002">
          <cell r="D15002" t="str">
            <v>CB5326200-131L002</v>
          </cell>
          <cell r="E15002" t="str">
            <v>8455 4号加强筋</v>
          </cell>
        </row>
        <row r="15003">
          <cell r="D15003" t="str">
            <v>CB5326200-131R002</v>
          </cell>
          <cell r="E15003" t="str">
            <v>8455 4号加强筋</v>
          </cell>
        </row>
        <row r="15004">
          <cell r="D15004" t="str">
            <v>DD-J10-05236-15-Y</v>
          </cell>
          <cell r="E15004" t="str">
            <v>角材（右件）</v>
          </cell>
        </row>
        <row r="15005">
          <cell r="D15005" t="str">
            <v>DD-J10-05236-15-Y</v>
          </cell>
          <cell r="E15005" t="str">
            <v>角材（右件）</v>
          </cell>
        </row>
        <row r="15006">
          <cell r="D15006" t="str">
            <v>DD-J10-21102-150-1-Y</v>
          </cell>
          <cell r="E15006" t="str">
            <v>10060梁（右件）</v>
          </cell>
        </row>
        <row r="15007">
          <cell r="D15007" t="str">
            <v>DD-J10-21102-150-1-Y</v>
          </cell>
          <cell r="E15007" t="str">
            <v>10060梁（右件）</v>
          </cell>
        </row>
        <row r="15008">
          <cell r="D15008" t="str">
            <v>DD-J10-21102-150-1-Z</v>
          </cell>
          <cell r="E15008" t="str">
            <v>10060梁（左件）</v>
          </cell>
        </row>
        <row r="15009">
          <cell r="D15009" t="str">
            <v>DD-J10-21102-150-1-Z</v>
          </cell>
          <cell r="E15009" t="str">
            <v>10060梁（左件）</v>
          </cell>
        </row>
        <row r="15010">
          <cell r="D15010" t="str">
            <v>DD-J10-21102-140-1-Y</v>
          </cell>
          <cell r="E15010" t="str">
            <v>9860梁（右件）</v>
          </cell>
        </row>
        <row r="15011">
          <cell r="D15011" t="str">
            <v>DD-J10-21102-140-1-Y</v>
          </cell>
          <cell r="E15011" t="str">
            <v>9860梁（右件）</v>
          </cell>
        </row>
        <row r="15012">
          <cell r="D15012" t="str">
            <v>DD-J10-21102-140-1-Z</v>
          </cell>
          <cell r="E15012" t="str">
            <v>9860梁（左件）</v>
          </cell>
        </row>
        <row r="15013">
          <cell r="D15013" t="str">
            <v>DD-J10-21102-140-1-Z</v>
          </cell>
          <cell r="E15013" t="str">
            <v>9860梁（左件）</v>
          </cell>
        </row>
        <row r="15014">
          <cell r="D15014" t="str">
            <v>YR-4351100502-001</v>
          </cell>
          <cell r="E15014" t="str">
            <v>支架</v>
          </cell>
        </row>
        <row r="15015">
          <cell r="D15015" t="str">
            <v>DD-J10-06041-81</v>
          </cell>
          <cell r="E15015" t="str">
            <v>弯管接头</v>
          </cell>
        </row>
        <row r="15016">
          <cell r="D15016" t="str">
            <v>CB2276730-001-001</v>
          </cell>
          <cell r="E15016" t="str">
            <v>操纵台侧壁板</v>
          </cell>
        </row>
        <row r="15017">
          <cell r="D15017" t="str">
            <v>CB221097C-002-002</v>
          </cell>
          <cell r="E15017" t="str">
            <v>支架</v>
          </cell>
        </row>
        <row r="15018">
          <cell r="D15018" t="str">
            <v>CB5325125-404R001</v>
          </cell>
          <cell r="E15018" t="str">
            <v>摇臂</v>
          </cell>
        </row>
        <row r="15019">
          <cell r="D15019" t="str">
            <v>DD-J10-21102-160-1-Y</v>
          </cell>
          <cell r="E15019" t="str">
            <v>10260梁（右件）</v>
          </cell>
        </row>
        <row r="15020">
          <cell r="D15020" t="str">
            <v>DD-J10-21102-160-1-Y</v>
          </cell>
          <cell r="E15020" t="str">
            <v>10260梁（右件）</v>
          </cell>
        </row>
        <row r="15021">
          <cell r="D15021" t="str">
            <v>DD-J10-21102-160-1-Z</v>
          </cell>
          <cell r="E15021" t="str">
            <v>10260梁（左件）</v>
          </cell>
        </row>
        <row r="15022">
          <cell r="D15022" t="str">
            <v>DD-J10-21102-160-1-Z</v>
          </cell>
          <cell r="E15022" t="str">
            <v>10260梁（左件）</v>
          </cell>
        </row>
        <row r="15023">
          <cell r="D15023" t="str">
            <v>DD-J10-05346-1-Y</v>
          </cell>
          <cell r="E15023" t="str">
            <v>受剪接头</v>
          </cell>
        </row>
        <row r="15024">
          <cell r="D15024" t="str">
            <v>DD-J10-05346-1-Y</v>
          </cell>
          <cell r="E15024" t="str">
            <v>受剪接头</v>
          </cell>
        </row>
        <row r="15025">
          <cell r="D15025" t="str">
            <v>DD-J10-05346-1-Y</v>
          </cell>
          <cell r="E15025" t="str">
            <v>受剪接头</v>
          </cell>
        </row>
        <row r="15026">
          <cell r="D15026" t="str">
            <v>DD-J10-05346-1-Y</v>
          </cell>
          <cell r="E15026" t="str">
            <v>受剪接头</v>
          </cell>
        </row>
        <row r="15027">
          <cell r="D15027" t="str">
            <v>DD-J10-05346-1-Y</v>
          </cell>
          <cell r="E15027" t="str">
            <v>受剪接头</v>
          </cell>
        </row>
        <row r="15028">
          <cell r="D15028" t="str">
            <v>DD-J10-05346-1-Y</v>
          </cell>
          <cell r="E15028" t="str">
            <v>受剪接头</v>
          </cell>
        </row>
        <row r="15029">
          <cell r="D15029" t="str">
            <v>DD-J10-05346-1-Y</v>
          </cell>
          <cell r="E15029" t="str">
            <v>受剪接头</v>
          </cell>
        </row>
        <row r="15030">
          <cell r="D15030" t="str">
            <v>DD-J10-05346-1-Y</v>
          </cell>
          <cell r="E15030" t="str">
            <v>受剪接头</v>
          </cell>
        </row>
        <row r="15031">
          <cell r="D15031" t="str">
            <v>DD-J10-05346-1-Y</v>
          </cell>
          <cell r="E15031" t="str">
            <v>受剪接头</v>
          </cell>
        </row>
        <row r="15032">
          <cell r="D15032" t="str">
            <v>DD-J10-05346-1-Y</v>
          </cell>
          <cell r="E15032" t="str">
            <v>受剪接头</v>
          </cell>
        </row>
        <row r="15033">
          <cell r="D15033" t="str">
            <v>DD-J10-05346-1-Y</v>
          </cell>
          <cell r="E15033" t="str">
            <v>受剪接头</v>
          </cell>
        </row>
        <row r="15034">
          <cell r="D15034" t="str">
            <v>DD-J10-05346-1-Y</v>
          </cell>
          <cell r="E15034" t="str">
            <v>受剪接头</v>
          </cell>
        </row>
        <row r="15035">
          <cell r="D15035" t="str">
            <v>DD-J10-05346-1-Y</v>
          </cell>
          <cell r="E15035" t="str">
            <v>受剪接头</v>
          </cell>
        </row>
        <row r="15036">
          <cell r="D15036" t="str">
            <v>DD-J10-05346-1-Y</v>
          </cell>
          <cell r="E15036" t="str">
            <v>受剪接头</v>
          </cell>
        </row>
        <row r="15037">
          <cell r="D15037" t="str">
            <v>DD-J10-05346-1-Y</v>
          </cell>
          <cell r="E15037" t="str">
            <v>受剪接头</v>
          </cell>
        </row>
        <row r="15038">
          <cell r="D15038" t="str">
            <v>DD-J10-05346-1-Y</v>
          </cell>
          <cell r="E15038" t="str">
            <v>受剪接头</v>
          </cell>
        </row>
        <row r="15039">
          <cell r="D15039" t="str">
            <v>DD-J10-05346-1-Y</v>
          </cell>
          <cell r="E15039" t="str">
            <v>受剪接头</v>
          </cell>
        </row>
        <row r="15040">
          <cell r="D15040" t="str">
            <v>DD-J10-05346-1-Y</v>
          </cell>
          <cell r="E15040" t="str">
            <v>受剪接头</v>
          </cell>
        </row>
        <row r="15041">
          <cell r="D15041" t="str">
            <v>DD-J10-05346-1-Y</v>
          </cell>
          <cell r="E15041" t="str">
            <v>受剪接头</v>
          </cell>
        </row>
        <row r="15042">
          <cell r="D15042" t="str">
            <v>DD-J10-05346-1-Y</v>
          </cell>
          <cell r="E15042" t="str">
            <v>受剪接头</v>
          </cell>
        </row>
        <row r="15043">
          <cell r="D15043" t="str">
            <v>DD-J10-05346-1-Y</v>
          </cell>
          <cell r="E15043" t="str">
            <v>受剪接头</v>
          </cell>
        </row>
        <row r="15044">
          <cell r="D15044" t="str">
            <v>DD-J10-05346-1-Y</v>
          </cell>
          <cell r="E15044" t="str">
            <v>受剪接头</v>
          </cell>
        </row>
        <row r="15045">
          <cell r="D15045" t="str">
            <v>DD-J10-05346-1-Y</v>
          </cell>
          <cell r="E15045" t="str">
            <v>受剪接头</v>
          </cell>
        </row>
        <row r="15046">
          <cell r="D15046" t="str">
            <v>DD-J10-05346-1-Y</v>
          </cell>
          <cell r="E15046" t="str">
            <v>受剪接头</v>
          </cell>
        </row>
        <row r="15047">
          <cell r="D15047" t="str">
            <v>DD-J10-05346-1-Y</v>
          </cell>
          <cell r="E15047" t="str">
            <v>受剪接头</v>
          </cell>
        </row>
        <row r="15048">
          <cell r="D15048" t="str">
            <v>DD-J10-05346-1-Y</v>
          </cell>
          <cell r="E15048" t="str">
            <v>受剪接头</v>
          </cell>
        </row>
        <row r="15049">
          <cell r="D15049" t="str">
            <v>DD-J10-05346-1-Y</v>
          </cell>
          <cell r="E15049" t="str">
            <v>受剪接头</v>
          </cell>
        </row>
        <row r="15050">
          <cell r="D15050" t="str">
            <v>DD-J10-05346-1-Y</v>
          </cell>
          <cell r="E15050" t="str">
            <v>受剪接头</v>
          </cell>
        </row>
        <row r="15051">
          <cell r="D15051" t="str">
            <v>DD-J10-05346-1-Z</v>
          </cell>
          <cell r="E15051" t="str">
            <v>受剪接头</v>
          </cell>
        </row>
        <row r="15052">
          <cell r="D15052" t="str">
            <v>DD-J10-05346-1-Z</v>
          </cell>
          <cell r="E15052" t="str">
            <v>受剪接头</v>
          </cell>
        </row>
        <row r="15053">
          <cell r="D15053" t="str">
            <v>DD-J10-05346-1-Z</v>
          </cell>
          <cell r="E15053" t="str">
            <v>受剪接头</v>
          </cell>
        </row>
        <row r="15054">
          <cell r="D15054" t="str">
            <v>DD-J10-05346-1-Z</v>
          </cell>
          <cell r="E15054" t="str">
            <v>受剪接头</v>
          </cell>
        </row>
        <row r="15055">
          <cell r="D15055" t="str">
            <v>DD-J10-05346-1-Z</v>
          </cell>
          <cell r="E15055" t="str">
            <v>受剪接头</v>
          </cell>
        </row>
        <row r="15056">
          <cell r="D15056" t="str">
            <v>DD-J10-05346-1-Z</v>
          </cell>
          <cell r="E15056" t="str">
            <v>受剪接头</v>
          </cell>
        </row>
        <row r="15057">
          <cell r="D15057" t="str">
            <v>DD-J10-05346-1-Z</v>
          </cell>
          <cell r="E15057" t="str">
            <v>受剪接头</v>
          </cell>
        </row>
        <row r="15058">
          <cell r="D15058" t="str">
            <v>DD-J10-05346-1-Z</v>
          </cell>
          <cell r="E15058" t="str">
            <v>受剪接头</v>
          </cell>
        </row>
        <row r="15059">
          <cell r="D15059" t="str">
            <v>DD-J10-05346-1-Z</v>
          </cell>
          <cell r="E15059" t="str">
            <v>受剪接头</v>
          </cell>
        </row>
        <row r="15060">
          <cell r="D15060" t="str">
            <v>DD-J10-05346-1-Z</v>
          </cell>
          <cell r="E15060" t="str">
            <v>受剪接头</v>
          </cell>
        </row>
        <row r="15061">
          <cell r="D15061" t="str">
            <v>DD-J10-05346-1-Z</v>
          </cell>
          <cell r="E15061" t="str">
            <v>受剪接头</v>
          </cell>
        </row>
        <row r="15062">
          <cell r="D15062" t="str">
            <v>DD-J10-05346-1-Z</v>
          </cell>
          <cell r="E15062" t="str">
            <v>受剪接头</v>
          </cell>
        </row>
        <row r="15063">
          <cell r="D15063" t="str">
            <v>DD-J10-05346-1-Z</v>
          </cell>
          <cell r="E15063" t="str">
            <v>受剪接头</v>
          </cell>
        </row>
        <row r="15064">
          <cell r="D15064" t="str">
            <v>DD-J10-05346-1-Z</v>
          </cell>
          <cell r="E15064" t="str">
            <v>受剪接头</v>
          </cell>
        </row>
        <row r="15065">
          <cell r="D15065" t="str">
            <v>DD-J10-05346-1-Z</v>
          </cell>
          <cell r="E15065" t="str">
            <v>受剪接头</v>
          </cell>
        </row>
        <row r="15066">
          <cell r="D15066" t="str">
            <v>DD-J10-05346-1-Z</v>
          </cell>
          <cell r="E15066" t="str">
            <v>受剪接头</v>
          </cell>
        </row>
        <row r="15067">
          <cell r="D15067" t="str">
            <v>DD-J10-05346-1-Z</v>
          </cell>
          <cell r="E15067" t="str">
            <v>受剪接头</v>
          </cell>
        </row>
        <row r="15068">
          <cell r="D15068" t="str">
            <v>DD-J10-05346-1-Z</v>
          </cell>
          <cell r="E15068" t="str">
            <v>受剪接头</v>
          </cell>
        </row>
        <row r="15069">
          <cell r="D15069" t="str">
            <v>DD-J10-05346-1-Z</v>
          </cell>
          <cell r="E15069" t="str">
            <v>受剪接头</v>
          </cell>
        </row>
        <row r="15070">
          <cell r="D15070" t="str">
            <v>DD-J10-05346-1-Z</v>
          </cell>
          <cell r="E15070" t="str">
            <v>受剪接头</v>
          </cell>
        </row>
        <row r="15071">
          <cell r="D15071" t="str">
            <v>DD-J10-05346-1-Z</v>
          </cell>
          <cell r="E15071" t="str">
            <v>受剪接头</v>
          </cell>
        </row>
        <row r="15072">
          <cell r="D15072" t="str">
            <v>DD-J10-05346-1-Z</v>
          </cell>
          <cell r="E15072" t="str">
            <v>受剪接头</v>
          </cell>
        </row>
        <row r="15073">
          <cell r="D15073" t="str">
            <v>DD-J10-05346-1-Z</v>
          </cell>
          <cell r="E15073" t="str">
            <v>受剪接头</v>
          </cell>
        </row>
        <row r="15074">
          <cell r="D15074" t="str">
            <v>DD-J10-05346-1-Z</v>
          </cell>
          <cell r="E15074" t="str">
            <v>受剪接头</v>
          </cell>
        </row>
        <row r="15075">
          <cell r="D15075" t="str">
            <v>DD-J10-05346-1-Z</v>
          </cell>
          <cell r="E15075" t="str">
            <v>受剪接头</v>
          </cell>
        </row>
        <row r="15076">
          <cell r="D15076" t="str">
            <v>DD-J10-05346-1-Z</v>
          </cell>
          <cell r="E15076" t="str">
            <v>受剪接头</v>
          </cell>
        </row>
        <row r="15077">
          <cell r="D15077" t="str">
            <v>DD-J10-05346-1-Z</v>
          </cell>
          <cell r="E15077" t="str">
            <v>受剪接头</v>
          </cell>
        </row>
        <row r="15078">
          <cell r="D15078" t="str">
            <v>DD-J10-05346-1-Z</v>
          </cell>
          <cell r="E15078" t="str">
            <v>受剪接头</v>
          </cell>
        </row>
        <row r="15079">
          <cell r="D15079" t="str">
            <v>DD-J10-05346-2-Y</v>
          </cell>
          <cell r="E15079" t="str">
            <v>受剪接头</v>
          </cell>
        </row>
        <row r="15080">
          <cell r="D15080" t="str">
            <v>DD-J10-05346-2-Y</v>
          </cell>
          <cell r="E15080" t="str">
            <v>受剪接头</v>
          </cell>
        </row>
        <row r="15081">
          <cell r="D15081" t="str">
            <v>DD-J10-05346-2-Y</v>
          </cell>
          <cell r="E15081" t="str">
            <v>受剪接头</v>
          </cell>
        </row>
        <row r="15082">
          <cell r="D15082" t="str">
            <v>DD-J10-05346-2-Y</v>
          </cell>
          <cell r="E15082" t="str">
            <v>受剪接头</v>
          </cell>
        </row>
        <row r="15083">
          <cell r="D15083" t="str">
            <v>DD-J10-05346-2-Y</v>
          </cell>
          <cell r="E15083" t="str">
            <v>受剪接头</v>
          </cell>
        </row>
        <row r="15084">
          <cell r="D15084" t="str">
            <v>DD-J10-05346-2-Y</v>
          </cell>
          <cell r="E15084" t="str">
            <v>受剪接头</v>
          </cell>
        </row>
        <row r="15085">
          <cell r="D15085" t="str">
            <v>DD-J10-05346-2-Y</v>
          </cell>
          <cell r="E15085" t="str">
            <v>受剪接头</v>
          </cell>
        </row>
        <row r="15086">
          <cell r="D15086" t="str">
            <v>DD-J10-05346-2-Y</v>
          </cell>
          <cell r="E15086" t="str">
            <v>受剪接头</v>
          </cell>
        </row>
        <row r="15087">
          <cell r="D15087" t="str">
            <v>DD-J10-05346-2-Y</v>
          </cell>
          <cell r="E15087" t="str">
            <v>受剪接头</v>
          </cell>
        </row>
        <row r="15088">
          <cell r="D15088" t="str">
            <v>DD-J10-05346-2-Y</v>
          </cell>
          <cell r="E15088" t="str">
            <v>受剪接头</v>
          </cell>
        </row>
        <row r="15089">
          <cell r="D15089" t="str">
            <v>DD-J10-05346-2-Y</v>
          </cell>
          <cell r="E15089" t="str">
            <v>受剪接头</v>
          </cell>
        </row>
        <row r="15090">
          <cell r="D15090" t="str">
            <v>DD-J10-05346-2-Y</v>
          </cell>
          <cell r="E15090" t="str">
            <v>受剪接头</v>
          </cell>
        </row>
        <row r="15091">
          <cell r="D15091" t="str">
            <v>DD-J10-05346-2-Y</v>
          </cell>
          <cell r="E15091" t="str">
            <v>受剪接头</v>
          </cell>
        </row>
        <row r="15092">
          <cell r="D15092" t="str">
            <v>DD-J10-05346-2-Y</v>
          </cell>
          <cell r="E15092" t="str">
            <v>受剪接头</v>
          </cell>
        </row>
        <row r="15093">
          <cell r="D15093" t="str">
            <v>DD-J10-05346-2-Y</v>
          </cell>
          <cell r="E15093" t="str">
            <v>受剪接头</v>
          </cell>
        </row>
        <row r="15094">
          <cell r="D15094" t="str">
            <v>DD-J10-05346-2-Y</v>
          </cell>
          <cell r="E15094" t="str">
            <v>受剪接头</v>
          </cell>
        </row>
        <row r="15095">
          <cell r="D15095" t="str">
            <v>DD-J10-05346-2-Y</v>
          </cell>
          <cell r="E15095" t="str">
            <v>受剪接头</v>
          </cell>
        </row>
        <row r="15096">
          <cell r="D15096" t="str">
            <v>DD-J10-05346-2-Y</v>
          </cell>
          <cell r="E15096" t="str">
            <v>受剪接头</v>
          </cell>
        </row>
        <row r="15097">
          <cell r="D15097" t="str">
            <v>DD-J10-05346-2-Y</v>
          </cell>
          <cell r="E15097" t="str">
            <v>受剪接头</v>
          </cell>
        </row>
        <row r="15098">
          <cell r="D15098" t="str">
            <v>DD-J10-05346-2-Y</v>
          </cell>
          <cell r="E15098" t="str">
            <v>受剪接头</v>
          </cell>
        </row>
        <row r="15099">
          <cell r="D15099" t="str">
            <v>DD-J10-05346-2-Y</v>
          </cell>
          <cell r="E15099" t="str">
            <v>受剪接头</v>
          </cell>
        </row>
        <row r="15100">
          <cell r="D15100" t="str">
            <v>DD-J10-05346-2-Y</v>
          </cell>
          <cell r="E15100" t="str">
            <v>受剪接头</v>
          </cell>
        </row>
        <row r="15101">
          <cell r="D15101" t="str">
            <v>DD-J10-05346-2-Y</v>
          </cell>
          <cell r="E15101" t="str">
            <v>受剪接头</v>
          </cell>
        </row>
        <row r="15102">
          <cell r="D15102" t="str">
            <v>DD-J10-05346-2-Y</v>
          </cell>
          <cell r="E15102" t="str">
            <v>受剪接头</v>
          </cell>
        </row>
        <row r="15103">
          <cell r="D15103" t="str">
            <v>DD-J10-05346-2-Y</v>
          </cell>
          <cell r="E15103" t="str">
            <v>受剪接头</v>
          </cell>
        </row>
        <row r="15104">
          <cell r="D15104" t="str">
            <v>DD-J10-05346-2-Y</v>
          </cell>
          <cell r="E15104" t="str">
            <v>受剪接头</v>
          </cell>
        </row>
        <row r="15105">
          <cell r="D15105" t="str">
            <v>DD-J10-05346-2-Y</v>
          </cell>
          <cell r="E15105" t="str">
            <v>受剪接头</v>
          </cell>
        </row>
        <row r="15106">
          <cell r="D15106" t="str">
            <v>DD-J10-05346-2-Y</v>
          </cell>
          <cell r="E15106" t="str">
            <v>受剪接头</v>
          </cell>
        </row>
        <row r="15107">
          <cell r="D15107" t="str">
            <v>DD-J10-05346-2-Z</v>
          </cell>
          <cell r="E15107" t="str">
            <v>受剪接头</v>
          </cell>
        </row>
        <row r="15108">
          <cell r="D15108" t="str">
            <v>DD-J10-05346-2-Z</v>
          </cell>
          <cell r="E15108" t="str">
            <v>受剪接头</v>
          </cell>
        </row>
        <row r="15109">
          <cell r="D15109" t="str">
            <v>DD-J10-05346-2-Z</v>
          </cell>
          <cell r="E15109" t="str">
            <v>受剪接头</v>
          </cell>
        </row>
        <row r="15110">
          <cell r="D15110" t="str">
            <v>DD-J10-05346-2-Z</v>
          </cell>
          <cell r="E15110" t="str">
            <v>受剪接头</v>
          </cell>
        </row>
        <row r="15111">
          <cell r="D15111" t="str">
            <v>DD-J10-05346-2-Z</v>
          </cell>
          <cell r="E15111" t="str">
            <v>受剪接头</v>
          </cell>
        </row>
        <row r="15112">
          <cell r="D15112" t="str">
            <v>DD-J10-05346-2-Z</v>
          </cell>
          <cell r="E15112" t="str">
            <v>受剪接头</v>
          </cell>
        </row>
        <row r="15113">
          <cell r="D15113" t="str">
            <v>DD-J10-05346-2-Z</v>
          </cell>
          <cell r="E15113" t="str">
            <v>受剪接头</v>
          </cell>
        </row>
        <row r="15114">
          <cell r="D15114" t="str">
            <v>DD-J10-05346-2-Z</v>
          </cell>
          <cell r="E15114" t="str">
            <v>受剪接头</v>
          </cell>
        </row>
        <row r="15115">
          <cell r="D15115" t="str">
            <v>DD-J10-05346-2-Z</v>
          </cell>
          <cell r="E15115" t="str">
            <v>受剪接头</v>
          </cell>
        </row>
        <row r="15116">
          <cell r="D15116" t="str">
            <v>DD-J10-05346-2-Z</v>
          </cell>
          <cell r="E15116" t="str">
            <v>受剪接头</v>
          </cell>
        </row>
        <row r="15117">
          <cell r="D15117" t="str">
            <v>DD-J10-05346-2-Z</v>
          </cell>
          <cell r="E15117" t="str">
            <v>受剪接头</v>
          </cell>
        </row>
        <row r="15118">
          <cell r="D15118" t="str">
            <v>DD-J10-05346-2-Z</v>
          </cell>
          <cell r="E15118" t="str">
            <v>受剪接头</v>
          </cell>
        </row>
        <row r="15119">
          <cell r="D15119" t="str">
            <v>DD-J10-05346-2-Z</v>
          </cell>
          <cell r="E15119" t="str">
            <v>受剪接头</v>
          </cell>
        </row>
        <row r="15120">
          <cell r="D15120" t="str">
            <v>DD-J10-05346-2-Z</v>
          </cell>
          <cell r="E15120" t="str">
            <v>受剪接头</v>
          </cell>
        </row>
        <row r="15121">
          <cell r="D15121" t="str">
            <v>DD-J10-05346-2-Z</v>
          </cell>
          <cell r="E15121" t="str">
            <v>受剪接头</v>
          </cell>
        </row>
        <row r="15122">
          <cell r="D15122" t="str">
            <v>DD-J10-05346-2-Z</v>
          </cell>
          <cell r="E15122" t="str">
            <v>受剪接头</v>
          </cell>
        </row>
        <row r="15123">
          <cell r="D15123" t="str">
            <v>DD-J10-05346-2-Z</v>
          </cell>
          <cell r="E15123" t="str">
            <v>受剪接头</v>
          </cell>
        </row>
        <row r="15124">
          <cell r="D15124" t="str">
            <v>DD-J10-05346-2-Z</v>
          </cell>
          <cell r="E15124" t="str">
            <v>受剪接头</v>
          </cell>
        </row>
        <row r="15125">
          <cell r="D15125" t="str">
            <v>DD-J10-05346-2-Z</v>
          </cell>
          <cell r="E15125" t="str">
            <v>受剪接头</v>
          </cell>
        </row>
        <row r="15126">
          <cell r="D15126" t="str">
            <v>DD-J10-05346-2-Z</v>
          </cell>
          <cell r="E15126" t="str">
            <v>受剪接头</v>
          </cell>
        </row>
        <row r="15127">
          <cell r="D15127" t="str">
            <v>DD-J10-05346-2-Z</v>
          </cell>
          <cell r="E15127" t="str">
            <v>受剪接头</v>
          </cell>
        </row>
        <row r="15128">
          <cell r="D15128" t="str">
            <v>DD-J10-05346-2-Z</v>
          </cell>
          <cell r="E15128" t="str">
            <v>受剪接头</v>
          </cell>
        </row>
        <row r="15129">
          <cell r="D15129" t="str">
            <v>DD-J10-05346-2-Z</v>
          </cell>
          <cell r="E15129" t="str">
            <v>受剪接头</v>
          </cell>
        </row>
        <row r="15130">
          <cell r="D15130" t="str">
            <v>DD-J10-05346-2-Z</v>
          </cell>
          <cell r="E15130" t="str">
            <v>受剪接头</v>
          </cell>
        </row>
        <row r="15131">
          <cell r="D15131" t="str">
            <v>DD-J10-05346-2-Z</v>
          </cell>
          <cell r="E15131" t="str">
            <v>受剪接头</v>
          </cell>
        </row>
        <row r="15132">
          <cell r="D15132" t="str">
            <v>DD-J10-05346-2-Z</v>
          </cell>
          <cell r="E15132" t="str">
            <v>受剪接头</v>
          </cell>
        </row>
        <row r="15133">
          <cell r="D15133" t="str">
            <v>DD-J10-05346-2-Z</v>
          </cell>
          <cell r="E15133" t="str">
            <v>受剪接头</v>
          </cell>
        </row>
        <row r="15134">
          <cell r="D15134" t="str">
            <v>DD-J10-05346-2-Z</v>
          </cell>
          <cell r="E15134" t="str">
            <v>受剪接头</v>
          </cell>
        </row>
        <row r="15135">
          <cell r="D15135" t="str">
            <v>DD-J10-05346-3-Z</v>
          </cell>
          <cell r="E15135" t="str">
            <v>受剪接头</v>
          </cell>
        </row>
        <row r="15136">
          <cell r="D15136" t="str">
            <v>DD-J10-05346-3-Z</v>
          </cell>
          <cell r="E15136" t="str">
            <v>受剪接头</v>
          </cell>
        </row>
        <row r="15137">
          <cell r="D15137" t="str">
            <v>DD-J10-05346-3-Z</v>
          </cell>
          <cell r="E15137" t="str">
            <v>受剪接头</v>
          </cell>
        </row>
        <row r="15138">
          <cell r="D15138" t="str">
            <v>DD-J10-05346-3-Z</v>
          </cell>
          <cell r="E15138" t="str">
            <v>受剪接头</v>
          </cell>
        </row>
        <row r="15139">
          <cell r="D15139" t="str">
            <v>DD-J10-05346-3-Z</v>
          </cell>
          <cell r="E15139" t="str">
            <v>受剪接头</v>
          </cell>
        </row>
        <row r="15140">
          <cell r="D15140" t="str">
            <v>DD-J10-05346-3-Z</v>
          </cell>
          <cell r="E15140" t="str">
            <v>受剪接头</v>
          </cell>
        </row>
        <row r="15141">
          <cell r="D15141" t="str">
            <v>DD-J10-05346-3-Z</v>
          </cell>
          <cell r="E15141" t="str">
            <v>受剪接头</v>
          </cell>
        </row>
        <row r="15142">
          <cell r="D15142" t="str">
            <v>DD-J10-05346-3-Z</v>
          </cell>
          <cell r="E15142" t="str">
            <v>受剪接头</v>
          </cell>
        </row>
        <row r="15143">
          <cell r="D15143" t="str">
            <v>DD-J10-05346-3-Z</v>
          </cell>
          <cell r="E15143" t="str">
            <v>受剪接头</v>
          </cell>
        </row>
        <row r="15144">
          <cell r="D15144" t="str">
            <v>DD-J10-05346-3-Z</v>
          </cell>
          <cell r="E15144" t="str">
            <v>受剪接头</v>
          </cell>
        </row>
        <row r="15145">
          <cell r="D15145" t="str">
            <v>DD-J10-05346-3-Z</v>
          </cell>
          <cell r="E15145" t="str">
            <v>受剪接头</v>
          </cell>
        </row>
        <row r="15146">
          <cell r="D15146" t="str">
            <v>DD-J10-05346-3-Z</v>
          </cell>
          <cell r="E15146" t="str">
            <v>受剪接头</v>
          </cell>
        </row>
        <row r="15147">
          <cell r="D15147" t="str">
            <v>DD-J10-05346-3-Z</v>
          </cell>
          <cell r="E15147" t="str">
            <v>受剪接头</v>
          </cell>
        </row>
        <row r="15148">
          <cell r="D15148" t="str">
            <v>DD-J10-05346-3-Z</v>
          </cell>
          <cell r="E15148" t="str">
            <v>受剪接头</v>
          </cell>
        </row>
        <row r="15149">
          <cell r="D15149" t="str">
            <v>DD-J10-05346-3-Z</v>
          </cell>
          <cell r="E15149" t="str">
            <v>受剪接头</v>
          </cell>
        </row>
        <row r="15150">
          <cell r="D15150" t="str">
            <v>DD-J10-05346-3-Z</v>
          </cell>
          <cell r="E15150" t="str">
            <v>受剪接头</v>
          </cell>
        </row>
        <row r="15151">
          <cell r="D15151" t="str">
            <v>DD-J10-05346-3-Z</v>
          </cell>
          <cell r="E15151" t="str">
            <v>受剪接头</v>
          </cell>
        </row>
        <row r="15152">
          <cell r="D15152" t="str">
            <v>DD-J10-05346-3-Z</v>
          </cell>
          <cell r="E15152" t="str">
            <v>受剪接头</v>
          </cell>
        </row>
        <row r="15153">
          <cell r="D15153" t="str">
            <v>DD-J10-05346-3-Z</v>
          </cell>
          <cell r="E15153" t="str">
            <v>受剪接头</v>
          </cell>
        </row>
        <row r="15154">
          <cell r="D15154" t="str">
            <v>DD-J10-05346-3-Z</v>
          </cell>
          <cell r="E15154" t="str">
            <v>受剪接头</v>
          </cell>
        </row>
        <row r="15155">
          <cell r="D15155" t="str">
            <v>DD-J10-05346-3-Z</v>
          </cell>
          <cell r="E15155" t="str">
            <v>受剪接头</v>
          </cell>
        </row>
        <row r="15156">
          <cell r="D15156" t="str">
            <v>DD-J10-05346-3-Z</v>
          </cell>
          <cell r="E15156" t="str">
            <v>受剪接头</v>
          </cell>
        </row>
        <row r="15157">
          <cell r="D15157" t="str">
            <v>DD-J10-05346-3-Z</v>
          </cell>
          <cell r="E15157" t="str">
            <v>受剪接头</v>
          </cell>
        </row>
        <row r="15158">
          <cell r="D15158" t="str">
            <v>DD-J10-05346-3-Z</v>
          </cell>
          <cell r="E15158" t="str">
            <v>受剪接头</v>
          </cell>
        </row>
        <row r="15159">
          <cell r="D15159" t="str">
            <v>DD-J10-05346-3-Z</v>
          </cell>
          <cell r="E15159" t="str">
            <v>受剪接头</v>
          </cell>
        </row>
        <row r="15160">
          <cell r="D15160" t="str">
            <v>DD-J10-05346-3-Z</v>
          </cell>
          <cell r="E15160" t="str">
            <v>受剪接头</v>
          </cell>
        </row>
        <row r="15161">
          <cell r="D15161" t="str">
            <v>DD-J10-05346-3-Z</v>
          </cell>
          <cell r="E15161" t="str">
            <v>受剪接头</v>
          </cell>
        </row>
        <row r="15162">
          <cell r="D15162" t="str">
            <v>DD-J10-05346-3-Z</v>
          </cell>
          <cell r="E15162" t="str">
            <v>受剪接头</v>
          </cell>
        </row>
        <row r="15163">
          <cell r="D15163" t="str">
            <v>DD-J10-05346-3-Z</v>
          </cell>
          <cell r="E15163" t="str">
            <v>受剪接头</v>
          </cell>
        </row>
        <row r="15164">
          <cell r="D15164" t="str">
            <v>DD-J10-05346-3-Z</v>
          </cell>
          <cell r="E15164" t="str">
            <v>受剪接头</v>
          </cell>
        </row>
        <row r="15165">
          <cell r="D15165" t="str">
            <v>DD-J10-05346-3-Z</v>
          </cell>
          <cell r="E15165" t="str">
            <v>受剪接头</v>
          </cell>
        </row>
        <row r="15166">
          <cell r="D15166" t="str">
            <v>DD-J10-05346-3-Z</v>
          </cell>
          <cell r="E15166" t="str">
            <v>受剪接头</v>
          </cell>
        </row>
        <row r="15167">
          <cell r="D15167" t="str">
            <v>DD-J10-05346-3-Z</v>
          </cell>
          <cell r="E15167" t="str">
            <v>受剪接头</v>
          </cell>
        </row>
        <row r="15168">
          <cell r="D15168" t="str">
            <v>DD-J10-05346-3-Z</v>
          </cell>
          <cell r="E15168" t="str">
            <v>受剪接头</v>
          </cell>
        </row>
        <row r="15169">
          <cell r="D15169" t="str">
            <v>DD-J10-05346-3-Z</v>
          </cell>
          <cell r="E15169" t="str">
            <v>受剪接头</v>
          </cell>
        </row>
        <row r="15170">
          <cell r="D15170" t="str">
            <v>DD-J10-05346-3-Z</v>
          </cell>
          <cell r="E15170" t="str">
            <v>受剪接头</v>
          </cell>
        </row>
        <row r="15171">
          <cell r="D15171" t="str">
            <v>DD-J10-05346-3-Z</v>
          </cell>
          <cell r="E15171" t="str">
            <v>受剪接头</v>
          </cell>
        </row>
        <row r="15172">
          <cell r="D15172" t="str">
            <v>DD-J10-05346-3-Y</v>
          </cell>
          <cell r="E15172" t="str">
            <v>受剪接头</v>
          </cell>
        </row>
        <row r="15173">
          <cell r="D15173" t="str">
            <v>DD-J10-05346-3-Y</v>
          </cell>
          <cell r="E15173" t="str">
            <v>受剪接头</v>
          </cell>
        </row>
        <row r="15174">
          <cell r="D15174" t="str">
            <v>DD-J10-05346-3-Y</v>
          </cell>
          <cell r="E15174" t="str">
            <v>受剪接头</v>
          </cell>
        </row>
        <row r="15175">
          <cell r="D15175" t="str">
            <v>DD-J10-05346-3-Y</v>
          </cell>
          <cell r="E15175" t="str">
            <v>受剪接头</v>
          </cell>
        </row>
        <row r="15176">
          <cell r="D15176" t="str">
            <v>DD-J10-05346-3-Y</v>
          </cell>
          <cell r="E15176" t="str">
            <v>受剪接头</v>
          </cell>
        </row>
        <row r="15177">
          <cell r="D15177" t="str">
            <v>DD-J10-05346-3-Y</v>
          </cell>
          <cell r="E15177" t="str">
            <v>受剪接头</v>
          </cell>
        </row>
        <row r="15178">
          <cell r="D15178" t="str">
            <v>DD-J10-05346-3-Y</v>
          </cell>
          <cell r="E15178" t="str">
            <v>受剪接头</v>
          </cell>
        </row>
        <row r="15179">
          <cell r="D15179" t="str">
            <v>DD-J10-05346-3-Y</v>
          </cell>
          <cell r="E15179" t="str">
            <v>受剪接头</v>
          </cell>
        </row>
        <row r="15180">
          <cell r="D15180" t="str">
            <v>DD-J10-05346-3-Y</v>
          </cell>
          <cell r="E15180" t="str">
            <v>受剪接头</v>
          </cell>
        </row>
        <row r="15181">
          <cell r="D15181" t="str">
            <v>DD-J10-05346-3-Y</v>
          </cell>
          <cell r="E15181" t="str">
            <v>受剪接头</v>
          </cell>
        </row>
        <row r="15182">
          <cell r="D15182" t="str">
            <v>DD-J10-05346-3-Y</v>
          </cell>
          <cell r="E15182" t="str">
            <v>受剪接头</v>
          </cell>
        </row>
        <row r="15183">
          <cell r="D15183" t="str">
            <v>DD-J10-05346-3-Y</v>
          </cell>
          <cell r="E15183" t="str">
            <v>受剪接头</v>
          </cell>
        </row>
        <row r="15184">
          <cell r="D15184" t="str">
            <v>DD-J10-05346-3-Y</v>
          </cell>
          <cell r="E15184" t="str">
            <v>受剪接头</v>
          </cell>
        </row>
        <row r="15185">
          <cell r="D15185" t="str">
            <v>DD-J10-05346-3-Y</v>
          </cell>
          <cell r="E15185" t="str">
            <v>受剪接头</v>
          </cell>
        </row>
        <row r="15186">
          <cell r="D15186" t="str">
            <v>DD-J10-05346-3-Y</v>
          </cell>
          <cell r="E15186" t="str">
            <v>受剪接头</v>
          </cell>
        </row>
        <row r="15187">
          <cell r="D15187" t="str">
            <v>DD-J10-05346-3-Y</v>
          </cell>
          <cell r="E15187" t="str">
            <v>受剪接头</v>
          </cell>
        </row>
        <row r="15188">
          <cell r="D15188" t="str">
            <v>DD-J10-05346-3-Y</v>
          </cell>
          <cell r="E15188" t="str">
            <v>受剪接头</v>
          </cell>
        </row>
        <row r="15189">
          <cell r="D15189" t="str">
            <v>DD-J10-05346-3-Y</v>
          </cell>
          <cell r="E15189" t="str">
            <v>受剪接头</v>
          </cell>
        </row>
        <row r="15190">
          <cell r="D15190" t="str">
            <v>DD-J10-05346-3-Y</v>
          </cell>
          <cell r="E15190" t="str">
            <v>受剪接头</v>
          </cell>
        </row>
        <row r="15191">
          <cell r="D15191" t="str">
            <v>DD-J10-05346-3-Y</v>
          </cell>
          <cell r="E15191" t="str">
            <v>受剪接头</v>
          </cell>
        </row>
        <row r="15192">
          <cell r="D15192" t="str">
            <v>DD-J10-05346-3-Y</v>
          </cell>
          <cell r="E15192" t="str">
            <v>受剪接头</v>
          </cell>
        </row>
        <row r="15193">
          <cell r="D15193" t="str">
            <v>DD-J10-05346-3-Y</v>
          </cell>
          <cell r="E15193" t="str">
            <v>受剪接头</v>
          </cell>
        </row>
        <row r="15194">
          <cell r="D15194" t="str">
            <v>DD-J10-05346-3-Y</v>
          </cell>
          <cell r="E15194" t="str">
            <v>受剪接头</v>
          </cell>
        </row>
        <row r="15195">
          <cell r="D15195" t="str">
            <v>DD-J10-05346-3-Y</v>
          </cell>
          <cell r="E15195" t="str">
            <v>受剪接头</v>
          </cell>
        </row>
        <row r="15196">
          <cell r="D15196" t="str">
            <v>DD-J10-05346-3-Y</v>
          </cell>
          <cell r="E15196" t="str">
            <v>受剪接头</v>
          </cell>
        </row>
        <row r="15197">
          <cell r="D15197" t="str">
            <v>DD-J10-05346-3-Y</v>
          </cell>
          <cell r="E15197" t="str">
            <v>受剪接头</v>
          </cell>
        </row>
        <row r="15198">
          <cell r="D15198" t="str">
            <v>DD-J10-05346-3-Y</v>
          </cell>
          <cell r="E15198" t="str">
            <v>受剪接头</v>
          </cell>
        </row>
        <row r="15199">
          <cell r="D15199" t="str">
            <v>DD-J10-05346-3-Y</v>
          </cell>
          <cell r="E15199" t="str">
            <v>受剪接头</v>
          </cell>
        </row>
        <row r="15200">
          <cell r="D15200" t="str">
            <v>DD-J10-05346-3-Y</v>
          </cell>
          <cell r="E15200" t="str">
            <v>受剪接头</v>
          </cell>
        </row>
        <row r="15201">
          <cell r="D15201" t="str">
            <v>DD-J10-05346-3-Y</v>
          </cell>
          <cell r="E15201" t="str">
            <v>受剪接头</v>
          </cell>
        </row>
        <row r="15202">
          <cell r="D15202" t="str">
            <v>DD-J10-05346-3-Y</v>
          </cell>
          <cell r="E15202" t="str">
            <v>受剪接头</v>
          </cell>
        </row>
        <row r="15203">
          <cell r="D15203" t="str">
            <v>DD-J10-05346-3-Y</v>
          </cell>
          <cell r="E15203" t="str">
            <v>受剪接头</v>
          </cell>
        </row>
        <row r="15204">
          <cell r="D15204" t="str">
            <v>DD-J10-05346-3-Y</v>
          </cell>
          <cell r="E15204" t="str">
            <v>受剪接头</v>
          </cell>
        </row>
        <row r="15205">
          <cell r="D15205" t="str">
            <v>DD-J10-05346-3-Y</v>
          </cell>
          <cell r="E15205" t="str">
            <v>受剪接头</v>
          </cell>
        </row>
        <row r="15206">
          <cell r="D15206" t="str">
            <v>DD-J10-05346-3-Y</v>
          </cell>
          <cell r="E15206" t="str">
            <v>受剪接头</v>
          </cell>
        </row>
        <row r="15207">
          <cell r="D15207" t="str">
            <v>DD-J10-05346-3-Y</v>
          </cell>
          <cell r="E15207" t="str">
            <v>受剪接头</v>
          </cell>
        </row>
        <row r="15208">
          <cell r="D15208" t="str">
            <v>DD-J10-05346-3-Y</v>
          </cell>
          <cell r="E15208" t="str">
            <v>受剪接头</v>
          </cell>
        </row>
        <row r="15209">
          <cell r="D15209" t="str">
            <v>XXX-35100000-01</v>
          </cell>
          <cell r="E15209" t="str">
            <v>腔体</v>
          </cell>
        </row>
        <row r="15210">
          <cell r="D15210" t="str">
            <v>XXX-35100000-02</v>
          </cell>
          <cell r="E15210" t="str">
            <v>盖板</v>
          </cell>
        </row>
        <row r="15211">
          <cell r="D15211" t="str">
            <v>XXX-35100000-03</v>
          </cell>
          <cell r="E15211" t="str">
            <v>偶极子</v>
          </cell>
        </row>
        <row r="15212">
          <cell r="D15212" t="str">
            <v>XXX-35100000-04</v>
          </cell>
          <cell r="E15212" t="str">
            <v>XXX阵子A</v>
          </cell>
        </row>
        <row r="15213">
          <cell r="D15213" t="str">
            <v>XXX-35100000-05</v>
          </cell>
          <cell r="E15213" t="str">
            <v>XXX阵子B</v>
          </cell>
        </row>
        <row r="15214">
          <cell r="D15214" t="str">
            <v>XXX-35100000-06</v>
          </cell>
          <cell r="E15214" t="str">
            <v>SMA(12.2-B)垫圈</v>
          </cell>
        </row>
        <row r="15215">
          <cell r="D15215" t="str">
            <v>XXX-35100000-07</v>
          </cell>
          <cell r="E15215" t="str">
            <v>介质固定块</v>
          </cell>
        </row>
        <row r="15216">
          <cell r="D15216" t="str">
            <v>CB22921N2-001-001</v>
          </cell>
          <cell r="E15216" t="str">
            <v>角片</v>
          </cell>
        </row>
        <row r="15217">
          <cell r="D15217" t="str">
            <v>DD-J10-63001-511</v>
          </cell>
          <cell r="E15217" t="str">
            <v>阳密封式法兰盘</v>
          </cell>
        </row>
        <row r="15218">
          <cell r="D15218" t="str">
            <v>DD-J10B-78001-460-1</v>
          </cell>
          <cell r="E15218" t="str">
            <v>铰链</v>
          </cell>
        </row>
        <row r="15219">
          <cell r="D15219" t="str">
            <v>DD-J10B-78001-460-1</v>
          </cell>
          <cell r="E15219" t="str">
            <v>铰链</v>
          </cell>
        </row>
        <row r="15220">
          <cell r="D15220" t="str">
            <v>CB5313200-004L006</v>
          </cell>
          <cell r="E15220" t="str">
            <v>左前分合面框</v>
          </cell>
        </row>
        <row r="15221">
          <cell r="D15221" t="str">
            <v>CB5313200-004L006</v>
          </cell>
          <cell r="E15221" t="str">
            <v>左前分合面框</v>
          </cell>
        </row>
        <row r="15222">
          <cell r="D15222" t="str">
            <v>CB5313200-004R006</v>
          </cell>
          <cell r="E15222" t="str">
            <v>右前分合面框</v>
          </cell>
        </row>
        <row r="15223">
          <cell r="D15223" t="str">
            <v>CB5313200-004R006</v>
          </cell>
          <cell r="E15223" t="str">
            <v>右前分合面框</v>
          </cell>
        </row>
        <row r="15224">
          <cell r="D15224" t="str">
            <v>CB5313200-004R006</v>
          </cell>
          <cell r="E15224" t="str">
            <v>右前分合面框</v>
          </cell>
        </row>
        <row r="15225">
          <cell r="D15225" t="str">
            <v>J10B-26002-100G2-1G2-Z</v>
          </cell>
          <cell r="E15225" t="str">
            <v>翼尖接头</v>
          </cell>
        </row>
        <row r="15226">
          <cell r="D15226" t="str">
            <v>J10B-26002-100G2-1G2-Y</v>
          </cell>
          <cell r="E15226" t="str">
            <v>翼尖接头</v>
          </cell>
        </row>
        <row r="15227">
          <cell r="D15227" t="str">
            <v>DD-J10B-54601-10-1</v>
          </cell>
          <cell r="E15227" t="str">
            <v>过渡板</v>
          </cell>
        </row>
        <row r="15228">
          <cell r="D15228" t="str">
            <v>DD-J10-67096-50-1</v>
          </cell>
          <cell r="E15228" t="str">
            <v>Z型件</v>
          </cell>
        </row>
        <row r="15229">
          <cell r="D15229" t="str">
            <v>DD-J10-67096-50-1</v>
          </cell>
          <cell r="E15229" t="str">
            <v>Z型件</v>
          </cell>
        </row>
        <row r="15230">
          <cell r="D15230" t="str">
            <v>CB5822016-029L001</v>
          </cell>
          <cell r="E15230" t="str">
            <v>角片</v>
          </cell>
        </row>
        <row r="15231">
          <cell r="D15231" t="str">
            <v>CB5322400-016-061</v>
          </cell>
          <cell r="E15231" t="str">
            <v>11140框左下半框</v>
          </cell>
        </row>
        <row r="15232">
          <cell r="D15232" t="str">
            <v>CB5322400-016-061</v>
          </cell>
          <cell r="E15232" t="str">
            <v>11140框左下半框</v>
          </cell>
        </row>
        <row r="15233">
          <cell r="D15233" t="str">
            <v>CB5322400-016-061</v>
          </cell>
          <cell r="E15233" t="str">
            <v>11140框左下半框</v>
          </cell>
        </row>
        <row r="15234">
          <cell r="D15234" t="str">
            <v>CB5322400-016-061</v>
          </cell>
          <cell r="E15234" t="str">
            <v>11140框左下半框</v>
          </cell>
        </row>
        <row r="15235">
          <cell r="D15235" t="str">
            <v>CB5322400-016-061</v>
          </cell>
          <cell r="E15235" t="str">
            <v>11140框左下半框</v>
          </cell>
        </row>
        <row r="15236">
          <cell r="D15236" t="str">
            <v>CB5322400-016-061</v>
          </cell>
          <cell r="E15236" t="str">
            <v>11140框左下半框</v>
          </cell>
        </row>
        <row r="15237">
          <cell r="D15237" t="str">
            <v>CB5322400-016-061</v>
          </cell>
          <cell r="E15237" t="str">
            <v>11140框左下半框</v>
          </cell>
        </row>
        <row r="15238">
          <cell r="D15238" t="str">
            <v>CB5322400-016-061</v>
          </cell>
          <cell r="E15238" t="str">
            <v>11140框左下半框</v>
          </cell>
        </row>
        <row r="15239">
          <cell r="D15239" t="str">
            <v>CB5322400-016-061</v>
          </cell>
          <cell r="E15239" t="str">
            <v>11140框左下半框</v>
          </cell>
        </row>
        <row r="15240">
          <cell r="D15240" t="str">
            <v>CB5322400-016-061</v>
          </cell>
          <cell r="E15240" t="str">
            <v>11140框左下半框</v>
          </cell>
        </row>
        <row r="15241">
          <cell r="D15241" t="str">
            <v>CB5322400-016-061</v>
          </cell>
          <cell r="E15241" t="str">
            <v>11140框左下半框</v>
          </cell>
        </row>
        <row r="15242">
          <cell r="D15242" t="str">
            <v>CB5322400-016-061</v>
          </cell>
          <cell r="E15242" t="str">
            <v>11140框左下半框</v>
          </cell>
        </row>
        <row r="15243">
          <cell r="D15243" t="str">
            <v>CB5322400-017-061</v>
          </cell>
          <cell r="E15243" t="str">
            <v>11140框右下半框</v>
          </cell>
        </row>
        <row r="15244">
          <cell r="D15244" t="str">
            <v>CB5322400-017-061</v>
          </cell>
          <cell r="E15244" t="str">
            <v>11140框右下半框</v>
          </cell>
        </row>
        <row r="15245">
          <cell r="D15245" t="str">
            <v>CB5322400-017-061</v>
          </cell>
          <cell r="E15245" t="str">
            <v>11140框右下半框</v>
          </cell>
        </row>
        <row r="15246">
          <cell r="D15246" t="str">
            <v>CB5322400-017-061</v>
          </cell>
          <cell r="E15246" t="str">
            <v>11140框右下半框</v>
          </cell>
        </row>
        <row r="15247">
          <cell r="D15247" t="str">
            <v>CB5322400-017-061</v>
          </cell>
          <cell r="E15247" t="str">
            <v>11140框右下半框</v>
          </cell>
        </row>
        <row r="15248">
          <cell r="D15248" t="str">
            <v>CB5322400-017-061</v>
          </cell>
          <cell r="E15248" t="str">
            <v>11140框右下半框</v>
          </cell>
        </row>
        <row r="15249">
          <cell r="D15249" t="str">
            <v>CB5322400-017-061</v>
          </cell>
          <cell r="E15249" t="str">
            <v>11140框右下半框</v>
          </cell>
        </row>
        <row r="15250">
          <cell r="D15250" t="str">
            <v>CB5322400-017-061</v>
          </cell>
          <cell r="E15250" t="str">
            <v>11140框右下半框</v>
          </cell>
        </row>
        <row r="15251">
          <cell r="D15251" t="str">
            <v>CB5322400-017-061</v>
          </cell>
          <cell r="E15251" t="str">
            <v>11140框右下半框</v>
          </cell>
        </row>
        <row r="15252">
          <cell r="D15252" t="str">
            <v>CB5322400-017-061</v>
          </cell>
          <cell r="E15252" t="str">
            <v>11140框右下半框</v>
          </cell>
        </row>
        <row r="15253">
          <cell r="D15253" t="str">
            <v>CB5322400-017-061</v>
          </cell>
          <cell r="E15253" t="str">
            <v>11140框右下半框</v>
          </cell>
        </row>
        <row r="15254">
          <cell r="D15254" t="str">
            <v>CB5324320-007R009</v>
          </cell>
          <cell r="E15254" t="str">
            <v>横梁</v>
          </cell>
        </row>
        <row r="15255">
          <cell r="D15255" t="str">
            <v>CB5324320-007R009</v>
          </cell>
          <cell r="E15255" t="str">
            <v>横梁</v>
          </cell>
        </row>
        <row r="15256">
          <cell r="D15256" t="str">
            <v>CB2297120-006-002</v>
          </cell>
          <cell r="E15256" t="str">
            <v>支架</v>
          </cell>
        </row>
        <row r="15257">
          <cell r="D15257" t="str">
            <v>CB2292321-001-003</v>
          </cell>
          <cell r="E15257" t="str">
            <v>支座</v>
          </cell>
        </row>
        <row r="15258">
          <cell r="D15258" t="str">
            <v>CB5315191-014R004</v>
          </cell>
          <cell r="E15258" t="str">
            <v>排气下侧壁</v>
          </cell>
        </row>
        <row r="15259">
          <cell r="D15259" t="str">
            <v>DD-J10-55015-5300-1</v>
          </cell>
          <cell r="E15259" t="str">
            <v>耳环螺栓</v>
          </cell>
        </row>
        <row r="15260">
          <cell r="D15260" t="str">
            <v>DD-J10-55015-6201</v>
          </cell>
          <cell r="E15260" t="str">
            <v>接管嘴</v>
          </cell>
        </row>
        <row r="15261">
          <cell r="D15261" t="str">
            <v>DD-J10-55015-6201</v>
          </cell>
          <cell r="E15261" t="str">
            <v>接管嘴</v>
          </cell>
        </row>
        <row r="15262">
          <cell r="D15262" t="str">
            <v>CB2210260-001-001</v>
          </cell>
          <cell r="E15262" t="str">
            <v>支架</v>
          </cell>
        </row>
        <row r="15263">
          <cell r="D15263" t="str">
            <v>CB2210260-001-001</v>
          </cell>
          <cell r="E15263" t="str">
            <v>支架</v>
          </cell>
        </row>
        <row r="15264">
          <cell r="D15264" t="str">
            <v>CB2276731-007-001</v>
          </cell>
          <cell r="E15264" t="str">
            <v>筋条5</v>
          </cell>
        </row>
        <row r="15265">
          <cell r="D15265" t="str">
            <v>CB22921N2-001-001</v>
          </cell>
          <cell r="E15265" t="str">
            <v>角片</v>
          </cell>
        </row>
        <row r="15266">
          <cell r="D15266" t="str">
            <v>BC5836011-001-001</v>
          </cell>
          <cell r="E15266" t="str">
            <v>壳体</v>
          </cell>
        </row>
        <row r="15267">
          <cell r="D15267" t="str">
            <v>Y20-5212290007-002</v>
          </cell>
          <cell r="E15267" t="str">
            <v>合页片</v>
          </cell>
        </row>
        <row r="15268">
          <cell r="D15268" t="str">
            <v>Y20-5826100003-001</v>
          </cell>
          <cell r="E15268" t="str">
            <v>摩擦片</v>
          </cell>
        </row>
        <row r="15269">
          <cell r="D15269" t="str">
            <v>Y20-5281112002-001</v>
          </cell>
          <cell r="E15269" t="str">
            <v>衬套</v>
          </cell>
        </row>
        <row r="15270">
          <cell r="D15270" t="str">
            <v>CB221T9MLN003-001</v>
          </cell>
          <cell r="E15270" t="str">
            <v>液体压力传感器接管嘴</v>
          </cell>
        </row>
        <row r="15271">
          <cell r="D15271" t="str">
            <v>CB221T9MLN003-001</v>
          </cell>
          <cell r="E15271" t="str">
            <v>液体压力传感器接管嘴</v>
          </cell>
        </row>
        <row r="15272">
          <cell r="D15272" t="str">
            <v>CB2284460-004-001</v>
          </cell>
          <cell r="E15272" t="str">
            <v>四通接头</v>
          </cell>
        </row>
        <row r="15273">
          <cell r="D15273" t="str">
            <v>CB221T1LD-003-001</v>
          </cell>
          <cell r="E15273" t="str">
            <v>接管嘴</v>
          </cell>
        </row>
        <row r="15274">
          <cell r="D15274" t="str">
            <v>CB221T0LCN002-002</v>
          </cell>
          <cell r="E15274" t="str">
            <v>压力传感器接嘴</v>
          </cell>
        </row>
        <row r="15275">
          <cell r="D15275" t="str">
            <v>CB221T0LCN002-002</v>
          </cell>
          <cell r="E15275" t="str">
            <v>压力传感器接嘴</v>
          </cell>
        </row>
        <row r="15276">
          <cell r="D15276" t="str">
            <v>CB2284460-006-001</v>
          </cell>
          <cell r="E15276" t="str">
            <v>三通接头</v>
          </cell>
        </row>
        <row r="15277">
          <cell r="D15277" t="str">
            <v>CB221T9LFN004-002</v>
          </cell>
          <cell r="E15277" t="str">
            <v>液体压力传感器接管嘴</v>
          </cell>
        </row>
        <row r="15278">
          <cell r="D15278" t="str">
            <v>CB221T9LFN004-002</v>
          </cell>
          <cell r="E15278" t="str">
            <v>液体压力传感器接管嘴</v>
          </cell>
        </row>
        <row r="15279">
          <cell r="D15279" t="str">
            <v>CB2284752-005-002</v>
          </cell>
          <cell r="E15279" t="str">
            <v>接头</v>
          </cell>
        </row>
        <row r="15280">
          <cell r="D15280" t="str">
            <v>CB22837F1-001-001</v>
          </cell>
          <cell r="E15280" t="str">
            <v>法兰</v>
          </cell>
        </row>
        <row r="15281">
          <cell r="D15281" t="str">
            <v>CB3014940-001-002</v>
          </cell>
          <cell r="E15281" t="str">
            <v>左BL297侧框</v>
          </cell>
        </row>
        <row r="15282">
          <cell r="D15282" t="str">
            <v>CB5324310-003-099</v>
          </cell>
          <cell r="E15282" t="str">
            <v>角盒</v>
          </cell>
        </row>
        <row r="15283">
          <cell r="D15283" t="str">
            <v>CB5324310-003-099</v>
          </cell>
          <cell r="E15283" t="str">
            <v>角盒</v>
          </cell>
        </row>
        <row r="15284">
          <cell r="D15284" t="str">
            <v>CB5324310-003-099</v>
          </cell>
          <cell r="E15284" t="str">
            <v>角盒</v>
          </cell>
        </row>
        <row r="15285">
          <cell r="D15285" t="str">
            <v>CB5324310-003-099</v>
          </cell>
          <cell r="E15285" t="str">
            <v>角盒</v>
          </cell>
        </row>
        <row r="15286">
          <cell r="D15286" t="str">
            <v>CB5324310-003-099</v>
          </cell>
          <cell r="E15286" t="str">
            <v>角盒</v>
          </cell>
        </row>
        <row r="15287">
          <cell r="D15287" t="str">
            <v>CB5324310-003-099</v>
          </cell>
          <cell r="E15287" t="str">
            <v>角盒</v>
          </cell>
        </row>
        <row r="15288">
          <cell r="D15288" t="str">
            <v>CB5324310-003-099</v>
          </cell>
          <cell r="E15288" t="str">
            <v>角盒</v>
          </cell>
        </row>
        <row r="15289">
          <cell r="D15289" t="str">
            <v>CB5324310-003-099</v>
          </cell>
          <cell r="E15289" t="str">
            <v>角盒</v>
          </cell>
        </row>
        <row r="15290">
          <cell r="D15290" t="str">
            <v>CB5512300-014L001</v>
          </cell>
          <cell r="E15290" t="str">
            <v>角盒</v>
          </cell>
        </row>
        <row r="15291">
          <cell r="D15291" t="str">
            <v>CB5512300-014L001</v>
          </cell>
          <cell r="E15291" t="str">
            <v>角盒</v>
          </cell>
        </row>
        <row r="15292">
          <cell r="D15292" t="str">
            <v>CB5512300-014R001</v>
          </cell>
          <cell r="E15292" t="str">
            <v>角盒</v>
          </cell>
        </row>
        <row r="15293">
          <cell r="D15293" t="str">
            <v>CB5512300-014R001</v>
          </cell>
          <cell r="E15293" t="str">
            <v>角盒</v>
          </cell>
        </row>
        <row r="15294">
          <cell r="D15294" t="str">
            <v>CB5327310-014R001</v>
          </cell>
          <cell r="E15294" t="str">
            <v>大舱门前缘冒型材</v>
          </cell>
        </row>
        <row r="15295">
          <cell r="D15295" t="str">
            <v>CB5327310-014R001</v>
          </cell>
          <cell r="E15295" t="str">
            <v>大舱门前缘冒型材</v>
          </cell>
        </row>
        <row r="15296">
          <cell r="D15296" t="str">
            <v>CB5327310-014R001</v>
          </cell>
          <cell r="E15296" t="str">
            <v>大舱门前缘冒型材</v>
          </cell>
        </row>
        <row r="15297">
          <cell r="D15297" t="str">
            <v>CB5327310-014L001</v>
          </cell>
          <cell r="E15297" t="str">
            <v>大舱门前缘冒型材</v>
          </cell>
        </row>
        <row r="15298">
          <cell r="D15298" t="str">
            <v>CB5327310-014L001</v>
          </cell>
          <cell r="E15298" t="str">
            <v>大舱门前缘冒型材</v>
          </cell>
        </row>
        <row r="15299">
          <cell r="D15299" t="str">
            <v>CB5327310-014L001</v>
          </cell>
          <cell r="E15299" t="str">
            <v>大舱门前缘冒型材</v>
          </cell>
        </row>
        <row r="15300">
          <cell r="D15300" t="str">
            <v>CB5324420-001L003</v>
          </cell>
          <cell r="E15300" t="str">
            <v>侧下梁</v>
          </cell>
        </row>
        <row r="15301">
          <cell r="D15301" t="str">
            <v>CB5324420-001L003</v>
          </cell>
          <cell r="E15301" t="str">
            <v>侧下梁</v>
          </cell>
        </row>
        <row r="15302">
          <cell r="D15302" t="str">
            <v>CB5324420-001R003</v>
          </cell>
          <cell r="E15302" t="str">
            <v>侧下梁</v>
          </cell>
        </row>
        <row r="15303">
          <cell r="D15303" t="str">
            <v>CB5324420-001R003</v>
          </cell>
          <cell r="E15303" t="str">
            <v>侧下梁</v>
          </cell>
        </row>
        <row r="15304">
          <cell r="D15304" t="str">
            <v>CB5714100-004R002</v>
          </cell>
          <cell r="E15304" t="str">
            <v>根肋四段</v>
          </cell>
        </row>
        <row r="15305">
          <cell r="D15305" t="str">
            <v>CB5324320-004L006</v>
          </cell>
          <cell r="E15305" t="str">
            <v>侧下支持件</v>
          </cell>
        </row>
        <row r="15306">
          <cell r="D15306" t="str">
            <v>CB5326200-133L002</v>
          </cell>
          <cell r="E15306" t="str">
            <v>8815 4号加强筋</v>
          </cell>
        </row>
        <row r="15307">
          <cell r="D15307" t="str">
            <v>CB5326200-133R002</v>
          </cell>
          <cell r="E15307" t="str">
            <v>8815 4号加强筋</v>
          </cell>
        </row>
        <row r="15308">
          <cell r="D15308" t="str">
            <v>CB5326200-134L002</v>
          </cell>
          <cell r="E15308" t="str">
            <v>9010 4号加强筋</v>
          </cell>
        </row>
        <row r="15309">
          <cell r="D15309" t="str">
            <v>CB5326200-134R002</v>
          </cell>
          <cell r="E15309" t="str">
            <v>9010 4号加强筋</v>
          </cell>
        </row>
        <row r="15310">
          <cell r="D15310" t="str">
            <v>DD-J10B-02021-3/2-Z</v>
          </cell>
          <cell r="E15310" t="str">
            <v>雷达罩锁支座</v>
          </cell>
        </row>
        <row r="15311">
          <cell r="D15311" t="str">
            <v>DD-J10B-02021-3/2-Z</v>
          </cell>
          <cell r="E15311" t="str">
            <v>雷达罩锁支座</v>
          </cell>
        </row>
        <row r="15312">
          <cell r="D15312" t="str">
            <v>DD-J10B-02021-3/2-Y</v>
          </cell>
          <cell r="E15312" t="str">
            <v>雷达罩锁支座</v>
          </cell>
        </row>
        <row r="15313">
          <cell r="D15313" t="str">
            <v>DD-J10B-02021-3/1-Y</v>
          </cell>
          <cell r="E15313" t="str">
            <v>雷达罩锁支座</v>
          </cell>
        </row>
        <row r="15314">
          <cell r="D15314" t="str">
            <v>DD-J10B-02021-3/1-Y</v>
          </cell>
          <cell r="E15314" t="str">
            <v>雷达罩锁支座</v>
          </cell>
        </row>
        <row r="15315">
          <cell r="D15315" t="str">
            <v>DD-J10B-02021-3/1-Y</v>
          </cell>
          <cell r="E15315" t="str">
            <v>雷达罩锁支座</v>
          </cell>
        </row>
        <row r="15316">
          <cell r="D15316" t="str">
            <v>DD-J10B-02021-3/1-Z</v>
          </cell>
          <cell r="E15316" t="str">
            <v>雷达罩锁支座</v>
          </cell>
        </row>
        <row r="15317">
          <cell r="D15317" t="str">
            <v>DD-J10B-02021-3/1-Z</v>
          </cell>
          <cell r="E15317" t="str">
            <v>雷达罩锁支座</v>
          </cell>
        </row>
        <row r="15318">
          <cell r="D15318" t="str">
            <v>DD-J10B-02021-3/1-Z</v>
          </cell>
          <cell r="E15318" t="str">
            <v>雷达罩锁支座</v>
          </cell>
        </row>
        <row r="15319">
          <cell r="D15319" t="str">
            <v>DD-J10B-02021-3/1-Z</v>
          </cell>
          <cell r="E15319" t="str">
            <v>雷达罩锁支座</v>
          </cell>
        </row>
        <row r="15320">
          <cell r="D15320" t="str">
            <v>DD-J10B-02121-1AG2-Z</v>
          </cell>
          <cell r="E15320" t="str">
            <v>BL280侧壁（左件）</v>
          </cell>
        </row>
        <row r="15321">
          <cell r="D15321" t="str">
            <v>DD-J10B-02121-1AG2-Z</v>
          </cell>
          <cell r="E15321" t="str">
            <v>BL280侧壁（左件）</v>
          </cell>
        </row>
        <row r="15322">
          <cell r="D15322" t="str">
            <v>DD-J10B-02121-1AG2-Y</v>
          </cell>
          <cell r="E15322" t="str">
            <v>BL280侧壁（右件）</v>
          </cell>
        </row>
        <row r="15323">
          <cell r="D15323" t="str">
            <v>DD-J10B-02121-1AG2-Y</v>
          </cell>
          <cell r="E15323" t="str">
            <v>BL280侧壁（右件）</v>
          </cell>
        </row>
        <row r="15324">
          <cell r="D15324" t="str">
            <v>BC5337100-104L001</v>
          </cell>
          <cell r="E15324" t="str">
            <v>上受剪接头</v>
          </cell>
        </row>
        <row r="15325">
          <cell r="D15325" t="str">
            <v>BC5337100-104L001</v>
          </cell>
          <cell r="E15325" t="str">
            <v>上受剪接头</v>
          </cell>
        </row>
        <row r="15326">
          <cell r="D15326" t="str">
            <v>BC5337100-104L001</v>
          </cell>
          <cell r="E15326" t="str">
            <v>上受剪接头</v>
          </cell>
        </row>
        <row r="15327">
          <cell r="D15327" t="str">
            <v>BC5337100-104L001</v>
          </cell>
          <cell r="E15327" t="str">
            <v>上受剪接头</v>
          </cell>
        </row>
        <row r="15328">
          <cell r="D15328" t="str">
            <v>BC5337100-104L001</v>
          </cell>
          <cell r="E15328" t="str">
            <v>上受剪接头</v>
          </cell>
        </row>
        <row r="15329">
          <cell r="D15329" t="str">
            <v>BC5337100-104L001</v>
          </cell>
          <cell r="E15329" t="str">
            <v>上受剪接头</v>
          </cell>
        </row>
        <row r="15330">
          <cell r="D15330" t="str">
            <v>BC5337100-104L001</v>
          </cell>
          <cell r="E15330" t="str">
            <v>上受剪接头</v>
          </cell>
        </row>
        <row r="15331">
          <cell r="D15331" t="str">
            <v>BC5337100-104L001</v>
          </cell>
          <cell r="E15331" t="str">
            <v>上受剪接头</v>
          </cell>
        </row>
        <row r="15332">
          <cell r="D15332" t="str">
            <v>BC5337100-104L001</v>
          </cell>
          <cell r="E15332" t="str">
            <v>上受剪接头</v>
          </cell>
        </row>
        <row r="15333">
          <cell r="D15333" t="str">
            <v>BC5337100-104L001</v>
          </cell>
          <cell r="E15333" t="str">
            <v>上受剪接头</v>
          </cell>
        </row>
        <row r="15334">
          <cell r="D15334" t="str">
            <v>BC5337100-104L001</v>
          </cell>
          <cell r="E15334" t="str">
            <v>上受剪接头</v>
          </cell>
        </row>
        <row r="15335">
          <cell r="D15335" t="str">
            <v>BC5337100-104L001</v>
          </cell>
          <cell r="E15335" t="str">
            <v>上受剪接头</v>
          </cell>
        </row>
        <row r="15336">
          <cell r="D15336" t="str">
            <v>BC5337100-105L001</v>
          </cell>
          <cell r="E15336" t="str">
            <v>中受剪接头</v>
          </cell>
        </row>
        <row r="15337">
          <cell r="D15337" t="str">
            <v>BC5337100-105L001</v>
          </cell>
          <cell r="E15337" t="str">
            <v>中受剪接头</v>
          </cell>
        </row>
        <row r="15338">
          <cell r="D15338" t="str">
            <v>BC5337100-105L001</v>
          </cell>
          <cell r="E15338" t="str">
            <v>中受剪接头</v>
          </cell>
        </row>
        <row r="15339">
          <cell r="D15339" t="str">
            <v>BC5337100-105L001</v>
          </cell>
          <cell r="E15339" t="str">
            <v>中受剪接头</v>
          </cell>
        </row>
        <row r="15340">
          <cell r="D15340" t="str">
            <v>BC5337100-105L001</v>
          </cell>
          <cell r="E15340" t="str">
            <v>中受剪接头</v>
          </cell>
        </row>
        <row r="15341">
          <cell r="D15341" t="str">
            <v>BC5337100-105L001</v>
          </cell>
          <cell r="E15341" t="str">
            <v>中受剪接头</v>
          </cell>
        </row>
        <row r="15342">
          <cell r="D15342" t="str">
            <v>BC5337100-105L001</v>
          </cell>
          <cell r="E15342" t="str">
            <v>中受剪接头</v>
          </cell>
        </row>
        <row r="15343">
          <cell r="D15343" t="str">
            <v>BC5337100-105L001</v>
          </cell>
          <cell r="E15343" t="str">
            <v>中受剪接头</v>
          </cell>
        </row>
        <row r="15344">
          <cell r="D15344" t="str">
            <v>BC5337100-105L001</v>
          </cell>
          <cell r="E15344" t="str">
            <v>中受剪接头</v>
          </cell>
        </row>
        <row r="15345">
          <cell r="D15345" t="str">
            <v>BC5337100-105L001</v>
          </cell>
          <cell r="E15345" t="str">
            <v>中受剪接头</v>
          </cell>
        </row>
        <row r="15346">
          <cell r="D15346" t="str">
            <v>BC5337100-105L001</v>
          </cell>
          <cell r="E15346" t="str">
            <v>中受剪接头</v>
          </cell>
        </row>
        <row r="15347">
          <cell r="D15347" t="str">
            <v>BC5337100-105L001</v>
          </cell>
          <cell r="E15347" t="str">
            <v>中受剪接头</v>
          </cell>
        </row>
        <row r="15348">
          <cell r="D15348" t="str">
            <v>BC5337100-106L001</v>
          </cell>
          <cell r="E15348" t="str">
            <v>下受剪接头</v>
          </cell>
        </row>
        <row r="15349">
          <cell r="D15349" t="str">
            <v>BC5337100-106L001</v>
          </cell>
          <cell r="E15349" t="str">
            <v>下受剪接头</v>
          </cell>
        </row>
        <row r="15350">
          <cell r="D15350" t="str">
            <v>BC5337100-106L001</v>
          </cell>
          <cell r="E15350" t="str">
            <v>下受剪接头</v>
          </cell>
        </row>
        <row r="15351">
          <cell r="D15351" t="str">
            <v>BC5337100-106L001</v>
          </cell>
          <cell r="E15351" t="str">
            <v>下受剪接头</v>
          </cell>
        </row>
        <row r="15352">
          <cell r="D15352" t="str">
            <v>BC5337100-106L001</v>
          </cell>
          <cell r="E15352" t="str">
            <v>下受剪接头</v>
          </cell>
        </row>
        <row r="15353">
          <cell r="D15353" t="str">
            <v>BC5337100-106L001</v>
          </cell>
          <cell r="E15353" t="str">
            <v>下受剪接头</v>
          </cell>
        </row>
        <row r="15354">
          <cell r="D15354" t="str">
            <v>BC5337100-106L001</v>
          </cell>
          <cell r="E15354" t="str">
            <v>下受剪接头</v>
          </cell>
        </row>
        <row r="15355">
          <cell r="D15355" t="str">
            <v>BC5337100-106L001</v>
          </cell>
          <cell r="E15355" t="str">
            <v>下受剪接头</v>
          </cell>
        </row>
        <row r="15356">
          <cell r="D15356" t="str">
            <v>BC5337100-106L001</v>
          </cell>
          <cell r="E15356" t="str">
            <v>下受剪接头</v>
          </cell>
        </row>
        <row r="15357">
          <cell r="D15357" t="str">
            <v>BC5337100-106L001</v>
          </cell>
          <cell r="E15357" t="str">
            <v>下受剪接头</v>
          </cell>
        </row>
        <row r="15358">
          <cell r="D15358" t="str">
            <v>BC5337100-106L001</v>
          </cell>
          <cell r="E15358" t="str">
            <v>下受剪接头</v>
          </cell>
        </row>
        <row r="15359">
          <cell r="D15359" t="str">
            <v>BC5337100-106L001</v>
          </cell>
          <cell r="E15359" t="str">
            <v>下受剪接头</v>
          </cell>
        </row>
        <row r="15360">
          <cell r="D15360" t="str">
            <v>CB2210260-001-001</v>
          </cell>
          <cell r="E15360" t="str">
            <v>支架</v>
          </cell>
        </row>
        <row r="15361">
          <cell r="D15361" t="str">
            <v>CB2280211-004-001</v>
          </cell>
          <cell r="E15361" t="str">
            <v>穿框管接头</v>
          </cell>
        </row>
        <row r="15362">
          <cell r="D15362" t="str">
            <v>Y20-5311121033-001</v>
          </cell>
          <cell r="E15362" t="str">
            <v>21框5到10长桁外缘加强件</v>
          </cell>
        </row>
        <row r="15363">
          <cell r="D15363" t="str">
            <v>Y20-5311121033-002</v>
          </cell>
          <cell r="E15363" t="str">
            <v>21框5到10长桁外缘加强件</v>
          </cell>
        </row>
        <row r="15364">
          <cell r="D15364" t="str">
            <v>Y20-5316200098-001</v>
          </cell>
          <cell r="E15364" t="str">
            <v>横梁</v>
          </cell>
        </row>
        <row r="15365">
          <cell r="D15365" t="str">
            <v>Y20-5316200098-001</v>
          </cell>
          <cell r="E15365" t="str">
            <v>横梁</v>
          </cell>
        </row>
        <row r="15366">
          <cell r="D15366" t="str">
            <v>Y20-4354233101-001</v>
          </cell>
          <cell r="E15366" t="str">
            <v>氧气瓶支架</v>
          </cell>
        </row>
        <row r="15367">
          <cell r="D15367" t="str">
            <v>Y20-4354233101-001</v>
          </cell>
          <cell r="E15367" t="str">
            <v>氧气瓶支架</v>
          </cell>
        </row>
        <row r="15368">
          <cell r="D15368" t="str">
            <v>Y20-4354233101-001</v>
          </cell>
          <cell r="E15368" t="str">
            <v>氧气瓶支架</v>
          </cell>
        </row>
        <row r="15369">
          <cell r="D15369" t="str">
            <v>Y20-4354233101-001</v>
          </cell>
          <cell r="E15369" t="str">
            <v>氧气瓶支架</v>
          </cell>
        </row>
        <row r="15370">
          <cell r="D15370" t="str">
            <v>Y20-4354233101-001</v>
          </cell>
          <cell r="E15370" t="str">
            <v>氧气瓶支架</v>
          </cell>
        </row>
        <row r="15371">
          <cell r="D15371" t="str">
            <v>Y20-4354233101-001</v>
          </cell>
          <cell r="E15371" t="str">
            <v>氧气瓶支架</v>
          </cell>
        </row>
        <row r="15372">
          <cell r="D15372" t="str">
            <v>CB5327120-003L006</v>
          </cell>
          <cell r="E15372" t="str">
            <v>8270侧隔框</v>
          </cell>
        </row>
        <row r="15373">
          <cell r="D15373" t="str">
            <v>CB5327120-003L006</v>
          </cell>
          <cell r="E15373" t="str">
            <v>8270侧隔框</v>
          </cell>
        </row>
        <row r="15374">
          <cell r="D15374" t="str">
            <v>CB5327120-003R006</v>
          </cell>
          <cell r="E15374" t="str">
            <v>8270侧隔框</v>
          </cell>
        </row>
        <row r="15375">
          <cell r="D15375" t="str">
            <v>CB5327120-003R006</v>
          </cell>
          <cell r="E15375" t="str">
            <v>8270侧隔框</v>
          </cell>
        </row>
        <row r="15376">
          <cell r="D15376" t="str">
            <v>Y20-5318120003-001</v>
          </cell>
          <cell r="E15376" t="str">
            <v>角盒</v>
          </cell>
        </row>
        <row r="15377">
          <cell r="D15377" t="str">
            <v>Y20-5318120003-001</v>
          </cell>
          <cell r="E15377" t="str">
            <v>角盒</v>
          </cell>
        </row>
        <row r="15378">
          <cell r="D15378" t="str">
            <v>Y20-5319180012-001</v>
          </cell>
          <cell r="E15378" t="str">
            <v>角盒</v>
          </cell>
        </row>
        <row r="15379">
          <cell r="D15379" t="str">
            <v>Y20-5319180012-002</v>
          </cell>
          <cell r="E15379" t="str">
            <v>角盒</v>
          </cell>
        </row>
        <row r="15380">
          <cell r="D15380" t="str">
            <v>CB5811100-001-001</v>
          </cell>
          <cell r="E15380" t="str">
            <v>垫圈</v>
          </cell>
        </row>
        <row r="15381">
          <cell r="D15381" t="str">
            <v>CB2284480-003-001</v>
          </cell>
          <cell r="E15381" t="str">
            <v>四通接头</v>
          </cell>
        </row>
        <row r="15382">
          <cell r="D15382" t="str">
            <v>CB221T2LN-001-001</v>
          </cell>
          <cell r="E15382" t="str">
            <v>接管嘴</v>
          </cell>
        </row>
        <row r="15383">
          <cell r="D15383" t="str">
            <v>CB2284752-005-002</v>
          </cell>
          <cell r="E15383" t="str">
            <v>接头</v>
          </cell>
        </row>
        <row r="15384">
          <cell r="D15384" t="str">
            <v>BC3132110-003-001</v>
          </cell>
          <cell r="E15384" t="str">
            <v>杆</v>
          </cell>
        </row>
        <row r="15385">
          <cell r="D15385" t="str">
            <v>XXX-3422000-01</v>
          </cell>
          <cell r="E15385" t="str">
            <v>壳体</v>
          </cell>
        </row>
        <row r="15386">
          <cell r="D15386" t="str">
            <v>BC3101123-021-001</v>
          </cell>
          <cell r="E15386" t="str">
            <v>梯形螺栓</v>
          </cell>
        </row>
        <row r="15387">
          <cell r="D15387" t="str">
            <v>BC3101123-021-001</v>
          </cell>
          <cell r="E15387" t="str">
            <v>梯形螺栓</v>
          </cell>
        </row>
        <row r="15388">
          <cell r="D15388" t="str">
            <v>BC3101123-021-001</v>
          </cell>
          <cell r="E15388" t="str">
            <v>梯形螺栓</v>
          </cell>
        </row>
        <row r="15389">
          <cell r="D15389" t="str">
            <v>DD-J10-55051-6110-1</v>
          </cell>
          <cell r="E15389" t="str">
            <v>三通接头</v>
          </cell>
        </row>
        <row r="15390">
          <cell r="D15390" t="str">
            <v>CB2294170-001-001</v>
          </cell>
          <cell r="E15390" t="str">
            <v>压杆</v>
          </cell>
        </row>
        <row r="15391">
          <cell r="D15391" t="str">
            <v>CB229C050-002-003</v>
          </cell>
          <cell r="E15391" t="str">
            <v>拨杆</v>
          </cell>
        </row>
        <row r="15392">
          <cell r="D15392" t="str">
            <v>CB2294170-003-001</v>
          </cell>
          <cell r="E15392" t="str">
            <v>支架</v>
          </cell>
        </row>
        <row r="15393">
          <cell r="D15393" t="str">
            <v>CB22924J0-002-005</v>
          </cell>
          <cell r="E15393" t="str">
            <v>角片</v>
          </cell>
        </row>
        <row r="15394">
          <cell r="D15394" t="str">
            <v>CB22924J0-002-005</v>
          </cell>
          <cell r="E15394" t="str">
            <v>角片</v>
          </cell>
        </row>
        <row r="15395">
          <cell r="D15395" t="str">
            <v>CB22924K0-001-005</v>
          </cell>
          <cell r="E15395" t="str">
            <v>角片</v>
          </cell>
        </row>
        <row r="15396">
          <cell r="D15396" t="str">
            <v>CB22924K0-001-005</v>
          </cell>
          <cell r="E15396" t="str">
            <v>角片</v>
          </cell>
        </row>
        <row r="15397">
          <cell r="D15397" t="str">
            <v>CB5814000-002-001</v>
          </cell>
          <cell r="E15397" t="str">
            <v>前支架</v>
          </cell>
        </row>
        <row r="15398">
          <cell r="D15398" t="str">
            <v>DD-J10-25002-1-Y</v>
          </cell>
          <cell r="E15398" t="str">
            <v>第3肋</v>
          </cell>
        </row>
        <row r="15399">
          <cell r="D15399" t="str">
            <v>DD-J10-25002-1-Z</v>
          </cell>
          <cell r="E15399" t="str">
            <v>第3肋</v>
          </cell>
        </row>
        <row r="15400">
          <cell r="D15400" t="str">
            <v>DD-J10-25002-1-Z</v>
          </cell>
          <cell r="E15400" t="str">
            <v>第3肋</v>
          </cell>
        </row>
        <row r="15401">
          <cell r="D15401" t="str">
            <v>CB5322400-017-061</v>
          </cell>
          <cell r="E15401" t="str">
            <v>11140框右下半框</v>
          </cell>
        </row>
        <row r="15402">
          <cell r="D15402" t="str">
            <v>CB5324310-016-006</v>
          </cell>
          <cell r="E15402" t="str">
            <v>带板</v>
          </cell>
        </row>
        <row r="15403">
          <cell r="D15403" t="str">
            <v>CB5324310-016-006</v>
          </cell>
          <cell r="E15403" t="str">
            <v>带板</v>
          </cell>
        </row>
        <row r="15404">
          <cell r="D15404" t="str">
            <v>CB5324310-016-006</v>
          </cell>
          <cell r="E15404" t="str">
            <v>带板</v>
          </cell>
        </row>
        <row r="15405">
          <cell r="D15405" t="str">
            <v>CB5324310-016-006</v>
          </cell>
          <cell r="E15405" t="str">
            <v>带板</v>
          </cell>
        </row>
        <row r="15406">
          <cell r="D15406" t="str">
            <v>CB5715000-001L002</v>
          </cell>
          <cell r="E15406" t="str">
            <v>固定前缘边肋</v>
          </cell>
        </row>
        <row r="15407">
          <cell r="D15407" t="str">
            <v>CB5715000-001L002</v>
          </cell>
          <cell r="E15407" t="str">
            <v>固定前缘边肋</v>
          </cell>
        </row>
        <row r="15408">
          <cell r="D15408" t="str">
            <v>CB5715000-001L002</v>
          </cell>
          <cell r="E15408" t="str">
            <v>固定前缘边肋</v>
          </cell>
        </row>
        <row r="15409">
          <cell r="D15409" t="str">
            <v>CB5715000-001L002</v>
          </cell>
          <cell r="E15409" t="str">
            <v>固定前缘边肋</v>
          </cell>
        </row>
        <row r="15410">
          <cell r="D15410" t="str">
            <v>CB5715000-001L002</v>
          </cell>
          <cell r="E15410" t="str">
            <v>固定前缘边肋</v>
          </cell>
        </row>
        <row r="15411">
          <cell r="D15411" t="str">
            <v>CB5715000-001R002</v>
          </cell>
          <cell r="E15411" t="str">
            <v>固定前缘边肋</v>
          </cell>
        </row>
        <row r="15412">
          <cell r="D15412" t="str">
            <v>CB5715000-001R002</v>
          </cell>
          <cell r="E15412" t="str">
            <v>固定前缘边肋</v>
          </cell>
        </row>
        <row r="15413">
          <cell r="D15413" t="str">
            <v>CB5715000-001R002</v>
          </cell>
          <cell r="E15413" t="str">
            <v>固定前缘边肋</v>
          </cell>
        </row>
        <row r="15414">
          <cell r="D15414" t="str">
            <v>CB5715000-001R002</v>
          </cell>
          <cell r="E15414" t="str">
            <v>固定前缘边肋</v>
          </cell>
        </row>
        <row r="15415">
          <cell r="D15415" t="str">
            <v>BC221T5ME-001-001</v>
          </cell>
          <cell r="E15415" t="str">
            <v>法兰</v>
          </cell>
        </row>
        <row r="15416">
          <cell r="D15416" t="str">
            <v>BC2712521-004-001</v>
          </cell>
          <cell r="E15416" t="str">
            <v>限位销</v>
          </cell>
        </row>
        <row r="15417">
          <cell r="D15417" t="str">
            <v>BC22971A1-005-001</v>
          </cell>
          <cell r="E15417" t="str">
            <v>缓冲头</v>
          </cell>
        </row>
        <row r="15418">
          <cell r="D15418" t="str">
            <v>BC2295175-005-001</v>
          </cell>
          <cell r="E15418" t="str">
            <v>缓冲头</v>
          </cell>
        </row>
        <row r="15419">
          <cell r="D15419" t="str">
            <v>BC22846Y4-003-001</v>
          </cell>
          <cell r="E15419" t="str">
            <v>耳环螺栓</v>
          </cell>
        </row>
        <row r="15420">
          <cell r="D15420" t="str">
            <v>BC3231110-002-001</v>
          </cell>
          <cell r="E15420" t="str">
            <v>卡圈</v>
          </cell>
        </row>
        <row r="15421">
          <cell r="D15421" t="str">
            <v>Y20-5315200202-001</v>
          </cell>
          <cell r="E15421" t="str">
            <v>15框外缘角型接头</v>
          </cell>
        </row>
        <row r="15422">
          <cell r="D15422" t="str">
            <v>Y20-5315200202-002</v>
          </cell>
          <cell r="E15422" t="str">
            <v>15框外缘角型接头</v>
          </cell>
        </row>
        <row r="15423">
          <cell r="D15423" t="str">
            <v>Y20-5226300001-001</v>
          </cell>
          <cell r="E15423" t="str">
            <v>锁轴</v>
          </cell>
        </row>
        <row r="15424">
          <cell r="D15424" t="str">
            <v>Y20-6692030020-001</v>
          </cell>
          <cell r="E15424" t="str">
            <v>拉深件</v>
          </cell>
        </row>
        <row r="15425">
          <cell r="D15425" t="str">
            <v>Y20-5319120045-001</v>
          </cell>
          <cell r="E15425" t="str">
            <v>角盒</v>
          </cell>
        </row>
        <row r="15426">
          <cell r="D15426" t="str">
            <v>Y20-5319120045-001</v>
          </cell>
          <cell r="E15426" t="str">
            <v>角盒</v>
          </cell>
        </row>
        <row r="15427">
          <cell r="D15427" t="str">
            <v>DD-J10B-73010-310G2-1</v>
          </cell>
          <cell r="E15427" t="str">
            <v>过渡板</v>
          </cell>
        </row>
        <row r="15428">
          <cell r="D15428" t="str">
            <v>DD-J10B-94061-401</v>
          </cell>
          <cell r="E15428" t="str">
            <v>支架</v>
          </cell>
        </row>
        <row r="15429">
          <cell r="D15429" t="str">
            <v>DD-J10-06051-24</v>
          </cell>
          <cell r="E15429" t="str">
            <v>手柄</v>
          </cell>
        </row>
        <row r="15430">
          <cell r="D15430" t="str">
            <v>DD-J10B-02081-404</v>
          </cell>
          <cell r="E15430" t="str">
            <v>支座</v>
          </cell>
        </row>
        <row r="15431">
          <cell r="D15431" t="str">
            <v>DD-J10B-02181-6-Z</v>
          </cell>
          <cell r="E15431" t="str">
            <v>盒子</v>
          </cell>
        </row>
        <row r="15432">
          <cell r="D15432" t="str">
            <v>DD-J10B-02181-6-Y</v>
          </cell>
          <cell r="E15432" t="str">
            <v>盒子</v>
          </cell>
        </row>
        <row r="15433">
          <cell r="D15433" t="str">
            <v>CB5315191-012R003</v>
          </cell>
          <cell r="E15433" t="str">
            <v>进气下侧壁</v>
          </cell>
        </row>
        <row r="15434">
          <cell r="D15434" t="str">
            <v>CB22931L1-001-003</v>
          </cell>
          <cell r="E15434" t="str">
            <v>底座</v>
          </cell>
        </row>
        <row r="15435">
          <cell r="D15435" t="str">
            <v>CB2298091-001-001</v>
          </cell>
          <cell r="E15435" t="str">
            <v>支架</v>
          </cell>
        </row>
        <row r="15436">
          <cell r="D15436" t="str">
            <v>CB2298621-001-002</v>
          </cell>
          <cell r="E15436" t="str">
            <v>支架</v>
          </cell>
        </row>
        <row r="15437">
          <cell r="D15437" t="str">
            <v>CB2298611-001-001</v>
          </cell>
          <cell r="E15437" t="str">
            <v>支架</v>
          </cell>
        </row>
        <row r="15438">
          <cell r="D15438" t="str">
            <v>CB2298612-001-001</v>
          </cell>
          <cell r="E15438" t="str">
            <v>支架</v>
          </cell>
        </row>
        <row r="15439">
          <cell r="D15439" t="str">
            <v>CB5714200-001L001</v>
          </cell>
          <cell r="E15439" t="str">
            <v>2470肋一段</v>
          </cell>
        </row>
        <row r="15440">
          <cell r="D15440" t="str">
            <v>CB5714200-001L001</v>
          </cell>
          <cell r="E15440" t="str">
            <v>2470肋一段</v>
          </cell>
        </row>
        <row r="15441">
          <cell r="D15441" t="str">
            <v>CB5714200-001R001</v>
          </cell>
          <cell r="E15441" t="str">
            <v>2470肋一段</v>
          </cell>
        </row>
        <row r="15442">
          <cell r="D15442" t="str">
            <v>CB5714200-001R001</v>
          </cell>
          <cell r="E15442" t="str">
            <v>2470肋一段</v>
          </cell>
        </row>
        <row r="15443">
          <cell r="D15443" t="str">
            <v>CB5714200-005R002</v>
          </cell>
          <cell r="E15443" t="str">
            <v>2470肋五段</v>
          </cell>
        </row>
        <row r="15444">
          <cell r="D15444" t="str">
            <v>CB5714200-005R002</v>
          </cell>
          <cell r="E15444" t="str">
            <v>2470肋五段</v>
          </cell>
        </row>
        <row r="15445">
          <cell r="D15445" t="str">
            <v>CB5714200-005L002</v>
          </cell>
          <cell r="E15445" t="str">
            <v>2470肋五段</v>
          </cell>
        </row>
        <row r="15446">
          <cell r="D15446" t="str">
            <v>CB5714200-005L002</v>
          </cell>
          <cell r="E15446" t="str">
            <v>2470肋五段</v>
          </cell>
        </row>
        <row r="15447">
          <cell r="D15447" t="str">
            <v>CB5325153-303-008</v>
          </cell>
          <cell r="E15447" t="str">
            <v>摇臂座</v>
          </cell>
        </row>
        <row r="15448">
          <cell r="D15448" t="str">
            <v>BC3101132-001-001</v>
          </cell>
          <cell r="E15448" t="str">
            <v>右转接管</v>
          </cell>
        </row>
        <row r="15449">
          <cell r="D15449" t="str">
            <v>BC2292251-001-001</v>
          </cell>
          <cell r="E15449" t="str">
            <v>接管嘴</v>
          </cell>
        </row>
        <row r="15450">
          <cell r="D15450" t="str">
            <v>BC22971B1-003-001</v>
          </cell>
          <cell r="E15450" t="str">
            <v>带限流的直通过框接头</v>
          </cell>
        </row>
        <row r="15451">
          <cell r="D15451" t="str">
            <v>CB5325125-403L001</v>
          </cell>
          <cell r="E15451" t="str">
            <v>支座</v>
          </cell>
        </row>
        <row r="15452">
          <cell r="D15452" t="str">
            <v>CB5325125-404L001</v>
          </cell>
          <cell r="E15452" t="str">
            <v>摇臂</v>
          </cell>
        </row>
        <row r="15453">
          <cell r="D15453" t="str">
            <v>CB2248146-001-006</v>
          </cell>
          <cell r="E15453" t="str">
            <v>支片6</v>
          </cell>
        </row>
        <row r="15454">
          <cell r="D15454" t="str">
            <v>Y20-5311123022-001</v>
          </cell>
          <cell r="E15454" t="str">
            <v>口框加强件</v>
          </cell>
        </row>
        <row r="15455">
          <cell r="D15455" t="str">
            <v>Y20-5311123022-002</v>
          </cell>
          <cell r="E15455" t="str">
            <v>口框加强件</v>
          </cell>
        </row>
        <row r="15456">
          <cell r="D15456" t="str">
            <v>Y20-5316200098-001</v>
          </cell>
          <cell r="E15456" t="str">
            <v>横梁</v>
          </cell>
        </row>
        <row r="15457">
          <cell r="D15457" t="str">
            <v>Y20-5316200098-001</v>
          </cell>
          <cell r="E15457" t="str">
            <v>横梁</v>
          </cell>
        </row>
        <row r="15458">
          <cell r="D15458" t="str">
            <v>Y20-5316200098-001</v>
          </cell>
          <cell r="E15458" t="str">
            <v>横梁</v>
          </cell>
        </row>
        <row r="15459">
          <cell r="D15459" t="str">
            <v>CB5512300-014R001</v>
          </cell>
          <cell r="E15459" t="str">
            <v>角盒</v>
          </cell>
        </row>
        <row r="15460">
          <cell r="D15460" t="str">
            <v>CB5512300-014R001</v>
          </cell>
          <cell r="E15460" t="str">
            <v>角盒</v>
          </cell>
        </row>
        <row r="15461">
          <cell r="D15461" t="str">
            <v>CB5324310-003-099</v>
          </cell>
          <cell r="E15461" t="str">
            <v>角盒</v>
          </cell>
        </row>
        <row r="15462">
          <cell r="D15462" t="str">
            <v>CB5324310-003-099</v>
          </cell>
          <cell r="E15462" t="str">
            <v>角盒</v>
          </cell>
        </row>
        <row r="15463">
          <cell r="D15463" t="str">
            <v>CB5324310-003-099</v>
          </cell>
          <cell r="E15463" t="str">
            <v>角盒</v>
          </cell>
        </row>
        <row r="15464">
          <cell r="D15464" t="str">
            <v>CB5324310-003-099</v>
          </cell>
          <cell r="E15464" t="str">
            <v>角盒</v>
          </cell>
        </row>
        <row r="15465">
          <cell r="D15465" t="str">
            <v>CB5324310-003-099</v>
          </cell>
          <cell r="E15465" t="str">
            <v>角盒</v>
          </cell>
        </row>
        <row r="15466">
          <cell r="D15466" t="str">
            <v>CB5324310-003-099</v>
          </cell>
          <cell r="E15466" t="str">
            <v>角盒</v>
          </cell>
        </row>
        <row r="15467">
          <cell r="D15467" t="str">
            <v>CB3014940-001-002</v>
          </cell>
          <cell r="E15467" t="str">
            <v>左BL297侧框</v>
          </cell>
        </row>
        <row r="15468">
          <cell r="D15468" t="str">
            <v>CB3014940-001-002</v>
          </cell>
          <cell r="E15468" t="str">
            <v>左BL297侧框</v>
          </cell>
        </row>
        <row r="15469">
          <cell r="D15469" t="str">
            <v>CB3014940-001-002</v>
          </cell>
          <cell r="E15469" t="str">
            <v>左BL297侧框</v>
          </cell>
        </row>
        <row r="15470">
          <cell r="D15470" t="str">
            <v>CB3014940-001-002</v>
          </cell>
          <cell r="E15470" t="str">
            <v>左BL297侧框</v>
          </cell>
        </row>
        <row r="15471">
          <cell r="D15471" t="str">
            <v>CB3014940-001-002</v>
          </cell>
          <cell r="E15471" t="str">
            <v>左BL297侧框</v>
          </cell>
        </row>
        <row r="15472">
          <cell r="D15472" t="str">
            <v>CB3014940-001-002</v>
          </cell>
          <cell r="E15472" t="str">
            <v>左BL297侧框</v>
          </cell>
        </row>
        <row r="15473">
          <cell r="D15473" t="str">
            <v>CB3014940-001-002</v>
          </cell>
          <cell r="E15473" t="str">
            <v>左BL297侧框</v>
          </cell>
        </row>
        <row r="15474">
          <cell r="D15474" t="str">
            <v>CB3014940-001-002</v>
          </cell>
          <cell r="E15474" t="str">
            <v>左BL297侧框</v>
          </cell>
        </row>
        <row r="15475">
          <cell r="D15475" t="str">
            <v>CB3014940-001-002</v>
          </cell>
          <cell r="E15475" t="str">
            <v>左BL297侧框</v>
          </cell>
        </row>
        <row r="15476">
          <cell r="D15476" t="str">
            <v>DD-J10-21102-33-Y</v>
          </cell>
          <cell r="E15476" t="str">
            <v>10460上接头</v>
          </cell>
        </row>
        <row r="15477">
          <cell r="D15477" t="str">
            <v>DD-J10-21102-31-Y</v>
          </cell>
          <cell r="E15477" t="str">
            <v>10060上接头</v>
          </cell>
        </row>
        <row r="15478">
          <cell r="D15478" t="str">
            <v>DD-J10-21102-33-Z</v>
          </cell>
          <cell r="E15478" t="str">
            <v>10460上接头</v>
          </cell>
        </row>
        <row r="15479">
          <cell r="D15479" t="str">
            <v>DD-J10-21102-33-Z</v>
          </cell>
          <cell r="E15479" t="str">
            <v>10460上接头</v>
          </cell>
        </row>
        <row r="15480">
          <cell r="D15480" t="str">
            <v>DD-J10B-04501-10-1-Z</v>
          </cell>
          <cell r="E15480" t="str">
            <v>BL900侧梁</v>
          </cell>
        </row>
        <row r="15481">
          <cell r="D15481" t="str">
            <v>DD-J10B-04501-10-1-Z</v>
          </cell>
          <cell r="E15481" t="str">
            <v>BL900侧梁</v>
          </cell>
        </row>
        <row r="15482">
          <cell r="D15482" t="str">
            <v>DD-J10B-04501-10-1-Z</v>
          </cell>
          <cell r="E15482" t="str">
            <v>BL900侧梁</v>
          </cell>
        </row>
        <row r="15483">
          <cell r="D15483" t="str">
            <v>DD-J10B-04501-10-1-Z</v>
          </cell>
          <cell r="E15483" t="str">
            <v>BL900侧梁</v>
          </cell>
        </row>
        <row r="15484">
          <cell r="D15484" t="str">
            <v>DD-J10B-04501-10-1-Z</v>
          </cell>
          <cell r="E15484" t="str">
            <v>BL900侧梁</v>
          </cell>
        </row>
        <row r="15485">
          <cell r="D15485" t="str">
            <v>DD-J10B-04501-10-1-Z</v>
          </cell>
          <cell r="E15485" t="str">
            <v>BL900侧梁</v>
          </cell>
        </row>
        <row r="15486">
          <cell r="D15486" t="str">
            <v>DD-J10B-04501-10-1-Z</v>
          </cell>
          <cell r="E15486" t="str">
            <v>BL900侧梁</v>
          </cell>
        </row>
        <row r="15487">
          <cell r="D15487" t="str">
            <v>DD-J10B-04501-10-1-Z</v>
          </cell>
          <cell r="E15487" t="str">
            <v>BL900侧梁</v>
          </cell>
        </row>
        <row r="15488">
          <cell r="D15488" t="str">
            <v>DD-J10B-04321-30-1-Z</v>
          </cell>
          <cell r="E15488" t="str">
            <v>侧下梁（左件）</v>
          </cell>
        </row>
        <row r="15489">
          <cell r="D15489" t="str">
            <v>DD-J10B-04321-30-1-Z</v>
          </cell>
          <cell r="E15489" t="str">
            <v>侧下梁（左件）</v>
          </cell>
        </row>
        <row r="15490">
          <cell r="D15490" t="str">
            <v>DD-J10B-04321-30-1-Z</v>
          </cell>
          <cell r="E15490" t="str">
            <v>侧下梁（左件）</v>
          </cell>
        </row>
        <row r="15491">
          <cell r="D15491" t="str">
            <v>DD-J10B-04321-30-1-Z</v>
          </cell>
          <cell r="E15491" t="str">
            <v>侧下梁（左件）</v>
          </cell>
        </row>
        <row r="15492">
          <cell r="D15492" t="str">
            <v>DD-J10B-04321-30-1-Z</v>
          </cell>
          <cell r="E15492" t="str">
            <v>侧下梁（左件）</v>
          </cell>
        </row>
        <row r="15493">
          <cell r="D15493" t="str">
            <v>DD-J10B-04321-30-1-Z</v>
          </cell>
          <cell r="E15493" t="str">
            <v>侧下梁（左件）</v>
          </cell>
        </row>
        <row r="15494">
          <cell r="D15494" t="str">
            <v>DD-J10B-04321-30-1-Z</v>
          </cell>
          <cell r="E15494" t="str">
            <v>侧下梁（左件）</v>
          </cell>
        </row>
        <row r="15495">
          <cell r="D15495" t="str">
            <v>CB5323210-002-028</v>
          </cell>
          <cell r="E15495" t="str">
            <v>10540中框</v>
          </cell>
        </row>
        <row r="15496">
          <cell r="D15496" t="str">
            <v>CB5323210-002-028</v>
          </cell>
          <cell r="E15496" t="str">
            <v>10540中框</v>
          </cell>
        </row>
        <row r="15497">
          <cell r="D15497" t="str">
            <v>CB5323210-002-028</v>
          </cell>
          <cell r="E15497" t="str">
            <v>10540中框</v>
          </cell>
        </row>
        <row r="15498">
          <cell r="D15498" t="str">
            <v>CB5323210-002-028</v>
          </cell>
          <cell r="E15498" t="str">
            <v>10540中框</v>
          </cell>
        </row>
        <row r="15499">
          <cell r="D15499" t="str">
            <v>CB5323210-002-028</v>
          </cell>
          <cell r="E15499" t="str">
            <v>10540中框</v>
          </cell>
        </row>
        <row r="15500">
          <cell r="D15500" t="str">
            <v>CB5324420-001L003</v>
          </cell>
          <cell r="E15500" t="str">
            <v>侧下梁</v>
          </cell>
        </row>
        <row r="15501">
          <cell r="D15501" t="str">
            <v>CB5324420-001L003</v>
          </cell>
          <cell r="E15501" t="str">
            <v>侧下梁</v>
          </cell>
        </row>
        <row r="15502">
          <cell r="D15502" t="str">
            <v>CB5324420-001R003</v>
          </cell>
          <cell r="E15502" t="str">
            <v>侧下梁</v>
          </cell>
        </row>
        <row r="15503">
          <cell r="D15503" t="str">
            <v>CB5324420-001R003</v>
          </cell>
          <cell r="E15503" t="str">
            <v>侧下梁</v>
          </cell>
        </row>
        <row r="15504">
          <cell r="D15504" t="str">
            <v>DD-J10B-21302-40G2-1-Z</v>
          </cell>
          <cell r="E15504" t="str">
            <v>后梁四段</v>
          </cell>
        </row>
        <row r="15505">
          <cell r="D15505" t="str">
            <v>DD-J10B-21302-40G2-1-Z</v>
          </cell>
          <cell r="E15505" t="str">
            <v>后梁四段</v>
          </cell>
        </row>
        <row r="15506">
          <cell r="D15506" t="str">
            <v>DD-J10B-21302-40G2-1-Y</v>
          </cell>
          <cell r="E15506" t="str">
            <v>后梁四段</v>
          </cell>
        </row>
        <row r="15507">
          <cell r="D15507" t="str">
            <v>BC221P2LB-003-002</v>
          </cell>
          <cell r="E15507" t="str">
            <v>传感器底座</v>
          </cell>
        </row>
        <row r="15508">
          <cell r="D15508" t="str">
            <v>CB22844A0-002-001</v>
          </cell>
          <cell r="E15508" t="str">
            <v>三通接头</v>
          </cell>
        </row>
        <row r="15509">
          <cell r="D15509" t="str">
            <v>CB22844A0-002-001</v>
          </cell>
          <cell r="E15509" t="str">
            <v>三通接头</v>
          </cell>
        </row>
        <row r="15510">
          <cell r="D15510" t="str">
            <v>CB2284460-007-001</v>
          </cell>
          <cell r="E15510" t="str">
            <v>四通接头</v>
          </cell>
        </row>
        <row r="15511">
          <cell r="D15511" t="str">
            <v>CB22109MD-001-003</v>
          </cell>
          <cell r="E15511" t="str">
            <v>四通管接头</v>
          </cell>
        </row>
        <row r="15512">
          <cell r="D15512" t="str">
            <v>CB5325125-404L001</v>
          </cell>
          <cell r="E15512" t="str">
            <v>摇臂</v>
          </cell>
        </row>
        <row r="15513">
          <cell r="D15513" t="str">
            <v>CB5325125-404L001</v>
          </cell>
          <cell r="E15513" t="str">
            <v>摇臂</v>
          </cell>
        </row>
        <row r="15514">
          <cell r="D15514" t="str">
            <v>CB5325125-403L001</v>
          </cell>
          <cell r="E15514" t="str">
            <v>支座</v>
          </cell>
        </row>
        <row r="15515">
          <cell r="D15515" t="str">
            <v>DD-J10B-04321-30-1-Z</v>
          </cell>
          <cell r="E15515" t="str">
            <v>侧下梁（左件）</v>
          </cell>
        </row>
        <row r="15516">
          <cell r="D15516" t="str">
            <v>DD-J10B-04061-1</v>
          </cell>
          <cell r="E15516" t="str">
            <v>10860框</v>
          </cell>
        </row>
        <row r="15517">
          <cell r="D15517" t="str">
            <v>DD-J10B-04061-1</v>
          </cell>
          <cell r="E15517" t="str">
            <v>10860框</v>
          </cell>
        </row>
        <row r="15518">
          <cell r="D15518" t="str">
            <v>DD-J10B-04061-1</v>
          </cell>
          <cell r="E15518" t="str">
            <v>10860框</v>
          </cell>
        </row>
        <row r="15519">
          <cell r="D15519" t="str">
            <v>DD-J10B-04061-1</v>
          </cell>
          <cell r="E15519" t="str">
            <v>10860框</v>
          </cell>
        </row>
        <row r="15520">
          <cell r="D15520" t="str">
            <v>DD-J10-55165-331</v>
          </cell>
          <cell r="E15520" t="str">
            <v>三通管接头</v>
          </cell>
        </row>
        <row r="15521">
          <cell r="D15521" t="str">
            <v>DD-J10B-55141-101</v>
          </cell>
          <cell r="E15521" t="str">
            <v>90°弯管接头</v>
          </cell>
        </row>
        <row r="15522">
          <cell r="D15522" t="str">
            <v>DD-J10B-65000-1710G2-1</v>
          </cell>
          <cell r="E15522" t="str">
            <v>连杆</v>
          </cell>
        </row>
        <row r="15523">
          <cell r="D15523" t="str">
            <v>CB229C050-002-003</v>
          </cell>
          <cell r="E15523" t="str">
            <v>拨杆</v>
          </cell>
        </row>
        <row r="15524">
          <cell r="D15524" t="str">
            <v>CB229C050-002-003</v>
          </cell>
          <cell r="E15524" t="str">
            <v>拨杆</v>
          </cell>
        </row>
        <row r="15525">
          <cell r="D15525" t="str">
            <v>DD-J10B-94061-1031</v>
          </cell>
          <cell r="E15525" t="str">
            <v>接头</v>
          </cell>
        </row>
        <row r="15526">
          <cell r="D15526" t="str">
            <v>DD-J10B-94061-1032</v>
          </cell>
          <cell r="E15526" t="str">
            <v>接头</v>
          </cell>
        </row>
        <row r="15527">
          <cell r="D15527" t="str">
            <v>DD-J10B-02121-1AG2-Z</v>
          </cell>
          <cell r="E15527" t="str">
            <v>BL280侧壁（左件）</v>
          </cell>
        </row>
        <row r="15528">
          <cell r="D15528" t="str">
            <v>DD-J10B-02121-1AG2-Z</v>
          </cell>
          <cell r="E15528" t="str">
            <v>BL280侧壁（左件）</v>
          </cell>
        </row>
        <row r="15529">
          <cell r="D15529" t="str">
            <v>DD-J10B-02121-1AG2-Z</v>
          </cell>
          <cell r="E15529" t="str">
            <v>BL280侧壁（左件）</v>
          </cell>
        </row>
        <row r="15530">
          <cell r="D15530" t="str">
            <v>DD-J10B-02121-1AG2-Z</v>
          </cell>
          <cell r="E15530" t="str">
            <v>BL280侧壁（左件）</v>
          </cell>
        </row>
        <row r="15531">
          <cell r="D15531" t="str">
            <v>CB5512300-014L001</v>
          </cell>
          <cell r="E15531" t="str">
            <v>角盒</v>
          </cell>
        </row>
        <row r="15532">
          <cell r="D15532" t="str">
            <v>CB5314107-005-001</v>
          </cell>
          <cell r="E15532" t="str">
            <v>油箱口盖</v>
          </cell>
        </row>
        <row r="15533">
          <cell r="D15533" t="str">
            <v>CB3014940-001-002</v>
          </cell>
          <cell r="E15533" t="str">
            <v>左BL297侧框</v>
          </cell>
        </row>
        <row r="15534">
          <cell r="D15534" t="str">
            <v>CB3014940-001-002</v>
          </cell>
          <cell r="E15534" t="str">
            <v>左BL297侧框</v>
          </cell>
        </row>
        <row r="15535">
          <cell r="D15535" t="str">
            <v>DD-J10-04021-3</v>
          </cell>
          <cell r="E15535" t="str">
            <v>角盒</v>
          </cell>
        </row>
        <row r="15536">
          <cell r="D15536" t="str">
            <v>DD-J10-21102-553-Y</v>
          </cell>
          <cell r="E15536" t="str">
            <v>1780肋三段（右件）</v>
          </cell>
        </row>
        <row r="15537">
          <cell r="D15537" t="str">
            <v>DD-J10-21102-553-Z</v>
          </cell>
          <cell r="E15537" t="str">
            <v>1780肋三段（左件）</v>
          </cell>
        </row>
        <row r="15538">
          <cell r="D15538" t="str">
            <v>DD-J10-21102-553-Z</v>
          </cell>
          <cell r="E15538" t="str">
            <v>1780肋三段（左件）</v>
          </cell>
        </row>
        <row r="15539">
          <cell r="D15539" t="str">
            <v>DD-J10-04021-4</v>
          </cell>
          <cell r="E15539" t="str">
            <v>角盒</v>
          </cell>
        </row>
        <row r="15540">
          <cell r="D15540" t="str">
            <v>DD-J10-04021-4</v>
          </cell>
          <cell r="E15540" t="str">
            <v>角盒</v>
          </cell>
        </row>
        <row r="15541">
          <cell r="D15541" t="str">
            <v>CB2297032-001-001</v>
          </cell>
          <cell r="E15541" t="str">
            <v>支架</v>
          </cell>
        </row>
        <row r="15542">
          <cell r="D15542" t="str">
            <v>CB2297032-001-001</v>
          </cell>
          <cell r="E15542" t="str">
            <v>支架</v>
          </cell>
        </row>
        <row r="15543">
          <cell r="D15543" t="str">
            <v>CB2297041-001-001</v>
          </cell>
          <cell r="E15543" t="str">
            <v>支架</v>
          </cell>
        </row>
        <row r="15544">
          <cell r="D15544" t="str">
            <v>CB2297012-001-001</v>
          </cell>
          <cell r="E15544" t="str">
            <v>支架</v>
          </cell>
        </row>
        <row r="15545">
          <cell r="D15545" t="str">
            <v>CB2297012-001-001</v>
          </cell>
          <cell r="E15545" t="str">
            <v>支架</v>
          </cell>
        </row>
        <row r="15546">
          <cell r="D15546" t="str">
            <v>CB5324320-007L009</v>
          </cell>
          <cell r="E15546" t="str">
            <v>横梁</v>
          </cell>
        </row>
        <row r="15547">
          <cell r="D15547" t="str">
            <v>CB5324320-004L006</v>
          </cell>
          <cell r="E15547" t="str">
            <v>侧下支持件</v>
          </cell>
        </row>
        <row r="15548">
          <cell r="D15548" t="str">
            <v>Y20-5319120045-001</v>
          </cell>
          <cell r="E15548" t="str">
            <v>角盒</v>
          </cell>
        </row>
        <row r="15549">
          <cell r="D15549" t="str">
            <v>Y20-5315200201-002</v>
          </cell>
          <cell r="E15549" t="str">
            <v>15框外缘角型接头</v>
          </cell>
        </row>
        <row r="15550">
          <cell r="D15550" t="str">
            <v>Y20-5312143001-001</v>
          </cell>
          <cell r="E15550" t="str">
            <v>叉型件</v>
          </cell>
        </row>
        <row r="15551">
          <cell r="D15551" t="str">
            <v>Y20-5312140011-001</v>
          </cell>
          <cell r="E15551" t="str">
            <v>接头</v>
          </cell>
        </row>
        <row r="15552">
          <cell r="D15552" t="str">
            <v>BC228163C-003-003</v>
          </cell>
          <cell r="E15552" t="str">
            <v>法兰</v>
          </cell>
        </row>
        <row r="15553">
          <cell r="D15553" t="str">
            <v>DD-J10B-94061-1031</v>
          </cell>
          <cell r="E15553" t="str">
            <v>接头</v>
          </cell>
        </row>
        <row r="15554">
          <cell r="D15554" t="str">
            <v>DD-J10B-94061-1031</v>
          </cell>
          <cell r="E15554" t="str">
            <v>接头</v>
          </cell>
        </row>
        <row r="15555">
          <cell r="D15555" t="str">
            <v>DD-J10B-94061-1031</v>
          </cell>
          <cell r="E15555" t="str">
            <v>接头</v>
          </cell>
        </row>
        <row r="15556">
          <cell r="D15556" t="str">
            <v>DD-J10B-94061-1032</v>
          </cell>
          <cell r="E15556" t="str">
            <v>接头</v>
          </cell>
        </row>
        <row r="15557">
          <cell r="D15557" t="str">
            <v>DD-J10B-94061-1032</v>
          </cell>
          <cell r="E15557" t="str">
            <v>接头</v>
          </cell>
        </row>
        <row r="15558">
          <cell r="D15558" t="str">
            <v>DD-J10B-94061-1032</v>
          </cell>
          <cell r="E15558" t="str">
            <v>接头</v>
          </cell>
        </row>
        <row r="15559">
          <cell r="D15559" t="str">
            <v>DD-J10B-55015-4100-1</v>
          </cell>
          <cell r="E15559" t="str">
            <v>垫圈</v>
          </cell>
        </row>
        <row r="15560">
          <cell r="D15560" t="str">
            <v>DD-J10-94011-570-3</v>
          </cell>
          <cell r="E15560" t="str">
            <v>管子</v>
          </cell>
        </row>
        <row r="15561">
          <cell r="D15561" t="str">
            <v>DD-J10-55025-703</v>
          </cell>
          <cell r="E15561" t="str">
            <v>衬套</v>
          </cell>
        </row>
        <row r="15562">
          <cell r="D15562" t="str">
            <v>DD-J10-55025-704</v>
          </cell>
          <cell r="E15562" t="str">
            <v>套筒</v>
          </cell>
        </row>
        <row r="15563">
          <cell r="D15563" t="str">
            <v>DD-J10-55181-2540-2</v>
          </cell>
          <cell r="E15563" t="str">
            <v>小轴</v>
          </cell>
        </row>
        <row r="15564">
          <cell r="D15564" t="str">
            <v>CB2292112-004-001</v>
          </cell>
          <cell r="E15564" t="str">
            <v>螺栓</v>
          </cell>
        </row>
        <row r="15565">
          <cell r="D15565" t="str">
            <v>CB2292112-004-001</v>
          </cell>
          <cell r="E15565" t="str">
            <v>螺栓</v>
          </cell>
        </row>
        <row r="15566">
          <cell r="D15566" t="str">
            <v>CB2284462-001-001</v>
          </cell>
          <cell r="E15566" t="str">
            <v>法兰</v>
          </cell>
        </row>
        <row r="15567">
          <cell r="D15567" t="str">
            <v>DD-J10-64016-210-1</v>
          </cell>
          <cell r="E15567" t="str">
            <v>管子</v>
          </cell>
        </row>
        <row r="15568">
          <cell r="D15568" t="str">
            <v>DD-J10-04401-104</v>
          </cell>
          <cell r="E15568" t="str">
            <v>接头</v>
          </cell>
        </row>
        <row r="15569">
          <cell r="D15569" t="str">
            <v>CB2284751-003-001</v>
          </cell>
          <cell r="E15569" t="str">
            <v>法兰盘</v>
          </cell>
        </row>
        <row r="15570">
          <cell r="D15570" t="str">
            <v>DD-J10-55015-5503-Y</v>
          </cell>
          <cell r="E15570" t="str">
            <v>接管嘴</v>
          </cell>
        </row>
        <row r="15571">
          <cell r="D15571" t="str">
            <v>DD-J10-55015-5503-Z</v>
          </cell>
          <cell r="E15571" t="str">
            <v>接管嘴</v>
          </cell>
        </row>
        <row r="15572">
          <cell r="D15572" t="str">
            <v>DD-J10-55015-5201</v>
          </cell>
          <cell r="E15572" t="str">
            <v>接管嘴</v>
          </cell>
        </row>
        <row r="15573">
          <cell r="D15573" t="str">
            <v>DD-J10-55015-5102</v>
          </cell>
          <cell r="E15573" t="str">
            <v>接管嘴</v>
          </cell>
        </row>
        <row r="15574">
          <cell r="D15574" t="str">
            <v>DD-J10-55014-3101</v>
          </cell>
          <cell r="E15574" t="str">
            <v>接管嘴</v>
          </cell>
        </row>
        <row r="15575">
          <cell r="D15575" t="str">
            <v>CB5325125-404L001</v>
          </cell>
          <cell r="E15575" t="str">
            <v>摇臂</v>
          </cell>
        </row>
        <row r="15576">
          <cell r="D15576" t="str">
            <v>CB5350500-010R006</v>
          </cell>
          <cell r="E15576" t="str">
            <v>1号护板维型肋右件</v>
          </cell>
        </row>
        <row r="15577">
          <cell r="D15577" t="str">
            <v>CB5811400-001-001</v>
          </cell>
          <cell r="E15577" t="str">
            <v>支架</v>
          </cell>
        </row>
        <row r="15578">
          <cell r="D15578" t="str">
            <v>CB5811400-001-001</v>
          </cell>
          <cell r="E15578" t="str">
            <v>支架</v>
          </cell>
        </row>
        <row r="15579">
          <cell r="D15579" t="str">
            <v>CB5811400-001-001</v>
          </cell>
          <cell r="E15579" t="str">
            <v>支架</v>
          </cell>
        </row>
        <row r="15580">
          <cell r="D15580" t="str">
            <v>CB5811400-001-001</v>
          </cell>
          <cell r="E15580" t="str">
            <v>支架</v>
          </cell>
        </row>
        <row r="15581">
          <cell r="D15581" t="str">
            <v>CB5811400-001-001</v>
          </cell>
          <cell r="E15581" t="str">
            <v>支架</v>
          </cell>
        </row>
        <row r="15582">
          <cell r="D15582" t="str">
            <v>CB5811400-001-001</v>
          </cell>
          <cell r="E15582" t="str">
            <v>支架</v>
          </cell>
        </row>
        <row r="15583">
          <cell r="D15583" t="str">
            <v>CB5811400-001-001</v>
          </cell>
          <cell r="E15583" t="str">
            <v>支架</v>
          </cell>
        </row>
        <row r="15584">
          <cell r="D15584" t="str">
            <v>CB5811400-001-001</v>
          </cell>
          <cell r="E15584" t="str">
            <v>支架</v>
          </cell>
        </row>
        <row r="15585">
          <cell r="D15585" t="str">
            <v>CB5811400-001-001</v>
          </cell>
          <cell r="E15585" t="str">
            <v>支架</v>
          </cell>
        </row>
        <row r="15586">
          <cell r="D15586" t="str">
            <v>CB5811400-001-001</v>
          </cell>
          <cell r="E15586" t="str">
            <v>支架</v>
          </cell>
        </row>
        <row r="15587">
          <cell r="D15587" t="str">
            <v>CB5811400-001-001</v>
          </cell>
          <cell r="E15587" t="str">
            <v>支架</v>
          </cell>
        </row>
        <row r="15588">
          <cell r="D15588" t="str">
            <v>CB5811400-001-001</v>
          </cell>
          <cell r="E15588" t="str">
            <v>支架</v>
          </cell>
        </row>
        <row r="15589">
          <cell r="D15589" t="str">
            <v>CB5811400-001-001</v>
          </cell>
          <cell r="E15589" t="str">
            <v>支架</v>
          </cell>
        </row>
        <row r="15590">
          <cell r="D15590" t="str">
            <v>CB5811400-001-001</v>
          </cell>
          <cell r="E15590" t="str">
            <v>支架</v>
          </cell>
        </row>
        <row r="15591">
          <cell r="D15591" t="str">
            <v>CB5811400-001-001</v>
          </cell>
          <cell r="E15591" t="str">
            <v>支架</v>
          </cell>
        </row>
        <row r="15592">
          <cell r="D15592" t="str">
            <v>CB5811400-001-001</v>
          </cell>
          <cell r="E15592" t="str">
            <v>支架</v>
          </cell>
        </row>
        <row r="15593">
          <cell r="D15593" t="str">
            <v>CB5811400-001-001</v>
          </cell>
          <cell r="E15593" t="str">
            <v>支架</v>
          </cell>
        </row>
        <row r="15594">
          <cell r="D15594" t="str">
            <v>CB5811400-001-001</v>
          </cell>
          <cell r="E15594" t="str">
            <v>支架</v>
          </cell>
        </row>
        <row r="15595">
          <cell r="D15595" t="str">
            <v>CB5811400-001-001</v>
          </cell>
          <cell r="E15595" t="str">
            <v>支架</v>
          </cell>
        </row>
        <row r="15596">
          <cell r="D15596" t="str">
            <v>CB5811400-001-001</v>
          </cell>
          <cell r="E15596" t="str">
            <v>支架</v>
          </cell>
        </row>
        <row r="15597">
          <cell r="D15597" t="str">
            <v>CB5811400-001-001</v>
          </cell>
          <cell r="E15597" t="str">
            <v>支架</v>
          </cell>
        </row>
        <row r="15598">
          <cell r="D15598" t="str">
            <v>CB5811400-001-001</v>
          </cell>
          <cell r="E15598" t="str">
            <v>支架</v>
          </cell>
        </row>
        <row r="15599">
          <cell r="D15599" t="str">
            <v>CB5811400-002-001</v>
          </cell>
          <cell r="E15599" t="str">
            <v>支架</v>
          </cell>
        </row>
        <row r="15600">
          <cell r="D15600" t="str">
            <v>CB5811400-002-001</v>
          </cell>
          <cell r="E15600" t="str">
            <v>支架</v>
          </cell>
        </row>
        <row r="15601">
          <cell r="D15601" t="str">
            <v>CB5811400-002-001</v>
          </cell>
          <cell r="E15601" t="str">
            <v>支架</v>
          </cell>
        </row>
        <row r="15602">
          <cell r="D15602" t="str">
            <v>CB5811400-002-001</v>
          </cell>
          <cell r="E15602" t="str">
            <v>支架</v>
          </cell>
        </row>
        <row r="15603">
          <cell r="D15603" t="str">
            <v>CB5811400-002-001</v>
          </cell>
          <cell r="E15603" t="str">
            <v>支架</v>
          </cell>
        </row>
        <row r="15604">
          <cell r="D15604" t="str">
            <v>CB5811400-002-001</v>
          </cell>
          <cell r="E15604" t="str">
            <v>支架</v>
          </cell>
        </row>
        <row r="15605">
          <cell r="D15605" t="str">
            <v>CB5811400-002-001</v>
          </cell>
          <cell r="E15605" t="str">
            <v>支架</v>
          </cell>
        </row>
        <row r="15606">
          <cell r="D15606" t="str">
            <v>CB5811400-002-001</v>
          </cell>
          <cell r="E15606" t="str">
            <v>支架</v>
          </cell>
        </row>
        <row r="15607">
          <cell r="D15607" t="str">
            <v>CB5811400-002-001</v>
          </cell>
          <cell r="E15607" t="str">
            <v>支架</v>
          </cell>
        </row>
        <row r="15608">
          <cell r="D15608" t="str">
            <v>CB5811400-002-001</v>
          </cell>
          <cell r="E15608" t="str">
            <v>支架</v>
          </cell>
        </row>
        <row r="15609">
          <cell r="D15609" t="str">
            <v>CB5811400-002-001</v>
          </cell>
          <cell r="E15609" t="str">
            <v>支架</v>
          </cell>
        </row>
        <row r="15610">
          <cell r="D15610" t="str">
            <v>CB5811400-002-001</v>
          </cell>
          <cell r="E15610" t="str">
            <v>支架</v>
          </cell>
        </row>
        <row r="15611">
          <cell r="D15611" t="str">
            <v>CB5811400-002-001</v>
          </cell>
          <cell r="E15611" t="str">
            <v>支架</v>
          </cell>
        </row>
        <row r="15612">
          <cell r="D15612" t="str">
            <v>CB5811400-002-001</v>
          </cell>
          <cell r="E15612" t="str">
            <v>支架</v>
          </cell>
        </row>
        <row r="15613">
          <cell r="D15613" t="str">
            <v>CB5811400-002-001</v>
          </cell>
          <cell r="E15613" t="str">
            <v>支架</v>
          </cell>
        </row>
        <row r="15614">
          <cell r="D15614" t="str">
            <v>CB5811400-002-001</v>
          </cell>
          <cell r="E15614" t="str">
            <v>支架</v>
          </cell>
        </row>
        <row r="15615">
          <cell r="D15615" t="str">
            <v>CB5811400-002-001</v>
          </cell>
          <cell r="E15615" t="str">
            <v>支架</v>
          </cell>
        </row>
        <row r="15616">
          <cell r="D15616" t="str">
            <v>CB5811400-002-001</v>
          </cell>
          <cell r="E15616" t="str">
            <v>支架</v>
          </cell>
        </row>
        <row r="15617">
          <cell r="D15617" t="str">
            <v>CB5811400-002-001</v>
          </cell>
          <cell r="E15617" t="str">
            <v>支架</v>
          </cell>
        </row>
        <row r="15618">
          <cell r="D15618" t="str">
            <v>CB5811400-002-001</v>
          </cell>
          <cell r="E15618" t="str">
            <v>支架</v>
          </cell>
        </row>
        <row r="15619">
          <cell r="D15619" t="str">
            <v>DD-J10-33003-4</v>
          </cell>
          <cell r="E15619" t="str">
            <v>梁</v>
          </cell>
        </row>
        <row r="15620">
          <cell r="D15620" t="str">
            <v>DD-J10-33003-4</v>
          </cell>
          <cell r="E15620" t="str">
            <v>梁</v>
          </cell>
        </row>
        <row r="15621">
          <cell r="D15621" t="str">
            <v>DD-J10-33003-4</v>
          </cell>
          <cell r="E15621" t="str">
            <v>梁</v>
          </cell>
        </row>
        <row r="15622">
          <cell r="D15622" t="str">
            <v>DD-J10-34103-4</v>
          </cell>
          <cell r="E15622" t="str">
            <v>上边肋</v>
          </cell>
        </row>
        <row r="15623">
          <cell r="D15623" t="str">
            <v>DD-J10-34003-2</v>
          </cell>
          <cell r="E15623" t="str">
            <v>后梁</v>
          </cell>
        </row>
        <row r="15624">
          <cell r="D15624" t="str">
            <v>CB5324321-010-006</v>
          </cell>
          <cell r="E15624" t="str">
            <v>加强件</v>
          </cell>
        </row>
        <row r="15625">
          <cell r="D15625" t="str">
            <v>CB5324321-010-006</v>
          </cell>
          <cell r="E15625" t="str">
            <v>加强件</v>
          </cell>
        </row>
        <row r="15626">
          <cell r="D15626" t="str">
            <v>CB5822016-024L001</v>
          </cell>
          <cell r="E15626" t="str">
            <v>角片</v>
          </cell>
        </row>
        <row r="15627">
          <cell r="D15627" t="str">
            <v>CB5822016-024L001</v>
          </cell>
          <cell r="E15627" t="str">
            <v>角片</v>
          </cell>
        </row>
        <row r="15628">
          <cell r="D15628" t="str">
            <v>CB5822016-024L001</v>
          </cell>
          <cell r="E15628" t="str">
            <v>角片</v>
          </cell>
        </row>
        <row r="15629">
          <cell r="D15629" t="str">
            <v>CB5822016-024R001</v>
          </cell>
          <cell r="E15629" t="str">
            <v>角片</v>
          </cell>
        </row>
        <row r="15630">
          <cell r="D15630" t="str">
            <v>CB5822016-024R001</v>
          </cell>
          <cell r="E15630" t="str">
            <v>角片</v>
          </cell>
        </row>
        <row r="15631">
          <cell r="D15631" t="str">
            <v>CB5822016-024R001</v>
          </cell>
          <cell r="E15631" t="str">
            <v>角片</v>
          </cell>
        </row>
        <row r="15632">
          <cell r="D15632" t="str">
            <v>CB5822016-029R001</v>
          </cell>
          <cell r="E15632" t="str">
            <v>角片</v>
          </cell>
        </row>
        <row r="15633">
          <cell r="D15633" t="str">
            <v>CB5822016-029R001</v>
          </cell>
          <cell r="E15633" t="str">
            <v>角片</v>
          </cell>
        </row>
        <row r="15634">
          <cell r="D15634" t="str">
            <v>CB5822016-029L001</v>
          </cell>
          <cell r="E15634" t="str">
            <v>角片</v>
          </cell>
        </row>
        <row r="15635">
          <cell r="D15635" t="str">
            <v>CB5822016-029L001</v>
          </cell>
          <cell r="E15635" t="str">
            <v>角片</v>
          </cell>
        </row>
        <row r="15636">
          <cell r="D15636" t="str">
            <v>CB5822016-029L001</v>
          </cell>
          <cell r="E15636" t="str">
            <v>角片</v>
          </cell>
        </row>
        <row r="15637">
          <cell r="D15637" t="str">
            <v>CB5715000-001L002</v>
          </cell>
          <cell r="E15637" t="str">
            <v>固定前缘边肋</v>
          </cell>
        </row>
        <row r="15638">
          <cell r="D15638" t="str">
            <v>CB5715000-001L002</v>
          </cell>
          <cell r="E15638" t="str">
            <v>固定前缘边肋</v>
          </cell>
        </row>
        <row r="15639">
          <cell r="D15639" t="str">
            <v>CB5715000-001L002</v>
          </cell>
          <cell r="E15639" t="str">
            <v>固定前缘边肋</v>
          </cell>
        </row>
        <row r="15640">
          <cell r="D15640" t="str">
            <v>CB5715000-001L002</v>
          </cell>
          <cell r="E15640" t="str">
            <v>固定前缘边肋</v>
          </cell>
        </row>
        <row r="15641">
          <cell r="D15641" t="str">
            <v>CB5822016-032L001</v>
          </cell>
          <cell r="E15641" t="str">
            <v>角片</v>
          </cell>
        </row>
        <row r="15642">
          <cell r="D15642" t="str">
            <v>CB5822016-032L001</v>
          </cell>
          <cell r="E15642" t="str">
            <v>角片</v>
          </cell>
        </row>
        <row r="15643">
          <cell r="D15643" t="str">
            <v>CB5822016-032L001</v>
          </cell>
          <cell r="E15643" t="str">
            <v>角片</v>
          </cell>
        </row>
        <row r="15644">
          <cell r="D15644" t="str">
            <v>CB5822016-032L001</v>
          </cell>
          <cell r="E15644" t="str">
            <v>角片</v>
          </cell>
        </row>
        <row r="15645">
          <cell r="D15645" t="str">
            <v>CB5822016-032R001</v>
          </cell>
          <cell r="E15645" t="str">
            <v>角片</v>
          </cell>
        </row>
        <row r="15646">
          <cell r="D15646" t="str">
            <v>CB5822016-032R001</v>
          </cell>
          <cell r="E15646" t="str">
            <v>角片</v>
          </cell>
        </row>
        <row r="15647">
          <cell r="D15647" t="str">
            <v>CB5822016-032R001</v>
          </cell>
          <cell r="E15647" t="str">
            <v>角片</v>
          </cell>
        </row>
        <row r="15648">
          <cell r="D15648" t="str">
            <v>CB5822016-032R001</v>
          </cell>
          <cell r="E15648" t="str">
            <v>角片</v>
          </cell>
        </row>
        <row r="15649">
          <cell r="D15649" t="str">
            <v>CB5323120-001L002</v>
          </cell>
          <cell r="E15649" t="str">
            <v>7820~8270侧上梁</v>
          </cell>
        </row>
        <row r="15650">
          <cell r="D15650" t="str">
            <v>CB5323120-001R005</v>
          </cell>
          <cell r="E15650" t="str">
            <v>7820~8270侧上梁</v>
          </cell>
        </row>
        <row r="15651">
          <cell r="D15651" t="str">
            <v>CB5324320-004L006</v>
          </cell>
          <cell r="E15651" t="str">
            <v>侧下支持件</v>
          </cell>
        </row>
        <row r="15652">
          <cell r="D15652" t="str">
            <v>CB5324320-004R006</v>
          </cell>
          <cell r="E15652" t="str">
            <v>侧下支持件</v>
          </cell>
        </row>
        <row r="15653">
          <cell r="D15653" t="str">
            <v>DD-J10B-82000-101G2</v>
          </cell>
          <cell r="E15653" t="str">
            <v>地板</v>
          </cell>
        </row>
        <row r="15654">
          <cell r="D15654" t="str">
            <v>DD-J10-21102-120-1-Z</v>
          </cell>
          <cell r="E15654" t="str">
            <v>9480梁（左件）</v>
          </cell>
        </row>
        <row r="15655">
          <cell r="D15655" t="str">
            <v>Y20-4252203194-001</v>
          </cell>
          <cell r="E15655" t="str">
            <v>支架</v>
          </cell>
        </row>
        <row r="15656">
          <cell r="D15656" t="str">
            <v>Y20-4252203194-002</v>
          </cell>
          <cell r="E15656" t="str">
            <v>支架</v>
          </cell>
        </row>
        <row r="15657">
          <cell r="D15657" t="str">
            <v>Y20-4252203194-002</v>
          </cell>
          <cell r="E15657" t="str">
            <v>支架</v>
          </cell>
        </row>
        <row r="15658">
          <cell r="D15658" t="str">
            <v>Y20-5316320208-001</v>
          </cell>
          <cell r="E15658" t="str">
            <v>梯子支撑件</v>
          </cell>
        </row>
        <row r="15659">
          <cell r="D15659" t="str">
            <v>Y20-5312225701-002</v>
          </cell>
          <cell r="E15659" t="str">
            <v>纵向加强件</v>
          </cell>
        </row>
        <row r="15660">
          <cell r="D15660" t="str">
            <v>Y20-5312225701-002</v>
          </cell>
          <cell r="E15660" t="str">
            <v>纵向加强件</v>
          </cell>
        </row>
        <row r="15661">
          <cell r="D15661" t="str">
            <v>Y20-5312225701-002</v>
          </cell>
          <cell r="E15661" t="str">
            <v>纵向加强件</v>
          </cell>
        </row>
        <row r="15662">
          <cell r="D15662" t="str">
            <v>Y20-5312225701-001</v>
          </cell>
          <cell r="E15662" t="str">
            <v>纵向加强件</v>
          </cell>
        </row>
        <row r="15663">
          <cell r="D15663" t="str">
            <v>Y20-5312225701-001</v>
          </cell>
          <cell r="E15663" t="str">
            <v>纵向加强件</v>
          </cell>
        </row>
        <row r="15664">
          <cell r="D15664" t="str">
            <v>Y20-5312225701-001</v>
          </cell>
          <cell r="E15664" t="str">
            <v>纵向加强件</v>
          </cell>
        </row>
        <row r="15665">
          <cell r="D15665" t="str">
            <v>DD-J10B-65000-1820G2-1</v>
          </cell>
          <cell r="E15665" t="str">
            <v>摇臂</v>
          </cell>
        </row>
        <row r="15666">
          <cell r="D15666" t="str">
            <v>DD-J10B-65000-1810G2-1</v>
          </cell>
          <cell r="E15666" t="str">
            <v>支座</v>
          </cell>
        </row>
        <row r="15667">
          <cell r="D15667" t="str">
            <v>DD-J10-21102-410-1-Y</v>
          </cell>
          <cell r="E15667" t="str">
            <v>1150肋根肋</v>
          </cell>
        </row>
        <row r="15668">
          <cell r="D15668" t="str">
            <v>DD-J10-21102-410-1-Z</v>
          </cell>
          <cell r="E15668" t="str">
            <v>1150肋根肋</v>
          </cell>
        </row>
        <row r="15669">
          <cell r="D15669" t="str">
            <v>DD-J10-21102-410-1-Z</v>
          </cell>
          <cell r="E15669" t="str">
            <v>1150肋根肋</v>
          </cell>
        </row>
        <row r="15670">
          <cell r="D15670" t="str">
            <v>DD-J10-21102-390-1-Z</v>
          </cell>
          <cell r="E15670" t="str">
            <v>1150肋九段</v>
          </cell>
        </row>
        <row r="15671">
          <cell r="D15671" t="str">
            <v>DD-J10-21102-390-1-Y</v>
          </cell>
          <cell r="E15671" t="str">
            <v>1150肋九段</v>
          </cell>
        </row>
        <row r="15672">
          <cell r="D15672" t="str">
            <v>DD-J10-21102-250-2-Y</v>
          </cell>
          <cell r="E15672" t="str">
            <v>11900梁二段</v>
          </cell>
        </row>
        <row r="15673">
          <cell r="D15673" t="str">
            <v>DD-J10-21102-250-2-Z</v>
          </cell>
          <cell r="E15673" t="str">
            <v>11900梁二段</v>
          </cell>
        </row>
        <row r="15674">
          <cell r="D15674" t="str">
            <v>CB2292321-001-003</v>
          </cell>
          <cell r="E15674" t="str">
            <v>支座</v>
          </cell>
        </row>
        <row r="15675">
          <cell r="D15675" t="str">
            <v>CB22921L3-001-003</v>
          </cell>
          <cell r="E15675" t="str">
            <v>支座</v>
          </cell>
        </row>
        <row r="15676">
          <cell r="D15676" t="str">
            <v>CB2294440-005-001</v>
          </cell>
          <cell r="E15676" t="str">
            <v>支架</v>
          </cell>
        </row>
        <row r="15677">
          <cell r="D15677" t="str">
            <v>CB2297120-006-002</v>
          </cell>
          <cell r="E15677" t="str">
            <v>支架</v>
          </cell>
        </row>
        <row r="15678">
          <cell r="D15678" t="str">
            <v>CB5315191-014R004</v>
          </cell>
          <cell r="E15678" t="str">
            <v>排气下侧壁</v>
          </cell>
        </row>
        <row r="15679">
          <cell r="D15679" t="str">
            <v>CB5315191-014L004</v>
          </cell>
          <cell r="E15679" t="str">
            <v>排气下侧壁</v>
          </cell>
        </row>
        <row r="15680">
          <cell r="D15680" t="str">
            <v>CB5327120-002R033</v>
          </cell>
          <cell r="E15680" t="str">
            <v>8120侧隔框</v>
          </cell>
        </row>
        <row r="15681">
          <cell r="D15681" t="str">
            <v>CB229C440-002R001</v>
          </cell>
          <cell r="E15681" t="str">
            <v>支架</v>
          </cell>
        </row>
        <row r="15682">
          <cell r="D15682" t="str">
            <v>CB2295170-001-002</v>
          </cell>
          <cell r="E15682" t="str">
            <v>安装支座</v>
          </cell>
        </row>
        <row r="15683">
          <cell r="D15683" t="str">
            <v>BC5327100-031L001</v>
          </cell>
          <cell r="E15683" t="str">
            <v>角盒</v>
          </cell>
        </row>
        <row r="15684">
          <cell r="D15684" t="str">
            <v>DD-J10-55014-3101</v>
          </cell>
          <cell r="E15684" t="str">
            <v>接管嘴</v>
          </cell>
        </row>
        <row r="15685">
          <cell r="D15685" t="str">
            <v>DD-J10-55014-3101</v>
          </cell>
          <cell r="E15685" t="str">
            <v>接管嘴</v>
          </cell>
        </row>
        <row r="15686">
          <cell r="D15686" t="str">
            <v>DD-J10-61031-44</v>
          </cell>
          <cell r="E15686" t="str">
            <v>压板</v>
          </cell>
        </row>
        <row r="15687">
          <cell r="D15687" t="str">
            <v>DD-J10-61031-44</v>
          </cell>
          <cell r="E15687" t="str">
            <v>压板</v>
          </cell>
        </row>
        <row r="15688">
          <cell r="D15688" t="str">
            <v>DD-J10-71211-305</v>
          </cell>
          <cell r="E15688" t="str">
            <v>支架</v>
          </cell>
        </row>
        <row r="15689">
          <cell r="D15689" t="str">
            <v>DD-J10B-42074-130-1</v>
          </cell>
          <cell r="E15689" t="str">
            <v>拉杆</v>
          </cell>
        </row>
        <row r="15690">
          <cell r="D15690" t="str">
            <v>DD-J10B-94076-620-1</v>
          </cell>
          <cell r="E15690" t="str">
            <v>管子</v>
          </cell>
        </row>
        <row r="15691">
          <cell r="D15691" t="str">
            <v>Y20-5318200002-001</v>
          </cell>
          <cell r="E15691" t="str">
            <v>主交点衬套</v>
          </cell>
        </row>
        <row r="15692">
          <cell r="D15692" t="str">
            <v>Y20-5318200002-002</v>
          </cell>
          <cell r="E15692" t="str">
            <v>主交点衬套</v>
          </cell>
        </row>
        <row r="15693">
          <cell r="D15693" t="str">
            <v>Y20-5318200003-001</v>
          </cell>
          <cell r="E15693" t="str">
            <v>主交点衬套</v>
          </cell>
        </row>
        <row r="15694">
          <cell r="D15694" t="str">
            <v>Y20-5318210002-001</v>
          </cell>
          <cell r="E15694" t="str">
            <v>前撑杆交点衬套</v>
          </cell>
        </row>
        <row r="15695">
          <cell r="D15695" t="str">
            <v>Y20-5318210002-002</v>
          </cell>
          <cell r="E15695" t="str">
            <v>前撑杆交点衬套</v>
          </cell>
        </row>
        <row r="15696">
          <cell r="D15696" t="str">
            <v>Y20-5312130202-001</v>
          </cell>
          <cell r="E15696" t="str">
            <v>衬套</v>
          </cell>
        </row>
        <row r="15697">
          <cell r="D15697" t="str">
            <v>Y20-5312100302-001</v>
          </cell>
          <cell r="E15697" t="str">
            <v>合页</v>
          </cell>
        </row>
        <row r="15698">
          <cell r="D15698" t="str">
            <v>Y20-5312100303-001</v>
          </cell>
          <cell r="E15698" t="str">
            <v>合页</v>
          </cell>
        </row>
        <row r="15699">
          <cell r="D15699" t="str">
            <v>Y20-5318210004-001</v>
          </cell>
          <cell r="E15699" t="str">
            <v>舱门摇臂交点衬套</v>
          </cell>
        </row>
        <row r="15700">
          <cell r="D15700" t="str">
            <v>Y20-5318210004-002</v>
          </cell>
          <cell r="E15700" t="str">
            <v>舱门摇臂交点衬套</v>
          </cell>
        </row>
        <row r="15701">
          <cell r="D15701" t="str">
            <v>Y20-5315200201-002</v>
          </cell>
          <cell r="E15701" t="str">
            <v>15框外缘角型接头</v>
          </cell>
        </row>
        <row r="15702">
          <cell r="D15702" t="str">
            <v>Y20-5312120101-001</v>
          </cell>
          <cell r="E15702" t="str">
            <v>衬套</v>
          </cell>
        </row>
        <row r="15703">
          <cell r="D15703" t="str">
            <v>Y20-5313100203-001</v>
          </cell>
          <cell r="E15703" t="str">
            <v>合页</v>
          </cell>
        </row>
        <row r="15704">
          <cell r="D15704" t="str">
            <v>Y20-5312130104-001</v>
          </cell>
          <cell r="E15704" t="str">
            <v>衬套</v>
          </cell>
        </row>
        <row r="15705">
          <cell r="D15705" t="str">
            <v>Y20-5312120201-001</v>
          </cell>
          <cell r="E15705" t="str">
            <v>衬套</v>
          </cell>
        </row>
        <row r="15706">
          <cell r="D15706" t="str">
            <v>Y20-5313100202-001</v>
          </cell>
          <cell r="E15706" t="str">
            <v>合页</v>
          </cell>
        </row>
        <row r="15707">
          <cell r="D15707" t="str">
            <v>Y20-5318200003-002</v>
          </cell>
          <cell r="E15707" t="str">
            <v>主交点衬套</v>
          </cell>
        </row>
        <row r="15708">
          <cell r="D15708" t="str">
            <v>DD-J10B-94076-501-Y</v>
          </cell>
          <cell r="E15708" t="str">
            <v>拉杆支座</v>
          </cell>
        </row>
        <row r="15709">
          <cell r="D15709" t="str">
            <v>DD-J10B-64016-501</v>
          </cell>
          <cell r="E15709" t="str">
            <v>管接头</v>
          </cell>
        </row>
        <row r="15710">
          <cell r="D15710" t="str">
            <v>DD-J10B-65000-1901G2</v>
          </cell>
          <cell r="E15710" t="str">
            <v>固定板</v>
          </cell>
        </row>
        <row r="15711">
          <cell r="D15711" t="str">
            <v>DD-J10B-41045-8</v>
          </cell>
          <cell r="E15711" t="str">
            <v>轴</v>
          </cell>
        </row>
        <row r="15712">
          <cell r="D15712" t="str">
            <v>DD-J10B-61001-1</v>
          </cell>
          <cell r="E15712" t="str">
            <v>接头</v>
          </cell>
        </row>
        <row r="15713">
          <cell r="D15713" t="str">
            <v>DD-J10B-61001-1</v>
          </cell>
          <cell r="E15713" t="str">
            <v>接头</v>
          </cell>
        </row>
        <row r="15714">
          <cell r="D15714" t="str">
            <v>BC221P2LB-003-001</v>
          </cell>
          <cell r="E15714" t="str">
            <v>传感器底座</v>
          </cell>
        </row>
        <row r="15715">
          <cell r="D15715" t="str">
            <v>BC228263E-004-001</v>
          </cell>
          <cell r="E15715" t="str">
            <v>法兰</v>
          </cell>
        </row>
        <row r="15716">
          <cell r="D15716" t="str">
            <v>CB229C050-007-003</v>
          </cell>
          <cell r="E15716" t="str">
            <v>摇臂</v>
          </cell>
        </row>
        <row r="15717">
          <cell r="D15717" t="str">
            <v>CB229C050-007-003</v>
          </cell>
          <cell r="E15717" t="str">
            <v>摇臂</v>
          </cell>
        </row>
        <row r="15718">
          <cell r="D15718" t="str">
            <v>CB229C050-007-003</v>
          </cell>
          <cell r="E15718" t="str">
            <v>摇臂</v>
          </cell>
        </row>
        <row r="15719">
          <cell r="D15719" t="str">
            <v>XXX-000-01</v>
          </cell>
          <cell r="E15719" t="str">
            <v>底座</v>
          </cell>
        </row>
        <row r="15720">
          <cell r="D15720" t="str">
            <v>XXX-000-02</v>
          </cell>
          <cell r="E15720" t="str">
            <v>外罩</v>
          </cell>
        </row>
        <row r="15721">
          <cell r="D15721" t="str">
            <v>XXX-000-04</v>
          </cell>
          <cell r="E15721" t="str">
            <v>绝缘板</v>
          </cell>
        </row>
        <row r="15722">
          <cell r="D15722" t="str">
            <v>XXX-000-06</v>
          </cell>
          <cell r="E15722" t="str">
            <v>导向块</v>
          </cell>
        </row>
        <row r="15723">
          <cell r="D15723" t="str">
            <v>XXX-000-07</v>
          </cell>
          <cell r="E15723" t="str">
            <v>绝缘垫</v>
          </cell>
        </row>
        <row r="15724">
          <cell r="D15724" t="str">
            <v>XXX-000-08</v>
          </cell>
          <cell r="E15724" t="str">
            <v>绝缘套筒</v>
          </cell>
        </row>
        <row r="15725">
          <cell r="D15725" t="str">
            <v>XXX-000-09</v>
          </cell>
          <cell r="E15725" t="str">
            <v>调整块</v>
          </cell>
        </row>
        <row r="15726">
          <cell r="D15726" t="str">
            <v>CB5324310-003-006</v>
          </cell>
          <cell r="E15726" t="str">
            <v>角盒</v>
          </cell>
        </row>
        <row r="15727">
          <cell r="D15727" t="str">
            <v>DD-J10-34103-4</v>
          </cell>
          <cell r="E15727" t="str">
            <v>上边肋</v>
          </cell>
        </row>
        <row r="15728">
          <cell r="D15728" t="str">
            <v>DD-J10-34103-4</v>
          </cell>
          <cell r="E15728" t="str">
            <v>上边肋</v>
          </cell>
        </row>
        <row r="15729">
          <cell r="D15729" t="str">
            <v>DD-J10B-61001-8001</v>
          </cell>
          <cell r="E15729" t="str">
            <v>卡片</v>
          </cell>
        </row>
        <row r="15730">
          <cell r="D15730" t="str">
            <v>CB5314240-012-003</v>
          </cell>
          <cell r="E15730" t="str">
            <v>后顶板</v>
          </cell>
        </row>
        <row r="15731">
          <cell r="D15731" t="str">
            <v>CB3014944-001-002</v>
          </cell>
          <cell r="E15731" t="str">
            <v>左后垂直操纵台面板</v>
          </cell>
        </row>
        <row r="15732">
          <cell r="D15732" t="str">
            <v>DD-J10-21002-1-Z</v>
          </cell>
          <cell r="E15732" t="str">
            <v>4号上壁板（左件）</v>
          </cell>
        </row>
        <row r="15733">
          <cell r="D15733" t="str">
            <v>DD-J10-21002-1-Y</v>
          </cell>
          <cell r="E15733" t="str">
            <v>4号上壁板（右件）</v>
          </cell>
        </row>
        <row r="15734">
          <cell r="D15734" t="str">
            <v>DD-J10-21002-1-Y</v>
          </cell>
          <cell r="E15734" t="str">
            <v>4号上壁板（右件）</v>
          </cell>
        </row>
        <row r="15735">
          <cell r="D15735" t="str">
            <v>DD-J10B-21002-2-Z</v>
          </cell>
          <cell r="E15735" t="str">
            <v>4号下壁板（左件）</v>
          </cell>
        </row>
        <row r="15736">
          <cell r="D15736" t="str">
            <v>DD-J10B-21002-2-Y</v>
          </cell>
          <cell r="E15736" t="str">
            <v>4号下壁板（右件）</v>
          </cell>
        </row>
        <row r="15737">
          <cell r="D15737" t="str">
            <v>DD-J10B-21002-2-Y</v>
          </cell>
          <cell r="E15737" t="str">
            <v>4号下壁板（右件）</v>
          </cell>
        </row>
        <row r="15738">
          <cell r="D15738" t="str">
            <v>DD-J10B-02041-2-Z</v>
          </cell>
          <cell r="E15738" t="str">
            <v>前上大梁（左）</v>
          </cell>
        </row>
        <row r="15739">
          <cell r="D15739" t="str">
            <v>DD-J10B-02041-2-Z</v>
          </cell>
          <cell r="E15739" t="str">
            <v>前上大梁（左）</v>
          </cell>
        </row>
        <row r="15740">
          <cell r="D15740" t="str">
            <v>CB5350500-010L006</v>
          </cell>
          <cell r="E15740" t="str">
            <v>1号护板维型肋左件</v>
          </cell>
        </row>
        <row r="15741">
          <cell r="D15741" t="str">
            <v>CB5350500-010R006</v>
          </cell>
          <cell r="E15741" t="str">
            <v>1号护板维型肋右件</v>
          </cell>
        </row>
        <row r="15742">
          <cell r="D15742" t="str">
            <v>CB5323320-007L001</v>
          </cell>
          <cell r="E15742" t="str">
            <v>角盒</v>
          </cell>
        </row>
        <row r="15743">
          <cell r="D15743" t="str">
            <v>CB5350500-016R006</v>
          </cell>
          <cell r="E15743" t="str">
            <v>7号护板维型肋右件</v>
          </cell>
        </row>
        <row r="15744">
          <cell r="D15744" t="str">
            <v>CB5350500-016L006</v>
          </cell>
          <cell r="E15744" t="str">
            <v>7号护板维型肋左件</v>
          </cell>
        </row>
        <row r="15745">
          <cell r="D15745" t="str">
            <v>CB5325125-403R001</v>
          </cell>
          <cell r="E15745" t="str">
            <v>支座</v>
          </cell>
        </row>
        <row r="15746">
          <cell r="D15746" t="str">
            <v>CB2287726-001-001</v>
          </cell>
          <cell r="E15746" t="str">
            <v>安装支架</v>
          </cell>
        </row>
        <row r="15747">
          <cell r="D15747" t="str">
            <v>CB2248145-001-006</v>
          </cell>
          <cell r="E15747" t="str">
            <v>支片5</v>
          </cell>
        </row>
        <row r="15748">
          <cell r="D15748" t="str">
            <v>CB2284460-006-001</v>
          </cell>
          <cell r="E15748" t="str">
            <v>三通接头</v>
          </cell>
        </row>
        <row r="15749">
          <cell r="D15749" t="str">
            <v>CB2298814-002-001</v>
          </cell>
          <cell r="E15749" t="str">
            <v>角片</v>
          </cell>
        </row>
        <row r="15750">
          <cell r="D15750" t="str">
            <v>CB5323400-008L001</v>
          </cell>
          <cell r="E15750" t="str">
            <v>外侧轴承盖</v>
          </cell>
        </row>
        <row r="15751">
          <cell r="D15751" t="str">
            <v>CB5323400-008R001</v>
          </cell>
          <cell r="E15751" t="str">
            <v>外侧轴承盖</v>
          </cell>
        </row>
        <row r="15752">
          <cell r="D15752" t="str">
            <v>CB5814000-003-001</v>
          </cell>
          <cell r="E15752" t="str">
            <v>后支架</v>
          </cell>
        </row>
        <row r="15753">
          <cell r="D15753" t="str">
            <v>CB2293181-004-001</v>
          </cell>
          <cell r="E15753" t="str">
            <v>衬套</v>
          </cell>
        </row>
        <row r="15754">
          <cell r="D15754" t="str">
            <v>CB22921F1-004-001</v>
          </cell>
          <cell r="E15754" t="str">
            <v>衬套</v>
          </cell>
        </row>
        <row r="15755">
          <cell r="D15755" t="str">
            <v>DD-J10-41153-130-2</v>
          </cell>
          <cell r="E15755" t="str">
            <v>管子</v>
          </cell>
        </row>
        <row r="15756">
          <cell r="D15756" t="str">
            <v>DD-J10S-06021-107</v>
          </cell>
          <cell r="E15756" t="str">
            <v>后隔框</v>
          </cell>
        </row>
        <row r="15757">
          <cell r="D15757" t="str">
            <v>DD-J10S-06021-107</v>
          </cell>
          <cell r="E15757" t="str">
            <v>后隔框</v>
          </cell>
        </row>
        <row r="15758">
          <cell r="D15758" t="str">
            <v>CB5713600-001L006</v>
          </cell>
          <cell r="E15758" t="str">
            <v>前梁一段</v>
          </cell>
        </row>
        <row r="15759">
          <cell r="D15759" t="str">
            <v>CB5713600-001L006</v>
          </cell>
          <cell r="E15759" t="str">
            <v>前梁一段</v>
          </cell>
        </row>
        <row r="15760">
          <cell r="D15760" t="str">
            <v>CB5713600-001L006</v>
          </cell>
          <cell r="E15760" t="str">
            <v>前梁一段</v>
          </cell>
        </row>
        <row r="15761">
          <cell r="D15761" t="str">
            <v>CB5713600-001L006</v>
          </cell>
          <cell r="E15761" t="str">
            <v>前梁一段</v>
          </cell>
        </row>
        <row r="15762">
          <cell r="D15762" t="str">
            <v>BC5337100-104R001</v>
          </cell>
          <cell r="E15762" t="str">
            <v>上受剪接头</v>
          </cell>
        </row>
        <row r="15763">
          <cell r="D15763" t="str">
            <v>BC5337100-104R001</v>
          </cell>
          <cell r="E15763" t="str">
            <v>上受剪接头</v>
          </cell>
        </row>
        <row r="15764">
          <cell r="D15764" t="str">
            <v>BC5337100-105R001</v>
          </cell>
          <cell r="E15764" t="str">
            <v>中受剪接头</v>
          </cell>
        </row>
        <row r="15765">
          <cell r="D15765" t="str">
            <v>BC5337100-105R001</v>
          </cell>
          <cell r="E15765" t="str">
            <v>中受剪接头</v>
          </cell>
        </row>
        <row r="15766">
          <cell r="D15766" t="str">
            <v>BC5337100-106R001</v>
          </cell>
          <cell r="E15766" t="str">
            <v>下受剪接头</v>
          </cell>
        </row>
        <row r="15767">
          <cell r="D15767" t="str">
            <v>BC5337100-106R001</v>
          </cell>
          <cell r="E15767" t="str">
            <v>下受剪接头</v>
          </cell>
        </row>
        <row r="15768">
          <cell r="D15768" t="str">
            <v>BC5337100-107R001</v>
          </cell>
          <cell r="E15768" t="str">
            <v>上边条受剪接头</v>
          </cell>
        </row>
        <row r="15769">
          <cell r="D15769" t="str">
            <v>BC5337100-107R001</v>
          </cell>
          <cell r="E15769" t="str">
            <v>上边条受剪接头</v>
          </cell>
        </row>
        <row r="15770">
          <cell r="D15770" t="str">
            <v>BC5337100-107R001</v>
          </cell>
          <cell r="E15770" t="str">
            <v>上边条受剪接头</v>
          </cell>
        </row>
        <row r="15771">
          <cell r="D15771" t="str">
            <v>BC5337100-107R001</v>
          </cell>
          <cell r="E15771" t="str">
            <v>上边条受剪接头</v>
          </cell>
        </row>
        <row r="15772">
          <cell r="D15772" t="str">
            <v>BC5337100-107L001</v>
          </cell>
          <cell r="E15772" t="str">
            <v>上边条受剪接头</v>
          </cell>
        </row>
        <row r="15773">
          <cell r="D15773" t="str">
            <v>BC5337100-107L001</v>
          </cell>
          <cell r="E15773" t="str">
            <v>上边条受剪接头</v>
          </cell>
        </row>
        <row r="15774">
          <cell r="D15774" t="str">
            <v>BC5337100-107L001</v>
          </cell>
          <cell r="E15774" t="str">
            <v>上边条受剪接头</v>
          </cell>
        </row>
        <row r="15775">
          <cell r="D15775" t="str">
            <v>BC5337100-107L001</v>
          </cell>
          <cell r="E15775" t="str">
            <v>上边条受剪接头</v>
          </cell>
        </row>
        <row r="15776">
          <cell r="D15776" t="str">
            <v>BC5337100-101L001</v>
          </cell>
          <cell r="E15776" t="str">
            <v>上受拉接头</v>
          </cell>
        </row>
        <row r="15777">
          <cell r="D15777" t="str">
            <v>BC5337100-101L001</v>
          </cell>
          <cell r="E15777" t="str">
            <v>上受拉接头</v>
          </cell>
        </row>
        <row r="15778">
          <cell r="D15778" t="str">
            <v>BC5337100-101L001</v>
          </cell>
          <cell r="E15778" t="str">
            <v>上受拉接头</v>
          </cell>
        </row>
        <row r="15779">
          <cell r="D15779" t="str">
            <v>BC5337100-101L001</v>
          </cell>
          <cell r="E15779" t="str">
            <v>上受拉接头</v>
          </cell>
        </row>
        <row r="15780">
          <cell r="D15780" t="str">
            <v>BC5337100-101L001</v>
          </cell>
          <cell r="E15780" t="str">
            <v>上受拉接头</v>
          </cell>
        </row>
        <row r="15781">
          <cell r="D15781" t="str">
            <v>BC5337100-101L001</v>
          </cell>
          <cell r="E15781" t="str">
            <v>上受拉接头</v>
          </cell>
        </row>
        <row r="15782">
          <cell r="D15782" t="str">
            <v>BC5337100-101L001</v>
          </cell>
          <cell r="E15782" t="str">
            <v>上受拉接头</v>
          </cell>
        </row>
        <row r="15783">
          <cell r="D15783" t="str">
            <v>BC5337100-101L001</v>
          </cell>
          <cell r="E15783" t="str">
            <v>上受拉接头</v>
          </cell>
        </row>
        <row r="15784">
          <cell r="D15784" t="str">
            <v>BC5337100-101L001</v>
          </cell>
          <cell r="E15784" t="str">
            <v>上受拉接头</v>
          </cell>
        </row>
        <row r="15785">
          <cell r="D15785" t="str">
            <v>BC5337100-101L001</v>
          </cell>
          <cell r="E15785" t="str">
            <v>上受拉接头</v>
          </cell>
        </row>
        <row r="15786">
          <cell r="D15786" t="str">
            <v>BC5337100-101L001</v>
          </cell>
          <cell r="E15786" t="str">
            <v>上受拉接头</v>
          </cell>
        </row>
        <row r="15787">
          <cell r="D15787" t="str">
            <v>BC5337100-101L001</v>
          </cell>
          <cell r="E15787" t="str">
            <v>上受拉接头</v>
          </cell>
        </row>
        <row r="15788">
          <cell r="D15788" t="str">
            <v>BC5337100-102L001</v>
          </cell>
          <cell r="E15788" t="str">
            <v>中受拉接头</v>
          </cell>
        </row>
        <row r="15789">
          <cell r="D15789" t="str">
            <v>BC5337100-102L001</v>
          </cell>
          <cell r="E15789" t="str">
            <v>中受拉接头</v>
          </cell>
        </row>
        <row r="15790">
          <cell r="D15790" t="str">
            <v>BC5337100-102L001</v>
          </cell>
          <cell r="E15790" t="str">
            <v>中受拉接头</v>
          </cell>
        </row>
        <row r="15791">
          <cell r="D15791" t="str">
            <v>BC5337100-102L001</v>
          </cell>
          <cell r="E15791" t="str">
            <v>中受拉接头</v>
          </cell>
        </row>
        <row r="15792">
          <cell r="D15792" t="str">
            <v>BC5337100-102L001</v>
          </cell>
          <cell r="E15792" t="str">
            <v>中受拉接头</v>
          </cell>
        </row>
        <row r="15793">
          <cell r="D15793" t="str">
            <v>BC5337100-102L001</v>
          </cell>
          <cell r="E15793" t="str">
            <v>中受拉接头</v>
          </cell>
        </row>
        <row r="15794">
          <cell r="D15794" t="str">
            <v>BC5337100-102L001</v>
          </cell>
          <cell r="E15794" t="str">
            <v>中受拉接头</v>
          </cell>
        </row>
        <row r="15795">
          <cell r="D15795" t="str">
            <v>BC5337100-102L001</v>
          </cell>
          <cell r="E15795" t="str">
            <v>中受拉接头</v>
          </cell>
        </row>
        <row r="15796">
          <cell r="D15796" t="str">
            <v>BC5337100-102L001</v>
          </cell>
          <cell r="E15796" t="str">
            <v>中受拉接头</v>
          </cell>
        </row>
        <row r="15797">
          <cell r="D15797" t="str">
            <v>BC5337100-102L001</v>
          </cell>
          <cell r="E15797" t="str">
            <v>中受拉接头</v>
          </cell>
        </row>
        <row r="15798">
          <cell r="D15798" t="str">
            <v>BC5337100-102L001</v>
          </cell>
          <cell r="E15798" t="str">
            <v>中受拉接头</v>
          </cell>
        </row>
        <row r="15799">
          <cell r="D15799" t="str">
            <v>BC5337100-102L001</v>
          </cell>
          <cell r="E15799" t="str">
            <v>中受拉接头</v>
          </cell>
        </row>
        <row r="15800">
          <cell r="D15800" t="str">
            <v>BC5337100-103L001</v>
          </cell>
          <cell r="E15800" t="str">
            <v>下受拉接头</v>
          </cell>
        </row>
        <row r="15801">
          <cell r="D15801" t="str">
            <v>BC5337100-103L001</v>
          </cell>
          <cell r="E15801" t="str">
            <v>下受拉接头</v>
          </cell>
        </row>
        <row r="15802">
          <cell r="D15802" t="str">
            <v>BC5337100-103L001</v>
          </cell>
          <cell r="E15802" t="str">
            <v>下受拉接头</v>
          </cell>
        </row>
        <row r="15803">
          <cell r="D15803" t="str">
            <v>BC5337100-103L001</v>
          </cell>
          <cell r="E15803" t="str">
            <v>下受拉接头</v>
          </cell>
        </row>
        <row r="15804">
          <cell r="D15804" t="str">
            <v>BC5337100-103L001</v>
          </cell>
          <cell r="E15804" t="str">
            <v>下受拉接头</v>
          </cell>
        </row>
        <row r="15805">
          <cell r="D15805" t="str">
            <v>BC5337100-103L001</v>
          </cell>
          <cell r="E15805" t="str">
            <v>下受拉接头</v>
          </cell>
        </row>
        <row r="15806">
          <cell r="D15806" t="str">
            <v>BC5337100-103L001</v>
          </cell>
          <cell r="E15806" t="str">
            <v>下受拉接头</v>
          </cell>
        </row>
        <row r="15807">
          <cell r="D15807" t="str">
            <v>BC5337100-103L001</v>
          </cell>
          <cell r="E15807" t="str">
            <v>下受拉接头</v>
          </cell>
        </row>
        <row r="15808">
          <cell r="D15808" t="str">
            <v>BC5337100-103L001</v>
          </cell>
          <cell r="E15808" t="str">
            <v>下受拉接头</v>
          </cell>
        </row>
        <row r="15809">
          <cell r="D15809" t="str">
            <v>BC5337100-103L001</v>
          </cell>
          <cell r="E15809" t="str">
            <v>下受拉接头</v>
          </cell>
        </row>
        <row r="15810">
          <cell r="D15810" t="str">
            <v>BC5337100-103L001</v>
          </cell>
          <cell r="E15810" t="str">
            <v>下受拉接头</v>
          </cell>
        </row>
        <row r="15811">
          <cell r="D15811" t="str">
            <v>BC5337100-103L001</v>
          </cell>
          <cell r="E15811" t="str">
            <v>下受拉接头</v>
          </cell>
        </row>
        <row r="15812">
          <cell r="D15812" t="str">
            <v>DD-J10B-77101-963</v>
          </cell>
          <cell r="E15812" t="str">
            <v>卡箍扣</v>
          </cell>
        </row>
        <row r="15813">
          <cell r="D15813" t="str">
            <v>DD-J10B-77101-963</v>
          </cell>
          <cell r="E15813" t="str">
            <v>卡箍扣</v>
          </cell>
        </row>
        <row r="15814">
          <cell r="D15814" t="str">
            <v>DD-J10-25002-1-Y</v>
          </cell>
          <cell r="E15814" t="str">
            <v>第3肋</v>
          </cell>
        </row>
        <row r="15815">
          <cell r="D15815" t="str">
            <v>DD-J10-25002-1-Z</v>
          </cell>
          <cell r="E15815" t="str">
            <v>第3肋</v>
          </cell>
        </row>
        <row r="15816">
          <cell r="D15816" t="str">
            <v>DD-J10-21102-554-Z</v>
          </cell>
          <cell r="E15816" t="str">
            <v>1780肋四段（左件）</v>
          </cell>
        </row>
        <row r="15817">
          <cell r="D15817" t="str">
            <v>DD-J10-21102-554-Z</v>
          </cell>
          <cell r="E15817" t="str">
            <v>1780肋四段（左件）</v>
          </cell>
        </row>
        <row r="15818">
          <cell r="D15818" t="str">
            <v>DD-J10-21102-554-Y</v>
          </cell>
          <cell r="E15818" t="str">
            <v>1780肋四段（右件）</v>
          </cell>
        </row>
        <row r="15819">
          <cell r="D15819" t="str">
            <v>DD-J10-21102-555-Y</v>
          </cell>
          <cell r="E15819" t="str">
            <v>1780肋五段（右件）</v>
          </cell>
        </row>
        <row r="15820">
          <cell r="D15820" t="str">
            <v>DD-J10-21102-555-Y</v>
          </cell>
          <cell r="E15820" t="str">
            <v>1780肋五段（右件）</v>
          </cell>
        </row>
        <row r="15821">
          <cell r="D15821" t="str">
            <v>DD-J10-21102-555-Z</v>
          </cell>
          <cell r="E15821" t="str">
            <v>1780肋五段（左件）</v>
          </cell>
        </row>
        <row r="15822">
          <cell r="D15822" t="str">
            <v>DD-J10-21102-555-Z</v>
          </cell>
          <cell r="E15822" t="str">
            <v>1780肋五段（左件）</v>
          </cell>
        </row>
        <row r="15823">
          <cell r="D15823" t="str">
            <v>CB5315130-002R001</v>
          </cell>
          <cell r="E15823" t="str">
            <v>6940框内段</v>
          </cell>
        </row>
        <row r="15824">
          <cell r="D15824" t="str">
            <v>CB5315130-002L001</v>
          </cell>
          <cell r="E15824" t="str">
            <v>6940框内段</v>
          </cell>
        </row>
        <row r="15825">
          <cell r="D15825" t="str">
            <v>CB5822016-034R001</v>
          </cell>
          <cell r="E15825" t="str">
            <v>角片</v>
          </cell>
        </row>
        <row r="15826">
          <cell r="D15826" t="str">
            <v>CB5822016-034R001</v>
          </cell>
          <cell r="E15826" t="str">
            <v>角片</v>
          </cell>
        </row>
        <row r="15827">
          <cell r="D15827" t="str">
            <v>CB5822016-034R001</v>
          </cell>
          <cell r="E15827" t="str">
            <v>角片</v>
          </cell>
        </row>
        <row r="15828">
          <cell r="D15828" t="str">
            <v>CB5822016-034R001</v>
          </cell>
          <cell r="E15828" t="str">
            <v>角片</v>
          </cell>
        </row>
        <row r="15829">
          <cell r="D15829" t="str">
            <v>CB5822016-034R001</v>
          </cell>
          <cell r="E15829" t="str">
            <v>角片</v>
          </cell>
        </row>
        <row r="15830">
          <cell r="D15830" t="str">
            <v>CB5822016-034L001</v>
          </cell>
          <cell r="E15830" t="str">
            <v>角片</v>
          </cell>
        </row>
        <row r="15831">
          <cell r="D15831" t="str">
            <v>CB5822016-034L001</v>
          </cell>
          <cell r="E15831" t="str">
            <v>角片</v>
          </cell>
        </row>
        <row r="15832">
          <cell r="D15832" t="str">
            <v>CB5822016-034L001</v>
          </cell>
          <cell r="E15832" t="str">
            <v>角片</v>
          </cell>
        </row>
        <row r="15833">
          <cell r="D15833" t="str">
            <v>CB5822016-034L001</v>
          </cell>
          <cell r="E15833" t="str">
            <v>角片</v>
          </cell>
        </row>
        <row r="15834">
          <cell r="D15834" t="str">
            <v>CB5822016-034L001</v>
          </cell>
          <cell r="E15834" t="str">
            <v>角片</v>
          </cell>
        </row>
        <row r="15835">
          <cell r="D15835" t="str">
            <v>CB5315120-002L001</v>
          </cell>
          <cell r="E15835" t="str">
            <v>6820框内段</v>
          </cell>
        </row>
        <row r="15836">
          <cell r="D15836" t="str">
            <v>CB5315120-002L001</v>
          </cell>
          <cell r="E15836" t="str">
            <v>6820框内段</v>
          </cell>
        </row>
        <row r="15837">
          <cell r="D15837" t="str">
            <v>CB5315120-002R001</v>
          </cell>
          <cell r="E15837" t="str">
            <v>6820框内段</v>
          </cell>
        </row>
        <row r="15838">
          <cell r="D15838" t="str">
            <v>CB5315120-002R001</v>
          </cell>
          <cell r="E15838" t="str">
            <v>6820框内段</v>
          </cell>
        </row>
        <row r="15839">
          <cell r="D15839" t="str">
            <v>CB5315190-002R001</v>
          </cell>
          <cell r="E15839" t="str">
            <v>WL-600地板梁</v>
          </cell>
        </row>
        <row r="15840">
          <cell r="D15840" t="str">
            <v>CB5315190-002R001</v>
          </cell>
          <cell r="E15840" t="str">
            <v>WL-600地板梁</v>
          </cell>
        </row>
        <row r="15841">
          <cell r="D15841" t="str">
            <v>CB5315190-002R001</v>
          </cell>
          <cell r="E15841" t="str">
            <v>WL-600地板梁</v>
          </cell>
        </row>
        <row r="15842">
          <cell r="D15842" t="str">
            <v>CB5315190-002R001</v>
          </cell>
          <cell r="E15842" t="str">
            <v>WL-600地板梁</v>
          </cell>
        </row>
        <row r="15843">
          <cell r="D15843" t="str">
            <v>CB5315190-002R001</v>
          </cell>
          <cell r="E15843" t="str">
            <v>WL-600地板梁</v>
          </cell>
        </row>
        <row r="15844">
          <cell r="D15844" t="str">
            <v>CB5315190-002R001</v>
          </cell>
          <cell r="E15844" t="str">
            <v>WL-600地板梁</v>
          </cell>
        </row>
        <row r="15845">
          <cell r="D15845" t="str">
            <v>CB5315190-002L001</v>
          </cell>
          <cell r="E15845" t="str">
            <v>WL-600地板梁</v>
          </cell>
        </row>
        <row r="15846">
          <cell r="D15846" t="str">
            <v>CB5315190-002L001</v>
          </cell>
          <cell r="E15846" t="str">
            <v>WL-600地板梁</v>
          </cell>
        </row>
        <row r="15847">
          <cell r="D15847" t="str">
            <v>CB5315190-002L001</v>
          </cell>
          <cell r="E15847" t="str">
            <v>WL-600地板梁</v>
          </cell>
        </row>
        <row r="15848">
          <cell r="D15848" t="str">
            <v>CB5315190-002L001</v>
          </cell>
          <cell r="E15848" t="str">
            <v>WL-600地板梁</v>
          </cell>
        </row>
        <row r="15849">
          <cell r="D15849" t="str">
            <v>CB5315190-002L001</v>
          </cell>
          <cell r="E15849" t="str">
            <v>WL-600地板梁</v>
          </cell>
        </row>
        <row r="15850">
          <cell r="D15850" t="str">
            <v>CB5315190-002L001</v>
          </cell>
          <cell r="E15850" t="str">
            <v>WL-600地板梁</v>
          </cell>
        </row>
        <row r="15851">
          <cell r="D15851" t="str">
            <v>DD-J10B-02111-2-Y</v>
          </cell>
          <cell r="E15851" t="str">
            <v>角盒</v>
          </cell>
        </row>
        <row r="15852">
          <cell r="D15852" t="str">
            <v>DD-J10B-02111-2-Z</v>
          </cell>
          <cell r="E15852" t="str">
            <v>角盒</v>
          </cell>
        </row>
        <row r="15853">
          <cell r="D15853" t="str">
            <v>CB5714100-002R003</v>
          </cell>
          <cell r="E15853" t="str">
            <v>根肋二段</v>
          </cell>
        </row>
        <row r="15854">
          <cell r="D15854" t="str">
            <v>CB5714100-002R003</v>
          </cell>
          <cell r="E15854" t="str">
            <v>根肋二段</v>
          </cell>
        </row>
        <row r="15855">
          <cell r="D15855" t="str">
            <v>CB5522200-020L001</v>
          </cell>
          <cell r="E15855" t="str">
            <v>实心块</v>
          </cell>
        </row>
        <row r="15856">
          <cell r="D15856" t="str">
            <v>CB5522200-020L001</v>
          </cell>
          <cell r="E15856" t="str">
            <v>实心块</v>
          </cell>
        </row>
        <row r="15857">
          <cell r="D15857" t="str">
            <v>CB5522200-020L001</v>
          </cell>
          <cell r="E15857" t="str">
            <v>实心块</v>
          </cell>
        </row>
        <row r="15858">
          <cell r="D15858" t="str">
            <v>CB5522200-020L001</v>
          </cell>
          <cell r="E15858" t="str">
            <v>实心块</v>
          </cell>
        </row>
        <row r="15859">
          <cell r="D15859" t="str">
            <v>CB5522200-020R001</v>
          </cell>
          <cell r="E15859" t="str">
            <v>实心块</v>
          </cell>
        </row>
        <row r="15860">
          <cell r="D15860" t="str">
            <v>CB5522200-020R001</v>
          </cell>
          <cell r="E15860" t="str">
            <v>实心块</v>
          </cell>
        </row>
        <row r="15861">
          <cell r="D15861" t="str">
            <v>CB5522200-020R001</v>
          </cell>
          <cell r="E15861" t="str">
            <v>实心块</v>
          </cell>
        </row>
        <row r="15862">
          <cell r="D15862" t="str">
            <v>CB5522200-020R001</v>
          </cell>
          <cell r="E15862" t="str">
            <v>实心块</v>
          </cell>
        </row>
        <row r="15863">
          <cell r="D15863" t="str">
            <v>CB5742000-202R001</v>
          </cell>
          <cell r="E15863" t="str">
            <v>前梁二段</v>
          </cell>
        </row>
        <row r="15864">
          <cell r="D15864" t="str">
            <v>CB5742000-202R001</v>
          </cell>
          <cell r="E15864" t="str">
            <v>前梁二段</v>
          </cell>
        </row>
        <row r="15865">
          <cell r="D15865" t="str">
            <v>CB5742000-202R001</v>
          </cell>
          <cell r="E15865" t="str">
            <v>前梁二段</v>
          </cell>
        </row>
        <row r="15866">
          <cell r="D15866" t="str">
            <v>CB5742000-202R001</v>
          </cell>
          <cell r="E15866" t="str">
            <v>前梁二段</v>
          </cell>
        </row>
        <row r="15867">
          <cell r="D15867" t="str">
            <v>CB5742000-202R001</v>
          </cell>
          <cell r="E15867" t="str">
            <v>前梁二段</v>
          </cell>
        </row>
        <row r="15868">
          <cell r="D15868" t="str">
            <v>CB5742000-202R001</v>
          </cell>
          <cell r="E15868" t="str">
            <v>前梁二段</v>
          </cell>
        </row>
        <row r="15869">
          <cell r="D15869" t="str">
            <v>CB5742000-202R001</v>
          </cell>
          <cell r="E15869" t="str">
            <v>前梁二段</v>
          </cell>
        </row>
        <row r="15870">
          <cell r="D15870" t="str">
            <v>CB5742000-202R001</v>
          </cell>
          <cell r="E15870" t="str">
            <v>前梁二段</v>
          </cell>
        </row>
        <row r="15871">
          <cell r="D15871" t="str">
            <v>CB5742000-202R001</v>
          </cell>
          <cell r="E15871" t="str">
            <v>前梁二段</v>
          </cell>
        </row>
        <row r="15872">
          <cell r="D15872" t="str">
            <v>CB5742000-202R001</v>
          </cell>
          <cell r="E15872" t="str">
            <v>前梁二段</v>
          </cell>
        </row>
        <row r="15873">
          <cell r="D15873" t="str">
            <v>CB5742000-202R001</v>
          </cell>
          <cell r="E15873" t="str">
            <v>前梁二段</v>
          </cell>
        </row>
        <row r="15874">
          <cell r="D15874" t="str">
            <v>CB5742000-202L001</v>
          </cell>
          <cell r="E15874" t="str">
            <v>前梁二段</v>
          </cell>
        </row>
        <row r="15875">
          <cell r="D15875" t="str">
            <v>CB5742000-202L001</v>
          </cell>
          <cell r="E15875" t="str">
            <v>前梁二段</v>
          </cell>
        </row>
        <row r="15876">
          <cell r="D15876" t="str">
            <v>CB5742000-202L001</v>
          </cell>
          <cell r="E15876" t="str">
            <v>前梁二段</v>
          </cell>
        </row>
        <row r="15877">
          <cell r="D15877" t="str">
            <v>CB5742000-202L001</v>
          </cell>
          <cell r="E15877" t="str">
            <v>前梁二段</v>
          </cell>
        </row>
        <row r="15878">
          <cell r="D15878" t="str">
            <v>CB5742000-202L001</v>
          </cell>
          <cell r="E15878" t="str">
            <v>前梁二段</v>
          </cell>
        </row>
        <row r="15879">
          <cell r="D15879" t="str">
            <v>CB5742000-202L001</v>
          </cell>
          <cell r="E15879" t="str">
            <v>前梁二段</v>
          </cell>
        </row>
        <row r="15880">
          <cell r="D15880" t="str">
            <v>CB5742000-202L001</v>
          </cell>
          <cell r="E15880" t="str">
            <v>前梁二段</v>
          </cell>
        </row>
        <row r="15881">
          <cell r="D15881" t="str">
            <v>CB5742000-202L001</v>
          </cell>
          <cell r="E15881" t="str">
            <v>前梁二段</v>
          </cell>
        </row>
        <row r="15882">
          <cell r="D15882" t="str">
            <v>CB5742000-202L001</v>
          </cell>
          <cell r="E15882" t="str">
            <v>前梁二段</v>
          </cell>
        </row>
        <row r="15883">
          <cell r="D15883" t="str">
            <v>CB5742000-202L001</v>
          </cell>
          <cell r="E15883" t="str">
            <v>前梁二段</v>
          </cell>
        </row>
        <row r="15884">
          <cell r="D15884" t="str">
            <v>CB5742000-202L001</v>
          </cell>
          <cell r="E15884" t="str">
            <v>前梁二段</v>
          </cell>
        </row>
        <row r="15885">
          <cell r="D15885" t="str">
            <v>DD-J10-21102-390-1-Y</v>
          </cell>
          <cell r="E15885" t="str">
            <v>1150肋九段</v>
          </cell>
        </row>
        <row r="15886">
          <cell r="D15886" t="str">
            <v>DD-J10-21102-390-1-Y</v>
          </cell>
          <cell r="E15886" t="str">
            <v>1150肋九段</v>
          </cell>
        </row>
        <row r="15887">
          <cell r="D15887" t="str">
            <v>CB2297011-002-001</v>
          </cell>
          <cell r="E15887" t="str">
            <v>支架</v>
          </cell>
        </row>
        <row r="15888">
          <cell r="D15888" t="str">
            <v>CB2298611-001-001</v>
          </cell>
          <cell r="E15888" t="str">
            <v>支架</v>
          </cell>
        </row>
        <row r="15889">
          <cell r="D15889" t="str">
            <v>CB2298612-001-001</v>
          </cell>
          <cell r="E15889" t="str">
            <v>支架</v>
          </cell>
        </row>
        <row r="15890">
          <cell r="D15890" t="str">
            <v>CB2298612-001-001</v>
          </cell>
          <cell r="E15890" t="str">
            <v>支架</v>
          </cell>
        </row>
        <row r="15891">
          <cell r="D15891" t="str">
            <v>CB2297012-001-001</v>
          </cell>
          <cell r="E15891" t="str">
            <v>支架</v>
          </cell>
        </row>
        <row r="15892">
          <cell r="D15892" t="str">
            <v>CB2297011-001-001</v>
          </cell>
          <cell r="E15892" t="str">
            <v>支架</v>
          </cell>
        </row>
        <row r="15893">
          <cell r="D15893" t="str">
            <v>CB5327120-002R033</v>
          </cell>
          <cell r="E15893" t="str">
            <v>8120侧隔框</v>
          </cell>
        </row>
        <row r="15894">
          <cell r="D15894" t="str">
            <v>CB5327120-002R033</v>
          </cell>
          <cell r="E15894" t="str">
            <v>8120侧隔框</v>
          </cell>
        </row>
        <row r="15895">
          <cell r="D15895" t="str">
            <v>CB5327120-002L033</v>
          </cell>
          <cell r="E15895" t="str">
            <v>8120侧隔框</v>
          </cell>
        </row>
        <row r="15896">
          <cell r="D15896" t="str">
            <v>CB5314300-025-003</v>
          </cell>
          <cell r="E15896" t="str">
            <v>蒙皮加强件</v>
          </cell>
        </row>
        <row r="15897">
          <cell r="D15897" t="str">
            <v>CB2297031-001-001</v>
          </cell>
          <cell r="E15897" t="str">
            <v>支架</v>
          </cell>
        </row>
        <row r="15898">
          <cell r="D15898" t="str">
            <v>CB2297032-001-001</v>
          </cell>
          <cell r="E15898" t="str">
            <v>支架</v>
          </cell>
        </row>
        <row r="15899">
          <cell r="D15899" t="str">
            <v>CB2298091-001-001</v>
          </cell>
          <cell r="E15899" t="str">
            <v>支架</v>
          </cell>
        </row>
        <row r="15900">
          <cell r="D15900" t="str">
            <v>CB2294440-005-001</v>
          </cell>
          <cell r="E15900" t="str">
            <v>支架</v>
          </cell>
        </row>
        <row r="15901">
          <cell r="D15901" t="str">
            <v>CB5315191-012L003</v>
          </cell>
          <cell r="E15901" t="str">
            <v>进气下侧壁</v>
          </cell>
        </row>
        <row r="15902">
          <cell r="D15902" t="str">
            <v>CB22921L3-001-003</v>
          </cell>
          <cell r="E15902" t="str">
            <v>支座</v>
          </cell>
        </row>
        <row r="15903">
          <cell r="D15903" t="str">
            <v>CB5324320-004L006</v>
          </cell>
          <cell r="E15903" t="str">
            <v>侧下支持件</v>
          </cell>
        </row>
        <row r="15904">
          <cell r="D15904" t="str">
            <v>BC5711304-001L002</v>
          </cell>
          <cell r="E15904" t="str">
            <v>口盖</v>
          </cell>
        </row>
        <row r="15905">
          <cell r="D15905" t="str">
            <v>BC5711304-001R002</v>
          </cell>
          <cell r="E15905" t="str">
            <v>口盖</v>
          </cell>
        </row>
        <row r="15906">
          <cell r="D15906" t="str">
            <v>DD-J10B-02041-2-Y</v>
          </cell>
          <cell r="E15906" t="str">
            <v>前上大梁（右）</v>
          </cell>
        </row>
        <row r="15907">
          <cell r="D15907" t="str">
            <v>DD-J10B-02041-2-Y</v>
          </cell>
          <cell r="E15907" t="str">
            <v>前上大梁（右）</v>
          </cell>
        </row>
        <row r="15908">
          <cell r="D15908" t="str">
            <v>CB5324321-010-006</v>
          </cell>
          <cell r="E15908" t="str">
            <v>加强件</v>
          </cell>
        </row>
        <row r="15909">
          <cell r="D15909" t="str">
            <v>CB5324321-010-006</v>
          </cell>
          <cell r="E15909" t="str">
            <v>加强件</v>
          </cell>
        </row>
        <row r="15910">
          <cell r="D15910" t="str">
            <v>CB5324310-016-006</v>
          </cell>
          <cell r="E15910" t="str">
            <v>带板</v>
          </cell>
        </row>
        <row r="15911">
          <cell r="D15911" t="str">
            <v>CB5324310-016-006</v>
          </cell>
          <cell r="E15911" t="str">
            <v>带板</v>
          </cell>
        </row>
        <row r="15912">
          <cell r="D15912" t="str">
            <v>CB3014944-001-002</v>
          </cell>
          <cell r="E15912" t="str">
            <v>左后垂直操纵台面板</v>
          </cell>
        </row>
        <row r="15913">
          <cell r="D15913" t="str">
            <v>CB3014944-001-002</v>
          </cell>
          <cell r="E15913" t="str">
            <v>左后垂直操纵台面板</v>
          </cell>
        </row>
        <row r="15914">
          <cell r="D15914" t="str">
            <v>CB3014944-001-002</v>
          </cell>
          <cell r="E15914" t="str">
            <v>左后垂直操纵台面板</v>
          </cell>
        </row>
        <row r="15915">
          <cell r="D15915" t="str">
            <v>CB3014944-001-002</v>
          </cell>
          <cell r="E15915" t="str">
            <v>左后垂直操纵台面板</v>
          </cell>
        </row>
        <row r="15916">
          <cell r="D15916" t="str">
            <v>BC3012110-006-001</v>
          </cell>
          <cell r="E15916" t="str">
            <v>显示器托架</v>
          </cell>
        </row>
        <row r="15917">
          <cell r="D15917" t="str">
            <v>CB5315191-014R004</v>
          </cell>
          <cell r="E15917" t="str">
            <v>排气下侧壁</v>
          </cell>
        </row>
        <row r="15918">
          <cell r="D15918" t="str">
            <v>CB5327120-002L033</v>
          </cell>
          <cell r="E15918" t="str">
            <v>8120侧隔框</v>
          </cell>
        </row>
        <row r="15919">
          <cell r="D15919" t="str">
            <v>CB5327120-002L033</v>
          </cell>
          <cell r="E15919" t="str">
            <v>8120侧隔框</v>
          </cell>
        </row>
        <row r="15920">
          <cell r="D15920" t="str">
            <v>CB5314300-025-003</v>
          </cell>
          <cell r="E15920" t="str">
            <v>蒙皮加强件</v>
          </cell>
        </row>
        <row r="15921">
          <cell r="D15921" t="str">
            <v>CB2292112-003-001</v>
          </cell>
          <cell r="E15921" t="str">
            <v>小轴</v>
          </cell>
        </row>
        <row r="15922">
          <cell r="D15922" t="str">
            <v>DD-J10B-02041-202G2</v>
          </cell>
          <cell r="E15922" t="str">
            <v>地板</v>
          </cell>
        </row>
        <row r="15923">
          <cell r="D15923" t="str">
            <v>DD-J10B-02041-202G2</v>
          </cell>
          <cell r="E15923" t="str">
            <v>地板</v>
          </cell>
        </row>
        <row r="15924">
          <cell r="D15924" t="str">
            <v>DD-J10B-02041-202G2</v>
          </cell>
          <cell r="E15924" t="str">
            <v>地板</v>
          </cell>
        </row>
        <row r="15925">
          <cell r="D15925" t="str">
            <v>CB5327220-002L002</v>
          </cell>
          <cell r="E15925" t="str">
            <v>型材</v>
          </cell>
        </row>
        <row r="15926">
          <cell r="D15926" t="str">
            <v>CB5327220-002L002</v>
          </cell>
          <cell r="E15926" t="str">
            <v>型材</v>
          </cell>
        </row>
        <row r="15927">
          <cell r="D15927" t="str">
            <v>CB5327220-002L002</v>
          </cell>
          <cell r="E15927" t="str">
            <v>型材</v>
          </cell>
        </row>
        <row r="15928">
          <cell r="D15928" t="str">
            <v>CB5327220-002R002</v>
          </cell>
          <cell r="E15928" t="str">
            <v>型材</v>
          </cell>
        </row>
        <row r="15929">
          <cell r="D15929" t="str">
            <v>CB5327220-002R002</v>
          </cell>
          <cell r="E15929" t="str">
            <v>型材</v>
          </cell>
        </row>
        <row r="15930">
          <cell r="D15930" t="str">
            <v>CB5327220-002R002</v>
          </cell>
          <cell r="E15930" t="str">
            <v>型材</v>
          </cell>
        </row>
        <row r="15931">
          <cell r="D15931" t="str">
            <v>DD-J10B-02121-1AG2-Y</v>
          </cell>
          <cell r="E15931" t="str">
            <v>BL280侧壁（右件）</v>
          </cell>
        </row>
        <row r="15932">
          <cell r="D15932" t="str">
            <v>DD-J10B-02121-1AG2-Y</v>
          </cell>
          <cell r="E15932" t="str">
            <v>BL280侧壁（右件）</v>
          </cell>
        </row>
        <row r="15933">
          <cell r="D15933" t="str">
            <v>DD-J10B-02121-1AG2-Y</v>
          </cell>
          <cell r="E15933" t="str">
            <v>BL280侧壁（右件）</v>
          </cell>
        </row>
        <row r="15934">
          <cell r="D15934" t="str">
            <v>DD-J10S-02121-3-Y</v>
          </cell>
          <cell r="E15934" t="str">
            <v>助力器边梁（右件）</v>
          </cell>
        </row>
        <row r="15935">
          <cell r="D15935" t="str">
            <v>DD-J10S-02121-3-Y</v>
          </cell>
          <cell r="E15935" t="str">
            <v>助力器边梁（右件）</v>
          </cell>
        </row>
        <row r="15936">
          <cell r="D15936" t="str">
            <v>DD-J10S-02121-3-Y</v>
          </cell>
          <cell r="E15936" t="str">
            <v>助力器边梁（右件）</v>
          </cell>
        </row>
        <row r="15937">
          <cell r="D15937" t="str">
            <v>DD-J10S-02121-3-Y</v>
          </cell>
          <cell r="E15937" t="str">
            <v>助力器边梁（右件）</v>
          </cell>
        </row>
        <row r="15938">
          <cell r="D15938" t="str">
            <v>CB5326200-131L002</v>
          </cell>
          <cell r="E15938" t="str">
            <v>8455 4号加强筋</v>
          </cell>
        </row>
        <row r="15939">
          <cell r="D15939" t="str">
            <v>CB5326200-131L002</v>
          </cell>
          <cell r="E15939" t="str">
            <v>8455 4号加强筋</v>
          </cell>
        </row>
        <row r="15940">
          <cell r="D15940" t="str">
            <v>CB5326200-131L002</v>
          </cell>
          <cell r="E15940" t="str">
            <v>8455 4号加强筋</v>
          </cell>
        </row>
        <row r="15941">
          <cell r="D15941" t="str">
            <v>CB5326200-131R002</v>
          </cell>
          <cell r="E15941" t="str">
            <v>8455 4号加强筋</v>
          </cell>
        </row>
        <row r="15942">
          <cell r="D15942" t="str">
            <v>CB5326200-131R002</v>
          </cell>
          <cell r="E15942" t="str">
            <v>8455 4号加强筋</v>
          </cell>
        </row>
        <row r="15943">
          <cell r="D15943" t="str">
            <v>CB5326200-131R002</v>
          </cell>
          <cell r="E15943" t="str">
            <v>8455 4号加强筋</v>
          </cell>
        </row>
        <row r="15944">
          <cell r="D15944" t="str">
            <v>CB5326200-133L002</v>
          </cell>
          <cell r="E15944" t="str">
            <v>8815 4号加强筋</v>
          </cell>
        </row>
        <row r="15945">
          <cell r="D15945" t="str">
            <v>CB5326200-133L002</v>
          </cell>
          <cell r="E15945" t="str">
            <v>8815 4号加强筋</v>
          </cell>
        </row>
        <row r="15946">
          <cell r="D15946" t="str">
            <v>CB5326200-133L002</v>
          </cell>
          <cell r="E15946" t="str">
            <v>8815 4号加强筋</v>
          </cell>
        </row>
        <row r="15947">
          <cell r="D15947" t="str">
            <v>CB5326200-133L002</v>
          </cell>
          <cell r="E15947" t="str">
            <v>8815 4号加强筋</v>
          </cell>
        </row>
        <row r="15948">
          <cell r="D15948" t="str">
            <v>CB5326200-133R002</v>
          </cell>
          <cell r="E15948" t="str">
            <v>8815 4号加强筋</v>
          </cell>
        </row>
        <row r="15949">
          <cell r="D15949" t="str">
            <v>CB5326200-133R002</v>
          </cell>
          <cell r="E15949" t="str">
            <v>8815 4号加强筋</v>
          </cell>
        </row>
        <row r="15950">
          <cell r="D15950" t="str">
            <v>CB5326200-133R002</v>
          </cell>
          <cell r="E15950" t="str">
            <v>8815 4号加强筋</v>
          </cell>
        </row>
        <row r="15951">
          <cell r="D15951" t="str">
            <v>CB5326200-133R002</v>
          </cell>
          <cell r="E15951" t="str">
            <v>8815 4号加强筋</v>
          </cell>
        </row>
        <row r="15952">
          <cell r="D15952" t="str">
            <v>DD-J10B-55015-4203</v>
          </cell>
          <cell r="E15952" t="str">
            <v>接管嘴</v>
          </cell>
        </row>
        <row r="15953">
          <cell r="D15953" t="str">
            <v>DD-J10-55014-2143</v>
          </cell>
          <cell r="E15953" t="str">
            <v>三通管接头</v>
          </cell>
        </row>
        <row r="15954">
          <cell r="D15954" t="str">
            <v>DD-J10-55014-1401</v>
          </cell>
          <cell r="E15954" t="str">
            <v>管接头</v>
          </cell>
        </row>
        <row r="15955">
          <cell r="D15955" t="str">
            <v>DD-J10-55014-1401</v>
          </cell>
          <cell r="E15955" t="str">
            <v>管接头</v>
          </cell>
        </row>
        <row r="15956">
          <cell r="D15956" t="str">
            <v>DD-J10-55014-1102</v>
          </cell>
          <cell r="E15956" t="str">
            <v>管接头</v>
          </cell>
        </row>
        <row r="15957">
          <cell r="D15957" t="str">
            <v>DD-J10-55014-1102</v>
          </cell>
          <cell r="E15957" t="str">
            <v>管接头</v>
          </cell>
        </row>
        <row r="15958">
          <cell r="D15958" t="str">
            <v>CB5814000-002-001</v>
          </cell>
          <cell r="E15958" t="str">
            <v>前支架</v>
          </cell>
        </row>
        <row r="15959">
          <cell r="D15959" t="str">
            <v>DD-J10B-21302-40G2-1-Z</v>
          </cell>
          <cell r="E15959" t="str">
            <v>后梁四段</v>
          </cell>
        </row>
        <row r="15960">
          <cell r="D15960" t="str">
            <v>Y20-5316100332-001</v>
          </cell>
          <cell r="E15960" t="str">
            <v>滑轨横向件</v>
          </cell>
        </row>
        <row r="15961">
          <cell r="D15961" t="str">
            <v>Y20-5312100231-001</v>
          </cell>
          <cell r="E15961" t="str">
            <v>支座</v>
          </cell>
        </row>
        <row r="15962">
          <cell r="D15962" t="str">
            <v>Y20-5312100231-001</v>
          </cell>
          <cell r="E15962" t="str">
            <v>支座</v>
          </cell>
        </row>
        <row r="15963">
          <cell r="D15963" t="str">
            <v>Y20-5315200201-001</v>
          </cell>
          <cell r="E15963" t="str">
            <v>15框外缘角型接头</v>
          </cell>
        </row>
        <row r="15964">
          <cell r="D15964" t="str">
            <v>Y20-5316100415-001</v>
          </cell>
          <cell r="E15964" t="str">
            <v>加强件</v>
          </cell>
        </row>
        <row r="15965">
          <cell r="D15965" t="str">
            <v>Y20-5316100415-002</v>
          </cell>
          <cell r="E15965" t="str">
            <v>加强件</v>
          </cell>
        </row>
        <row r="15966">
          <cell r="D15966" t="str">
            <v>Y20-5315200047-001</v>
          </cell>
          <cell r="E15966" t="str">
            <v>十字锁柱盘</v>
          </cell>
        </row>
        <row r="15967">
          <cell r="D15967" t="str">
            <v>Y20-5315200047-002</v>
          </cell>
          <cell r="E15967" t="str">
            <v>十字锁柱盘</v>
          </cell>
        </row>
        <row r="15968">
          <cell r="D15968" t="str">
            <v>Y20-5312141002-001</v>
          </cell>
          <cell r="E15968" t="str">
            <v>衬套</v>
          </cell>
        </row>
        <row r="15969">
          <cell r="D15969" t="str">
            <v>Y20-5226300011-001</v>
          </cell>
          <cell r="E15969" t="str">
            <v>锁盒支撑角片</v>
          </cell>
        </row>
        <row r="15970">
          <cell r="D15970" t="str">
            <v>Y20-5226300011-001</v>
          </cell>
          <cell r="E15970" t="str">
            <v>锁盒支撑角片</v>
          </cell>
        </row>
        <row r="15971">
          <cell r="D15971" t="str">
            <v>Y20-5226300010-001</v>
          </cell>
          <cell r="E15971" t="str">
            <v>锁盒支撑角片</v>
          </cell>
        </row>
        <row r="15972">
          <cell r="D15972" t="str">
            <v>DD-J10B-55181-19</v>
          </cell>
          <cell r="E15972" t="str">
            <v>直通接头</v>
          </cell>
        </row>
        <row r="15973">
          <cell r="D15973" t="str">
            <v>DD-J10B-55181-19</v>
          </cell>
          <cell r="E15973" t="str">
            <v>直通接头</v>
          </cell>
        </row>
        <row r="15974">
          <cell r="D15974" t="str">
            <v>DD-J10-06031-302</v>
          </cell>
          <cell r="E15974" t="str">
            <v>支座</v>
          </cell>
        </row>
        <row r="15975">
          <cell r="D15975" t="str">
            <v>DD-J10-61031-801</v>
          </cell>
          <cell r="E15975" t="str">
            <v>直管接头</v>
          </cell>
        </row>
        <row r="15976">
          <cell r="D15976" t="str">
            <v>DD-J10-61031-801</v>
          </cell>
          <cell r="E15976" t="str">
            <v>直管接头</v>
          </cell>
        </row>
        <row r="15977">
          <cell r="D15977" t="str">
            <v>DD-J10-61031-801</v>
          </cell>
          <cell r="E15977" t="str">
            <v>直管接头</v>
          </cell>
        </row>
        <row r="15978">
          <cell r="D15978" t="str">
            <v>DD-J10-61001-7001</v>
          </cell>
          <cell r="E15978" t="str">
            <v>管接头</v>
          </cell>
        </row>
        <row r="15979">
          <cell r="D15979" t="str">
            <v>BC2711365-004-001</v>
          </cell>
          <cell r="E15979" t="str">
            <v>螺母</v>
          </cell>
        </row>
        <row r="15980">
          <cell r="D15980" t="str">
            <v>BC2711362-001-001</v>
          </cell>
          <cell r="E15980" t="str">
            <v>螺母</v>
          </cell>
        </row>
        <row r="15981">
          <cell r="D15981" t="str">
            <v>BC2711364-001-001</v>
          </cell>
          <cell r="E15981" t="str">
            <v>螺母1</v>
          </cell>
        </row>
        <row r="15982">
          <cell r="D15982" t="str">
            <v>BC2711363-001-001</v>
          </cell>
          <cell r="E15982" t="str">
            <v>螺母</v>
          </cell>
        </row>
        <row r="15983">
          <cell r="D15983" t="str">
            <v>CB2284462-001-001</v>
          </cell>
          <cell r="E15983" t="str">
            <v>法兰</v>
          </cell>
        </row>
        <row r="15984">
          <cell r="D15984" t="str">
            <v>CB5811100-005-001</v>
          </cell>
          <cell r="E15984" t="str">
            <v>螺栓</v>
          </cell>
        </row>
        <row r="15985">
          <cell r="D15985" t="str">
            <v>CB2747R00-002-001</v>
          </cell>
          <cell r="E15985" t="str">
            <v>三通管接头</v>
          </cell>
        </row>
        <row r="15986">
          <cell r="D15986" t="str">
            <v>CB5325125-403R001</v>
          </cell>
          <cell r="E15986" t="str">
            <v>支座</v>
          </cell>
        </row>
        <row r="15987">
          <cell r="D15987" t="str">
            <v>DD-J10-25002-1-Z</v>
          </cell>
          <cell r="E15987" t="str">
            <v>第3肋</v>
          </cell>
        </row>
        <row r="15988">
          <cell r="D15988" t="str">
            <v>DD-J10B-34303-7G2</v>
          </cell>
          <cell r="E15988" t="str">
            <v>第1隔板</v>
          </cell>
        </row>
        <row r="15989">
          <cell r="D15989" t="str">
            <v>DD-J10B-34303-8G2</v>
          </cell>
          <cell r="E15989" t="str">
            <v>第2隔板</v>
          </cell>
        </row>
        <row r="15990">
          <cell r="D15990" t="str">
            <v>DD-J10B-34303-9G2</v>
          </cell>
          <cell r="E15990" t="str">
            <v>第3隔板</v>
          </cell>
        </row>
        <row r="15991">
          <cell r="D15991" t="str">
            <v>DD-J10B-34303-11G2</v>
          </cell>
          <cell r="E15991" t="str">
            <v>第4隔板</v>
          </cell>
        </row>
        <row r="15992">
          <cell r="D15992" t="str">
            <v>DD-J10B-34303-12G2</v>
          </cell>
          <cell r="E15992" t="str">
            <v>第5隔板</v>
          </cell>
        </row>
        <row r="15993">
          <cell r="D15993" t="str">
            <v>DD-J10B-34303-13G2</v>
          </cell>
          <cell r="E15993" t="str">
            <v>第6隔板</v>
          </cell>
        </row>
        <row r="15994">
          <cell r="D15994" t="str">
            <v>CB5715000-001L002</v>
          </cell>
          <cell r="E15994" t="str">
            <v>固定前缘边肋</v>
          </cell>
        </row>
        <row r="15995">
          <cell r="D15995" t="str">
            <v>CB5715000-001L002</v>
          </cell>
          <cell r="E15995" t="str">
            <v>固定前缘边肋</v>
          </cell>
        </row>
        <row r="15996">
          <cell r="D15996" t="str">
            <v>CB5715000-001R002</v>
          </cell>
          <cell r="E15996" t="str">
            <v>固定前缘边肋</v>
          </cell>
        </row>
        <row r="15997">
          <cell r="D15997" t="str">
            <v>CB5715000-001R002</v>
          </cell>
          <cell r="E15997" t="str">
            <v>固定前缘边肋</v>
          </cell>
        </row>
        <row r="15998">
          <cell r="D15998" t="str">
            <v>CB5715000-001R002</v>
          </cell>
          <cell r="E15998" t="str">
            <v>固定前缘边肋</v>
          </cell>
        </row>
        <row r="15999">
          <cell r="D15999" t="str">
            <v>CB5715000-001R002</v>
          </cell>
          <cell r="E15999" t="str">
            <v>固定前缘边肋</v>
          </cell>
        </row>
        <row r="16000">
          <cell r="D16000" t="str">
            <v>CB5715000-001R002</v>
          </cell>
          <cell r="E16000" t="str">
            <v>固定前缘边肋</v>
          </cell>
        </row>
        <row r="16001">
          <cell r="D16001" t="str">
            <v>CB5715000-001R002</v>
          </cell>
          <cell r="E16001" t="str">
            <v>固定前缘边肋</v>
          </cell>
        </row>
        <row r="16002">
          <cell r="D16002" t="str">
            <v>CB5715000-001R002</v>
          </cell>
          <cell r="E16002" t="str">
            <v>固定前缘边肋</v>
          </cell>
        </row>
        <row r="16003">
          <cell r="D16003" t="str">
            <v>CB5324413-004-002</v>
          </cell>
          <cell r="E16003" t="str">
            <v>油箱底板（中）</v>
          </cell>
        </row>
        <row r="16004">
          <cell r="D16004" t="str">
            <v>CB5324413-004-002</v>
          </cell>
          <cell r="E16004" t="str">
            <v>油箱底板（中）</v>
          </cell>
        </row>
        <row r="16005">
          <cell r="D16005" t="str">
            <v>CB5324413-004-002</v>
          </cell>
          <cell r="E16005" t="str">
            <v>油箱底板（中）</v>
          </cell>
        </row>
        <row r="16006">
          <cell r="D16006" t="str">
            <v>CB5324413-004-002</v>
          </cell>
          <cell r="E16006" t="str">
            <v>油箱底板（中）</v>
          </cell>
        </row>
        <row r="16007">
          <cell r="D16007" t="str">
            <v>CB5327120-013L015</v>
          </cell>
          <cell r="E16007" t="str">
            <v>10150侧隔框</v>
          </cell>
        </row>
        <row r="16008">
          <cell r="D16008" t="str">
            <v>CB5327120-013L015</v>
          </cell>
          <cell r="E16008" t="str">
            <v>10150侧隔框</v>
          </cell>
        </row>
        <row r="16009">
          <cell r="D16009" t="str">
            <v>CB5327120-013R015</v>
          </cell>
          <cell r="E16009" t="str">
            <v>10150侧隔框</v>
          </cell>
        </row>
        <row r="16010">
          <cell r="D16010" t="str">
            <v>CB5327120-013R015</v>
          </cell>
          <cell r="E16010" t="str">
            <v>10150侧隔框</v>
          </cell>
        </row>
        <row r="16011">
          <cell r="D16011" t="str">
            <v>CB5326200-125L002</v>
          </cell>
          <cell r="E16011" t="str">
            <v>9200 3号加强筋</v>
          </cell>
        </row>
        <row r="16012">
          <cell r="D16012" t="str">
            <v>CB5326200-125L002</v>
          </cell>
          <cell r="E16012" t="str">
            <v>9200 3号加强筋</v>
          </cell>
        </row>
        <row r="16013">
          <cell r="D16013" t="str">
            <v>CB5326200-125L002</v>
          </cell>
          <cell r="E16013" t="str">
            <v>9200 3号加强筋</v>
          </cell>
        </row>
        <row r="16014">
          <cell r="D16014" t="str">
            <v>CB5326200-125L002</v>
          </cell>
          <cell r="E16014" t="str">
            <v>9200 3号加强筋</v>
          </cell>
        </row>
        <row r="16015">
          <cell r="D16015" t="str">
            <v>CB5326200-125L002</v>
          </cell>
          <cell r="E16015" t="str">
            <v>9200 3号加强筋</v>
          </cell>
        </row>
        <row r="16016">
          <cell r="D16016" t="str">
            <v>CB5326200-125R002</v>
          </cell>
          <cell r="E16016" t="str">
            <v>9200 3号加强筋</v>
          </cell>
        </row>
        <row r="16017">
          <cell r="D16017" t="str">
            <v>CB5326200-125R002</v>
          </cell>
          <cell r="E16017" t="str">
            <v>9200 3号加强筋</v>
          </cell>
        </row>
        <row r="16018">
          <cell r="D16018" t="str">
            <v>CB5326200-125R002</v>
          </cell>
          <cell r="E16018" t="str">
            <v>9200 3号加强筋</v>
          </cell>
        </row>
        <row r="16019">
          <cell r="D16019" t="str">
            <v>CB5326200-125R002</v>
          </cell>
          <cell r="E16019" t="str">
            <v>9200 3号加强筋</v>
          </cell>
        </row>
        <row r="16020">
          <cell r="D16020" t="str">
            <v>CB5326200-125R002</v>
          </cell>
          <cell r="E16020" t="str">
            <v>9200 3号加强筋</v>
          </cell>
        </row>
        <row r="16021">
          <cell r="D16021" t="str">
            <v>CB5327120-010L015</v>
          </cell>
          <cell r="E16021" t="str">
            <v>9555侧隔框</v>
          </cell>
        </row>
        <row r="16022">
          <cell r="D16022" t="str">
            <v>CB5327120-010L015</v>
          </cell>
          <cell r="E16022" t="str">
            <v>9555侧隔框</v>
          </cell>
        </row>
        <row r="16023">
          <cell r="D16023" t="str">
            <v>CB5327120-010L015</v>
          </cell>
          <cell r="E16023" t="str">
            <v>9555侧隔框</v>
          </cell>
        </row>
        <row r="16024">
          <cell r="D16024" t="str">
            <v>CB5327120-010L015</v>
          </cell>
          <cell r="E16024" t="str">
            <v>9555侧隔框</v>
          </cell>
        </row>
        <row r="16025">
          <cell r="D16025" t="str">
            <v>CB5327120-010L015</v>
          </cell>
          <cell r="E16025" t="str">
            <v>9555侧隔框</v>
          </cell>
        </row>
        <row r="16026">
          <cell r="D16026" t="str">
            <v>CB5327120-010L015</v>
          </cell>
          <cell r="E16026" t="str">
            <v>9555侧隔框</v>
          </cell>
        </row>
        <row r="16027">
          <cell r="D16027" t="str">
            <v>CB5327120-010R015</v>
          </cell>
          <cell r="E16027" t="str">
            <v>9555侧隔框</v>
          </cell>
        </row>
        <row r="16028">
          <cell r="D16028" t="str">
            <v>CB5327120-010R015</v>
          </cell>
          <cell r="E16028" t="str">
            <v>9555侧隔框</v>
          </cell>
        </row>
        <row r="16029">
          <cell r="D16029" t="str">
            <v>CB5327120-010R015</v>
          </cell>
          <cell r="E16029" t="str">
            <v>9555侧隔框</v>
          </cell>
        </row>
        <row r="16030">
          <cell r="D16030" t="str">
            <v>CB5327120-010R015</v>
          </cell>
          <cell r="E16030" t="str">
            <v>9555侧隔框</v>
          </cell>
        </row>
        <row r="16031">
          <cell r="D16031" t="str">
            <v>CB5327120-010R015</v>
          </cell>
          <cell r="E16031" t="str">
            <v>9555侧隔框</v>
          </cell>
        </row>
        <row r="16032">
          <cell r="D16032" t="str">
            <v>CB5327120-010R015</v>
          </cell>
          <cell r="E16032" t="str">
            <v>9555侧隔框</v>
          </cell>
        </row>
        <row r="16033">
          <cell r="D16033" t="str">
            <v>C571110300-003R001</v>
          </cell>
          <cell r="E16033" t="str">
            <v>角盒</v>
          </cell>
        </row>
        <row r="16034">
          <cell r="D16034" t="str">
            <v>C571110300-003R001</v>
          </cell>
          <cell r="E16034" t="str">
            <v>角盒</v>
          </cell>
        </row>
        <row r="16035">
          <cell r="D16035" t="str">
            <v>C571110300-003R001</v>
          </cell>
          <cell r="E16035" t="str">
            <v>角盒</v>
          </cell>
        </row>
        <row r="16036">
          <cell r="D16036" t="str">
            <v>C571110300-003R001</v>
          </cell>
          <cell r="E16036" t="str">
            <v>角盒</v>
          </cell>
        </row>
        <row r="16037">
          <cell r="D16037" t="str">
            <v>C571110300-003L001</v>
          </cell>
          <cell r="E16037" t="str">
            <v>角盒</v>
          </cell>
        </row>
        <row r="16038">
          <cell r="D16038" t="str">
            <v>C571110300-003L001</v>
          </cell>
          <cell r="E16038" t="str">
            <v>角盒</v>
          </cell>
        </row>
        <row r="16039">
          <cell r="D16039" t="str">
            <v>C571110300-003L001</v>
          </cell>
          <cell r="E16039" t="str">
            <v>角盒</v>
          </cell>
        </row>
        <row r="16040">
          <cell r="D16040" t="str">
            <v>C571110300-003L001</v>
          </cell>
          <cell r="E16040" t="str">
            <v>角盒</v>
          </cell>
        </row>
        <row r="16041">
          <cell r="D16041" t="str">
            <v>C571110300-004R001</v>
          </cell>
          <cell r="E16041" t="str">
            <v>角盒</v>
          </cell>
        </row>
        <row r="16042">
          <cell r="D16042" t="str">
            <v>C571110300-004R001</v>
          </cell>
          <cell r="E16042" t="str">
            <v>角盒</v>
          </cell>
        </row>
        <row r="16043">
          <cell r="D16043" t="str">
            <v>C571110300-004R001</v>
          </cell>
          <cell r="E16043" t="str">
            <v>角盒</v>
          </cell>
        </row>
        <row r="16044">
          <cell r="D16044" t="str">
            <v>C571110300-004R001</v>
          </cell>
          <cell r="E16044" t="str">
            <v>角盒</v>
          </cell>
        </row>
        <row r="16045">
          <cell r="D16045" t="str">
            <v>C571110300-004L001</v>
          </cell>
          <cell r="E16045" t="str">
            <v>角盒</v>
          </cell>
        </row>
        <row r="16046">
          <cell r="D16046" t="str">
            <v>C571110300-004L001</v>
          </cell>
          <cell r="E16046" t="str">
            <v>角盒</v>
          </cell>
        </row>
        <row r="16047">
          <cell r="D16047" t="str">
            <v>C571110300-004L001</v>
          </cell>
          <cell r="E16047" t="str">
            <v>角盒</v>
          </cell>
        </row>
        <row r="16048">
          <cell r="D16048" t="str">
            <v>C571110300-004L001</v>
          </cell>
          <cell r="E16048" t="str">
            <v>角盒</v>
          </cell>
        </row>
        <row r="16049">
          <cell r="D16049" t="str">
            <v>DD-J10S-04031-1</v>
          </cell>
          <cell r="E16049" t="str">
            <v>8700框(精加工）</v>
          </cell>
        </row>
        <row r="16050">
          <cell r="D16050" t="str">
            <v>DD-J10S-04031-1</v>
          </cell>
          <cell r="E16050" t="str">
            <v>8700框(精加工）</v>
          </cell>
        </row>
        <row r="16051">
          <cell r="D16051" t="str">
            <v>BC221P2LB-003-002</v>
          </cell>
          <cell r="E16051" t="str">
            <v>传感器底座</v>
          </cell>
        </row>
        <row r="16052">
          <cell r="D16052" t="str">
            <v>DD-J10B-04041-1</v>
          </cell>
          <cell r="E16052" t="str">
            <v>10060框</v>
          </cell>
        </row>
        <row r="16053">
          <cell r="D16053" t="str">
            <v>DD-J10B-04041-1</v>
          </cell>
          <cell r="E16053" t="str">
            <v>10060框</v>
          </cell>
        </row>
        <row r="16054">
          <cell r="D16054" t="str">
            <v>CB5323400-008L001</v>
          </cell>
          <cell r="E16054" t="str">
            <v>外侧轴承盖</v>
          </cell>
        </row>
        <row r="16055">
          <cell r="D16055" t="str">
            <v>CB22827C3-002-007</v>
          </cell>
          <cell r="E16055" t="str">
            <v>三通接头</v>
          </cell>
        </row>
        <row r="16056">
          <cell r="D16056" t="str">
            <v>CB22827C3-002-007</v>
          </cell>
          <cell r="E16056" t="str">
            <v>三通接头</v>
          </cell>
        </row>
        <row r="16057">
          <cell r="D16057" t="str">
            <v>CB5325125-403L001</v>
          </cell>
          <cell r="E16057" t="str">
            <v>支座</v>
          </cell>
        </row>
        <row r="16058">
          <cell r="D16058" t="str">
            <v>CB2287726-001-001</v>
          </cell>
          <cell r="E16058" t="str">
            <v>安装支架</v>
          </cell>
        </row>
        <row r="16059">
          <cell r="D16059" t="str">
            <v>CB22877HD-001-001</v>
          </cell>
          <cell r="E16059" t="str">
            <v>变径直通管接头</v>
          </cell>
        </row>
        <row r="16060">
          <cell r="D16060" t="str">
            <v>CB221T9MLN003-001</v>
          </cell>
          <cell r="E16060" t="str">
            <v>液体压力传感器接管嘴</v>
          </cell>
        </row>
        <row r="16061">
          <cell r="D16061" t="str">
            <v>CB2248145-001-006</v>
          </cell>
          <cell r="E16061" t="str">
            <v>支片5</v>
          </cell>
        </row>
        <row r="16062">
          <cell r="D16062" t="str">
            <v>BC5822100-002R001</v>
          </cell>
          <cell r="E16062" t="str">
            <v>止动摇臂</v>
          </cell>
        </row>
        <row r="16063">
          <cell r="D16063" t="str">
            <v>CB2297820-001-001</v>
          </cell>
          <cell r="E16063" t="str">
            <v>组合导管夹</v>
          </cell>
        </row>
        <row r="16064">
          <cell r="D16064" t="str">
            <v>CB22985H0-002-001</v>
          </cell>
          <cell r="E16064" t="str">
            <v>管夹</v>
          </cell>
        </row>
        <row r="16065">
          <cell r="D16065" t="str">
            <v>CB2283711-002-001</v>
          </cell>
          <cell r="E16065" t="str">
            <v>管接头</v>
          </cell>
        </row>
        <row r="16066">
          <cell r="D16066" t="str">
            <v>CB2285201-001-001</v>
          </cell>
          <cell r="E16066" t="str">
            <v>带法兰盘的接管嘴</v>
          </cell>
        </row>
        <row r="16067">
          <cell r="D16067" t="str">
            <v>CB2747GA0-002-002</v>
          </cell>
          <cell r="E16067" t="str">
            <v>扩压式管接头</v>
          </cell>
        </row>
        <row r="16068">
          <cell r="D16068" t="str">
            <v>CB22983Q0-002-001</v>
          </cell>
          <cell r="E16068" t="str">
            <v>管夹</v>
          </cell>
        </row>
        <row r="16069">
          <cell r="D16069" t="str">
            <v>CB2284150-002-002</v>
          </cell>
          <cell r="E16069" t="str">
            <v>穿框管接头</v>
          </cell>
        </row>
        <row r="16070">
          <cell r="D16070" t="str">
            <v>CB2747B10-003-002</v>
          </cell>
          <cell r="E16070" t="str">
            <v>管接头</v>
          </cell>
        </row>
        <row r="16071">
          <cell r="D16071" t="str">
            <v>CB22843G7-002-001</v>
          </cell>
          <cell r="E16071" t="str">
            <v>三叉管接头</v>
          </cell>
        </row>
        <row r="16072">
          <cell r="D16072" t="str">
            <v>CB22877J9-003-001</v>
          </cell>
          <cell r="E16072" t="str">
            <v>变径三通接头</v>
          </cell>
        </row>
        <row r="16073">
          <cell r="D16073" t="str">
            <v>CB5814000-005-001</v>
          </cell>
          <cell r="E16073" t="str">
            <v>垫圈</v>
          </cell>
        </row>
        <row r="16074">
          <cell r="D16074" t="str">
            <v>CB22837C4-001-001</v>
          </cell>
          <cell r="E16074" t="str">
            <v>带胶垫槽法兰</v>
          </cell>
        </row>
        <row r="16075">
          <cell r="D16075" t="str">
            <v>CB22837C2-001-001</v>
          </cell>
          <cell r="E16075" t="str">
            <v>法兰</v>
          </cell>
        </row>
        <row r="16076">
          <cell r="D16076" t="str">
            <v>CB2298622-001-001</v>
          </cell>
          <cell r="E16076" t="str">
            <v>管夹</v>
          </cell>
        </row>
        <row r="16077">
          <cell r="D16077" t="str">
            <v>CB22985H0-002-002</v>
          </cell>
          <cell r="E16077" t="str">
            <v>管夹</v>
          </cell>
        </row>
        <row r="16078">
          <cell r="D16078" t="str">
            <v>CB22985T0-002-001</v>
          </cell>
          <cell r="E16078" t="str">
            <v>管夹</v>
          </cell>
        </row>
        <row r="16079">
          <cell r="D16079" t="str">
            <v>CB5811100-013-001</v>
          </cell>
          <cell r="E16079" t="str">
            <v>垫圈</v>
          </cell>
        </row>
        <row r="16080">
          <cell r="D16080" t="str">
            <v>CB22987R0-002-001</v>
          </cell>
          <cell r="E16080" t="str">
            <v>管夹</v>
          </cell>
        </row>
        <row r="16081">
          <cell r="D16081" t="str">
            <v>CB229942A-001-001</v>
          </cell>
          <cell r="E16081" t="str">
            <v>管夹</v>
          </cell>
        </row>
        <row r="16082">
          <cell r="D16082" t="str">
            <v>CB2284761-003-001</v>
          </cell>
          <cell r="E16082" t="str">
            <v>主动油总管四通</v>
          </cell>
        </row>
        <row r="16083">
          <cell r="D16083" t="str">
            <v>CB5811100-001-001</v>
          </cell>
          <cell r="E16083" t="str">
            <v>垫圈</v>
          </cell>
        </row>
        <row r="16084">
          <cell r="D16084" t="str">
            <v>CB2284764-003-003</v>
          </cell>
          <cell r="E16084" t="str">
            <v>接头</v>
          </cell>
        </row>
        <row r="16085">
          <cell r="D16085" t="str">
            <v>CB2284764-003-003</v>
          </cell>
          <cell r="E16085" t="str">
            <v>接头</v>
          </cell>
        </row>
        <row r="16086">
          <cell r="D16086" t="str">
            <v>CB2298816-001-001</v>
          </cell>
          <cell r="E16086" t="str">
            <v>管夹</v>
          </cell>
        </row>
        <row r="16087">
          <cell r="D16087" t="str">
            <v>CB229C440-001-001</v>
          </cell>
          <cell r="E16087" t="str">
            <v>组合导管夹</v>
          </cell>
        </row>
        <row r="16088">
          <cell r="D16088" t="str">
            <v>CB2263280-001-002</v>
          </cell>
          <cell r="E16088" t="str">
            <v>喷嘴</v>
          </cell>
        </row>
        <row r="16089">
          <cell r="D16089" t="str">
            <v>CB22857F7-003-002</v>
          </cell>
          <cell r="E16089" t="str">
            <v>法兰</v>
          </cell>
        </row>
        <row r="16090">
          <cell r="D16090" t="str">
            <v>CB5811300-001-001</v>
          </cell>
          <cell r="E16090" t="str">
            <v>螺栓</v>
          </cell>
        </row>
        <row r="16091">
          <cell r="D16091" t="str">
            <v>CB5811300-001-001</v>
          </cell>
          <cell r="E16091" t="str">
            <v>螺栓</v>
          </cell>
        </row>
        <row r="16092">
          <cell r="D16092" t="str">
            <v>CB229C420-001-001</v>
          </cell>
          <cell r="E16092" t="str">
            <v>套筒</v>
          </cell>
        </row>
        <row r="16093">
          <cell r="D16093" t="str">
            <v>CB229C420-004-001</v>
          </cell>
          <cell r="E16093" t="str">
            <v>套筒</v>
          </cell>
        </row>
        <row r="16094">
          <cell r="D16094" t="str">
            <v>CB5811100-004-001</v>
          </cell>
          <cell r="E16094" t="str">
            <v>连接轴</v>
          </cell>
        </row>
        <row r="16095">
          <cell r="D16095" t="str">
            <v>CB229B412-003-001</v>
          </cell>
          <cell r="E16095" t="str">
            <v>管夹</v>
          </cell>
        </row>
        <row r="16096">
          <cell r="D16096" t="str">
            <v>CB22984B0-002-001</v>
          </cell>
          <cell r="E16096" t="str">
            <v>管夹</v>
          </cell>
        </row>
        <row r="16097">
          <cell r="D16097" t="str">
            <v>CB22832G3-004-001</v>
          </cell>
          <cell r="E16097" t="str">
            <v>收口接头</v>
          </cell>
        </row>
        <row r="16098">
          <cell r="D16098" t="str">
            <v>CB5323320-007L001</v>
          </cell>
          <cell r="E16098" t="str">
            <v>角盒</v>
          </cell>
        </row>
        <row r="16099">
          <cell r="D16099" t="str">
            <v>CB2284461-001-001</v>
          </cell>
          <cell r="E16099" t="str">
            <v>法兰</v>
          </cell>
        </row>
        <row r="16100">
          <cell r="D16100" t="str">
            <v>CB2284461-001-001</v>
          </cell>
          <cell r="E16100" t="str">
            <v>法兰</v>
          </cell>
        </row>
        <row r="16101">
          <cell r="D16101" t="str">
            <v>CB2280211-025-001</v>
          </cell>
          <cell r="E16101" t="str">
            <v>穿框管接头</v>
          </cell>
        </row>
        <row r="16102">
          <cell r="D16102" t="str">
            <v>CB2280211-025-001</v>
          </cell>
          <cell r="E16102" t="str">
            <v>穿框管接头</v>
          </cell>
        </row>
        <row r="16103">
          <cell r="D16103" t="str">
            <v>CB221T1LD-003-001</v>
          </cell>
          <cell r="E16103" t="str">
            <v>接管嘴</v>
          </cell>
        </row>
        <row r="16104">
          <cell r="D16104" t="str">
            <v>CB2747G90-006-001</v>
          </cell>
          <cell r="E16104" t="str">
            <v>管接头3</v>
          </cell>
        </row>
        <row r="16105">
          <cell r="D16105" t="str">
            <v>CB2747B20-003-002</v>
          </cell>
          <cell r="E16105" t="str">
            <v>管接头</v>
          </cell>
        </row>
        <row r="16106">
          <cell r="D16106" t="str">
            <v>CB26036A6-001-001</v>
          </cell>
          <cell r="E16106" t="str">
            <v>直通过框接头</v>
          </cell>
        </row>
        <row r="16107">
          <cell r="D16107" t="str">
            <v>CB2232N08-001-001</v>
          </cell>
          <cell r="E16107" t="str">
            <v>垫片</v>
          </cell>
        </row>
        <row r="16108">
          <cell r="D16108" t="str">
            <v>CB2747G10-002-002</v>
          </cell>
          <cell r="E16108" t="str">
            <v>管接头</v>
          </cell>
        </row>
        <row r="16109">
          <cell r="D16109" t="str">
            <v>CB2747G10-002-002</v>
          </cell>
          <cell r="E16109" t="str">
            <v>管接头</v>
          </cell>
        </row>
        <row r="16110">
          <cell r="D16110" t="str">
            <v>CB221097C-002-002</v>
          </cell>
          <cell r="E16110" t="str">
            <v>支架</v>
          </cell>
        </row>
        <row r="16111">
          <cell r="D16111" t="str">
            <v>CB2263267-001-002</v>
          </cell>
          <cell r="E16111" t="str">
            <v>直通管接头</v>
          </cell>
        </row>
        <row r="16112">
          <cell r="D16112" t="str">
            <v>CB2284762-002-002</v>
          </cell>
          <cell r="E16112" t="str">
            <v>法兰</v>
          </cell>
        </row>
        <row r="16113">
          <cell r="D16113" t="str">
            <v>CB2284764-002-001</v>
          </cell>
          <cell r="E16113" t="str">
            <v>接头</v>
          </cell>
        </row>
        <row r="16114">
          <cell r="D16114" t="str">
            <v>CB22984M0-002-001</v>
          </cell>
          <cell r="E16114" t="str">
            <v>管夹</v>
          </cell>
        </row>
        <row r="16115">
          <cell r="D16115" t="str">
            <v>CB22984M0-002-002</v>
          </cell>
          <cell r="E16115" t="str">
            <v>管夹</v>
          </cell>
        </row>
        <row r="16116">
          <cell r="D16116" t="str">
            <v>CB2280211-020-001</v>
          </cell>
          <cell r="E16116" t="str">
            <v>穿框管接头</v>
          </cell>
        </row>
        <row r="16117">
          <cell r="D16117" t="str">
            <v>CB22857G1-004-001</v>
          </cell>
          <cell r="E16117" t="str">
            <v>法兰</v>
          </cell>
        </row>
        <row r="16118">
          <cell r="D16118" t="str">
            <v>CB5323320-007R001</v>
          </cell>
          <cell r="E16118" t="str">
            <v>角盒</v>
          </cell>
        </row>
        <row r="16119">
          <cell r="D16119" t="str">
            <v>CB2287717-003-001</v>
          </cell>
          <cell r="E16119" t="str">
            <v>14200框左侧铆接支架</v>
          </cell>
        </row>
        <row r="16120">
          <cell r="D16120" t="str">
            <v>CB229C050-014-003</v>
          </cell>
          <cell r="E16120" t="str">
            <v>Z支架</v>
          </cell>
        </row>
        <row r="16121">
          <cell r="D16121" t="str">
            <v>CB2280211-035-001</v>
          </cell>
          <cell r="E16121" t="str">
            <v>穿框管接头</v>
          </cell>
        </row>
        <row r="16122">
          <cell r="D16122" t="str">
            <v>CB22109TD-001-001</v>
          </cell>
          <cell r="E16122" t="str">
            <v>带排水孔的管接头</v>
          </cell>
        </row>
        <row r="16123">
          <cell r="D16123" t="str">
            <v>CB221T2LN-001-001</v>
          </cell>
          <cell r="E16123" t="str">
            <v>接管嘴</v>
          </cell>
        </row>
        <row r="16124">
          <cell r="D16124" t="str">
            <v>CB2747C30-012-001</v>
          </cell>
          <cell r="E16124" t="str">
            <v>管接嘴</v>
          </cell>
        </row>
        <row r="16125">
          <cell r="D16125" t="str">
            <v>CB22843G0-004-001</v>
          </cell>
          <cell r="E16125" t="str">
            <v>穿框管接头</v>
          </cell>
        </row>
        <row r="16126">
          <cell r="D16126" t="str">
            <v>CB2245110-001-001</v>
          </cell>
          <cell r="E16126" t="str">
            <v>支架1</v>
          </cell>
        </row>
        <row r="16127">
          <cell r="D16127" t="str">
            <v>CB2245110-001-001</v>
          </cell>
          <cell r="E16127" t="str">
            <v>支架1</v>
          </cell>
        </row>
        <row r="16128">
          <cell r="D16128" t="str">
            <v>CB2747G30-002-002</v>
          </cell>
          <cell r="E16128" t="str">
            <v>管接头</v>
          </cell>
        </row>
        <row r="16129">
          <cell r="D16129" t="str">
            <v>CB2747F80-003-001</v>
          </cell>
          <cell r="E16129" t="str">
            <v>管接头</v>
          </cell>
        </row>
        <row r="16130">
          <cell r="D16130" t="str">
            <v>CB22110LAN002-001</v>
          </cell>
          <cell r="E16130" t="str">
            <v>管嘴</v>
          </cell>
        </row>
        <row r="16131">
          <cell r="D16131" t="str">
            <v>CB221T1LL-005-001</v>
          </cell>
          <cell r="E16131" t="str">
            <v>接管嘴</v>
          </cell>
        </row>
        <row r="16132">
          <cell r="D16132" t="str">
            <v>CB221T2LF-003-003</v>
          </cell>
          <cell r="E16132" t="str">
            <v>接管嘴</v>
          </cell>
        </row>
        <row r="16133">
          <cell r="D16133" t="str">
            <v>CB2284752-004-001</v>
          </cell>
          <cell r="E16133" t="str">
            <v>法兰</v>
          </cell>
        </row>
        <row r="16134">
          <cell r="D16134" t="str">
            <v>CB2298615-001-001</v>
          </cell>
          <cell r="E16134" t="str">
            <v>管夹</v>
          </cell>
        </row>
        <row r="16135">
          <cell r="D16135" t="str">
            <v>CB221T0LCN002-002</v>
          </cell>
          <cell r="E16135" t="str">
            <v>压力传感器接嘴</v>
          </cell>
        </row>
        <row r="16136">
          <cell r="D16136" t="str">
            <v>CB2283780-001-001</v>
          </cell>
          <cell r="E16136" t="str">
            <v>管接头</v>
          </cell>
        </row>
        <row r="16137">
          <cell r="D16137" t="str">
            <v>BC2292193-006-001</v>
          </cell>
          <cell r="E16137" t="str">
            <v>内径4接头</v>
          </cell>
        </row>
        <row r="16138">
          <cell r="D16138" t="str">
            <v>BC2292193-005-001</v>
          </cell>
          <cell r="E16138" t="str">
            <v>内径6接头</v>
          </cell>
        </row>
        <row r="16139">
          <cell r="D16139" t="str">
            <v>BC2714800-002-001</v>
          </cell>
          <cell r="E16139" t="str">
            <v>外套螺母</v>
          </cell>
        </row>
        <row r="16140">
          <cell r="D16140" t="str">
            <v>BC2714800-002-001</v>
          </cell>
          <cell r="E16140" t="str">
            <v>外套螺母</v>
          </cell>
        </row>
        <row r="16141">
          <cell r="D16141" t="str">
            <v>DD-J10B-61201-301</v>
          </cell>
          <cell r="E16141" t="str">
            <v>直通管接头</v>
          </cell>
        </row>
        <row r="16142">
          <cell r="D16142" t="str">
            <v>DD-J10B-55181-19</v>
          </cell>
          <cell r="E16142" t="str">
            <v>直通接头</v>
          </cell>
        </row>
        <row r="16143">
          <cell r="D16143" t="str">
            <v>DD-J10B-71031-110-1</v>
          </cell>
          <cell r="E16143" t="str">
            <v>樑</v>
          </cell>
        </row>
        <row r="16144">
          <cell r="D16144" t="str">
            <v>DD-J10B-21402-10G2-1G2-Z</v>
          </cell>
          <cell r="E16144" t="str">
            <v>固定前缘边肋（左件）</v>
          </cell>
        </row>
        <row r="16145">
          <cell r="D16145" t="str">
            <v>DD-J10B-21402-10G2-1G2-Z</v>
          </cell>
          <cell r="E16145" t="str">
            <v>固定前缘边肋（左件）</v>
          </cell>
        </row>
        <row r="16146">
          <cell r="D16146" t="str">
            <v>DD-J10B-21402-10G2-1G2-Z</v>
          </cell>
          <cell r="E16146" t="str">
            <v>固定前缘边肋（左件）</v>
          </cell>
        </row>
        <row r="16147">
          <cell r="D16147" t="str">
            <v>DD-J10B-21402-10G2-1G2-Y</v>
          </cell>
          <cell r="E16147" t="str">
            <v>固定前缘边肋（右件）</v>
          </cell>
        </row>
        <row r="16148">
          <cell r="D16148" t="str">
            <v>DD-J10B-21402-10G2-1G2-Y</v>
          </cell>
          <cell r="E16148" t="str">
            <v>固定前缘边肋（右件）</v>
          </cell>
        </row>
        <row r="16149">
          <cell r="D16149" t="str">
            <v>CB5324310-009L006</v>
          </cell>
          <cell r="E16149" t="str">
            <v>型材</v>
          </cell>
        </row>
        <row r="16150">
          <cell r="D16150" t="str">
            <v>CB5324310-009L006</v>
          </cell>
          <cell r="E16150" t="str">
            <v>型材</v>
          </cell>
        </row>
        <row r="16151">
          <cell r="D16151" t="str">
            <v>CB5324310-009L006</v>
          </cell>
          <cell r="E16151" t="str">
            <v>型材</v>
          </cell>
        </row>
        <row r="16152">
          <cell r="D16152" t="str">
            <v>CB5324310-009L006</v>
          </cell>
          <cell r="E16152" t="str">
            <v>型材</v>
          </cell>
        </row>
        <row r="16153">
          <cell r="D16153" t="str">
            <v>CB5324310-009R006</v>
          </cell>
          <cell r="E16153" t="str">
            <v>型材</v>
          </cell>
        </row>
        <row r="16154">
          <cell r="D16154" t="str">
            <v>CB5324310-009R006</v>
          </cell>
          <cell r="E16154" t="str">
            <v>型材</v>
          </cell>
        </row>
        <row r="16155">
          <cell r="D16155" t="str">
            <v>CB5324310-009R006</v>
          </cell>
          <cell r="E16155" t="str">
            <v>型材</v>
          </cell>
        </row>
        <row r="16156">
          <cell r="D16156" t="str">
            <v>CB5324310-009R006</v>
          </cell>
          <cell r="E16156" t="str">
            <v>型材</v>
          </cell>
        </row>
        <row r="16157">
          <cell r="D16157" t="str">
            <v>CB5324310-011R006</v>
          </cell>
          <cell r="E16157" t="str">
            <v>型材</v>
          </cell>
        </row>
        <row r="16158">
          <cell r="D16158" t="str">
            <v>CB5324310-011R006</v>
          </cell>
          <cell r="E16158" t="str">
            <v>型材</v>
          </cell>
        </row>
        <row r="16159">
          <cell r="D16159" t="str">
            <v>CB5324310-011R006</v>
          </cell>
          <cell r="E16159" t="str">
            <v>型材</v>
          </cell>
        </row>
        <row r="16160">
          <cell r="D16160" t="str">
            <v>CB5324310-011R006</v>
          </cell>
          <cell r="E16160" t="str">
            <v>型材</v>
          </cell>
        </row>
        <row r="16161">
          <cell r="D16161" t="str">
            <v>CB5324310-011L006</v>
          </cell>
          <cell r="E16161" t="str">
            <v>型材</v>
          </cell>
        </row>
        <row r="16162">
          <cell r="D16162" t="str">
            <v>CB5324310-011L006</v>
          </cell>
          <cell r="E16162" t="str">
            <v>型材</v>
          </cell>
        </row>
        <row r="16163">
          <cell r="D16163" t="str">
            <v>CB5324310-011L006</v>
          </cell>
          <cell r="E16163" t="str">
            <v>型材</v>
          </cell>
        </row>
        <row r="16164">
          <cell r="D16164" t="str">
            <v>CB5324310-011L006</v>
          </cell>
          <cell r="E16164" t="str">
            <v>型材</v>
          </cell>
        </row>
        <row r="16165">
          <cell r="D16165" t="str">
            <v>CB5327220-002L002</v>
          </cell>
          <cell r="E16165" t="str">
            <v>型材</v>
          </cell>
        </row>
        <row r="16166">
          <cell r="D16166" t="str">
            <v>CB5327220-002L002</v>
          </cell>
          <cell r="E16166" t="str">
            <v>型材</v>
          </cell>
        </row>
        <row r="16167">
          <cell r="D16167" t="str">
            <v>CB5327220-002R002</v>
          </cell>
          <cell r="E16167" t="str">
            <v>型材</v>
          </cell>
        </row>
        <row r="16168">
          <cell r="D16168" t="str">
            <v>CB5327220-002R002</v>
          </cell>
          <cell r="E16168" t="str">
            <v>型材</v>
          </cell>
        </row>
        <row r="16169">
          <cell r="D16169" t="str">
            <v>CB5315130-002R001</v>
          </cell>
          <cell r="E16169" t="str">
            <v>6940框内段</v>
          </cell>
        </row>
        <row r="16170">
          <cell r="D16170" t="str">
            <v>CB5315130-002R001</v>
          </cell>
          <cell r="E16170" t="str">
            <v>6940框内段</v>
          </cell>
        </row>
        <row r="16171">
          <cell r="D16171" t="str">
            <v>CB5315130-002L001</v>
          </cell>
          <cell r="E16171" t="str">
            <v>6940框内段</v>
          </cell>
        </row>
        <row r="16172">
          <cell r="D16172" t="str">
            <v>CB5315130-002L001</v>
          </cell>
          <cell r="E16172" t="str">
            <v>6940框内段</v>
          </cell>
        </row>
        <row r="16173">
          <cell r="D16173" t="str">
            <v>DD-J10B-04321-1-Z</v>
          </cell>
          <cell r="E16173" t="str">
            <v>斜横梁</v>
          </cell>
        </row>
        <row r="16174">
          <cell r="D16174" t="str">
            <v>DD-J10B-04321-1-Y</v>
          </cell>
          <cell r="E16174" t="str">
            <v>斜横梁</v>
          </cell>
        </row>
        <row r="16175">
          <cell r="D16175" t="str">
            <v>DD-J10B-05236-111-Y</v>
          </cell>
          <cell r="E16175" t="str">
            <v>前隔框</v>
          </cell>
        </row>
        <row r="16176">
          <cell r="D16176" t="str">
            <v>DD-J10B-05236-111-Z</v>
          </cell>
          <cell r="E16176" t="str">
            <v>前隔框</v>
          </cell>
        </row>
        <row r="16177">
          <cell r="D16177" t="str">
            <v>CB5324500-003R002</v>
          </cell>
          <cell r="E16177" t="str">
            <v>前端框</v>
          </cell>
        </row>
        <row r="16178">
          <cell r="D16178" t="str">
            <v>CB5324500-003R002</v>
          </cell>
          <cell r="E16178" t="str">
            <v>前端框</v>
          </cell>
        </row>
        <row r="16179">
          <cell r="D16179" t="str">
            <v>CB5324500-003L002</v>
          </cell>
          <cell r="E16179" t="str">
            <v>前端框</v>
          </cell>
        </row>
        <row r="16180">
          <cell r="D16180" t="str">
            <v>CB5324500-003L002</v>
          </cell>
          <cell r="E16180" t="str">
            <v>前端框</v>
          </cell>
        </row>
        <row r="16181">
          <cell r="D16181" t="str">
            <v>CB5324500-003L002</v>
          </cell>
          <cell r="E16181" t="str">
            <v>前端框</v>
          </cell>
        </row>
        <row r="16182">
          <cell r="D16182" t="str">
            <v>CB5324320-007L009</v>
          </cell>
          <cell r="E16182" t="str">
            <v>横梁</v>
          </cell>
        </row>
        <row r="16183">
          <cell r="D16183" t="str">
            <v>CB2297021-001-001</v>
          </cell>
          <cell r="E16183" t="str">
            <v>支架</v>
          </cell>
        </row>
        <row r="16184">
          <cell r="D16184" t="str">
            <v>CB229C070-001R001</v>
          </cell>
          <cell r="E16184" t="str">
            <v>支架</v>
          </cell>
        </row>
        <row r="16185">
          <cell r="D16185" t="str">
            <v>CB229C071-001L001</v>
          </cell>
          <cell r="E16185" t="str">
            <v>支架</v>
          </cell>
        </row>
        <row r="16186">
          <cell r="D16186" t="str">
            <v>CB5324320-004R006</v>
          </cell>
          <cell r="E16186" t="str">
            <v>侧下支持件</v>
          </cell>
        </row>
        <row r="16187">
          <cell r="D16187" t="str">
            <v>CB22956R1-001R001</v>
          </cell>
          <cell r="E16187" t="str">
            <v>座子</v>
          </cell>
        </row>
        <row r="16188">
          <cell r="D16188" t="str">
            <v>CB22956R1-001L001</v>
          </cell>
          <cell r="E16188" t="str">
            <v>座子</v>
          </cell>
        </row>
        <row r="16189">
          <cell r="D16189" t="str">
            <v>CB22921L3-001-003</v>
          </cell>
          <cell r="E16189" t="str">
            <v>支座</v>
          </cell>
        </row>
        <row r="16190">
          <cell r="D16190" t="str">
            <v>CB5714100-004R002</v>
          </cell>
          <cell r="E16190" t="str">
            <v>根肋四段</v>
          </cell>
        </row>
        <row r="16191">
          <cell r="D16191" t="str">
            <v>CB5714100-004L002</v>
          </cell>
          <cell r="E16191" t="str">
            <v>根肋四段</v>
          </cell>
        </row>
        <row r="16192">
          <cell r="D16192" t="str">
            <v>CB5323120-001L002</v>
          </cell>
          <cell r="E16192" t="str">
            <v>7820~8270侧上梁</v>
          </cell>
        </row>
        <row r="16193">
          <cell r="D16193" t="str">
            <v>CB5323120-001R005</v>
          </cell>
          <cell r="E16193" t="str">
            <v>7820~8270侧上梁</v>
          </cell>
        </row>
        <row r="16194">
          <cell r="D16194" t="str">
            <v>BC221P2LB-003-001</v>
          </cell>
          <cell r="E16194" t="str">
            <v>传感器底座</v>
          </cell>
        </row>
        <row r="16195">
          <cell r="D16195" t="str">
            <v>CB5512300-006R003</v>
          </cell>
          <cell r="E16195" t="str">
            <v>1#斜肋</v>
          </cell>
        </row>
        <row r="16196">
          <cell r="D16196" t="str">
            <v>CB5512300-006R003</v>
          </cell>
          <cell r="E16196" t="str">
            <v>1#斜肋</v>
          </cell>
        </row>
        <row r="16197">
          <cell r="D16197" t="str">
            <v>CB5512300-006R003</v>
          </cell>
          <cell r="E16197" t="str">
            <v>1#斜肋</v>
          </cell>
        </row>
        <row r="16198">
          <cell r="D16198" t="str">
            <v>CB5512300-006R003</v>
          </cell>
          <cell r="E16198" t="str">
            <v>1#斜肋</v>
          </cell>
        </row>
        <row r="16199">
          <cell r="D16199" t="str">
            <v>CB5512300-006R003</v>
          </cell>
          <cell r="E16199" t="str">
            <v>1#斜肋</v>
          </cell>
        </row>
        <row r="16200">
          <cell r="D16200" t="str">
            <v>CB5512300-006R003</v>
          </cell>
          <cell r="E16200" t="str">
            <v>1#斜肋</v>
          </cell>
        </row>
        <row r="16201">
          <cell r="D16201" t="str">
            <v>CB5512300-006R003</v>
          </cell>
          <cell r="E16201" t="str">
            <v>1#斜肋</v>
          </cell>
        </row>
        <row r="16202">
          <cell r="D16202" t="str">
            <v>CB5512300-006R003</v>
          </cell>
          <cell r="E16202" t="str">
            <v>1#斜肋</v>
          </cell>
        </row>
        <row r="16203">
          <cell r="D16203" t="str">
            <v>CB5512300-006R003</v>
          </cell>
          <cell r="E16203" t="str">
            <v>1#斜肋</v>
          </cell>
        </row>
        <row r="16204">
          <cell r="D16204" t="str">
            <v>CB5512300-006R003</v>
          </cell>
          <cell r="E16204" t="str">
            <v>1#斜肋</v>
          </cell>
        </row>
        <row r="16205">
          <cell r="D16205" t="str">
            <v>CB5512300-006R003</v>
          </cell>
          <cell r="E16205" t="str">
            <v>1#斜肋</v>
          </cell>
        </row>
        <row r="16206">
          <cell r="D16206" t="str">
            <v>CB5512300-006R003</v>
          </cell>
          <cell r="E16206" t="str">
            <v>1#斜肋</v>
          </cell>
        </row>
        <row r="16207">
          <cell r="D16207" t="str">
            <v>CB5512300-006R003</v>
          </cell>
          <cell r="E16207" t="str">
            <v>1#斜肋</v>
          </cell>
        </row>
        <row r="16208">
          <cell r="D16208" t="str">
            <v>CB5512300-006R003</v>
          </cell>
          <cell r="E16208" t="str">
            <v>1#斜肋</v>
          </cell>
        </row>
        <row r="16209">
          <cell r="D16209" t="str">
            <v>CB5512300-006L003</v>
          </cell>
          <cell r="E16209" t="str">
            <v>1#斜肋</v>
          </cell>
        </row>
        <row r="16210">
          <cell r="D16210" t="str">
            <v>CB5512300-006L003</v>
          </cell>
          <cell r="E16210" t="str">
            <v>1#斜肋</v>
          </cell>
        </row>
        <row r="16211">
          <cell r="D16211" t="str">
            <v>CB5512300-006L003</v>
          </cell>
          <cell r="E16211" t="str">
            <v>1#斜肋</v>
          </cell>
        </row>
        <row r="16212">
          <cell r="D16212" t="str">
            <v>CB5512300-006L003</v>
          </cell>
          <cell r="E16212" t="str">
            <v>1#斜肋</v>
          </cell>
        </row>
        <row r="16213">
          <cell r="D16213" t="str">
            <v>CB5512300-006L003</v>
          </cell>
          <cell r="E16213" t="str">
            <v>1#斜肋</v>
          </cell>
        </row>
        <row r="16214">
          <cell r="D16214" t="str">
            <v>CB5512300-006L003</v>
          </cell>
          <cell r="E16214" t="str">
            <v>1#斜肋</v>
          </cell>
        </row>
        <row r="16215">
          <cell r="D16215" t="str">
            <v>CB5512300-006L003</v>
          </cell>
          <cell r="E16215" t="str">
            <v>1#斜肋</v>
          </cell>
        </row>
        <row r="16216">
          <cell r="D16216" t="str">
            <v>CB5512300-006L003</v>
          </cell>
          <cell r="E16216" t="str">
            <v>1#斜肋</v>
          </cell>
        </row>
        <row r="16217">
          <cell r="D16217" t="str">
            <v>CB5512300-006L003</v>
          </cell>
          <cell r="E16217" t="str">
            <v>1#斜肋</v>
          </cell>
        </row>
        <row r="16218">
          <cell r="D16218" t="str">
            <v>CB5512300-006L003</v>
          </cell>
          <cell r="E16218" t="str">
            <v>1#斜肋</v>
          </cell>
        </row>
        <row r="16219">
          <cell r="D16219" t="str">
            <v>CB5512300-006L003</v>
          </cell>
          <cell r="E16219" t="str">
            <v>1#斜肋</v>
          </cell>
        </row>
        <row r="16220">
          <cell r="D16220" t="str">
            <v>CB5512300-006L003</v>
          </cell>
          <cell r="E16220" t="str">
            <v>1#斜肋</v>
          </cell>
        </row>
        <row r="16221">
          <cell r="D16221" t="str">
            <v>CB5512300-006L003</v>
          </cell>
          <cell r="E16221" t="str">
            <v>1#斜肋</v>
          </cell>
        </row>
        <row r="16222">
          <cell r="D16222" t="str">
            <v>CB5512300-006L003</v>
          </cell>
          <cell r="E16222" t="str">
            <v>1#斜肋</v>
          </cell>
        </row>
        <row r="16223">
          <cell r="D16223" t="str">
            <v>CB5512300-004R002</v>
          </cell>
          <cell r="E16223" t="str">
            <v>根肋前段</v>
          </cell>
        </row>
        <row r="16224">
          <cell r="D16224" t="str">
            <v>CB5512300-004L002</v>
          </cell>
          <cell r="E16224" t="str">
            <v>根肋前段</v>
          </cell>
        </row>
        <row r="16225">
          <cell r="D16225" t="str">
            <v>CB5512300-004L002</v>
          </cell>
          <cell r="E16225" t="str">
            <v>根肋前段</v>
          </cell>
        </row>
        <row r="16226">
          <cell r="D16226" t="str">
            <v>CB5512300-005L002</v>
          </cell>
          <cell r="E16226" t="str">
            <v>根肋后段</v>
          </cell>
        </row>
        <row r="16227">
          <cell r="D16227" t="str">
            <v>CB5512300-005L002</v>
          </cell>
          <cell r="E16227" t="str">
            <v>根肋后段</v>
          </cell>
        </row>
        <row r="16228">
          <cell r="D16228" t="str">
            <v>CB5512300-005L002</v>
          </cell>
          <cell r="E16228" t="str">
            <v>根肋后段</v>
          </cell>
        </row>
        <row r="16229">
          <cell r="D16229" t="str">
            <v>CB5512300-005L002</v>
          </cell>
          <cell r="E16229" t="str">
            <v>根肋后段</v>
          </cell>
        </row>
        <row r="16230">
          <cell r="D16230" t="str">
            <v>CB5512300-005L002</v>
          </cell>
          <cell r="E16230" t="str">
            <v>根肋后段</v>
          </cell>
        </row>
        <row r="16231">
          <cell r="D16231" t="str">
            <v>C532210912-001-001</v>
          </cell>
          <cell r="E16231" t="str">
            <v>卡环</v>
          </cell>
        </row>
        <row r="16232">
          <cell r="D16232" t="str">
            <v>C532210912-001-001</v>
          </cell>
          <cell r="E16232" t="str">
            <v>卡环</v>
          </cell>
        </row>
        <row r="16233">
          <cell r="D16233" t="str">
            <v>C532210912-001-001</v>
          </cell>
          <cell r="E16233" t="str">
            <v>卡环</v>
          </cell>
        </row>
        <row r="16234">
          <cell r="D16234" t="str">
            <v>C532210912-001-001</v>
          </cell>
          <cell r="E16234" t="str">
            <v>卡环</v>
          </cell>
        </row>
        <row r="16235">
          <cell r="D16235" t="str">
            <v>CB5324500-003R002</v>
          </cell>
          <cell r="E16235" t="str">
            <v>前端框</v>
          </cell>
        </row>
        <row r="16236">
          <cell r="D16236" t="str">
            <v>CB22924J0-001-001</v>
          </cell>
          <cell r="E16236" t="str">
            <v>角片</v>
          </cell>
        </row>
        <row r="16237">
          <cell r="D16237" t="str">
            <v>DD-J10B-65000-1720G2-1</v>
          </cell>
          <cell r="E16237" t="str">
            <v>管子</v>
          </cell>
        </row>
        <row r="16238">
          <cell r="D16238" t="str">
            <v>DD-J10B-94091-4141G2</v>
          </cell>
          <cell r="E16238" t="str">
            <v>三通接头</v>
          </cell>
        </row>
        <row r="16239">
          <cell r="D16239" t="str">
            <v>DD-J10-55014-3200-1</v>
          </cell>
          <cell r="E16239" t="str">
            <v>耳环螺栓</v>
          </cell>
        </row>
        <row r="16240">
          <cell r="D16240" t="str">
            <v>DD-J10-55014-2160-1</v>
          </cell>
          <cell r="E16240" t="str">
            <v>耳环螺栓</v>
          </cell>
        </row>
        <row r="16241">
          <cell r="D16241" t="str">
            <v>DD-J10-55014-2160-1</v>
          </cell>
          <cell r="E16241" t="str">
            <v>耳环螺栓</v>
          </cell>
        </row>
        <row r="16242">
          <cell r="D16242" t="str">
            <v>DD-J10-61031-44</v>
          </cell>
          <cell r="E16242" t="str">
            <v>压板</v>
          </cell>
        </row>
        <row r="16243">
          <cell r="D16243" t="str">
            <v>DD-J10B-02121-1AG2-Y</v>
          </cell>
          <cell r="E16243" t="str">
            <v>BL280侧壁（右件）</v>
          </cell>
        </row>
        <row r="16244">
          <cell r="D16244" t="str">
            <v>DD-J10B-02121-1AG2-Z</v>
          </cell>
          <cell r="E16244" t="str">
            <v>BL280侧壁（左件）</v>
          </cell>
        </row>
        <row r="16245">
          <cell r="D16245" t="str">
            <v>CB5326200-125R002</v>
          </cell>
          <cell r="E16245" t="str">
            <v>9200 3号加强筋</v>
          </cell>
        </row>
        <row r="16246">
          <cell r="D16246" t="str">
            <v>CB5326200-125L002</v>
          </cell>
          <cell r="E16246" t="str">
            <v>9200 3号加强筋</v>
          </cell>
        </row>
        <row r="16247">
          <cell r="D16247" t="str">
            <v>CB5713600-001R004</v>
          </cell>
          <cell r="E16247" t="str">
            <v>前梁一段</v>
          </cell>
        </row>
        <row r="16248">
          <cell r="D16248" t="str">
            <v>CB5713600-001R004</v>
          </cell>
          <cell r="E16248" t="str">
            <v>前梁一段</v>
          </cell>
        </row>
        <row r="16249">
          <cell r="D16249" t="str">
            <v>CB5713600-001R004</v>
          </cell>
          <cell r="E16249" t="str">
            <v>前梁一段</v>
          </cell>
        </row>
        <row r="16250">
          <cell r="D16250" t="str">
            <v>CB5327120-010L015</v>
          </cell>
          <cell r="E16250" t="str">
            <v>9555侧隔框</v>
          </cell>
        </row>
        <row r="16251">
          <cell r="D16251" t="str">
            <v>CB5327120-010L015</v>
          </cell>
          <cell r="E16251" t="str">
            <v>9555侧隔框</v>
          </cell>
        </row>
        <row r="16252">
          <cell r="D16252" t="str">
            <v>CB5327120-010L015</v>
          </cell>
          <cell r="E16252" t="str">
            <v>9555侧隔框</v>
          </cell>
        </row>
        <row r="16253">
          <cell r="D16253" t="str">
            <v>CB5327120-010R015</v>
          </cell>
          <cell r="E16253" t="str">
            <v>9555侧隔框</v>
          </cell>
        </row>
        <row r="16254">
          <cell r="D16254" t="str">
            <v>CB5327120-010R015</v>
          </cell>
          <cell r="E16254" t="str">
            <v>9555侧隔框</v>
          </cell>
        </row>
        <row r="16255">
          <cell r="D16255" t="str">
            <v>CB5327120-010R015</v>
          </cell>
          <cell r="E16255" t="str">
            <v>9555侧隔框</v>
          </cell>
        </row>
        <row r="16256">
          <cell r="D16256" t="str">
            <v>CB5327110-002R004</v>
          </cell>
          <cell r="E16256" t="str">
            <v>8270右隔框</v>
          </cell>
        </row>
        <row r="16257">
          <cell r="D16257" t="str">
            <v>CB5327110-002R004</v>
          </cell>
          <cell r="E16257" t="str">
            <v>8270右隔框</v>
          </cell>
        </row>
        <row r="16258">
          <cell r="D16258" t="str">
            <v>CB5327110-002R004</v>
          </cell>
          <cell r="E16258" t="str">
            <v>8270右隔框</v>
          </cell>
        </row>
        <row r="16259">
          <cell r="D16259" t="str">
            <v>CB5327110-002L004</v>
          </cell>
          <cell r="E16259" t="str">
            <v>8270左隔框</v>
          </cell>
        </row>
        <row r="16260">
          <cell r="D16260" t="str">
            <v>CB5327110-002L004</v>
          </cell>
          <cell r="E16260" t="str">
            <v>8270左隔框</v>
          </cell>
        </row>
        <row r="16261">
          <cell r="D16261" t="str">
            <v>CB5327110-002L004</v>
          </cell>
          <cell r="E16261" t="str">
            <v>8270左隔框</v>
          </cell>
        </row>
        <row r="16262">
          <cell r="D16262" t="str">
            <v>C533114600-008R001</v>
          </cell>
          <cell r="E16262" t="str">
            <v>角材</v>
          </cell>
        </row>
        <row r="16263">
          <cell r="D16263" t="str">
            <v>C533114600-008R001</v>
          </cell>
          <cell r="E16263" t="str">
            <v>角材</v>
          </cell>
        </row>
        <row r="16264">
          <cell r="D16264" t="str">
            <v>C533114600-005R001</v>
          </cell>
          <cell r="E16264" t="str">
            <v>角盒</v>
          </cell>
        </row>
        <row r="16265">
          <cell r="D16265" t="str">
            <v>C533114600-005R001</v>
          </cell>
          <cell r="E16265" t="str">
            <v>角盒</v>
          </cell>
        </row>
        <row r="16266">
          <cell r="D16266" t="str">
            <v>C533114600-005R001</v>
          </cell>
          <cell r="E16266" t="str">
            <v>角盒</v>
          </cell>
        </row>
        <row r="16267">
          <cell r="D16267" t="str">
            <v>C533114600-005L001</v>
          </cell>
          <cell r="E16267" t="str">
            <v>角盒</v>
          </cell>
        </row>
        <row r="16268">
          <cell r="D16268" t="str">
            <v>C533114600-005L001</v>
          </cell>
          <cell r="E16268" t="str">
            <v>角盒</v>
          </cell>
        </row>
        <row r="16269">
          <cell r="D16269" t="str">
            <v>C533114600-005L001</v>
          </cell>
          <cell r="E16269" t="str">
            <v>角盒</v>
          </cell>
        </row>
        <row r="16270">
          <cell r="D16270" t="str">
            <v>C533114600-004L001</v>
          </cell>
          <cell r="E16270" t="str">
            <v>角盒</v>
          </cell>
        </row>
        <row r="16271">
          <cell r="D16271" t="str">
            <v>C533114600-004L001</v>
          </cell>
          <cell r="E16271" t="str">
            <v>角盒</v>
          </cell>
        </row>
        <row r="16272">
          <cell r="D16272" t="str">
            <v>C533114600-004L001</v>
          </cell>
          <cell r="E16272" t="str">
            <v>角盒</v>
          </cell>
        </row>
        <row r="16273">
          <cell r="D16273" t="str">
            <v>C533114600-004L001</v>
          </cell>
          <cell r="E16273" t="str">
            <v>角盒</v>
          </cell>
        </row>
        <row r="16274">
          <cell r="D16274" t="str">
            <v>C533114600-004R001</v>
          </cell>
          <cell r="E16274" t="str">
            <v>角盒</v>
          </cell>
        </row>
        <row r="16275">
          <cell r="D16275" t="str">
            <v>C533114600-004R001</v>
          </cell>
          <cell r="E16275" t="str">
            <v>角盒</v>
          </cell>
        </row>
        <row r="16276">
          <cell r="D16276" t="str">
            <v>C533114600-004R001</v>
          </cell>
          <cell r="E16276" t="str">
            <v>角盒</v>
          </cell>
        </row>
        <row r="16277">
          <cell r="D16277" t="str">
            <v>C533114600-004R001</v>
          </cell>
          <cell r="E16277" t="str">
            <v>角盒</v>
          </cell>
        </row>
        <row r="16278">
          <cell r="D16278" t="str">
            <v>CB5326200-131L002</v>
          </cell>
          <cell r="E16278" t="str">
            <v>8455 4号加强筋</v>
          </cell>
        </row>
        <row r="16279">
          <cell r="D16279" t="str">
            <v>CB5326200-131L002</v>
          </cell>
          <cell r="E16279" t="str">
            <v>8455 4号加强筋</v>
          </cell>
        </row>
        <row r="16280">
          <cell r="D16280" t="str">
            <v>CB5326200-131R002</v>
          </cell>
          <cell r="E16280" t="str">
            <v>8455 4号加强筋</v>
          </cell>
        </row>
        <row r="16281">
          <cell r="D16281" t="str">
            <v>CB5326200-131R002</v>
          </cell>
          <cell r="E16281" t="str">
            <v>8455 4号加强筋</v>
          </cell>
        </row>
        <row r="16282">
          <cell r="D16282" t="str">
            <v>CB5811400-001-001</v>
          </cell>
          <cell r="E16282" t="str">
            <v>支架</v>
          </cell>
        </row>
        <row r="16283">
          <cell r="D16283" t="str">
            <v>CB5811400-001-001</v>
          </cell>
          <cell r="E16283" t="str">
            <v>支架</v>
          </cell>
        </row>
        <row r="16284">
          <cell r="D16284" t="str">
            <v>CB5811400-001-001</v>
          </cell>
          <cell r="E16284" t="str">
            <v>支架</v>
          </cell>
        </row>
        <row r="16285">
          <cell r="D16285" t="str">
            <v>CB5811400-001-001</v>
          </cell>
          <cell r="E16285" t="str">
            <v>支架</v>
          </cell>
        </row>
        <row r="16286">
          <cell r="D16286" t="str">
            <v>CB5811400-001-001</v>
          </cell>
          <cell r="E16286" t="str">
            <v>支架</v>
          </cell>
        </row>
        <row r="16287">
          <cell r="D16287" t="str">
            <v>CB5811400-001-001</v>
          </cell>
          <cell r="E16287" t="str">
            <v>支架</v>
          </cell>
        </row>
        <row r="16288">
          <cell r="D16288" t="str">
            <v>CB5811400-001-001</v>
          </cell>
          <cell r="E16288" t="str">
            <v>支架</v>
          </cell>
        </row>
        <row r="16289">
          <cell r="D16289" t="str">
            <v>CB5811400-001-001</v>
          </cell>
          <cell r="E16289" t="str">
            <v>支架</v>
          </cell>
        </row>
        <row r="16290">
          <cell r="D16290" t="str">
            <v>CB5811400-001-001</v>
          </cell>
          <cell r="E16290" t="str">
            <v>支架</v>
          </cell>
        </row>
        <row r="16291">
          <cell r="D16291" t="str">
            <v>CB5811400-001-001</v>
          </cell>
          <cell r="E16291" t="str">
            <v>支架</v>
          </cell>
        </row>
        <row r="16292">
          <cell r="D16292" t="str">
            <v>CB5811400-001-001</v>
          </cell>
          <cell r="E16292" t="str">
            <v>支架</v>
          </cell>
        </row>
        <row r="16293">
          <cell r="D16293" t="str">
            <v>CB5811400-001-001</v>
          </cell>
          <cell r="E16293" t="str">
            <v>支架</v>
          </cell>
        </row>
        <row r="16294">
          <cell r="D16294" t="str">
            <v>CB5811400-001-001</v>
          </cell>
          <cell r="E16294" t="str">
            <v>支架</v>
          </cell>
        </row>
        <row r="16295">
          <cell r="D16295" t="str">
            <v>CB5811400-001-001</v>
          </cell>
          <cell r="E16295" t="str">
            <v>支架</v>
          </cell>
        </row>
        <row r="16296">
          <cell r="D16296" t="str">
            <v>CB5811400-001-001</v>
          </cell>
          <cell r="E16296" t="str">
            <v>支架</v>
          </cell>
        </row>
        <row r="16297">
          <cell r="D16297" t="str">
            <v>CB5811400-001-001</v>
          </cell>
          <cell r="E16297" t="str">
            <v>支架</v>
          </cell>
        </row>
        <row r="16298">
          <cell r="D16298" t="str">
            <v>CB5811400-002-001</v>
          </cell>
          <cell r="E16298" t="str">
            <v>支架</v>
          </cell>
        </row>
        <row r="16299">
          <cell r="D16299" t="str">
            <v>CB5811400-002-001</v>
          </cell>
          <cell r="E16299" t="str">
            <v>支架</v>
          </cell>
        </row>
        <row r="16300">
          <cell r="D16300" t="str">
            <v>CB5811400-002-001</v>
          </cell>
          <cell r="E16300" t="str">
            <v>支架</v>
          </cell>
        </row>
        <row r="16301">
          <cell r="D16301" t="str">
            <v>CB5811400-002-001</v>
          </cell>
          <cell r="E16301" t="str">
            <v>支架</v>
          </cell>
        </row>
        <row r="16302">
          <cell r="D16302" t="str">
            <v>CB5811400-002-001</v>
          </cell>
          <cell r="E16302" t="str">
            <v>支架</v>
          </cell>
        </row>
        <row r="16303">
          <cell r="D16303" t="str">
            <v>CB5811400-002-001</v>
          </cell>
          <cell r="E16303" t="str">
            <v>支架</v>
          </cell>
        </row>
        <row r="16304">
          <cell r="D16304" t="str">
            <v>CB5811400-002-001</v>
          </cell>
          <cell r="E16304" t="str">
            <v>支架</v>
          </cell>
        </row>
        <row r="16305">
          <cell r="D16305" t="str">
            <v>CB5811400-002-001</v>
          </cell>
          <cell r="E16305" t="str">
            <v>支架</v>
          </cell>
        </row>
        <row r="16306">
          <cell r="D16306" t="str">
            <v>CB5811400-002-001</v>
          </cell>
          <cell r="E16306" t="str">
            <v>支架</v>
          </cell>
        </row>
        <row r="16307">
          <cell r="D16307" t="str">
            <v>CB5811400-002-001</v>
          </cell>
          <cell r="E16307" t="str">
            <v>支架</v>
          </cell>
        </row>
        <row r="16308">
          <cell r="D16308" t="str">
            <v>CB5811400-002-001</v>
          </cell>
          <cell r="E16308" t="str">
            <v>支架</v>
          </cell>
        </row>
        <row r="16309">
          <cell r="D16309" t="str">
            <v>CB5811400-002-001</v>
          </cell>
          <cell r="E16309" t="str">
            <v>支架</v>
          </cell>
        </row>
        <row r="16310">
          <cell r="D16310" t="str">
            <v>CB5811400-002-001</v>
          </cell>
          <cell r="E16310" t="str">
            <v>支架</v>
          </cell>
        </row>
        <row r="16311">
          <cell r="D16311" t="str">
            <v>CB5811400-002-001</v>
          </cell>
          <cell r="E16311" t="str">
            <v>支架</v>
          </cell>
        </row>
        <row r="16312">
          <cell r="D16312" t="str">
            <v>CB5811400-002-001</v>
          </cell>
          <cell r="E16312" t="str">
            <v>支架</v>
          </cell>
        </row>
        <row r="16313">
          <cell r="D16313" t="str">
            <v>CB5811400-002-001</v>
          </cell>
          <cell r="E16313" t="str">
            <v>支架</v>
          </cell>
        </row>
        <row r="16314">
          <cell r="D16314" t="str">
            <v>CB5811400-002-001</v>
          </cell>
          <cell r="E16314" t="str">
            <v>支架</v>
          </cell>
        </row>
        <row r="16315">
          <cell r="D16315" t="str">
            <v>CB5811400-002-001</v>
          </cell>
          <cell r="E16315" t="str">
            <v>支架</v>
          </cell>
        </row>
        <row r="16316">
          <cell r="D16316" t="str">
            <v>CB5742000-008-006</v>
          </cell>
          <cell r="E16316" t="str">
            <v>角片</v>
          </cell>
        </row>
        <row r="16317">
          <cell r="D16317" t="str">
            <v>CB5742000-008-006</v>
          </cell>
          <cell r="E16317" t="str">
            <v>角片</v>
          </cell>
        </row>
        <row r="16318">
          <cell r="D16318" t="str">
            <v>CB5742000-008-006</v>
          </cell>
          <cell r="E16318" t="str">
            <v>角片</v>
          </cell>
        </row>
        <row r="16319">
          <cell r="D16319" t="str">
            <v>CB5742000-008-006</v>
          </cell>
          <cell r="E16319" t="str">
            <v>角片</v>
          </cell>
        </row>
        <row r="16320">
          <cell r="D16320" t="str">
            <v>CB5742000-008-006</v>
          </cell>
          <cell r="E16320" t="str">
            <v>角片</v>
          </cell>
        </row>
        <row r="16321">
          <cell r="D16321" t="str">
            <v>CB5742000-008-006</v>
          </cell>
          <cell r="E16321" t="str">
            <v>角片</v>
          </cell>
        </row>
        <row r="16322">
          <cell r="D16322" t="str">
            <v>CB5742000-008-006</v>
          </cell>
          <cell r="E16322" t="str">
            <v>角片</v>
          </cell>
        </row>
        <row r="16323">
          <cell r="D16323" t="str">
            <v>CB5742000-008-006</v>
          </cell>
          <cell r="E16323" t="str">
            <v>角片</v>
          </cell>
        </row>
        <row r="16324">
          <cell r="D16324" t="str">
            <v>CB5742000-008-006</v>
          </cell>
          <cell r="E16324" t="str">
            <v>角片</v>
          </cell>
        </row>
        <row r="16325">
          <cell r="D16325" t="str">
            <v>CB5742000-008-006</v>
          </cell>
          <cell r="E16325" t="str">
            <v>角片</v>
          </cell>
        </row>
        <row r="16326">
          <cell r="D16326" t="str">
            <v>CB5742000-008-006</v>
          </cell>
          <cell r="E16326" t="str">
            <v>角片</v>
          </cell>
        </row>
        <row r="16327">
          <cell r="D16327" t="str">
            <v>CB5742000-008-006</v>
          </cell>
          <cell r="E16327" t="str">
            <v>角片</v>
          </cell>
        </row>
        <row r="16328">
          <cell r="D16328" t="str">
            <v>CB5742000-008-006</v>
          </cell>
          <cell r="E16328" t="str">
            <v>角片</v>
          </cell>
        </row>
        <row r="16329">
          <cell r="D16329" t="str">
            <v>CB5742000-008-006</v>
          </cell>
          <cell r="E16329" t="str">
            <v>角片</v>
          </cell>
        </row>
        <row r="16330">
          <cell r="D16330" t="str">
            <v>CB5742000-008-006</v>
          </cell>
          <cell r="E16330" t="str">
            <v>角片</v>
          </cell>
        </row>
        <row r="16331">
          <cell r="D16331" t="str">
            <v>CB5742000-008-006</v>
          </cell>
          <cell r="E16331" t="str">
            <v>角片</v>
          </cell>
        </row>
        <row r="16332">
          <cell r="D16332" t="str">
            <v>CB5742000-008-006</v>
          </cell>
          <cell r="E16332" t="str">
            <v>角片</v>
          </cell>
        </row>
        <row r="16333">
          <cell r="D16333" t="str">
            <v>CB5742000-008-006</v>
          </cell>
          <cell r="E16333" t="str">
            <v>角片</v>
          </cell>
        </row>
        <row r="16334">
          <cell r="D16334" t="str">
            <v>CB5742000-008-006</v>
          </cell>
          <cell r="E16334" t="str">
            <v>角片</v>
          </cell>
        </row>
        <row r="16335">
          <cell r="D16335" t="str">
            <v>CB5742000-008-006</v>
          </cell>
          <cell r="E16335" t="str">
            <v>角片</v>
          </cell>
        </row>
        <row r="16336">
          <cell r="D16336" t="str">
            <v>CB5742000-008-006</v>
          </cell>
          <cell r="E16336" t="str">
            <v>角片</v>
          </cell>
        </row>
        <row r="16337">
          <cell r="D16337" t="str">
            <v>CB5742000-008-006</v>
          </cell>
          <cell r="E16337" t="str">
            <v>角片</v>
          </cell>
        </row>
        <row r="16338">
          <cell r="D16338" t="str">
            <v>CB5742000-008-006</v>
          </cell>
          <cell r="E16338" t="str">
            <v>角片</v>
          </cell>
        </row>
        <row r="16339">
          <cell r="D16339" t="str">
            <v>CB5742000-008-006</v>
          </cell>
          <cell r="E16339" t="str">
            <v>角片</v>
          </cell>
        </row>
        <row r="16340">
          <cell r="D16340" t="str">
            <v>CB5742000-008-006</v>
          </cell>
          <cell r="E16340" t="str">
            <v>角片</v>
          </cell>
        </row>
        <row r="16341">
          <cell r="D16341" t="str">
            <v>CB5742000-008-006</v>
          </cell>
          <cell r="E16341" t="str">
            <v>角片</v>
          </cell>
        </row>
        <row r="16342">
          <cell r="D16342" t="str">
            <v>CB5742000-008-006</v>
          </cell>
          <cell r="E16342" t="str">
            <v>角片</v>
          </cell>
        </row>
        <row r="16343">
          <cell r="D16343" t="str">
            <v>CB5742000-008-006</v>
          </cell>
          <cell r="E16343" t="str">
            <v>角片</v>
          </cell>
        </row>
        <row r="16344">
          <cell r="D16344" t="str">
            <v>CB5742000-008-006</v>
          </cell>
          <cell r="E16344" t="str">
            <v>角片</v>
          </cell>
        </row>
        <row r="16345">
          <cell r="D16345" t="str">
            <v>CB5742000-008-006</v>
          </cell>
          <cell r="E16345" t="str">
            <v>角片</v>
          </cell>
        </row>
        <row r="16346">
          <cell r="D16346" t="str">
            <v>CB5713600-001R004</v>
          </cell>
          <cell r="E16346" t="str">
            <v>前梁一段</v>
          </cell>
        </row>
        <row r="16347">
          <cell r="D16347" t="str">
            <v>CB221T9MLN003-001</v>
          </cell>
          <cell r="E16347" t="str">
            <v>液体压力传感器接管嘴</v>
          </cell>
        </row>
        <row r="16348">
          <cell r="D16348" t="str">
            <v>BC2711313-006-001</v>
          </cell>
          <cell r="E16348" t="str">
            <v>球头</v>
          </cell>
        </row>
        <row r="16349">
          <cell r="D16349" t="str">
            <v>BC2711364-001-001</v>
          </cell>
          <cell r="E16349" t="str">
            <v>螺母1</v>
          </cell>
        </row>
        <row r="16350">
          <cell r="D16350" t="str">
            <v>BC2281641-002-001</v>
          </cell>
          <cell r="E16350" t="str">
            <v>接头</v>
          </cell>
        </row>
        <row r="16351">
          <cell r="D16351" t="str">
            <v>BC2711365-001-001</v>
          </cell>
          <cell r="E16351" t="str">
            <v>螺母</v>
          </cell>
        </row>
        <row r="16352">
          <cell r="D16352" t="str">
            <v>DD-J10B-55015-4100-1</v>
          </cell>
          <cell r="E16352" t="str">
            <v>垫圈</v>
          </cell>
        </row>
        <row r="16353">
          <cell r="D16353" t="str">
            <v>DD-J10B-55015-4100-1</v>
          </cell>
          <cell r="E16353" t="str">
            <v>垫圈</v>
          </cell>
        </row>
        <row r="16354">
          <cell r="D16354" t="str">
            <v>DD-J10B-55015-4100-1</v>
          </cell>
          <cell r="E16354" t="str">
            <v>垫圈</v>
          </cell>
        </row>
        <row r="16355">
          <cell r="D16355" t="str">
            <v>DD-J10B-55015-4100-1</v>
          </cell>
          <cell r="E16355" t="str">
            <v>垫圈</v>
          </cell>
        </row>
        <row r="16356">
          <cell r="D16356" t="str">
            <v>DD-J10B-34303-11G2</v>
          </cell>
          <cell r="E16356" t="str">
            <v>第4隔板</v>
          </cell>
        </row>
        <row r="16357">
          <cell r="D16357" t="str">
            <v>CB5324310-016-006</v>
          </cell>
          <cell r="E16357" t="str">
            <v>带板</v>
          </cell>
        </row>
        <row r="16358">
          <cell r="D16358" t="str">
            <v>CB5324310-016-006</v>
          </cell>
          <cell r="E16358" t="str">
            <v>带板</v>
          </cell>
        </row>
        <row r="16359">
          <cell r="D16359" t="str">
            <v>CB5324310-016-006</v>
          </cell>
          <cell r="E16359" t="str">
            <v>带板</v>
          </cell>
        </row>
        <row r="16360">
          <cell r="D16360" t="str">
            <v>CB5324310-016-006</v>
          </cell>
          <cell r="E16360" t="str">
            <v>带板</v>
          </cell>
        </row>
        <row r="16361">
          <cell r="D16361" t="str">
            <v>CB5324310-016-006</v>
          </cell>
          <cell r="E16361" t="str">
            <v>带板</v>
          </cell>
        </row>
        <row r="16362">
          <cell r="D16362" t="str">
            <v>CB5315190-002L001</v>
          </cell>
          <cell r="E16362" t="str">
            <v>WL-600地板梁</v>
          </cell>
        </row>
        <row r="16363">
          <cell r="D16363" t="str">
            <v>CB5315190-002L001</v>
          </cell>
          <cell r="E16363" t="str">
            <v>WL-600地板梁</v>
          </cell>
        </row>
        <row r="16364">
          <cell r="D16364" t="str">
            <v>CB5315190-002L001</v>
          </cell>
          <cell r="E16364" t="str">
            <v>WL-600地板梁</v>
          </cell>
        </row>
        <row r="16365">
          <cell r="D16365" t="str">
            <v>CB5315190-002L001</v>
          </cell>
          <cell r="E16365" t="str">
            <v>WL-600地板梁</v>
          </cell>
        </row>
        <row r="16366">
          <cell r="D16366" t="str">
            <v>CB5315190-002L001</v>
          </cell>
          <cell r="E16366" t="str">
            <v>WL-600地板梁</v>
          </cell>
        </row>
        <row r="16367">
          <cell r="D16367" t="str">
            <v>CB5315190-002L001</v>
          </cell>
          <cell r="E16367" t="str">
            <v>WL-600地板梁</v>
          </cell>
        </row>
        <row r="16368">
          <cell r="D16368" t="str">
            <v>CB5315190-002L001</v>
          </cell>
          <cell r="E16368" t="str">
            <v>WL-600地板梁</v>
          </cell>
        </row>
        <row r="16369">
          <cell r="D16369" t="str">
            <v>CB5315190-002L001</v>
          </cell>
          <cell r="E16369" t="str">
            <v>WL-600地板梁</v>
          </cell>
        </row>
        <row r="16370">
          <cell r="D16370" t="str">
            <v>CB5315190-002L001</v>
          </cell>
          <cell r="E16370" t="str">
            <v>WL-600地板梁</v>
          </cell>
        </row>
        <row r="16371">
          <cell r="D16371" t="str">
            <v>CB5315190-002L001</v>
          </cell>
          <cell r="E16371" t="str">
            <v>WL-600地板梁</v>
          </cell>
        </row>
        <row r="16372">
          <cell r="D16372" t="str">
            <v>CB2297021-001-001</v>
          </cell>
          <cell r="E16372" t="str">
            <v>支架</v>
          </cell>
        </row>
        <row r="16373">
          <cell r="D16373" t="str">
            <v>CB229C070-001R001</v>
          </cell>
          <cell r="E16373" t="str">
            <v>支架</v>
          </cell>
        </row>
        <row r="16374">
          <cell r="D16374" t="str">
            <v>CB229C071-001L001</v>
          </cell>
          <cell r="E16374" t="str">
            <v>支架</v>
          </cell>
        </row>
        <row r="16375">
          <cell r="D16375" t="str">
            <v>CB22956R0-001R001</v>
          </cell>
          <cell r="E16375" t="str">
            <v>架子</v>
          </cell>
        </row>
        <row r="16376">
          <cell r="D16376" t="str">
            <v>CB5315193-005-003</v>
          </cell>
          <cell r="E16376" t="str">
            <v>口盖</v>
          </cell>
        </row>
        <row r="16377">
          <cell r="D16377" t="str">
            <v>DD-J10-61001-722</v>
          </cell>
          <cell r="E16377" t="str">
            <v>螺栓</v>
          </cell>
        </row>
        <row r="16378">
          <cell r="D16378" t="str">
            <v>DD-J10-61001-722</v>
          </cell>
          <cell r="E16378" t="str">
            <v>螺栓</v>
          </cell>
        </row>
        <row r="16379">
          <cell r="D16379" t="str">
            <v>BC2292193-005-001</v>
          </cell>
          <cell r="E16379" t="str">
            <v>内径6接头</v>
          </cell>
        </row>
        <row r="16380">
          <cell r="D16380" t="str">
            <v>BC2292193-006-001</v>
          </cell>
          <cell r="E16380" t="str">
            <v>内径4接头</v>
          </cell>
        </row>
        <row r="16381">
          <cell r="D16381" t="str">
            <v>BC2712530-003-001</v>
          </cell>
          <cell r="E16381" t="str">
            <v>M6套筒</v>
          </cell>
        </row>
        <row r="16382">
          <cell r="D16382" t="str">
            <v>BC22846Y4-004-001</v>
          </cell>
          <cell r="E16382" t="str">
            <v>螺母</v>
          </cell>
        </row>
        <row r="16383">
          <cell r="D16383" t="str">
            <v>DD-J10B-02161-501</v>
          </cell>
          <cell r="E16383" t="str">
            <v>5755横框</v>
          </cell>
        </row>
        <row r="16384">
          <cell r="D16384" t="str">
            <v>Y20-5316107001-002</v>
          </cell>
          <cell r="E16384" t="str">
            <v>脚蹬纵向加强件</v>
          </cell>
        </row>
        <row r="16385">
          <cell r="D16385" t="str">
            <v>Y20-5319160013-001</v>
          </cell>
          <cell r="E16385" t="str">
            <v>接头</v>
          </cell>
        </row>
        <row r="16386">
          <cell r="D16386" t="str">
            <v>Y20-5319160013-001</v>
          </cell>
          <cell r="E16386" t="str">
            <v>接头</v>
          </cell>
        </row>
        <row r="16387">
          <cell r="D16387" t="str">
            <v>CB5327120-003L006</v>
          </cell>
          <cell r="E16387" t="str">
            <v>8270侧隔框</v>
          </cell>
        </row>
        <row r="16388">
          <cell r="D16388" t="str">
            <v>CB5327120-003L006</v>
          </cell>
          <cell r="E16388" t="str">
            <v>8270侧隔框</v>
          </cell>
        </row>
        <row r="16389">
          <cell r="D16389" t="str">
            <v>CB5327120-003L006</v>
          </cell>
          <cell r="E16389" t="str">
            <v>8270侧隔框</v>
          </cell>
        </row>
        <row r="16390">
          <cell r="D16390" t="str">
            <v>CB5327120-003L006</v>
          </cell>
          <cell r="E16390" t="str">
            <v>8270侧隔框</v>
          </cell>
        </row>
        <row r="16391">
          <cell r="D16391" t="str">
            <v>CB5327120-003L006</v>
          </cell>
          <cell r="E16391" t="str">
            <v>8270侧隔框</v>
          </cell>
        </row>
        <row r="16392">
          <cell r="D16392" t="str">
            <v>CB5327120-003L006</v>
          </cell>
          <cell r="E16392" t="str">
            <v>8270侧隔框</v>
          </cell>
        </row>
        <row r="16393">
          <cell r="D16393" t="str">
            <v>CB5327120-003R006</v>
          </cell>
          <cell r="E16393" t="str">
            <v>8270侧隔框</v>
          </cell>
        </row>
        <row r="16394">
          <cell r="D16394" t="str">
            <v>CB5327120-003R006</v>
          </cell>
          <cell r="E16394" t="str">
            <v>8270侧隔框</v>
          </cell>
        </row>
        <row r="16395">
          <cell r="D16395" t="str">
            <v>CB5327120-003R006</v>
          </cell>
          <cell r="E16395" t="str">
            <v>8270侧隔框</v>
          </cell>
        </row>
        <row r="16396">
          <cell r="D16396" t="str">
            <v>CB5327120-003R006</v>
          </cell>
          <cell r="E16396" t="str">
            <v>8270侧隔框</v>
          </cell>
        </row>
        <row r="16397">
          <cell r="D16397" t="str">
            <v>CB5327120-003R006</v>
          </cell>
          <cell r="E16397" t="str">
            <v>8270侧隔框</v>
          </cell>
        </row>
        <row r="16398">
          <cell r="D16398" t="str">
            <v>CB5327120-003R006</v>
          </cell>
          <cell r="E16398" t="str">
            <v>8270侧隔框</v>
          </cell>
        </row>
        <row r="16399">
          <cell r="D16399" t="str">
            <v>BC3101242-013L001</v>
          </cell>
          <cell r="E16399" t="str">
            <v>套筒</v>
          </cell>
        </row>
        <row r="16400">
          <cell r="D16400" t="str">
            <v>BC3101242-013R001</v>
          </cell>
          <cell r="E16400" t="str">
            <v>套筒</v>
          </cell>
        </row>
        <row r="16401">
          <cell r="D16401" t="str">
            <v>BC3101242-013R001</v>
          </cell>
          <cell r="E16401" t="str">
            <v>套筒</v>
          </cell>
        </row>
        <row r="16402">
          <cell r="D16402" t="str">
            <v>DD-J10B-55121-6</v>
          </cell>
          <cell r="E16402" t="str">
            <v>角片</v>
          </cell>
        </row>
        <row r="16403">
          <cell r="D16403" t="str">
            <v>DD-J10B-55121-6</v>
          </cell>
          <cell r="E16403" t="str">
            <v>角片</v>
          </cell>
        </row>
        <row r="16404">
          <cell r="D16404" t="str">
            <v>DD-J10B-41045-8</v>
          </cell>
          <cell r="E16404" t="str">
            <v>轴</v>
          </cell>
        </row>
        <row r="16405">
          <cell r="D16405" t="str">
            <v>DD-J10-06031-302</v>
          </cell>
          <cell r="E16405" t="str">
            <v>支座</v>
          </cell>
        </row>
        <row r="16406">
          <cell r="D16406" t="str">
            <v>CB5811300-002-001</v>
          </cell>
          <cell r="E16406" t="str">
            <v>垫圈</v>
          </cell>
        </row>
        <row r="16407">
          <cell r="D16407" t="str">
            <v>Y20-5312143002-001</v>
          </cell>
          <cell r="E16407" t="str">
            <v>曲手柄转轴</v>
          </cell>
        </row>
        <row r="16408">
          <cell r="D16408" t="str">
            <v>Y20-5315200202-001</v>
          </cell>
          <cell r="E16408" t="str">
            <v>15框外缘角型接头</v>
          </cell>
        </row>
        <row r="16409">
          <cell r="D16409" t="str">
            <v>Y20-5315200202-002</v>
          </cell>
          <cell r="E16409" t="str">
            <v>15框外缘角型接头</v>
          </cell>
        </row>
        <row r="16410">
          <cell r="D16410" t="str">
            <v>Y20-5318210003-001</v>
          </cell>
          <cell r="E16410" t="str">
            <v>前撑杆交点衬套</v>
          </cell>
        </row>
        <row r="16411">
          <cell r="D16411" t="str">
            <v>Y20-5318210003-002</v>
          </cell>
          <cell r="E16411" t="str">
            <v>前撑杆交点衬套</v>
          </cell>
        </row>
        <row r="16412">
          <cell r="D16412" t="str">
            <v>CB2292112-003-001</v>
          </cell>
          <cell r="E16412" t="str">
            <v>小轴</v>
          </cell>
        </row>
        <row r="16413">
          <cell r="D16413" t="str">
            <v>DD-J10-68095-1300-3</v>
          </cell>
          <cell r="E16413" t="str">
            <v>衬套</v>
          </cell>
        </row>
        <row r="16414">
          <cell r="D16414" t="str">
            <v>DD-J10-68095-1100-2</v>
          </cell>
          <cell r="E16414" t="str">
            <v>衬套</v>
          </cell>
        </row>
        <row r="16415">
          <cell r="D16415" t="str">
            <v>DD-J10-86021-4010-1</v>
          </cell>
          <cell r="E16415" t="str">
            <v>套筒</v>
          </cell>
        </row>
        <row r="16416">
          <cell r="D16416" t="str">
            <v>DD-J10-55165-1440-3</v>
          </cell>
          <cell r="E16416" t="str">
            <v>衬套</v>
          </cell>
        </row>
        <row r="16417">
          <cell r="D16417" t="str">
            <v>DD-J10-54101-2805</v>
          </cell>
          <cell r="E16417" t="str">
            <v>滑轮</v>
          </cell>
        </row>
        <row r="16418">
          <cell r="D16418" t="str">
            <v>DD-J10-86021-4020-1</v>
          </cell>
          <cell r="E16418" t="str">
            <v>套筒</v>
          </cell>
        </row>
        <row r="16419">
          <cell r="D16419" t="str">
            <v>DD-J10-55165-3110-1</v>
          </cell>
          <cell r="E16419" t="str">
            <v>衬套</v>
          </cell>
        </row>
        <row r="16420">
          <cell r="D16420" t="str">
            <v>DD-J10-55165-1510-2</v>
          </cell>
          <cell r="E16420" t="str">
            <v>衬套</v>
          </cell>
        </row>
        <row r="16421">
          <cell r="D16421" t="str">
            <v>DD-J10-55165-3110-1</v>
          </cell>
          <cell r="E16421" t="str">
            <v>衬套</v>
          </cell>
        </row>
        <row r="16422">
          <cell r="D16422" t="str">
            <v>DD-J10-55165-1430-2</v>
          </cell>
          <cell r="E16422" t="str">
            <v>衬套</v>
          </cell>
        </row>
        <row r="16423">
          <cell r="D16423" t="str">
            <v>DD-J10-55165-3110-1</v>
          </cell>
          <cell r="E16423" t="str">
            <v>衬套</v>
          </cell>
        </row>
        <row r="16424">
          <cell r="D16424" t="str">
            <v>DD-J10-96031-130-1</v>
          </cell>
          <cell r="E16424" t="str">
            <v>管子</v>
          </cell>
        </row>
        <row r="16425">
          <cell r="D16425" t="str">
            <v>DD-J10-61101-1310-1</v>
          </cell>
          <cell r="E16425" t="str">
            <v>导管</v>
          </cell>
        </row>
        <row r="16426">
          <cell r="D16426" t="str">
            <v>DD-J10B-55165-1480-1</v>
          </cell>
          <cell r="E16426" t="str">
            <v>螺栓</v>
          </cell>
        </row>
        <row r="16427">
          <cell r="D16427" t="str">
            <v>DD-J10-55155-710-3</v>
          </cell>
          <cell r="E16427" t="str">
            <v>衬套</v>
          </cell>
        </row>
        <row r="16428">
          <cell r="D16428" t="str">
            <v>DD-J10-86021-4010-1</v>
          </cell>
          <cell r="E16428" t="str">
            <v>套筒</v>
          </cell>
        </row>
        <row r="16429">
          <cell r="D16429" t="str">
            <v>DD-J10B-94076-620-1</v>
          </cell>
          <cell r="E16429" t="str">
            <v>管子</v>
          </cell>
        </row>
        <row r="16430">
          <cell r="D16430" t="str">
            <v>DD-J10-55165-1510-2</v>
          </cell>
          <cell r="E16430" t="str">
            <v>衬套</v>
          </cell>
        </row>
        <row r="16431">
          <cell r="D16431" t="str">
            <v>DD-J10B-42074-130-1</v>
          </cell>
          <cell r="E16431" t="str">
            <v>拉杆</v>
          </cell>
        </row>
        <row r="16432">
          <cell r="D16432" t="str">
            <v>DD-J10B-94061-510-2</v>
          </cell>
          <cell r="E16432" t="str">
            <v>支撑管</v>
          </cell>
        </row>
        <row r="16433">
          <cell r="D16433" t="str">
            <v>DD-J10-55014-2010-1</v>
          </cell>
          <cell r="E16433" t="str">
            <v>管子</v>
          </cell>
        </row>
        <row r="16434">
          <cell r="D16434" t="str">
            <v>DD-J10-94011-570-3</v>
          </cell>
          <cell r="E16434" t="str">
            <v>管子</v>
          </cell>
        </row>
        <row r="16435">
          <cell r="D16435" t="str">
            <v>DD-J10B-61101-3110-1</v>
          </cell>
          <cell r="E16435" t="str">
            <v>导管</v>
          </cell>
        </row>
        <row r="16436">
          <cell r="D16436" t="str">
            <v>DD-J10-61021-152</v>
          </cell>
          <cell r="E16436" t="str">
            <v>弹簧片</v>
          </cell>
        </row>
        <row r="16437">
          <cell r="D16437" t="str">
            <v>DD-J10-61021-152</v>
          </cell>
          <cell r="E16437" t="str">
            <v>弹簧片</v>
          </cell>
        </row>
        <row r="16438">
          <cell r="D16438" t="str">
            <v>DD-J10-61021-152</v>
          </cell>
          <cell r="E16438" t="str">
            <v>弹簧片</v>
          </cell>
        </row>
        <row r="16439">
          <cell r="D16439" t="str">
            <v>DD-J10-06031-302</v>
          </cell>
          <cell r="E16439" t="str">
            <v>支座</v>
          </cell>
        </row>
        <row r="16440">
          <cell r="D16440" t="str">
            <v>DD-J10B-94011-582G2</v>
          </cell>
          <cell r="E16440" t="str">
            <v>堵头</v>
          </cell>
        </row>
        <row r="16441">
          <cell r="D16441" t="str">
            <v>DD-J10B-94011-582G2</v>
          </cell>
          <cell r="E16441" t="str">
            <v>堵头</v>
          </cell>
        </row>
        <row r="16442">
          <cell r="D16442" t="str">
            <v>DD-J10-96011-12</v>
          </cell>
          <cell r="E16442" t="str">
            <v>管接头</v>
          </cell>
        </row>
        <row r="16443">
          <cell r="D16443" t="str">
            <v>DD-J10-62021-7</v>
          </cell>
          <cell r="E16443" t="str">
            <v>管接头</v>
          </cell>
        </row>
        <row r="16444">
          <cell r="D16444" t="str">
            <v>DD-J10S-96011-1811</v>
          </cell>
          <cell r="E16444" t="str">
            <v>转接嘴</v>
          </cell>
        </row>
        <row r="16445">
          <cell r="D16445" t="str">
            <v>DD-J10S-96011-1811</v>
          </cell>
          <cell r="E16445" t="str">
            <v>转接嘴</v>
          </cell>
        </row>
        <row r="16446">
          <cell r="D16446" t="str">
            <v>DD-J10S-96011-1202</v>
          </cell>
          <cell r="E16446" t="str">
            <v>接嘴</v>
          </cell>
        </row>
        <row r="16447">
          <cell r="D16447" t="str">
            <v>DD-J10S-96011-1202</v>
          </cell>
          <cell r="E16447" t="str">
            <v>接嘴</v>
          </cell>
        </row>
        <row r="16448">
          <cell r="D16448" t="str">
            <v>DD-J10S-96011-1202</v>
          </cell>
          <cell r="E16448" t="str">
            <v>接嘴</v>
          </cell>
        </row>
        <row r="16449">
          <cell r="D16449" t="str">
            <v>DD-J10B-67011-6103</v>
          </cell>
          <cell r="E16449" t="str">
            <v>角片</v>
          </cell>
        </row>
        <row r="16450">
          <cell r="D16450" t="str">
            <v>DD-J10B-65000-2250-1GF</v>
          </cell>
          <cell r="E16450" t="str">
            <v>管子</v>
          </cell>
        </row>
        <row r="16451">
          <cell r="D16451" t="str">
            <v>DD-J10B-65000-2250-1GF</v>
          </cell>
          <cell r="E16451" t="str">
            <v>管子</v>
          </cell>
        </row>
        <row r="16452">
          <cell r="D16452" t="str">
            <v>CB2298612-002-001</v>
          </cell>
          <cell r="E16452" t="str">
            <v>管夹</v>
          </cell>
        </row>
        <row r="16453">
          <cell r="D16453" t="str">
            <v>CB22857F8-003-002</v>
          </cell>
          <cell r="E16453" t="str">
            <v>法兰</v>
          </cell>
        </row>
        <row r="16454">
          <cell r="D16454" t="str">
            <v>CB5814000-004-001</v>
          </cell>
          <cell r="E16454" t="str">
            <v>垫圈</v>
          </cell>
        </row>
        <row r="16455">
          <cell r="D16455" t="str">
            <v>CB2283664-002-001</v>
          </cell>
          <cell r="E16455" t="str">
            <v>法兰</v>
          </cell>
        </row>
        <row r="16456">
          <cell r="D16456" t="str">
            <v>CB2280211-004-001</v>
          </cell>
          <cell r="E16456" t="str">
            <v>穿框管接头</v>
          </cell>
        </row>
        <row r="16457">
          <cell r="D16457" t="str">
            <v>CB22984L0-002-001</v>
          </cell>
          <cell r="E16457" t="str">
            <v>管夹</v>
          </cell>
        </row>
        <row r="16458">
          <cell r="D16458" t="str">
            <v>CB5350510-002-006</v>
          </cell>
          <cell r="E16458" t="str">
            <v>扶手支座</v>
          </cell>
        </row>
        <row r="16459">
          <cell r="D16459" t="str">
            <v>CB5350510-002-006</v>
          </cell>
          <cell r="E16459" t="str">
            <v>扶手支座</v>
          </cell>
        </row>
        <row r="16460">
          <cell r="D16460" t="str">
            <v>CB2280211-022-001</v>
          </cell>
          <cell r="E16460" t="str">
            <v>穿框管接头</v>
          </cell>
        </row>
        <row r="16461">
          <cell r="D16461" t="str">
            <v>CB5814000-002-001</v>
          </cell>
          <cell r="E16461" t="str">
            <v>前支架</v>
          </cell>
        </row>
        <row r="16462">
          <cell r="D16462" t="str">
            <v>CB5814000-003-001</v>
          </cell>
          <cell r="E16462" t="str">
            <v>后支架</v>
          </cell>
        </row>
        <row r="16463">
          <cell r="D16463" t="str">
            <v>CB2284460-007-001</v>
          </cell>
          <cell r="E16463" t="str">
            <v>四通接头</v>
          </cell>
        </row>
        <row r="16464">
          <cell r="D16464" t="str">
            <v>CB2284460-007-001</v>
          </cell>
          <cell r="E16464" t="str">
            <v>四通接头</v>
          </cell>
        </row>
        <row r="16465">
          <cell r="D16465" t="str">
            <v>CB2287726-001-001</v>
          </cell>
          <cell r="E16465" t="str">
            <v>安装支架</v>
          </cell>
        </row>
        <row r="16466">
          <cell r="D16466" t="str">
            <v>CB221T9MLN003-001</v>
          </cell>
          <cell r="E16466" t="str">
            <v>液体压力传感器接管嘴</v>
          </cell>
        </row>
        <row r="16467">
          <cell r="D16467" t="str">
            <v>CB2284462-001-001</v>
          </cell>
          <cell r="E16467" t="str">
            <v>法兰</v>
          </cell>
        </row>
        <row r="16468">
          <cell r="D16468" t="str">
            <v>CB2284480-004-001</v>
          </cell>
          <cell r="E16468" t="str">
            <v>四通接头</v>
          </cell>
        </row>
        <row r="16469">
          <cell r="D16469" t="str">
            <v>CB2284460-004-001</v>
          </cell>
          <cell r="E16469" t="str">
            <v>四通接头</v>
          </cell>
        </row>
        <row r="16470">
          <cell r="D16470" t="str">
            <v>CB2248143-001-006</v>
          </cell>
          <cell r="E16470" t="str">
            <v>支片3</v>
          </cell>
        </row>
        <row r="16471">
          <cell r="D16471" t="str">
            <v>CB2285673-002-001</v>
          </cell>
          <cell r="E16471" t="str">
            <v>法兰</v>
          </cell>
        </row>
        <row r="16472">
          <cell r="D16472" t="str">
            <v>CB2716663-003-002</v>
          </cell>
          <cell r="E16472" t="str">
            <v>弯头平管嘴</v>
          </cell>
        </row>
        <row r="16473">
          <cell r="D16473" t="str">
            <v>CB2285758-004-001</v>
          </cell>
          <cell r="E16473" t="str">
            <v>接头</v>
          </cell>
        </row>
        <row r="16474">
          <cell r="D16474" t="str">
            <v>CB2283651-002-001</v>
          </cell>
          <cell r="E16474" t="str">
            <v>法兰</v>
          </cell>
        </row>
        <row r="16475">
          <cell r="D16475" t="str">
            <v>CB2298818-001-001</v>
          </cell>
          <cell r="E16475" t="str">
            <v>管夹</v>
          </cell>
        </row>
        <row r="16476">
          <cell r="D16476" t="str">
            <v>CB2284461-001-001</v>
          </cell>
          <cell r="E16476" t="str">
            <v>法兰</v>
          </cell>
        </row>
        <row r="16477">
          <cell r="D16477" t="str">
            <v>CB2285662-002-001</v>
          </cell>
          <cell r="E16477" t="str">
            <v>穿框管接头</v>
          </cell>
        </row>
        <row r="16478">
          <cell r="D16478" t="str">
            <v>CB5811100-010-001</v>
          </cell>
          <cell r="E16478" t="str">
            <v>螺栓</v>
          </cell>
        </row>
        <row r="16479">
          <cell r="D16479" t="str">
            <v>CB22987E0-002-001</v>
          </cell>
          <cell r="E16479" t="str">
            <v>管夹</v>
          </cell>
        </row>
        <row r="16480">
          <cell r="D16480" t="str">
            <v>CB5811300-003-001</v>
          </cell>
          <cell r="E16480" t="str">
            <v>转轴</v>
          </cell>
        </row>
        <row r="16481">
          <cell r="D16481" t="str">
            <v>CB22987C0-002-001</v>
          </cell>
          <cell r="E16481" t="str">
            <v>管夹</v>
          </cell>
        </row>
        <row r="16482">
          <cell r="D16482" t="str">
            <v>CB5811100-003-001</v>
          </cell>
          <cell r="E16482" t="str">
            <v>螺栓</v>
          </cell>
        </row>
        <row r="16483">
          <cell r="D16483" t="str">
            <v>CB5811100-014-001</v>
          </cell>
          <cell r="E16483" t="str">
            <v>螺栓</v>
          </cell>
        </row>
        <row r="16484">
          <cell r="D16484" t="str">
            <v>CB5811100-014-001</v>
          </cell>
          <cell r="E16484" t="str">
            <v>螺栓</v>
          </cell>
        </row>
        <row r="16485">
          <cell r="D16485" t="str">
            <v>CB3092441-001-001</v>
          </cell>
          <cell r="E16485" t="str">
            <v>连接片1</v>
          </cell>
        </row>
        <row r="16486">
          <cell r="D16486" t="str">
            <v>CB3092441-002-001</v>
          </cell>
          <cell r="E16486" t="str">
            <v>连接片2</v>
          </cell>
        </row>
        <row r="16487">
          <cell r="D16487" t="str">
            <v>CB2284751-006-001</v>
          </cell>
          <cell r="E16487" t="str">
            <v>主动油总管四通</v>
          </cell>
        </row>
        <row r="16488">
          <cell r="D16488" t="str">
            <v>DD-J10-05216-32</v>
          </cell>
          <cell r="E16488" t="str">
            <v>转接头</v>
          </cell>
        </row>
        <row r="16489">
          <cell r="D16489" t="str">
            <v>CB5326200-133L002</v>
          </cell>
          <cell r="E16489" t="str">
            <v>8815 4号加强筋</v>
          </cell>
        </row>
        <row r="16490">
          <cell r="D16490" t="str">
            <v>CB5326200-133R002</v>
          </cell>
          <cell r="E16490" t="str">
            <v>8815 4号加强筋</v>
          </cell>
        </row>
        <row r="16491">
          <cell r="D16491" t="str">
            <v>CB5326200-134L002</v>
          </cell>
          <cell r="E16491" t="str">
            <v>9010 4号加强筋</v>
          </cell>
        </row>
        <row r="16492">
          <cell r="D16492" t="str">
            <v>CB5326200-134R002</v>
          </cell>
          <cell r="E16492" t="str">
            <v>9010 4号加强筋</v>
          </cell>
        </row>
        <row r="16493">
          <cell r="D16493" t="str">
            <v>C533114600-008L001</v>
          </cell>
          <cell r="E16493" t="str">
            <v>角材</v>
          </cell>
        </row>
        <row r="16494">
          <cell r="D16494" t="str">
            <v>C533114600-008L001</v>
          </cell>
          <cell r="E16494" t="str">
            <v>角材</v>
          </cell>
        </row>
        <row r="16495">
          <cell r="D16495" t="str">
            <v>C533114600-008L001</v>
          </cell>
          <cell r="E16495" t="str">
            <v>角材</v>
          </cell>
        </row>
        <row r="16496">
          <cell r="D16496" t="str">
            <v>C533114600-008L001</v>
          </cell>
          <cell r="E16496" t="str">
            <v>角材</v>
          </cell>
        </row>
        <row r="16497">
          <cell r="D16497" t="str">
            <v>C552103000-026L001</v>
          </cell>
          <cell r="E16497" t="str">
            <v>前缘短肋</v>
          </cell>
        </row>
        <row r="16498">
          <cell r="D16498" t="str">
            <v>C552103000-026L001</v>
          </cell>
          <cell r="E16498" t="str">
            <v>前缘短肋</v>
          </cell>
        </row>
        <row r="16499">
          <cell r="D16499" t="str">
            <v>C552103000-026L001</v>
          </cell>
          <cell r="E16499" t="str">
            <v>前缘短肋</v>
          </cell>
        </row>
        <row r="16500">
          <cell r="D16500" t="str">
            <v>C552103000-026L001</v>
          </cell>
          <cell r="E16500" t="str">
            <v>前缘短肋</v>
          </cell>
        </row>
        <row r="16501">
          <cell r="D16501" t="str">
            <v>DD-J10B-94076-2031/1</v>
          </cell>
          <cell r="E16501" t="str">
            <v>接管嘴</v>
          </cell>
        </row>
        <row r="16502">
          <cell r="D16502" t="str">
            <v>DD-J10B-06061-22</v>
          </cell>
          <cell r="E16502" t="str">
            <v>摇臂</v>
          </cell>
        </row>
        <row r="16503">
          <cell r="D16503" t="str">
            <v>DD-J10B-94076-802</v>
          </cell>
          <cell r="E16503" t="str">
            <v>支架</v>
          </cell>
        </row>
        <row r="16504">
          <cell r="D16504" t="str">
            <v>BC221T2MF-002-001</v>
          </cell>
          <cell r="E16504" t="str">
            <v>传感器底座</v>
          </cell>
        </row>
        <row r="16505">
          <cell r="D16505" t="str">
            <v>BC221T2MF-002-001</v>
          </cell>
          <cell r="E16505" t="str">
            <v>传感器底座</v>
          </cell>
        </row>
        <row r="16506">
          <cell r="D16506" t="str">
            <v>BC221T2MF-002-001</v>
          </cell>
          <cell r="E16506" t="str">
            <v>传感器底座</v>
          </cell>
        </row>
        <row r="16507">
          <cell r="D16507" t="str">
            <v>BC5525200-003-002</v>
          </cell>
          <cell r="E16507" t="str">
            <v>对穿螺栓</v>
          </cell>
        </row>
        <row r="16508">
          <cell r="D16508" t="str">
            <v>BC5525200-003-002</v>
          </cell>
          <cell r="E16508" t="str">
            <v>对穿螺栓</v>
          </cell>
        </row>
        <row r="16509">
          <cell r="D16509" t="str">
            <v>BC221T1CA-001-001</v>
          </cell>
          <cell r="E16509" t="str">
            <v>接管嘴</v>
          </cell>
        </row>
        <row r="16510">
          <cell r="D16510" t="str">
            <v>BC221T1BB-001-001</v>
          </cell>
          <cell r="E16510" t="str">
            <v>法兰</v>
          </cell>
        </row>
        <row r="16511">
          <cell r="D16511" t="str">
            <v>CB5325153-303-008</v>
          </cell>
          <cell r="E16511" t="str">
            <v>摇臂座</v>
          </cell>
        </row>
        <row r="16512">
          <cell r="D16512" t="str">
            <v>CB22837C3-001-001</v>
          </cell>
          <cell r="E16512" t="str">
            <v>法兰</v>
          </cell>
        </row>
        <row r="16513">
          <cell r="D16513" t="str">
            <v>CB229861B-001-001</v>
          </cell>
          <cell r="E16513" t="str">
            <v>管夹</v>
          </cell>
        </row>
        <row r="16514">
          <cell r="D16514" t="str">
            <v>CB2298814-002-001</v>
          </cell>
          <cell r="E16514" t="str">
            <v>角片</v>
          </cell>
        </row>
        <row r="16515">
          <cell r="D16515" t="str">
            <v>CB2284752-005-002</v>
          </cell>
          <cell r="E16515" t="str">
            <v>接头</v>
          </cell>
        </row>
        <row r="16516">
          <cell r="D16516" t="str">
            <v>CB2276731-007-001</v>
          </cell>
          <cell r="E16516" t="str">
            <v>筋条5</v>
          </cell>
        </row>
        <row r="16517">
          <cell r="D16517" t="str">
            <v>CB5812000-028-001</v>
          </cell>
          <cell r="E16517" t="str">
            <v>螺栓</v>
          </cell>
        </row>
        <row r="16518">
          <cell r="D16518" t="str">
            <v>CB5812000-028-001</v>
          </cell>
          <cell r="E16518" t="str">
            <v>螺栓</v>
          </cell>
        </row>
        <row r="16519">
          <cell r="D16519" t="str">
            <v>CB22983U0-002-001</v>
          </cell>
          <cell r="E16519" t="str">
            <v>管夹</v>
          </cell>
        </row>
        <row r="16520">
          <cell r="D16520" t="str">
            <v>DD-J10-61041-2</v>
          </cell>
          <cell r="E16520" t="str">
            <v>管接头</v>
          </cell>
        </row>
        <row r="16521">
          <cell r="D16521" t="str">
            <v>DD-J10-06061-6</v>
          </cell>
          <cell r="E16521" t="str">
            <v>支座</v>
          </cell>
        </row>
        <row r="16522">
          <cell r="D16522" t="str">
            <v>DD-J10-06061-6</v>
          </cell>
          <cell r="E16522" t="str">
            <v>支座</v>
          </cell>
        </row>
        <row r="16523">
          <cell r="D16523" t="str">
            <v>DD-J10B-94091-24G2</v>
          </cell>
          <cell r="E16523" t="str">
            <v>20-28变径直通接头</v>
          </cell>
        </row>
        <row r="16524">
          <cell r="D16524" t="str">
            <v>DD-J10B-94091-24G2</v>
          </cell>
          <cell r="E16524" t="str">
            <v>20-28变径直通接头</v>
          </cell>
        </row>
        <row r="16525">
          <cell r="D16525" t="str">
            <v>DD-J10B-61001-1</v>
          </cell>
          <cell r="E16525" t="str">
            <v>接头</v>
          </cell>
        </row>
        <row r="16526">
          <cell r="D16526" t="str">
            <v>DD-J10B-94011-701</v>
          </cell>
          <cell r="E16526" t="str">
            <v>支臂</v>
          </cell>
        </row>
        <row r="16527">
          <cell r="D16527" t="str">
            <v>CB5327120-013L015</v>
          </cell>
          <cell r="E16527" t="str">
            <v>10150侧隔框</v>
          </cell>
        </row>
        <row r="16528">
          <cell r="D16528" t="str">
            <v>CB5327120-013L015</v>
          </cell>
          <cell r="E16528" t="str">
            <v>10150侧隔框</v>
          </cell>
        </row>
        <row r="16529">
          <cell r="D16529" t="str">
            <v>CB5327120-013L015</v>
          </cell>
          <cell r="E16529" t="str">
            <v>10150侧隔框</v>
          </cell>
        </row>
        <row r="16530">
          <cell r="D16530" t="str">
            <v>CB5327120-013L015</v>
          </cell>
          <cell r="E16530" t="str">
            <v>10150侧隔框</v>
          </cell>
        </row>
        <row r="16531">
          <cell r="D16531" t="str">
            <v>CB5327120-013L015</v>
          </cell>
          <cell r="E16531" t="str">
            <v>10150侧隔框</v>
          </cell>
        </row>
        <row r="16532">
          <cell r="D16532" t="str">
            <v>CB5327120-013L015</v>
          </cell>
          <cell r="E16532" t="str">
            <v>10150侧隔框</v>
          </cell>
        </row>
        <row r="16533">
          <cell r="D16533" t="str">
            <v>CB5327120-013L015</v>
          </cell>
          <cell r="E16533" t="str">
            <v>10150侧隔框</v>
          </cell>
        </row>
        <row r="16534">
          <cell r="D16534" t="str">
            <v>CB5327120-013L015</v>
          </cell>
          <cell r="E16534" t="str">
            <v>10150侧隔框</v>
          </cell>
        </row>
        <row r="16535">
          <cell r="D16535" t="str">
            <v>CB5327120-013L015</v>
          </cell>
          <cell r="E16535" t="str">
            <v>10150侧隔框</v>
          </cell>
        </row>
        <row r="16536">
          <cell r="D16536" t="str">
            <v>CB5327120-013L015</v>
          </cell>
          <cell r="E16536" t="str">
            <v>10150侧隔框</v>
          </cell>
        </row>
        <row r="16537">
          <cell r="D16537" t="str">
            <v>CB5327120-013R015</v>
          </cell>
          <cell r="E16537" t="str">
            <v>10150侧隔框</v>
          </cell>
        </row>
        <row r="16538">
          <cell r="D16538" t="str">
            <v>CB5327120-013R015</v>
          </cell>
          <cell r="E16538" t="str">
            <v>10150侧隔框</v>
          </cell>
        </row>
        <row r="16539">
          <cell r="D16539" t="str">
            <v>CB5327120-013R015</v>
          </cell>
          <cell r="E16539" t="str">
            <v>10150侧隔框</v>
          </cell>
        </row>
        <row r="16540">
          <cell r="D16540" t="str">
            <v>CB5327120-013R015</v>
          </cell>
          <cell r="E16540" t="str">
            <v>10150侧隔框</v>
          </cell>
        </row>
        <row r="16541">
          <cell r="D16541" t="str">
            <v>CB5327120-013R015</v>
          </cell>
          <cell r="E16541" t="str">
            <v>10150侧隔框</v>
          </cell>
        </row>
        <row r="16542">
          <cell r="D16542" t="str">
            <v>CB5327120-013R015</v>
          </cell>
          <cell r="E16542" t="str">
            <v>10150侧隔框</v>
          </cell>
        </row>
        <row r="16543">
          <cell r="D16543" t="str">
            <v>CB5327120-013R015</v>
          </cell>
          <cell r="E16543" t="str">
            <v>10150侧隔框</v>
          </cell>
        </row>
        <row r="16544">
          <cell r="D16544" t="str">
            <v>CB5327120-013R015</v>
          </cell>
          <cell r="E16544" t="str">
            <v>10150侧隔框</v>
          </cell>
        </row>
        <row r="16545">
          <cell r="D16545" t="str">
            <v>CB5327120-013R015</v>
          </cell>
          <cell r="E16545" t="str">
            <v>10150侧隔框</v>
          </cell>
        </row>
        <row r="16546">
          <cell r="D16546" t="str">
            <v>CB5327120-013R015</v>
          </cell>
          <cell r="E16546" t="str">
            <v>10150侧隔框</v>
          </cell>
        </row>
        <row r="16547">
          <cell r="D16547" t="str">
            <v>DD-J10-05216-32</v>
          </cell>
          <cell r="E16547" t="str">
            <v>转接头</v>
          </cell>
        </row>
        <row r="16548">
          <cell r="D16548" t="str">
            <v>DD-J10-05216-32</v>
          </cell>
          <cell r="E16548" t="str">
            <v>转接头</v>
          </cell>
        </row>
        <row r="16549">
          <cell r="D16549" t="str">
            <v>C571310200-019R001</v>
          </cell>
          <cell r="E16549" t="str">
            <v>后舱内段支撑件上段1段</v>
          </cell>
        </row>
        <row r="16550">
          <cell r="D16550" t="str">
            <v>C532222810-015-001</v>
          </cell>
          <cell r="E16550" t="str">
            <v>口框</v>
          </cell>
        </row>
        <row r="16551">
          <cell r="D16551" t="str">
            <v>C532222810-015-001</v>
          </cell>
          <cell r="E16551" t="str">
            <v>口框</v>
          </cell>
        </row>
        <row r="16552">
          <cell r="D16552" t="str">
            <v>C532222810-015-001</v>
          </cell>
          <cell r="E16552" t="str">
            <v>口框</v>
          </cell>
        </row>
        <row r="16553">
          <cell r="D16553" t="str">
            <v>C532222810-015-001</v>
          </cell>
          <cell r="E16553" t="str">
            <v>口框</v>
          </cell>
        </row>
        <row r="16554">
          <cell r="D16554" t="str">
            <v>C571110400-004L001</v>
          </cell>
          <cell r="E16554" t="str">
            <v>角盒</v>
          </cell>
        </row>
        <row r="16555">
          <cell r="D16555" t="str">
            <v>C571110400-004L001</v>
          </cell>
          <cell r="E16555" t="str">
            <v>角盒</v>
          </cell>
        </row>
        <row r="16556">
          <cell r="D16556" t="str">
            <v>C571110400-004L001</v>
          </cell>
          <cell r="E16556" t="str">
            <v>角盒</v>
          </cell>
        </row>
        <row r="16557">
          <cell r="D16557" t="str">
            <v>C571110400-004L001</v>
          </cell>
          <cell r="E16557" t="str">
            <v>角盒</v>
          </cell>
        </row>
        <row r="16558">
          <cell r="D16558" t="str">
            <v>C571310200-019L001</v>
          </cell>
          <cell r="E16558" t="str">
            <v>后舱内段支撑件上段1段</v>
          </cell>
        </row>
        <row r="16559">
          <cell r="D16559" t="str">
            <v>C571310200-019L001</v>
          </cell>
          <cell r="E16559" t="str">
            <v>后舱内段支撑件上段1段</v>
          </cell>
        </row>
        <row r="16560">
          <cell r="D16560" t="str">
            <v>C571310200-019L001</v>
          </cell>
          <cell r="E16560" t="str">
            <v>后舱内段支撑件上段1段</v>
          </cell>
        </row>
        <row r="16561">
          <cell r="D16561" t="str">
            <v>C571310200-019L001</v>
          </cell>
          <cell r="E16561" t="str">
            <v>后舱内段支撑件上段1段</v>
          </cell>
        </row>
        <row r="16562">
          <cell r="D16562" t="str">
            <v>CB5512300-006R003</v>
          </cell>
          <cell r="E16562" t="str">
            <v>1#斜肋</v>
          </cell>
        </row>
        <row r="16563">
          <cell r="D16563" t="str">
            <v>CB5512300-004R002</v>
          </cell>
          <cell r="E16563" t="str">
            <v>根肋前段</v>
          </cell>
        </row>
        <row r="16564">
          <cell r="D16564" t="str">
            <v>CB5512300-004R002</v>
          </cell>
          <cell r="E16564" t="str">
            <v>根肋前段</v>
          </cell>
        </row>
        <row r="16565">
          <cell r="D16565" t="str">
            <v>CB5512300-004R002</v>
          </cell>
          <cell r="E16565" t="str">
            <v>根肋前段</v>
          </cell>
        </row>
        <row r="16566">
          <cell r="D16566" t="str">
            <v>CB5512300-004R002</v>
          </cell>
          <cell r="E16566" t="str">
            <v>根肋前段</v>
          </cell>
        </row>
        <row r="16567">
          <cell r="D16567" t="str">
            <v>CB5512300-004R002</v>
          </cell>
          <cell r="E16567" t="str">
            <v>根肋前段</v>
          </cell>
        </row>
        <row r="16568">
          <cell r="D16568" t="str">
            <v>CB5512300-004L002</v>
          </cell>
          <cell r="E16568" t="str">
            <v>根肋前段</v>
          </cell>
        </row>
        <row r="16569">
          <cell r="D16569" t="str">
            <v>CB5512300-004L002</v>
          </cell>
          <cell r="E16569" t="str">
            <v>根肋前段</v>
          </cell>
        </row>
        <row r="16570">
          <cell r="D16570" t="str">
            <v>CB5512300-004L002</v>
          </cell>
          <cell r="E16570" t="str">
            <v>根肋前段</v>
          </cell>
        </row>
        <row r="16571">
          <cell r="D16571" t="str">
            <v>CB5512300-004L002</v>
          </cell>
          <cell r="E16571" t="str">
            <v>根肋前段</v>
          </cell>
        </row>
        <row r="16572">
          <cell r="D16572" t="str">
            <v>CB5512300-005L002</v>
          </cell>
          <cell r="E16572" t="str">
            <v>根肋后段</v>
          </cell>
        </row>
        <row r="16573">
          <cell r="D16573" t="str">
            <v>CB5512300-005L002</v>
          </cell>
          <cell r="E16573" t="str">
            <v>根肋后段</v>
          </cell>
        </row>
        <row r="16574">
          <cell r="D16574" t="str">
            <v>CB5512300-005L002</v>
          </cell>
          <cell r="E16574" t="str">
            <v>根肋后段</v>
          </cell>
        </row>
        <row r="16575">
          <cell r="D16575" t="str">
            <v>CB5512300-005L002</v>
          </cell>
          <cell r="E16575" t="str">
            <v>根肋后段</v>
          </cell>
        </row>
        <row r="16576">
          <cell r="D16576" t="str">
            <v>CB5512300-005L002</v>
          </cell>
          <cell r="E16576" t="str">
            <v>根肋后段</v>
          </cell>
        </row>
        <row r="16577">
          <cell r="D16577" t="str">
            <v>CB5512300-005R002</v>
          </cell>
          <cell r="E16577" t="str">
            <v>根肋后段</v>
          </cell>
        </row>
        <row r="16578">
          <cell r="D16578" t="str">
            <v>CB5512300-005R002</v>
          </cell>
          <cell r="E16578" t="str">
            <v>根肋后段</v>
          </cell>
        </row>
        <row r="16579">
          <cell r="D16579" t="str">
            <v>CB5512300-005R002</v>
          </cell>
          <cell r="E16579" t="str">
            <v>根肋后段</v>
          </cell>
        </row>
        <row r="16580">
          <cell r="D16580" t="str">
            <v>CB5512300-005R002</v>
          </cell>
          <cell r="E16580" t="str">
            <v>根肋后段</v>
          </cell>
        </row>
        <row r="16581">
          <cell r="D16581" t="str">
            <v>XXX-000-01</v>
          </cell>
          <cell r="E16581" t="str">
            <v>底座</v>
          </cell>
        </row>
        <row r="16582">
          <cell r="D16582" t="str">
            <v>XXX-000-02</v>
          </cell>
          <cell r="E16582" t="str">
            <v>外罩</v>
          </cell>
        </row>
        <row r="16583">
          <cell r="D16583" t="str">
            <v>XXX-000-04</v>
          </cell>
          <cell r="E16583" t="str">
            <v>绝缘板</v>
          </cell>
        </row>
        <row r="16584">
          <cell r="D16584" t="str">
            <v>XXX-000-06</v>
          </cell>
          <cell r="E16584" t="str">
            <v>导向块</v>
          </cell>
        </row>
        <row r="16585">
          <cell r="D16585" t="str">
            <v>XXX-000-07</v>
          </cell>
          <cell r="E16585" t="str">
            <v>绝缘垫</v>
          </cell>
        </row>
        <row r="16586">
          <cell r="D16586" t="str">
            <v>XXX-000-08</v>
          </cell>
          <cell r="E16586" t="str">
            <v>绝缘套筒</v>
          </cell>
        </row>
        <row r="16587">
          <cell r="D16587" t="str">
            <v>XXX-000-09</v>
          </cell>
          <cell r="E16587" t="str">
            <v>调整块</v>
          </cell>
        </row>
        <row r="16588">
          <cell r="D16588" t="str">
            <v>CB5324413-004-002</v>
          </cell>
          <cell r="E16588" t="str">
            <v>油箱底板（中）</v>
          </cell>
        </row>
        <row r="16589">
          <cell r="D16589" t="str">
            <v>CB5512300-015R001</v>
          </cell>
          <cell r="E16589" t="str">
            <v>角盒</v>
          </cell>
        </row>
        <row r="16590">
          <cell r="D16590" t="str">
            <v>CB5512300-015R001</v>
          </cell>
          <cell r="E16590" t="str">
            <v>角盒</v>
          </cell>
        </row>
        <row r="16591">
          <cell r="D16591" t="str">
            <v>CB5512300-015L001</v>
          </cell>
          <cell r="E16591" t="str">
            <v>角盒</v>
          </cell>
        </row>
        <row r="16592">
          <cell r="D16592" t="str">
            <v>CB5512300-015L001</v>
          </cell>
          <cell r="E16592" t="str">
            <v>角盒</v>
          </cell>
        </row>
        <row r="16593">
          <cell r="D16593" t="str">
            <v>DD-J10B-71031-110-1</v>
          </cell>
          <cell r="E16593" t="str">
            <v>樑</v>
          </cell>
        </row>
        <row r="16594">
          <cell r="D16594" t="str">
            <v>DD-J10B-71031-110-1</v>
          </cell>
          <cell r="E16594" t="str">
            <v>樑</v>
          </cell>
        </row>
        <row r="16595">
          <cell r="D16595" t="str">
            <v>DD-J10B-71031-110-1</v>
          </cell>
          <cell r="E16595" t="str">
            <v>樑</v>
          </cell>
        </row>
        <row r="16596">
          <cell r="D16596" t="str">
            <v>DD-J10-33003-4</v>
          </cell>
          <cell r="E16596" t="str">
            <v>梁</v>
          </cell>
        </row>
        <row r="16597">
          <cell r="D16597" t="str">
            <v>DD-J10-33003-4</v>
          </cell>
          <cell r="E16597" t="str">
            <v>梁</v>
          </cell>
        </row>
        <row r="16598">
          <cell r="D16598" t="str">
            <v>DD-J10-33003-4</v>
          </cell>
          <cell r="E16598" t="str">
            <v>梁</v>
          </cell>
        </row>
        <row r="16599">
          <cell r="D16599" t="str">
            <v>DD-J10-33003-4</v>
          </cell>
          <cell r="E16599" t="str">
            <v>梁</v>
          </cell>
        </row>
        <row r="16600">
          <cell r="D16600" t="str">
            <v>DD-J10B-82000-101G2</v>
          </cell>
          <cell r="E16600" t="str">
            <v>地板</v>
          </cell>
        </row>
        <row r="16601">
          <cell r="D16601" t="str">
            <v>DD-J10B-82000-101G2</v>
          </cell>
          <cell r="E16601" t="str">
            <v>地板</v>
          </cell>
        </row>
        <row r="16602">
          <cell r="D16602" t="str">
            <v>DD-J10-05086-30-1-Y</v>
          </cell>
          <cell r="E16602" t="str">
            <v>梁</v>
          </cell>
        </row>
        <row r="16603">
          <cell r="D16603" t="str">
            <v>DD-J10-05086-30-1-Z</v>
          </cell>
          <cell r="E16603" t="str">
            <v>梁</v>
          </cell>
        </row>
        <row r="16604">
          <cell r="D16604" t="str">
            <v>DD-J10-05086-20-1-Y</v>
          </cell>
          <cell r="E16604" t="str">
            <v>梁</v>
          </cell>
        </row>
        <row r="16605">
          <cell r="D16605" t="str">
            <v>DD-J10-05086-20-1-Z</v>
          </cell>
          <cell r="E16605" t="str">
            <v>梁</v>
          </cell>
        </row>
        <row r="16606">
          <cell r="D16606" t="str">
            <v>DD-J10-05076-30-1-Y</v>
          </cell>
          <cell r="E16606" t="str">
            <v>梁</v>
          </cell>
        </row>
        <row r="16607">
          <cell r="D16607" t="str">
            <v>DD-J10-05076-30-1-Z</v>
          </cell>
          <cell r="E16607" t="str">
            <v>梁</v>
          </cell>
        </row>
        <row r="16608">
          <cell r="D16608" t="str">
            <v>DD-J10-05076-20-1-Y</v>
          </cell>
          <cell r="E16608" t="str">
            <v>梁</v>
          </cell>
        </row>
        <row r="16609">
          <cell r="D16609" t="str">
            <v>DD-J10-05076-20-1-Z</v>
          </cell>
          <cell r="E16609" t="str">
            <v>梁</v>
          </cell>
        </row>
        <row r="16610">
          <cell r="D16610" t="str">
            <v>DD-J10-25002-1-Z</v>
          </cell>
          <cell r="E16610" t="str">
            <v>第3肋</v>
          </cell>
        </row>
        <row r="16611">
          <cell r="D16611" t="str">
            <v>DD-J10-25002-1-Z</v>
          </cell>
          <cell r="E16611" t="str">
            <v>第3肋</v>
          </cell>
        </row>
        <row r="16612">
          <cell r="D16612" t="str">
            <v>DD-J10-25002-1-Y</v>
          </cell>
          <cell r="E16612" t="str">
            <v>第3肋</v>
          </cell>
        </row>
        <row r="16613">
          <cell r="D16613" t="str">
            <v>DD-J10-25002-1-Y</v>
          </cell>
          <cell r="E16613" t="str">
            <v>第3肋</v>
          </cell>
        </row>
        <row r="16614">
          <cell r="D16614" t="str">
            <v>DD-J10B-25002-30G2-1G2-Z</v>
          </cell>
          <cell r="E16614" t="str">
            <v>梁（左件）</v>
          </cell>
        </row>
        <row r="16615">
          <cell r="D16615" t="str">
            <v>DD-J10B-25002-30G2-1G2-Z</v>
          </cell>
          <cell r="E16615" t="str">
            <v>梁（左件）</v>
          </cell>
        </row>
        <row r="16616">
          <cell r="D16616" t="str">
            <v>DD-J10B-25002-30G2-1G2-Z</v>
          </cell>
          <cell r="E16616" t="str">
            <v>梁（左件）</v>
          </cell>
        </row>
        <row r="16617">
          <cell r="D16617" t="str">
            <v>DD-J10B-25002-30G2-1G2-Y</v>
          </cell>
          <cell r="E16617" t="str">
            <v>梁（右件）</v>
          </cell>
        </row>
        <row r="16618">
          <cell r="D16618" t="str">
            <v>DD-J10B-25002-30G2-1G2-Y</v>
          </cell>
          <cell r="E16618" t="str">
            <v>梁（右件）</v>
          </cell>
        </row>
        <row r="16619">
          <cell r="D16619" t="str">
            <v>DD-J10B-34303-7G2</v>
          </cell>
          <cell r="E16619" t="str">
            <v>第1隔板</v>
          </cell>
        </row>
        <row r="16620">
          <cell r="D16620" t="str">
            <v>DD-J10B-34303-8G2</v>
          </cell>
          <cell r="E16620" t="str">
            <v>第2隔板</v>
          </cell>
        </row>
        <row r="16621">
          <cell r="D16621" t="str">
            <v>DD-J10B-34303-9G2</v>
          </cell>
          <cell r="E16621" t="str">
            <v>第3隔板</v>
          </cell>
        </row>
        <row r="16622">
          <cell r="D16622" t="str">
            <v>DD-J10B-34303-11G2</v>
          </cell>
          <cell r="E16622" t="str">
            <v>第4隔板</v>
          </cell>
        </row>
        <row r="16623">
          <cell r="D16623" t="str">
            <v>DD-J10B-34303-12G2</v>
          </cell>
          <cell r="E16623" t="str">
            <v>第5隔板</v>
          </cell>
        </row>
        <row r="16624">
          <cell r="D16624" t="str">
            <v>DD-J10B-34303-13G2</v>
          </cell>
          <cell r="E16624" t="str">
            <v>第6隔板</v>
          </cell>
        </row>
        <row r="16625">
          <cell r="D16625" t="str">
            <v>CB5315191-014R004</v>
          </cell>
          <cell r="E16625" t="str">
            <v>排气下侧壁</v>
          </cell>
        </row>
        <row r="16626">
          <cell r="D16626" t="str">
            <v>BC5323200-007L001</v>
          </cell>
          <cell r="E16626" t="str">
            <v>下蒙皮</v>
          </cell>
        </row>
        <row r="16627">
          <cell r="D16627" t="str">
            <v>C532210941-001R001</v>
          </cell>
          <cell r="E16627" t="str">
            <v>右推力销支座接头</v>
          </cell>
        </row>
        <row r="16628">
          <cell r="D16628" t="str">
            <v>C532210941-001R001</v>
          </cell>
          <cell r="E16628" t="str">
            <v>右推力销支座接头</v>
          </cell>
        </row>
        <row r="16629">
          <cell r="D16629" t="str">
            <v>C532210941-001R001</v>
          </cell>
          <cell r="E16629" t="str">
            <v>右推力销支座接头</v>
          </cell>
        </row>
        <row r="16630">
          <cell r="D16630" t="str">
            <v>C532210941-001R001</v>
          </cell>
          <cell r="E16630" t="str">
            <v>右推力销支座接头</v>
          </cell>
        </row>
        <row r="16631">
          <cell r="D16631" t="str">
            <v>C532210941-001L001</v>
          </cell>
          <cell r="E16631" t="str">
            <v>左推力销支座接头</v>
          </cell>
        </row>
        <row r="16632">
          <cell r="D16632" t="str">
            <v>C532210941-001L001</v>
          </cell>
          <cell r="E16632" t="str">
            <v>左推力销支座接头</v>
          </cell>
        </row>
        <row r="16633">
          <cell r="D16633" t="str">
            <v>C532210941-001L001</v>
          </cell>
          <cell r="E16633" t="str">
            <v>左推力销支座接头</v>
          </cell>
        </row>
        <row r="16634">
          <cell r="D16634" t="str">
            <v>C532210941-001L001</v>
          </cell>
          <cell r="E16634" t="str">
            <v>左推力销支座接头</v>
          </cell>
        </row>
        <row r="16635">
          <cell r="D16635" t="str">
            <v>C532210921-001L001</v>
          </cell>
          <cell r="E16635" t="str">
            <v>左外侧接头</v>
          </cell>
        </row>
        <row r="16636">
          <cell r="D16636" t="str">
            <v>C532210921-001L001</v>
          </cell>
          <cell r="E16636" t="str">
            <v>左外侧接头</v>
          </cell>
        </row>
        <row r="16637">
          <cell r="D16637" t="str">
            <v>C532210921-001L001</v>
          </cell>
          <cell r="E16637" t="str">
            <v>左外侧接头</v>
          </cell>
        </row>
        <row r="16638">
          <cell r="D16638" t="str">
            <v>C532210921-001L001</v>
          </cell>
          <cell r="E16638" t="str">
            <v>左外侧接头</v>
          </cell>
        </row>
        <row r="16639">
          <cell r="D16639" t="str">
            <v>C532210921-001R001</v>
          </cell>
          <cell r="E16639" t="str">
            <v>右外侧接头</v>
          </cell>
        </row>
        <row r="16640">
          <cell r="D16640" t="str">
            <v>C532210921-001R001</v>
          </cell>
          <cell r="E16640" t="str">
            <v>右外侧接头</v>
          </cell>
        </row>
        <row r="16641">
          <cell r="D16641" t="str">
            <v>C532210921-001R001</v>
          </cell>
          <cell r="E16641" t="str">
            <v>右外侧接头</v>
          </cell>
        </row>
        <row r="16642">
          <cell r="D16642" t="str">
            <v>C532210921-001R001</v>
          </cell>
          <cell r="E16642" t="str">
            <v>右外侧接头</v>
          </cell>
        </row>
        <row r="16643">
          <cell r="D16643" t="str">
            <v>C532111100-001R001</v>
          </cell>
          <cell r="E16643" t="str">
            <v>外侧梁</v>
          </cell>
        </row>
        <row r="16644">
          <cell r="D16644" t="str">
            <v>C532111100-001R001</v>
          </cell>
          <cell r="E16644" t="str">
            <v>外侧梁</v>
          </cell>
        </row>
        <row r="16645">
          <cell r="D16645" t="str">
            <v>C532111100-001R001</v>
          </cell>
          <cell r="E16645" t="str">
            <v>外侧梁</v>
          </cell>
        </row>
        <row r="16646">
          <cell r="D16646" t="str">
            <v>C532111100-001R001</v>
          </cell>
          <cell r="E16646" t="str">
            <v>外侧梁</v>
          </cell>
        </row>
        <row r="16647">
          <cell r="D16647" t="str">
            <v>C532111100-001L001</v>
          </cell>
          <cell r="E16647" t="str">
            <v>外侧梁</v>
          </cell>
        </row>
        <row r="16648">
          <cell r="D16648" t="str">
            <v>C532111100-001L001</v>
          </cell>
          <cell r="E16648" t="str">
            <v>外侧梁</v>
          </cell>
        </row>
        <row r="16649">
          <cell r="D16649" t="str">
            <v>C532111100-001L001</v>
          </cell>
          <cell r="E16649" t="str">
            <v>外侧梁</v>
          </cell>
        </row>
        <row r="16650">
          <cell r="D16650" t="str">
            <v>C532111100-001L001</v>
          </cell>
          <cell r="E16650" t="str">
            <v>外侧梁</v>
          </cell>
        </row>
        <row r="16651">
          <cell r="D16651" t="str">
            <v>C532111100-002L001</v>
          </cell>
          <cell r="E16651" t="str">
            <v>内侧梁</v>
          </cell>
        </row>
        <row r="16652">
          <cell r="D16652" t="str">
            <v>C532111100-002L001</v>
          </cell>
          <cell r="E16652" t="str">
            <v>内侧梁</v>
          </cell>
        </row>
        <row r="16653">
          <cell r="D16653" t="str">
            <v>C532111100-002L001</v>
          </cell>
          <cell r="E16653" t="str">
            <v>内侧梁</v>
          </cell>
        </row>
        <row r="16654">
          <cell r="D16654" t="str">
            <v>C532111100-002L001</v>
          </cell>
          <cell r="E16654" t="str">
            <v>内侧梁</v>
          </cell>
        </row>
        <row r="16655">
          <cell r="D16655" t="str">
            <v>C532111100-002R001</v>
          </cell>
          <cell r="E16655" t="str">
            <v>内侧梁</v>
          </cell>
        </row>
        <row r="16656">
          <cell r="D16656" t="str">
            <v>C532111100-002R001</v>
          </cell>
          <cell r="E16656" t="str">
            <v>内侧梁</v>
          </cell>
        </row>
        <row r="16657">
          <cell r="D16657" t="str">
            <v>C532111100-002R001</v>
          </cell>
          <cell r="E16657" t="str">
            <v>内侧梁</v>
          </cell>
        </row>
        <row r="16658">
          <cell r="D16658" t="str">
            <v>C532111100-002R001</v>
          </cell>
          <cell r="E16658" t="str">
            <v>内侧梁</v>
          </cell>
        </row>
        <row r="16659">
          <cell r="D16659" t="str">
            <v>DD-J10B-02121-1AG2-Z</v>
          </cell>
          <cell r="E16659" t="str">
            <v>BL280侧壁（左件）</v>
          </cell>
        </row>
        <row r="16660">
          <cell r="D16660" t="str">
            <v>CB5324413-004-002</v>
          </cell>
          <cell r="E16660" t="str">
            <v>油箱底板（中）</v>
          </cell>
        </row>
        <row r="16661">
          <cell r="D16661" t="str">
            <v>CB5324413-004-002</v>
          </cell>
          <cell r="E16661" t="str">
            <v>油箱底板（中）</v>
          </cell>
        </row>
        <row r="16662">
          <cell r="D16662" t="str">
            <v>C532111100-008L001</v>
          </cell>
          <cell r="E16662" t="str">
            <v>外侧轴承盖</v>
          </cell>
        </row>
        <row r="16663">
          <cell r="D16663" t="str">
            <v>C532111100-008L001</v>
          </cell>
          <cell r="E16663" t="str">
            <v>外侧轴承盖</v>
          </cell>
        </row>
        <row r="16664">
          <cell r="D16664" t="str">
            <v>C532111100-008L001</v>
          </cell>
          <cell r="E16664" t="str">
            <v>外侧轴承盖</v>
          </cell>
        </row>
        <row r="16665">
          <cell r="D16665" t="str">
            <v>C532111100-008L001</v>
          </cell>
          <cell r="E16665" t="str">
            <v>外侧轴承盖</v>
          </cell>
        </row>
        <row r="16666">
          <cell r="D16666" t="str">
            <v>C571310200-020L001</v>
          </cell>
          <cell r="E16666" t="str">
            <v>后舱内段支撑件上段2段</v>
          </cell>
        </row>
        <row r="16667">
          <cell r="D16667" t="str">
            <v>C571310200-020L001</v>
          </cell>
          <cell r="E16667" t="str">
            <v>后舱内段支撑件上段2段</v>
          </cell>
        </row>
        <row r="16668">
          <cell r="D16668" t="str">
            <v>C571310200-020L001</v>
          </cell>
          <cell r="E16668" t="str">
            <v>后舱内段支撑件上段2段</v>
          </cell>
        </row>
        <row r="16669">
          <cell r="D16669" t="str">
            <v>C571310200-020L001</v>
          </cell>
          <cell r="E16669" t="str">
            <v>后舱内段支撑件上段2段</v>
          </cell>
        </row>
        <row r="16670">
          <cell r="D16670" t="str">
            <v>C571310200-020R001</v>
          </cell>
          <cell r="E16670" t="str">
            <v>后舱内段支撑件上段2段</v>
          </cell>
        </row>
        <row r="16671">
          <cell r="D16671" t="str">
            <v>C571310200-020R001</v>
          </cell>
          <cell r="E16671" t="str">
            <v>后舱内段支撑件上段2段</v>
          </cell>
        </row>
        <row r="16672">
          <cell r="D16672" t="str">
            <v>C571310200-020R001</v>
          </cell>
          <cell r="E16672" t="str">
            <v>后舱内段支撑件上段2段</v>
          </cell>
        </row>
        <row r="16673">
          <cell r="D16673" t="str">
            <v>C571310200-020R001</v>
          </cell>
          <cell r="E16673" t="str">
            <v>后舱内段支撑件上段2段</v>
          </cell>
        </row>
        <row r="16674">
          <cell r="D16674" t="str">
            <v>DD-J10B-02161-501</v>
          </cell>
          <cell r="E16674" t="str">
            <v>5755横框</v>
          </cell>
        </row>
        <row r="16675">
          <cell r="D16675" t="str">
            <v>DD-J10-34103-4</v>
          </cell>
          <cell r="E16675" t="str">
            <v>上边肋</v>
          </cell>
        </row>
        <row r="16676">
          <cell r="D16676" t="str">
            <v>DD-J10-34103-4</v>
          </cell>
          <cell r="E16676" t="str">
            <v>上边肋</v>
          </cell>
        </row>
        <row r="16677">
          <cell r="D16677" t="str">
            <v>CB5822016-032L001</v>
          </cell>
          <cell r="E16677" t="str">
            <v>角片</v>
          </cell>
        </row>
        <row r="16678">
          <cell r="D16678" t="str">
            <v>CB5822016-032R001</v>
          </cell>
          <cell r="E16678" t="str">
            <v>角片</v>
          </cell>
        </row>
        <row r="16679">
          <cell r="D16679" t="str">
            <v>CB5822016-024L001</v>
          </cell>
          <cell r="E16679" t="str">
            <v>角片</v>
          </cell>
        </row>
        <row r="16680">
          <cell r="D16680" t="str">
            <v>CB5822016-024R001</v>
          </cell>
          <cell r="E16680" t="str">
            <v>角片</v>
          </cell>
        </row>
        <row r="16681">
          <cell r="D16681" t="str">
            <v>CB5822016-029L001</v>
          </cell>
          <cell r="E16681" t="str">
            <v>角片</v>
          </cell>
        </row>
        <row r="16682">
          <cell r="D16682" t="str">
            <v>CB5822016-029L001</v>
          </cell>
          <cell r="E16682" t="str">
            <v>角片</v>
          </cell>
        </row>
        <row r="16683">
          <cell r="D16683" t="str">
            <v>CB5822016-029R001</v>
          </cell>
          <cell r="E16683" t="str">
            <v>角片</v>
          </cell>
        </row>
        <row r="16684">
          <cell r="D16684" t="str">
            <v>CB5822016-029R001</v>
          </cell>
          <cell r="E16684" t="str">
            <v>角片</v>
          </cell>
        </row>
        <row r="16685">
          <cell r="D16685" t="str">
            <v>CB5822016-034L001</v>
          </cell>
          <cell r="E16685" t="str">
            <v>角片</v>
          </cell>
        </row>
        <row r="16686">
          <cell r="D16686" t="str">
            <v>CB5822016-034L001</v>
          </cell>
          <cell r="E16686" t="str">
            <v>角片</v>
          </cell>
        </row>
        <row r="16687">
          <cell r="D16687" t="str">
            <v>CB5822016-034L001</v>
          </cell>
          <cell r="E16687" t="str">
            <v>角片</v>
          </cell>
        </row>
        <row r="16688">
          <cell r="D16688" t="str">
            <v>CB5822016-034R001</v>
          </cell>
          <cell r="E16688" t="str">
            <v>角片</v>
          </cell>
        </row>
        <row r="16689">
          <cell r="D16689" t="str">
            <v>CB5822016-034R001</v>
          </cell>
          <cell r="E16689" t="str">
            <v>角片</v>
          </cell>
        </row>
        <row r="16690">
          <cell r="D16690" t="str">
            <v>CB5822016-034R001</v>
          </cell>
          <cell r="E16690" t="str">
            <v>角片</v>
          </cell>
        </row>
        <row r="16691">
          <cell r="D16691" t="str">
            <v>CB2297120-005-002</v>
          </cell>
          <cell r="E16691" t="str">
            <v>支架</v>
          </cell>
        </row>
        <row r="16692">
          <cell r="D16692" t="str">
            <v>CB2297032-001-001</v>
          </cell>
          <cell r="E16692" t="str">
            <v>支架</v>
          </cell>
        </row>
        <row r="16693">
          <cell r="D16693" t="str">
            <v>CB2297012-001-001</v>
          </cell>
          <cell r="E16693" t="str">
            <v>支架</v>
          </cell>
        </row>
        <row r="16694">
          <cell r="D16694" t="str">
            <v>CB2297011-002-001</v>
          </cell>
          <cell r="E16694" t="str">
            <v>支架</v>
          </cell>
        </row>
        <row r="16695">
          <cell r="D16695" t="str">
            <v>CB2297011-001-001</v>
          </cell>
          <cell r="E16695" t="str">
            <v>支架</v>
          </cell>
        </row>
        <row r="16696">
          <cell r="D16696" t="str">
            <v>CB2297031-001-001</v>
          </cell>
          <cell r="E16696" t="str">
            <v>支架</v>
          </cell>
        </row>
        <row r="16697">
          <cell r="D16697" t="str">
            <v>CB2297041-001-001</v>
          </cell>
          <cell r="E16697" t="str">
            <v>支架</v>
          </cell>
        </row>
        <row r="16698">
          <cell r="D16698" t="str">
            <v>BC5812500-001-001</v>
          </cell>
          <cell r="E16698" t="str">
            <v>螺栓</v>
          </cell>
        </row>
        <row r="16699">
          <cell r="D16699" t="str">
            <v>BC2711110-003-001</v>
          </cell>
          <cell r="E16699" t="str">
            <v>螺纹堵盖</v>
          </cell>
        </row>
        <row r="16700">
          <cell r="D16700" t="str">
            <v>BC228163B-002-003</v>
          </cell>
          <cell r="E16700" t="str">
            <v>法兰</v>
          </cell>
        </row>
        <row r="16701">
          <cell r="D16701" t="str">
            <v>BC5836011-001-001</v>
          </cell>
          <cell r="E16701" t="str">
            <v>壳体</v>
          </cell>
        </row>
        <row r="16702">
          <cell r="D16702" t="str">
            <v>BC27149G2-002-001</v>
          </cell>
          <cell r="E16702" t="str">
            <v>管</v>
          </cell>
        </row>
        <row r="16703">
          <cell r="D16703" t="str">
            <v>CB5313231-001-006</v>
          </cell>
          <cell r="E16703" t="str">
            <v>管接头</v>
          </cell>
        </row>
        <row r="16704">
          <cell r="D16704" t="str">
            <v>DD-J10B-67011-6103</v>
          </cell>
          <cell r="E16704" t="str">
            <v>角片</v>
          </cell>
        </row>
        <row r="16705">
          <cell r="D16705" t="str">
            <v>Y20-6692030020-001</v>
          </cell>
          <cell r="E16705" t="str">
            <v>拉深件</v>
          </cell>
        </row>
        <row r="16706">
          <cell r="D16706" t="str">
            <v>C532210932-001-001</v>
          </cell>
          <cell r="E16706" t="str">
            <v>中推力销末端卡环</v>
          </cell>
        </row>
        <row r="16707">
          <cell r="D16707" t="str">
            <v>C532210932-001-001</v>
          </cell>
          <cell r="E16707" t="str">
            <v>中推力销末端卡环</v>
          </cell>
        </row>
        <row r="16708">
          <cell r="D16708" t="str">
            <v>C532210932-001-001</v>
          </cell>
          <cell r="E16708" t="str">
            <v>中推力销末端卡环</v>
          </cell>
        </row>
        <row r="16709">
          <cell r="D16709" t="str">
            <v>C532210932-001-001</v>
          </cell>
          <cell r="E16709" t="str">
            <v>中推力销末端卡环</v>
          </cell>
        </row>
        <row r="16710">
          <cell r="D16710" t="str">
            <v>C532210932-001-001</v>
          </cell>
          <cell r="E16710" t="str">
            <v>中推力销末端卡环</v>
          </cell>
        </row>
        <row r="16711">
          <cell r="D16711" t="str">
            <v>C532210932-001-001</v>
          </cell>
          <cell r="E16711" t="str">
            <v>中推力销末端卡环</v>
          </cell>
        </row>
        <row r="16712">
          <cell r="D16712" t="str">
            <v>C532210932-001-001</v>
          </cell>
          <cell r="E16712" t="str">
            <v>中推力销末端卡环</v>
          </cell>
        </row>
        <row r="16713">
          <cell r="D16713" t="str">
            <v>C532210932-001-001</v>
          </cell>
          <cell r="E16713" t="str">
            <v>中推力销末端卡环</v>
          </cell>
        </row>
        <row r="16714">
          <cell r="D16714" t="str">
            <v>CB22956R1-001L001</v>
          </cell>
          <cell r="E16714" t="str">
            <v>座子</v>
          </cell>
        </row>
        <row r="16715">
          <cell r="D16715" t="str">
            <v>CB5324321-010-006</v>
          </cell>
          <cell r="E16715" t="str">
            <v>加强件</v>
          </cell>
        </row>
        <row r="16716">
          <cell r="D16716" t="str">
            <v>CB5324321-010-006</v>
          </cell>
          <cell r="E16716" t="str">
            <v>加强件</v>
          </cell>
        </row>
        <row r="16717">
          <cell r="D16717" t="str">
            <v>BC22311D1-003-001</v>
          </cell>
          <cell r="E16717" t="str">
            <v>卡钉</v>
          </cell>
        </row>
        <row r="16718">
          <cell r="D16718" t="str">
            <v>DD-J10S-02121-3-Y</v>
          </cell>
          <cell r="E16718" t="str">
            <v>助力器边梁（右件）</v>
          </cell>
        </row>
        <row r="16719">
          <cell r="D16719" t="str">
            <v>DD-J10S-02121-3-Z</v>
          </cell>
          <cell r="E16719" t="str">
            <v>助力器边梁（左件）</v>
          </cell>
        </row>
        <row r="16720">
          <cell r="D16720" t="str">
            <v>DD-J10S-02121-3-Z</v>
          </cell>
          <cell r="E16720" t="str">
            <v>助力器边梁（左件）</v>
          </cell>
        </row>
        <row r="16721">
          <cell r="D16721" t="str">
            <v>DD-J10S-02121-3-Z</v>
          </cell>
          <cell r="E16721" t="str">
            <v>助力器边梁（左件）</v>
          </cell>
        </row>
        <row r="16722">
          <cell r="D16722" t="str">
            <v>DD-J10S-02121-3-Z</v>
          </cell>
          <cell r="E16722" t="str">
            <v>助力器边梁（左件）</v>
          </cell>
        </row>
        <row r="16723">
          <cell r="D16723" t="str">
            <v>C571310300-022R001</v>
          </cell>
          <cell r="E16723" t="str">
            <v>外副作动器整流罩支撑件上段</v>
          </cell>
        </row>
        <row r="16724">
          <cell r="D16724" t="str">
            <v>C571310300-022R001</v>
          </cell>
          <cell r="E16724" t="str">
            <v>外副作动器整流罩支撑件上段</v>
          </cell>
        </row>
        <row r="16725">
          <cell r="D16725" t="str">
            <v>C571310300-022L001</v>
          </cell>
          <cell r="E16725" t="str">
            <v>外副作动器整流罩支撑件上段</v>
          </cell>
        </row>
        <row r="16726">
          <cell r="D16726" t="str">
            <v>C571310300-022L001</v>
          </cell>
          <cell r="E16726" t="str">
            <v>外副作动器整流罩支撑件上段</v>
          </cell>
        </row>
        <row r="16727">
          <cell r="D16727" t="str">
            <v>C571310300-022L001</v>
          </cell>
          <cell r="E16727" t="str">
            <v>外副作动器整流罩支撑件上段</v>
          </cell>
        </row>
        <row r="16728">
          <cell r="D16728" t="str">
            <v>C571310300-022L001</v>
          </cell>
          <cell r="E16728" t="str">
            <v>外副作动器整流罩支撑件上段</v>
          </cell>
        </row>
        <row r="16729">
          <cell r="D16729" t="str">
            <v>C571310300-023R001</v>
          </cell>
          <cell r="E16729" t="str">
            <v>外副作动器整流罩支撑件上段</v>
          </cell>
        </row>
        <row r="16730">
          <cell r="D16730" t="str">
            <v>C571310300-023R001</v>
          </cell>
          <cell r="E16730" t="str">
            <v>外副作动器整流罩支撑件上段</v>
          </cell>
        </row>
        <row r="16731">
          <cell r="D16731" t="str">
            <v>C571310300-023R001</v>
          </cell>
          <cell r="E16731" t="str">
            <v>外副作动器整流罩支撑件上段</v>
          </cell>
        </row>
        <row r="16732">
          <cell r="D16732" t="str">
            <v>C571310300-023R001</v>
          </cell>
          <cell r="E16732" t="str">
            <v>外副作动器整流罩支撑件上段</v>
          </cell>
        </row>
        <row r="16733">
          <cell r="D16733" t="str">
            <v>C571110400-003R001</v>
          </cell>
          <cell r="E16733" t="str">
            <v>角盒</v>
          </cell>
        </row>
        <row r="16734">
          <cell r="D16734" t="str">
            <v>C571110400-003R001</v>
          </cell>
          <cell r="E16734" t="str">
            <v>角盒</v>
          </cell>
        </row>
        <row r="16735">
          <cell r="D16735" t="str">
            <v>C571110400-003R001</v>
          </cell>
          <cell r="E16735" t="str">
            <v>角盒</v>
          </cell>
        </row>
        <row r="16736">
          <cell r="D16736" t="str">
            <v>C571110400-003R001</v>
          </cell>
          <cell r="E16736" t="str">
            <v>角盒</v>
          </cell>
        </row>
        <row r="16737">
          <cell r="D16737" t="str">
            <v>C571110400-003L001</v>
          </cell>
          <cell r="E16737" t="str">
            <v>角盒</v>
          </cell>
        </row>
        <row r="16738">
          <cell r="D16738" t="str">
            <v>C571110400-003L001</v>
          </cell>
          <cell r="E16738" t="str">
            <v>角盒</v>
          </cell>
        </row>
        <row r="16739">
          <cell r="D16739" t="str">
            <v>C571110400-003L001</v>
          </cell>
          <cell r="E16739" t="str">
            <v>角盒</v>
          </cell>
        </row>
        <row r="16740">
          <cell r="D16740" t="str">
            <v>C571110400-003L001</v>
          </cell>
          <cell r="E16740" t="str">
            <v>角盒</v>
          </cell>
        </row>
        <row r="16741">
          <cell r="D16741" t="str">
            <v>C571110400-004R001</v>
          </cell>
          <cell r="E16741" t="str">
            <v>角盒</v>
          </cell>
        </row>
        <row r="16742">
          <cell r="D16742" t="str">
            <v>C571110400-004R001</v>
          </cell>
          <cell r="E16742" t="str">
            <v>角盒</v>
          </cell>
        </row>
        <row r="16743">
          <cell r="D16743" t="str">
            <v>C571110400-004R001</v>
          </cell>
          <cell r="E16743" t="str">
            <v>角盒</v>
          </cell>
        </row>
        <row r="16744">
          <cell r="D16744" t="str">
            <v>C571110400-004R001</v>
          </cell>
          <cell r="E16744" t="str">
            <v>角盒</v>
          </cell>
        </row>
        <row r="16745">
          <cell r="D16745" t="str">
            <v>C532111100-008R001</v>
          </cell>
          <cell r="E16745" t="str">
            <v>外侧轴承盖</v>
          </cell>
        </row>
        <row r="16746">
          <cell r="D16746" t="str">
            <v>C532111100-008R001</v>
          </cell>
          <cell r="E16746" t="str">
            <v>外侧轴承盖</v>
          </cell>
        </row>
        <row r="16747">
          <cell r="D16747" t="str">
            <v>C532111100-008R001</v>
          </cell>
          <cell r="E16747" t="str">
            <v>外侧轴承盖</v>
          </cell>
        </row>
        <row r="16748">
          <cell r="D16748" t="str">
            <v>C532111100-008R001</v>
          </cell>
          <cell r="E16748" t="str">
            <v>外侧轴承盖</v>
          </cell>
        </row>
        <row r="16749">
          <cell r="D16749" t="str">
            <v>531A1100-015-001</v>
          </cell>
          <cell r="E16749" t="str">
            <v>合页</v>
          </cell>
        </row>
        <row r="16750">
          <cell r="D16750" t="str">
            <v>531A1100-014-001</v>
          </cell>
          <cell r="E16750" t="str">
            <v>合页</v>
          </cell>
        </row>
        <row r="16751">
          <cell r="D16751" t="str">
            <v>XXX-210-01</v>
          </cell>
          <cell r="E16751" t="str">
            <v>XXX源插头盖板</v>
          </cell>
        </row>
        <row r="16752">
          <cell r="D16752" t="str">
            <v>XXX-210-02</v>
          </cell>
          <cell r="E16752" t="str">
            <v>XXX源插头绝缘子</v>
          </cell>
        </row>
        <row r="16753">
          <cell r="D16753" t="str">
            <v>XXX-210-04</v>
          </cell>
          <cell r="E16753" t="str">
            <v>XXX源接地焊接座一</v>
          </cell>
        </row>
        <row r="16754">
          <cell r="D16754" t="str">
            <v>XXX-210-05</v>
          </cell>
          <cell r="E16754" t="str">
            <v>XXX源插头壳体</v>
          </cell>
        </row>
        <row r="16755">
          <cell r="D16755" t="str">
            <v>XXX-210-06</v>
          </cell>
          <cell r="E16755" t="str">
            <v>XXX源接地焊接座二</v>
          </cell>
        </row>
        <row r="16756">
          <cell r="D16756" t="str">
            <v>XXX-310-01</v>
          </cell>
          <cell r="E16756" t="str">
            <v>XXX插头盖板</v>
          </cell>
        </row>
        <row r="16757">
          <cell r="D16757" t="str">
            <v>XXX-310-03</v>
          </cell>
          <cell r="E16757" t="str">
            <v>XXX插头绝缘子</v>
          </cell>
        </row>
        <row r="16758">
          <cell r="D16758" t="str">
            <v>XXX-310-04</v>
          </cell>
          <cell r="E16758" t="str">
            <v>XXX插头壳体</v>
          </cell>
        </row>
        <row r="16759">
          <cell r="D16759" t="str">
            <v>XXX-310-06</v>
          </cell>
          <cell r="E16759" t="str">
            <v>XXX接地焊接座</v>
          </cell>
        </row>
        <row r="16760">
          <cell r="D16760" t="str">
            <v>CB5742000-008-006</v>
          </cell>
          <cell r="E16760" t="str">
            <v>角片</v>
          </cell>
        </row>
        <row r="16761">
          <cell r="D16761" t="str">
            <v>CB5742000-008-006</v>
          </cell>
          <cell r="E16761" t="str">
            <v>角片</v>
          </cell>
        </row>
        <row r="16762">
          <cell r="D16762" t="str">
            <v>CB5742000-008-006</v>
          </cell>
          <cell r="E16762" t="str">
            <v>角片</v>
          </cell>
        </row>
        <row r="16763">
          <cell r="D16763" t="str">
            <v>CB5742000-008-006</v>
          </cell>
          <cell r="E16763" t="str">
            <v>角片</v>
          </cell>
        </row>
        <row r="16764">
          <cell r="D16764" t="str">
            <v>CB5742000-008-006</v>
          </cell>
          <cell r="E16764" t="str">
            <v>角片</v>
          </cell>
        </row>
        <row r="16765">
          <cell r="D16765" t="str">
            <v>CB5742000-008-006</v>
          </cell>
          <cell r="E16765" t="str">
            <v>角片</v>
          </cell>
        </row>
        <row r="16766">
          <cell r="D16766" t="str">
            <v>CB5742000-008-006</v>
          </cell>
          <cell r="E16766" t="str">
            <v>角片</v>
          </cell>
        </row>
        <row r="16767">
          <cell r="D16767" t="str">
            <v>CB5742000-008-006</v>
          </cell>
          <cell r="E16767" t="str">
            <v>角片</v>
          </cell>
        </row>
        <row r="16768">
          <cell r="D16768" t="str">
            <v>CB5742000-008-006</v>
          </cell>
          <cell r="E16768" t="str">
            <v>角片</v>
          </cell>
        </row>
        <row r="16769">
          <cell r="D16769" t="str">
            <v>CB5742000-008-006</v>
          </cell>
          <cell r="E16769" t="str">
            <v>角片</v>
          </cell>
        </row>
        <row r="16770">
          <cell r="D16770" t="str">
            <v>CB5742000-008-006</v>
          </cell>
          <cell r="E16770" t="str">
            <v>角片</v>
          </cell>
        </row>
        <row r="16771">
          <cell r="D16771" t="str">
            <v>CB5742000-008-006</v>
          </cell>
          <cell r="E16771" t="str">
            <v>角片</v>
          </cell>
        </row>
        <row r="16772">
          <cell r="D16772" t="str">
            <v>CB5742000-008-006</v>
          </cell>
          <cell r="E16772" t="str">
            <v>角片</v>
          </cell>
        </row>
        <row r="16773">
          <cell r="D16773" t="str">
            <v>CB5742000-008-006</v>
          </cell>
          <cell r="E16773" t="str">
            <v>角片</v>
          </cell>
        </row>
        <row r="16774">
          <cell r="D16774" t="str">
            <v>CB5742000-008-006</v>
          </cell>
          <cell r="E16774" t="str">
            <v>角片</v>
          </cell>
        </row>
        <row r="16775">
          <cell r="D16775" t="str">
            <v>CB5742000-008-006</v>
          </cell>
          <cell r="E16775" t="str">
            <v>角片</v>
          </cell>
        </row>
        <row r="16776">
          <cell r="D16776" t="str">
            <v>CB5742000-008-006</v>
          </cell>
          <cell r="E16776" t="str">
            <v>角片</v>
          </cell>
        </row>
        <row r="16777">
          <cell r="D16777" t="str">
            <v>CB5742000-008-006</v>
          </cell>
          <cell r="E16777" t="str">
            <v>角片</v>
          </cell>
        </row>
        <row r="16778">
          <cell r="D16778" t="str">
            <v>CB5742000-008-006</v>
          </cell>
          <cell r="E16778" t="str">
            <v>角片</v>
          </cell>
        </row>
        <row r="16779">
          <cell r="D16779" t="str">
            <v>CB5742000-008-006</v>
          </cell>
          <cell r="E16779" t="str">
            <v>角片</v>
          </cell>
        </row>
        <row r="16780">
          <cell r="D16780" t="str">
            <v>531A3430-000-035</v>
          </cell>
          <cell r="E16780" t="str">
            <v>角材</v>
          </cell>
        </row>
        <row r="16781">
          <cell r="D16781" t="str">
            <v>531A3430-000-035</v>
          </cell>
          <cell r="E16781" t="str">
            <v>角材</v>
          </cell>
        </row>
        <row r="16782">
          <cell r="D16782" t="str">
            <v>531A3430-000-035</v>
          </cell>
          <cell r="E16782" t="str">
            <v>角材</v>
          </cell>
        </row>
        <row r="16783">
          <cell r="D16783" t="str">
            <v>DD-J10B-21402-10G2-1G2-Z</v>
          </cell>
          <cell r="E16783" t="str">
            <v>固定前缘边肋（左件）</v>
          </cell>
        </row>
        <row r="16784">
          <cell r="D16784" t="str">
            <v>DD-J10B-21402-10G2-1G2-Z</v>
          </cell>
          <cell r="E16784" t="str">
            <v>固定前缘边肋（左件）</v>
          </cell>
        </row>
        <row r="16785">
          <cell r="D16785" t="str">
            <v>DD-J10B-21402-10G2-1G2-Y</v>
          </cell>
          <cell r="E16785" t="str">
            <v>固定前缘边肋（右件）</v>
          </cell>
        </row>
        <row r="16786">
          <cell r="D16786" t="str">
            <v>DD-J10B-21402-10G2-1G2-Y</v>
          </cell>
          <cell r="E16786" t="str">
            <v>固定前缘边肋（右件）</v>
          </cell>
        </row>
        <row r="16787">
          <cell r="D16787" t="str">
            <v>DD-J10B-21402-10G2-1G2-Y</v>
          </cell>
          <cell r="E16787" t="str">
            <v>固定前缘边肋（右件）</v>
          </cell>
        </row>
        <row r="16788">
          <cell r="D16788" t="str">
            <v>DD-J10B-21402-10G2-1G2-Y</v>
          </cell>
          <cell r="E16788" t="str">
            <v>固定前缘边肋（右件）</v>
          </cell>
        </row>
        <row r="16789">
          <cell r="D16789" t="str">
            <v>CB5314240-012-003</v>
          </cell>
          <cell r="E16789" t="str">
            <v>后顶板</v>
          </cell>
        </row>
        <row r="16790">
          <cell r="D16790" t="str">
            <v>CB5314240-012-003</v>
          </cell>
          <cell r="E16790" t="str">
            <v>后顶板</v>
          </cell>
        </row>
        <row r="16791">
          <cell r="D16791" t="str">
            <v>CB5314240-012-003</v>
          </cell>
          <cell r="E16791" t="str">
            <v>后顶板</v>
          </cell>
        </row>
        <row r="16792">
          <cell r="D16792" t="str">
            <v>CB5314240-012-003</v>
          </cell>
          <cell r="E16792" t="str">
            <v>后顶板</v>
          </cell>
        </row>
        <row r="16793">
          <cell r="D16793" t="str">
            <v>CB5314240-012-003</v>
          </cell>
          <cell r="E16793" t="str">
            <v>后顶板</v>
          </cell>
        </row>
        <row r="16794">
          <cell r="D16794" t="str">
            <v>CB5314107-005-001</v>
          </cell>
          <cell r="E16794" t="str">
            <v>油箱口盖</v>
          </cell>
        </row>
        <row r="16795">
          <cell r="D16795" t="str">
            <v>CB5314107-005-001</v>
          </cell>
          <cell r="E16795" t="str">
            <v>油箱口盖</v>
          </cell>
        </row>
        <row r="16796">
          <cell r="D16796" t="str">
            <v>CB5314107-005-001</v>
          </cell>
          <cell r="E16796" t="str">
            <v>油箱口盖</v>
          </cell>
        </row>
        <row r="16797">
          <cell r="D16797" t="str">
            <v>CB5314107-005-001</v>
          </cell>
          <cell r="E16797" t="str">
            <v>油箱口盖</v>
          </cell>
        </row>
        <row r="16798">
          <cell r="D16798" t="str">
            <v>CB5327120-003R006</v>
          </cell>
          <cell r="E16798" t="str">
            <v>8270侧隔框</v>
          </cell>
        </row>
        <row r="16799">
          <cell r="D16799" t="str">
            <v>CB5327120-003R006</v>
          </cell>
          <cell r="E16799" t="str">
            <v>8270侧隔框</v>
          </cell>
        </row>
        <row r="16800">
          <cell r="D16800" t="str">
            <v>CB5327120-003L006</v>
          </cell>
          <cell r="E16800" t="str">
            <v>8270侧隔框</v>
          </cell>
        </row>
        <row r="16801">
          <cell r="D16801" t="str">
            <v>CB5327120-003L006</v>
          </cell>
          <cell r="E16801" t="str">
            <v>8270侧隔框</v>
          </cell>
        </row>
        <row r="16802">
          <cell r="D16802" t="str">
            <v>CB5327120-003R006</v>
          </cell>
          <cell r="E16802" t="str">
            <v>8270侧隔框</v>
          </cell>
        </row>
        <row r="16803">
          <cell r="D16803" t="str">
            <v>CB5327120-003R006</v>
          </cell>
          <cell r="E16803" t="str">
            <v>8270侧隔框</v>
          </cell>
        </row>
        <row r="16804">
          <cell r="D16804" t="str">
            <v>CB5327120-003L006</v>
          </cell>
          <cell r="E16804" t="str">
            <v>8270侧隔框</v>
          </cell>
        </row>
        <row r="16805">
          <cell r="D16805" t="str">
            <v>CB5327120-003L006</v>
          </cell>
          <cell r="E16805" t="str">
            <v>8270侧隔框</v>
          </cell>
        </row>
        <row r="16806">
          <cell r="D16806" t="str">
            <v>CB5315120-002R001</v>
          </cell>
          <cell r="E16806" t="str">
            <v>6820框内段</v>
          </cell>
        </row>
        <row r="16807">
          <cell r="D16807" t="str">
            <v>CB5315120-002R001</v>
          </cell>
          <cell r="E16807" t="str">
            <v>6820框内段</v>
          </cell>
        </row>
        <row r="16808">
          <cell r="D16808" t="str">
            <v>CB5315120-002R001</v>
          </cell>
          <cell r="E16808" t="str">
            <v>6820框内段</v>
          </cell>
        </row>
        <row r="16809">
          <cell r="D16809" t="str">
            <v>CB5315120-002R001</v>
          </cell>
          <cell r="E16809" t="str">
            <v>6820框内段</v>
          </cell>
        </row>
        <row r="16810">
          <cell r="D16810" t="str">
            <v>CB5315120-002R001</v>
          </cell>
          <cell r="E16810" t="str">
            <v>6820框内段</v>
          </cell>
        </row>
        <row r="16811">
          <cell r="D16811" t="str">
            <v>CB5315120-002R001</v>
          </cell>
          <cell r="E16811" t="str">
            <v>6820框内段</v>
          </cell>
        </row>
        <row r="16812">
          <cell r="D16812" t="str">
            <v>CB5315120-002R001</v>
          </cell>
          <cell r="E16812" t="str">
            <v>6820框内段</v>
          </cell>
        </row>
        <row r="16813">
          <cell r="D16813" t="str">
            <v>CB5315120-002R001</v>
          </cell>
          <cell r="E16813" t="str">
            <v>6820框内段</v>
          </cell>
        </row>
        <row r="16814">
          <cell r="D16814" t="str">
            <v>CB5315120-002R001</v>
          </cell>
          <cell r="E16814" t="str">
            <v>6820框内段</v>
          </cell>
        </row>
        <row r="16815">
          <cell r="D16815" t="str">
            <v>CB5315120-002R001</v>
          </cell>
          <cell r="E16815" t="str">
            <v>6820框内段</v>
          </cell>
        </row>
        <row r="16816">
          <cell r="D16816" t="str">
            <v>CB5315120-002L001</v>
          </cell>
          <cell r="E16816" t="str">
            <v>6820框内段</v>
          </cell>
        </row>
        <row r="16817">
          <cell r="D16817" t="str">
            <v>CB5315120-002L001</v>
          </cell>
          <cell r="E16817" t="str">
            <v>6820框内段</v>
          </cell>
        </row>
        <row r="16818">
          <cell r="D16818" t="str">
            <v>CB5315120-002L001</v>
          </cell>
          <cell r="E16818" t="str">
            <v>6820框内段</v>
          </cell>
        </row>
        <row r="16819">
          <cell r="D16819" t="str">
            <v>CB5315120-002L001</v>
          </cell>
          <cell r="E16819" t="str">
            <v>6820框内段</v>
          </cell>
        </row>
        <row r="16820">
          <cell r="D16820" t="str">
            <v>CB5315120-002L001</v>
          </cell>
          <cell r="E16820" t="str">
            <v>6820框内段</v>
          </cell>
        </row>
        <row r="16821">
          <cell r="D16821" t="str">
            <v>CB5315120-002L001</v>
          </cell>
          <cell r="E16821" t="str">
            <v>6820框内段</v>
          </cell>
        </row>
        <row r="16822">
          <cell r="D16822" t="str">
            <v>CB5315120-002L001</v>
          </cell>
          <cell r="E16822" t="str">
            <v>6820框内段</v>
          </cell>
        </row>
        <row r="16823">
          <cell r="D16823" t="str">
            <v>CB5315120-002L001</v>
          </cell>
          <cell r="E16823" t="str">
            <v>6820框内段</v>
          </cell>
        </row>
        <row r="16824">
          <cell r="D16824" t="str">
            <v>CB5315120-002L001</v>
          </cell>
          <cell r="E16824" t="str">
            <v>6820框内段</v>
          </cell>
        </row>
        <row r="16825">
          <cell r="D16825" t="str">
            <v>CB5315120-002L001</v>
          </cell>
          <cell r="E16825" t="str">
            <v>6820框内段</v>
          </cell>
        </row>
        <row r="16826">
          <cell r="D16826" t="str">
            <v>CB5324500-003R002</v>
          </cell>
          <cell r="E16826" t="str">
            <v>前端框</v>
          </cell>
        </row>
        <row r="16827">
          <cell r="D16827" t="str">
            <v>CB5324500-003L002</v>
          </cell>
          <cell r="E16827" t="str">
            <v>前端框</v>
          </cell>
        </row>
        <row r="16828">
          <cell r="D16828" t="str">
            <v>CB5315191-012L003</v>
          </cell>
          <cell r="E16828" t="str">
            <v>进气下侧壁</v>
          </cell>
        </row>
        <row r="16829">
          <cell r="D16829" t="str">
            <v>CB22837F0-001-001</v>
          </cell>
          <cell r="E16829" t="str">
            <v>接头</v>
          </cell>
        </row>
        <row r="16830">
          <cell r="D16830" t="str">
            <v>CB2280211-016-001</v>
          </cell>
          <cell r="E16830" t="str">
            <v>穿框管接头</v>
          </cell>
        </row>
        <row r="16831">
          <cell r="D16831" t="str">
            <v>CB2284761-003-001</v>
          </cell>
          <cell r="E16831" t="str">
            <v>主动油总管四通</v>
          </cell>
        </row>
        <row r="16832">
          <cell r="D16832" t="str">
            <v>CB22877HD-001-001</v>
          </cell>
          <cell r="E16832" t="str">
            <v>变径直通管接头</v>
          </cell>
        </row>
        <row r="16833">
          <cell r="D16833" t="str">
            <v>Y20-5312100232-001</v>
          </cell>
          <cell r="E16833" t="str">
            <v>衬套</v>
          </cell>
        </row>
        <row r="16834">
          <cell r="D16834" t="str">
            <v>Y20-5319180012-001</v>
          </cell>
          <cell r="E16834" t="str">
            <v>角盒</v>
          </cell>
        </row>
        <row r="16835">
          <cell r="D16835" t="str">
            <v>Y20-5319180012-002</v>
          </cell>
          <cell r="E16835" t="str">
            <v>角盒</v>
          </cell>
        </row>
        <row r="16836">
          <cell r="D16836" t="str">
            <v>DD-J10-55165-1460-3</v>
          </cell>
          <cell r="E16836" t="str">
            <v>衬套</v>
          </cell>
        </row>
        <row r="16837">
          <cell r="D16837" t="str">
            <v>DD-J10-54111-1200-1</v>
          </cell>
          <cell r="E16837" t="str">
            <v>衬套</v>
          </cell>
        </row>
        <row r="16838">
          <cell r="D16838" t="str">
            <v>DD-J10-54101-2822</v>
          </cell>
          <cell r="E16838" t="str">
            <v>钢套</v>
          </cell>
        </row>
        <row r="16839">
          <cell r="D16839" t="str">
            <v>DD-J10-54101-2821</v>
          </cell>
          <cell r="E16839" t="str">
            <v>插销</v>
          </cell>
        </row>
        <row r="16840">
          <cell r="D16840" t="str">
            <v>DD-J10-55051-6110-3</v>
          </cell>
          <cell r="E16840" t="str">
            <v>衬套</v>
          </cell>
        </row>
        <row r="16841">
          <cell r="D16841" t="str">
            <v>DD-J10-55055-2620-3</v>
          </cell>
          <cell r="E16841" t="str">
            <v>衬套</v>
          </cell>
        </row>
        <row r="16842">
          <cell r="D16842" t="str">
            <v>DD-J10B-94076-1391</v>
          </cell>
          <cell r="E16842" t="str">
            <v>法兰盘</v>
          </cell>
        </row>
        <row r="16843">
          <cell r="D16843" t="str">
            <v>DD-J10B-94076-2031/1</v>
          </cell>
          <cell r="E16843" t="str">
            <v>接管嘴</v>
          </cell>
        </row>
        <row r="16844">
          <cell r="D16844" t="str">
            <v>DD-J10B-94076-2051</v>
          </cell>
          <cell r="E16844" t="str">
            <v>外套螺母</v>
          </cell>
        </row>
        <row r="16845">
          <cell r="D16845" t="str">
            <v>DD-J10B-94076-1311</v>
          </cell>
          <cell r="E16845" t="str">
            <v>衬盘</v>
          </cell>
        </row>
        <row r="16846">
          <cell r="D16846" t="str">
            <v>DD-J10B-94076-1311</v>
          </cell>
          <cell r="E16846" t="str">
            <v>衬盘</v>
          </cell>
        </row>
        <row r="16847">
          <cell r="D16847" t="str">
            <v>DD-J10B-94076-1311</v>
          </cell>
          <cell r="E16847" t="str">
            <v>衬盘</v>
          </cell>
        </row>
        <row r="16848">
          <cell r="D16848" t="str">
            <v>DD-J10B-94061-1061/3</v>
          </cell>
          <cell r="E16848" t="str">
            <v>法兰盘</v>
          </cell>
        </row>
        <row r="16849">
          <cell r="D16849" t="str">
            <v>DD-J10B-94076-2031/2</v>
          </cell>
          <cell r="E16849" t="str">
            <v>接管嘴</v>
          </cell>
        </row>
        <row r="16850">
          <cell r="D16850" t="str">
            <v>DD-J10B-94076-2031/3</v>
          </cell>
          <cell r="E16850" t="str">
            <v>接管嘴</v>
          </cell>
        </row>
        <row r="16851">
          <cell r="D16851" t="str">
            <v>DD-J10B-94076-1312</v>
          </cell>
          <cell r="E16851" t="str">
            <v>衬盘</v>
          </cell>
        </row>
        <row r="16852">
          <cell r="D16852" t="str">
            <v>DD-J10B-94061-1061/1</v>
          </cell>
          <cell r="E16852" t="str">
            <v>法兰盘</v>
          </cell>
        </row>
        <row r="16853">
          <cell r="D16853" t="str">
            <v>DD-J10B-94061-1061/1</v>
          </cell>
          <cell r="E16853" t="str">
            <v>法兰盘</v>
          </cell>
        </row>
        <row r="16854">
          <cell r="D16854" t="str">
            <v>DD-J10B-94061-1061/2</v>
          </cell>
          <cell r="E16854" t="str">
            <v>法兰盘</v>
          </cell>
        </row>
        <row r="16855">
          <cell r="D16855" t="str">
            <v>DD-J10B-64016-700-1</v>
          </cell>
          <cell r="E16855" t="str">
            <v>短管</v>
          </cell>
        </row>
        <row r="16856">
          <cell r="D16856" t="str">
            <v>DD-J10B-68095-1720-3</v>
          </cell>
          <cell r="E16856" t="str">
            <v>钢管</v>
          </cell>
        </row>
        <row r="16857">
          <cell r="D16857" t="str">
            <v>DD-J10B-86031-510-4</v>
          </cell>
          <cell r="E16857" t="str">
            <v>套管</v>
          </cell>
        </row>
        <row r="16858">
          <cell r="D16858" t="str">
            <v>DD-J10B-42074-140-1</v>
          </cell>
          <cell r="E16858" t="str">
            <v>拉杆</v>
          </cell>
        </row>
        <row r="16859">
          <cell r="D16859" t="str">
            <v>DD-J10B-42074-140-1</v>
          </cell>
          <cell r="E16859" t="str">
            <v>拉杆</v>
          </cell>
        </row>
        <row r="16860">
          <cell r="D16860" t="str">
            <v>DD-J10B-55111-210-2</v>
          </cell>
          <cell r="E16860" t="str">
            <v>套管</v>
          </cell>
        </row>
        <row r="16861">
          <cell r="D16861" t="str">
            <v>DD-J10B-55165-1480-1</v>
          </cell>
          <cell r="E16861" t="str">
            <v>螺栓</v>
          </cell>
        </row>
        <row r="16862">
          <cell r="D16862" t="str">
            <v>DD-J10B-68095-1200-3</v>
          </cell>
          <cell r="E16862" t="str">
            <v>衬套</v>
          </cell>
        </row>
        <row r="16863">
          <cell r="D16863" t="str">
            <v>DD-J10B-42074-130-1</v>
          </cell>
          <cell r="E16863" t="str">
            <v>拉杆</v>
          </cell>
        </row>
        <row r="16864">
          <cell r="D16864" t="str">
            <v>DD-J10B-42074-130-1</v>
          </cell>
          <cell r="E16864" t="str">
            <v>拉杆</v>
          </cell>
        </row>
        <row r="16865">
          <cell r="D16865" t="str">
            <v>DD-J10B-94051-3640-2</v>
          </cell>
          <cell r="E16865" t="str">
            <v>管子</v>
          </cell>
        </row>
        <row r="16866">
          <cell r="D16866" t="str">
            <v>DD-J10B-68095-1710-3-Z</v>
          </cell>
          <cell r="E16866" t="str">
            <v>钢管</v>
          </cell>
        </row>
        <row r="16867">
          <cell r="D16867" t="str">
            <v>DD-J10B-68095-1710-3-Y</v>
          </cell>
          <cell r="E16867" t="str">
            <v>钢管</v>
          </cell>
        </row>
        <row r="16868">
          <cell r="D16868" t="str">
            <v>DD-J10B-55141-2010-3</v>
          </cell>
          <cell r="E16868" t="str">
            <v>衬套</v>
          </cell>
        </row>
        <row r="16869">
          <cell r="D16869" t="str">
            <v>DD-J10-55165-1510-2</v>
          </cell>
          <cell r="E16869" t="str">
            <v>衬套</v>
          </cell>
        </row>
        <row r="16870">
          <cell r="D16870" t="str">
            <v>DD-J10B-94086-1100-1</v>
          </cell>
          <cell r="E16870" t="str">
            <v>管子</v>
          </cell>
        </row>
        <row r="16871">
          <cell r="D16871" t="str">
            <v>DD-J10B-68074-1710-3</v>
          </cell>
          <cell r="E16871" t="str">
            <v>钢管</v>
          </cell>
        </row>
        <row r="16872">
          <cell r="D16872" t="str">
            <v>DD-J10B-68074-1720-3</v>
          </cell>
          <cell r="E16872" t="str">
            <v>钢管</v>
          </cell>
        </row>
        <row r="16873">
          <cell r="D16873" t="str">
            <v>DD-J10B-02041-202G2</v>
          </cell>
          <cell r="E16873" t="str">
            <v>地板</v>
          </cell>
        </row>
        <row r="16874">
          <cell r="D16874" t="str">
            <v>DD-J10B-02041-202G2</v>
          </cell>
          <cell r="E16874" t="str">
            <v>地板</v>
          </cell>
        </row>
        <row r="16875">
          <cell r="D16875" t="str">
            <v>CB5512300-004L002</v>
          </cell>
          <cell r="E16875" t="str">
            <v>根肋前段</v>
          </cell>
        </row>
        <row r="16876">
          <cell r="D16876" t="str">
            <v>CB5512300-004L002</v>
          </cell>
          <cell r="E16876" t="str">
            <v>根肋前段</v>
          </cell>
        </row>
        <row r="16877">
          <cell r="D16877" t="str">
            <v>CB5512300-004L002</v>
          </cell>
          <cell r="E16877" t="str">
            <v>根肋前段</v>
          </cell>
        </row>
        <row r="16878">
          <cell r="D16878" t="str">
            <v>CB5512300-004L002</v>
          </cell>
          <cell r="E16878" t="str">
            <v>根肋前段</v>
          </cell>
        </row>
        <row r="16879">
          <cell r="D16879" t="str">
            <v>CB5512300-004L002</v>
          </cell>
          <cell r="E16879" t="str">
            <v>根肋前段</v>
          </cell>
        </row>
        <row r="16880">
          <cell r="D16880" t="str">
            <v>CB5512300-004L002</v>
          </cell>
          <cell r="E16880" t="str">
            <v>根肋前段</v>
          </cell>
        </row>
        <row r="16881">
          <cell r="D16881" t="str">
            <v>CB221T9MLN003-001</v>
          </cell>
          <cell r="E16881" t="str">
            <v>液体压力传感器接管嘴</v>
          </cell>
        </row>
        <row r="16882">
          <cell r="D16882" t="str">
            <v>C532210911-001L001</v>
          </cell>
          <cell r="E16882" t="str">
            <v>左内侧接头</v>
          </cell>
        </row>
        <row r="16883">
          <cell r="D16883" t="str">
            <v>C532210911-001L001</v>
          </cell>
          <cell r="E16883" t="str">
            <v>左内侧接头</v>
          </cell>
        </row>
        <row r="16884">
          <cell r="D16884" t="str">
            <v>C532210911-001L001</v>
          </cell>
          <cell r="E16884" t="str">
            <v>左内侧接头</v>
          </cell>
        </row>
        <row r="16885">
          <cell r="D16885" t="str">
            <v>C532210911-001L001</v>
          </cell>
          <cell r="E16885" t="str">
            <v>左内侧接头</v>
          </cell>
        </row>
        <row r="16886">
          <cell r="D16886" t="str">
            <v>C532210911-001R001</v>
          </cell>
          <cell r="E16886" t="str">
            <v>右内侧接头</v>
          </cell>
        </row>
        <row r="16887">
          <cell r="D16887" t="str">
            <v>C532210911-001R001</v>
          </cell>
          <cell r="E16887" t="str">
            <v>右内侧接头</v>
          </cell>
        </row>
        <row r="16888">
          <cell r="D16888" t="str">
            <v>C532210911-001R001</v>
          </cell>
          <cell r="E16888" t="str">
            <v>右内侧接头</v>
          </cell>
        </row>
        <row r="16889">
          <cell r="D16889" t="str">
            <v>C532210911-001R001</v>
          </cell>
          <cell r="E16889" t="str">
            <v>右内侧接头</v>
          </cell>
        </row>
        <row r="16890">
          <cell r="D16890" t="str">
            <v>C532210931-001-001</v>
          </cell>
          <cell r="E16890" t="str">
            <v>中推力销支座接头</v>
          </cell>
        </row>
        <row r="16891">
          <cell r="D16891" t="str">
            <v>C532210931-001-001</v>
          </cell>
          <cell r="E16891" t="str">
            <v>中推力销支座接头</v>
          </cell>
        </row>
        <row r="16892">
          <cell r="D16892" t="str">
            <v>C532210931-001-001</v>
          </cell>
          <cell r="E16892" t="str">
            <v>中推力销支座接头</v>
          </cell>
        </row>
        <row r="16893">
          <cell r="D16893" t="str">
            <v>C532210931-001-001</v>
          </cell>
          <cell r="E16893" t="str">
            <v>中推力销支座接头</v>
          </cell>
        </row>
        <row r="16894">
          <cell r="D16894" t="str">
            <v>DD-J10B-04051-1</v>
          </cell>
          <cell r="E16894" t="str">
            <v>10460框</v>
          </cell>
        </row>
        <row r="16895">
          <cell r="D16895" t="str">
            <v>DD-J10B-04051-1</v>
          </cell>
          <cell r="E16895" t="str">
            <v>10460框</v>
          </cell>
        </row>
        <row r="16896">
          <cell r="D16896" t="str">
            <v>DD-J10B-04051-1</v>
          </cell>
          <cell r="E16896" t="str">
            <v>10460框</v>
          </cell>
        </row>
        <row r="16897">
          <cell r="D16897" t="str">
            <v>DD-J10B-04051-1</v>
          </cell>
          <cell r="E16897" t="str">
            <v>10460框</v>
          </cell>
        </row>
        <row r="16898">
          <cell r="D16898" t="str">
            <v>DD-J10B-55141-111</v>
          </cell>
          <cell r="E16898" t="str">
            <v>90°弯管接头</v>
          </cell>
        </row>
        <row r="16899">
          <cell r="D16899" t="str">
            <v>DD-J10B-55141-111</v>
          </cell>
          <cell r="E16899" t="str">
            <v>90°弯管接头</v>
          </cell>
        </row>
        <row r="16900">
          <cell r="D16900" t="str">
            <v>DD-J10B-55141-111</v>
          </cell>
          <cell r="E16900" t="str">
            <v>90°弯管接头</v>
          </cell>
        </row>
        <row r="16901">
          <cell r="D16901" t="str">
            <v>DD-J10B-55141-101</v>
          </cell>
          <cell r="E16901" t="str">
            <v>90°弯管接头</v>
          </cell>
        </row>
        <row r="16902">
          <cell r="D16902" t="str">
            <v>DD-J10-55165-331</v>
          </cell>
          <cell r="E16902" t="str">
            <v>三通管接头</v>
          </cell>
        </row>
        <row r="16903">
          <cell r="D16903" t="str">
            <v>DD-J10-55165-331</v>
          </cell>
          <cell r="E16903" t="str">
            <v>三通管接头</v>
          </cell>
        </row>
        <row r="16904">
          <cell r="D16904" t="str">
            <v>DD-J10-55051-6110-1</v>
          </cell>
          <cell r="E16904" t="str">
            <v>三通接头</v>
          </cell>
        </row>
        <row r="16905">
          <cell r="D16905" t="str">
            <v>CB2294170-001-001</v>
          </cell>
          <cell r="E16905" t="str">
            <v>压杆</v>
          </cell>
        </row>
        <row r="16906">
          <cell r="D16906" t="str">
            <v>DD-J10B-94076-803</v>
          </cell>
          <cell r="E16906" t="str">
            <v>支架</v>
          </cell>
        </row>
        <row r="16907">
          <cell r="D16907" t="str">
            <v>DD-J10-54101-201</v>
          </cell>
          <cell r="E16907" t="str">
            <v>支座</v>
          </cell>
        </row>
        <row r="16908">
          <cell r="D16908" t="str">
            <v>DD-J10-54101-201</v>
          </cell>
          <cell r="E16908" t="str">
            <v>支座</v>
          </cell>
        </row>
        <row r="16909">
          <cell r="D16909" t="str">
            <v>DD-J10B-65000-1720G2-1</v>
          </cell>
          <cell r="E16909" t="str">
            <v>管子</v>
          </cell>
        </row>
        <row r="16910">
          <cell r="D16910" t="str">
            <v>CB5323320-007R001</v>
          </cell>
          <cell r="E16910" t="str">
            <v>角盒</v>
          </cell>
        </row>
        <row r="16911">
          <cell r="D16911" t="str">
            <v>CB2276731-007-001</v>
          </cell>
          <cell r="E16911" t="str">
            <v>筋条5</v>
          </cell>
        </row>
        <row r="16912">
          <cell r="D16912" t="str">
            <v>CB2284460-007-001</v>
          </cell>
          <cell r="E16912" t="str">
            <v>四通接头</v>
          </cell>
        </row>
        <row r="16913">
          <cell r="D16913" t="str">
            <v>CB2287717-003-001</v>
          </cell>
          <cell r="E16913" t="str">
            <v>14200框左侧铆接支架</v>
          </cell>
        </row>
        <row r="16914">
          <cell r="D16914" t="str">
            <v>DD-J10-06041-81</v>
          </cell>
          <cell r="E16914" t="str">
            <v>弯管接头</v>
          </cell>
        </row>
        <row r="16915">
          <cell r="D16915" t="str">
            <v>DD-J10-06041-81</v>
          </cell>
          <cell r="E16915" t="str">
            <v>弯管接头</v>
          </cell>
        </row>
        <row r="16916">
          <cell r="D16916" t="str">
            <v>DD-J10B-63001-651</v>
          </cell>
          <cell r="E16916" t="str">
            <v>法兰盘</v>
          </cell>
        </row>
        <row r="16917">
          <cell r="D16917" t="str">
            <v>LTCS-515030000-06N01</v>
          </cell>
          <cell r="E16917" t="str">
            <v>3275横梁</v>
          </cell>
        </row>
        <row r="16918">
          <cell r="D16918" t="str">
            <v>LTCS-551100000-57L02</v>
          </cell>
          <cell r="E16918" t="str">
            <v>角片</v>
          </cell>
        </row>
        <row r="16919">
          <cell r="D16919" t="str">
            <v>LTCS-551100000-57R02</v>
          </cell>
          <cell r="E16919" t="str">
            <v>角片</v>
          </cell>
        </row>
        <row r="16920">
          <cell r="D16920" t="str">
            <v>LTCS-551100000-52L02</v>
          </cell>
          <cell r="E16920" t="str">
            <v>带板</v>
          </cell>
        </row>
        <row r="16921">
          <cell r="D16921" t="str">
            <v>LTCS-551100000-52R02</v>
          </cell>
          <cell r="E16921" t="str">
            <v>带板</v>
          </cell>
        </row>
        <row r="16922">
          <cell r="D16922" t="str">
            <v>LTCS-551100000-56L02</v>
          </cell>
          <cell r="E16922" t="str">
            <v>角片</v>
          </cell>
        </row>
        <row r="16923">
          <cell r="D16923" t="str">
            <v>LTCS-551100000-56R02</v>
          </cell>
          <cell r="E16923" t="str">
            <v>角片</v>
          </cell>
        </row>
        <row r="16924">
          <cell r="D16924" t="str">
            <v>LTCS-551100000-53L02</v>
          </cell>
          <cell r="E16924" t="str">
            <v>角片</v>
          </cell>
        </row>
        <row r="16925">
          <cell r="D16925" t="str">
            <v>LTCS-551100000-53R02</v>
          </cell>
          <cell r="E16925" t="str">
            <v>角片</v>
          </cell>
        </row>
        <row r="16926">
          <cell r="D16926" t="str">
            <v>2HB3-22-6*9*27</v>
          </cell>
          <cell r="E16926" t="str">
            <v>衬套</v>
          </cell>
        </row>
        <row r="16927">
          <cell r="D16927" t="str">
            <v>CB2747G90-003-002</v>
          </cell>
          <cell r="E16927" t="str">
            <v>管接头1</v>
          </cell>
        </row>
        <row r="16928">
          <cell r="D16928" t="str">
            <v>CB2747G90-003-002</v>
          </cell>
          <cell r="E16928" t="str">
            <v>管接头1</v>
          </cell>
        </row>
        <row r="16929">
          <cell r="D16929" t="str">
            <v>CB2747G90-003-002</v>
          </cell>
          <cell r="E16929" t="str">
            <v>管接头1</v>
          </cell>
        </row>
        <row r="16930">
          <cell r="D16930" t="str">
            <v>DD-J10B-61041-18</v>
          </cell>
          <cell r="E16930" t="str">
            <v>管接头</v>
          </cell>
        </row>
        <row r="16931">
          <cell r="D16931" t="str">
            <v>DD-J10B-61041-18</v>
          </cell>
          <cell r="E16931" t="str">
            <v>管接头</v>
          </cell>
        </row>
        <row r="16932">
          <cell r="D16932" t="str">
            <v>DD-J10-61101-5001/16</v>
          </cell>
          <cell r="E16932" t="str">
            <v>管接头</v>
          </cell>
        </row>
        <row r="16933">
          <cell r="D16933" t="str">
            <v>DD-J10-61101-5001/16</v>
          </cell>
          <cell r="E16933" t="str">
            <v>管接头</v>
          </cell>
        </row>
        <row r="16934">
          <cell r="D16934" t="str">
            <v>BC22924P0-001-001</v>
          </cell>
          <cell r="E16934" t="str">
            <v>管夹1</v>
          </cell>
        </row>
        <row r="16935">
          <cell r="D16935" t="str">
            <v>BC221T4MG-001-001</v>
          </cell>
          <cell r="E16935" t="str">
            <v>抗荷单向活门法兰盘</v>
          </cell>
        </row>
        <row r="16936">
          <cell r="D16936" t="str">
            <v>BC22971A1-005-001</v>
          </cell>
          <cell r="E16936" t="str">
            <v>缓冲头</v>
          </cell>
        </row>
        <row r="16937">
          <cell r="D16937" t="str">
            <v>Y20-5319400015-001</v>
          </cell>
          <cell r="E16937" t="str">
            <v>扶手支座</v>
          </cell>
        </row>
        <row r="16938">
          <cell r="D16938" t="str">
            <v>LTCS-533020000-04N01</v>
          </cell>
          <cell r="E16938" t="str">
            <v>隔板</v>
          </cell>
        </row>
        <row r="16939">
          <cell r="D16939" t="str">
            <v>LTCS-533030000-07N01</v>
          </cell>
          <cell r="E16939" t="str">
            <v>后盖隔板</v>
          </cell>
        </row>
        <row r="16940">
          <cell r="D16940" t="str">
            <v>DD-J10-55051-6101</v>
          </cell>
          <cell r="E16940" t="str">
            <v>接管嘴</v>
          </cell>
        </row>
        <row r="16941">
          <cell r="D16941" t="str">
            <v>DD-J10-55051-6101</v>
          </cell>
          <cell r="E16941" t="str">
            <v>接管嘴</v>
          </cell>
        </row>
        <row r="16942">
          <cell r="D16942" t="str">
            <v>DD-J10-55051-6101</v>
          </cell>
          <cell r="E16942" t="str">
            <v>接管嘴</v>
          </cell>
        </row>
        <row r="16943">
          <cell r="D16943" t="str">
            <v>DD-J10-55051-6101</v>
          </cell>
          <cell r="E16943" t="str">
            <v>接管嘴</v>
          </cell>
        </row>
        <row r="16944">
          <cell r="D16944" t="str">
            <v>LTCS-542100601-01R01</v>
          </cell>
          <cell r="E16944" t="str">
            <v>内副翼舵机悬挂接头</v>
          </cell>
        </row>
        <row r="16945">
          <cell r="D16945" t="str">
            <v>LTCS-542100601-01L01</v>
          </cell>
          <cell r="E16945" t="str">
            <v>内副翼舵机悬挂接头</v>
          </cell>
        </row>
        <row r="16946">
          <cell r="D16946" t="str">
            <v>LTCS-542100602-01R01</v>
          </cell>
          <cell r="E16946" t="str">
            <v>外副翼舵机悬挂接头</v>
          </cell>
        </row>
        <row r="16947">
          <cell r="D16947" t="str">
            <v>LTCS-542100602-01L01</v>
          </cell>
          <cell r="E16947" t="str">
            <v>外副翼舵机悬挂接头</v>
          </cell>
        </row>
        <row r="16948">
          <cell r="D16948" t="str">
            <v>BC228163B-002-003</v>
          </cell>
          <cell r="E16948" t="str">
            <v>法兰</v>
          </cell>
        </row>
        <row r="16949">
          <cell r="D16949" t="str">
            <v>CB5315130-002L001</v>
          </cell>
          <cell r="E16949" t="str">
            <v>6940框内段</v>
          </cell>
        </row>
        <row r="16950">
          <cell r="D16950" t="str">
            <v>CB5315130-002R001</v>
          </cell>
          <cell r="E16950" t="str">
            <v>6940框内段</v>
          </cell>
        </row>
        <row r="16951">
          <cell r="D16951" t="str">
            <v>CB5314240-012-003</v>
          </cell>
          <cell r="E16951" t="str">
            <v>后顶板</v>
          </cell>
        </row>
        <row r="16952">
          <cell r="D16952" t="str">
            <v>CB5314240-012-003</v>
          </cell>
          <cell r="E16952" t="str">
            <v>后顶板</v>
          </cell>
        </row>
        <row r="16953">
          <cell r="D16953" t="str">
            <v>CB5713600-001R004</v>
          </cell>
          <cell r="E16953" t="str">
            <v>前梁一段</v>
          </cell>
        </row>
        <row r="16954">
          <cell r="D16954" t="str">
            <v>CB5713600-001R004</v>
          </cell>
          <cell r="E16954" t="str">
            <v>前梁一段</v>
          </cell>
        </row>
        <row r="16955">
          <cell r="D16955" t="str">
            <v>CB5325210-001-004</v>
          </cell>
          <cell r="E16955" t="str">
            <v>辅助动力舱口盖前段</v>
          </cell>
        </row>
        <row r="16956">
          <cell r="D16956" t="str">
            <v>CB5325210-001-004</v>
          </cell>
          <cell r="E16956" t="str">
            <v>辅助动力舱口盖前段</v>
          </cell>
        </row>
        <row r="16957">
          <cell r="D16957" t="str">
            <v>CB5325210-001-004</v>
          </cell>
          <cell r="E16957" t="str">
            <v>辅助动力舱口盖前段</v>
          </cell>
        </row>
        <row r="16958">
          <cell r="D16958" t="str">
            <v>CB5325210-001-004</v>
          </cell>
          <cell r="E16958" t="str">
            <v>辅助动力舱口盖前段</v>
          </cell>
        </row>
        <row r="16959">
          <cell r="D16959" t="str">
            <v>DD-J10B-54601-10-1</v>
          </cell>
          <cell r="E16959" t="str">
            <v>过渡板</v>
          </cell>
        </row>
        <row r="16960">
          <cell r="D16960" t="str">
            <v>BC2712542-001-001</v>
          </cell>
          <cell r="E16960" t="str">
            <v>带耳螺栓</v>
          </cell>
        </row>
        <row r="16961">
          <cell r="D16961" t="str">
            <v>BC2712311-004-005</v>
          </cell>
          <cell r="E16961" t="str">
            <v>保护罩支座</v>
          </cell>
        </row>
        <row r="16962">
          <cell r="D16962" t="str">
            <v>BC3012410-002-001</v>
          </cell>
          <cell r="E16962" t="str">
            <v>显示器托架</v>
          </cell>
        </row>
        <row r="16963">
          <cell r="D16963" t="str">
            <v>BC3012410-003-001</v>
          </cell>
          <cell r="E16963" t="str">
            <v>视频显示器托架</v>
          </cell>
        </row>
        <row r="16964">
          <cell r="D16964" t="str">
            <v>CB5324413-004-002</v>
          </cell>
          <cell r="E16964" t="str">
            <v>油箱底板（中）</v>
          </cell>
        </row>
        <row r="16965">
          <cell r="D16965" t="str">
            <v>CB5324413-004-002</v>
          </cell>
          <cell r="E16965" t="str">
            <v>油箱底板（中）</v>
          </cell>
        </row>
        <row r="16966">
          <cell r="D16966" t="str">
            <v>LTCS-533020000-04N01</v>
          </cell>
          <cell r="E16966" t="str">
            <v>隔板</v>
          </cell>
        </row>
        <row r="16967">
          <cell r="D16967" t="str">
            <v>C571110500-002L001</v>
          </cell>
          <cell r="E16967" t="str">
            <v>前梁二段</v>
          </cell>
        </row>
        <row r="16968">
          <cell r="D16968" t="str">
            <v>C571110500-002L001</v>
          </cell>
          <cell r="E16968" t="str">
            <v>前梁二段</v>
          </cell>
        </row>
        <row r="16969">
          <cell r="D16969" t="str">
            <v>C571110500-002L001</v>
          </cell>
          <cell r="E16969" t="str">
            <v>前梁二段</v>
          </cell>
        </row>
        <row r="16970">
          <cell r="D16970" t="str">
            <v>C571110500-002L001</v>
          </cell>
          <cell r="E16970" t="str">
            <v>前梁二段</v>
          </cell>
        </row>
        <row r="16971">
          <cell r="D16971" t="str">
            <v>C532114400-135L001</v>
          </cell>
          <cell r="E16971" t="str">
            <v>引气加强口框</v>
          </cell>
        </row>
        <row r="16972">
          <cell r="D16972" t="str">
            <v>C532114400-135L001</v>
          </cell>
          <cell r="E16972" t="str">
            <v>引气加强口框</v>
          </cell>
        </row>
        <row r="16973">
          <cell r="D16973" t="str">
            <v>C532114400-135L001</v>
          </cell>
          <cell r="E16973" t="str">
            <v>引气加强口框</v>
          </cell>
        </row>
        <row r="16974">
          <cell r="D16974" t="str">
            <v>C532114400-135L001</v>
          </cell>
          <cell r="E16974" t="str">
            <v>引气加强口框</v>
          </cell>
        </row>
        <row r="16975">
          <cell r="D16975" t="str">
            <v>DD-J10B-65000-1720G2-1</v>
          </cell>
          <cell r="E16975" t="str">
            <v>管子</v>
          </cell>
        </row>
        <row r="16976">
          <cell r="D16976" t="str">
            <v>DD-J10B-06061-22</v>
          </cell>
          <cell r="E16976" t="str">
            <v>摇臂</v>
          </cell>
        </row>
        <row r="16977">
          <cell r="D16977" t="str">
            <v>BC2281245-002-001</v>
          </cell>
          <cell r="E16977" t="str">
            <v>接头</v>
          </cell>
        </row>
        <row r="16978">
          <cell r="D16978" t="str">
            <v>DD-J10-55181-6742</v>
          </cell>
          <cell r="E16978" t="str">
            <v>收紧螺母</v>
          </cell>
        </row>
        <row r="16979">
          <cell r="D16979" t="str">
            <v>DD-J10B-94011-582G2</v>
          </cell>
          <cell r="E16979" t="str">
            <v>堵头</v>
          </cell>
        </row>
        <row r="16980">
          <cell r="D16980" t="str">
            <v>DD-J10-61101-15</v>
          </cell>
          <cell r="E16980" t="str">
            <v>接管嘴</v>
          </cell>
        </row>
        <row r="16981">
          <cell r="D16981" t="str">
            <v>DD-J10-61101-15</v>
          </cell>
          <cell r="E16981" t="str">
            <v>接管嘴</v>
          </cell>
        </row>
        <row r="16982">
          <cell r="D16982" t="str">
            <v>DD-J10B-64016-501</v>
          </cell>
          <cell r="E16982" t="str">
            <v>管接头</v>
          </cell>
        </row>
        <row r="16983">
          <cell r="D16983" t="str">
            <v>Y20-5319400018-001</v>
          </cell>
          <cell r="E16983" t="str">
            <v>扶手支座</v>
          </cell>
        </row>
        <row r="16984">
          <cell r="D16984" t="str">
            <v>Y20-5316100416-002</v>
          </cell>
          <cell r="E16984" t="str">
            <v>加强件</v>
          </cell>
        </row>
        <row r="16985">
          <cell r="D16985" t="str">
            <v>Y20-5316100416-001</v>
          </cell>
          <cell r="E16985" t="str">
            <v>加强件</v>
          </cell>
        </row>
        <row r="16986">
          <cell r="D16986" t="str">
            <v>Y20-5318100171-001</v>
          </cell>
          <cell r="E16986" t="str">
            <v>加强角盒</v>
          </cell>
        </row>
        <row r="16987">
          <cell r="D16987" t="str">
            <v>Y20-5319400017-001</v>
          </cell>
          <cell r="E16987" t="str">
            <v>扶手支座</v>
          </cell>
        </row>
        <row r="16988">
          <cell r="D16988" t="str">
            <v>Y20-5318100172-001</v>
          </cell>
          <cell r="E16988" t="str">
            <v>加强角盒</v>
          </cell>
        </row>
        <row r="16989">
          <cell r="D16989" t="str">
            <v>CB2284462-001-001</v>
          </cell>
          <cell r="E16989" t="str">
            <v>法兰</v>
          </cell>
        </row>
        <row r="16990">
          <cell r="D16990" t="str">
            <v>CB2284462-001-001</v>
          </cell>
          <cell r="E16990" t="str">
            <v>法兰</v>
          </cell>
        </row>
        <row r="16991">
          <cell r="D16991" t="str">
            <v>CB5325125-403L001</v>
          </cell>
          <cell r="E16991" t="str">
            <v>支座</v>
          </cell>
        </row>
        <row r="16992">
          <cell r="D16992" t="str">
            <v>CB2294456-001-001</v>
          </cell>
          <cell r="E16992" t="str">
            <v>盖</v>
          </cell>
        </row>
        <row r="16993">
          <cell r="D16993" t="str">
            <v>CB22877J9-003-001</v>
          </cell>
          <cell r="E16993" t="str">
            <v>变径三通接头</v>
          </cell>
        </row>
        <row r="16994">
          <cell r="D16994" t="str">
            <v>CB2263270-001-001</v>
          </cell>
          <cell r="E16994" t="str">
            <v>喷嘴</v>
          </cell>
        </row>
        <row r="16995">
          <cell r="D16995" t="str">
            <v>CB2284460-007-001</v>
          </cell>
          <cell r="E16995" t="str">
            <v>四通接头</v>
          </cell>
        </row>
        <row r="16996">
          <cell r="D16996" t="str">
            <v>CB2280211-010-001</v>
          </cell>
          <cell r="E16996" t="str">
            <v>穿框管接头</v>
          </cell>
        </row>
        <row r="16997">
          <cell r="D16997" t="str">
            <v>CB221T2LF-003-003</v>
          </cell>
          <cell r="E16997" t="str">
            <v>接管嘴</v>
          </cell>
        </row>
        <row r="16998">
          <cell r="D16998" t="str">
            <v>CB5325125-404R001</v>
          </cell>
          <cell r="E16998" t="str">
            <v>摇臂</v>
          </cell>
        </row>
        <row r="16999">
          <cell r="D16999" t="str">
            <v>CB2294456-007-001</v>
          </cell>
          <cell r="E16999" t="str">
            <v>垫片</v>
          </cell>
        </row>
        <row r="17000">
          <cell r="D17000" t="str">
            <v>CB2280211-006-001</v>
          </cell>
          <cell r="E17000" t="str">
            <v>穿框管接头</v>
          </cell>
        </row>
        <row r="17001">
          <cell r="D17001" t="str">
            <v>CB228455A-001-004</v>
          </cell>
          <cell r="E17001" t="str">
            <v>三通底座</v>
          </cell>
        </row>
        <row r="17002">
          <cell r="D17002" t="str">
            <v>CB221T9LFN004-002</v>
          </cell>
          <cell r="E17002" t="str">
            <v>液体压力传感器接管嘴</v>
          </cell>
        </row>
        <row r="17003">
          <cell r="D17003" t="str">
            <v>CB2284480-004-001</v>
          </cell>
          <cell r="E17003" t="str">
            <v>四通接头</v>
          </cell>
        </row>
        <row r="17004">
          <cell r="D17004" t="str">
            <v>CB2298814-001-001</v>
          </cell>
          <cell r="E17004" t="str">
            <v>管夹</v>
          </cell>
        </row>
        <row r="17005">
          <cell r="D17005" t="str">
            <v>CB2280211-028-001</v>
          </cell>
          <cell r="E17005" t="str">
            <v>穿框管接头</v>
          </cell>
        </row>
        <row r="17006">
          <cell r="D17006" t="str">
            <v>CB2284450-001-001</v>
          </cell>
          <cell r="E17006" t="str">
            <v>穿框管接头</v>
          </cell>
        </row>
        <row r="17007">
          <cell r="D17007" t="str">
            <v>CB2283664-002-001</v>
          </cell>
          <cell r="E17007" t="str">
            <v>法兰</v>
          </cell>
        </row>
        <row r="17008">
          <cell r="D17008" t="str">
            <v>CB22843G0-003-001</v>
          </cell>
          <cell r="E17008" t="str">
            <v>变径穿框管接头</v>
          </cell>
        </row>
        <row r="17009">
          <cell r="D17009" t="str">
            <v>CB5325125-404L001</v>
          </cell>
          <cell r="E17009" t="str">
            <v>摇臂</v>
          </cell>
        </row>
        <row r="17010">
          <cell r="D17010" t="str">
            <v>CB2284751-006-001</v>
          </cell>
          <cell r="E17010" t="str">
            <v>主动油总管四通</v>
          </cell>
        </row>
        <row r="17011">
          <cell r="D17011" t="str">
            <v>CB22837G0-002-002</v>
          </cell>
          <cell r="E17011" t="str">
            <v>穿框管接头</v>
          </cell>
        </row>
        <row r="17012">
          <cell r="D17012" t="str">
            <v>CB22857F8-003-002</v>
          </cell>
          <cell r="E17012" t="str">
            <v>法兰</v>
          </cell>
        </row>
        <row r="17013">
          <cell r="D17013" t="str">
            <v>CB22877HD-001-001</v>
          </cell>
          <cell r="E17013" t="str">
            <v>变径直通管接头</v>
          </cell>
        </row>
        <row r="17014">
          <cell r="D17014" t="str">
            <v>CB2280211-025-001</v>
          </cell>
          <cell r="E17014" t="str">
            <v>穿框管接头</v>
          </cell>
        </row>
        <row r="17015">
          <cell r="D17015" t="str">
            <v>CB5313231-001-006</v>
          </cell>
          <cell r="E17015" t="str">
            <v>管接头</v>
          </cell>
        </row>
        <row r="17016">
          <cell r="D17016" t="str">
            <v>CB22837F1-001-001</v>
          </cell>
          <cell r="E17016" t="str">
            <v>法兰</v>
          </cell>
        </row>
        <row r="17017">
          <cell r="D17017" t="str">
            <v>CB221T2LR-001-001</v>
          </cell>
          <cell r="E17017" t="str">
            <v>平管嘴</v>
          </cell>
        </row>
        <row r="17018">
          <cell r="D17018" t="str">
            <v>CB221T9MLN003-001</v>
          </cell>
          <cell r="E17018" t="str">
            <v>液体压力传感器接管嘴</v>
          </cell>
        </row>
        <row r="17019">
          <cell r="D17019" t="str">
            <v>CB2283750-001-002</v>
          </cell>
          <cell r="E17019" t="str">
            <v>管接头</v>
          </cell>
        </row>
        <row r="17020">
          <cell r="D17020" t="str">
            <v>DD-J10-21102-32-Y</v>
          </cell>
          <cell r="E17020" t="str">
            <v>10060下接头</v>
          </cell>
        </row>
        <row r="17021">
          <cell r="D17021" t="str">
            <v>DD-J10-21102-32-Y</v>
          </cell>
          <cell r="E17021" t="str">
            <v>10060下接头</v>
          </cell>
        </row>
        <row r="17022">
          <cell r="D17022" t="str">
            <v>DD-J10-25002-1-Z</v>
          </cell>
          <cell r="E17022" t="str">
            <v>第3肋</v>
          </cell>
        </row>
        <row r="17023">
          <cell r="D17023" t="str">
            <v>C533114600-005R001</v>
          </cell>
          <cell r="E17023" t="str">
            <v>角盒</v>
          </cell>
        </row>
        <row r="17024">
          <cell r="D17024" t="str">
            <v>C533114600-005L001</v>
          </cell>
          <cell r="E17024" t="str">
            <v>角盒</v>
          </cell>
        </row>
        <row r="17025">
          <cell r="D17025" t="str">
            <v>C571310300-022R001</v>
          </cell>
          <cell r="E17025" t="str">
            <v>外副作动器整流罩支撑件上段</v>
          </cell>
        </row>
        <row r="17026">
          <cell r="D17026" t="str">
            <v>C571310300-022R001</v>
          </cell>
          <cell r="E17026" t="str">
            <v>外副作动器整流罩支撑件上段</v>
          </cell>
        </row>
        <row r="17027">
          <cell r="D17027" t="str">
            <v>C533114600-008R001</v>
          </cell>
          <cell r="E17027" t="str">
            <v>角材</v>
          </cell>
        </row>
        <row r="17028">
          <cell r="D17028" t="str">
            <v>C533114600-008R001</v>
          </cell>
          <cell r="E17028" t="str">
            <v>角材</v>
          </cell>
        </row>
        <row r="17029">
          <cell r="D17029" t="str">
            <v>C571110200-002R001</v>
          </cell>
          <cell r="E17029" t="str">
            <v>角盒</v>
          </cell>
        </row>
        <row r="17030">
          <cell r="D17030" t="str">
            <v>C571110200-002R001</v>
          </cell>
          <cell r="E17030" t="str">
            <v>角盒</v>
          </cell>
        </row>
        <row r="17031">
          <cell r="D17031" t="str">
            <v>C571110200-002R001</v>
          </cell>
          <cell r="E17031" t="str">
            <v>角盒</v>
          </cell>
        </row>
        <row r="17032">
          <cell r="D17032" t="str">
            <v>C571110200-002R001</v>
          </cell>
          <cell r="E17032" t="str">
            <v>角盒</v>
          </cell>
        </row>
        <row r="17033">
          <cell r="D17033" t="str">
            <v>C571110200-003R001</v>
          </cell>
          <cell r="E17033" t="str">
            <v>角盒</v>
          </cell>
        </row>
        <row r="17034">
          <cell r="D17034" t="str">
            <v>C571110200-003R001</v>
          </cell>
          <cell r="E17034" t="str">
            <v>角盒</v>
          </cell>
        </row>
        <row r="17035">
          <cell r="D17035" t="str">
            <v>C571110200-003R001</v>
          </cell>
          <cell r="E17035" t="str">
            <v>角盒</v>
          </cell>
        </row>
        <row r="17036">
          <cell r="D17036" t="str">
            <v>C571110200-003R001</v>
          </cell>
          <cell r="E17036" t="str">
            <v>角盒</v>
          </cell>
        </row>
        <row r="17037">
          <cell r="D17037" t="str">
            <v>C571310200-019R001</v>
          </cell>
          <cell r="E17037" t="str">
            <v>后舱内段支撑件上段1段</v>
          </cell>
        </row>
        <row r="17038">
          <cell r="D17038" t="str">
            <v>C571310200-019R001</v>
          </cell>
          <cell r="E17038" t="str">
            <v>后舱内段支撑件上段1段</v>
          </cell>
        </row>
        <row r="17039">
          <cell r="D17039" t="str">
            <v>C571310200-019R001</v>
          </cell>
          <cell r="E17039" t="str">
            <v>后舱内段支撑件上段1段</v>
          </cell>
        </row>
        <row r="17040">
          <cell r="D17040" t="str">
            <v>CB2248145-001-006</v>
          </cell>
          <cell r="E17040" t="str">
            <v>支片5</v>
          </cell>
        </row>
        <row r="17041">
          <cell r="D17041" t="str">
            <v>CB2248145-001-006</v>
          </cell>
          <cell r="E17041" t="str">
            <v>支片5</v>
          </cell>
        </row>
        <row r="17042">
          <cell r="D17042" t="str">
            <v>CB2248146-001-006</v>
          </cell>
          <cell r="E17042" t="str">
            <v>支片6</v>
          </cell>
        </row>
        <row r="17043">
          <cell r="D17043" t="str">
            <v>CB5327500-003-001</v>
          </cell>
          <cell r="E17043" t="str">
            <v>螺栓</v>
          </cell>
        </row>
        <row r="17044">
          <cell r="D17044" t="str">
            <v>CB2210260-001-001</v>
          </cell>
          <cell r="E17044" t="str">
            <v>支架</v>
          </cell>
        </row>
        <row r="17045">
          <cell r="D17045" t="str">
            <v>CB5512300-015L001</v>
          </cell>
          <cell r="E17045" t="str">
            <v>角盒</v>
          </cell>
        </row>
        <row r="17046">
          <cell r="D17046" t="str">
            <v>CB5512300-015L001</v>
          </cell>
          <cell r="E17046" t="str">
            <v>角盒</v>
          </cell>
        </row>
        <row r="17047">
          <cell r="D17047" t="str">
            <v>CB5512300-015R001</v>
          </cell>
          <cell r="E17047" t="str">
            <v>角盒</v>
          </cell>
        </row>
        <row r="17048">
          <cell r="D17048" t="str">
            <v>CB5512300-015R001</v>
          </cell>
          <cell r="E17048" t="str">
            <v>角盒</v>
          </cell>
        </row>
        <row r="17049">
          <cell r="D17049" t="str">
            <v>DD-J10-21102-120-1-Z</v>
          </cell>
          <cell r="E17049" t="str">
            <v>9480梁（左件）</v>
          </cell>
        </row>
        <row r="17050">
          <cell r="D17050" t="str">
            <v>DD-J10-21102-120-1-Z</v>
          </cell>
          <cell r="E17050" t="str">
            <v>9480梁（左件）</v>
          </cell>
        </row>
        <row r="17051">
          <cell r="D17051" t="str">
            <v>DD-J10-21102-120-1-Z</v>
          </cell>
          <cell r="E17051" t="str">
            <v>9480梁（左件）</v>
          </cell>
        </row>
        <row r="17052">
          <cell r="D17052" t="str">
            <v>DD-J10-21102-120-1-Z</v>
          </cell>
          <cell r="E17052" t="str">
            <v>9480梁（左件）</v>
          </cell>
        </row>
        <row r="17053">
          <cell r="D17053" t="str">
            <v>DD-J10B-04321-1-Z</v>
          </cell>
          <cell r="E17053" t="str">
            <v>斜横梁</v>
          </cell>
        </row>
        <row r="17054">
          <cell r="D17054" t="str">
            <v>DD-J10B-04321-1-Y</v>
          </cell>
          <cell r="E17054" t="str">
            <v>斜横梁</v>
          </cell>
        </row>
        <row r="17055">
          <cell r="D17055" t="str">
            <v>DD-J10B-04321-1-Y</v>
          </cell>
          <cell r="E17055" t="str">
            <v>斜横梁</v>
          </cell>
        </row>
        <row r="17056">
          <cell r="D17056" t="str">
            <v>DD-J10B-05236-111-Y</v>
          </cell>
          <cell r="E17056" t="str">
            <v>前隔框</v>
          </cell>
        </row>
        <row r="17057">
          <cell r="D17057" t="str">
            <v>DD-J10B-05236-111-Z</v>
          </cell>
          <cell r="E17057" t="str">
            <v>前隔框</v>
          </cell>
        </row>
        <row r="17058">
          <cell r="D17058" t="str">
            <v>DD-J10-05076-30-1-Y</v>
          </cell>
          <cell r="E17058" t="str">
            <v>梁</v>
          </cell>
        </row>
        <row r="17059">
          <cell r="D17059" t="str">
            <v>DD-J10-05076-30-1-Z</v>
          </cell>
          <cell r="E17059" t="str">
            <v>梁</v>
          </cell>
        </row>
        <row r="17060">
          <cell r="D17060" t="str">
            <v>DD-J10-05076-20-1-Y</v>
          </cell>
          <cell r="E17060" t="str">
            <v>梁</v>
          </cell>
        </row>
        <row r="17061">
          <cell r="D17061" t="str">
            <v>DD-J10-05076-20-1-Y</v>
          </cell>
          <cell r="E17061" t="str">
            <v>梁</v>
          </cell>
        </row>
        <row r="17062">
          <cell r="D17062" t="str">
            <v>DD-J10-05076-20-1-Z</v>
          </cell>
          <cell r="E17062" t="str">
            <v>梁</v>
          </cell>
        </row>
        <row r="17063">
          <cell r="D17063" t="str">
            <v>DD-J10-05086-20-1-Y</v>
          </cell>
          <cell r="E17063" t="str">
            <v>梁</v>
          </cell>
        </row>
        <row r="17064">
          <cell r="D17064" t="str">
            <v>DD-J10-05086-20-1-Z</v>
          </cell>
          <cell r="E17064" t="str">
            <v>梁</v>
          </cell>
        </row>
        <row r="17065">
          <cell r="D17065" t="str">
            <v>DD-J10-05086-30-1-Y</v>
          </cell>
          <cell r="E17065" t="str">
            <v>梁</v>
          </cell>
        </row>
        <row r="17066">
          <cell r="D17066" t="str">
            <v>DD-J10-05086-30-1-Z</v>
          </cell>
          <cell r="E17066" t="str">
            <v>梁</v>
          </cell>
        </row>
        <row r="17067">
          <cell r="D17067" t="str">
            <v>DD-J10-21102-250-1-Z</v>
          </cell>
          <cell r="E17067" t="str">
            <v>11900梁一段（左件）</v>
          </cell>
        </row>
        <row r="17068">
          <cell r="D17068" t="str">
            <v>DD-J10-21102-250-1-Z</v>
          </cell>
          <cell r="E17068" t="str">
            <v>11900梁一段（左件）</v>
          </cell>
        </row>
        <row r="17069">
          <cell r="D17069" t="str">
            <v>DD-J10-21102-250-1-Y</v>
          </cell>
          <cell r="E17069" t="str">
            <v>11900梁一段（右件）</v>
          </cell>
        </row>
        <row r="17070">
          <cell r="D17070" t="str">
            <v>DD-J10-21102-250-1-Y</v>
          </cell>
          <cell r="E17070" t="str">
            <v>11900梁一段（右件）</v>
          </cell>
        </row>
        <row r="17071">
          <cell r="D17071" t="str">
            <v>DD-J10-21102-250-1-Y</v>
          </cell>
          <cell r="E17071" t="str">
            <v>11900梁一段（右件）</v>
          </cell>
        </row>
        <row r="17072">
          <cell r="D17072" t="str">
            <v>DD-J10B-02161-0G2-201G2</v>
          </cell>
          <cell r="E17072" t="str">
            <v>密封垫</v>
          </cell>
        </row>
        <row r="17073">
          <cell r="D17073" t="str">
            <v>DD-J10B-02161-0G2-202G2-Y</v>
          </cell>
          <cell r="E17073" t="str">
            <v>密封垫</v>
          </cell>
        </row>
        <row r="17074">
          <cell r="D17074" t="str">
            <v>DD-J10B-02161-0G2-202G2-Z</v>
          </cell>
          <cell r="E17074" t="str">
            <v>密封垫</v>
          </cell>
        </row>
        <row r="17075">
          <cell r="D17075" t="str">
            <v>DD-J10B-02161-0G2-203G2</v>
          </cell>
          <cell r="E17075" t="str">
            <v>密封垫</v>
          </cell>
        </row>
        <row r="17076">
          <cell r="D17076" t="str">
            <v>DD-J10B-34303-7G2</v>
          </cell>
          <cell r="E17076" t="str">
            <v>第1隔板</v>
          </cell>
        </row>
        <row r="17077">
          <cell r="D17077" t="str">
            <v>DD-J10B-34303-8G2</v>
          </cell>
          <cell r="E17077" t="str">
            <v>第2隔板</v>
          </cell>
        </row>
        <row r="17078">
          <cell r="D17078" t="str">
            <v>DD-J10B-34303-9G2</v>
          </cell>
          <cell r="E17078" t="str">
            <v>第3隔板</v>
          </cell>
        </row>
        <row r="17079">
          <cell r="D17079" t="str">
            <v>DD-J10B-34303-11G2</v>
          </cell>
          <cell r="E17079" t="str">
            <v>第4隔板</v>
          </cell>
        </row>
        <row r="17080">
          <cell r="D17080" t="str">
            <v>DD-J10B-34303-12G2</v>
          </cell>
          <cell r="E17080" t="str">
            <v>第5隔板</v>
          </cell>
        </row>
        <row r="17081">
          <cell r="D17081" t="str">
            <v>DD-J10B-34303-13G2</v>
          </cell>
          <cell r="E17081" t="str">
            <v>第6隔板</v>
          </cell>
        </row>
        <row r="17082">
          <cell r="D17082" t="str">
            <v>CB2297120-006-002</v>
          </cell>
          <cell r="E17082" t="str">
            <v>支架</v>
          </cell>
        </row>
        <row r="17083">
          <cell r="D17083" t="str">
            <v>DD-J10B-02111-2-Z</v>
          </cell>
          <cell r="E17083" t="str">
            <v>角盒</v>
          </cell>
        </row>
        <row r="17084">
          <cell r="D17084" t="str">
            <v>DD-J10B-02111-2-Y</v>
          </cell>
          <cell r="E17084" t="str">
            <v>角盒</v>
          </cell>
        </row>
        <row r="17085">
          <cell r="D17085" t="str">
            <v>DD-J10-21102-410-1-Z</v>
          </cell>
          <cell r="E17085" t="str">
            <v>1150肋根肋</v>
          </cell>
        </row>
        <row r="17086">
          <cell r="D17086" t="str">
            <v>DD-J10-21102-410-1-Z</v>
          </cell>
          <cell r="E17086" t="str">
            <v>1150肋根肋</v>
          </cell>
        </row>
        <row r="17087">
          <cell r="D17087" t="str">
            <v>DD-J10-21102-410-1-Y</v>
          </cell>
          <cell r="E17087" t="str">
            <v>1150肋根肋</v>
          </cell>
        </row>
        <row r="17088">
          <cell r="D17088" t="str">
            <v>DD-J10B-21302-40G2-1-Z</v>
          </cell>
          <cell r="E17088" t="str">
            <v>后梁四段</v>
          </cell>
        </row>
        <row r="17089">
          <cell r="D17089" t="str">
            <v>DD-J10B-73010-310G2-1</v>
          </cell>
          <cell r="E17089" t="str">
            <v>过渡板</v>
          </cell>
        </row>
        <row r="17090">
          <cell r="D17090" t="str">
            <v>DD-J10B-65000-1810G2-1</v>
          </cell>
          <cell r="E17090" t="str">
            <v>支座</v>
          </cell>
        </row>
        <row r="17091">
          <cell r="D17091" t="str">
            <v>DD-J10B-65000-1820G2-1</v>
          </cell>
          <cell r="E17091" t="str">
            <v>摇臂</v>
          </cell>
        </row>
        <row r="17092">
          <cell r="D17092" t="str">
            <v>DD-J10-21102-250-2-Z</v>
          </cell>
          <cell r="E17092" t="str">
            <v>11900梁二段</v>
          </cell>
        </row>
        <row r="17093">
          <cell r="D17093" t="str">
            <v>DD-J10-21102-250-2-Z</v>
          </cell>
          <cell r="E17093" t="str">
            <v>11900梁二段</v>
          </cell>
        </row>
        <row r="17094">
          <cell r="D17094" t="str">
            <v>DD-J10-21102-250-2-Y</v>
          </cell>
          <cell r="E17094" t="str">
            <v>11900梁二段</v>
          </cell>
        </row>
        <row r="17095">
          <cell r="D17095" t="str">
            <v>DD-J10-21102-250-2-Y</v>
          </cell>
          <cell r="E17095" t="str">
            <v>11900梁二段</v>
          </cell>
        </row>
        <row r="17096">
          <cell r="D17096" t="str">
            <v>DD-J10-21102-390-1-Y</v>
          </cell>
          <cell r="E17096" t="str">
            <v>1150肋九段</v>
          </cell>
        </row>
        <row r="17097">
          <cell r="D17097" t="str">
            <v>DD-J10-21102-390-1-Y</v>
          </cell>
          <cell r="E17097" t="str">
            <v>1150肋九段</v>
          </cell>
        </row>
        <row r="17098">
          <cell r="D17098" t="str">
            <v>DD-J10-21102-390-1-Z</v>
          </cell>
          <cell r="E17098" t="str">
            <v>1150肋九段</v>
          </cell>
        </row>
        <row r="17099">
          <cell r="D17099" t="str">
            <v>CB22109ME-002-001</v>
          </cell>
          <cell r="E17099" t="str">
            <v>150度弯管接头</v>
          </cell>
        </row>
        <row r="17100">
          <cell r="D17100" t="str">
            <v>529A4310-002-001</v>
          </cell>
          <cell r="E17100" t="str">
            <v>堵头</v>
          </cell>
        </row>
        <row r="17101">
          <cell r="D17101" t="str">
            <v>521A4260-000-003</v>
          </cell>
          <cell r="E17101" t="str">
            <v>管子</v>
          </cell>
        </row>
        <row r="17102">
          <cell r="D17102" t="str">
            <v>521A4300-002-001</v>
          </cell>
          <cell r="E17102" t="str">
            <v>轴</v>
          </cell>
        </row>
        <row r="17103">
          <cell r="D17103" t="str">
            <v>CB5822016-032L001</v>
          </cell>
          <cell r="E17103" t="str">
            <v>角片</v>
          </cell>
        </row>
        <row r="17104">
          <cell r="D17104" t="str">
            <v>CB5822016-032R001</v>
          </cell>
          <cell r="E17104" t="str">
            <v>角片</v>
          </cell>
        </row>
        <row r="17105">
          <cell r="D17105" t="str">
            <v>DD-J10B-94076-802</v>
          </cell>
          <cell r="E17105" t="str">
            <v>支架</v>
          </cell>
        </row>
        <row r="17106">
          <cell r="D17106" t="str">
            <v>DD-J10B-94076-803</v>
          </cell>
          <cell r="E17106" t="str">
            <v>支架</v>
          </cell>
        </row>
        <row r="17107">
          <cell r="D17107" t="str">
            <v>DD-J10B-94076-803</v>
          </cell>
          <cell r="E17107" t="str">
            <v>支架</v>
          </cell>
        </row>
        <row r="17108">
          <cell r="D17108" t="str">
            <v>DD-J10-04401-103</v>
          </cell>
          <cell r="E17108" t="str">
            <v>接头</v>
          </cell>
        </row>
        <row r="17109">
          <cell r="D17109" t="str">
            <v>DD-J10-04401-104</v>
          </cell>
          <cell r="E17109" t="str">
            <v>接头</v>
          </cell>
        </row>
        <row r="17110">
          <cell r="D17110" t="str">
            <v>DD-J10B-86051-2</v>
          </cell>
          <cell r="E17110" t="str">
            <v>激励器转接件</v>
          </cell>
        </row>
        <row r="17111">
          <cell r="D17111" t="str">
            <v>DD-J10B-86051-2</v>
          </cell>
          <cell r="E17111" t="str">
            <v>激励器转接件</v>
          </cell>
        </row>
        <row r="17112">
          <cell r="D17112" t="str">
            <v>DD-J10B-78001-460-1</v>
          </cell>
          <cell r="E17112" t="str">
            <v>铰链</v>
          </cell>
        </row>
        <row r="17113">
          <cell r="D17113" t="str">
            <v>DD-J10B-02181-6-Z</v>
          </cell>
          <cell r="E17113" t="str">
            <v>盒子</v>
          </cell>
        </row>
        <row r="17114">
          <cell r="D17114" t="str">
            <v>DD-J10B-02181-6-Y</v>
          </cell>
          <cell r="E17114" t="str">
            <v>盒子</v>
          </cell>
        </row>
        <row r="17115">
          <cell r="D17115" t="str">
            <v>DD-J10B-02081-404</v>
          </cell>
          <cell r="E17115" t="str">
            <v>支座</v>
          </cell>
        </row>
        <row r="17116">
          <cell r="D17116" t="str">
            <v>DD-J10B-61001-8001</v>
          </cell>
          <cell r="E17116" t="str">
            <v>卡片</v>
          </cell>
        </row>
        <row r="17117">
          <cell r="D17117" t="str">
            <v>DD-J10-06051-24</v>
          </cell>
          <cell r="E17117" t="str">
            <v>手柄</v>
          </cell>
        </row>
        <row r="17118">
          <cell r="D17118" t="str">
            <v>DD-J10-06051-24</v>
          </cell>
          <cell r="E17118" t="str">
            <v>手柄</v>
          </cell>
        </row>
        <row r="17119">
          <cell r="D17119" t="str">
            <v>J10B-26002-100G2-1G2-Y</v>
          </cell>
          <cell r="E17119" t="str">
            <v>翼尖接头</v>
          </cell>
        </row>
        <row r="17120">
          <cell r="D17120" t="str">
            <v>CB22956R0-001L001</v>
          </cell>
          <cell r="E17120" t="str">
            <v>架子</v>
          </cell>
        </row>
        <row r="17121">
          <cell r="D17121" t="str">
            <v>CB22836Y6-003-001</v>
          </cell>
          <cell r="E17121" t="str">
            <v>轴</v>
          </cell>
        </row>
        <row r="17122">
          <cell r="D17122" t="str">
            <v>CB22836Y6-003-001</v>
          </cell>
          <cell r="E17122" t="str">
            <v>轴</v>
          </cell>
        </row>
        <row r="17123">
          <cell r="D17123" t="str">
            <v>CB5713600-001R004</v>
          </cell>
          <cell r="E17123" t="str">
            <v>前梁一段</v>
          </cell>
        </row>
        <row r="17124">
          <cell r="D17124" t="str">
            <v>CB22844A0-001-001</v>
          </cell>
          <cell r="E17124" t="str">
            <v>三通接头</v>
          </cell>
        </row>
        <row r="17125">
          <cell r="D17125" t="str">
            <v>CB22844A0-001-001</v>
          </cell>
          <cell r="E17125" t="str">
            <v>三通接头</v>
          </cell>
        </row>
        <row r="17126">
          <cell r="D17126" t="str">
            <v>CB22844A0-002-001</v>
          </cell>
          <cell r="E17126" t="str">
            <v>三通接头</v>
          </cell>
        </row>
        <row r="17127">
          <cell r="D17127" t="str">
            <v>CB22837F1-001-001</v>
          </cell>
          <cell r="E17127" t="str">
            <v>法兰</v>
          </cell>
        </row>
        <row r="17128">
          <cell r="D17128" t="str">
            <v>CB221T2LR-001-001</v>
          </cell>
          <cell r="E17128" t="str">
            <v>平管嘴</v>
          </cell>
        </row>
        <row r="17129">
          <cell r="D17129" t="str">
            <v>CB221T2LR-001-001</v>
          </cell>
          <cell r="E17129" t="str">
            <v>平管嘴</v>
          </cell>
        </row>
        <row r="17130">
          <cell r="D17130" t="str">
            <v>CB221T9MLN003-001</v>
          </cell>
          <cell r="E17130" t="str">
            <v>液体压力传感器接管嘴</v>
          </cell>
        </row>
        <row r="17131">
          <cell r="D17131" t="str">
            <v>CB221T9MLN003-001</v>
          </cell>
          <cell r="E17131" t="str">
            <v>液体压力传感器接管嘴</v>
          </cell>
        </row>
        <row r="17132">
          <cell r="D17132" t="str">
            <v>CB22921N2-001-001</v>
          </cell>
          <cell r="E17132" t="str">
            <v>角片</v>
          </cell>
        </row>
        <row r="17133">
          <cell r="D17133" t="str">
            <v>CB5811200-003-001</v>
          </cell>
          <cell r="E17133" t="str">
            <v>长安装螺栓</v>
          </cell>
        </row>
        <row r="17134">
          <cell r="D17134" t="str">
            <v>CB2747G30-003-002</v>
          </cell>
          <cell r="E17134" t="str">
            <v>管接头</v>
          </cell>
        </row>
        <row r="17135">
          <cell r="D17135" t="str">
            <v>CB2276730-001-001</v>
          </cell>
          <cell r="E17135" t="str">
            <v>操作台侧壁板</v>
          </cell>
        </row>
        <row r="17136">
          <cell r="D17136" t="str">
            <v>DD-J10-61041-2</v>
          </cell>
          <cell r="E17136" t="str">
            <v>管接头</v>
          </cell>
        </row>
        <row r="17137">
          <cell r="D17137" t="str">
            <v>CB5315190-002R001</v>
          </cell>
          <cell r="E17137" t="str">
            <v>WL-600地板梁</v>
          </cell>
        </row>
        <row r="17138">
          <cell r="D17138" t="str">
            <v>CB5315190-002R001</v>
          </cell>
          <cell r="E17138" t="str">
            <v>WL-600地板梁</v>
          </cell>
        </row>
        <row r="17139">
          <cell r="D17139" t="str">
            <v>CB5315190-002R001</v>
          </cell>
          <cell r="E17139" t="str">
            <v>WL-600地板梁</v>
          </cell>
        </row>
        <row r="17140">
          <cell r="D17140" t="str">
            <v>CB5315190-002R001</v>
          </cell>
          <cell r="E17140" t="str">
            <v>WL-600地板梁</v>
          </cell>
        </row>
        <row r="17141">
          <cell r="D17141" t="str">
            <v>CB5315190-002R001</v>
          </cell>
          <cell r="E17141" t="str">
            <v>WL-600地板梁</v>
          </cell>
        </row>
        <row r="17142">
          <cell r="D17142" t="str">
            <v>CB5315190-002R001</v>
          </cell>
          <cell r="E17142" t="str">
            <v>WL-600地板梁</v>
          </cell>
        </row>
        <row r="17143">
          <cell r="D17143" t="str">
            <v>C571110500-002R001</v>
          </cell>
          <cell r="E17143" t="str">
            <v>前梁二段</v>
          </cell>
        </row>
        <row r="17144">
          <cell r="D17144" t="str">
            <v>C571110500-002R001</v>
          </cell>
          <cell r="E17144" t="str">
            <v>前梁二段</v>
          </cell>
        </row>
        <row r="17145">
          <cell r="D17145" t="str">
            <v>C571110500-002R001</v>
          </cell>
          <cell r="E17145" t="str">
            <v>前梁二段</v>
          </cell>
        </row>
        <row r="17146">
          <cell r="D17146" t="str">
            <v>C571110500-002R001</v>
          </cell>
          <cell r="E17146" t="str">
            <v>前梁二段</v>
          </cell>
        </row>
        <row r="17147">
          <cell r="D17147" t="str">
            <v>531A1100-015-001</v>
          </cell>
          <cell r="E17147" t="str">
            <v>合页</v>
          </cell>
        </row>
        <row r="17148">
          <cell r="D17148" t="str">
            <v>531A1100-015-001</v>
          </cell>
          <cell r="E17148" t="str">
            <v>合页</v>
          </cell>
        </row>
        <row r="17149">
          <cell r="D17149" t="str">
            <v>531A1100-014-001</v>
          </cell>
          <cell r="E17149" t="str">
            <v>合页</v>
          </cell>
        </row>
        <row r="17150">
          <cell r="D17150" t="str">
            <v>DD-J10-55181-66</v>
          </cell>
          <cell r="E17150" t="str">
            <v>转接管接头</v>
          </cell>
        </row>
        <row r="17151">
          <cell r="D17151" t="str">
            <v>DD-J10-41153-140</v>
          </cell>
          <cell r="E17151" t="str">
            <v>开锁摇臂</v>
          </cell>
        </row>
        <row r="17152">
          <cell r="D17152" t="str">
            <v>CB22836Y6-003-001</v>
          </cell>
          <cell r="E17152" t="str">
            <v>轴</v>
          </cell>
        </row>
        <row r="17153">
          <cell r="D17153" t="str">
            <v>CB22836Y6-003-001</v>
          </cell>
          <cell r="E17153" t="str">
            <v>轴</v>
          </cell>
        </row>
        <row r="17154">
          <cell r="D17154" t="str">
            <v>CB22836Y6-003-001</v>
          </cell>
          <cell r="E17154" t="str">
            <v>轴</v>
          </cell>
        </row>
        <row r="17155">
          <cell r="D17155" t="str">
            <v>CB22836Y6-003-001</v>
          </cell>
          <cell r="E17155" t="str">
            <v>轴</v>
          </cell>
        </row>
        <row r="17156">
          <cell r="D17156" t="str">
            <v>CB2280231-004-001</v>
          </cell>
          <cell r="E17156" t="str">
            <v>轴</v>
          </cell>
        </row>
        <row r="17157">
          <cell r="D17157" t="str">
            <v>CB2280231-004-001</v>
          </cell>
          <cell r="E17157" t="str">
            <v>轴</v>
          </cell>
        </row>
        <row r="17158">
          <cell r="D17158" t="str">
            <v>CB2280231-004-001</v>
          </cell>
          <cell r="E17158" t="str">
            <v>轴</v>
          </cell>
        </row>
        <row r="17159">
          <cell r="D17159" t="str">
            <v>CB2280231-004-001</v>
          </cell>
          <cell r="E17159" t="str">
            <v>轴</v>
          </cell>
        </row>
        <row r="17160">
          <cell r="D17160" t="str">
            <v>CB22847Y1-008-001</v>
          </cell>
          <cell r="E17160" t="str">
            <v>轴</v>
          </cell>
        </row>
        <row r="17161">
          <cell r="D17161" t="str">
            <v>CB2280231N003-001</v>
          </cell>
          <cell r="E17161" t="str">
            <v>管子</v>
          </cell>
        </row>
        <row r="17162">
          <cell r="D17162" t="str">
            <v>DD-J10-55165-710-3</v>
          </cell>
          <cell r="E17162" t="str">
            <v>衬套</v>
          </cell>
        </row>
        <row r="17163">
          <cell r="D17163" t="str">
            <v>DD-J10-55025-703</v>
          </cell>
          <cell r="E17163" t="str">
            <v>衬套</v>
          </cell>
        </row>
        <row r="17164">
          <cell r="D17164" t="str">
            <v>DD-J10B-55015-4100-1</v>
          </cell>
          <cell r="E17164" t="str">
            <v>垫圈</v>
          </cell>
        </row>
        <row r="17165">
          <cell r="D17165" t="str">
            <v>DD-J10-41173-147</v>
          </cell>
          <cell r="E17165" t="str">
            <v>拨叉</v>
          </cell>
        </row>
        <row r="17166">
          <cell r="D17166" t="str">
            <v>DD-J10-41173-141</v>
          </cell>
          <cell r="E17166" t="str">
            <v>拨叉</v>
          </cell>
        </row>
        <row r="17167">
          <cell r="D17167" t="str">
            <v>DD-J10-41153-140-1</v>
          </cell>
          <cell r="E17167" t="str">
            <v>开锁摇臂</v>
          </cell>
        </row>
        <row r="17168">
          <cell r="D17168" t="str">
            <v>DD-J10-55014-2131</v>
          </cell>
          <cell r="E17168" t="str">
            <v>接管嘴</v>
          </cell>
        </row>
        <row r="17169">
          <cell r="D17169" t="str">
            <v>DD-J10-55014-2131</v>
          </cell>
          <cell r="E17169" t="str">
            <v>接管嘴</v>
          </cell>
        </row>
        <row r="17170">
          <cell r="D17170" t="str">
            <v>DD-J10-55014-2131</v>
          </cell>
          <cell r="E17170" t="str">
            <v>接管嘴</v>
          </cell>
        </row>
        <row r="17171">
          <cell r="D17171" t="str">
            <v>CB22109MN-001-003</v>
          </cell>
          <cell r="E17171" t="str">
            <v>变径直通接头</v>
          </cell>
        </row>
        <row r="17172">
          <cell r="D17172" t="str">
            <v>CB2210982-001-002</v>
          </cell>
          <cell r="E17172" t="str">
            <v>管接头</v>
          </cell>
        </row>
        <row r="17173">
          <cell r="D17173" t="str">
            <v>XXX/F1</v>
          </cell>
          <cell r="E17173" t="str">
            <v>提手</v>
          </cell>
        </row>
        <row r="17174">
          <cell r="D17174" t="str">
            <v>XXX/F2</v>
          </cell>
          <cell r="E17174" t="str">
            <v>模拟拔销器</v>
          </cell>
        </row>
        <row r="17175">
          <cell r="D17175" t="str">
            <v>XXX/F3</v>
          </cell>
          <cell r="E17175" t="str">
            <v>固定柱</v>
          </cell>
        </row>
        <row r="17176">
          <cell r="D17176" t="str">
            <v>XXX/F4</v>
          </cell>
          <cell r="E17176" t="str">
            <v>转换安装工装</v>
          </cell>
        </row>
        <row r="17177">
          <cell r="D17177" t="str">
            <v>XXX-000-01</v>
          </cell>
          <cell r="E17177" t="str">
            <v>绝缘板</v>
          </cell>
        </row>
        <row r="17178">
          <cell r="D17178" t="str">
            <v>XXX-000-03</v>
          </cell>
          <cell r="E17178" t="str">
            <v>绝缘垫</v>
          </cell>
        </row>
        <row r="17179">
          <cell r="D17179" t="str">
            <v>XXX-000-04</v>
          </cell>
          <cell r="E17179" t="str">
            <v>XXX螺塞</v>
          </cell>
        </row>
        <row r="17180">
          <cell r="D17180" t="str">
            <v>XXX-000-05</v>
          </cell>
          <cell r="E17180" t="str">
            <v>支柱</v>
          </cell>
        </row>
        <row r="17181">
          <cell r="D17181" t="str">
            <v>XXX-000-06</v>
          </cell>
          <cell r="E17181" t="str">
            <v>防护罩</v>
          </cell>
        </row>
        <row r="17182">
          <cell r="D17182" t="str">
            <v>XXX-000-07</v>
          </cell>
          <cell r="E17182" t="str">
            <v>密封盒</v>
          </cell>
        </row>
        <row r="17183">
          <cell r="D17183" t="str">
            <v>XXX-100-01</v>
          </cell>
          <cell r="E17183" t="str">
            <v>本体</v>
          </cell>
        </row>
        <row r="17184">
          <cell r="D17184" t="str">
            <v>XXX-100-03</v>
          </cell>
          <cell r="E17184" t="str">
            <v>定位销</v>
          </cell>
        </row>
        <row r="17185">
          <cell r="D17185" t="str">
            <v>XXX-100-04</v>
          </cell>
          <cell r="E17185" t="str">
            <v>锁销塞</v>
          </cell>
        </row>
        <row r="17186">
          <cell r="D17186" t="str">
            <v>XXX-100-06</v>
          </cell>
          <cell r="E17186" t="str">
            <v>锁销</v>
          </cell>
        </row>
        <row r="17187">
          <cell r="D17187" t="str">
            <v>XXX-100-07</v>
          </cell>
          <cell r="E17187" t="str">
            <v>位置销</v>
          </cell>
        </row>
        <row r="17188">
          <cell r="D17188" t="str">
            <v>XXX-100-08</v>
          </cell>
          <cell r="E17188" t="str">
            <v>隔板</v>
          </cell>
        </row>
        <row r="17189">
          <cell r="D17189" t="str">
            <v>XXX-110-01</v>
          </cell>
          <cell r="E17189" t="str">
            <v>底板</v>
          </cell>
        </row>
        <row r="17190">
          <cell r="D17190" t="str">
            <v>XXX-200-01</v>
          </cell>
          <cell r="E17190" t="str">
            <v>惯性壳体</v>
          </cell>
        </row>
        <row r="17191">
          <cell r="D17191" t="str">
            <v>XXX-200-02</v>
          </cell>
          <cell r="E17191" t="str">
            <v>惯性塞</v>
          </cell>
        </row>
        <row r="17192">
          <cell r="D17192" t="str">
            <v>XXX-200-03</v>
          </cell>
          <cell r="E17192" t="str">
            <v>光开关盖</v>
          </cell>
        </row>
        <row r="17193">
          <cell r="D17193" t="str">
            <v>XXX-210-01</v>
          </cell>
          <cell r="E17193" t="str">
            <v>惯性块</v>
          </cell>
        </row>
        <row r="17194">
          <cell r="D17194" t="str">
            <v>XXX-210-02</v>
          </cell>
          <cell r="E17194" t="str">
            <v>惯性筒</v>
          </cell>
        </row>
        <row r="17195">
          <cell r="D17195" t="str">
            <v>XXX-210-04、05</v>
          </cell>
          <cell r="E17195" t="str">
            <v>挡圈A、B</v>
          </cell>
        </row>
        <row r="17196">
          <cell r="D17196" t="str">
            <v>XXX-1000-00</v>
          </cell>
          <cell r="E17196" t="str">
            <v>抽验振动夹具组合件</v>
          </cell>
        </row>
        <row r="17197">
          <cell r="D17197" t="str">
            <v>XXX-1000-01</v>
          </cell>
          <cell r="E17197" t="str">
            <v>抽验振动夹具</v>
          </cell>
        </row>
        <row r="17198">
          <cell r="D17198" t="str">
            <v>XXX-2000-00</v>
          </cell>
          <cell r="E17198" t="str">
            <v>XXX模拟件</v>
          </cell>
        </row>
        <row r="17199">
          <cell r="D17199" t="str">
            <v>XXX-2000-01</v>
          </cell>
          <cell r="E17199" t="str">
            <v>XXX模拟件盖板</v>
          </cell>
        </row>
        <row r="17200">
          <cell r="D17200" t="str">
            <v>XXX-2000-02</v>
          </cell>
          <cell r="E17200" t="str">
            <v>XXX模拟件外壳</v>
          </cell>
        </row>
        <row r="17201">
          <cell r="D17201" t="str">
            <v>XXX-3151000-01</v>
          </cell>
          <cell r="E17201" t="str">
            <v>上盖</v>
          </cell>
        </row>
        <row r="17202">
          <cell r="D17202" t="str">
            <v>XXX-3151000-02</v>
          </cell>
          <cell r="E17202" t="str">
            <v>底座</v>
          </cell>
        </row>
        <row r="17203">
          <cell r="D17203" t="str">
            <v>XXX-3151000-03</v>
          </cell>
          <cell r="E17203" t="str">
            <v>下盖</v>
          </cell>
        </row>
        <row r="17204">
          <cell r="D17204" t="str">
            <v>XXX-3151000-04</v>
          </cell>
          <cell r="E17204" t="str">
            <v>支座</v>
          </cell>
        </row>
        <row r="17205">
          <cell r="D17205" t="str">
            <v>XXX-3152000-01</v>
          </cell>
          <cell r="E17205" t="str">
            <v>顶盖</v>
          </cell>
        </row>
        <row r="17206">
          <cell r="D17206" t="str">
            <v>XXX-3152000-02</v>
          </cell>
          <cell r="E17206" t="str">
            <v>腔体</v>
          </cell>
        </row>
        <row r="17207">
          <cell r="D17207" t="str">
            <v>XXX-3152000-03</v>
          </cell>
          <cell r="E17207" t="str">
            <v>压块</v>
          </cell>
        </row>
        <row r="17208">
          <cell r="D17208" t="str">
            <v>CB5323210-002-028</v>
          </cell>
          <cell r="E17208" t="str">
            <v>10540中框</v>
          </cell>
        </row>
        <row r="17209">
          <cell r="D17209" t="str">
            <v>CB5323210-002-028</v>
          </cell>
          <cell r="E17209" t="str">
            <v>10540中框</v>
          </cell>
        </row>
        <row r="17210">
          <cell r="D17210" t="str">
            <v>CB5323210-002-028</v>
          </cell>
          <cell r="E17210" t="str">
            <v>10540中框</v>
          </cell>
        </row>
        <row r="17211">
          <cell r="D17211" t="str">
            <v>CB5323210-002-028</v>
          </cell>
          <cell r="E17211" t="str">
            <v>10540中框</v>
          </cell>
        </row>
        <row r="17212">
          <cell r="D17212" t="str">
            <v>CB5323210-002-028</v>
          </cell>
          <cell r="E17212" t="str">
            <v>10540中框</v>
          </cell>
        </row>
        <row r="17213">
          <cell r="D17213" t="str">
            <v>CB5323210-002-028</v>
          </cell>
          <cell r="E17213" t="str">
            <v>10540中框</v>
          </cell>
        </row>
        <row r="17214">
          <cell r="D17214" t="str">
            <v>CB5323210-002-028</v>
          </cell>
          <cell r="E17214" t="str">
            <v>10540中框</v>
          </cell>
        </row>
        <row r="17215">
          <cell r="D17215" t="str">
            <v>CB5323210-002-028</v>
          </cell>
          <cell r="E17215" t="str">
            <v>10540中框</v>
          </cell>
        </row>
        <row r="17216">
          <cell r="D17216" t="str">
            <v>CB5323210-002-028</v>
          </cell>
          <cell r="E17216" t="str">
            <v>10540中框</v>
          </cell>
        </row>
        <row r="17217">
          <cell r="D17217" t="str">
            <v>CB5323210-002-028</v>
          </cell>
          <cell r="E17217" t="str">
            <v>10540中框</v>
          </cell>
        </row>
        <row r="17218">
          <cell r="D17218" t="str">
            <v>CB5326200-125R002</v>
          </cell>
          <cell r="E17218" t="str">
            <v>9200 3号加强筋</v>
          </cell>
        </row>
        <row r="17219">
          <cell r="D17219" t="str">
            <v>CB5326200-125R002</v>
          </cell>
          <cell r="E17219" t="str">
            <v>9200 3号加强筋</v>
          </cell>
        </row>
        <row r="17220">
          <cell r="D17220" t="str">
            <v>CB5326200-125R002</v>
          </cell>
          <cell r="E17220" t="str">
            <v>9200 3号加强筋</v>
          </cell>
        </row>
        <row r="17221">
          <cell r="D17221" t="str">
            <v>CB5326200-125R002</v>
          </cell>
          <cell r="E17221" t="str">
            <v>9200 3号加强筋</v>
          </cell>
        </row>
        <row r="17222">
          <cell r="D17222" t="str">
            <v>CB5326200-125R002</v>
          </cell>
          <cell r="E17222" t="str">
            <v>9200 3号加强筋</v>
          </cell>
        </row>
        <row r="17223">
          <cell r="D17223" t="str">
            <v>CB5326200-125R002</v>
          </cell>
          <cell r="E17223" t="str">
            <v>9200 3号加强筋</v>
          </cell>
        </row>
        <row r="17224">
          <cell r="D17224" t="str">
            <v>CB5326200-125L002</v>
          </cell>
          <cell r="E17224" t="str">
            <v>9200 3号加强筋</v>
          </cell>
        </row>
        <row r="17225">
          <cell r="D17225" t="str">
            <v>CB5326200-125L002</v>
          </cell>
          <cell r="E17225" t="str">
            <v>9200 3号加强筋</v>
          </cell>
        </row>
        <row r="17226">
          <cell r="D17226" t="str">
            <v>CB5326200-125L002</v>
          </cell>
          <cell r="E17226" t="str">
            <v>9200 3号加强筋</v>
          </cell>
        </row>
        <row r="17227">
          <cell r="D17227" t="str">
            <v>CB5326200-125L002</v>
          </cell>
          <cell r="E17227" t="str">
            <v>9200 3号加强筋</v>
          </cell>
        </row>
        <row r="17228">
          <cell r="D17228" t="str">
            <v>CB5326200-125L002</v>
          </cell>
          <cell r="E17228" t="str">
            <v>9200 3号加强筋</v>
          </cell>
        </row>
        <row r="17229">
          <cell r="D17229" t="str">
            <v>CB5326200-125L002</v>
          </cell>
          <cell r="E17229" t="str">
            <v>9200 3号加强筋</v>
          </cell>
        </row>
        <row r="17230">
          <cell r="D17230" t="str">
            <v>CB5326200-133R002</v>
          </cell>
          <cell r="E17230" t="str">
            <v>8815 4号加强筋</v>
          </cell>
        </row>
        <row r="17231">
          <cell r="D17231" t="str">
            <v>CB5326200-133R002</v>
          </cell>
          <cell r="E17231" t="str">
            <v>8815 4号加强筋</v>
          </cell>
        </row>
        <row r="17232">
          <cell r="D17232" t="str">
            <v>CB5326200-133R002</v>
          </cell>
          <cell r="E17232" t="str">
            <v>8815 4号加强筋</v>
          </cell>
        </row>
        <row r="17233">
          <cell r="D17233" t="str">
            <v>CB5326200-133R002</v>
          </cell>
          <cell r="E17233" t="str">
            <v>8815 4号加强筋</v>
          </cell>
        </row>
        <row r="17234">
          <cell r="D17234" t="str">
            <v>CB5326200-133R002</v>
          </cell>
          <cell r="E17234" t="str">
            <v>8815 4号加强筋</v>
          </cell>
        </row>
        <row r="17235">
          <cell r="D17235" t="str">
            <v>CB5326200-133L002</v>
          </cell>
          <cell r="E17235" t="str">
            <v>8815 4号加强筋</v>
          </cell>
        </row>
        <row r="17236">
          <cell r="D17236" t="str">
            <v>CB5326200-133L002</v>
          </cell>
          <cell r="E17236" t="str">
            <v>8815 4号加强筋</v>
          </cell>
        </row>
        <row r="17237">
          <cell r="D17237" t="str">
            <v>CB5326200-133L002</v>
          </cell>
          <cell r="E17237" t="str">
            <v>8815 4号加强筋</v>
          </cell>
        </row>
        <row r="17238">
          <cell r="D17238" t="str">
            <v>CB5326200-133L002</v>
          </cell>
          <cell r="E17238" t="str">
            <v>8815 4号加强筋</v>
          </cell>
        </row>
        <row r="17239">
          <cell r="D17239" t="str">
            <v>CB5326200-133L002</v>
          </cell>
          <cell r="E17239" t="str">
            <v>8815 4号加强筋</v>
          </cell>
        </row>
        <row r="17240">
          <cell r="D17240" t="str">
            <v>DD-J10-54101-2801</v>
          </cell>
          <cell r="E17240" t="str">
            <v>手柄</v>
          </cell>
        </row>
        <row r="17241">
          <cell r="D17241" t="str">
            <v>DD-J10-54101-2803</v>
          </cell>
          <cell r="E17241" t="str">
            <v>止动器</v>
          </cell>
        </row>
        <row r="17242">
          <cell r="D17242" t="str">
            <v>DD-J10B-64016-600G2-1G2</v>
          </cell>
          <cell r="E17242" t="str">
            <v>短管</v>
          </cell>
        </row>
        <row r="17243">
          <cell r="D17243" t="str">
            <v>DD-J10-41035-120-2</v>
          </cell>
          <cell r="E17243" t="str">
            <v>管子</v>
          </cell>
        </row>
        <row r="17244">
          <cell r="D17244" t="str">
            <v>DD-J10-55165-710-3</v>
          </cell>
          <cell r="E17244" t="str">
            <v>衬套</v>
          </cell>
        </row>
        <row r="17245">
          <cell r="D17245" t="str">
            <v>CB22836Y6-003-001</v>
          </cell>
          <cell r="E17245" t="str">
            <v>轴</v>
          </cell>
        </row>
        <row r="17246">
          <cell r="D17246" t="str">
            <v>CB2280231-004-001</v>
          </cell>
          <cell r="E17246" t="str">
            <v>轴</v>
          </cell>
        </row>
        <row r="17247">
          <cell r="D17247" t="str">
            <v>CB22857YB-008-001</v>
          </cell>
          <cell r="E17247" t="str">
            <v>轴</v>
          </cell>
        </row>
        <row r="17248">
          <cell r="D17248" t="str">
            <v>CB2280231-004-001</v>
          </cell>
          <cell r="E17248" t="str">
            <v>轴</v>
          </cell>
        </row>
        <row r="17249">
          <cell r="D17249" t="str">
            <v>CB22836Y6-003-001</v>
          </cell>
          <cell r="E17249" t="str">
            <v>轴</v>
          </cell>
        </row>
        <row r="17250">
          <cell r="D17250" t="str">
            <v>CB229C431-003-001</v>
          </cell>
          <cell r="E17250" t="str">
            <v>衬套</v>
          </cell>
        </row>
        <row r="17251">
          <cell r="D17251" t="str">
            <v>CB2280231-004-001</v>
          </cell>
          <cell r="E17251" t="str">
            <v>轴</v>
          </cell>
        </row>
        <row r="17252">
          <cell r="D17252" t="str">
            <v>CB2280231-004-001</v>
          </cell>
          <cell r="E17252" t="str">
            <v>轴</v>
          </cell>
        </row>
        <row r="17253">
          <cell r="D17253" t="str">
            <v>CB22847Y1-008-001</v>
          </cell>
          <cell r="E17253" t="str">
            <v>轴</v>
          </cell>
        </row>
        <row r="17254">
          <cell r="D17254" t="str">
            <v>CB22847Y1-008-001</v>
          </cell>
          <cell r="E17254" t="str">
            <v>轴</v>
          </cell>
        </row>
        <row r="17255">
          <cell r="D17255" t="str">
            <v>CB22836Y6-003-001</v>
          </cell>
          <cell r="E17255" t="str">
            <v>轴</v>
          </cell>
        </row>
        <row r="17256">
          <cell r="D17256" t="str">
            <v>CB22836Y6-003-001</v>
          </cell>
          <cell r="E17256" t="str">
            <v>轴</v>
          </cell>
        </row>
        <row r="17257">
          <cell r="D17257" t="str">
            <v>CB2280231N003-001</v>
          </cell>
          <cell r="E17257" t="str">
            <v>管子</v>
          </cell>
        </row>
        <row r="17258">
          <cell r="D17258" t="str">
            <v>DD-J10B-34303-4</v>
          </cell>
          <cell r="E17258" t="str">
            <v>支座</v>
          </cell>
        </row>
        <row r="17259">
          <cell r="D17259" t="str">
            <v>LTCS-551100000-55R02</v>
          </cell>
          <cell r="E17259" t="str">
            <v>带板</v>
          </cell>
        </row>
        <row r="17260">
          <cell r="D17260" t="str">
            <v>LTCS-551100000-55L02</v>
          </cell>
          <cell r="E17260" t="str">
            <v>带板</v>
          </cell>
        </row>
        <row r="17261">
          <cell r="D17261" t="str">
            <v>LTCS-541100400-02L02</v>
          </cell>
          <cell r="E17261" t="str">
            <v>镶嵌件</v>
          </cell>
        </row>
        <row r="17262">
          <cell r="D17262" t="str">
            <v>LTCS-541100400-02R02</v>
          </cell>
          <cell r="E17262" t="str">
            <v>镶嵌件</v>
          </cell>
        </row>
        <row r="17263">
          <cell r="D17263" t="str">
            <v>LTCS-541100400-03L02</v>
          </cell>
          <cell r="E17263" t="str">
            <v>镶嵌件</v>
          </cell>
        </row>
        <row r="17264">
          <cell r="D17264" t="str">
            <v>LTCS-541100400-03R02</v>
          </cell>
          <cell r="E17264" t="str">
            <v>镶嵌件</v>
          </cell>
        </row>
        <row r="17265">
          <cell r="D17265" t="str">
            <v>LTCS-551101400-06N02</v>
          </cell>
          <cell r="E17265" t="str">
            <v>封缘板</v>
          </cell>
        </row>
        <row r="17266">
          <cell r="D17266" t="str">
            <v>LTCS-551101400-06N02</v>
          </cell>
          <cell r="E17266" t="str">
            <v>封缘板</v>
          </cell>
        </row>
        <row r="17267">
          <cell r="D17267" t="str">
            <v>C551005000-002L001</v>
          </cell>
          <cell r="E17267" t="str">
            <v>摇臂</v>
          </cell>
        </row>
        <row r="17268">
          <cell r="D17268" t="str">
            <v>C551005000-002L001</v>
          </cell>
          <cell r="E17268" t="str">
            <v>摇臂</v>
          </cell>
        </row>
        <row r="17269">
          <cell r="D17269" t="str">
            <v>C551005000-002L001</v>
          </cell>
          <cell r="E17269" t="str">
            <v>摇臂</v>
          </cell>
        </row>
        <row r="17270">
          <cell r="D17270" t="str">
            <v>C551005000-002L001</v>
          </cell>
          <cell r="E17270" t="str">
            <v>摇臂</v>
          </cell>
        </row>
        <row r="17271">
          <cell r="D17271" t="str">
            <v>C551005000-002R001</v>
          </cell>
          <cell r="E17271" t="str">
            <v>摇臂</v>
          </cell>
        </row>
        <row r="17272">
          <cell r="D17272" t="str">
            <v>C551005000-002R001</v>
          </cell>
          <cell r="E17272" t="str">
            <v>摇臂</v>
          </cell>
        </row>
        <row r="17273">
          <cell r="D17273" t="str">
            <v>C551005000-002R001</v>
          </cell>
          <cell r="E17273" t="str">
            <v>摇臂</v>
          </cell>
        </row>
        <row r="17274">
          <cell r="D17274" t="str">
            <v>C551005000-002R001</v>
          </cell>
          <cell r="E17274" t="str">
            <v>摇臂</v>
          </cell>
        </row>
        <row r="17275">
          <cell r="D17275" t="str">
            <v>DD-J10B-67011-20010-2</v>
          </cell>
          <cell r="E17275" t="str">
            <v>弓形件</v>
          </cell>
        </row>
        <row r="17276">
          <cell r="D17276" t="str">
            <v>DD-J10B-67011-20010-2</v>
          </cell>
          <cell r="E17276" t="str">
            <v>弓形件</v>
          </cell>
        </row>
        <row r="17277">
          <cell r="D17277" t="str">
            <v>DD-J10B-26002-100G2-1G2-Z</v>
          </cell>
          <cell r="E17277" t="str">
            <v>翼尖接头</v>
          </cell>
        </row>
        <row r="17278">
          <cell r="D17278" t="str">
            <v>DD-J10B-94061-401</v>
          </cell>
          <cell r="E17278" t="str">
            <v>支架</v>
          </cell>
        </row>
        <row r="17279">
          <cell r="D17279" t="str">
            <v>DD-J10-67096-50-1</v>
          </cell>
          <cell r="E17279" t="str">
            <v>Z型件</v>
          </cell>
        </row>
        <row r="17280">
          <cell r="D17280" t="str">
            <v>DD-J10-67096-50-1</v>
          </cell>
          <cell r="E17280" t="str">
            <v>Z型件</v>
          </cell>
        </row>
        <row r="17281">
          <cell r="D17281" t="str">
            <v>DD-J10-67096-50-1</v>
          </cell>
          <cell r="E17281" t="str">
            <v>Z型件</v>
          </cell>
        </row>
        <row r="17282">
          <cell r="D17282" t="str">
            <v>DD-J10-67096-50-1</v>
          </cell>
          <cell r="E17282" t="str">
            <v>Z型件</v>
          </cell>
        </row>
        <row r="17283">
          <cell r="D17283" t="str">
            <v>DD-J10B-65000-1710G2-1</v>
          </cell>
          <cell r="E17283" t="str">
            <v>连杆</v>
          </cell>
        </row>
        <row r="17284">
          <cell r="D17284" t="str">
            <v>DD-J10B-65000-1710G2-1</v>
          </cell>
          <cell r="E17284" t="str">
            <v>连杆</v>
          </cell>
        </row>
        <row r="17285">
          <cell r="D17285" t="str">
            <v>Y20-5315200048-501</v>
          </cell>
          <cell r="E17285" t="str">
            <v>锁柱短横梁</v>
          </cell>
        </row>
        <row r="17286">
          <cell r="D17286" t="str">
            <v>Y20-5315200048-502</v>
          </cell>
          <cell r="E17286" t="str">
            <v>锁柱短横梁</v>
          </cell>
        </row>
        <row r="17287">
          <cell r="D17287" t="str">
            <v>Y20-5316100500-502</v>
          </cell>
          <cell r="E17287" t="str">
            <v>地板接头</v>
          </cell>
        </row>
        <row r="17288">
          <cell r="D17288" t="str">
            <v>Y20-5316100329-502</v>
          </cell>
          <cell r="E17288" t="str">
            <v>地板纵向件</v>
          </cell>
        </row>
        <row r="17289">
          <cell r="D17289" t="str">
            <v>Y20-5316100329-501</v>
          </cell>
          <cell r="E17289" t="str">
            <v>地板纵向件</v>
          </cell>
        </row>
        <row r="17290">
          <cell r="D17290" t="str">
            <v>DD-J10-41153-140-1</v>
          </cell>
          <cell r="E17290" t="str">
            <v>开锁摇臂</v>
          </cell>
        </row>
        <row r="17291">
          <cell r="D17291" t="str">
            <v>DD-J10-41153-140-1</v>
          </cell>
          <cell r="E17291" t="str">
            <v>开锁摇臂</v>
          </cell>
        </row>
        <row r="17292">
          <cell r="D17292" t="str">
            <v>DD-J10-61052-172</v>
          </cell>
          <cell r="E17292" t="str">
            <v>接管嘴</v>
          </cell>
        </row>
        <row r="17293">
          <cell r="D17293" t="str">
            <v>DD-J10-61052-172</v>
          </cell>
          <cell r="E17293" t="str">
            <v>接管嘴</v>
          </cell>
        </row>
        <row r="17294">
          <cell r="D17294" t="str">
            <v>Y20-5226204002-001</v>
          </cell>
          <cell r="E17294" t="str">
            <v>衬套</v>
          </cell>
        </row>
        <row r="17295">
          <cell r="D17295" t="str">
            <v>Y20-5226204002-001</v>
          </cell>
          <cell r="E17295" t="str">
            <v>衬套</v>
          </cell>
        </row>
        <row r="17296">
          <cell r="D17296" t="str">
            <v>BC2712311-004-003</v>
          </cell>
          <cell r="E17296" t="str">
            <v>保护罩支座</v>
          </cell>
        </row>
        <row r="17297">
          <cell r="D17297" t="str">
            <v>BC5836011-001-001</v>
          </cell>
          <cell r="E17297" t="str">
            <v>壳体</v>
          </cell>
        </row>
        <row r="17298">
          <cell r="D17298" t="str">
            <v>BC2332H01-008-001</v>
          </cell>
          <cell r="E17298" t="str">
            <v>衬套</v>
          </cell>
        </row>
        <row r="17299">
          <cell r="D17299" t="str">
            <v>DD-J10-21102-32-Y</v>
          </cell>
          <cell r="E17299" t="str">
            <v>10060下接头</v>
          </cell>
        </row>
        <row r="17300">
          <cell r="D17300" t="str">
            <v>DD-J10-21102-32-Z</v>
          </cell>
          <cell r="E17300" t="str">
            <v>10060下接头</v>
          </cell>
        </row>
        <row r="17301">
          <cell r="D17301" t="str">
            <v>DD-J10-21102-33-Z</v>
          </cell>
          <cell r="E17301" t="str">
            <v>10460上接头</v>
          </cell>
        </row>
        <row r="17302">
          <cell r="D17302" t="str">
            <v>DD-J10-05086-30-1-Z</v>
          </cell>
          <cell r="E17302" t="str">
            <v>梁</v>
          </cell>
        </row>
        <row r="17303">
          <cell r="D17303" t="str">
            <v>DD-J10-05086-30-1-Y</v>
          </cell>
          <cell r="E17303" t="str">
            <v>梁</v>
          </cell>
        </row>
        <row r="17304">
          <cell r="D17304" t="str">
            <v>DD-J10-05086-20-1-Z</v>
          </cell>
          <cell r="E17304" t="str">
            <v>梁</v>
          </cell>
        </row>
        <row r="17305">
          <cell r="D17305" t="str">
            <v>DD-J10-05086-20-1-Z</v>
          </cell>
          <cell r="E17305" t="str">
            <v>梁</v>
          </cell>
        </row>
        <row r="17306">
          <cell r="D17306" t="str">
            <v>DD-J10-05086-20-1-Y</v>
          </cell>
          <cell r="E17306" t="str">
            <v>梁</v>
          </cell>
        </row>
        <row r="17307">
          <cell r="D17307" t="str">
            <v>DD-J10-05076-30-1-Z</v>
          </cell>
          <cell r="E17307" t="str">
            <v>梁</v>
          </cell>
        </row>
        <row r="17308">
          <cell r="D17308" t="str">
            <v>DD-J10-05076-30-1-Y</v>
          </cell>
          <cell r="E17308" t="str">
            <v>梁</v>
          </cell>
        </row>
        <row r="17309">
          <cell r="D17309" t="str">
            <v>DD-J10-05076-20-1-Z</v>
          </cell>
          <cell r="E17309" t="str">
            <v>梁</v>
          </cell>
        </row>
        <row r="17310">
          <cell r="D17310" t="str">
            <v>DD-J10-05076-20-1-Z</v>
          </cell>
          <cell r="E17310" t="str">
            <v>梁</v>
          </cell>
        </row>
        <row r="17311">
          <cell r="D17311" t="str">
            <v>DD-J10-05076-20-1-Y</v>
          </cell>
          <cell r="E17311" t="str">
            <v>梁</v>
          </cell>
        </row>
        <row r="17312">
          <cell r="D17312" t="str">
            <v>DD-J10B-25002-30G2-1G2-Z</v>
          </cell>
          <cell r="E17312" t="str">
            <v>梁（左件）</v>
          </cell>
        </row>
        <row r="17313">
          <cell r="D17313" t="str">
            <v>DD-J10B-25002-30G2-1G2-Y</v>
          </cell>
          <cell r="E17313" t="str">
            <v>梁（右件）</v>
          </cell>
        </row>
        <row r="17314">
          <cell r="D17314" t="str">
            <v>DD-J10B-25002-30G2-1G2-Y</v>
          </cell>
          <cell r="E17314" t="str">
            <v>梁（右件）</v>
          </cell>
        </row>
        <row r="17315">
          <cell r="D17315" t="str">
            <v>DD-J10B-25002-30G2-1G2-Y</v>
          </cell>
          <cell r="E17315" t="str">
            <v>梁（右件）</v>
          </cell>
        </row>
        <row r="17316">
          <cell r="D17316" t="str">
            <v>DD-J10-21102-250-1-Z</v>
          </cell>
          <cell r="E17316" t="str">
            <v>11900梁一段（左件）</v>
          </cell>
        </row>
        <row r="17317">
          <cell r="D17317" t="str">
            <v>DD-J10-21102-250-1-Z</v>
          </cell>
          <cell r="E17317" t="str">
            <v>11900梁一段（左件）</v>
          </cell>
        </row>
        <row r="17318">
          <cell r="D17318" t="str">
            <v>DD-J10-21102-410-1-Z</v>
          </cell>
          <cell r="E17318" t="str">
            <v>1150肋根肋</v>
          </cell>
        </row>
        <row r="17319">
          <cell r="D17319" t="str">
            <v>DD-J10-21102-410-1-Z</v>
          </cell>
          <cell r="E17319" t="str">
            <v>1150肋根肋</v>
          </cell>
        </row>
        <row r="17320">
          <cell r="D17320" t="str">
            <v>C552103000-026R001</v>
          </cell>
          <cell r="E17320" t="str">
            <v>前缘短肋</v>
          </cell>
        </row>
        <row r="17321">
          <cell r="D17321" t="str">
            <v>C552103000-026R001</v>
          </cell>
          <cell r="E17321" t="str">
            <v>前缘短肋</v>
          </cell>
        </row>
        <row r="17322">
          <cell r="D17322" t="str">
            <v>C552103000-026R001</v>
          </cell>
          <cell r="E17322" t="str">
            <v>前缘短肋</v>
          </cell>
        </row>
        <row r="17323">
          <cell r="D17323" t="str">
            <v>LTCS-515030000-04N01</v>
          </cell>
          <cell r="E17323" t="str">
            <v>2430横梁</v>
          </cell>
        </row>
        <row r="17324">
          <cell r="D17324" t="str">
            <v>LTCS-515030000-04N01</v>
          </cell>
          <cell r="E17324" t="str">
            <v>2430横梁</v>
          </cell>
        </row>
        <row r="17325">
          <cell r="D17325" t="str">
            <v>DD-J10-55181-6431</v>
          </cell>
          <cell r="E17325" t="str">
            <v>变径三通管接头</v>
          </cell>
        </row>
        <row r="17326">
          <cell r="D17326" t="str">
            <v>CB5326200-131L002</v>
          </cell>
          <cell r="E17326" t="str">
            <v>8455 4号加强筋</v>
          </cell>
        </row>
        <row r="17327">
          <cell r="D17327" t="str">
            <v>CB5326200-131L002</v>
          </cell>
          <cell r="E17327" t="str">
            <v>8455 4号加强筋</v>
          </cell>
        </row>
        <row r="17328">
          <cell r="D17328" t="str">
            <v>CB5326200-131L002</v>
          </cell>
          <cell r="E17328" t="str">
            <v>8455 4号加强筋</v>
          </cell>
        </row>
        <row r="17329">
          <cell r="D17329" t="str">
            <v>CB5326200-131L002</v>
          </cell>
          <cell r="E17329" t="str">
            <v>8455 4号加强筋</v>
          </cell>
        </row>
        <row r="17330">
          <cell r="D17330" t="str">
            <v>CB5326200-131L002</v>
          </cell>
          <cell r="E17330" t="str">
            <v>8455 4号加强筋</v>
          </cell>
        </row>
        <row r="17331">
          <cell r="D17331" t="str">
            <v>CB5326200-131L002</v>
          </cell>
          <cell r="E17331" t="str">
            <v>8455 4号加强筋</v>
          </cell>
        </row>
        <row r="17332">
          <cell r="D17332" t="str">
            <v>CB5326200-131R002</v>
          </cell>
          <cell r="E17332" t="str">
            <v>8455 4号加强筋</v>
          </cell>
        </row>
        <row r="17333">
          <cell r="D17333" t="str">
            <v>CB5326200-131R002</v>
          </cell>
          <cell r="E17333" t="str">
            <v>8455 4号加强筋</v>
          </cell>
        </row>
        <row r="17334">
          <cell r="D17334" t="str">
            <v>CB5326200-131R002</v>
          </cell>
          <cell r="E17334" t="str">
            <v>8455 4号加强筋</v>
          </cell>
        </row>
        <row r="17335">
          <cell r="D17335" t="str">
            <v>CB5326200-131R002</v>
          </cell>
          <cell r="E17335" t="str">
            <v>8455 4号加强筋</v>
          </cell>
        </row>
        <row r="17336">
          <cell r="D17336" t="str">
            <v>CB5326200-131R002</v>
          </cell>
          <cell r="E17336" t="str">
            <v>8455 4号加强筋</v>
          </cell>
        </row>
        <row r="17337">
          <cell r="D17337" t="str">
            <v>CB5326200-131R002</v>
          </cell>
          <cell r="E17337" t="str">
            <v>8455 4号加强筋</v>
          </cell>
        </row>
        <row r="17338">
          <cell r="D17338" t="str">
            <v>DD-J10-21102-60/-1/1-Y</v>
          </cell>
          <cell r="E17338" t="str">
            <v>11968下口盖</v>
          </cell>
        </row>
        <row r="17339">
          <cell r="D17339" t="str">
            <v>DD-J10B-04041-1</v>
          </cell>
          <cell r="E17339" t="str">
            <v>10060框</v>
          </cell>
        </row>
        <row r="17340">
          <cell r="D17340" t="str">
            <v>DD-J10B-04041-1</v>
          </cell>
          <cell r="E17340" t="str">
            <v>10060框</v>
          </cell>
        </row>
        <row r="17341">
          <cell r="D17341" t="str">
            <v>DD-J10B-04041-1</v>
          </cell>
          <cell r="E17341" t="str">
            <v>10060框</v>
          </cell>
        </row>
        <row r="17342">
          <cell r="D17342" t="str">
            <v>DD-J10B-04041-1</v>
          </cell>
          <cell r="E17342" t="str">
            <v>10060框</v>
          </cell>
        </row>
        <row r="17343">
          <cell r="D17343" t="str">
            <v>BC5332400-006-001</v>
          </cell>
          <cell r="E17343" t="str">
            <v>8455 4号加强筋</v>
          </cell>
        </row>
        <row r="17344">
          <cell r="D17344" t="str">
            <v>BC5337100-107L001</v>
          </cell>
          <cell r="E17344" t="str">
            <v>上边条受剪接头</v>
          </cell>
        </row>
        <row r="17345">
          <cell r="D17345" t="str">
            <v>BC5337100-107R001</v>
          </cell>
          <cell r="E17345" t="str">
            <v>上边条受剪接头</v>
          </cell>
        </row>
        <row r="17346">
          <cell r="D17346" t="str">
            <v>BC5337100-108R001</v>
          </cell>
          <cell r="E17346" t="str">
            <v>下边条受剪接头</v>
          </cell>
        </row>
        <row r="17347">
          <cell r="D17347" t="str">
            <v>BC5337100-108R001</v>
          </cell>
          <cell r="E17347" t="str">
            <v>下边条受剪接头</v>
          </cell>
        </row>
        <row r="17348">
          <cell r="D17348" t="str">
            <v>BC5337100-108R001</v>
          </cell>
          <cell r="E17348" t="str">
            <v>下边条受剪接头</v>
          </cell>
        </row>
        <row r="17349">
          <cell r="D17349" t="str">
            <v>BC5337100-108R001</v>
          </cell>
          <cell r="E17349" t="str">
            <v>下边条受剪接头</v>
          </cell>
        </row>
        <row r="17350">
          <cell r="D17350" t="str">
            <v>BC5337100-108R001</v>
          </cell>
          <cell r="E17350" t="str">
            <v>下边条受剪接头</v>
          </cell>
        </row>
        <row r="17351">
          <cell r="D17351" t="str">
            <v>BC5337100-108R001</v>
          </cell>
          <cell r="E17351" t="str">
            <v>下边条受剪接头</v>
          </cell>
        </row>
        <row r="17352">
          <cell r="D17352" t="str">
            <v>BC5337100-108R001</v>
          </cell>
          <cell r="E17352" t="str">
            <v>下边条受剪接头</v>
          </cell>
        </row>
        <row r="17353">
          <cell r="D17353" t="str">
            <v>BC5337100-108L001</v>
          </cell>
          <cell r="E17353" t="str">
            <v>下边条受剪接头</v>
          </cell>
        </row>
        <row r="17354">
          <cell r="D17354" t="str">
            <v>BC5337100-108L001</v>
          </cell>
          <cell r="E17354" t="str">
            <v>下边条受剪接头</v>
          </cell>
        </row>
        <row r="17355">
          <cell r="D17355" t="str">
            <v>BC5337100-108L001</v>
          </cell>
          <cell r="E17355" t="str">
            <v>下边条受剪接头</v>
          </cell>
        </row>
        <row r="17356">
          <cell r="D17356" t="str">
            <v>BC5337100-108L001</v>
          </cell>
          <cell r="E17356" t="str">
            <v>下边条受剪接头</v>
          </cell>
        </row>
        <row r="17357">
          <cell r="D17357" t="str">
            <v>BC5337100-108L001</v>
          </cell>
          <cell r="E17357" t="str">
            <v>下边条受剪接头</v>
          </cell>
        </row>
        <row r="17358">
          <cell r="D17358" t="str">
            <v>BC5337100-108L001</v>
          </cell>
          <cell r="E17358" t="str">
            <v>下边条受剪接头</v>
          </cell>
        </row>
        <row r="17359">
          <cell r="D17359" t="str">
            <v>BC5337100-108L001</v>
          </cell>
          <cell r="E17359" t="str">
            <v>下边条受剪接头</v>
          </cell>
        </row>
        <row r="17360">
          <cell r="D17360" t="str">
            <v>C571110200-002L001</v>
          </cell>
          <cell r="E17360" t="str">
            <v>角盒</v>
          </cell>
        </row>
        <row r="17361">
          <cell r="D17361" t="str">
            <v>C571110200-002L001</v>
          </cell>
          <cell r="E17361" t="str">
            <v>角盒</v>
          </cell>
        </row>
        <row r="17362">
          <cell r="D17362" t="str">
            <v>C571110200-002L001</v>
          </cell>
          <cell r="E17362" t="str">
            <v>角盒</v>
          </cell>
        </row>
        <row r="17363">
          <cell r="D17363" t="str">
            <v>C571110200-002L001</v>
          </cell>
          <cell r="E17363" t="str">
            <v>角盒</v>
          </cell>
        </row>
        <row r="17364">
          <cell r="D17364" t="str">
            <v>C571110200-003L001</v>
          </cell>
          <cell r="E17364" t="str">
            <v>角盒</v>
          </cell>
        </row>
        <row r="17365">
          <cell r="D17365" t="str">
            <v>C571110200-003L001</v>
          </cell>
          <cell r="E17365" t="str">
            <v>角盒</v>
          </cell>
        </row>
        <row r="17366">
          <cell r="D17366" t="str">
            <v>C571110200-003L001</v>
          </cell>
          <cell r="E17366" t="str">
            <v>角盒</v>
          </cell>
        </row>
        <row r="17367">
          <cell r="D17367" t="str">
            <v>C571110200-003L001</v>
          </cell>
          <cell r="E17367" t="str">
            <v>角盒</v>
          </cell>
        </row>
        <row r="17368">
          <cell r="D17368" t="str">
            <v>C571310300-023L001</v>
          </cell>
          <cell r="E17368" t="str">
            <v>外副作动器整流罩支撑件上段</v>
          </cell>
        </row>
        <row r="17369">
          <cell r="D17369" t="str">
            <v>C571310300-023L001</v>
          </cell>
          <cell r="E17369" t="str">
            <v>外副作动器整流罩支撑件上段</v>
          </cell>
        </row>
        <row r="17370">
          <cell r="D17370" t="str">
            <v>C571310300-023L001</v>
          </cell>
          <cell r="E17370" t="str">
            <v>外副作动器整流罩支撑件上段</v>
          </cell>
        </row>
        <row r="17371">
          <cell r="D17371" t="str">
            <v>C571310300-023L001</v>
          </cell>
          <cell r="E17371" t="str">
            <v>外副作动器整流罩支撑件上段</v>
          </cell>
        </row>
        <row r="17372">
          <cell r="D17372" t="str">
            <v>C532210912-001-001</v>
          </cell>
          <cell r="E17372" t="str">
            <v>卡环</v>
          </cell>
        </row>
        <row r="17373">
          <cell r="D17373" t="str">
            <v>C532210912-001-001</v>
          </cell>
          <cell r="E17373" t="str">
            <v>卡环</v>
          </cell>
        </row>
        <row r="17374">
          <cell r="D17374" t="str">
            <v>C532210912-001-001</v>
          </cell>
          <cell r="E17374" t="str">
            <v>卡环</v>
          </cell>
        </row>
        <row r="17375">
          <cell r="D17375" t="str">
            <v>C532210912-001-001</v>
          </cell>
          <cell r="E17375" t="str">
            <v>卡环</v>
          </cell>
        </row>
        <row r="17376">
          <cell r="D17376" t="str">
            <v>C532210912-001-001</v>
          </cell>
          <cell r="E17376" t="str">
            <v>卡环</v>
          </cell>
        </row>
        <row r="17377">
          <cell r="D17377" t="str">
            <v>C532210912-001-001</v>
          </cell>
          <cell r="E17377" t="str">
            <v>卡环</v>
          </cell>
        </row>
        <row r="17378">
          <cell r="D17378" t="str">
            <v>C532210912-001-001</v>
          </cell>
          <cell r="E17378" t="str">
            <v>卡环</v>
          </cell>
        </row>
        <row r="17379">
          <cell r="D17379" t="str">
            <v>C532210912-001-001</v>
          </cell>
          <cell r="E17379" t="str">
            <v>卡环</v>
          </cell>
        </row>
        <row r="17380">
          <cell r="D17380" t="str">
            <v>C532210912-001-001</v>
          </cell>
          <cell r="E17380" t="str">
            <v>卡环</v>
          </cell>
        </row>
        <row r="17381">
          <cell r="D17381" t="str">
            <v>C532210912-001-001</v>
          </cell>
          <cell r="E17381" t="str">
            <v>卡环</v>
          </cell>
        </row>
        <row r="17382">
          <cell r="D17382" t="str">
            <v>C532210912-001-001</v>
          </cell>
          <cell r="E17382" t="str">
            <v>卡环</v>
          </cell>
        </row>
        <row r="17383">
          <cell r="D17383" t="str">
            <v>C532210912-001-001</v>
          </cell>
          <cell r="E17383" t="str">
            <v>卡环</v>
          </cell>
        </row>
        <row r="17384">
          <cell r="D17384" t="str">
            <v>C532210912-001-001</v>
          </cell>
          <cell r="E17384" t="str">
            <v>卡环</v>
          </cell>
        </row>
        <row r="17385">
          <cell r="D17385" t="str">
            <v>C532210912-001-001</v>
          </cell>
          <cell r="E17385" t="str">
            <v>卡环</v>
          </cell>
        </row>
        <row r="17386">
          <cell r="D17386" t="str">
            <v>CB22836Y6-003-001</v>
          </cell>
          <cell r="E17386" t="str">
            <v>轴</v>
          </cell>
        </row>
        <row r="17387">
          <cell r="D17387" t="str">
            <v>CB2280231-004-001</v>
          </cell>
          <cell r="E17387" t="str">
            <v>轴</v>
          </cell>
        </row>
        <row r="17388">
          <cell r="D17388" t="str">
            <v>CB2280231-004-001</v>
          </cell>
          <cell r="E17388" t="str">
            <v>轴</v>
          </cell>
        </row>
        <row r="17389">
          <cell r="D17389" t="str">
            <v>DD-J10-62021-40-1</v>
          </cell>
          <cell r="E17389" t="str">
            <v>短管</v>
          </cell>
        </row>
        <row r="17390">
          <cell r="D17390" t="str">
            <v>DD-J10-41153-130-2</v>
          </cell>
          <cell r="E17390" t="str">
            <v>管子</v>
          </cell>
        </row>
        <row r="17391">
          <cell r="D17391" t="str">
            <v>DD-J10-64031-1221</v>
          </cell>
          <cell r="E17391" t="str">
            <v>耳片</v>
          </cell>
        </row>
        <row r="17392">
          <cell r="D17392" t="str">
            <v>DD-J10-41035-120-2</v>
          </cell>
          <cell r="E17392" t="str">
            <v>管子</v>
          </cell>
        </row>
        <row r="17393">
          <cell r="D17393" t="str">
            <v>DD-J10-54101-2821</v>
          </cell>
          <cell r="E17393" t="str">
            <v>插销</v>
          </cell>
        </row>
        <row r="17394">
          <cell r="D17394" t="str">
            <v>DD-J10-94021-740-3</v>
          </cell>
          <cell r="E17394" t="str">
            <v>环</v>
          </cell>
        </row>
        <row r="17395">
          <cell r="D17395" t="str">
            <v>DD-J10-94021-740-3</v>
          </cell>
          <cell r="E17395" t="str">
            <v>环</v>
          </cell>
        </row>
        <row r="17396">
          <cell r="D17396" t="str">
            <v>DD-J10-61101-1310-1</v>
          </cell>
          <cell r="E17396" t="str">
            <v>导管</v>
          </cell>
        </row>
        <row r="17397">
          <cell r="D17397" t="str">
            <v>DD-J10-54101-2802</v>
          </cell>
          <cell r="E17397" t="str">
            <v>套筒</v>
          </cell>
        </row>
        <row r="17398">
          <cell r="D17398" t="str">
            <v>XXX-100-00</v>
          </cell>
          <cell r="E17398" t="str">
            <v>XXXXW1XXXX振动夹具组合件</v>
          </cell>
        </row>
        <row r="17399">
          <cell r="D17399" t="str">
            <v>XXX-100-01</v>
          </cell>
          <cell r="E17399" t="str">
            <v>XXXXW1XXX振动夹具</v>
          </cell>
        </row>
        <row r="17400">
          <cell r="D17400" t="str">
            <v>XXX-200-00</v>
          </cell>
          <cell r="E17400" t="str">
            <v>XXXXW2XXX振动夹具组合件</v>
          </cell>
        </row>
        <row r="17401">
          <cell r="D17401" t="str">
            <v>XXX-200-01</v>
          </cell>
          <cell r="E17401" t="str">
            <v>XXXXW2XXX振动夹具</v>
          </cell>
        </row>
        <row r="17402">
          <cell r="D17402" t="str">
            <v>XXX-300-00</v>
          </cell>
          <cell r="E17402" t="str">
            <v>XXXXW3XXX振动夹具组合件</v>
          </cell>
        </row>
        <row r="17403">
          <cell r="D17403" t="str">
            <v>XXX-300-01</v>
          </cell>
          <cell r="E17403" t="str">
            <v>XXXXW3XXX振动夹具</v>
          </cell>
        </row>
        <row r="17404">
          <cell r="D17404" t="str">
            <v>XXX-400-00</v>
          </cell>
          <cell r="E17404" t="str">
            <v>XXXXXXX离心夹具1组合件</v>
          </cell>
        </row>
        <row r="17405">
          <cell r="D17405" t="str">
            <v>XXX-400-01</v>
          </cell>
          <cell r="E17405" t="str">
            <v>XXXXXXX离心夹具1</v>
          </cell>
        </row>
        <row r="17406">
          <cell r="D17406" t="str">
            <v>XXX-500-00</v>
          </cell>
          <cell r="E17406" t="str">
            <v>XXXXXXX离心夹具2组合件</v>
          </cell>
        </row>
        <row r="17407">
          <cell r="D17407" t="str">
            <v>XXX-500-01</v>
          </cell>
          <cell r="E17407" t="str">
            <v>XXXXXXX离心夹具2</v>
          </cell>
        </row>
        <row r="17408">
          <cell r="D17408" t="str">
            <v>XXX-600-00</v>
          </cell>
          <cell r="E17408" t="str">
            <v>XXXXXXX离心夹具3组合件</v>
          </cell>
        </row>
        <row r="17409">
          <cell r="D17409" t="str">
            <v>XXX-600-01</v>
          </cell>
          <cell r="E17409" t="str">
            <v>XXXXXXX离心夹具3</v>
          </cell>
        </row>
        <row r="17410">
          <cell r="D17410" t="str">
            <v>DD-J10B-63001-651</v>
          </cell>
          <cell r="E17410" t="str">
            <v>法兰盘</v>
          </cell>
        </row>
        <row r="17411">
          <cell r="D17411" t="str">
            <v>DD-J10B-21302-40G2-1-Y</v>
          </cell>
          <cell r="E17411" t="str">
            <v>后梁四段</v>
          </cell>
        </row>
        <row r="17412">
          <cell r="D17412" t="str">
            <v>DD-J10-55014-2143</v>
          </cell>
          <cell r="E17412" t="str">
            <v>三通管接头</v>
          </cell>
        </row>
        <row r="17413">
          <cell r="D17413" t="str">
            <v>DD-J10B-94076-501-Z</v>
          </cell>
          <cell r="E17413" t="str">
            <v>拉杆支座</v>
          </cell>
        </row>
        <row r="17414">
          <cell r="D17414" t="str">
            <v>DD-J10B-94076-501-Y</v>
          </cell>
          <cell r="E17414" t="str">
            <v>拉杆支座</v>
          </cell>
        </row>
        <row r="17415">
          <cell r="D17415" t="str">
            <v>DD-J10B-94011-701</v>
          </cell>
          <cell r="E17415" t="str">
            <v>支臂</v>
          </cell>
        </row>
        <row r="17416">
          <cell r="D17416" t="str">
            <v>DD-J10-06031-404</v>
          </cell>
          <cell r="E17416" t="str">
            <v>支座</v>
          </cell>
        </row>
        <row r="17417">
          <cell r="D17417" t="str">
            <v>DD-J10-06031-404</v>
          </cell>
          <cell r="E17417" t="str">
            <v>支座</v>
          </cell>
        </row>
        <row r="17418">
          <cell r="D17418" t="str">
            <v>CB5315190-002R001</v>
          </cell>
          <cell r="E17418" t="str">
            <v>WL-600地板梁</v>
          </cell>
        </row>
        <row r="17419">
          <cell r="D17419" t="str">
            <v>CB5315190-002R001</v>
          </cell>
          <cell r="E17419" t="str">
            <v>WL-600地板梁</v>
          </cell>
        </row>
        <row r="17420">
          <cell r="D17420" t="str">
            <v>CB5315190-002R001</v>
          </cell>
          <cell r="E17420" t="str">
            <v>WL-600地板梁</v>
          </cell>
        </row>
        <row r="17421">
          <cell r="D17421" t="str">
            <v>CB5315190-002R001</v>
          </cell>
          <cell r="E17421" t="str">
            <v>WL-600地板梁</v>
          </cell>
        </row>
        <row r="17422">
          <cell r="D17422" t="str">
            <v>Y20-5317001074-501</v>
          </cell>
          <cell r="E17422" t="str">
            <v>1#竖梁</v>
          </cell>
        </row>
        <row r="17423">
          <cell r="D17423" t="str">
            <v>Y20-5317001074-501</v>
          </cell>
          <cell r="E17423" t="str">
            <v>1#竖梁</v>
          </cell>
        </row>
        <row r="17424">
          <cell r="D17424" t="str">
            <v>Y20-5317001074-502</v>
          </cell>
          <cell r="E17424" t="str">
            <v>1#竖梁</v>
          </cell>
        </row>
        <row r="17425">
          <cell r="D17425" t="str">
            <v>Y20-5317001074-502</v>
          </cell>
          <cell r="E17425" t="str">
            <v>1#竖梁</v>
          </cell>
        </row>
        <row r="17426">
          <cell r="D17426" t="str">
            <v>Y20-5316100416-501</v>
          </cell>
          <cell r="E17426" t="str">
            <v>地板纵向件</v>
          </cell>
        </row>
        <row r="17427">
          <cell r="D17427" t="str">
            <v>Y20-5316100416-502</v>
          </cell>
          <cell r="E17427" t="str">
            <v>地板纵向件</v>
          </cell>
        </row>
        <row r="17428">
          <cell r="D17428" t="str">
            <v>DD-J10-64016-210-1</v>
          </cell>
          <cell r="E17428" t="str">
            <v>管子</v>
          </cell>
        </row>
        <row r="17429">
          <cell r="D17429" t="str">
            <v>DD-J10B-61201-12</v>
          </cell>
          <cell r="E17429" t="str">
            <v>接头</v>
          </cell>
        </row>
        <row r="17430">
          <cell r="D17430" t="str">
            <v>CB5752000-023L003</v>
          </cell>
          <cell r="E17430" t="str">
            <v>角片</v>
          </cell>
        </row>
        <row r="17431">
          <cell r="D17431" t="str">
            <v>CB5752000-023L003</v>
          </cell>
          <cell r="E17431" t="str">
            <v>角片</v>
          </cell>
        </row>
        <row r="17432">
          <cell r="D17432" t="str">
            <v>CB5752000-023L003</v>
          </cell>
          <cell r="E17432" t="str">
            <v>角片</v>
          </cell>
        </row>
        <row r="17433">
          <cell r="D17433" t="str">
            <v>CB5752000-023L003</v>
          </cell>
          <cell r="E17433" t="str">
            <v>角片</v>
          </cell>
        </row>
        <row r="17434">
          <cell r="D17434" t="str">
            <v>CB5752000-023L003</v>
          </cell>
          <cell r="E17434" t="str">
            <v>角片</v>
          </cell>
        </row>
        <row r="17435">
          <cell r="D17435" t="str">
            <v>CB5752000-023L003</v>
          </cell>
          <cell r="E17435" t="str">
            <v>角片</v>
          </cell>
        </row>
        <row r="17436">
          <cell r="D17436" t="str">
            <v>CB5752000-023L003</v>
          </cell>
          <cell r="E17436" t="str">
            <v>角片</v>
          </cell>
        </row>
        <row r="17437">
          <cell r="D17437" t="str">
            <v>CB5752000-023L003</v>
          </cell>
          <cell r="E17437" t="str">
            <v>角片</v>
          </cell>
        </row>
        <row r="17438">
          <cell r="D17438" t="str">
            <v>CB5752000-023L003</v>
          </cell>
          <cell r="E17438" t="str">
            <v>角片</v>
          </cell>
        </row>
        <row r="17439">
          <cell r="D17439" t="str">
            <v>CB5752000-023L003</v>
          </cell>
          <cell r="E17439" t="str">
            <v>角片</v>
          </cell>
        </row>
        <row r="17440">
          <cell r="D17440" t="str">
            <v>CB5752000-023L003</v>
          </cell>
          <cell r="E17440" t="str">
            <v>角片</v>
          </cell>
        </row>
        <row r="17441">
          <cell r="D17441" t="str">
            <v>CB5752000-023L003</v>
          </cell>
          <cell r="E17441" t="str">
            <v>角片</v>
          </cell>
        </row>
        <row r="17442">
          <cell r="D17442" t="str">
            <v>CB5752000-023L003</v>
          </cell>
          <cell r="E17442" t="str">
            <v>角片</v>
          </cell>
        </row>
        <row r="17443">
          <cell r="D17443" t="str">
            <v>CB5752000-023L003</v>
          </cell>
          <cell r="E17443" t="str">
            <v>角片</v>
          </cell>
        </row>
        <row r="17444">
          <cell r="D17444" t="str">
            <v>CB5752000-022R002</v>
          </cell>
          <cell r="E17444" t="str">
            <v>角片</v>
          </cell>
        </row>
        <row r="17445">
          <cell r="D17445" t="str">
            <v>CB5752000-022R002</v>
          </cell>
          <cell r="E17445" t="str">
            <v>角片</v>
          </cell>
        </row>
        <row r="17446">
          <cell r="D17446" t="str">
            <v>CB5752000-022R002</v>
          </cell>
          <cell r="E17446" t="str">
            <v>角片</v>
          </cell>
        </row>
        <row r="17447">
          <cell r="D17447" t="str">
            <v>CB5752000-022R002</v>
          </cell>
          <cell r="E17447" t="str">
            <v>角片</v>
          </cell>
        </row>
        <row r="17448">
          <cell r="D17448" t="str">
            <v>CB5752000-022R002</v>
          </cell>
          <cell r="E17448" t="str">
            <v>角片</v>
          </cell>
        </row>
        <row r="17449">
          <cell r="D17449" t="str">
            <v>CB5752000-022R002</v>
          </cell>
          <cell r="E17449" t="str">
            <v>角片</v>
          </cell>
        </row>
        <row r="17450">
          <cell r="D17450" t="str">
            <v>CB5752000-022R002</v>
          </cell>
          <cell r="E17450" t="str">
            <v>角片</v>
          </cell>
        </row>
        <row r="17451">
          <cell r="D17451" t="str">
            <v>CB5752000-022R002</v>
          </cell>
          <cell r="E17451" t="str">
            <v>角片</v>
          </cell>
        </row>
        <row r="17452">
          <cell r="D17452" t="str">
            <v>CB5752000-022R002</v>
          </cell>
          <cell r="E17452" t="str">
            <v>角片</v>
          </cell>
        </row>
        <row r="17453">
          <cell r="D17453" t="str">
            <v>CB5752000-022R002</v>
          </cell>
          <cell r="E17453" t="str">
            <v>角片</v>
          </cell>
        </row>
        <row r="17454">
          <cell r="D17454" t="str">
            <v>CB5752000-022R002</v>
          </cell>
          <cell r="E17454" t="str">
            <v>角片</v>
          </cell>
        </row>
        <row r="17455">
          <cell r="D17455" t="str">
            <v>CB5752000-022R002</v>
          </cell>
          <cell r="E17455" t="str">
            <v>角片</v>
          </cell>
        </row>
        <row r="17456">
          <cell r="D17456" t="str">
            <v>CB5752000-022R002</v>
          </cell>
          <cell r="E17456" t="str">
            <v>角片</v>
          </cell>
        </row>
        <row r="17457">
          <cell r="D17457" t="str">
            <v>CB5752000-022R002</v>
          </cell>
          <cell r="E17457" t="str">
            <v>角片</v>
          </cell>
        </row>
        <row r="17458">
          <cell r="D17458" t="str">
            <v>CB5752000-022L003</v>
          </cell>
          <cell r="E17458" t="str">
            <v>角片</v>
          </cell>
        </row>
        <row r="17459">
          <cell r="D17459" t="str">
            <v>CB5752000-022L003</v>
          </cell>
          <cell r="E17459" t="str">
            <v>角片</v>
          </cell>
        </row>
        <row r="17460">
          <cell r="D17460" t="str">
            <v>CB5752000-022L003</v>
          </cell>
          <cell r="E17460" t="str">
            <v>角片</v>
          </cell>
        </row>
        <row r="17461">
          <cell r="D17461" t="str">
            <v>CB5752000-022L003</v>
          </cell>
          <cell r="E17461" t="str">
            <v>角片</v>
          </cell>
        </row>
        <row r="17462">
          <cell r="D17462" t="str">
            <v>CB5752000-022L003</v>
          </cell>
          <cell r="E17462" t="str">
            <v>角片</v>
          </cell>
        </row>
        <row r="17463">
          <cell r="D17463" t="str">
            <v>CB5752000-022L003</v>
          </cell>
          <cell r="E17463" t="str">
            <v>角片</v>
          </cell>
        </row>
        <row r="17464">
          <cell r="D17464" t="str">
            <v>CB5752000-022L003</v>
          </cell>
          <cell r="E17464" t="str">
            <v>角片</v>
          </cell>
        </row>
        <row r="17465">
          <cell r="D17465" t="str">
            <v>CB5752000-022L003</v>
          </cell>
          <cell r="E17465" t="str">
            <v>角片</v>
          </cell>
        </row>
        <row r="17466">
          <cell r="D17466" t="str">
            <v>CB5752000-022L003</v>
          </cell>
          <cell r="E17466" t="str">
            <v>角片</v>
          </cell>
        </row>
        <row r="17467">
          <cell r="D17467" t="str">
            <v>CB5752000-022L003</v>
          </cell>
          <cell r="E17467" t="str">
            <v>角片</v>
          </cell>
        </row>
        <row r="17468">
          <cell r="D17468" t="str">
            <v>CB5752000-022L003</v>
          </cell>
          <cell r="E17468" t="str">
            <v>角片</v>
          </cell>
        </row>
        <row r="17469">
          <cell r="D17469" t="str">
            <v>CB5752000-022L003</v>
          </cell>
          <cell r="E17469" t="str">
            <v>角片</v>
          </cell>
        </row>
        <row r="17470">
          <cell r="D17470" t="str">
            <v>CB5752000-022L003</v>
          </cell>
          <cell r="E17470" t="str">
            <v>角片</v>
          </cell>
        </row>
        <row r="17471">
          <cell r="D17471" t="str">
            <v>CB5752000-022L003</v>
          </cell>
          <cell r="E17471" t="str">
            <v>角片</v>
          </cell>
        </row>
        <row r="17472">
          <cell r="D17472" t="str">
            <v>CB5752000-023R002</v>
          </cell>
          <cell r="E17472" t="str">
            <v>角片</v>
          </cell>
        </row>
        <row r="17473">
          <cell r="D17473" t="str">
            <v>CB5752000-023R002</v>
          </cell>
          <cell r="E17473" t="str">
            <v>角片</v>
          </cell>
        </row>
        <row r="17474">
          <cell r="D17474" t="str">
            <v>CB5752000-023R002</v>
          </cell>
          <cell r="E17474" t="str">
            <v>角片</v>
          </cell>
        </row>
        <row r="17475">
          <cell r="D17475" t="str">
            <v>CB5752000-023R002</v>
          </cell>
          <cell r="E17475" t="str">
            <v>角片</v>
          </cell>
        </row>
        <row r="17476">
          <cell r="D17476" t="str">
            <v>CB5752000-023R002</v>
          </cell>
          <cell r="E17476" t="str">
            <v>角片</v>
          </cell>
        </row>
        <row r="17477">
          <cell r="D17477" t="str">
            <v>CB5752000-023R002</v>
          </cell>
          <cell r="E17477" t="str">
            <v>角片</v>
          </cell>
        </row>
        <row r="17478">
          <cell r="D17478" t="str">
            <v>CB5752000-023R002</v>
          </cell>
          <cell r="E17478" t="str">
            <v>角片</v>
          </cell>
        </row>
        <row r="17479">
          <cell r="D17479" t="str">
            <v>CB5752000-023R002</v>
          </cell>
          <cell r="E17479" t="str">
            <v>角片</v>
          </cell>
        </row>
        <row r="17480">
          <cell r="D17480" t="str">
            <v>CB5752000-023R002</v>
          </cell>
          <cell r="E17480" t="str">
            <v>角片</v>
          </cell>
        </row>
        <row r="17481">
          <cell r="D17481" t="str">
            <v>CB5752000-023R002</v>
          </cell>
          <cell r="E17481" t="str">
            <v>角片</v>
          </cell>
        </row>
        <row r="17482">
          <cell r="D17482" t="str">
            <v>CB5752000-023R002</v>
          </cell>
          <cell r="E17482" t="str">
            <v>角片</v>
          </cell>
        </row>
        <row r="17483">
          <cell r="D17483" t="str">
            <v>CB5752000-023R002</v>
          </cell>
          <cell r="E17483" t="str">
            <v>角片</v>
          </cell>
        </row>
        <row r="17484">
          <cell r="D17484" t="str">
            <v>CB5752000-023R002</v>
          </cell>
          <cell r="E17484" t="str">
            <v>角片</v>
          </cell>
        </row>
        <row r="17485">
          <cell r="D17485" t="str">
            <v>CB5752000-023R002</v>
          </cell>
          <cell r="E17485" t="str">
            <v>角片</v>
          </cell>
        </row>
        <row r="17486">
          <cell r="D17486" t="str">
            <v>DD-J10-91001-1</v>
          </cell>
          <cell r="E17486" t="str">
            <v>支座</v>
          </cell>
        </row>
        <row r="17487">
          <cell r="D17487" t="str">
            <v>DD-J10-91001-1</v>
          </cell>
          <cell r="E17487" t="str">
            <v>支座</v>
          </cell>
        </row>
        <row r="17488">
          <cell r="D17488" t="str">
            <v>DD-J10-63001-511</v>
          </cell>
          <cell r="E17488" t="str">
            <v>阳密封式法兰盘</v>
          </cell>
        </row>
        <row r="17489">
          <cell r="D17489" t="str">
            <v>CB221T1LA-001-001</v>
          </cell>
          <cell r="E17489" t="str">
            <v>管接头</v>
          </cell>
        </row>
        <row r="17490">
          <cell r="D17490" t="str">
            <v>CB221T1LA-001-001</v>
          </cell>
          <cell r="E17490" t="str">
            <v>管接头</v>
          </cell>
        </row>
        <row r="17491">
          <cell r="D17491" t="str">
            <v>CB221T1LA-001-001</v>
          </cell>
          <cell r="E17491" t="str">
            <v>管接头</v>
          </cell>
        </row>
        <row r="17492">
          <cell r="D17492" t="str">
            <v>BC221T1AC-003-001</v>
          </cell>
          <cell r="E17492" t="str">
            <v>传感器座</v>
          </cell>
        </row>
        <row r="17493">
          <cell r="D17493" t="str">
            <v>BC221T1YC-001-001</v>
          </cell>
          <cell r="E17493" t="str">
            <v>喇叭口</v>
          </cell>
        </row>
        <row r="17494">
          <cell r="D17494" t="str">
            <v>BC22971A1-005-001</v>
          </cell>
          <cell r="E17494" t="str">
            <v>缓冲头</v>
          </cell>
        </row>
        <row r="17495">
          <cell r="D17495" t="str">
            <v>BC221T1CA-001-001</v>
          </cell>
          <cell r="E17495" t="str">
            <v>接管嘴</v>
          </cell>
        </row>
        <row r="17496">
          <cell r="D17496" t="str">
            <v>BC2298150-005-001</v>
          </cell>
          <cell r="E17496" t="str">
            <v>摇臂</v>
          </cell>
        </row>
        <row r="17497">
          <cell r="D17497" t="str">
            <v>DD-J10-61052-4</v>
          </cell>
          <cell r="E17497" t="str">
            <v>接管嘴</v>
          </cell>
        </row>
        <row r="17498">
          <cell r="D17498" t="str">
            <v>DD-J10-61052-4</v>
          </cell>
          <cell r="E17498" t="str">
            <v>接管嘴</v>
          </cell>
        </row>
        <row r="17499">
          <cell r="D17499" t="str">
            <v>DD-J10-06031-404</v>
          </cell>
          <cell r="E17499" t="str">
            <v>支座</v>
          </cell>
        </row>
        <row r="17500">
          <cell r="D17500" t="str">
            <v>DD-J10B-65000-1901G2</v>
          </cell>
          <cell r="E17500" t="str">
            <v>固定板</v>
          </cell>
        </row>
        <row r="17501">
          <cell r="D17501" t="str">
            <v>DD-J10-42074-90-1-Z</v>
          </cell>
          <cell r="E17501" t="str">
            <v>支座</v>
          </cell>
        </row>
        <row r="17502">
          <cell r="D17502" t="str">
            <v>DD-J10-42074-90-1-Y</v>
          </cell>
          <cell r="E17502" t="str">
            <v>支座</v>
          </cell>
        </row>
        <row r="17503">
          <cell r="D17503" t="str">
            <v>DD-J10-42074-90-1-Y</v>
          </cell>
          <cell r="E17503" t="str">
            <v>支座</v>
          </cell>
        </row>
        <row r="17504">
          <cell r="D17504" t="str">
            <v>CB271221B-003-001</v>
          </cell>
          <cell r="E17504" t="str">
            <v>管子</v>
          </cell>
        </row>
        <row r="17505">
          <cell r="D17505" t="str">
            <v>DD-J10B-94061-1021</v>
          </cell>
          <cell r="E17505" t="str">
            <v>导管接头</v>
          </cell>
        </row>
        <row r="17506">
          <cell r="D17506" t="str">
            <v>DD-J10B-94061-1031</v>
          </cell>
          <cell r="E17506" t="str">
            <v>接头</v>
          </cell>
        </row>
        <row r="17507">
          <cell r="D17507" t="str">
            <v>DD-J10B-94061-1032</v>
          </cell>
          <cell r="E17507" t="str">
            <v>接头</v>
          </cell>
        </row>
        <row r="17508">
          <cell r="D17508" t="str">
            <v>DD-J10-55023-632</v>
          </cell>
          <cell r="E17508" t="str">
            <v>小衬套</v>
          </cell>
        </row>
        <row r="17509">
          <cell r="D17509" t="str">
            <v>DD-J10B-86031-510-3</v>
          </cell>
          <cell r="E17509" t="str">
            <v>套管</v>
          </cell>
        </row>
        <row r="17510">
          <cell r="D17510" t="str">
            <v>DD-J10-55051-6110-3</v>
          </cell>
          <cell r="E17510" t="str">
            <v>衬套</v>
          </cell>
        </row>
        <row r="17511">
          <cell r="D17511" t="str">
            <v>DD-J10-55055-2620-3</v>
          </cell>
          <cell r="E17511" t="str">
            <v>衬套</v>
          </cell>
        </row>
        <row r="17512">
          <cell r="D17512" t="str">
            <v>DD-J10-54111-1200-1</v>
          </cell>
          <cell r="E17512" t="str">
            <v>衬套</v>
          </cell>
        </row>
        <row r="17513">
          <cell r="D17513" t="str">
            <v>DD-J10B-94061-1061/2</v>
          </cell>
          <cell r="E17513" t="str">
            <v>法兰盘</v>
          </cell>
        </row>
        <row r="17514">
          <cell r="D17514" t="str">
            <v>DD-J10-86011-3210-1</v>
          </cell>
          <cell r="E17514" t="str">
            <v>左转接管</v>
          </cell>
        </row>
        <row r="17515">
          <cell r="D17515" t="str">
            <v>DD-J10-55025-704</v>
          </cell>
          <cell r="E17515" t="str">
            <v>套筒</v>
          </cell>
        </row>
        <row r="17516">
          <cell r="D17516" t="str">
            <v>DD-J10-54101-2822</v>
          </cell>
          <cell r="E17516" t="str">
            <v>钢套</v>
          </cell>
        </row>
        <row r="17517">
          <cell r="D17517" t="str">
            <v>GU5715020-008R001</v>
          </cell>
          <cell r="E17517" t="str">
            <v>前缘19肋</v>
          </cell>
        </row>
        <row r="17518">
          <cell r="D17518" t="str">
            <v>BC552B300-002-001</v>
          </cell>
          <cell r="E17518" t="str">
            <v>前肋</v>
          </cell>
        </row>
        <row r="17519">
          <cell r="D17519" t="str">
            <v>BC552B300-004-001</v>
          </cell>
          <cell r="E17519" t="str">
            <v>后肋</v>
          </cell>
        </row>
        <row r="17520">
          <cell r="D17520" t="str">
            <v>CB5314107-001-003</v>
          </cell>
          <cell r="E17520" t="str">
            <v>5550上框（粗加工）</v>
          </cell>
        </row>
        <row r="17521">
          <cell r="D17521" t="str">
            <v>CB5314107-001-003</v>
          </cell>
          <cell r="E17521" t="str">
            <v>5550上框（粗加工）</v>
          </cell>
        </row>
        <row r="17522">
          <cell r="D17522" t="str">
            <v>CB5314107-001-003</v>
          </cell>
          <cell r="E17522" t="str">
            <v>5550上框（粗加工）</v>
          </cell>
        </row>
        <row r="17523">
          <cell r="D17523" t="str">
            <v>CB5314107-001-003</v>
          </cell>
          <cell r="E17523" t="str">
            <v>5550上框（粗加工）</v>
          </cell>
        </row>
        <row r="17524">
          <cell r="D17524" t="str">
            <v>CB5314107-001-003</v>
          </cell>
          <cell r="E17524" t="str">
            <v>5550上框（粗加工）</v>
          </cell>
        </row>
        <row r="17525">
          <cell r="D17525" t="str">
            <v>DD-J10B-94061-1031</v>
          </cell>
          <cell r="E17525" t="str">
            <v>接头</v>
          </cell>
        </row>
        <row r="17526">
          <cell r="D17526" t="str">
            <v>DD-J10B-94061-1032</v>
          </cell>
          <cell r="E17526" t="str">
            <v>接头</v>
          </cell>
        </row>
        <row r="17527">
          <cell r="D17527" t="str">
            <v>DD-J10B-94076-2031/3</v>
          </cell>
          <cell r="E17527" t="str">
            <v>接管嘴</v>
          </cell>
        </row>
        <row r="17528">
          <cell r="D17528" t="str">
            <v>CB22109MD-001-003</v>
          </cell>
          <cell r="E17528" t="str">
            <v>四通管接头</v>
          </cell>
        </row>
        <row r="17529">
          <cell r="D17529" t="str">
            <v>CB22109MD-001-003</v>
          </cell>
          <cell r="E17529" t="str">
            <v>四通管接头</v>
          </cell>
        </row>
        <row r="17530">
          <cell r="D17530" t="str">
            <v>CB2284751-003-001</v>
          </cell>
          <cell r="E17530" t="str">
            <v>法兰盘</v>
          </cell>
        </row>
        <row r="17531">
          <cell r="D17531" t="str">
            <v>DD-J10B-94091-26G2</v>
          </cell>
          <cell r="E17531" t="str">
            <v>20-20-16-4四通接头</v>
          </cell>
        </row>
        <row r="17532">
          <cell r="D17532" t="str">
            <v>DD-J10B-94091-26G2</v>
          </cell>
          <cell r="E17532" t="str">
            <v>20-20-16-4四通接头</v>
          </cell>
        </row>
        <row r="17533">
          <cell r="D17533" t="str">
            <v>DD-J10B-94091-26G2</v>
          </cell>
          <cell r="E17533" t="str">
            <v>20-20-16-4四通接头</v>
          </cell>
        </row>
        <row r="17534">
          <cell r="D17534" t="str">
            <v>BC5746000-003-002</v>
          </cell>
          <cell r="E17534" t="str">
            <v>螺栓</v>
          </cell>
        </row>
        <row r="17535">
          <cell r="D17535" t="str">
            <v>DD-J10B-21302-40G2-1-Y</v>
          </cell>
          <cell r="E17535" t="str">
            <v>后梁四段</v>
          </cell>
        </row>
        <row r="17536">
          <cell r="D17536" t="str">
            <v>DD-J10-41153-140</v>
          </cell>
          <cell r="E17536" t="str">
            <v>开锁摇臂</v>
          </cell>
        </row>
        <row r="17537">
          <cell r="D17537" t="str">
            <v>5613A380015G010</v>
          </cell>
          <cell r="E17537" t="str">
            <v>锁键</v>
          </cell>
        </row>
        <row r="17538">
          <cell r="D17538" t="str">
            <v>521A4300-002-001</v>
          </cell>
          <cell r="E17538" t="str">
            <v>轴</v>
          </cell>
        </row>
        <row r="17539">
          <cell r="D17539" t="str">
            <v>5215A000007G010</v>
          </cell>
          <cell r="E17539" t="str">
            <v>门下轴-铰链</v>
          </cell>
        </row>
        <row r="17540">
          <cell r="D17540" t="str">
            <v>CB5350500-016L006</v>
          </cell>
          <cell r="E17540" t="str">
            <v>7号护板维型肋左件</v>
          </cell>
        </row>
        <row r="17541">
          <cell r="D17541" t="str">
            <v>CB5314107-005-001</v>
          </cell>
          <cell r="E17541" t="str">
            <v>油箱口盖</v>
          </cell>
        </row>
        <row r="17542">
          <cell r="D17542" t="str">
            <v>Y20-5316100500-501</v>
          </cell>
          <cell r="E17542" t="str">
            <v>地板接头</v>
          </cell>
        </row>
        <row r="17543">
          <cell r="D17543" t="str">
            <v>Y20-5316100314-501</v>
          </cell>
          <cell r="E17543" t="str">
            <v>纵向件</v>
          </cell>
        </row>
        <row r="17544">
          <cell r="D17544" t="str">
            <v>Y20-5316100314-502</v>
          </cell>
          <cell r="E17544" t="str">
            <v>纵向件</v>
          </cell>
        </row>
        <row r="17545">
          <cell r="D17545" t="str">
            <v>Y20-5315200122-501</v>
          </cell>
          <cell r="E17545" t="str">
            <v>6号加强长桁12﹠13框段</v>
          </cell>
        </row>
        <row r="17546">
          <cell r="D17546" t="str">
            <v>Y20-5315200122-502</v>
          </cell>
          <cell r="E17546" t="str">
            <v>6号加强长桁12﹠13框段</v>
          </cell>
        </row>
        <row r="17547">
          <cell r="D17547" t="str">
            <v>Y20-5316200018-501</v>
          </cell>
          <cell r="E17547" t="str">
            <v>横梁</v>
          </cell>
        </row>
        <row r="17548">
          <cell r="D17548" t="str">
            <v>Y20-5316200033-501</v>
          </cell>
          <cell r="E17548" t="str">
            <v>横梁</v>
          </cell>
        </row>
        <row r="17549">
          <cell r="D17549" t="str">
            <v>Y20-5316200033-502</v>
          </cell>
          <cell r="E17549" t="str">
            <v>横梁</v>
          </cell>
        </row>
        <row r="17550">
          <cell r="D17550" t="str">
            <v>531A9110-001-001</v>
          </cell>
          <cell r="E17550" t="str">
            <v>前起落架舱门结构支撑梁</v>
          </cell>
        </row>
        <row r="17551">
          <cell r="D17551" t="str">
            <v>531A9110-001-001</v>
          </cell>
          <cell r="E17551" t="str">
            <v>前起落架舱门结构支撑梁</v>
          </cell>
        </row>
        <row r="17552">
          <cell r="D17552" t="str">
            <v>531A9110-001-001</v>
          </cell>
          <cell r="E17552" t="str">
            <v>前起落架舱门结构支撑梁</v>
          </cell>
        </row>
        <row r="17553">
          <cell r="D17553" t="str">
            <v>DD-J10B-02081-404</v>
          </cell>
          <cell r="E17553" t="str">
            <v>支座</v>
          </cell>
        </row>
        <row r="17554">
          <cell r="D17554" t="str">
            <v>XXX-3300000-01</v>
          </cell>
          <cell r="E17554" t="str">
            <v>腔体</v>
          </cell>
        </row>
        <row r="17555">
          <cell r="D17555" t="str">
            <v>XXX-3300000-02</v>
          </cell>
          <cell r="E17555" t="str">
            <v>插座挡板I</v>
          </cell>
        </row>
        <row r="17556">
          <cell r="D17556" t="str">
            <v>XXX-3300000-03</v>
          </cell>
          <cell r="E17556" t="str">
            <v>插座挡板II</v>
          </cell>
        </row>
        <row r="17557">
          <cell r="D17557" t="str">
            <v>XXX-3310000-01</v>
          </cell>
          <cell r="E17557" t="str">
            <v>卡接连接件I</v>
          </cell>
        </row>
        <row r="17558">
          <cell r="D17558" t="str">
            <v>XXX-3320000-01</v>
          </cell>
          <cell r="E17558" t="str">
            <v>卡接连接件II</v>
          </cell>
        </row>
        <row r="17559">
          <cell r="D17559" t="str">
            <v>XXX-3330000-01</v>
          </cell>
          <cell r="E17559" t="str">
            <v>卡接连接件III</v>
          </cell>
        </row>
        <row r="17560">
          <cell r="D17560" t="str">
            <v>XXX-3340000-01</v>
          </cell>
          <cell r="E17560" t="str">
            <v>盖板</v>
          </cell>
        </row>
        <row r="17561">
          <cell r="D17561" t="str">
            <v>CB5350500-010L006</v>
          </cell>
          <cell r="E17561" t="str">
            <v>1号护板维型肋左件</v>
          </cell>
        </row>
        <row r="17562">
          <cell r="D17562" t="str">
            <v>CB5350500-010R006</v>
          </cell>
          <cell r="E17562" t="str">
            <v>1号护板维型肋右件</v>
          </cell>
        </row>
        <row r="17563">
          <cell r="D17563" t="str">
            <v>CB5350500-016R006</v>
          </cell>
          <cell r="E17563" t="str">
            <v>7号护板维型肋右件</v>
          </cell>
        </row>
        <row r="17564">
          <cell r="D17564" t="str">
            <v>CB5315130-002L001</v>
          </cell>
          <cell r="E17564" t="str">
            <v>6940框内段</v>
          </cell>
        </row>
        <row r="17565">
          <cell r="D17565" t="str">
            <v>CB5315130-002L001</v>
          </cell>
          <cell r="E17565" t="str">
            <v>6940框内段</v>
          </cell>
        </row>
        <row r="17566">
          <cell r="D17566" t="str">
            <v>CB5315130-002L001</v>
          </cell>
          <cell r="E17566" t="str">
            <v>6940框内段</v>
          </cell>
        </row>
        <row r="17567">
          <cell r="D17567" t="str">
            <v>CB5315130-002L001</v>
          </cell>
          <cell r="E17567" t="str">
            <v>6940框内段</v>
          </cell>
        </row>
        <row r="17568">
          <cell r="D17568" t="str">
            <v>CB5315130-002L001</v>
          </cell>
          <cell r="E17568" t="str">
            <v>6940框内段</v>
          </cell>
        </row>
        <row r="17569">
          <cell r="D17569" t="str">
            <v>CB5315130-002R001</v>
          </cell>
          <cell r="E17569" t="str">
            <v>6940框内段</v>
          </cell>
        </row>
        <row r="17570">
          <cell r="D17570" t="str">
            <v>CB5315130-002R001</v>
          </cell>
          <cell r="E17570" t="str">
            <v>6940框内段</v>
          </cell>
        </row>
        <row r="17571">
          <cell r="D17571" t="str">
            <v>CB5315130-002R001</v>
          </cell>
          <cell r="E17571" t="str">
            <v>6940框内段</v>
          </cell>
        </row>
        <row r="17572">
          <cell r="D17572" t="str">
            <v>CB5315130-002R001</v>
          </cell>
          <cell r="E17572" t="str">
            <v>6940框内段</v>
          </cell>
        </row>
        <row r="17573">
          <cell r="D17573" t="str">
            <v>CB5315130-002R001</v>
          </cell>
          <cell r="E17573" t="str">
            <v>6940框内段</v>
          </cell>
        </row>
        <row r="17574">
          <cell r="D17574" t="str">
            <v>CB5324500-003R002</v>
          </cell>
          <cell r="E17574" t="str">
            <v>前端框</v>
          </cell>
        </row>
        <row r="17575">
          <cell r="D17575" t="str">
            <v>DD-J10-55015-6201</v>
          </cell>
          <cell r="E17575" t="str">
            <v>接管嘴</v>
          </cell>
        </row>
        <row r="17576">
          <cell r="D17576" t="str">
            <v>DD-J10-55015-6201</v>
          </cell>
          <cell r="E17576" t="str">
            <v>接管嘴</v>
          </cell>
        </row>
        <row r="17577">
          <cell r="D17577" t="str">
            <v>DD-J10-55015-6201</v>
          </cell>
          <cell r="E17577" t="str">
            <v>接管嘴</v>
          </cell>
        </row>
        <row r="17578">
          <cell r="D17578" t="str">
            <v>DD-J10-55015-6201</v>
          </cell>
          <cell r="E17578" t="str">
            <v>接管嘴</v>
          </cell>
        </row>
        <row r="17579">
          <cell r="D17579" t="str">
            <v>DD-J10B-65000-1901G2</v>
          </cell>
          <cell r="E17579" t="str">
            <v>固定板</v>
          </cell>
        </row>
        <row r="17580">
          <cell r="D17580" t="str">
            <v>529A4310-004-001</v>
          </cell>
          <cell r="E17580" t="str">
            <v>垫圈</v>
          </cell>
        </row>
        <row r="17581">
          <cell r="D17581" t="str">
            <v>CB5714100-002R003</v>
          </cell>
          <cell r="E17581" t="str">
            <v>根肋二段</v>
          </cell>
        </row>
        <row r="17582">
          <cell r="D17582" t="str">
            <v>C552103000-026R001</v>
          </cell>
          <cell r="E17582" t="str">
            <v>前缘短肋</v>
          </cell>
        </row>
        <row r="17583">
          <cell r="D17583" t="str">
            <v>DD-J10-21102-60/-1/2-Y</v>
          </cell>
          <cell r="E17583" t="str">
            <v>11968下口盖</v>
          </cell>
        </row>
        <row r="17584">
          <cell r="D17584" t="str">
            <v>DD-J10-21102-60/-1/3-Y</v>
          </cell>
          <cell r="E17584" t="str">
            <v>11968下口盖</v>
          </cell>
        </row>
        <row r="17585">
          <cell r="D17585" t="str">
            <v>DD-J10-21102-60/-1/3-Z</v>
          </cell>
          <cell r="E17585" t="str">
            <v>11968下口盖</v>
          </cell>
        </row>
        <row r="17586">
          <cell r="D17586" t="str">
            <v>CB5713600-001L006</v>
          </cell>
          <cell r="E17586" t="str">
            <v>前梁一段</v>
          </cell>
        </row>
        <row r="17587">
          <cell r="D17587" t="str">
            <v>CB5713600-001L006</v>
          </cell>
          <cell r="E17587" t="str">
            <v>前梁一段</v>
          </cell>
        </row>
        <row r="17588">
          <cell r="D17588" t="str">
            <v>CB5512300-006L003</v>
          </cell>
          <cell r="E17588" t="str">
            <v>1#斜肋</v>
          </cell>
        </row>
        <row r="17589">
          <cell r="D17589" t="str">
            <v>CB5512300-006L003</v>
          </cell>
          <cell r="E17589" t="str">
            <v>1#斜肋</v>
          </cell>
        </row>
        <row r="17590">
          <cell r="D17590" t="str">
            <v>CB5512300-006L003</v>
          </cell>
          <cell r="E17590" t="str">
            <v>1#斜肋</v>
          </cell>
        </row>
        <row r="17591">
          <cell r="D17591" t="str">
            <v>CB5512300-006L003</v>
          </cell>
          <cell r="E17591" t="str">
            <v>1#斜肋</v>
          </cell>
        </row>
        <row r="17592">
          <cell r="D17592" t="str">
            <v>CB5512300-006L003</v>
          </cell>
          <cell r="E17592" t="str">
            <v>1#斜肋</v>
          </cell>
        </row>
        <row r="17593">
          <cell r="D17593" t="str">
            <v>CB5512300-006L003</v>
          </cell>
          <cell r="E17593" t="str">
            <v>1#斜肋</v>
          </cell>
        </row>
        <row r="17594">
          <cell r="D17594" t="str">
            <v>CB5512300-006R003</v>
          </cell>
          <cell r="E17594" t="str">
            <v>1#斜肋</v>
          </cell>
        </row>
        <row r="17595">
          <cell r="D17595" t="str">
            <v>CB5512300-006R003</v>
          </cell>
          <cell r="E17595" t="str">
            <v>1#斜肋</v>
          </cell>
        </row>
        <row r="17596">
          <cell r="D17596" t="str">
            <v>CB5512300-006R003</v>
          </cell>
          <cell r="E17596" t="str">
            <v>1#斜肋</v>
          </cell>
        </row>
        <row r="17597">
          <cell r="D17597" t="str">
            <v>CB5512300-006R003</v>
          </cell>
          <cell r="E17597" t="str">
            <v>1#斜肋</v>
          </cell>
        </row>
        <row r="17598">
          <cell r="D17598" t="str">
            <v>CB5512300-006R003</v>
          </cell>
          <cell r="E17598" t="str">
            <v>1#斜肋</v>
          </cell>
        </row>
        <row r="17599">
          <cell r="D17599" t="str">
            <v>CB5512300-006R003</v>
          </cell>
          <cell r="E17599" t="str">
            <v>1#斜肋</v>
          </cell>
        </row>
        <row r="17600">
          <cell r="D17600" t="str">
            <v>CB5315191-012R003</v>
          </cell>
          <cell r="E17600" t="str">
            <v>进气下侧壁</v>
          </cell>
        </row>
        <row r="17601">
          <cell r="D17601" t="str">
            <v>CB5315191-012R003</v>
          </cell>
          <cell r="E17601" t="str">
            <v>进气下侧壁</v>
          </cell>
        </row>
        <row r="17602">
          <cell r="D17602" t="str">
            <v>CB5324320-007R009</v>
          </cell>
          <cell r="E17602" t="str">
            <v>横梁</v>
          </cell>
        </row>
        <row r="17603">
          <cell r="D17603" t="str">
            <v>CB5327220-002L001</v>
          </cell>
          <cell r="E17603" t="str">
            <v>型材</v>
          </cell>
        </row>
        <row r="17604">
          <cell r="D17604" t="str">
            <v>CB5327220-002R001</v>
          </cell>
          <cell r="E17604" t="str">
            <v>型材</v>
          </cell>
        </row>
        <row r="17605">
          <cell r="D17605" t="str">
            <v>CB5512300-014L001</v>
          </cell>
          <cell r="E17605" t="str">
            <v>角盒</v>
          </cell>
        </row>
        <row r="17606">
          <cell r="D17606" t="str">
            <v>CB5512300-014L001</v>
          </cell>
          <cell r="E17606" t="str">
            <v>角盒</v>
          </cell>
        </row>
        <row r="17607">
          <cell r="D17607" t="str">
            <v>CB5512300-014L001</v>
          </cell>
          <cell r="E17607" t="str">
            <v>角盒</v>
          </cell>
        </row>
        <row r="17608">
          <cell r="D17608" t="str">
            <v>DD-J10-21102-250-1-Y</v>
          </cell>
          <cell r="E17608" t="str">
            <v>11900梁一段（右件）</v>
          </cell>
        </row>
        <row r="17609">
          <cell r="D17609" t="str">
            <v>DD-J10B-04321-1-Z</v>
          </cell>
          <cell r="E17609" t="str">
            <v>斜横梁</v>
          </cell>
        </row>
        <row r="17610">
          <cell r="D17610" t="str">
            <v>DD-J10B-02041-202G2</v>
          </cell>
          <cell r="E17610" t="str">
            <v>地板</v>
          </cell>
        </row>
        <row r="17611">
          <cell r="D17611" t="str">
            <v>DD-J10B-02041-202G2</v>
          </cell>
          <cell r="E17611" t="str">
            <v>地板</v>
          </cell>
        </row>
        <row r="17612">
          <cell r="D17612" t="str">
            <v>DD-J10B-02041-202G2</v>
          </cell>
          <cell r="E17612" t="str">
            <v>地板</v>
          </cell>
        </row>
        <row r="17613">
          <cell r="D17613" t="str">
            <v>DD-J10B-34303-7G2</v>
          </cell>
          <cell r="E17613" t="str">
            <v>第1隔板</v>
          </cell>
        </row>
        <row r="17614">
          <cell r="D17614" t="str">
            <v>DD-J10B-34303-8G2</v>
          </cell>
          <cell r="E17614" t="str">
            <v>第2隔板</v>
          </cell>
        </row>
        <row r="17615">
          <cell r="D17615" t="str">
            <v>DD-J10B-34303-9G2</v>
          </cell>
          <cell r="E17615" t="str">
            <v>第3隔板</v>
          </cell>
        </row>
        <row r="17616">
          <cell r="D17616" t="str">
            <v>DD-J10B-34303-11G2</v>
          </cell>
          <cell r="E17616" t="str">
            <v>第4隔板</v>
          </cell>
        </row>
        <row r="17617">
          <cell r="D17617" t="str">
            <v>DD-J10B-34303-12G2</v>
          </cell>
          <cell r="E17617" t="str">
            <v>第5隔板</v>
          </cell>
        </row>
        <row r="17618">
          <cell r="D17618" t="str">
            <v>DD-J10B-34303-13G2</v>
          </cell>
          <cell r="E17618" t="str">
            <v>第6隔板</v>
          </cell>
        </row>
        <row r="17619">
          <cell r="D17619" t="str">
            <v>DD-J10B-34303-7G2</v>
          </cell>
          <cell r="E17619" t="str">
            <v>第1隔板</v>
          </cell>
        </row>
        <row r="17620">
          <cell r="D17620" t="str">
            <v>DD-J10B-34303-8G2</v>
          </cell>
          <cell r="E17620" t="str">
            <v>第2隔板</v>
          </cell>
        </row>
        <row r="17621">
          <cell r="D17621" t="str">
            <v>DD-J10B-34303-9G2</v>
          </cell>
          <cell r="E17621" t="str">
            <v>第3隔板</v>
          </cell>
        </row>
        <row r="17622">
          <cell r="D17622" t="str">
            <v>DD-J10B-34303-11G2</v>
          </cell>
          <cell r="E17622" t="str">
            <v>第4隔板</v>
          </cell>
        </row>
        <row r="17623">
          <cell r="D17623" t="str">
            <v>DD-J10B-34303-12G2</v>
          </cell>
          <cell r="E17623" t="str">
            <v>第5隔板</v>
          </cell>
        </row>
        <row r="17624">
          <cell r="D17624" t="str">
            <v>DD-J10B-34303-13G2</v>
          </cell>
          <cell r="E17624" t="str">
            <v>第6隔板</v>
          </cell>
        </row>
        <row r="17625">
          <cell r="D17625" t="str">
            <v>DD-J10B-02041-304</v>
          </cell>
          <cell r="E17625" t="str">
            <v>右内侧角材</v>
          </cell>
        </row>
        <row r="17626">
          <cell r="D17626" t="str">
            <v>DD-J10B-02041-304</v>
          </cell>
          <cell r="E17626" t="str">
            <v>右内侧角材</v>
          </cell>
        </row>
        <row r="17627">
          <cell r="D17627" t="str">
            <v>DD-J10B-02041-304</v>
          </cell>
          <cell r="E17627" t="str">
            <v>右内侧角材</v>
          </cell>
        </row>
        <row r="17628">
          <cell r="D17628" t="str">
            <v>DD-J10B-34303-9G2</v>
          </cell>
          <cell r="E17628" t="str">
            <v>右内侧角材</v>
          </cell>
        </row>
        <row r="17629">
          <cell r="D17629" t="str">
            <v>529A4300-003-001</v>
          </cell>
          <cell r="E17629" t="str">
            <v>U形转轴</v>
          </cell>
        </row>
        <row r="17630">
          <cell r="D17630" t="str">
            <v>DD-J10-78081-201</v>
          </cell>
          <cell r="E17630" t="str">
            <v>板</v>
          </cell>
        </row>
        <row r="17631">
          <cell r="D17631" t="str">
            <v>DD-J10S-96011-1201</v>
          </cell>
          <cell r="E17631" t="str">
            <v>三通管</v>
          </cell>
        </row>
        <row r="17632">
          <cell r="D17632" t="str">
            <v>DD-J10-55014-1401</v>
          </cell>
          <cell r="E17632" t="str">
            <v>管接头</v>
          </cell>
        </row>
        <row r="17633">
          <cell r="D17633" t="str">
            <v>DD-J10-55014-1401</v>
          </cell>
          <cell r="E17633" t="str">
            <v>管接头</v>
          </cell>
        </row>
        <row r="17634">
          <cell r="D17634" t="str">
            <v>CB5327220-002L001</v>
          </cell>
          <cell r="E17634" t="str">
            <v>型材</v>
          </cell>
        </row>
        <row r="17635">
          <cell r="D17635" t="str">
            <v>CB5327220-002R001</v>
          </cell>
          <cell r="E17635" t="str">
            <v>型材</v>
          </cell>
        </row>
        <row r="17636">
          <cell r="D17636" t="str">
            <v>DD-J10-21102-60/-1/4-Z</v>
          </cell>
          <cell r="E17636" t="str">
            <v>11968下口盖</v>
          </cell>
        </row>
        <row r="17637">
          <cell r="D17637" t="str">
            <v>DD-J10B-02121-1AG2-Y</v>
          </cell>
          <cell r="E17637" t="str">
            <v>BL280侧壁（右件）</v>
          </cell>
        </row>
        <row r="17638">
          <cell r="D17638" t="str">
            <v>DD-J10B-02121-1AG2-Y</v>
          </cell>
          <cell r="E17638" t="str">
            <v>BL280侧壁（右件）</v>
          </cell>
        </row>
        <row r="17639">
          <cell r="D17639" t="str">
            <v>DD-J10B-04011-1</v>
          </cell>
          <cell r="E17639" t="str">
            <v>7100框</v>
          </cell>
        </row>
        <row r="17640">
          <cell r="D17640" t="str">
            <v>DD-J10B-04011-1</v>
          </cell>
          <cell r="E17640" t="str">
            <v>7100框</v>
          </cell>
        </row>
        <row r="17641">
          <cell r="D17641" t="str">
            <v>DD-J10B-04011-1</v>
          </cell>
          <cell r="E17641" t="str">
            <v>7100框</v>
          </cell>
        </row>
        <row r="17642">
          <cell r="D17642" t="str">
            <v>DD-J10B-04011-1</v>
          </cell>
          <cell r="E17642" t="str">
            <v>7100框</v>
          </cell>
        </row>
        <row r="17643">
          <cell r="D17643" t="str">
            <v>DD-J10B-86031-510-3</v>
          </cell>
          <cell r="E17643" t="str">
            <v>套管</v>
          </cell>
        </row>
        <row r="17644">
          <cell r="D17644" t="str">
            <v>DD-J10B-55165-1480-1</v>
          </cell>
          <cell r="E17644" t="str">
            <v>螺栓</v>
          </cell>
        </row>
        <row r="17645">
          <cell r="D17645" t="str">
            <v>DD-J10-86021-4010-1</v>
          </cell>
          <cell r="E17645" t="str">
            <v>套筒</v>
          </cell>
        </row>
        <row r="17646">
          <cell r="D17646" t="str">
            <v>DD-J10-55165-3110-1</v>
          </cell>
          <cell r="E17646" t="str">
            <v>衬套</v>
          </cell>
        </row>
        <row r="17647">
          <cell r="D17647" t="str">
            <v>DD-J10B-94076-1311</v>
          </cell>
          <cell r="E17647" t="str">
            <v>衬盘</v>
          </cell>
        </row>
        <row r="17648">
          <cell r="D17648" t="str">
            <v>DD-J10B-94061-1061/1</v>
          </cell>
          <cell r="E17648" t="str">
            <v>法兰盘</v>
          </cell>
        </row>
        <row r="17649">
          <cell r="D17649" t="str">
            <v>DD-J10B-86031-510-4</v>
          </cell>
          <cell r="E17649" t="str">
            <v>套管</v>
          </cell>
        </row>
        <row r="17650">
          <cell r="D17650" t="str">
            <v>DD-J10-86021-5000-1</v>
          </cell>
          <cell r="E17650" t="str">
            <v>斜垫块</v>
          </cell>
        </row>
        <row r="17651">
          <cell r="D17651" t="str">
            <v>DD-J10B-64016-600G2-1G2</v>
          </cell>
          <cell r="E17651" t="str">
            <v>短管</v>
          </cell>
        </row>
        <row r="17652">
          <cell r="D17652" t="str">
            <v>DD-J10-86021-4020-1</v>
          </cell>
          <cell r="E17652" t="str">
            <v>套筒</v>
          </cell>
        </row>
        <row r="17653">
          <cell r="D17653" t="str">
            <v>DD-J10-21102-60/-1/2-Z</v>
          </cell>
          <cell r="E17653" t="str">
            <v>11968下口盖</v>
          </cell>
        </row>
        <row r="17654">
          <cell r="D17654" t="str">
            <v>DD-J10B-02121-1AG2-Y</v>
          </cell>
          <cell r="E17654" t="str">
            <v>BL280侧壁（右件）</v>
          </cell>
        </row>
        <row r="17655">
          <cell r="D17655" t="str">
            <v>DD-J10B-02121-1AG2-Y</v>
          </cell>
          <cell r="E17655" t="str">
            <v>BL280侧壁（右件）</v>
          </cell>
        </row>
        <row r="17656">
          <cell r="D17656" t="str">
            <v>DD-J10B-02121-1AG2-Y</v>
          </cell>
          <cell r="E17656" t="str">
            <v>BL280侧壁（右件）</v>
          </cell>
        </row>
        <row r="17657">
          <cell r="D17657" t="str">
            <v>DD-J10B-02121-1AG2-Z</v>
          </cell>
          <cell r="E17657" t="str">
            <v>BL280侧壁（左件）</v>
          </cell>
        </row>
        <row r="17658">
          <cell r="D17658" t="str">
            <v>DD-J10B-02121-1AG2-Z</v>
          </cell>
          <cell r="E17658" t="str">
            <v>BL280侧壁（左件）</v>
          </cell>
        </row>
        <row r="17659">
          <cell r="D17659" t="str">
            <v>DD-J10B-02121-1AG2-Z</v>
          </cell>
          <cell r="E17659" t="str">
            <v>BL280侧壁（左件）</v>
          </cell>
        </row>
        <row r="17660">
          <cell r="D17660" t="str">
            <v>DD-J10B-02121-1AG2-Z</v>
          </cell>
          <cell r="E17660" t="str">
            <v>BL280侧壁（左件）</v>
          </cell>
        </row>
        <row r="17661">
          <cell r="D17661" t="str">
            <v>CB5314107-001-003</v>
          </cell>
          <cell r="E17661" t="str">
            <v>5550上框</v>
          </cell>
        </row>
        <row r="17662">
          <cell r="D17662" t="str">
            <v>DD-J10B-02161-501</v>
          </cell>
          <cell r="E17662" t="str">
            <v>5755横框</v>
          </cell>
        </row>
        <row r="17663">
          <cell r="D17663" t="str">
            <v>DD-J10B-02161-501</v>
          </cell>
          <cell r="E17663" t="str">
            <v>5755横框</v>
          </cell>
        </row>
        <row r="17664">
          <cell r="D17664" t="str">
            <v>CB5324320-007L009</v>
          </cell>
          <cell r="E17664" t="str">
            <v>横梁</v>
          </cell>
        </row>
        <row r="17665">
          <cell r="D17665" t="str">
            <v>CB5324500-004R004</v>
          </cell>
          <cell r="E17665" t="str">
            <v>后端框</v>
          </cell>
        </row>
        <row r="17666">
          <cell r="D17666" t="str">
            <v>CB5313200-004R006</v>
          </cell>
          <cell r="E17666" t="str">
            <v>右前分合面框</v>
          </cell>
        </row>
        <row r="17667">
          <cell r="D17667" t="str">
            <v>CB229C440-002R001</v>
          </cell>
          <cell r="E17667" t="str">
            <v>支架</v>
          </cell>
        </row>
        <row r="17668">
          <cell r="D17668" t="str">
            <v>CB2283792-002-002</v>
          </cell>
          <cell r="E17668" t="str">
            <v>法兰</v>
          </cell>
        </row>
        <row r="17669">
          <cell r="D17669" t="str">
            <v>DD-J10-34003-2</v>
          </cell>
          <cell r="E17669" t="str">
            <v>后梁</v>
          </cell>
        </row>
        <row r="17670">
          <cell r="D17670" t="str">
            <v>DD-J10-34003-2</v>
          </cell>
          <cell r="E17670" t="str">
            <v>后梁</v>
          </cell>
        </row>
        <row r="17671">
          <cell r="D17671" t="str">
            <v>DD-J10B-65000-1820G2-1</v>
          </cell>
          <cell r="E17671" t="str">
            <v>摇臂</v>
          </cell>
        </row>
        <row r="17672">
          <cell r="D17672" t="str">
            <v>CB5313200-004L006</v>
          </cell>
          <cell r="E17672" t="str">
            <v>左前分合面框</v>
          </cell>
        </row>
        <row r="17673">
          <cell r="D17673" t="str">
            <v>CB5714200-001L001</v>
          </cell>
          <cell r="E17673" t="str">
            <v>2470肋一段</v>
          </cell>
        </row>
        <row r="17674">
          <cell r="D17674" t="str">
            <v>CB5714200-001R001</v>
          </cell>
          <cell r="E17674" t="str">
            <v>2470肋一段</v>
          </cell>
        </row>
        <row r="17675">
          <cell r="D17675" t="str">
            <v>CB5714200-005R002</v>
          </cell>
          <cell r="E17675" t="str">
            <v>2470肋五段</v>
          </cell>
        </row>
        <row r="17676">
          <cell r="D17676" t="str">
            <v>CB5714200-005L002</v>
          </cell>
          <cell r="E17676" t="str">
            <v>2470肋五段</v>
          </cell>
        </row>
        <row r="17677">
          <cell r="D17677" t="str">
            <v>DD-J10-55222-3105</v>
          </cell>
          <cell r="E17677" t="str">
            <v>30°拧入式管接头</v>
          </cell>
        </row>
        <row r="17678">
          <cell r="D17678" t="str">
            <v>DD-J10-55222-3105</v>
          </cell>
          <cell r="E17678" t="str">
            <v>30°拧入式管接头</v>
          </cell>
        </row>
        <row r="17679">
          <cell r="D17679" t="str">
            <v>DD-J10-55015-6100-1</v>
          </cell>
          <cell r="E17679" t="str">
            <v>耳环螺栓</v>
          </cell>
        </row>
        <row r="17680">
          <cell r="D17680" t="str">
            <v>DD-J10-55121-1</v>
          </cell>
          <cell r="E17680" t="str">
            <v>三通管接头</v>
          </cell>
        </row>
        <row r="17681">
          <cell r="D17681" t="str">
            <v>DD-J10-55121-1</v>
          </cell>
          <cell r="E17681" t="str">
            <v>三通管接头</v>
          </cell>
        </row>
        <row r="17682">
          <cell r="D17682" t="str">
            <v>DD-J10-55121-1</v>
          </cell>
          <cell r="E17682" t="str">
            <v>三通管接头</v>
          </cell>
        </row>
        <row r="17683">
          <cell r="D17683" t="str">
            <v>DD-J10-64011-421</v>
          </cell>
          <cell r="E17683" t="str">
            <v>套筒</v>
          </cell>
        </row>
        <row r="17684">
          <cell r="D17684" t="str">
            <v>DD-J10-78140-2110-1</v>
          </cell>
          <cell r="E17684" t="str">
            <v>铰链</v>
          </cell>
        </row>
        <row r="17685">
          <cell r="D17685" t="str">
            <v>CB5350500-016L006</v>
          </cell>
          <cell r="E17685" t="str">
            <v>7号护板维型肋左件</v>
          </cell>
        </row>
        <row r="17686">
          <cell r="D17686" t="str">
            <v>CB5811100-006-001</v>
          </cell>
          <cell r="E17686" t="str">
            <v>垫圈</v>
          </cell>
        </row>
        <row r="17687">
          <cell r="D17687" t="str">
            <v>CB5314107-001-003</v>
          </cell>
          <cell r="E17687" t="str">
            <v>5550上框</v>
          </cell>
        </row>
        <row r="17688">
          <cell r="D17688" t="str">
            <v>DD-J10-55181-13</v>
          </cell>
          <cell r="E17688" t="str">
            <v>变径三通管接头</v>
          </cell>
        </row>
        <row r="17689">
          <cell r="D17689" t="str">
            <v>DD-J10-55015-5300-1</v>
          </cell>
          <cell r="E17689" t="str">
            <v>耳环螺栓</v>
          </cell>
        </row>
        <row r="17690">
          <cell r="D17690" t="str">
            <v>DD-J10B-04041-1</v>
          </cell>
          <cell r="E17690" t="str">
            <v>10060框</v>
          </cell>
        </row>
        <row r="17691">
          <cell r="D17691" t="str">
            <v>DD-J10B-04041-1</v>
          </cell>
          <cell r="E17691" t="str">
            <v>10060框</v>
          </cell>
        </row>
        <row r="17692">
          <cell r="D17692" t="str">
            <v>DD-J10B-04041-1</v>
          </cell>
          <cell r="E17692" t="str">
            <v>10060框</v>
          </cell>
        </row>
        <row r="17693">
          <cell r="D17693" t="str">
            <v>DD-J10B-04041-1</v>
          </cell>
          <cell r="E17693" t="str">
            <v>10060框</v>
          </cell>
        </row>
        <row r="17694">
          <cell r="D17694" t="str">
            <v>CB5324420-001R003</v>
          </cell>
          <cell r="E17694" t="str">
            <v>侧下梁</v>
          </cell>
        </row>
        <row r="17695">
          <cell r="D17695" t="str">
            <v>CB5324420-001L003</v>
          </cell>
          <cell r="E17695" t="str">
            <v>侧下梁</v>
          </cell>
        </row>
        <row r="17696">
          <cell r="D17696" t="str">
            <v>C552004000-001R001</v>
          </cell>
          <cell r="E17696" t="str">
            <v>摇臂</v>
          </cell>
        </row>
        <row r="17697">
          <cell r="D17697" t="str">
            <v>C552004000-001R001</v>
          </cell>
          <cell r="E17697" t="str">
            <v>摇臂</v>
          </cell>
        </row>
        <row r="17698">
          <cell r="D17698" t="str">
            <v>C552004000-001R001</v>
          </cell>
          <cell r="E17698" t="str">
            <v>摇臂</v>
          </cell>
        </row>
        <row r="17699">
          <cell r="D17699" t="str">
            <v>C552004000-001R001</v>
          </cell>
          <cell r="E17699" t="str">
            <v>摇臂</v>
          </cell>
        </row>
        <row r="17700">
          <cell r="D17700" t="str">
            <v>C552004000-001L001</v>
          </cell>
          <cell r="E17700" t="str">
            <v>摇臂</v>
          </cell>
        </row>
        <row r="17701">
          <cell r="D17701" t="str">
            <v>C552004000-001L001</v>
          </cell>
          <cell r="E17701" t="str">
            <v>摇臂</v>
          </cell>
        </row>
        <row r="17702">
          <cell r="D17702" t="str">
            <v>C552004000-001L001</v>
          </cell>
          <cell r="E17702" t="str">
            <v>摇臂</v>
          </cell>
        </row>
        <row r="17703">
          <cell r="D17703" t="str">
            <v>C552004000-001L001</v>
          </cell>
          <cell r="E17703" t="str">
            <v>摇臂</v>
          </cell>
        </row>
        <row r="17704">
          <cell r="D17704" t="str">
            <v>CB5323400-008L001</v>
          </cell>
          <cell r="E17704" t="str">
            <v>外侧轴承盖</v>
          </cell>
        </row>
        <row r="17705">
          <cell r="D17705" t="str">
            <v>DD-J10B-94091-4141G2</v>
          </cell>
          <cell r="E17705" t="str">
            <v>三通接头</v>
          </cell>
        </row>
        <row r="17706">
          <cell r="D17706" t="str">
            <v>DD-J10-42074-160-1</v>
          </cell>
          <cell r="E17706" t="str">
            <v>拉杆</v>
          </cell>
        </row>
        <row r="17707">
          <cell r="D17707" t="str">
            <v>DD-J10B-68074-1710-3</v>
          </cell>
          <cell r="E17707" t="str">
            <v>钢管</v>
          </cell>
        </row>
        <row r="17708">
          <cell r="D17708" t="str">
            <v>DD-J10B-68074-1720-3</v>
          </cell>
          <cell r="E17708" t="str">
            <v>钢管</v>
          </cell>
        </row>
        <row r="17709">
          <cell r="D17709" t="str">
            <v>DD-J10B-68095-1720-3</v>
          </cell>
          <cell r="E17709" t="str">
            <v>钢管</v>
          </cell>
        </row>
        <row r="17710">
          <cell r="D17710" t="str">
            <v>DD-J10-68095-1100-2</v>
          </cell>
          <cell r="E17710" t="str">
            <v>衬套</v>
          </cell>
        </row>
        <row r="17711">
          <cell r="D17711" t="str">
            <v>DD-J10-68095-1300-3</v>
          </cell>
          <cell r="E17711" t="str">
            <v>衬套</v>
          </cell>
        </row>
        <row r="17712">
          <cell r="D17712" t="str">
            <v>DD-J10-55171-410-1</v>
          </cell>
          <cell r="E17712" t="str">
            <v>衬套</v>
          </cell>
        </row>
        <row r="17713">
          <cell r="D17713" t="str">
            <v>DD-J10-55171-510-1</v>
          </cell>
          <cell r="E17713" t="str">
            <v>衬套</v>
          </cell>
        </row>
        <row r="17714">
          <cell r="D17714" t="str">
            <v>DD-J10B-94076-1311</v>
          </cell>
          <cell r="E17714" t="str">
            <v>衬盘</v>
          </cell>
        </row>
        <row r="17715">
          <cell r="D17715" t="str">
            <v>DD-J10B-94076-1312</v>
          </cell>
          <cell r="E17715" t="str">
            <v>衬盘</v>
          </cell>
        </row>
        <row r="17716">
          <cell r="D17716" t="str">
            <v>DD-J10B-94076-2031/3</v>
          </cell>
          <cell r="E17716" t="str">
            <v>接管嘴</v>
          </cell>
        </row>
        <row r="17717">
          <cell r="D17717" t="str">
            <v>DD-J10B-42074-140-1</v>
          </cell>
          <cell r="E17717" t="str">
            <v>拉杆</v>
          </cell>
        </row>
        <row r="17718">
          <cell r="D17718" t="str">
            <v>CB2280231N003-001</v>
          </cell>
          <cell r="E17718" t="str">
            <v>管子</v>
          </cell>
        </row>
        <row r="17719">
          <cell r="D17719" t="str">
            <v>CB22877Y5-009-002</v>
          </cell>
          <cell r="E17719" t="str">
            <v>轴</v>
          </cell>
        </row>
        <row r="17720">
          <cell r="D17720" t="str">
            <v>CB22836Y6-003-001</v>
          </cell>
          <cell r="E17720" t="str">
            <v>轴</v>
          </cell>
        </row>
        <row r="17721">
          <cell r="D17721" t="str">
            <v>J7II-4801-123</v>
          </cell>
          <cell r="E17721" t="str">
            <v>六角头轴</v>
          </cell>
        </row>
        <row r="17722">
          <cell r="D17722" t="str">
            <v>J7II-0603-615</v>
          </cell>
          <cell r="E17722" t="str">
            <v>衬套</v>
          </cell>
        </row>
        <row r="17723">
          <cell r="D17723" t="str">
            <v>J7II-5606-30-2</v>
          </cell>
          <cell r="E17723" t="str">
            <v>管子</v>
          </cell>
        </row>
        <row r="17724">
          <cell r="D17724" t="str">
            <v>J7-0603-241</v>
          </cell>
          <cell r="E17724" t="str">
            <v>螺栓</v>
          </cell>
        </row>
        <row r="17725">
          <cell r="D17725" t="str">
            <v>J7-0603-590-5</v>
          </cell>
          <cell r="E17725" t="str">
            <v>衬套</v>
          </cell>
        </row>
        <row r="17726">
          <cell r="D17726" t="str">
            <v>J7-0603-590-7</v>
          </cell>
          <cell r="E17726" t="str">
            <v>螺帽</v>
          </cell>
        </row>
        <row r="17727">
          <cell r="D17727" t="str">
            <v>CB5324500-003L002</v>
          </cell>
          <cell r="E17727" t="str">
            <v>前端框</v>
          </cell>
        </row>
        <row r="17728">
          <cell r="D17728" t="str">
            <v>XXX-1600-00</v>
          </cell>
          <cell r="E17728" t="str">
            <v>XXX三综夹具组合件</v>
          </cell>
        </row>
        <row r="17729">
          <cell r="D17729" t="str">
            <v>XXX-1600-01</v>
          </cell>
          <cell r="E17729" t="str">
            <v>XXX三综夹具</v>
          </cell>
        </row>
        <row r="17730">
          <cell r="D17730" t="str">
            <v>GU5715030-003R001</v>
          </cell>
          <cell r="E17730" t="str">
            <v>前缘20号肋</v>
          </cell>
        </row>
        <row r="17731">
          <cell r="D17731" t="str">
            <v>CB5327120-010R015</v>
          </cell>
          <cell r="E17731" t="str">
            <v>9555侧隔框</v>
          </cell>
        </row>
        <row r="17732">
          <cell r="D17732" t="str">
            <v>CB5327120-010R015</v>
          </cell>
          <cell r="E17732" t="str">
            <v>9555侧隔框</v>
          </cell>
        </row>
        <row r="17733">
          <cell r="D17733" t="str">
            <v>CB5327120-010R015</v>
          </cell>
          <cell r="E17733" t="str">
            <v>9555侧隔框</v>
          </cell>
        </row>
        <row r="17734">
          <cell r="D17734" t="str">
            <v>CB5327120-010R015</v>
          </cell>
          <cell r="E17734" t="str">
            <v>9555侧隔框</v>
          </cell>
        </row>
        <row r="17735">
          <cell r="D17735" t="str">
            <v>CB5327120-010L015</v>
          </cell>
          <cell r="E17735" t="str">
            <v>9555侧隔框</v>
          </cell>
        </row>
        <row r="17736">
          <cell r="D17736" t="str">
            <v>CB5327120-010L015</v>
          </cell>
          <cell r="E17736" t="str">
            <v>9555侧隔框</v>
          </cell>
        </row>
        <row r="17737">
          <cell r="D17737" t="str">
            <v>CB5327120-010L015</v>
          </cell>
          <cell r="E17737" t="str">
            <v>9555侧隔框</v>
          </cell>
        </row>
        <row r="17738">
          <cell r="D17738" t="str">
            <v>CB5327120-010L015</v>
          </cell>
          <cell r="E17738" t="str">
            <v>9555侧隔框</v>
          </cell>
        </row>
        <row r="17739">
          <cell r="D17739" t="str">
            <v>CB5327120-013R015</v>
          </cell>
          <cell r="E17739" t="str">
            <v>10150侧隔框</v>
          </cell>
        </row>
        <row r="17740">
          <cell r="D17740" t="str">
            <v>CB5327120-013R015</v>
          </cell>
          <cell r="E17740" t="str">
            <v>10150侧隔框</v>
          </cell>
        </row>
        <row r="17741">
          <cell r="D17741" t="str">
            <v>CB5327120-013R015</v>
          </cell>
          <cell r="E17741" t="str">
            <v>10150侧隔框</v>
          </cell>
        </row>
        <row r="17742">
          <cell r="D17742" t="str">
            <v>CB5327120-013R015</v>
          </cell>
          <cell r="E17742" t="str">
            <v>10150侧隔框</v>
          </cell>
        </row>
        <row r="17743">
          <cell r="D17743" t="str">
            <v>CB5327120-013L015</v>
          </cell>
          <cell r="E17743" t="str">
            <v>10150侧隔框</v>
          </cell>
        </row>
        <row r="17744">
          <cell r="D17744" t="str">
            <v>CB5327120-013L015</v>
          </cell>
          <cell r="E17744" t="str">
            <v>10150侧隔框</v>
          </cell>
        </row>
        <row r="17745">
          <cell r="D17745" t="str">
            <v>CB5327120-013L015</v>
          </cell>
          <cell r="E17745" t="str">
            <v>10150侧隔框</v>
          </cell>
        </row>
        <row r="17746">
          <cell r="D17746" t="str">
            <v>CB5327120-013L015</v>
          </cell>
          <cell r="E17746" t="str">
            <v>10150侧隔框</v>
          </cell>
        </row>
        <row r="17747">
          <cell r="D17747" t="str">
            <v>DD-J10-21102-31-Z</v>
          </cell>
          <cell r="E17747" t="str">
            <v>10060上接头</v>
          </cell>
        </row>
        <row r="17748">
          <cell r="D17748" t="str">
            <v>DD-J10B-04321-30-1-Y</v>
          </cell>
          <cell r="E17748" t="str">
            <v>侧下梁（右件）</v>
          </cell>
        </row>
        <row r="17749">
          <cell r="D17749" t="str">
            <v>DD-J10B-04321-30-1-Y</v>
          </cell>
          <cell r="E17749" t="str">
            <v>侧下梁（右件）</v>
          </cell>
        </row>
        <row r="17750">
          <cell r="D17750" t="str">
            <v>DD-J10B-04321-30-1-Y</v>
          </cell>
          <cell r="E17750" t="str">
            <v>侧下梁（右件）</v>
          </cell>
        </row>
        <row r="17751">
          <cell r="D17751" t="str">
            <v>DD-J10B-04321-30-1-Y</v>
          </cell>
          <cell r="E17751" t="str">
            <v>侧下梁（右件）</v>
          </cell>
        </row>
        <row r="17752">
          <cell r="D17752" t="str">
            <v>DD-J10B-04321-30-1-Y</v>
          </cell>
          <cell r="E17752" t="str">
            <v>侧下梁（右件）</v>
          </cell>
        </row>
        <row r="17753">
          <cell r="D17753" t="str">
            <v>DD-J10B-04321-30-1-Y</v>
          </cell>
          <cell r="E17753" t="str">
            <v>侧下梁（右件）</v>
          </cell>
        </row>
        <row r="17754">
          <cell r="D17754" t="str">
            <v>DD-J10B-04501-10-1-Z</v>
          </cell>
          <cell r="E17754" t="str">
            <v>BL900侧梁</v>
          </cell>
        </row>
        <row r="17755">
          <cell r="D17755" t="str">
            <v>DD-J10B-04501-10-1-Z</v>
          </cell>
          <cell r="E17755" t="str">
            <v>BL900侧梁</v>
          </cell>
        </row>
        <row r="17756">
          <cell r="D17756" t="str">
            <v>DD-J10B-04501-10-1-Z</v>
          </cell>
          <cell r="E17756" t="str">
            <v>BL900侧梁</v>
          </cell>
        </row>
        <row r="17757">
          <cell r="D17757" t="str">
            <v>DD-J10B-04501-10-1-Z</v>
          </cell>
          <cell r="E17757" t="str">
            <v>BL900侧梁</v>
          </cell>
        </row>
        <row r="17758">
          <cell r="D17758" t="str">
            <v>DD-J10B-04321-30-1-Z</v>
          </cell>
          <cell r="E17758" t="str">
            <v>侧下梁（左件）</v>
          </cell>
        </row>
        <row r="17759">
          <cell r="D17759" t="str">
            <v>DD-J10B-04321-30-1-Z</v>
          </cell>
          <cell r="E17759" t="str">
            <v>侧下梁（左件）</v>
          </cell>
        </row>
        <row r="17760">
          <cell r="D17760" t="str">
            <v>DD-J10B-04321-30-1-Z</v>
          </cell>
          <cell r="E17760" t="str">
            <v>侧下梁（左件）</v>
          </cell>
        </row>
        <row r="17761">
          <cell r="D17761" t="str">
            <v>DD-J10B-04321-30-1-Z</v>
          </cell>
          <cell r="E17761" t="str">
            <v>侧下梁（左件）</v>
          </cell>
        </row>
        <row r="17762">
          <cell r="D17762" t="str">
            <v>DD-J10B-04321-30-1-Y</v>
          </cell>
          <cell r="E17762" t="str">
            <v>侧下梁（右件）</v>
          </cell>
        </row>
        <row r="17763">
          <cell r="D17763" t="str">
            <v>DD-J10B-04321-30-1-Y</v>
          </cell>
          <cell r="E17763" t="str">
            <v>侧下梁（右件）</v>
          </cell>
        </row>
        <row r="17764">
          <cell r="D17764" t="str">
            <v>DD-J10B-04321-30-1-Y</v>
          </cell>
          <cell r="E17764" t="str">
            <v>侧下梁（右件）</v>
          </cell>
        </row>
        <row r="17765">
          <cell r="D17765" t="str">
            <v>DD-J10B-04321-30-1-Y</v>
          </cell>
          <cell r="E17765" t="str">
            <v>侧下梁（右件）</v>
          </cell>
        </row>
        <row r="17766">
          <cell r="D17766" t="str">
            <v>CB5326200-134R002</v>
          </cell>
          <cell r="E17766" t="str">
            <v>9010 4号加强筋</v>
          </cell>
        </row>
        <row r="17767">
          <cell r="D17767" t="str">
            <v>CB5326200-134L002</v>
          </cell>
          <cell r="E17767" t="str">
            <v>9010 4号加强筋</v>
          </cell>
        </row>
        <row r="17768">
          <cell r="D17768" t="str">
            <v>CB5327120-010R015</v>
          </cell>
          <cell r="E17768" t="str">
            <v>9555侧隔框</v>
          </cell>
        </row>
        <row r="17769">
          <cell r="D17769" t="str">
            <v>CB5327120-010R015</v>
          </cell>
          <cell r="E17769" t="str">
            <v>9555侧隔框</v>
          </cell>
        </row>
        <row r="17770">
          <cell r="D17770" t="str">
            <v>CB5327120-010L015</v>
          </cell>
          <cell r="E17770" t="str">
            <v>9555侧隔框</v>
          </cell>
        </row>
        <row r="17771">
          <cell r="D17771" t="str">
            <v>CB5327120-010L015</v>
          </cell>
          <cell r="E17771" t="str">
            <v>9555侧隔框</v>
          </cell>
        </row>
        <row r="17772">
          <cell r="D17772" t="str">
            <v>CB5327110-003L002</v>
          </cell>
          <cell r="E17772" t="str">
            <v>8635左隔框</v>
          </cell>
        </row>
        <row r="17773">
          <cell r="D17773" t="str">
            <v>CB5327110-003L002</v>
          </cell>
          <cell r="E17773" t="str">
            <v>8635左隔框</v>
          </cell>
        </row>
        <row r="17774">
          <cell r="D17774" t="str">
            <v>CB5327110-003L002</v>
          </cell>
          <cell r="E17774" t="str">
            <v>8635左隔框</v>
          </cell>
        </row>
        <row r="17775">
          <cell r="D17775" t="str">
            <v>CB5327110-003L002</v>
          </cell>
          <cell r="E17775" t="str">
            <v>8635左隔框</v>
          </cell>
        </row>
        <row r="17776">
          <cell r="D17776" t="str">
            <v>CB5327110-003R002</v>
          </cell>
          <cell r="E17776" t="str">
            <v>8635右隔框</v>
          </cell>
        </row>
        <row r="17777">
          <cell r="D17777" t="str">
            <v>CB5327110-003R002</v>
          </cell>
          <cell r="E17777" t="str">
            <v>8635右隔框</v>
          </cell>
        </row>
        <row r="17778">
          <cell r="D17778" t="str">
            <v>CB5327110-003R002</v>
          </cell>
          <cell r="E17778" t="str">
            <v>8635右隔框</v>
          </cell>
        </row>
        <row r="17779">
          <cell r="D17779" t="str">
            <v>CB5327110-003R002</v>
          </cell>
          <cell r="E17779" t="str">
            <v>8635右隔框</v>
          </cell>
        </row>
        <row r="17780">
          <cell r="D17780" t="str">
            <v>CB5327110-002L004</v>
          </cell>
          <cell r="E17780" t="str">
            <v>8270左隔框</v>
          </cell>
        </row>
        <row r="17781">
          <cell r="D17781" t="str">
            <v>CB5327110-002L004</v>
          </cell>
          <cell r="E17781" t="str">
            <v>8270左隔框</v>
          </cell>
        </row>
        <row r="17782">
          <cell r="D17782" t="str">
            <v>CB5327110-002L004</v>
          </cell>
          <cell r="E17782" t="str">
            <v>8270左隔框</v>
          </cell>
        </row>
        <row r="17783">
          <cell r="D17783" t="str">
            <v>CB5327110-002L004</v>
          </cell>
          <cell r="E17783" t="str">
            <v>8270左隔框</v>
          </cell>
        </row>
        <row r="17784">
          <cell r="D17784" t="str">
            <v>CB5327110-002R004</v>
          </cell>
          <cell r="E17784" t="str">
            <v>8270右隔框</v>
          </cell>
        </row>
        <row r="17785">
          <cell r="D17785" t="str">
            <v>CB5327110-002R004</v>
          </cell>
          <cell r="E17785" t="str">
            <v>8270右隔框</v>
          </cell>
        </row>
        <row r="17786">
          <cell r="D17786" t="str">
            <v>CB5327110-002R004</v>
          </cell>
          <cell r="E17786" t="str">
            <v>8270右隔框</v>
          </cell>
        </row>
        <row r="17787">
          <cell r="D17787" t="str">
            <v>CB5327110-002R004</v>
          </cell>
          <cell r="E17787" t="str">
            <v>8270右隔框</v>
          </cell>
        </row>
        <row r="17788">
          <cell r="D17788" t="str">
            <v>CB5327110-002R004</v>
          </cell>
          <cell r="E17788" t="str">
            <v>8270右隔框</v>
          </cell>
        </row>
        <row r="17789">
          <cell r="D17789" t="str">
            <v>CB5327110-002R004</v>
          </cell>
          <cell r="E17789" t="str">
            <v>8270右隔框</v>
          </cell>
        </row>
        <row r="17790">
          <cell r="D17790" t="str">
            <v>CB5327110-002R004</v>
          </cell>
          <cell r="E17790" t="str">
            <v>8270右隔框</v>
          </cell>
        </row>
        <row r="17791">
          <cell r="D17791" t="str">
            <v>CB5327110-002R004</v>
          </cell>
          <cell r="E17791" t="str">
            <v>8270右隔框</v>
          </cell>
        </row>
        <row r="17792">
          <cell r="D17792" t="str">
            <v>CB5327110-002R004</v>
          </cell>
          <cell r="E17792" t="str">
            <v>8270右隔框</v>
          </cell>
        </row>
        <row r="17793">
          <cell r="D17793" t="str">
            <v>CB5327110-002R004</v>
          </cell>
          <cell r="E17793" t="str">
            <v>8270右隔框</v>
          </cell>
        </row>
        <row r="17794">
          <cell r="D17794" t="str">
            <v>DD-J10-21102-271</v>
          </cell>
          <cell r="E17794" t="str">
            <v>3#上垫片</v>
          </cell>
        </row>
        <row r="17795">
          <cell r="D17795" t="str">
            <v>DD-J10-21102-271</v>
          </cell>
          <cell r="E17795" t="str">
            <v>3#上垫片</v>
          </cell>
        </row>
        <row r="17796">
          <cell r="D17796" t="str">
            <v>DD-J10-21102-272</v>
          </cell>
          <cell r="E17796" t="str">
            <v>3#下垫片</v>
          </cell>
        </row>
        <row r="17797">
          <cell r="D17797" t="str">
            <v>DD-J10-21102-272</v>
          </cell>
          <cell r="E17797" t="str">
            <v>3#下垫片</v>
          </cell>
        </row>
        <row r="17798">
          <cell r="D17798" t="str">
            <v>DD-J10-21102-273</v>
          </cell>
          <cell r="E17798" t="str">
            <v>4#上垫片</v>
          </cell>
        </row>
        <row r="17799">
          <cell r="D17799" t="str">
            <v>DD-J10-21102-273</v>
          </cell>
          <cell r="E17799" t="str">
            <v>4#上垫片</v>
          </cell>
        </row>
        <row r="17800">
          <cell r="D17800" t="str">
            <v>DD-J10-21102-274</v>
          </cell>
          <cell r="E17800" t="str">
            <v>4#下垫片</v>
          </cell>
        </row>
        <row r="17801">
          <cell r="D17801" t="str">
            <v>DD-J10-21102-274</v>
          </cell>
          <cell r="E17801" t="str">
            <v>4#下垫片</v>
          </cell>
        </row>
        <row r="17802">
          <cell r="D17802" t="str">
            <v>DD-J10-21102-274</v>
          </cell>
          <cell r="E17802" t="str">
            <v>4#下垫片</v>
          </cell>
        </row>
        <row r="17803">
          <cell r="D17803" t="str">
            <v>DD-J10B-04051-1</v>
          </cell>
          <cell r="E17803" t="str">
            <v>10460框</v>
          </cell>
        </row>
        <row r="17804">
          <cell r="D17804" t="str">
            <v>DD-J10B-04051-1</v>
          </cell>
          <cell r="E17804" t="str">
            <v>10460框</v>
          </cell>
        </row>
        <row r="17805">
          <cell r="D17805" t="str">
            <v>DD-J10B-04051-1</v>
          </cell>
          <cell r="E17805" t="str">
            <v>10460框</v>
          </cell>
        </row>
        <row r="17806">
          <cell r="D17806" t="str">
            <v>DD-J10B-04051-1</v>
          </cell>
          <cell r="E17806" t="str">
            <v>10460框</v>
          </cell>
        </row>
        <row r="17807">
          <cell r="D17807" t="str">
            <v>DD-J10S-04031-1</v>
          </cell>
          <cell r="E17807" t="str">
            <v>8700框(精加工）</v>
          </cell>
        </row>
        <row r="17808">
          <cell r="D17808" t="str">
            <v>DD-J10S-04031-1</v>
          </cell>
          <cell r="E17808" t="str">
            <v>8700框(精加工）</v>
          </cell>
        </row>
        <row r="17809">
          <cell r="D17809" t="str">
            <v>531A9100-007-001</v>
          </cell>
          <cell r="E17809" t="str">
            <v>前起落架水平接头</v>
          </cell>
        </row>
        <row r="17810">
          <cell r="D17810" t="str">
            <v>531A9100-007-001</v>
          </cell>
          <cell r="E17810" t="str">
            <v>前起落架水平接头</v>
          </cell>
        </row>
        <row r="17811">
          <cell r="D17811" t="str">
            <v>531A9100-007-001</v>
          </cell>
          <cell r="E17811" t="str">
            <v>前起落架水平接头</v>
          </cell>
        </row>
        <row r="17812">
          <cell r="D17812" t="str">
            <v>CB2292112-004-001</v>
          </cell>
          <cell r="E17812" t="str">
            <v>螺栓</v>
          </cell>
        </row>
        <row r="17813">
          <cell r="D17813" t="str">
            <v>CB2292112-003-001</v>
          </cell>
          <cell r="E17813" t="str">
            <v>小轴</v>
          </cell>
        </row>
        <row r="17814">
          <cell r="D17814" t="str">
            <v>CB2292112-004-001</v>
          </cell>
          <cell r="E17814" t="str">
            <v>螺栓</v>
          </cell>
        </row>
        <row r="17815">
          <cell r="D17815" t="str">
            <v>CB2293181-004-001</v>
          </cell>
          <cell r="E17815" t="str">
            <v>衬套</v>
          </cell>
        </row>
        <row r="17816">
          <cell r="D17816" t="str">
            <v>CB2280231-004-001</v>
          </cell>
          <cell r="E17816" t="str">
            <v>轴</v>
          </cell>
        </row>
        <row r="17817">
          <cell r="D17817" t="str">
            <v>CB2280231-004-001</v>
          </cell>
          <cell r="E17817" t="str">
            <v>轴</v>
          </cell>
        </row>
        <row r="17818">
          <cell r="D17818" t="str">
            <v>CB2280231N003-001</v>
          </cell>
          <cell r="E17818" t="str">
            <v>管子</v>
          </cell>
        </row>
        <row r="17819">
          <cell r="D17819" t="str">
            <v>CB2292112-003-001</v>
          </cell>
          <cell r="E17819" t="str">
            <v>小轴</v>
          </cell>
        </row>
        <row r="17820">
          <cell r="D17820" t="str">
            <v>CB2292112-003-001</v>
          </cell>
          <cell r="E17820" t="str">
            <v>小轴</v>
          </cell>
        </row>
        <row r="17821">
          <cell r="D17821" t="str">
            <v>CB22836Y6-003-001</v>
          </cell>
          <cell r="E17821" t="str">
            <v>轴</v>
          </cell>
        </row>
        <row r="17822">
          <cell r="D17822" t="str">
            <v>CB22836Y6-003-001</v>
          </cell>
          <cell r="E17822" t="str">
            <v>轴</v>
          </cell>
        </row>
        <row r="17823">
          <cell r="D17823" t="str">
            <v>CB2292112-004-001</v>
          </cell>
          <cell r="E17823" t="str">
            <v>螺栓</v>
          </cell>
        </row>
        <row r="17824">
          <cell r="D17824" t="str">
            <v>CB2292112-004-001</v>
          </cell>
          <cell r="E17824" t="str">
            <v>螺栓</v>
          </cell>
        </row>
        <row r="17825">
          <cell r="D17825" t="str">
            <v>CB2280231N003-001</v>
          </cell>
          <cell r="E17825" t="str">
            <v>管子</v>
          </cell>
        </row>
        <row r="17826">
          <cell r="D17826" t="str">
            <v>CB22836Y6-003-001</v>
          </cell>
          <cell r="E17826" t="str">
            <v>轴</v>
          </cell>
        </row>
        <row r="17827">
          <cell r="D17827" t="str">
            <v>CB22847Y1-008-001</v>
          </cell>
          <cell r="E17827" t="str">
            <v>轴</v>
          </cell>
        </row>
        <row r="17828">
          <cell r="D17828" t="str">
            <v>DD-J10B-94076-811</v>
          </cell>
          <cell r="E17828" t="str">
            <v>法兰盘</v>
          </cell>
        </row>
        <row r="17829">
          <cell r="D17829" t="str">
            <v>DD-J10B-94061-1061/2</v>
          </cell>
          <cell r="E17829" t="str">
            <v>法兰盘</v>
          </cell>
        </row>
        <row r="17830">
          <cell r="D17830" t="str">
            <v>DD-J10-55181-2540-2</v>
          </cell>
          <cell r="E17830" t="str">
            <v>小轴</v>
          </cell>
        </row>
        <row r="17831">
          <cell r="D17831" t="str">
            <v>DD-J10-55181-2540-1</v>
          </cell>
          <cell r="E17831" t="str">
            <v>螺栓</v>
          </cell>
        </row>
        <row r="17832">
          <cell r="D17832" t="str">
            <v>DD-J10-55023-632</v>
          </cell>
          <cell r="E17832" t="str">
            <v>小衬套</v>
          </cell>
        </row>
        <row r="17833">
          <cell r="D17833" t="str">
            <v>DD-J10-55181-2540-1</v>
          </cell>
          <cell r="E17833" t="str">
            <v>螺栓</v>
          </cell>
        </row>
        <row r="17834">
          <cell r="D17834" t="str">
            <v>DD-J10-55014-1400-2</v>
          </cell>
          <cell r="E17834" t="str">
            <v>堵片</v>
          </cell>
        </row>
        <row r="17835">
          <cell r="D17835" t="str">
            <v>DD-J10-61001-722</v>
          </cell>
          <cell r="E17835" t="str">
            <v>螺栓</v>
          </cell>
        </row>
        <row r="17836">
          <cell r="D17836" t="str">
            <v>DD-J10-55181-2540-2</v>
          </cell>
          <cell r="E17836" t="str">
            <v>小轴</v>
          </cell>
        </row>
        <row r="17837">
          <cell r="D17837" t="str">
            <v>DD-J10B-94076-620-1</v>
          </cell>
          <cell r="E17837" t="str">
            <v>管子</v>
          </cell>
        </row>
        <row r="17838">
          <cell r="D17838" t="str">
            <v>DD-J10B-94061-1061/1</v>
          </cell>
          <cell r="E17838" t="str">
            <v>法兰盘</v>
          </cell>
        </row>
        <row r="17839">
          <cell r="D17839" t="str">
            <v>DD-J10B-94091-26G2</v>
          </cell>
          <cell r="E17839" t="str">
            <v>20-20-16-4四通接头</v>
          </cell>
        </row>
        <row r="17840">
          <cell r="D17840" t="str">
            <v>DD-J10-71211-326</v>
          </cell>
          <cell r="E17840" t="str">
            <v>盖片</v>
          </cell>
        </row>
        <row r="17841">
          <cell r="D17841" t="str">
            <v>BC2332H01-008-001</v>
          </cell>
          <cell r="E17841" t="str">
            <v>衬套</v>
          </cell>
        </row>
        <row r="17842">
          <cell r="D17842" t="str">
            <v>Y20-5318120002-001</v>
          </cell>
          <cell r="E17842" t="str">
            <v>前起作动筒支座衬套</v>
          </cell>
        </row>
        <row r="17843">
          <cell r="D17843" t="str">
            <v>Y20-5318200003-001</v>
          </cell>
          <cell r="E17843" t="str">
            <v>主交点衬套</v>
          </cell>
        </row>
        <row r="17844">
          <cell r="D17844" t="str">
            <v>Y20-5318200003-002</v>
          </cell>
          <cell r="E17844" t="str">
            <v>主交点衬套</v>
          </cell>
        </row>
        <row r="17845">
          <cell r="D17845" t="str">
            <v>Y20-5318200002-001</v>
          </cell>
          <cell r="E17845" t="str">
            <v>主交点衬套</v>
          </cell>
        </row>
        <row r="17846">
          <cell r="D17846" t="str">
            <v>Y20-5318210003-001</v>
          </cell>
          <cell r="E17846" t="str">
            <v>前撑杆交点衬套</v>
          </cell>
        </row>
        <row r="17847">
          <cell r="D17847" t="str">
            <v>Y20-5318210004-001</v>
          </cell>
          <cell r="E17847" t="str">
            <v>舱门摇臂交点衬套</v>
          </cell>
        </row>
        <row r="17848">
          <cell r="D17848" t="str">
            <v>Y20-5318210002-001</v>
          </cell>
          <cell r="E17848" t="str">
            <v>前撑杆交点衬套</v>
          </cell>
        </row>
        <row r="17849">
          <cell r="D17849" t="str">
            <v>Y20-5318210003-002</v>
          </cell>
          <cell r="E17849" t="str">
            <v>前撑杆交点衬套</v>
          </cell>
        </row>
        <row r="17850">
          <cell r="D17850" t="str">
            <v>Y20-5318210004-002</v>
          </cell>
          <cell r="E17850" t="str">
            <v>舱门摇臂交点衬套</v>
          </cell>
        </row>
        <row r="17851">
          <cell r="D17851" t="str">
            <v>CB5822016-029R001</v>
          </cell>
          <cell r="E17851" t="str">
            <v>角片</v>
          </cell>
        </row>
        <row r="17852">
          <cell r="D17852" t="str">
            <v>CB5822016-029R001</v>
          </cell>
          <cell r="E17852" t="str">
            <v>角片</v>
          </cell>
        </row>
        <row r="17853">
          <cell r="D17853" t="str">
            <v>CB5822016-029R001</v>
          </cell>
          <cell r="E17853" t="str">
            <v>角片</v>
          </cell>
        </row>
        <row r="17854">
          <cell r="D17854" t="str">
            <v>CB5822016-029R001</v>
          </cell>
          <cell r="E17854" t="str">
            <v>角片</v>
          </cell>
        </row>
        <row r="17855">
          <cell r="D17855" t="str">
            <v>CB5325210-001-004</v>
          </cell>
          <cell r="E17855" t="str">
            <v>辅助动力舱口盖前段</v>
          </cell>
        </row>
        <row r="17856">
          <cell r="D17856" t="str">
            <v>CB5325210-001-004</v>
          </cell>
          <cell r="E17856" t="str">
            <v>辅助动力舱口盖前段</v>
          </cell>
        </row>
        <row r="17857">
          <cell r="D17857" t="str">
            <v>CB5325210-001-004</v>
          </cell>
          <cell r="E17857" t="str">
            <v>辅助动力舱口盖前段</v>
          </cell>
        </row>
        <row r="17858">
          <cell r="D17858" t="str">
            <v>CB5325210-001-004</v>
          </cell>
          <cell r="E17858" t="str">
            <v>辅助动力舱口盖前段</v>
          </cell>
        </row>
        <row r="17859">
          <cell r="D17859" t="str">
            <v>CB5325210-001-004</v>
          </cell>
          <cell r="E17859" t="str">
            <v>辅助动力舱口盖前段</v>
          </cell>
        </row>
        <row r="17860">
          <cell r="D17860" t="str">
            <v>CB5325210-001-004</v>
          </cell>
          <cell r="E17860" t="str">
            <v>辅助动力舱口盖前段</v>
          </cell>
        </row>
        <row r="17861">
          <cell r="D17861" t="str">
            <v>CB229C050-007-003</v>
          </cell>
          <cell r="E17861" t="str">
            <v>摇臂</v>
          </cell>
        </row>
        <row r="17862">
          <cell r="D17862" t="str">
            <v>DD-J10B-24002-60G2-1G2-Y</v>
          </cell>
          <cell r="E17862" t="str">
            <v>付翼前梁</v>
          </cell>
        </row>
        <row r="17863">
          <cell r="D17863" t="str">
            <v>DD-J10B-24002-60G2-1G2-Z</v>
          </cell>
          <cell r="E17863" t="str">
            <v>付翼前梁</v>
          </cell>
        </row>
        <row r="17864">
          <cell r="D17864" t="str">
            <v>CB5326200-133L002</v>
          </cell>
          <cell r="E17864" t="str">
            <v>8815 4号加强筋</v>
          </cell>
        </row>
        <row r="17865">
          <cell r="D17865" t="str">
            <v>CB5326200-133R002</v>
          </cell>
          <cell r="E17865" t="str">
            <v>8815 4号加强筋</v>
          </cell>
        </row>
        <row r="17866">
          <cell r="D17866" t="str">
            <v>CB5326200-125L002</v>
          </cell>
          <cell r="E17866" t="str">
            <v>9200 3号加强筋</v>
          </cell>
        </row>
        <row r="17867">
          <cell r="D17867" t="str">
            <v>CB5326200-125L002</v>
          </cell>
          <cell r="E17867" t="str">
            <v>9200 3号加强筋</v>
          </cell>
        </row>
        <row r="17868">
          <cell r="D17868" t="str">
            <v>CB5326200-125L002</v>
          </cell>
          <cell r="E17868" t="str">
            <v>9200 3号加强筋</v>
          </cell>
        </row>
        <row r="17869">
          <cell r="D17869" t="str">
            <v>CB5326200-125R002</v>
          </cell>
          <cell r="E17869" t="str">
            <v>9200 3号加强筋</v>
          </cell>
        </row>
        <row r="17870">
          <cell r="D17870" t="str">
            <v>CB5326200-125R002</v>
          </cell>
          <cell r="E17870" t="str">
            <v>9200 3号加强筋</v>
          </cell>
        </row>
        <row r="17871">
          <cell r="D17871" t="str">
            <v>CB5326200-125R002</v>
          </cell>
          <cell r="E17871" t="str">
            <v>9200 3号加强筋</v>
          </cell>
        </row>
        <row r="17872">
          <cell r="D17872" t="str">
            <v>CB5323210-002-028</v>
          </cell>
          <cell r="E17872" t="str">
            <v>10540中框</v>
          </cell>
        </row>
        <row r="17873">
          <cell r="D17873" t="str">
            <v>CB5323210-002-028</v>
          </cell>
          <cell r="E17873" t="str">
            <v>10540中框</v>
          </cell>
        </row>
        <row r="17874">
          <cell r="D17874" t="str">
            <v>CB5326200-134L002</v>
          </cell>
          <cell r="E17874" t="str">
            <v>9010 4号加强筋</v>
          </cell>
        </row>
        <row r="17875">
          <cell r="D17875" t="str">
            <v>CB5326200-134L002</v>
          </cell>
          <cell r="E17875" t="str">
            <v>9010 4号加强筋</v>
          </cell>
        </row>
        <row r="17876">
          <cell r="D17876" t="str">
            <v>CB5326200-134L002</v>
          </cell>
          <cell r="E17876" t="str">
            <v>9010 4号加强筋</v>
          </cell>
        </row>
        <row r="17877">
          <cell r="D17877" t="str">
            <v>CB5326200-134R002</v>
          </cell>
          <cell r="E17877" t="str">
            <v>9010 4号加强筋</v>
          </cell>
        </row>
        <row r="17878">
          <cell r="D17878" t="str">
            <v>CB5326200-134R002</v>
          </cell>
          <cell r="E17878" t="str">
            <v>9010 4号加强筋</v>
          </cell>
        </row>
        <row r="17879">
          <cell r="D17879" t="str">
            <v>CB5326200-134R002</v>
          </cell>
          <cell r="E17879" t="str">
            <v>9010 4号加强筋</v>
          </cell>
        </row>
        <row r="17880">
          <cell r="D17880" t="str">
            <v>CB5326200-134L002</v>
          </cell>
          <cell r="E17880" t="str">
            <v>9010 4号加强筋</v>
          </cell>
        </row>
        <row r="17881">
          <cell r="D17881" t="str">
            <v>CB5326200-134L002</v>
          </cell>
          <cell r="E17881" t="str">
            <v>9010 4号加强筋</v>
          </cell>
        </row>
        <row r="17882">
          <cell r="D17882" t="str">
            <v>CB5326200-134L002</v>
          </cell>
          <cell r="E17882" t="str">
            <v>9010 4号加强筋</v>
          </cell>
        </row>
        <row r="17883">
          <cell r="D17883" t="str">
            <v>CB5326200-134R002</v>
          </cell>
          <cell r="E17883" t="str">
            <v>9010 4号加强筋</v>
          </cell>
        </row>
        <row r="17884">
          <cell r="D17884" t="str">
            <v>CB5326200-134R002</v>
          </cell>
          <cell r="E17884" t="str">
            <v>9010 4号加强筋</v>
          </cell>
        </row>
        <row r="17885">
          <cell r="D17885" t="str">
            <v>CB5326200-134R002</v>
          </cell>
          <cell r="E17885" t="str">
            <v>9010 4号加强筋</v>
          </cell>
        </row>
        <row r="17886">
          <cell r="D17886" t="str">
            <v>CB5714100-003L003</v>
          </cell>
          <cell r="E17886" t="str">
            <v>根肋三段</v>
          </cell>
        </row>
        <row r="17887">
          <cell r="D17887" t="str">
            <v>CB5714100-003L003</v>
          </cell>
          <cell r="E17887" t="str">
            <v>根肋三段</v>
          </cell>
        </row>
        <row r="17888">
          <cell r="D17888" t="str">
            <v>CB5714100-003L003</v>
          </cell>
          <cell r="E17888" t="str">
            <v>根肋三段</v>
          </cell>
        </row>
        <row r="17889">
          <cell r="D17889" t="str">
            <v>CB5714100-003L003</v>
          </cell>
          <cell r="E17889" t="str">
            <v>根肋三段</v>
          </cell>
        </row>
        <row r="17890">
          <cell r="D17890" t="str">
            <v>CB5714100-003R003</v>
          </cell>
          <cell r="E17890" t="str">
            <v>根肋三段</v>
          </cell>
        </row>
        <row r="17891">
          <cell r="D17891" t="str">
            <v>CB5714100-003R003</v>
          </cell>
          <cell r="E17891" t="str">
            <v>根肋三段</v>
          </cell>
        </row>
        <row r="17892">
          <cell r="D17892" t="str">
            <v>CB5714100-003R003</v>
          </cell>
          <cell r="E17892" t="str">
            <v>根肋三段</v>
          </cell>
        </row>
        <row r="17893">
          <cell r="D17893" t="str">
            <v>CB5714100-003R003</v>
          </cell>
          <cell r="E17893" t="str">
            <v>根肋三段</v>
          </cell>
        </row>
        <row r="17894">
          <cell r="D17894" t="str">
            <v>DD-J10-91001-1</v>
          </cell>
          <cell r="E17894" t="str">
            <v>支座</v>
          </cell>
        </row>
        <row r="17895">
          <cell r="D17895" t="str">
            <v>Y20-5315200048-501</v>
          </cell>
          <cell r="E17895" t="str">
            <v>锁柱短横梁</v>
          </cell>
        </row>
        <row r="17896">
          <cell r="D17896" t="str">
            <v>Y20-5315200048-502</v>
          </cell>
          <cell r="E17896" t="str">
            <v>锁柱短横梁</v>
          </cell>
        </row>
        <row r="17897">
          <cell r="D17897" t="str">
            <v>DD-J10B-02081-61-Z</v>
          </cell>
          <cell r="E17897" t="str">
            <v>角材</v>
          </cell>
        </row>
        <row r="17898">
          <cell r="D17898" t="str">
            <v>DD-J10B-02081-61-Z</v>
          </cell>
          <cell r="E17898" t="str">
            <v>角材</v>
          </cell>
        </row>
        <row r="17899">
          <cell r="D17899" t="str">
            <v>DD-J10B-02081-61-Y</v>
          </cell>
          <cell r="E17899" t="str">
            <v>角材</v>
          </cell>
        </row>
        <row r="17900">
          <cell r="D17900" t="str">
            <v>DD-J10B-02081-61-Y</v>
          </cell>
          <cell r="E17900" t="str">
            <v>角材</v>
          </cell>
        </row>
        <row r="17901">
          <cell r="D17901" t="str">
            <v>CB5322400-016-061</v>
          </cell>
          <cell r="E17901" t="str">
            <v>11140框左下半框</v>
          </cell>
        </row>
        <row r="17902">
          <cell r="D17902" t="str">
            <v>CB5322400-016-061</v>
          </cell>
          <cell r="E17902" t="str">
            <v>11140框左下半框</v>
          </cell>
        </row>
        <row r="17903">
          <cell r="D17903" t="str">
            <v>CB5322400-016-061</v>
          </cell>
          <cell r="E17903" t="str">
            <v>11140框左下半框</v>
          </cell>
        </row>
        <row r="17904">
          <cell r="D17904" t="str">
            <v>CB5322400-016-061</v>
          </cell>
          <cell r="E17904" t="str">
            <v>11140框左下半框</v>
          </cell>
        </row>
        <row r="17905">
          <cell r="D17905" t="str">
            <v>CB5322400-016-061</v>
          </cell>
          <cell r="E17905" t="str">
            <v>11140框左下半框</v>
          </cell>
        </row>
        <row r="17906">
          <cell r="D17906" t="str">
            <v>CB5322400-017-061</v>
          </cell>
          <cell r="E17906" t="str">
            <v>11140框右下半框</v>
          </cell>
        </row>
        <row r="17907">
          <cell r="D17907" t="str">
            <v>CB5322400-017-061</v>
          </cell>
          <cell r="E17907" t="str">
            <v>11140框右下半框</v>
          </cell>
        </row>
        <row r="17908">
          <cell r="D17908" t="str">
            <v>CB5322400-017-061</v>
          </cell>
          <cell r="E17908" t="str">
            <v>11140框右下半框</v>
          </cell>
        </row>
        <row r="17909">
          <cell r="D17909" t="str">
            <v>CB5322400-017-061</v>
          </cell>
          <cell r="E17909" t="str">
            <v>11140框右下半框</v>
          </cell>
        </row>
        <row r="17910">
          <cell r="D17910" t="str">
            <v>Y20-5319540003-001</v>
          </cell>
          <cell r="E17910" t="str">
            <v>转盘</v>
          </cell>
        </row>
        <row r="17911">
          <cell r="D17911" t="str">
            <v>XXX-6700000-01</v>
          </cell>
          <cell r="E17911" t="str">
            <v>壳体</v>
          </cell>
        </row>
        <row r="17912">
          <cell r="D17912" t="str">
            <v>XXX-6700000-02</v>
          </cell>
          <cell r="E17912" t="str">
            <v>上盖板</v>
          </cell>
        </row>
        <row r="17913">
          <cell r="D17913" t="str">
            <v>XXX-6700000-03</v>
          </cell>
          <cell r="E17913" t="str">
            <v>下盖板</v>
          </cell>
        </row>
        <row r="17914">
          <cell r="D17914" t="str">
            <v>XXX-100-05_01</v>
          </cell>
          <cell r="E17914" t="str">
            <v>塞片</v>
          </cell>
        </row>
        <row r="17915">
          <cell r="D17915" t="str">
            <v>XXX-100-05_02</v>
          </cell>
          <cell r="E17915" t="str">
            <v>塞片</v>
          </cell>
        </row>
        <row r="17916">
          <cell r="D17916" t="str">
            <v>XXX-100-06_01</v>
          </cell>
          <cell r="E17916" t="str">
            <v>底板</v>
          </cell>
        </row>
        <row r="17917">
          <cell r="D17917" t="str">
            <v>XXX-100-06_02</v>
          </cell>
          <cell r="E17917" t="str">
            <v>底板</v>
          </cell>
        </row>
        <row r="17918">
          <cell r="D17918" t="str">
            <v>XXX-100-06_03</v>
          </cell>
          <cell r="E17918" t="str">
            <v>底板</v>
          </cell>
        </row>
        <row r="17919">
          <cell r="D17919" t="str">
            <v>XXX-100-07_01</v>
          </cell>
          <cell r="E17919" t="str">
            <v>贴片</v>
          </cell>
        </row>
        <row r="17920">
          <cell r="D17920" t="str">
            <v>XXX-100-07_02</v>
          </cell>
          <cell r="E17920" t="str">
            <v>贴片</v>
          </cell>
        </row>
        <row r="17921">
          <cell r="D17921" t="str">
            <v>XXX-100-07_03</v>
          </cell>
          <cell r="E17921" t="str">
            <v>贴片</v>
          </cell>
        </row>
        <row r="17922">
          <cell r="D17922" t="str">
            <v>XXX-100-07_04</v>
          </cell>
          <cell r="E17922" t="str">
            <v>贴片</v>
          </cell>
        </row>
        <row r="17923">
          <cell r="D17923" t="str">
            <v>XXX-100-07_05</v>
          </cell>
          <cell r="E17923" t="str">
            <v>贴片</v>
          </cell>
        </row>
        <row r="17924">
          <cell r="D17924" t="str">
            <v>XXX-100-07_06</v>
          </cell>
          <cell r="E17924" t="str">
            <v>贴片</v>
          </cell>
        </row>
        <row r="17925">
          <cell r="D17925" t="str">
            <v>XXX-100-09_01</v>
          </cell>
          <cell r="E17925" t="str">
            <v>调谐片</v>
          </cell>
        </row>
        <row r="17926">
          <cell r="D17926" t="str">
            <v>XXX-100-09_02</v>
          </cell>
          <cell r="E17926" t="str">
            <v>调谐片</v>
          </cell>
        </row>
        <row r="17927">
          <cell r="D17927" t="str">
            <v>XXX-200-01</v>
          </cell>
          <cell r="E17927" t="str">
            <v>XXX器盖板</v>
          </cell>
        </row>
        <row r="17928">
          <cell r="D17928" t="str">
            <v>XXX-200-02</v>
          </cell>
          <cell r="E17928" t="str">
            <v>XXX器腔体</v>
          </cell>
        </row>
        <row r="17929">
          <cell r="D17929" t="str">
            <v>BC5822100-002L001</v>
          </cell>
          <cell r="E17929" t="str">
            <v>止动摇臂</v>
          </cell>
        </row>
        <row r="17930">
          <cell r="D17930" t="str">
            <v>DD-J10-55014-3101</v>
          </cell>
          <cell r="E17930" t="str">
            <v>接管嘴</v>
          </cell>
        </row>
        <row r="17931">
          <cell r="D17931" t="str">
            <v>DD-J10-55014-3101</v>
          </cell>
          <cell r="E17931" t="str">
            <v>接管嘴</v>
          </cell>
        </row>
        <row r="17932">
          <cell r="D17932" t="str">
            <v>DD-J10-55014-3101</v>
          </cell>
          <cell r="E17932" t="str">
            <v>接管嘴</v>
          </cell>
        </row>
        <row r="17933">
          <cell r="D17933" t="str">
            <v>DD-J10-34103-4</v>
          </cell>
          <cell r="E17933" t="str">
            <v>上边肋</v>
          </cell>
        </row>
        <row r="17934">
          <cell r="D17934" t="str">
            <v>DD-J10-34103-4</v>
          </cell>
          <cell r="E17934" t="str">
            <v>上边肋</v>
          </cell>
        </row>
        <row r="17935">
          <cell r="D17935" t="str">
            <v>DD-J10-34103-4</v>
          </cell>
          <cell r="E17935" t="str">
            <v>上边肋</v>
          </cell>
        </row>
        <row r="17936">
          <cell r="D17936" t="str">
            <v>CB5324320-007R009</v>
          </cell>
          <cell r="E17936" t="str">
            <v>横梁</v>
          </cell>
        </row>
        <row r="17937">
          <cell r="D17937" t="str">
            <v>CB5324320-007L009</v>
          </cell>
          <cell r="E17937" t="str">
            <v>横梁</v>
          </cell>
        </row>
        <row r="17938">
          <cell r="D17938" t="str">
            <v>DD-J10B-65000-1901G2</v>
          </cell>
          <cell r="E17938" t="str">
            <v>固定板</v>
          </cell>
        </row>
        <row r="17939">
          <cell r="D17939" t="str">
            <v>DD-J10-55222-3106</v>
          </cell>
          <cell r="E17939" t="str">
            <v>30°拧入式管接头</v>
          </cell>
        </row>
        <row r="17940">
          <cell r="D17940" t="str">
            <v>DD-J10-55181-6</v>
          </cell>
          <cell r="E17940" t="str">
            <v>变径三通管接头</v>
          </cell>
        </row>
        <row r="17941">
          <cell r="D17941" t="str">
            <v>DD-J10B-24002-60G2-1G2-Z</v>
          </cell>
          <cell r="E17941" t="str">
            <v>付翼前梁</v>
          </cell>
        </row>
        <row r="17942">
          <cell r="D17942" t="str">
            <v>DD-J10B-24002-60G2-1G2-Y</v>
          </cell>
          <cell r="E17942" t="str">
            <v>付翼前梁</v>
          </cell>
        </row>
        <row r="17943">
          <cell r="D17943" t="str">
            <v>DD-J10B-26002-1G2-Y</v>
          </cell>
          <cell r="E17943" t="str">
            <v>梁（右件）</v>
          </cell>
        </row>
        <row r="17944">
          <cell r="D17944" t="str">
            <v>DD-J10B-26002-1G2-Y</v>
          </cell>
          <cell r="E17944" t="str">
            <v>梁（右件）</v>
          </cell>
        </row>
        <row r="17945">
          <cell r="D17945" t="str">
            <v>DD-J10B-26002-1G2-Y</v>
          </cell>
          <cell r="E17945" t="str">
            <v>梁（右件）</v>
          </cell>
        </row>
        <row r="17946">
          <cell r="D17946" t="str">
            <v>DD-J10B-26002-1G2-Y</v>
          </cell>
          <cell r="E17946" t="str">
            <v>梁（右件）</v>
          </cell>
        </row>
        <row r="17947">
          <cell r="D17947" t="str">
            <v>DD-J10B-26002-1G2-Y</v>
          </cell>
          <cell r="E17947" t="str">
            <v>梁（右件）</v>
          </cell>
        </row>
        <row r="17948">
          <cell r="D17948" t="str">
            <v>DD-J10B-26002-1G2-Y</v>
          </cell>
          <cell r="E17948" t="str">
            <v>梁（右件）</v>
          </cell>
        </row>
        <row r="17949">
          <cell r="D17949" t="str">
            <v>DD-J10B-26002-1G2-Y</v>
          </cell>
          <cell r="E17949" t="str">
            <v>梁（右件）</v>
          </cell>
        </row>
        <row r="17950">
          <cell r="D17950" t="str">
            <v>DD-J10B-26002-1G2-Y</v>
          </cell>
          <cell r="E17950" t="str">
            <v>梁（右件）</v>
          </cell>
        </row>
        <row r="17951">
          <cell r="D17951" t="str">
            <v>DD-J10B-26002-1G2-Z</v>
          </cell>
          <cell r="E17951" t="str">
            <v>梁（左件）</v>
          </cell>
        </row>
        <row r="17952">
          <cell r="D17952" t="str">
            <v>DD-J10B-26002-1G2-Z</v>
          </cell>
          <cell r="E17952" t="str">
            <v>梁（左件）</v>
          </cell>
        </row>
        <row r="17953">
          <cell r="D17953" t="str">
            <v>DD-J10B-26002-1G2-Z</v>
          </cell>
          <cell r="E17953" t="str">
            <v>梁（左件）</v>
          </cell>
        </row>
        <row r="17954">
          <cell r="D17954" t="str">
            <v>DD-J10B-26002-1G2-Z</v>
          </cell>
          <cell r="E17954" t="str">
            <v>梁（左件）</v>
          </cell>
        </row>
        <row r="17955">
          <cell r="D17955" t="str">
            <v>DD-J10B-26002-1G2-Z</v>
          </cell>
          <cell r="E17955" t="str">
            <v>梁（左件）</v>
          </cell>
        </row>
        <row r="17956">
          <cell r="D17956" t="str">
            <v>DD-J10B-26002-1G2-Z</v>
          </cell>
          <cell r="E17956" t="str">
            <v>梁（左件）</v>
          </cell>
        </row>
        <row r="17957">
          <cell r="D17957" t="str">
            <v>DD-J10B-26002-1G2-Z</v>
          </cell>
          <cell r="E17957" t="str">
            <v>梁（左件）</v>
          </cell>
        </row>
        <row r="17958">
          <cell r="D17958" t="str">
            <v>DD-J10B-26002-1G2-Z</v>
          </cell>
          <cell r="E17958" t="str">
            <v>梁（左件）</v>
          </cell>
        </row>
        <row r="17959">
          <cell r="D17959" t="str">
            <v>CB5323210-005L065</v>
          </cell>
          <cell r="E17959" t="str">
            <v>9350-11140左侧上梁</v>
          </cell>
        </row>
        <row r="17960">
          <cell r="D17960" t="str">
            <v>CB5323210-005L065</v>
          </cell>
          <cell r="E17960" t="str">
            <v>9350-11140左侧上梁</v>
          </cell>
        </row>
        <row r="17961">
          <cell r="D17961" t="str">
            <v>CB5323210-005L065</v>
          </cell>
          <cell r="E17961" t="str">
            <v>9350-11140左侧上梁</v>
          </cell>
        </row>
        <row r="17962">
          <cell r="D17962" t="str">
            <v>CB5323210-005L065</v>
          </cell>
          <cell r="E17962" t="str">
            <v>9350-11140左侧上梁</v>
          </cell>
        </row>
        <row r="17963">
          <cell r="D17963" t="str">
            <v>CB5323220-052-024</v>
          </cell>
          <cell r="E17963" t="str">
            <v>9350-11140右侧上梁</v>
          </cell>
        </row>
        <row r="17964">
          <cell r="D17964" t="str">
            <v>CB5323220-052-024</v>
          </cell>
          <cell r="E17964" t="str">
            <v>9350-11140右侧上梁</v>
          </cell>
        </row>
        <row r="17965">
          <cell r="D17965" t="str">
            <v>CB5323220-052-024</v>
          </cell>
          <cell r="E17965" t="str">
            <v>9350-11140右侧上梁</v>
          </cell>
        </row>
        <row r="17966">
          <cell r="D17966" t="str">
            <v>CB5323220-052-024</v>
          </cell>
          <cell r="E17966" t="str">
            <v>9350-11140右侧上梁</v>
          </cell>
        </row>
        <row r="17967">
          <cell r="D17967" t="str">
            <v>CB5512300-014R001</v>
          </cell>
          <cell r="E17967" t="str">
            <v>角盒</v>
          </cell>
        </row>
        <row r="17968">
          <cell r="D17968" t="str">
            <v>CB5512300-014L001</v>
          </cell>
          <cell r="E17968" t="str">
            <v>角盒</v>
          </cell>
        </row>
        <row r="17969">
          <cell r="D17969" t="str">
            <v>DD-J10B-21002-2-Y</v>
          </cell>
          <cell r="E17969" t="str">
            <v>4号下壁板（右件）</v>
          </cell>
        </row>
        <row r="17970">
          <cell r="D17970" t="str">
            <v>DD-J10B-21002-2-Y</v>
          </cell>
          <cell r="E17970" t="str">
            <v>4号下壁板（右件）</v>
          </cell>
        </row>
        <row r="17971">
          <cell r="D17971" t="str">
            <v>DD-J10B-21002-2-Z</v>
          </cell>
          <cell r="E17971" t="str">
            <v>4号下壁板（左件）</v>
          </cell>
        </row>
        <row r="17972">
          <cell r="D17972" t="str">
            <v>DD-J10B-21002-2-Z</v>
          </cell>
          <cell r="E17972" t="str">
            <v>4号下壁板（左件）</v>
          </cell>
        </row>
        <row r="17973">
          <cell r="D17973" t="str">
            <v>CB5324500-004R004</v>
          </cell>
          <cell r="E17973" t="str">
            <v>后端框</v>
          </cell>
        </row>
        <row r="17974">
          <cell r="D17974" t="str">
            <v>CB5313200-004R006</v>
          </cell>
          <cell r="E17974" t="str">
            <v>右前分合面框</v>
          </cell>
        </row>
        <row r="17975">
          <cell r="D17975" t="str">
            <v>CB5822016-024L001</v>
          </cell>
          <cell r="E17975" t="str">
            <v>角片</v>
          </cell>
        </row>
        <row r="17976">
          <cell r="D17976" t="str">
            <v>CB5822016-024R001</v>
          </cell>
          <cell r="E17976" t="str">
            <v>角片</v>
          </cell>
        </row>
        <row r="17977">
          <cell r="D17977" t="str">
            <v>561A3310-007-501</v>
          </cell>
          <cell r="E17977" t="str">
            <v>衬套</v>
          </cell>
        </row>
        <row r="17978">
          <cell r="D17978" t="str">
            <v>CB5326200-134R002</v>
          </cell>
          <cell r="E17978" t="str">
            <v>9010 4号加强筋</v>
          </cell>
        </row>
        <row r="17979">
          <cell r="D17979" t="str">
            <v>CB5326200-134R002</v>
          </cell>
          <cell r="E17979" t="str">
            <v>9010 4号加强筋</v>
          </cell>
        </row>
        <row r="17980">
          <cell r="D17980" t="str">
            <v>CB5326200-134R002</v>
          </cell>
          <cell r="E17980" t="str">
            <v>9010 4号加强筋</v>
          </cell>
        </row>
        <row r="17981">
          <cell r="D17981" t="str">
            <v>CB5326200-134R002</v>
          </cell>
          <cell r="E17981" t="str">
            <v>9010 4号加强筋</v>
          </cell>
        </row>
        <row r="17982">
          <cell r="D17982" t="str">
            <v>CB5326200-134R002</v>
          </cell>
          <cell r="E17982" t="str">
            <v>9010 4号加强筋</v>
          </cell>
        </row>
        <row r="17983">
          <cell r="D17983" t="str">
            <v>CB5326200-134R002</v>
          </cell>
          <cell r="E17983" t="str">
            <v>9010 4号加强筋</v>
          </cell>
        </row>
        <row r="17984">
          <cell r="D17984" t="str">
            <v>CB5326200-134R002</v>
          </cell>
          <cell r="E17984" t="str">
            <v>9010 4号加强筋</v>
          </cell>
        </row>
        <row r="17985">
          <cell r="D17985" t="str">
            <v>CB5326200-134L002</v>
          </cell>
          <cell r="E17985" t="str">
            <v>9010 4号加强筋</v>
          </cell>
        </row>
        <row r="17986">
          <cell r="D17986" t="str">
            <v>CB5326200-134L002</v>
          </cell>
          <cell r="E17986" t="str">
            <v>9010 4号加强筋</v>
          </cell>
        </row>
        <row r="17987">
          <cell r="D17987" t="str">
            <v>CB5326200-134L002</v>
          </cell>
          <cell r="E17987" t="str">
            <v>9010 4号加强筋</v>
          </cell>
        </row>
        <row r="17988">
          <cell r="D17988" t="str">
            <v>CB5326200-134L002</v>
          </cell>
          <cell r="E17988" t="str">
            <v>9010 4号加强筋</v>
          </cell>
        </row>
        <row r="17989">
          <cell r="D17989" t="str">
            <v>CB5326200-134L002</v>
          </cell>
          <cell r="E17989" t="str">
            <v>9010 4号加强筋</v>
          </cell>
        </row>
        <row r="17990">
          <cell r="D17990" t="str">
            <v>CB5326200-134L002</v>
          </cell>
          <cell r="E17990" t="str">
            <v>9010 4号加强筋</v>
          </cell>
        </row>
        <row r="17991">
          <cell r="D17991" t="str">
            <v>CB5326200-134L002</v>
          </cell>
          <cell r="E17991" t="str">
            <v>9010 4号加强筋</v>
          </cell>
        </row>
        <row r="17992">
          <cell r="D17992" t="str">
            <v>CB5327110-003L002</v>
          </cell>
          <cell r="E17992" t="str">
            <v>8635左隔框</v>
          </cell>
        </row>
        <row r="17993">
          <cell r="D17993" t="str">
            <v>CB5327110-003L002</v>
          </cell>
          <cell r="E17993" t="str">
            <v>8635左隔框</v>
          </cell>
        </row>
        <row r="17994">
          <cell r="D17994" t="str">
            <v>CB5327110-003L002</v>
          </cell>
          <cell r="E17994" t="str">
            <v>8635左隔框</v>
          </cell>
        </row>
        <row r="17995">
          <cell r="D17995" t="str">
            <v>CB5327110-003R002</v>
          </cell>
          <cell r="E17995" t="str">
            <v>8635右隔框</v>
          </cell>
        </row>
        <row r="17996">
          <cell r="D17996" t="str">
            <v>CB5327110-003R002</v>
          </cell>
          <cell r="E17996" t="str">
            <v>8635右隔框</v>
          </cell>
        </row>
        <row r="17997">
          <cell r="D17997" t="str">
            <v>CB5327110-003R002</v>
          </cell>
          <cell r="E17997" t="str">
            <v>8635右隔框</v>
          </cell>
        </row>
        <row r="17998">
          <cell r="D17998" t="str">
            <v>CB5327110-003L002</v>
          </cell>
          <cell r="E17998" t="str">
            <v>8635左隔框</v>
          </cell>
        </row>
        <row r="17999">
          <cell r="D17999" t="str">
            <v>CB5327110-003L002</v>
          </cell>
          <cell r="E17999" t="str">
            <v>8635左隔框</v>
          </cell>
        </row>
        <row r="18000">
          <cell r="D18000" t="str">
            <v>CB5327110-003R002</v>
          </cell>
          <cell r="E18000" t="str">
            <v>8635右隔框</v>
          </cell>
        </row>
        <row r="18001">
          <cell r="D18001" t="str">
            <v>CB5327110-003R002</v>
          </cell>
          <cell r="E18001" t="str">
            <v>8635右隔框</v>
          </cell>
        </row>
        <row r="18002">
          <cell r="D18002" t="str">
            <v>DD-J10B-04501-10-1-Y</v>
          </cell>
          <cell r="E18002" t="str">
            <v>BL900侧梁</v>
          </cell>
        </row>
        <row r="18003">
          <cell r="D18003" t="str">
            <v>DD-J10B-04501-10-1-Y</v>
          </cell>
          <cell r="E18003" t="str">
            <v>BL900侧梁</v>
          </cell>
        </row>
        <row r="18004">
          <cell r="D18004" t="str">
            <v>DD-J10B-04501-10-1-Y</v>
          </cell>
          <cell r="E18004" t="str">
            <v>BL900侧梁</v>
          </cell>
        </row>
        <row r="18005">
          <cell r="D18005" t="str">
            <v>DD-J10B-04501-10-1-Y</v>
          </cell>
          <cell r="E18005" t="str">
            <v>BL900侧梁</v>
          </cell>
        </row>
        <row r="18006">
          <cell r="D18006" t="str">
            <v>DD-J10-41153-140</v>
          </cell>
          <cell r="E18006" t="str">
            <v>开锁摇臂</v>
          </cell>
        </row>
        <row r="18007">
          <cell r="D18007" t="str">
            <v>DD-J10B-02021-3/2-Y</v>
          </cell>
          <cell r="E18007" t="str">
            <v>雷达罩锁支座</v>
          </cell>
        </row>
        <row r="18008">
          <cell r="D18008" t="str">
            <v>DD-J10B-02021-3/2-Y</v>
          </cell>
          <cell r="E18008" t="str">
            <v>雷达罩锁支座</v>
          </cell>
        </row>
        <row r="18009">
          <cell r="D18009" t="str">
            <v>DD-J10B-02021-3/2-Z</v>
          </cell>
          <cell r="E18009" t="str">
            <v>雷达罩锁支座</v>
          </cell>
        </row>
        <row r="18010">
          <cell r="D18010" t="str">
            <v>DD-J10B-04061-1</v>
          </cell>
          <cell r="E18010" t="str">
            <v>10860框</v>
          </cell>
        </row>
        <row r="18011">
          <cell r="D18011" t="str">
            <v>DD-J10B-04061-1</v>
          </cell>
          <cell r="E18011" t="str">
            <v>10860框</v>
          </cell>
        </row>
        <row r="18012">
          <cell r="D18012" t="str">
            <v>DD-J10B-04061-1</v>
          </cell>
          <cell r="E18012" t="str">
            <v>10860框</v>
          </cell>
        </row>
        <row r="18013">
          <cell r="D18013" t="str">
            <v>DD-J10B-04061-1</v>
          </cell>
          <cell r="E18013" t="str">
            <v>10860框</v>
          </cell>
        </row>
        <row r="18014">
          <cell r="D18014" t="str">
            <v>DD-J10B-04061-1</v>
          </cell>
          <cell r="E18014" t="str">
            <v>10860框</v>
          </cell>
        </row>
        <row r="18015">
          <cell r="D18015" t="str">
            <v>DD-J10B-04061-1</v>
          </cell>
          <cell r="E18015" t="str">
            <v>10860框</v>
          </cell>
        </row>
        <row r="18016">
          <cell r="D18016" t="str">
            <v>DD-J10B-02021-3/2-Y</v>
          </cell>
          <cell r="E18016" t="str">
            <v>雷达罩锁支座</v>
          </cell>
        </row>
        <row r="18017">
          <cell r="D18017" t="str">
            <v>DD-J10B-02021-3/2-Y</v>
          </cell>
          <cell r="E18017" t="str">
            <v>雷达罩锁支座</v>
          </cell>
        </row>
        <row r="18018">
          <cell r="D18018" t="str">
            <v>DD-J10B-02021-3/2-Z</v>
          </cell>
          <cell r="E18018" t="str">
            <v>雷达罩锁支座</v>
          </cell>
        </row>
        <row r="18019">
          <cell r="D18019" t="str">
            <v>DD-J10B-02021-3/2-Z</v>
          </cell>
          <cell r="E18019" t="str">
            <v>雷达罩锁支座</v>
          </cell>
        </row>
        <row r="18020">
          <cell r="D18020" t="str">
            <v>DD-J10-21102-60/-1/1-Y</v>
          </cell>
          <cell r="E18020" t="str">
            <v>11968下口盖</v>
          </cell>
        </row>
        <row r="18021">
          <cell r="D18021" t="str">
            <v>DD-J10-21102-60/-1/1-Y</v>
          </cell>
          <cell r="E18021" t="str">
            <v>11968下口盖</v>
          </cell>
        </row>
        <row r="18022">
          <cell r="D18022" t="str">
            <v>DD-J10-21102-60/-1/2-Z</v>
          </cell>
          <cell r="E18022" t="str">
            <v>11968下口盖</v>
          </cell>
        </row>
        <row r="18023">
          <cell r="D18023" t="str">
            <v>DD-J10-21102-60/-1/2-Z</v>
          </cell>
          <cell r="E18023" t="str">
            <v>11968下口盖</v>
          </cell>
        </row>
        <row r="18024">
          <cell r="D18024" t="str">
            <v>DD-J10-21102-60/-1/3-Y</v>
          </cell>
          <cell r="E18024" t="str">
            <v>11968下口盖</v>
          </cell>
        </row>
        <row r="18025">
          <cell r="D18025" t="str">
            <v>DD-J10-21102-60/-1/4-Z</v>
          </cell>
          <cell r="E18025" t="str">
            <v>11968下口盖</v>
          </cell>
        </row>
        <row r="18026">
          <cell r="D18026" t="str">
            <v>DD-J10-21102-60/-1/4-Z</v>
          </cell>
          <cell r="E18026" t="str">
            <v>11968下口盖</v>
          </cell>
        </row>
        <row r="18027">
          <cell r="D18027" t="str">
            <v>DD-J10B-04061-1</v>
          </cell>
          <cell r="E18027" t="str">
            <v>10860框</v>
          </cell>
        </row>
        <row r="18028">
          <cell r="D18028" t="str">
            <v>DD-J10B-04061-1</v>
          </cell>
          <cell r="E18028" t="str">
            <v>10860框</v>
          </cell>
        </row>
        <row r="18029">
          <cell r="D18029" t="str">
            <v>DD-J10B-04061-1</v>
          </cell>
          <cell r="E18029" t="str">
            <v>10860框</v>
          </cell>
        </row>
        <row r="18030">
          <cell r="D18030" t="str">
            <v>DD-J10B-04061-1</v>
          </cell>
          <cell r="E18030" t="str">
            <v>10860框</v>
          </cell>
        </row>
        <row r="18031">
          <cell r="D18031" t="str">
            <v>DD-J10B-61001-2</v>
          </cell>
          <cell r="E18031" t="str">
            <v>接头</v>
          </cell>
        </row>
        <row r="18032">
          <cell r="D18032" t="str">
            <v>DD-J10B-61001-2</v>
          </cell>
          <cell r="E18032" t="str">
            <v>接头</v>
          </cell>
        </row>
        <row r="18033">
          <cell r="D18033" t="str">
            <v>DD-J10-55015-5300-1</v>
          </cell>
          <cell r="E18033" t="str">
            <v>耳环螺栓</v>
          </cell>
        </row>
        <row r="18034">
          <cell r="D18034" t="str">
            <v>CB5713600-001R004</v>
          </cell>
          <cell r="E18034" t="str">
            <v>前梁一段</v>
          </cell>
        </row>
        <row r="18035">
          <cell r="D18035" t="str">
            <v>CB5713600-001R004</v>
          </cell>
          <cell r="E18035" t="str">
            <v>前梁一段</v>
          </cell>
        </row>
        <row r="18036">
          <cell r="D18036" t="str">
            <v>CB5713600-001R004</v>
          </cell>
          <cell r="E18036" t="str">
            <v>前梁一段</v>
          </cell>
        </row>
        <row r="18037">
          <cell r="D18037" t="str">
            <v>CB5713600-001R004</v>
          </cell>
          <cell r="E18037" t="str">
            <v>前梁一段</v>
          </cell>
        </row>
        <row r="18038">
          <cell r="D18038" t="str">
            <v>C571110500-001L001</v>
          </cell>
          <cell r="E18038" t="str">
            <v>前梁一段</v>
          </cell>
        </row>
        <row r="18039">
          <cell r="D18039" t="str">
            <v>C571110500-001L001</v>
          </cell>
          <cell r="E18039" t="str">
            <v>前梁一段</v>
          </cell>
        </row>
        <row r="18040">
          <cell r="D18040" t="str">
            <v>C571110500-001L001</v>
          </cell>
          <cell r="E18040" t="str">
            <v>前梁一段</v>
          </cell>
        </row>
        <row r="18041">
          <cell r="D18041" t="str">
            <v>C571110500-001L001</v>
          </cell>
          <cell r="E18041" t="str">
            <v>前梁一段</v>
          </cell>
        </row>
        <row r="18042">
          <cell r="D18042" t="str">
            <v>C571110500-001R001</v>
          </cell>
          <cell r="E18042" t="str">
            <v>前梁一段</v>
          </cell>
        </row>
        <row r="18043">
          <cell r="D18043" t="str">
            <v>C571110500-001R001</v>
          </cell>
          <cell r="E18043" t="str">
            <v>前梁一段</v>
          </cell>
        </row>
        <row r="18044">
          <cell r="D18044" t="str">
            <v>C571110500-001R001</v>
          </cell>
          <cell r="E18044" t="str">
            <v>前梁一段</v>
          </cell>
        </row>
        <row r="18045">
          <cell r="D18045" t="str">
            <v>C571110500-001R001</v>
          </cell>
          <cell r="E18045" t="str">
            <v>前梁一段</v>
          </cell>
        </row>
        <row r="18046">
          <cell r="D18046" t="str">
            <v>XXX-210-01</v>
          </cell>
          <cell r="E18046" t="str">
            <v>XXX源插头盖板</v>
          </cell>
        </row>
        <row r="18047">
          <cell r="D18047" t="str">
            <v>XXX-210-02</v>
          </cell>
          <cell r="E18047" t="str">
            <v>XXX源插头绝缘子</v>
          </cell>
        </row>
        <row r="18048">
          <cell r="D18048" t="str">
            <v>XXX-210-04</v>
          </cell>
          <cell r="E18048" t="str">
            <v>XXX源接地焊接座一</v>
          </cell>
        </row>
        <row r="18049">
          <cell r="D18049" t="str">
            <v>XXX-210-05</v>
          </cell>
          <cell r="E18049" t="str">
            <v>XXX源插头壳体</v>
          </cell>
        </row>
        <row r="18050">
          <cell r="D18050" t="str">
            <v>XXX-210-06</v>
          </cell>
          <cell r="E18050" t="str">
            <v>XXX源接地焊接座二</v>
          </cell>
        </row>
        <row r="18051">
          <cell r="D18051" t="str">
            <v>XXX-310-01</v>
          </cell>
          <cell r="E18051" t="str">
            <v>XXX插头盖板</v>
          </cell>
        </row>
        <row r="18052">
          <cell r="D18052" t="str">
            <v>XXX-310-03</v>
          </cell>
          <cell r="E18052" t="str">
            <v>XXX插头绝缘子</v>
          </cell>
        </row>
        <row r="18053">
          <cell r="D18053" t="str">
            <v>XXX-310-04</v>
          </cell>
          <cell r="E18053" t="str">
            <v>XXX插头壳体</v>
          </cell>
        </row>
        <row r="18054">
          <cell r="D18054" t="str">
            <v>XXX-310-06</v>
          </cell>
          <cell r="E18054" t="str">
            <v>XXX接地焊接座</v>
          </cell>
        </row>
        <row r="18055">
          <cell r="D18055" t="str">
            <v>XXX-000-01</v>
          </cell>
          <cell r="E18055" t="str">
            <v>外罩</v>
          </cell>
        </row>
        <row r="18056">
          <cell r="D18056" t="str">
            <v>XXX-000-02</v>
          </cell>
          <cell r="E18056" t="str">
            <v>电刷架</v>
          </cell>
        </row>
        <row r="18057">
          <cell r="D18057" t="str">
            <v>XXX-000-03</v>
          </cell>
          <cell r="E18057" t="str">
            <v>压线卡</v>
          </cell>
        </row>
        <row r="18058">
          <cell r="D18058" t="str">
            <v>XXX-000-04</v>
          </cell>
          <cell r="E18058" t="str">
            <v>导电片框</v>
          </cell>
        </row>
        <row r="18059">
          <cell r="D18059" t="str">
            <v>XXX-000-05</v>
          </cell>
          <cell r="E18059" t="str">
            <v>垫圈</v>
          </cell>
        </row>
        <row r="18060">
          <cell r="D18060" t="str">
            <v>XXX-000-08</v>
          </cell>
          <cell r="E18060" t="str">
            <v>插座盖</v>
          </cell>
        </row>
        <row r="18061">
          <cell r="D18061" t="str">
            <v>XXX-000-09</v>
          </cell>
          <cell r="E18061" t="str">
            <v>密封螺塞</v>
          </cell>
        </row>
        <row r="18062">
          <cell r="D18062" t="str">
            <v>XXX-300-01</v>
          </cell>
          <cell r="E18062" t="str">
            <v>电刷转轴</v>
          </cell>
        </row>
        <row r="18063">
          <cell r="D18063" t="str">
            <v>XXX-500-01</v>
          </cell>
          <cell r="E18063" t="str">
            <v>底座</v>
          </cell>
        </row>
        <row r="18064">
          <cell r="D18064" t="str">
            <v>DD-J10B-04501-10-1-Y</v>
          </cell>
          <cell r="E18064" t="str">
            <v>BL900侧梁</v>
          </cell>
        </row>
        <row r="18065">
          <cell r="D18065" t="str">
            <v>DD-J10B-04501-10-1-Y</v>
          </cell>
          <cell r="E18065" t="str">
            <v>BL900侧梁</v>
          </cell>
        </row>
        <row r="18066">
          <cell r="D18066" t="str">
            <v>DD-J10B-04501-10-1-Y</v>
          </cell>
          <cell r="E18066" t="str">
            <v>BL900侧梁</v>
          </cell>
        </row>
        <row r="18067">
          <cell r="D18067" t="str">
            <v>DD-J10B-04501-10-1-Y</v>
          </cell>
          <cell r="E18067" t="str">
            <v>BL900侧梁</v>
          </cell>
        </row>
        <row r="18068">
          <cell r="D18068" t="str">
            <v>DD-J10B-04501-10-1-Y</v>
          </cell>
          <cell r="E18068" t="str">
            <v>BL900侧梁</v>
          </cell>
        </row>
        <row r="18069">
          <cell r="D18069" t="str">
            <v>DD-J10B-04501-10-1-Y</v>
          </cell>
          <cell r="E18069" t="str">
            <v>BL900侧梁</v>
          </cell>
        </row>
        <row r="18070">
          <cell r="D18070" t="str">
            <v>DD-J10B-04501-10-1-Y</v>
          </cell>
          <cell r="E18070" t="str">
            <v>BL900侧梁</v>
          </cell>
        </row>
        <row r="18071">
          <cell r="D18071" t="str">
            <v>DD-J10B-04501-10-1-Y</v>
          </cell>
          <cell r="E18071" t="str">
            <v>BL900侧梁</v>
          </cell>
        </row>
        <row r="18072">
          <cell r="D18072" t="str">
            <v>Y20-5318100030-501</v>
          </cell>
          <cell r="E18072" t="str">
            <v>11框横梁</v>
          </cell>
        </row>
        <row r="18073">
          <cell r="D18073" t="str">
            <v>Y20-5318100030-502</v>
          </cell>
          <cell r="E18073" t="str">
            <v>11框横梁</v>
          </cell>
        </row>
        <row r="18074">
          <cell r="D18074" t="str">
            <v>Y20-5316100314-502</v>
          </cell>
          <cell r="E18074" t="str">
            <v>纵向件</v>
          </cell>
        </row>
        <row r="18075">
          <cell r="D18075" t="str">
            <v>Y20-5316100314-502</v>
          </cell>
          <cell r="E18075" t="str">
            <v>纵向件</v>
          </cell>
        </row>
        <row r="18076">
          <cell r="D18076" t="str">
            <v>CB5315120-002L001</v>
          </cell>
          <cell r="E18076" t="str">
            <v>6820框内段</v>
          </cell>
        </row>
        <row r="18077">
          <cell r="D18077" t="str">
            <v>CB5315120-002L001</v>
          </cell>
          <cell r="E18077" t="str">
            <v>6820框内段</v>
          </cell>
        </row>
        <row r="18078">
          <cell r="D18078" t="str">
            <v>CB5315120-002R001</v>
          </cell>
          <cell r="E18078" t="str">
            <v>6820框内段</v>
          </cell>
        </row>
        <row r="18079">
          <cell r="D18079" t="str">
            <v>CB5315120-002R001</v>
          </cell>
          <cell r="E18079" t="str">
            <v>6820框内段</v>
          </cell>
        </row>
        <row r="18080">
          <cell r="D18080" t="str">
            <v>CB5512300-014R001</v>
          </cell>
          <cell r="E18080" t="str">
            <v>角盒</v>
          </cell>
        </row>
        <row r="18081">
          <cell r="D18081" t="str">
            <v>DD-J10-34103-4</v>
          </cell>
          <cell r="E18081" t="str">
            <v>上边肋</v>
          </cell>
        </row>
        <row r="18082">
          <cell r="D18082" t="str">
            <v>DD-J10-34103-4</v>
          </cell>
          <cell r="E18082" t="str">
            <v>上边肋</v>
          </cell>
        </row>
        <row r="18083">
          <cell r="D18083" t="str">
            <v>DD-J10-34103-4</v>
          </cell>
          <cell r="E18083" t="str">
            <v>上边肋</v>
          </cell>
        </row>
        <row r="18084">
          <cell r="D18084" t="str">
            <v>CB5324500-003R002</v>
          </cell>
          <cell r="E18084" t="str">
            <v>前端框</v>
          </cell>
        </row>
        <row r="18085">
          <cell r="D18085" t="str">
            <v>CB5324500-004L004</v>
          </cell>
          <cell r="E18085" t="str">
            <v>后端框</v>
          </cell>
        </row>
        <row r="18086">
          <cell r="D18086" t="str">
            <v>CB5324500-004R004</v>
          </cell>
          <cell r="E18086" t="str">
            <v>后端框</v>
          </cell>
        </row>
        <row r="18087">
          <cell r="D18087" t="str">
            <v>CB5324500-004R004</v>
          </cell>
          <cell r="E18087" t="str">
            <v>后端框</v>
          </cell>
        </row>
        <row r="18088">
          <cell r="D18088" t="str">
            <v>CB5714200-001L001</v>
          </cell>
          <cell r="E18088" t="str">
            <v>2470肋一段</v>
          </cell>
        </row>
        <row r="18089">
          <cell r="D18089" t="str">
            <v>CB5714200-001R001</v>
          </cell>
          <cell r="E18089" t="str">
            <v>2470肋一段</v>
          </cell>
        </row>
        <row r="18090">
          <cell r="D18090" t="str">
            <v>CB5714200-005L002</v>
          </cell>
          <cell r="E18090" t="str">
            <v>2470肋五段</v>
          </cell>
        </row>
        <row r="18091">
          <cell r="D18091" t="str">
            <v>CB5714200-005R002</v>
          </cell>
          <cell r="E18091" t="str">
            <v>2470肋五段</v>
          </cell>
        </row>
        <row r="18092">
          <cell r="D18092" t="str">
            <v>CB5314240-012-003</v>
          </cell>
          <cell r="E18092" t="str">
            <v>后顶板</v>
          </cell>
        </row>
        <row r="18093">
          <cell r="D18093" t="str">
            <v>CB5314240-012-003</v>
          </cell>
          <cell r="E18093" t="str">
            <v>后顶板</v>
          </cell>
        </row>
        <row r="18094">
          <cell r="D18094" t="str">
            <v>CB5314240-012-003</v>
          </cell>
          <cell r="E18094" t="str">
            <v>后顶板</v>
          </cell>
        </row>
        <row r="18095">
          <cell r="D18095" t="str">
            <v>CB5314240-012-003</v>
          </cell>
          <cell r="E18095" t="str">
            <v>后顶板</v>
          </cell>
        </row>
        <row r="18096">
          <cell r="D18096" t="str">
            <v>CB5314240-012-003</v>
          </cell>
          <cell r="E18096" t="str">
            <v>后顶板</v>
          </cell>
        </row>
        <row r="18097">
          <cell r="D18097" t="str">
            <v>CB5314240-012-003</v>
          </cell>
          <cell r="E18097" t="str">
            <v>后顶板</v>
          </cell>
        </row>
        <row r="18098">
          <cell r="D18098" t="str">
            <v>CB5314240-012-003</v>
          </cell>
          <cell r="E18098" t="str">
            <v>后顶板</v>
          </cell>
        </row>
        <row r="18099">
          <cell r="D18099" t="str">
            <v>CB5314240-012-003</v>
          </cell>
          <cell r="E18099" t="str">
            <v>后顶板</v>
          </cell>
        </row>
        <row r="18100">
          <cell r="D18100" t="str">
            <v>CB5314240-012-003</v>
          </cell>
          <cell r="E18100" t="str">
            <v>后顶板</v>
          </cell>
        </row>
        <row r="18101">
          <cell r="D18101" t="str">
            <v>CB5314240-012-003</v>
          </cell>
          <cell r="E18101" t="str">
            <v>后顶板</v>
          </cell>
        </row>
        <row r="18102">
          <cell r="D18102" t="str">
            <v>CB5822016-029L001</v>
          </cell>
          <cell r="E18102" t="str">
            <v>角片</v>
          </cell>
        </row>
        <row r="18103">
          <cell r="D18103" t="str">
            <v>CB5822016-029L001</v>
          </cell>
          <cell r="E18103" t="str">
            <v>角片</v>
          </cell>
        </row>
        <row r="18104">
          <cell r="D18104" t="str">
            <v>CB5822016-029L001</v>
          </cell>
          <cell r="E18104" t="str">
            <v>角片</v>
          </cell>
        </row>
        <row r="18105">
          <cell r="D18105" t="str">
            <v>CB5822016-029L001</v>
          </cell>
          <cell r="E18105" t="str">
            <v>角片</v>
          </cell>
        </row>
        <row r="18106">
          <cell r="D18106" t="str">
            <v>CB5822016-032R001</v>
          </cell>
          <cell r="E18106" t="str">
            <v>角片</v>
          </cell>
        </row>
        <row r="18107">
          <cell r="D18107" t="str">
            <v>CB5822016-032R001</v>
          </cell>
          <cell r="E18107" t="str">
            <v>角片</v>
          </cell>
        </row>
        <row r="18108">
          <cell r="D18108" t="str">
            <v>CB5822016-032R001</v>
          </cell>
          <cell r="E18108" t="str">
            <v>角片</v>
          </cell>
        </row>
        <row r="18109">
          <cell r="D18109" t="str">
            <v>CB5822016-032R001</v>
          </cell>
          <cell r="E18109" t="str">
            <v>角片</v>
          </cell>
        </row>
        <row r="18110">
          <cell r="D18110" t="str">
            <v>CB5822016-032L001</v>
          </cell>
          <cell r="E18110" t="str">
            <v>角片</v>
          </cell>
        </row>
        <row r="18111">
          <cell r="D18111" t="str">
            <v>CB5822016-032L001</v>
          </cell>
          <cell r="E18111" t="str">
            <v>角片</v>
          </cell>
        </row>
        <row r="18112">
          <cell r="D18112" t="str">
            <v>CB5822016-032L001</v>
          </cell>
          <cell r="E18112" t="str">
            <v>角片</v>
          </cell>
        </row>
        <row r="18113">
          <cell r="D18113" t="str">
            <v>CB5822016-032L001</v>
          </cell>
          <cell r="E18113" t="str">
            <v>角片</v>
          </cell>
        </row>
        <row r="18114">
          <cell r="D18114" t="str">
            <v>CB5822016-024R001</v>
          </cell>
          <cell r="E18114" t="str">
            <v>角片</v>
          </cell>
        </row>
        <row r="18115">
          <cell r="D18115" t="str">
            <v>CB5822016-024R001</v>
          </cell>
          <cell r="E18115" t="str">
            <v>角片</v>
          </cell>
        </row>
        <row r="18116">
          <cell r="D18116" t="str">
            <v>CB5822016-024R001</v>
          </cell>
          <cell r="E18116" t="str">
            <v>角片</v>
          </cell>
        </row>
        <row r="18117">
          <cell r="D18117" t="str">
            <v>CB5822016-024L001</v>
          </cell>
          <cell r="E18117" t="str">
            <v>角片</v>
          </cell>
        </row>
        <row r="18118">
          <cell r="D18118" t="str">
            <v>CB5822016-024L001</v>
          </cell>
          <cell r="E18118" t="str">
            <v>角片</v>
          </cell>
        </row>
        <row r="18119">
          <cell r="D18119" t="str">
            <v>CB5822016-024L001</v>
          </cell>
          <cell r="E18119" t="str">
            <v>角片</v>
          </cell>
        </row>
        <row r="18120">
          <cell r="D18120" t="str">
            <v>CB5714200-001L001</v>
          </cell>
          <cell r="E18120" t="str">
            <v>2470肋一段</v>
          </cell>
        </row>
        <row r="18121">
          <cell r="D18121" t="str">
            <v>CB5714200-001R001</v>
          </cell>
          <cell r="E18121" t="str">
            <v>2470肋一段</v>
          </cell>
        </row>
        <row r="18122">
          <cell r="D18122" t="str">
            <v>CB5714200-005R002</v>
          </cell>
          <cell r="E18122" t="str">
            <v>2470肋五段</v>
          </cell>
        </row>
        <row r="18123">
          <cell r="D18123" t="str">
            <v>CB5714200-005L002</v>
          </cell>
          <cell r="E18123" t="str">
            <v>2470肋五段</v>
          </cell>
        </row>
        <row r="18124">
          <cell r="D18124" t="str">
            <v>CB5324500-004L004</v>
          </cell>
          <cell r="E18124" t="str">
            <v>后端框</v>
          </cell>
        </row>
        <row r="18125">
          <cell r="D18125" t="str">
            <v>CB5512300-006L003</v>
          </cell>
          <cell r="E18125" t="str">
            <v>1#斜肋</v>
          </cell>
        </row>
        <row r="18126">
          <cell r="D18126" t="str">
            <v>CB5822016-032L001</v>
          </cell>
          <cell r="E18126" t="str">
            <v>角片</v>
          </cell>
        </row>
        <row r="18127">
          <cell r="D18127" t="str">
            <v>CB5822016-032R001</v>
          </cell>
          <cell r="E18127" t="str">
            <v>角片</v>
          </cell>
        </row>
        <row r="18128">
          <cell r="D18128" t="str">
            <v>CB5327310-014L001</v>
          </cell>
          <cell r="E18128" t="str">
            <v>大舱门前缘冒型材</v>
          </cell>
        </row>
        <row r="18129">
          <cell r="D18129" t="str">
            <v>CB5327310-014L001</v>
          </cell>
          <cell r="E18129" t="str">
            <v>大舱门前缘冒型材</v>
          </cell>
        </row>
        <row r="18130">
          <cell r="D18130" t="str">
            <v>CB5327310-014L001</v>
          </cell>
          <cell r="E18130" t="str">
            <v>大舱门前缘冒型材</v>
          </cell>
        </row>
        <row r="18131">
          <cell r="D18131" t="str">
            <v>CB5327310-014L001</v>
          </cell>
          <cell r="E18131" t="str">
            <v>大舱门前缘冒型材</v>
          </cell>
        </row>
        <row r="18132">
          <cell r="D18132" t="str">
            <v>CB5327310-014R001</v>
          </cell>
          <cell r="E18132" t="str">
            <v>大舱门前缘冒型材</v>
          </cell>
        </row>
        <row r="18133">
          <cell r="D18133" t="str">
            <v>CB5327310-014R001</v>
          </cell>
          <cell r="E18133" t="str">
            <v>大舱门前缘冒型材</v>
          </cell>
        </row>
        <row r="18134">
          <cell r="D18134" t="str">
            <v>CB5327310-014R001</v>
          </cell>
          <cell r="E18134" t="str">
            <v>大舱门前缘冒型材</v>
          </cell>
        </row>
        <row r="18135">
          <cell r="D18135" t="str">
            <v>CB5327310-014R001</v>
          </cell>
          <cell r="E18135" t="str">
            <v>大舱门前缘冒型材</v>
          </cell>
        </row>
        <row r="18136">
          <cell r="D18136" t="str">
            <v>CB5713600-001L006</v>
          </cell>
          <cell r="E18136" t="str">
            <v>前梁一段</v>
          </cell>
        </row>
        <row r="18137">
          <cell r="D18137" t="str">
            <v>CB5713600-001L006</v>
          </cell>
          <cell r="E18137" t="str">
            <v>前梁一段</v>
          </cell>
        </row>
        <row r="18138">
          <cell r="D18138" t="str">
            <v>CB5713600-001L006</v>
          </cell>
          <cell r="E18138" t="str">
            <v>前梁一段</v>
          </cell>
        </row>
        <row r="18139">
          <cell r="D18139" t="str">
            <v>CB5713600-001L006</v>
          </cell>
          <cell r="E18139" t="str">
            <v>前梁一段</v>
          </cell>
        </row>
        <row r="18140">
          <cell r="D18140" t="str">
            <v>CB5713600-001L006</v>
          </cell>
          <cell r="E18140" t="str">
            <v>前梁一段</v>
          </cell>
        </row>
        <row r="18141">
          <cell r="D18141" t="str">
            <v>CB5713600-001L006</v>
          </cell>
          <cell r="E18141" t="str">
            <v>前梁一段</v>
          </cell>
        </row>
        <row r="18142">
          <cell r="D18142" t="str">
            <v>DD-J10S-65001-4010-1</v>
          </cell>
          <cell r="E18142" t="str">
            <v>管子</v>
          </cell>
        </row>
        <row r="18143">
          <cell r="D18143" t="str">
            <v>DD-J10-64026-122</v>
          </cell>
          <cell r="E18143" t="str">
            <v>球头</v>
          </cell>
        </row>
        <row r="18144">
          <cell r="D18144" t="str">
            <v>DD-FC1-86011-3210-1</v>
          </cell>
          <cell r="E18144" t="str">
            <v>左转接管</v>
          </cell>
        </row>
        <row r="18145">
          <cell r="D18145" t="str">
            <v>CB2210982-001-002</v>
          </cell>
          <cell r="E18145" t="str">
            <v>管接头</v>
          </cell>
        </row>
        <row r="18146">
          <cell r="D18146" t="str">
            <v>CB22921A1-003-001</v>
          </cell>
          <cell r="E18146" t="str">
            <v>衬套</v>
          </cell>
        </row>
        <row r="18147">
          <cell r="D18147" t="str">
            <v>CB2292112-003-001</v>
          </cell>
          <cell r="E18147" t="str">
            <v>小轴</v>
          </cell>
        </row>
        <row r="18148">
          <cell r="D18148" t="str">
            <v>DD-J10-94021-730-3</v>
          </cell>
          <cell r="E18148" t="str">
            <v>环</v>
          </cell>
        </row>
        <row r="18149">
          <cell r="D18149" t="str">
            <v>DD-J10B-94076-2031/3</v>
          </cell>
          <cell r="E18149" t="str">
            <v>接管嘴</v>
          </cell>
        </row>
        <row r="18150">
          <cell r="D18150" t="str">
            <v>DD-J10-41143-110-2</v>
          </cell>
          <cell r="E18150" t="str">
            <v>螺帽</v>
          </cell>
        </row>
        <row r="18151">
          <cell r="D18151" t="str">
            <v>DD-J10B-86031-510-4</v>
          </cell>
          <cell r="E18151" t="str">
            <v>套管</v>
          </cell>
        </row>
        <row r="18152">
          <cell r="D18152" t="str">
            <v>DD-J10-55181-2540-2</v>
          </cell>
          <cell r="E18152" t="str">
            <v>小轴</v>
          </cell>
        </row>
        <row r="18153">
          <cell r="D18153" t="str">
            <v>DD-J10-96031-121</v>
          </cell>
          <cell r="E18153" t="str">
            <v>销棒</v>
          </cell>
        </row>
        <row r="18154">
          <cell r="D18154" t="str">
            <v>DD-J10-55014-2010-1</v>
          </cell>
          <cell r="E18154" t="str">
            <v>管子</v>
          </cell>
        </row>
        <row r="18155">
          <cell r="D18155" t="str">
            <v>DD-J10-96031-121</v>
          </cell>
          <cell r="E18155" t="str">
            <v>销棒</v>
          </cell>
        </row>
        <row r="18156">
          <cell r="D18156" t="str">
            <v>DD-J10B-94076-1311</v>
          </cell>
          <cell r="E18156" t="str">
            <v>衬盘</v>
          </cell>
        </row>
        <row r="18157">
          <cell r="D18157" t="str">
            <v>DD-J10-55165-1460-3</v>
          </cell>
          <cell r="E18157" t="str">
            <v>衬套</v>
          </cell>
        </row>
        <row r="18158">
          <cell r="D18158" t="str">
            <v>DD-J10-96031-111</v>
          </cell>
          <cell r="E18158" t="str">
            <v>螺母</v>
          </cell>
        </row>
        <row r="18159">
          <cell r="D18159" t="str">
            <v>DD-J10B-41163-30-1</v>
          </cell>
          <cell r="E18159" t="str">
            <v>管子</v>
          </cell>
        </row>
        <row r="18160">
          <cell r="D18160" t="str">
            <v>DD-J10-77101-151/2</v>
          </cell>
          <cell r="E18160" t="str">
            <v>壳体A型</v>
          </cell>
        </row>
        <row r="18161">
          <cell r="D18161" t="str">
            <v>DD-J10-06031-302</v>
          </cell>
          <cell r="E18161" t="str">
            <v>支座</v>
          </cell>
        </row>
        <row r="18162">
          <cell r="D18162" t="str">
            <v>DD-J10-06031-404</v>
          </cell>
          <cell r="E18162" t="str">
            <v>支座</v>
          </cell>
        </row>
        <row r="18163">
          <cell r="D18163" t="str">
            <v>DD-J10-61052-172</v>
          </cell>
          <cell r="E18163" t="str">
            <v>接管嘴</v>
          </cell>
        </row>
        <row r="18164">
          <cell r="D18164" t="str">
            <v>DD-J10-61041-2</v>
          </cell>
          <cell r="E18164" t="str">
            <v>管接头</v>
          </cell>
        </row>
        <row r="18165">
          <cell r="D18165" t="str">
            <v>DD-J10B-65000-2250-1GF</v>
          </cell>
          <cell r="E18165" t="str">
            <v>管子</v>
          </cell>
        </row>
        <row r="18166">
          <cell r="D18166" t="str">
            <v>DD-J10-61031-801</v>
          </cell>
          <cell r="E18166" t="str">
            <v>直管接头</v>
          </cell>
        </row>
        <row r="18167">
          <cell r="D18167" t="str">
            <v>Y20-5319400017-001</v>
          </cell>
          <cell r="E18167" t="str">
            <v>扶手支座</v>
          </cell>
        </row>
        <row r="18168">
          <cell r="D18168" t="str">
            <v>Y20-5318200002-002</v>
          </cell>
          <cell r="E18168" t="str">
            <v>主交点衬套</v>
          </cell>
        </row>
        <row r="18169">
          <cell r="D18169" t="str">
            <v>DD-J10-21102-32-Z</v>
          </cell>
          <cell r="E18169" t="str">
            <v>10060下接头</v>
          </cell>
        </row>
        <row r="18170">
          <cell r="D18170" t="str">
            <v>DD-J10-21102-32-Z</v>
          </cell>
          <cell r="E18170" t="str">
            <v>10060下接头</v>
          </cell>
        </row>
        <row r="18171">
          <cell r="D18171" t="str">
            <v>DD-J10-21102-32-Y</v>
          </cell>
          <cell r="E18171" t="str">
            <v>10060下接头</v>
          </cell>
        </row>
        <row r="18172">
          <cell r="D18172" t="str">
            <v>DD-J10-21102-32-Y</v>
          </cell>
          <cell r="E18172" t="str">
            <v>10060下接头</v>
          </cell>
        </row>
        <row r="18173">
          <cell r="D18173" t="str">
            <v>DD-J10-55181-6</v>
          </cell>
          <cell r="E18173" t="str">
            <v>变径三通管接头</v>
          </cell>
        </row>
        <row r="18174">
          <cell r="D18174" t="str">
            <v>DD-J10-55181-6</v>
          </cell>
          <cell r="E18174" t="str">
            <v>变径三通管接头</v>
          </cell>
        </row>
        <row r="18175">
          <cell r="D18175" t="str">
            <v>DD-J10-55181-6</v>
          </cell>
          <cell r="E18175" t="str">
            <v>变径三通管接头</v>
          </cell>
        </row>
        <row r="18176">
          <cell r="D18176" t="str">
            <v>DD-J10-55181-6</v>
          </cell>
          <cell r="E18176" t="str">
            <v>变径三通管接头</v>
          </cell>
        </row>
        <row r="18177">
          <cell r="D18177" t="str">
            <v>DD-J10-55181-6</v>
          </cell>
          <cell r="E18177" t="str">
            <v>变径三通管接头</v>
          </cell>
        </row>
        <row r="18178">
          <cell r="D18178" t="str">
            <v>DD-J10-55181-6</v>
          </cell>
          <cell r="E18178" t="str">
            <v>变径三通管接头</v>
          </cell>
        </row>
        <row r="18179">
          <cell r="D18179" t="str">
            <v>DD-J10-55181-6</v>
          </cell>
          <cell r="E18179" t="str">
            <v>变径三通管接头</v>
          </cell>
        </row>
        <row r="18180">
          <cell r="D18180" t="str">
            <v>529A1000-006-001</v>
          </cell>
          <cell r="E18180" t="str">
            <v>舱门轴</v>
          </cell>
        </row>
        <row r="18181">
          <cell r="D18181" t="str">
            <v>529A1000-006-001</v>
          </cell>
          <cell r="E18181" t="str">
            <v>舱门轴</v>
          </cell>
        </row>
        <row r="18182">
          <cell r="D18182" t="str">
            <v>BC228464B-005-001</v>
          </cell>
          <cell r="E18182" t="str">
            <v>销棒</v>
          </cell>
        </row>
        <row r="18183">
          <cell r="D18183" t="str">
            <v>260A1865-004-001</v>
          </cell>
          <cell r="E18183" t="str">
            <v>衬垫</v>
          </cell>
        </row>
        <row r="18184">
          <cell r="D18184" t="str">
            <v>5210A000000X009</v>
          </cell>
          <cell r="E18184" t="str">
            <v>垫圈</v>
          </cell>
        </row>
        <row r="18185">
          <cell r="D18185" t="str">
            <v>CB2284480-003-001</v>
          </cell>
          <cell r="E18185" t="str">
            <v>四通接头</v>
          </cell>
        </row>
        <row r="18186">
          <cell r="D18186" t="str">
            <v>CB2284480-003-001</v>
          </cell>
          <cell r="E18186" t="str">
            <v>四通接头</v>
          </cell>
        </row>
        <row r="18187">
          <cell r="D18187" t="str">
            <v>CB2284450-001-001</v>
          </cell>
          <cell r="E18187" t="str">
            <v>穿框管接头</v>
          </cell>
        </row>
        <row r="18188">
          <cell r="D18188" t="str">
            <v>DD-J10-61001-7001</v>
          </cell>
          <cell r="E18188" t="str">
            <v>管接头</v>
          </cell>
        </row>
        <row r="18189">
          <cell r="D18189" t="str">
            <v>DD-J10B-94011-582G2</v>
          </cell>
          <cell r="E18189" t="str">
            <v>堵头</v>
          </cell>
        </row>
        <row r="18190">
          <cell r="D18190" t="str">
            <v>DD-J10-61031-44</v>
          </cell>
          <cell r="E18190" t="str">
            <v>压板</v>
          </cell>
        </row>
        <row r="18191">
          <cell r="D18191" t="str">
            <v>DD-J10-61031-44</v>
          </cell>
          <cell r="E18191" t="str">
            <v>压板</v>
          </cell>
        </row>
        <row r="18192">
          <cell r="D18192" t="str">
            <v>DD-J10-61031-44</v>
          </cell>
          <cell r="E18192" t="str">
            <v>压板</v>
          </cell>
        </row>
        <row r="18193">
          <cell r="D18193" t="str">
            <v>DD-J10-61031-44</v>
          </cell>
          <cell r="E18193" t="str">
            <v>压板</v>
          </cell>
        </row>
        <row r="18194">
          <cell r="D18194" t="str">
            <v>BC5324360-002-001</v>
          </cell>
          <cell r="E18194" t="str">
            <v>堵塞</v>
          </cell>
        </row>
        <row r="18195">
          <cell r="D18195" t="str">
            <v>BC22971B1-002-001</v>
          </cell>
          <cell r="E18195" t="str">
            <v>带限流的直通过框接头</v>
          </cell>
        </row>
        <row r="18196">
          <cell r="D18196" t="str">
            <v>BC2711322-002-001</v>
          </cell>
          <cell r="E18196" t="str">
            <v>接头</v>
          </cell>
        </row>
        <row r="18197">
          <cell r="D18197" t="str">
            <v>BC5812420-003-001</v>
          </cell>
          <cell r="E18197" t="str">
            <v>拉杆衬套</v>
          </cell>
        </row>
        <row r="18198">
          <cell r="D18198" t="str">
            <v>XXX-210-01</v>
          </cell>
          <cell r="E18198" t="str">
            <v>XXX插头盖板</v>
          </cell>
        </row>
        <row r="18199">
          <cell r="D18199" t="str">
            <v>XXX-210-02</v>
          </cell>
          <cell r="E18199" t="str">
            <v>XXX插头绝缘子</v>
          </cell>
        </row>
        <row r="18200">
          <cell r="D18200" t="str">
            <v>XXX-210-04</v>
          </cell>
          <cell r="E18200" t="str">
            <v>XXX接地焊接座一</v>
          </cell>
        </row>
        <row r="18201">
          <cell r="D18201" t="str">
            <v>XXX-210-05</v>
          </cell>
          <cell r="E18201" t="str">
            <v>XXX插头壳体</v>
          </cell>
        </row>
        <row r="18202">
          <cell r="D18202" t="str">
            <v>XXX-210-06</v>
          </cell>
          <cell r="E18202" t="str">
            <v>XXX接地焊接座二</v>
          </cell>
        </row>
        <row r="18203">
          <cell r="D18203" t="str">
            <v>XXX-310-01</v>
          </cell>
          <cell r="E18203" t="str">
            <v>XXX压插头盖板</v>
          </cell>
        </row>
        <row r="18204">
          <cell r="D18204" t="str">
            <v>XXX-310-03</v>
          </cell>
          <cell r="E18204" t="str">
            <v>XXX压插头绝缘子</v>
          </cell>
        </row>
        <row r="18205">
          <cell r="D18205" t="str">
            <v>XXX-310-04</v>
          </cell>
          <cell r="E18205" t="str">
            <v>XXX压插头壳体</v>
          </cell>
        </row>
        <row r="18206">
          <cell r="D18206" t="str">
            <v>XXX-310-06</v>
          </cell>
          <cell r="E18206" t="str">
            <v>XXX压接地焊接座</v>
          </cell>
        </row>
        <row r="18207">
          <cell r="D18207" t="str">
            <v>XXX-0000-01</v>
          </cell>
          <cell r="E18207" t="str">
            <v>安装螺环</v>
          </cell>
        </row>
        <row r="18208">
          <cell r="D18208" t="str">
            <v>XXX-0000-02</v>
          </cell>
          <cell r="E18208" t="str">
            <v>上盖</v>
          </cell>
        </row>
        <row r="18209">
          <cell r="D18209" t="str">
            <v>XXX-0000-03</v>
          </cell>
          <cell r="E18209" t="str">
            <v>壳体</v>
          </cell>
        </row>
        <row r="18210">
          <cell r="D18210" t="str">
            <v>XXX-0000-04</v>
          </cell>
          <cell r="E18210" t="str">
            <v>线夹压环</v>
          </cell>
        </row>
        <row r="18211">
          <cell r="D18211" t="str">
            <v>XXX-0000-05</v>
          </cell>
          <cell r="E18211" t="str">
            <v>灌注盖板</v>
          </cell>
        </row>
        <row r="18212">
          <cell r="D18212" t="str">
            <v>XXX-0000-06</v>
          </cell>
          <cell r="E18212" t="str">
            <v>安装后盖</v>
          </cell>
        </row>
        <row r="18213">
          <cell r="D18213" t="str">
            <v>XXX-0000-11</v>
          </cell>
          <cell r="E18213" t="str">
            <v>防XXX垫</v>
          </cell>
        </row>
        <row r="18214">
          <cell r="D18214" t="str">
            <v>XXX-0000-12</v>
          </cell>
          <cell r="E18214" t="str">
            <v>XXX压环</v>
          </cell>
        </row>
        <row r="18215">
          <cell r="D18215" t="str">
            <v>XXX-1000-01</v>
          </cell>
          <cell r="E18215" t="str">
            <v>套筒</v>
          </cell>
        </row>
        <row r="18216">
          <cell r="D18216" t="str">
            <v>XXX-1000-02</v>
          </cell>
          <cell r="E18216" t="str">
            <v>安装座</v>
          </cell>
        </row>
        <row r="18217">
          <cell r="D18217" t="str">
            <v>XXX-1100-01</v>
          </cell>
          <cell r="E18217" t="str">
            <v>XXX盒</v>
          </cell>
        </row>
        <row r="18218">
          <cell r="D18218" t="str">
            <v>XXX-2000-01</v>
          </cell>
          <cell r="E18218" t="str">
            <v>XXX处理外腔体</v>
          </cell>
        </row>
        <row r="18219">
          <cell r="D18219" t="str">
            <v>XXX-2000-02</v>
          </cell>
          <cell r="E18219" t="str">
            <v>XXX处理内壳体1</v>
          </cell>
        </row>
        <row r="18220">
          <cell r="D18220" t="str">
            <v>XXX-2000-03</v>
          </cell>
          <cell r="E18220" t="str">
            <v>XXX处理内壳体2</v>
          </cell>
        </row>
        <row r="18221">
          <cell r="D18221" t="str">
            <v>XXX-2000-06</v>
          </cell>
          <cell r="E18221" t="str">
            <v>XXXG安装座</v>
          </cell>
        </row>
        <row r="18222">
          <cell r="D18222" t="str">
            <v>XXX-XXX0-01</v>
          </cell>
          <cell r="E18222" t="str">
            <v>XXX安装板</v>
          </cell>
        </row>
        <row r="18223">
          <cell r="D18223" t="str">
            <v>XXX-4000-01</v>
          </cell>
          <cell r="E18223" t="str">
            <v>XXX壳子</v>
          </cell>
        </row>
        <row r="18224">
          <cell r="D18224" t="str">
            <v>XXX-5000-01</v>
          </cell>
          <cell r="E18224" t="str">
            <v>XXX盒腔体</v>
          </cell>
        </row>
        <row r="18225">
          <cell r="D18225" t="str">
            <v>XXX-5000-02</v>
          </cell>
          <cell r="E18225" t="str">
            <v>XXX盒盖子</v>
          </cell>
        </row>
        <row r="18226">
          <cell r="D18226" t="str">
            <v>DD-J10B-02121-1AG2-Z</v>
          </cell>
          <cell r="E18226" t="str">
            <v>BL280侧壁（左件）</v>
          </cell>
        </row>
        <row r="18227">
          <cell r="D18227" t="str">
            <v>DD-J10B-02121-1AG2-Z</v>
          </cell>
          <cell r="E18227" t="str">
            <v>BL280侧壁（左件）</v>
          </cell>
        </row>
        <row r="18228">
          <cell r="D18228" t="str">
            <v>DD-J10B-02121-1AG2-Y</v>
          </cell>
          <cell r="E18228" t="str">
            <v>BL280侧壁（右件）</v>
          </cell>
        </row>
        <row r="18229">
          <cell r="D18229" t="str">
            <v>CB5323210-005L065</v>
          </cell>
          <cell r="E18229" t="str">
            <v>9350-11140左侧上梁</v>
          </cell>
        </row>
        <row r="18230">
          <cell r="D18230" t="str">
            <v>CB5323220-052-024</v>
          </cell>
          <cell r="E18230" t="str">
            <v>9350-11140右侧上梁</v>
          </cell>
        </row>
        <row r="18231">
          <cell r="D18231" t="str">
            <v>CB5326200-125L002</v>
          </cell>
          <cell r="E18231" t="str">
            <v>9200 3号加强筋</v>
          </cell>
        </row>
        <row r="18232">
          <cell r="D18232" t="str">
            <v>CB5326200-125R002</v>
          </cell>
          <cell r="E18232" t="str">
            <v>9200 3号加强筋</v>
          </cell>
        </row>
        <row r="18233">
          <cell r="D18233" t="str">
            <v>CB5314107-001-003</v>
          </cell>
          <cell r="E18233" t="str">
            <v>5550上框</v>
          </cell>
        </row>
        <row r="18234">
          <cell r="D18234" t="str">
            <v>CB5314107-001-003</v>
          </cell>
          <cell r="E18234" t="str">
            <v>5550上框</v>
          </cell>
        </row>
        <row r="18235">
          <cell r="D18235" t="str">
            <v>CB5314107-001-003</v>
          </cell>
          <cell r="E18235" t="str">
            <v>5550上框</v>
          </cell>
        </row>
        <row r="18236">
          <cell r="D18236" t="str">
            <v>CB5314107-001-003</v>
          </cell>
          <cell r="E18236" t="str">
            <v>5550上框</v>
          </cell>
        </row>
        <row r="18237">
          <cell r="D18237" t="str">
            <v>CB5314107-001-003</v>
          </cell>
          <cell r="E18237" t="str">
            <v>5550上框</v>
          </cell>
        </row>
        <row r="18238">
          <cell r="D18238" t="str">
            <v>CB5326200-133R002</v>
          </cell>
          <cell r="E18238" t="str">
            <v>8815 4号加强筋</v>
          </cell>
        </row>
        <row r="18239">
          <cell r="D18239" t="str">
            <v>CB5326200-133R002</v>
          </cell>
          <cell r="E18239" t="str">
            <v>8815 4号加强筋</v>
          </cell>
        </row>
        <row r="18240">
          <cell r="D18240" t="str">
            <v>CB5326200-133R002</v>
          </cell>
          <cell r="E18240" t="str">
            <v>8815 4号加强筋</v>
          </cell>
        </row>
        <row r="18241">
          <cell r="D18241" t="str">
            <v>CB5326200-133R002</v>
          </cell>
          <cell r="E18241" t="str">
            <v>8815 4号加强筋</v>
          </cell>
        </row>
        <row r="18242">
          <cell r="D18242" t="str">
            <v>CB5326200-133L002</v>
          </cell>
          <cell r="E18242" t="str">
            <v>8815 4号加强筋</v>
          </cell>
        </row>
        <row r="18243">
          <cell r="D18243" t="str">
            <v>CB5326200-133L002</v>
          </cell>
          <cell r="E18243" t="str">
            <v>8815 4号加强筋</v>
          </cell>
        </row>
        <row r="18244">
          <cell r="D18244" t="str">
            <v>CB5326200-133L002</v>
          </cell>
          <cell r="E18244" t="str">
            <v>8815 4号加强筋</v>
          </cell>
        </row>
        <row r="18245">
          <cell r="D18245" t="str">
            <v>CB5326200-133L002</v>
          </cell>
          <cell r="E18245" t="str">
            <v>8815 4号加强筋</v>
          </cell>
        </row>
        <row r="18246">
          <cell r="D18246" t="str">
            <v>CB5327110-002L004</v>
          </cell>
          <cell r="E18246" t="str">
            <v>8270左隔框</v>
          </cell>
        </row>
        <row r="18247">
          <cell r="D18247" t="str">
            <v>CB5327110-002L004</v>
          </cell>
          <cell r="E18247" t="str">
            <v>8270左隔框</v>
          </cell>
        </row>
        <row r="18248">
          <cell r="D18248" t="str">
            <v>CB5327110-002L004</v>
          </cell>
          <cell r="E18248" t="str">
            <v>8270左隔框</v>
          </cell>
        </row>
        <row r="18249">
          <cell r="D18249" t="str">
            <v>CB5327110-002L004</v>
          </cell>
          <cell r="E18249" t="str">
            <v>8270左隔框</v>
          </cell>
        </row>
        <row r="18250">
          <cell r="D18250" t="str">
            <v>CB5327110-002L004</v>
          </cell>
          <cell r="E18250" t="str">
            <v>8270左隔框</v>
          </cell>
        </row>
        <row r="18251">
          <cell r="D18251" t="str">
            <v>CB5327110-002L004</v>
          </cell>
          <cell r="E18251" t="str">
            <v>8270左隔框</v>
          </cell>
        </row>
        <row r="18252">
          <cell r="D18252" t="str">
            <v>CB5327120-013R015</v>
          </cell>
          <cell r="E18252" t="str">
            <v>10150侧隔框</v>
          </cell>
        </row>
        <row r="18253">
          <cell r="D18253" t="str">
            <v>CB5327120-013R015</v>
          </cell>
          <cell r="E18253" t="str">
            <v>10150侧隔框</v>
          </cell>
        </row>
        <row r="18254">
          <cell r="D18254" t="str">
            <v>CB5327120-013R015</v>
          </cell>
          <cell r="E18254" t="str">
            <v>10150侧隔框</v>
          </cell>
        </row>
        <row r="18255">
          <cell r="D18255" t="str">
            <v>CB5327120-013R015</v>
          </cell>
          <cell r="E18255" t="str">
            <v>10150侧隔框</v>
          </cell>
        </row>
        <row r="18256">
          <cell r="D18256" t="str">
            <v>CB5327120-013R015</v>
          </cell>
          <cell r="E18256" t="str">
            <v>10150侧隔框</v>
          </cell>
        </row>
        <row r="18257">
          <cell r="D18257" t="str">
            <v>CB5327120-013R015</v>
          </cell>
          <cell r="E18257" t="str">
            <v>10150侧隔框</v>
          </cell>
        </row>
        <row r="18258">
          <cell r="D18258" t="str">
            <v>CB5327120-013R015</v>
          </cell>
          <cell r="E18258" t="str">
            <v>10150侧隔框</v>
          </cell>
        </row>
        <row r="18259">
          <cell r="D18259" t="str">
            <v>CB5327120-013R015</v>
          </cell>
          <cell r="E18259" t="str">
            <v>10150侧隔框</v>
          </cell>
        </row>
        <row r="18260">
          <cell r="D18260" t="str">
            <v>CB5327120-013R015</v>
          </cell>
          <cell r="E18260" t="str">
            <v>10150侧隔框</v>
          </cell>
        </row>
        <row r="18261">
          <cell r="D18261" t="str">
            <v>CB5327120-013R015</v>
          </cell>
          <cell r="E18261" t="str">
            <v>10150侧隔框</v>
          </cell>
        </row>
        <row r="18262">
          <cell r="D18262" t="str">
            <v>CB5327120-013L015</v>
          </cell>
          <cell r="E18262" t="str">
            <v>10150侧隔框</v>
          </cell>
        </row>
        <row r="18263">
          <cell r="D18263" t="str">
            <v>CB5327120-013L015</v>
          </cell>
          <cell r="E18263" t="str">
            <v>10150侧隔框</v>
          </cell>
        </row>
        <row r="18264">
          <cell r="D18264" t="str">
            <v>CB5327120-013L015</v>
          </cell>
          <cell r="E18264" t="str">
            <v>10150侧隔框</v>
          </cell>
        </row>
        <row r="18265">
          <cell r="D18265" t="str">
            <v>CB5327120-013L015</v>
          </cell>
          <cell r="E18265" t="str">
            <v>10150侧隔框</v>
          </cell>
        </row>
        <row r="18266">
          <cell r="D18266" t="str">
            <v>CB5327120-013L015</v>
          </cell>
          <cell r="E18266" t="str">
            <v>10150侧隔框</v>
          </cell>
        </row>
        <row r="18267">
          <cell r="D18267" t="str">
            <v>CB5327120-013L015</v>
          </cell>
          <cell r="E18267" t="str">
            <v>10150侧隔框</v>
          </cell>
        </row>
        <row r="18268">
          <cell r="D18268" t="str">
            <v>CB5327120-013L015</v>
          </cell>
          <cell r="E18268" t="str">
            <v>10150侧隔框</v>
          </cell>
        </row>
        <row r="18269">
          <cell r="D18269" t="str">
            <v>CB5327120-013L015</v>
          </cell>
          <cell r="E18269" t="str">
            <v>10150侧隔框</v>
          </cell>
        </row>
        <row r="18270">
          <cell r="D18270" t="str">
            <v>CB5327120-013L015</v>
          </cell>
          <cell r="E18270" t="str">
            <v>10150侧隔框</v>
          </cell>
        </row>
        <row r="18271">
          <cell r="D18271" t="str">
            <v>CB5327120-013L015</v>
          </cell>
          <cell r="E18271" t="str">
            <v>10150侧隔框</v>
          </cell>
        </row>
        <row r="18272">
          <cell r="D18272" t="str">
            <v>CB5327120-010L015</v>
          </cell>
          <cell r="E18272" t="str">
            <v>9555侧隔框</v>
          </cell>
        </row>
        <row r="18273">
          <cell r="D18273" t="str">
            <v>CB5327120-010L015</v>
          </cell>
          <cell r="E18273" t="str">
            <v>9555侧隔框</v>
          </cell>
        </row>
        <row r="18274">
          <cell r="D18274" t="str">
            <v>CB5327120-010L015</v>
          </cell>
          <cell r="E18274" t="str">
            <v>9555侧隔框</v>
          </cell>
        </row>
        <row r="18275">
          <cell r="D18275" t="str">
            <v>CB5327120-010L015</v>
          </cell>
          <cell r="E18275" t="str">
            <v>9555侧隔框</v>
          </cell>
        </row>
        <row r="18276">
          <cell r="D18276" t="str">
            <v>CB5327120-010L015</v>
          </cell>
          <cell r="E18276" t="str">
            <v>9555侧隔框</v>
          </cell>
        </row>
        <row r="18277">
          <cell r="D18277" t="str">
            <v>CB5327120-010L015</v>
          </cell>
          <cell r="E18277" t="str">
            <v>9555侧隔框</v>
          </cell>
        </row>
        <row r="18278">
          <cell r="D18278" t="str">
            <v>CB5327120-010L015</v>
          </cell>
          <cell r="E18278" t="str">
            <v>9555侧隔框</v>
          </cell>
        </row>
        <row r="18279">
          <cell r="D18279" t="str">
            <v>CB5327120-010L015</v>
          </cell>
          <cell r="E18279" t="str">
            <v>9555侧隔框</v>
          </cell>
        </row>
        <row r="18280">
          <cell r="D18280" t="str">
            <v>CB5327120-010L015</v>
          </cell>
          <cell r="E18280" t="str">
            <v>9555侧隔框</v>
          </cell>
        </row>
        <row r="18281">
          <cell r="D18281" t="str">
            <v>CB5327120-010L015</v>
          </cell>
          <cell r="E18281" t="str">
            <v>9555侧隔框</v>
          </cell>
        </row>
        <row r="18282">
          <cell r="D18282" t="str">
            <v>CB5327120-010L015</v>
          </cell>
          <cell r="E18282" t="str">
            <v>9555侧隔框</v>
          </cell>
        </row>
        <row r="18283">
          <cell r="D18283" t="str">
            <v>CB5327120-010R015</v>
          </cell>
          <cell r="E18283" t="str">
            <v>9555侧隔框</v>
          </cell>
        </row>
        <row r="18284">
          <cell r="D18284" t="str">
            <v>CB5327120-010R015</v>
          </cell>
          <cell r="E18284" t="str">
            <v>9555侧隔框</v>
          </cell>
        </row>
        <row r="18285">
          <cell r="D18285" t="str">
            <v>CB5327120-010R015</v>
          </cell>
          <cell r="E18285" t="str">
            <v>9555侧隔框</v>
          </cell>
        </row>
        <row r="18286">
          <cell r="D18286" t="str">
            <v>CB5327120-010R015</v>
          </cell>
          <cell r="E18286" t="str">
            <v>9555侧隔框</v>
          </cell>
        </row>
        <row r="18287">
          <cell r="D18287" t="str">
            <v>CB5327120-010R015</v>
          </cell>
          <cell r="E18287" t="str">
            <v>9555侧隔框</v>
          </cell>
        </row>
        <row r="18288">
          <cell r="D18288" t="str">
            <v>CB5327120-010R015</v>
          </cell>
          <cell r="E18288" t="str">
            <v>9555侧隔框</v>
          </cell>
        </row>
        <row r="18289">
          <cell r="D18289" t="str">
            <v>CB5327120-010R015</v>
          </cell>
          <cell r="E18289" t="str">
            <v>9555侧隔框</v>
          </cell>
        </row>
        <row r="18290">
          <cell r="D18290" t="str">
            <v>CB5327120-010R015</v>
          </cell>
          <cell r="E18290" t="str">
            <v>9555侧隔框</v>
          </cell>
        </row>
        <row r="18291">
          <cell r="D18291" t="str">
            <v>CB5327120-010R015</v>
          </cell>
          <cell r="E18291" t="str">
            <v>9555侧隔框</v>
          </cell>
        </row>
        <row r="18292">
          <cell r="D18292" t="str">
            <v>CB5327120-010R015</v>
          </cell>
          <cell r="E18292" t="str">
            <v>9555侧隔框</v>
          </cell>
        </row>
        <row r="18293">
          <cell r="D18293" t="str">
            <v>CB5327120-010R015</v>
          </cell>
          <cell r="E18293" t="str">
            <v>9555侧隔框</v>
          </cell>
        </row>
        <row r="18294">
          <cell r="D18294" t="str">
            <v>CB5822016-034L001</v>
          </cell>
          <cell r="E18294" t="str">
            <v>角片</v>
          </cell>
        </row>
        <row r="18295">
          <cell r="D18295" t="str">
            <v>CB5822016-034R001</v>
          </cell>
          <cell r="E18295" t="str">
            <v>角片</v>
          </cell>
        </row>
        <row r="18296">
          <cell r="D18296" t="str">
            <v>DD-J10-55014-3200-1</v>
          </cell>
          <cell r="E18296" t="str">
            <v>耳环螺栓</v>
          </cell>
        </row>
        <row r="18297">
          <cell r="D18297" t="str">
            <v>DD-J10B-67011-6103</v>
          </cell>
          <cell r="E18297" t="str">
            <v>角片</v>
          </cell>
        </row>
        <row r="18298">
          <cell r="D18298" t="str">
            <v>DD-J10B-61041-18</v>
          </cell>
          <cell r="E18298" t="str">
            <v>管接头</v>
          </cell>
        </row>
        <row r="18299">
          <cell r="D18299" t="str">
            <v>DD-J10-06061-6</v>
          </cell>
          <cell r="E18299" t="str">
            <v>支座</v>
          </cell>
        </row>
        <row r="18300">
          <cell r="D18300" t="str">
            <v>DD-J10B-55181-19</v>
          </cell>
          <cell r="E18300" t="str">
            <v>直通接头</v>
          </cell>
        </row>
        <row r="18301">
          <cell r="D18301" t="str">
            <v>DD-J10-96011-12</v>
          </cell>
          <cell r="E18301" t="str">
            <v>管接头</v>
          </cell>
        </row>
        <row r="18302">
          <cell r="D18302" t="str">
            <v>DD-J10B-41045-8</v>
          </cell>
          <cell r="E18302" t="str">
            <v>轴</v>
          </cell>
        </row>
        <row r="18303">
          <cell r="D18303" t="str">
            <v>DD-J10B-65000-1901G2</v>
          </cell>
          <cell r="E18303" t="str">
            <v>固定板</v>
          </cell>
        </row>
        <row r="18304">
          <cell r="D18304" t="str">
            <v>DD-J10-61101-5001/16</v>
          </cell>
          <cell r="E18304" t="str">
            <v>管接头</v>
          </cell>
        </row>
        <row r="18305">
          <cell r="D18305" t="str">
            <v>DD-J10B-94011-701</v>
          </cell>
          <cell r="E18305" t="str">
            <v>支臂</v>
          </cell>
        </row>
        <row r="18306">
          <cell r="D18306" t="str">
            <v>DD-J10B-26002-1G2-Y</v>
          </cell>
          <cell r="E18306" t="str">
            <v>梁（右件）</v>
          </cell>
        </row>
        <row r="18307">
          <cell r="D18307" t="str">
            <v>DD-J10B-26002-1G2-Y</v>
          </cell>
          <cell r="E18307" t="str">
            <v>梁（右件）</v>
          </cell>
        </row>
        <row r="18308">
          <cell r="D18308" t="str">
            <v>DD-J10B-26002-1G2-Y</v>
          </cell>
          <cell r="E18308" t="str">
            <v>梁（右件）</v>
          </cell>
        </row>
        <row r="18309">
          <cell r="D18309" t="str">
            <v>DD-J10B-26002-1G2-Y</v>
          </cell>
          <cell r="E18309" t="str">
            <v>梁（右件）</v>
          </cell>
        </row>
        <row r="18310">
          <cell r="D18310" t="str">
            <v>DD-J10B-26002-1G2-Y</v>
          </cell>
          <cell r="E18310" t="str">
            <v>梁（右件）</v>
          </cell>
        </row>
        <row r="18311">
          <cell r="D18311" t="str">
            <v>DD-J10B-26002-1G2-Y</v>
          </cell>
          <cell r="E18311" t="str">
            <v>梁（右件）</v>
          </cell>
        </row>
        <row r="18312">
          <cell r="D18312" t="str">
            <v>DD-J10B-26002-1G2-Y</v>
          </cell>
          <cell r="E18312" t="str">
            <v>梁（右件）</v>
          </cell>
        </row>
        <row r="18313">
          <cell r="D18313" t="str">
            <v>DD-J10B-26002-1G2-Z</v>
          </cell>
          <cell r="E18313" t="str">
            <v>梁（左件）</v>
          </cell>
        </row>
        <row r="18314">
          <cell r="D18314" t="str">
            <v>DD-J10B-26002-1G2-Z</v>
          </cell>
          <cell r="E18314" t="str">
            <v>梁（左件）</v>
          </cell>
        </row>
        <row r="18315">
          <cell r="D18315" t="str">
            <v>DD-J10B-26002-1G2-Z</v>
          </cell>
          <cell r="E18315" t="str">
            <v>梁（左件）</v>
          </cell>
        </row>
        <row r="18316">
          <cell r="D18316" t="str">
            <v>DD-J10B-26002-1G2-Z</v>
          </cell>
          <cell r="E18316" t="str">
            <v>梁（左件）</v>
          </cell>
        </row>
        <row r="18317">
          <cell r="D18317" t="str">
            <v>DD-J10B-26002-1G2-Z</v>
          </cell>
          <cell r="E18317" t="str">
            <v>梁（左件）</v>
          </cell>
        </row>
        <row r="18318">
          <cell r="D18318" t="str">
            <v>DD-J10B-26002-1G2-Z</v>
          </cell>
          <cell r="E18318" t="str">
            <v>梁（左件）</v>
          </cell>
        </row>
        <row r="18319">
          <cell r="D18319" t="str">
            <v>DD-J10B-26002-1G2-Z</v>
          </cell>
          <cell r="E18319" t="str">
            <v>梁（左件）</v>
          </cell>
        </row>
        <row r="18320">
          <cell r="D18320" t="str">
            <v>CB5327110-003L002</v>
          </cell>
          <cell r="E18320" t="str">
            <v>8635左隔框</v>
          </cell>
        </row>
        <row r="18321">
          <cell r="D18321" t="str">
            <v>CB5327110-003R002</v>
          </cell>
          <cell r="E18321" t="str">
            <v>8635右隔框</v>
          </cell>
        </row>
        <row r="18322">
          <cell r="D18322" t="str">
            <v>CB5715000-001L002</v>
          </cell>
          <cell r="E18322" t="str">
            <v>固定前缘边肋</v>
          </cell>
        </row>
        <row r="18323">
          <cell r="D18323" t="str">
            <v>CB5715000-001L002</v>
          </cell>
          <cell r="E18323" t="str">
            <v>固定前缘边肋</v>
          </cell>
        </row>
        <row r="18324">
          <cell r="D18324" t="str">
            <v>CB5715000-001L002</v>
          </cell>
          <cell r="E18324" t="str">
            <v>固定前缘边肋</v>
          </cell>
        </row>
        <row r="18325">
          <cell r="D18325" t="str">
            <v>CB5715000-001L002</v>
          </cell>
          <cell r="E18325" t="str">
            <v>固定前缘边肋</v>
          </cell>
        </row>
        <row r="18326">
          <cell r="D18326" t="str">
            <v>CB5715000-001L002</v>
          </cell>
          <cell r="E18326" t="str">
            <v>固定前缘边肋</v>
          </cell>
        </row>
        <row r="18327">
          <cell r="D18327" t="str">
            <v>CB5715000-001L002</v>
          </cell>
          <cell r="E18327" t="str">
            <v>固定前缘边肋</v>
          </cell>
        </row>
        <row r="18328">
          <cell r="D18328" t="str">
            <v>CB5715000-001L002</v>
          </cell>
          <cell r="E18328" t="str">
            <v>固定前缘边肋</v>
          </cell>
        </row>
        <row r="18329">
          <cell r="D18329" t="str">
            <v>CB5715000-001L002</v>
          </cell>
          <cell r="E18329" t="str">
            <v>固定前缘边肋</v>
          </cell>
        </row>
        <row r="18330">
          <cell r="D18330" t="str">
            <v>CB5715000-001L002</v>
          </cell>
          <cell r="E18330" t="str">
            <v>固定前缘边肋</v>
          </cell>
        </row>
        <row r="18331">
          <cell r="D18331" t="str">
            <v>CB5715000-001L002</v>
          </cell>
          <cell r="E18331" t="str">
            <v>固定前缘边肋</v>
          </cell>
        </row>
        <row r="18332">
          <cell r="D18332" t="str">
            <v>CB5715000-001R002</v>
          </cell>
          <cell r="E18332" t="str">
            <v>固定前缘边肋</v>
          </cell>
        </row>
        <row r="18333">
          <cell r="D18333" t="str">
            <v>CB5715000-001R002</v>
          </cell>
          <cell r="E18333" t="str">
            <v>固定前缘边肋</v>
          </cell>
        </row>
        <row r="18334">
          <cell r="D18334" t="str">
            <v>CB5715000-001R002</v>
          </cell>
          <cell r="E18334" t="str">
            <v>固定前缘边肋</v>
          </cell>
        </row>
        <row r="18335">
          <cell r="D18335" t="str">
            <v>CB5715000-001R002</v>
          </cell>
          <cell r="E18335" t="str">
            <v>固定前缘边肋</v>
          </cell>
        </row>
        <row r="18336">
          <cell r="D18336" t="str">
            <v>CB5715000-001R002</v>
          </cell>
          <cell r="E18336" t="str">
            <v>固定前缘边肋</v>
          </cell>
        </row>
        <row r="18337">
          <cell r="D18337" t="str">
            <v>CB5715000-001R002</v>
          </cell>
          <cell r="E18337" t="str">
            <v>固定前缘边肋</v>
          </cell>
        </row>
        <row r="18338">
          <cell r="D18338" t="str">
            <v>CB5715000-001R002</v>
          </cell>
          <cell r="E18338" t="str">
            <v>固定前缘边肋</v>
          </cell>
        </row>
        <row r="18339">
          <cell r="D18339" t="str">
            <v>CB5715000-001R002</v>
          </cell>
          <cell r="E18339" t="str">
            <v>固定前缘边肋</v>
          </cell>
        </row>
        <row r="18340">
          <cell r="D18340" t="str">
            <v>CB5715000-001R002</v>
          </cell>
          <cell r="E18340" t="str">
            <v>固定前缘边肋</v>
          </cell>
        </row>
        <row r="18341">
          <cell r="D18341" t="str">
            <v>CB5715000-001R002</v>
          </cell>
          <cell r="E18341" t="str">
            <v>固定前缘边肋</v>
          </cell>
        </row>
        <row r="18342">
          <cell r="D18342" t="str">
            <v>DD-J10B-65000-1710G2-1</v>
          </cell>
          <cell r="E18342" t="str">
            <v>连杆</v>
          </cell>
        </row>
        <row r="18343">
          <cell r="D18343" t="str">
            <v>DD-J10B-65000-1720G2-1</v>
          </cell>
          <cell r="E18343" t="str">
            <v>管子</v>
          </cell>
        </row>
        <row r="18344">
          <cell r="D18344" t="str">
            <v>DD-J10B-86051-2</v>
          </cell>
          <cell r="E18344" t="str">
            <v>激励器转接件</v>
          </cell>
        </row>
        <row r="18345">
          <cell r="D18345" t="str">
            <v>DD-J10B-94076-803</v>
          </cell>
          <cell r="E18345" t="str">
            <v>支架</v>
          </cell>
        </row>
        <row r="18346">
          <cell r="D18346" t="str">
            <v>DD-J10-55181-6241</v>
          </cell>
          <cell r="E18346" t="str">
            <v>弯管接头</v>
          </cell>
        </row>
        <row r="18347">
          <cell r="D18347" t="str">
            <v>DD-J10B-55171-151G2</v>
          </cell>
          <cell r="E18347" t="str">
            <v>三通管接头</v>
          </cell>
        </row>
        <row r="18348">
          <cell r="D18348" t="str">
            <v>DD-J10B-55171-151G2</v>
          </cell>
          <cell r="E18348" t="str">
            <v>三通管接头</v>
          </cell>
        </row>
        <row r="18349">
          <cell r="D18349" t="str">
            <v>DD-J10-55155-1</v>
          </cell>
          <cell r="E18349" t="str">
            <v>四通管接头</v>
          </cell>
        </row>
        <row r="18350">
          <cell r="D18350" t="str">
            <v>CB5822016-034L001</v>
          </cell>
          <cell r="E18350" t="str">
            <v>角片</v>
          </cell>
        </row>
        <row r="18351">
          <cell r="D18351" t="str">
            <v>CB5822016-034L001</v>
          </cell>
          <cell r="E18351" t="str">
            <v>角片</v>
          </cell>
        </row>
        <row r="18352">
          <cell r="D18352" t="str">
            <v>CB5822016-034L001</v>
          </cell>
          <cell r="E18352" t="str">
            <v>角片</v>
          </cell>
        </row>
        <row r="18353">
          <cell r="D18353" t="str">
            <v>CB5822016-034L001</v>
          </cell>
          <cell r="E18353" t="str">
            <v>角片</v>
          </cell>
        </row>
        <row r="18354">
          <cell r="D18354" t="str">
            <v>CB5822016-034R001</v>
          </cell>
          <cell r="E18354" t="str">
            <v>角片</v>
          </cell>
        </row>
        <row r="18355">
          <cell r="D18355" t="str">
            <v>CB5822016-034R001</v>
          </cell>
          <cell r="E18355" t="str">
            <v>角片</v>
          </cell>
        </row>
        <row r="18356">
          <cell r="D18356" t="str">
            <v>CB5822016-034R001</v>
          </cell>
          <cell r="E18356" t="str">
            <v>角片</v>
          </cell>
        </row>
        <row r="18357">
          <cell r="D18357" t="str">
            <v>CB5822016-034R001</v>
          </cell>
          <cell r="E18357" t="str">
            <v>角片</v>
          </cell>
        </row>
        <row r="18358">
          <cell r="D18358" t="str">
            <v>DD-J10-21102-272</v>
          </cell>
          <cell r="E18358" t="str">
            <v>3#下垫片</v>
          </cell>
        </row>
        <row r="18359">
          <cell r="D18359" t="str">
            <v>DD-J10-21102-273</v>
          </cell>
          <cell r="E18359" t="str">
            <v>4#上垫片</v>
          </cell>
        </row>
        <row r="18360">
          <cell r="D18360" t="str">
            <v>DD-J10B-02021-3/1-Y</v>
          </cell>
          <cell r="E18360" t="str">
            <v>雷达罩锁支座</v>
          </cell>
        </row>
        <row r="18361">
          <cell r="D18361" t="str">
            <v>DD-J10B-02021-3/1-Z</v>
          </cell>
          <cell r="E18361" t="str">
            <v>雷达罩锁支座</v>
          </cell>
        </row>
        <row r="18362">
          <cell r="D18362" t="str">
            <v>DD-J10B-02021-3/2-Y</v>
          </cell>
          <cell r="E18362" t="str">
            <v>雷达罩锁支座</v>
          </cell>
        </row>
        <row r="18363">
          <cell r="D18363" t="str">
            <v>DD-J10B-02021-3/2-Z</v>
          </cell>
          <cell r="E18363" t="str">
            <v>雷达罩锁支座</v>
          </cell>
        </row>
        <row r="18364">
          <cell r="D18364" t="str">
            <v>DD-J10-05346-1-Y</v>
          </cell>
          <cell r="E18364" t="str">
            <v>受剪接头</v>
          </cell>
        </row>
        <row r="18365">
          <cell r="D18365" t="str">
            <v>DD-J10-05346-1-Y</v>
          </cell>
          <cell r="E18365" t="str">
            <v>受剪接头</v>
          </cell>
        </row>
        <row r="18366">
          <cell r="D18366" t="str">
            <v>DD-J10-05346-1-Y</v>
          </cell>
          <cell r="E18366" t="str">
            <v>受剪接头</v>
          </cell>
        </row>
        <row r="18367">
          <cell r="D18367" t="str">
            <v>DD-J10-05346-1-Y</v>
          </cell>
          <cell r="E18367" t="str">
            <v>受剪接头</v>
          </cell>
        </row>
        <row r="18368">
          <cell r="D18368" t="str">
            <v>DD-J10-05346-1-Y</v>
          </cell>
          <cell r="E18368" t="str">
            <v>受剪接头</v>
          </cell>
        </row>
        <row r="18369">
          <cell r="D18369" t="str">
            <v>DD-J10-05346-1-Y</v>
          </cell>
          <cell r="E18369" t="str">
            <v>受剪接头</v>
          </cell>
        </row>
        <row r="18370">
          <cell r="D18370" t="str">
            <v>DD-J10-05346-1-Y</v>
          </cell>
          <cell r="E18370" t="str">
            <v>受剪接头</v>
          </cell>
        </row>
        <row r="18371">
          <cell r="D18371" t="str">
            <v>DD-J10-05346-1-Y</v>
          </cell>
          <cell r="E18371" t="str">
            <v>受剪接头</v>
          </cell>
        </row>
        <row r="18372">
          <cell r="D18372" t="str">
            <v>DD-J10-05346-1-Y</v>
          </cell>
          <cell r="E18372" t="str">
            <v>受剪接头</v>
          </cell>
        </row>
        <row r="18373">
          <cell r="D18373" t="str">
            <v>DD-J10-05346-1-Y</v>
          </cell>
          <cell r="E18373" t="str">
            <v>受剪接头</v>
          </cell>
        </row>
        <row r="18374">
          <cell r="D18374" t="str">
            <v>DD-J10-05346-1-Y</v>
          </cell>
          <cell r="E18374" t="str">
            <v>受剪接头</v>
          </cell>
        </row>
        <row r="18375">
          <cell r="D18375" t="str">
            <v>DD-J10-05346-1-Y</v>
          </cell>
          <cell r="E18375" t="str">
            <v>受剪接头</v>
          </cell>
        </row>
        <row r="18376">
          <cell r="D18376" t="str">
            <v>DD-J10-05346-1-Y</v>
          </cell>
          <cell r="E18376" t="str">
            <v>受剪接头</v>
          </cell>
        </row>
        <row r="18377">
          <cell r="D18377" t="str">
            <v>DD-J10-05346-1-Z</v>
          </cell>
          <cell r="E18377" t="str">
            <v>受剪接头</v>
          </cell>
        </row>
        <row r="18378">
          <cell r="D18378" t="str">
            <v>DD-J10-05346-1-Z</v>
          </cell>
          <cell r="E18378" t="str">
            <v>受剪接头</v>
          </cell>
        </row>
        <row r="18379">
          <cell r="D18379" t="str">
            <v>DD-J10-05346-1-Z</v>
          </cell>
          <cell r="E18379" t="str">
            <v>受剪接头</v>
          </cell>
        </row>
        <row r="18380">
          <cell r="D18380" t="str">
            <v>DD-J10-05346-1-Z</v>
          </cell>
          <cell r="E18380" t="str">
            <v>受剪接头</v>
          </cell>
        </row>
        <row r="18381">
          <cell r="D18381" t="str">
            <v>DD-J10-05346-1-Z</v>
          </cell>
          <cell r="E18381" t="str">
            <v>受剪接头</v>
          </cell>
        </row>
        <row r="18382">
          <cell r="D18382" t="str">
            <v>DD-J10-05346-1-Z</v>
          </cell>
          <cell r="E18382" t="str">
            <v>受剪接头</v>
          </cell>
        </row>
        <row r="18383">
          <cell r="D18383" t="str">
            <v>DD-J10-05346-1-Z</v>
          </cell>
          <cell r="E18383" t="str">
            <v>受剪接头</v>
          </cell>
        </row>
        <row r="18384">
          <cell r="D18384" t="str">
            <v>DD-J10-05346-1-Z</v>
          </cell>
          <cell r="E18384" t="str">
            <v>受剪接头</v>
          </cell>
        </row>
        <row r="18385">
          <cell r="D18385" t="str">
            <v>DD-J10-05346-1-Z</v>
          </cell>
          <cell r="E18385" t="str">
            <v>受剪接头</v>
          </cell>
        </row>
        <row r="18386">
          <cell r="D18386" t="str">
            <v>DD-J10-05346-1-Z</v>
          </cell>
          <cell r="E18386" t="str">
            <v>受剪接头</v>
          </cell>
        </row>
        <row r="18387">
          <cell r="D18387" t="str">
            <v>DD-J10-05346-1-Z</v>
          </cell>
          <cell r="E18387" t="str">
            <v>受剪接头</v>
          </cell>
        </row>
        <row r="18388">
          <cell r="D18388" t="str">
            <v>DD-J10-05346-1-Z</v>
          </cell>
          <cell r="E18388" t="str">
            <v>受剪接头</v>
          </cell>
        </row>
        <row r="18389">
          <cell r="D18389" t="str">
            <v>DD-J10-05346-1-Z</v>
          </cell>
          <cell r="E18389" t="str">
            <v>受剪接头</v>
          </cell>
        </row>
        <row r="18390">
          <cell r="D18390" t="str">
            <v>DD-J10-05346-2-Y</v>
          </cell>
          <cell r="E18390" t="str">
            <v>受剪接头</v>
          </cell>
        </row>
        <row r="18391">
          <cell r="D18391" t="str">
            <v>DD-J10-05346-2-Y</v>
          </cell>
          <cell r="E18391" t="str">
            <v>受剪接头</v>
          </cell>
        </row>
        <row r="18392">
          <cell r="D18392" t="str">
            <v>DD-J10-05346-2-Y</v>
          </cell>
          <cell r="E18392" t="str">
            <v>受剪接头</v>
          </cell>
        </row>
        <row r="18393">
          <cell r="D18393" t="str">
            <v>DD-J10-05346-2-Y</v>
          </cell>
          <cell r="E18393" t="str">
            <v>受剪接头</v>
          </cell>
        </row>
        <row r="18394">
          <cell r="D18394" t="str">
            <v>DD-J10-05346-2-Y</v>
          </cell>
          <cell r="E18394" t="str">
            <v>受剪接头</v>
          </cell>
        </row>
        <row r="18395">
          <cell r="D18395" t="str">
            <v>DD-J10-05346-2-Y</v>
          </cell>
          <cell r="E18395" t="str">
            <v>受剪接头</v>
          </cell>
        </row>
        <row r="18396">
          <cell r="D18396" t="str">
            <v>DD-J10-05346-2-Y</v>
          </cell>
          <cell r="E18396" t="str">
            <v>受剪接头</v>
          </cell>
        </row>
        <row r="18397">
          <cell r="D18397" t="str">
            <v>DD-J10-05346-2-Y</v>
          </cell>
          <cell r="E18397" t="str">
            <v>受剪接头</v>
          </cell>
        </row>
        <row r="18398">
          <cell r="D18398" t="str">
            <v>DD-J10-05346-2-Y</v>
          </cell>
          <cell r="E18398" t="str">
            <v>受剪接头</v>
          </cell>
        </row>
        <row r="18399">
          <cell r="D18399" t="str">
            <v>DD-J10-05346-2-Y</v>
          </cell>
          <cell r="E18399" t="str">
            <v>受剪接头</v>
          </cell>
        </row>
        <row r="18400">
          <cell r="D18400" t="str">
            <v>DD-J10-05346-2-Y</v>
          </cell>
          <cell r="E18400" t="str">
            <v>受剪接头</v>
          </cell>
        </row>
        <row r="18401">
          <cell r="D18401" t="str">
            <v>DD-J10-05346-2-Y</v>
          </cell>
          <cell r="E18401" t="str">
            <v>受剪接头</v>
          </cell>
        </row>
        <row r="18402">
          <cell r="D18402" t="str">
            <v>DD-J10-05346-2-Y</v>
          </cell>
          <cell r="E18402" t="str">
            <v>受剪接头</v>
          </cell>
        </row>
        <row r="18403">
          <cell r="D18403" t="str">
            <v>DD-J10-05346-2-Z</v>
          </cell>
          <cell r="E18403" t="str">
            <v>受剪接头</v>
          </cell>
        </row>
        <row r="18404">
          <cell r="D18404" t="str">
            <v>DD-J10-05346-2-Z</v>
          </cell>
          <cell r="E18404" t="str">
            <v>受剪接头</v>
          </cell>
        </row>
        <row r="18405">
          <cell r="D18405" t="str">
            <v>DD-J10-05346-2-Z</v>
          </cell>
          <cell r="E18405" t="str">
            <v>受剪接头</v>
          </cell>
        </row>
        <row r="18406">
          <cell r="D18406" t="str">
            <v>DD-J10-05346-2-Z</v>
          </cell>
          <cell r="E18406" t="str">
            <v>受剪接头</v>
          </cell>
        </row>
        <row r="18407">
          <cell r="D18407" t="str">
            <v>DD-J10-05346-2-Z</v>
          </cell>
          <cell r="E18407" t="str">
            <v>受剪接头</v>
          </cell>
        </row>
        <row r="18408">
          <cell r="D18408" t="str">
            <v>DD-J10-05346-2-Z</v>
          </cell>
          <cell r="E18408" t="str">
            <v>受剪接头</v>
          </cell>
        </row>
        <row r="18409">
          <cell r="D18409" t="str">
            <v>DD-J10-05346-2-Z</v>
          </cell>
          <cell r="E18409" t="str">
            <v>受剪接头</v>
          </cell>
        </row>
        <row r="18410">
          <cell r="D18410" t="str">
            <v>DD-J10-05346-2-Z</v>
          </cell>
          <cell r="E18410" t="str">
            <v>受剪接头</v>
          </cell>
        </row>
        <row r="18411">
          <cell r="D18411" t="str">
            <v>DD-J10-05346-2-Z</v>
          </cell>
          <cell r="E18411" t="str">
            <v>受剪接头</v>
          </cell>
        </row>
        <row r="18412">
          <cell r="D18412" t="str">
            <v>DD-J10-05346-2-Z</v>
          </cell>
          <cell r="E18412" t="str">
            <v>受剪接头</v>
          </cell>
        </row>
        <row r="18413">
          <cell r="D18413" t="str">
            <v>DD-J10-05346-2-Z</v>
          </cell>
          <cell r="E18413" t="str">
            <v>受剪接头</v>
          </cell>
        </row>
        <row r="18414">
          <cell r="D18414" t="str">
            <v>DD-J10-05346-2-Z</v>
          </cell>
          <cell r="E18414" t="str">
            <v>受剪接头</v>
          </cell>
        </row>
        <row r="18415">
          <cell r="D18415" t="str">
            <v>DD-J10-05346-2-Z</v>
          </cell>
          <cell r="E18415" t="str">
            <v>受剪接头</v>
          </cell>
        </row>
        <row r="18416">
          <cell r="D18416" t="str">
            <v>DD-J10-05346-3-Y</v>
          </cell>
          <cell r="E18416" t="str">
            <v>受剪接头</v>
          </cell>
        </row>
        <row r="18417">
          <cell r="D18417" t="str">
            <v>DD-J10-05346-3-Y</v>
          </cell>
          <cell r="E18417" t="str">
            <v>受剪接头</v>
          </cell>
        </row>
        <row r="18418">
          <cell r="D18418" t="str">
            <v>DD-J10-05346-3-Y</v>
          </cell>
          <cell r="E18418" t="str">
            <v>受剪接头</v>
          </cell>
        </row>
        <row r="18419">
          <cell r="D18419" t="str">
            <v>DD-J10-05346-3-Y</v>
          </cell>
          <cell r="E18419" t="str">
            <v>受剪接头</v>
          </cell>
        </row>
        <row r="18420">
          <cell r="D18420" t="str">
            <v>DD-J10-05346-3-Z</v>
          </cell>
          <cell r="E18420" t="str">
            <v>受剪接头</v>
          </cell>
        </row>
        <row r="18421">
          <cell r="D18421" t="str">
            <v>DD-J10-05346-3-Z</v>
          </cell>
          <cell r="E18421" t="str">
            <v>受剪接头</v>
          </cell>
        </row>
        <row r="18422">
          <cell r="D18422" t="str">
            <v>DD-J10-05346-3-Z</v>
          </cell>
          <cell r="E18422" t="str">
            <v>受剪接头</v>
          </cell>
        </row>
        <row r="18423">
          <cell r="D18423" t="str">
            <v>DD-J10-05346-3-Z</v>
          </cell>
          <cell r="E18423" t="str">
            <v>受剪接头</v>
          </cell>
        </row>
        <row r="18424">
          <cell r="D18424" t="str">
            <v>DD-J10B-55141-101</v>
          </cell>
          <cell r="E18424" t="str">
            <v>90°弯管接头</v>
          </cell>
        </row>
        <row r="18425">
          <cell r="D18425" t="str">
            <v>DD-J10-55165-331</v>
          </cell>
          <cell r="E18425" t="str">
            <v>三通管接头</v>
          </cell>
        </row>
        <row r="18426">
          <cell r="D18426" t="str">
            <v>DD-J10-64016-210-1</v>
          </cell>
          <cell r="E18426" t="str">
            <v>管子</v>
          </cell>
        </row>
        <row r="18427">
          <cell r="D18427" t="str">
            <v>DD-J10-63001-511</v>
          </cell>
          <cell r="E18427" t="str">
            <v>阳密封式法兰盘</v>
          </cell>
        </row>
        <row r="18428">
          <cell r="D18428" t="str">
            <v>DD-J10-04401-103</v>
          </cell>
          <cell r="E18428" t="str">
            <v>接头</v>
          </cell>
        </row>
        <row r="18429">
          <cell r="D18429" t="str">
            <v>DD-J10-04401-104</v>
          </cell>
          <cell r="E18429" t="str">
            <v>接头</v>
          </cell>
        </row>
        <row r="18430">
          <cell r="D18430" t="str">
            <v>DD-J10B-94076-802</v>
          </cell>
          <cell r="E18430" t="str">
            <v>支架</v>
          </cell>
        </row>
        <row r="18431">
          <cell r="D18431" t="str">
            <v>DD-J10B-61201-12</v>
          </cell>
          <cell r="E18431" t="str">
            <v>接头</v>
          </cell>
        </row>
        <row r="18432">
          <cell r="D18432" t="str">
            <v>DD-J10B-02041-2-Z</v>
          </cell>
          <cell r="E18432" t="str">
            <v>前上大梁（左）</v>
          </cell>
        </row>
        <row r="18433">
          <cell r="D18433" t="str">
            <v>DD-J10B-02041-2-Y</v>
          </cell>
          <cell r="E18433" t="str">
            <v>前上大梁（右）</v>
          </cell>
        </row>
        <row r="18434">
          <cell r="D18434" t="str">
            <v>DD-J10B-02041-2-Y</v>
          </cell>
          <cell r="E18434" t="str">
            <v>前上大梁（右）</v>
          </cell>
        </row>
        <row r="18435">
          <cell r="D18435" t="str">
            <v>DD-J10B-26002-100G2-1G2-Y</v>
          </cell>
          <cell r="E18435" t="str">
            <v>翼尖接头</v>
          </cell>
        </row>
        <row r="18436">
          <cell r="D18436" t="str">
            <v>DD-J10-55014-2131</v>
          </cell>
          <cell r="E18436" t="str">
            <v>接管嘴</v>
          </cell>
        </row>
        <row r="18437">
          <cell r="D18437" t="str">
            <v>DD-J10-55014-2131</v>
          </cell>
          <cell r="E18437" t="str">
            <v>接管嘴</v>
          </cell>
        </row>
        <row r="18438">
          <cell r="D18438" t="str">
            <v>DD-J10-55014-2131</v>
          </cell>
          <cell r="E18438" t="str">
            <v>接管嘴</v>
          </cell>
        </row>
        <row r="18439">
          <cell r="D18439" t="str">
            <v>DD-J10-55015-5503-Y</v>
          </cell>
          <cell r="E18439" t="str">
            <v>接管嘴</v>
          </cell>
        </row>
        <row r="18440">
          <cell r="D18440" t="str">
            <v>DD-J10-55015-5503-Y</v>
          </cell>
          <cell r="E18440" t="str">
            <v>接管嘴</v>
          </cell>
        </row>
        <row r="18441">
          <cell r="D18441" t="str">
            <v>DD-J10-55015-5503-Y</v>
          </cell>
          <cell r="E18441" t="str">
            <v>接管嘴</v>
          </cell>
        </row>
        <row r="18442">
          <cell r="D18442" t="str">
            <v>XXX-000-01</v>
          </cell>
          <cell r="E18442" t="str">
            <v>外罩</v>
          </cell>
        </row>
        <row r="18443">
          <cell r="D18443" t="str">
            <v>XXX-000-01</v>
          </cell>
          <cell r="E18443" t="str">
            <v>外罩</v>
          </cell>
        </row>
        <row r="18444">
          <cell r="D18444" t="str">
            <v>XXX-000-01</v>
          </cell>
          <cell r="E18444" t="str">
            <v>外罩</v>
          </cell>
        </row>
        <row r="18445">
          <cell r="D18445" t="str">
            <v>XXX-000-01</v>
          </cell>
          <cell r="E18445" t="str">
            <v>外罩</v>
          </cell>
        </row>
        <row r="18446">
          <cell r="D18446" t="str">
            <v>XXX-000-02</v>
          </cell>
          <cell r="E18446" t="str">
            <v>XXX安装板</v>
          </cell>
        </row>
        <row r="18447">
          <cell r="D18447" t="str">
            <v>XXX-000-03</v>
          </cell>
          <cell r="E18447" t="str">
            <v>调整垫片I</v>
          </cell>
        </row>
        <row r="18448">
          <cell r="D18448" t="str">
            <v>XXX-000-04</v>
          </cell>
          <cell r="E18448" t="str">
            <v>调整垫片II</v>
          </cell>
        </row>
        <row r="18449">
          <cell r="D18449" t="str">
            <v>XXX-000-05</v>
          </cell>
          <cell r="E18449" t="str">
            <v>调整垫片III</v>
          </cell>
        </row>
        <row r="18450">
          <cell r="D18450" t="str">
            <v>XXX-000-06</v>
          </cell>
          <cell r="E18450" t="str">
            <v>调整垫片IV</v>
          </cell>
        </row>
        <row r="18451">
          <cell r="D18451" t="str">
            <v>XXX-000-07</v>
          </cell>
          <cell r="E18451" t="str">
            <v>调整垫片V</v>
          </cell>
        </row>
        <row r="18452">
          <cell r="D18452" t="str">
            <v>XXX-100-01</v>
          </cell>
          <cell r="E18452" t="str">
            <v>支架I</v>
          </cell>
        </row>
        <row r="18453">
          <cell r="D18453" t="str">
            <v>XXX-100-01</v>
          </cell>
          <cell r="E18453" t="str">
            <v>支架I</v>
          </cell>
        </row>
        <row r="18454">
          <cell r="D18454" t="str">
            <v>XXX-100-01</v>
          </cell>
          <cell r="E18454" t="str">
            <v>支架I</v>
          </cell>
        </row>
        <row r="18455">
          <cell r="D18455" t="str">
            <v>XXX-100-01</v>
          </cell>
          <cell r="E18455" t="str">
            <v>支架I</v>
          </cell>
        </row>
        <row r="18456">
          <cell r="D18456" t="str">
            <v>XXX-100-02</v>
          </cell>
          <cell r="E18456" t="str">
            <v>隔热垫</v>
          </cell>
        </row>
        <row r="18457">
          <cell r="D18457" t="str">
            <v>XXX-100-03</v>
          </cell>
          <cell r="E18457" t="str">
            <v>插座安装板</v>
          </cell>
        </row>
        <row r="18458">
          <cell r="D18458" t="str">
            <v>XXX-200-00</v>
          </cell>
          <cell r="E18458" t="str">
            <v>支架II组合件</v>
          </cell>
        </row>
        <row r="18459">
          <cell r="D18459" t="str">
            <v>XXX-200-00</v>
          </cell>
          <cell r="E18459" t="str">
            <v>支架II组合件</v>
          </cell>
        </row>
        <row r="18460">
          <cell r="D18460" t="str">
            <v>XXX-200-00</v>
          </cell>
          <cell r="E18460" t="str">
            <v>支架II组合件</v>
          </cell>
        </row>
        <row r="18461">
          <cell r="D18461" t="str">
            <v>XXX-200-00</v>
          </cell>
          <cell r="E18461" t="str">
            <v>支架II组合件</v>
          </cell>
        </row>
        <row r="18462">
          <cell r="D18462" t="str">
            <v>XXX-200-01</v>
          </cell>
          <cell r="E18462" t="str">
            <v>支架II</v>
          </cell>
        </row>
        <row r="18463">
          <cell r="D18463" t="str">
            <v>XXX-200-01</v>
          </cell>
          <cell r="E18463" t="str">
            <v>支架II</v>
          </cell>
        </row>
        <row r="18464">
          <cell r="D18464" t="str">
            <v>XXX-200-01</v>
          </cell>
          <cell r="E18464" t="str">
            <v>支架II</v>
          </cell>
        </row>
        <row r="18465">
          <cell r="D18465" t="str">
            <v>XXX-200-01</v>
          </cell>
          <cell r="E18465" t="str">
            <v>支架II</v>
          </cell>
        </row>
        <row r="18466">
          <cell r="D18466" t="str">
            <v>XXX-200-03</v>
          </cell>
          <cell r="E18466" t="str">
            <v>保护钢板</v>
          </cell>
        </row>
        <row r="18467">
          <cell r="D18467" t="str">
            <v>XXX-300-01</v>
          </cell>
          <cell r="E18467" t="str">
            <v>XXX压条</v>
          </cell>
        </row>
        <row r="18468">
          <cell r="D18468" t="str">
            <v>XXX-300-02</v>
          </cell>
          <cell r="E18468" t="str">
            <v>隔热条</v>
          </cell>
        </row>
        <row r="18469">
          <cell r="D18469" t="str">
            <v>XXX-400-03</v>
          </cell>
          <cell r="E18469" t="str">
            <v>XXX包带压块</v>
          </cell>
        </row>
        <row r="18470">
          <cell r="D18470" t="str">
            <v>DD-J10-41153-120-2</v>
          </cell>
          <cell r="E18470" t="str">
            <v>挡销</v>
          </cell>
        </row>
        <row r="18471">
          <cell r="D18471" t="str">
            <v>DD-FC1-41153-21</v>
          </cell>
          <cell r="E18471" t="str">
            <v>单耳接头</v>
          </cell>
        </row>
        <row r="18472">
          <cell r="D18472" t="str">
            <v>DD-FC1-41153-21</v>
          </cell>
          <cell r="E18472" t="str">
            <v>单耳接头</v>
          </cell>
        </row>
        <row r="18473">
          <cell r="D18473" t="str">
            <v>DD-J10B-67011-20010-2</v>
          </cell>
          <cell r="E18473" t="str">
            <v>弓形件</v>
          </cell>
        </row>
        <row r="18474">
          <cell r="D18474" t="str">
            <v>DD-J10-67096-50-1</v>
          </cell>
          <cell r="E18474" t="str">
            <v>Z型件</v>
          </cell>
        </row>
        <row r="18475">
          <cell r="D18475" t="str">
            <v>DD-J10-55181-16</v>
          </cell>
          <cell r="E18475" t="str">
            <v>变径三通管接头</v>
          </cell>
        </row>
        <row r="18476">
          <cell r="D18476" t="str">
            <v>CB229C050-014-003</v>
          </cell>
          <cell r="E18476" t="str">
            <v>Z支架</v>
          </cell>
        </row>
        <row r="18477">
          <cell r="D18477" t="str">
            <v>BC2281650-006-003</v>
          </cell>
          <cell r="E18477" t="str">
            <v>支臂</v>
          </cell>
        </row>
        <row r="18478">
          <cell r="D18478" t="str">
            <v>BC5327100-010R002</v>
          </cell>
          <cell r="E18478" t="str">
            <v>7515隔框</v>
          </cell>
        </row>
        <row r="18479">
          <cell r="D18479" t="str">
            <v>BC5327100-010R002</v>
          </cell>
          <cell r="E18479" t="str">
            <v>7515隔框</v>
          </cell>
        </row>
        <row r="18480">
          <cell r="D18480" t="str">
            <v>BC5327100-010R002</v>
          </cell>
          <cell r="E18480" t="str">
            <v>7515隔框</v>
          </cell>
        </row>
        <row r="18481">
          <cell r="D18481" t="str">
            <v>BC5327100-010R002</v>
          </cell>
          <cell r="E18481" t="str">
            <v>7515隔框</v>
          </cell>
        </row>
        <row r="18482">
          <cell r="D18482" t="str">
            <v>BC5327100-010R002</v>
          </cell>
          <cell r="E18482" t="str">
            <v>7515隔框</v>
          </cell>
        </row>
        <row r="18483">
          <cell r="D18483" t="str">
            <v>BC5327100-010R002</v>
          </cell>
          <cell r="E18483" t="str">
            <v>7515隔框</v>
          </cell>
        </row>
        <row r="18484">
          <cell r="D18484" t="str">
            <v>BC5327100-010R002</v>
          </cell>
          <cell r="E18484" t="str">
            <v>7515隔框</v>
          </cell>
        </row>
        <row r="18485">
          <cell r="D18485" t="str">
            <v>BC5327100-010R002</v>
          </cell>
          <cell r="E18485" t="str">
            <v>7515隔框</v>
          </cell>
        </row>
        <row r="18486">
          <cell r="D18486" t="str">
            <v>BC5327100-010R002</v>
          </cell>
          <cell r="E18486" t="str">
            <v>7515隔框</v>
          </cell>
        </row>
        <row r="18487">
          <cell r="D18487" t="str">
            <v>BC5327100-010R002</v>
          </cell>
          <cell r="E18487" t="str">
            <v>7515隔框</v>
          </cell>
        </row>
        <row r="18488">
          <cell r="D18488" t="str">
            <v>BC5327100-010R002</v>
          </cell>
          <cell r="E18488" t="str">
            <v>7515隔框</v>
          </cell>
        </row>
        <row r="18489">
          <cell r="D18489" t="str">
            <v>BC5327100-010R002</v>
          </cell>
          <cell r="E18489" t="str">
            <v>7515隔框</v>
          </cell>
        </row>
        <row r="18490">
          <cell r="D18490" t="str">
            <v>BC5327100-010L002</v>
          </cell>
          <cell r="E18490" t="str">
            <v>7515隔框</v>
          </cell>
        </row>
        <row r="18491">
          <cell r="D18491" t="str">
            <v>BC5327100-010L002</v>
          </cell>
          <cell r="E18491" t="str">
            <v>7515隔框</v>
          </cell>
        </row>
        <row r="18492">
          <cell r="D18492" t="str">
            <v>BC5327100-010L002</v>
          </cell>
          <cell r="E18492" t="str">
            <v>7515隔框</v>
          </cell>
        </row>
        <row r="18493">
          <cell r="D18493" t="str">
            <v>BC5327100-010L002</v>
          </cell>
          <cell r="E18493" t="str">
            <v>7515隔框</v>
          </cell>
        </row>
        <row r="18494">
          <cell r="D18494" t="str">
            <v>BC5327100-010L002</v>
          </cell>
          <cell r="E18494" t="str">
            <v>7515隔框</v>
          </cell>
        </row>
        <row r="18495">
          <cell r="D18495" t="str">
            <v>BC5327100-010L002</v>
          </cell>
          <cell r="E18495" t="str">
            <v>7515隔框</v>
          </cell>
        </row>
        <row r="18496">
          <cell r="D18496" t="str">
            <v>BC5327100-010L002</v>
          </cell>
          <cell r="E18496" t="str">
            <v>7515隔框</v>
          </cell>
        </row>
        <row r="18497">
          <cell r="D18497" t="str">
            <v>BC5327100-010L002</v>
          </cell>
          <cell r="E18497" t="str">
            <v>7515隔框</v>
          </cell>
        </row>
        <row r="18498">
          <cell r="D18498" t="str">
            <v>BC5327100-010L002</v>
          </cell>
          <cell r="E18498" t="str">
            <v>7515隔框</v>
          </cell>
        </row>
        <row r="18499">
          <cell r="D18499" t="str">
            <v>BC5327100-010L002</v>
          </cell>
          <cell r="E18499" t="str">
            <v>7515隔框</v>
          </cell>
        </row>
        <row r="18500">
          <cell r="D18500" t="str">
            <v>BC5327100-010L002</v>
          </cell>
          <cell r="E18500" t="str">
            <v>7515隔框</v>
          </cell>
        </row>
        <row r="18501">
          <cell r="D18501" t="str">
            <v>BC5327100-010L002</v>
          </cell>
          <cell r="E18501" t="str">
            <v>7515隔框</v>
          </cell>
        </row>
        <row r="18502">
          <cell r="D18502" t="str">
            <v>DD-J10B-61001-2</v>
          </cell>
          <cell r="E18502" t="str">
            <v>接头</v>
          </cell>
        </row>
        <row r="18503">
          <cell r="D18503" t="str">
            <v>DD-J10B-63001-651</v>
          </cell>
          <cell r="E18503" t="str">
            <v>法兰盘</v>
          </cell>
        </row>
        <row r="18504">
          <cell r="D18504" t="str">
            <v>DD-J10-54101-201</v>
          </cell>
          <cell r="E18504" t="str">
            <v>支座</v>
          </cell>
        </row>
        <row r="18505">
          <cell r="D18505" t="str">
            <v>DD-J10B-06061-22</v>
          </cell>
          <cell r="E18505" t="str">
            <v>摇臂</v>
          </cell>
        </row>
        <row r="18506">
          <cell r="D18506" t="str">
            <v>DD-J10-21102-410-1-Y</v>
          </cell>
          <cell r="E18506" t="str">
            <v>1150肋根肋</v>
          </cell>
        </row>
        <row r="18507">
          <cell r="D18507" t="str">
            <v>DD-J10-21102-410-1-Y</v>
          </cell>
          <cell r="E18507" t="str">
            <v>1150肋根肋</v>
          </cell>
        </row>
        <row r="18508">
          <cell r="D18508" t="str">
            <v>DD-J10-21102-410-1-Z</v>
          </cell>
          <cell r="E18508" t="str">
            <v>1150肋根肋</v>
          </cell>
        </row>
        <row r="18509">
          <cell r="D18509" t="str">
            <v>DD-J10-21102-410-1-Z</v>
          </cell>
          <cell r="E18509" t="str">
            <v>1150肋根肋</v>
          </cell>
        </row>
        <row r="18510">
          <cell r="D18510" t="str">
            <v>DD-J10-21102-250-2-Y</v>
          </cell>
          <cell r="E18510" t="str">
            <v>11900梁二段</v>
          </cell>
        </row>
        <row r="18511">
          <cell r="D18511" t="str">
            <v>DD-J10-21102-250-2-Z</v>
          </cell>
          <cell r="E18511" t="str">
            <v>11900梁二段</v>
          </cell>
        </row>
        <row r="18512">
          <cell r="D18512" t="str">
            <v>DD-J10B-02041-2-Z</v>
          </cell>
          <cell r="E18512" t="str">
            <v>前上大梁（左）</v>
          </cell>
        </row>
        <row r="18513">
          <cell r="D18513" t="str">
            <v>DD-J10B-02161-501</v>
          </cell>
          <cell r="E18513" t="str">
            <v>5755横框</v>
          </cell>
        </row>
        <row r="18514">
          <cell r="D18514" t="str">
            <v>DD-J10B-02041-2-Z</v>
          </cell>
          <cell r="E18514" t="str">
            <v>前上大梁（左）</v>
          </cell>
        </row>
        <row r="18515">
          <cell r="D18515" t="str">
            <v>DD-J10B-02041-2-Y</v>
          </cell>
          <cell r="E18515" t="str">
            <v>前上大梁（右）</v>
          </cell>
        </row>
        <row r="18516">
          <cell r="D18516" t="str">
            <v>DD-J10B-78001-460-1</v>
          </cell>
          <cell r="E18516" t="str">
            <v>铰链</v>
          </cell>
        </row>
        <row r="18517">
          <cell r="D18517" t="str">
            <v>DD-J10-21102-60/-1/3-Y</v>
          </cell>
          <cell r="E18517" t="str">
            <v>11968下口盖</v>
          </cell>
        </row>
        <row r="18518">
          <cell r="D18518" t="str">
            <v>DD-J10-21102-60/-1/3-Y</v>
          </cell>
          <cell r="E18518" t="str">
            <v>11968下口盖</v>
          </cell>
        </row>
        <row r="18519">
          <cell r="D18519" t="str">
            <v>DD-J10-05216-32</v>
          </cell>
          <cell r="E18519" t="str">
            <v>转接头</v>
          </cell>
        </row>
        <row r="18520">
          <cell r="D18520" t="str">
            <v>DD-J10-05216-32</v>
          </cell>
          <cell r="E18520" t="str">
            <v>转接头</v>
          </cell>
        </row>
        <row r="18521">
          <cell r="D18521" t="str">
            <v>DD-J10-05216-32</v>
          </cell>
          <cell r="E18521" t="str">
            <v>转接头</v>
          </cell>
        </row>
        <row r="18522">
          <cell r="D18522" t="str">
            <v>DD-J10-05216-32</v>
          </cell>
          <cell r="E18522" t="str">
            <v>转接头</v>
          </cell>
        </row>
        <row r="18523">
          <cell r="D18523" t="str">
            <v>DD-J10-21102-274</v>
          </cell>
          <cell r="E18523" t="str">
            <v>4#下垫片</v>
          </cell>
        </row>
        <row r="18524">
          <cell r="D18524" t="str">
            <v>DD-J10-21102-274</v>
          </cell>
          <cell r="E18524" t="str">
            <v>4#下垫片</v>
          </cell>
        </row>
        <row r="18525">
          <cell r="D18525" t="str">
            <v>DD-J10-21102-274</v>
          </cell>
          <cell r="E18525" t="str">
            <v>4#下垫片</v>
          </cell>
        </row>
        <row r="18526">
          <cell r="D18526" t="str">
            <v>DD-J10-21102-274</v>
          </cell>
          <cell r="E18526" t="str">
            <v>4#下垫片</v>
          </cell>
        </row>
        <row r="18527">
          <cell r="D18527" t="str">
            <v>DD-J10B-02081-61-Y</v>
          </cell>
          <cell r="E18527" t="str">
            <v>角材</v>
          </cell>
        </row>
        <row r="18528">
          <cell r="D18528" t="str">
            <v>DD-J10B-02081-61-Y</v>
          </cell>
          <cell r="E18528" t="str">
            <v>角材</v>
          </cell>
        </row>
        <row r="18529">
          <cell r="D18529" t="str">
            <v>DD-J10B-02081-61-Y</v>
          </cell>
          <cell r="E18529" t="str">
            <v>角材</v>
          </cell>
        </row>
        <row r="18530">
          <cell r="D18530" t="str">
            <v>DD-J10B-02081-61-Z</v>
          </cell>
          <cell r="E18530" t="str">
            <v>角材</v>
          </cell>
        </row>
        <row r="18531">
          <cell r="D18531" t="str">
            <v>DD-J10B-02081-61-Z</v>
          </cell>
          <cell r="E18531" t="str">
            <v>角材</v>
          </cell>
        </row>
        <row r="18532">
          <cell r="D18532" t="str">
            <v>DD-J10B-02081-61-Z</v>
          </cell>
          <cell r="E18532" t="str">
            <v>角材</v>
          </cell>
        </row>
        <row r="18533">
          <cell r="D18533" t="str">
            <v>DD-J10-62021-11106</v>
          </cell>
          <cell r="E18533" t="str">
            <v>壳体</v>
          </cell>
        </row>
        <row r="18534">
          <cell r="D18534" t="str">
            <v>DD-J10-62021-11106</v>
          </cell>
          <cell r="E18534" t="str">
            <v>壳体</v>
          </cell>
        </row>
        <row r="18535">
          <cell r="D18535" t="str">
            <v>CB5323400-008R001</v>
          </cell>
          <cell r="E18535" t="str">
            <v>外侧轴承盖</v>
          </cell>
        </row>
        <row r="18536">
          <cell r="D18536" t="str">
            <v>DD-J10-21102-390-1-Y</v>
          </cell>
          <cell r="E18536" t="str">
            <v>1150肋九段</v>
          </cell>
        </row>
        <row r="18537">
          <cell r="D18537" t="str">
            <v>DD-J10-21102-390-1-Z</v>
          </cell>
          <cell r="E18537" t="str">
            <v>1150肋九段</v>
          </cell>
        </row>
        <row r="18538">
          <cell r="D18538" t="str">
            <v>DD-J10-55023-632</v>
          </cell>
          <cell r="E18538" t="str">
            <v>小衬套</v>
          </cell>
        </row>
        <row r="18539">
          <cell r="D18539" t="str">
            <v>DD-J10-96031-104</v>
          </cell>
          <cell r="E18539" t="str">
            <v>接管嘴</v>
          </cell>
        </row>
        <row r="18540">
          <cell r="D18540" t="str">
            <v>DD-J10-96031-121</v>
          </cell>
          <cell r="E18540" t="str">
            <v>销棒</v>
          </cell>
        </row>
        <row r="18541">
          <cell r="D18541" t="str">
            <v>DD-J10-96031-121</v>
          </cell>
          <cell r="E18541" t="str">
            <v>销棒</v>
          </cell>
        </row>
        <row r="18542">
          <cell r="D18542" t="str">
            <v>DD-J10-96031-121</v>
          </cell>
          <cell r="E18542" t="str">
            <v>销棒</v>
          </cell>
        </row>
        <row r="18543">
          <cell r="D18543" t="str">
            <v>DD-J10-55181-2540-2</v>
          </cell>
          <cell r="E18543" t="str">
            <v>小轴</v>
          </cell>
        </row>
        <row r="18544">
          <cell r="D18544" t="str">
            <v>DD-J10-55181-2540-1</v>
          </cell>
          <cell r="E18544" t="str">
            <v>螺栓</v>
          </cell>
        </row>
        <row r="18545">
          <cell r="D18545" t="str">
            <v>DD-J10-55181-2540-1</v>
          </cell>
          <cell r="E18545" t="str">
            <v>螺栓</v>
          </cell>
        </row>
        <row r="18546">
          <cell r="D18546" t="str">
            <v>DD-J10-55181-2540-1</v>
          </cell>
          <cell r="E18546" t="str">
            <v>螺栓</v>
          </cell>
        </row>
        <row r="18547">
          <cell r="D18547" t="str">
            <v>DD-J10-41153-120-2</v>
          </cell>
          <cell r="E18547" t="str">
            <v>挡销</v>
          </cell>
        </row>
        <row r="18548">
          <cell r="D18548" t="str">
            <v>DD-J10-41153-120-2</v>
          </cell>
          <cell r="E18548" t="str">
            <v>挡销</v>
          </cell>
        </row>
        <row r="18549">
          <cell r="D18549" t="str">
            <v>DD-J10-96031-104</v>
          </cell>
          <cell r="E18549" t="str">
            <v>接管嘴</v>
          </cell>
        </row>
        <row r="18550">
          <cell r="D18550" t="str">
            <v>DD-J10-96031-111</v>
          </cell>
          <cell r="E18550" t="str">
            <v>螺母</v>
          </cell>
        </row>
        <row r="18551">
          <cell r="D18551" t="str">
            <v>DD-J10-96031-111</v>
          </cell>
          <cell r="E18551" t="str">
            <v>螺母</v>
          </cell>
        </row>
        <row r="18552">
          <cell r="D18552" t="str">
            <v>DD-J10-96031-130-1</v>
          </cell>
          <cell r="E18552" t="str">
            <v>管子</v>
          </cell>
        </row>
        <row r="18553">
          <cell r="D18553" t="str">
            <v>DD-J10-41123-1101</v>
          </cell>
          <cell r="E18553" t="str">
            <v>壳体</v>
          </cell>
        </row>
        <row r="18554">
          <cell r="D18554" t="str">
            <v>DD-J10-41123-1111</v>
          </cell>
          <cell r="E18554" t="str">
            <v>销子</v>
          </cell>
        </row>
        <row r="18555">
          <cell r="D18555" t="str">
            <v>DD-J10-41123-1111</v>
          </cell>
          <cell r="E18555" t="str">
            <v>销子</v>
          </cell>
        </row>
        <row r="18556">
          <cell r="D18556" t="str">
            <v>DD-J10-41123-1111</v>
          </cell>
          <cell r="E18556" t="str">
            <v>销子</v>
          </cell>
        </row>
        <row r="18557">
          <cell r="D18557" t="str">
            <v>DD-J10-41123-1111</v>
          </cell>
          <cell r="E18557" t="str">
            <v>销子</v>
          </cell>
        </row>
        <row r="18558">
          <cell r="D18558" t="str">
            <v>DD-J10-41123-1111</v>
          </cell>
          <cell r="E18558" t="str">
            <v>销子</v>
          </cell>
        </row>
        <row r="18559">
          <cell r="D18559" t="str">
            <v>DD-J10-64031-1221</v>
          </cell>
          <cell r="E18559" t="str">
            <v>耳片</v>
          </cell>
        </row>
        <row r="18560">
          <cell r="D18560" t="str">
            <v>DD-J10-41123-1112</v>
          </cell>
          <cell r="E18560" t="str">
            <v>拨棍</v>
          </cell>
        </row>
        <row r="18561">
          <cell r="D18561" t="str">
            <v>DD-J10-41123-1112</v>
          </cell>
          <cell r="E18561" t="str">
            <v>拨棍</v>
          </cell>
        </row>
        <row r="18562">
          <cell r="D18562" t="str">
            <v>DD-J10-41123-1102</v>
          </cell>
          <cell r="E18562" t="str">
            <v>塞子</v>
          </cell>
        </row>
        <row r="18563">
          <cell r="D18563" t="str">
            <v>DD-J10-41123-1102</v>
          </cell>
          <cell r="E18563" t="str">
            <v>塞子</v>
          </cell>
        </row>
        <row r="18564">
          <cell r="D18564" t="str">
            <v>DD-J10-41123-1102</v>
          </cell>
          <cell r="E18564" t="str">
            <v>塞子</v>
          </cell>
        </row>
        <row r="18565">
          <cell r="D18565" t="str">
            <v>DD-J10-41123-1103</v>
          </cell>
          <cell r="E18565" t="str">
            <v>螺帽</v>
          </cell>
        </row>
        <row r="18566">
          <cell r="D18566" t="str">
            <v>DD-J10-41123-1103</v>
          </cell>
          <cell r="E18566" t="str">
            <v>螺帽</v>
          </cell>
        </row>
        <row r="18567">
          <cell r="D18567" t="str">
            <v>DD-J10-41123-1103</v>
          </cell>
          <cell r="E18567" t="str">
            <v>螺帽</v>
          </cell>
        </row>
        <row r="18568">
          <cell r="D18568" t="str">
            <v>DD-J10-41123-1103</v>
          </cell>
          <cell r="E18568" t="str">
            <v>螺帽</v>
          </cell>
        </row>
        <row r="18569">
          <cell r="D18569" t="str">
            <v>XXX-3810000-12</v>
          </cell>
          <cell r="E18569" t="str">
            <v>介质固定块A</v>
          </cell>
        </row>
        <row r="18570">
          <cell r="D18570" t="str">
            <v>XXX-3820000-05</v>
          </cell>
          <cell r="E18570" t="str">
            <v>介质固定块B</v>
          </cell>
        </row>
        <row r="18571">
          <cell r="D18571" t="str">
            <v>XXX-00000-01</v>
          </cell>
          <cell r="E18571" t="str">
            <v>壳体</v>
          </cell>
        </row>
        <row r="18572">
          <cell r="D18572" t="str">
            <v>XXX-00000-02</v>
          </cell>
          <cell r="E18572" t="str">
            <v>上盖板</v>
          </cell>
        </row>
        <row r="18573">
          <cell r="D18573" t="str">
            <v>XXX-00000-03</v>
          </cell>
          <cell r="E18573" t="str">
            <v>下盖板</v>
          </cell>
        </row>
        <row r="18574">
          <cell r="D18574" t="str">
            <v>W12JXXX-700-01</v>
          </cell>
          <cell r="E18574" t="str">
            <v>XXX试验夹具一</v>
          </cell>
        </row>
        <row r="18575">
          <cell r="D18575" t="str">
            <v>W12JXXX-700-02</v>
          </cell>
          <cell r="E18575" t="str">
            <v>支柱</v>
          </cell>
        </row>
        <row r="18576">
          <cell r="D18576" t="str">
            <v>W12JXXX-700-03</v>
          </cell>
          <cell r="E18576" t="str">
            <v>XXX试验夹具二</v>
          </cell>
        </row>
        <row r="18577">
          <cell r="D18577" t="str">
            <v>DD-J10-21102-271</v>
          </cell>
          <cell r="E18577" t="str">
            <v>3#上垫片</v>
          </cell>
        </row>
        <row r="18578">
          <cell r="D18578" t="str">
            <v>DD-J10-21102-271</v>
          </cell>
          <cell r="E18578" t="str">
            <v>3#上垫片</v>
          </cell>
        </row>
        <row r="18579">
          <cell r="D18579" t="str">
            <v>DD-J10-21102-271</v>
          </cell>
          <cell r="E18579" t="str">
            <v>3#上垫片</v>
          </cell>
        </row>
        <row r="18580">
          <cell r="D18580" t="str">
            <v>DD-J10-21102-271</v>
          </cell>
          <cell r="E18580" t="str">
            <v>3#上垫片</v>
          </cell>
        </row>
        <row r="18581">
          <cell r="D18581" t="str">
            <v>DD-J10-21102-272</v>
          </cell>
          <cell r="E18581" t="str">
            <v>3#下垫片</v>
          </cell>
        </row>
        <row r="18582">
          <cell r="D18582" t="str">
            <v>DD-J10-21102-272</v>
          </cell>
          <cell r="E18582" t="str">
            <v>3#下垫片</v>
          </cell>
        </row>
        <row r="18583">
          <cell r="D18583" t="str">
            <v>DD-J10-21102-272</v>
          </cell>
          <cell r="E18583" t="str">
            <v>3#下垫片</v>
          </cell>
        </row>
        <row r="18584">
          <cell r="D18584" t="str">
            <v>DD-J10-21102-272</v>
          </cell>
          <cell r="E18584" t="str">
            <v>3#下垫片</v>
          </cell>
        </row>
        <row r="18585">
          <cell r="D18585" t="str">
            <v>DD-J10-21102-273</v>
          </cell>
          <cell r="E18585" t="str">
            <v>4#上垫片</v>
          </cell>
        </row>
        <row r="18586">
          <cell r="D18586" t="str">
            <v>DD-J10-21102-273</v>
          </cell>
          <cell r="E18586" t="str">
            <v>4#上垫片</v>
          </cell>
        </row>
        <row r="18587">
          <cell r="D18587" t="str">
            <v>DD-J10-21102-273</v>
          </cell>
          <cell r="E18587" t="str">
            <v>4#上垫片</v>
          </cell>
        </row>
        <row r="18588">
          <cell r="D18588" t="str">
            <v>DD-J10-21102-273</v>
          </cell>
          <cell r="E18588" t="str">
            <v>4#上垫片</v>
          </cell>
        </row>
        <row r="18589">
          <cell r="D18589" t="str">
            <v>DD-J10B-21302-40G2-1-Y</v>
          </cell>
          <cell r="E18589" t="str">
            <v>后梁四段</v>
          </cell>
        </row>
        <row r="18590">
          <cell r="D18590" t="str">
            <v>DD-J10B-21302-40G2-1-Y</v>
          </cell>
          <cell r="E18590" t="str">
            <v>后梁四段</v>
          </cell>
        </row>
        <row r="18591">
          <cell r="D18591" t="str">
            <v>DD-J10-55181-66</v>
          </cell>
          <cell r="E18591" t="str">
            <v>转接管接头</v>
          </cell>
        </row>
        <row r="18592">
          <cell r="D18592" t="str">
            <v>CB5714100-002R003</v>
          </cell>
          <cell r="E18592" t="str">
            <v>根肋二段</v>
          </cell>
        </row>
        <row r="18593">
          <cell r="D18593" t="str">
            <v>CB5714100-002L003</v>
          </cell>
          <cell r="E18593" t="str">
            <v>根肋二段</v>
          </cell>
        </row>
        <row r="18594">
          <cell r="D18594" t="str">
            <v>CB2294170-003-001</v>
          </cell>
          <cell r="E18594" t="str">
            <v>支架</v>
          </cell>
        </row>
        <row r="18595">
          <cell r="D18595" t="str">
            <v>CB2295170-001-002</v>
          </cell>
          <cell r="E18595" t="str">
            <v>安装支座</v>
          </cell>
        </row>
        <row r="18596">
          <cell r="D18596" t="str">
            <v>CB2295170-001-002</v>
          </cell>
          <cell r="E18596" t="str">
            <v>安装支座</v>
          </cell>
        </row>
        <row r="18597">
          <cell r="D18597" t="str">
            <v>CB2295170-001-002</v>
          </cell>
          <cell r="E18597" t="str">
            <v>安装支座</v>
          </cell>
        </row>
        <row r="18598">
          <cell r="D18598" t="str">
            <v>DD-J10-41153-105</v>
          </cell>
          <cell r="E18598" t="str">
            <v>联锁摇臂</v>
          </cell>
        </row>
        <row r="18599">
          <cell r="D18599" t="str">
            <v>DD-J10-41153-105</v>
          </cell>
          <cell r="E18599" t="str">
            <v>联锁摇臂</v>
          </cell>
        </row>
        <row r="18600">
          <cell r="D18600" t="str">
            <v>CB5322400-016-061</v>
          </cell>
          <cell r="E18600" t="str">
            <v>11140框左下半框</v>
          </cell>
        </row>
        <row r="18601">
          <cell r="D18601" t="str">
            <v>CB5322400-016-061</v>
          </cell>
          <cell r="E18601" t="str">
            <v>11140框左下半框</v>
          </cell>
        </row>
        <row r="18602">
          <cell r="D18602" t="str">
            <v>CB5322400-016-061</v>
          </cell>
          <cell r="E18602" t="str">
            <v>11140框左下半框</v>
          </cell>
        </row>
        <row r="18603">
          <cell r="D18603" t="str">
            <v>CB5322400-016-061</v>
          </cell>
          <cell r="E18603" t="str">
            <v>11140框左下半框</v>
          </cell>
        </row>
        <row r="18604">
          <cell r="D18604" t="str">
            <v>CB5322400-016-061</v>
          </cell>
          <cell r="E18604" t="str">
            <v>11140框左下半框</v>
          </cell>
        </row>
        <row r="18605">
          <cell r="D18605" t="str">
            <v>CB5322400-016-061</v>
          </cell>
          <cell r="E18605" t="str">
            <v>11140框左下半框</v>
          </cell>
        </row>
        <row r="18606">
          <cell r="D18606" t="str">
            <v>CB5322400-016-061</v>
          </cell>
          <cell r="E18606" t="str">
            <v>11140框左下半框</v>
          </cell>
        </row>
        <row r="18607">
          <cell r="D18607" t="str">
            <v>CB5322400-016-061</v>
          </cell>
          <cell r="E18607" t="str">
            <v>11140框左下半框</v>
          </cell>
        </row>
        <row r="18608">
          <cell r="D18608" t="str">
            <v>CB5322400-016-061</v>
          </cell>
          <cell r="E18608" t="str">
            <v>11140框左下半框</v>
          </cell>
        </row>
        <row r="18609">
          <cell r="D18609" t="str">
            <v>CB5322400-016-061</v>
          </cell>
          <cell r="E18609" t="str">
            <v>11140框左下半框</v>
          </cell>
        </row>
        <row r="18610">
          <cell r="D18610" t="str">
            <v>CB5322400-017-061</v>
          </cell>
          <cell r="E18610" t="str">
            <v>11140框右下半框</v>
          </cell>
        </row>
        <row r="18611">
          <cell r="D18611" t="str">
            <v>CB5322400-017-061</v>
          </cell>
          <cell r="E18611" t="str">
            <v>11140框右下半框</v>
          </cell>
        </row>
        <row r="18612">
          <cell r="D18612" t="str">
            <v>CB5322400-017-061</v>
          </cell>
          <cell r="E18612" t="str">
            <v>11140框右下半框</v>
          </cell>
        </row>
        <row r="18613">
          <cell r="D18613" t="str">
            <v>CB5322400-017-061</v>
          </cell>
          <cell r="E18613" t="str">
            <v>11140框右下半框</v>
          </cell>
        </row>
        <row r="18614">
          <cell r="D18614" t="str">
            <v>CB5322400-017-061</v>
          </cell>
          <cell r="E18614" t="str">
            <v>11140框右下半框</v>
          </cell>
        </row>
        <row r="18615">
          <cell r="D18615" t="str">
            <v>CB5322400-017-061</v>
          </cell>
          <cell r="E18615" t="str">
            <v>11140框右下半框</v>
          </cell>
        </row>
        <row r="18616">
          <cell r="D18616" t="str">
            <v>CB5322400-017-061</v>
          </cell>
          <cell r="E18616" t="str">
            <v>11140框右下半框</v>
          </cell>
        </row>
        <row r="18617">
          <cell r="D18617" t="str">
            <v>CB5322400-017-061</v>
          </cell>
          <cell r="E18617" t="str">
            <v>11140框右下半框</v>
          </cell>
        </row>
        <row r="18618">
          <cell r="D18618" t="str">
            <v>CB5322400-017-061</v>
          </cell>
          <cell r="E18618" t="str">
            <v>11140框右下半框</v>
          </cell>
        </row>
        <row r="18619">
          <cell r="D18619" t="str">
            <v>CB5322400-017-061</v>
          </cell>
          <cell r="E18619" t="str">
            <v>11140框右下半框</v>
          </cell>
        </row>
        <row r="18620">
          <cell r="D18620" t="str">
            <v>CB2263268-001-002</v>
          </cell>
          <cell r="E18620" t="str">
            <v>三通管接头</v>
          </cell>
        </row>
        <row r="18621">
          <cell r="D18621" t="str">
            <v>CB22109MN-001-003</v>
          </cell>
          <cell r="E18621" t="str">
            <v>变径直通接头</v>
          </cell>
        </row>
        <row r="18622">
          <cell r="D18622" t="str">
            <v>CB221T3LG-002-001</v>
          </cell>
          <cell r="E18622" t="str">
            <v>接头</v>
          </cell>
        </row>
        <row r="18623">
          <cell r="D18623" t="str">
            <v>CB229C050-014-003</v>
          </cell>
          <cell r="E18623" t="str">
            <v>Z支架</v>
          </cell>
        </row>
        <row r="18624">
          <cell r="D18624" t="str">
            <v>BC5525200-003-002</v>
          </cell>
          <cell r="E18624" t="str">
            <v>对穿螺栓</v>
          </cell>
        </row>
        <row r="18625">
          <cell r="D18625" t="str">
            <v>Y20-5211025003-001</v>
          </cell>
          <cell r="E18625" t="str">
            <v>螺栓</v>
          </cell>
        </row>
        <row r="18626">
          <cell r="D18626" t="str">
            <v>Y20-5319120045-001</v>
          </cell>
          <cell r="E18626" t="str">
            <v>角盒</v>
          </cell>
        </row>
        <row r="18627">
          <cell r="D18627" t="str">
            <v>Y20-5319400015-001</v>
          </cell>
          <cell r="E18627" t="str">
            <v>扶手支座</v>
          </cell>
        </row>
        <row r="18628">
          <cell r="D18628" t="str">
            <v>Y20-5312100302-001</v>
          </cell>
          <cell r="E18628" t="str">
            <v>合页</v>
          </cell>
        </row>
        <row r="18629">
          <cell r="D18629" t="str">
            <v>Y20-5312100303-001</v>
          </cell>
          <cell r="E18629" t="str">
            <v>合页</v>
          </cell>
        </row>
        <row r="18630">
          <cell r="D18630" t="str">
            <v>5211C31005G70</v>
          </cell>
          <cell r="E18630" t="str">
            <v>垫片</v>
          </cell>
        </row>
        <row r="18631">
          <cell r="D18631" t="str">
            <v>5211C41013G70</v>
          </cell>
          <cell r="E18631" t="str">
            <v>垫圈</v>
          </cell>
        </row>
        <row r="18632">
          <cell r="D18632" t="str">
            <v>5211C41017G70</v>
          </cell>
          <cell r="E18632" t="str">
            <v>球型杯</v>
          </cell>
        </row>
        <row r="18633">
          <cell r="D18633" t="str">
            <v>5312C02301G70</v>
          </cell>
          <cell r="E18633" t="str">
            <v>雷达罩导销</v>
          </cell>
        </row>
        <row r="18634">
          <cell r="D18634" t="str">
            <v>5211C41007G70</v>
          </cell>
          <cell r="E18634" t="str">
            <v>垫圈</v>
          </cell>
        </row>
        <row r="18635">
          <cell r="D18635" t="str">
            <v>5211C41015G70</v>
          </cell>
          <cell r="E18635" t="str">
            <v>导向衬套</v>
          </cell>
        </row>
        <row r="18636">
          <cell r="D18636" t="str">
            <v>5613A380029G010</v>
          </cell>
          <cell r="E18636" t="str">
            <v>手柄握把</v>
          </cell>
        </row>
        <row r="18637">
          <cell r="D18637" t="str">
            <v>5613A380025G010</v>
          </cell>
          <cell r="E18637" t="str">
            <v>圆柱销</v>
          </cell>
        </row>
        <row r="18638">
          <cell r="D18638" t="str">
            <v>DD-J10B-94091-24G2</v>
          </cell>
          <cell r="E18638" t="str">
            <v>20-28变径直通接头</v>
          </cell>
        </row>
        <row r="18639">
          <cell r="D18639" t="str">
            <v>DD-J10S-96011-1202</v>
          </cell>
          <cell r="E18639" t="str">
            <v>接嘴</v>
          </cell>
        </row>
        <row r="18640">
          <cell r="D18640" t="str">
            <v>DD-J10S-96011-1811</v>
          </cell>
          <cell r="E18640" t="str">
            <v>转接嘴</v>
          </cell>
        </row>
        <row r="18641">
          <cell r="D18641" t="str">
            <v>DD-J10-61052-4</v>
          </cell>
          <cell r="E18641" t="str">
            <v>接管嘴</v>
          </cell>
        </row>
        <row r="18642">
          <cell r="D18642" t="str">
            <v>DD-J10B-64016-501</v>
          </cell>
          <cell r="E18642" t="str">
            <v>管接头</v>
          </cell>
        </row>
        <row r="18643">
          <cell r="D18643" t="str">
            <v>DD-J10-62021-7</v>
          </cell>
          <cell r="E18643" t="str">
            <v>管接头</v>
          </cell>
        </row>
        <row r="18644">
          <cell r="D18644" t="str">
            <v>DD-J10B-77101-963</v>
          </cell>
          <cell r="E18644" t="str">
            <v>卡箍扣</v>
          </cell>
        </row>
        <row r="18645">
          <cell r="D18645" t="str">
            <v>DD-J10-61101-15</v>
          </cell>
          <cell r="E18645" t="str">
            <v>接管嘴</v>
          </cell>
        </row>
        <row r="18646">
          <cell r="D18646" t="str">
            <v>DD-J10-42074-90-1-Y</v>
          </cell>
          <cell r="E18646" t="str">
            <v>支座</v>
          </cell>
        </row>
        <row r="18647">
          <cell r="D18647" t="str">
            <v>DD-J10-42074-90-1-Y</v>
          </cell>
          <cell r="E18647" t="str">
            <v>支座</v>
          </cell>
        </row>
        <row r="18648">
          <cell r="D18648" t="str">
            <v>DD-J10-42074-90-1-Z</v>
          </cell>
          <cell r="E18648" t="str">
            <v>支座</v>
          </cell>
        </row>
        <row r="18649">
          <cell r="D18649" t="str">
            <v>DD-J10B-94076-501-Z</v>
          </cell>
          <cell r="E18649" t="str">
            <v>拉杆支座</v>
          </cell>
        </row>
        <row r="18650">
          <cell r="D18650" t="str">
            <v>DD-J10B-94076-501-Z</v>
          </cell>
          <cell r="E18650" t="str">
            <v>拉杆支座</v>
          </cell>
        </row>
        <row r="18651">
          <cell r="D18651" t="str">
            <v>DD-J10B-94076-501-Y</v>
          </cell>
          <cell r="E18651" t="str">
            <v>拉杆支座</v>
          </cell>
        </row>
        <row r="18652">
          <cell r="D18652" t="str">
            <v>BC2712521-001-004</v>
          </cell>
          <cell r="E18652" t="str">
            <v>摇臂</v>
          </cell>
        </row>
        <row r="18653">
          <cell r="D18653" t="str">
            <v>BC2712522-001-004</v>
          </cell>
          <cell r="E18653" t="str">
            <v>支座</v>
          </cell>
        </row>
        <row r="18654">
          <cell r="D18654" t="str">
            <v>BC2716320-001-003</v>
          </cell>
          <cell r="E18654" t="str">
            <v>插槽</v>
          </cell>
        </row>
        <row r="18655">
          <cell r="D18655" t="str">
            <v>BC2712542-001-001</v>
          </cell>
          <cell r="E18655" t="str">
            <v>带耳螺栓</v>
          </cell>
        </row>
        <row r="18656">
          <cell r="D18656" t="str">
            <v>BC2712520-003-001</v>
          </cell>
          <cell r="E18656" t="str">
            <v>支架</v>
          </cell>
        </row>
        <row r="18657">
          <cell r="D18657" t="str">
            <v>BC2711322-002-001</v>
          </cell>
          <cell r="E18657" t="str">
            <v>接头</v>
          </cell>
        </row>
        <row r="18658">
          <cell r="D18658" t="str">
            <v>BC2281650-006-003</v>
          </cell>
          <cell r="E18658" t="str">
            <v>支臂</v>
          </cell>
        </row>
        <row r="18659">
          <cell r="D18659" t="str">
            <v>BC2712521-004-004</v>
          </cell>
          <cell r="E18659" t="str">
            <v>限位销</v>
          </cell>
        </row>
        <row r="18660">
          <cell r="D18660" t="str">
            <v>CB5350510-002-010</v>
          </cell>
          <cell r="E18660" t="str">
            <v>扶手支座</v>
          </cell>
        </row>
        <row r="18661">
          <cell r="D18661" t="str">
            <v>5317C23403G70</v>
          </cell>
          <cell r="E18661" t="str">
            <v>回收锁销接头</v>
          </cell>
        </row>
        <row r="18662">
          <cell r="D18662" t="str">
            <v>5211C41029G70</v>
          </cell>
          <cell r="E18662" t="str">
            <v>垫片</v>
          </cell>
        </row>
        <row r="18663">
          <cell r="D18663" t="str">
            <v>5211C41027G70</v>
          </cell>
          <cell r="E18663" t="str">
            <v>垫片</v>
          </cell>
        </row>
        <row r="18664">
          <cell r="D18664" t="str">
            <v>DD-J10B-61201-301</v>
          </cell>
          <cell r="E18664" t="str">
            <v>直通管接头</v>
          </cell>
        </row>
        <row r="18665">
          <cell r="D18665" t="str">
            <v>CB5714100-001L004</v>
          </cell>
          <cell r="E18665" t="str">
            <v>根肋一段</v>
          </cell>
        </row>
        <row r="18666">
          <cell r="D18666" t="str">
            <v>CB5714100-001R004</v>
          </cell>
          <cell r="E18666" t="str">
            <v>根肋一段</v>
          </cell>
        </row>
        <row r="18667">
          <cell r="D18667" t="str">
            <v>CB2298621-001-002</v>
          </cell>
          <cell r="E18667" t="str">
            <v>支架</v>
          </cell>
        </row>
        <row r="18668">
          <cell r="D18668" t="str">
            <v>CB22956R1-001R001</v>
          </cell>
          <cell r="E18668" t="str">
            <v>座子</v>
          </cell>
        </row>
        <row r="18669">
          <cell r="D18669" t="str">
            <v>BC552B300-002-001</v>
          </cell>
          <cell r="E18669" t="str">
            <v>前肋</v>
          </cell>
        </row>
        <row r="18670">
          <cell r="D18670" t="str">
            <v>5311C13031G70</v>
          </cell>
          <cell r="E18670" t="str">
            <v>加强件</v>
          </cell>
        </row>
        <row r="18671">
          <cell r="D18671" t="str">
            <v>5613A380024G010</v>
          </cell>
          <cell r="E18671" t="str">
            <v>圆柱销</v>
          </cell>
        </row>
        <row r="18672">
          <cell r="D18672" t="str">
            <v>5613A380029G010</v>
          </cell>
          <cell r="E18672" t="str">
            <v>手柄握把</v>
          </cell>
        </row>
        <row r="18673">
          <cell r="D18673" t="str">
            <v>561A3310-015-501</v>
          </cell>
          <cell r="E18673" t="str">
            <v>衬套</v>
          </cell>
        </row>
        <row r="18674">
          <cell r="D18674" t="str">
            <v>CB5325153-303-008</v>
          </cell>
          <cell r="E18674" t="str">
            <v>摇臂座</v>
          </cell>
        </row>
        <row r="18675">
          <cell r="D18675" t="str">
            <v>DD-J10-55181-14</v>
          </cell>
          <cell r="E18675" t="str">
            <v>变径四通管接头</v>
          </cell>
        </row>
        <row r="18676">
          <cell r="D18676" t="str">
            <v>DD-J10B-61001-2</v>
          </cell>
          <cell r="E18676" t="str">
            <v>接头</v>
          </cell>
        </row>
        <row r="18677">
          <cell r="D18677" t="str">
            <v>DD-J10-63001-511</v>
          </cell>
          <cell r="E18677" t="str">
            <v>阳密封式法兰盘</v>
          </cell>
        </row>
        <row r="18678">
          <cell r="D18678" t="str">
            <v>DD-J10-55181-66</v>
          </cell>
          <cell r="E18678" t="str">
            <v>转接管接头</v>
          </cell>
        </row>
        <row r="18679">
          <cell r="D18679" t="str">
            <v>5613A380032G010</v>
          </cell>
          <cell r="E18679" t="str">
            <v>手柄底座</v>
          </cell>
        </row>
        <row r="18680">
          <cell r="D18680" t="str">
            <v>524A2230-002-001</v>
          </cell>
          <cell r="E18680" t="str">
            <v>服务门上折板平板合页</v>
          </cell>
        </row>
        <row r="18681">
          <cell r="D18681" t="str">
            <v>561A3310-007-501</v>
          </cell>
          <cell r="E18681" t="str">
            <v>衬套</v>
          </cell>
        </row>
        <row r="18682">
          <cell r="D18682" t="str">
            <v>561A3310-008-501</v>
          </cell>
          <cell r="E18682" t="str">
            <v>衬套</v>
          </cell>
        </row>
        <row r="18683">
          <cell r="D18683" t="str">
            <v>561A3310-009-501</v>
          </cell>
          <cell r="E18683" t="str">
            <v>衬套</v>
          </cell>
        </row>
        <row r="18684">
          <cell r="D18684" t="str">
            <v>5211C38057G70</v>
          </cell>
          <cell r="E18684" t="str">
            <v>垫片</v>
          </cell>
        </row>
        <row r="18685">
          <cell r="D18685" t="str">
            <v>5317C07055G70</v>
          </cell>
          <cell r="E18685" t="str">
            <v>顶起弹簧底座</v>
          </cell>
        </row>
        <row r="18686">
          <cell r="D18686" t="str">
            <v>5319C02301G70</v>
          </cell>
          <cell r="E18686" t="str">
            <v>接头</v>
          </cell>
        </row>
        <row r="18687">
          <cell r="D18687" t="str">
            <v>5319C02101G70</v>
          </cell>
          <cell r="E18687" t="str">
            <v>接头</v>
          </cell>
        </row>
        <row r="18688">
          <cell r="D18688" t="str">
            <v>5319C02011G70</v>
          </cell>
          <cell r="E18688" t="str">
            <v>接头</v>
          </cell>
        </row>
        <row r="18689">
          <cell r="D18689" t="str">
            <v>5319C55018G70</v>
          </cell>
          <cell r="E18689" t="str">
            <v>接头</v>
          </cell>
        </row>
        <row r="18690">
          <cell r="D18690" t="str">
            <v>5313C81051G71</v>
          </cell>
          <cell r="E18690" t="str">
            <v>地板嵌入接头</v>
          </cell>
        </row>
        <row r="18691">
          <cell r="D18691" t="str">
            <v>5211C41003G70</v>
          </cell>
          <cell r="E18691" t="str">
            <v>球形杯</v>
          </cell>
        </row>
        <row r="18692">
          <cell r="D18692" t="str">
            <v>5319C96017G70</v>
          </cell>
          <cell r="E18692" t="str">
            <v>短框连接块</v>
          </cell>
        </row>
        <row r="18693">
          <cell r="D18693" t="str">
            <v>5319C55017G70</v>
          </cell>
          <cell r="E18693" t="str">
            <v>接头</v>
          </cell>
        </row>
        <row r="18694">
          <cell r="D18694" t="str">
            <v>5317C23409G70</v>
          </cell>
          <cell r="E18694" t="str">
            <v>立柱加强接头</v>
          </cell>
        </row>
        <row r="18695">
          <cell r="D18695" t="str">
            <v>5319C55013G70</v>
          </cell>
          <cell r="E18695" t="str">
            <v>连接接头</v>
          </cell>
        </row>
        <row r="18696">
          <cell r="D18696" t="str">
            <v>5319C55013G70</v>
          </cell>
          <cell r="E18696" t="str">
            <v>连接接头</v>
          </cell>
        </row>
        <row r="18697">
          <cell r="D18697" t="str">
            <v>5319C60011G70</v>
          </cell>
          <cell r="E18697" t="str">
            <v>支架</v>
          </cell>
        </row>
        <row r="18698">
          <cell r="D18698" t="str">
            <v>5319C60011G70</v>
          </cell>
          <cell r="E18698" t="str">
            <v>支架</v>
          </cell>
        </row>
        <row r="18699">
          <cell r="D18699" t="str">
            <v>5319C02201G70</v>
          </cell>
          <cell r="E18699" t="str">
            <v>接头</v>
          </cell>
        </row>
        <row r="18700">
          <cell r="D18700" t="str">
            <v>5319C02201G70</v>
          </cell>
          <cell r="E18700" t="str">
            <v>接头</v>
          </cell>
        </row>
        <row r="18701">
          <cell r="D18701" t="str">
            <v>2710A400004G010</v>
          </cell>
          <cell r="E18701" t="str">
            <v>衬套</v>
          </cell>
        </row>
        <row r="18702">
          <cell r="D18702" t="str">
            <v>DD-J10B-61201-321</v>
          </cell>
          <cell r="E18702" t="str">
            <v>弯管接头</v>
          </cell>
        </row>
        <row r="18703">
          <cell r="D18703" t="str">
            <v>CB5323210-005L065</v>
          </cell>
          <cell r="E18703" t="str">
            <v>9350-11140左侧上梁</v>
          </cell>
        </row>
        <row r="18704">
          <cell r="D18704" t="str">
            <v>CB5323220-052-024</v>
          </cell>
          <cell r="E18704" t="str">
            <v>9350-11140右侧上梁</v>
          </cell>
        </row>
        <row r="18705">
          <cell r="D18705" t="str">
            <v>CB5323210-005L065</v>
          </cell>
          <cell r="E18705" t="str">
            <v>9350-11140左侧上梁</v>
          </cell>
        </row>
        <row r="18706">
          <cell r="D18706" t="str">
            <v>CB5323220-052-024</v>
          </cell>
          <cell r="E18706" t="str">
            <v>9350-11140右侧上梁</v>
          </cell>
        </row>
        <row r="18707">
          <cell r="D18707" t="str">
            <v>CB5713600-001L006</v>
          </cell>
          <cell r="E18707" t="str">
            <v>前梁一段</v>
          </cell>
        </row>
        <row r="18708">
          <cell r="D18708" t="str">
            <v>CB5314107-001-003</v>
          </cell>
          <cell r="E18708" t="str">
            <v>5550上框</v>
          </cell>
        </row>
        <row r="18709">
          <cell r="D18709" t="str">
            <v>CB5314107-001-003</v>
          </cell>
          <cell r="E18709" t="str">
            <v>5550上框</v>
          </cell>
        </row>
        <row r="18710">
          <cell r="D18710" t="str">
            <v>CB5314107-001-003</v>
          </cell>
          <cell r="E18710" t="str">
            <v>5550上框</v>
          </cell>
        </row>
        <row r="18711">
          <cell r="D18711" t="str">
            <v>CB5314107-001-003</v>
          </cell>
          <cell r="E18711" t="str">
            <v>5550上框</v>
          </cell>
        </row>
        <row r="18712">
          <cell r="D18712" t="str">
            <v>CB5314107-001-003</v>
          </cell>
          <cell r="E18712" t="str">
            <v>5550上框</v>
          </cell>
        </row>
        <row r="18713">
          <cell r="D18713" t="str">
            <v>CB5314107-001-003</v>
          </cell>
          <cell r="E18713" t="str">
            <v>5550上框</v>
          </cell>
        </row>
        <row r="18714">
          <cell r="D18714" t="str">
            <v>XXX-00000-01</v>
          </cell>
          <cell r="E18714" t="str">
            <v>壳体</v>
          </cell>
        </row>
        <row r="18715">
          <cell r="D18715" t="str">
            <v>XXX-00000-02</v>
          </cell>
          <cell r="E18715" t="str">
            <v>上盖板</v>
          </cell>
        </row>
        <row r="18716">
          <cell r="D18716" t="str">
            <v>XXX-00000-03</v>
          </cell>
          <cell r="E18716" t="str">
            <v>下盖板</v>
          </cell>
        </row>
        <row r="18717">
          <cell r="D18717" t="str">
            <v>XXX-300-02</v>
          </cell>
          <cell r="E18717" t="str">
            <v>连接头2</v>
          </cell>
        </row>
        <row r="18718">
          <cell r="D18718" t="str">
            <v>XXX-400-01</v>
          </cell>
          <cell r="E18718" t="str">
            <v>外筒</v>
          </cell>
        </row>
        <row r="18719">
          <cell r="D18719" t="str">
            <v>XXX-600-00</v>
          </cell>
          <cell r="E18719" t="str">
            <v>测试支架</v>
          </cell>
        </row>
        <row r="18720">
          <cell r="D18720" t="str">
            <v>XXX-600-01</v>
          </cell>
          <cell r="E18720" t="str">
            <v>测试支架底板1</v>
          </cell>
        </row>
        <row r="18721">
          <cell r="D18721" t="str">
            <v>XXX-600-02</v>
          </cell>
          <cell r="E18721" t="str">
            <v>测试支架底板2</v>
          </cell>
        </row>
        <row r="18722">
          <cell r="D18722" t="str">
            <v>XXX-600-03</v>
          </cell>
          <cell r="E18722" t="str">
            <v>支杆</v>
          </cell>
        </row>
        <row r="18723">
          <cell r="D18723" t="str">
            <v>XXX-600-04</v>
          </cell>
          <cell r="E18723" t="str">
            <v>探头底座</v>
          </cell>
        </row>
        <row r="18724">
          <cell r="D18724" t="str">
            <v>XXX-600-05</v>
          </cell>
          <cell r="E18724" t="str">
            <v>卡块</v>
          </cell>
        </row>
        <row r="18725">
          <cell r="D18725" t="str">
            <v>XXX-700-01</v>
          </cell>
          <cell r="E18725" t="str">
            <v>内套筒</v>
          </cell>
        </row>
        <row r="18726">
          <cell r="D18726" t="str">
            <v>XXX-700-02</v>
          </cell>
          <cell r="E18726" t="str">
            <v>定位板1</v>
          </cell>
        </row>
        <row r="18727">
          <cell r="D18727" t="str">
            <v>XXX-700-03</v>
          </cell>
          <cell r="E18727" t="str">
            <v>定位板2</v>
          </cell>
        </row>
        <row r="18728">
          <cell r="D18728" t="str">
            <v>XXX-800-01</v>
          </cell>
          <cell r="E18728" t="str">
            <v>底板</v>
          </cell>
        </row>
        <row r="18729">
          <cell r="D18729" t="str">
            <v>XXX-800-02</v>
          </cell>
          <cell r="E18729" t="str">
            <v>底座1</v>
          </cell>
        </row>
        <row r="18730">
          <cell r="D18730" t="str">
            <v>XXX-800-03</v>
          </cell>
          <cell r="E18730" t="str">
            <v>螺母</v>
          </cell>
        </row>
        <row r="18731">
          <cell r="D18731" t="str">
            <v>XXX-800-04</v>
          </cell>
          <cell r="E18731" t="str">
            <v>支杆</v>
          </cell>
        </row>
        <row r="18732">
          <cell r="D18732" t="str">
            <v>XXX-800-05</v>
          </cell>
          <cell r="E18732" t="str">
            <v>支架1</v>
          </cell>
        </row>
        <row r="18733">
          <cell r="D18733" t="str">
            <v>XXX-800-06</v>
          </cell>
          <cell r="E18733" t="str">
            <v>底座2</v>
          </cell>
        </row>
        <row r="18734">
          <cell r="D18734" t="str">
            <v>XXX-800-07</v>
          </cell>
          <cell r="E18734" t="str">
            <v>支架2</v>
          </cell>
        </row>
        <row r="18735">
          <cell r="D18735" t="str">
            <v>XXX-800-08</v>
          </cell>
          <cell r="E18735" t="str">
            <v>调节螺杆</v>
          </cell>
        </row>
        <row r="18736">
          <cell r="D18736" t="str">
            <v>XXX-800-09</v>
          </cell>
          <cell r="E18736" t="str">
            <v>调节底座</v>
          </cell>
        </row>
        <row r="18737">
          <cell r="D18737" t="str">
            <v>XXX-800-10</v>
          </cell>
          <cell r="E18737" t="str">
            <v>防尘盖</v>
          </cell>
        </row>
        <row r="18738">
          <cell r="D18738" t="str">
            <v>XXX-900-01</v>
          </cell>
          <cell r="E18738" t="str">
            <v>底板</v>
          </cell>
        </row>
        <row r="18739">
          <cell r="D18739" t="str">
            <v>XXX-900-02</v>
          </cell>
          <cell r="E18739" t="str">
            <v>密封垫</v>
          </cell>
        </row>
        <row r="18740">
          <cell r="D18740" t="str">
            <v>XXX-900-03</v>
          </cell>
          <cell r="E18740" t="str">
            <v>主芯1</v>
          </cell>
        </row>
        <row r="18741">
          <cell r="D18741" t="str">
            <v>XXX-900-04</v>
          </cell>
          <cell r="E18741" t="str">
            <v>主芯2</v>
          </cell>
        </row>
        <row r="18742">
          <cell r="D18742" t="str">
            <v>XXX-900-05</v>
          </cell>
          <cell r="E18742" t="str">
            <v>套筒</v>
          </cell>
        </row>
        <row r="18743">
          <cell r="D18743" t="str">
            <v>XXX-900-07</v>
          </cell>
          <cell r="E18743" t="str">
            <v>绕制模具1</v>
          </cell>
        </row>
        <row r="18744">
          <cell r="D18744" t="str">
            <v>XXX-900-08</v>
          </cell>
          <cell r="E18744" t="str">
            <v>绕制模具2</v>
          </cell>
        </row>
        <row r="18745">
          <cell r="D18745" t="str">
            <v>DD-J10B-24002-60G2-1G2-Z</v>
          </cell>
          <cell r="E18745" t="str">
            <v>付翼前梁</v>
          </cell>
        </row>
        <row r="18746">
          <cell r="D18746" t="str">
            <v>DD-J10B-24002-60G2-1G2-Y</v>
          </cell>
          <cell r="E18746" t="str">
            <v>付翼前梁</v>
          </cell>
        </row>
        <row r="18747">
          <cell r="D18747" t="str">
            <v>BC3101242-013R001</v>
          </cell>
          <cell r="E18747" t="str">
            <v>套筒</v>
          </cell>
        </row>
        <row r="18748">
          <cell r="D18748" t="str">
            <v>BC5812812-001-001</v>
          </cell>
          <cell r="E18748" t="str">
            <v>耳环螺栓</v>
          </cell>
        </row>
        <row r="18749">
          <cell r="D18749" t="str">
            <v>BC22971B1-002-001</v>
          </cell>
          <cell r="E18749" t="str">
            <v>带限流的直通过框接头</v>
          </cell>
        </row>
        <row r="18750">
          <cell r="D18750" t="str">
            <v>BC22971B1-003-001</v>
          </cell>
          <cell r="E18750" t="str">
            <v>带限流的直通过框接头</v>
          </cell>
        </row>
        <row r="18751">
          <cell r="D18751" t="str">
            <v>DD-J10B-02111-2-Z</v>
          </cell>
          <cell r="E18751" t="str">
            <v>角盒</v>
          </cell>
        </row>
        <row r="18752">
          <cell r="D18752" t="str">
            <v>DD-J10B-02111-2-Y</v>
          </cell>
          <cell r="E18752" t="str">
            <v>角盒</v>
          </cell>
        </row>
        <row r="18753">
          <cell r="D18753" t="str">
            <v>DD-J10B-02111-2-Y</v>
          </cell>
          <cell r="E18753" t="str">
            <v>角盒</v>
          </cell>
        </row>
        <row r="18754">
          <cell r="D18754" t="str">
            <v>CB5714100-004L002</v>
          </cell>
          <cell r="E18754" t="str">
            <v>根肋四段</v>
          </cell>
        </row>
        <row r="18755">
          <cell r="D18755" t="str">
            <v>CB5714100-004R002</v>
          </cell>
          <cell r="E18755" t="str">
            <v>根肋四段</v>
          </cell>
        </row>
        <row r="18756">
          <cell r="D18756" t="str">
            <v>DD-J10-04401-104</v>
          </cell>
          <cell r="E18756" t="str">
            <v>接头</v>
          </cell>
        </row>
        <row r="18757">
          <cell r="D18757" t="str">
            <v>DD-J10-55181-6431</v>
          </cell>
          <cell r="E18757" t="str">
            <v>变径三通管接头</v>
          </cell>
        </row>
        <row r="18758">
          <cell r="D18758" t="str">
            <v>5311C11107G72</v>
          </cell>
          <cell r="E18758" t="str">
            <v>垫板</v>
          </cell>
        </row>
        <row r="18759">
          <cell r="D18759" t="str">
            <v>5311C11107G72</v>
          </cell>
          <cell r="E18759" t="str">
            <v>垫板</v>
          </cell>
        </row>
        <row r="18760">
          <cell r="D18760" t="str">
            <v>5311C11107G72</v>
          </cell>
          <cell r="E18760" t="str">
            <v>垫板</v>
          </cell>
        </row>
        <row r="18761">
          <cell r="D18761" t="str">
            <v>5311C11107G72</v>
          </cell>
          <cell r="E18761" t="str">
            <v>垫板</v>
          </cell>
        </row>
        <row r="18762">
          <cell r="D18762" t="str">
            <v>5311C11108G73</v>
          </cell>
          <cell r="E18762" t="str">
            <v>垫板</v>
          </cell>
        </row>
        <row r="18763">
          <cell r="D18763" t="str">
            <v>5311C11108G73</v>
          </cell>
          <cell r="E18763" t="str">
            <v>垫板</v>
          </cell>
        </row>
        <row r="18764">
          <cell r="D18764" t="str">
            <v>5311C11108G73</v>
          </cell>
          <cell r="E18764" t="str">
            <v>垫板</v>
          </cell>
        </row>
        <row r="18765">
          <cell r="D18765" t="str">
            <v>5317C03003G71</v>
          </cell>
          <cell r="E18765" t="str">
            <v>剖形支柱</v>
          </cell>
        </row>
        <row r="18766">
          <cell r="D18766" t="str">
            <v>5317C03003G71</v>
          </cell>
          <cell r="E18766" t="str">
            <v>剖形支柱</v>
          </cell>
        </row>
        <row r="18767">
          <cell r="D18767" t="str">
            <v>5317C03003G71</v>
          </cell>
          <cell r="E18767" t="str">
            <v>剖形支柱</v>
          </cell>
        </row>
        <row r="18768">
          <cell r="D18768" t="str">
            <v>5317C03003G71</v>
          </cell>
          <cell r="E18768" t="str">
            <v>剖形支柱</v>
          </cell>
        </row>
        <row r="18769">
          <cell r="D18769" t="str">
            <v>5317C03005G71</v>
          </cell>
          <cell r="E18769" t="str">
            <v>剖形支柱</v>
          </cell>
        </row>
        <row r="18770">
          <cell r="D18770" t="str">
            <v>5317C03005G71</v>
          </cell>
          <cell r="E18770" t="str">
            <v>剖形支柱</v>
          </cell>
        </row>
        <row r="18771">
          <cell r="D18771" t="str">
            <v>5317C03005G71</v>
          </cell>
          <cell r="E18771" t="str">
            <v>剖形支柱</v>
          </cell>
        </row>
        <row r="18772">
          <cell r="D18772" t="str">
            <v>5317C03005G71</v>
          </cell>
          <cell r="E18772" t="str">
            <v>剖形支柱</v>
          </cell>
        </row>
        <row r="18773">
          <cell r="D18773" t="str">
            <v>5317C03007G71</v>
          </cell>
          <cell r="E18773" t="str">
            <v>剖形支柱</v>
          </cell>
        </row>
        <row r="18774">
          <cell r="D18774" t="str">
            <v>5317C03007G71</v>
          </cell>
          <cell r="E18774" t="str">
            <v>剖形支柱</v>
          </cell>
        </row>
        <row r="18775">
          <cell r="D18775" t="str">
            <v>5317C03007G71</v>
          </cell>
          <cell r="E18775" t="str">
            <v>剖形支柱</v>
          </cell>
        </row>
        <row r="18776">
          <cell r="D18776" t="str">
            <v>5317C03007G71</v>
          </cell>
          <cell r="E18776" t="str">
            <v>变径三通管接头</v>
          </cell>
        </row>
        <row r="18777">
          <cell r="D18777" t="str">
            <v>5317C03009G71</v>
          </cell>
          <cell r="E18777" t="str">
            <v>剖形支柱</v>
          </cell>
        </row>
        <row r="18778">
          <cell r="D18778" t="str">
            <v>5317C03009G71</v>
          </cell>
          <cell r="E18778" t="str">
            <v>剖形支柱</v>
          </cell>
        </row>
        <row r="18779">
          <cell r="D18779" t="str">
            <v>5317C03009G71</v>
          </cell>
          <cell r="E18779" t="str">
            <v>剖形支柱</v>
          </cell>
        </row>
        <row r="18780">
          <cell r="D18780" t="str">
            <v>5317C03009G71</v>
          </cell>
          <cell r="E18780" t="str">
            <v>剖形支柱</v>
          </cell>
        </row>
        <row r="18781">
          <cell r="D18781" t="str">
            <v>5317C03011G71</v>
          </cell>
          <cell r="E18781" t="str">
            <v>剖形支柱</v>
          </cell>
        </row>
        <row r="18782">
          <cell r="D18782" t="str">
            <v>5317C03011G71</v>
          </cell>
          <cell r="E18782" t="str">
            <v>剖形支柱</v>
          </cell>
        </row>
        <row r="18783">
          <cell r="D18783" t="str">
            <v>5317C03011G71</v>
          </cell>
          <cell r="E18783" t="str">
            <v>剖形支柱</v>
          </cell>
        </row>
        <row r="18784">
          <cell r="D18784" t="str">
            <v>5317C03011G71</v>
          </cell>
          <cell r="E18784" t="str">
            <v>剖形支柱</v>
          </cell>
        </row>
        <row r="18785">
          <cell r="D18785" t="str">
            <v>5317C03013G71</v>
          </cell>
          <cell r="E18785" t="str">
            <v>剖形支柱</v>
          </cell>
        </row>
        <row r="18786">
          <cell r="D18786" t="str">
            <v>5317C03013G71</v>
          </cell>
          <cell r="E18786" t="str">
            <v>剖形支柱</v>
          </cell>
        </row>
        <row r="18787">
          <cell r="D18787" t="str">
            <v>5317C03013G71</v>
          </cell>
          <cell r="E18787" t="str">
            <v>剖形支柱</v>
          </cell>
        </row>
        <row r="18788">
          <cell r="D18788" t="str">
            <v>5317C03013G71</v>
          </cell>
          <cell r="E18788" t="str">
            <v>剖形支柱</v>
          </cell>
        </row>
        <row r="18789">
          <cell r="D18789" t="str">
            <v>5317C05047G71</v>
          </cell>
          <cell r="E18789" t="str">
            <v>加强件</v>
          </cell>
        </row>
        <row r="18790">
          <cell r="D18790" t="str">
            <v>5317C05047G71</v>
          </cell>
          <cell r="E18790" t="str">
            <v>加强件</v>
          </cell>
        </row>
        <row r="18791">
          <cell r="D18791" t="str">
            <v>5317C05047G71</v>
          </cell>
          <cell r="E18791" t="str">
            <v>加强件</v>
          </cell>
        </row>
        <row r="18792">
          <cell r="D18792" t="str">
            <v>5317C05049G70</v>
          </cell>
          <cell r="E18792" t="str">
            <v>加强件</v>
          </cell>
        </row>
        <row r="18793">
          <cell r="D18793" t="str">
            <v>5317C05049G70</v>
          </cell>
          <cell r="E18793" t="str">
            <v>加强件</v>
          </cell>
        </row>
        <row r="18794">
          <cell r="D18794" t="str">
            <v>5317C05049G70</v>
          </cell>
          <cell r="E18794" t="str">
            <v>加强件</v>
          </cell>
        </row>
        <row r="18795">
          <cell r="D18795" t="str">
            <v>5317C05051G71</v>
          </cell>
          <cell r="E18795" t="str">
            <v>加强件</v>
          </cell>
        </row>
        <row r="18796">
          <cell r="D18796" t="str">
            <v>5317C05051G71</v>
          </cell>
          <cell r="E18796" t="str">
            <v>加强件</v>
          </cell>
        </row>
        <row r="18797">
          <cell r="D18797" t="str">
            <v>5317C05051G71</v>
          </cell>
          <cell r="E18797" t="str">
            <v>加强件</v>
          </cell>
        </row>
        <row r="18798">
          <cell r="D18798" t="str">
            <v>5317C05061G70</v>
          </cell>
          <cell r="E18798" t="str">
            <v>加强梁</v>
          </cell>
        </row>
        <row r="18799">
          <cell r="D18799" t="str">
            <v>5317C05061G70</v>
          </cell>
          <cell r="E18799" t="str">
            <v>加强梁</v>
          </cell>
        </row>
        <row r="18800">
          <cell r="D18800" t="str">
            <v>5317C05061G70</v>
          </cell>
          <cell r="E18800" t="str">
            <v>加强梁</v>
          </cell>
        </row>
        <row r="18801">
          <cell r="D18801" t="str">
            <v>5317C05061G70</v>
          </cell>
          <cell r="E18801" t="str">
            <v>加强梁</v>
          </cell>
        </row>
        <row r="18802">
          <cell r="D18802" t="str">
            <v>5317C05061G70</v>
          </cell>
          <cell r="E18802" t="str">
            <v>加强梁</v>
          </cell>
        </row>
        <row r="18803">
          <cell r="D18803" t="str">
            <v>5317C07003G70</v>
          </cell>
          <cell r="E18803" t="str">
            <v>9框前支柱</v>
          </cell>
        </row>
        <row r="18804">
          <cell r="D18804" t="str">
            <v>5317C07003G70</v>
          </cell>
          <cell r="E18804" t="str">
            <v>9框前支柱</v>
          </cell>
        </row>
        <row r="18805">
          <cell r="D18805" t="str">
            <v>5317C07003G70</v>
          </cell>
          <cell r="E18805" t="str">
            <v>9框前支柱</v>
          </cell>
        </row>
        <row r="18806">
          <cell r="D18806" t="str">
            <v>5317C07004G70</v>
          </cell>
          <cell r="E18806" t="str">
            <v>9框前支柱</v>
          </cell>
        </row>
        <row r="18807">
          <cell r="D18807" t="str">
            <v>5317C07004G70</v>
          </cell>
          <cell r="E18807" t="str">
            <v>9框前支柱</v>
          </cell>
        </row>
        <row r="18808">
          <cell r="D18808" t="str">
            <v>5317C07004G70</v>
          </cell>
          <cell r="E18808" t="str">
            <v>9框前支柱</v>
          </cell>
        </row>
        <row r="18809">
          <cell r="D18809" t="str">
            <v>5317C07005G70</v>
          </cell>
          <cell r="E18809" t="str">
            <v>9框前支柱</v>
          </cell>
        </row>
        <row r="18810">
          <cell r="D18810" t="str">
            <v>5317C07005G70</v>
          </cell>
          <cell r="E18810" t="str">
            <v>9框前支柱</v>
          </cell>
        </row>
        <row r="18811">
          <cell r="D18811" t="str">
            <v>5317C07005G70</v>
          </cell>
          <cell r="E18811" t="str">
            <v>9框前支柱</v>
          </cell>
        </row>
        <row r="18812">
          <cell r="D18812" t="str">
            <v>5317C07007G70</v>
          </cell>
          <cell r="E18812" t="str">
            <v>9框前支柱</v>
          </cell>
        </row>
        <row r="18813">
          <cell r="D18813" t="str">
            <v>5317C07007G70</v>
          </cell>
          <cell r="E18813" t="str">
            <v>加强件</v>
          </cell>
        </row>
        <row r="18814">
          <cell r="D18814" t="str">
            <v>5317C07007G70</v>
          </cell>
          <cell r="E18814" t="str">
            <v>加强件</v>
          </cell>
        </row>
        <row r="18815">
          <cell r="D18815" t="str">
            <v>5317C09011G70</v>
          </cell>
          <cell r="E18815" t="str">
            <v>接头</v>
          </cell>
        </row>
        <row r="18816">
          <cell r="D18816" t="str">
            <v>5317C09011G70</v>
          </cell>
          <cell r="E18816" t="str">
            <v>接头</v>
          </cell>
        </row>
        <row r="18817">
          <cell r="D18817" t="str">
            <v>5317C09011G70</v>
          </cell>
          <cell r="E18817" t="str">
            <v>接头</v>
          </cell>
        </row>
        <row r="18818">
          <cell r="D18818" t="str">
            <v>5317C09013G70</v>
          </cell>
          <cell r="E18818" t="str">
            <v>接头</v>
          </cell>
        </row>
        <row r="18819">
          <cell r="D18819" t="str">
            <v>5317C09013G70</v>
          </cell>
          <cell r="E18819" t="str">
            <v>接头</v>
          </cell>
        </row>
        <row r="18820">
          <cell r="D18820" t="str">
            <v>5317C09013G70</v>
          </cell>
          <cell r="E18820" t="str">
            <v>接头</v>
          </cell>
        </row>
        <row r="18821">
          <cell r="D18821" t="str">
            <v>5317C09031G71</v>
          </cell>
          <cell r="E18821" t="str">
            <v>接头</v>
          </cell>
        </row>
        <row r="18822">
          <cell r="D18822" t="str">
            <v>5317C09031G71</v>
          </cell>
          <cell r="E18822" t="str">
            <v>接头</v>
          </cell>
        </row>
        <row r="18823">
          <cell r="D18823" t="str">
            <v>5317C09031G71</v>
          </cell>
          <cell r="E18823" t="str">
            <v>接头</v>
          </cell>
        </row>
        <row r="18824">
          <cell r="D18824" t="str">
            <v>5317C09033G71</v>
          </cell>
          <cell r="E18824" t="str">
            <v>接头</v>
          </cell>
        </row>
        <row r="18825">
          <cell r="D18825" t="str">
            <v>5317C09033G71</v>
          </cell>
          <cell r="E18825" t="str">
            <v>接头</v>
          </cell>
        </row>
        <row r="18826">
          <cell r="D18826" t="str">
            <v>5317C09033G71</v>
          </cell>
          <cell r="E18826" t="str">
            <v>接头</v>
          </cell>
        </row>
        <row r="18827">
          <cell r="D18827" t="str">
            <v>5317C09035G71</v>
          </cell>
          <cell r="E18827" t="str">
            <v>接头</v>
          </cell>
        </row>
        <row r="18828">
          <cell r="D18828" t="str">
            <v>5317C09035G71</v>
          </cell>
          <cell r="E18828" t="str">
            <v>接头</v>
          </cell>
        </row>
        <row r="18829">
          <cell r="D18829" t="str">
            <v>5317C09035G71</v>
          </cell>
          <cell r="E18829" t="str">
            <v>接头</v>
          </cell>
        </row>
        <row r="18830">
          <cell r="D18830" t="str">
            <v>5317C09037G71</v>
          </cell>
          <cell r="E18830" t="str">
            <v>接头</v>
          </cell>
        </row>
        <row r="18831">
          <cell r="D18831" t="str">
            <v>5317C09037G71</v>
          </cell>
          <cell r="E18831" t="str">
            <v>接头</v>
          </cell>
        </row>
        <row r="18832">
          <cell r="D18832" t="str">
            <v>5317C09037G71</v>
          </cell>
          <cell r="E18832" t="str">
            <v>接头</v>
          </cell>
        </row>
        <row r="18833">
          <cell r="D18833" t="str">
            <v>5317C11003G71</v>
          </cell>
          <cell r="E18833" t="str">
            <v>接头</v>
          </cell>
        </row>
        <row r="18834">
          <cell r="D18834" t="str">
            <v>5317C11003G71</v>
          </cell>
          <cell r="E18834" t="str">
            <v>接头</v>
          </cell>
        </row>
        <row r="18835">
          <cell r="D18835" t="str">
            <v>5317C11003G71</v>
          </cell>
          <cell r="E18835" t="str">
            <v>接头</v>
          </cell>
        </row>
        <row r="18836">
          <cell r="D18836" t="str">
            <v>5317C11003G71</v>
          </cell>
          <cell r="E18836" t="str">
            <v>接头</v>
          </cell>
        </row>
        <row r="18837">
          <cell r="D18837" t="str">
            <v>5317C11004G71</v>
          </cell>
          <cell r="E18837" t="str">
            <v>接头</v>
          </cell>
        </row>
        <row r="18838">
          <cell r="D18838" t="str">
            <v>5317C11004G71</v>
          </cell>
          <cell r="E18838" t="str">
            <v>接头</v>
          </cell>
        </row>
        <row r="18839">
          <cell r="D18839" t="str">
            <v>5317C11004G71</v>
          </cell>
          <cell r="E18839" t="str">
            <v>接头</v>
          </cell>
        </row>
        <row r="18840">
          <cell r="D18840" t="str">
            <v>5317C11004G71</v>
          </cell>
          <cell r="E18840" t="str">
            <v>接头</v>
          </cell>
        </row>
        <row r="18841">
          <cell r="D18841" t="str">
            <v>5317C11005G71</v>
          </cell>
          <cell r="E18841" t="str">
            <v>接头</v>
          </cell>
        </row>
        <row r="18842">
          <cell r="D18842" t="str">
            <v>5317C11005G71</v>
          </cell>
          <cell r="E18842" t="str">
            <v>接头</v>
          </cell>
        </row>
        <row r="18843">
          <cell r="D18843" t="str">
            <v>5317C11005G71</v>
          </cell>
          <cell r="E18843" t="str">
            <v>接头</v>
          </cell>
        </row>
        <row r="18844">
          <cell r="D18844" t="str">
            <v>5317C11005G71</v>
          </cell>
          <cell r="E18844" t="str">
            <v>接头</v>
          </cell>
        </row>
        <row r="18845">
          <cell r="D18845" t="str">
            <v>5319C19021G70</v>
          </cell>
          <cell r="E18845" t="str">
            <v>接头</v>
          </cell>
        </row>
        <row r="18846">
          <cell r="D18846" t="str">
            <v>5319C19021G70</v>
          </cell>
          <cell r="E18846" t="str">
            <v>接头</v>
          </cell>
        </row>
        <row r="18847">
          <cell r="D18847" t="str">
            <v>5319C19021G70</v>
          </cell>
          <cell r="E18847" t="str">
            <v>接头</v>
          </cell>
        </row>
        <row r="18848">
          <cell r="D18848" t="str">
            <v>5319C19021G70</v>
          </cell>
          <cell r="E18848" t="str">
            <v>接头</v>
          </cell>
        </row>
        <row r="18849">
          <cell r="D18849" t="str">
            <v>5311C05103G70</v>
          </cell>
          <cell r="E18849" t="str">
            <v>接头</v>
          </cell>
        </row>
        <row r="18850">
          <cell r="D18850" t="str">
            <v>5311C05103G70</v>
          </cell>
          <cell r="E18850" t="str">
            <v>接头</v>
          </cell>
        </row>
        <row r="18851">
          <cell r="D18851" t="str">
            <v>5311C05103G70</v>
          </cell>
          <cell r="E18851" t="str">
            <v>接头</v>
          </cell>
        </row>
        <row r="18852">
          <cell r="D18852" t="str">
            <v>5311C05103G70</v>
          </cell>
          <cell r="E18852" t="str">
            <v>接头</v>
          </cell>
        </row>
        <row r="18853">
          <cell r="D18853" t="str">
            <v>5311C05104G70</v>
          </cell>
          <cell r="E18853" t="str">
            <v>加强板</v>
          </cell>
        </row>
        <row r="18854">
          <cell r="D18854" t="str">
            <v>5311C05104G70</v>
          </cell>
          <cell r="E18854" t="str">
            <v>加强板</v>
          </cell>
        </row>
        <row r="18855">
          <cell r="D18855" t="str">
            <v>5311C05104G70</v>
          </cell>
          <cell r="E18855" t="str">
            <v>加强板</v>
          </cell>
        </row>
        <row r="18856">
          <cell r="D18856" t="str">
            <v>5311C05104G70</v>
          </cell>
          <cell r="E18856" t="str">
            <v>加强板</v>
          </cell>
        </row>
        <row r="18857">
          <cell r="D18857" t="str">
            <v>5317C03015G71</v>
          </cell>
          <cell r="E18857" t="str">
            <v>接头</v>
          </cell>
        </row>
        <row r="18858">
          <cell r="D18858" t="str">
            <v>5317C03015G71</v>
          </cell>
          <cell r="E18858" t="str">
            <v>接头</v>
          </cell>
        </row>
        <row r="18859">
          <cell r="D18859" t="str">
            <v>5317C03015G71</v>
          </cell>
          <cell r="E18859" t="str">
            <v>接头</v>
          </cell>
        </row>
        <row r="18860">
          <cell r="D18860" t="str">
            <v>5317C03015G71</v>
          </cell>
          <cell r="E18860" t="str">
            <v>接头</v>
          </cell>
        </row>
        <row r="18861">
          <cell r="D18861" t="str">
            <v>5317C03017G71</v>
          </cell>
          <cell r="E18861" t="str">
            <v>接头</v>
          </cell>
        </row>
        <row r="18862">
          <cell r="D18862" t="str">
            <v>5317C03017G71</v>
          </cell>
          <cell r="E18862" t="str">
            <v>接头</v>
          </cell>
        </row>
        <row r="18863">
          <cell r="D18863" t="str">
            <v>5317C03017G71</v>
          </cell>
          <cell r="E18863" t="str">
            <v>接头</v>
          </cell>
        </row>
        <row r="18864">
          <cell r="D18864" t="str">
            <v>5317C03017G71</v>
          </cell>
          <cell r="E18864" t="str">
            <v>接头</v>
          </cell>
        </row>
        <row r="18865">
          <cell r="D18865" t="str">
            <v>5317C03019G71</v>
          </cell>
          <cell r="E18865" t="str">
            <v>接头</v>
          </cell>
        </row>
        <row r="18866">
          <cell r="D18866" t="str">
            <v>5317C03019G71</v>
          </cell>
          <cell r="E18866" t="str">
            <v>接头</v>
          </cell>
        </row>
        <row r="18867">
          <cell r="D18867" t="str">
            <v>5317C03019G71</v>
          </cell>
          <cell r="E18867" t="str">
            <v>接头</v>
          </cell>
        </row>
        <row r="18868">
          <cell r="D18868" t="str">
            <v>5317C03019G71</v>
          </cell>
          <cell r="E18868" t="str">
            <v>接头</v>
          </cell>
        </row>
        <row r="18869">
          <cell r="D18869" t="str">
            <v>5317C03021G70</v>
          </cell>
          <cell r="E18869" t="str">
            <v>接头</v>
          </cell>
        </row>
        <row r="18870">
          <cell r="D18870" t="str">
            <v>5317C03021G70</v>
          </cell>
          <cell r="E18870" t="str">
            <v>接头</v>
          </cell>
        </row>
        <row r="18871">
          <cell r="D18871" t="str">
            <v>5317C03021G70</v>
          </cell>
          <cell r="E18871" t="str">
            <v>接头</v>
          </cell>
        </row>
        <row r="18872">
          <cell r="D18872" t="str">
            <v>5317C03021G70</v>
          </cell>
          <cell r="E18872" t="str">
            <v>接头</v>
          </cell>
        </row>
        <row r="18873">
          <cell r="D18873" t="str">
            <v>5317C03023G71</v>
          </cell>
          <cell r="E18873" t="str">
            <v>接头</v>
          </cell>
        </row>
        <row r="18874">
          <cell r="D18874" t="str">
            <v>5317C03023G71</v>
          </cell>
          <cell r="E18874" t="str">
            <v>接头</v>
          </cell>
        </row>
        <row r="18875">
          <cell r="D18875" t="str">
            <v>5317C03023G71</v>
          </cell>
          <cell r="E18875" t="str">
            <v>接头</v>
          </cell>
        </row>
        <row r="18876">
          <cell r="D18876" t="str">
            <v>5317C03023G71</v>
          </cell>
          <cell r="E18876" t="str">
            <v>接头</v>
          </cell>
        </row>
        <row r="18877">
          <cell r="D18877" t="str">
            <v>5317C23011G70</v>
          </cell>
          <cell r="E18877" t="str">
            <v>接头</v>
          </cell>
        </row>
        <row r="18878">
          <cell r="D18878" t="str">
            <v>5317C23011G70</v>
          </cell>
          <cell r="E18878" t="str">
            <v>接头</v>
          </cell>
        </row>
        <row r="18879">
          <cell r="D18879" t="str">
            <v>5317C23011G70</v>
          </cell>
          <cell r="E18879" t="str">
            <v>接头</v>
          </cell>
        </row>
        <row r="18880">
          <cell r="D18880" t="str">
            <v>5317C23011G70</v>
          </cell>
          <cell r="E18880" t="str">
            <v>接头</v>
          </cell>
        </row>
        <row r="18881">
          <cell r="D18881" t="str">
            <v>5317C23013G70</v>
          </cell>
          <cell r="E18881" t="str">
            <v>接头</v>
          </cell>
        </row>
        <row r="18882">
          <cell r="D18882" t="str">
            <v>5317C23013G70</v>
          </cell>
          <cell r="E18882" t="str">
            <v>接头</v>
          </cell>
        </row>
        <row r="18883">
          <cell r="D18883" t="str">
            <v>5317C23013G70</v>
          </cell>
          <cell r="E18883" t="str">
            <v>接头</v>
          </cell>
        </row>
        <row r="18884">
          <cell r="D18884" t="str">
            <v>5317C23013G70</v>
          </cell>
          <cell r="E18884" t="str">
            <v>接头</v>
          </cell>
        </row>
        <row r="18885">
          <cell r="D18885" t="str">
            <v>5317C23015G70</v>
          </cell>
          <cell r="E18885" t="str">
            <v>接头</v>
          </cell>
        </row>
        <row r="18886">
          <cell r="D18886" t="str">
            <v>5317C23015G70</v>
          </cell>
          <cell r="E18886" t="str">
            <v>接头</v>
          </cell>
        </row>
        <row r="18887">
          <cell r="D18887" t="str">
            <v>5317C23015G70</v>
          </cell>
          <cell r="E18887" t="str">
            <v>接头</v>
          </cell>
        </row>
        <row r="18888">
          <cell r="D18888" t="str">
            <v>5317C23015G70</v>
          </cell>
          <cell r="E18888" t="str">
            <v>接头</v>
          </cell>
        </row>
        <row r="18889">
          <cell r="D18889" t="str">
            <v>5311C11121G70</v>
          </cell>
          <cell r="E18889" t="str">
            <v>接头</v>
          </cell>
        </row>
        <row r="18890">
          <cell r="D18890" t="str">
            <v>5311C11121G70</v>
          </cell>
          <cell r="E18890" t="str">
            <v>接头</v>
          </cell>
        </row>
        <row r="18891">
          <cell r="D18891" t="str">
            <v>5311C11121G70</v>
          </cell>
          <cell r="E18891" t="str">
            <v>接头</v>
          </cell>
        </row>
        <row r="18892">
          <cell r="D18892" t="str">
            <v>5311C11121G70</v>
          </cell>
          <cell r="E18892" t="str">
            <v>接头</v>
          </cell>
        </row>
        <row r="18893">
          <cell r="D18893" t="str">
            <v>5311C11122G70</v>
          </cell>
          <cell r="E18893" t="str">
            <v>接头</v>
          </cell>
        </row>
        <row r="18894">
          <cell r="D18894" t="str">
            <v>5311C11122G70</v>
          </cell>
          <cell r="E18894" t="str">
            <v>接头</v>
          </cell>
        </row>
        <row r="18895">
          <cell r="D18895" t="str">
            <v>5311C11122G70</v>
          </cell>
          <cell r="E18895" t="str">
            <v>接头</v>
          </cell>
        </row>
        <row r="18896">
          <cell r="D18896" t="str">
            <v>5311C11123G70</v>
          </cell>
          <cell r="E18896" t="str">
            <v>接头</v>
          </cell>
        </row>
        <row r="18897">
          <cell r="D18897" t="str">
            <v>5311C11123G70</v>
          </cell>
          <cell r="E18897" t="str">
            <v>接头</v>
          </cell>
        </row>
        <row r="18898">
          <cell r="D18898" t="str">
            <v>5311C11123G70</v>
          </cell>
          <cell r="E18898" t="str">
            <v>接头</v>
          </cell>
        </row>
        <row r="18899">
          <cell r="D18899" t="str">
            <v>5311C11123G70</v>
          </cell>
          <cell r="E18899" t="str">
            <v>接头</v>
          </cell>
        </row>
        <row r="18900">
          <cell r="D18900" t="str">
            <v>5311C11124G70</v>
          </cell>
          <cell r="E18900" t="str">
            <v>接头</v>
          </cell>
        </row>
        <row r="18901">
          <cell r="D18901" t="str">
            <v>5311C11124G70</v>
          </cell>
          <cell r="E18901" t="str">
            <v>接头</v>
          </cell>
        </row>
        <row r="18902">
          <cell r="D18902" t="str">
            <v>5311C11124G70</v>
          </cell>
          <cell r="E18902" t="str">
            <v>接头</v>
          </cell>
        </row>
        <row r="18903">
          <cell r="D18903" t="str">
            <v>C228575105-002-001</v>
          </cell>
          <cell r="E18903" t="str">
            <v>导管</v>
          </cell>
        </row>
        <row r="18904">
          <cell r="D18904" t="str">
            <v>DD-J10-55181-16</v>
          </cell>
          <cell r="E18904" t="str">
            <v>变径三通管接头</v>
          </cell>
        </row>
        <row r="18905">
          <cell r="D18905" t="str">
            <v>Y20-5317001074-501</v>
          </cell>
          <cell r="E18905" t="str">
            <v>1#竖梁</v>
          </cell>
        </row>
        <row r="18906">
          <cell r="D18906" t="str">
            <v>Y20-5317001074-501</v>
          </cell>
          <cell r="E18906" t="str">
            <v>1#竖梁</v>
          </cell>
        </row>
        <row r="18907">
          <cell r="D18907" t="str">
            <v>Y20-5317001074-502</v>
          </cell>
          <cell r="E18907" t="str">
            <v>1#竖梁</v>
          </cell>
        </row>
        <row r="18908">
          <cell r="D18908" t="str">
            <v>DD-J10B-02181-6-Y</v>
          </cell>
          <cell r="E18908" t="str">
            <v>盒子</v>
          </cell>
        </row>
        <row r="18909">
          <cell r="D18909" t="str">
            <v>DD-J10B-02181-6-Z</v>
          </cell>
          <cell r="E18909" t="str">
            <v>盒子</v>
          </cell>
        </row>
        <row r="18910">
          <cell r="D18910" t="str">
            <v>DD-J10-06051-24</v>
          </cell>
          <cell r="E18910" t="str">
            <v>手柄</v>
          </cell>
        </row>
        <row r="18911">
          <cell r="D18911" t="str">
            <v>DD-J10B-55121-6</v>
          </cell>
          <cell r="E18911" t="str">
            <v>角片</v>
          </cell>
        </row>
        <row r="18912">
          <cell r="D18912" t="str">
            <v>DD-J10-55121-2</v>
          </cell>
          <cell r="E18912" t="str">
            <v>三通管接头</v>
          </cell>
        </row>
        <row r="18913">
          <cell r="D18913" t="str">
            <v>DD-J10-55121-2</v>
          </cell>
          <cell r="E18913" t="str">
            <v>三通管接头</v>
          </cell>
        </row>
        <row r="18914">
          <cell r="D18914" t="str">
            <v>529A4300-003-001</v>
          </cell>
          <cell r="E18914" t="str">
            <v>U形转轴</v>
          </cell>
        </row>
        <row r="18915">
          <cell r="D18915" t="str">
            <v>529A4300-003-001</v>
          </cell>
          <cell r="E18915" t="str">
            <v>U形转轴</v>
          </cell>
        </row>
        <row r="18916">
          <cell r="D18916" t="str">
            <v>BC3101241-012-001</v>
          </cell>
          <cell r="E18916" t="str">
            <v>锁柄</v>
          </cell>
        </row>
        <row r="18917">
          <cell r="D18917" t="str">
            <v>BC3101242-013L001</v>
          </cell>
          <cell r="E18917" t="str">
            <v>套筒</v>
          </cell>
        </row>
        <row r="18918">
          <cell r="D18918" t="str">
            <v>BC5711420-001-002</v>
          </cell>
          <cell r="E18918" t="str">
            <v>螺栓</v>
          </cell>
        </row>
        <row r="18919">
          <cell r="D18919" t="str">
            <v>BC2711364-001-001</v>
          </cell>
          <cell r="E18919" t="str">
            <v>螺母1</v>
          </cell>
        </row>
        <row r="18920">
          <cell r="D18920" t="str">
            <v>BC5812700-002-001</v>
          </cell>
          <cell r="E18920" t="str">
            <v>支撑衬套</v>
          </cell>
        </row>
        <row r="18921">
          <cell r="D18921" t="str">
            <v>BC5812700-001-002</v>
          </cell>
          <cell r="E18921" t="str">
            <v>上套筒</v>
          </cell>
        </row>
        <row r="18922">
          <cell r="D18922" t="str">
            <v>BC2712520-003-001</v>
          </cell>
          <cell r="E18922" t="str">
            <v>支架</v>
          </cell>
        </row>
        <row r="18923">
          <cell r="D18923" t="str">
            <v>BC2712542-001-001</v>
          </cell>
          <cell r="E18923" t="str">
            <v>带耳螺栓</v>
          </cell>
        </row>
        <row r="18924">
          <cell r="D18924" t="str">
            <v>BC5812300-001-001</v>
          </cell>
          <cell r="E18924" t="str">
            <v>螺栓</v>
          </cell>
        </row>
        <row r="18925">
          <cell r="D18925" t="str">
            <v>BC5812000-001-001</v>
          </cell>
          <cell r="E18925" t="str">
            <v>轴</v>
          </cell>
        </row>
        <row r="18926">
          <cell r="D18926" t="str">
            <v>BC5812200-001-001</v>
          </cell>
          <cell r="E18926" t="str">
            <v>轴</v>
          </cell>
        </row>
        <row r="18927">
          <cell r="D18927" t="str">
            <v>BC2712521-001-001</v>
          </cell>
          <cell r="E18927" t="str">
            <v>摇臂</v>
          </cell>
        </row>
        <row r="18928">
          <cell r="D18928" t="str">
            <v>BC5711430-001-002</v>
          </cell>
          <cell r="E18928" t="str">
            <v>螺栓</v>
          </cell>
        </row>
        <row r="18929">
          <cell r="D18929" t="str">
            <v>BC5819311-001-001</v>
          </cell>
          <cell r="E18929" t="str">
            <v>耳环螺栓</v>
          </cell>
        </row>
        <row r="18930">
          <cell r="D18930" t="str">
            <v>BC5812910-002-001</v>
          </cell>
          <cell r="E18930" t="str">
            <v>接头</v>
          </cell>
        </row>
        <row r="18931">
          <cell r="D18931" t="str">
            <v>DD-J10-21102-60/-1/2-Y</v>
          </cell>
          <cell r="E18931" t="str">
            <v>11968下口盖</v>
          </cell>
        </row>
        <row r="18932">
          <cell r="D18932" t="str">
            <v>DD-J10-21102-60/-1/2-Y</v>
          </cell>
          <cell r="E18932" t="str">
            <v>11968下口盖</v>
          </cell>
        </row>
        <row r="18933">
          <cell r="D18933" t="str">
            <v>DD-J10-21102-60/-1/3-Y</v>
          </cell>
          <cell r="E18933" t="str">
            <v>11968下口盖</v>
          </cell>
        </row>
        <row r="18934">
          <cell r="D18934" t="str">
            <v>DD-J10-21102-60/-1/3-Y</v>
          </cell>
          <cell r="E18934" t="str">
            <v>11968下口盖</v>
          </cell>
        </row>
        <row r="18935">
          <cell r="D18935" t="str">
            <v>DD-J10-21102-60/-1/3-Z</v>
          </cell>
          <cell r="E18935" t="str">
            <v>11968下口盖</v>
          </cell>
        </row>
        <row r="18936">
          <cell r="D18936" t="str">
            <v>DD-J10-21102-60/-1/3-Z</v>
          </cell>
          <cell r="E18936" t="str">
            <v>11968下口盖</v>
          </cell>
        </row>
        <row r="18937">
          <cell r="D18937" t="str">
            <v>C229102400-001-001</v>
          </cell>
          <cell r="E18937" t="str">
            <v>衬套</v>
          </cell>
        </row>
        <row r="18938">
          <cell r="D18938" t="str">
            <v>C229102400-001-001</v>
          </cell>
          <cell r="E18938" t="str">
            <v>衬套</v>
          </cell>
        </row>
        <row r="18939">
          <cell r="D18939" t="str">
            <v>C229103200-002-001</v>
          </cell>
          <cell r="E18939" t="str">
            <v>短衬套</v>
          </cell>
        </row>
        <row r="18940">
          <cell r="D18940" t="str">
            <v>C256300800-003-001</v>
          </cell>
          <cell r="E18940" t="str">
            <v>垫圈</v>
          </cell>
        </row>
        <row r="18941">
          <cell r="D18941" t="str">
            <v>C228571602-008-001</v>
          </cell>
          <cell r="E18941" t="str">
            <v>轴</v>
          </cell>
        </row>
        <row r="18942">
          <cell r="D18942" t="str">
            <v>C256201400-001-001</v>
          </cell>
          <cell r="E18942" t="str">
            <v>垫圈</v>
          </cell>
        </row>
        <row r="18943">
          <cell r="D18943" t="str">
            <v>CB2293181-004-001</v>
          </cell>
          <cell r="E18943" t="str">
            <v>衬套</v>
          </cell>
        </row>
        <row r="18944">
          <cell r="D18944" t="str">
            <v>CB22921F1-004-001</v>
          </cell>
          <cell r="E18944" t="str">
            <v>衬套</v>
          </cell>
        </row>
        <row r="18945">
          <cell r="D18945" t="str">
            <v>CB2292112-003-001</v>
          </cell>
          <cell r="E18945" t="str">
            <v>小轴</v>
          </cell>
        </row>
        <row r="18946">
          <cell r="D18946" t="str">
            <v>CB22877Y5N007-001</v>
          </cell>
          <cell r="E18946" t="str">
            <v>衬套</v>
          </cell>
        </row>
        <row r="18947">
          <cell r="D18947" t="str">
            <v>CB22877Y5-009-002</v>
          </cell>
          <cell r="E18947" t="str">
            <v>轴</v>
          </cell>
        </row>
        <row r="18948">
          <cell r="D18948" t="str">
            <v>CB229C421-003-001</v>
          </cell>
          <cell r="E18948" t="str">
            <v>衬套</v>
          </cell>
        </row>
        <row r="18949">
          <cell r="D18949" t="str">
            <v>CB2292112-004-001</v>
          </cell>
          <cell r="E18949" t="str">
            <v>螺栓</v>
          </cell>
        </row>
        <row r="18950">
          <cell r="D18950" t="str">
            <v>DD-J10-86011-3100-3</v>
          </cell>
          <cell r="E18950" t="str">
            <v>凸台</v>
          </cell>
        </row>
        <row r="18951">
          <cell r="D18951" t="str">
            <v>DD-J10-41153-210-1</v>
          </cell>
          <cell r="E18951" t="str">
            <v>管子</v>
          </cell>
        </row>
        <row r="18952">
          <cell r="D18952" t="str">
            <v>DD-J10-96031-111</v>
          </cell>
          <cell r="E18952" t="str">
            <v>螺母</v>
          </cell>
        </row>
        <row r="18953">
          <cell r="D18953" t="str">
            <v>DD-J10-96031-104</v>
          </cell>
          <cell r="E18953" t="str">
            <v>接管嘴</v>
          </cell>
        </row>
        <row r="18954">
          <cell r="D18954" t="str">
            <v>DD-J10-96031-121</v>
          </cell>
          <cell r="E18954" t="str">
            <v>销棒</v>
          </cell>
        </row>
        <row r="18955">
          <cell r="D18955" t="str">
            <v>DD-J10-86021-5000-3</v>
          </cell>
          <cell r="E18955" t="str">
            <v>垫块</v>
          </cell>
        </row>
        <row r="18956">
          <cell r="D18956" t="str">
            <v>DD-J10-61001-722</v>
          </cell>
          <cell r="E18956" t="str">
            <v>螺栓</v>
          </cell>
        </row>
        <row r="18957">
          <cell r="D18957" t="str">
            <v>DD-J10-55165-1460-3</v>
          </cell>
          <cell r="E18957" t="str">
            <v>衬套</v>
          </cell>
        </row>
        <row r="18958">
          <cell r="D18958" t="str">
            <v>DD-J10-96031-104</v>
          </cell>
          <cell r="E18958" t="str">
            <v>接管嘴</v>
          </cell>
        </row>
        <row r="18959">
          <cell r="D18959" t="str">
            <v>DD-J10-55014-1400-2</v>
          </cell>
          <cell r="E18959" t="str">
            <v>堵片</v>
          </cell>
        </row>
        <row r="18960">
          <cell r="D18960" t="str">
            <v>DD-J10-41153-130-2</v>
          </cell>
          <cell r="E18960" t="str">
            <v>管子</v>
          </cell>
        </row>
        <row r="18961">
          <cell r="D18961" t="str">
            <v>DD-J10-55014-2010-1</v>
          </cell>
          <cell r="E18961" t="str">
            <v>管子</v>
          </cell>
        </row>
        <row r="18962">
          <cell r="D18962" t="str">
            <v>DD-J10B-55015-4100-1</v>
          </cell>
          <cell r="E18962" t="str">
            <v>垫圈</v>
          </cell>
        </row>
        <row r="18963">
          <cell r="D18963" t="str">
            <v>DD-J10-96031-111</v>
          </cell>
          <cell r="E18963" t="str">
            <v>螺母</v>
          </cell>
        </row>
        <row r="18964">
          <cell r="D18964" t="str">
            <v>DD-J10-86021-6000-2</v>
          </cell>
          <cell r="E18964" t="str">
            <v>垫块</v>
          </cell>
        </row>
        <row r="18965">
          <cell r="D18965" t="str">
            <v>DD-J10-55014-2010-1</v>
          </cell>
          <cell r="E18965" t="str">
            <v>管子</v>
          </cell>
        </row>
        <row r="18966">
          <cell r="D18966" t="str">
            <v>DD-J10-86021-5000-1</v>
          </cell>
          <cell r="E18966" t="str">
            <v>斜垫块</v>
          </cell>
        </row>
        <row r="18967">
          <cell r="D18967" t="str">
            <v>DD-J10-55181-710-1</v>
          </cell>
          <cell r="E18967" t="str">
            <v>衬套</v>
          </cell>
        </row>
        <row r="18968">
          <cell r="D18968" t="str">
            <v>DD-J10-96031-130-1</v>
          </cell>
          <cell r="E18968" t="str">
            <v>管子</v>
          </cell>
        </row>
        <row r="18969">
          <cell r="D18969" t="str">
            <v>DD-J10-94021-730-3</v>
          </cell>
          <cell r="E18969" t="str">
            <v>环</v>
          </cell>
        </row>
        <row r="18970">
          <cell r="D18970" t="str">
            <v>DD-J10-94021-730-3</v>
          </cell>
          <cell r="E18970" t="str">
            <v>环</v>
          </cell>
        </row>
        <row r="18971">
          <cell r="D18971" t="str">
            <v>DD-J10-86011-3210-1</v>
          </cell>
          <cell r="E18971" t="str">
            <v>左转接管</v>
          </cell>
        </row>
        <row r="18972">
          <cell r="D18972" t="str">
            <v>DD-J10-55051-1211</v>
          </cell>
          <cell r="E18972" t="str">
            <v>连接件</v>
          </cell>
        </row>
        <row r="18973">
          <cell r="D18973" t="str">
            <v>DD-J10-94021-740-3</v>
          </cell>
          <cell r="E18973" t="str">
            <v>环</v>
          </cell>
        </row>
        <row r="18974">
          <cell r="D18974" t="str">
            <v>DD-J10-96031-121</v>
          </cell>
          <cell r="E18974" t="str">
            <v>销棒</v>
          </cell>
        </row>
        <row r="18975">
          <cell r="D18975" t="str">
            <v>DD-J10-96031-121</v>
          </cell>
          <cell r="E18975" t="str">
            <v>销棒</v>
          </cell>
        </row>
        <row r="18976">
          <cell r="D18976" t="str">
            <v>DD-J10B-04041-1</v>
          </cell>
          <cell r="E18976" t="str">
            <v>10060框</v>
          </cell>
        </row>
        <row r="18977">
          <cell r="D18977" t="str">
            <v>CB5323210-005L065</v>
          </cell>
          <cell r="E18977" t="str">
            <v>9350-11140左侧上梁</v>
          </cell>
        </row>
        <row r="18978">
          <cell r="D18978" t="str">
            <v>CB5323210-005L065</v>
          </cell>
          <cell r="E18978" t="str">
            <v>9350-11140左侧上梁</v>
          </cell>
        </row>
        <row r="18979">
          <cell r="D18979" t="str">
            <v>CB5323210-005L065</v>
          </cell>
          <cell r="E18979" t="str">
            <v>9350-11140左侧上梁</v>
          </cell>
        </row>
        <row r="18980">
          <cell r="D18980" t="str">
            <v>CB5323220-052-024</v>
          </cell>
          <cell r="E18980" t="str">
            <v>9350-11140右侧上梁</v>
          </cell>
        </row>
        <row r="18981">
          <cell r="D18981" t="str">
            <v>CB5323220-052-024</v>
          </cell>
          <cell r="E18981" t="str">
            <v>9350-11140右侧上梁</v>
          </cell>
        </row>
        <row r="18982">
          <cell r="D18982" t="str">
            <v>CB5323220-052-024</v>
          </cell>
          <cell r="E18982" t="str">
            <v>9350-11140右侧上梁</v>
          </cell>
        </row>
        <row r="18983">
          <cell r="D18983" t="str">
            <v>CB5714100-003L003</v>
          </cell>
          <cell r="E18983" t="str">
            <v>根肋三段</v>
          </cell>
        </row>
        <row r="18984">
          <cell r="D18984" t="str">
            <v>CB5714100-003L003</v>
          </cell>
          <cell r="E18984" t="str">
            <v>根肋三段</v>
          </cell>
        </row>
        <row r="18985">
          <cell r="D18985" t="str">
            <v>CB5714100-003L003</v>
          </cell>
          <cell r="E18985" t="str">
            <v>根肋三段</v>
          </cell>
        </row>
        <row r="18986">
          <cell r="D18986" t="str">
            <v>CB5714100-003L003</v>
          </cell>
          <cell r="E18986" t="str">
            <v>根肋三段</v>
          </cell>
        </row>
        <row r="18987">
          <cell r="D18987" t="str">
            <v>CB5714100-003L003</v>
          </cell>
          <cell r="E18987" t="str">
            <v>根肋三段</v>
          </cell>
        </row>
        <row r="18988">
          <cell r="D18988" t="str">
            <v>CB5714100-003L003</v>
          </cell>
          <cell r="E18988" t="str">
            <v>根肋三段</v>
          </cell>
        </row>
        <row r="18989">
          <cell r="D18989" t="str">
            <v>CB5714100-003R003</v>
          </cell>
          <cell r="E18989" t="str">
            <v>根肋三段</v>
          </cell>
        </row>
        <row r="18990">
          <cell r="D18990" t="str">
            <v>CB5714100-003R003</v>
          </cell>
          <cell r="E18990" t="str">
            <v>根肋三段</v>
          </cell>
        </row>
        <row r="18991">
          <cell r="D18991" t="str">
            <v>CB5714100-003R003</v>
          </cell>
          <cell r="E18991" t="str">
            <v>根肋三段</v>
          </cell>
        </row>
        <row r="18992">
          <cell r="D18992" t="str">
            <v>CB5714100-003R003</v>
          </cell>
          <cell r="E18992" t="str">
            <v>根肋三段</v>
          </cell>
        </row>
        <row r="18993">
          <cell r="D18993" t="str">
            <v>CB5714100-003R003</v>
          </cell>
          <cell r="E18993" t="str">
            <v>根肋三段</v>
          </cell>
        </row>
        <row r="18994">
          <cell r="D18994" t="str">
            <v>CB5714100-003R003</v>
          </cell>
          <cell r="E18994" t="str">
            <v>根肋三段</v>
          </cell>
        </row>
        <row r="18995">
          <cell r="D18995" t="str">
            <v>CB5314107-001-003</v>
          </cell>
          <cell r="E18995" t="str">
            <v>5550上框</v>
          </cell>
        </row>
        <row r="18996">
          <cell r="D18996" t="str">
            <v>CB5314107-001-003</v>
          </cell>
          <cell r="E18996" t="str">
            <v>5550上框</v>
          </cell>
        </row>
        <row r="18997">
          <cell r="D18997" t="str">
            <v>CB5314107-001-003</v>
          </cell>
          <cell r="E18997" t="str">
            <v>5550上框</v>
          </cell>
        </row>
        <row r="18998">
          <cell r="D18998" t="str">
            <v>CB5314107-001-003</v>
          </cell>
          <cell r="E18998" t="str">
            <v>5550上框</v>
          </cell>
        </row>
        <row r="18999">
          <cell r="D18999" t="str">
            <v>CB5314107-001-003</v>
          </cell>
          <cell r="E18999" t="str">
            <v>5550上框</v>
          </cell>
        </row>
        <row r="19000">
          <cell r="D19000" t="str">
            <v>CB5314107-001-003</v>
          </cell>
          <cell r="E19000" t="str">
            <v>5550上框</v>
          </cell>
        </row>
        <row r="19001">
          <cell r="D19001" t="str">
            <v>CB5314107-001-003</v>
          </cell>
          <cell r="E19001" t="str">
            <v>5550上框</v>
          </cell>
        </row>
        <row r="19002">
          <cell r="D19002" t="str">
            <v>CB5314107-001-003</v>
          </cell>
          <cell r="E19002" t="str">
            <v>5550上框</v>
          </cell>
        </row>
        <row r="19003">
          <cell r="D19003" t="str">
            <v>CB5314107-001-003</v>
          </cell>
          <cell r="E19003" t="str">
            <v>5550上框</v>
          </cell>
        </row>
        <row r="19004">
          <cell r="D19004" t="str">
            <v>DD-J10B-34303-4</v>
          </cell>
          <cell r="E19004" t="str">
            <v>支座</v>
          </cell>
        </row>
        <row r="19005">
          <cell r="D19005" t="str">
            <v>DD-J10B-34303-4</v>
          </cell>
          <cell r="E19005" t="str">
            <v>支座</v>
          </cell>
        </row>
        <row r="19006">
          <cell r="D19006" t="str">
            <v>DD-J10-21002-1-Z</v>
          </cell>
          <cell r="E19006" t="str">
            <v>4号上壁板（左件）</v>
          </cell>
        </row>
        <row r="19007">
          <cell r="D19007" t="str">
            <v>DD-J10-21002-1-Z</v>
          </cell>
          <cell r="E19007" t="str">
            <v>4号上壁板（左件）</v>
          </cell>
        </row>
        <row r="19008">
          <cell r="D19008" t="str">
            <v>DD-J10-21002-1-Y</v>
          </cell>
          <cell r="E19008" t="str">
            <v>4号上壁板（右件）</v>
          </cell>
        </row>
        <row r="19009">
          <cell r="D19009" t="str">
            <v>DD-J10-21002-1-Y</v>
          </cell>
          <cell r="E19009" t="str">
            <v>4号上壁板（右件）</v>
          </cell>
        </row>
        <row r="19010">
          <cell r="D19010" t="str">
            <v>CB5522200-020L001</v>
          </cell>
          <cell r="E19010" t="str">
            <v>实心块</v>
          </cell>
        </row>
        <row r="19011">
          <cell r="D19011" t="str">
            <v>CB5522200-020L001</v>
          </cell>
          <cell r="E19011" t="str">
            <v>实心块</v>
          </cell>
        </row>
        <row r="19012">
          <cell r="D19012" t="str">
            <v>CB5522200-020R001</v>
          </cell>
          <cell r="E19012" t="str">
            <v>实心块</v>
          </cell>
        </row>
        <row r="19013">
          <cell r="D19013" t="str">
            <v>CB5522200-020R001</v>
          </cell>
          <cell r="E19013" t="str">
            <v>实心块</v>
          </cell>
        </row>
        <row r="19014">
          <cell r="D19014" t="str">
            <v>CB5322400-016-061</v>
          </cell>
          <cell r="E19014" t="str">
            <v>11140框左下半框</v>
          </cell>
        </row>
        <row r="19015">
          <cell r="D19015" t="str">
            <v>CB5322400-016-061</v>
          </cell>
          <cell r="E19015" t="str">
            <v>11140框左下半框</v>
          </cell>
        </row>
        <row r="19016">
          <cell r="D19016" t="str">
            <v>CB5322400-016-061</v>
          </cell>
          <cell r="E19016" t="str">
            <v>11140框左下半框</v>
          </cell>
        </row>
        <row r="19017">
          <cell r="D19017" t="str">
            <v>CB5322400-016-061</v>
          </cell>
          <cell r="E19017" t="str">
            <v>11140框左下半框</v>
          </cell>
        </row>
        <row r="19018">
          <cell r="D19018" t="str">
            <v>CB5322400-016-061</v>
          </cell>
          <cell r="E19018" t="str">
            <v>11140框左下半框</v>
          </cell>
        </row>
        <row r="19019">
          <cell r="D19019" t="str">
            <v>CB5322400-017-061</v>
          </cell>
          <cell r="E19019" t="str">
            <v>11140框右下半框</v>
          </cell>
        </row>
        <row r="19020">
          <cell r="D19020" t="str">
            <v>CB5322400-017-061</v>
          </cell>
          <cell r="E19020" t="str">
            <v>11140框右下半框</v>
          </cell>
        </row>
        <row r="19021">
          <cell r="D19021" t="str">
            <v>CB5322400-017-061</v>
          </cell>
          <cell r="E19021" t="str">
            <v>11140框右下半框</v>
          </cell>
        </row>
        <row r="19022">
          <cell r="D19022" t="str">
            <v>CB5322400-017-061</v>
          </cell>
          <cell r="E19022" t="str">
            <v>11140框右下半框</v>
          </cell>
        </row>
        <row r="19023">
          <cell r="D19023" t="str">
            <v>CB5322400-017-061</v>
          </cell>
          <cell r="E19023" t="str">
            <v>11140框右下半框</v>
          </cell>
        </row>
        <row r="19024">
          <cell r="D19024" t="str">
            <v>CB5322400-017-061</v>
          </cell>
          <cell r="E19024" t="str">
            <v>11140框右下半框</v>
          </cell>
        </row>
        <row r="19025">
          <cell r="D19025" t="str">
            <v>C221069811-001-001</v>
          </cell>
          <cell r="E19025" t="str">
            <v>平管嘴</v>
          </cell>
        </row>
        <row r="19026">
          <cell r="D19026" t="str">
            <v>5319C22021G71</v>
          </cell>
          <cell r="E19026" t="str">
            <v>支架</v>
          </cell>
        </row>
        <row r="19027">
          <cell r="D19027" t="str">
            <v>5319C28057G70</v>
          </cell>
          <cell r="E19027" t="str">
            <v>接头</v>
          </cell>
        </row>
        <row r="19028">
          <cell r="D19028" t="str">
            <v>5319C97005G71</v>
          </cell>
          <cell r="E19028" t="str">
            <v>底部连接接头</v>
          </cell>
        </row>
        <row r="19029">
          <cell r="D19029" t="str">
            <v>5319C28059G70</v>
          </cell>
          <cell r="E19029" t="str">
            <v>接头</v>
          </cell>
        </row>
        <row r="19030">
          <cell r="D19030" t="str">
            <v>5319C27035G70</v>
          </cell>
          <cell r="E19030" t="str">
            <v>支架</v>
          </cell>
        </row>
        <row r="19031">
          <cell r="D19031" t="str">
            <v>5319C49005G70</v>
          </cell>
          <cell r="E19031" t="str">
            <v>支架</v>
          </cell>
        </row>
        <row r="19032">
          <cell r="D19032" t="str">
            <v>5319C28041G70</v>
          </cell>
          <cell r="E19032" t="str">
            <v>接头</v>
          </cell>
        </row>
        <row r="19033">
          <cell r="D19033" t="str">
            <v>5319C85009G71</v>
          </cell>
          <cell r="E19033" t="str">
            <v>接头</v>
          </cell>
        </row>
        <row r="19034">
          <cell r="D19034" t="str">
            <v>5319C28039G70</v>
          </cell>
          <cell r="E19034" t="str">
            <v>接头</v>
          </cell>
        </row>
        <row r="19035">
          <cell r="D19035" t="str">
            <v>5319C28033G70</v>
          </cell>
          <cell r="E19035" t="str">
            <v>接头</v>
          </cell>
        </row>
        <row r="19036">
          <cell r="D19036" t="str">
            <v>5319C22035G70</v>
          </cell>
          <cell r="E19036" t="str">
            <v>支架</v>
          </cell>
        </row>
        <row r="19037">
          <cell r="D19037" t="str">
            <v>5319C97004G71</v>
          </cell>
          <cell r="E19037" t="str">
            <v>底部连接接头</v>
          </cell>
        </row>
        <row r="19038">
          <cell r="D19038" t="str">
            <v>5319C97003G71</v>
          </cell>
          <cell r="E19038" t="str">
            <v>底部连接接头</v>
          </cell>
        </row>
        <row r="19039">
          <cell r="D19039" t="str">
            <v>CB5811400-001-001</v>
          </cell>
          <cell r="E19039" t="str">
            <v>支架</v>
          </cell>
        </row>
        <row r="19040">
          <cell r="D19040" t="str">
            <v>CB5811400-001-001</v>
          </cell>
          <cell r="E19040" t="str">
            <v>支架</v>
          </cell>
        </row>
        <row r="19041">
          <cell r="D19041" t="str">
            <v>CB5811400-001-001</v>
          </cell>
          <cell r="E19041" t="str">
            <v>支架</v>
          </cell>
        </row>
        <row r="19042">
          <cell r="D19042" t="str">
            <v>CB5811400-001-001</v>
          </cell>
          <cell r="E19042" t="str">
            <v>支架</v>
          </cell>
        </row>
        <row r="19043">
          <cell r="D19043" t="str">
            <v>CB5811400-002-001</v>
          </cell>
          <cell r="E19043" t="str">
            <v>支架</v>
          </cell>
        </row>
        <row r="19044">
          <cell r="D19044" t="str">
            <v>CB5811400-002-001</v>
          </cell>
          <cell r="E19044" t="str">
            <v>支架</v>
          </cell>
        </row>
        <row r="19045">
          <cell r="D19045" t="str">
            <v>DD-J10-55015-5102</v>
          </cell>
          <cell r="E19045" t="str">
            <v>接管嘴</v>
          </cell>
        </row>
        <row r="19046">
          <cell r="D19046" t="str">
            <v>DD-J10-55015-5102</v>
          </cell>
          <cell r="E19046" t="str">
            <v>接管嘴</v>
          </cell>
        </row>
        <row r="19047">
          <cell r="D19047" t="str">
            <v>DD-J10B-26002-100G2-1G2-Z</v>
          </cell>
          <cell r="E19047" t="str">
            <v>翼尖接头</v>
          </cell>
        </row>
        <row r="19048">
          <cell r="D19048" t="str">
            <v>DD-J10-41123-1112</v>
          </cell>
          <cell r="E19048" t="str">
            <v>拨棍</v>
          </cell>
        </row>
        <row r="19049">
          <cell r="D19049" t="str">
            <v>DD-J10-41123-1101</v>
          </cell>
          <cell r="E19049" t="str">
            <v>壳体</v>
          </cell>
        </row>
        <row r="19050">
          <cell r="D19050" t="str">
            <v>J7-0203-25</v>
          </cell>
          <cell r="E19050" t="str">
            <v>帽盖</v>
          </cell>
        </row>
        <row r="19051">
          <cell r="D19051" t="str">
            <v>5319C28063G70</v>
          </cell>
          <cell r="E19051" t="str">
            <v>支架</v>
          </cell>
        </row>
        <row r="19052">
          <cell r="D19052" t="str">
            <v>5319C97007G71</v>
          </cell>
          <cell r="E19052" t="str">
            <v>底板连接接头</v>
          </cell>
        </row>
        <row r="19053">
          <cell r="D19053" t="str">
            <v>C228571602-007-001</v>
          </cell>
          <cell r="E19053" t="str">
            <v>管子</v>
          </cell>
        </row>
        <row r="19054">
          <cell r="D19054" t="str">
            <v>CB5752000-022R002</v>
          </cell>
          <cell r="E19054" t="str">
            <v>角片</v>
          </cell>
        </row>
        <row r="19055">
          <cell r="D19055" t="str">
            <v>CB5752000-022R002</v>
          </cell>
          <cell r="E19055" t="str">
            <v>角片</v>
          </cell>
        </row>
        <row r="19056">
          <cell r="D19056" t="str">
            <v>CB5752000-022R002</v>
          </cell>
          <cell r="E19056" t="str">
            <v>角片</v>
          </cell>
        </row>
        <row r="19057">
          <cell r="D19057" t="str">
            <v>CB5752000-022R002</v>
          </cell>
          <cell r="E19057" t="str">
            <v>角片</v>
          </cell>
        </row>
        <row r="19058">
          <cell r="D19058" t="str">
            <v>CB5752000-022R002</v>
          </cell>
          <cell r="E19058" t="str">
            <v>角片</v>
          </cell>
        </row>
        <row r="19059">
          <cell r="D19059" t="str">
            <v>CB5752000-022R002</v>
          </cell>
          <cell r="E19059" t="str">
            <v>角片</v>
          </cell>
        </row>
        <row r="19060">
          <cell r="D19060" t="str">
            <v>CB5752000-023R002</v>
          </cell>
          <cell r="E19060" t="str">
            <v>角片</v>
          </cell>
        </row>
        <row r="19061">
          <cell r="D19061" t="str">
            <v>CB5752000-023R002</v>
          </cell>
          <cell r="E19061" t="str">
            <v>角片</v>
          </cell>
        </row>
        <row r="19062">
          <cell r="D19062" t="str">
            <v>CB5752000-023R002</v>
          </cell>
          <cell r="E19062" t="str">
            <v>角片</v>
          </cell>
        </row>
        <row r="19063">
          <cell r="D19063" t="str">
            <v>CB5752000-023R002</v>
          </cell>
          <cell r="E19063" t="str">
            <v>角片</v>
          </cell>
        </row>
        <row r="19064">
          <cell r="D19064" t="str">
            <v>CB5752000-023R002</v>
          </cell>
          <cell r="E19064" t="str">
            <v>角片</v>
          </cell>
        </row>
        <row r="19065">
          <cell r="D19065" t="str">
            <v>CB5752000-023R002</v>
          </cell>
          <cell r="E19065" t="str">
            <v>角片</v>
          </cell>
        </row>
        <row r="19066">
          <cell r="D19066" t="str">
            <v>CB5752000-023L003</v>
          </cell>
          <cell r="E19066" t="str">
            <v>角片</v>
          </cell>
        </row>
        <row r="19067">
          <cell r="D19067" t="str">
            <v>CB5752000-023L003</v>
          </cell>
          <cell r="E19067" t="str">
            <v>角片</v>
          </cell>
        </row>
        <row r="19068">
          <cell r="D19068" t="str">
            <v>CB5752000-023L003</v>
          </cell>
          <cell r="E19068" t="str">
            <v>角片</v>
          </cell>
        </row>
        <row r="19069">
          <cell r="D19069" t="str">
            <v>CB5752000-023L003</v>
          </cell>
          <cell r="E19069" t="str">
            <v>角片</v>
          </cell>
        </row>
        <row r="19070">
          <cell r="D19070" t="str">
            <v>CB5752000-023L003</v>
          </cell>
          <cell r="E19070" t="str">
            <v>角片</v>
          </cell>
        </row>
        <row r="19071">
          <cell r="D19071" t="str">
            <v>CB5752000-023L003</v>
          </cell>
          <cell r="E19071" t="str">
            <v>角片</v>
          </cell>
        </row>
        <row r="19072">
          <cell r="D19072" t="str">
            <v>CB5752000-022L003</v>
          </cell>
          <cell r="E19072" t="str">
            <v>角片</v>
          </cell>
        </row>
        <row r="19073">
          <cell r="D19073" t="str">
            <v>CB5752000-022L003</v>
          </cell>
          <cell r="E19073" t="str">
            <v>角片</v>
          </cell>
        </row>
        <row r="19074">
          <cell r="D19074" t="str">
            <v>CB5752000-022L003</v>
          </cell>
          <cell r="E19074" t="str">
            <v>角片</v>
          </cell>
        </row>
        <row r="19075">
          <cell r="D19075" t="str">
            <v>CB5752000-022L003</v>
          </cell>
          <cell r="E19075" t="str">
            <v>角片</v>
          </cell>
        </row>
        <row r="19076">
          <cell r="D19076" t="str">
            <v>CB5752000-022L003</v>
          </cell>
          <cell r="E19076" t="str">
            <v>角片</v>
          </cell>
        </row>
        <row r="19077">
          <cell r="D19077" t="str">
            <v>CB5752000-022L003</v>
          </cell>
          <cell r="E19077" t="str">
            <v>角片</v>
          </cell>
        </row>
        <row r="19078">
          <cell r="D19078" t="str">
            <v>CB5811100-013-001</v>
          </cell>
          <cell r="E19078" t="str">
            <v>垫圈</v>
          </cell>
        </row>
        <row r="19079">
          <cell r="D19079" t="str">
            <v>DD-J10B-94091-86G2</v>
          </cell>
          <cell r="E19079" t="str">
            <v>三通接头</v>
          </cell>
        </row>
        <row r="19080">
          <cell r="D19080" t="str">
            <v>DD-J10-55165-703</v>
          </cell>
          <cell r="E19080" t="str">
            <v>摇臂</v>
          </cell>
        </row>
        <row r="19081">
          <cell r="D19081" t="str">
            <v>DD-J10B-54302-10-1-Z</v>
          </cell>
          <cell r="E19081" t="str">
            <v>支座</v>
          </cell>
        </row>
        <row r="19082">
          <cell r="D19082" t="str">
            <v>DD-J10B-54302-10-1-Y</v>
          </cell>
          <cell r="E19082" t="str">
            <v>支座</v>
          </cell>
        </row>
        <row r="19083">
          <cell r="D19083" t="str">
            <v>DD-J10-21102-120-1-Y</v>
          </cell>
          <cell r="E19083" t="str">
            <v>9480梁（右件）</v>
          </cell>
        </row>
        <row r="19084">
          <cell r="D19084" t="str">
            <v>DD-J10-21102-120-1-Y</v>
          </cell>
          <cell r="E19084" t="str">
            <v>9480梁（右件）</v>
          </cell>
        </row>
        <row r="19085">
          <cell r="D19085" t="str">
            <v>DD-J10-21102-120-1-Y</v>
          </cell>
          <cell r="E19085" t="str">
            <v>9480梁（右件）</v>
          </cell>
        </row>
        <row r="19086">
          <cell r="D19086" t="str">
            <v>DD-J10-21102-120-1-Y</v>
          </cell>
          <cell r="E19086" t="str">
            <v>9480梁（右件）</v>
          </cell>
        </row>
        <row r="19087">
          <cell r="D19087" t="str">
            <v>DD-J10-34003-2</v>
          </cell>
          <cell r="E19087" t="str">
            <v>后梁</v>
          </cell>
        </row>
        <row r="19088">
          <cell r="D19088" t="str">
            <v>DD-J10-34003-2</v>
          </cell>
          <cell r="E19088" t="str">
            <v>后梁</v>
          </cell>
        </row>
        <row r="19089">
          <cell r="D19089" t="str">
            <v>DD-J10-34003-2</v>
          </cell>
          <cell r="E19089" t="str">
            <v>后梁</v>
          </cell>
        </row>
        <row r="19090">
          <cell r="D19090" t="str">
            <v>C228571602-007-001</v>
          </cell>
          <cell r="E19090" t="str">
            <v>管子</v>
          </cell>
        </row>
        <row r="19091">
          <cell r="D19091" t="str">
            <v>DD-J10-55014-1102</v>
          </cell>
          <cell r="E19091" t="str">
            <v>管接头</v>
          </cell>
        </row>
        <row r="19092">
          <cell r="D19092" t="str">
            <v>DD-J10-55055-2611</v>
          </cell>
          <cell r="E19092" t="str">
            <v>接管嘴</v>
          </cell>
        </row>
        <row r="19093">
          <cell r="D19093" t="str">
            <v>DD-J10-55014-2144</v>
          </cell>
          <cell r="E19093" t="str">
            <v>挡片</v>
          </cell>
        </row>
        <row r="19094">
          <cell r="D19094" t="str">
            <v>C232332210-005-001</v>
          </cell>
          <cell r="E19094" t="str">
            <v>心轴</v>
          </cell>
        </row>
        <row r="19095">
          <cell r="D19095" t="str">
            <v>C227300700-002-001</v>
          </cell>
          <cell r="E19095" t="str">
            <v>垫片</v>
          </cell>
        </row>
        <row r="19096">
          <cell r="D19096" t="str">
            <v>C232330100-003-001</v>
          </cell>
          <cell r="E19096" t="str">
            <v>连接轴</v>
          </cell>
        </row>
        <row r="19097">
          <cell r="D19097" t="str">
            <v>C232111300-007-001</v>
          </cell>
          <cell r="E19097" t="str">
            <v>锁环</v>
          </cell>
        </row>
        <row r="19098">
          <cell r="D19098" t="str">
            <v>DD-J10B-94061-401</v>
          </cell>
          <cell r="E19098" t="str">
            <v>支架</v>
          </cell>
        </row>
        <row r="19099">
          <cell r="D19099" t="str">
            <v>DD-J10B-61001-8001</v>
          </cell>
          <cell r="E19099" t="str">
            <v>卡片</v>
          </cell>
        </row>
        <row r="19100">
          <cell r="D19100" t="str">
            <v>DD-J10B-86051-2</v>
          </cell>
          <cell r="E19100" t="str">
            <v>激励器转接件</v>
          </cell>
        </row>
        <row r="19101">
          <cell r="D19101" t="str">
            <v>DD-J10B-02081-404</v>
          </cell>
          <cell r="E19101" t="str">
            <v>支座</v>
          </cell>
        </row>
        <row r="19102">
          <cell r="D19102" t="str">
            <v>DD-J10B-02081-404</v>
          </cell>
          <cell r="E19102" t="str">
            <v>支座</v>
          </cell>
        </row>
        <row r="19103">
          <cell r="D19103" t="str">
            <v>DD-J10B-67011-20010-2</v>
          </cell>
          <cell r="E19103" t="str">
            <v>弓形件</v>
          </cell>
        </row>
        <row r="19104">
          <cell r="D19104" t="str">
            <v>DD-J10-64011-430-2</v>
          </cell>
          <cell r="E19104" t="str">
            <v>套</v>
          </cell>
        </row>
        <row r="19105">
          <cell r="D19105" t="str">
            <v>C226202530-002-001</v>
          </cell>
          <cell r="E19105" t="str">
            <v>垫圈</v>
          </cell>
        </row>
        <row r="19106">
          <cell r="D19106" t="str">
            <v>C232800600-003-001</v>
          </cell>
          <cell r="E19106" t="str">
            <v>衬套</v>
          </cell>
        </row>
        <row r="19107">
          <cell r="D19107" t="str">
            <v>BC3101242-013L001</v>
          </cell>
          <cell r="E19107" t="str">
            <v>套筒</v>
          </cell>
        </row>
        <row r="19108">
          <cell r="D19108" t="str">
            <v>BC27149G2-002-001</v>
          </cell>
          <cell r="E19108" t="str">
            <v>管</v>
          </cell>
        </row>
        <row r="19109">
          <cell r="D19109" t="str">
            <v>BC3101300-005-001</v>
          </cell>
          <cell r="E19109" t="str">
            <v>下支座螺栓</v>
          </cell>
        </row>
        <row r="19110">
          <cell r="D19110" t="str">
            <v>BC3101300-004-001</v>
          </cell>
          <cell r="E19110" t="str">
            <v>上支座螺栓</v>
          </cell>
        </row>
        <row r="19111">
          <cell r="D19111" t="str">
            <v>BC22971B1-002-001</v>
          </cell>
          <cell r="E19111" t="str">
            <v>带限流的直通过框接头</v>
          </cell>
        </row>
        <row r="19112">
          <cell r="D19112" t="str">
            <v>BC2711344-002-001</v>
          </cell>
          <cell r="E19112" t="str">
            <v>短管</v>
          </cell>
        </row>
        <row r="19113">
          <cell r="D19113" t="str">
            <v>CB5323210-005L065</v>
          </cell>
          <cell r="E19113" t="str">
            <v>9350-11140左侧上梁</v>
          </cell>
        </row>
        <row r="19114">
          <cell r="D19114" t="str">
            <v>CB5323220-052-024</v>
          </cell>
          <cell r="E19114" t="str">
            <v>9350-11140右侧上梁</v>
          </cell>
        </row>
        <row r="19115">
          <cell r="D19115" t="str">
            <v>CB5522200-020L001</v>
          </cell>
          <cell r="E19115" t="str">
            <v>实心块</v>
          </cell>
        </row>
        <row r="19116">
          <cell r="D19116" t="str">
            <v>CB5522200-020L001</v>
          </cell>
          <cell r="E19116" t="str">
            <v>实心块</v>
          </cell>
        </row>
        <row r="19117">
          <cell r="D19117" t="str">
            <v>CB5522200-020R001</v>
          </cell>
          <cell r="E19117" t="str">
            <v>实心块</v>
          </cell>
        </row>
        <row r="19118">
          <cell r="D19118" t="str">
            <v>CB5522200-020R001</v>
          </cell>
          <cell r="E19118" t="str">
            <v>实心块</v>
          </cell>
        </row>
        <row r="19119">
          <cell r="D19119" t="str">
            <v>CB5314240-012-003</v>
          </cell>
          <cell r="E19119" t="str">
            <v>后顶板</v>
          </cell>
        </row>
        <row r="19120">
          <cell r="D19120" t="str">
            <v>CB5314240-012-003</v>
          </cell>
          <cell r="E19120" t="str">
            <v>后顶板</v>
          </cell>
        </row>
        <row r="19121">
          <cell r="D19121" t="str">
            <v>CB5314240-012-003</v>
          </cell>
          <cell r="E19121" t="str">
            <v>后顶板</v>
          </cell>
        </row>
        <row r="19122">
          <cell r="D19122" t="str">
            <v>CB5314240-012-003</v>
          </cell>
          <cell r="E19122" t="str">
            <v>后顶板</v>
          </cell>
        </row>
        <row r="19123">
          <cell r="D19123" t="str">
            <v>CB5314240-012-003</v>
          </cell>
          <cell r="E19123" t="str">
            <v>后顶板</v>
          </cell>
        </row>
        <row r="19124">
          <cell r="D19124" t="str">
            <v>CB5323210-002-028</v>
          </cell>
          <cell r="E19124" t="str">
            <v>10540中框</v>
          </cell>
        </row>
        <row r="19125">
          <cell r="D19125" t="str">
            <v>CB5323210-002-028</v>
          </cell>
          <cell r="E19125" t="str">
            <v>10540中框</v>
          </cell>
        </row>
        <row r="19126">
          <cell r="D19126" t="str">
            <v>CB5323210-002-028</v>
          </cell>
          <cell r="E19126" t="str">
            <v>10540中框</v>
          </cell>
        </row>
        <row r="19127">
          <cell r="D19127" t="str">
            <v>CB5323210-002-028</v>
          </cell>
          <cell r="E19127" t="str">
            <v>10540中框</v>
          </cell>
        </row>
        <row r="19128">
          <cell r="D19128" t="str">
            <v>5312C44001G71</v>
          </cell>
          <cell r="E19128" t="str">
            <v>套筒</v>
          </cell>
        </row>
        <row r="19129">
          <cell r="D19129" t="str">
            <v>5312C44001G71</v>
          </cell>
          <cell r="E19129" t="str">
            <v>管</v>
          </cell>
        </row>
        <row r="19130">
          <cell r="D19130" t="str">
            <v>5312C44001G71</v>
          </cell>
          <cell r="E19130" t="str">
            <v>下支座螺栓</v>
          </cell>
        </row>
        <row r="19131">
          <cell r="D19131" t="str">
            <v>5312C44001G71</v>
          </cell>
          <cell r="E19131" t="str">
            <v>上支座螺栓</v>
          </cell>
        </row>
        <row r="19132">
          <cell r="D19132" t="str">
            <v>5312C44001G71</v>
          </cell>
          <cell r="E19132" t="str">
            <v>带限流的直通过框接头</v>
          </cell>
        </row>
        <row r="19133">
          <cell r="D19133" t="str">
            <v>5312C44001G71</v>
          </cell>
          <cell r="E19133" t="str">
            <v>短管</v>
          </cell>
        </row>
        <row r="19134">
          <cell r="D19134" t="str">
            <v>5312C44001G71</v>
          </cell>
          <cell r="E19134" t="str">
            <v>9350-11140左侧上梁</v>
          </cell>
        </row>
        <row r="19135">
          <cell r="D19135" t="str">
            <v>5312C44001G71</v>
          </cell>
          <cell r="E19135" t="str">
            <v>9350-11140右侧上梁</v>
          </cell>
        </row>
        <row r="19136">
          <cell r="D19136" t="str">
            <v>5312C45001G71</v>
          </cell>
          <cell r="E19136" t="str">
            <v>FR15右侧框缘</v>
          </cell>
        </row>
        <row r="19137">
          <cell r="D19137" t="str">
            <v>5312C45001G71</v>
          </cell>
          <cell r="E19137" t="str">
            <v>FR15右侧框缘</v>
          </cell>
        </row>
        <row r="19138">
          <cell r="D19138" t="str">
            <v>5312C45001G71</v>
          </cell>
          <cell r="E19138" t="str">
            <v>FR15右侧框缘</v>
          </cell>
        </row>
        <row r="19139">
          <cell r="D19139" t="str">
            <v>5312C45001G71</v>
          </cell>
          <cell r="E19139" t="str">
            <v>FR15右侧框缘</v>
          </cell>
        </row>
        <row r="19140">
          <cell r="D19140" t="str">
            <v>5312C45001G71</v>
          </cell>
          <cell r="E19140" t="str">
            <v>FR15右侧框缘</v>
          </cell>
        </row>
        <row r="19141">
          <cell r="D19141" t="str">
            <v>5312C45001G71</v>
          </cell>
          <cell r="E19141" t="str">
            <v>FR15右侧框缘</v>
          </cell>
        </row>
        <row r="19142">
          <cell r="D19142" t="str">
            <v>5312C45001G71</v>
          </cell>
          <cell r="E19142" t="str">
            <v>FR15右侧框缘</v>
          </cell>
        </row>
        <row r="19143">
          <cell r="D19143" t="str">
            <v>5312C45001G71</v>
          </cell>
          <cell r="E19143" t="str">
            <v>FR15右侧框缘</v>
          </cell>
        </row>
        <row r="19144">
          <cell r="D19144" t="str">
            <v>5312C48001G71</v>
          </cell>
          <cell r="E19144" t="str">
            <v>FR16左侧框缘</v>
          </cell>
        </row>
        <row r="19145">
          <cell r="D19145" t="str">
            <v>5312C48001G71</v>
          </cell>
          <cell r="E19145" t="str">
            <v>FR16左侧框缘</v>
          </cell>
        </row>
        <row r="19146">
          <cell r="D19146" t="str">
            <v>5312C48001G71</v>
          </cell>
          <cell r="E19146" t="str">
            <v>FR16左侧框缘</v>
          </cell>
        </row>
        <row r="19147">
          <cell r="D19147" t="str">
            <v>5312C48001G71</v>
          </cell>
          <cell r="E19147" t="str">
            <v>FR16左侧框缘</v>
          </cell>
        </row>
        <row r="19148">
          <cell r="D19148" t="str">
            <v>5312C48001G71</v>
          </cell>
          <cell r="E19148" t="str">
            <v>FR16左侧框缘</v>
          </cell>
        </row>
        <row r="19149">
          <cell r="D19149" t="str">
            <v>5312C48001G71</v>
          </cell>
          <cell r="E19149" t="str">
            <v>FR16左侧框缘</v>
          </cell>
        </row>
        <row r="19150">
          <cell r="D19150" t="str">
            <v>5312C48001G71</v>
          </cell>
          <cell r="E19150" t="str">
            <v>FR16左侧框缘</v>
          </cell>
        </row>
        <row r="19151">
          <cell r="D19151" t="str">
            <v>5312C48001G71</v>
          </cell>
          <cell r="E19151" t="str">
            <v>FR16左侧框缘</v>
          </cell>
        </row>
        <row r="19152">
          <cell r="D19152" t="str">
            <v>5312C48002G71</v>
          </cell>
          <cell r="E19152" t="str">
            <v>FR16右侧框缘</v>
          </cell>
        </row>
        <row r="19153">
          <cell r="D19153" t="str">
            <v>5312C48002G71</v>
          </cell>
          <cell r="E19153" t="str">
            <v>FR16右侧框缘</v>
          </cell>
        </row>
        <row r="19154">
          <cell r="D19154" t="str">
            <v>5312C48002G71</v>
          </cell>
          <cell r="E19154" t="str">
            <v>FR16右侧框缘</v>
          </cell>
        </row>
        <row r="19155">
          <cell r="D19155" t="str">
            <v>5312C48002G71</v>
          </cell>
          <cell r="E19155" t="str">
            <v>FR16右侧框缘</v>
          </cell>
        </row>
        <row r="19156">
          <cell r="D19156" t="str">
            <v>5312C48002G71</v>
          </cell>
          <cell r="E19156" t="str">
            <v>FR16右侧框缘</v>
          </cell>
        </row>
        <row r="19157">
          <cell r="D19157" t="str">
            <v>5312C48002G71</v>
          </cell>
          <cell r="E19157" t="str">
            <v>FR16右侧框缘</v>
          </cell>
        </row>
        <row r="19158">
          <cell r="D19158" t="str">
            <v>5312C48002G71</v>
          </cell>
          <cell r="E19158" t="str">
            <v>FR16右侧框缘</v>
          </cell>
        </row>
        <row r="19159">
          <cell r="D19159" t="str">
            <v>5312C48002G71</v>
          </cell>
          <cell r="E19159" t="str">
            <v>FR16右侧框缘</v>
          </cell>
        </row>
        <row r="19160">
          <cell r="D19160" t="str">
            <v>5315C51012G72</v>
          </cell>
          <cell r="E19160" t="str">
            <v>结冰探测器加强垫板</v>
          </cell>
        </row>
        <row r="19161">
          <cell r="D19161" t="str">
            <v>5315C51012G72</v>
          </cell>
          <cell r="E19161" t="str">
            <v>结冰探测器加强垫板</v>
          </cell>
        </row>
        <row r="19162">
          <cell r="D19162" t="str">
            <v>5315C51012G72</v>
          </cell>
          <cell r="E19162" t="str">
            <v>结冰探测器加强垫板</v>
          </cell>
        </row>
        <row r="19163">
          <cell r="D19163" t="str">
            <v>XXX-3400000G-01</v>
          </cell>
          <cell r="E19163" t="str">
            <v>腔体</v>
          </cell>
        </row>
        <row r="19164">
          <cell r="D19164" t="str">
            <v>XXX-3400000G-02</v>
          </cell>
          <cell r="E19164" t="str">
            <v>盖板</v>
          </cell>
        </row>
        <row r="19165">
          <cell r="D19165" t="str">
            <v>XXX-3400000G-03</v>
          </cell>
          <cell r="E19165" t="str">
            <v>支撑板</v>
          </cell>
        </row>
        <row r="19166">
          <cell r="D19166" t="str">
            <v>XXX-3400000G-04</v>
          </cell>
          <cell r="E19166" t="str">
            <v>支撑架</v>
          </cell>
        </row>
        <row r="19167">
          <cell r="D19167" t="str">
            <v>XXX-3400000G-05</v>
          </cell>
          <cell r="E19167" t="str">
            <v>自制垫圈</v>
          </cell>
        </row>
        <row r="19168">
          <cell r="D19168" t="str">
            <v>XXX-34000000-01</v>
          </cell>
          <cell r="E19168" t="str">
            <v>壳体</v>
          </cell>
        </row>
        <row r="19169">
          <cell r="D19169" t="str">
            <v>XXX-34000000-02</v>
          </cell>
          <cell r="E19169" t="str">
            <v>上盖板</v>
          </cell>
        </row>
        <row r="19170">
          <cell r="D19170" t="str">
            <v>XXX-34000000-03</v>
          </cell>
          <cell r="E19170" t="str">
            <v>下盖板</v>
          </cell>
        </row>
        <row r="19171">
          <cell r="D19171" t="str">
            <v>XXX-1000-01</v>
          </cell>
          <cell r="E19171" t="str">
            <v>包带安装工装1</v>
          </cell>
        </row>
        <row r="19172">
          <cell r="D19172" t="str">
            <v>XXX-1000-02</v>
          </cell>
          <cell r="E19172" t="str">
            <v>包带安装工装2</v>
          </cell>
        </row>
        <row r="19173">
          <cell r="D19173" t="str">
            <v>XXX-1000-03</v>
          </cell>
          <cell r="E19173" t="str">
            <v>柱体</v>
          </cell>
        </row>
        <row r="19174">
          <cell r="D19174" t="str">
            <v>XXX-B-000-01</v>
          </cell>
          <cell r="E19174" t="str">
            <v>XXX防护盒底</v>
          </cell>
        </row>
        <row r="19175">
          <cell r="D19175" t="str">
            <v>XXX-B-000-02</v>
          </cell>
          <cell r="E19175" t="str">
            <v>XXX防护盒</v>
          </cell>
        </row>
        <row r="19176">
          <cell r="D19176" t="str">
            <v>XXX(F9)-0000-01</v>
          </cell>
          <cell r="E19176" t="str">
            <v>壳体</v>
          </cell>
        </row>
        <row r="19177">
          <cell r="D19177" t="str">
            <v>XXX(F9)-0000-02</v>
          </cell>
          <cell r="E19177" t="str">
            <v>衬套</v>
          </cell>
        </row>
        <row r="19178">
          <cell r="D19178" t="str">
            <v>XXX(F9)-0000-03</v>
          </cell>
          <cell r="E19178" t="str">
            <v>缓冲垫</v>
          </cell>
        </row>
        <row r="19179">
          <cell r="D19179" t="str">
            <v>XXX(F9)-0000-05</v>
          </cell>
          <cell r="E19179" t="str">
            <v>内壳体</v>
          </cell>
        </row>
        <row r="19180">
          <cell r="D19180" t="str">
            <v>XXX(F9)-0000-06</v>
          </cell>
          <cell r="E19180" t="str">
            <v>内壳体后盖</v>
          </cell>
        </row>
        <row r="19181">
          <cell r="D19181" t="str">
            <v>XXX(F9)-0000-07</v>
          </cell>
          <cell r="E19181" t="str">
            <v>后盖</v>
          </cell>
        </row>
        <row r="19182">
          <cell r="D19182" t="str">
            <v>XXX(F9)-0000-08</v>
          </cell>
          <cell r="E19182" t="str">
            <v>安控腔</v>
          </cell>
        </row>
        <row r="19183">
          <cell r="D19183" t="str">
            <v>XXX(F9)-0000-09</v>
          </cell>
          <cell r="E19183" t="str">
            <v>支柱</v>
          </cell>
        </row>
        <row r="19184">
          <cell r="D19184" t="str">
            <v>XXX(F9)-0000-10</v>
          </cell>
          <cell r="E19184" t="str">
            <v>垫片</v>
          </cell>
        </row>
        <row r="19185">
          <cell r="D19185" t="str">
            <v>XXX(F9)-0000-21</v>
          </cell>
          <cell r="E19185" t="str">
            <v>工装1</v>
          </cell>
        </row>
        <row r="19186">
          <cell r="D19186" t="str">
            <v>XXX(F9)-0000-22</v>
          </cell>
          <cell r="E19186" t="str">
            <v>工装2</v>
          </cell>
        </row>
        <row r="19187">
          <cell r="D19187" t="str">
            <v>XXX(F9)-0000-23</v>
          </cell>
          <cell r="E19187" t="str">
            <v>工装3</v>
          </cell>
        </row>
        <row r="19188">
          <cell r="D19188" t="str">
            <v>XXX(F9)-1000-01</v>
          </cell>
          <cell r="E19188" t="str">
            <v>YH壳</v>
          </cell>
        </row>
        <row r="19189">
          <cell r="D19189" t="str">
            <v>XXX(F9)-1000-02</v>
          </cell>
          <cell r="E19189" t="str">
            <v>YH盖</v>
          </cell>
        </row>
        <row r="19190">
          <cell r="D19190" t="str">
            <v>XXX(F9)-2000-01</v>
          </cell>
          <cell r="E19190" t="str">
            <v>套筒</v>
          </cell>
        </row>
        <row r="19191">
          <cell r="D19191" t="str">
            <v>XXX(F9)-2000-02</v>
          </cell>
          <cell r="E19191" t="str">
            <v>套筒后盖</v>
          </cell>
        </row>
        <row r="19192">
          <cell r="D19192" t="str">
            <v>XXX(F9)-2000-03</v>
          </cell>
          <cell r="E19192" t="str">
            <v>安装座</v>
          </cell>
        </row>
        <row r="19193">
          <cell r="D19193" t="str">
            <v>XXX(F9)-2000-04</v>
          </cell>
          <cell r="E19193" t="str">
            <v>CDU盒</v>
          </cell>
        </row>
        <row r="19194">
          <cell r="D19194" t="str">
            <v>XXX(F9)-2000-05</v>
          </cell>
          <cell r="E19194" t="str">
            <v>信号盒</v>
          </cell>
        </row>
        <row r="19195">
          <cell r="D19195" t="str">
            <v>XXX(F9)-2000-07</v>
          </cell>
          <cell r="E19195" t="str">
            <v>小衬垫</v>
          </cell>
        </row>
        <row r="19196">
          <cell r="D19196" t="str">
            <v>XXX(F9)-2000-08</v>
          </cell>
          <cell r="E19196" t="str">
            <v>绝缘垫</v>
          </cell>
        </row>
        <row r="19197">
          <cell r="D19197" t="str">
            <v>DD-J10B-21302-40G2-1-Y</v>
          </cell>
          <cell r="E19197" t="str">
            <v>后梁四段</v>
          </cell>
        </row>
        <row r="19198">
          <cell r="D19198" t="str">
            <v>CB2292321-001-004</v>
          </cell>
          <cell r="E19198" t="str">
            <v>缓冲瓶支座</v>
          </cell>
        </row>
        <row r="19199">
          <cell r="D19199" t="str">
            <v>DD-J10-55121-1</v>
          </cell>
          <cell r="E19199" t="str">
            <v>三通管接头</v>
          </cell>
        </row>
        <row r="19200">
          <cell r="D19200" t="str">
            <v>DD-J10B-54601-10-1</v>
          </cell>
          <cell r="E19200" t="str">
            <v>过渡板</v>
          </cell>
        </row>
        <row r="19201">
          <cell r="D19201" t="str">
            <v>Y20-5318100045-001</v>
          </cell>
          <cell r="E19201" t="str">
            <v>加强件</v>
          </cell>
        </row>
        <row r="19202">
          <cell r="D19202" t="str">
            <v>Y20-5318100045-001</v>
          </cell>
          <cell r="E19202" t="str">
            <v>加强件</v>
          </cell>
        </row>
        <row r="19203">
          <cell r="D19203" t="str">
            <v>DD-J10B-94076-220-2</v>
          </cell>
          <cell r="E19203" t="str">
            <v>衬套</v>
          </cell>
        </row>
        <row r="19204">
          <cell r="D19204" t="str">
            <v>DD-J10-68095-1400-1</v>
          </cell>
          <cell r="E19204" t="str">
            <v>套筒</v>
          </cell>
        </row>
        <row r="19205">
          <cell r="D19205" t="str">
            <v>DD-J10-68095-1100-2</v>
          </cell>
          <cell r="E19205" t="str">
            <v>衬套</v>
          </cell>
        </row>
        <row r="19206">
          <cell r="D19206" t="str">
            <v>DD-J10B-94076-811</v>
          </cell>
          <cell r="E19206" t="str">
            <v>法兰盘</v>
          </cell>
        </row>
        <row r="19207">
          <cell r="D19207" t="str">
            <v>DD-J10B-68074-1720-3</v>
          </cell>
          <cell r="E19207" t="str">
            <v>钢管</v>
          </cell>
        </row>
        <row r="19208">
          <cell r="D19208" t="str">
            <v>DD-J10B-55015-4100-1</v>
          </cell>
          <cell r="E19208" t="str">
            <v>垫圈</v>
          </cell>
        </row>
        <row r="19209">
          <cell r="D19209" t="str">
            <v>DD-J10-68095-1300-3</v>
          </cell>
          <cell r="E19209" t="str">
            <v>衬套</v>
          </cell>
        </row>
        <row r="19210">
          <cell r="D19210" t="str">
            <v>DD-J10-54101-2802</v>
          </cell>
          <cell r="E19210" t="str">
            <v>套筒</v>
          </cell>
        </row>
        <row r="19211">
          <cell r="D19211" t="str">
            <v>DD-J10B-86031-510-3</v>
          </cell>
          <cell r="E19211" t="str">
            <v>套管</v>
          </cell>
        </row>
        <row r="19212">
          <cell r="D19212" t="str">
            <v>DD-J10B-94051-3640-2</v>
          </cell>
          <cell r="E19212" t="str">
            <v>管子</v>
          </cell>
        </row>
        <row r="19213">
          <cell r="D19213" t="str">
            <v>DD-J10B-68074-1710-3</v>
          </cell>
          <cell r="E19213" t="str">
            <v>钢管</v>
          </cell>
        </row>
        <row r="19214">
          <cell r="D19214" t="str">
            <v>DD-J10-68095-1100-2</v>
          </cell>
          <cell r="E19214" t="str">
            <v>衬套</v>
          </cell>
        </row>
        <row r="19215">
          <cell r="D19215" t="str">
            <v>DD-J10B-68095-1200-3</v>
          </cell>
          <cell r="E19215" t="str">
            <v>衬套</v>
          </cell>
        </row>
        <row r="19216">
          <cell r="D19216" t="str">
            <v>DD-J10-54101-2801</v>
          </cell>
          <cell r="E19216" t="str">
            <v>手柄</v>
          </cell>
        </row>
        <row r="19217">
          <cell r="D19217" t="str">
            <v>DD-J10-54101-2803</v>
          </cell>
          <cell r="E19217" t="str">
            <v>止动器</v>
          </cell>
        </row>
        <row r="19218">
          <cell r="D19218" t="str">
            <v>DD-J10B-94076-1311</v>
          </cell>
          <cell r="E19218" t="str">
            <v>衬盘</v>
          </cell>
        </row>
        <row r="19219">
          <cell r="D19219" t="str">
            <v>DD-J10B-94076-1312</v>
          </cell>
          <cell r="E19219" t="str">
            <v>衬盘</v>
          </cell>
        </row>
        <row r="19220">
          <cell r="D19220" t="str">
            <v>DD-J10B-94076-220-2</v>
          </cell>
          <cell r="E19220" t="str">
            <v>衬套</v>
          </cell>
        </row>
        <row r="19221">
          <cell r="D19221" t="str">
            <v>DD-J10B-94076-220-2</v>
          </cell>
          <cell r="E19221" t="str">
            <v>衬套</v>
          </cell>
        </row>
        <row r="19222">
          <cell r="D19222" t="str">
            <v>DD-J10-42074-160-1</v>
          </cell>
          <cell r="E19222" t="str">
            <v>拉杆</v>
          </cell>
        </row>
        <row r="19223">
          <cell r="D19223" t="str">
            <v>DD-J10B-68095-1720-3</v>
          </cell>
          <cell r="E19223" t="str">
            <v>钢管</v>
          </cell>
        </row>
        <row r="19224">
          <cell r="D19224" t="str">
            <v>DD-J10B-86031-510-4</v>
          </cell>
          <cell r="E19224" t="str">
            <v>套管</v>
          </cell>
        </row>
        <row r="19225">
          <cell r="D19225" t="str">
            <v>DD-J10B-55111-210-2</v>
          </cell>
          <cell r="E19225" t="str">
            <v>套管</v>
          </cell>
        </row>
        <row r="19226">
          <cell r="D19226" t="str">
            <v>DD-J10-55181-710-1</v>
          </cell>
          <cell r="E19226" t="str">
            <v>衬套</v>
          </cell>
        </row>
        <row r="19227">
          <cell r="D19227" t="str">
            <v>DD-J10B-68095-1710-3-Z</v>
          </cell>
          <cell r="E19227" t="str">
            <v>钢管</v>
          </cell>
        </row>
        <row r="19228">
          <cell r="D19228" t="str">
            <v>DD-J10B-68095-1710-3-Y</v>
          </cell>
          <cell r="E19228" t="str">
            <v>钢管</v>
          </cell>
        </row>
        <row r="19229">
          <cell r="D19229" t="str">
            <v>DD-J10-55165-1430-2</v>
          </cell>
          <cell r="E19229" t="str">
            <v>衬套</v>
          </cell>
        </row>
        <row r="19230">
          <cell r="D19230" t="str">
            <v>DD-J10-55165-1440-3</v>
          </cell>
          <cell r="E19230" t="str">
            <v>衬套</v>
          </cell>
        </row>
        <row r="19231">
          <cell r="D19231" t="str">
            <v>DD-J10B-94076-620-4</v>
          </cell>
          <cell r="E19231" t="str">
            <v>衬套</v>
          </cell>
        </row>
        <row r="19232">
          <cell r="D19232" t="str">
            <v>DD-J10B-94076-620-4</v>
          </cell>
          <cell r="E19232" t="str">
            <v>衬套</v>
          </cell>
        </row>
        <row r="19233">
          <cell r="D19233" t="str">
            <v>DD-J10-54101-2805</v>
          </cell>
          <cell r="E19233" t="str">
            <v>滑轮</v>
          </cell>
        </row>
        <row r="19234">
          <cell r="D19234" t="str">
            <v>DD-J10B-61101-3110-1</v>
          </cell>
          <cell r="E19234" t="str">
            <v>导管</v>
          </cell>
        </row>
        <row r="19235">
          <cell r="D19235" t="str">
            <v>DD-J10B-55165-1480-1</v>
          </cell>
          <cell r="E19235" t="str">
            <v>螺栓</v>
          </cell>
        </row>
        <row r="19236">
          <cell r="D19236" t="str">
            <v>DD-J10-68095-1400-1</v>
          </cell>
          <cell r="E19236" t="str">
            <v>套筒</v>
          </cell>
        </row>
        <row r="19237">
          <cell r="D19237" t="str">
            <v>DD-J10-41153-120-2</v>
          </cell>
          <cell r="E19237" t="str">
            <v>挡销</v>
          </cell>
        </row>
        <row r="19238">
          <cell r="D19238" t="str">
            <v>DD-J10-86011-3100-3</v>
          </cell>
          <cell r="E19238" t="str">
            <v>凸台</v>
          </cell>
        </row>
        <row r="19239">
          <cell r="D19239" t="str">
            <v>BC5812910-001-001</v>
          </cell>
          <cell r="E19239" t="str">
            <v>拉杆</v>
          </cell>
        </row>
        <row r="19240">
          <cell r="D19240" t="str">
            <v>DD-J10-21102-250-1-Z</v>
          </cell>
          <cell r="E19240" t="str">
            <v>11900梁一段（左件）</v>
          </cell>
        </row>
        <row r="19241">
          <cell r="D19241" t="str">
            <v>DD-J10-21102-250-1-Z</v>
          </cell>
          <cell r="E19241" t="str">
            <v>11900梁一段（左件）</v>
          </cell>
        </row>
        <row r="19242">
          <cell r="D19242" t="str">
            <v>DD-J10-21102-250-1-Z</v>
          </cell>
          <cell r="E19242" t="str">
            <v>11900梁一段（左件）</v>
          </cell>
        </row>
        <row r="19243">
          <cell r="D19243" t="str">
            <v>DD-J10-21102-250-1-Y</v>
          </cell>
          <cell r="E19243" t="str">
            <v>11900梁一段（右件）</v>
          </cell>
        </row>
        <row r="19244">
          <cell r="D19244" t="str">
            <v>DD-J10-21102-250-1-Y</v>
          </cell>
          <cell r="E19244" t="str">
            <v>11900梁一段（右件）</v>
          </cell>
        </row>
        <row r="19245">
          <cell r="D19245" t="str">
            <v>DD-J10-21102-250-1-Y</v>
          </cell>
          <cell r="E19245" t="str">
            <v>11900梁一段（右件）</v>
          </cell>
        </row>
        <row r="19246">
          <cell r="D19246" t="str">
            <v>DD-J10-34003-2</v>
          </cell>
          <cell r="E19246" t="str">
            <v>后梁</v>
          </cell>
        </row>
        <row r="19247">
          <cell r="D19247" t="str">
            <v>DD-J10-34003-2</v>
          </cell>
          <cell r="E19247" t="str">
            <v>后梁</v>
          </cell>
        </row>
        <row r="19248">
          <cell r="D19248" t="str">
            <v>DD-J10-34003-2</v>
          </cell>
          <cell r="E19248" t="str">
            <v>后梁</v>
          </cell>
        </row>
        <row r="19249">
          <cell r="D19249" t="str">
            <v>DD-J10B-34303-7G2</v>
          </cell>
          <cell r="E19249" t="str">
            <v>第1隔板</v>
          </cell>
        </row>
        <row r="19250">
          <cell r="D19250" t="str">
            <v>DD-J10B-34303-7G2</v>
          </cell>
          <cell r="E19250" t="str">
            <v>第1隔板</v>
          </cell>
        </row>
        <row r="19251">
          <cell r="D19251" t="str">
            <v>DD-J10B-34303-7G2</v>
          </cell>
          <cell r="E19251" t="str">
            <v>第1隔板</v>
          </cell>
        </row>
        <row r="19252">
          <cell r="D19252" t="str">
            <v>DD-J10B-34303-8G2</v>
          </cell>
          <cell r="E19252" t="str">
            <v>第2隔板</v>
          </cell>
        </row>
        <row r="19253">
          <cell r="D19253" t="str">
            <v>DD-J10B-34303-8G2</v>
          </cell>
          <cell r="E19253" t="str">
            <v>第2隔板</v>
          </cell>
        </row>
        <row r="19254">
          <cell r="D19254" t="str">
            <v>DD-J10B-34303-8G2</v>
          </cell>
          <cell r="E19254" t="str">
            <v>第2隔板</v>
          </cell>
        </row>
        <row r="19255">
          <cell r="D19255" t="str">
            <v>DD-J10B-34303-9G2</v>
          </cell>
          <cell r="E19255" t="str">
            <v>第3隔板</v>
          </cell>
        </row>
        <row r="19256">
          <cell r="D19256" t="str">
            <v>DD-J10B-34303-9G2</v>
          </cell>
          <cell r="E19256" t="str">
            <v>第3隔板</v>
          </cell>
        </row>
        <row r="19257">
          <cell r="D19257" t="str">
            <v>DD-J10B-34303-9G2</v>
          </cell>
          <cell r="E19257" t="str">
            <v>第3隔板</v>
          </cell>
        </row>
        <row r="19258">
          <cell r="D19258" t="str">
            <v>DD-J10B-34303-11G2</v>
          </cell>
          <cell r="E19258" t="str">
            <v>第4隔板</v>
          </cell>
        </row>
        <row r="19259">
          <cell r="D19259" t="str">
            <v>DD-J10B-34303-11G2</v>
          </cell>
          <cell r="E19259" t="str">
            <v>第4隔板</v>
          </cell>
        </row>
        <row r="19260">
          <cell r="D19260" t="str">
            <v>DD-J10B-34303-11G2</v>
          </cell>
          <cell r="E19260" t="str">
            <v>第4隔板</v>
          </cell>
        </row>
        <row r="19261">
          <cell r="D19261" t="str">
            <v>DD-J10B-34303-12G2</v>
          </cell>
          <cell r="E19261" t="str">
            <v>第5隔板</v>
          </cell>
        </row>
        <row r="19262">
          <cell r="D19262" t="str">
            <v>DD-J10B-34303-12G2</v>
          </cell>
          <cell r="E19262" t="str">
            <v>第5隔板</v>
          </cell>
        </row>
        <row r="19263">
          <cell r="D19263" t="str">
            <v>DD-J10B-34303-12G2</v>
          </cell>
          <cell r="E19263" t="str">
            <v>第5隔板</v>
          </cell>
        </row>
        <row r="19264">
          <cell r="D19264" t="str">
            <v>DD-J10B-34303-13G2</v>
          </cell>
          <cell r="E19264" t="str">
            <v>第6隔板</v>
          </cell>
        </row>
        <row r="19265">
          <cell r="D19265" t="str">
            <v>DD-J10B-34303-13G2</v>
          </cell>
          <cell r="E19265" t="str">
            <v>第6隔板</v>
          </cell>
        </row>
        <row r="19266">
          <cell r="D19266" t="str">
            <v>DD-J10B-34303-13G2</v>
          </cell>
          <cell r="E19266" t="str">
            <v>第6隔板</v>
          </cell>
        </row>
        <row r="19267">
          <cell r="D19267" t="str">
            <v>CB5742000-202L001</v>
          </cell>
          <cell r="E19267" t="str">
            <v>前梁二段</v>
          </cell>
        </row>
        <row r="19268">
          <cell r="D19268" t="str">
            <v>CB5742000-202L001</v>
          </cell>
          <cell r="E19268" t="str">
            <v>前梁二段</v>
          </cell>
        </row>
        <row r="19269">
          <cell r="D19269" t="str">
            <v>CB5742000-202L001</v>
          </cell>
          <cell r="E19269" t="str">
            <v>前梁二段</v>
          </cell>
        </row>
        <row r="19270">
          <cell r="D19270" t="str">
            <v>CB5742000-202L001</v>
          </cell>
          <cell r="E19270" t="str">
            <v>前梁二段</v>
          </cell>
        </row>
        <row r="19271">
          <cell r="D19271" t="str">
            <v>CB5742000-202L001</v>
          </cell>
          <cell r="E19271" t="str">
            <v>前梁二段</v>
          </cell>
        </row>
        <row r="19272">
          <cell r="D19272" t="str">
            <v>CB5742000-202L001</v>
          </cell>
          <cell r="E19272" t="str">
            <v>前梁二段</v>
          </cell>
        </row>
        <row r="19273">
          <cell r="D19273" t="str">
            <v>CB5742000-202L001</v>
          </cell>
          <cell r="E19273" t="str">
            <v>前梁二段</v>
          </cell>
        </row>
        <row r="19274">
          <cell r="D19274" t="str">
            <v>CB5742000-202L001</v>
          </cell>
          <cell r="E19274" t="str">
            <v>前梁二段</v>
          </cell>
        </row>
        <row r="19275">
          <cell r="D19275" t="str">
            <v>CB5742000-202L001</v>
          </cell>
          <cell r="E19275" t="str">
            <v>前梁二段</v>
          </cell>
        </row>
        <row r="19276">
          <cell r="D19276" t="str">
            <v>CB5742000-202L001</v>
          </cell>
          <cell r="E19276" t="str">
            <v>前梁二段</v>
          </cell>
        </row>
        <row r="19277">
          <cell r="D19277" t="str">
            <v>CB5742000-202R001</v>
          </cell>
          <cell r="E19277" t="str">
            <v>前梁二段</v>
          </cell>
        </row>
        <row r="19278">
          <cell r="D19278" t="str">
            <v>CB5742000-202R001</v>
          </cell>
          <cell r="E19278" t="str">
            <v>前梁二段</v>
          </cell>
        </row>
        <row r="19279">
          <cell r="D19279" t="str">
            <v>CB5742000-202R001</v>
          </cell>
          <cell r="E19279" t="str">
            <v>前梁二段</v>
          </cell>
        </row>
        <row r="19280">
          <cell r="D19280" t="str">
            <v>CB5742000-202R001</v>
          </cell>
          <cell r="E19280" t="str">
            <v>前梁二段</v>
          </cell>
        </row>
        <row r="19281">
          <cell r="D19281" t="str">
            <v>CB5742000-202R001</v>
          </cell>
          <cell r="E19281" t="str">
            <v>前梁二段</v>
          </cell>
        </row>
        <row r="19282">
          <cell r="D19282" t="str">
            <v>CB5742000-202R001</v>
          </cell>
          <cell r="E19282" t="str">
            <v>前梁二段</v>
          </cell>
        </row>
        <row r="19283">
          <cell r="D19283" t="str">
            <v>CB5742000-202R001</v>
          </cell>
          <cell r="E19283" t="str">
            <v>前梁二段</v>
          </cell>
        </row>
        <row r="19284">
          <cell r="D19284" t="str">
            <v>CB5742000-202R001</v>
          </cell>
          <cell r="E19284" t="str">
            <v>前梁二段</v>
          </cell>
        </row>
        <row r="19285">
          <cell r="D19285" t="str">
            <v>CB5742000-202R001</v>
          </cell>
          <cell r="E19285" t="str">
            <v>前梁二段</v>
          </cell>
        </row>
        <row r="19286">
          <cell r="D19286" t="str">
            <v>CB5742000-202R001</v>
          </cell>
          <cell r="E19286" t="str">
            <v>前梁二段</v>
          </cell>
        </row>
        <row r="19287">
          <cell r="D19287" t="str">
            <v>DD-J10B-61001-1</v>
          </cell>
          <cell r="E19287" t="str">
            <v>接头</v>
          </cell>
        </row>
        <row r="19288">
          <cell r="D19288" t="str">
            <v>CB2284460-006-001</v>
          </cell>
          <cell r="E19288" t="str">
            <v>三通接头</v>
          </cell>
        </row>
        <row r="19289">
          <cell r="D19289" t="str">
            <v>GU5714000-003R003</v>
          </cell>
          <cell r="E19289" t="str">
            <v>2750肋</v>
          </cell>
        </row>
        <row r="19290">
          <cell r="D19290" t="str">
            <v>GU5714000-004R003</v>
          </cell>
          <cell r="E19290" t="str">
            <v>3500肋</v>
          </cell>
        </row>
        <row r="19291">
          <cell r="D19291" t="str">
            <v>GU5714000-005R003</v>
          </cell>
          <cell r="E19291" t="str">
            <v>4500肋</v>
          </cell>
        </row>
        <row r="19292">
          <cell r="D19292" t="str">
            <v>CB2284751-003-001</v>
          </cell>
          <cell r="E19292" t="str">
            <v>法兰盘</v>
          </cell>
        </row>
        <row r="19293">
          <cell r="D19293" t="str">
            <v>XXX-DM02</v>
          </cell>
          <cell r="E19293" t="str">
            <v>对接密封环</v>
          </cell>
        </row>
        <row r="19294">
          <cell r="D19294" t="str">
            <v>XXX-FM01</v>
          </cell>
          <cell r="E19294" t="str">
            <v>防护帽</v>
          </cell>
        </row>
        <row r="19295">
          <cell r="D19295" t="str">
            <v>XXX-GQ01</v>
          </cell>
          <cell r="E19295" t="str">
            <v>钢垫圈</v>
          </cell>
        </row>
        <row r="19296">
          <cell r="D19296" t="str">
            <v>XXX-JH02-000-01</v>
          </cell>
          <cell r="E19296" t="str">
            <v>下蛤壳</v>
          </cell>
        </row>
        <row r="19297">
          <cell r="D19297" t="str">
            <v>XXX-JH02-100-01</v>
          </cell>
          <cell r="E19297" t="str">
            <v>上蛤壳</v>
          </cell>
        </row>
        <row r="19298">
          <cell r="D19298" t="str">
            <v>XXX-SD01</v>
          </cell>
          <cell r="E19298" t="str">
            <v>丝堵</v>
          </cell>
        </row>
        <row r="19299">
          <cell r="D19299" t="str">
            <v>XXX-ZD01-110-02</v>
          </cell>
          <cell r="E19299" t="str">
            <v>基片</v>
          </cell>
        </row>
        <row r="19300">
          <cell r="D19300" t="str">
            <v>XXX-63000000-01</v>
          </cell>
          <cell r="E19300" t="str">
            <v>壳体</v>
          </cell>
        </row>
        <row r="19301">
          <cell r="D19301" t="str">
            <v>XXX-63000000-02</v>
          </cell>
          <cell r="E19301" t="str">
            <v>盖板</v>
          </cell>
        </row>
        <row r="19302">
          <cell r="D19302" t="str">
            <v>XXX-63000000-03</v>
          </cell>
          <cell r="E19302" t="str">
            <v>包带</v>
          </cell>
        </row>
        <row r="19303">
          <cell r="D19303" t="str">
            <v>XXX-63000000-04</v>
          </cell>
          <cell r="E19303" t="str">
            <v>绝缘底板</v>
          </cell>
        </row>
        <row r="19304">
          <cell r="D19304" t="str">
            <v>XXX-63000000-05</v>
          </cell>
          <cell r="E19304" t="str">
            <v>绝缘顶板</v>
          </cell>
        </row>
        <row r="19305">
          <cell r="D19305" t="str">
            <v>XXX-3300000-01</v>
          </cell>
          <cell r="E19305" t="str">
            <v>壳体</v>
          </cell>
        </row>
        <row r="19306">
          <cell r="D19306" t="str">
            <v>XXX-3300000-02</v>
          </cell>
          <cell r="E19306" t="str">
            <v>上盖板</v>
          </cell>
        </row>
        <row r="19307">
          <cell r="D19307" t="str">
            <v>XXX-3300000-03</v>
          </cell>
          <cell r="E19307" t="str">
            <v>下盖板</v>
          </cell>
        </row>
        <row r="19308">
          <cell r="D19308" t="str">
            <v>DD-J10-55025-700-3</v>
          </cell>
          <cell r="E19308" t="str">
            <v>半球体</v>
          </cell>
        </row>
        <row r="19309">
          <cell r="D19309" t="str">
            <v>DD-J10-55025-700-3</v>
          </cell>
          <cell r="E19309" t="str">
            <v>半球体</v>
          </cell>
        </row>
        <row r="19310">
          <cell r="D19310" t="str">
            <v>DD-J10-55025-800-1</v>
          </cell>
          <cell r="E19310" t="str">
            <v>半球体</v>
          </cell>
        </row>
        <row r="19311">
          <cell r="D19311" t="str">
            <v>DD-J10B-55015-4100-1</v>
          </cell>
          <cell r="E19311" t="str">
            <v>垫圈</v>
          </cell>
        </row>
        <row r="19312">
          <cell r="D19312" t="str">
            <v>DD-J10B-94061-1061/1</v>
          </cell>
          <cell r="E19312" t="str">
            <v>法兰盘</v>
          </cell>
        </row>
        <row r="19313">
          <cell r="D19313" t="str">
            <v>DD-J10B-94061-1061/2</v>
          </cell>
          <cell r="E19313" t="str">
            <v>法兰盘</v>
          </cell>
        </row>
        <row r="19314">
          <cell r="D19314" t="str">
            <v>DD-J10B-94061-1061/3</v>
          </cell>
          <cell r="E19314" t="str">
            <v>法兰盘</v>
          </cell>
        </row>
        <row r="19315">
          <cell r="D19315" t="str">
            <v>DD-J10B-94076-1311</v>
          </cell>
          <cell r="E19315" t="str">
            <v>衬盘</v>
          </cell>
        </row>
        <row r="19316">
          <cell r="D19316" t="str">
            <v>DD-J10B-94076-1312</v>
          </cell>
          <cell r="E19316" t="str">
            <v>衬盘</v>
          </cell>
        </row>
        <row r="19317">
          <cell r="D19317" t="str">
            <v>DD-J10B-94061-1021</v>
          </cell>
          <cell r="E19317" t="str">
            <v>导管接头</v>
          </cell>
        </row>
        <row r="19318">
          <cell r="D19318" t="str">
            <v>DD-J10B-94061-1031</v>
          </cell>
          <cell r="E19318" t="str">
            <v>接头</v>
          </cell>
        </row>
        <row r="19319">
          <cell r="D19319" t="str">
            <v>DD-J10B-94061-1032</v>
          </cell>
          <cell r="E19319" t="str">
            <v>接头</v>
          </cell>
        </row>
        <row r="19320">
          <cell r="D19320" t="str">
            <v>DD-J10B-94076-2031/1</v>
          </cell>
          <cell r="E19320" t="str">
            <v>接管嘴</v>
          </cell>
        </row>
        <row r="19321">
          <cell r="D19321" t="str">
            <v>DD-J10B-94076-2031/2</v>
          </cell>
          <cell r="E19321" t="str">
            <v>接管嘴</v>
          </cell>
        </row>
        <row r="19322">
          <cell r="D19322" t="str">
            <v>DD-J10B-94076-2031/3</v>
          </cell>
          <cell r="E19322" t="str">
            <v>接管嘴</v>
          </cell>
        </row>
        <row r="19323">
          <cell r="D19323" t="str">
            <v>DD-J10-86021-5000-3</v>
          </cell>
          <cell r="E19323" t="str">
            <v>垫块</v>
          </cell>
        </row>
        <row r="19324">
          <cell r="D19324" t="str">
            <v>DD-J10-86021-6000-2</v>
          </cell>
          <cell r="E19324" t="str">
            <v>垫块</v>
          </cell>
        </row>
        <row r="19325">
          <cell r="D19325" t="str">
            <v>CB271221B-003-001</v>
          </cell>
          <cell r="E19325" t="str">
            <v>管子</v>
          </cell>
        </row>
        <row r="19326">
          <cell r="D19326" t="str">
            <v>CB5326200-131L002</v>
          </cell>
          <cell r="E19326" t="str">
            <v>8455 4号加强筋</v>
          </cell>
        </row>
        <row r="19327">
          <cell r="D19327" t="str">
            <v>CB5326200-131L002</v>
          </cell>
          <cell r="E19327" t="str">
            <v>8455 4号加强筋</v>
          </cell>
        </row>
        <row r="19328">
          <cell r="D19328" t="str">
            <v>CB5326200-131L002</v>
          </cell>
          <cell r="E19328" t="str">
            <v>8455 4号加强筋</v>
          </cell>
        </row>
        <row r="19329">
          <cell r="D19329" t="str">
            <v>CB5326200-131L002</v>
          </cell>
          <cell r="E19329" t="str">
            <v>8455 4号加强筋</v>
          </cell>
        </row>
        <row r="19330">
          <cell r="D19330" t="str">
            <v>CB5326200-131R002</v>
          </cell>
          <cell r="E19330" t="str">
            <v>8455 4号加强筋</v>
          </cell>
        </row>
        <row r="19331">
          <cell r="D19331" t="str">
            <v>CB5326200-131R002</v>
          </cell>
          <cell r="E19331" t="str">
            <v>8455 4号加强筋</v>
          </cell>
        </row>
        <row r="19332">
          <cell r="D19332" t="str">
            <v>CB5326200-131R002</v>
          </cell>
          <cell r="E19332" t="str">
            <v>8455 4号加强筋</v>
          </cell>
        </row>
        <row r="19333">
          <cell r="D19333" t="str">
            <v>CB5326200-131R002</v>
          </cell>
          <cell r="E19333" t="str">
            <v>8455 4号加强筋</v>
          </cell>
        </row>
        <row r="19334">
          <cell r="D19334" t="str">
            <v>CB5323210-002-028</v>
          </cell>
          <cell r="E19334" t="str">
            <v>10540中框</v>
          </cell>
        </row>
        <row r="19335">
          <cell r="D19335" t="str">
            <v>CB5323210-002-028</v>
          </cell>
          <cell r="E19335" t="str">
            <v>10540中框</v>
          </cell>
        </row>
        <row r="19336">
          <cell r="D19336" t="str">
            <v>CB5323210-002-028</v>
          </cell>
          <cell r="E19336" t="str">
            <v>10540中框</v>
          </cell>
        </row>
        <row r="19337">
          <cell r="D19337" t="str">
            <v>CB5323210-002-028</v>
          </cell>
          <cell r="E19337" t="str">
            <v>10540中框</v>
          </cell>
        </row>
        <row r="19338">
          <cell r="D19338" t="str">
            <v>CB5323210-002-028</v>
          </cell>
          <cell r="E19338" t="str">
            <v>10540中框</v>
          </cell>
        </row>
        <row r="19339">
          <cell r="D19339" t="str">
            <v>CB5323210-002-028</v>
          </cell>
          <cell r="E19339" t="str">
            <v>10540中框</v>
          </cell>
        </row>
        <row r="19340">
          <cell r="D19340" t="str">
            <v>CB5323210-002-028</v>
          </cell>
          <cell r="E19340" t="str">
            <v>10540中框</v>
          </cell>
        </row>
        <row r="19341">
          <cell r="D19341" t="str">
            <v>CB5323210-002-028</v>
          </cell>
          <cell r="E19341" t="str">
            <v>10540中框</v>
          </cell>
        </row>
        <row r="19342">
          <cell r="D19342" t="str">
            <v>CB5323210-002-028</v>
          </cell>
          <cell r="E19342" t="str">
            <v>10540中框</v>
          </cell>
        </row>
        <row r="19343">
          <cell r="D19343" t="str">
            <v>CB5323210-002-028</v>
          </cell>
          <cell r="E19343" t="str">
            <v>10540中框</v>
          </cell>
        </row>
        <row r="19344">
          <cell r="D19344" t="str">
            <v>CB5715000-002L002</v>
          </cell>
          <cell r="E19344" t="str">
            <v>固定前缘根肋</v>
          </cell>
        </row>
        <row r="19345">
          <cell r="D19345" t="str">
            <v>CB5715000-002L002</v>
          </cell>
          <cell r="E19345" t="str">
            <v>固定前缘根肋</v>
          </cell>
        </row>
        <row r="19346">
          <cell r="D19346" t="str">
            <v>CB5715000-002L002</v>
          </cell>
          <cell r="E19346" t="str">
            <v>固定前缘根肋</v>
          </cell>
        </row>
        <row r="19347">
          <cell r="D19347" t="str">
            <v>CB5715000-002L002</v>
          </cell>
          <cell r="E19347" t="str">
            <v>固定前缘根肋</v>
          </cell>
        </row>
        <row r="19348">
          <cell r="D19348" t="str">
            <v>CB5715000-002L002</v>
          </cell>
          <cell r="E19348" t="str">
            <v>固定前缘根肋</v>
          </cell>
        </row>
        <row r="19349">
          <cell r="D19349" t="str">
            <v>CB5715000-002L002</v>
          </cell>
          <cell r="E19349" t="str">
            <v>固定前缘根肋</v>
          </cell>
        </row>
        <row r="19350">
          <cell r="D19350" t="str">
            <v>CB5715000-002L002</v>
          </cell>
          <cell r="E19350" t="str">
            <v>固定前缘根肋</v>
          </cell>
        </row>
        <row r="19351">
          <cell r="D19351" t="str">
            <v>CB5715000-002L002</v>
          </cell>
          <cell r="E19351" t="str">
            <v>固定前缘根肋</v>
          </cell>
        </row>
        <row r="19352">
          <cell r="D19352" t="str">
            <v>CB5715000-002L002</v>
          </cell>
          <cell r="E19352" t="str">
            <v>固定前缘根肋</v>
          </cell>
        </row>
        <row r="19353">
          <cell r="D19353" t="str">
            <v>CB5715000-002L002</v>
          </cell>
          <cell r="E19353" t="str">
            <v>固定前缘根肋</v>
          </cell>
        </row>
        <row r="19354">
          <cell r="D19354" t="str">
            <v>CB5715000-002R002</v>
          </cell>
          <cell r="E19354" t="str">
            <v>固定前缘根肋</v>
          </cell>
        </row>
        <row r="19355">
          <cell r="D19355" t="str">
            <v>CB5715000-002R002</v>
          </cell>
          <cell r="E19355" t="str">
            <v>固定前缘根肋</v>
          </cell>
        </row>
        <row r="19356">
          <cell r="D19356" t="str">
            <v>CB5715000-002R002</v>
          </cell>
          <cell r="E19356" t="str">
            <v>固定前缘根肋</v>
          </cell>
        </row>
        <row r="19357">
          <cell r="D19357" t="str">
            <v>CB5715000-002R002</v>
          </cell>
          <cell r="E19357" t="str">
            <v>固定前缘根肋</v>
          </cell>
        </row>
        <row r="19358">
          <cell r="D19358" t="str">
            <v>CB5715000-002R002</v>
          </cell>
          <cell r="E19358" t="str">
            <v>固定前缘根肋</v>
          </cell>
        </row>
        <row r="19359">
          <cell r="D19359" t="str">
            <v>CB5715000-002R002</v>
          </cell>
          <cell r="E19359" t="str">
            <v>固定前缘根肋</v>
          </cell>
        </row>
        <row r="19360">
          <cell r="D19360" t="str">
            <v>CB5715000-002R002</v>
          </cell>
          <cell r="E19360" t="str">
            <v>固定前缘根肋</v>
          </cell>
        </row>
        <row r="19361">
          <cell r="D19361" t="str">
            <v>CB5715000-002R002</v>
          </cell>
          <cell r="E19361" t="str">
            <v>固定前缘根肋</v>
          </cell>
        </row>
        <row r="19362">
          <cell r="D19362" t="str">
            <v>CB5715000-002R002</v>
          </cell>
          <cell r="E19362" t="str">
            <v>固定前缘根肋</v>
          </cell>
        </row>
        <row r="19363">
          <cell r="D19363" t="str">
            <v>CB5715000-002R002</v>
          </cell>
          <cell r="E19363" t="str">
            <v>固定前缘根肋</v>
          </cell>
        </row>
        <row r="19364">
          <cell r="D19364" t="str">
            <v>CB5714100-001L004</v>
          </cell>
          <cell r="E19364" t="str">
            <v>根肋一段</v>
          </cell>
        </row>
        <row r="19365">
          <cell r="D19365" t="str">
            <v>DD-J10-63001-511</v>
          </cell>
          <cell r="E19365" t="str">
            <v>阳密封式法兰盘</v>
          </cell>
        </row>
        <row r="19366">
          <cell r="D19366" t="str">
            <v>BC5812800-001-001</v>
          </cell>
          <cell r="E19366" t="str">
            <v>摇臂</v>
          </cell>
        </row>
        <row r="19367">
          <cell r="D19367" t="str">
            <v>C227300500-004-001</v>
          </cell>
          <cell r="E19367" t="str">
            <v>垫片</v>
          </cell>
        </row>
        <row r="19368">
          <cell r="D19368" t="str">
            <v>C227301100-001-001</v>
          </cell>
          <cell r="E19368" t="str">
            <v>垫片</v>
          </cell>
        </row>
        <row r="19369">
          <cell r="D19369" t="str">
            <v>C227300500-002-001</v>
          </cell>
          <cell r="E19369" t="str">
            <v>垫片</v>
          </cell>
        </row>
        <row r="19370">
          <cell r="D19370" t="str">
            <v>C227300900-002-001</v>
          </cell>
          <cell r="E19370" t="str">
            <v>垫片</v>
          </cell>
        </row>
        <row r="19371">
          <cell r="D19371" t="str">
            <v>C221060300-001-001</v>
          </cell>
          <cell r="E19371" t="str">
            <v>垫圈</v>
          </cell>
        </row>
        <row r="19372">
          <cell r="D19372" t="str">
            <v>BC221T1AC-002-002</v>
          </cell>
          <cell r="E19372" t="str">
            <v>法兰</v>
          </cell>
        </row>
        <row r="19373">
          <cell r="D19373" t="str">
            <v>BC228163C-003-003</v>
          </cell>
          <cell r="E19373" t="str">
            <v>法兰</v>
          </cell>
        </row>
        <row r="19374">
          <cell r="D19374" t="str">
            <v>Y20-5212290009-001</v>
          </cell>
          <cell r="E19374" t="str">
            <v>合页片</v>
          </cell>
        </row>
        <row r="19375">
          <cell r="D19375" t="str">
            <v>Y20-5317018032-001</v>
          </cell>
          <cell r="E19375" t="str">
            <v>立柱接头</v>
          </cell>
        </row>
        <row r="19376">
          <cell r="D19376" t="str">
            <v>Y20-5312100303-001</v>
          </cell>
          <cell r="E19376" t="str">
            <v>合页</v>
          </cell>
        </row>
        <row r="19377">
          <cell r="D19377" t="str">
            <v>Y20-5319540003-001</v>
          </cell>
          <cell r="E19377" t="str">
            <v>转盘</v>
          </cell>
        </row>
        <row r="19378">
          <cell r="D19378" t="str">
            <v>Y20-5212290008-001</v>
          </cell>
          <cell r="E19378" t="str">
            <v>合页片</v>
          </cell>
        </row>
        <row r="19379">
          <cell r="D19379" t="str">
            <v>Y20-5212290011-001</v>
          </cell>
          <cell r="E19379" t="str">
            <v>合页片</v>
          </cell>
        </row>
        <row r="19380">
          <cell r="D19380" t="str">
            <v>DD-J10B-94091-4141G2</v>
          </cell>
          <cell r="E19380" t="str">
            <v>三通接头</v>
          </cell>
        </row>
        <row r="19381">
          <cell r="D19381" t="str">
            <v>CB5715000-002R002</v>
          </cell>
          <cell r="E19381" t="str">
            <v>固定前缘根肋</v>
          </cell>
        </row>
        <row r="19382">
          <cell r="D19382" t="str">
            <v>CB5715000-002R002</v>
          </cell>
          <cell r="E19382" t="str">
            <v>固定前缘根肋</v>
          </cell>
        </row>
        <row r="19383">
          <cell r="D19383" t="str">
            <v>CB5715000-002R002</v>
          </cell>
          <cell r="E19383" t="str">
            <v>固定前缘根肋</v>
          </cell>
        </row>
        <row r="19384">
          <cell r="D19384" t="str">
            <v>CB5715000-002R002</v>
          </cell>
          <cell r="E19384" t="str">
            <v>固定前缘根肋</v>
          </cell>
        </row>
        <row r="19385">
          <cell r="D19385" t="str">
            <v>CB5714100-001L004</v>
          </cell>
          <cell r="E19385" t="str">
            <v>根肋一段</v>
          </cell>
        </row>
        <row r="19386">
          <cell r="D19386" t="str">
            <v>DD-J10-63001-511</v>
          </cell>
          <cell r="E19386" t="str">
            <v>阳密封式法兰盘</v>
          </cell>
        </row>
        <row r="19387">
          <cell r="D19387" t="str">
            <v>BC5812800-001-001</v>
          </cell>
          <cell r="E19387" t="str">
            <v>摇臂</v>
          </cell>
        </row>
        <row r="19388">
          <cell r="D19388" t="str">
            <v>C227300500-004-001</v>
          </cell>
          <cell r="E19388" t="str">
            <v>垫片</v>
          </cell>
        </row>
        <row r="19389">
          <cell r="D19389" t="str">
            <v>C227301100-001-001</v>
          </cell>
          <cell r="E19389" t="str">
            <v>垫片</v>
          </cell>
        </row>
        <row r="19390">
          <cell r="D19390" t="str">
            <v>C227300500-002-001</v>
          </cell>
          <cell r="E19390" t="str">
            <v>垫片</v>
          </cell>
        </row>
        <row r="19391">
          <cell r="D19391" t="str">
            <v>C227300900-002-001</v>
          </cell>
          <cell r="E19391" t="str">
            <v>垫片</v>
          </cell>
        </row>
        <row r="19392">
          <cell r="D19392" t="str">
            <v>C221060300-001-001</v>
          </cell>
          <cell r="E19392" t="str">
            <v>垫圈</v>
          </cell>
        </row>
        <row r="19393">
          <cell r="D19393" t="str">
            <v>BC221T1AC-002-002</v>
          </cell>
          <cell r="E19393" t="str">
            <v>法兰</v>
          </cell>
        </row>
        <row r="19394">
          <cell r="D19394" t="str">
            <v>BC228163C-003-003</v>
          </cell>
          <cell r="E19394" t="str">
            <v>法兰</v>
          </cell>
        </row>
        <row r="19395">
          <cell r="D19395" t="str">
            <v>Y20-5212290009-001</v>
          </cell>
          <cell r="E19395" t="str">
            <v>合页片</v>
          </cell>
        </row>
        <row r="19396">
          <cell r="D19396" t="str">
            <v>Y20-5317018032-001</v>
          </cell>
          <cell r="E19396" t="str">
            <v>立柱接头</v>
          </cell>
        </row>
        <row r="19397">
          <cell r="D19397" t="str">
            <v>Y20-5312100303-001</v>
          </cell>
          <cell r="E19397" t="str">
            <v>合页</v>
          </cell>
        </row>
        <row r="19398">
          <cell r="D19398" t="str">
            <v>Y20-5319540003-001</v>
          </cell>
          <cell r="E19398" t="str">
            <v>转盘</v>
          </cell>
        </row>
        <row r="19399">
          <cell r="D19399" t="str">
            <v>Y20-5212290008-001</v>
          </cell>
          <cell r="E19399" t="str">
            <v>合页片</v>
          </cell>
        </row>
        <row r="19400">
          <cell r="D19400" t="str">
            <v>Y20-5212290011-001</v>
          </cell>
          <cell r="E19400" t="str">
            <v>合页片</v>
          </cell>
        </row>
        <row r="19401">
          <cell r="D19401" t="str">
            <v>DD-J10B-94091-4141G2</v>
          </cell>
          <cell r="E19401" t="str">
            <v>三通接头</v>
          </cell>
        </row>
        <row r="19402">
          <cell r="D19402" t="str">
            <v>CB5714100-001R004</v>
          </cell>
          <cell r="E19402" t="str">
            <v>根肋一段</v>
          </cell>
        </row>
        <row r="19403">
          <cell r="D19403" t="str">
            <v>CB5811400-001-001</v>
          </cell>
          <cell r="E19403" t="str">
            <v>支架</v>
          </cell>
        </row>
        <row r="19404">
          <cell r="D19404" t="str">
            <v>CB5811400-001-001</v>
          </cell>
          <cell r="E19404" t="str">
            <v>支架</v>
          </cell>
        </row>
        <row r="19405">
          <cell r="D19405" t="str">
            <v>CB5811400-001-001</v>
          </cell>
          <cell r="E19405" t="str">
            <v>支架</v>
          </cell>
        </row>
        <row r="19406">
          <cell r="D19406" t="str">
            <v>CB5811400-001-001</v>
          </cell>
          <cell r="E19406" t="str">
            <v>支架</v>
          </cell>
        </row>
        <row r="19407">
          <cell r="D19407" t="str">
            <v>CB5811400-001-001</v>
          </cell>
          <cell r="E19407" t="str">
            <v>支架</v>
          </cell>
        </row>
        <row r="19408">
          <cell r="D19408" t="str">
            <v>CB5811400-001-001</v>
          </cell>
          <cell r="E19408" t="str">
            <v>支架</v>
          </cell>
        </row>
        <row r="19409">
          <cell r="D19409" t="str">
            <v>CB5811400-001-001</v>
          </cell>
          <cell r="E19409" t="str">
            <v>支架</v>
          </cell>
        </row>
        <row r="19410">
          <cell r="D19410" t="str">
            <v>CB5811400-001-001</v>
          </cell>
          <cell r="E19410" t="str">
            <v>支架</v>
          </cell>
        </row>
        <row r="19411">
          <cell r="D19411" t="str">
            <v>CB5811400-001-001</v>
          </cell>
          <cell r="E19411" t="str">
            <v>支架</v>
          </cell>
        </row>
        <row r="19412">
          <cell r="D19412" t="str">
            <v>CB5811400-001-001</v>
          </cell>
          <cell r="E19412" t="str">
            <v>支架</v>
          </cell>
        </row>
        <row r="19413">
          <cell r="D19413" t="str">
            <v>CB5811400-001-001</v>
          </cell>
          <cell r="E19413" t="str">
            <v>支架</v>
          </cell>
        </row>
        <row r="19414">
          <cell r="D19414" t="str">
            <v>CB5811400-001-001</v>
          </cell>
          <cell r="E19414" t="str">
            <v>支架</v>
          </cell>
        </row>
        <row r="19415">
          <cell r="D19415" t="str">
            <v>CB5811400-001-001</v>
          </cell>
          <cell r="E19415" t="str">
            <v>支架</v>
          </cell>
        </row>
        <row r="19416">
          <cell r="D19416" t="str">
            <v>CB5811400-001-001</v>
          </cell>
          <cell r="E19416" t="str">
            <v>支架</v>
          </cell>
        </row>
        <row r="19417">
          <cell r="D19417" t="str">
            <v>CB5811400-001-001</v>
          </cell>
          <cell r="E19417" t="str">
            <v>支架</v>
          </cell>
        </row>
        <row r="19418">
          <cell r="D19418" t="str">
            <v>CB5811400-001-001</v>
          </cell>
          <cell r="E19418" t="str">
            <v>支架</v>
          </cell>
        </row>
        <row r="19419">
          <cell r="D19419" t="str">
            <v>CB5811400-001-001</v>
          </cell>
          <cell r="E19419" t="str">
            <v>支架</v>
          </cell>
        </row>
        <row r="19420">
          <cell r="D19420" t="str">
            <v>CB5811400-001-001</v>
          </cell>
          <cell r="E19420" t="str">
            <v>支架</v>
          </cell>
        </row>
        <row r="19421">
          <cell r="D19421" t="str">
            <v>CB5811400-001-001</v>
          </cell>
          <cell r="E19421" t="str">
            <v>支架</v>
          </cell>
        </row>
        <row r="19422">
          <cell r="D19422" t="str">
            <v>CB5811400-001-001</v>
          </cell>
          <cell r="E19422" t="str">
            <v>支架</v>
          </cell>
        </row>
        <row r="19423">
          <cell r="D19423" t="str">
            <v>CB5811400-001-001</v>
          </cell>
          <cell r="E19423" t="str">
            <v>支架</v>
          </cell>
        </row>
        <row r="19424">
          <cell r="D19424" t="str">
            <v>CB5811400-001-001</v>
          </cell>
          <cell r="E19424" t="str">
            <v>支架</v>
          </cell>
        </row>
        <row r="19425">
          <cell r="D19425" t="str">
            <v>CB5811400-001-001</v>
          </cell>
          <cell r="E19425" t="str">
            <v>支架</v>
          </cell>
        </row>
        <row r="19426">
          <cell r="D19426" t="str">
            <v>CB5811400-002-001</v>
          </cell>
          <cell r="E19426" t="str">
            <v>支架</v>
          </cell>
        </row>
        <row r="19427">
          <cell r="D19427" t="str">
            <v>CB5811400-002-001</v>
          </cell>
          <cell r="E19427" t="str">
            <v>支架</v>
          </cell>
        </row>
        <row r="19428">
          <cell r="D19428" t="str">
            <v>CB5811400-002-001</v>
          </cell>
          <cell r="E19428" t="str">
            <v>支架</v>
          </cell>
        </row>
        <row r="19429">
          <cell r="D19429" t="str">
            <v>CB5811400-002-001</v>
          </cell>
          <cell r="E19429" t="str">
            <v>支架</v>
          </cell>
        </row>
        <row r="19430">
          <cell r="D19430" t="str">
            <v>CB5811400-002-001</v>
          </cell>
          <cell r="E19430" t="str">
            <v>支架</v>
          </cell>
        </row>
        <row r="19431">
          <cell r="D19431" t="str">
            <v>CB5811400-002-001</v>
          </cell>
          <cell r="E19431" t="str">
            <v>支架</v>
          </cell>
        </row>
        <row r="19432">
          <cell r="D19432" t="str">
            <v>CB5811400-002-001</v>
          </cell>
          <cell r="E19432" t="str">
            <v>支架</v>
          </cell>
        </row>
        <row r="19433">
          <cell r="D19433" t="str">
            <v>CB5811400-002-001</v>
          </cell>
          <cell r="E19433" t="str">
            <v>支架</v>
          </cell>
        </row>
        <row r="19434">
          <cell r="D19434" t="str">
            <v>CB5811400-002-001</v>
          </cell>
          <cell r="E19434" t="str">
            <v>支架</v>
          </cell>
        </row>
        <row r="19435">
          <cell r="D19435" t="str">
            <v>CB5811400-002-001</v>
          </cell>
          <cell r="E19435" t="str">
            <v>支架</v>
          </cell>
        </row>
        <row r="19436">
          <cell r="D19436" t="str">
            <v>CB5811400-002-001</v>
          </cell>
          <cell r="E19436" t="str">
            <v>支架</v>
          </cell>
        </row>
        <row r="19437">
          <cell r="D19437" t="str">
            <v>CB5811400-002-001</v>
          </cell>
          <cell r="E19437" t="str">
            <v>支架</v>
          </cell>
        </row>
        <row r="19438">
          <cell r="D19438" t="str">
            <v>CB5811400-002-001</v>
          </cell>
          <cell r="E19438" t="str">
            <v>支架</v>
          </cell>
        </row>
        <row r="19439">
          <cell r="D19439" t="str">
            <v>CB5811400-002-001</v>
          </cell>
          <cell r="E19439" t="str">
            <v>支架</v>
          </cell>
        </row>
        <row r="19440">
          <cell r="D19440" t="str">
            <v>CB5811400-002-001</v>
          </cell>
          <cell r="E19440" t="str">
            <v>支架</v>
          </cell>
        </row>
        <row r="19441">
          <cell r="D19441" t="str">
            <v>CB5811400-002-001</v>
          </cell>
          <cell r="E19441" t="str">
            <v>支架</v>
          </cell>
        </row>
        <row r="19442">
          <cell r="D19442" t="str">
            <v>CB5811400-002-001</v>
          </cell>
          <cell r="E19442" t="str">
            <v>支架</v>
          </cell>
        </row>
        <row r="19443">
          <cell r="D19443" t="str">
            <v>CB5811400-002-001</v>
          </cell>
          <cell r="E19443" t="str">
            <v>支架</v>
          </cell>
        </row>
        <row r="19444">
          <cell r="D19444" t="str">
            <v>CB5811400-002-001</v>
          </cell>
          <cell r="E19444" t="str">
            <v>支架</v>
          </cell>
        </row>
        <row r="19445">
          <cell r="D19445" t="str">
            <v>CB5811400-002-001</v>
          </cell>
          <cell r="E19445" t="str">
            <v>支架</v>
          </cell>
        </row>
        <row r="19446">
          <cell r="D19446" t="str">
            <v>CB5811400-002-001</v>
          </cell>
          <cell r="E19446" t="str">
            <v>支架</v>
          </cell>
        </row>
        <row r="19447">
          <cell r="D19447" t="str">
            <v>CB5811400-002-001</v>
          </cell>
          <cell r="E19447" t="str">
            <v>支架</v>
          </cell>
        </row>
        <row r="19448">
          <cell r="D19448" t="str">
            <v>CB5811400-002-001</v>
          </cell>
          <cell r="E19448" t="str">
            <v>支架</v>
          </cell>
        </row>
        <row r="19449">
          <cell r="D19449" t="str">
            <v>CB5811400-002-001</v>
          </cell>
          <cell r="E19449" t="str">
            <v>支架</v>
          </cell>
        </row>
        <row r="19450">
          <cell r="D19450" t="str">
            <v>DD-J10B-21402-90G2-1G2-Z</v>
          </cell>
          <cell r="E19450" t="str">
            <v>固定前缘端肋（左件）</v>
          </cell>
        </row>
        <row r="19451">
          <cell r="D19451" t="str">
            <v>DD-J10B-21402-90G2-1G2-Z</v>
          </cell>
          <cell r="E19451" t="str">
            <v>固定前缘端肋（左件）</v>
          </cell>
        </row>
        <row r="19452">
          <cell r="D19452" t="str">
            <v>DD-J10B-21402-90G2-1G2-Z</v>
          </cell>
          <cell r="E19452" t="str">
            <v>固定前缘端肋（左件）</v>
          </cell>
        </row>
        <row r="19453">
          <cell r="D19453" t="str">
            <v>DD-J10B-21402-90G2-1G2-Y</v>
          </cell>
          <cell r="E19453" t="str">
            <v>固定前缘端肋（右件）</v>
          </cell>
        </row>
        <row r="19454">
          <cell r="D19454" t="str">
            <v>DD-J10B-21402-90G2-1G2-Y</v>
          </cell>
          <cell r="E19454" t="str">
            <v>固定前缘端肋（右件）</v>
          </cell>
        </row>
        <row r="19455">
          <cell r="D19455" t="str">
            <v>DD-J10B-21402-90G2-1G2-Y</v>
          </cell>
          <cell r="E19455" t="str">
            <v>固定前缘端肋（右件）</v>
          </cell>
        </row>
        <row r="19456">
          <cell r="D19456" t="str">
            <v>BC221T1BB-001-001</v>
          </cell>
          <cell r="E19456" t="str">
            <v>法兰</v>
          </cell>
        </row>
        <row r="19457">
          <cell r="D19457" t="str">
            <v>Y20-5317018032-001</v>
          </cell>
          <cell r="E19457" t="str">
            <v>立柱接头</v>
          </cell>
        </row>
        <row r="19458">
          <cell r="D19458" t="str">
            <v>Y20-5211023003-001</v>
          </cell>
          <cell r="E19458" t="str">
            <v>螺栓</v>
          </cell>
        </row>
        <row r="19459">
          <cell r="D19459" t="str">
            <v>DD-J10B-61201-712</v>
          </cell>
          <cell r="E19459" t="str">
            <v>弯接头</v>
          </cell>
        </row>
        <row r="19460">
          <cell r="D19460" t="str">
            <v>XXX-0000-01</v>
          </cell>
          <cell r="E19460" t="str">
            <v>壳体</v>
          </cell>
        </row>
        <row r="19461">
          <cell r="D19461" t="str">
            <v>XXX-0000-02</v>
          </cell>
          <cell r="E19461" t="str">
            <v>盖板</v>
          </cell>
        </row>
        <row r="19462">
          <cell r="D19462" t="str">
            <v>XXX-0000-03</v>
          </cell>
          <cell r="E19462" t="str">
            <v>XXX插座过度板</v>
          </cell>
        </row>
        <row r="19463">
          <cell r="D19463" t="str">
            <v>XXX-1000-01</v>
          </cell>
          <cell r="E19463" t="str">
            <v>壳体</v>
          </cell>
        </row>
        <row r="19464">
          <cell r="D19464" t="str">
            <v>XXX-210-01</v>
          </cell>
          <cell r="E19464" t="str">
            <v>XXX插头盖板</v>
          </cell>
        </row>
        <row r="19465">
          <cell r="D19465" t="str">
            <v>XXX-210-02</v>
          </cell>
          <cell r="E19465" t="str">
            <v>XXX插头绝缘子</v>
          </cell>
        </row>
        <row r="19466">
          <cell r="D19466" t="str">
            <v>XXX-210-04</v>
          </cell>
          <cell r="E19466" t="str">
            <v>XXX接地焊接座一</v>
          </cell>
        </row>
        <row r="19467">
          <cell r="D19467" t="str">
            <v>XXX-210-05</v>
          </cell>
          <cell r="E19467" t="str">
            <v>XXX插头壳体</v>
          </cell>
        </row>
        <row r="19468">
          <cell r="D19468" t="str">
            <v>XXX-210-06</v>
          </cell>
          <cell r="E19468" t="str">
            <v>XXX接地焊接座二</v>
          </cell>
        </row>
        <row r="19469">
          <cell r="D19469" t="str">
            <v>XXX-310-01</v>
          </cell>
          <cell r="E19469" t="str">
            <v>XXX插头盖板</v>
          </cell>
        </row>
        <row r="19470">
          <cell r="D19470" t="str">
            <v>XXX-310-03</v>
          </cell>
          <cell r="E19470" t="str">
            <v>XXX插头绝缘子</v>
          </cell>
        </row>
        <row r="19471">
          <cell r="D19471" t="str">
            <v>XXX-310-04</v>
          </cell>
          <cell r="E19471" t="str">
            <v>XXX插头壳体</v>
          </cell>
        </row>
        <row r="19472">
          <cell r="D19472" t="str">
            <v>XXX-310-06</v>
          </cell>
          <cell r="E19472" t="str">
            <v>XXX接地焊接座</v>
          </cell>
        </row>
        <row r="19473">
          <cell r="D19473" t="str">
            <v>XXX-0000-13</v>
          </cell>
          <cell r="E19473" t="str">
            <v>压环工装1</v>
          </cell>
        </row>
        <row r="19474">
          <cell r="D19474" t="str">
            <v>XXX-0000-14</v>
          </cell>
          <cell r="E19474" t="str">
            <v>XXX模具下板</v>
          </cell>
        </row>
        <row r="19475">
          <cell r="D19475" t="str">
            <v>XXX-0000-15</v>
          </cell>
          <cell r="E19475" t="str">
            <v>XXX模具上盖</v>
          </cell>
        </row>
        <row r="19476">
          <cell r="D19476" t="str">
            <v>XXX-0000-16</v>
          </cell>
          <cell r="E19476" t="str">
            <v>XXX内壳体3</v>
          </cell>
        </row>
        <row r="19477">
          <cell r="D19477" t="str">
            <v>XXX-2000-02</v>
          </cell>
          <cell r="E19477" t="str">
            <v>XXX内壳体1</v>
          </cell>
        </row>
        <row r="19478">
          <cell r="D19478" t="str">
            <v>XXX-2000-03</v>
          </cell>
          <cell r="E19478" t="str">
            <v>XXX内壳体2</v>
          </cell>
        </row>
        <row r="19479">
          <cell r="D19479" t="str">
            <v>DD-J10B-24002-60G2-1G2-Y</v>
          </cell>
          <cell r="E19479" t="str">
            <v>付翼前梁</v>
          </cell>
        </row>
        <row r="19480">
          <cell r="D19480" t="str">
            <v>DD-J10B-24002-60G2-1G2-Y</v>
          </cell>
          <cell r="E19480" t="str">
            <v>付翼前梁</v>
          </cell>
        </row>
        <row r="19481">
          <cell r="D19481" t="str">
            <v>DD-J10B-26002-1G2-Y</v>
          </cell>
          <cell r="E19481" t="str">
            <v>梁（右件）</v>
          </cell>
        </row>
        <row r="19482">
          <cell r="D19482" t="str">
            <v>DD-J10B-26002-1G2-Y</v>
          </cell>
          <cell r="E19482" t="str">
            <v>梁（右件）</v>
          </cell>
        </row>
        <row r="19483">
          <cell r="D19483" t="str">
            <v>DD-J10B-26002-1G2-Y</v>
          </cell>
          <cell r="E19483" t="str">
            <v>梁（右件）</v>
          </cell>
        </row>
        <row r="19484">
          <cell r="D19484" t="str">
            <v>DD-J10B-26002-1G2-Y</v>
          </cell>
          <cell r="E19484" t="str">
            <v>梁（右件）</v>
          </cell>
        </row>
        <row r="19485">
          <cell r="D19485" t="str">
            <v>DD-J10B-26002-1G2-Y</v>
          </cell>
          <cell r="E19485" t="str">
            <v>梁（右件）</v>
          </cell>
        </row>
        <row r="19486">
          <cell r="D19486" t="str">
            <v>DD-J10B-26002-1G2-Y</v>
          </cell>
          <cell r="E19486" t="str">
            <v>梁（右件）</v>
          </cell>
        </row>
        <row r="19487">
          <cell r="D19487" t="str">
            <v>DD-J10B-26002-1G2-Z</v>
          </cell>
          <cell r="E19487" t="str">
            <v>梁（左件）</v>
          </cell>
        </row>
        <row r="19488">
          <cell r="D19488" t="str">
            <v>DD-J10B-26002-1G2-Z</v>
          </cell>
          <cell r="E19488" t="str">
            <v>梁（左件）</v>
          </cell>
        </row>
        <row r="19489">
          <cell r="D19489" t="str">
            <v>DD-J10B-26002-1G2-Z</v>
          </cell>
          <cell r="E19489" t="str">
            <v>梁（左件）</v>
          </cell>
        </row>
        <row r="19490">
          <cell r="D19490" t="str">
            <v>DD-J10B-26002-1G2-Z</v>
          </cell>
          <cell r="E19490" t="str">
            <v>梁（左件）</v>
          </cell>
        </row>
        <row r="19491">
          <cell r="D19491" t="str">
            <v>DD-J10B-26002-1G2-Z</v>
          </cell>
          <cell r="E19491" t="str">
            <v>梁（左件）</v>
          </cell>
        </row>
        <row r="19492">
          <cell r="D19492" t="str">
            <v>DD-J10B-26002-1G2-Z</v>
          </cell>
          <cell r="E19492" t="str">
            <v>梁（左件）</v>
          </cell>
        </row>
        <row r="19493">
          <cell r="D19493" t="str">
            <v>BC5812000-004-001</v>
          </cell>
          <cell r="E19493" t="str">
            <v>螺栓</v>
          </cell>
        </row>
        <row r="19494">
          <cell r="D19494" t="str">
            <v>2HB3-22-6*9*27</v>
          </cell>
          <cell r="E19494" t="str">
            <v>衬套</v>
          </cell>
        </row>
        <row r="19495">
          <cell r="D19495" t="str">
            <v>DD-J10B-04321-30-1-Z</v>
          </cell>
          <cell r="E19495" t="str">
            <v>侧下梁（左件）</v>
          </cell>
        </row>
        <row r="19496">
          <cell r="D19496" t="str">
            <v>DD-J10B-04321-30-1-Z</v>
          </cell>
          <cell r="E19496" t="str">
            <v>侧下梁（左件）</v>
          </cell>
        </row>
        <row r="19497">
          <cell r="D19497" t="str">
            <v>DD-J10B-04321-30-1-Z</v>
          </cell>
          <cell r="E19497" t="str">
            <v>侧下梁（左件）</v>
          </cell>
        </row>
        <row r="19498">
          <cell r="D19498" t="str">
            <v>DD-J10B-04321-30-1-Z</v>
          </cell>
          <cell r="E19498" t="str">
            <v>侧下梁（左件）</v>
          </cell>
        </row>
        <row r="19499">
          <cell r="D19499" t="str">
            <v>DD-J10B-04321-30-1-Z</v>
          </cell>
          <cell r="E19499" t="str">
            <v>侧下梁（左件）</v>
          </cell>
        </row>
        <row r="19500">
          <cell r="D19500" t="str">
            <v>DD-J10B-02121-1AG2-Y</v>
          </cell>
          <cell r="E19500" t="str">
            <v>BL280侧壁（右件）</v>
          </cell>
        </row>
        <row r="19501">
          <cell r="D19501" t="str">
            <v>DD-J10B-02121-1AG2-Y</v>
          </cell>
          <cell r="E19501" t="str">
            <v>BL280侧壁（右件）</v>
          </cell>
        </row>
        <row r="19502">
          <cell r="D19502" t="str">
            <v>DD-J10B-02121-1AG2-Y</v>
          </cell>
          <cell r="E19502" t="str">
            <v>BL280侧壁（右件）</v>
          </cell>
        </row>
        <row r="19503">
          <cell r="D19503" t="str">
            <v>DD-J10B-02121-1AG2-Z</v>
          </cell>
          <cell r="E19503" t="str">
            <v>BL280侧壁（左件）</v>
          </cell>
        </row>
        <row r="19504">
          <cell r="D19504" t="str">
            <v>DD-J10B-02121-1AG2-Z</v>
          </cell>
          <cell r="E19504" t="str">
            <v>BL280侧壁（左件）</v>
          </cell>
        </row>
        <row r="19505">
          <cell r="D19505" t="str">
            <v>DD-J10B-02121-1AG2-Z</v>
          </cell>
          <cell r="E19505" t="str">
            <v>BL280侧壁（左件）</v>
          </cell>
        </row>
        <row r="19506">
          <cell r="D19506" t="str">
            <v>Y20-5226300011-001</v>
          </cell>
          <cell r="E19506" t="str">
            <v>锁盒支撑角片</v>
          </cell>
        </row>
        <row r="19507">
          <cell r="D19507" t="str">
            <v>C232331112-002-001</v>
          </cell>
          <cell r="E19507" t="str">
            <v>塞子</v>
          </cell>
        </row>
        <row r="19508">
          <cell r="D19508" t="str">
            <v>C232310200-019-001</v>
          </cell>
          <cell r="E19508" t="str">
            <v>轴</v>
          </cell>
        </row>
        <row r="19509">
          <cell r="D19509" t="str">
            <v>DD-J10-06031-302</v>
          </cell>
          <cell r="E19509" t="str">
            <v>支座</v>
          </cell>
        </row>
        <row r="19510">
          <cell r="D19510" t="str">
            <v>BC5711410-001-002</v>
          </cell>
          <cell r="E19510" t="str">
            <v>螺栓</v>
          </cell>
        </row>
        <row r="19511">
          <cell r="D19511" t="str">
            <v>DD-J10-86021-5000-1</v>
          </cell>
          <cell r="E19511" t="str">
            <v>斜垫块</v>
          </cell>
        </row>
        <row r="19512">
          <cell r="D19512" t="str">
            <v>DD-J10-55014-2010-1</v>
          </cell>
          <cell r="E19512" t="str">
            <v>管子</v>
          </cell>
        </row>
        <row r="19513">
          <cell r="D19513" t="str">
            <v>DD-J10-41123-1112</v>
          </cell>
          <cell r="E19513" t="str">
            <v>拨棍</v>
          </cell>
        </row>
        <row r="19514">
          <cell r="D19514" t="str">
            <v>DD-J10-55014-1400-2</v>
          </cell>
          <cell r="E19514" t="str">
            <v>堵片</v>
          </cell>
        </row>
        <row r="19515">
          <cell r="D19515" t="str">
            <v>DD-J10B-94076-1391</v>
          </cell>
          <cell r="E19515" t="str">
            <v>法兰盘</v>
          </cell>
        </row>
        <row r="19516">
          <cell r="D19516" t="str">
            <v>DD-J10-94021-730-3</v>
          </cell>
          <cell r="E19516" t="str">
            <v>环</v>
          </cell>
        </row>
        <row r="19517">
          <cell r="D19517" t="str">
            <v>DD-J10B-94076-2051</v>
          </cell>
          <cell r="E19517" t="str">
            <v>外套螺母</v>
          </cell>
        </row>
        <row r="19518">
          <cell r="D19518" t="str">
            <v>DD-J10-41153-120-2</v>
          </cell>
          <cell r="E19518" t="str">
            <v>挡销</v>
          </cell>
        </row>
        <row r="19519">
          <cell r="D19519" t="str">
            <v>DD-J10-41153-130-2</v>
          </cell>
          <cell r="E19519" t="str">
            <v>管子</v>
          </cell>
        </row>
        <row r="19520">
          <cell r="D19520" t="str">
            <v>DD-J10-41123-1112</v>
          </cell>
          <cell r="E19520" t="str">
            <v>拨棍</v>
          </cell>
        </row>
        <row r="19521">
          <cell r="D19521" t="str">
            <v>DD-J10-41153-120-2</v>
          </cell>
          <cell r="E19521" t="str">
            <v>挡销</v>
          </cell>
        </row>
        <row r="19522">
          <cell r="D19522" t="str">
            <v>DD-J10-41035-120-2</v>
          </cell>
          <cell r="E19522" t="str">
            <v>管子</v>
          </cell>
        </row>
        <row r="19523">
          <cell r="D19523" t="str">
            <v>DD-J10-41143-110-1</v>
          </cell>
          <cell r="E19523" t="str">
            <v>管子</v>
          </cell>
        </row>
        <row r="19524">
          <cell r="D19524" t="str">
            <v>DD-J10B-41163-30-1</v>
          </cell>
          <cell r="E19524" t="str">
            <v>管子</v>
          </cell>
        </row>
        <row r="19525">
          <cell r="D19525" t="str">
            <v>XXX-3421000-03</v>
          </cell>
          <cell r="E19525" t="str">
            <v>正负极接线片</v>
          </cell>
        </row>
        <row r="19526">
          <cell r="D19526" t="str">
            <v>XXX-3421000-04</v>
          </cell>
          <cell r="E19526" t="str">
            <v>XXX头接线片1</v>
          </cell>
        </row>
        <row r="19527">
          <cell r="D19527" t="str">
            <v>XXX-3421000-05</v>
          </cell>
          <cell r="E19527" t="str">
            <v>XXX头接线片2</v>
          </cell>
        </row>
        <row r="19528">
          <cell r="D19528" t="str">
            <v>XXX-3421100-01</v>
          </cell>
          <cell r="E19528" t="str">
            <v>盖板</v>
          </cell>
        </row>
        <row r="19529">
          <cell r="D19529" t="str">
            <v>XXX-3423000-01</v>
          </cell>
          <cell r="E19529" t="str">
            <v>正极集电片</v>
          </cell>
        </row>
        <row r="19530">
          <cell r="D19530" t="str">
            <v>XXX-3423000-02</v>
          </cell>
          <cell r="E19530" t="str">
            <v>负极集电片</v>
          </cell>
        </row>
        <row r="19531">
          <cell r="D19531" t="str">
            <v>T/12-JZ01</v>
          </cell>
          <cell r="E19531" t="str">
            <v>接线柱</v>
          </cell>
        </row>
        <row r="19532">
          <cell r="D19532" t="str">
            <v>XXX-210-01</v>
          </cell>
          <cell r="E19532" t="str">
            <v>XXX源插头盖板</v>
          </cell>
        </row>
        <row r="19533">
          <cell r="D19533" t="str">
            <v>XXX-210-02</v>
          </cell>
          <cell r="E19533" t="str">
            <v>XXX源插头绝缘子</v>
          </cell>
        </row>
        <row r="19534">
          <cell r="D19534" t="str">
            <v>XXX-210-04</v>
          </cell>
          <cell r="E19534" t="str">
            <v>XXX源接地焊接座一</v>
          </cell>
        </row>
        <row r="19535">
          <cell r="D19535" t="str">
            <v>XXX-210-05</v>
          </cell>
          <cell r="E19535" t="str">
            <v>XXX源插头壳体</v>
          </cell>
        </row>
        <row r="19536">
          <cell r="D19536" t="str">
            <v>XXX-210-06</v>
          </cell>
          <cell r="E19536" t="str">
            <v>XXX源接地焊接座二</v>
          </cell>
        </row>
        <row r="19537">
          <cell r="D19537" t="str">
            <v>XXX-310-01</v>
          </cell>
          <cell r="E19537" t="str">
            <v>XXX插头盖板</v>
          </cell>
        </row>
        <row r="19538">
          <cell r="D19538" t="str">
            <v>XXX-310-03</v>
          </cell>
          <cell r="E19538" t="str">
            <v>XXX插头绝缘子</v>
          </cell>
        </row>
        <row r="19539">
          <cell r="D19539" t="str">
            <v>XXX-310-04</v>
          </cell>
          <cell r="E19539" t="str">
            <v>XXX插头壳体</v>
          </cell>
        </row>
        <row r="19540">
          <cell r="D19540" t="str">
            <v>XXX-310-06</v>
          </cell>
          <cell r="E19540" t="str">
            <v>XXX接地焊接座</v>
          </cell>
        </row>
        <row r="19541">
          <cell r="D19541" t="str">
            <v>DD-J10-21102-31-Y</v>
          </cell>
          <cell r="E19541" t="str">
            <v>10060上接头</v>
          </cell>
        </row>
        <row r="19542">
          <cell r="D19542" t="str">
            <v>DD-J10-21102-31-Y</v>
          </cell>
          <cell r="E19542" t="str">
            <v>10060上接头</v>
          </cell>
        </row>
        <row r="19543">
          <cell r="D19543" t="str">
            <v>DD-J10-21102-31-Y</v>
          </cell>
          <cell r="E19543" t="str">
            <v>10060上接头</v>
          </cell>
        </row>
        <row r="19544">
          <cell r="D19544" t="str">
            <v>DD-J10B-04321-30-1-Y</v>
          </cell>
          <cell r="E19544" t="str">
            <v>侧下梁（右件）</v>
          </cell>
        </row>
        <row r="19545">
          <cell r="D19545" t="str">
            <v>DD-J10B-04321-30-1-Y</v>
          </cell>
          <cell r="E19545" t="str">
            <v>侧下梁（右件）</v>
          </cell>
        </row>
        <row r="19546">
          <cell r="D19546" t="str">
            <v>DD-J10B-04321-30-1-Y</v>
          </cell>
          <cell r="E19546" t="str">
            <v>侧下梁（右件）</v>
          </cell>
        </row>
        <row r="19547">
          <cell r="D19547" t="str">
            <v>DD-J10B-04321-30-1-Y</v>
          </cell>
          <cell r="E19547" t="str">
            <v>侧下梁（右件）</v>
          </cell>
        </row>
        <row r="19548">
          <cell r="D19548" t="str">
            <v>DD-J10B-04321-30-1-Y</v>
          </cell>
          <cell r="E19548" t="str">
            <v>侧下梁（右件）</v>
          </cell>
        </row>
        <row r="19549">
          <cell r="D19549" t="str">
            <v>DD-J10-41153-140</v>
          </cell>
          <cell r="E19549" t="str">
            <v>开锁摇臂</v>
          </cell>
        </row>
        <row r="19550">
          <cell r="D19550" t="str">
            <v>DD-J10-41153-140</v>
          </cell>
          <cell r="E19550" t="str">
            <v>开锁摇臂</v>
          </cell>
        </row>
        <row r="19551">
          <cell r="D19551" t="str">
            <v>DD-J10B-04321-30-1-Z</v>
          </cell>
          <cell r="E19551" t="str">
            <v>侧下梁（左件）</v>
          </cell>
        </row>
        <row r="19552">
          <cell r="D19552" t="str">
            <v>DD-J10B-04321-30-1-Z</v>
          </cell>
          <cell r="E19552" t="str">
            <v>侧下梁（左件）</v>
          </cell>
        </row>
        <row r="19553">
          <cell r="D19553" t="str">
            <v>DD-J10B-04321-30-1-Z</v>
          </cell>
          <cell r="E19553" t="str">
            <v>侧下梁（左件）</v>
          </cell>
        </row>
        <row r="19554">
          <cell r="D19554" t="str">
            <v>DD-J10B-04321-30-1-Z</v>
          </cell>
          <cell r="E19554" t="str">
            <v>侧下梁（左件）</v>
          </cell>
        </row>
        <row r="19555">
          <cell r="D19555" t="str">
            <v>DD-J10B-04321-30-1-Z</v>
          </cell>
          <cell r="E19555" t="str">
            <v>侧下梁（左件）</v>
          </cell>
        </row>
        <row r="19556">
          <cell r="D19556" t="str">
            <v>C307003000-001-001</v>
          </cell>
          <cell r="E19556" t="str">
            <v>划窝垫</v>
          </cell>
        </row>
        <row r="19557">
          <cell r="D19557" t="str">
            <v>C232420500-002-001</v>
          </cell>
          <cell r="E19557" t="str">
            <v>拉杆</v>
          </cell>
        </row>
        <row r="19558">
          <cell r="D19558" t="str">
            <v>C232420921-003-001</v>
          </cell>
          <cell r="E19558" t="str">
            <v>衬套</v>
          </cell>
        </row>
        <row r="19559">
          <cell r="D19559" t="str">
            <v>KQ8.44.010A</v>
          </cell>
          <cell r="E19559" t="str">
            <v>导向器</v>
          </cell>
        </row>
        <row r="19560">
          <cell r="D19560" t="str">
            <v>KQ8.00.001A</v>
          </cell>
          <cell r="E19560" t="str">
            <v>进气壳体</v>
          </cell>
        </row>
        <row r="19561">
          <cell r="D19561" t="str">
            <v>KQ8.00.802A</v>
          </cell>
          <cell r="E19561" t="str">
            <v>进气壳体组件</v>
          </cell>
        </row>
        <row r="19562">
          <cell r="D19562" t="str">
            <v>5211C60085G70</v>
          </cell>
          <cell r="E19562" t="str">
            <v>卡盘</v>
          </cell>
        </row>
        <row r="19563">
          <cell r="D19563" t="str">
            <v>5211C60086G70</v>
          </cell>
          <cell r="E19563" t="str">
            <v>卡盘</v>
          </cell>
        </row>
        <row r="19564">
          <cell r="D19564" t="str">
            <v>5613A380025G010</v>
          </cell>
          <cell r="E19564" t="str">
            <v>圆柱销</v>
          </cell>
        </row>
        <row r="19565">
          <cell r="D19565" t="str">
            <v>5613A380024G010</v>
          </cell>
          <cell r="E19565" t="str">
            <v>圆柱销</v>
          </cell>
        </row>
        <row r="19566">
          <cell r="D19566" t="str">
            <v>CB22877J9-003-001</v>
          </cell>
          <cell r="E19566" t="str">
            <v>变径三通接头</v>
          </cell>
        </row>
        <row r="19567">
          <cell r="D19567" t="str">
            <v>CB5512300-006L003</v>
          </cell>
          <cell r="E19567" t="str">
            <v>1#斜肋</v>
          </cell>
        </row>
        <row r="19568">
          <cell r="D19568" t="str">
            <v>CB5512300-006L003</v>
          </cell>
          <cell r="E19568" t="str">
            <v>1#斜肋</v>
          </cell>
        </row>
        <row r="19569">
          <cell r="D19569" t="str">
            <v>CB5512300-006L003</v>
          </cell>
          <cell r="E19569" t="str">
            <v>1#斜肋</v>
          </cell>
        </row>
        <row r="19570">
          <cell r="D19570" t="str">
            <v>CB5512300-006L003</v>
          </cell>
          <cell r="E19570" t="str">
            <v>1#斜肋</v>
          </cell>
        </row>
        <row r="19571">
          <cell r="D19571" t="str">
            <v>CB5512300-006L003</v>
          </cell>
          <cell r="E19571" t="str">
            <v>1#斜肋</v>
          </cell>
        </row>
        <row r="19572">
          <cell r="D19572" t="str">
            <v>CB5512300-006L003</v>
          </cell>
          <cell r="E19572" t="str">
            <v>1#斜肋</v>
          </cell>
        </row>
        <row r="19573">
          <cell r="D19573" t="str">
            <v>CB5512300-006L003</v>
          </cell>
          <cell r="E19573" t="str">
            <v>1#斜肋</v>
          </cell>
        </row>
        <row r="19574">
          <cell r="D19574" t="str">
            <v>CB5512300-006L003</v>
          </cell>
          <cell r="E19574" t="str">
            <v>1#斜肋</v>
          </cell>
        </row>
        <row r="19575">
          <cell r="D19575" t="str">
            <v>CB5512300-006L003</v>
          </cell>
          <cell r="E19575" t="str">
            <v>1#斜肋</v>
          </cell>
        </row>
        <row r="19576">
          <cell r="D19576" t="str">
            <v>CB5512300-006R003</v>
          </cell>
          <cell r="E19576" t="str">
            <v>1#斜肋</v>
          </cell>
        </row>
        <row r="19577">
          <cell r="D19577" t="str">
            <v>CB5512300-006R003</v>
          </cell>
          <cell r="E19577" t="str">
            <v>1#斜肋</v>
          </cell>
        </row>
        <row r="19578">
          <cell r="D19578" t="str">
            <v>CB5512300-006R003</v>
          </cell>
          <cell r="E19578" t="str">
            <v>1#斜肋</v>
          </cell>
        </row>
        <row r="19579">
          <cell r="D19579" t="str">
            <v>CB5512300-006R003</v>
          </cell>
          <cell r="E19579" t="str">
            <v>1#斜肋</v>
          </cell>
        </row>
        <row r="19580">
          <cell r="D19580" t="str">
            <v>CB5512300-006R003</v>
          </cell>
          <cell r="E19580" t="str">
            <v>1#斜肋</v>
          </cell>
        </row>
        <row r="19581">
          <cell r="D19581" t="str">
            <v>CB5512300-006R003</v>
          </cell>
          <cell r="E19581" t="str">
            <v>1#斜肋</v>
          </cell>
        </row>
        <row r="19582">
          <cell r="D19582" t="str">
            <v>CB5512300-006R003</v>
          </cell>
          <cell r="E19582" t="str">
            <v>1#斜肋</v>
          </cell>
        </row>
        <row r="19583">
          <cell r="D19583" t="str">
            <v>CB5512300-006R003</v>
          </cell>
          <cell r="E19583" t="str">
            <v>1#斜肋</v>
          </cell>
        </row>
        <row r="19584">
          <cell r="D19584" t="str">
            <v>CB5512300-006R003</v>
          </cell>
          <cell r="E19584" t="str">
            <v>1#斜肋</v>
          </cell>
        </row>
        <row r="19585">
          <cell r="D19585" t="str">
            <v>DD-J10B-04061-1</v>
          </cell>
          <cell r="E19585" t="str">
            <v>10860框</v>
          </cell>
        </row>
        <row r="19586">
          <cell r="D19586" t="str">
            <v>DD-J10B-04061-1</v>
          </cell>
          <cell r="E19586" t="str">
            <v>10860框</v>
          </cell>
        </row>
        <row r="19587">
          <cell r="D19587" t="str">
            <v>DD-J10B-04061-1</v>
          </cell>
          <cell r="E19587" t="str">
            <v>10860框</v>
          </cell>
        </row>
        <row r="19588">
          <cell r="D19588" t="str">
            <v>DD-J10B-04061-1</v>
          </cell>
          <cell r="E19588" t="str">
            <v>10860框</v>
          </cell>
        </row>
        <row r="19589">
          <cell r="D19589" t="str">
            <v>DD-J10B-04061-1</v>
          </cell>
          <cell r="E19589" t="str">
            <v>10860框</v>
          </cell>
        </row>
        <row r="19590">
          <cell r="D19590" t="str">
            <v>DD-J10B-04061-1</v>
          </cell>
          <cell r="E19590" t="str">
            <v>10860框</v>
          </cell>
        </row>
        <row r="19591">
          <cell r="D19591" t="str">
            <v>5211C60139G70</v>
          </cell>
          <cell r="E19591" t="str">
            <v>法兰盘</v>
          </cell>
        </row>
        <row r="19592">
          <cell r="D19592" t="str">
            <v>5211C60112G70</v>
          </cell>
          <cell r="E19592" t="str">
            <v>法兰盘</v>
          </cell>
        </row>
        <row r="19593">
          <cell r="D19593" t="str">
            <v>5211C60013G70</v>
          </cell>
          <cell r="E19593" t="str">
            <v>法兰盘</v>
          </cell>
        </row>
        <row r="19594">
          <cell r="D19594" t="str">
            <v>5211C60118G70</v>
          </cell>
          <cell r="E19594" t="str">
            <v>法兰盘</v>
          </cell>
        </row>
        <row r="19595">
          <cell r="D19595" t="str">
            <v>5211C60117G70</v>
          </cell>
          <cell r="E19595" t="str">
            <v>法兰盘</v>
          </cell>
        </row>
        <row r="19596">
          <cell r="D19596" t="str">
            <v>5211C60130G70</v>
          </cell>
          <cell r="E19596" t="str">
            <v>法兰盘</v>
          </cell>
        </row>
        <row r="19597">
          <cell r="D19597" t="str">
            <v>5211C60129G70</v>
          </cell>
          <cell r="E19597" t="str">
            <v>法兰盘</v>
          </cell>
        </row>
        <row r="19598">
          <cell r="D19598" t="str">
            <v>5211C60111G70</v>
          </cell>
          <cell r="E19598" t="str">
            <v>法兰盘</v>
          </cell>
        </row>
        <row r="19599">
          <cell r="D19599" t="str">
            <v>C532223530-001L001</v>
          </cell>
          <cell r="E19599" t="str">
            <v>格栅</v>
          </cell>
        </row>
        <row r="19600">
          <cell r="D19600" t="str">
            <v>C532223530-001R001</v>
          </cell>
          <cell r="E19600" t="str">
            <v>格栅</v>
          </cell>
        </row>
        <row r="19601">
          <cell r="D19601" t="str">
            <v>CB5325162-091L001</v>
          </cell>
          <cell r="E19601" t="str">
            <v>小圆孔口盖</v>
          </cell>
        </row>
        <row r="19602">
          <cell r="D19602" t="str">
            <v>CB5325162-091R001</v>
          </cell>
          <cell r="E19602" t="str">
            <v>小圆孔口盖</v>
          </cell>
        </row>
        <row r="19603">
          <cell r="D19603" t="str">
            <v>CB5324500-017R001</v>
          </cell>
          <cell r="E19603" t="str">
            <v>化铣蒙皮</v>
          </cell>
        </row>
        <row r="19604">
          <cell r="D19604" t="str">
            <v>CB5324312-001L002</v>
          </cell>
          <cell r="E19604" t="str">
            <v>口盖蒙皮</v>
          </cell>
        </row>
        <row r="19605">
          <cell r="D19605" t="str">
            <v>CB5324412-001L002</v>
          </cell>
          <cell r="E19605" t="str">
            <v>口盖蒙皮</v>
          </cell>
        </row>
        <row r="19606">
          <cell r="D19606" t="str">
            <v>CB5716400-003R002</v>
          </cell>
          <cell r="E19606" t="str">
            <v>口盖</v>
          </cell>
        </row>
        <row r="19607">
          <cell r="D19607" t="str">
            <v>DD-J10-33003-4</v>
          </cell>
          <cell r="E19607" t="str">
            <v>梁</v>
          </cell>
        </row>
        <row r="19608">
          <cell r="D19608" t="str">
            <v>DD-J10-33003-4</v>
          </cell>
          <cell r="E19608" t="str">
            <v>梁</v>
          </cell>
        </row>
        <row r="19609">
          <cell r="D19609" t="str">
            <v>DD-J10-33003-4</v>
          </cell>
          <cell r="E19609" t="str">
            <v>梁</v>
          </cell>
        </row>
        <row r="19610">
          <cell r="D19610" t="str">
            <v>DD-J10-33003-4</v>
          </cell>
          <cell r="E19610" t="str">
            <v>梁</v>
          </cell>
        </row>
        <row r="19611">
          <cell r="D19611" t="str">
            <v>DD-J10-33003-4</v>
          </cell>
          <cell r="E19611" t="str">
            <v>梁</v>
          </cell>
        </row>
        <row r="19612">
          <cell r="D19612" t="str">
            <v>BC2297401-001-001</v>
          </cell>
          <cell r="E19612" t="str">
            <v>三通接头</v>
          </cell>
        </row>
        <row r="19613">
          <cell r="D19613" t="str">
            <v>5319C54052G70</v>
          </cell>
          <cell r="E19613" t="str">
            <v>接头</v>
          </cell>
        </row>
        <row r="19614">
          <cell r="D19614" t="str">
            <v>5319C54051G70</v>
          </cell>
          <cell r="E19614" t="str">
            <v>接头</v>
          </cell>
        </row>
        <row r="19615">
          <cell r="D19615" t="str">
            <v>5211C36009G70</v>
          </cell>
          <cell r="E19615" t="str">
            <v>垫片</v>
          </cell>
        </row>
        <row r="19616">
          <cell r="D19616" t="str">
            <v>5211C35009G70</v>
          </cell>
          <cell r="E19616" t="str">
            <v>垫片</v>
          </cell>
        </row>
        <row r="19617">
          <cell r="D19617" t="str">
            <v>5319C48029G70</v>
          </cell>
          <cell r="E19617" t="str">
            <v>支架</v>
          </cell>
        </row>
        <row r="19618">
          <cell r="D19618" t="str">
            <v>5211C51045G70</v>
          </cell>
          <cell r="E19618" t="str">
            <v>衬套</v>
          </cell>
        </row>
        <row r="19619">
          <cell r="D19619" t="str">
            <v>5211C54017G70</v>
          </cell>
          <cell r="E19619" t="str">
            <v>衬套</v>
          </cell>
        </row>
        <row r="19620">
          <cell r="D19620" t="str">
            <v>5211C55189G70</v>
          </cell>
          <cell r="E19620" t="str">
            <v>垫片</v>
          </cell>
        </row>
        <row r="19621">
          <cell r="D19621" t="str">
            <v>5319C54054G70</v>
          </cell>
          <cell r="E19621" t="str">
            <v>接头</v>
          </cell>
        </row>
        <row r="19622">
          <cell r="D19622" t="str">
            <v>CB5512300-004L002</v>
          </cell>
          <cell r="E19622" t="str">
            <v>根肋前段</v>
          </cell>
        </row>
        <row r="19623">
          <cell r="D19623" t="str">
            <v>CB5512300-004L002</v>
          </cell>
          <cell r="E19623" t="str">
            <v>根肋前段</v>
          </cell>
        </row>
        <row r="19624">
          <cell r="D19624" t="str">
            <v>CB5512300-004L002</v>
          </cell>
          <cell r="E19624" t="str">
            <v>根肋前段</v>
          </cell>
        </row>
        <row r="19625">
          <cell r="D19625" t="str">
            <v>CB5512300-004L002</v>
          </cell>
          <cell r="E19625" t="str">
            <v>根肋前段</v>
          </cell>
        </row>
        <row r="19626">
          <cell r="D19626" t="str">
            <v>CB5512300-004L002</v>
          </cell>
          <cell r="E19626" t="str">
            <v>根肋前段</v>
          </cell>
        </row>
        <row r="19627">
          <cell r="D19627" t="str">
            <v>CB5512300-004R002</v>
          </cell>
          <cell r="E19627" t="str">
            <v>根肋前段</v>
          </cell>
        </row>
        <row r="19628">
          <cell r="D19628" t="str">
            <v>CB5512300-004R002</v>
          </cell>
          <cell r="E19628" t="str">
            <v>根肋前段</v>
          </cell>
        </row>
        <row r="19629">
          <cell r="D19629" t="str">
            <v>CB5512300-004R002</v>
          </cell>
          <cell r="E19629" t="str">
            <v>根肋前段</v>
          </cell>
        </row>
        <row r="19630">
          <cell r="D19630" t="str">
            <v>CB5512300-004R002</v>
          </cell>
          <cell r="E19630" t="str">
            <v>根肋前段</v>
          </cell>
        </row>
        <row r="19631">
          <cell r="D19631" t="str">
            <v>CB5512300-004R002</v>
          </cell>
          <cell r="E19631" t="str">
            <v>根肋前段</v>
          </cell>
        </row>
        <row r="19632">
          <cell r="D19632" t="str">
            <v>CB5512300-004R002</v>
          </cell>
          <cell r="E19632" t="str">
            <v>根肋前段</v>
          </cell>
        </row>
        <row r="19633">
          <cell r="D19633" t="str">
            <v>CB5512300-004R002</v>
          </cell>
          <cell r="E19633" t="str">
            <v>根肋前段</v>
          </cell>
        </row>
        <row r="19634">
          <cell r="D19634" t="str">
            <v>CB5512300-004R002</v>
          </cell>
          <cell r="E19634" t="str">
            <v>根肋前段</v>
          </cell>
        </row>
        <row r="19635">
          <cell r="D19635" t="str">
            <v>CB5512300-004R002</v>
          </cell>
          <cell r="E19635" t="str">
            <v>根肋前段</v>
          </cell>
        </row>
        <row r="19636">
          <cell r="D19636" t="str">
            <v>CB5512300-004R002</v>
          </cell>
          <cell r="E19636" t="str">
            <v>根肋前段</v>
          </cell>
        </row>
        <row r="19637">
          <cell r="D19637" t="str">
            <v>CB5512300-005L002</v>
          </cell>
          <cell r="E19637" t="str">
            <v>根肋后段</v>
          </cell>
        </row>
        <row r="19638">
          <cell r="D19638" t="str">
            <v>CB5512300-005L002</v>
          </cell>
          <cell r="E19638" t="str">
            <v>根肋后段</v>
          </cell>
        </row>
        <row r="19639">
          <cell r="D19639" t="str">
            <v>CB5512300-005L002</v>
          </cell>
          <cell r="E19639" t="str">
            <v>根肋后段</v>
          </cell>
        </row>
        <row r="19640">
          <cell r="D19640" t="str">
            <v>CB5512300-005L002</v>
          </cell>
          <cell r="E19640" t="str">
            <v>根肋后段</v>
          </cell>
        </row>
        <row r="19641">
          <cell r="D19641" t="str">
            <v>CB5512300-005L002</v>
          </cell>
          <cell r="E19641" t="str">
            <v>根肋后段</v>
          </cell>
        </row>
        <row r="19642">
          <cell r="D19642" t="str">
            <v>CB5512300-005L002</v>
          </cell>
          <cell r="E19642" t="str">
            <v>根肋后段</v>
          </cell>
        </row>
        <row r="19643">
          <cell r="D19643" t="str">
            <v>CB5512300-005L002</v>
          </cell>
          <cell r="E19643" t="str">
            <v>根肋后段</v>
          </cell>
        </row>
        <row r="19644">
          <cell r="D19644" t="str">
            <v>CB5512300-005L002</v>
          </cell>
          <cell r="E19644" t="str">
            <v>根肋后段</v>
          </cell>
        </row>
        <row r="19645">
          <cell r="D19645" t="str">
            <v>CB5512300-005L002</v>
          </cell>
          <cell r="E19645" t="str">
            <v>根肋后段</v>
          </cell>
        </row>
        <row r="19646">
          <cell r="D19646" t="str">
            <v>CB5512300-005R002</v>
          </cell>
          <cell r="E19646" t="str">
            <v>根肋后段</v>
          </cell>
        </row>
        <row r="19647">
          <cell r="D19647" t="str">
            <v>CB5512300-005R002</v>
          </cell>
          <cell r="E19647" t="str">
            <v>根肋后段</v>
          </cell>
        </row>
        <row r="19648">
          <cell r="D19648" t="str">
            <v>CB5512300-005R002</v>
          </cell>
          <cell r="E19648" t="str">
            <v>根肋后段</v>
          </cell>
        </row>
        <row r="19649">
          <cell r="D19649" t="str">
            <v>CB5512300-005R002</v>
          </cell>
          <cell r="E19649" t="str">
            <v>根肋后段</v>
          </cell>
        </row>
        <row r="19650">
          <cell r="D19650" t="str">
            <v>CB5512300-005R002</v>
          </cell>
          <cell r="E19650" t="str">
            <v>根肋后段</v>
          </cell>
        </row>
        <row r="19651">
          <cell r="D19651" t="str">
            <v>CB5512300-005R002</v>
          </cell>
          <cell r="E19651" t="str">
            <v>根肋后段</v>
          </cell>
        </row>
        <row r="19652">
          <cell r="D19652" t="str">
            <v>CB5512300-005R002</v>
          </cell>
          <cell r="E19652" t="str">
            <v>根肋后段</v>
          </cell>
        </row>
        <row r="19653">
          <cell r="D19653" t="str">
            <v>CB5512300-005R002</v>
          </cell>
          <cell r="E19653" t="str">
            <v>根肋后段</v>
          </cell>
        </row>
        <row r="19654">
          <cell r="D19654" t="str">
            <v>CB5512300-005R002</v>
          </cell>
          <cell r="E19654" t="str">
            <v>根肋后段</v>
          </cell>
        </row>
        <row r="19655">
          <cell r="D19655" t="str">
            <v>CB5512300-005R002</v>
          </cell>
          <cell r="E19655" t="str">
            <v>根肋后段</v>
          </cell>
        </row>
        <row r="19656">
          <cell r="D19656" t="str">
            <v>CB5512300-005R002</v>
          </cell>
          <cell r="E19656" t="str">
            <v>根肋后段</v>
          </cell>
        </row>
        <row r="19657">
          <cell r="D19657" t="str">
            <v>CB5512300-005R002</v>
          </cell>
          <cell r="E19657" t="str">
            <v>根肋后段</v>
          </cell>
        </row>
        <row r="19658">
          <cell r="D19658" t="str">
            <v>5211C56031G71</v>
          </cell>
          <cell r="E19658" t="str">
            <v>轴衬</v>
          </cell>
        </row>
        <row r="19659">
          <cell r="D19659" t="str">
            <v>5211C42011G70</v>
          </cell>
          <cell r="E19659" t="str">
            <v>垫片</v>
          </cell>
        </row>
        <row r="19660">
          <cell r="D19660" t="str">
            <v>5211C50023G70</v>
          </cell>
          <cell r="E19660" t="str">
            <v>顶杆</v>
          </cell>
        </row>
        <row r="19661">
          <cell r="D19661" t="str">
            <v>5211C52073G70</v>
          </cell>
          <cell r="E19661" t="str">
            <v>柱塞</v>
          </cell>
        </row>
        <row r="19662">
          <cell r="D19662" t="str">
            <v>5211C52215G70</v>
          </cell>
          <cell r="E19662" t="str">
            <v>套筒</v>
          </cell>
        </row>
        <row r="19663">
          <cell r="D19663" t="str">
            <v>DD-J10-64011-430-2</v>
          </cell>
          <cell r="E19663" t="str">
            <v>套</v>
          </cell>
        </row>
        <row r="19664">
          <cell r="D19664" t="str">
            <v>DD-J10-64011-430-2</v>
          </cell>
          <cell r="E19664" t="str">
            <v>套</v>
          </cell>
        </row>
        <row r="19665">
          <cell r="D19665" t="str">
            <v>DD-J10-64011-430-2</v>
          </cell>
          <cell r="E19665" t="str">
            <v>套</v>
          </cell>
        </row>
        <row r="19666">
          <cell r="D19666" t="str">
            <v>DD-J10-96031-121</v>
          </cell>
          <cell r="E19666" t="str">
            <v>销棒</v>
          </cell>
        </row>
        <row r="19667">
          <cell r="D19667" t="str">
            <v>DD-J10-41143-110-2</v>
          </cell>
          <cell r="E19667" t="str">
            <v>螺帽</v>
          </cell>
        </row>
        <row r="19668">
          <cell r="D19668" t="str">
            <v>DD-J10-55165-3110-1</v>
          </cell>
          <cell r="E19668" t="str">
            <v>衬套</v>
          </cell>
        </row>
        <row r="19669">
          <cell r="D19669" t="str">
            <v>DD-J10-55055-2620-3</v>
          </cell>
          <cell r="E19669" t="str">
            <v>衬套</v>
          </cell>
        </row>
        <row r="19670">
          <cell r="D19670" t="str">
            <v>DD-J10-55051-6110-3</v>
          </cell>
          <cell r="E19670" t="str">
            <v>衬套</v>
          </cell>
        </row>
        <row r="19671">
          <cell r="D19671" t="str">
            <v>DD-J10-41123-1101</v>
          </cell>
          <cell r="E19671" t="str">
            <v>壳体</v>
          </cell>
        </row>
        <row r="19672">
          <cell r="D19672" t="str">
            <v>DD-J10-41123-1101</v>
          </cell>
          <cell r="E19672" t="str">
            <v>壳体</v>
          </cell>
        </row>
        <row r="19673">
          <cell r="D19673" t="str">
            <v>DD-J10-41123-1102</v>
          </cell>
          <cell r="E19673" t="str">
            <v>塞子</v>
          </cell>
        </row>
        <row r="19674">
          <cell r="D19674" t="str">
            <v>DD-J10-41123-1102</v>
          </cell>
          <cell r="E19674" t="str">
            <v>塞子</v>
          </cell>
        </row>
        <row r="19675">
          <cell r="D19675" t="str">
            <v>DD-J10-41123-1103</v>
          </cell>
          <cell r="E19675" t="str">
            <v>螺帽</v>
          </cell>
        </row>
        <row r="19676">
          <cell r="D19676" t="str">
            <v>DD-J10-41123-1103</v>
          </cell>
          <cell r="E19676" t="str">
            <v>螺帽</v>
          </cell>
        </row>
        <row r="19677">
          <cell r="D19677" t="str">
            <v>DD-J10-54111-1200-1</v>
          </cell>
          <cell r="E19677" t="str">
            <v>衬套</v>
          </cell>
        </row>
        <row r="19678">
          <cell r="D19678" t="str">
            <v>DD-J10-62021-40-1</v>
          </cell>
          <cell r="E19678" t="str">
            <v>短管</v>
          </cell>
        </row>
        <row r="19679">
          <cell r="D19679" t="str">
            <v>DD-J10-55165-1510-2</v>
          </cell>
          <cell r="E19679" t="str">
            <v>衬套</v>
          </cell>
        </row>
        <row r="19680">
          <cell r="D19680" t="str">
            <v>DD-J10-55165-710-3</v>
          </cell>
          <cell r="E19680" t="str">
            <v>衬套</v>
          </cell>
        </row>
        <row r="19681">
          <cell r="D19681" t="str">
            <v>DD-J10-55181-2540-1</v>
          </cell>
          <cell r="E19681" t="str">
            <v>螺栓</v>
          </cell>
        </row>
        <row r="19682">
          <cell r="D19682" t="str">
            <v>DD-J10-54101-2821</v>
          </cell>
          <cell r="E19682" t="str">
            <v>插销</v>
          </cell>
        </row>
        <row r="19683">
          <cell r="D19683" t="str">
            <v>DD-J10-54101-2822</v>
          </cell>
          <cell r="E19683" t="str">
            <v>钢套</v>
          </cell>
        </row>
        <row r="19684">
          <cell r="D19684" t="str">
            <v>521A1171-003-001</v>
          </cell>
          <cell r="E19684" t="str">
            <v>支架</v>
          </cell>
        </row>
        <row r="19685">
          <cell r="D19685" t="str">
            <v>DD-J10B-02041-202G2</v>
          </cell>
          <cell r="E19685" t="str">
            <v>地板</v>
          </cell>
        </row>
        <row r="19686">
          <cell r="D19686" t="str">
            <v>DD-J10-21102-33-Y</v>
          </cell>
          <cell r="E19686" t="str">
            <v>10460上接头</v>
          </cell>
        </row>
        <row r="19687">
          <cell r="D19687" t="str">
            <v>DD-J10B-21402-90G2-1G2-Y</v>
          </cell>
          <cell r="E19687" t="str">
            <v>固定前缘端肋（右件）</v>
          </cell>
        </row>
        <row r="19688">
          <cell r="D19688" t="str">
            <v>DD-J10B-21402-90G2-1G2-Z</v>
          </cell>
          <cell r="E19688" t="str">
            <v>固定前缘端肋（左件）</v>
          </cell>
        </row>
        <row r="19689">
          <cell r="D19689" t="str">
            <v>DD-J10B-02041-2-Z</v>
          </cell>
          <cell r="E19689" t="str">
            <v>前上大梁（左）</v>
          </cell>
        </row>
        <row r="19690">
          <cell r="D19690" t="str">
            <v>DD-J10B-02041-2-Z</v>
          </cell>
          <cell r="E19690" t="str">
            <v>前上大梁（左）</v>
          </cell>
        </row>
        <row r="19691">
          <cell r="D19691" t="str">
            <v>DD-J10B-02041-2-Y</v>
          </cell>
          <cell r="E19691" t="str">
            <v>前上大梁（右）</v>
          </cell>
        </row>
        <row r="19692">
          <cell r="D19692" t="str">
            <v>DD-J10B-02041-2-Y</v>
          </cell>
          <cell r="E19692" t="str">
            <v>前上大梁（右）</v>
          </cell>
        </row>
        <row r="19693">
          <cell r="D19693" t="str">
            <v>DD-J10B-82000-101G2</v>
          </cell>
          <cell r="E19693" t="str">
            <v>地板</v>
          </cell>
        </row>
        <row r="19694">
          <cell r="D19694" t="str">
            <v>DD-J10B-82000-101G2</v>
          </cell>
          <cell r="E19694" t="str">
            <v>地板</v>
          </cell>
        </row>
        <row r="19695">
          <cell r="D19695" t="str">
            <v>DD-J10B-82000-101G2</v>
          </cell>
          <cell r="E19695" t="str">
            <v>地板</v>
          </cell>
        </row>
        <row r="19696">
          <cell r="D19696" t="str">
            <v>DD-J10B-34303-11G2</v>
          </cell>
          <cell r="E19696" t="str">
            <v>第4隔板</v>
          </cell>
        </row>
        <row r="19697">
          <cell r="D19697" t="str">
            <v>DD-J10B-34303-12G2</v>
          </cell>
          <cell r="E19697" t="str">
            <v>第5隔板</v>
          </cell>
        </row>
        <row r="19698">
          <cell r="D19698" t="str">
            <v>DD-J10B-34303-13G2</v>
          </cell>
          <cell r="E19698" t="str">
            <v>第6隔板</v>
          </cell>
        </row>
        <row r="19699">
          <cell r="D19699" t="str">
            <v>DD-J10B-34303-7G2</v>
          </cell>
          <cell r="E19699" t="str">
            <v>第1隔板</v>
          </cell>
        </row>
        <row r="19700">
          <cell r="D19700" t="str">
            <v>DD-J10B-34303-8G2</v>
          </cell>
          <cell r="E19700" t="str">
            <v>第2隔板</v>
          </cell>
        </row>
        <row r="19701">
          <cell r="D19701" t="str">
            <v>DD-J10B-34303-9G2</v>
          </cell>
          <cell r="E19701" t="str">
            <v>第3隔板</v>
          </cell>
        </row>
        <row r="19702">
          <cell r="D19702" t="str">
            <v>DD-J10B-26002-100G2-1G2-Z</v>
          </cell>
          <cell r="E19702" t="str">
            <v>翼尖接头</v>
          </cell>
        </row>
        <row r="19703">
          <cell r="D19703" t="str">
            <v>5211C51057G70</v>
          </cell>
          <cell r="E19703" t="str">
            <v>轴衬</v>
          </cell>
        </row>
        <row r="19704">
          <cell r="D19704" t="str">
            <v>5211C51059G70</v>
          </cell>
          <cell r="E19704" t="str">
            <v>轴衬</v>
          </cell>
        </row>
        <row r="19705">
          <cell r="D19705" t="str">
            <v>5211C51055G70</v>
          </cell>
          <cell r="E19705" t="str">
            <v>轴衬</v>
          </cell>
        </row>
        <row r="19706">
          <cell r="D19706" t="str">
            <v>5211C51055G70</v>
          </cell>
          <cell r="E19706" t="str">
            <v>轴衬</v>
          </cell>
        </row>
        <row r="19707">
          <cell r="D19707" t="str">
            <v>5211C51055G70</v>
          </cell>
          <cell r="E19707" t="str">
            <v>轴衬</v>
          </cell>
        </row>
        <row r="19708">
          <cell r="D19708" t="str">
            <v>5211C51055G70</v>
          </cell>
          <cell r="E19708" t="str">
            <v>轴衬</v>
          </cell>
        </row>
        <row r="19709">
          <cell r="D19709" t="str">
            <v>5211C51055G70</v>
          </cell>
          <cell r="E19709" t="str">
            <v>轴衬</v>
          </cell>
        </row>
        <row r="19710">
          <cell r="D19710" t="str">
            <v>C256201400-001-001</v>
          </cell>
          <cell r="E19710" t="str">
            <v>垫圈</v>
          </cell>
        </row>
        <row r="19711">
          <cell r="D19711" t="str">
            <v>BC2295132-002-002</v>
          </cell>
          <cell r="E19711" t="str">
            <v>三通接头</v>
          </cell>
        </row>
        <row r="19712">
          <cell r="D19712" t="str">
            <v>BC2292251-001-001</v>
          </cell>
          <cell r="E19712" t="str">
            <v>接管嘴</v>
          </cell>
        </row>
        <row r="19713">
          <cell r="D19713" t="str">
            <v>BC2292251-001-001</v>
          </cell>
          <cell r="E19713" t="str">
            <v>接管嘴</v>
          </cell>
        </row>
        <row r="19714">
          <cell r="D19714" t="str">
            <v>DD-J10B-24002-60G2-1G2-Z</v>
          </cell>
          <cell r="E19714" t="str">
            <v>付翼前梁</v>
          </cell>
        </row>
        <row r="19715">
          <cell r="D19715" t="str">
            <v>DD-J10B-24002-60G2-1G2-Z</v>
          </cell>
          <cell r="E19715" t="str">
            <v>付翼前梁</v>
          </cell>
        </row>
        <row r="19716">
          <cell r="D19716" t="str">
            <v>DD-J10B-04321-30-1-Y</v>
          </cell>
          <cell r="E19716" t="str">
            <v>侧下梁（右件）</v>
          </cell>
        </row>
        <row r="19717">
          <cell r="D19717" t="str">
            <v>DD-J10B-04321-30-1-Y</v>
          </cell>
          <cell r="E19717" t="str">
            <v>侧下梁（右件）</v>
          </cell>
        </row>
        <row r="19718">
          <cell r="D19718" t="str">
            <v>DD-J10B-04321-30-1-Y</v>
          </cell>
          <cell r="E19718" t="str">
            <v>侧下梁（右件）</v>
          </cell>
        </row>
        <row r="19719">
          <cell r="D19719" t="str">
            <v>DD-J10B-04321-30-1-Y</v>
          </cell>
          <cell r="E19719" t="str">
            <v>侧下梁（右件）</v>
          </cell>
        </row>
        <row r="19720">
          <cell r="D19720" t="str">
            <v>DD-J10B-04321-30-1-Y</v>
          </cell>
          <cell r="E19720" t="str">
            <v>侧下梁（右件）</v>
          </cell>
        </row>
        <row r="19721">
          <cell r="D19721" t="str">
            <v>DD-J10-21102-33-Y</v>
          </cell>
          <cell r="E19721" t="str">
            <v>10460上接头</v>
          </cell>
        </row>
        <row r="19722">
          <cell r="D19722" t="str">
            <v>DD-J10-21102-33-Y</v>
          </cell>
          <cell r="E19722" t="str">
            <v>10460上接头</v>
          </cell>
        </row>
        <row r="19723">
          <cell r="D19723" t="str">
            <v>DD-J10-62021-40-1</v>
          </cell>
          <cell r="E19723" t="str">
            <v>短管</v>
          </cell>
        </row>
        <row r="19724">
          <cell r="D19724" t="str">
            <v>DD-FC1-41153-21</v>
          </cell>
          <cell r="E19724" t="str">
            <v>单耳接头</v>
          </cell>
        </row>
        <row r="19726">
          <cell r="E19726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图号</v>
          </cell>
          <cell r="D1" t="str">
            <v>版次</v>
          </cell>
          <cell r="E1" t="str">
            <v>加工类别</v>
          </cell>
          <cell r="F1">
            <v>0</v>
          </cell>
          <cell r="G1">
            <v>5</v>
          </cell>
          <cell r="H1">
            <v>10</v>
          </cell>
          <cell r="I1">
            <v>15</v>
          </cell>
          <cell r="J1">
            <v>20</v>
          </cell>
          <cell r="K1">
            <v>25</v>
          </cell>
          <cell r="L1">
            <v>30</v>
          </cell>
          <cell r="M1">
            <v>35</v>
          </cell>
          <cell r="N1">
            <v>40</v>
          </cell>
          <cell r="O1">
            <v>45</v>
          </cell>
          <cell r="P1">
            <v>50</v>
          </cell>
          <cell r="Q1">
            <v>55</v>
          </cell>
          <cell r="R1">
            <v>60</v>
          </cell>
          <cell r="S1">
            <v>65</v>
          </cell>
          <cell r="T1">
            <v>70</v>
          </cell>
          <cell r="U1">
            <v>75</v>
          </cell>
          <cell r="V1">
            <v>80</v>
          </cell>
          <cell r="W1">
            <v>85</v>
          </cell>
          <cell r="X1">
            <v>90</v>
          </cell>
          <cell r="Y1">
            <v>95</v>
          </cell>
          <cell r="Z1">
            <v>100</v>
          </cell>
          <cell r="AA1">
            <v>105</v>
          </cell>
          <cell r="AB1">
            <v>110</v>
          </cell>
          <cell r="AC1">
            <v>115</v>
          </cell>
          <cell r="AD1">
            <v>120</v>
          </cell>
          <cell r="AE1">
            <v>125</v>
          </cell>
          <cell r="AF1">
            <v>130</v>
          </cell>
        </row>
        <row r="2">
          <cell r="B2" t="str">
            <v>521A1100-001-001</v>
          </cell>
          <cell r="D2" t="str">
            <v>C</v>
          </cell>
          <cell r="E2" t="str">
            <v>工序内容</v>
          </cell>
          <cell r="G2" t="str">
            <v>05/下料</v>
          </cell>
          <cell r="H2" t="str">
            <v>10/数铣</v>
          </cell>
          <cell r="I2" t="str">
            <v>15/数铣20</v>
          </cell>
          <cell r="J2" t="str">
            <v>20/数铣160</v>
          </cell>
          <cell r="K2" t="str">
            <v>25/数铣65</v>
          </cell>
          <cell r="L2" t="str">
            <v>30/热处理</v>
          </cell>
          <cell r="M2" t="str">
            <v>35/数铣</v>
          </cell>
          <cell r="N2" t="str">
            <v>40/数铣15</v>
          </cell>
          <cell r="O2" t="str">
            <v>45/数铣75</v>
          </cell>
          <cell r="P2" t="str">
            <v>50/数铣85</v>
          </cell>
          <cell r="Q2" t="str">
            <v>55/钳工</v>
          </cell>
          <cell r="R2" t="str">
            <v>60/测量</v>
          </cell>
          <cell r="S2" t="str">
            <v>65/清洁</v>
          </cell>
          <cell r="T2" t="str">
            <v>70/成检</v>
          </cell>
        </row>
        <row r="3">
          <cell r="B3" t="str">
            <v>521A1100-001-001</v>
          </cell>
          <cell r="D3" t="str">
            <v>C</v>
          </cell>
          <cell r="E3" t="str">
            <v>准备工时</v>
          </cell>
          <cell r="H3">
            <v>60</v>
          </cell>
          <cell r="I3">
            <v>60</v>
          </cell>
          <cell r="J3">
            <v>60</v>
          </cell>
          <cell r="K3">
            <v>60</v>
          </cell>
          <cell r="M3">
            <v>60</v>
          </cell>
          <cell r="N3">
            <v>60</v>
          </cell>
          <cell r="O3">
            <v>60</v>
          </cell>
          <cell r="P3">
            <v>60</v>
          </cell>
        </row>
        <row r="4">
          <cell r="B4" t="str">
            <v>521A1100-001-001</v>
          </cell>
          <cell r="D4" t="str">
            <v>C</v>
          </cell>
          <cell r="E4" t="str">
            <v>装夹时间</v>
          </cell>
        </row>
        <row r="5">
          <cell r="B5" t="str">
            <v>521A1100-001-001</v>
          </cell>
          <cell r="D5" t="str">
            <v>C</v>
          </cell>
          <cell r="E5" t="str">
            <v>程序时间</v>
          </cell>
          <cell r="H5">
            <v>40</v>
          </cell>
          <cell r="I5">
            <v>45</v>
          </cell>
          <cell r="J5">
            <v>220</v>
          </cell>
          <cell r="K5">
            <v>100</v>
          </cell>
          <cell r="M5">
            <v>60</v>
          </cell>
          <cell r="N5">
            <v>30</v>
          </cell>
          <cell r="O5">
            <v>110</v>
          </cell>
          <cell r="P5">
            <v>120</v>
          </cell>
          <cell r="Q5">
            <v>90</v>
          </cell>
        </row>
        <row r="6">
          <cell r="B6" t="str">
            <v>521A1100-002-001</v>
          </cell>
          <cell r="D6" t="str">
            <v>B</v>
          </cell>
          <cell r="E6" t="str">
            <v>工序内容</v>
          </cell>
          <cell r="G6" t="str">
            <v>05/下料</v>
          </cell>
          <cell r="H6" t="str">
            <v>10/数铣</v>
          </cell>
          <cell r="I6" t="str">
            <v>15/数铣20</v>
          </cell>
          <cell r="J6" t="str">
            <v>20/数铣190</v>
          </cell>
          <cell r="K6" t="str">
            <v>25/数铣75</v>
          </cell>
          <cell r="L6" t="str">
            <v>30/热处理</v>
          </cell>
          <cell r="M6" t="str">
            <v>35/数铣</v>
          </cell>
          <cell r="N6" t="str">
            <v>40/数铣15</v>
          </cell>
          <cell r="O6" t="str">
            <v>45/数铣75</v>
          </cell>
          <cell r="P6" t="str">
            <v>50/数铣100</v>
          </cell>
          <cell r="Q6" t="str">
            <v>55/钳工</v>
          </cell>
          <cell r="R6" t="str">
            <v>60/测量</v>
          </cell>
          <cell r="S6" t="str">
            <v>65/清洁</v>
          </cell>
          <cell r="T6" t="str">
            <v>70/成检</v>
          </cell>
        </row>
        <row r="7">
          <cell r="B7" t="str">
            <v>521A1100-002-001</v>
          </cell>
          <cell r="D7" t="str">
            <v>B</v>
          </cell>
          <cell r="E7" t="str">
            <v>准备工时</v>
          </cell>
          <cell r="H7">
            <v>60</v>
          </cell>
          <cell r="I7">
            <v>60</v>
          </cell>
          <cell r="J7">
            <v>60</v>
          </cell>
          <cell r="K7">
            <v>60</v>
          </cell>
          <cell r="M7">
            <v>60</v>
          </cell>
          <cell r="N7">
            <v>60</v>
          </cell>
          <cell r="O7">
            <v>60</v>
          </cell>
          <cell r="P7">
            <v>60</v>
          </cell>
        </row>
        <row r="8">
          <cell r="B8" t="str">
            <v>521A1100-002-001</v>
          </cell>
          <cell r="D8" t="str">
            <v>B</v>
          </cell>
          <cell r="E8" t="str">
            <v>装夹时间</v>
          </cell>
        </row>
        <row r="9">
          <cell r="B9" t="str">
            <v>521A1100-002-001</v>
          </cell>
          <cell r="D9" t="str">
            <v>B</v>
          </cell>
          <cell r="E9" t="str">
            <v>程序时间</v>
          </cell>
          <cell r="H9">
            <v>40</v>
          </cell>
          <cell r="I9">
            <v>45</v>
          </cell>
          <cell r="J9">
            <v>270</v>
          </cell>
          <cell r="K9">
            <v>120</v>
          </cell>
          <cell r="M9">
            <v>60</v>
          </cell>
          <cell r="N9">
            <v>30</v>
          </cell>
          <cell r="O9">
            <v>110</v>
          </cell>
          <cell r="P9">
            <v>140</v>
          </cell>
          <cell r="Q9">
            <v>90</v>
          </cell>
        </row>
        <row r="10">
          <cell r="B10" t="str">
            <v>528A1200-000-011</v>
          </cell>
          <cell r="D10" t="str">
            <v>B</v>
          </cell>
          <cell r="E10" t="str">
            <v>工序内容</v>
          </cell>
          <cell r="G10" t="str">
            <v>05/数铣</v>
          </cell>
          <cell r="H10" t="str">
            <v>10/数铣38</v>
          </cell>
          <cell r="I10" t="str">
            <v>15/数铣36</v>
          </cell>
          <cell r="J10" t="str">
            <v>20/钳工</v>
          </cell>
          <cell r="K10" t="str">
            <v>25/测量</v>
          </cell>
          <cell r="L10" t="str">
            <v>30/清洁</v>
          </cell>
          <cell r="M10" t="str">
            <v>35/成检</v>
          </cell>
        </row>
        <row r="11">
          <cell r="B11" t="str">
            <v>528A1200-000-011</v>
          </cell>
          <cell r="D11" t="str">
            <v>B</v>
          </cell>
          <cell r="E11" t="str">
            <v>准备工时</v>
          </cell>
          <cell r="G11">
            <v>30</v>
          </cell>
          <cell r="H11">
            <v>90</v>
          </cell>
          <cell r="I11">
            <v>60</v>
          </cell>
        </row>
        <row r="12">
          <cell r="B12" t="str">
            <v>528A1200-000-011</v>
          </cell>
          <cell r="D12" t="str">
            <v>B</v>
          </cell>
          <cell r="E12" t="str">
            <v>装夹时间</v>
          </cell>
        </row>
        <row r="13">
          <cell r="B13" t="str">
            <v>528A1200-000-011</v>
          </cell>
          <cell r="D13" t="str">
            <v>B</v>
          </cell>
          <cell r="E13" t="str">
            <v>程序时间</v>
          </cell>
          <cell r="G13">
            <v>30</v>
          </cell>
          <cell r="H13">
            <v>75</v>
          </cell>
          <cell r="I13">
            <v>60</v>
          </cell>
          <cell r="J13">
            <v>30</v>
          </cell>
        </row>
        <row r="14">
          <cell r="B14" t="str">
            <v>528A1200-000-012</v>
          </cell>
          <cell r="D14" t="str">
            <v>B</v>
          </cell>
          <cell r="E14" t="str">
            <v>工序内容</v>
          </cell>
          <cell r="G14" t="str">
            <v>05/数铣</v>
          </cell>
          <cell r="H14" t="str">
            <v>10/数铣38</v>
          </cell>
          <cell r="I14" t="str">
            <v>15/数铣36</v>
          </cell>
          <cell r="J14" t="str">
            <v>20/钳工</v>
          </cell>
          <cell r="K14" t="str">
            <v>25/测量</v>
          </cell>
          <cell r="L14" t="str">
            <v>30/清洁</v>
          </cell>
          <cell r="M14" t="str">
            <v>35/成检</v>
          </cell>
        </row>
        <row r="15">
          <cell r="B15" t="str">
            <v>528A1200-000-012</v>
          </cell>
          <cell r="D15" t="str">
            <v>B</v>
          </cell>
          <cell r="E15" t="str">
            <v>准备工时</v>
          </cell>
          <cell r="G15">
            <v>30</v>
          </cell>
          <cell r="H15">
            <v>90</v>
          </cell>
          <cell r="I15">
            <v>60</v>
          </cell>
        </row>
        <row r="16">
          <cell r="B16" t="str">
            <v>528A1200-000-012</v>
          </cell>
          <cell r="D16" t="str">
            <v>B</v>
          </cell>
          <cell r="E16" t="str">
            <v>装夹时间</v>
          </cell>
        </row>
        <row r="17">
          <cell r="B17" t="str">
            <v>528A1200-000-012</v>
          </cell>
          <cell r="D17" t="str">
            <v>B</v>
          </cell>
          <cell r="E17" t="str">
            <v>程序时间</v>
          </cell>
          <cell r="G17">
            <v>30</v>
          </cell>
          <cell r="H17">
            <v>75</v>
          </cell>
          <cell r="I17">
            <v>60</v>
          </cell>
          <cell r="J17">
            <v>30</v>
          </cell>
        </row>
        <row r="18">
          <cell r="B18" t="str">
            <v>529A1000-005-001</v>
          </cell>
          <cell r="D18" t="str">
            <v>B</v>
          </cell>
          <cell r="E18" t="str">
            <v>工序内容</v>
          </cell>
          <cell r="G18" t="str">
            <v>05/数铣</v>
          </cell>
          <cell r="H18" t="str">
            <v>10/数铣10</v>
          </cell>
          <cell r="I18" t="str">
            <v>15/数铣20</v>
          </cell>
          <cell r="J18" t="str">
            <v>20/数铣20</v>
          </cell>
          <cell r="K18" t="str">
            <v>25/数铣5</v>
          </cell>
          <cell r="L18" t="str">
            <v>30/数铣35</v>
          </cell>
          <cell r="M18" t="str">
            <v>35/数铣15</v>
          </cell>
          <cell r="N18" t="str">
            <v>40/三坐标</v>
          </cell>
          <cell r="O18" t="str">
            <v>45/钳工</v>
          </cell>
          <cell r="P18" t="str">
            <v>50/清洁</v>
          </cell>
          <cell r="Q18" t="str">
            <v>55/成检</v>
          </cell>
          <cell r="R18" t="str">
            <v>60/清洗</v>
          </cell>
          <cell r="S18" t="str">
            <v>65/检验</v>
          </cell>
          <cell r="T18" t="str">
            <v>70/包装</v>
          </cell>
          <cell r="U18" t="str">
            <v>75/入库</v>
          </cell>
        </row>
        <row r="19">
          <cell r="B19" t="str">
            <v>529A1000-005-001</v>
          </cell>
          <cell r="D19" t="str">
            <v>B</v>
          </cell>
          <cell r="E19" t="str">
            <v>准备工时</v>
          </cell>
          <cell r="G19">
            <v>60</v>
          </cell>
          <cell r="H19">
            <v>60</v>
          </cell>
          <cell r="I19">
            <v>60</v>
          </cell>
          <cell r="J19">
            <v>90</v>
          </cell>
          <cell r="K19">
            <v>60</v>
          </cell>
          <cell r="L19">
            <v>60</v>
          </cell>
          <cell r="M19">
            <v>60</v>
          </cell>
        </row>
        <row r="20">
          <cell r="B20" t="str">
            <v>529A1000-005-001</v>
          </cell>
          <cell r="D20" t="str">
            <v>B</v>
          </cell>
          <cell r="E20" t="str">
            <v>装夹时间</v>
          </cell>
        </row>
        <row r="21">
          <cell r="B21" t="str">
            <v>529A1000-005-001</v>
          </cell>
          <cell r="D21" t="str">
            <v>B</v>
          </cell>
          <cell r="E21" t="str">
            <v>程序时间</v>
          </cell>
          <cell r="G21">
            <v>50</v>
          </cell>
          <cell r="H21">
            <v>45</v>
          </cell>
          <cell r="I21">
            <v>40</v>
          </cell>
          <cell r="J21">
            <v>35</v>
          </cell>
          <cell r="K21">
            <v>15</v>
          </cell>
          <cell r="L21">
            <v>65</v>
          </cell>
          <cell r="M21">
            <v>30</v>
          </cell>
        </row>
        <row r="22">
          <cell r="B22" t="str">
            <v>529A4300-003-001</v>
          </cell>
          <cell r="D22" t="str">
            <v>A</v>
          </cell>
          <cell r="E22" t="str">
            <v>工序内容</v>
          </cell>
          <cell r="G22" t="str">
            <v>05/数车</v>
          </cell>
          <cell r="H22" t="str">
            <v>10/数车</v>
          </cell>
          <cell r="I22" t="str">
            <v>15/标记</v>
          </cell>
          <cell r="J22" t="str">
            <v>20/热处理</v>
          </cell>
          <cell r="K22" t="str">
            <v>25/热处理</v>
          </cell>
          <cell r="L22" t="str">
            <v>30/硬度</v>
          </cell>
          <cell r="M22" t="str">
            <v>35/数车60</v>
          </cell>
          <cell r="N22" t="str">
            <v>40/数车15</v>
          </cell>
          <cell r="O22" t="str">
            <v>45/数铣15</v>
          </cell>
          <cell r="P22" t="str">
            <v>50/数铣10</v>
          </cell>
          <cell r="Q22" t="str">
            <v>55/线切割</v>
          </cell>
          <cell r="R22" t="str">
            <v>60/数铣镗孔</v>
          </cell>
          <cell r="S22" t="str">
            <v>65/数车20</v>
          </cell>
          <cell r="T22" t="str">
            <v>70/钳工</v>
          </cell>
          <cell r="U22" t="str">
            <v>75/标记</v>
          </cell>
          <cell r="V22" t="str">
            <v>80/清洗</v>
          </cell>
          <cell r="W22" t="str">
            <v>85/磁粉检查</v>
          </cell>
          <cell r="X22" t="str">
            <v>90/清洗</v>
          </cell>
          <cell r="Y22" t="str">
            <v>95/热处理</v>
          </cell>
          <cell r="Z22" t="str">
            <v>100/表面处理</v>
          </cell>
          <cell r="AA22" t="str">
            <v>105/数车20</v>
          </cell>
          <cell r="AB22" t="str">
            <v>110/测量</v>
          </cell>
          <cell r="AC22" t="str">
            <v>115/清洁</v>
          </cell>
          <cell r="AD22" t="str">
            <v>120/成检</v>
          </cell>
        </row>
        <row r="23">
          <cell r="B23" t="str">
            <v>529A4300-003-001</v>
          </cell>
          <cell r="D23" t="str">
            <v>A</v>
          </cell>
          <cell r="E23" t="str">
            <v>准备工时</v>
          </cell>
          <cell r="G23">
            <v>60</v>
          </cell>
          <cell r="H23">
            <v>60</v>
          </cell>
          <cell r="M23">
            <v>60</v>
          </cell>
          <cell r="N23">
            <v>60</v>
          </cell>
          <cell r="O23">
            <v>60</v>
          </cell>
          <cell r="P23">
            <v>60</v>
          </cell>
          <cell r="R23">
            <v>90</v>
          </cell>
          <cell r="S23">
            <v>60</v>
          </cell>
          <cell r="AA23">
            <v>60</v>
          </cell>
        </row>
        <row r="24">
          <cell r="B24" t="str">
            <v>529A4300-003-001</v>
          </cell>
          <cell r="D24" t="str">
            <v>A</v>
          </cell>
          <cell r="E24" t="str">
            <v>装夹时间</v>
          </cell>
        </row>
        <row r="25">
          <cell r="B25" t="str">
            <v>529A4300-003-001</v>
          </cell>
          <cell r="D25" t="str">
            <v>A</v>
          </cell>
          <cell r="E25" t="str">
            <v>程序时间</v>
          </cell>
          <cell r="G25">
            <v>45</v>
          </cell>
          <cell r="H25">
            <v>15</v>
          </cell>
          <cell r="M25">
            <v>60</v>
          </cell>
          <cell r="N25">
            <v>25</v>
          </cell>
          <cell r="O25">
            <v>30</v>
          </cell>
          <cell r="P25">
            <v>20</v>
          </cell>
          <cell r="R25">
            <v>40</v>
          </cell>
          <cell r="S25">
            <v>30</v>
          </cell>
          <cell r="T25">
            <v>50</v>
          </cell>
          <cell r="AA25">
            <v>35</v>
          </cell>
        </row>
        <row r="26">
          <cell r="B26" t="str">
            <v>531A1140-006-001</v>
          </cell>
          <cell r="D26" t="str">
            <v>B</v>
          </cell>
          <cell r="E26" t="str">
            <v>工序内容</v>
          </cell>
          <cell r="G26" t="str">
            <v>05/下料</v>
          </cell>
          <cell r="H26" t="str">
            <v>10/铣夹持</v>
          </cell>
          <cell r="I26" t="str">
            <v>15/数铣80</v>
          </cell>
          <cell r="J26" t="str">
            <v>20/线切割</v>
          </cell>
          <cell r="K26" t="str">
            <v>25/数铣40</v>
          </cell>
          <cell r="L26" t="str">
            <v>30/数铣10</v>
          </cell>
          <cell r="M26" t="str">
            <v>35/钳工</v>
          </cell>
          <cell r="N26" t="str">
            <v>40/测量</v>
          </cell>
          <cell r="O26" t="str">
            <v>45/清洁</v>
          </cell>
          <cell r="P26" t="str">
            <v>50/成检</v>
          </cell>
        </row>
        <row r="27">
          <cell r="B27" t="str">
            <v>531A1140-006-001</v>
          </cell>
          <cell r="D27" t="str">
            <v>B</v>
          </cell>
          <cell r="E27" t="str">
            <v>准备工时</v>
          </cell>
          <cell r="H27">
            <v>60</v>
          </cell>
          <cell r="I27">
            <v>60</v>
          </cell>
          <cell r="K27">
            <v>60</v>
          </cell>
          <cell r="L27">
            <v>60</v>
          </cell>
        </row>
        <row r="28">
          <cell r="B28" t="str">
            <v>531A1140-006-001</v>
          </cell>
          <cell r="D28" t="str">
            <v>B</v>
          </cell>
          <cell r="E28" t="str">
            <v>装夹时间</v>
          </cell>
        </row>
        <row r="29">
          <cell r="B29" t="str">
            <v>531A1140-006-001</v>
          </cell>
          <cell r="D29" t="str">
            <v>B</v>
          </cell>
          <cell r="E29" t="str">
            <v>程序时间</v>
          </cell>
          <cell r="G29">
            <v>40</v>
          </cell>
          <cell r="H29">
            <v>20</v>
          </cell>
          <cell r="I29">
            <v>110</v>
          </cell>
          <cell r="K29">
            <v>60</v>
          </cell>
          <cell r="L29">
            <v>20</v>
          </cell>
          <cell r="M29">
            <v>30</v>
          </cell>
        </row>
        <row r="30">
          <cell r="B30" t="str">
            <v>531A5100-125-501</v>
          </cell>
          <cell r="D30" t="str">
            <v>B</v>
          </cell>
          <cell r="E30" t="str">
            <v>工序内容</v>
          </cell>
          <cell r="G30" t="str">
            <v>05/钳工</v>
          </cell>
          <cell r="H30" t="str">
            <v>10/数铣</v>
          </cell>
          <cell r="I30" t="str">
            <v>15/数铣70</v>
          </cell>
          <cell r="J30" t="str">
            <v>20/数铣190</v>
          </cell>
          <cell r="K30" t="str">
            <v>25/数铣530</v>
          </cell>
          <cell r="L30" t="str">
            <v>30/五轴170</v>
          </cell>
          <cell r="M30" t="str">
            <v>35/数铣550</v>
          </cell>
          <cell r="N30" t="str">
            <v>40/小五轴250</v>
          </cell>
          <cell r="O30" t="str">
            <v>45/五轴15</v>
          </cell>
          <cell r="P30" t="str">
            <v>50/钳工</v>
          </cell>
          <cell r="Q30" t="str">
            <v>55/钳工</v>
          </cell>
          <cell r="R30" t="str">
            <v>60/五轴140</v>
          </cell>
          <cell r="S30" t="str">
            <v>65/测量</v>
          </cell>
          <cell r="T30" t="str">
            <v>70/钳工</v>
          </cell>
          <cell r="U30" t="str">
            <v>75/清洁</v>
          </cell>
        </row>
        <row r="31">
          <cell r="B31" t="str">
            <v>531A5100-125-501</v>
          </cell>
          <cell r="D31" t="str">
            <v>B</v>
          </cell>
          <cell r="E31" t="str">
            <v>准备工时</v>
          </cell>
          <cell r="H31">
            <v>60</v>
          </cell>
          <cell r="I31">
            <v>90</v>
          </cell>
          <cell r="J31">
            <v>60</v>
          </cell>
          <cell r="K31">
            <v>120</v>
          </cell>
          <cell r="L31">
            <v>90</v>
          </cell>
          <cell r="M31">
            <v>120</v>
          </cell>
          <cell r="N31">
            <v>60</v>
          </cell>
          <cell r="O31">
            <v>60</v>
          </cell>
          <cell r="R31">
            <v>60</v>
          </cell>
        </row>
        <row r="32">
          <cell r="B32" t="str">
            <v>531A5100-125-501</v>
          </cell>
          <cell r="D32" t="str">
            <v>B</v>
          </cell>
          <cell r="E32" t="str">
            <v>装夹时间</v>
          </cell>
          <cell r="H32">
            <v>60</v>
          </cell>
          <cell r="I32">
            <v>60</v>
          </cell>
          <cell r="J32">
            <v>60</v>
          </cell>
          <cell r="K32">
            <v>60</v>
          </cell>
          <cell r="L32">
            <v>60</v>
          </cell>
          <cell r="M32">
            <v>60</v>
          </cell>
          <cell r="N32">
            <v>60</v>
          </cell>
          <cell r="O32">
            <v>60</v>
          </cell>
          <cell r="R32">
            <v>60</v>
          </cell>
        </row>
        <row r="33">
          <cell r="B33" t="str">
            <v>531A5100-125-501</v>
          </cell>
          <cell r="D33" t="str">
            <v>B</v>
          </cell>
          <cell r="E33" t="str">
            <v>程序时间</v>
          </cell>
          <cell r="G33">
            <v>60</v>
          </cell>
          <cell r="H33">
            <v>60</v>
          </cell>
          <cell r="I33">
            <v>90</v>
          </cell>
          <cell r="J33">
            <v>260</v>
          </cell>
          <cell r="K33">
            <v>720</v>
          </cell>
          <cell r="L33">
            <v>240</v>
          </cell>
          <cell r="M33">
            <v>650</v>
          </cell>
          <cell r="N33">
            <v>330</v>
          </cell>
          <cell r="O33">
            <v>30</v>
          </cell>
          <cell r="P33">
            <v>60</v>
          </cell>
          <cell r="Q33">
            <v>60</v>
          </cell>
          <cell r="R33">
            <v>200</v>
          </cell>
          <cell r="T33">
            <v>300</v>
          </cell>
        </row>
        <row r="34">
          <cell r="B34" t="str">
            <v>531A5100-125-502</v>
          </cell>
          <cell r="D34" t="str">
            <v>B</v>
          </cell>
          <cell r="E34" t="str">
            <v>工序内容</v>
          </cell>
          <cell r="G34" t="str">
            <v>05/钳工</v>
          </cell>
          <cell r="H34" t="str">
            <v>10/数铣</v>
          </cell>
          <cell r="I34" t="str">
            <v>15/数铣70</v>
          </cell>
          <cell r="J34" t="str">
            <v>20/数铣190</v>
          </cell>
          <cell r="K34" t="str">
            <v>25/数铣530</v>
          </cell>
          <cell r="L34" t="str">
            <v>30/五轴170</v>
          </cell>
          <cell r="M34" t="str">
            <v>35/数铣550</v>
          </cell>
          <cell r="N34" t="str">
            <v>40/小五轴250</v>
          </cell>
          <cell r="O34" t="str">
            <v>45/五轴15</v>
          </cell>
          <cell r="P34" t="str">
            <v>50/钳工</v>
          </cell>
          <cell r="Q34" t="str">
            <v>55/钳工</v>
          </cell>
          <cell r="R34" t="str">
            <v>60/五轴140</v>
          </cell>
          <cell r="S34" t="str">
            <v>65/测量</v>
          </cell>
          <cell r="T34" t="str">
            <v>70/钳工</v>
          </cell>
          <cell r="U34" t="str">
            <v>75/清洁</v>
          </cell>
        </row>
        <row r="35">
          <cell r="B35" t="str">
            <v>531A5100-125-502</v>
          </cell>
          <cell r="D35" t="str">
            <v>B</v>
          </cell>
          <cell r="E35" t="str">
            <v>准备工时</v>
          </cell>
          <cell r="H35">
            <v>60</v>
          </cell>
          <cell r="I35">
            <v>90</v>
          </cell>
          <cell r="J35">
            <v>60</v>
          </cell>
          <cell r="K35">
            <v>120</v>
          </cell>
          <cell r="L35">
            <v>90</v>
          </cell>
          <cell r="M35">
            <v>120</v>
          </cell>
          <cell r="N35">
            <v>60</v>
          </cell>
          <cell r="O35">
            <v>60</v>
          </cell>
          <cell r="R35">
            <v>60</v>
          </cell>
        </row>
        <row r="36">
          <cell r="B36" t="str">
            <v>531A5100-125-502</v>
          </cell>
          <cell r="D36" t="str">
            <v>B</v>
          </cell>
          <cell r="E36" t="str">
            <v>装夹时间</v>
          </cell>
          <cell r="H36">
            <v>60</v>
          </cell>
          <cell r="I36">
            <v>60</v>
          </cell>
          <cell r="J36">
            <v>60</v>
          </cell>
          <cell r="K36">
            <v>60</v>
          </cell>
          <cell r="L36">
            <v>60</v>
          </cell>
          <cell r="M36">
            <v>60</v>
          </cell>
          <cell r="N36">
            <v>60</v>
          </cell>
          <cell r="O36">
            <v>60</v>
          </cell>
          <cell r="R36">
            <v>60</v>
          </cell>
        </row>
        <row r="37">
          <cell r="B37" t="str">
            <v>531A5100-125-502</v>
          </cell>
          <cell r="D37" t="str">
            <v>B</v>
          </cell>
          <cell r="E37" t="str">
            <v>程序时间</v>
          </cell>
          <cell r="G37">
            <v>60</v>
          </cell>
          <cell r="H37">
            <v>60</v>
          </cell>
          <cell r="I37">
            <v>90</v>
          </cell>
          <cell r="J37">
            <v>260</v>
          </cell>
          <cell r="K37">
            <v>720</v>
          </cell>
          <cell r="L37">
            <v>240</v>
          </cell>
          <cell r="M37">
            <v>650</v>
          </cell>
          <cell r="N37">
            <v>330</v>
          </cell>
          <cell r="O37">
            <v>30</v>
          </cell>
          <cell r="P37">
            <v>60</v>
          </cell>
          <cell r="Q37">
            <v>60</v>
          </cell>
          <cell r="R37">
            <v>200</v>
          </cell>
          <cell r="T37">
            <v>300</v>
          </cell>
        </row>
        <row r="38">
          <cell r="B38" t="str">
            <v>531A5100-126-501</v>
          </cell>
          <cell r="D38" t="str">
            <v>B</v>
          </cell>
          <cell r="E38" t="str">
            <v>工序内容</v>
          </cell>
          <cell r="G38" t="str">
            <v>05/数铣</v>
          </cell>
          <cell r="H38" t="str">
            <v>10/数铣80</v>
          </cell>
          <cell r="I38" t="str">
            <v>15/数铣200</v>
          </cell>
          <cell r="J38" t="str">
            <v>20/数铣570</v>
          </cell>
          <cell r="K38" t="str">
            <v>25/数铣190</v>
          </cell>
          <cell r="L38" t="str">
            <v>28/数铣100</v>
          </cell>
          <cell r="M38" t="str">
            <v>30/数铣510</v>
          </cell>
          <cell r="N38" t="str">
            <v>32/五轴200</v>
          </cell>
          <cell r="O38" t="str">
            <v>35/五轴90</v>
          </cell>
          <cell r="P38" t="str">
            <v>40/钳工</v>
          </cell>
          <cell r="Q38" t="str">
            <v>45/钳工</v>
          </cell>
          <cell r="R38" t="str">
            <v>50/五轴200</v>
          </cell>
          <cell r="S38" t="str">
            <v>55/测量</v>
          </cell>
          <cell r="T38" t="str">
            <v>60/钳工</v>
          </cell>
          <cell r="U38" t="str">
            <v>65/清洁</v>
          </cell>
          <cell r="V38" t="str">
            <v>70/成检</v>
          </cell>
        </row>
        <row r="39">
          <cell r="B39" t="str">
            <v>531A5100-126-501</v>
          </cell>
          <cell r="D39" t="str">
            <v>B</v>
          </cell>
          <cell r="E39" t="str">
            <v>准备工时</v>
          </cell>
          <cell r="G39">
            <v>60</v>
          </cell>
          <cell r="H39">
            <v>60</v>
          </cell>
          <cell r="I39">
            <v>120</v>
          </cell>
          <cell r="J39">
            <v>60</v>
          </cell>
          <cell r="K39">
            <v>60</v>
          </cell>
          <cell r="L39">
            <v>60</v>
          </cell>
          <cell r="M39">
            <v>60</v>
          </cell>
          <cell r="N39">
            <v>60</v>
          </cell>
          <cell r="Q39">
            <v>60</v>
          </cell>
        </row>
        <row r="40">
          <cell r="B40" t="str">
            <v>531A5100-126-501</v>
          </cell>
          <cell r="D40" t="str">
            <v>B</v>
          </cell>
          <cell r="E40" t="str">
            <v>装夹时间</v>
          </cell>
          <cell r="G40">
            <v>60</v>
          </cell>
          <cell r="H40">
            <v>60</v>
          </cell>
          <cell r="I40">
            <v>60</v>
          </cell>
          <cell r="J40">
            <v>60</v>
          </cell>
          <cell r="K40">
            <v>60</v>
          </cell>
          <cell r="L40">
            <v>60</v>
          </cell>
          <cell r="M40">
            <v>90</v>
          </cell>
          <cell r="N40">
            <v>90</v>
          </cell>
          <cell r="Q40">
            <v>90</v>
          </cell>
        </row>
        <row r="41">
          <cell r="B41" t="str">
            <v>531A5100-126-501</v>
          </cell>
          <cell r="D41" t="str">
            <v>B</v>
          </cell>
          <cell r="E41" t="str">
            <v>程序时间</v>
          </cell>
          <cell r="G41">
            <v>120</v>
          </cell>
          <cell r="H41">
            <v>260</v>
          </cell>
          <cell r="I41">
            <v>690</v>
          </cell>
          <cell r="J41">
            <v>250</v>
          </cell>
          <cell r="K41">
            <v>140</v>
          </cell>
          <cell r="L41">
            <v>610</v>
          </cell>
          <cell r="M41">
            <v>260</v>
          </cell>
          <cell r="N41">
            <v>130</v>
          </cell>
          <cell r="O41">
            <v>120</v>
          </cell>
          <cell r="P41">
            <v>120</v>
          </cell>
          <cell r="Q41">
            <v>260</v>
          </cell>
          <cell r="S41">
            <v>240</v>
          </cell>
        </row>
        <row r="42">
          <cell r="B42" t="str">
            <v>531A5100-126-502</v>
          </cell>
          <cell r="D42" t="str">
            <v>B</v>
          </cell>
          <cell r="E42" t="str">
            <v>工序内容</v>
          </cell>
          <cell r="G42" t="str">
            <v>05/数铣</v>
          </cell>
          <cell r="H42" t="str">
            <v>10/数铣80</v>
          </cell>
          <cell r="I42" t="str">
            <v>15/数铣200</v>
          </cell>
          <cell r="J42" t="str">
            <v>20/数铣570</v>
          </cell>
          <cell r="K42" t="str">
            <v>25/数铣190</v>
          </cell>
          <cell r="L42" t="str">
            <v>28/数铣100</v>
          </cell>
          <cell r="M42" t="str">
            <v>30/数铣510</v>
          </cell>
          <cell r="N42" t="str">
            <v>32/五轴200</v>
          </cell>
          <cell r="O42" t="str">
            <v>35/五轴90</v>
          </cell>
          <cell r="P42" t="str">
            <v>40/钳工</v>
          </cell>
          <cell r="Q42" t="str">
            <v>45/钳工</v>
          </cell>
          <cell r="R42" t="str">
            <v>50/五轴200</v>
          </cell>
          <cell r="S42" t="str">
            <v>55/测量</v>
          </cell>
          <cell r="T42" t="str">
            <v>60/钳工</v>
          </cell>
          <cell r="U42" t="str">
            <v>65/清洁</v>
          </cell>
          <cell r="V42" t="str">
            <v>70/成检</v>
          </cell>
        </row>
        <row r="43">
          <cell r="B43" t="str">
            <v>531A5100-126-502</v>
          </cell>
          <cell r="D43" t="str">
            <v>B</v>
          </cell>
          <cell r="E43" t="str">
            <v>准备工时</v>
          </cell>
          <cell r="G43">
            <v>60</v>
          </cell>
          <cell r="H43">
            <v>60</v>
          </cell>
          <cell r="I43">
            <v>120</v>
          </cell>
          <cell r="J43">
            <v>60</v>
          </cell>
          <cell r="K43">
            <v>60</v>
          </cell>
          <cell r="L43">
            <v>60</v>
          </cell>
          <cell r="M43">
            <v>60</v>
          </cell>
          <cell r="N43">
            <v>60</v>
          </cell>
          <cell r="Q43">
            <v>60</v>
          </cell>
        </row>
        <row r="44">
          <cell r="B44" t="str">
            <v>531A5100-126-502</v>
          </cell>
          <cell r="D44" t="str">
            <v>B</v>
          </cell>
          <cell r="E44" t="str">
            <v>装夹时间</v>
          </cell>
          <cell r="G44">
            <v>60</v>
          </cell>
          <cell r="H44">
            <v>60</v>
          </cell>
          <cell r="I44">
            <v>60</v>
          </cell>
          <cell r="J44">
            <v>60</v>
          </cell>
          <cell r="K44">
            <v>60</v>
          </cell>
          <cell r="L44">
            <v>60</v>
          </cell>
          <cell r="M44">
            <v>90</v>
          </cell>
          <cell r="N44">
            <v>90</v>
          </cell>
          <cell r="Q44">
            <v>90</v>
          </cell>
        </row>
        <row r="45">
          <cell r="B45" t="str">
            <v>531A5100-126-502</v>
          </cell>
          <cell r="D45" t="str">
            <v>B</v>
          </cell>
          <cell r="E45" t="str">
            <v>程序时间</v>
          </cell>
          <cell r="G45">
            <v>120</v>
          </cell>
          <cell r="H45">
            <v>260</v>
          </cell>
          <cell r="I45">
            <v>690</v>
          </cell>
          <cell r="J45">
            <v>250</v>
          </cell>
          <cell r="K45">
            <v>140</v>
          </cell>
          <cell r="L45">
            <v>610</v>
          </cell>
          <cell r="M45">
            <v>260</v>
          </cell>
          <cell r="N45">
            <v>130</v>
          </cell>
          <cell r="O45">
            <v>120</v>
          </cell>
          <cell r="P45">
            <v>120</v>
          </cell>
          <cell r="Q45">
            <v>260</v>
          </cell>
          <cell r="S45">
            <v>240</v>
          </cell>
        </row>
        <row r="46">
          <cell r="B46" t="str">
            <v>BC2295R10-001-001</v>
          </cell>
          <cell r="D46" t="str">
            <v>B</v>
          </cell>
          <cell r="E46" t="str">
            <v>工序内容</v>
          </cell>
          <cell r="F46" t="str">
            <v>0/领料</v>
          </cell>
          <cell r="G46" t="str">
            <v>05/数铣</v>
          </cell>
          <cell r="H46" t="str">
            <v>10/数铣10</v>
          </cell>
          <cell r="I46" t="str">
            <v>15/数铣10</v>
          </cell>
          <cell r="J46" t="str">
            <v>20/数铣15</v>
          </cell>
          <cell r="K46" t="str">
            <v>25/数车</v>
          </cell>
          <cell r="L46" t="str">
            <v>30/数车</v>
          </cell>
          <cell r="M46" t="str">
            <v>35/数车</v>
          </cell>
          <cell r="N46" t="str">
            <v>40/数铣</v>
          </cell>
          <cell r="O46" t="str">
            <v>45/钳工</v>
          </cell>
          <cell r="P46" t="str">
            <v>50/标记</v>
          </cell>
          <cell r="Q46" t="str">
            <v>55/热处理</v>
          </cell>
          <cell r="R46" t="str">
            <v>60/钳工</v>
          </cell>
          <cell r="S46" t="str">
            <v>65/中间检验</v>
          </cell>
          <cell r="T46" t="str">
            <v>70/标记</v>
          </cell>
          <cell r="U46" t="str">
            <v>75/表处理</v>
          </cell>
          <cell r="V46" t="str">
            <v>80/表处理</v>
          </cell>
          <cell r="W46" t="str">
            <v>85/表处理</v>
          </cell>
          <cell r="X46" t="str">
            <v>90/数车</v>
          </cell>
          <cell r="Y46" t="str">
            <v>95/清洁</v>
          </cell>
          <cell r="Z46" t="str">
            <v>100/成检</v>
          </cell>
          <cell r="AA46" t="str">
            <v>100/成检</v>
          </cell>
        </row>
        <row r="47">
          <cell r="B47" t="str">
            <v>BC2295R10-001-001</v>
          </cell>
          <cell r="D47" t="str">
            <v>B</v>
          </cell>
          <cell r="E47" t="str">
            <v>准备工时</v>
          </cell>
          <cell r="G47">
            <v>60</v>
          </cell>
          <cell r="H47">
            <v>60</v>
          </cell>
          <cell r="I47">
            <v>60</v>
          </cell>
          <cell r="J47">
            <v>60</v>
          </cell>
          <cell r="K47">
            <v>60</v>
          </cell>
          <cell r="L47">
            <v>60</v>
          </cell>
          <cell r="M47">
            <v>60</v>
          </cell>
          <cell r="N47">
            <v>60</v>
          </cell>
          <cell r="X47">
            <v>60</v>
          </cell>
        </row>
        <row r="48">
          <cell r="B48" t="str">
            <v>BC2295R10-001-001</v>
          </cell>
          <cell r="D48" t="str">
            <v>B</v>
          </cell>
          <cell r="E48" t="str">
            <v>装夹时间</v>
          </cell>
        </row>
        <row r="49">
          <cell r="B49" t="str">
            <v>BC2295R10-001-001</v>
          </cell>
          <cell r="D49" t="str">
            <v>B</v>
          </cell>
          <cell r="E49" t="str">
            <v>程序时间</v>
          </cell>
          <cell r="G49">
            <v>55</v>
          </cell>
          <cell r="H49">
            <v>20</v>
          </cell>
          <cell r="I49">
            <v>20</v>
          </cell>
          <cell r="J49">
            <v>30</v>
          </cell>
          <cell r="K49">
            <v>40</v>
          </cell>
          <cell r="L49">
            <v>40</v>
          </cell>
          <cell r="M49">
            <v>40</v>
          </cell>
          <cell r="N49">
            <v>30</v>
          </cell>
          <cell r="O49">
            <v>25</v>
          </cell>
          <cell r="R49">
            <v>15</v>
          </cell>
          <cell r="X49">
            <v>50</v>
          </cell>
        </row>
        <row r="50">
          <cell r="B50" t="str">
            <v>BC2716320-001-002</v>
          </cell>
          <cell r="D50" t="str">
            <v>A</v>
          </cell>
          <cell r="E50" t="str">
            <v>工序内容</v>
          </cell>
          <cell r="F50" t="str">
            <v>0/领料</v>
          </cell>
          <cell r="G50" t="str">
            <v>05/下料</v>
          </cell>
          <cell r="H50" t="str">
            <v>10铣四方</v>
          </cell>
          <cell r="I50" t="str">
            <v>15/数铣10</v>
          </cell>
          <cell r="J50" t="str">
            <v>20/数铣10</v>
          </cell>
          <cell r="K50" t="str">
            <v>25/钳工</v>
          </cell>
          <cell r="L50" t="str">
            <v>28/中检</v>
          </cell>
          <cell r="M50" t="str">
            <v>30/分光</v>
          </cell>
          <cell r="N50" t="str">
            <v>35/硬度检查</v>
          </cell>
          <cell r="O50" t="str">
            <v>40/检验</v>
          </cell>
          <cell r="P50" t="str">
            <v>45/数铣5</v>
          </cell>
          <cell r="Q50" t="str">
            <v>50/钳工</v>
          </cell>
          <cell r="R50" t="str">
            <v>55/清洁</v>
          </cell>
          <cell r="S50" t="str">
            <v>60/成检</v>
          </cell>
        </row>
        <row r="51">
          <cell r="B51" t="str">
            <v>BC2716320-001-002</v>
          </cell>
          <cell r="D51" t="str">
            <v>A</v>
          </cell>
          <cell r="E51" t="str">
            <v>准备工时</v>
          </cell>
          <cell r="H51">
            <v>60</v>
          </cell>
          <cell r="I51">
            <v>60</v>
          </cell>
          <cell r="J51">
            <v>60</v>
          </cell>
          <cell r="P51">
            <v>60</v>
          </cell>
        </row>
        <row r="52">
          <cell r="B52" t="str">
            <v>BC2716320-001-002</v>
          </cell>
          <cell r="D52" t="str">
            <v>A</v>
          </cell>
          <cell r="E52" t="str">
            <v>装夹时间</v>
          </cell>
        </row>
        <row r="53">
          <cell r="B53" t="str">
            <v>BC2716320-001-002</v>
          </cell>
          <cell r="D53" t="str">
            <v>A</v>
          </cell>
          <cell r="E53" t="str">
            <v>程序时间</v>
          </cell>
          <cell r="H53">
            <v>20</v>
          </cell>
          <cell r="I53">
            <v>20</v>
          </cell>
          <cell r="J53">
            <v>20</v>
          </cell>
          <cell r="K53">
            <v>25</v>
          </cell>
          <cell r="P53">
            <v>15</v>
          </cell>
          <cell r="Q53">
            <v>10</v>
          </cell>
        </row>
        <row r="54">
          <cell r="B54" t="str">
            <v>CB5324310-016-006</v>
          </cell>
          <cell r="D54" t="str">
            <v>B</v>
          </cell>
          <cell r="E54" t="str">
            <v>工序内容</v>
          </cell>
          <cell r="F54" t="str">
            <v>0/领料</v>
          </cell>
          <cell r="G54" t="str">
            <v>05/数铣</v>
          </cell>
          <cell r="H54" t="str">
            <v>10/数铣</v>
          </cell>
          <cell r="I54" t="str">
            <v>15/数铣</v>
          </cell>
          <cell r="J54" t="str">
            <v>20/数铣</v>
          </cell>
          <cell r="K54" t="str">
            <v>25/数铣</v>
          </cell>
          <cell r="L54" t="str">
            <v>30/测量</v>
          </cell>
          <cell r="M54" t="str">
            <v>35/钳工</v>
          </cell>
          <cell r="N54" t="str">
            <v>40/数铣</v>
          </cell>
          <cell r="O54" t="str">
            <v>45/清洁</v>
          </cell>
          <cell r="P54" t="str">
            <v>50/成检</v>
          </cell>
          <cell r="Q54" t="str">
            <v>55/清洗</v>
          </cell>
          <cell r="R54" t="str">
            <v>60/入库</v>
          </cell>
        </row>
        <row r="55">
          <cell r="B55" t="str">
            <v>CB5324310-016-006</v>
          </cell>
          <cell r="D55" t="str">
            <v>B</v>
          </cell>
          <cell r="E55" t="str">
            <v>准备工时</v>
          </cell>
          <cell r="G55">
            <v>90</v>
          </cell>
          <cell r="H55">
            <v>90</v>
          </cell>
          <cell r="I55">
            <v>90</v>
          </cell>
          <cell r="J55">
            <v>90</v>
          </cell>
          <cell r="K55">
            <v>90</v>
          </cell>
        </row>
        <row r="56">
          <cell r="B56" t="str">
            <v>CB5324310-016-006</v>
          </cell>
          <cell r="D56" t="str">
            <v>B</v>
          </cell>
          <cell r="E56" t="str">
            <v>装夹时间</v>
          </cell>
          <cell r="K56">
            <v>60</v>
          </cell>
        </row>
        <row r="57">
          <cell r="B57" t="str">
            <v>CB5324310-016-006</v>
          </cell>
          <cell r="D57" t="str">
            <v>B</v>
          </cell>
          <cell r="E57" t="str">
            <v>程序时间</v>
          </cell>
          <cell r="G57">
            <v>80</v>
          </cell>
          <cell r="H57">
            <v>50</v>
          </cell>
          <cell r="I57">
            <v>80</v>
          </cell>
          <cell r="J57">
            <v>300</v>
          </cell>
          <cell r="K57">
            <v>280</v>
          </cell>
          <cell r="M57">
            <v>180</v>
          </cell>
          <cell r="N57">
            <v>20</v>
          </cell>
        </row>
        <row r="58">
          <cell r="B58" t="str">
            <v>BC5333100-006L001</v>
          </cell>
          <cell r="D58" t="str">
            <v>C</v>
          </cell>
          <cell r="E58" t="str">
            <v>工序内容</v>
          </cell>
          <cell r="F58" t="str">
            <v>0/领料</v>
          </cell>
          <cell r="G58" t="str">
            <v>05/检验</v>
          </cell>
          <cell r="H58" t="str">
            <v>10/数铣</v>
          </cell>
          <cell r="I58" t="str">
            <v>15/数铣</v>
          </cell>
          <cell r="J58" t="str">
            <v>20/数铣</v>
          </cell>
          <cell r="K58" t="str">
            <v>25/数铣40</v>
          </cell>
          <cell r="L58" t="str">
            <v>30/数铣80</v>
          </cell>
          <cell r="M58" t="str">
            <v>35/数铣320</v>
          </cell>
          <cell r="N58" t="str">
            <v>40/五轴180</v>
          </cell>
          <cell r="O58" t="str">
            <v>45/数铣200</v>
          </cell>
          <cell r="P58" t="str">
            <v>50/数铣125</v>
          </cell>
          <cell r="Q58" t="str">
            <v>55/测量</v>
          </cell>
          <cell r="R58" t="str">
            <v>60/钳工</v>
          </cell>
          <cell r="S58" t="str">
            <v>65/清洁</v>
          </cell>
          <cell r="T58" t="str">
            <v>70/成检</v>
          </cell>
        </row>
        <row r="59">
          <cell r="B59" t="str">
            <v>BC5333100-006L001</v>
          </cell>
          <cell r="D59" t="str">
            <v>C</v>
          </cell>
          <cell r="E59" t="str">
            <v>准备工时</v>
          </cell>
          <cell r="H59" t="str">
            <v>60</v>
          </cell>
          <cell r="I59">
            <v>60</v>
          </cell>
          <cell r="J59">
            <v>60</v>
          </cell>
          <cell r="K59">
            <v>60</v>
          </cell>
          <cell r="L59">
            <v>60</v>
          </cell>
          <cell r="M59">
            <v>60</v>
          </cell>
          <cell r="N59">
            <v>60</v>
          </cell>
          <cell r="O59">
            <v>60</v>
          </cell>
          <cell r="P59">
            <v>60</v>
          </cell>
        </row>
        <row r="60">
          <cell r="B60" t="str">
            <v>BC5333100-006L001</v>
          </cell>
          <cell r="D60" t="str">
            <v>C</v>
          </cell>
          <cell r="E60" t="str">
            <v>装夹时间</v>
          </cell>
        </row>
        <row r="61">
          <cell r="B61" t="str">
            <v>BC5333100-006L001</v>
          </cell>
          <cell r="D61" t="str">
            <v>C</v>
          </cell>
          <cell r="E61" t="str">
            <v>程序时间</v>
          </cell>
          <cell r="H61" t="str">
            <v>30</v>
          </cell>
          <cell r="I61">
            <v>30</v>
          </cell>
          <cell r="J61">
            <v>80</v>
          </cell>
          <cell r="K61">
            <v>70</v>
          </cell>
          <cell r="L61">
            <v>110</v>
          </cell>
          <cell r="M61">
            <v>400</v>
          </cell>
          <cell r="N61">
            <v>270</v>
          </cell>
          <cell r="O61">
            <v>300</v>
          </cell>
          <cell r="P61">
            <v>170</v>
          </cell>
          <cell r="R61">
            <v>180</v>
          </cell>
        </row>
        <row r="62">
          <cell r="B62" t="str">
            <v>BC5333100-006R001</v>
          </cell>
          <cell r="D62" t="str">
            <v>C</v>
          </cell>
          <cell r="E62" t="str">
            <v>工序内容</v>
          </cell>
          <cell r="F62" t="str">
            <v>0/领料</v>
          </cell>
          <cell r="G62" t="str">
            <v>05/检验</v>
          </cell>
          <cell r="H62" t="str">
            <v>10/数铣</v>
          </cell>
          <cell r="I62" t="str">
            <v>15/数铣</v>
          </cell>
          <cell r="J62" t="str">
            <v>20/数铣</v>
          </cell>
          <cell r="K62" t="str">
            <v>25/数铣40</v>
          </cell>
          <cell r="L62" t="str">
            <v>30/数铣80</v>
          </cell>
          <cell r="M62" t="str">
            <v>35/数铣320</v>
          </cell>
          <cell r="N62" t="str">
            <v>40/五轴180</v>
          </cell>
          <cell r="O62" t="str">
            <v>45/数铣200</v>
          </cell>
          <cell r="P62" t="str">
            <v>50/数铣125</v>
          </cell>
          <cell r="Q62" t="str">
            <v>55/测量</v>
          </cell>
          <cell r="R62" t="str">
            <v>60/钳工</v>
          </cell>
          <cell r="S62" t="str">
            <v>65/清洁</v>
          </cell>
          <cell r="T62" t="str">
            <v>70/成检</v>
          </cell>
        </row>
        <row r="63">
          <cell r="B63" t="str">
            <v>BC5333100-006R001</v>
          </cell>
          <cell r="D63" t="str">
            <v>C</v>
          </cell>
          <cell r="E63" t="str">
            <v>准备工时</v>
          </cell>
          <cell r="H63" t="str">
            <v>60</v>
          </cell>
          <cell r="I63">
            <v>60</v>
          </cell>
          <cell r="J63">
            <v>60</v>
          </cell>
          <cell r="K63">
            <v>60</v>
          </cell>
          <cell r="L63">
            <v>60</v>
          </cell>
          <cell r="M63">
            <v>60</v>
          </cell>
          <cell r="N63">
            <v>120</v>
          </cell>
          <cell r="O63">
            <v>60</v>
          </cell>
          <cell r="P63">
            <v>60</v>
          </cell>
        </row>
        <row r="64">
          <cell r="B64" t="str">
            <v>BC5333100-006R001</v>
          </cell>
          <cell r="D64" t="str">
            <v>C</v>
          </cell>
          <cell r="E64" t="str">
            <v>装夹时间</v>
          </cell>
          <cell r="N64" t="str">
            <v>60</v>
          </cell>
        </row>
        <row r="65">
          <cell r="B65" t="str">
            <v>BC5333100-006R001</v>
          </cell>
          <cell r="D65" t="str">
            <v>C</v>
          </cell>
          <cell r="E65" t="str">
            <v>程序时间</v>
          </cell>
          <cell r="H65" t="str">
            <v>30</v>
          </cell>
          <cell r="I65">
            <v>30</v>
          </cell>
          <cell r="J65">
            <v>80</v>
          </cell>
          <cell r="K65">
            <v>70</v>
          </cell>
          <cell r="L65">
            <v>110</v>
          </cell>
          <cell r="M65">
            <v>400</v>
          </cell>
          <cell r="N65">
            <v>480</v>
          </cell>
          <cell r="O65">
            <v>390</v>
          </cell>
          <cell r="P65">
            <v>170</v>
          </cell>
          <cell r="R65">
            <v>180</v>
          </cell>
        </row>
        <row r="66">
          <cell r="B66" t="str">
            <v>BC5333110-001L001</v>
          </cell>
          <cell r="D66" t="str">
            <v>B</v>
          </cell>
          <cell r="E66" t="str">
            <v>工序内容</v>
          </cell>
          <cell r="F66" t="str">
            <v>0/领料</v>
          </cell>
          <cell r="G66" t="str">
            <v>05/超声波</v>
          </cell>
          <cell r="H66" t="str">
            <v>10/下料</v>
          </cell>
          <cell r="I66" t="str">
            <v>15/数铣</v>
          </cell>
          <cell r="J66" t="str">
            <v>20/数铣</v>
          </cell>
          <cell r="K66" t="str">
            <v>25/数铣35</v>
          </cell>
          <cell r="L66" t="str">
            <v>30/数铣75</v>
          </cell>
          <cell r="M66" t="str">
            <v>35/数铣150</v>
          </cell>
          <cell r="N66" t="str">
            <v>40/数铣30</v>
          </cell>
          <cell r="O66" t="str">
            <v>45/数铣85</v>
          </cell>
          <cell r="P66" t="str">
            <v>50/钳工</v>
          </cell>
          <cell r="Q66" t="str">
            <v>55/数铣</v>
          </cell>
          <cell r="R66" t="str">
            <v>60/测量</v>
          </cell>
          <cell r="S66" t="str">
            <v>65/清洁</v>
          </cell>
          <cell r="T66" t="str">
            <v>70/成检</v>
          </cell>
        </row>
        <row r="67">
          <cell r="B67" t="str">
            <v>BC5333110-001L001</v>
          </cell>
          <cell r="D67" t="str">
            <v>B</v>
          </cell>
          <cell r="E67" t="str">
            <v>准备工时</v>
          </cell>
          <cell r="I67">
            <v>60</v>
          </cell>
          <cell r="J67">
            <v>60</v>
          </cell>
          <cell r="K67">
            <v>60</v>
          </cell>
          <cell r="L67">
            <v>60</v>
          </cell>
          <cell r="M67">
            <v>60</v>
          </cell>
          <cell r="N67">
            <v>60</v>
          </cell>
          <cell r="O67">
            <v>60</v>
          </cell>
        </row>
        <row r="68">
          <cell r="B68" t="str">
            <v>BC5333110-001L001</v>
          </cell>
          <cell r="D68" t="str">
            <v>B</v>
          </cell>
          <cell r="E68" t="str">
            <v>装夹时间</v>
          </cell>
        </row>
        <row r="69">
          <cell r="B69" t="str">
            <v>BC5333110-001L001</v>
          </cell>
          <cell r="D69" t="str">
            <v>B</v>
          </cell>
          <cell r="E69" t="str">
            <v>程序时间</v>
          </cell>
          <cell r="H69" t="str">
            <v>25</v>
          </cell>
          <cell r="I69">
            <v>20</v>
          </cell>
          <cell r="J69">
            <v>20</v>
          </cell>
          <cell r="K69">
            <v>45</v>
          </cell>
          <cell r="L69">
            <v>100</v>
          </cell>
          <cell r="M69">
            <v>180</v>
          </cell>
          <cell r="N69">
            <v>40</v>
          </cell>
          <cell r="O69">
            <v>160</v>
          </cell>
          <cell r="P69">
            <v>70</v>
          </cell>
          <cell r="Q69">
            <v>20</v>
          </cell>
        </row>
        <row r="70">
          <cell r="B70" t="str">
            <v>BC5333110-001R001</v>
          </cell>
          <cell r="D70" t="str">
            <v>B</v>
          </cell>
          <cell r="E70" t="str">
            <v>工序内容</v>
          </cell>
          <cell r="F70" t="str">
            <v>0/领料</v>
          </cell>
          <cell r="G70" t="str">
            <v>05/超声波</v>
          </cell>
          <cell r="H70" t="str">
            <v>10/下料</v>
          </cell>
          <cell r="I70" t="str">
            <v>15/数铣</v>
          </cell>
          <cell r="J70" t="str">
            <v>20/数铣</v>
          </cell>
          <cell r="K70" t="str">
            <v>25/数铣35</v>
          </cell>
          <cell r="L70" t="str">
            <v>30/数铣75</v>
          </cell>
          <cell r="M70" t="str">
            <v>35/数铣150</v>
          </cell>
          <cell r="N70" t="str">
            <v>40/数铣30</v>
          </cell>
          <cell r="O70" t="str">
            <v>45/数铣85</v>
          </cell>
          <cell r="P70" t="str">
            <v>50/钳工</v>
          </cell>
          <cell r="Q70" t="str">
            <v>55/数铣</v>
          </cell>
          <cell r="R70" t="str">
            <v>60/测量</v>
          </cell>
          <cell r="S70" t="str">
            <v>65/清洁</v>
          </cell>
          <cell r="T70" t="str">
            <v>70/成检</v>
          </cell>
        </row>
        <row r="71">
          <cell r="B71" t="str">
            <v>BC5333110-001R001</v>
          </cell>
          <cell r="D71" t="str">
            <v>B</v>
          </cell>
          <cell r="E71" t="str">
            <v>准备工时</v>
          </cell>
          <cell r="I71">
            <v>60</v>
          </cell>
          <cell r="J71">
            <v>60</v>
          </cell>
          <cell r="K71">
            <v>60</v>
          </cell>
          <cell r="L71">
            <v>60</v>
          </cell>
          <cell r="M71">
            <v>60</v>
          </cell>
          <cell r="N71">
            <v>60</v>
          </cell>
          <cell r="O71">
            <v>60</v>
          </cell>
        </row>
        <row r="72">
          <cell r="B72" t="str">
            <v>BC5333110-001R001</v>
          </cell>
          <cell r="D72" t="str">
            <v>B</v>
          </cell>
          <cell r="E72" t="str">
            <v>装夹时间</v>
          </cell>
        </row>
        <row r="73">
          <cell r="B73" t="str">
            <v>BC5333110-001R001</v>
          </cell>
          <cell r="D73" t="str">
            <v>B</v>
          </cell>
          <cell r="E73" t="str">
            <v>程序时间</v>
          </cell>
          <cell r="H73" t="str">
            <v>25</v>
          </cell>
          <cell r="I73">
            <v>20</v>
          </cell>
          <cell r="J73">
            <v>20</v>
          </cell>
          <cell r="K73">
            <v>45</v>
          </cell>
          <cell r="L73">
            <v>100</v>
          </cell>
          <cell r="M73">
            <v>180</v>
          </cell>
          <cell r="N73">
            <v>40</v>
          </cell>
          <cell r="O73">
            <v>160</v>
          </cell>
          <cell r="P73">
            <v>70</v>
          </cell>
          <cell r="Q73">
            <v>20</v>
          </cell>
        </row>
        <row r="74">
          <cell r="B74" t="str">
            <v>CB5324321-010-006</v>
          </cell>
          <cell r="D74" t="str">
            <v>B</v>
          </cell>
          <cell r="E74" t="str">
            <v>工序内容</v>
          </cell>
          <cell r="F74" t="str">
            <v>0/领料</v>
          </cell>
          <cell r="G74" t="str">
            <v>5/数铣</v>
          </cell>
          <cell r="H74" t="str">
            <v>10/数铣20</v>
          </cell>
          <cell r="I74" t="str">
            <v>15/数铣135</v>
          </cell>
          <cell r="J74" t="str">
            <v>20/数铣115</v>
          </cell>
          <cell r="K74" t="str">
            <v>25/测量</v>
          </cell>
          <cell r="L74" t="str">
            <v>30/数铣10</v>
          </cell>
          <cell r="M74" t="str">
            <v>35/钳工</v>
          </cell>
          <cell r="N74" t="str">
            <v>40/数铣</v>
          </cell>
          <cell r="O74" t="str">
            <v>45/清洁</v>
          </cell>
          <cell r="P74" t="str">
            <v>45/成检</v>
          </cell>
        </row>
        <row r="75">
          <cell r="B75" t="str">
            <v>CB5324321-010-006</v>
          </cell>
          <cell r="D75" t="str">
            <v>B</v>
          </cell>
          <cell r="E75" t="str">
            <v>准备工时</v>
          </cell>
          <cell r="G75">
            <v>60</v>
          </cell>
          <cell r="H75">
            <v>60</v>
          </cell>
          <cell r="I75">
            <v>60</v>
          </cell>
          <cell r="J75">
            <v>60</v>
          </cell>
          <cell r="L75">
            <v>60</v>
          </cell>
        </row>
        <row r="76">
          <cell r="B76" t="str">
            <v>CB5324321-010-006</v>
          </cell>
          <cell r="D76" t="str">
            <v>B</v>
          </cell>
          <cell r="E76" t="str">
            <v>程序时间</v>
          </cell>
          <cell r="G76">
            <v>60</v>
          </cell>
          <cell r="H76">
            <v>40</v>
          </cell>
          <cell r="I76">
            <v>250</v>
          </cell>
          <cell r="J76">
            <v>180</v>
          </cell>
          <cell r="L76">
            <v>30</v>
          </cell>
          <cell r="M76">
            <v>30</v>
          </cell>
          <cell r="N76">
            <v>20</v>
          </cell>
        </row>
        <row r="77">
          <cell r="B77" t="str">
            <v>CB5327120-003L/R006</v>
          </cell>
          <cell r="D77" t="str">
            <v>F</v>
          </cell>
          <cell r="E77" t="str">
            <v>工序内容</v>
          </cell>
          <cell r="F77" t="str">
            <v>0/领料</v>
          </cell>
          <cell r="G77" t="str">
            <v>5/钳工</v>
          </cell>
          <cell r="H77" t="str">
            <v>10/数铣</v>
          </cell>
          <cell r="I77" t="str">
            <v>15/数铣90</v>
          </cell>
          <cell r="J77" t="str">
            <v>20/数铣720</v>
          </cell>
          <cell r="K77" t="str">
            <v>25/数铣360</v>
          </cell>
          <cell r="L77" t="str">
            <v>30/数铣</v>
          </cell>
          <cell r="M77" t="str">
            <v>35/数铣15</v>
          </cell>
          <cell r="N77" t="str">
            <v>40/数铣450</v>
          </cell>
          <cell r="O77" t="str">
            <v>45/数铣520</v>
          </cell>
          <cell r="P77" t="str">
            <v>50/五轴60</v>
          </cell>
          <cell r="Q77" t="str">
            <v>55/钳工</v>
          </cell>
          <cell r="R77" t="str">
            <v>60/五轴180</v>
          </cell>
          <cell r="S77" t="str">
            <v>65/测量</v>
          </cell>
          <cell r="T77" t="str">
            <v>70/数铣40</v>
          </cell>
          <cell r="U77" t="str">
            <v>75/钳工</v>
          </cell>
          <cell r="V77" t="str">
            <v>80/测量</v>
          </cell>
          <cell r="W77" t="str">
            <v>85/数铣</v>
          </cell>
          <cell r="X77" t="str">
            <v>90/清洁</v>
          </cell>
          <cell r="Y77" t="str">
            <v>95/成检</v>
          </cell>
          <cell r="Z77" t="str">
            <v>95/成检</v>
          </cell>
        </row>
        <row r="78">
          <cell r="B78" t="str">
            <v>CB5327120-003L/R006</v>
          </cell>
          <cell r="D78" t="str">
            <v>F</v>
          </cell>
          <cell r="E78" t="str">
            <v>准备工时</v>
          </cell>
          <cell r="H78">
            <v>60</v>
          </cell>
          <cell r="I78">
            <v>60</v>
          </cell>
          <cell r="J78">
            <v>60</v>
          </cell>
          <cell r="K78">
            <v>60</v>
          </cell>
          <cell r="L78">
            <v>60</v>
          </cell>
          <cell r="M78">
            <v>60</v>
          </cell>
          <cell r="N78">
            <v>60</v>
          </cell>
          <cell r="O78">
            <v>60</v>
          </cell>
          <cell r="P78">
            <v>120</v>
          </cell>
          <cell r="R78">
            <v>120</v>
          </cell>
          <cell r="T78">
            <v>60</v>
          </cell>
        </row>
        <row r="79">
          <cell r="B79" t="str">
            <v>CB5327120-003L/R006</v>
          </cell>
          <cell r="D79" t="str">
            <v>F</v>
          </cell>
          <cell r="E79" t="str">
            <v>装夹时间</v>
          </cell>
          <cell r="G79">
            <v>60</v>
          </cell>
          <cell r="H79">
            <v>60</v>
          </cell>
          <cell r="I79">
            <v>60</v>
          </cell>
          <cell r="J79">
            <v>60</v>
          </cell>
          <cell r="K79">
            <v>60</v>
          </cell>
          <cell r="L79">
            <v>60</v>
          </cell>
          <cell r="M79">
            <v>60</v>
          </cell>
          <cell r="N79">
            <v>60</v>
          </cell>
          <cell r="O79">
            <v>60</v>
          </cell>
          <cell r="P79">
            <v>60</v>
          </cell>
          <cell r="R79">
            <v>60</v>
          </cell>
          <cell r="T79">
            <v>60</v>
          </cell>
        </row>
        <row r="80">
          <cell r="B80" t="str">
            <v>CB5327120-003L/R006</v>
          </cell>
          <cell r="D80" t="str">
            <v>F</v>
          </cell>
          <cell r="E80" t="str">
            <v>程序时间</v>
          </cell>
          <cell r="G80">
            <v>80</v>
          </cell>
          <cell r="H80">
            <v>90</v>
          </cell>
          <cell r="I80">
            <v>150</v>
          </cell>
          <cell r="J80">
            <v>800</v>
          </cell>
          <cell r="K80">
            <v>430</v>
          </cell>
          <cell r="L80">
            <v>90</v>
          </cell>
          <cell r="M80">
            <v>30</v>
          </cell>
          <cell r="N80">
            <v>550</v>
          </cell>
          <cell r="O80">
            <v>1080</v>
          </cell>
          <cell r="P80">
            <v>150</v>
          </cell>
          <cell r="Q80">
            <v>120</v>
          </cell>
          <cell r="R80">
            <v>720</v>
          </cell>
          <cell r="T80">
            <v>60</v>
          </cell>
          <cell r="U80">
            <v>600</v>
          </cell>
        </row>
        <row r="81">
          <cell r="B81" t="str">
            <v>CB5742000-202L001</v>
          </cell>
          <cell r="D81" t="str">
            <v>H</v>
          </cell>
          <cell r="E81" t="str">
            <v>工序内容</v>
          </cell>
          <cell r="F81" t="str">
            <v>0/领料</v>
          </cell>
          <cell r="G81" t="str">
            <v>5/钳工</v>
          </cell>
          <cell r="H81" t="str">
            <v>10/数铣80</v>
          </cell>
          <cell r="I81" t="str">
            <v>15/数铣37</v>
          </cell>
          <cell r="J81" t="str">
            <v>20/数铣170</v>
          </cell>
          <cell r="K81" t="str">
            <v>25/自然时效</v>
          </cell>
          <cell r="L81" t="str">
            <v>30/修面</v>
          </cell>
          <cell r="M81" t="str">
            <v>35/数铣480</v>
          </cell>
          <cell r="N81" t="str">
            <v>40/数铣350</v>
          </cell>
          <cell r="O81" t="str">
            <v>45/数铣10</v>
          </cell>
          <cell r="P81" t="str">
            <v>50/数铣45</v>
          </cell>
          <cell r="Q81" t="str">
            <v>55/五轴45</v>
          </cell>
          <cell r="R81" t="str">
            <v>60/五轴40</v>
          </cell>
          <cell r="S81" t="str">
            <v>65/钳工</v>
          </cell>
          <cell r="T81" t="str">
            <v>60/测量</v>
          </cell>
          <cell r="U81" t="str">
            <v>65/清洗</v>
          </cell>
          <cell r="V81" t="str">
            <v>70/成检</v>
          </cell>
        </row>
        <row r="82">
          <cell r="B82" t="str">
            <v>CB5742000-202L001</v>
          </cell>
          <cell r="D82" t="str">
            <v>H</v>
          </cell>
          <cell r="E82" t="str">
            <v>准备工时</v>
          </cell>
          <cell r="G82">
            <v>60</v>
          </cell>
          <cell r="H82">
            <v>60</v>
          </cell>
          <cell r="I82">
            <v>60</v>
          </cell>
          <cell r="J82">
            <v>60</v>
          </cell>
          <cell r="L82">
            <v>60</v>
          </cell>
          <cell r="M82">
            <v>120</v>
          </cell>
          <cell r="N82">
            <v>60</v>
          </cell>
          <cell r="O82">
            <v>60</v>
          </cell>
          <cell r="P82">
            <v>60</v>
          </cell>
          <cell r="Q82">
            <v>120</v>
          </cell>
          <cell r="R82">
            <v>120</v>
          </cell>
        </row>
        <row r="83">
          <cell r="B83" t="str">
            <v>CB5742000-202L001</v>
          </cell>
          <cell r="D83" t="str">
            <v>H</v>
          </cell>
          <cell r="E83" t="str">
            <v>装夹时间</v>
          </cell>
          <cell r="H83">
            <v>60</v>
          </cell>
          <cell r="I83">
            <v>60</v>
          </cell>
          <cell r="J83">
            <v>60</v>
          </cell>
          <cell r="L83">
            <v>60</v>
          </cell>
          <cell r="M83">
            <v>60</v>
          </cell>
          <cell r="N83">
            <v>60</v>
          </cell>
          <cell r="O83">
            <v>60</v>
          </cell>
          <cell r="P83">
            <v>60</v>
          </cell>
          <cell r="Q83">
            <v>60</v>
          </cell>
          <cell r="R83">
            <v>60</v>
          </cell>
        </row>
        <row r="84">
          <cell r="B84" t="str">
            <v>CB5742000-202L001</v>
          </cell>
          <cell r="D84" t="str">
            <v>H</v>
          </cell>
          <cell r="E84" t="str">
            <v>程序时间</v>
          </cell>
          <cell r="G84">
            <v>30</v>
          </cell>
          <cell r="H84">
            <v>90</v>
          </cell>
          <cell r="I84">
            <v>70</v>
          </cell>
          <cell r="J84">
            <v>240</v>
          </cell>
          <cell r="L84">
            <v>200</v>
          </cell>
          <cell r="M84">
            <v>600</v>
          </cell>
          <cell r="N84">
            <v>420</v>
          </cell>
          <cell r="O84">
            <v>40</v>
          </cell>
          <cell r="P84">
            <v>60</v>
          </cell>
          <cell r="Q84">
            <v>135</v>
          </cell>
          <cell r="R84">
            <v>120</v>
          </cell>
          <cell r="S84">
            <v>360</v>
          </cell>
        </row>
        <row r="85">
          <cell r="B85" t="str">
            <v>CB5742000-202R001</v>
          </cell>
          <cell r="D85" t="str">
            <v>H</v>
          </cell>
          <cell r="E85" t="str">
            <v>工序内容</v>
          </cell>
          <cell r="F85" t="str">
            <v>0/领料</v>
          </cell>
          <cell r="G85" t="str">
            <v>5/钳工</v>
          </cell>
          <cell r="H85" t="str">
            <v>10/数铣80</v>
          </cell>
          <cell r="I85" t="str">
            <v>15/数铣37</v>
          </cell>
          <cell r="J85" t="str">
            <v>20/数铣170</v>
          </cell>
          <cell r="K85" t="str">
            <v>25/自然时效</v>
          </cell>
          <cell r="L85" t="str">
            <v>30/修面</v>
          </cell>
          <cell r="M85" t="str">
            <v>35/数铣480</v>
          </cell>
          <cell r="N85" t="str">
            <v>40/数铣350</v>
          </cell>
          <cell r="O85" t="str">
            <v>45/数铣10</v>
          </cell>
          <cell r="P85" t="str">
            <v>50/数铣45</v>
          </cell>
          <cell r="Q85" t="str">
            <v>55/五轴45</v>
          </cell>
          <cell r="R85" t="str">
            <v>60/五轴40</v>
          </cell>
          <cell r="S85" t="str">
            <v>65/钳工</v>
          </cell>
          <cell r="T85" t="str">
            <v>60/测量</v>
          </cell>
          <cell r="U85" t="str">
            <v>65/清洗</v>
          </cell>
          <cell r="V85" t="str">
            <v>70/成检</v>
          </cell>
        </row>
        <row r="86">
          <cell r="B86" t="str">
            <v>CB5742000-202R001</v>
          </cell>
          <cell r="D86" t="str">
            <v>H</v>
          </cell>
          <cell r="E86" t="str">
            <v>准备工时</v>
          </cell>
          <cell r="G86">
            <v>60</v>
          </cell>
          <cell r="H86">
            <v>60</v>
          </cell>
          <cell r="I86">
            <v>60</v>
          </cell>
          <cell r="J86">
            <v>60</v>
          </cell>
          <cell r="L86">
            <v>60</v>
          </cell>
          <cell r="M86">
            <v>120</v>
          </cell>
          <cell r="N86">
            <v>60</v>
          </cell>
          <cell r="O86">
            <v>60</v>
          </cell>
          <cell r="P86">
            <v>60</v>
          </cell>
          <cell r="Q86">
            <v>120</v>
          </cell>
          <cell r="R86">
            <v>120</v>
          </cell>
        </row>
        <row r="87">
          <cell r="B87" t="str">
            <v>CB5742000-202R001</v>
          </cell>
          <cell r="D87" t="str">
            <v>H</v>
          </cell>
          <cell r="E87" t="str">
            <v>装夹时间</v>
          </cell>
          <cell r="H87">
            <v>60</v>
          </cell>
          <cell r="I87">
            <v>60</v>
          </cell>
          <cell r="J87">
            <v>60</v>
          </cell>
          <cell r="L87">
            <v>60</v>
          </cell>
          <cell r="M87">
            <v>60</v>
          </cell>
          <cell r="N87">
            <v>60</v>
          </cell>
          <cell r="O87">
            <v>60</v>
          </cell>
          <cell r="P87">
            <v>60</v>
          </cell>
          <cell r="Q87">
            <v>60</v>
          </cell>
          <cell r="R87">
            <v>60</v>
          </cell>
        </row>
        <row r="88">
          <cell r="B88" t="str">
            <v>CB5742000-202R001</v>
          </cell>
          <cell r="D88" t="str">
            <v>H</v>
          </cell>
          <cell r="E88" t="str">
            <v>程序时间</v>
          </cell>
          <cell r="G88">
            <v>30</v>
          </cell>
          <cell r="H88">
            <v>90</v>
          </cell>
          <cell r="I88">
            <v>70</v>
          </cell>
          <cell r="J88">
            <v>240</v>
          </cell>
          <cell r="L88">
            <v>200</v>
          </cell>
          <cell r="M88">
            <v>600</v>
          </cell>
          <cell r="N88">
            <v>420</v>
          </cell>
          <cell r="O88">
            <v>40</v>
          </cell>
          <cell r="P88">
            <v>60</v>
          </cell>
          <cell r="Q88">
            <v>135</v>
          </cell>
          <cell r="R88">
            <v>120</v>
          </cell>
          <cell r="S88">
            <v>360</v>
          </cell>
        </row>
        <row r="89">
          <cell r="B89" t="str">
            <v>DD-J10B-02111-2-Z</v>
          </cell>
          <cell r="D89" t="str">
            <v>D</v>
          </cell>
          <cell r="E89" t="str">
            <v>工序内容</v>
          </cell>
          <cell r="F89" t="str">
            <v>0/领料</v>
          </cell>
          <cell r="G89" t="str">
            <v>05/铣面</v>
          </cell>
          <cell r="H89" t="str">
            <v>10/数铣30</v>
          </cell>
          <cell r="I89" t="str">
            <v>15/数铣50</v>
          </cell>
          <cell r="J89" t="str">
            <v>20/数铣20</v>
          </cell>
          <cell r="K89" t="str">
            <v>25/数铣45</v>
          </cell>
          <cell r="L89" t="str">
            <v>30/数铣10</v>
          </cell>
          <cell r="M89" t="str">
            <v>35/钳工</v>
          </cell>
          <cell r="N89" t="str">
            <v>40/数铣</v>
          </cell>
          <cell r="O89" t="str">
            <v>45/清洁</v>
          </cell>
          <cell r="P89" t="str">
            <v>50/检验</v>
          </cell>
          <cell r="Q89" t="str">
            <v>55/硬捡</v>
          </cell>
          <cell r="R89" t="str">
            <v>60/分光</v>
          </cell>
          <cell r="S89" t="str">
            <v>65/钳工</v>
          </cell>
          <cell r="T89" t="str">
            <v>70/清洁</v>
          </cell>
          <cell r="U89" t="str">
            <v>75/成检</v>
          </cell>
        </row>
        <row r="90">
          <cell r="B90" t="str">
            <v>DD-J10B-02111-2-Z</v>
          </cell>
          <cell r="D90" t="str">
            <v>D</v>
          </cell>
          <cell r="E90" t="str">
            <v>准备工时</v>
          </cell>
          <cell r="G90">
            <v>60</v>
          </cell>
          <cell r="H90">
            <v>60</v>
          </cell>
          <cell r="I90">
            <v>60</v>
          </cell>
          <cell r="J90">
            <v>60</v>
          </cell>
          <cell r="K90">
            <v>90</v>
          </cell>
          <cell r="L90">
            <v>60</v>
          </cell>
        </row>
        <row r="91">
          <cell r="B91" t="str">
            <v>DD-J10B-02111-2-Z</v>
          </cell>
          <cell r="D91" t="str">
            <v>D</v>
          </cell>
          <cell r="E91" t="str">
            <v>装夹时间</v>
          </cell>
        </row>
        <row r="92">
          <cell r="B92" t="str">
            <v>DD-J10B-02111-2-Z</v>
          </cell>
          <cell r="D92" t="str">
            <v>D</v>
          </cell>
          <cell r="E92" t="str">
            <v>程序时间</v>
          </cell>
          <cell r="G92">
            <v>20</v>
          </cell>
          <cell r="H92">
            <v>40</v>
          </cell>
          <cell r="I92">
            <v>90</v>
          </cell>
          <cell r="J92">
            <v>30</v>
          </cell>
          <cell r="K92">
            <v>75</v>
          </cell>
          <cell r="L92">
            <v>20</v>
          </cell>
          <cell r="M92">
            <v>30</v>
          </cell>
          <cell r="N92">
            <v>20</v>
          </cell>
        </row>
        <row r="93">
          <cell r="B93" t="str">
            <v>DD-J10B-02111-2-Y</v>
          </cell>
          <cell r="D93" t="str">
            <v>D</v>
          </cell>
          <cell r="E93" t="str">
            <v>工序内容</v>
          </cell>
          <cell r="F93" t="str">
            <v>0/领料</v>
          </cell>
          <cell r="G93" t="str">
            <v>05/铣面</v>
          </cell>
          <cell r="H93" t="str">
            <v>10/数铣30</v>
          </cell>
          <cell r="I93" t="str">
            <v>15/数铣50</v>
          </cell>
          <cell r="J93" t="str">
            <v>20/数铣20</v>
          </cell>
          <cell r="K93" t="str">
            <v>25/数铣45</v>
          </cell>
          <cell r="L93" t="str">
            <v>30/数铣10</v>
          </cell>
          <cell r="M93" t="str">
            <v>35/钳工</v>
          </cell>
          <cell r="N93" t="str">
            <v>40/数铣</v>
          </cell>
          <cell r="O93" t="str">
            <v>45/清洁</v>
          </cell>
          <cell r="P93" t="str">
            <v>50/检验</v>
          </cell>
          <cell r="Q93" t="str">
            <v>55/硬捡</v>
          </cell>
          <cell r="R93" t="str">
            <v>60/分光</v>
          </cell>
          <cell r="S93" t="str">
            <v>65/钳工</v>
          </cell>
          <cell r="T93" t="str">
            <v>70/清洁</v>
          </cell>
          <cell r="U93" t="str">
            <v>75/成检</v>
          </cell>
        </row>
        <row r="94">
          <cell r="B94" t="str">
            <v>DD-J10B-02111-2-Y</v>
          </cell>
          <cell r="D94" t="str">
            <v>D</v>
          </cell>
          <cell r="E94" t="str">
            <v>准备工时</v>
          </cell>
          <cell r="G94">
            <v>60</v>
          </cell>
          <cell r="H94">
            <v>60</v>
          </cell>
          <cell r="I94">
            <v>60</v>
          </cell>
          <cell r="J94">
            <v>60</v>
          </cell>
          <cell r="K94">
            <v>90</v>
          </cell>
          <cell r="L94">
            <v>60</v>
          </cell>
        </row>
        <row r="95">
          <cell r="B95" t="str">
            <v>DD-J10B-02111-2-Y</v>
          </cell>
          <cell r="D95" t="str">
            <v>D</v>
          </cell>
          <cell r="E95" t="str">
            <v>装夹时间</v>
          </cell>
        </row>
        <row r="96">
          <cell r="B96" t="str">
            <v>DD-J10B-02111-2-Y</v>
          </cell>
          <cell r="D96" t="str">
            <v>D</v>
          </cell>
          <cell r="E96" t="str">
            <v>程序时间</v>
          </cell>
          <cell r="G96">
            <v>20</v>
          </cell>
          <cell r="H96">
            <v>40</v>
          </cell>
          <cell r="I96">
            <v>90</v>
          </cell>
          <cell r="J96">
            <v>30</v>
          </cell>
          <cell r="K96">
            <v>75</v>
          </cell>
          <cell r="L96">
            <v>20</v>
          </cell>
          <cell r="M96">
            <v>30</v>
          </cell>
          <cell r="N96">
            <v>20</v>
          </cell>
        </row>
        <row r="97">
          <cell r="B97" t="str">
            <v>DD-J10-05346-3-Z</v>
          </cell>
          <cell r="D97" t="str">
            <v>C</v>
          </cell>
          <cell r="E97" t="str">
            <v>工序内容</v>
          </cell>
          <cell r="F97" t="str">
            <v>0/领料</v>
          </cell>
          <cell r="G97" t="str">
            <v>5/数铣</v>
          </cell>
          <cell r="H97" t="str">
            <v>10/超声波</v>
          </cell>
          <cell r="I97" t="str">
            <v>15/线切割</v>
          </cell>
          <cell r="J97" t="str">
            <v>16/数铣</v>
          </cell>
          <cell r="K97" t="str">
            <v>19/线切割</v>
          </cell>
          <cell r="L97" t="str">
            <v>20/数铣5</v>
          </cell>
          <cell r="M97" t="str">
            <v>25/数铣90</v>
          </cell>
          <cell r="N97" t="str">
            <v>30/数铣25</v>
          </cell>
          <cell r="O97" t="str">
            <v>33/数铣20</v>
          </cell>
          <cell r="P97" t="str">
            <v>35/数铣10</v>
          </cell>
          <cell r="Q97" t="str">
            <v>45/钳工</v>
          </cell>
          <cell r="R97" t="str">
            <v>50/清洗</v>
          </cell>
          <cell r="S97" t="str">
            <v>55/成检</v>
          </cell>
        </row>
        <row r="98">
          <cell r="B98" t="str">
            <v>DD-J10-05346-3-Z</v>
          </cell>
          <cell r="D98" t="str">
            <v>C</v>
          </cell>
          <cell r="E98" t="str">
            <v>准备工时</v>
          </cell>
          <cell r="G98">
            <v>60</v>
          </cell>
          <cell r="H98">
            <v>60</v>
          </cell>
          <cell r="J98">
            <v>60</v>
          </cell>
          <cell r="L98">
            <v>60</v>
          </cell>
          <cell r="M98">
            <v>90</v>
          </cell>
          <cell r="N98">
            <v>60</v>
          </cell>
          <cell r="O98">
            <v>60</v>
          </cell>
          <cell r="P98">
            <v>60</v>
          </cell>
        </row>
        <row r="99">
          <cell r="B99" t="str">
            <v>DD-J10-05346-3-Z</v>
          </cell>
          <cell r="D99" t="str">
            <v>C</v>
          </cell>
          <cell r="E99" t="str">
            <v>装夹时间</v>
          </cell>
          <cell r="O99">
            <v>60</v>
          </cell>
          <cell r="P99">
            <v>60</v>
          </cell>
        </row>
        <row r="100">
          <cell r="B100" t="str">
            <v>DD-J10-05346-3-Z</v>
          </cell>
          <cell r="D100" t="str">
            <v>C</v>
          </cell>
          <cell r="E100" t="str">
            <v>程序时间</v>
          </cell>
          <cell r="G100">
            <v>180</v>
          </cell>
          <cell r="H100">
            <v>180</v>
          </cell>
          <cell r="J100">
            <v>30</v>
          </cell>
          <cell r="K100">
            <v>60</v>
          </cell>
          <cell r="L100">
            <v>15</v>
          </cell>
          <cell r="M100">
            <v>160</v>
          </cell>
          <cell r="N100">
            <v>50</v>
          </cell>
          <cell r="O100">
            <v>40</v>
          </cell>
          <cell r="P100">
            <v>30</v>
          </cell>
          <cell r="Q100">
            <v>120</v>
          </cell>
        </row>
        <row r="101">
          <cell r="B101" t="str">
            <v>DD-J10-05346-3-Y</v>
          </cell>
          <cell r="D101" t="str">
            <v>C</v>
          </cell>
          <cell r="E101" t="str">
            <v>工序内容</v>
          </cell>
          <cell r="F101" t="str">
            <v>0/领料</v>
          </cell>
          <cell r="G101" t="str">
            <v>5/数铣</v>
          </cell>
          <cell r="H101" t="str">
            <v>10/超声波</v>
          </cell>
          <cell r="I101" t="str">
            <v>15/线切割</v>
          </cell>
          <cell r="J101" t="str">
            <v>16/数铣</v>
          </cell>
          <cell r="K101" t="str">
            <v>19/线切割</v>
          </cell>
          <cell r="L101" t="str">
            <v>20/数铣5</v>
          </cell>
          <cell r="M101" t="str">
            <v>25/数铣90</v>
          </cell>
          <cell r="N101" t="str">
            <v>30/数铣25</v>
          </cell>
          <cell r="O101" t="str">
            <v>33/数铣20</v>
          </cell>
          <cell r="P101" t="str">
            <v>35/数铣10</v>
          </cell>
          <cell r="Q101" t="str">
            <v>45/钳工</v>
          </cell>
          <cell r="R101" t="str">
            <v>50/清洗</v>
          </cell>
          <cell r="S101" t="str">
            <v>55/成检</v>
          </cell>
        </row>
        <row r="102">
          <cell r="B102" t="str">
            <v>DD-J10-05346-3-Y</v>
          </cell>
          <cell r="D102" t="str">
            <v>C</v>
          </cell>
          <cell r="E102" t="str">
            <v>准备工时</v>
          </cell>
          <cell r="G102">
            <v>60</v>
          </cell>
          <cell r="H102">
            <v>60</v>
          </cell>
          <cell r="J102">
            <v>60</v>
          </cell>
          <cell r="L102">
            <v>60</v>
          </cell>
          <cell r="M102">
            <v>90</v>
          </cell>
          <cell r="N102">
            <v>60</v>
          </cell>
          <cell r="O102">
            <v>60</v>
          </cell>
          <cell r="P102">
            <v>60</v>
          </cell>
        </row>
        <row r="103">
          <cell r="B103" t="str">
            <v>DD-J10-05346-3-Y</v>
          </cell>
          <cell r="D103" t="str">
            <v>C</v>
          </cell>
          <cell r="E103" t="str">
            <v>装夹时间</v>
          </cell>
          <cell r="O103">
            <v>60</v>
          </cell>
          <cell r="P103">
            <v>60</v>
          </cell>
        </row>
        <row r="104">
          <cell r="B104" t="str">
            <v>DD-J10-05346-3-Y</v>
          </cell>
          <cell r="D104" t="str">
            <v>C</v>
          </cell>
          <cell r="E104" t="str">
            <v>程序时间</v>
          </cell>
          <cell r="G104">
            <v>180</v>
          </cell>
          <cell r="H104">
            <v>180</v>
          </cell>
          <cell r="J104">
            <v>30</v>
          </cell>
          <cell r="K104">
            <v>60</v>
          </cell>
          <cell r="L104">
            <v>15</v>
          </cell>
          <cell r="M104">
            <v>160</v>
          </cell>
          <cell r="N104">
            <v>50</v>
          </cell>
          <cell r="O104">
            <v>40</v>
          </cell>
          <cell r="P104">
            <v>30</v>
          </cell>
          <cell r="Q104">
            <v>120</v>
          </cell>
        </row>
        <row r="105">
          <cell r="B105" t="str">
            <v>DD-J10-05346-3-Z</v>
          </cell>
          <cell r="D105" t="str">
            <v>E</v>
          </cell>
          <cell r="E105" t="str">
            <v>工序内容</v>
          </cell>
          <cell r="F105" t="str">
            <v>0/领料</v>
          </cell>
          <cell r="G105" t="str">
            <v>5/数铣</v>
          </cell>
          <cell r="H105" t="str">
            <v>10/超声</v>
          </cell>
          <cell r="I105" t="str">
            <v>15/线切割</v>
          </cell>
          <cell r="J105" t="str">
            <v>20/数铣</v>
          </cell>
          <cell r="K105" t="str">
            <v>25/数铣</v>
          </cell>
          <cell r="L105" t="str">
            <v>30/数铣</v>
          </cell>
          <cell r="M105" t="str">
            <v>33/数铣</v>
          </cell>
          <cell r="N105" t="str">
            <v>35/数铣</v>
          </cell>
          <cell r="O105" t="str">
            <v>45/钳工</v>
          </cell>
          <cell r="P105" t="str">
            <v>50/清洗</v>
          </cell>
          <cell r="Q105" t="str">
            <v>55/成检</v>
          </cell>
        </row>
        <row r="106">
          <cell r="B106" t="str">
            <v>DD-J10-05346-3-Z</v>
          </cell>
          <cell r="D106" t="str">
            <v>E</v>
          </cell>
          <cell r="E106" t="str">
            <v>准备工时</v>
          </cell>
          <cell r="G106">
            <v>60</v>
          </cell>
          <cell r="J106">
            <v>60</v>
          </cell>
          <cell r="K106">
            <v>90</v>
          </cell>
          <cell r="L106">
            <v>60</v>
          </cell>
          <cell r="M106">
            <v>60</v>
          </cell>
          <cell r="N106">
            <v>60</v>
          </cell>
        </row>
        <row r="107">
          <cell r="B107" t="str">
            <v>DD-J10-05346-3-Z</v>
          </cell>
          <cell r="D107" t="str">
            <v>E</v>
          </cell>
          <cell r="E107" t="str">
            <v>装夹时间</v>
          </cell>
        </row>
        <row r="108">
          <cell r="B108" t="str">
            <v>DD-J10-05346-3-Z</v>
          </cell>
          <cell r="D108" t="str">
            <v>E</v>
          </cell>
          <cell r="E108" t="str">
            <v>程序时间</v>
          </cell>
          <cell r="G108">
            <v>180</v>
          </cell>
          <cell r="J108">
            <v>60</v>
          </cell>
          <cell r="K108">
            <v>160</v>
          </cell>
          <cell r="L108">
            <v>75</v>
          </cell>
          <cell r="M108">
            <v>90</v>
          </cell>
          <cell r="N108">
            <v>60</v>
          </cell>
          <cell r="O108">
            <v>120</v>
          </cell>
        </row>
        <row r="109">
          <cell r="B109" t="str">
            <v>DD-J10-05346-3-Z</v>
          </cell>
          <cell r="D109" t="str">
            <v>E</v>
          </cell>
          <cell r="E109" t="str">
            <v>工序内容</v>
          </cell>
          <cell r="F109" t="str">
            <v>0/领料</v>
          </cell>
          <cell r="G109" t="str">
            <v>5/数铣</v>
          </cell>
          <cell r="H109" t="str">
            <v>10/超声</v>
          </cell>
          <cell r="I109" t="str">
            <v>15/线切割</v>
          </cell>
          <cell r="J109" t="str">
            <v>20/数铣</v>
          </cell>
          <cell r="K109" t="str">
            <v>25/数铣</v>
          </cell>
          <cell r="L109" t="str">
            <v>30/数铣</v>
          </cell>
          <cell r="M109" t="str">
            <v>33/数铣</v>
          </cell>
          <cell r="N109" t="str">
            <v>35/数铣</v>
          </cell>
          <cell r="O109" t="str">
            <v>45/钳工</v>
          </cell>
          <cell r="P109" t="str">
            <v>50/清洗</v>
          </cell>
          <cell r="Q109" t="str">
            <v>55/成检</v>
          </cell>
        </row>
        <row r="110">
          <cell r="B110" t="str">
            <v>DD-J10-05346-3-Z</v>
          </cell>
          <cell r="D110" t="str">
            <v>E</v>
          </cell>
          <cell r="E110" t="str">
            <v>准备工时</v>
          </cell>
          <cell r="G110">
            <v>60</v>
          </cell>
          <cell r="J110">
            <v>60</v>
          </cell>
          <cell r="K110">
            <v>90</v>
          </cell>
          <cell r="L110">
            <v>60</v>
          </cell>
          <cell r="M110">
            <v>60</v>
          </cell>
          <cell r="N110">
            <v>60</v>
          </cell>
        </row>
        <row r="111">
          <cell r="B111" t="str">
            <v>DD-J10-05346-3-Z</v>
          </cell>
          <cell r="D111" t="str">
            <v>E</v>
          </cell>
          <cell r="E111" t="str">
            <v>装夹时间</v>
          </cell>
        </row>
        <row r="112">
          <cell r="B112" t="str">
            <v>DD-J10-05346-3-Z</v>
          </cell>
          <cell r="D112" t="str">
            <v>E</v>
          </cell>
          <cell r="E112" t="str">
            <v>程序时间</v>
          </cell>
          <cell r="G112">
            <v>180</v>
          </cell>
          <cell r="J112">
            <v>60</v>
          </cell>
          <cell r="K112">
            <v>160</v>
          </cell>
          <cell r="L112">
            <v>75</v>
          </cell>
          <cell r="M112">
            <v>90</v>
          </cell>
          <cell r="N112">
            <v>60</v>
          </cell>
          <cell r="O112">
            <v>120</v>
          </cell>
        </row>
        <row r="113">
          <cell r="B113" t="str">
            <v>DD-J10B-61201-12</v>
          </cell>
          <cell r="D113" t="str">
            <v>E</v>
          </cell>
          <cell r="E113" t="str">
            <v>工序内容</v>
          </cell>
          <cell r="F113" t="str">
            <v>0/领料</v>
          </cell>
          <cell r="G113" t="str">
            <v>5/普车20</v>
          </cell>
          <cell r="H113" t="str">
            <v>10/分光</v>
          </cell>
          <cell r="I113" t="str">
            <v>15/硬度</v>
          </cell>
          <cell r="J113" t="str">
            <v>20/数车35</v>
          </cell>
          <cell r="K113" t="str">
            <v>25/数车5</v>
          </cell>
          <cell r="L113" t="str">
            <v>30/数铣20</v>
          </cell>
          <cell r="M113" t="str">
            <v>35/钳工</v>
          </cell>
          <cell r="N113" t="str">
            <v>40/清洁</v>
          </cell>
          <cell r="O113" t="str">
            <v>45/成检</v>
          </cell>
        </row>
        <row r="114">
          <cell r="B114" t="str">
            <v>DD-J10B-61201-12</v>
          </cell>
          <cell r="D114" t="str">
            <v>E</v>
          </cell>
          <cell r="E114" t="str">
            <v>准备工时</v>
          </cell>
          <cell r="G114">
            <v>60</v>
          </cell>
          <cell r="J114">
            <v>90</v>
          </cell>
          <cell r="K114">
            <v>120</v>
          </cell>
          <cell r="L114">
            <v>60</v>
          </cell>
        </row>
        <row r="115">
          <cell r="B115" t="str">
            <v>DD-J10B-61201-12</v>
          </cell>
          <cell r="D115" t="str">
            <v>E</v>
          </cell>
          <cell r="E115" t="str">
            <v>装夹时间</v>
          </cell>
        </row>
        <row r="116">
          <cell r="B116" t="str">
            <v>DD-J10B-61201-12</v>
          </cell>
          <cell r="D116" t="str">
            <v>E</v>
          </cell>
          <cell r="E116" t="str">
            <v>程序时间</v>
          </cell>
          <cell r="G116">
            <v>30</v>
          </cell>
          <cell r="J116">
            <v>50</v>
          </cell>
          <cell r="K116">
            <v>10</v>
          </cell>
          <cell r="L116">
            <v>30</v>
          </cell>
          <cell r="M116" t="str">
            <v>20</v>
          </cell>
        </row>
        <row r="117">
          <cell r="B117" t="str">
            <v>531A9100-007-001</v>
          </cell>
          <cell r="D117" t="str">
            <v>B</v>
          </cell>
          <cell r="E117" t="str">
            <v>工序内容</v>
          </cell>
          <cell r="F117" t="str">
            <v>0/领料</v>
          </cell>
          <cell r="G117" t="str">
            <v>05/下料</v>
          </cell>
          <cell r="H117" t="str">
            <v>10/数铣</v>
          </cell>
          <cell r="I117" t="str">
            <v>15/数铣25</v>
          </cell>
          <cell r="J117" t="str">
            <v>20/数铣</v>
          </cell>
          <cell r="K117" t="str">
            <v>25/数铣10</v>
          </cell>
          <cell r="L117" t="str">
            <v>30/线切割</v>
          </cell>
          <cell r="M117" t="str">
            <v>35/数铣80</v>
          </cell>
          <cell r="N117" t="str">
            <v>40/数铣75</v>
          </cell>
          <cell r="O117" t="str">
            <v>45/数铣90</v>
          </cell>
          <cell r="P117" t="str">
            <v>50/数铣10</v>
          </cell>
          <cell r="Q117" t="str">
            <v>55/数铣10</v>
          </cell>
          <cell r="R117" t="str">
            <v>60/数铣10</v>
          </cell>
          <cell r="S117" t="str">
            <v>65/钳工</v>
          </cell>
          <cell r="T117" t="str">
            <v>70/测量</v>
          </cell>
          <cell r="U117" t="str">
            <v>75/清洁</v>
          </cell>
          <cell r="V117" t="str">
            <v>80/成检</v>
          </cell>
        </row>
        <row r="118">
          <cell r="B118" t="str">
            <v>531A9100-007-001</v>
          </cell>
          <cell r="D118" t="str">
            <v>B</v>
          </cell>
          <cell r="E118" t="str">
            <v>准备工时</v>
          </cell>
          <cell r="H118">
            <v>60</v>
          </cell>
          <cell r="I118">
            <v>60</v>
          </cell>
          <cell r="J118">
            <v>60</v>
          </cell>
          <cell r="K118">
            <v>60</v>
          </cell>
          <cell r="M118">
            <v>60</v>
          </cell>
          <cell r="N118">
            <v>60</v>
          </cell>
          <cell r="O118">
            <v>60</v>
          </cell>
          <cell r="P118">
            <v>60</v>
          </cell>
          <cell r="Q118">
            <v>60</v>
          </cell>
          <cell r="R118">
            <v>60</v>
          </cell>
        </row>
        <row r="119">
          <cell r="B119" t="str">
            <v>531A9100-007-001</v>
          </cell>
          <cell r="D119" t="str">
            <v>B</v>
          </cell>
          <cell r="E119" t="str">
            <v>装夹时间</v>
          </cell>
        </row>
        <row r="120">
          <cell r="B120" t="str">
            <v>531A9100-007-001</v>
          </cell>
          <cell r="D120" t="str">
            <v>B</v>
          </cell>
          <cell r="E120" t="str">
            <v>程序时间</v>
          </cell>
          <cell r="G120">
            <v>60</v>
          </cell>
          <cell r="H120">
            <v>25</v>
          </cell>
          <cell r="I120">
            <v>60</v>
          </cell>
          <cell r="J120">
            <v>30</v>
          </cell>
          <cell r="K120">
            <v>45</v>
          </cell>
          <cell r="L120" t="str">
            <v>20000平方</v>
          </cell>
          <cell r="M120">
            <v>120</v>
          </cell>
          <cell r="N120">
            <v>110</v>
          </cell>
          <cell r="O120">
            <v>130</v>
          </cell>
          <cell r="P120">
            <v>20</v>
          </cell>
          <cell r="Q120">
            <v>20</v>
          </cell>
          <cell r="R120">
            <v>20</v>
          </cell>
          <cell r="S120">
            <v>60</v>
          </cell>
        </row>
        <row r="121">
          <cell r="B121" t="str">
            <v>531A9100-007-001</v>
          </cell>
          <cell r="D121" t="str">
            <v>C</v>
          </cell>
          <cell r="E121" t="str">
            <v>工序内容</v>
          </cell>
          <cell r="F121" t="str">
            <v>00/领料</v>
          </cell>
          <cell r="G121" t="str">
            <v>05/下料</v>
          </cell>
          <cell r="H121" t="str">
            <v>10/数铣</v>
          </cell>
          <cell r="I121" t="str">
            <v>15/数铣25</v>
          </cell>
          <cell r="J121" t="str">
            <v>20/数铣</v>
          </cell>
          <cell r="K121" t="str">
            <v>25/数铣30</v>
          </cell>
          <cell r="L121" t="str">
            <v>30/线切割</v>
          </cell>
          <cell r="M121" t="str">
            <v>35/数铣50</v>
          </cell>
          <cell r="N121" t="str">
            <v>40/数铣150</v>
          </cell>
          <cell r="O121" t="str">
            <v>45/数铣180</v>
          </cell>
          <cell r="P121" t="str">
            <v>50/数铣10</v>
          </cell>
          <cell r="Q121" t="str">
            <v>55/数铣10</v>
          </cell>
          <cell r="R121" t="str">
            <v>60/数铣20</v>
          </cell>
          <cell r="S121" t="str">
            <v>65/钳工</v>
          </cell>
          <cell r="T121" t="str">
            <v>70/测量</v>
          </cell>
          <cell r="U121" t="str">
            <v>75/清洁</v>
          </cell>
          <cell r="V121" t="str">
            <v>80/成检</v>
          </cell>
        </row>
        <row r="122">
          <cell r="B122" t="str">
            <v>531A9100-007-001</v>
          </cell>
          <cell r="D122" t="str">
            <v>C</v>
          </cell>
          <cell r="E122" t="str">
            <v>准备工时</v>
          </cell>
          <cell r="H122">
            <v>60</v>
          </cell>
          <cell r="I122">
            <v>60</v>
          </cell>
          <cell r="J122">
            <v>60</v>
          </cell>
          <cell r="K122">
            <v>60</v>
          </cell>
          <cell r="M122">
            <v>60</v>
          </cell>
          <cell r="N122">
            <v>120</v>
          </cell>
          <cell r="O122">
            <v>90</v>
          </cell>
          <cell r="P122">
            <v>60</v>
          </cell>
          <cell r="Q122">
            <v>60</v>
          </cell>
          <cell r="R122">
            <v>60</v>
          </cell>
        </row>
        <row r="123">
          <cell r="B123" t="str">
            <v>531A9100-007-001</v>
          </cell>
          <cell r="D123" t="str">
            <v>C</v>
          </cell>
          <cell r="E123" t="str">
            <v>程序时间</v>
          </cell>
          <cell r="G123">
            <v>60</v>
          </cell>
          <cell r="H123">
            <v>25</v>
          </cell>
          <cell r="I123">
            <v>60</v>
          </cell>
          <cell r="J123">
            <v>30</v>
          </cell>
          <cell r="K123">
            <v>45</v>
          </cell>
          <cell r="M123">
            <v>100</v>
          </cell>
          <cell r="N123">
            <v>240</v>
          </cell>
          <cell r="O123">
            <v>240</v>
          </cell>
          <cell r="P123">
            <v>30</v>
          </cell>
          <cell r="Q123">
            <v>30</v>
          </cell>
          <cell r="R123">
            <v>45</v>
          </cell>
          <cell r="S123">
            <v>60</v>
          </cell>
        </row>
        <row r="124">
          <cell r="B124" t="str">
            <v>CB2287717-003-001</v>
          </cell>
          <cell r="D124" t="str">
            <v>A</v>
          </cell>
          <cell r="E124" t="str">
            <v>工序内容</v>
          </cell>
          <cell r="F124" t="str">
            <v>0/领料</v>
          </cell>
          <cell r="G124" t="str">
            <v>05/下料</v>
          </cell>
          <cell r="H124" t="str">
            <v>10/普车</v>
          </cell>
          <cell r="I124" t="str">
            <v>15/数车</v>
          </cell>
          <cell r="J124" t="str">
            <v>20/数铣20</v>
          </cell>
          <cell r="K124" t="str">
            <v>25/分光</v>
          </cell>
          <cell r="L124" t="str">
            <v>30/数车</v>
          </cell>
          <cell r="M124" t="str">
            <v>35/数铣36</v>
          </cell>
          <cell r="N124" t="str">
            <v>40/穿孔</v>
          </cell>
          <cell r="O124" t="str">
            <v>45/钳工</v>
          </cell>
          <cell r="P124" t="str">
            <v>50/清洁</v>
          </cell>
          <cell r="Q124" t="str">
            <v>55/成检</v>
          </cell>
        </row>
        <row r="125">
          <cell r="B125" t="str">
            <v>CB2287717-003-001</v>
          </cell>
          <cell r="D125" t="str">
            <v>A</v>
          </cell>
          <cell r="E125" t="str">
            <v>准备工时</v>
          </cell>
          <cell r="H125">
            <v>60</v>
          </cell>
          <cell r="I125">
            <v>60</v>
          </cell>
          <cell r="J125">
            <v>60</v>
          </cell>
          <cell r="L125">
            <v>60</v>
          </cell>
          <cell r="M125">
            <v>90</v>
          </cell>
        </row>
        <row r="126">
          <cell r="B126" t="str">
            <v>CB2287717-003-001</v>
          </cell>
          <cell r="D126" t="str">
            <v>A</v>
          </cell>
          <cell r="E126" t="str">
            <v>装夹时间</v>
          </cell>
        </row>
        <row r="127">
          <cell r="B127" t="str">
            <v>CB2287717-003-001</v>
          </cell>
          <cell r="D127" t="str">
            <v>A</v>
          </cell>
          <cell r="E127" t="str">
            <v>程序时间</v>
          </cell>
          <cell r="H127">
            <v>20</v>
          </cell>
          <cell r="I127">
            <v>45</v>
          </cell>
          <cell r="J127">
            <v>30</v>
          </cell>
          <cell r="L127">
            <v>12</v>
          </cell>
          <cell r="M127">
            <v>70</v>
          </cell>
          <cell r="O127">
            <v>25</v>
          </cell>
        </row>
        <row r="128">
          <cell r="B128" t="str">
            <v>CB5322400-016-061</v>
          </cell>
          <cell r="D128" t="str">
            <v>D</v>
          </cell>
          <cell r="E128" t="str">
            <v>工序内容</v>
          </cell>
          <cell r="F128" t="str">
            <v>03/数铣</v>
          </cell>
          <cell r="G128" t="str">
            <v>05/数铣</v>
          </cell>
          <cell r="H128" t="str">
            <v>10/数铣</v>
          </cell>
          <cell r="I128" t="str">
            <v>15/数铣</v>
          </cell>
          <cell r="J128" t="str">
            <v>20/数铣</v>
          </cell>
          <cell r="K128" t="str">
            <v>25/数铣</v>
          </cell>
          <cell r="L128" t="str">
            <v>30/数铣</v>
          </cell>
          <cell r="M128" t="str">
            <v>35/数铣</v>
          </cell>
          <cell r="N128" t="str">
            <v>40/五轴</v>
          </cell>
          <cell r="O128" t="str">
            <v>45/五轴</v>
          </cell>
          <cell r="P128" t="str">
            <v>50/数铣</v>
          </cell>
          <cell r="Q128" t="str">
            <v>55/测量</v>
          </cell>
          <cell r="R128" t="str">
            <v>60/钳工</v>
          </cell>
          <cell r="S128" t="str">
            <v>65/清洁</v>
          </cell>
          <cell r="T128" t="str">
            <v>70/成检</v>
          </cell>
          <cell r="U128" t="str">
            <v>75/清洁</v>
          </cell>
          <cell r="V128" t="str">
            <v>80/入库</v>
          </cell>
        </row>
        <row r="129">
          <cell r="B129" t="str">
            <v>CB5322400-016-061</v>
          </cell>
          <cell r="D129" t="str">
            <v>D</v>
          </cell>
          <cell r="E129" t="str">
            <v>准备工时</v>
          </cell>
          <cell r="F129">
            <v>120</v>
          </cell>
          <cell r="G129">
            <v>120</v>
          </cell>
          <cell r="H129">
            <v>120</v>
          </cell>
          <cell r="I129">
            <v>120</v>
          </cell>
          <cell r="J129">
            <v>120</v>
          </cell>
          <cell r="K129">
            <v>120</v>
          </cell>
          <cell r="L129">
            <v>120</v>
          </cell>
          <cell r="M129">
            <v>120</v>
          </cell>
          <cell r="N129">
            <v>150</v>
          </cell>
          <cell r="O129">
            <v>150</v>
          </cell>
          <cell r="P129">
            <v>120</v>
          </cell>
        </row>
        <row r="130">
          <cell r="B130" t="str">
            <v>CB5322400-016-061</v>
          </cell>
          <cell r="D130" t="str">
            <v>D</v>
          </cell>
          <cell r="E130" t="str">
            <v>装夹时间</v>
          </cell>
          <cell r="F130">
            <v>60</v>
          </cell>
          <cell r="G130">
            <v>60</v>
          </cell>
          <cell r="H130">
            <v>60</v>
          </cell>
          <cell r="I130">
            <v>60</v>
          </cell>
          <cell r="J130">
            <v>60</v>
          </cell>
          <cell r="K130">
            <v>60</v>
          </cell>
          <cell r="L130">
            <v>60</v>
          </cell>
          <cell r="M130">
            <v>60</v>
          </cell>
          <cell r="N130">
            <v>75</v>
          </cell>
          <cell r="O130">
            <v>75</v>
          </cell>
          <cell r="P130">
            <v>60</v>
          </cell>
        </row>
        <row r="131">
          <cell r="B131" t="str">
            <v>CB5322400-016-061</v>
          </cell>
          <cell r="D131" t="str">
            <v>D</v>
          </cell>
          <cell r="E131" t="str">
            <v>程序时间</v>
          </cell>
          <cell r="F131">
            <v>60</v>
          </cell>
          <cell r="G131">
            <v>60</v>
          </cell>
          <cell r="H131">
            <v>110</v>
          </cell>
          <cell r="I131">
            <v>720</v>
          </cell>
          <cell r="J131">
            <v>80</v>
          </cell>
          <cell r="K131">
            <v>100</v>
          </cell>
          <cell r="L131">
            <v>100</v>
          </cell>
          <cell r="M131">
            <v>800</v>
          </cell>
          <cell r="N131">
            <v>150</v>
          </cell>
          <cell r="O131">
            <v>60</v>
          </cell>
          <cell r="P131">
            <v>110</v>
          </cell>
          <cell r="R131">
            <v>560</v>
          </cell>
        </row>
        <row r="132">
          <cell r="B132" t="str">
            <v>图号</v>
          </cell>
        </row>
        <row r="133">
          <cell r="B133" t="str">
            <v>BC5812600-001-001</v>
          </cell>
          <cell r="D133" t="str">
            <v>B</v>
          </cell>
          <cell r="E133" t="str">
            <v>工序内容</v>
          </cell>
          <cell r="F133" t="str">
            <v>0/领料</v>
          </cell>
          <cell r="G133" t="str">
            <v>05/数铣</v>
          </cell>
          <cell r="H133" t="str">
            <v>10/数铣</v>
          </cell>
          <cell r="I133" t="str">
            <v>15/数铣</v>
          </cell>
          <cell r="J133" t="str">
            <v>20/超声波</v>
          </cell>
          <cell r="K133" t="str">
            <v>25/数铣</v>
          </cell>
          <cell r="L133" t="str">
            <v>30/线切割</v>
          </cell>
          <cell r="M133" t="str">
            <v>35/线切割</v>
          </cell>
          <cell r="N133" t="str">
            <v>40/线切割</v>
          </cell>
          <cell r="O133" t="str">
            <v>45/数铣</v>
          </cell>
          <cell r="P133" t="str">
            <v>50/数铣</v>
          </cell>
          <cell r="Q133" t="str">
            <v>55/数铣</v>
          </cell>
          <cell r="R133" t="str">
            <v>60/数铣</v>
          </cell>
          <cell r="S133" t="str">
            <v>65/数铣</v>
          </cell>
          <cell r="T133" t="str">
            <v>70/钳工</v>
          </cell>
          <cell r="U133" t="str">
            <v>75/热处理</v>
          </cell>
          <cell r="V133" t="str">
            <v>80/数铣</v>
          </cell>
          <cell r="W133" t="str">
            <v>85/数铣</v>
          </cell>
          <cell r="X133" t="str">
            <v>90/钳工</v>
          </cell>
          <cell r="Y133" t="str">
            <v>95/线切割</v>
          </cell>
          <cell r="Z133" t="str">
            <v>100/数铣</v>
          </cell>
          <cell r="AA133" t="str">
            <v>105/数铣</v>
          </cell>
          <cell r="AB133" t="str">
            <v>110/数铣</v>
          </cell>
          <cell r="AC133" t="str">
            <v>115/数铣</v>
          </cell>
          <cell r="AD133" t="str">
            <v>120/钳工</v>
          </cell>
          <cell r="AE133" t="str">
            <v>120/钳工</v>
          </cell>
        </row>
        <row r="134">
          <cell r="B134" t="str">
            <v>BC5812600-001-001</v>
          </cell>
          <cell r="D134" t="str">
            <v>B</v>
          </cell>
          <cell r="E134" t="str">
            <v>准备工时</v>
          </cell>
          <cell r="G134">
            <v>60</v>
          </cell>
          <cell r="H134">
            <v>60</v>
          </cell>
          <cell r="I134">
            <v>60</v>
          </cell>
          <cell r="K134">
            <v>60</v>
          </cell>
          <cell r="O134">
            <v>60</v>
          </cell>
          <cell r="P134">
            <v>60</v>
          </cell>
          <cell r="Q134">
            <v>60</v>
          </cell>
          <cell r="R134">
            <v>60</v>
          </cell>
          <cell r="S134">
            <v>60</v>
          </cell>
          <cell r="V134">
            <v>60</v>
          </cell>
          <cell r="W134">
            <v>60</v>
          </cell>
          <cell r="Z134">
            <v>60</v>
          </cell>
          <cell r="AA134">
            <v>60</v>
          </cell>
          <cell r="AB134">
            <v>60</v>
          </cell>
          <cell r="AC134">
            <v>60</v>
          </cell>
        </row>
        <row r="135">
          <cell r="B135" t="str">
            <v>BC5812600-001-001</v>
          </cell>
          <cell r="D135" t="str">
            <v>B</v>
          </cell>
          <cell r="E135" t="str">
            <v>装夹时间</v>
          </cell>
        </row>
        <row r="136">
          <cell r="B136" t="str">
            <v>BC5812600-001-001</v>
          </cell>
          <cell r="D136" t="str">
            <v>B</v>
          </cell>
          <cell r="E136" t="str">
            <v>程序时间</v>
          </cell>
          <cell r="G136">
            <v>65</v>
          </cell>
          <cell r="H136">
            <v>160</v>
          </cell>
          <cell r="I136">
            <v>60</v>
          </cell>
          <cell r="K136">
            <v>60</v>
          </cell>
          <cell r="O136">
            <v>50</v>
          </cell>
          <cell r="P136">
            <v>35</v>
          </cell>
          <cell r="Q136">
            <v>35</v>
          </cell>
          <cell r="R136">
            <v>30</v>
          </cell>
          <cell r="S136">
            <v>20</v>
          </cell>
          <cell r="T136">
            <v>35</v>
          </cell>
          <cell r="V136">
            <v>25</v>
          </cell>
          <cell r="W136">
            <v>25</v>
          </cell>
          <cell r="X136">
            <v>35</v>
          </cell>
          <cell r="Z136">
            <v>40</v>
          </cell>
          <cell r="AA136">
            <v>40</v>
          </cell>
          <cell r="AB136">
            <v>20</v>
          </cell>
          <cell r="AC136">
            <v>20</v>
          </cell>
          <cell r="AD136">
            <v>40</v>
          </cell>
          <cell r="AE136">
            <v>40</v>
          </cell>
        </row>
        <row r="137">
          <cell r="B137" t="str">
            <v>DD-J10B-25002-30G2-1G2-Z</v>
          </cell>
          <cell r="D137" t="str">
            <v>E</v>
          </cell>
          <cell r="E137" t="str">
            <v>工序内容</v>
          </cell>
          <cell r="F137" t="str">
            <v>0/领料</v>
          </cell>
          <cell r="G137" t="str">
            <v>5/下料</v>
          </cell>
          <cell r="H137" t="str">
            <v>10/数铣</v>
          </cell>
          <cell r="I137" t="str">
            <v>15/数铣12</v>
          </cell>
          <cell r="J137" t="str">
            <v>20/数铣12</v>
          </cell>
          <cell r="K137" t="str">
            <v>25/数铣255</v>
          </cell>
          <cell r="L137" t="str">
            <v>30/数铣255</v>
          </cell>
          <cell r="M137" t="str">
            <v>35/数铣25</v>
          </cell>
          <cell r="N137" t="str">
            <v>40/数铣640</v>
          </cell>
          <cell r="O137" t="str">
            <v>45/五轴65</v>
          </cell>
          <cell r="P137" t="str">
            <v>50/五轴770</v>
          </cell>
          <cell r="Q137" t="str">
            <v>55/钳工</v>
          </cell>
          <cell r="R137" t="str">
            <v>60/铣试块</v>
          </cell>
          <cell r="S137" t="str">
            <v>65/测量</v>
          </cell>
          <cell r="T137" t="str">
            <v>70/清洁</v>
          </cell>
          <cell r="U137" t="str">
            <v>75/成检</v>
          </cell>
        </row>
        <row r="138">
          <cell r="B138" t="str">
            <v>DD-J10B-25002-30G2-1G2-Z</v>
          </cell>
          <cell r="D138" t="str">
            <v>E</v>
          </cell>
          <cell r="E138" t="str">
            <v>准备工时</v>
          </cell>
          <cell r="H138">
            <v>60</v>
          </cell>
          <cell r="I138">
            <v>60</v>
          </cell>
          <cell r="J138">
            <v>60</v>
          </cell>
          <cell r="K138">
            <v>120</v>
          </cell>
          <cell r="L138">
            <v>120</v>
          </cell>
          <cell r="M138">
            <v>60</v>
          </cell>
          <cell r="N138">
            <v>150</v>
          </cell>
          <cell r="O138">
            <v>120</v>
          </cell>
          <cell r="P138">
            <v>180</v>
          </cell>
        </row>
        <row r="139">
          <cell r="B139" t="str">
            <v>DD-J10B-25002-30G2-1G2-Z</v>
          </cell>
          <cell r="D139" t="str">
            <v>E</v>
          </cell>
          <cell r="E139" t="str">
            <v>装夹时间</v>
          </cell>
          <cell r="H139">
            <v>60</v>
          </cell>
          <cell r="I139">
            <v>60</v>
          </cell>
          <cell r="J139">
            <v>60</v>
          </cell>
          <cell r="K139">
            <v>90</v>
          </cell>
          <cell r="L139">
            <v>90</v>
          </cell>
          <cell r="M139">
            <v>90</v>
          </cell>
          <cell r="N139">
            <v>90</v>
          </cell>
          <cell r="O139">
            <v>120</v>
          </cell>
          <cell r="P139">
            <v>120</v>
          </cell>
          <cell r="Q139">
            <v>720</v>
          </cell>
        </row>
        <row r="140">
          <cell r="B140" t="str">
            <v>DD-J10B-25002-30G2-1G2-Z</v>
          </cell>
          <cell r="D140" t="str">
            <v>E</v>
          </cell>
          <cell r="E140" t="str">
            <v>程序时间</v>
          </cell>
          <cell r="H140">
            <v>120</v>
          </cell>
          <cell r="I140">
            <v>30</v>
          </cell>
          <cell r="J140">
            <v>30</v>
          </cell>
          <cell r="K140">
            <v>370</v>
          </cell>
          <cell r="L140">
            <v>330</v>
          </cell>
          <cell r="M140">
            <v>50</v>
          </cell>
          <cell r="N140">
            <v>840</v>
          </cell>
          <cell r="O140">
            <v>300</v>
          </cell>
          <cell r="P140">
            <v>1660</v>
          </cell>
        </row>
        <row r="141">
          <cell r="B141" t="str">
            <v>DD-J10B-25002-30G2-1G2-Y</v>
          </cell>
          <cell r="D141" t="str">
            <v>E</v>
          </cell>
          <cell r="E141" t="str">
            <v>工序内容</v>
          </cell>
          <cell r="F141" t="str">
            <v>0/领料</v>
          </cell>
          <cell r="G141" t="str">
            <v>5/下料</v>
          </cell>
          <cell r="H141" t="str">
            <v>10/数铣</v>
          </cell>
          <cell r="I141" t="str">
            <v>15/数铣12</v>
          </cell>
          <cell r="J141" t="str">
            <v>20/数铣12</v>
          </cell>
          <cell r="K141" t="str">
            <v>25/数铣255</v>
          </cell>
          <cell r="L141" t="str">
            <v>30/数铣255</v>
          </cell>
          <cell r="M141" t="str">
            <v>35/数铣25</v>
          </cell>
          <cell r="N141" t="str">
            <v>40/数铣640</v>
          </cell>
          <cell r="O141" t="str">
            <v>45/五轴65</v>
          </cell>
          <cell r="P141" t="str">
            <v>50/五轴770</v>
          </cell>
          <cell r="Q141" t="str">
            <v>55/钳工</v>
          </cell>
          <cell r="R141" t="str">
            <v>60/铣试块</v>
          </cell>
          <cell r="S141" t="str">
            <v>65/测量</v>
          </cell>
          <cell r="T141" t="str">
            <v>70/清洁</v>
          </cell>
          <cell r="U141" t="str">
            <v>75/成检</v>
          </cell>
        </row>
        <row r="142">
          <cell r="B142" t="str">
            <v>DD-J10B-25002-30G2-1G2-Y</v>
          </cell>
          <cell r="D142" t="str">
            <v>E</v>
          </cell>
          <cell r="E142" t="str">
            <v>准备工时</v>
          </cell>
          <cell r="H142">
            <v>60</v>
          </cell>
          <cell r="I142">
            <v>60</v>
          </cell>
          <cell r="J142">
            <v>60</v>
          </cell>
          <cell r="K142">
            <v>120</v>
          </cell>
          <cell r="L142">
            <v>120</v>
          </cell>
          <cell r="M142">
            <v>60</v>
          </cell>
          <cell r="N142">
            <v>150</v>
          </cell>
          <cell r="O142">
            <v>120</v>
          </cell>
          <cell r="P142">
            <v>180</v>
          </cell>
        </row>
        <row r="143">
          <cell r="B143" t="str">
            <v>DD-J10B-25002-30G2-1G2-Y</v>
          </cell>
          <cell r="D143" t="str">
            <v>E</v>
          </cell>
          <cell r="E143" t="str">
            <v>装夹时间</v>
          </cell>
          <cell r="H143">
            <v>60</v>
          </cell>
          <cell r="I143">
            <v>60</v>
          </cell>
          <cell r="J143">
            <v>60</v>
          </cell>
          <cell r="K143">
            <v>90</v>
          </cell>
          <cell r="L143">
            <v>90</v>
          </cell>
          <cell r="M143">
            <v>90</v>
          </cell>
          <cell r="N143">
            <v>90</v>
          </cell>
          <cell r="O143">
            <v>120</v>
          </cell>
          <cell r="P143">
            <v>120</v>
          </cell>
          <cell r="Q143">
            <v>720</v>
          </cell>
        </row>
        <row r="144">
          <cell r="B144" t="str">
            <v>DD-J10B-25002-30G2-1G2-Y</v>
          </cell>
          <cell r="D144" t="str">
            <v>E</v>
          </cell>
          <cell r="E144" t="str">
            <v>程序时间</v>
          </cell>
          <cell r="H144">
            <v>120</v>
          </cell>
          <cell r="I144">
            <v>30</v>
          </cell>
          <cell r="J144">
            <v>30</v>
          </cell>
          <cell r="K144">
            <v>370</v>
          </cell>
          <cell r="L144">
            <v>330</v>
          </cell>
          <cell r="M144">
            <v>50</v>
          </cell>
          <cell r="N144">
            <v>840</v>
          </cell>
          <cell r="O144">
            <v>300</v>
          </cell>
          <cell r="P144">
            <v>1660</v>
          </cell>
        </row>
        <row r="145">
          <cell r="B145" t="str">
            <v>DD-J10B-06061-22</v>
          </cell>
          <cell r="D145" t="str">
            <v>F</v>
          </cell>
          <cell r="E145" t="str">
            <v>工序内容</v>
          </cell>
          <cell r="F145" t="str">
            <v>0/领料</v>
          </cell>
          <cell r="G145" t="str">
            <v>5/数铣</v>
          </cell>
          <cell r="H145" t="str">
            <v>10/数铣20</v>
          </cell>
          <cell r="I145" t="str">
            <v>15/数铣180</v>
          </cell>
          <cell r="J145" t="str">
            <v>20/数铣210</v>
          </cell>
          <cell r="K145" t="str">
            <v>25/线切割</v>
          </cell>
          <cell r="L145" t="str">
            <v>30/数铣5</v>
          </cell>
          <cell r="M145" t="str">
            <v>35/钳工</v>
          </cell>
          <cell r="N145" t="str">
            <v>55/数铣15</v>
          </cell>
          <cell r="O145" t="str">
            <v>60/数铣25</v>
          </cell>
          <cell r="P145" t="str">
            <v>65/数铣5</v>
          </cell>
          <cell r="Q145" t="str">
            <v>70/钳工</v>
          </cell>
          <cell r="R145" t="str">
            <v>75/清洁</v>
          </cell>
          <cell r="S145" t="str">
            <v>80/成检</v>
          </cell>
        </row>
        <row r="146">
          <cell r="B146" t="str">
            <v>DD-J10B-06061-22</v>
          </cell>
          <cell r="D146" t="str">
            <v>F</v>
          </cell>
          <cell r="E146" t="str">
            <v>准备工时</v>
          </cell>
          <cell r="G146">
            <v>60</v>
          </cell>
          <cell r="H146">
            <v>60</v>
          </cell>
          <cell r="I146">
            <v>60</v>
          </cell>
          <cell r="J146">
            <v>60</v>
          </cell>
          <cell r="L146">
            <v>60</v>
          </cell>
          <cell r="N146" t="str">
            <v>60</v>
          </cell>
          <cell r="O146" t="str">
            <v>60</v>
          </cell>
          <cell r="P146" t="str">
            <v>60</v>
          </cell>
        </row>
        <row r="147">
          <cell r="B147" t="str">
            <v>DD-J10B-06061-22</v>
          </cell>
          <cell r="D147" t="str">
            <v>F</v>
          </cell>
          <cell r="E147" t="str">
            <v>装夹时间</v>
          </cell>
        </row>
        <row r="148">
          <cell r="B148" t="str">
            <v>DD-J10B-06061-22</v>
          </cell>
          <cell r="D148" t="str">
            <v>F</v>
          </cell>
          <cell r="E148" t="str">
            <v>程序时间</v>
          </cell>
          <cell r="G148">
            <v>60</v>
          </cell>
          <cell r="H148">
            <v>30</v>
          </cell>
          <cell r="I148">
            <v>220</v>
          </cell>
          <cell r="J148">
            <v>270</v>
          </cell>
          <cell r="K148">
            <v>300</v>
          </cell>
          <cell r="L148">
            <v>20</v>
          </cell>
          <cell r="M148">
            <v>35</v>
          </cell>
          <cell r="N148" t="str">
            <v>30</v>
          </cell>
          <cell r="O148" t="str">
            <v>50</v>
          </cell>
          <cell r="P148" t="str">
            <v>30</v>
          </cell>
          <cell r="Q148">
            <v>20</v>
          </cell>
        </row>
        <row r="149">
          <cell r="B149" t="str">
            <v>DD-J10B-06061-22</v>
          </cell>
          <cell r="D149" t="str">
            <v>G</v>
          </cell>
          <cell r="E149" t="str">
            <v>工序内容</v>
          </cell>
          <cell r="F149" t="str">
            <v>0/领料</v>
          </cell>
          <cell r="G149" t="str">
            <v>5/数铣</v>
          </cell>
          <cell r="H149" t="str">
            <v>10/数铣20</v>
          </cell>
          <cell r="I149" t="str">
            <v>15/数铣180</v>
          </cell>
          <cell r="J149" t="str">
            <v>20/数铣210</v>
          </cell>
          <cell r="K149" t="str">
            <v>25/线切割</v>
          </cell>
          <cell r="L149" t="str">
            <v>30/数铣5</v>
          </cell>
          <cell r="M149" t="str">
            <v>35/钳工</v>
          </cell>
          <cell r="N149" t="str">
            <v>40/分光</v>
          </cell>
          <cell r="O149" t="str">
            <v>45/热处理</v>
          </cell>
          <cell r="P149" t="str">
            <v>50/检验</v>
          </cell>
          <cell r="Q149" t="str">
            <v>55/数铣15</v>
          </cell>
          <cell r="R149" t="str">
            <v>60/数铣25</v>
          </cell>
          <cell r="S149" t="str">
            <v>65/数铣5</v>
          </cell>
          <cell r="T149" t="str">
            <v>70/钳工</v>
          </cell>
          <cell r="U149" t="str">
            <v>75/清洁</v>
          </cell>
          <cell r="V149" t="str">
            <v>80/成检</v>
          </cell>
        </row>
        <row r="150">
          <cell r="B150" t="str">
            <v>DD-J10B-06061-22</v>
          </cell>
          <cell r="D150" t="str">
            <v>G</v>
          </cell>
          <cell r="E150" t="str">
            <v>准备工时</v>
          </cell>
          <cell r="G150">
            <v>60</v>
          </cell>
          <cell r="H150">
            <v>60</v>
          </cell>
          <cell r="I150">
            <v>60</v>
          </cell>
          <cell r="J150">
            <v>90</v>
          </cell>
          <cell r="L150">
            <v>60</v>
          </cell>
          <cell r="Q150" t="str">
            <v>60</v>
          </cell>
          <cell r="R150" t="str">
            <v>60</v>
          </cell>
          <cell r="S150" t="str">
            <v>60</v>
          </cell>
        </row>
        <row r="151">
          <cell r="B151" t="str">
            <v>DD-J10B-06061-22</v>
          </cell>
          <cell r="D151" t="str">
            <v>G</v>
          </cell>
          <cell r="E151" t="str">
            <v>装夹时间</v>
          </cell>
        </row>
        <row r="152">
          <cell r="B152" t="str">
            <v>DD-J10B-06061-22</v>
          </cell>
          <cell r="D152" t="str">
            <v>G</v>
          </cell>
          <cell r="E152" t="str">
            <v>程序时间</v>
          </cell>
          <cell r="G152">
            <v>120</v>
          </cell>
          <cell r="H152">
            <v>45</v>
          </cell>
          <cell r="I152">
            <v>220</v>
          </cell>
          <cell r="J152">
            <v>270</v>
          </cell>
          <cell r="K152">
            <v>180</v>
          </cell>
          <cell r="L152">
            <v>20</v>
          </cell>
          <cell r="M152">
            <v>35</v>
          </cell>
          <cell r="Q152" t="str">
            <v>30</v>
          </cell>
          <cell r="R152" t="str">
            <v>50</v>
          </cell>
          <cell r="S152" t="str">
            <v>30</v>
          </cell>
          <cell r="T152">
            <v>20</v>
          </cell>
        </row>
        <row r="153">
          <cell r="B153" t="str">
            <v>CB2232N08-001-001</v>
          </cell>
          <cell r="D153" t="str">
            <v>B</v>
          </cell>
          <cell r="E153" t="str">
            <v>工序内容</v>
          </cell>
          <cell r="F153" t="str">
            <v>0/领料</v>
          </cell>
          <cell r="G153" t="str">
            <v>05/下料</v>
          </cell>
          <cell r="H153" t="str">
            <v>10/数铣</v>
          </cell>
          <cell r="I153" t="str">
            <v>15/数铣5</v>
          </cell>
          <cell r="J153" t="str">
            <v>20/钳工</v>
          </cell>
          <cell r="K153" t="str">
            <v>25/分光</v>
          </cell>
          <cell r="L153" t="str">
            <v>30/硬度</v>
          </cell>
          <cell r="M153" t="str">
            <v>35/检验</v>
          </cell>
          <cell r="N153" t="str">
            <v>40/数铣5</v>
          </cell>
          <cell r="O153" t="str">
            <v>45/数铣5</v>
          </cell>
          <cell r="P153" t="str">
            <v>50/钳工</v>
          </cell>
          <cell r="Q153" t="str">
            <v>55/清洁</v>
          </cell>
        </row>
        <row r="154">
          <cell r="B154" t="str">
            <v>CB2232N08-001-001</v>
          </cell>
          <cell r="D154" t="str">
            <v>B</v>
          </cell>
          <cell r="E154" t="str">
            <v>准备工时</v>
          </cell>
          <cell r="H154">
            <v>60</v>
          </cell>
          <cell r="I154">
            <v>60</v>
          </cell>
          <cell r="N154">
            <v>60</v>
          </cell>
          <cell r="O154">
            <v>60</v>
          </cell>
        </row>
        <row r="155">
          <cell r="B155" t="str">
            <v>CB2232N08-001-001</v>
          </cell>
          <cell r="D155" t="str">
            <v>B</v>
          </cell>
          <cell r="E155" t="str">
            <v>装夹时间</v>
          </cell>
        </row>
        <row r="156">
          <cell r="B156" t="str">
            <v>CB2232N08-001-001</v>
          </cell>
          <cell r="D156" t="str">
            <v>B</v>
          </cell>
          <cell r="E156" t="str">
            <v>程序时间</v>
          </cell>
          <cell r="H156">
            <v>40</v>
          </cell>
          <cell r="I156">
            <v>15</v>
          </cell>
          <cell r="J156">
            <v>10</v>
          </cell>
          <cell r="N156">
            <v>15</v>
          </cell>
          <cell r="O156">
            <v>12</v>
          </cell>
          <cell r="P156">
            <v>20</v>
          </cell>
        </row>
        <row r="157">
          <cell r="B157" t="str">
            <v>DD-J10B-02041-2-Z</v>
          </cell>
          <cell r="D157" t="str">
            <v>F</v>
          </cell>
          <cell r="E157" t="str">
            <v>工序内容</v>
          </cell>
          <cell r="F157" t="str">
            <v>3/钳工</v>
          </cell>
          <cell r="G157" t="str">
            <v>5/数铣</v>
          </cell>
          <cell r="H157" t="str">
            <v>10/数铣50</v>
          </cell>
          <cell r="I157" t="str">
            <v>15/数铣80</v>
          </cell>
          <cell r="J157" t="str">
            <v>20/数铣80</v>
          </cell>
          <cell r="K157" t="str">
            <v>25/数铣</v>
          </cell>
          <cell r="L157" t="str">
            <v>30/数铣120</v>
          </cell>
          <cell r="M157" t="str">
            <v>35/数铣300</v>
          </cell>
          <cell r="N157" t="str">
            <v>40/五轴120</v>
          </cell>
          <cell r="O157" t="str">
            <v>45/五轴60</v>
          </cell>
          <cell r="P157" t="str">
            <v>50/测量</v>
          </cell>
          <cell r="Q157" t="str">
            <v>55/钳工</v>
          </cell>
          <cell r="R157" t="str">
            <v>60/清洁</v>
          </cell>
          <cell r="S157" t="str">
            <v>65/成检</v>
          </cell>
        </row>
        <row r="158">
          <cell r="B158" t="str">
            <v>DD-J10B-02041-2-Z</v>
          </cell>
          <cell r="D158" t="str">
            <v>F</v>
          </cell>
          <cell r="E158" t="str">
            <v>准备工时</v>
          </cell>
          <cell r="F158">
            <v>60</v>
          </cell>
          <cell r="G158">
            <v>60</v>
          </cell>
          <cell r="H158">
            <v>90</v>
          </cell>
          <cell r="I158">
            <v>90</v>
          </cell>
          <cell r="J158">
            <v>90</v>
          </cell>
          <cell r="K158">
            <v>60</v>
          </cell>
          <cell r="L158">
            <v>90</v>
          </cell>
          <cell r="M158">
            <v>100</v>
          </cell>
          <cell r="N158">
            <v>210</v>
          </cell>
          <cell r="O158">
            <v>210</v>
          </cell>
        </row>
        <row r="159">
          <cell r="B159" t="str">
            <v>DD-J10B-02041-2-Z</v>
          </cell>
          <cell r="D159" t="str">
            <v>F</v>
          </cell>
          <cell r="E159" t="str">
            <v>装夹时间</v>
          </cell>
          <cell r="N159">
            <v>90</v>
          </cell>
          <cell r="O159">
            <v>90</v>
          </cell>
        </row>
        <row r="160">
          <cell r="B160" t="str">
            <v>DD-J10B-02041-2-Z</v>
          </cell>
          <cell r="D160" t="str">
            <v>F</v>
          </cell>
          <cell r="E160" t="str">
            <v>程序时间</v>
          </cell>
          <cell r="F160">
            <v>40</v>
          </cell>
          <cell r="G160">
            <v>120</v>
          </cell>
          <cell r="H160">
            <v>90</v>
          </cell>
          <cell r="I160">
            <v>120</v>
          </cell>
          <cell r="J160">
            <v>120</v>
          </cell>
          <cell r="K160">
            <v>90</v>
          </cell>
          <cell r="L160">
            <v>180</v>
          </cell>
          <cell r="M160">
            <v>390</v>
          </cell>
          <cell r="N160">
            <v>270</v>
          </cell>
          <cell r="O160">
            <v>150</v>
          </cell>
          <cell r="Q160">
            <v>240</v>
          </cell>
        </row>
        <row r="161">
          <cell r="B161" t="str">
            <v>DD-J10B-02041-2-Y</v>
          </cell>
          <cell r="D161" t="str">
            <v>F</v>
          </cell>
          <cell r="E161" t="str">
            <v>工序内容</v>
          </cell>
          <cell r="F161" t="str">
            <v>3/钳工</v>
          </cell>
          <cell r="G161" t="str">
            <v>5/数铣</v>
          </cell>
          <cell r="H161" t="str">
            <v>10/数铣50</v>
          </cell>
          <cell r="I161" t="str">
            <v>15/数铣80</v>
          </cell>
          <cell r="J161" t="str">
            <v>20/数铣80</v>
          </cell>
          <cell r="K161" t="str">
            <v>25/数铣</v>
          </cell>
          <cell r="L161" t="str">
            <v>30/数铣120</v>
          </cell>
          <cell r="M161" t="str">
            <v>35/数铣300</v>
          </cell>
          <cell r="N161" t="str">
            <v>40/五轴120</v>
          </cell>
          <cell r="O161" t="str">
            <v>45/五轴60</v>
          </cell>
          <cell r="P161" t="str">
            <v>50/测量</v>
          </cell>
          <cell r="Q161" t="str">
            <v>55/钳工</v>
          </cell>
          <cell r="R161" t="str">
            <v>60/清洁</v>
          </cell>
          <cell r="S161" t="str">
            <v>65/成检</v>
          </cell>
        </row>
        <row r="162">
          <cell r="B162" t="str">
            <v>DD-J10B-02041-2-Y</v>
          </cell>
          <cell r="D162" t="str">
            <v>F</v>
          </cell>
          <cell r="E162" t="str">
            <v>准备工时</v>
          </cell>
          <cell r="F162">
            <v>60</v>
          </cell>
          <cell r="G162">
            <v>60</v>
          </cell>
          <cell r="H162">
            <v>90</v>
          </cell>
          <cell r="I162">
            <v>90</v>
          </cell>
          <cell r="J162">
            <v>90</v>
          </cell>
          <cell r="K162">
            <v>60</v>
          </cell>
          <cell r="L162">
            <v>90</v>
          </cell>
          <cell r="M162">
            <v>100</v>
          </cell>
          <cell r="N162">
            <v>210</v>
          </cell>
          <cell r="O162">
            <v>210</v>
          </cell>
        </row>
        <row r="163">
          <cell r="B163" t="str">
            <v>DD-J10B-02041-2-Y</v>
          </cell>
          <cell r="D163" t="str">
            <v>F</v>
          </cell>
          <cell r="E163" t="str">
            <v>装夹时间</v>
          </cell>
          <cell r="N163">
            <v>90</v>
          </cell>
          <cell r="O163">
            <v>90</v>
          </cell>
        </row>
        <row r="164">
          <cell r="B164" t="str">
            <v>DD-J10B-02041-2-Y</v>
          </cell>
          <cell r="D164" t="str">
            <v>F</v>
          </cell>
          <cell r="E164" t="str">
            <v>程序时间</v>
          </cell>
          <cell r="F164">
            <v>40</v>
          </cell>
          <cell r="G164">
            <v>120</v>
          </cell>
          <cell r="H164">
            <v>90</v>
          </cell>
          <cell r="I164">
            <v>120</v>
          </cell>
          <cell r="J164">
            <v>120</v>
          </cell>
          <cell r="K164">
            <v>90</v>
          </cell>
          <cell r="L164">
            <v>180</v>
          </cell>
          <cell r="M164">
            <v>390</v>
          </cell>
          <cell r="N164">
            <v>270</v>
          </cell>
          <cell r="O164">
            <v>150</v>
          </cell>
          <cell r="Q164">
            <v>240</v>
          </cell>
        </row>
        <row r="165">
          <cell r="B165" t="str">
            <v>BC2563130-002-001</v>
          </cell>
          <cell r="D165" t="str">
            <v>B</v>
          </cell>
          <cell r="E165" t="str">
            <v>工序内容</v>
          </cell>
          <cell r="F165" t="str">
            <v>0/领料</v>
          </cell>
          <cell r="G165" t="str">
            <v>5/下料</v>
          </cell>
          <cell r="H165" t="str">
            <v>10/数铣</v>
          </cell>
          <cell r="I165" t="str">
            <v>15/数车34</v>
          </cell>
          <cell r="J165" t="str">
            <v>20/数铣46</v>
          </cell>
          <cell r="K165" t="str">
            <v>25/数铣5</v>
          </cell>
          <cell r="L165" t="str">
            <v>30/数铣16</v>
          </cell>
          <cell r="M165" t="str">
            <v>35/数铣71</v>
          </cell>
          <cell r="N165" t="str">
            <v>40/分光</v>
          </cell>
          <cell r="O165" t="str">
            <v>45/硬检</v>
          </cell>
          <cell r="P165" t="str">
            <v>50/钳工</v>
          </cell>
          <cell r="Q165" t="str">
            <v>55/线切割</v>
          </cell>
          <cell r="R165" t="str">
            <v>60/线切割</v>
          </cell>
          <cell r="S165" t="str">
            <v>65/钳工</v>
          </cell>
          <cell r="T165" t="str">
            <v>70/清洁</v>
          </cell>
          <cell r="U165" t="str">
            <v>75/成检</v>
          </cell>
        </row>
        <row r="166">
          <cell r="B166" t="str">
            <v>BC2563130-002-001</v>
          </cell>
          <cell r="D166" t="str">
            <v>B</v>
          </cell>
          <cell r="E166" t="str">
            <v>准备工时</v>
          </cell>
          <cell r="H166">
            <v>60</v>
          </cell>
          <cell r="I166">
            <v>60</v>
          </cell>
          <cell r="J166">
            <v>60</v>
          </cell>
          <cell r="K166">
            <v>90</v>
          </cell>
          <cell r="L166">
            <v>60</v>
          </cell>
          <cell r="M166">
            <v>60</v>
          </cell>
        </row>
        <row r="167">
          <cell r="B167" t="str">
            <v>BC2563130-002-001</v>
          </cell>
          <cell r="D167" t="str">
            <v>B</v>
          </cell>
          <cell r="E167" t="str">
            <v>装夹时间</v>
          </cell>
        </row>
        <row r="168">
          <cell r="B168" t="str">
            <v>BC2563130-002-001</v>
          </cell>
          <cell r="D168" t="str">
            <v>B</v>
          </cell>
          <cell r="E168" t="str">
            <v>程序时间</v>
          </cell>
          <cell r="G168">
            <v>20</v>
          </cell>
          <cell r="H168">
            <v>30</v>
          </cell>
          <cell r="I168">
            <v>50</v>
          </cell>
          <cell r="J168">
            <v>75</v>
          </cell>
          <cell r="K168">
            <v>10</v>
          </cell>
          <cell r="L168">
            <v>30</v>
          </cell>
          <cell r="M168">
            <v>100</v>
          </cell>
          <cell r="P168">
            <v>35</v>
          </cell>
          <cell r="Q168">
            <v>20</v>
          </cell>
          <cell r="R168">
            <v>20</v>
          </cell>
          <cell r="S168">
            <v>25</v>
          </cell>
        </row>
        <row r="169">
          <cell r="B169" t="str">
            <v>DD-J10B-21402-90G2-1G2-Z</v>
          </cell>
          <cell r="D169" t="str">
            <v>G</v>
          </cell>
          <cell r="E169" t="str">
            <v>工序内容</v>
          </cell>
          <cell r="F169" t="str">
            <v>00/领料</v>
          </cell>
          <cell r="G169" t="str">
            <v>5/钳工</v>
          </cell>
          <cell r="H169" t="str">
            <v>10/数铣60</v>
          </cell>
          <cell r="I169" t="str">
            <v>15/数铣370</v>
          </cell>
          <cell r="J169" t="str">
            <v>20/数铣170</v>
          </cell>
          <cell r="K169" t="str">
            <v>25/修面</v>
          </cell>
          <cell r="L169" t="str">
            <v>30/数铣280</v>
          </cell>
          <cell r="M169" t="str">
            <v>35/五轴480</v>
          </cell>
          <cell r="N169" t="str">
            <v>40/测量</v>
          </cell>
          <cell r="O169" t="str">
            <v>45/钳工试块</v>
          </cell>
          <cell r="P169" t="str">
            <v>50/钳工</v>
          </cell>
          <cell r="Q169" t="str">
            <v>55/清洁</v>
          </cell>
          <cell r="R169" t="str">
            <v>60/成检</v>
          </cell>
        </row>
        <row r="170">
          <cell r="B170" t="str">
            <v>DD-J10B-21402-90G2-1G2-Z</v>
          </cell>
          <cell r="D170" t="str">
            <v>G</v>
          </cell>
          <cell r="E170" t="str">
            <v>准备工时</v>
          </cell>
          <cell r="G170">
            <v>60</v>
          </cell>
          <cell r="H170">
            <v>60</v>
          </cell>
          <cell r="I170">
            <v>60</v>
          </cell>
          <cell r="J170">
            <v>60</v>
          </cell>
          <cell r="K170">
            <v>60</v>
          </cell>
          <cell r="L170">
            <v>150</v>
          </cell>
          <cell r="M170">
            <v>150</v>
          </cell>
        </row>
        <row r="171">
          <cell r="B171" t="str">
            <v>DD-J10B-21402-90G2-1G2-Z</v>
          </cell>
          <cell r="D171" t="str">
            <v>G</v>
          </cell>
          <cell r="E171" t="str">
            <v>装夹时间</v>
          </cell>
          <cell r="H171">
            <v>60</v>
          </cell>
          <cell r="I171">
            <v>60</v>
          </cell>
          <cell r="J171">
            <v>60</v>
          </cell>
          <cell r="K171">
            <v>60</v>
          </cell>
          <cell r="L171">
            <v>60</v>
          </cell>
          <cell r="M171">
            <v>90</v>
          </cell>
        </row>
        <row r="172">
          <cell r="B172" t="str">
            <v>DD-J10B-21402-90G2-1G2-Z</v>
          </cell>
          <cell r="D172" t="str">
            <v>G</v>
          </cell>
          <cell r="E172" t="str">
            <v>程序时间</v>
          </cell>
          <cell r="G172">
            <v>30</v>
          </cell>
          <cell r="H172">
            <v>120</v>
          </cell>
          <cell r="I172">
            <v>450</v>
          </cell>
          <cell r="J172">
            <v>220</v>
          </cell>
          <cell r="K172">
            <v>60</v>
          </cell>
          <cell r="L172">
            <v>340</v>
          </cell>
          <cell r="M172">
            <v>900</v>
          </cell>
          <cell r="O172">
            <v>10</v>
          </cell>
          <cell r="P172">
            <v>360</v>
          </cell>
        </row>
        <row r="173">
          <cell r="B173" t="str">
            <v>DD-J10B-21402-90G2-1G2-Y</v>
          </cell>
          <cell r="D173" t="str">
            <v>G</v>
          </cell>
          <cell r="E173" t="str">
            <v>工序内容</v>
          </cell>
          <cell r="F173" t="str">
            <v>00/领料</v>
          </cell>
          <cell r="G173" t="str">
            <v>5/钳工</v>
          </cell>
          <cell r="H173" t="str">
            <v>10/数铣60</v>
          </cell>
          <cell r="I173" t="str">
            <v>15/数铣370</v>
          </cell>
          <cell r="J173" t="str">
            <v>20/数铣170</v>
          </cell>
          <cell r="K173" t="str">
            <v>25/修面</v>
          </cell>
          <cell r="L173" t="str">
            <v>30/数铣280</v>
          </cell>
          <cell r="M173" t="str">
            <v>35/五轴480</v>
          </cell>
          <cell r="N173" t="str">
            <v>40/测量</v>
          </cell>
          <cell r="O173" t="str">
            <v>45/钳工试块</v>
          </cell>
          <cell r="P173" t="str">
            <v>50/钳工</v>
          </cell>
          <cell r="Q173" t="str">
            <v>55/清洁</v>
          </cell>
          <cell r="R173" t="str">
            <v>60/成检</v>
          </cell>
        </row>
        <row r="174">
          <cell r="B174" t="str">
            <v>DD-J10B-21402-90G2-1G2-Y</v>
          </cell>
          <cell r="D174" t="str">
            <v>G</v>
          </cell>
          <cell r="E174" t="str">
            <v>准备工时</v>
          </cell>
          <cell r="G174">
            <v>60</v>
          </cell>
          <cell r="H174">
            <v>60</v>
          </cell>
          <cell r="I174">
            <v>60</v>
          </cell>
          <cell r="J174">
            <v>60</v>
          </cell>
          <cell r="K174">
            <v>60</v>
          </cell>
          <cell r="L174">
            <v>150</v>
          </cell>
          <cell r="M174">
            <v>150</v>
          </cell>
        </row>
        <row r="175">
          <cell r="B175" t="str">
            <v>DD-J10B-21402-90G2-1G2-Y</v>
          </cell>
          <cell r="D175" t="str">
            <v>G</v>
          </cell>
          <cell r="E175" t="str">
            <v>装夹时间</v>
          </cell>
          <cell r="H175">
            <v>60</v>
          </cell>
          <cell r="I175">
            <v>60</v>
          </cell>
          <cell r="J175">
            <v>60</v>
          </cell>
          <cell r="K175">
            <v>60</v>
          </cell>
          <cell r="L175">
            <v>60</v>
          </cell>
          <cell r="M175">
            <v>90</v>
          </cell>
        </row>
        <row r="176">
          <cell r="B176" t="str">
            <v>DD-J10B-21402-90G2-1G2-Y</v>
          </cell>
          <cell r="D176" t="str">
            <v>G</v>
          </cell>
          <cell r="E176" t="str">
            <v>程序时间</v>
          </cell>
          <cell r="G176">
            <v>30</v>
          </cell>
          <cell r="H176">
            <v>120</v>
          </cell>
          <cell r="I176">
            <v>450</v>
          </cell>
          <cell r="J176">
            <v>220</v>
          </cell>
          <cell r="K176">
            <v>60</v>
          </cell>
          <cell r="L176">
            <v>340</v>
          </cell>
          <cell r="M176">
            <v>900</v>
          </cell>
          <cell r="O176">
            <v>10</v>
          </cell>
          <cell r="P176">
            <v>360</v>
          </cell>
        </row>
        <row r="177">
          <cell r="B177" t="str">
            <v>CB5327120-010L/R015</v>
          </cell>
          <cell r="D177" t="str">
            <v>E</v>
          </cell>
          <cell r="E177" t="str">
            <v>工序内容</v>
          </cell>
          <cell r="F177" t="str">
            <v>0/领料</v>
          </cell>
          <cell r="G177" t="str">
            <v>5/数铣130</v>
          </cell>
          <cell r="H177" t="str">
            <v>10/数铣136</v>
          </cell>
          <cell r="I177" t="str">
            <v>15/数铣64</v>
          </cell>
          <cell r="J177" t="str">
            <v>20/数铣230</v>
          </cell>
          <cell r="K177" t="str">
            <v>25/数铣750</v>
          </cell>
          <cell r="L177" t="str">
            <v>30/数铣590</v>
          </cell>
          <cell r="M177" t="str">
            <v>35/五轴45</v>
          </cell>
          <cell r="N177" t="str">
            <v>40/数铣240</v>
          </cell>
          <cell r="O177" t="str">
            <v>45/数铣65</v>
          </cell>
          <cell r="P177" t="str">
            <v>50/测量</v>
          </cell>
          <cell r="Q177" t="str">
            <v>55/钳工</v>
          </cell>
          <cell r="R177" t="str">
            <v>60/清洁</v>
          </cell>
          <cell r="S177" t="str">
            <v>65/试块</v>
          </cell>
          <cell r="T177" t="str">
            <v>70/测量</v>
          </cell>
          <cell r="U177" t="str">
            <v>75/成检</v>
          </cell>
        </row>
        <row r="178">
          <cell r="B178" t="str">
            <v>CB5327120-010L/R015</v>
          </cell>
          <cell r="D178" t="str">
            <v>E</v>
          </cell>
          <cell r="E178" t="str">
            <v>准备工时</v>
          </cell>
          <cell r="G178">
            <v>60</v>
          </cell>
          <cell r="H178">
            <v>60</v>
          </cell>
          <cell r="I178">
            <v>60</v>
          </cell>
          <cell r="J178">
            <v>120</v>
          </cell>
          <cell r="K178">
            <v>180</v>
          </cell>
          <cell r="L178">
            <v>120</v>
          </cell>
          <cell r="M178">
            <v>210</v>
          </cell>
          <cell r="N178">
            <v>120</v>
          </cell>
          <cell r="O178">
            <v>120</v>
          </cell>
        </row>
        <row r="179">
          <cell r="B179" t="str">
            <v>CB5327120-010L/R015</v>
          </cell>
          <cell r="D179" t="str">
            <v>E</v>
          </cell>
          <cell r="E179" t="str">
            <v>装夹时间</v>
          </cell>
          <cell r="G179">
            <v>60</v>
          </cell>
          <cell r="H179">
            <v>60</v>
          </cell>
          <cell r="I179">
            <v>60</v>
          </cell>
          <cell r="J179">
            <v>60</v>
          </cell>
          <cell r="K179">
            <v>60</v>
          </cell>
          <cell r="L179">
            <v>60</v>
          </cell>
          <cell r="M179">
            <v>75</v>
          </cell>
          <cell r="N179">
            <v>60</v>
          </cell>
          <cell r="O179">
            <v>60</v>
          </cell>
        </row>
        <row r="180">
          <cell r="B180" t="str">
            <v>CB5327120-010L/R015</v>
          </cell>
          <cell r="D180" t="str">
            <v>E</v>
          </cell>
          <cell r="E180" t="str">
            <v>程序时间</v>
          </cell>
          <cell r="G180">
            <v>180</v>
          </cell>
          <cell r="H180">
            <v>180</v>
          </cell>
          <cell r="I180">
            <v>100</v>
          </cell>
          <cell r="J180">
            <v>300</v>
          </cell>
          <cell r="K180">
            <v>900</v>
          </cell>
          <cell r="L180">
            <v>700</v>
          </cell>
          <cell r="M180">
            <v>90</v>
          </cell>
          <cell r="N180">
            <v>330</v>
          </cell>
          <cell r="O180">
            <v>90</v>
          </cell>
          <cell r="Q180">
            <v>480</v>
          </cell>
        </row>
        <row r="181">
          <cell r="B181" t="str">
            <v>DD-J10-21102-250-1-Z</v>
          </cell>
          <cell r="D181" t="str">
            <v>J</v>
          </cell>
          <cell r="E181" t="str">
            <v>工序内容</v>
          </cell>
          <cell r="F181" t="str">
            <v>0/领料</v>
          </cell>
          <cell r="G181" t="str">
            <v>5/数铣30</v>
          </cell>
          <cell r="H181" t="str">
            <v>10/数铣200</v>
          </cell>
          <cell r="I181" t="str">
            <v>15/时效</v>
          </cell>
          <cell r="J181" t="str">
            <v>20/数铣</v>
          </cell>
          <cell r="K181" t="str">
            <v>25/数铣75</v>
          </cell>
          <cell r="L181" t="str">
            <v>30/时效</v>
          </cell>
          <cell r="M181" t="str">
            <v>35/数铣</v>
          </cell>
          <cell r="N181" t="str">
            <v>40/数铣45</v>
          </cell>
          <cell r="O181" t="str">
            <v>45/数铣780</v>
          </cell>
          <cell r="P181" t="str">
            <v>50/数铣60</v>
          </cell>
          <cell r="Q181" t="str">
            <v>55/数铣20</v>
          </cell>
          <cell r="R181" t="str">
            <v>60/测量</v>
          </cell>
          <cell r="S181" t="str">
            <v>65/数铣15</v>
          </cell>
          <cell r="T181" t="str">
            <v>70/钳工</v>
          </cell>
          <cell r="U181" t="str">
            <v>75/清洁</v>
          </cell>
          <cell r="V181" t="str">
            <v>80/测量</v>
          </cell>
          <cell r="W181" t="str">
            <v>85/成检</v>
          </cell>
          <cell r="X181" t="str">
            <v>90/清洗</v>
          </cell>
          <cell r="Y181" t="str">
            <v>95/检验</v>
          </cell>
          <cell r="Z181" t="str">
            <v>100/包装</v>
          </cell>
        </row>
        <row r="182">
          <cell r="B182" t="str">
            <v>DD-J10-21102-250-1-Z</v>
          </cell>
          <cell r="D182" t="str">
            <v>J</v>
          </cell>
          <cell r="E182" t="str">
            <v>准备工时</v>
          </cell>
          <cell r="G182">
            <v>60</v>
          </cell>
          <cell r="H182">
            <v>60</v>
          </cell>
          <cell r="J182">
            <v>60</v>
          </cell>
          <cell r="K182">
            <v>60</v>
          </cell>
          <cell r="M182">
            <v>60</v>
          </cell>
          <cell r="N182">
            <v>120</v>
          </cell>
          <cell r="O182">
            <v>120</v>
          </cell>
          <cell r="P182">
            <v>120</v>
          </cell>
          <cell r="Q182">
            <v>120</v>
          </cell>
          <cell r="S182">
            <v>60</v>
          </cell>
        </row>
        <row r="183">
          <cell r="B183" t="str">
            <v>DD-J10-21102-250-1-Z</v>
          </cell>
          <cell r="D183" t="str">
            <v>J</v>
          </cell>
          <cell r="E183" t="str">
            <v>装夹时间</v>
          </cell>
          <cell r="G183">
            <v>40</v>
          </cell>
          <cell r="H183">
            <v>60</v>
          </cell>
          <cell r="J183">
            <v>120</v>
          </cell>
          <cell r="K183">
            <v>60</v>
          </cell>
          <cell r="M183">
            <v>60</v>
          </cell>
          <cell r="N183">
            <v>60</v>
          </cell>
          <cell r="O183">
            <v>60</v>
          </cell>
          <cell r="P183">
            <v>60</v>
          </cell>
          <cell r="Q183">
            <v>60</v>
          </cell>
          <cell r="S183">
            <v>60</v>
          </cell>
        </row>
        <row r="184">
          <cell r="B184" t="str">
            <v>DD-J10-21102-250-1-Z</v>
          </cell>
          <cell r="D184" t="str">
            <v>J</v>
          </cell>
          <cell r="E184" t="str">
            <v>程序时间</v>
          </cell>
          <cell r="G184">
            <v>60</v>
          </cell>
          <cell r="H184">
            <v>220</v>
          </cell>
          <cell r="J184">
            <v>120</v>
          </cell>
          <cell r="K184">
            <v>105</v>
          </cell>
          <cell r="M184">
            <v>120</v>
          </cell>
          <cell r="N184">
            <v>65</v>
          </cell>
          <cell r="O184">
            <v>960</v>
          </cell>
          <cell r="P184">
            <v>75</v>
          </cell>
          <cell r="Q184">
            <v>40</v>
          </cell>
          <cell r="S184">
            <v>30</v>
          </cell>
          <cell r="T184">
            <v>240</v>
          </cell>
        </row>
        <row r="185">
          <cell r="B185" t="str">
            <v>DD-J10-21102-250-1-Y</v>
          </cell>
          <cell r="D185" t="str">
            <v>J</v>
          </cell>
          <cell r="E185" t="str">
            <v>工序内容</v>
          </cell>
          <cell r="F185" t="str">
            <v>0/领料</v>
          </cell>
          <cell r="G185" t="str">
            <v>5/数铣30</v>
          </cell>
          <cell r="H185" t="str">
            <v>10/数铣200</v>
          </cell>
          <cell r="I185" t="str">
            <v>15/时效</v>
          </cell>
          <cell r="J185" t="str">
            <v>20/数铣</v>
          </cell>
          <cell r="K185" t="str">
            <v>25/数铣75</v>
          </cell>
          <cell r="L185" t="str">
            <v>30/时效</v>
          </cell>
          <cell r="M185" t="str">
            <v>35/数铣</v>
          </cell>
          <cell r="N185" t="str">
            <v>40/数铣45</v>
          </cell>
          <cell r="O185" t="str">
            <v>45/数铣780</v>
          </cell>
          <cell r="P185" t="str">
            <v>50/数铣60</v>
          </cell>
          <cell r="Q185" t="str">
            <v>55/数铣20</v>
          </cell>
          <cell r="R185" t="str">
            <v>60/测量</v>
          </cell>
          <cell r="S185" t="str">
            <v>65/数铣15</v>
          </cell>
          <cell r="T185" t="str">
            <v>70/钳工</v>
          </cell>
          <cell r="U185" t="str">
            <v>75/清洁</v>
          </cell>
          <cell r="V185" t="str">
            <v>80/测量</v>
          </cell>
          <cell r="W185" t="str">
            <v>85/成检</v>
          </cell>
          <cell r="X185" t="str">
            <v>90/清洗</v>
          </cell>
          <cell r="Y185" t="str">
            <v>95/检验</v>
          </cell>
          <cell r="Z185" t="str">
            <v>100/包装</v>
          </cell>
        </row>
        <row r="186">
          <cell r="B186" t="str">
            <v>DD-J10-21102-250-1-Y</v>
          </cell>
          <cell r="D186" t="str">
            <v>J</v>
          </cell>
          <cell r="E186" t="str">
            <v>准备工时</v>
          </cell>
          <cell r="G186">
            <v>60</v>
          </cell>
          <cell r="H186">
            <v>60</v>
          </cell>
          <cell r="J186">
            <v>60</v>
          </cell>
          <cell r="K186">
            <v>60</v>
          </cell>
          <cell r="M186">
            <v>60</v>
          </cell>
          <cell r="N186">
            <v>120</v>
          </cell>
          <cell r="O186">
            <v>120</v>
          </cell>
          <cell r="P186">
            <v>120</v>
          </cell>
          <cell r="Q186">
            <v>120</v>
          </cell>
          <cell r="S186">
            <v>60</v>
          </cell>
        </row>
        <row r="187">
          <cell r="B187" t="str">
            <v>DD-J10-21102-250-1-Y</v>
          </cell>
          <cell r="D187" t="str">
            <v>J</v>
          </cell>
          <cell r="E187" t="str">
            <v>装夹时间</v>
          </cell>
          <cell r="G187">
            <v>40</v>
          </cell>
          <cell r="H187">
            <v>60</v>
          </cell>
          <cell r="J187">
            <v>120</v>
          </cell>
          <cell r="K187">
            <v>60</v>
          </cell>
          <cell r="M187">
            <v>60</v>
          </cell>
          <cell r="N187">
            <v>60</v>
          </cell>
          <cell r="O187">
            <v>60</v>
          </cell>
          <cell r="P187">
            <v>60</v>
          </cell>
          <cell r="Q187">
            <v>60</v>
          </cell>
          <cell r="S187">
            <v>60</v>
          </cell>
        </row>
        <row r="188">
          <cell r="B188" t="str">
            <v>DD-J10-21102-250-1-Y</v>
          </cell>
          <cell r="D188" t="str">
            <v>J</v>
          </cell>
          <cell r="E188" t="str">
            <v>程序时间</v>
          </cell>
          <cell r="G188">
            <v>60</v>
          </cell>
          <cell r="H188">
            <v>220</v>
          </cell>
          <cell r="J188">
            <v>120</v>
          </cell>
          <cell r="K188">
            <v>105</v>
          </cell>
          <cell r="M188">
            <v>120</v>
          </cell>
          <cell r="N188">
            <v>65</v>
          </cell>
          <cell r="O188">
            <v>960</v>
          </cell>
          <cell r="P188">
            <v>75</v>
          </cell>
          <cell r="Q188">
            <v>40</v>
          </cell>
          <cell r="S188">
            <v>30</v>
          </cell>
          <cell r="T188">
            <v>240</v>
          </cell>
        </row>
        <row r="189">
          <cell r="B189" t="str">
            <v>GU5714000-005L/R001</v>
          </cell>
          <cell r="D189" t="str">
            <v>B</v>
          </cell>
          <cell r="E189" t="str">
            <v>工序内容</v>
          </cell>
          <cell r="F189" t="str">
            <v>2/数铣</v>
          </cell>
          <cell r="G189" t="str">
            <v>5/数铣</v>
          </cell>
          <cell r="H189" t="str">
            <v>10/数铣40</v>
          </cell>
          <cell r="I189" t="str">
            <v>15/数铣14</v>
          </cell>
          <cell r="J189" t="str">
            <v>20/数铣85</v>
          </cell>
          <cell r="K189" t="str">
            <v>25/数铣200</v>
          </cell>
          <cell r="L189" t="str">
            <v>30/数铣260</v>
          </cell>
          <cell r="M189" t="str">
            <v>35/测量</v>
          </cell>
          <cell r="N189" t="str">
            <v>40/钳工</v>
          </cell>
          <cell r="O189" t="str">
            <v>45/试块</v>
          </cell>
          <cell r="P189" t="str">
            <v>50/测量</v>
          </cell>
          <cell r="Q189" t="str">
            <v>55/钳工</v>
          </cell>
        </row>
        <row r="190">
          <cell r="B190" t="str">
            <v>GU5714000-005L/R001</v>
          </cell>
          <cell r="D190" t="str">
            <v>B</v>
          </cell>
          <cell r="E190" t="str">
            <v>准备工时</v>
          </cell>
          <cell r="F190">
            <v>60</v>
          </cell>
          <cell r="G190">
            <v>60</v>
          </cell>
          <cell r="H190">
            <v>60</v>
          </cell>
          <cell r="I190">
            <v>60</v>
          </cell>
          <cell r="J190">
            <v>90</v>
          </cell>
          <cell r="K190">
            <v>120</v>
          </cell>
          <cell r="L190">
            <v>120</v>
          </cell>
        </row>
        <row r="191">
          <cell r="B191" t="str">
            <v>GU5714000-005L/R001</v>
          </cell>
          <cell r="D191" t="str">
            <v>B</v>
          </cell>
          <cell r="E191" t="str">
            <v>装夹时间</v>
          </cell>
        </row>
        <row r="192">
          <cell r="B192" t="str">
            <v>GU5714000-005L/R001</v>
          </cell>
          <cell r="D192" t="str">
            <v>B</v>
          </cell>
          <cell r="E192" t="str">
            <v>程序时间</v>
          </cell>
          <cell r="F192">
            <v>40</v>
          </cell>
          <cell r="G192">
            <v>60</v>
          </cell>
          <cell r="H192">
            <v>60</v>
          </cell>
          <cell r="I192">
            <v>25</v>
          </cell>
          <cell r="J192">
            <v>120</v>
          </cell>
          <cell r="K192">
            <v>260</v>
          </cell>
          <cell r="L192">
            <v>330</v>
          </cell>
        </row>
        <row r="193">
          <cell r="B193" t="str">
            <v>DD-J10-04021-3</v>
          </cell>
          <cell r="D193" t="str">
            <v>B</v>
          </cell>
          <cell r="E193" t="str">
            <v>工序内容</v>
          </cell>
          <cell r="F193" t="str">
            <v>0/领料</v>
          </cell>
          <cell r="G193" t="str">
            <v>5/数铣</v>
          </cell>
          <cell r="H193" t="str">
            <v>10/数铣20</v>
          </cell>
          <cell r="I193" t="str">
            <v>15/数铣5</v>
          </cell>
          <cell r="J193" t="str">
            <v>20/数铣60</v>
          </cell>
          <cell r="K193" t="str">
            <v>25/数铣50</v>
          </cell>
          <cell r="L193" t="str">
            <v>30/测量</v>
          </cell>
          <cell r="M193" t="str">
            <v>35/钳工</v>
          </cell>
          <cell r="N193" t="str">
            <v>40/清洁</v>
          </cell>
          <cell r="O193" t="str">
            <v>45/成检</v>
          </cell>
        </row>
        <row r="194">
          <cell r="B194" t="str">
            <v>DD-J10-04021-3</v>
          </cell>
          <cell r="D194" t="str">
            <v>B</v>
          </cell>
          <cell r="E194" t="str">
            <v>准备工时</v>
          </cell>
          <cell r="G194">
            <v>60</v>
          </cell>
          <cell r="H194">
            <v>60</v>
          </cell>
          <cell r="I194">
            <v>90</v>
          </cell>
          <cell r="J194">
            <v>90</v>
          </cell>
          <cell r="K194">
            <v>120</v>
          </cell>
        </row>
        <row r="195">
          <cell r="B195" t="str">
            <v>DD-J10-04021-3</v>
          </cell>
          <cell r="D195" t="str">
            <v>B</v>
          </cell>
          <cell r="E195" t="str">
            <v>装夹时间</v>
          </cell>
        </row>
        <row r="196">
          <cell r="B196" t="str">
            <v>DD-J10-04021-3</v>
          </cell>
          <cell r="D196" t="str">
            <v>B</v>
          </cell>
          <cell r="E196" t="str">
            <v>程序时间</v>
          </cell>
          <cell r="G196">
            <v>60</v>
          </cell>
          <cell r="H196">
            <v>40</v>
          </cell>
          <cell r="I196">
            <v>15</v>
          </cell>
          <cell r="J196">
            <v>85</v>
          </cell>
          <cell r="K196">
            <v>75</v>
          </cell>
          <cell r="M196">
            <v>50</v>
          </cell>
        </row>
        <row r="197">
          <cell r="B197" t="str">
            <v>DD-J10-21102-120-1-Z</v>
          </cell>
          <cell r="D197" t="str">
            <v>E</v>
          </cell>
          <cell r="E197" t="str">
            <v>工序内容</v>
          </cell>
          <cell r="F197" t="str">
            <v>0/领料</v>
          </cell>
          <cell r="G197" t="str">
            <v>5/钳工</v>
          </cell>
          <cell r="H197" t="str">
            <v>10/数铣</v>
          </cell>
          <cell r="I197" t="str">
            <v>15/数铣60</v>
          </cell>
          <cell r="J197" t="str">
            <v>20/数铣240</v>
          </cell>
          <cell r="K197" t="str">
            <v>25/数铣200</v>
          </cell>
          <cell r="L197" t="str">
            <v>30/时效</v>
          </cell>
          <cell r="M197" t="str">
            <v>35/数铣</v>
          </cell>
          <cell r="N197" t="str">
            <v>40/数铣960</v>
          </cell>
          <cell r="O197" t="str">
            <v>45/数铣420</v>
          </cell>
          <cell r="P197" t="str">
            <v>50/数铣20</v>
          </cell>
          <cell r="Q197" t="str">
            <v>55/五轴120</v>
          </cell>
          <cell r="R197" t="str">
            <v>60/测量</v>
          </cell>
          <cell r="S197" t="str">
            <v>65/数铣48</v>
          </cell>
          <cell r="T197" t="str">
            <v>70/数铣61</v>
          </cell>
          <cell r="U197" t="str">
            <v>75/数铣61</v>
          </cell>
          <cell r="V197" t="str">
            <v>80/数铣65</v>
          </cell>
          <cell r="W197" t="str">
            <v>85/钳工</v>
          </cell>
          <cell r="X197" t="str">
            <v>90/测量</v>
          </cell>
          <cell r="Y197" t="str">
            <v>95/清洁</v>
          </cell>
          <cell r="Z197" t="str">
            <v>100/检验</v>
          </cell>
        </row>
        <row r="198">
          <cell r="B198" t="str">
            <v>DD-J10-21102-120-1-Z</v>
          </cell>
          <cell r="D198" t="str">
            <v>E</v>
          </cell>
          <cell r="E198" t="str">
            <v>准备工时</v>
          </cell>
          <cell r="G198">
            <v>60</v>
          </cell>
          <cell r="H198">
            <v>60</v>
          </cell>
          <cell r="I198">
            <v>60</v>
          </cell>
          <cell r="J198">
            <v>60</v>
          </cell>
          <cell r="K198">
            <v>60</v>
          </cell>
          <cell r="M198">
            <v>60</v>
          </cell>
          <cell r="N198">
            <v>90</v>
          </cell>
          <cell r="O198">
            <v>90</v>
          </cell>
          <cell r="P198">
            <v>60</v>
          </cell>
          <cell r="Q198">
            <v>120</v>
          </cell>
          <cell r="S198">
            <v>60</v>
          </cell>
          <cell r="T198">
            <v>60</v>
          </cell>
          <cell r="U198">
            <v>60</v>
          </cell>
          <cell r="V198">
            <v>90</v>
          </cell>
        </row>
        <row r="199">
          <cell r="B199" t="str">
            <v>DD-J10-21102-120-1-Z</v>
          </cell>
          <cell r="D199" t="str">
            <v>E</v>
          </cell>
          <cell r="E199" t="str">
            <v>装夹时间</v>
          </cell>
          <cell r="H199">
            <v>60</v>
          </cell>
          <cell r="I199">
            <v>60</v>
          </cell>
          <cell r="J199">
            <v>60</v>
          </cell>
          <cell r="K199">
            <v>60</v>
          </cell>
          <cell r="M199">
            <v>60</v>
          </cell>
          <cell r="N199">
            <v>60</v>
          </cell>
          <cell r="O199">
            <v>60</v>
          </cell>
          <cell r="P199">
            <v>60</v>
          </cell>
          <cell r="Q199">
            <v>75</v>
          </cell>
          <cell r="S199">
            <v>90</v>
          </cell>
          <cell r="T199">
            <v>90</v>
          </cell>
          <cell r="U199">
            <v>60</v>
          </cell>
          <cell r="V199">
            <v>60</v>
          </cell>
        </row>
        <row r="200">
          <cell r="B200" t="str">
            <v>DD-J10-21102-120-1-Z</v>
          </cell>
          <cell r="D200" t="str">
            <v>E</v>
          </cell>
          <cell r="E200" t="str">
            <v>程序时间</v>
          </cell>
          <cell r="G200">
            <v>40</v>
          </cell>
          <cell r="H200">
            <v>120</v>
          </cell>
          <cell r="I200">
            <v>90</v>
          </cell>
          <cell r="J200">
            <v>320</v>
          </cell>
          <cell r="K200">
            <v>280</v>
          </cell>
          <cell r="M200">
            <v>90</v>
          </cell>
          <cell r="N200">
            <v>1100</v>
          </cell>
          <cell r="O200">
            <v>920</v>
          </cell>
          <cell r="P200">
            <v>60</v>
          </cell>
          <cell r="Q200">
            <v>240</v>
          </cell>
          <cell r="S200">
            <v>75</v>
          </cell>
          <cell r="T200">
            <v>85</v>
          </cell>
          <cell r="U200">
            <v>85</v>
          </cell>
          <cell r="V200">
            <v>90</v>
          </cell>
          <cell r="W200">
            <v>480</v>
          </cell>
        </row>
        <row r="201">
          <cell r="B201" t="str">
            <v>DD-J10-21102-120-1-Y</v>
          </cell>
          <cell r="D201" t="str">
            <v>E</v>
          </cell>
          <cell r="E201" t="str">
            <v>工序内容</v>
          </cell>
          <cell r="F201" t="str">
            <v>0/领料</v>
          </cell>
          <cell r="G201" t="str">
            <v>5/钳工</v>
          </cell>
          <cell r="H201" t="str">
            <v>10/数铣</v>
          </cell>
          <cell r="I201" t="str">
            <v>15/数铣60</v>
          </cell>
          <cell r="J201" t="str">
            <v>20/数铣240</v>
          </cell>
          <cell r="K201" t="str">
            <v>25/数铣200</v>
          </cell>
          <cell r="L201" t="str">
            <v>30/时效</v>
          </cell>
          <cell r="M201" t="str">
            <v>35/数铣</v>
          </cell>
          <cell r="N201" t="str">
            <v>40/数铣960</v>
          </cell>
          <cell r="O201" t="str">
            <v>45/数铣420</v>
          </cell>
          <cell r="P201" t="str">
            <v>50/数铣20</v>
          </cell>
          <cell r="Q201" t="str">
            <v>55/五轴120</v>
          </cell>
          <cell r="R201" t="str">
            <v>60/测量</v>
          </cell>
          <cell r="S201" t="str">
            <v>65/数铣48</v>
          </cell>
          <cell r="T201" t="str">
            <v>70/数铣61</v>
          </cell>
          <cell r="U201" t="str">
            <v>75/数铣61</v>
          </cell>
          <cell r="V201" t="str">
            <v>80/数铣65</v>
          </cell>
          <cell r="W201" t="str">
            <v>85/钳工</v>
          </cell>
          <cell r="X201" t="str">
            <v>90/测量</v>
          </cell>
          <cell r="Y201" t="str">
            <v>95/清洁</v>
          </cell>
          <cell r="Z201" t="str">
            <v>100/检验</v>
          </cell>
        </row>
        <row r="202">
          <cell r="B202" t="str">
            <v>DD-J10-21102-120-1-Y</v>
          </cell>
          <cell r="D202" t="str">
            <v>E</v>
          </cell>
          <cell r="E202" t="str">
            <v>准备工时</v>
          </cell>
          <cell r="G202">
            <v>60</v>
          </cell>
          <cell r="H202">
            <v>60</v>
          </cell>
          <cell r="I202">
            <v>60</v>
          </cell>
          <cell r="J202">
            <v>60</v>
          </cell>
          <cell r="K202">
            <v>60</v>
          </cell>
          <cell r="M202">
            <v>60</v>
          </cell>
          <cell r="N202">
            <v>90</v>
          </cell>
          <cell r="O202">
            <v>90</v>
          </cell>
          <cell r="P202">
            <v>60</v>
          </cell>
          <cell r="Q202">
            <v>120</v>
          </cell>
          <cell r="S202">
            <v>60</v>
          </cell>
          <cell r="T202">
            <v>60</v>
          </cell>
          <cell r="U202">
            <v>60</v>
          </cell>
          <cell r="V202">
            <v>90</v>
          </cell>
        </row>
        <row r="203">
          <cell r="B203" t="str">
            <v>DD-J10-21102-120-1-Y</v>
          </cell>
          <cell r="D203" t="str">
            <v>E</v>
          </cell>
          <cell r="E203" t="str">
            <v>装夹时间</v>
          </cell>
          <cell r="H203">
            <v>60</v>
          </cell>
          <cell r="I203">
            <v>60</v>
          </cell>
          <cell r="J203">
            <v>60</v>
          </cell>
          <cell r="K203">
            <v>60</v>
          </cell>
          <cell r="M203">
            <v>60</v>
          </cell>
          <cell r="N203">
            <v>60</v>
          </cell>
          <cell r="O203">
            <v>60</v>
          </cell>
          <cell r="P203">
            <v>60</v>
          </cell>
          <cell r="Q203">
            <v>75</v>
          </cell>
          <cell r="S203">
            <v>90</v>
          </cell>
          <cell r="T203">
            <v>90</v>
          </cell>
          <cell r="U203">
            <v>60</v>
          </cell>
          <cell r="V203">
            <v>60</v>
          </cell>
        </row>
        <row r="204">
          <cell r="B204" t="str">
            <v>DD-J10-21102-120-1-Y</v>
          </cell>
          <cell r="D204" t="str">
            <v>E</v>
          </cell>
          <cell r="E204" t="str">
            <v>程序时间</v>
          </cell>
          <cell r="G204">
            <v>40</v>
          </cell>
          <cell r="H204">
            <v>120</v>
          </cell>
          <cell r="I204">
            <v>90</v>
          </cell>
          <cell r="J204">
            <v>320</v>
          </cell>
          <cell r="K204">
            <v>280</v>
          </cell>
          <cell r="M204">
            <v>90</v>
          </cell>
          <cell r="N204">
            <v>1100</v>
          </cell>
          <cell r="O204">
            <v>920</v>
          </cell>
          <cell r="P204">
            <v>60</v>
          </cell>
          <cell r="Q204">
            <v>240</v>
          </cell>
          <cell r="S204">
            <v>75</v>
          </cell>
          <cell r="T204">
            <v>85</v>
          </cell>
          <cell r="U204">
            <v>85</v>
          </cell>
          <cell r="V204">
            <v>90</v>
          </cell>
          <cell r="W204">
            <v>480</v>
          </cell>
        </row>
        <row r="205">
          <cell r="B205" t="str">
            <v>DD-J10-21102-120-1-Z</v>
          </cell>
          <cell r="D205" t="str">
            <v>F</v>
          </cell>
          <cell r="E205" t="str">
            <v>工序内容</v>
          </cell>
          <cell r="F205" t="str">
            <v>0/领料</v>
          </cell>
          <cell r="G205" t="str">
            <v>5/钳工</v>
          </cell>
          <cell r="H205" t="str">
            <v>10/数铣</v>
          </cell>
          <cell r="I205" t="str">
            <v>15/数铣60</v>
          </cell>
          <cell r="J205" t="str">
            <v>20/数铣240</v>
          </cell>
          <cell r="K205" t="str">
            <v>25/数铣200</v>
          </cell>
          <cell r="L205" t="str">
            <v>30/时效</v>
          </cell>
          <cell r="M205" t="str">
            <v>35/数铣</v>
          </cell>
          <cell r="N205" t="str">
            <v>40/数铣960</v>
          </cell>
          <cell r="O205" t="str">
            <v>45/数铣420</v>
          </cell>
          <cell r="P205" t="str">
            <v>50/数铣20</v>
          </cell>
          <cell r="Q205" t="str">
            <v>55/五轴120</v>
          </cell>
          <cell r="R205" t="str">
            <v>60/测量</v>
          </cell>
          <cell r="S205" t="str">
            <v>65/数铣48</v>
          </cell>
          <cell r="T205" t="str">
            <v>70/数铣61</v>
          </cell>
          <cell r="U205" t="str">
            <v>75/数铣61</v>
          </cell>
          <cell r="V205" t="str">
            <v>80/数铣65</v>
          </cell>
          <cell r="W205" t="str">
            <v>85/钳工</v>
          </cell>
          <cell r="X205" t="str">
            <v>90/测量</v>
          </cell>
          <cell r="Y205" t="str">
            <v>95/清洁</v>
          </cell>
          <cell r="Z205" t="str">
            <v>100/检验</v>
          </cell>
        </row>
        <row r="206">
          <cell r="B206" t="str">
            <v>DD-J10-21102-120-1-Z</v>
          </cell>
          <cell r="D206" t="str">
            <v>F</v>
          </cell>
          <cell r="E206" t="str">
            <v>准备工时</v>
          </cell>
          <cell r="G206">
            <v>60</v>
          </cell>
          <cell r="H206">
            <v>60</v>
          </cell>
          <cell r="I206">
            <v>60</v>
          </cell>
          <cell r="J206">
            <v>60</v>
          </cell>
          <cell r="K206">
            <v>60</v>
          </cell>
          <cell r="M206">
            <v>60</v>
          </cell>
          <cell r="N206">
            <v>90</v>
          </cell>
          <cell r="O206">
            <v>90</v>
          </cell>
          <cell r="P206">
            <v>60</v>
          </cell>
          <cell r="Q206">
            <v>120</v>
          </cell>
          <cell r="S206">
            <v>60</v>
          </cell>
          <cell r="T206">
            <v>60</v>
          </cell>
          <cell r="U206">
            <v>60</v>
          </cell>
          <cell r="V206">
            <v>90</v>
          </cell>
        </row>
        <row r="207">
          <cell r="B207" t="str">
            <v>DD-J10-21102-120-1-Z</v>
          </cell>
          <cell r="D207" t="str">
            <v>F</v>
          </cell>
          <cell r="E207" t="str">
            <v>装夹时间</v>
          </cell>
          <cell r="H207">
            <v>60</v>
          </cell>
          <cell r="I207">
            <v>60</v>
          </cell>
          <cell r="J207">
            <v>60</v>
          </cell>
          <cell r="K207">
            <v>60</v>
          </cell>
          <cell r="M207">
            <v>60</v>
          </cell>
          <cell r="N207">
            <v>60</v>
          </cell>
          <cell r="O207">
            <v>60</v>
          </cell>
          <cell r="P207">
            <v>60</v>
          </cell>
          <cell r="Q207">
            <v>75</v>
          </cell>
          <cell r="S207">
            <v>90</v>
          </cell>
          <cell r="T207">
            <v>90</v>
          </cell>
          <cell r="U207">
            <v>60</v>
          </cell>
          <cell r="V207">
            <v>60</v>
          </cell>
        </row>
        <row r="208">
          <cell r="B208" t="str">
            <v>DD-J10-21102-120-1-Z</v>
          </cell>
          <cell r="D208" t="str">
            <v>F</v>
          </cell>
          <cell r="E208" t="str">
            <v>程序时间</v>
          </cell>
          <cell r="G208">
            <v>30</v>
          </cell>
          <cell r="H208">
            <v>120</v>
          </cell>
          <cell r="I208">
            <v>90</v>
          </cell>
          <cell r="J208">
            <v>320</v>
          </cell>
          <cell r="K208">
            <v>280</v>
          </cell>
          <cell r="M208">
            <v>90</v>
          </cell>
          <cell r="N208">
            <v>1100</v>
          </cell>
          <cell r="O208">
            <v>920</v>
          </cell>
          <cell r="P208">
            <v>60</v>
          </cell>
          <cell r="Q208">
            <v>240</v>
          </cell>
          <cell r="S208">
            <v>75</v>
          </cell>
          <cell r="T208">
            <v>85</v>
          </cell>
          <cell r="U208">
            <v>85</v>
          </cell>
          <cell r="V208">
            <v>90</v>
          </cell>
          <cell r="W208">
            <v>480</v>
          </cell>
        </row>
        <row r="209">
          <cell r="B209" t="str">
            <v>DD-J10-21102-120-1-Y</v>
          </cell>
          <cell r="D209" t="str">
            <v>F</v>
          </cell>
          <cell r="E209" t="str">
            <v>工序内容</v>
          </cell>
          <cell r="F209" t="str">
            <v>0/领料</v>
          </cell>
          <cell r="G209" t="str">
            <v>5/钳工</v>
          </cell>
          <cell r="H209" t="str">
            <v>10/数铣</v>
          </cell>
          <cell r="I209" t="str">
            <v>15/数铣60</v>
          </cell>
          <cell r="J209" t="str">
            <v>20/数铣240</v>
          </cell>
          <cell r="K209" t="str">
            <v>25/数铣200</v>
          </cell>
          <cell r="L209" t="str">
            <v>30/时效</v>
          </cell>
          <cell r="M209" t="str">
            <v>35/数铣</v>
          </cell>
          <cell r="N209" t="str">
            <v>40/数铣960</v>
          </cell>
          <cell r="O209" t="str">
            <v>45/数铣420</v>
          </cell>
          <cell r="P209" t="str">
            <v>50/数铣20</v>
          </cell>
          <cell r="Q209" t="str">
            <v>55/五轴120</v>
          </cell>
          <cell r="R209" t="str">
            <v>60/测量</v>
          </cell>
          <cell r="S209" t="str">
            <v>65/数铣48</v>
          </cell>
          <cell r="T209" t="str">
            <v>70/数铣61</v>
          </cell>
          <cell r="U209" t="str">
            <v>75/数铣61</v>
          </cell>
          <cell r="V209" t="str">
            <v>80/数铣65</v>
          </cell>
          <cell r="W209" t="str">
            <v>85/钳工</v>
          </cell>
          <cell r="X209" t="str">
            <v>90/测量</v>
          </cell>
          <cell r="Y209" t="str">
            <v>95/清洁</v>
          </cell>
          <cell r="Z209" t="str">
            <v>100/检验</v>
          </cell>
        </row>
        <row r="210">
          <cell r="B210" t="str">
            <v>DD-J10-21102-120-1-Y</v>
          </cell>
          <cell r="D210" t="str">
            <v>F</v>
          </cell>
          <cell r="E210" t="str">
            <v>准备工时</v>
          </cell>
          <cell r="G210">
            <v>60</v>
          </cell>
          <cell r="H210">
            <v>60</v>
          </cell>
          <cell r="I210">
            <v>60</v>
          </cell>
          <cell r="J210">
            <v>60</v>
          </cell>
          <cell r="K210">
            <v>60</v>
          </cell>
          <cell r="M210">
            <v>60</v>
          </cell>
          <cell r="N210">
            <v>90</v>
          </cell>
          <cell r="O210">
            <v>90</v>
          </cell>
          <cell r="P210">
            <v>60</v>
          </cell>
          <cell r="Q210">
            <v>120</v>
          </cell>
          <cell r="S210">
            <v>60</v>
          </cell>
          <cell r="T210">
            <v>60</v>
          </cell>
          <cell r="U210">
            <v>60</v>
          </cell>
          <cell r="V210">
            <v>90</v>
          </cell>
        </row>
        <row r="211">
          <cell r="B211" t="str">
            <v>DD-J10-21102-120-1-Y</v>
          </cell>
          <cell r="D211" t="str">
            <v>F</v>
          </cell>
          <cell r="E211" t="str">
            <v>装夹时间</v>
          </cell>
          <cell r="H211">
            <v>60</v>
          </cell>
          <cell r="I211">
            <v>60</v>
          </cell>
          <cell r="J211">
            <v>60</v>
          </cell>
          <cell r="K211">
            <v>60</v>
          </cell>
          <cell r="M211">
            <v>60</v>
          </cell>
          <cell r="N211">
            <v>60</v>
          </cell>
          <cell r="O211">
            <v>60</v>
          </cell>
          <cell r="P211">
            <v>60</v>
          </cell>
          <cell r="Q211">
            <v>75</v>
          </cell>
          <cell r="S211">
            <v>90</v>
          </cell>
          <cell r="T211">
            <v>90</v>
          </cell>
          <cell r="U211">
            <v>60</v>
          </cell>
          <cell r="V211">
            <v>60</v>
          </cell>
        </row>
        <row r="212">
          <cell r="B212" t="str">
            <v>DD-J10-21102-120-1-Y</v>
          </cell>
          <cell r="D212" t="str">
            <v>F</v>
          </cell>
          <cell r="E212" t="str">
            <v>程序时间</v>
          </cell>
          <cell r="G212">
            <v>30</v>
          </cell>
          <cell r="H212">
            <v>120</v>
          </cell>
          <cell r="I212">
            <v>90</v>
          </cell>
          <cell r="J212">
            <v>320</v>
          </cell>
          <cell r="K212">
            <v>280</v>
          </cell>
          <cell r="M212">
            <v>90</v>
          </cell>
          <cell r="N212">
            <v>1100</v>
          </cell>
          <cell r="O212">
            <v>920</v>
          </cell>
          <cell r="P212">
            <v>60</v>
          </cell>
          <cell r="Q212">
            <v>240</v>
          </cell>
          <cell r="S212">
            <v>75</v>
          </cell>
          <cell r="T212">
            <v>85</v>
          </cell>
          <cell r="U212">
            <v>85</v>
          </cell>
          <cell r="V212">
            <v>90</v>
          </cell>
          <cell r="W212">
            <v>480</v>
          </cell>
        </row>
        <row r="213">
          <cell r="B213" t="str">
            <v>DD-J10B-04321-1-Z</v>
          </cell>
          <cell r="D213" t="str">
            <v>A</v>
          </cell>
          <cell r="E213" t="str">
            <v>工序内容</v>
          </cell>
          <cell r="F213" t="str">
            <v>0/领料</v>
          </cell>
          <cell r="G213" t="str">
            <v>5/钳工</v>
          </cell>
          <cell r="H213" t="str">
            <v>10/数铣</v>
          </cell>
          <cell r="I213" t="str">
            <v>15/数铣55</v>
          </cell>
          <cell r="J213" t="str">
            <v>20/数铣210</v>
          </cell>
          <cell r="K213" t="str">
            <v>25/数铣80</v>
          </cell>
          <cell r="L213" t="str">
            <v>30/时效</v>
          </cell>
          <cell r="M213" t="str">
            <v>35/数铣</v>
          </cell>
          <cell r="N213" t="str">
            <v>40/数铣12</v>
          </cell>
          <cell r="O213" t="str">
            <v>45/数铣245</v>
          </cell>
          <cell r="P213" t="str">
            <v>50/数铣400</v>
          </cell>
          <cell r="Q213" t="str">
            <v>55/五轴 15</v>
          </cell>
          <cell r="R213" t="str">
            <v>60/五轴70</v>
          </cell>
          <cell r="S213" t="str">
            <v>65/钳工</v>
          </cell>
          <cell r="T213" t="str">
            <v>70/清洁</v>
          </cell>
          <cell r="U213" t="str">
            <v>75/成检</v>
          </cell>
        </row>
        <row r="214">
          <cell r="B214" t="str">
            <v>DD-J10B-04321-1-Z</v>
          </cell>
          <cell r="D214" t="str">
            <v>A</v>
          </cell>
          <cell r="E214" t="str">
            <v>准备工时</v>
          </cell>
          <cell r="G214">
            <v>60</v>
          </cell>
          <cell r="H214">
            <v>60</v>
          </cell>
          <cell r="I214">
            <v>60</v>
          </cell>
          <cell r="J214">
            <v>60</v>
          </cell>
          <cell r="K214">
            <v>60</v>
          </cell>
          <cell r="M214">
            <v>60</v>
          </cell>
          <cell r="N214">
            <v>90</v>
          </cell>
          <cell r="O214">
            <v>120</v>
          </cell>
          <cell r="P214">
            <v>120</v>
          </cell>
          <cell r="Q214">
            <v>180</v>
          </cell>
          <cell r="R214">
            <v>180</v>
          </cell>
        </row>
        <row r="215">
          <cell r="B215" t="str">
            <v>DD-J10B-04321-1-Z</v>
          </cell>
          <cell r="D215" t="str">
            <v>A</v>
          </cell>
          <cell r="E215" t="str">
            <v>装夹时间</v>
          </cell>
          <cell r="Q215">
            <v>60</v>
          </cell>
          <cell r="R215">
            <v>90</v>
          </cell>
        </row>
        <row r="216">
          <cell r="B216" t="str">
            <v>DD-J10B-04321-1-Z</v>
          </cell>
          <cell r="D216" t="str">
            <v>A</v>
          </cell>
          <cell r="E216" t="str">
            <v>程序时间</v>
          </cell>
          <cell r="G216">
            <v>30</v>
          </cell>
          <cell r="H216">
            <v>110</v>
          </cell>
          <cell r="I216">
            <v>120</v>
          </cell>
          <cell r="J216">
            <v>300</v>
          </cell>
          <cell r="K216">
            <v>130</v>
          </cell>
          <cell r="M216">
            <v>150</v>
          </cell>
          <cell r="N216">
            <v>60</v>
          </cell>
          <cell r="O216">
            <v>320</v>
          </cell>
          <cell r="P216">
            <v>500</v>
          </cell>
          <cell r="Q216">
            <v>50</v>
          </cell>
          <cell r="R216">
            <v>150</v>
          </cell>
        </row>
        <row r="217">
          <cell r="B217" t="str">
            <v>CB221T1LL-005-001</v>
          </cell>
          <cell r="D217" t="str">
            <v>A</v>
          </cell>
          <cell r="E217" t="str">
            <v>工序内容</v>
          </cell>
          <cell r="F217" t="str">
            <v>0/领料</v>
          </cell>
          <cell r="G217" t="str">
            <v>05/下料</v>
          </cell>
          <cell r="H217" t="str">
            <v>10/普车</v>
          </cell>
          <cell r="I217" t="str">
            <v>15/分光</v>
          </cell>
          <cell r="J217" t="str">
            <v>20/硬度</v>
          </cell>
          <cell r="K217" t="str">
            <v>25/数铣</v>
          </cell>
          <cell r="L217" t="str">
            <v>30/数铣25</v>
          </cell>
          <cell r="M217" t="str">
            <v>35/数铣15</v>
          </cell>
          <cell r="N217" t="str">
            <v>40/数铣18</v>
          </cell>
          <cell r="O217" t="str">
            <v>45/数车</v>
          </cell>
          <cell r="P217" t="str">
            <v>50/数车</v>
          </cell>
          <cell r="Q217" t="str">
            <v>55/数车</v>
          </cell>
          <cell r="R217" t="str">
            <v>60/数铣8</v>
          </cell>
          <cell r="S217" t="str">
            <v>65/数铣10</v>
          </cell>
          <cell r="T217" t="str">
            <v>70/钳工</v>
          </cell>
          <cell r="U217" t="str">
            <v>75/清洁</v>
          </cell>
          <cell r="V217" t="str">
            <v>80/成检</v>
          </cell>
        </row>
        <row r="218">
          <cell r="B218" t="str">
            <v>CB221T1LL-005-001</v>
          </cell>
          <cell r="D218" t="str">
            <v>A</v>
          </cell>
          <cell r="E218" t="str">
            <v>准备工时</v>
          </cell>
          <cell r="K218">
            <v>60</v>
          </cell>
          <cell r="L218">
            <v>60</v>
          </cell>
          <cell r="M218">
            <v>90</v>
          </cell>
          <cell r="N218">
            <v>90</v>
          </cell>
          <cell r="O218">
            <v>90</v>
          </cell>
          <cell r="P218">
            <v>90</v>
          </cell>
          <cell r="Q218">
            <v>90</v>
          </cell>
          <cell r="R218">
            <v>60</v>
          </cell>
          <cell r="S218">
            <v>90</v>
          </cell>
        </row>
        <row r="219">
          <cell r="B219" t="str">
            <v>CB221T1LL-005-001</v>
          </cell>
          <cell r="D219" t="str">
            <v>A</v>
          </cell>
          <cell r="E219" t="str">
            <v>装夹时间</v>
          </cell>
        </row>
        <row r="220">
          <cell r="B220" t="str">
            <v>CB221T1LL-005-001</v>
          </cell>
          <cell r="D220" t="str">
            <v>A</v>
          </cell>
          <cell r="E220" t="str">
            <v>程序时间</v>
          </cell>
          <cell r="H220">
            <v>30</v>
          </cell>
          <cell r="K220">
            <v>30</v>
          </cell>
          <cell r="L220">
            <v>40</v>
          </cell>
          <cell r="M220">
            <v>25</v>
          </cell>
          <cell r="N220">
            <v>30</v>
          </cell>
          <cell r="O220">
            <v>30</v>
          </cell>
          <cell r="P220">
            <v>30</v>
          </cell>
          <cell r="Q220">
            <v>20</v>
          </cell>
          <cell r="R220">
            <v>20</v>
          </cell>
          <cell r="S220">
            <v>40</v>
          </cell>
          <cell r="T220">
            <v>25</v>
          </cell>
        </row>
        <row r="221">
          <cell r="B221" t="str">
            <v>J10B-73010-310G2-1</v>
          </cell>
          <cell r="D221" t="str">
            <v>E</v>
          </cell>
          <cell r="E221" t="str">
            <v>工序内容</v>
          </cell>
          <cell r="F221" t="str">
            <v>0/领料</v>
          </cell>
          <cell r="G221" t="str">
            <v>5/数铣5</v>
          </cell>
          <cell r="H221" t="str">
            <v>10/数铣40</v>
          </cell>
          <cell r="I221" t="str">
            <v>15/数铣</v>
          </cell>
          <cell r="J221" t="str">
            <v>20/数铣32</v>
          </cell>
          <cell r="K221" t="str">
            <v>25/数铣44</v>
          </cell>
          <cell r="L221" t="str">
            <v>30/钳工</v>
          </cell>
          <cell r="M221" t="str">
            <v>35/检验</v>
          </cell>
          <cell r="N221" t="str">
            <v>38/复验</v>
          </cell>
          <cell r="O221" t="str">
            <v>40/分光</v>
          </cell>
          <cell r="P221" t="str">
            <v>43/硬检</v>
          </cell>
          <cell r="Q221" t="str">
            <v>45/钳工</v>
          </cell>
          <cell r="R221" t="str">
            <v>50/成检</v>
          </cell>
        </row>
        <row r="222">
          <cell r="B222" t="str">
            <v>J10B-73010-310G2-1</v>
          </cell>
          <cell r="D222" t="str">
            <v>E</v>
          </cell>
          <cell r="E222" t="str">
            <v>准备工时</v>
          </cell>
          <cell r="G222">
            <v>30</v>
          </cell>
          <cell r="H222">
            <v>90</v>
          </cell>
          <cell r="I222">
            <v>60</v>
          </cell>
          <cell r="J222">
            <v>90</v>
          </cell>
          <cell r="K222">
            <v>90</v>
          </cell>
        </row>
        <row r="223">
          <cell r="B223" t="str">
            <v>J10B-73010-310G2-1</v>
          </cell>
          <cell r="D223" t="str">
            <v>E</v>
          </cell>
          <cell r="E223" t="str">
            <v>装夹时间</v>
          </cell>
        </row>
        <row r="224">
          <cell r="B224" t="str">
            <v>J10B-73010-310G2-1</v>
          </cell>
          <cell r="D224" t="str">
            <v>E</v>
          </cell>
          <cell r="E224" t="str">
            <v>程序时间</v>
          </cell>
          <cell r="G224">
            <v>10</v>
          </cell>
          <cell r="H224">
            <v>60</v>
          </cell>
          <cell r="I224">
            <v>70</v>
          </cell>
          <cell r="J224">
            <v>50</v>
          </cell>
          <cell r="K224">
            <v>65</v>
          </cell>
          <cell r="L224">
            <v>15</v>
          </cell>
          <cell r="Q224" t="str">
            <v>5</v>
          </cell>
        </row>
        <row r="225">
          <cell r="B225" t="str">
            <v>DD-J10S-91001-1</v>
          </cell>
          <cell r="D225" t="str">
            <v>A</v>
          </cell>
          <cell r="E225" t="str">
            <v>工序内容</v>
          </cell>
          <cell r="F225" t="str">
            <v>0/领料</v>
          </cell>
          <cell r="G225" t="str">
            <v>5/数铣</v>
          </cell>
          <cell r="H225" t="str">
            <v>5/数铣</v>
          </cell>
          <cell r="I225" t="str">
            <v>10/数铣</v>
          </cell>
          <cell r="J225" t="str">
            <v>15/数铣</v>
          </cell>
          <cell r="K225" t="str">
            <v>20/数铣</v>
          </cell>
          <cell r="L225" t="str">
            <v>25/线切割</v>
          </cell>
          <cell r="M225" t="str">
            <v>30/钳工</v>
          </cell>
          <cell r="N225" t="str">
            <v>35/热处理</v>
          </cell>
          <cell r="O225" t="str">
            <v>40/成检</v>
          </cell>
        </row>
        <row r="226">
          <cell r="B226" t="str">
            <v>DD-J10S-91001-1</v>
          </cell>
          <cell r="D226" t="str">
            <v>A</v>
          </cell>
          <cell r="E226" t="str">
            <v>准备工时</v>
          </cell>
          <cell r="G226">
            <v>60</v>
          </cell>
          <cell r="H226">
            <v>60</v>
          </cell>
          <cell r="I226">
            <v>60</v>
          </cell>
          <cell r="J226">
            <v>60</v>
          </cell>
          <cell r="K226">
            <v>90</v>
          </cell>
        </row>
        <row r="227">
          <cell r="B227" t="str">
            <v>DD-J10S-91001-1</v>
          </cell>
          <cell r="D227" t="str">
            <v>A</v>
          </cell>
          <cell r="E227" t="str">
            <v>装夹时间</v>
          </cell>
        </row>
        <row r="228">
          <cell r="B228" t="str">
            <v>DD-J10S-91001-1</v>
          </cell>
          <cell r="D228" t="str">
            <v>A</v>
          </cell>
          <cell r="E228" t="str">
            <v>程序时间</v>
          </cell>
          <cell r="G228">
            <v>40</v>
          </cell>
          <cell r="H228">
            <v>40</v>
          </cell>
          <cell r="I228">
            <v>50</v>
          </cell>
          <cell r="J228">
            <v>120</v>
          </cell>
          <cell r="K228">
            <v>25</v>
          </cell>
          <cell r="M228" t="str">
            <v>25</v>
          </cell>
        </row>
        <row r="229">
          <cell r="B229" t="str">
            <v>CB5324500-004L004</v>
          </cell>
          <cell r="D229" t="str">
            <v>E</v>
          </cell>
          <cell r="E229" t="str">
            <v>工序内容</v>
          </cell>
          <cell r="F229" t="str">
            <v>0/领料</v>
          </cell>
          <cell r="G229" t="str">
            <v>5/钳工</v>
          </cell>
          <cell r="H229" t="str">
            <v>10/数铣</v>
          </cell>
          <cell r="I229" t="str">
            <v>15/数铣150</v>
          </cell>
          <cell r="J229" t="str">
            <v>20/数铣280</v>
          </cell>
          <cell r="K229" t="str">
            <v>25/数铣420</v>
          </cell>
          <cell r="L229" t="str">
            <v>30/数铣180</v>
          </cell>
          <cell r="M229" t="str">
            <v>35/时效</v>
          </cell>
          <cell r="N229" t="str">
            <v>40/数铣</v>
          </cell>
          <cell r="O229" t="str">
            <v>45/数铣660</v>
          </cell>
          <cell r="P229" t="str">
            <v>50数铣/60</v>
          </cell>
          <cell r="Q229" t="str">
            <v>55/数铣910</v>
          </cell>
          <cell r="R229" t="str">
            <v>60/钳工</v>
          </cell>
          <cell r="S229" t="str">
            <v>65/清洁</v>
          </cell>
          <cell r="T229" t="str">
            <v>70/测量</v>
          </cell>
          <cell r="U229" t="str">
            <v>75/检验</v>
          </cell>
          <cell r="V229" t="str">
            <v>80/硬检</v>
          </cell>
          <cell r="W229" t="str">
            <v>85/分光</v>
          </cell>
          <cell r="X229" t="str">
            <v>85/硬检</v>
          </cell>
          <cell r="Y229" t="str">
            <v>90/钳工</v>
          </cell>
          <cell r="Z229" t="str">
            <v>95/清洁</v>
          </cell>
          <cell r="AA229" t="str">
            <v>100/成检</v>
          </cell>
        </row>
        <row r="230">
          <cell r="B230" t="str">
            <v>CB5324500-004L004</v>
          </cell>
          <cell r="D230" t="str">
            <v>E</v>
          </cell>
          <cell r="E230" t="str">
            <v>准备工时</v>
          </cell>
          <cell r="G230">
            <v>60</v>
          </cell>
          <cell r="H230">
            <v>60</v>
          </cell>
          <cell r="I230">
            <v>60</v>
          </cell>
          <cell r="J230">
            <v>60</v>
          </cell>
          <cell r="K230">
            <v>60</v>
          </cell>
          <cell r="L230">
            <v>60</v>
          </cell>
          <cell r="N230">
            <v>60</v>
          </cell>
          <cell r="O230">
            <v>60</v>
          </cell>
          <cell r="P230">
            <v>180</v>
          </cell>
          <cell r="Q230">
            <v>60</v>
          </cell>
        </row>
        <row r="231">
          <cell r="B231" t="str">
            <v>CB5324500-004L004</v>
          </cell>
          <cell r="D231" t="str">
            <v>E</v>
          </cell>
          <cell r="E231" t="str">
            <v>装夹时间</v>
          </cell>
          <cell r="H231">
            <v>60</v>
          </cell>
          <cell r="I231">
            <v>90</v>
          </cell>
          <cell r="J231">
            <v>90</v>
          </cell>
          <cell r="K231">
            <v>90</v>
          </cell>
          <cell r="L231">
            <v>90</v>
          </cell>
          <cell r="N231">
            <v>90</v>
          </cell>
          <cell r="O231">
            <v>90</v>
          </cell>
          <cell r="P231">
            <v>90</v>
          </cell>
          <cell r="Q231">
            <v>90</v>
          </cell>
        </row>
        <row r="232">
          <cell r="B232" t="str">
            <v>CB5324500-004L004</v>
          </cell>
          <cell r="D232" t="str">
            <v>E</v>
          </cell>
          <cell r="E232" t="str">
            <v>程序时间</v>
          </cell>
          <cell r="G232">
            <v>60</v>
          </cell>
          <cell r="H232">
            <v>180</v>
          </cell>
          <cell r="I232">
            <v>190</v>
          </cell>
          <cell r="J232">
            <v>360</v>
          </cell>
          <cell r="K232">
            <v>540</v>
          </cell>
          <cell r="L232">
            <v>210</v>
          </cell>
          <cell r="N232">
            <v>90</v>
          </cell>
          <cell r="O232">
            <v>1000</v>
          </cell>
          <cell r="P232">
            <v>180</v>
          </cell>
          <cell r="Q232">
            <v>1100</v>
          </cell>
          <cell r="R232">
            <v>420</v>
          </cell>
          <cell r="Y232">
            <v>5</v>
          </cell>
        </row>
        <row r="233">
          <cell r="B233" t="str">
            <v>CB5324500-004L004</v>
          </cell>
          <cell r="D233" t="str">
            <v>E</v>
          </cell>
          <cell r="E233" t="str">
            <v>工序内容</v>
          </cell>
          <cell r="F233" t="str">
            <v>0/领料</v>
          </cell>
          <cell r="G233" t="str">
            <v>5/钳工</v>
          </cell>
          <cell r="H233" t="str">
            <v>10/数铣</v>
          </cell>
          <cell r="I233" t="str">
            <v>15/数铣150</v>
          </cell>
          <cell r="J233" t="str">
            <v>20/数铣280</v>
          </cell>
          <cell r="K233" t="str">
            <v>25/数铣420</v>
          </cell>
          <cell r="L233" t="str">
            <v>30/数铣180</v>
          </cell>
          <cell r="M233" t="str">
            <v>35/时效</v>
          </cell>
          <cell r="N233" t="str">
            <v>40/数铣</v>
          </cell>
          <cell r="O233" t="str">
            <v>45/数铣660</v>
          </cell>
          <cell r="P233" t="str">
            <v>50数铣/60</v>
          </cell>
          <cell r="Q233" t="str">
            <v>55/数铣910</v>
          </cell>
          <cell r="R233" t="str">
            <v>60/钳工</v>
          </cell>
          <cell r="S233" t="str">
            <v>65/清洁</v>
          </cell>
          <cell r="T233" t="str">
            <v>70/测量</v>
          </cell>
          <cell r="U233" t="str">
            <v>75/检验</v>
          </cell>
          <cell r="V233" t="str">
            <v>80/硬检</v>
          </cell>
          <cell r="W233" t="str">
            <v>85/分光</v>
          </cell>
          <cell r="X233" t="str">
            <v>85/硬检</v>
          </cell>
          <cell r="Y233" t="str">
            <v>90/钳工</v>
          </cell>
          <cell r="Z233" t="str">
            <v>95/清洁</v>
          </cell>
          <cell r="AA233" t="str">
            <v>100/成检</v>
          </cell>
        </row>
        <row r="234">
          <cell r="B234" t="str">
            <v>CB5324500-004L004</v>
          </cell>
          <cell r="D234" t="str">
            <v>E</v>
          </cell>
          <cell r="E234" t="str">
            <v>准备工时</v>
          </cell>
          <cell r="G234">
            <v>60</v>
          </cell>
          <cell r="H234">
            <v>60</v>
          </cell>
          <cell r="I234">
            <v>60</v>
          </cell>
          <cell r="J234">
            <v>60</v>
          </cell>
          <cell r="K234">
            <v>60</v>
          </cell>
          <cell r="L234">
            <v>60</v>
          </cell>
          <cell r="N234">
            <v>60</v>
          </cell>
          <cell r="O234">
            <v>60</v>
          </cell>
          <cell r="P234">
            <v>180</v>
          </cell>
          <cell r="Q234">
            <v>60</v>
          </cell>
        </row>
        <row r="235">
          <cell r="B235" t="str">
            <v>CB5324500-004L004</v>
          </cell>
          <cell r="D235" t="str">
            <v>E</v>
          </cell>
          <cell r="E235" t="str">
            <v>装夹时间</v>
          </cell>
          <cell r="H235">
            <v>60</v>
          </cell>
          <cell r="I235">
            <v>90</v>
          </cell>
          <cell r="J235">
            <v>90</v>
          </cell>
          <cell r="K235">
            <v>90</v>
          </cell>
          <cell r="L235">
            <v>90</v>
          </cell>
          <cell r="N235">
            <v>90</v>
          </cell>
          <cell r="O235">
            <v>90</v>
          </cell>
          <cell r="P235">
            <v>90</v>
          </cell>
          <cell r="Q235">
            <v>90</v>
          </cell>
        </row>
        <row r="236">
          <cell r="B236" t="str">
            <v>CB5324500-004L004</v>
          </cell>
          <cell r="D236" t="str">
            <v>E</v>
          </cell>
          <cell r="E236" t="str">
            <v>程序时间</v>
          </cell>
          <cell r="G236">
            <v>60</v>
          </cell>
          <cell r="H236">
            <v>180</v>
          </cell>
          <cell r="I236">
            <v>190</v>
          </cell>
          <cell r="J236">
            <v>360</v>
          </cell>
          <cell r="K236">
            <v>540</v>
          </cell>
          <cell r="L236">
            <v>210</v>
          </cell>
          <cell r="N236">
            <v>90</v>
          </cell>
          <cell r="O236">
            <v>1000</v>
          </cell>
          <cell r="P236">
            <v>180</v>
          </cell>
          <cell r="Q236">
            <v>1100</v>
          </cell>
          <cell r="R236">
            <v>420</v>
          </cell>
          <cell r="Y236">
            <v>5</v>
          </cell>
        </row>
        <row r="237">
          <cell r="B237" t="str">
            <v>CB5323220-052-024</v>
          </cell>
          <cell r="D237" t="str">
            <v>G</v>
          </cell>
          <cell r="E237" t="str">
            <v>工序内容</v>
          </cell>
          <cell r="F237" t="str">
            <v>0/领料</v>
          </cell>
          <cell r="G237" t="str">
            <v>5/数铣</v>
          </cell>
          <cell r="H237" t="str">
            <v>10/钳工</v>
          </cell>
          <cell r="I237" t="str">
            <v>15/数铣</v>
          </cell>
          <cell r="J237" t="str">
            <v>20/数铣200</v>
          </cell>
          <cell r="K237" t="str">
            <v>25/数铣380</v>
          </cell>
          <cell r="L237" t="str">
            <v>27/数铣310</v>
          </cell>
          <cell r="M237" t="str">
            <v>30/数铣900</v>
          </cell>
          <cell r="N237" t="str">
            <v>32/钳工</v>
          </cell>
          <cell r="O237" t="str">
            <v>35/五轴15</v>
          </cell>
          <cell r="P237" t="str">
            <v>37/数铣510</v>
          </cell>
          <cell r="Q237" t="str">
            <v>40/五轴1140</v>
          </cell>
          <cell r="R237" t="str">
            <v>42/钳工</v>
          </cell>
          <cell r="S237" t="str">
            <v>45/测量</v>
          </cell>
          <cell r="T237" t="str">
            <v>50/钳工</v>
          </cell>
          <cell r="U237" t="str">
            <v>55/清洁</v>
          </cell>
          <cell r="V237" t="str">
            <v>60/成检</v>
          </cell>
        </row>
        <row r="238">
          <cell r="B238" t="str">
            <v>CB5323220-052-024</v>
          </cell>
          <cell r="D238" t="str">
            <v>G</v>
          </cell>
          <cell r="E238" t="str">
            <v>准备工时</v>
          </cell>
          <cell r="G238">
            <v>60</v>
          </cell>
          <cell r="I238">
            <v>60</v>
          </cell>
          <cell r="J238">
            <v>60</v>
          </cell>
          <cell r="K238">
            <v>60</v>
          </cell>
          <cell r="L238">
            <v>120</v>
          </cell>
          <cell r="M238">
            <v>120</v>
          </cell>
          <cell r="O238">
            <v>90</v>
          </cell>
          <cell r="P238">
            <v>90</v>
          </cell>
          <cell r="Q238">
            <v>180</v>
          </cell>
        </row>
        <row r="239">
          <cell r="B239" t="str">
            <v>CB5323220-052-024</v>
          </cell>
          <cell r="D239" t="str">
            <v>G</v>
          </cell>
          <cell r="E239" t="str">
            <v>装夹时间</v>
          </cell>
          <cell r="G239">
            <v>60</v>
          </cell>
          <cell r="I239">
            <v>120</v>
          </cell>
          <cell r="J239">
            <v>90</v>
          </cell>
          <cell r="K239">
            <v>90</v>
          </cell>
          <cell r="L239">
            <v>90</v>
          </cell>
          <cell r="M239">
            <v>90</v>
          </cell>
          <cell r="O239">
            <v>90</v>
          </cell>
          <cell r="P239">
            <v>90</v>
          </cell>
          <cell r="Q239">
            <v>90</v>
          </cell>
        </row>
        <row r="240">
          <cell r="B240" t="str">
            <v>CB5323220-052-024</v>
          </cell>
          <cell r="D240" t="str">
            <v>G</v>
          </cell>
          <cell r="E240" t="str">
            <v>程序时间</v>
          </cell>
          <cell r="G240">
            <v>60</v>
          </cell>
          <cell r="H240">
            <v>80</v>
          </cell>
          <cell r="I240">
            <v>60</v>
          </cell>
          <cell r="J240">
            <v>260</v>
          </cell>
          <cell r="K240">
            <v>450</v>
          </cell>
          <cell r="L240">
            <v>400</v>
          </cell>
          <cell r="M240">
            <v>1080</v>
          </cell>
          <cell r="N240">
            <v>360</v>
          </cell>
          <cell r="O240">
            <v>60</v>
          </cell>
          <cell r="P240">
            <v>660</v>
          </cell>
          <cell r="Q240">
            <v>2400</v>
          </cell>
          <cell r="R240">
            <v>360</v>
          </cell>
          <cell r="T240">
            <v>720</v>
          </cell>
        </row>
        <row r="241">
          <cell r="B241" t="str">
            <v>CB22827C3-002-007</v>
          </cell>
          <cell r="D241" t="str">
            <v>A</v>
          </cell>
          <cell r="E241" t="str">
            <v>工序内容</v>
          </cell>
          <cell r="F241" t="str">
            <v>0/领料</v>
          </cell>
          <cell r="G241" t="str">
            <v>5/线切割</v>
          </cell>
          <cell r="H241" t="str">
            <v>10/数铣</v>
          </cell>
          <cell r="I241" t="str">
            <v>15/数铣10</v>
          </cell>
          <cell r="J241" t="str">
            <v>20/数铣20</v>
          </cell>
          <cell r="K241" t="str">
            <v>25/数铣10</v>
          </cell>
          <cell r="L241" t="str">
            <v>30/线切割</v>
          </cell>
          <cell r="M241" t="str">
            <v>35/数车15</v>
          </cell>
          <cell r="N241" t="str">
            <v>40/钳工</v>
          </cell>
          <cell r="O241" t="str">
            <v>45/分光</v>
          </cell>
          <cell r="P241" t="str">
            <v>50/数车15</v>
          </cell>
          <cell r="Q241" t="str">
            <v>55/穿孔机</v>
          </cell>
          <cell r="R241" t="str">
            <v>60/钳工</v>
          </cell>
          <cell r="S241" t="str">
            <v>65/清洁</v>
          </cell>
          <cell r="T241" t="str">
            <v>70/成检</v>
          </cell>
        </row>
        <row r="242">
          <cell r="B242" t="str">
            <v>CB22827C3-002-007</v>
          </cell>
          <cell r="D242" t="str">
            <v>A</v>
          </cell>
          <cell r="E242" t="str">
            <v>准备工时</v>
          </cell>
          <cell r="H242">
            <v>60</v>
          </cell>
          <cell r="I242">
            <v>60</v>
          </cell>
          <cell r="J242">
            <v>60</v>
          </cell>
          <cell r="K242">
            <v>60</v>
          </cell>
          <cell r="M242">
            <v>60</v>
          </cell>
          <cell r="P242">
            <v>60</v>
          </cell>
        </row>
        <row r="243">
          <cell r="B243" t="str">
            <v>CB22827C3-002-007</v>
          </cell>
          <cell r="D243" t="str">
            <v>A</v>
          </cell>
          <cell r="E243" t="str">
            <v>装夹时间</v>
          </cell>
        </row>
        <row r="244">
          <cell r="B244" t="str">
            <v>CB22827C3-002-007</v>
          </cell>
          <cell r="D244" t="str">
            <v>A</v>
          </cell>
          <cell r="E244" t="str">
            <v>程序时间</v>
          </cell>
          <cell r="H244">
            <v>25</v>
          </cell>
          <cell r="I244">
            <v>45</v>
          </cell>
          <cell r="J244">
            <v>35</v>
          </cell>
          <cell r="K244">
            <v>25</v>
          </cell>
          <cell r="M244">
            <v>25</v>
          </cell>
          <cell r="N244">
            <v>20</v>
          </cell>
          <cell r="P244">
            <v>25</v>
          </cell>
          <cell r="R244">
            <v>30</v>
          </cell>
        </row>
        <row r="245">
          <cell r="B245" t="str">
            <v>Y20-5828060002-001</v>
          </cell>
          <cell r="D245" t="str">
            <v>B</v>
          </cell>
          <cell r="E245" t="str">
            <v>工序内容</v>
          </cell>
          <cell r="F245" t="str">
            <v>0/领料</v>
          </cell>
          <cell r="G245" t="str">
            <v>05/铣夹持</v>
          </cell>
          <cell r="H245" t="str">
            <v>10/数铣25</v>
          </cell>
          <cell r="I245" t="str">
            <v>15/数铣50</v>
          </cell>
          <cell r="J245" t="str">
            <v>20/数铣55</v>
          </cell>
          <cell r="K245" t="str">
            <v>25/数车30</v>
          </cell>
          <cell r="L245" t="str">
            <v>30/数铣35</v>
          </cell>
          <cell r="M245" t="str">
            <v>35/数铣10</v>
          </cell>
          <cell r="N245" t="str">
            <v>40/钳工</v>
          </cell>
          <cell r="O245" t="str">
            <v>45/测量</v>
          </cell>
          <cell r="P245" t="str">
            <v>50/分光</v>
          </cell>
          <cell r="Q245" t="str">
            <v>55/钳工</v>
          </cell>
          <cell r="R245" t="str">
            <v>60/清洁</v>
          </cell>
          <cell r="S245" t="str">
            <v>65/成检</v>
          </cell>
        </row>
        <row r="246">
          <cell r="B246" t="str">
            <v>Y20-5828060002-001</v>
          </cell>
          <cell r="D246" t="str">
            <v>B</v>
          </cell>
          <cell r="E246" t="str">
            <v>准备工时</v>
          </cell>
          <cell r="G246">
            <v>60</v>
          </cell>
          <cell r="H246">
            <v>60</v>
          </cell>
          <cell r="I246">
            <v>90</v>
          </cell>
          <cell r="J246">
            <v>120</v>
          </cell>
          <cell r="K246">
            <v>90</v>
          </cell>
          <cell r="L246">
            <v>150</v>
          </cell>
          <cell r="M246">
            <v>120</v>
          </cell>
        </row>
        <row r="247">
          <cell r="B247" t="str">
            <v>Y20-5828060002-001</v>
          </cell>
          <cell r="D247" t="str">
            <v>B</v>
          </cell>
          <cell r="E247" t="str">
            <v>装夹时间</v>
          </cell>
        </row>
        <row r="248">
          <cell r="B248" t="str">
            <v>Y20-5828060002-001</v>
          </cell>
          <cell r="D248" t="str">
            <v>B</v>
          </cell>
          <cell r="E248" t="str">
            <v>程序时间</v>
          </cell>
          <cell r="G248">
            <v>30</v>
          </cell>
          <cell r="H248">
            <v>45</v>
          </cell>
          <cell r="I248">
            <v>80</v>
          </cell>
          <cell r="J248">
            <v>110</v>
          </cell>
          <cell r="K248">
            <v>40</v>
          </cell>
          <cell r="L248">
            <v>50</v>
          </cell>
          <cell r="M248">
            <v>90</v>
          </cell>
          <cell r="N248">
            <v>40</v>
          </cell>
          <cell r="Q248">
            <v>10</v>
          </cell>
        </row>
        <row r="249">
          <cell r="B249" t="str">
            <v>Y20-5828060002-001</v>
          </cell>
          <cell r="D249" t="str">
            <v>B</v>
          </cell>
          <cell r="E249" t="str">
            <v>工序内容</v>
          </cell>
          <cell r="F249" t="str">
            <v>0/领料</v>
          </cell>
          <cell r="G249" t="str">
            <v>05/铣夹持</v>
          </cell>
          <cell r="H249" t="str">
            <v>10/数铣</v>
          </cell>
          <cell r="I249" t="str">
            <v>15/数铣50</v>
          </cell>
          <cell r="J249" t="str">
            <v>20/数铣</v>
          </cell>
          <cell r="K249" t="str">
            <v>25/数车</v>
          </cell>
          <cell r="L249" t="str">
            <v>30/数铣</v>
          </cell>
          <cell r="M249" t="str">
            <v>35/数铣</v>
          </cell>
          <cell r="N249" t="str">
            <v>40/钳工</v>
          </cell>
          <cell r="O249" t="str">
            <v>45/测量</v>
          </cell>
          <cell r="P249" t="str">
            <v>50/分光</v>
          </cell>
          <cell r="Q249" t="str">
            <v>55/钳工</v>
          </cell>
          <cell r="R249" t="str">
            <v>60/清洁</v>
          </cell>
          <cell r="S249" t="str">
            <v>65/成检</v>
          </cell>
        </row>
        <row r="250">
          <cell r="B250" t="str">
            <v>Y20-5828060002-001</v>
          </cell>
          <cell r="D250" t="str">
            <v>B</v>
          </cell>
          <cell r="E250" t="str">
            <v>准备工时</v>
          </cell>
          <cell r="G250">
            <v>60</v>
          </cell>
          <cell r="H250">
            <v>60</v>
          </cell>
          <cell r="I250">
            <v>90</v>
          </cell>
          <cell r="J250">
            <v>120</v>
          </cell>
          <cell r="L250">
            <v>150</v>
          </cell>
          <cell r="M250">
            <v>120</v>
          </cell>
        </row>
        <row r="251">
          <cell r="B251" t="str">
            <v>Y20-5828060002-001</v>
          </cell>
          <cell r="D251" t="str">
            <v>B</v>
          </cell>
          <cell r="E251" t="str">
            <v>装夹时间</v>
          </cell>
        </row>
        <row r="252">
          <cell r="B252" t="str">
            <v>Y20-5828060002-001</v>
          </cell>
          <cell r="D252" t="str">
            <v>B</v>
          </cell>
          <cell r="E252" t="str">
            <v>程序时间</v>
          </cell>
          <cell r="G252">
            <v>30</v>
          </cell>
          <cell r="H252">
            <v>50</v>
          </cell>
          <cell r="I252">
            <v>80</v>
          </cell>
          <cell r="J252">
            <v>125</v>
          </cell>
          <cell r="L252">
            <v>90</v>
          </cell>
          <cell r="M252">
            <v>75</v>
          </cell>
          <cell r="N252">
            <v>60</v>
          </cell>
        </row>
        <row r="253">
          <cell r="B253" t="str">
            <v>Y20-5212290007-001</v>
          </cell>
          <cell r="D253" t="str">
            <v>B</v>
          </cell>
          <cell r="E253" t="str">
            <v>工序内容</v>
          </cell>
          <cell r="F253" t="str">
            <v>0/领料</v>
          </cell>
          <cell r="G253" t="str">
            <v>05/数铣</v>
          </cell>
          <cell r="H253" t="str">
            <v>10/数铣</v>
          </cell>
          <cell r="I253" t="str">
            <v>15/数铣</v>
          </cell>
          <cell r="J253" t="str">
            <v>20/数铣</v>
          </cell>
          <cell r="K253" t="str">
            <v>25/数铣</v>
          </cell>
          <cell r="L253" t="str">
            <v>26/数铣</v>
          </cell>
          <cell r="M253" t="str">
            <v>28/线切割</v>
          </cell>
          <cell r="N253" t="str">
            <v>30/钳工</v>
          </cell>
          <cell r="O253" t="str">
            <v>35/中检</v>
          </cell>
          <cell r="P253" t="str">
            <v>40/分光</v>
          </cell>
          <cell r="Q253" t="str">
            <v>45/去分光点</v>
          </cell>
          <cell r="R253" t="str">
            <v>50/清洁</v>
          </cell>
          <cell r="S253" t="str">
            <v>55/成检</v>
          </cell>
        </row>
        <row r="254">
          <cell r="B254" t="str">
            <v>Y20-5212290007-001</v>
          </cell>
          <cell r="D254" t="str">
            <v>B</v>
          </cell>
          <cell r="E254" t="str">
            <v>准备工时</v>
          </cell>
          <cell r="G254">
            <v>60</v>
          </cell>
          <cell r="H254">
            <v>90</v>
          </cell>
          <cell r="I254">
            <v>60</v>
          </cell>
          <cell r="J254">
            <v>60</v>
          </cell>
          <cell r="K254">
            <v>60</v>
          </cell>
          <cell r="L254" t="str">
            <v>60</v>
          </cell>
        </row>
        <row r="255">
          <cell r="B255" t="str">
            <v>Y20-5212290007-001</v>
          </cell>
          <cell r="D255" t="str">
            <v>B</v>
          </cell>
          <cell r="E255" t="str">
            <v>装夹时间</v>
          </cell>
        </row>
        <row r="256">
          <cell r="B256" t="str">
            <v>Y20-5212290007-001</v>
          </cell>
          <cell r="D256" t="str">
            <v>B</v>
          </cell>
          <cell r="E256" t="str">
            <v>程序时间</v>
          </cell>
          <cell r="G256">
            <v>20</v>
          </cell>
          <cell r="H256">
            <v>35</v>
          </cell>
          <cell r="I256">
            <v>40</v>
          </cell>
          <cell r="J256">
            <v>25</v>
          </cell>
          <cell r="K256">
            <v>25</v>
          </cell>
          <cell r="L256" t="str">
            <v>15</v>
          </cell>
          <cell r="N256" t="str">
            <v>45</v>
          </cell>
          <cell r="Q256">
            <v>5</v>
          </cell>
        </row>
        <row r="257">
          <cell r="B257" t="str">
            <v>Y20-5212290007-002</v>
          </cell>
          <cell r="D257" t="str">
            <v>C</v>
          </cell>
          <cell r="E257" t="str">
            <v>工序内容</v>
          </cell>
          <cell r="F257" t="str">
            <v>0/领料</v>
          </cell>
          <cell r="G257" t="str">
            <v>05/数铣</v>
          </cell>
          <cell r="H257" t="str">
            <v>10/数铣</v>
          </cell>
          <cell r="I257" t="str">
            <v>15/数铣</v>
          </cell>
          <cell r="J257" t="str">
            <v>20/数铣</v>
          </cell>
          <cell r="K257" t="str">
            <v>25/数铣</v>
          </cell>
          <cell r="L257" t="str">
            <v>26/数铣</v>
          </cell>
          <cell r="M257" t="str">
            <v>28/线切割</v>
          </cell>
          <cell r="N257" t="str">
            <v>30/钳工</v>
          </cell>
          <cell r="O257" t="str">
            <v>35/中检</v>
          </cell>
          <cell r="P257" t="str">
            <v>40/分光</v>
          </cell>
          <cell r="Q257" t="str">
            <v>45/去分光点</v>
          </cell>
          <cell r="R257" t="str">
            <v>50/清洁</v>
          </cell>
          <cell r="S257" t="str">
            <v>55/成检</v>
          </cell>
        </row>
        <row r="258">
          <cell r="B258" t="str">
            <v>Y20-5212290007-002</v>
          </cell>
          <cell r="D258" t="str">
            <v>C</v>
          </cell>
          <cell r="E258" t="str">
            <v>准备工时</v>
          </cell>
          <cell r="G258">
            <v>60</v>
          </cell>
          <cell r="H258">
            <v>90</v>
          </cell>
          <cell r="I258">
            <v>60</v>
          </cell>
          <cell r="J258">
            <v>60</v>
          </cell>
          <cell r="K258">
            <v>60</v>
          </cell>
          <cell r="L258" t="str">
            <v>60</v>
          </cell>
        </row>
        <row r="259">
          <cell r="B259" t="str">
            <v>Y20-5212290007-002</v>
          </cell>
          <cell r="D259" t="str">
            <v>C</v>
          </cell>
          <cell r="E259" t="str">
            <v>装夹时间</v>
          </cell>
        </row>
        <row r="260">
          <cell r="B260" t="str">
            <v>Y20-5212290007-002</v>
          </cell>
          <cell r="D260" t="str">
            <v>C</v>
          </cell>
          <cell r="E260" t="str">
            <v>程序时间</v>
          </cell>
          <cell r="G260">
            <v>20</v>
          </cell>
          <cell r="H260">
            <v>35</v>
          </cell>
          <cell r="I260">
            <v>40</v>
          </cell>
          <cell r="J260">
            <v>25</v>
          </cell>
          <cell r="K260">
            <v>25</v>
          </cell>
          <cell r="L260" t="str">
            <v>15</v>
          </cell>
          <cell r="N260" t="str">
            <v>45</v>
          </cell>
          <cell r="Q260">
            <v>5</v>
          </cell>
        </row>
        <row r="261">
          <cell r="B261" t="str">
            <v>Y20-5212290008-001</v>
          </cell>
          <cell r="D261" t="str">
            <v>C</v>
          </cell>
          <cell r="E261" t="str">
            <v>工序内容</v>
          </cell>
          <cell r="F261" t="str">
            <v>0/领料</v>
          </cell>
          <cell r="G261" t="str">
            <v>05/下料</v>
          </cell>
          <cell r="H261" t="str">
            <v>10/数铣30</v>
          </cell>
          <cell r="I261" t="str">
            <v>12/数铣</v>
          </cell>
          <cell r="J261" t="str">
            <v>14/数铣</v>
          </cell>
          <cell r="K261" t="str">
            <v>15/数铣</v>
          </cell>
          <cell r="L261" t="str">
            <v>20/线切割</v>
          </cell>
          <cell r="M261" t="str">
            <v>25/钳工</v>
          </cell>
          <cell r="N261" t="str">
            <v>30/中检</v>
          </cell>
          <cell r="O261" t="str">
            <v>35/分光</v>
          </cell>
          <cell r="P261" t="str">
            <v>40/去分光点</v>
          </cell>
          <cell r="Q261" t="str">
            <v>45/清洁</v>
          </cell>
          <cell r="R261" t="str">
            <v>50/成检</v>
          </cell>
        </row>
        <row r="262">
          <cell r="B262" t="str">
            <v>Y20-5212290008-001</v>
          </cell>
          <cell r="D262" t="str">
            <v>C</v>
          </cell>
          <cell r="E262" t="str">
            <v>准备工时</v>
          </cell>
          <cell r="H262">
            <v>60</v>
          </cell>
          <cell r="I262">
            <v>60</v>
          </cell>
          <cell r="J262">
            <v>90</v>
          </cell>
          <cell r="K262">
            <v>90</v>
          </cell>
        </row>
        <row r="263">
          <cell r="B263" t="str">
            <v>Y20-5212290008-001</v>
          </cell>
          <cell r="D263" t="str">
            <v>C</v>
          </cell>
          <cell r="E263" t="str">
            <v>装夹时间</v>
          </cell>
        </row>
        <row r="264">
          <cell r="B264" t="str">
            <v>Y20-5212290008-001</v>
          </cell>
          <cell r="D264" t="str">
            <v>C</v>
          </cell>
          <cell r="E264" t="str">
            <v>程序时间</v>
          </cell>
          <cell r="H264">
            <v>50</v>
          </cell>
          <cell r="I264">
            <v>25</v>
          </cell>
          <cell r="J264">
            <v>45</v>
          </cell>
          <cell r="K264">
            <v>20</v>
          </cell>
          <cell r="M264" t="str">
            <v>45</v>
          </cell>
          <cell r="P264">
            <v>5</v>
          </cell>
        </row>
        <row r="265">
          <cell r="B265" t="str">
            <v>Y20-5212290011-001</v>
          </cell>
          <cell r="D265" t="str">
            <v>C</v>
          </cell>
          <cell r="E265" t="str">
            <v>工序内容</v>
          </cell>
          <cell r="F265" t="str">
            <v>0/领料</v>
          </cell>
          <cell r="G265" t="str">
            <v>05/下料</v>
          </cell>
          <cell r="H265" t="str">
            <v>10/数铣30</v>
          </cell>
          <cell r="I265" t="str">
            <v>12/数铣</v>
          </cell>
          <cell r="J265" t="str">
            <v>13/数铣</v>
          </cell>
          <cell r="K265" t="str">
            <v>15/数铣</v>
          </cell>
          <cell r="L265" t="str">
            <v>20/线切割</v>
          </cell>
          <cell r="M265" t="str">
            <v>25/钳工</v>
          </cell>
          <cell r="N265" t="str">
            <v>30/中检</v>
          </cell>
          <cell r="O265" t="str">
            <v>35/分光</v>
          </cell>
          <cell r="P265" t="str">
            <v>40/去分光点</v>
          </cell>
          <cell r="Q265" t="str">
            <v>45/清洁</v>
          </cell>
          <cell r="R265" t="str">
            <v>50/成检</v>
          </cell>
        </row>
        <row r="266">
          <cell r="B266" t="str">
            <v>Y20-5212290011-001</v>
          </cell>
          <cell r="D266" t="str">
            <v>C</v>
          </cell>
          <cell r="E266" t="str">
            <v>准备工时</v>
          </cell>
          <cell r="H266">
            <v>60</v>
          </cell>
          <cell r="I266">
            <v>60</v>
          </cell>
          <cell r="J266">
            <v>90</v>
          </cell>
          <cell r="K266">
            <v>90</v>
          </cell>
        </row>
        <row r="267">
          <cell r="B267" t="str">
            <v>Y20-5212290011-001</v>
          </cell>
          <cell r="D267" t="str">
            <v>C</v>
          </cell>
          <cell r="E267" t="str">
            <v>装夹时间</v>
          </cell>
        </row>
        <row r="268">
          <cell r="B268" t="str">
            <v>Y20-5212290011-001</v>
          </cell>
          <cell r="D268" t="str">
            <v>C</v>
          </cell>
          <cell r="E268" t="str">
            <v>程序时间</v>
          </cell>
          <cell r="H268">
            <v>50</v>
          </cell>
          <cell r="I268">
            <v>25</v>
          </cell>
          <cell r="J268">
            <v>45</v>
          </cell>
          <cell r="K268">
            <v>20</v>
          </cell>
          <cell r="M268" t="str">
            <v>45</v>
          </cell>
          <cell r="P268">
            <v>5</v>
          </cell>
        </row>
        <row r="269">
          <cell r="B269" t="str">
            <v>531A5600-001-501</v>
          </cell>
          <cell r="D269" t="str">
            <v>A</v>
          </cell>
          <cell r="E269" t="str">
            <v>工序内容</v>
          </cell>
          <cell r="F269" t="str">
            <v>0/领料</v>
          </cell>
          <cell r="G269" t="str">
            <v>05/数铣</v>
          </cell>
          <cell r="H269" t="str">
            <v>10/数铣20</v>
          </cell>
          <cell r="I269" t="str">
            <v>15/数铣65</v>
          </cell>
          <cell r="J269" t="str">
            <v>20/数铣60</v>
          </cell>
          <cell r="K269" t="str">
            <v>25/自然失效</v>
          </cell>
          <cell r="L269" t="str">
            <v>30/数铣</v>
          </cell>
          <cell r="M269" t="str">
            <v>35/数铣140</v>
          </cell>
          <cell r="N269" t="str">
            <v>40/数铣100</v>
          </cell>
          <cell r="O269" t="str">
            <v>45/测量</v>
          </cell>
          <cell r="P269" t="str">
            <v>50/钳工</v>
          </cell>
          <cell r="Q269" t="str">
            <v>55/数铣</v>
          </cell>
          <cell r="R269" t="str">
            <v>60/清洁</v>
          </cell>
          <cell r="S269" t="str">
            <v>65/成检</v>
          </cell>
        </row>
        <row r="270">
          <cell r="B270" t="str">
            <v>531A5600-001-501</v>
          </cell>
          <cell r="D270" t="str">
            <v>A</v>
          </cell>
          <cell r="E270" t="str">
            <v>准备工时</v>
          </cell>
          <cell r="G270">
            <v>60</v>
          </cell>
          <cell r="H270">
            <v>60</v>
          </cell>
          <cell r="I270">
            <v>60</v>
          </cell>
          <cell r="J270">
            <v>60</v>
          </cell>
          <cell r="L270">
            <v>60</v>
          </cell>
          <cell r="M270">
            <v>60</v>
          </cell>
          <cell r="N270">
            <v>60</v>
          </cell>
        </row>
        <row r="271">
          <cell r="B271" t="str">
            <v>531A5600-001-501</v>
          </cell>
          <cell r="D271" t="str">
            <v>A</v>
          </cell>
          <cell r="E271" t="str">
            <v>装夹时间</v>
          </cell>
        </row>
        <row r="272">
          <cell r="B272" t="str">
            <v>531A5600-001-501</v>
          </cell>
          <cell r="D272" t="str">
            <v>A</v>
          </cell>
          <cell r="E272" t="str">
            <v>程序时间</v>
          </cell>
          <cell r="G272">
            <v>80</v>
          </cell>
          <cell r="H272">
            <v>50</v>
          </cell>
          <cell r="I272">
            <v>105</v>
          </cell>
          <cell r="J272">
            <v>100</v>
          </cell>
          <cell r="L272">
            <v>80</v>
          </cell>
          <cell r="M272">
            <v>200</v>
          </cell>
          <cell r="N272">
            <v>160</v>
          </cell>
          <cell r="P272">
            <v>120</v>
          </cell>
          <cell r="Q272">
            <v>20</v>
          </cell>
        </row>
        <row r="273">
          <cell r="B273" t="str">
            <v>531A5600-001-502</v>
          </cell>
          <cell r="D273" t="str">
            <v>A</v>
          </cell>
          <cell r="E273" t="str">
            <v>工序内容</v>
          </cell>
          <cell r="F273" t="str">
            <v>0/领料</v>
          </cell>
          <cell r="G273" t="str">
            <v>05/数铣</v>
          </cell>
          <cell r="H273" t="str">
            <v>10/数铣20</v>
          </cell>
          <cell r="I273" t="str">
            <v>15/数铣65</v>
          </cell>
          <cell r="J273" t="str">
            <v>20/数铣60</v>
          </cell>
          <cell r="K273" t="str">
            <v>25/自然失效</v>
          </cell>
          <cell r="L273" t="str">
            <v>30/数铣</v>
          </cell>
          <cell r="M273" t="str">
            <v>35/数铣140</v>
          </cell>
          <cell r="N273" t="str">
            <v>40/数铣100</v>
          </cell>
          <cell r="O273" t="str">
            <v>45/测量</v>
          </cell>
          <cell r="P273" t="str">
            <v>50/钳工</v>
          </cell>
          <cell r="Q273" t="str">
            <v>55/数铣</v>
          </cell>
          <cell r="R273" t="str">
            <v>60/清洁</v>
          </cell>
          <cell r="S273" t="str">
            <v>65/成检</v>
          </cell>
        </row>
        <row r="274">
          <cell r="B274" t="str">
            <v>531A5600-001-502</v>
          </cell>
          <cell r="D274" t="str">
            <v>A</v>
          </cell>
          <cell r="E274" t="str">
            <v>准备工时</v>
          </cell>
          <cell r="G274">
            <v>60</v>
          </cell>
          <cell r="H274">
            <v>60</v>
          </cell>
          <cell r="I274">
            <v>60</v>
          </cell>
          <cell r="J274">
            <v>60</v>
          </cell>
          <cell r="L274">
            <v>60</v>
          </cell>
          <cell r="M274">
            <v>60</v>
          </cell>
          <cell r="N274">
            <v>60</v>
          </cell>
        </row>
        <row r="275">
          <cell r="B275" t="str">
            <v>531A5600-001-502</v>
          </cell>
          <cell r="D275" t="str">
            <v>A</v>
          </cell>
          <cell r="E275" t="str">
            <v>装夹时间</v>
          </cell>
        </row>
        <row r="276">
          <cell r="B276" t="str">
            <v>531A5600-001-502</v>
          </cell>
          <cell r="D276" t="str">
            <v>A</v>
          </cell>
          <cell r="E276" t="str">
            <v>程序时间</v>
          </cell>
          <cell r="G276">
            <v>80</v>
          </cell>
          <cell r="H276">
            <v>50</v>
          </cell>
          <cell r="I276">
            <v>105</v>
          </cell>
          <cell r="J276">
            <v>100</v>
          </cell>
          <cell r="L276">
            <v>80</v>
          </cell>
          <cell r="M276">
            <v>200</v>
          </cell>
          <cell r="N276">
            <v>160</v>
          </cell>
          <cell r="P276">
            <v>120</v>
          </cell>
          <cell r="Q276">
            <v>20</v>
          </cell>
        </row>
        <row r="277">
          <cell r="B277" t="str">
            <v>CB5512300-014L001</v>
          </cell>
          <cell r="D277" t="str">
            <v>B</v>
          </cell>
          <cell r="E277" t="str">
            <v>工序内容</v>
          </cell>
          <cell r="F277" t="str">
            <v>0/领料</v>
          </cell>
          <cell r="G277" t="str">
            <v>5/下料</v>
          </cell>
          <cell r="H277" t="str">
            <v>10/数铣</v>
          </cell>
          <cell r="I277" t="str">
            <v>15/数铣15</v>
          </cell>
          <cell r="J277" t="str">
            <v>20/数铣30</v>
          </cell>
          <cell r="K277" t="str">
            <v>25/数铣60</v>
          </cell>
          <cell r="L277" t="str">
            <v>30/测量</v>
          </cell>
          <cell r="M277" t="str">
            <v>35/钳工</v>
          </cell>
          <cell r="N277" t="str">
            <v>40/数铣</v>
          </cell>
          <cell r="O277" t="str">
            <v>45/清洁</v>
          </cell>
          <cell r="P277" t="str">
            <v>50/成检</v>
          </cell>
        </row>
        <row r="278">
          <cell r="B278" t="str">
            <v>CB5512300-014L001</v>
          </cell>
          <cell r="D278" t="str">
            <v>B</v>
          </cell>
          <cell r="E278" t="str">
            <v>准备工时</v>
          </cell>
          <cell r="H278">
            <v>60</v>
          </cell>
          <cell r="I278">
            <v>60</v>
          </cell>
          <cell r="J278">
            <v>60</v>
          </cell>
          <cell r="K278">
            <v>60</v>
          </cell>
        </row>
        <row r="279">
          <cell r="B279" t="str">
            <v>CB5512300-014L001</v>
          </cell>
          <cell r="D279" t="str">
            <v>B</v>
          </cell>
          <cell r="E279" t="str">
            <v>装夹时间</v>
          </cell>
        </row>
        <row r="280">
          <cell r="B280" t="str">
            <v>CB5512300-014L001</v>
          </cell>
          <cell r="D280" t="str">
            <v>B</v>
          </cell>
          <cell r="E280" t="str">
            <v>程序时间</v>
          </cell>
          <cell r="G280">
            <v>30</v>
          </cell>
          <cell r="H280">
            <v>30</v>
          </cell>
          <cell r="I280">
            <v>40</v>
          </cell>
          <cell r="J280">
            <v>60</v>
          </cell>
          <cell r="K280">
            <v>100</v>
          </cell>
          <cell r="M280">
            <v>40</v>
          </cell>
          <cell r="N280">
            <v>10</v>
          </cell>
        </row>
        <row r="281">
          <cell r="B281" t="str">
            <v>CB5512300-014R001</v>
          </cell>
          <cell r="D281" t="str">
            <v>B</v>
          </cell>
          <cell r="E281" t="str">
            <v>工序内容</v>
          </cell>
          <cell r="F281" t="str">
            <v>0/领料</v>
          </cell>
          <cell r="G281" t="str">
            <v>5/下料</v>
          </cell>
          <cell r="H281" t="str">
            <v>10/数铣</v>
          </cell>
          <cell r="I281" t="str">
            <v>15/数铣15</v>
          </cell>
          <cell r="J281" t="str">
            <v>20/数铣30</v>
          </cell>
          <cell r="K281" t="str">
            <v>25/数铣60</v>
          </cell>
          <cell r="L281" t="str">
            <v>30/测量</v>
          </cell>
          <cell r="M281" t="str">
            <v>35/钳工</v>
          </cell>
          <cell r="N281" t="str">
            <v>40/数铣</v>
          </cell>
          <cell r="O281" t="str">
            <v>45/清洁</v>
          </cell>
          <cell r="P281" t="str">
            <v>50/成检</v>
          </cell>
        </row>
        <row r="282">
          <cell r="B282" t="str">
            <v>CB5512300-014R001</v>
          </cell>
          <cell r="D282" t="str">
            <v>B</v>
          </cell>
          <cell r="E282" t="str">
            <v>准备工时</v>
          </cell>
          <cell r="H282">
            <v>60</v>
          </cell>
          <cell r="I282">
            <v>60</v>
          </cell>
          <cell r="J282">
            <v>60</v>
          </cell>
          <cell r="K282">
            <v>60</v>
          </cell>
        </row>
        <row r="283">
          <cell r="B283" t="str">
            <v>CB5512300-014R001</v>
          </cell>
          <cell r="D283" t="str">
            <v>B</v>
          </cell>
          <cell r="E283" t="str">
            <v>装夹时间</v>
          </cell>
        </row>
        <row r="284">
          <cell r="B284" t="str">
            <v>CB5512300-014R001</v>
          </cell>
          <cell r="D284" t="str">
            <v>B</v>
          </cell>
          <cell r="E284" t="str">
            <v>程序时间</v>
          </cell>
          <cell r="G284">
            <v>30</v>
          </cell>
          <cell r="H284">
            <v>30</v>
          </cell>
          <cell r="I284">
            <v>40</v>
          </cell>
          <cell r="J284">
            <v>60</v>
          </cell>
          <cell r="K284">
            <v>100</v>
          </cell>
          <cell r="M284">
            <v>40</v>
          </cell>
          <cell r="N284">
            <v>10</v>
          </cell>
        </row>
        <row r="285">
          <cell r="B285" t="str">
            <v>CB2716663-003-002</v>
          </cell>
          <cell r="D285" t="str">
            <v>A</v>
          </cell>
          <cell r="E285" t="str">
            <v>工序内容</v>
          </cell>
          <cell r="F285" t="str">
            <v>0/领料</v>
          </cell>
          <cell r="G285" t="str">
            <v>05/下料</v>
          </cell>
          <cell r="H285" t="str">
            <v>10/铣六方</v>
          </cell>
          <cell r="I285" t="str">
            <v>15/线切割</v>
          </cell>
          <cell r="J285" t="str">
            <v>20/钳工</v>
          </cell>
          <cell r="K285" t="str">
            <v>25/分光</v>
          </cell>
          <cell r="L285" t="str">
            <v>30/数铣10</v>
          </cell>
          <cell r="M285" t="str">
            <v>35/数铣10</v>
          </cell>
          <cell r="N285" t="str">
            <v>40/数车15</v>
          </cell>
          <cell r="O285" t="str">
            <v>45/数车</v>
          </cell>
          <cell r="P285" t="str">
            <v>50/数车</v>
          </cell>
          <cell r="Q285" t="str">
            <v>55/钳工</v>
          </cell>
          <cell r="R285" t="str">
            <v>60/清洁</v>
          </cell>
          <cell r="S285" t="str">
            <v>65/成检</v>
          </cell>
        </row>
        <row r="286">
          <cell r="B286" t="str">
            <v>CB2716663-003-002</v>
          </cell>
          <cell r="D286" t="str">
            <v>A</v>
          </cell>
          <cell r="E286" t="str">
            <v>准备工时</v>
          </cell>
          <cell r="H286">
            <v>60</v>
          </cell>
          <cell r="L286">
            <v>60</v>
          </cell>
          <cell r="M286">
            <v>60</v>
          </cell>
          <cell r="N286">
            <v>60</v>
          </cell>
          <cell r="O286">
            <v>60</v>
          </cell>
          <cell r="P286">
            <v>60</v>
          </cell>
        </row>
        <row r="287">
          <cell r="B287" t="str">
            <v>CB2716663-003-002</v>
          </cell>
          <cell r="D287" t="str">
            <v>A</v>
          </cell>
          <cell r="E287" t="str">
            <v>装夹时间</v>
          </cell>
        </row>
        <row r="288">
          <cell r="B288" t="str">
            <v>CB2716663-003-002</v>
          </cell>
          <cell r="D288" t="str">
            <v>A</v>
          </cell>
          <cell r="E288" t="str">
            <v>程序时间</v>
          </cell>
          <cell r="H288">
            <v>60</v>
          </cell>
          <cell r="J288">
            <v>10</v>
          </cell>
          <cell r="L288">
            <v>20</v>
          </cell>
          <cell r="M288">
            <v>20</v>
          </cell>
          <cell r="N288">
            <v>25</v>
          </cell>
          <cell r="O288">
            <v>40</v>
          </cell>
          <cell r="P288">
            <v>40</v>
          </cell>
          <cell r="Q288">
            <v>30</v>
          </cell>
        </row>
        <row r="289">
          <cell r="B289" t="str">
            <v>CB229C420-004-001</v>
          </cell>
          <cell r="D289" t="str">
            <v>B</v>
          </cell>
          <cell r="E289" t="str">
            <v>工序内容</v>
          </cell>
          <cell r="F289" t="str">
            <v>0/领料</v>
          </cell>
          <cell r="G289" t="str">
            <v>05/数车15</v>
          </cell>
          <cell r="H289" t="str">
            <v>10/钳工</v>
          </cell>
          <cell r="I289" t="str">
            <v>15/分光</v>
          </cell>
          <cell r="J289" t="str">
            <v>20/热处理</v>
          </cell>
          <cell r="K289" t="str">
            <v>25/数车</v>
          </cell>
          <cell r="L289" t="str">
            <v>30/数车</v>
          </cell>
          <cell r="M289" t="str">
            <v>35/数铣</v>
          </cell>
          <cell r="N289" t="str">
            <v>40/钳工</v>
          </cell>
          <cell r="O289" t="str">
            <v>45/清洁</v>
          </cell>
          <cell r="P289" t="str">
            <v>50/成检</v>
          </cell>
        </row>
        <row r="290">
          <cell r="B290" t="str">
            <v>CB229C420-004-001</v>
          </cell>
          <cell r="D290" t="str">
            <v>B</v>
          </cell>
          <cell r="E290" t="str">
            <v>准备工时</v>
          </cell>
          <cell r="G290">
            <v>60</v>
          </cell>
          <cell r="K290">
            <v>60</v>
          </cell>
          <cell r="L290">
            <v>60</v>
          </cell>
          <cell r="M290">
            <v>120</v>
          </cell>
        </row>
        <row r="291">
          <cell r="B291" t="str">
            <v>CB229C420-004-001</v>
          </cell>
          <cell r="D291" t="str">
            <v>B</v>
          </cell>
          <cell r="E291" t="str">
            <v>装夹时间</v>
          </cell>
        </row>
        <row r="292">
          <cell r="B292" t="str">
            <v>CB229C420-004-001</v>
          </cell>
          <cell r="D292" t="str">
            <v>B</v>
          </cell>
          <cell r="E292" t="str">
            <v>程序时间</v>
          </cell>
          <cell r="G292">
            <v>30</v>
          </cell>
          <cell r="H292">
            <v>15</v>
          </cell>
          <cell r="K292">
            <v>30</v>
          </cell>
          <cell r="L292">
            <v>5</v>
          </cell>
          <cell r="M292">
            <v>35</v>
          </cell>
          <cell r="N292">
            <v>20</v>
          </cell>
        </row>
        <row r="293">
          <cell r="B293" t="str">
            <v>DD-J10-68095-1400-1</v>
          </cell>
          <cell r="D293" t="str">
            <v>C</v>
          </cell>
          <cell r="E293" t="str">
            <v>工序内容</v>
          </cell>
          <cell r="F293" t="str">
            <v>0/领料</v>
          </cell>
          <cell r="G293" t="str">
            <v>5/数车30</v>
          </cell>
          <cell r="H293" t="str">
            <v>10/数车15</v>
          </cell>
          <cell r="I293" t="str">
            <v>15/数铣15</v>
          </cell>
          <cell r="J293" t="str">
            <v>20/数铣5</v>
          </cell>
          <cell r="K293" t="str">
            <v>25/数车15</v>
          </cell>
          <cell r="L293" t="str">
            <v>30/钳工</v>
          </cell>
          <cell r="M293" t="str">
            <v>35/清洁</v>
          </cell>
          <cell r="N293" t="str">
            <v>40/成检</v>
          </cell>
        </row>
        <row r="294">
          <cell r="B294" t="str">
            <v>DD-J10-68095-1400-1</v>
          </cell>
          <cell r="D294" t="str">
            <v>C</v>
          </cell>
          <cell r="E294" t="str">
            <v>准备工时</v>
          </cell>
          <cell r="G294">
            <v>60</v>
          </cell>
          <cell r="H294">
            <v>60</v>
          </cell>
          <cell r="I294">
            <v>60</v>
          </cell>
          <cell r="J294">
            <v>90</v>
          </cell>
          <cell r="K294">
            <v>60</v>
          </cell>
        </row>
        <row r="295">
          <cell r="B295" t="str">
            <v>DD-J10-68095-1400-1</v>
          </cell>
          <cell r="D295" t="str">
            <v>C</v>
          </cell>
          <cell r="E295" t="str">
            <v>装夹时间</v>
          </cell>
        </row>
        <row r="296">
          <cell r="B296" t="str">
            <v>DD-J10-68095-1400-1</v>
          </cell>
          <cell r="D296" t="str">
            <v>C</v>
          </cell>
          <cell r="E296" t="str">
            <v>程序时间</v>
          </cell>
          <cell r="G296">
            <v>35</v>
          </cell>
          <cell r="H296">
            <v>20</v>
          </cell>
          <cell r="I296">
            <v>30</v>
          </cell>
          <cell r="J296">
            <v>50</v>
          </cell>
          <cell r="K296">
            <v>20</v>
          </cell>
          <cell r="L296">
            <v>20</v>
          </cell>
        </row>
        <row r="297">
          <cell r="B297" t="str">
            <v>DD-J10-68095-1400-1</v>
          </cell>
          <cell r="D297" t="str">
            <v>D</v>
          </cell>
          <cell r="E297" t="str">
            <v>工序内容</v>
          </cell>
          <cell r="F297" t="str">
            <v>0/领料</v>
          </cell>
          <cell r="G297" t="str">
            <v>5/数车30</v>
          </cell>
          <cell r="H297" t="str">
            <v>10/数车15</v>
          </cell>
          <cell r="I297" t="str">
            <v>15/数铣15</v>
          </cell>
          <cell r="J297" t="str">
            <v>20/数铣5</v>
          </cell>
          <cell r="K297" t="str">
            <v>25/数车15</v>
          </cell>
          <cell r="L297" t="str">
            <v>30/钳工</v>
          </cell>
          <cell r="M297" t="str">
            <v>35/清洁</v>
          </cell>
          <cell r="N297" t="str">
            <v>40/成检</v>
          </cell>
        </row>
        <row r="298">
          <cell r="B298" t="str">
            <v>DD-J10-68095-1400-1</v>
          </cell>
          <cell r="D298" t="str">
            <v>D</v>
          </cell>
          <cell r="E298" t="str">
            <v>准备工时</v>
          </cell>
          <cell r="G298">
            <v>60</v>
          </cell>
          <cell r="H298">
            <v>60</v>
          </cell>
          <cell r="I298">
            <v>60</v>
          </cell>
          <cell r="J298">
            <v>90</v>
          </cell>
          <cell r="K298">
            <v>60</v>
          </cell>
        </row>
        <row r="299">
          <cell r="B299" t="str">
            <v>DD-J10-68095-1400-1</v>
          </cell>
          <cell r="D299" t="str">
            <v>D</v>
          </cell>
          <cell r="E299" t="str">
            <v>装夹时间</v>
          </cell>
        </row>
        <row r="300">
          <cell r="B300" t="str">
            <v>DD-J10-68095-1400-1</v>
          </cell>
          <cell r="D300" t="str">
            <v>D</v>
          </cell>
          <cell r="E300" t="str">
            <v>程序时间</v>
          </cell>
          <cell r="G300">
            <v>35</v>
          </cell>
          <cell r="H300">
            <v>20</v>
          </cell>
          <cell r="I300">
            <v>30</v>
          </cell>
          <cell r="J300">
            <v>50</v>
          </cell>
          <cell r="K300">
            <v>20</v>
          </cell>
          <cell r="L300">
            <v>20</v>
          </cell>
        </row>
        <row r="301">
          <cell r="B301" t="str">
            <v>LT3E-551100000-63R01</v>
          </cell>
          <cell r="D301" t="str">
            <v>B</v>
          </cell>
          <cell r="E301" t="str">
            <v>工序内容</v>
          </cell>
          <cell r="F301" t="str">
            <v>0/领料</v>
          </cell>
          <cell r="G301" t="str">
            <v>5/下料</v>
          </cell>
          <cell r="H301" t="str">
            <v>10/数铣10</v>
          </cell>
          <cell r="I301" t="str">
            <v>15/数铣20</v>
          </cell>
          <cell r="J301" t="str">
            <v>20/测量</v>
          </cell>
          <cell r="K301" t="str">
            <v>25/钳工</v>
          </cell>
          <cell r="L301" t="str">
            <v>30/数铣</v>
          </cell>
          <cell r="M301" t="str">
            <v>35/清洁</v>
          </cell>
          <cell r="N301" t="str">
            <v>40/成检</v>
          </cell>
        </row>
        <row r="302">
          <cell r="B302" t="str">
            <v>LT3E-551100000-63R01</v>
          </cell>
          <cell r="D302" t="str">
            <v>B</v>
          </cell>
          <cell r="E302" t="str">
            <v>准备工时</v>
          </cell>
          <cell r="H302">
            <v>60</v>
          </cell>
          <cell r="I302">
            <v>90</v>
          </cell>
        </row>
        <row r="303">
          <cell r="B303" t="str">
            <v>LT3E-551100000-63R01</v>
          </cell>
          <cell r="D303" t="str">
            <v>B</v>
          </cell>
          <cell r="E303" t="str">
            <v>装夹时间</v>
          </cell>
        </row>
        <row r="304">
          <cell r="B304" t="str">
            <v>LT3E-551100000-63R01</v>
          </cell>
          <cell r="D304" t="str">
            <v>B</v>
          </cell>
          <cell r="E304" t="str">
            <v>程序时间</v>
          </cell>
          <cell r="G304">
            <v>20</v>
          </cell>
          <cell r="H304">
            <v>25</v>
          </cell>
          <cell r="I304">
            <v>40</v>
          </cell>
          <cell r="K304">
            <v>70</v>
          </cell>
          <cell r="L304">
            <v>20</v>
          </cell>
        </row>
        <row r="305">
          <cell r="B305" t="str">
            <v>CB5315191-014L004</v>
          </cell>
          <cell r="D305" t="str">
            <v>C</v>
          </cell>
          <cell r="E305" t="str">
            <v>工序内容</v>
          </cell>
          <cell r="F305" t="str">
            <v>0/领料</v>
          </cell>
          <cell r="G305" t="str">
            <v>5/数铣</v>
          </cell>
          <cell r="H305" t="str">
            <v>10/数铣35</v>
          </cell>
          <cell r="I305" t="str">
            <v>15/数铣10</v>
          </cell>
          <cell r="J305" t="str">
            <v>20/数铣125</v>
          </cell>
          <cell r="K305" t="str">
            <v>25/数铣35</v>
          </cell>
          <cell r="L305" t="str">
            <v>30/数铣70</v>
          </cell>
          <cell r="M305" t="str">
            <v>35/数铣185</v>
          </cell>
          <cell r="N305" t="str">
            <v>40/测量</v>
          </cell>
          <cell r="O305" t="str">
            <v>45/钳工</v>
          </cell>
          <cell r="P305" t="str">
            <v>50/清洁</v>
          </cell>
          <cell r="Q305" t="str">
            <v>55/硬度</v>
          </cell>
          <cell r="R305" t="str">
            <v>60/分光</v>
          </cell>
          <cell r="S305" t="str">
            <v>65/检验</v>
          </cell>
          <cell r="T305" t="str">
            <v>70/钳工</v>
          </cell>
          <cell r="U305" t="str">
            <v>75/清洗</v>
          </cell>
          <cell r="V305" t="str">
            <v>80/成检</v>
          </cell>
        </row>
        <row r="306">
          <cell r="B306" t="str">
            <v>CB5315191-014L004</v>
          </cell>
          <cell r="D306" t="str">
            <v>C</v>
          </cell>
          <cell r="E306" t="str">
            <v>准备工时</v>
          </cell>
          <cell r="G306">
            <v>60</v>
          </cell>
          <cell r="H306">
            <v>90</v>
          </cell>
          <cell r="I306">
            <v>60</v>
          </cell>
          <cell r="J306">
            <v>90</v>
          </cell>
          <cell r="K306">
            <v>60</v>
          </cell>
          <cell r="L306">
            <v>90</v>
          </cell>
          <cell r="M306">
            <v>90</v>
          </cell>
        </row>
        <row r="307">
          <cell r="B307" t="str">
            <v>CB5315191-014L004</v>
          </cell>
          <cell r="D307" t="str">
            <v>C</v>
          </cell>
          <cell r="E307" t="str">
            <v>装夹时间</v>
          </cell>
          <cell r="M307">
            <v>60</v>
          </cell>
          <cell r="T307">
            <v>5</v>
          </cell>
        </row>
        <row r="308">
          <cell r="B308" t="str">
            <v>CB5315191-014L004</v>
          </cell>
          <cell r="D308" t="str">
            <v>C</v>
          </cell>
          <cell r="E308" t="str">
            <v>程序时间</v>
          </cell>
          <cell r="G308">
            <v>60</v>
          </cell>
          <cell r="H308">
            <v>70</v>
          </cell>
          <cell r="I308">
            <v>25</v>
          </cell>
          <cell r="J308">
            <v>210</v>
          </cell>
          <cell r="K308">
            <v>60</v>
          </cell>
          <cell r="L308">
            <v>120</v>
          </cell>
          <cell r="M308">
            <v>260</v>
          </cell>
          <cell r="O308">
            <v>180</v>
          </cell>
        </row>
        <row r="309">
          <cell r="B309" t="str">
            <v>图号</v>
          </cell>
        </row>
        <row r="310">
          <cell r="B310" t="str">
            <v>CB5315191-014R004</v>
          </cell>
          <cell r="D310" t="str">
            <v>C</v>
          </cell>
          <cell r="E310" t="str">
            <v>工序内容</v>
          </cell>
          <cell r="F310" t="str">
            <v>0/领料</v>
          </cell>
          <cell r="G310" t="str">
            <v>5/数铣</v>
          </cell>
          <cell r="H310" t="str">
            <v>10/数铣35</v>
          </cell>
          <cell r="I310" t="str">
            <v>15/数铣8</v>
          </cell>
          <cell r="J310" t="str">
            <v>20/数铣125</v>
          </cell>
          <cell r="K310" t="str">
            <v>25/数铣35</v>
          </cell>
          <cell r="L310" t="str">
            <v>30/数铣70</v>
          </cell>
          <cell r="M310" t="str">
            <v>35/数铣185</v>
          </cell>
          <cell r="N310" t="str">
            <v>40/测量</v>
          </cell>
          <cell r="O310" t="str">
            <v>45/钳工</v>
          </cell>
          <cell r="P310" t="str">
            <v>50/清洁</v>
          </cell>
          <cell r="Q310" t="str">
            <v>55/硬度</v>
          </cell>
          <cell r="R310" t="str">
            <v>60/分光</v>
          </cell>
          <cell r="S310" t="str">
            <v>65/检验</v>
          </cell>
          <cell r="T310" t="str">
            <v>70/钳工</v>
          </cell>
          <cell r="U310" t="str">
            <v>75/清洗</v>
          </cell>
          <cell r="V310" t="str">
            <v>80/成检</v>
          </cell>
        </row>
        <row r="311">
          <cell r="B311" t="str">
            <v>CB5315191-014R004</v>
          </cell>
          <cell r="D311" t="str">
            <v>C</v>
          </cell>
          <cell r="E311" t="str">
            <v>准备工时</v>
          </cell>
          <cell r="G311">
            <v>60</v>
          </cell>
          <cell r="H311">
            <v>90</v>
          </cell>
          <cell r="I311">
            <v>60</v>
          </cell>
          <cell r="J311">
            <v>90</v>
          </cell>
          <cell r="K311">
            <v>60</v>
          </cell>
          <cell r="L311">
            <v>90</v>
          </cell>
          <cell r="M311">
            <v>90</v>
          </cell>
        </row>
        <row r="312">
          <cell r="B312" t="str">
            <v>CB5315191-014R004</v>
          </cell>
          <cell r="D312" t="str">
            <v>C</v>
          </cell>
          <cell r="E312" t="str">
            <v>装夹时间</v>
          </cell>
          <cell r="M312">
            <v>60</v>
          </cell>
          <cell r="T312">
            <v>5</v>
          </cell>
        </row>
        <row r="313">
          <cell r="B313" t="str">
            <v>CB5315191-014R004</v>
          </cell>
          <cell r="D313" t="str">
            <v>C</v>
          </cell>
          <cell r="E313" t="str">
            <v>程序时间</v>
          </cell>
          <cell r="G313">
            <v>60</v>
          </cell>
          <cell r="H313">
            <v>70</v>
          </cell>
          <cell r="I313">
            <v>25</v>
          </cell>
          <cell r="J313">
            <v>210</v>
          </cell>
          <cell r="K313">
            <v>60</v>
          </cell>
          <cell r="L313">
            <v>120</v>
          </cell>
          <cell r="M313">
            <v>260</v>
          </cell>
          <cell r="O313">
            <v>180</v>
          </cell>
        </row>
        <row r="314">
          <cell r="B314" t="str">
            <v>图号</v>
          </cell>
        </row>
        <row r="315">
          <cell r="B315" t="str">
            <v>BC5812000-011-001</v>
          </cell>
          <cell r="D315" t="str">
            <v>B</v>
          </cell>
          <cell r="E315" t="str">
            <v>工序内容</v>
          </cell>
          <cell r="F315" t="str">
            <v>05/下料</v>
          </cell>
          <cell r="G315" t="str">
            <v>10/数铣12</v>
          </cell>
          <cell r="H315" t="str">
            <v>15/数铣55</v>
          </cell>
          <cell r="I315" t="str">
            <v>20/线切割</v>
          </cell>
          <cell r="J315" t="str">
            <v>25/钳工</v>
          </cell>
          <cell r="K315" t="str">
            <v>30分光</v>
          </cell>
          <cell r="L315" t="str">
            <v>35/热处理</v>
          </cell>
          <cell r="M315" t="str">
            <v>40/数铣15</v>
          </cell>
          <cell r="N315" t="str">
            <v>45/数铣</v>
          </cell>
          <cell r="O315" t="str">
            <v>50/磨</v>
          </cell>
          <cell r="P315" t="str">
            <v>55/数铣</v>
          </cell>
          <cell r="Q315" t="str">
            <v>60/数铣</v>
          </cell>
          <cell r="R315" t="str">
            <v>65/钳工</v>
          </cell>
          <cell r="S315" t="str">
            <v>70/清洁</v>
          </cell>
          <cell r="T315" t="str">
            <v>75/成检</v>
          </cell>
        </row>
        <row r="316">
          <cell r="B316" t="str">
            <v>BC5812000-011-001</v>
          </cell>
          <cell r="D316" t="str">
            <v>B</v>
          </cell>
          <cell r="E316" t="str">
            <v>准备工时</v>
          </cell>
          <cell r="G316">
            <v>60</v>
          </cell>
          <cell r="H316">
            <v>60</v>
          </cell>
          <cell r="M316">
            <v>60</v>
          </cell>
          <cell r="N316">
            <v>60</v>
          </cell>
          <cell r="P316">
            <v>120</v>
          </cell>
          <cell r="Q316">
            <v>60</v>
          </cell>
        </row>
        <row r="317">
          <cell r="B317" t="str">
            <v>BC5812000-011-001</v>
          </cell>
          <cell r="D317" t="str">
            <v>B</v>
          </cell>
          <cell r="E317" t="str">
            <v>装夹时间</v>
          </cell>
        </row>
        <row r="318">
          <cell r="B318" t="str">
            <v>BC5812000-011-001</v>
          </cell>
          <cell r="D318" t="str">
            <v>B</v>
          </cell>
          <cell r="E318" t="str">
            <v>程序时间</v>
          </cell>
          <cell r="F318">
            <v>15</v>
          </cell>
          <cell r="G318">
            <v>20</v>
          </cell>
          <cell r="H318">
            <v>70</v>
          </cell>
          <cell r="M318">
            <v>20</v>
          </cell>
          <cell r="N318">
            <v>20</v>
          </cell>
          <cell r="P318">
            <v>60</v>
          </cell>
          <cell r="Q318">
            <v>15</v>
          </cell>
        </row>
        <row r="319">
          <cell r="B319" t="str">
            <v>图号</v>
          </cell>
        </row>
        <row r="320">
          <cell r="B320" t="str">
            <v>DD-J10B-94091-25G2</v>
          </cell>
          <cell r="D320" t="str">
            <v>A</v>
          </cell>
          <cell r="E320" t="str">
            <v>工序内容</v>
          </cell>
          <cell r="F320" t="str">
            <v>0/领料</v>
          </cell>
          <cell r="G320" t="str">
            <v>5/钳工</v>
          </cell>
          <cell r="H320" t="str">
            <v>10/数车15</v>
          </cell>
          <cell r="I320" t="str">
            <v>15/数车35</v>
          </cell>
          <cell r="J320" t="str">
            <v>20/数车20</v>
          </cell>
          <cell r="K320" t="str">
            <v>25/数车20</v>
          </cell>
          <cell r="L320" t="str">
            <v>30/数铣</v>
          </cell>
          <cell r="M320" t="str">
            <v>35/钳工</v>
          </cell>
          <cell r="N320" t="str">
            <v>40/清洁</v>
          </cell>
          <cell r="O320" t="str">
            <v>45/成检</v>
          </cell>
        </row>
        <row r="321">
          <cell r="B321" t="str">
            <v>DD-J10B-94091-25G2</v>
          </cell>
          <cell r="D321" t="str">
            <v>A</v>
          </cell>
          <cell r="E321" t="str">
            <v>准备工时</v>
          </cell>
          <cell r="H321">
            <v>180</v>
          </cell>
          <cell r="I321">
            <v>180</v>
          </cell>
          <cell r="J321">
            <v>180</v>
          </cell>
          <cell r="K321">
            <v>180</v>
          </cell>
          <cell r="L321" t="str">
            <v>120</v>
          </cell>
        </row>
        <row r="322">
          <cell r="B322" t="str">
            <v>DD-J10B-94091-25G2</v>
          </cell>
          <cell r="D322" t="str">
            <v>A</v>
          </cell>
          <cell r="E322" t="str">
            <v>装夹时间</v>
          </cell>
          <cell r="H322">
            <v>10</v>
          </cell>
          <cell r="I322">
            <v>8</v>
          </cell>
          <cell r="J322">
            <v>8</v>
          </cell>
          <cell r="K322">
            <v>8</v>
          </cell>
        </row>
        <row r="323">
          <cell r="B323" t="str">
            <v>DD-J10B-94091-25G2</v>
          </cell>
          <cell r="D323" t="str">
            <v>A</v>
          </cell>
          <cell r="E323" t="str">
            <v>程序时间</v>
          </cell>
          <cell r="G323">
            <v>15</v>
          </cell>
          <cell r="H323">
            <v>23</v>
          </cell>
          <cell r="I323">
            <v>50</v>
          </cell>
          <cell r="J323">
            <v>30</v>
          </cell>
          <cell r="K323">
            <v>30</v>
          </cell>
          <cell r="L323" t="str">
            <v>40</v>
          </cell>
          <cell r="M323" t="str">
            <v>30</v>
          </cell>
        </row>
        <row r="324">
          <cell r="B324" t="str">
            <v>图号</v>
          </cell>
        </row>
        <row r="325">
          <cell r="B325" t="str">
            <v>CB229B412-003-001</v>
          </cell>
          <cell r="D325" t="str">
            <v>B</v>
          </cell>
          <cell r="E325" t="str">
            <v>工序内容</v>
          </cell>
          <cell r="F325" t="str">
            <v>0/领料</v>
          </cell>
          <cell r="G325" t="str">
            <v>05/数铣</v>
          </cell>
          <cell r="H325" t="str">
            <v>10/分光</v>
          </cell>
          <cell r="I325" t="str">
            <v>15/热处理</v>
          </cell>
          <cell r="J325" t="str">
            <v>20/硬度</v>
          </cell>
          <cell r="K325" t="str">
            <v>25/数铣</v>
          </cell>
          <cell r="L325" t="str">
            <v>30/数铣</v>
          </cell>
          <cell r="M325" t="str">
            <v>35/数铣</v>
          </cell>
          <cell r="N325" t="str">
            <v>40/数铣</v>
          </cell>
          <cell r="O325" t="str">
            <v>45/线切割</v>
          </cell>
          <cell r="P325" t="str">
            <v>50/数铣</v>
          </cell>
          <cell r="Q325" t="str">
            <v>55/数铣</v>
          </cell>
          <cell r="R325" t="str">
            <v>60/钳工</v>
          </cell>
          <cell r="S325" t="str">
            <v>65/清洁</v>
          </cell>
          <cell r="T325" t="str">
            <v>70/成检</v>
          </cell>
        </row>
        <row r="326">
          <cell r="B326" t="str">
            <v>CB229B412-003-001</v>
          </cell>
          <cell r="D326" t="str">
            <v>B</v>
          </cell>
          <cell r="E326" t="str">
            <v>准备工时</v>
          </cell>
          <cell r="G326">
            <v>60</v>
          </cell>
          <cell r="K326">
            <v>60</v>
          </cell>
          <cell r="L326">
            <v>60</v>
          </cell>
          <cell r="M326">
            <v>60</v>
          </cell>
          <cell r="N326">
            <v>60</v>
          </cell>
          <cell r="P326">
            <v>60</v>
          </cell>
          <cell r="Q326">
            <v>120</v>
          </cell>
        </row>
        <row r="327">
          <cell r="B327" t="str">
            <v>CB229B412-003-001</v>
          </cell>
          <cell r="D327" t="str">
            <v>B</v>
          </cell>
          <cell r="E327" t="str">
            <v>装夹时间</v>
          </cell>
        </row>
        <row r="328">
          <cell r="B328" t="str">
            <v>CB229B412-003-001</v>
          </cell>
          <cell r="D328" t="str">
            <v>B</v>
          </cell>
          <cell r="E328" t="str">
            <v>程序时间</v>
          </cell>
          <cell r="G328">
            <v>30</v>
          </cell>
          <cell r="K328">
            <v>40</v>
          </cell>
          <cell r="L328">
            <v>20</v>
          </cell>
          <cell r="M328">
            <v>15</v>
          </cell>
          <cell r="N328">
            <v>20</v>
          </cell>
          <cell r="P328">
            <v>15</v>
          </cell>
          <cell r="Q328">
            <v>20</v>
          </cell>
          <cell r="R328">
            <v>20</v>
          </cell>
        </row>
        <row r="329">
          <cell r="B329" t="str">
            <v>图号</v>
          </cell>
        </row>
        <row r="330">
          <cell r="B330" t="str">
            <v>DD-J10B-94076-1311</v>
          </cell>
          <cell r="D330" t="str">
            <v>B</v>
          </cell>
          <cell r="E330" t="str">
            <v>工序内容</v>
          </cell>
          <cell r="F330" t="str">
            <v>0/领料</v>
          </cell>
          <cell r="G330" t="str">
            <v>5/普车15</v>
          </cell>
          <cell r="H330" t="str">
            <v>10/分光</v>
          </cell>
          <cell r="I330" t="str">
            <v>15/数车15</v>
          </cell>
          <cell r="J330" t="str">
            <v>20/数车12</v>
          </cell>
          <cell r="K330" t="str">
            <v>25/钳工</v>
          </cell>
          <cell r="L330" t="str">
            <v>30/清洁</v>
          </cell>
          <cell r="M330" t="str">
            <v>35/成检</v>
          </cell>
        </row>
        <row r="331">
          <cell r="B331" t="str">
            <v>DD-J10B-94076-1311</v>
          </cell>
          <cell r="D331" t="str">
            <v>B</v>
          </cell>
          <cell r="E331" t="str">
            <v>准备工时</v>
          </cell>
          <cell r="G331">
            <v>60</v>
          </cell>
          <cell r="I331">
            <v>60</v>
          </cell>
          <cell r="J331">
            <v>60</v>
          </cell>
        </row>
        <row r="332">
          <cell r="B332" t="str">
            <v>DD-J10B-94076-1311</v>
          </cell>
          <cell r="D332" t="str">
            <v>B</v>
          </cell>
          <cell r="E332" t="str">
            <v>装夹时间</v>
          </cell>
        </row>
        <row r="333">
          <cell r="B333" t="str">
            <v>DD-J10B-94076-1311</v>
          </cell>
          <cell r="D333" t="str">
            <v>B</v>
          </cell>
          <cell r="E333" t="str">
            <v>程序时间</v>
          </cell>
          <cell r="G333">
            <v>25</v>
          </cell>
          <cell r="I333">
            <v>25</v>
          </cell>
          <cell r="J333">
            <v>18</v>
          </cell>
        </row>
        <row r="334">
          <cell r="B334" t="str">
            <v>图号</v>
          </cell>
        </row>
        <row r="335">
          <cell r="B335" t="str">
            <v>CB5324320-007R009</v>
          </cell>
          <cell r="D335" t="str">
            <v>E</v>
          </cell>
          <cell r="E335" t="str">
            <v>工序内容</v>
          </cell>
          <cell r="F335" t="str">
            <v>0/领料</v>
          </cell>
          <cell r="G335" t="str">
            <v>5/吊装孔</v>
          </cell>
          <cell r="H335" t="str">
            <v>10/数铣</v>
          </cell>
          <cell r="I335" t="str">
            <v>15/数铣33</v>
          </cell>
          <cell r="J335" t="str">
            <v>20/数铣200</v>
          </cell>
          <cell r="K335" t="str">
            <v>25/数铣125</v>
          </cell>
          <cell r="L335" t="str">
            <v>30/空</v>
          </cell>
          <cell r="M335" t="str">
            <v>35/时效</v>
          </cell>
          <cell r="N335" t="str">
            <v>40/铣面 销孔</v>
          </cell>
          <cell r="O335" t="str">
            <v>45/数铣235</v>
          </cell>
          <cell r="P335" t="str">
            <v>50/五轴28</v>
          </cell>
          <cell r="Q335" t="str">
            <v>55/数铣170</v>
          </cell>
          <cell r="R335" t="str">
            <v>60/数铣100</v>
          </cell>
          <cell r="S335" t="str">
            <v>65/数铣10</v>
          </cell>
          <cell r="T335" t="str">
            <v>70/测量</v>
          </cell>
          <cell r="U335" t="str">
            <v>75/钳工</v>
          </cell>
          <cell r="V335" t="str">
            <v>80/数铣</v>
          </cell>
          <cell r="W335" t="str">
            <v>85/清洁</v>
          </cell>
          <cell r="X335" t="str">
            <v>90/检验</v>
          </cell>
          <cell r="Y335" t="str">
            <v>95/硬检</v>
          </cell>
          <cell r="Z335" t="str">
            <v>100/分光</v>
          </cell>
          <cell r="AA335" t="str">
            <v>105/钳工</v>
          </cell>
          <cell r="AB335" t="str">
            <v>110/清洁</v>
          </cell>
          <cell r="AC335" t="str">
            <v>115/成检</v>
          </cell>
        </row>
        <row r="336">
          <cell r="B336" t="str">
            <v>CB5324320-007R009</v>
          </cell>
          <cell r="D336" t="str">
            <v>E</v>
          </cell>
          <cell r="E336" t="str">
            <v>准备工时</v>
          </cell>
          <cell r="G336">
            <v>60</v>
          </cell>
          <cell r="H336">
            <v>60</v>
          </cell>
          <cell r="I336">
            <v>60</v>
          </cell>
          <cell r="J336">
            <v>60</v>
          </cell>
          <cell r="K336">
            <v>60</v>
          </cell>
          <cell r="N336">
            <v>90</v>
          </cell>
          <cell r="O336">
            <v>90</v>
          </cell>
          <cell r="P336">
            <v>150</v>
          </cell>
          <cell r="Q336">
            <v>60</v>
          </cell>
          <cell r="R336">
            <v>60</v>
          </cell>
          <cell r="S336">
            <v>60</v>
          </cell>
        </row>
        <row r="337">
          <cell r="B337" t="str">
            <v>CB5324320-007R009</v>
          </cell>
          <cell r="D337" t="str">
            <v>E</v>
          </cell>
          <cell r="E337" t="str">
            <v>装夹时间</v>
          </cell>
          <cell r="P337">
            <v>60</v>
          </cell>
        </row>
        <row r="338">
          <cell r="B338" t="str">
            <v>CB5324320-007R009</v>
          </cell>
          <cell r="D338" t="str">
            <v>E</v>
          </cell>
          <cell r="E338" t="str">
            <v>程序时间</v>
          </cell>
          <cell r="G338">
            <v>30</v>
          </cell>
          <cell r="H338">
            <v>90</v>
          </cell>
          <cell r="I338">
            <v>75</v>
          </cell>
          <cell r="J338">
            <v>300</v>
          </cell>
          <cell r="K338">
            <v>190</v>
          </cell>
          <cell r="N338">
            <v>150</v>
          </cell>
          <cell r="O338">
            <v>420</v>
          </cell>
          <cell r="P338">
            <v>90</v>
          </cell>
          <cell r="Q338">
            <v>240</v>
          </cell>
          <cell r="R338">
            <v>170</v>
          </cell>
          <cell r="S338">
            <v>40</v>
          </cell>
          <cell r="U338">
            <v>240</v>
          </cell>
          <cell r="V338">
            <v>20</v>
          </cell>
          <cell r="AA338">
            <v>5</v>
          </cell>
        </row>
        <row r="339">
          <cell r="B339" t="str">
            <v>图号</v>
          </cell>
        </row>
        <row r="340">
          <cell r="B340" t="str">
            <v>DD-J10B-65000-1720G2-1</v>
          </cell>
          <cell r="D340" t="str">
            <v>G</v>
          </cell>
          <cell r="E340" t="str">
            <v>工序内容</v>
          </cell>
          <cell r="F340" t="str">
            <v>0/领料</v>
          </cell>
          <cell r="G340" t="str">
            <v>5/普车</v>
          </cell>
          <cell r="H340" t="str">
            <v>10/数车</v>
          </cell>
          <cell r="I340" t="str">
            <v>15/数车</v>
          </cell>
          <cell r="J340" t="str">
            <v>20/线切割</v>
          </cell>
          <cell r="K340" t="str">
            <v>25/数铣</v>
          </cell>
          <cell r="L340" t="str">
            <v>30/线切割</v>
          </cell>
          <cell r="M340" t="str">
            <v>35/穿孔</v>
          </cell>
          <cell r="N340" t="str">
            <v>40/钳工</v>
          </cell>
          <cell r="O340" t="str">
            <v>45/分光</v>
          </cell>
          <cell r="P340" t="str">
            <v>50/钳工</v>
          </cell>
          <cell r="Q340" t="str">
            <v>55/清洁</v>
          </cell>
          <cell r="R340" t="str">
            <v>60/成检</v>
          </cell>
        </row>
        <row r="341">
          <cell r="B341" t="str">
            <v>DD-J10B-65000-1720G2-1</v>
          </cell>
          <cell r="D341" t="str">
            <v>G</v>
          </cell>
          <cell r="E341" t="str">
            <v>准备工时</v>
          </cell>
          <cell r="G341">
            <v>90</v>
          </cell>
          <cell r="H341">
            <v>120</v>
          </cell>
          <cell r="I341">
            <v>60</v>
          </cell>
          <cell r="K341">
            <v>90</v>
          </cell>
        </row>
        <row r="342">
          <cell r="B342" t="str">
            <v>DD-J10B-65000-1720G2-1</v>
          </cell>
          <cell r="D342" t="str">
            <v>G</v>
          </cell>
          <cell r="E342" t="str">
            <v>装夹时间</v>
          </cell>
        </row>
        <row r="343">
          <cell r="B343" t="str">
            <v>DD-J10B-65000-1720G2-1</v>
          </cell>
          <cell r="D343" t="str">
            <v>G</v>
          </cell>
          <cell r="E343" t="str">
            <v>程序时间</v>
          </cell>
          <cell r="G343">
            <v>20</v>
          </cell>
          <cell r="H343">
            <v>45</v>
          </cell>
          <cell r="I343">
            <v>10</v>
          </cell>
          <cell r="K343">
            <v>45</v>
          </cell>
          <cell r="N343" t="str">
            <v>90</v>
          </cell>
          <cell r="P343">
            <v>5</v>
          </cell>
        </row>
        <row r="344">
          <cell r="B344" t="str">
            <v>Y20-5826100003-001</v>
          </cell>
          <cell r="D344" t="str">
            <v>B</v>
          </cell>
          <cell r="E344" t="str">
            <v>工序内容</v>
          </cell>
          <cell r="F344" t="str">
            <v>0/领料</v>
          </cell>
          <cell r="G344" t="str">
            <v>05/数铣</v>
          </cell>
          <cell r="H344" t="str">
            <v>10/数铣</v>
          </cell>
          <cell r="I344" t="str">
            <v>15/数铣</v>
          </cell>
          <cell r="J344" t="str">
            <v>20/数铣</v>
          </cell>
          <cell r="K344" t="str">
            <v>25/数铣</v>
          </cell>
          <cell r="L344" t="str">
            <v>30/钳工</v>
          </cell>
          <cell r="M344" t="str">
            <v>35/检验</v>
          </cell>
          <cell r="N344" t="str">
            <v>40/分光</v>
          </cell>
          <cell r="O344" t="str">
            <v>45/钳工</v>
          </cell>
          <cell r="P344" t="str">
            <v>50/清洁</v>
          </cell>
          <cell r="Q344" t="str">
            <v>55/成检</v>
          </cell>
        </row>
        <row r="345">
          <cell r="B345" t="str">
            <v>Y20-5826100003-001</v>
          </cell>
          <cell r="D345" t="str">
            <v>B</v>
          </cell>
          <cell r="E345" t="str">
            <v>准备工时</v>
          </cell>
          <cell r="G345">
            <v>60</v>
          </cell>
          <cell r="H345">
            <v>60</v>
          </cell>
          <cell r="I345">
            <v>90</v>
          </cell>
          <cell r="J345">
            <v>60</v>
          </cell>
          <cell r="K345">
            <v>60</v>
          </cell>
        </row>
        <row r="346">
          <cell r="B346" t="str">
            <v>Y20-5826100003-001</v>
          </cell>
          <cell r="D346" t="str">
            <v>B</v>
          </cell>
          <cell r="E346" t="str">
            <v>装夹时间</v>
          </cell>
        </row>
        <row r="347">
          <cell r="B347" t="str">
            <v>Y20-5826100003-001</v>
          </cell>
          <cell r="D347" t="str">
            <v>B</v>
          </cell>
          <cell r="E347" t="str">
            <v>程序时间</v>
          </cell>
          <cell r="G347">
            <v>40</v>
          </cell>
          <cell r="H347">
            <v>270</v>
          </cell>
          <cell r="I347">
            <v>75</v>
          </cell>
          <cell r="J347">
            <v>30</v>
          </cell>
          <cell r="K347">
            <v>40</v>
          </cell>
          <cell r="L347" t="str">
            <v>90</v>
          </cell>
          <cell r="O347">
            <v>10</v>
          </cell>
        </row>
        <row r="348">
          <cell r="B348" t="str">
            <v>CB5713600-001R004</v>
          </cell>
          <cell r="D348" t="str">
            <v>E</v>
          </cell>
          <cell r="E348" t="str">
            <v>工序内容</v>
          </cell>
          <cell r="F348" t="str">
            <v>0/领料</v>
          </cell>
          <cell r="G348" t="str">
            <v>5/钳工</v>
          </cell>
          <cell r="H348" t="str">
            <v>10/数铣900</v>
          </cell>
          <cell r="I348" t="str">
            <v>15/数铣860</v>
          </cell>
          <cell r="J348" t="str">
            <v>20/超探</v>
          </cell>
          <cell r="K348" t="str">
            <v>25/数铣2950</v>
          </cell>
          <cell r="L348" t="str">
            <v>30/数铣830</v>
          </cell>
          <cell r="M348" t="str">
            <v>35/数铣850</v>
          </cell>
          <cell r="N348" t="str">
            <v>40/钳工</v>
          </cell>
          <cell r="O348" t="str">
            <v>45/清洁</v>
          </cell>
          <cell r="P348" t="str">
            <v>50/测量</v>
          </cell>
          <cell r="Q348" t="str">
            <v>55/成检</v>
          </cell>
        </row>
        <row r="349">
          <cell r="B349" t="str">
            <v>CB5713600-001R004</v>
          </cell>
          <cell r="D349" t="str">
            <v>E</v>
          </cell>
          <cell r="E349" t="str">
            <v>准备工时</v>
          </cell>
          <cell r="H349">
            <v>240</v>
          </cell>
          <cell r="I349">
            <v>180</v>
          </cell>
          <cell r="K349">
            <v>180</v>
          </cell>
          <cell r="L349">
            <v>180</v>
          </cell>
          <cell r="M349">
            <v>180</v>
          </cell>
        </row>
        <row r="350">
          <cell r="B350" t="str">
            <v>CB5713600-001R004</v>
          </cell>
          <cell r="D350" t="str">
            <v>E</v>
          </cell>
          <cell r="E350" t="str">
            <v>装夹时间</v>
          </cell>
          <cell r="H350">
            <v>240</v>
          </cell>
          <cell r="I350">
            <v>180</v>
          </cell>
          <cell r="K350">
            <v>180</v>
          </cell>
          <cell r="L350">
            <v>180</v>
          </cell>
          <cell r="M350">
            <v>150</v>
          </cell>
        </row>
        <row r="351">
          <cell r="B351" t="str">
            <v>CB5713600-001R004</v>
          </cell>
          <cell r="D351" t="str">
            <v>E</v>
          </cell>
          <cell r="E351" t="str">
            <v>程序时间</v>
          </cell>
          <cell r="G351">
            <v>1200</v>
          </cell>
          <cell r="H351">
            <v>1800</v>
          </cell>
          <cell r="I351">
            <v>2150</v>
          </cell>
          <cell r="K351">
            <v>4800</v>
          </cell>
          <cell r="L351">
            <v>1500</v>
          </cell>
          <cell r="M351">
            <v>1200</v>
          </cell>
          <cell r="N351">
            <v>180</v>
          </cell>
        </row>
        <row r="352">
          <cell r="B352" t="str">
            <v>图号</v>
          </cell>
        </row>
        <row r="353">
          <cell r="B353" t="str">
            <v>260A1865-008-001</v>
          </cell>
          <cell r="D353" t="str">
            <v>B</v>
          </cell>
          <cell r="E353" t="str">
            <v>工序内容</v>
          </cell>
          <cell r="F353" t="str">
            <v>00/领料</v>
          </cell>
          <cell r="G353" t="str">
            <v>05/线切割</v>
          </cell>
          <cell r="H353" t="str">
            <v>10/钳工</v>
          </cell>
          <cell r="I353" t="str">
            <v>15/清洁</v>
          </cell>
          <cell r="J353" t="str">
            <v>20/成检</v>
          </cell>
        </row>
        <row r="354">
          <cell r="B354" t="str">
            <v>260A1865-008-001</v>
          </cell>
          <cell r="D354" t="str">
            <v>B</v>
          </cell>
          <cell r="E354" t="str">
            <v>准备工时</v>
          </cell>
        </row>
        <row r="355">
          <cell r="B355" t="str">
            <v>260A1865-008-001</v>
          </cell>
          <cell r="D355" t="str">
            <v>B</v>
          </cell>
          <cell r="E355" t="str">
            <v>装夹时间</v>
          </cell>
        </row>
        <row r="356">
          <cell r="B356" t="str">
            <v>260A1865-008-001</v>
          </cell>
          <cell r="D356" t="str">
            <v>B</v>
          </cell>
          <cell r="E356" t="str">
            <v>程序时间</v>
          </cell>
          <cell r="H356">
            <v>25</v>
          </cell>
        </row>
        <row r="357">
          <cell r="B357" t="str">
            <v>DD-J10-55051-6110-1</v>
          </cell>
          <cell r="D357" t="str">
            <v>E</v>
          </cell>
          <cell r="E357" t="str">
            <v>工序内容</v>
          </cell>
          <cell r="F357" t="str">
            <v>0/领料</v>
          </cell>
          <cell r="G357" t="str">
            <v>5/钳工</v>
          </cell>
          <cell r="H357" t="str">
            <v>10/数车15</v>
          </cell>
          <cell r="I357" t="str">
            <v>15/数车25</v>
          </cell>
          <cell r="J357" t="str">
            <v>20/数车20</v>
          </cell>
          <cell r="K357" t="str">
            <v>25/数车25</v>
          </cell>
          <cell r="L357" t="str">
            <v>30/线切割</v>
          </cell>
          <cell r="M357" t="str">
            <v>35/钳工</v>
          </cell>
          <cell r="N357" t="str">
            <v>40/清洁</v>
          </cell>
          <cell r="O357" t="str">
            <v>45/成检</v>
          </cell>
        </row>
        <row r="358">
          <cell r="B358" t="str">
            <v>DD-J10-55051-6110-1</v>
          </cell>
          <cell r="D358" t="str">
            <v>E</v>
          </cell>
          <cell r="E358" t="str">
            <v>准备工时</v>
          </cell>
          <cell r="H358">
            <v>90</v>
          </cell>
          <cell r="I358">
            <v>90</v>
          </cell>
          <cell r="J358">
            <v>90</v>
          </cell>
          <cell r="K358">
            <v>90</v>
          </cell>
        </row>
        <row r="359">
          <cell r="B359" t="str">
            <v>DD-J10-55051-6110-1</v>
          </cell>
          <cell r="D359" t="str">
            <v>E</v>
          </cell>
          <cell r="E359" t="str">
            <v>装夹时间</v>
          </cell>
        </row>
        <row r="360">
          <cell r="B360" t="str">
            <v>DD-J10-55051-6110-1</v>
          </cell>
          <cell r="D360" t="str">
            <v>E</v>
          </cell>
          <cell r="E360" t="str">
            <v>程序时间</v>
          </cell>
          <cell r="G360">
            <v>15</v>
          </cell>
          <cell r="H360">
            <v>20</v>
          </cell>
          <cell r="I360">
            <v>30</v>
          </cell>
          <cell r="J360">
            <v>40</v>
          </cell>
          <cell r="K360">
            <v>35</v>
          </cell>
          <cell r="L360" t="str">
            <v>20</v>
          </cell>
          <cell r="M360" t="str">
            <v>35</v>
          </cell>
        </row>
        <row r="361">
          <cell r="B361" t="str">
            <v>CB5324420-001L/R003</v>
          </cell>
          <cell r="D361" t="str">
            <v>E</v>
          </cell>
          <cell r="E361" t="str">
            <v>工序内容</v>
          </cell>
          <cell r="F361" t="str">
            <v>0/领料</v>
          </cell>
          <cell r="G361" t="str">
            <v>5/数铣</v>
          </cell>
          <cell r="H361" t="str">
            <v>10/数铣</v>
          </cell>
          <cell r="I361" t="str">
            <v>15/数铣</v>
          </cell>
          <cell r="J361" t="str">
            <v>20/数铣20</v>
          </cell>
          <cell r="K361" t="str">
            <v>25/数铣220</v>
          </cell>
          <cell r="L361" t="str">
            <v>30/数铣380</v>
          </cell>
          <cell r="M361" t="str">
            <v>35/五轴720</v>
          </cell>
          <cell r="N361" t="str">
            <v>40/数铣300</v>
          </cell>
          <cell r="O361" t="str">
            <v>45/五轴600</v>
          </cell>
          <cell r="P361" t="str">
            <v>50/测量</v>
          </cell>
          <cell r="Q361" t="str">
            <v>55/钳工</v>
          </cell>
          <cell r="R361" t="str">
            <v>60/清洁</v>
          </cell>
          <cell r="S361" t="str">
            <v>65/硬度</v>
          </cell>
          <cell r="T361" t="str">
            <v>70/分光</v>
          </cell>
          <cell r="U361" t="str">
            <v>75/检验</v>
          </cell>
          <cell r="V361" t="str">
            <v>80/钳工</v>
          </cell>
          <cell r="W361" t="str">
            <v>85/清洁</v>
          </cell>
          <cell r="X361" t="str">
            <v>90/成检</v>
          </cell>
        </row>
        <row r="362">
          <cell r="B362" t="str">
            <v>CB5324420-001L/R003</v>
          </cell>
          <cell r="D362" t="str">
            <v>E</v>
          </cell>
          <cell r="E362" t="str">
            <v>准备工时</v>
          </cell>
          <cell r="G362">
            <v>60</v>
          </cell>
          <cell r="H362">
            <v>60</v>
          </cell>
          <cell r="I362">
            <v>60</v>
          </cell>
          <cell r="J362">
            <v>60</v>
          </cell>
          <cell r="K362">
            <v>90</v>
          </cell>
          <cell r="L362">
            <v>120</v>
          </cell>
          <cell r="M362">
            <v>180</v>
          </cell>
          <cell r="N362">
            <v>90</v>
          </cell>
          <cell r="O362">
            <v>180</v>
          </cell>
        </row>
        <row r="363">
          <cell r="B363" t="str">
            <v>CB5324420-001L/R003</v>
          </cell>
          <cell r="D363" t="str">
            <v>E</v>
          </cell>
          <cell r="E363" t="str">
            <v>装夹时间</v>
          </cell>
          <cell r="M363">
            <v>90</v>
          </cell>
          <cell r="O363">
            <v>90</v>
          </cell>
          <cell r="Q363" t="str">
            <v>180/180</v>
          </cell>
        </row>
        <row r="364">
          <cell r="B364" t="str">
            <v>CB5324420-001L/R003</v>
          </cell>
          <cell r="D364" t="str">
            <v>E</v>
          </cell>
          <cell r="E364" t="str">
            <v>程序时间</v>
          </cell>
          <cell r="G364">
            <v>40</v>
          </cell>
          <cell r="H364">
            <v>40</v>
          </cell>
          <cell r="I364">
            <v>90</v>
          </cell>
          <cell r="J364">
            <v>60</v>
          </cell>
          <cell r="K364">
            <v>290</v>
          </cell>
          <cell r="L364">
            <v>480</v>
          </cell>
          <cell r="M364">
            <v>1440</v>
          </cell>
          <cell r="N364">
            <v>330</v>
          </cell>
          <cell r="O364">
            <v>1140</v>
          </cell>
          <cell r="Q364">
            <v>180</v>
          </cell>
        </row>
        <row r="365">
          <cell r="B365" t="str">
            <v>CB5324420-001L003</v>
          </cell>
          <cell r="D365" t="str">
            <v>E</v>
          </cell>
          <cell r="E365" t="str">
            <v>工序内容</v>
          </cell>
          <cell r="F365" t="str">
            <v>0/领料</v>
          </cell>
          <cell r="G365" t="str">
            <v>5/数铣</v>
          </cell>
          <cell r="H365" t="str">
            <v>10/数铣</v>
          </cell>
          <cell r="I365" t="str">
            <v>15/数铣</v>
          </cell>
          <cell r="J365" t="str">
            <v>20/数铣20</v>
          </cell>
          <cell r="K365" t="str">
            <v>25/数铣220</v>
          </cell>
          <cell r="L365" t="str">
            <v>30/数铣380</v>
          </cell>
          <cell r="M365" t="str">
            <v>35/五轴720</v>
          </cell>
          <cell r="N365" t="str">
            <v>40/数铣300</v>
          </cell>
          <cell r="O365" t="str">
            <v>45/五轴600</v>
          </cell>
          <cell r="P365" t="str">
            <v>50/测量</v>
          </cell>
          <cell r="Q365" t="str">
            <v>55/钳工</v>
          </cell>
          <cell r="R365" t="str">
            <v>60/清洁</v>
          </cell>
          <cell r="S365" t="str">
            <v>65/硬度</v>
          </cell>
          <cell r="T365" t="str">
            <v>70/分光</v>
          </cell>
          <cell r="U365" t="str">
            <v>75/检验</v>
          </cell>
          <cell r="V365" t="str">
            <v>80/钳工</v>
          </cell>
          <cell r="W365" t="str">
            <v>85/清洁</v>
          </cell>
          <cell r="X365" t="str">
            <v>90/成检</v>
          </cell>
        </row>
        <row r="366">
          <cell r="B366" t="str">
            <v>CB5324420-001L003</v>
          </cell>
          <cell r="D366" t="str">
            <v>E</v>
          </cell>
          <cell r="E366" t="str">
            <v>准备工时</v>
          </cell>
          <cell r="G366">
            <v>60</v>
          </cell>
          <cell r="H366">
            <v>60</v>
          </cell>
          <cell r="I366">
            <v>60</v>
          </cell>
          <cell r="J366">
            <v>60</v>
          </cell>
          <cell r="K366">
            <v>90</v>
          </cell>
          <cell r="L366">
            <v>120</v>
          </cell>
          <cell r="M366">
            <v>180</v>
          </cell>
          <cell r="N366">
            <v>90</v>
          </cell>
          <cell r="O366">
            <v>180</v>
          </cell>
        </row>
        <row r="367">
          <cell r="B367" t="str">
            <v>CB5324420-001L003</v>
          </cell>
          <cell r="D367" t="str">
            <v>E</v>
          </cell>
          <cell r="E367" t="str">
            <v>装夹时间</v>
          </cell>
          <cell r="M367">
            <v>90</v>
          </cell>
          <cell r="O367">
            <v>90</v>
          </cell>
          <cell r="Q367" t="str">
            <v>180/180</v>
          </cell>
        </row>
        <row r="368">
          <cell r="B368" t="str">
            <v>CB5324420-001L003</v>
          </cell>
          <cell r="D368" t="str">
            <v>E</v>
          </cell>
          <cell r="E368" t="str">
            <v>程序时间</v>
          </cell>
          <cell r="G368">
            <v>40</v>
          </cell>
          <cell r="H368">
            <v>40</v>
          </cell>
          <cell r="I368">
            <v>90</v>
          </cell>
          <cell r="J368">
            <v>60</v>
          </cell>
          <cell r="K368">
            <v>290</v>
          </cell>
          <cell r="L368">
            <v>480</v>
          </cell>
          <cell r="M368">
            <v>1440</v>
          </cell>
          <cell r="N368">
            <v>330</v>
          </cell>
          <cell r="O368">
            <v>1140</v>
          </cell>
          <cell r="Q368">
            <v>180</v>
          </cell>
        </row>
        <row r="369">
          <cell r="B369" t="str">
            <v>CB5324420-001R003</v>
          </cell>
          <cell r="D369" t="str">
            <v>E</v>
          </cell>
          <cell r="E369" t="str">
            <v>工序内容</v>
          </cell>
          <cell r="F369" t="str">
            <v>0/领料</v>
          </cell>
          <cell r="G369" t="str">
            <v>5/数铣</v>
          </cell>
          <cell r="H369" t="str">
            <v>10/数铣</v>
          </cell>
          <cell r="I369" t="str">
            <v>15/数铣</v>
          </cell>
          <cell r="J369" t="str">
            <v>20/数铣20</v>
          </cell>
          <cell r="K369" t="str">
            <v>25/数铣220</v>
          </cell>
          <cell r="L369" t="str">
            <v>30/数铣380</v>
          </cell>
          <cell r="M369" t="str">
            <v>35/五轴720</v>
          </cell>
          <cell r="N369" t="str">
            <v>40/数铣300</v>
          </cell>
          <cell r="O369" t="str">
            <v>45/五轴600</v>
          </cell>
          <cell r="P369" t="str">
            <v>50/测量</v>
          </cell>
          <cell r="Q369" t="str">
            <v>55/钳工</v>
          </cell>
          <cell r="R369" t="str">
            <v>60/清洁</v>
          </cell>
          <cell r="S369" t="str">
            <v>65/硬度</v>
          </cell>
          <cell r="T369" t="str">
            <v>70/分光</v>
          </cell>
          <cell r="U369" t="str">
            <v>75/检验</v>
          </cell>
          <cell r="V369" t="str">
            <v>80/钳工</v>
          </cell>
          <cell r="W369" t="str">
            <v>85/清洁</v>
          </cell>
          <cell r="X369" t="str">
            <v>90/成检</v>
          </cell>
        </row>
        <row r="370">
          <cell r="B370" t="str">
            <v>CB5324420-001R003</v>
          </cell>
          <cell r="D370" t="str">
            <v>E</v>
          </cell>
          <cell r="E370" t="str">
            <v>准备工时</v>
          </cell>
          <cell r="G370">
            <v>60</v>
          </cell>
          <cell r="H370">
            <v>60</v>
          </cell>
          <cell r="I370">
            <v>60</v>
          </cell>
          <cell r="J370">
            <v>60</v>
          </cell>
          <cell r="K370">
            <v>90</v>
          </cell>
          <cell r="L370">
            <v>120</v>
          </cell>
          <cell r="M370">
            <v>180</v>
          </cell>
          <cell r="N370">
            <v>90</v>
          </cell>
          <cell r="O370">
            <v>180</v>
          </cell>
        </row>
        <row r="371">
          <cell r="B371" t="str">
            <v>CB5324420-001R003</v>
          </cell>
          <cell r="D371" t="str">
            <v>E</v>
          </cell>
          <cell r="E371" t="str">
            <v>装夹时间</v>
          </cell>
          <cell r="M371">
            <v>90</v>
          </cell>
          <cell r="O371">
            <v>90</v>
          </cell>
          <cell r="Q371" t="str">
            <v>180/180</v>
          </cell>
        </row>
        <row r="372">
          <cell r="B372" t="str">
            <v>CB5324420-001R003</v>
          </cell>
          <cell r="D372" t="str">
            <v>E</v>
          </cell>
          <cell r="E372" t="str">
            <v>程序时间</v>
          </cell>
          <cell r="G372">
            <v>40</v>
          </cell>
          <cell r="H372">
            <v>40</v>
          </cell>
          <cell r="I372">
            <v>90</v>
          </cell>
          <cell r="J372">
            <v>60</v>
          </cell>
          <cell r="K372">
            <v>290</v>
          </cell>
          <cell r="L372">
            <v>480</v>
          </cell>
          <cell r="M372">
            <v>1440</v>
          </cell>
          <cell r="N372">
            <v>330</v>
          </cell>
          <cell r="O372">
            <v>1140</v>
          </cell>
          <cell r="Q372">
            <v>180</v>
          </cell>
        </row>
        <row r="373">
          <cell r="B373" t="str">
            <v>CB5822016-024L/R001</v>
          </cell>
          <cell r="D373" t="str">
            <v>B</v>
          </cell>
          <cell r="E373" t="str">
            <v>工序内容</v>
          </cell>
          <cell r="F373" t="str">
            <v>0/领料</v>
          </cell>
          <cell r="G373" t="str">
            <v>5/下料</v>
          </cell>
          <cell r="H373" t="str">
            <v>10/数铣</v>
          </cell>
          <cell r="I373" t="str">
            <v>15/数铣10</v>
          </cell>
          <cell r="J373" t="str">
            <v>20/数铣35</v>
          </cell>
          <cell r="K373" t="str">
            <v>25/数铣42</v>
          </cell>
          <cell r="L373" t="str">
            <v>30/数铣15</v>
          </cell>
          <cell r="M373" t="str">
            <v>35/测量</v>
          </cell>
          <cell r="N373" t="str">
            <v>40/钳工</v>
          </cell>
          <cell r="O373" t="str">
            <v>45/数铣</v>
          </cell>
          <cell r="P373" t="str">
            <v>50/清洁</v>
          </cell>
          <cell r="Q373" t="str">
            <v>55/成检</v>
          </cell>
        </row>
        <row r="374">
          <cell r="B374" t="str">
            <v>CB5822016-024L/R001</v>
          </cell>
          <cell r="D374" t="str">
            <v>B</v>
          </cell>
          <cell r="E374" t="str">
            <v>准备工时</v>
          </cell>
          <cell r="H374">
            <v>60</v>
          </cell>
          <cell r="I374">
            <v>60</v>
          </cell>
          <cell r="J374">
            <v>60</v>
          </cell>
          <cell r="K374">
            <v>60</v>
          </cell>
          <cell r="L374">
            <v>60</v>
          </cell>
        </row>
        <row r="375">
          <cell r="B375" t="str">
            <v>CB5822016-024L/R001</v>
          </cell>
          <cell r="D375" t="str">
            <v>B</v>
          </cell>
          <cell r="E375" t="str">
            <v>装夹时间</v>
          </cell>
        </row>
        <row r="376">
          <cell r="B376" t="str">
            <v>CB5822016-024L/R001</v>
          </cell>
          <cell r="D376" t="str">
            <v>B</v>
          </cell>
          <cell r="E376" t="str">
            <v>程序时间</v>
          </cell>
          <cell r="H376">
            <v>30</v>
          </cell>
          <cell r="I376">
            <v>35</v>
          </cell>
          <cell r="J376">
            <v>70</v>
          </cell>
          <cell r="K376">
            <v>80</v>
          </cell>
          <cell r="L376">
            <v>40</v>
          </cell>
          <cell r="N376">
            <v>30</v>
          </cell>
          <cell r="O376">
            <v>10</v>
          </cell>
        </row>
        <row r="377">
          <cell r="B377" t="str">
            <v>CB5822016-024L001</v>
          </cell>
          <cell r="D377" t="str">
            <v>B</v>
          </cell>
          <cell r="E377" t="str">
            <v>工序内容</v>
          </cell>
          <cell r="F377" t="str">
            <v>0/领料</v>
          </cell>
          <cell r="G377" t="str">
            <v>5/下料</v>
          </cell>
          <cell r="H377" t="str">
            <v>10/数铣</v>
          </cell>
          <cell r="I377" t="str">
            <v>15/数铣10</v>
          </cell>
          <cell r="J377" t="str">
            <v>20/数铣35</v>
          </cell>
          <cell r="K377" t="str">
            <v>25/数铣42</v>
          </cell>
          <cell r="L377" t="str">
            <v>30/数铣15</v>
          </cell>
          <cell r="M377" t="str">
            <v>35/测量</v>
          </cell>
          <cell r="N377" t="str">
            <v>40/钳工</v>
          </cell>
          <cell r="O377" t="str">
            <v>45/数铣</v>
          </cell>
          <cell r="P377" t="str">
            <v>50/清洁</v>
          </cell>
          <cell r="Q377" t="str">
            <v>55/成检</v>
          </cell>
        </row>
        <row r="378">
          <cell r="B378" t="str">
            <v>CB5822016-024L001</v>
          </cell>
          <cell r="D378" t="str">
            <v>B</v>
          </cell>
          <cell r="E378" t="str">
            <v>准备工时</v>
          </cell>
          <cell r="H378">
            <v>60</v>
          </cell>
          <cell r="I378">
            <v>60</v>
          </cell>
          <cell r="J378">
            <v>60</v>
          </cell>
          <cell r="K378">
            <v>60</v>
          </cell>
          <cell r="L378">
            <v>60</v>
          </cell>
        </row>
        <row r="379">
          <cell r="B379" t="str">
            <v>CB5822016-024L001</v>
          </cell>
          <cell r="D379" t="str">
            <v>B</v>
          </cell>
          <cell r="E379" t="str">
            <v>装夹时间</v>
          </cell>
        </row>
        <row r="380">
          <cell r="B380" t="str">
            <v>CB5822016-024L001</v>
          </cell>
          <cell r="D380" t="str">
            <v>B</v>
          </cell>
          <cell r="E380" t="str">
            <v>程序时间</v>
          </cell>
          <cell r="H380">
            <v>30</v>
          </cell>
          <cell r="I380">
            <v>25</v>
          </cell>
          <cell r="J380">
            <v>70</v>
          </cell>
          <cell r="K380">
            <v>80</v>
          </cell>
          <cell r="L380">
            <v>40</v>
          </cell>
          <cell r="N380">
            <v>30</v>
          </cell>
          <cell r="O380">
            <v>10</v>
          </cell>
        </row>
        <row r="381">
          <cell r="B381" t="str">
            <v>CB5822016-024R001</v>
          </cell>
          <cell r="D381" t="str">
            <v>B</v>
          </cell>
          <cell r="E381" t="str">
            <v>工序内容</v>
          </cell>
          <cell r="F381" t="str">
            <v>0/领料</v>
          </cell>
          <cell r="G381" t="str">
            <v>5/下料</v>
          </cell>
          <cell r="H381" t="str">
            <v>10/数铣</v>
          </cell>
          <cell r="I381" t="str">
            <v>15/数铣10</v>
          </cell>
          <cell r="J381" t="str">
            <v>20/数铣35</v>
          </cell>
          <cell r="K381" t="str">
            <v>25/数铣42</v>
          </cell>
          <cell r="L381" t="str">
            <v>30/数铣15</v>
          </cell>
          <cell r="M381" t="str">
            <v>35/测量</v>
          </cell>
          <cell r="N381" t="str">
            <v>40/钳工</v>
          </cell>
          <cell r="O381" t="str">
            <v>45/数铣</v>
          </cell>
          <cell r="P381" t="str">
            <v>50/清洁</v>
          </cell>
          <cell r="Q381" t="str">
            <v>55/成检</v>
          </cell>
        </row>
        <row r="382">
          <cell r="B382" t="str">
            <v>CB5822016-024R001</v>
          </cell>
          <cell r="D382" t="str">
            <v>B</v>
          </cell>
          <cell r="E382" t="str">
            <v>准备工时</v>
          </cell>
          <cell r="H382">
            <v>60</v>
          </cell>
          <cell r="I382">
            <v>60</v>
          </cell>
          <cell r="J382">
            <v>60</v>
          </cell>
          <cell r="K382">
            <v>60</v>
          </cell>
          <cell r="L382">
            <v>60</v>
          </cell>
        </row>
        <row r="383">
          <cell r="B383" t="str">
            <v>CB5822016-024R001</v>
          </cell>
          <cell r="D383" t="str">
            <v>B</v>
          </cell>
          <cell r="E383" t="str">
            <v>装夹时间</v>
          </cell>
        </row>
        <row r="384">
          <cell r="B384" t="str">
            <v>CB5822016-024R001</v>
          </cell>
          <cell r="D384" t="str">
            <v>B</v>
          </cell>
          <cell r="E384" t="str">
            <v>程序时间</v>
          </cell>
          <cell r="H384">
            <v>30</v>
          </cell>
          <cell r="I384">
            <v>25</v>
          </cell>
          <cell r="J384">
            <v>70</v>
          </cell>
          <cell r="K384">
            <v>80</v>
          </cell>
          <cell r="L384">
            <v>40</v>
          </cell>
          <cell r="N384">
            <v>30</v>
          </cell>
          <cell r="O384">
            <v>10</v>
          </cell>
        </row>
        <row r="385">
          <cell r="B385" t="str">
            <v>CB5324310-016-006</v>
          </cell>
          <cell r="D385" t="str">
            <v>D</v>
          </cell>
          <cell r="E385" t="str">
            <v>工序内容</v>
          </cell>
          <cell r="F385" t="str">
            <v>0/领料</v>
          </cell>
          <cell r="G385" t="str">
            <v>05/数铣</v>
          </cell>
          <cell r="H385" t="str">
            <v>10/数铣15</v>
          </cell>
          <cell r="I385" t="str">
            <v>15/数铣50</v>
          </cell>
          <cell r="J385" t="str">
            <v>20/数铣220</v>
          </cell>
          <cell r="K385" t="str">
            <v>25/数铣5</v>
          </cell>
          <cell r="L385" t="str">
            <v>30/数铣200</v>
          </cell>
          <cell r="M385" t="str">
            <v>35/测量</v>
          </cell>
          <cell r="N385" t="str">
            <v>40/钳工</v>
          </cell>
          <cell r="O385" t="str">
            <v>45/清洁</v>
          </cell>
          <cell r="P385" t="str">
            <v>50/成检</v>
          </cell>
        </row>
        <row r="386">
          <cell r="B386" t="str">
            <v>CB5324310-016-006</v>
          </cell>
          <cell r="D386" t="str">
            <v>D</v>
          </cell>
          <cell r="E386" t="str">
            <v>准备工时</v>
          </cell>
          <cell r="G386">
            <v>60</v>
          </cell>
          <cell r="H386">
            <v>90</v>
          </cell>
          <cell r="I386">
            <v>90</v>
          </cell>
          <cell r="J386">
            <v>90</v>
          </cell>
          <cell r="K386">
            <v>90</v>
          </cell>
          <cell r="L386">
            <v>90</v>
          </cell>
        </row>
        <row r="387">
          <cell r="B387" t="str">
            <v>CB5324310-016-006</v>
          </cell>
          <cell r="D387" t="str">
            <v>D</v>
          </cell>
          <cell r="E387" t="str">
            <v>装夹时间</v>
          </cell>
          <cell r="K387">
            <v>30</v>
          </cell>
        </row>
        <row r="388">
          <cell r="B388" t="str">
            <v>CB5324310-016-006</v>
          </cell>
          <cell r="D388" t="str">
            <v>D</v>
          </cell>
          <cell r="E388" t="str">
            <v>程序时间</v>
          </cell>
          <cell r="G388">
            <v>80</v>
          </cell>
          <cell r="H388">
            <v>50</v>
          </cell>
          <cell r="I388">
            <v>80</v>
          </cell>
          <cell r="J388">
            <v>300</v>
          </cell>
          <cell r="K388">
            <v>40</v>
          </cell>
          <cell r="L388">
            <v>270</v>
          </cell>
          <cell r="N388">
            <v>180</v>
          </cell>
        </row>
        <row r="389">
          <cell r="B389" t="str">
            <v>CB5324310-016-006</v>
          </cell>
          <cell r="D389" t="str">
            <v>E</v>
          </cell>
          <cell r="E389" t="str">
            <v>工序内容</v>
          </cell>
          <cell r="F389" t="str">
            <v>0/领料</v>
          </cell>
          <cell r="G389" t="str">
            <v>05/数铣</v>
          </cell>
          <cell r="H389" t="str">
            <v>10/数铣15</v>
          </cell>
          <cell r="I389" t="str">
            <v>15/数铣50</v>
          </cell>
          <cell r="J389" t="str">
            <v>20/数铣220</v>
          </cell>
          <cell r="K389" t="str">
            <v>25/五轴5</v>
          </cell>
          <cell r="L389" t="str">
            <v>30/数铣200</v>
          </cell>
          <cell r="M389" t="str">
            <v>35/测量</v>
          </cell>
          <cell r="N389" t="str">
            <v>40/钳工</v>
          </cell>
          <cell r="O389" t="str">
            <v>45/清洁</v>
          </cell>
          <cell r="P389" t="str">
            <v>50/成检</v>
          </cell>
        </row>
        <row r="390">
          <cell r="B390" t="str">
            <v>CB5324310-016-006</v>
          </cell>
          <cell r="D390" t="str">
            <v>E</v>
          </cell>
          <cell r="E390" t="str">
            <v>准备工时</v>
          </cell>
          <cell r="G390">
            <v>60</v>
          </cell>
          <cell r="H390">
            <v>90</v>
          </cell>
          <cell r="I390">
            <v>90</v>
          </cell>
          <cell r="J390">
            <v>90</v>
          </cell>
          <cell r="K390">
            <v>90</v>
          </cell>
          <cell r="L390">
            <v>90</v>
          </cell>
        </row>
        <row r="391">
          <cell r="B391" t="str">
            <v>CB5324310-016-006</v>
          </cell>
          <cell r="D391" t="str">
            <v>E</v>
          </cell>
          <cell r="E391" t="str">
            <v>装夹时间</v>
          </cell>
          <cell r="K391">
            <v>30</v>
          </cell>
        </row>
        <row r="392">
          <cell r="B392" t="str">
            <v>CB5324310-016-006</v>
          </cell>
          <cell r="D392" t="str">
            <v>E</v>
          </cell>
          <cell r="E392" t="str">
            <v>程序时间</v>
          </cell>
          <cell r="G392">
            <v>80</v>
          </cell>
          <cell r="H392">
            <v>50</v>
          </cell>
          <cell r="I392">
            <v>80</v>
          </cell>
          <cell r="J392">
            <v>300</v>
          </cell>
          <cell r="K392">
            <v>40</v>
          </cell>
          <cell r="L392">
            <v>270</v>
          </cell>
          <cell r="N392">
            <v>180</v>
          </cell>
        </row>
        <row r="393">
          <cell r="B393" t="str">
            <v>260A1510-006-001</v>
          </cell>
          <cell r="D393" t="str">
            <v>B</v>
          </cell>
          <cell r="E393" t="str">
            <v>工序内容</v>
          </cell>
          <cell r="F393" t="str">
            <v>0/领料</v>
          </cell>
          <cell r="G393" t="str">
            <v>05/普车</v>
          </cell>
          <cell r="H393" t="str">
            <v>10/热处理</v>
          </cell>
          <cell r="I393" t="str">
            <v>15/硬度</v>
          </cell>
          <cell r="J393" t="str">
            <v>20/下料</v>
          </cell>
          <cell r="K393" t="str">
            <v>25/普车15</v>
          </cell>
          <cell r="L393" t="str">
            <v>30/数铣</v>
          </cell>
          <cell r="M393" t="str">
            <v>35/线切割</v>
          </cell>
          <cell r="N393" t="str">
            <v>40/数车</v>
          </cell>
          <cell r="O393" t="str">
            <v>45/数铣</v>
          </cell>
          <cell r="P393" t="str">
            <v>50/数车</v>
          </cell>
          <cell r="Q393" t="str">
            <v>55/数车</v>
          </cell>
          <cell r="R393" t="str">
            <v>60/钳工</v>
          </cell>
          <cell r="S393" t="str">
            <v>65/清洁</v>
          </cell>
          <cell r="T393" t="str">
            <v>70/成检</v>
          </cell>
        </row>
        <row r="394">
          <cell r="B394" t="str">
            <v>260A1510-006-001</v>
          </cell>
          <cell r="D394" t="str">
            <v>B</v>
          </cell>
          <cell r="E394" t="str">
            <v>准备工时</v>
          </cell>
          <cell r="G394">
            <v>60</v>
          </cell>
          <cell r="J394">
            <v>60</v>
          </cell>
          <cell r="K394">
            <v>60</v>
          </cell>
          <cell r="L394">
            <v>60</v>
          </cell>
          <cell r="N394">
            <v>60</v>
          </cell>
          <cell r="O394">
            <v>60</v>
          </cell>
          <cell r="P394">
            <v>60</v>
          </cell>
          <cell r="Q394">
            <v>60</v>
          </cell>
        </row>
        <row r="395">
          <cell r="B395" t="str">
            <v>260A1510-006-001</v>
          </cell>
          <cell r="D395" t="str">
            <v>B</v>
          </cell>
          <cell r="E395" t="str">
            <v>装夹时间</v>
          </cell>
        </row>
        <row r="396">
          <cell r="B396" t="str">
            <v>260A1510-006-001</v>
          </cell>
          <cell r="D396" t="str">
            <v>B</v>
          </cell>
          <cell r="E396" t="str">
            <v>程序时间</v>
          </cell>
          <cell r="G396">
            <v>30</v>
          </cell>
          <cell r="J396">
            <v>30</v>
          </cell>
          <cell r="K396">
            <v>20</v>
          </cell>
          <cell r="L396">
            <v>60</v>
          </cell>
          <cell r="N396">
            <v>30</v>
          </cell>
          <cell r="O396">
            <v>30</v>
          </cell>
          <cell r="P396">
            <v>45</v>
          </cell>
          <cell r="Q396">
            <v>45</v>
          </cell>
          <cell r="R396">
            <v>25</v>
          </cell>
        </row>
        <row r="397">
          <cell r="B397" t="str">
            <v>DD-J10S-96011-4301</v>
          </cell>
          <cell r="D397" t="str">
            <v>A</v>
          </cell>
          <cell r="E397" t="str">
            <v>工序内容</v>
          </cell>
          <cell r="F397" t="str">
            <v>0/领料</v>
          </cell>
          <cell r="G397" t="str">
            <v>05/数洗</v>
          </cell>
          <cell r="H397" t="str">
            <v>10/钳工</v>
          </cell>
          <cell r="I397" t="str">
            <v>15/分光</v>
          </cell>
          <cell r="J397" t="str">
            <v>20/硬度</v>
          </cell>
          <cell r="K397" t="str">
            <v>25/检验</v>
          </cell>
          <cell r="L397" t="str">
            <v>30/数铣12</v>
          </cell>
          <cell r="M397" t="str">
            <v>35/数铣6</v>
          </cell>
          <cell r="N397" t="str">
            <v>40/数铣28</v>
          </cell>
          <cell r="O397" t="str">
            <v>45/数洗</v>
          </cell>
          <cell r="P397" t="str">
            <v>50/钳工</v>
          </cell>
          <cell r="Q397" t="str">
            <v>55/清洁</v>
          </cell>
          <cell r="R397" t="str">
            <v>60/成检</v>
          </cell>
        </row>
        <row r="398">
          <cell r="B398" t="str">
            <v>DD-J10S-96011-4301</v>
          </cell>
          <cell r="D398" t="str">
            <v>A</v>
          </cell>
          <cell r="E398" t="str">
            <v>准备工时</v>
          </cell>
          <cell r="G398">
            <v>60</v>
          </cell>
          <cell r="L398">
            <v>60</v>
          </cell>
          <cell r="M398">
            <v>60</v>
          </cell>
          <cell r="N398">
            <v>60</v>
          </cell>
          <cell r="O398">
            <v>60</v>
          </cell>
        </row>
        <row r="399">
          <cell r="B399" t="str">
            <v>DD-J10S-96011-4301</v>
          </cell>
          <cell r="D399" t="str">
            <v>A</v>
          </cell>
          <cell r="E399" t="str">
            <v>装夹时间</v>
          </cell>
        </row>
        <row r="400">
          <cell r="B400" t="str">
            <v>DD-J10S-96011-4301</v>
          </cell>
          <cell r="D400" t="str">
            <v>A</v>
          </cell>
          <cell r="E400" t="str">
            <v>程序时间</v>
          </cell>
          <cell r="G400">
            <v>30</v>
          </cell>
          <cell r="H400">
            <v>6</v>
          </cell>
          <cell r="L400">
            <v>25</v>
          </cell>
          <cell r="M400">
            <v>20</v>
          </cell>
          <cell r="N400">
            <v>50</v>
          </cell>
          <cell r="O400" t="str">
            <v>20</v>
          </cell>
          <cell r="P400">
            <v>20</v>
          </cell>
        </row>
        <row r="401">
          <cell r="B401" t="str">
            <v>CB2276731-007-001</v>
          </cell>
          <cell r="D401" t="str">
            <v>B</v>
          </cell>
          <cell r="E401" t="str">
            <v>工序内容</v>
          </cell>
          <cell r="F401" t="str">
            <v>0/领料</v>
          </cell>
          <cell r="G401" t="str">
            <v>05/下料</v>
          </cell>
          <cell r="H401" t="str">
            <v>10/数铣</v>
          </cell>
          <cell r="I401" t="str">
            <v>15/数铣25</v>
          </cell>
          <cell r="J401" t="str">
            <v>20/数铣</v>
          </cell>
          <cell r="K401" t="str">
            <v>25/数铣55</v>
          </cell>
          <cell r="L401" t="str">
            <v>30/钳工</v>
          </cell>
          <cell r="M401" t="str">
            <v>35/清洁</v>
          </cell>
          <cell r="N401" t="str">
            <v>40/中检</v>
          </cell>
          <cell r="O401" t="str">
            <v>45/分光</v>
          </cell>
          <cell r="P401" t="str">
            <v>50/硬度</v>
          </cell>
          <cell r="Q401" t="str">
            <v>55/钳工</v>
          </cell>
          <cell r="R401" t="str">
            <v>60/成检</v>
          </cell>
        </row>
        <row r="402">
          <cell r="B402" t="str">
            <v>CB2276731-007-001</v>
          </cell>
          <cell r="D402" t="str">
            <v>B</v>
          </cell>
          <cell r="E402" t="str">
            <v>准备工时</v>
          </cell>
          <cell r="H402">
            <v>60</v>
          </cell>
          <cell r="I402">
            <v>90</v>
          </cell>
          <cell r="J402">
            <v>60</v>
          </cell>
          <cell r="K402">
            <v>60</v>
          </cell>
        </row>
        <row r="403">
          <cell r="B403" t="str">
            <v>CB2276731-007-001</v>
          </cell>
          <cell r="D403" t="str">
            <v>B</v>
          </cell>
          <cell r="E403" t="str">
            <v>装夹时间</v>
          </cell>
        </row>
        <row r="404">
          <cell r="B404" t="str">
            <v>CB2276731-007-001</v>
          </cell>
          <cell r="D404" t="str">
            <v>B</v>
          </cell>
          <cell r="E404" t="str">
            <v>程序时间</v>
          </cell>
          <cell r="G404">
            <v>15</v>
          </cell>
          <cell r="H404">
            <v>15</v>
          </cell>
          <cell r="I404">
            <v>50</v>
          </cell>
          <cell r="J404">
            <v>20</v>
          </cell>
          <cell r="K404">
            <v>15</v>
          </cell>
          <cell r="L404">
            <v>20</v>
          </cell>
          <cell r="Q404">
            <v>20</v>
          </cell>
        </row>
        <row r="405">
          <cell r="B405" t="str">
            <v>GU5714000-006R001</v>
          </cell>
          <cell r="D405" t="str">
            <v>B</v>
          </cell>
          <cell r="E405" t="str">
            <v>工序内容</v>
          </cell>
          <cell r="F405" t="str">
            <v>0/领料</v>
          </cell>
          <cell r="G405" t="str">
            <v>5/数铣</v>
          </cell>
          <cell r="H405" t="str">
            <v>10/数铣35</v>
          </cell>
          <cell r="I405" t="str">
            <v>15/数铣10</v>
          </cell>
          <cell r="J405" t="str">
            <v>20/数铣80</v>
          </cell>
          <cell r="K405" t="str">
            <v>25/数铣140</v>
          </cell>
          <cell r="L405" t="str">
            <v>30/数铣300</v>
          </cell>
          <cell r="M405" t="str">
            <v>35/测量</v>
          </cell>
          <cell r="N405" t="str">
            <v>40/钳工</v>
          </cell>
          <cell r="O405" t="str">
            <v>45/数铣</v>
          </cell>
          <cell r="P405" t="str">
            <v>50/清洁</v>
          </cell>
          <cell r="Q405" t="str">
            <v>55/成检</v>
          </cell>
        </row>
        <row r="406">
          <cell r="B406" t="str">
            <v>GU5714000-006R001</v>
          </cell>
          <cell r="D406" t="str">
            <v>B</v>
          </cell>
          <cell r="E406" t="str">
            <v>准备工时</v>
          </cell>
          <cell r="G406">
            <v>60</v>
          </cell>
          <cell r="H406">
            <v>60</v>
          </cell>
          <cell r="I406">
            <v>60</v>
          </cell>
          <cell r="J406">
            <v>60</v>
          </cell>
          <cell r="K406">
            <v>90</v>
          </cell>
          <cell r="L406">
            <v>90</v>
          </cell>
        </row>
        <row r="407">
          <cell r="B407" t="str">
            <v>GU5714000-006R001</v>
          </cell>
          <cell r="D407" t="str">
            <v>B</v>
          </cell>
          <cell r="E407" t="str">
            <v>装夹时间</v>
          </cell>
        </row>
        <row r="408">
          <cell r="B408" t="str">
            <v>GU5714000-006R001</v>
          </cell>
          <cell r="D408" t="str">
            <v>B</v>
          </cell>
          <cell r="E408" t="str">
            <v>程序时间</v>
          </cell>
          <cell r="G408">
            <v>80</v>
          </cell>
          <cell r="H408">
            <v>70</v>
          </cell>
          <cell r="I408">
            <v>35</v>
          </cell>
          <cell r="J408">
            <v>210</v>
          </cell>
          <cell r="K408">
            <v>410</v>
          </cell>
          <cell r="L408">
            <v>340</v>
          </cell>
          <cell r="N408">
            <v>210</v>
          </cell>
        </row>
        <row r="409">
          <cell r="B409" t="str">
            <v>CB2747F80-003-001</v>
          </cell>
          <cell r="D409" t="str">
            <v>A</v>
          </cell>
          <cell r="E409" t="str">
            <v>工序内容</v>
          </cell>
          <cell r="F409" t="str">
            <v>0/领料</v>
          </cell>
          <cell r="G409" t="str">
            <v>05/下料</v>
          </cell>
          <cell r="H409" t="str">
            <v>10/数车15</v>
          </cell>
          <cell r="I409" t="str">
            <v>15/线切割</v>
          </cell>
          <cell r="J409" t="str">
            <v>20/钳工</v>
          </cell>
          <cell r="K409" t="str">
            <v>25/分光</v>
          </cell>
          <cell r="L409" t="str">
            <v>30/数铣15</v>
          </cell>
          <cell r="M409" t="str">
            <v>35/数铣10</v>
          </cell>
          <cell r="N409" t="str">
            <v>40/数铣10</v>
          </cell>
          <cell r="O409" t="str">
            <v>45/数车45</v>
          </cell>
          <cell r="P409" t="str">
            <v>50/数车25</v>
          </cell>
          <cell r="Q409" t="str">
            <v>55/数铣10</v>
          </cell>
          <cell r="R409" t="str">
            <v>60/穿空</v>
          </cell>
          <cell r="S409" t="str">
            <v>65/钳工</v>
          </cell>
          <cell r="T409" t="str">
            <v>70/清洁</v>
          </cell>
          <cell r="U409" t="str">
            <v>75/成检</v>
          </cell>
        </row>
        <row r="410">
          <cell r="B410" t="str">
            <v>CB2747F80-003-001</v>
          </cell>
          <cell r="D410" t="str">
            <v>A</v>
          </cell>
          <cell r="E410" t="str">
            <v>准备工时</v>
          </cell>
          <cell r="H410">
            <v>60</v>
          </cell>
          <cell r="L410">
            <v>60</v>
          </cell>
          <cell r="M410">
            <v>60</v>
          </cell>
          <cell r="N410">
            <v>60</v>
          </cell>
          <cell r="O410">
            <v>90</v>
          </cell>
          <cell r="P410">
            <v>90</v>
          </cell>
          <cell r="Q410">
            <v>60</v>
          </cell>
        </row>
        <row r="411">
          <cell r="B411" t="str">
            <v>CB2747F80-003-001</v>
          </cell>
          <cell r="D411" t="str">
            <v>A</v>
          </cell>
          <cell r="E411" t="str">
            <v>装夹时间</v>
          </cell>
        </row>
        <row r="412">
          <cell r="B412" t="str">
            <v>CB2747F80-003-001</v>
          </cell>
          <cell r="D412" t="str">
            <v>A</v>
          </cell>
          <cell r="E412" t="str">
            <v>程序时间</v>
          </cell>
          <cell r="H412">
            <v>45</v>
          </cell>
          <cell r="L412">
            <v>30</v>
          </cell>
          <cell r="M412">
            <v>25</v>
          </cell>
          <cell r="N412">
            <v>20</v>
          </cell>
          <cell r="O412">
            <v>60</v>
          </cell>
          <cell r="P412">
            <v>40</v>
          </cell>
          <cell r="Q412">
            <v>25</v>
          </cell>
          <cell r="S412">
            <v>25</v>
          </cell>
        </row>
        <row r="413">
          <cell r="B413" t="str">
            <v>CB2747F80-003-001</v>
          </cell>
          <cell r="D413" t="str">
            <v>B</v>
          </cell>
          <cell r="E413" t="str">
            <v>工序内容</v>
          </cell>
          <cell r="F413" t="str">
            <v>0/领料</v>
          </cell>
          <cell r="G413" t="str">
            <v>05/下料</v>
          </cell>
          <cell r="H413" t="str">
            <v>10/数车15</v>
          </cell>
          <cell r="I413" t="str">
            <v>15/线切割</v>
          </cell>
          <cell r="J413" t="str">
            <v>20/钳工</v>
          </cell>
          <cell r="K413" t="str">
            <v>25/分光</v>
          </cell>
          <cell r="L413" t="str">
            <v>30/数铣15</v>
          </cell>
          <cell r="M413" t="str">
            <v>35/数铣10</v>
          </cell>
          <cell r="N413" t="str">
            <v>40/数铣10</v>
          </cell>
          <cell r="O413" t="str">
            <v>45/数车45</v>
          </cell>
          <cell r="P413" t="str">
            <v>50/数车25</v>
          </cell>
          <cell r="Q413" t="str">
            <v>55/数铣10</v>
          </cell>
          <cell r="R413" t="str">
            <v>60/穿空</v>
          </cell>
          <cell r="S413" t="str">
            <v>65/钳工</v>
          </cell>
          <cell r="T413" t="str">
            <v>70/清洁</v>
          </cell>
          <cell r="U413" t="str">
            <v>75/成检</v>
          </cell>
        </row>
        <row r="414">
          <cell r="B414" t="str">
            <v>CB2747F80-003-001</v>
          </cell>
          <cell r="D414" t="str">
            <v>B</v>
          </cell>
          <cell r="E414" t="str">
            <v>准备工时</v>
          </cell>
          <cell r="H414">
            <v>60</v>
          </cell>
          <cell r="L414">
            <v>60</v>
          </cell>
          <cell r="M414">
            <v>60</v>
          </cell>
          <cell r="N414">
            <v>60</v>
          </cell>
          <cell r="O414">
            <v>120</v>
          </cell>
          <cell r="P414">
            <v>120</v>
          </cell>
          <cell r="Q414">
            <v>60</v>
          </cell>
        </row>
        <row r="415">
          <cell r="B415" t="str">
            <v>CB2747F80-003-001</v>
          </cell>
          <cell r="D415" t="str">
            <v>B</v>
          </cell>
          <cell r="E415" t="str">
            <v>装夹时间</v>
          </cell>
        </row>
        <row r="416">
          <cell r="B416" t="str">
            <v>CB2747F80-003-001</v>
          </cell>
          <cell r="D416" t="str">
            <v>B</v>
          </cell>
          <cell r="E416" t="str">
            <v>程序时间</v>
          </cell>
          <cell r="H416">
            <v>45</v>
          </cell>
          <cell r="J416">
            <v>15</v>
          </cell>
          <cell r="L416">
            <v>30</v>
          </cell>
          <cell r="M416">
            <v>25</v>
          </cell>
          <cell r="N416">
            <v>20</v>
          </cell>
          <cell r="O416">
            <v>60</v>
          </cell>
          <cell r="P416">
            <v>50</v>
          </cell>
          <cell r="Q416">
            <v>25</v>
          </cell>
          <cell r="S416">
            <v>25</v>
          </cell>
        </row>
        <row r="417">
          <cell r="B417" t="str">
            <v>CB22827C3-002-007</v>
          </cell>
          <cell r="D417" t="str">
            <v>A</v>
          </cell>
          <cell r="E417" t="str">
            <v>工序内容</v>
          </cell>
          <cell r="F417" t="str">
            <v>0领料</v>
          </cell>
          <cell r="G417" t="str">
            <v>05线切割</v>
          </cell>
          <cell r="H417" t="str">
            <v>10数铣</v>
          </cell>
          <cell r="I417" t="str">
            <v>15数铣10</v>
          </cell>
          <cell r="J417" t="str">
            <v>20数铣20</v>
          </cell>
          <cell r="K417" t="str">
            <v>25数铣10</v>
          </cell>
          <cell r="L417" t="str">
            <v>30线切割</v>
          </cell>
          <cell r="M417" t="str">
            <v>35数车15</v>
          </cell>
          <cell r="N417" t="str">
            <v>40钳工</v>
          </cell>
          <cell r="O417" t="str">
            <v>45分光</v>
          </cell>
          <cell r="P417" t="str">
            <v>50数车15</v>
          </cell>
          <cell r="Q417" t="str">
            <v>55穿孔机</v>
          </cell>
          <cell r="R417" t="str">
            <v>60钳工</v>
          </cell>
          <cell r="S417" t="str">
            <v>65清洁</v>
          </cell>
          <cell r="T417" t="str">
            <v>70成检</v>
          </cell>
        </row>
        <row r="418">
          <cell r="B418" t="str">
            <v>CB22827C3-002-007</v>
          </cell>
          <cell r="D418" t="str">
            <v>A</v>
          </cell>
          <cell r="E418" t="str">
            <v>准备工时</v>
          </cell>
          <cell r="H418">
            <v>90</v>
          </cell>
          <cell r="I418">
            <v>90</v>
          </cell>
          <cell r="J418">
            <v>90</v>
          </cell>
          <cell r="K418">
            <v>60</v>
          </cell>
          <cell r="M418">
            <v>60</v>
          </cell>
          <cell r="P418">
            <v>60</v>
          </cell>
        </row>
        <row r="419">
          <cell r="B419" t="str">
            <v>CB22827C3-002-007</v>
          </cell>
          <cell r="D419" t="str">
            <v>A</v>
          </cell>
          <cell r="E419" t="str">
            <v>装夹时间</v>
          </cell>
        </row>
        <row r="420">
          <cell r="B420" t="str">
            <v>CB22827C3-002-007</v>
          </cell>
          <cell r="D420" t="str">
            <v>A</v>
          </cell>
          <cell r="E420" t="str">
            <v>程序时间</v>
          </cell>
          <cell r="H420">
            <v>40</v>
          </cell>
          <cell r="I420">
            <v>40</v>
          </cell>
          <cell r="J420">
            <v>40</v>
          </cell>
          <cell r="K420">
            <v>30</v>
          </cell>
          <cell r="M420">
            <v>30</v>
          </cell>
          <cell r="P420">
            <v>25</v>
          </cell>
          <cell r="R420">
            <v>30</v>
          </cell>
        </row>
        <row r="421">
          <cell r="B421" t="str">
            <v>CB5512300-004L002</v>
          </cell>
          <cell r="D421" t="str">
            <v>B</v>
          </cell>
          <cell r="E421" t="str">
            <v>工序内容</v>
          </cell>
          <cell r="F421" t="str">
            <v>0/领料</v>
          </cell>
          <cell r="G421" t="str">
            <v>5/数铣190</v>
          </cell>
          <cell r="H421" t="str">
            <v>10钳工</v>
          </cell>
          <cell r="I421" t="str">
            <v>15超声波</v>
          </cell>
          <cell r="J421" t="str">
            <v>20数铣280</v>
          </cell>
          <cell r="K421" t="str">
            <v>25/数铣640</v>
          </cell>
          <cell r="L421" t="str">
            <v>30/数铣1320</v>
          </cell>
          <cell r="M421" t="str">
            <v>35/自然时效</v>
          </cell>
          <cell r="N421" t="str">
            <v>40/数铣60</v>
          </cell>
          <cell r="O421" t="str">
            <v>45/数铣1200</v>
          </cell>
          <cell r="P421" t="str">
            <v>50数铣1920</v>
          </cell>
          <cell r="Q421" t="str">
            <v>55/钳工</v>
          </cell>
          <cell r="R421" t="str">
            <v>60/清洁</v>
          </cell>
          <cell r="S421" t="str">
            <v>65/测量</v>
          </cell>
          <cell r="T421" t="str">
            <v>70/成检</v>
          </cell>
        </row>
        <row r="422">
          <cell r="B422" t="str">
            <v>CB5512300-004L002</v>
          </cell>
          <cell r="D422" t="str">
            <v>B</v>
          </cell>
          <cell r="E422" t="str">
            <v>准备工时</v>
          </cell>
          <cell r="G422">
            <v>120</v>
          </cell>
          <cell r="J422">
            <v>120</v>
          </cell>
          <cell r="K422">
            <v>120</v>
          </cell>
          <cell r="L422">
            <v>120</v>
          </cell>
          <cell r="N422">
            <v>120</v>
          </cell>
          <cell r="O422">
            <v>240</v>
          </cell>
          <cell r="P422">
            <v>180</v>
          </cell>
        </row>
        <row r="423">
          <cell r="B423" t="str">
            <v>CB5512300-004L002</v>
          </cell>
          <cell r="D423" t="str">
            <v>B</v>
          </cell>
          <cell r="E423" t="str">
            <v>装夹时间</v>
          </cell>
          <cell r="G423">
            <v>120</v>
          </cell>
          <cell r="J423">
            <v>90</v>
          </cell>
          <cell r="K423">
            <v>90</v>
          </cell>
          <cell r="L423">
            <v>90</v>
          </cell>
          <cell r="N423">
            <v>90</v>
          </cell>
          <cell r="O423">
            <v>90</v>
          </cell>
          <cell r="P423">
            <v>90</v>
          </cell>
        </row>
        <row r="424">
          <cell r="B424" t="str">
            <v>CB5512300-004L002</v>
          </cell>
          <cell r="D424" t="str">
            <v>B</v>
          </cell>
          <cell r="E424" t="str">
            <v>程序时间</v>
          </cell>
          <cell r="G424">
            <v>770</v>
          </cell>
          <cell r="H424">
            <v>150</v>
          </cell>
          <cell r="J424">
            <v>660</v>
          </cell>
          <cell r="K424">
            <v>1260</v>
          </cell>
          <cell r="L424">
            <v>1830</v>
          </cell>
          <cell r="N424">
            <v>270</v>
          </cell>
          <cell r="O424">
            <v>2460</v>
          </cell>
          <cell r="P424">
            <v>3700</v>
          </cell>
          <cell r="Q424">
            <v>420</v>
          </cell>
        </row>
        <row r="425">
          <cell r="B425" t="str">
            <v>CB5512300-004R002</v>
          </cell>
          <cell r="D425" t="str">
            <v>B</v>
          </cell>
          <cell r="E425" t="str">
            <v>工序内容</v>
          </cell>
          <cell r="F425" t="str">
            <v>0/领料</v>
          </cell>
          <cell r="G425" t="str">
            <v>5/数铣190</v>
          </cell>
          <cell r="H425" t="str">
            <v>10钳工</v>
          </cell>
          <cell r="I425" t="str">
            <v>15超声波</v>
          </cell>
          <cell r="J425" t="str">
            <v>20数铣280</v>
          </cell>
          <cell r="K425" t="str">
            <v>25/数铣640</v>
          </cell>
          <cell r="L425" t="str">
            <v>30/数铣1320</v>
          </cell>
          <cell r="M425" t="str">
            <v>35/自然时效</v>
          </cell>
          <cell r="N425" t="str">
            <v>40/数铣60</v>
          </cell>
          <cell r="O425" t="str">
            <v>45/数铣1200</v>
          </cell>
          <cell r="P425" t="str">
            <v>50数铣1920</v>
          </cell>
          <cell r="Q425" t="str">
            <v>55/钳工</v>
          </cell>
          <cell r="R425" t="str">
            <v>60/清洁</v>
          </cell>
          <cell r="S425" t="str">
            <v>65/测量</v>
          </cell>
          <cell r="T425" t="str">
            <v>70/成检</v>
          </cell>
        </row>
        <row r="426">
          <cell r="B426" t="str">
            <v>CB5512300-004R002</v>
          </cell>
          <cell r="D426" t="str">
            <v>B</v>
          </cell>
          <cell r="E426" t="str">
            <v>准备工时</v>
          </cell>
          <cell r="G426">
            <v>120</v>
          </cell>
          <cell r="J426">
            <v>120</v>
          </cell>
          <cell r="K426">
            <v>120</v>
          </cell>
          <cell r="L426">
            <v>120</v>
          </cell>
          <cell r="N426">
            <v>120</v>
          </cell>
          <cell r="O426">
            <v>240</v>
          </cell>
          <cell r="P426">
            <v>180</v>
          </cell>
        </row>
        <row r="427">
          <cell r="B427" t="str">
            <v>CB5512300-004R002</v>
          </cell>
          <cell r="D427" t="str">
            <v>B</v>
          </cell>
          <cell r="E427" t="str">
            <v>装夹时间</v>
          </cell>
          <cell r="G427">
            <v>120</v>
          </cell>
          <cell r="J427">
            <v>90</v>
          </cell>
          <cell r="K427">
            <v>90</v>
          </cell>
          <cell r="L427">
            <v>90</v>
          </cell>
          <cell r="N427">
            <v>90</v>
          </cell>
          <cell r="O427">
            <v>90</v>
          </cell>
          <cell r="P427">
            <v>90</v>
          </cell>
        </row>
        <row r="428">
          <cell r="B428" t="str">
            <v>CB5512300-004R002</v>
          </cell>
          <cell r="D428" t="str">
            <v>B</v>
          </cell>
          <cell r="E428" t="str">
            <v>程序时间</v>
          </cell>
          <cell r="G428">
            <v>770</v>
          </cell>
          <cell r="H428">
            <v>150</v>
          </cell>
          <cell r="J428">
            <v>660</v>
          </cell>
          <cell r="K428">
            <v>1260</v>
          </cell>
          <cell r="L428">
            <v>1830</v>
          </cell>
          <cell r="N428">
            <v>270</v>
          </cell>
          <cell r="O428">
            <v>2460</v>
          </cell>
          <cell r="P428">
            <v>3700</v>
          </cell>
          <cell r="Q428">
            <v>420</v>
          </cell>
        </row>
        <row r="429">
          <cell r="B429" t="str">
            <v>CB5512300-005L002</v>
          </cell>
          <cell r="D429" t="str">
            <v>B</v>
          </cell>
          <cell r="E429" t="str">
            <v>工序内容</v>
          </cell>
          <cell r="F429" t="str">
            <v>0/领料</v>
          </cell>
          <cell r="G429" t="str">
            <v>5/数铣150</v>
          </cell>
          <cell r="H429" t="str">
            <v>10/钳工</v>
          </cell>
          <cell r="I429" t="str">
            <v>15/超声波</v>
          </cell>
          <cell r="J429" t="str">
            <v>20/数铣220</v>
          </cell>
          <cell r="K429" t="str">
            <v>25/数铣300</v>
          </cell>
          <cell r="L429" t="str">
            <v>30/数铣330</v>
          </cell>
          <cell r="M429" t="str">
            <v>35/自然时效</v>
          </cell>
          <cell r="N429" t="str">
            <v>40/数铣60</v>
          </cell>
          <cell r="O429" t="str">
            <v>45/数铣700</v>
          </cell>
          <cell r="P429" t="str">
            <v>50数铣900</v>
          </cell>
          <cell r="Q429" t="str">
            <v>55/数铣300</v>
          </cell>
          <cell r="R429" t="str">
            <v>60/钳工</v>
          </cell>
          <cell r="S429" t="str">
            <v>65/测量</v>
          </cell>
          <cell r="T429" t="str">
            <v>75/清洁</v>
          </cell>
          <cell r="U429" t="str">
            <v>80/成检</v>
          </cell>
          <cell r="V429" t="str">
            <v>80/成检</v>
          </cell>
        </row>
        <row r="430">
          <cell r="B430" t="str">
            <v>CB5512300-005L002</v>
          </cell>
          <cell r="D430" t="str">
            <v>B</v>
          </cell>
          <cell r="E430" t="str">
            <v>准备工时</v>
          </cell>
          <cell r="G430">
            <v>120</v>
          </cell>
          <cell r="J430">
            <v>120</v>
          </cell>
          <cell r="K430">
            <v>120</v>
          </cell>
          <cell r="L430">
            <v>120</v>
          </cell>
          <cell r="N430">
            <v>120</v>
          </cell>
          <cell r="O430">
            <v>180</v>
          </cell>
          <cell r="P430">
            <v>150</v>
          </cell>
          <cell r="Q430">
            <v>120</v>
          </cell>
        </row>
        <row r="431">
          <cell r="B431" t="str">
            <v>CB5512300-005L002</v>
          </cell>
          <cell r="D431" t="str">
            <v>B</v>
          </cell>
          <cell r="E431" t="str">
            <v>装夹时间</v>
          </cell>
          <cell r="G431">
            <v>120</v>
          </cell>
          <cell r="J431">
            <v>90</v>
          </cell>
          <cell r="K431">
            <v>90</v>
          </cell>
          <cell r="L431">
            <v>90</v>
          </cell>
          <cell r="N431">
            <v>90</v>
          </cell>
          <cell r="O431">
            <v>90</v>
          </cell>
          <cell r="P431">
            <v>90</v>
          </cell>
          <cell r="Q431">
            <v>90</v>
          </cell>
        </row>
        <row r="432">
          <cell r="B432" t="str">
            <v>CB5512300-005L002</v>
          </cell>
          <cell r="D432" t="str">
            <v>B</v>
          </cell>
          <cell r="E432" t="str">
            <v>程序时间</v>
          </cell>
          <cell r="G432">
            <v>600</v>
          </cell>
          <cell r="H432">
            <v>150</v>
          </cell>
          <cell r="J432">
            <v>510</v>
          </cell>
          <cell r="K432">
            <v>1050</v>
          </cell>
          <cell r="L432">
            <v>700</v>
          </cell>
          <cell r="N432">
            <v>240</v>
          </cell>
          <cell r="O432">
            <v>1900</v>
          </cell>
          <cell r="P432">
            <v>2100</v>
          </cell>
          <cell r="Q432">
            <v>700</v>
          </cell>
          <cell r="R432">
            <v>420</v>
          </cell>
        </row>
        <row r="433">
          <cell r="B433" t="str">
            <v>CB5512300-005R002</v>
          </cell>
          <cell r="D433" t="str">
            <v>B</v>
          </cell>
          <cell r="E433" t="str">
            <v>工序内容</v>
          </cell>
          <cell r="F433" t="str">
            <v>0/领料</v>
          </cell>
          <cell r="G433" t="str">
            <v>5/数铣150</v>
          </cell>
          <cell r="H433" t="str">
            <v>10/钳工</v>
          </cell>
          <cell r="I433" t="str">
            <v>15/超声波</v>
          </cell>
          <cell r="J433" t="str">
            <v>20/数铣220</v>
          </cell>
          <cell r="K433" t="str">
            <v>25/数铣300</v>
          </cell>
          <cell r="L433" t="str">
            <v>30/数铣330</v>
          </cell>
          <cell r="M433" t="str">
            <v>35/自然时效</v>
          </cell>
          <cell r="N433" t="str">
            <v>40/数铣60</v>
          </cell>
          <cell r="O433" t="str">
            <v>45/数铣700</v>
          </cell>
          <cell r="P433" t="str">
            <v>50数铣900</v>
          </cell>
          <cell r="Q433" t="str">
            <v>55/数铣300</v>
          </cell>
          <cell r="R433" t="str">
            <v>60/钳工</v>
          </cell>
          <cell r="S433" t="str">
            <v>65/测量</v>
          </cell>
          <cell r="T433" t="str">
            <v>75/清洁</v>
          </cell>
          <cell r="U433" t="str">
            <v>80/成检</v>
          </cell>
          <cell r="V433" t="str">
            <v>80/成检</v>
          </cell>
        </row>
        <row r="434">
          <cell r="B434" t="str">
            <v>CB5512300-005R002</v>
          </cell>
          <cell r="D434" t="str">
            <v>B</v>
          </cell>
          <cell r="E434" t="str">
            <v>准备工时</v>
          </cell>
          <cell r="G434">
            <v>120</v>
          </cell>
          <cell r="J434">
            <v>120</v>
          </cell>
          <cell r="K434">
            <v>120</v>
          </cell>
          <cell r="L434">
            <v>120</v>
          </cell>
          <cell r="N434">
            <v>120</v>
          </cell>
          <cell r="O434">
            <v>180</v>
          </cell>
          <cell r="P434">
            <v>150</v>
          </cell>
          <cell r="Q434">
            <v>120</v>
          </cell>
        </row>
        <row r="435">
          <cell r="B435" t="str">
            <v>CB5512300-005R002</v>
          </cell>
          <cell r="D435" t="str">
            <v>B</v>
          </cell>
          <cell r="E435" t="str">
            <v>装夹时间</v>
          </cell>
          <cell r="G435">
            <v>120</v>
          </cell>
          <cell r="J435">
            <v>90</v>
          </cell>
          <cell r="K435">
            <v>90</v>
          </cell>
          <cell r="L435">
            <v>90</v>
          </cell>
          <cell r="N435">
            <v>90</v>
          </cell>
          <cell r="O435">
            <v>90</v>
          </cell>
          <cell r="P435">
            <v>90</v>
          </cell>
          <cell r="Q435">
            <v>90</v>
          </cell>
        </row>
        <row r="436">
          <cell r="B436" t="str">
            <v>CB5512300-005R002</v>
          </cell>
          <cell r="D436" t="str">
            <v>B</v>
          </cell>
          <cell r="E436" t="str">
            <v>程序时间</v>
          </cell>
          <cell r="G436">
            <v>600</v>
          </cell>
          <cell r="H436">
            <v>150</v>
          </cell>
          <cell r="J436">
            <v>510</v>
          </cell>
          <cell r="K436">
            <v>1050</v>
          </cell>
          <cell r="L436">
            <v>700</v>
          </cell>
          <cell r="N436">
            <v>240</v>
          </cell>
          <cell r="O436">
            <v>1900</v>
          </cell>
          <cell r="P436">
            <v>2100</v>
          </cell>
          <cell r="Q436">
            <v>700</v>
          </cell>
          <cell r="R436">
            <v>420</v>
          </cell>
        </row>
        <row r="437">
          <cell r="B437" t="str">
            <v>BC3331500-001-001</v>
          </cell>
          <cell r="D437" t="str">
            <v>A</v>
          </cell>
          <cell r="E437" t="str">
            <v>工序内容</v>
          </cell>
          <cell r="F437" t="str">
            <v>0/领料</v>
          </cell>
          <cell r="G437" t="str">
            <v>05/下料</v>
          </cell>
          <cell r="H437" t="str">
            <v>10/数铣</v>
          </cell>
          <cell r="I437" t="str">
            <v>15/数铣10</v>
          </cell>
          <cell r="J437" t="str">
            <v>20/数铣55</v>
          </cell>
          <cell r="K437" t="str">
            <v>25/测量</v>
          </cell>
          <cell r="L437" t="str">
            <v>30/钳工</v>
          </cell>
          <cell r="M437" t="str">
            <v>35/分光</v>
          </cell>
          <cell r="N437" t="str">
            <v>40/硬度</v>
          </cell>
          <cell r="O437" t="str">
            <v>45/检验</v>
          </cell>
          <cell r="P437" t="str">
            <v>50/数铣10</v>
          </cell>
          <cell r="Q437" t="str">
            <v>55/钳工</v>
          </cell>
          <cell r="R437" t="str">
            <v>60/清洁</v>
          </cell>
          <cell r="S437" t="str">
            <v>65/成检</v>
          </cell>
          <cell r="T437" t="str">
            <v>65/成检</v>
          </cell>
        </row>
        <row r="438">
          <cell r="B438" t="str">
            <v>BC3331500-001-001</v>
          </cell>
          <cell r="D438" t="str">
            <v>A</v>
          </cell>
          <cell r="E438" t="str">
            <v>准备工时</v>
          </cell>
          <cell r="H438">
            <v>60</v>
          </cell>
          <cell r="I438">
            <v>60</v>
          </cell>
          <cell r="J438">
            <v>60</v>
          </cell>
          <cell r="P438">
            <v>60</v>
          </cell>
        </row>
        <row r="439">
          <cell r="B439" t="str">
            <v>BC3331500-001-001</v>
          </cell>
          <cell r="D439" t="str">
            <v>A</v>
          </cell>
          <cell r="E439" t="str">
            <v>装夹时间</v>
          </cell>
        </row>
        <row r="440">
          <cell r="B440" t="str">
            <v>BC3331500-001-001</v>
          </cell>
          <cell r="D440" t="str">
            <v>A</v>
          </cell>
          <cell r="E440" t="str">
            <v>程序时间</v>
          </cell>
          <cell r="H440">
            <v>40</v>
          </cell>
          <cell r="I440">
            <v>40</v>
          </cell>
          <cell r="J440">
            <v>85</v>
          </cell>
          <cell r="L440">
            <v>15</v>
          </cell>
          <cell r="P440">
            <v>25</v>
          </cell>
          <cell r="Q440">
            <v>40</v>
          </cell>
        </row>
        <row r="441">
          <cell r="B441" t="str">
            <v>DD-J10-96011-1811</v>
          </cell>
          <cell r="D441" t="str">
            <v>A</v>
          </cell>
          <cell r="E441" t="str">
            <v>工序内容</v>
          </cell>
          <cell r="F441" t="str">
            <v>0/领料</v>
          </cell>
          <cell r="G441" t="str">
            <v>05/数车30</v>
          </cell>
          <cell r="H441" t="str">
            <v>10车铣40</v>
          </cell>
          <cell r="I441" t="str">
            <v>15数车30</v>
          </cell>
          <cell r="J441" t="str">
            <v>20/钳工</v>
          </cell>
          <cell r="K441" t="str">
            <v>25热处理</v>
          </cell>
          <cell r="L441" t="str">
            <v>30钳工</v>
          </cell>
          <cell r="M441" t="str">
            <v>35复验</v>
          </cell>
          <cell r="N441" t="str">
            <v>40表面处理</v>
          </cell>
          <cell r="O441" t="str">
            <v>45数车15</v>
          </cell>
          <cell r="P441" t="str">
            <v>50清洁</v>
          </cell>
          <cell r="Q441" t="str">
            <v>55成检</v>
          </cell>
        </row>
        <row r="442">
          <cell r="B442" t="str">
            <v>DD-J10-96011-1811</v>
          </cell>
          <cell r="D442" t="str">
            <v>A</v>
          </cell>
          <cell r="E442" t="str">
            <v>准备工时</v>
          </cell>
          <cell r="G442">
            <v>60</v>
          </cell>
          <cell r="H442">
            <v>90</v>
          </cell>
          <cell r="I442">
            <v>60</v>
          </cell>
          <cell r="O442" t="str">
            <v>60</v>
          </cell>
        </row>
        <row r="443">
          <cell r="B443" t="str">
            <v>DD-J10-96011-1811</v>
          </cell>
          <cell r="D443" t="str">
            <v>A</v>
          </cell>
          <cell r="E443" t="str">
            <v>装夹时间</v>
          </cell>
        </row>
        <row r="444">
          <cell r="B444" t="str">
            <v>DD-J10-96011-1811</v>
          </cell>
          <cell r="D444" t="str">
            <v>A</v>
          </cell>
          <cell r="E444" t="str">
            <v>程序时间</v>
          </cell>
          <cell r="G444">
            <v>45</v>
          </cell>
          <cell r="H444">
            <v>60</v>
          </cell>
          <cell r="I444">
            <v>45</v>
          </cell>
          <cell r="J444">
            <v>20</v>
          </cell>
          <cell r="L444">
            <v>10</v>
          </cell>
          <cell r="O444" t="str">
            <v>25</v>
          </cell>
        </row>
        <row r="445">
          <cell r="B445" t="str">
            <v>528A1120-000-003</v>
          </cell>
          <cell r="D445" t="str">
            <v>B</v>
          </cell>
          <cell r="E445" t="str">
            <v>工序内容</v>
          </cell>
          <cell r="F445" t="str">
            <v>05/线切割</v>
          </cell>
          <cell r="G445" t="str">
            <v>10/线切割</v>
          </cell>
          <cell r="H445" t="str">
            <v>15/数铣</v>
          </cell>
          <cell r="I445" t="str">
            <v>20线切割</v>
          </cell>
          <cell r="J445" t="str">
            <v>25线切割</v>
          </cell>
          <cell r="K445" t="str">
            <v>30数铣25</v>
          </cell>
          <cell r="L445" t="str">
            <v>35车试片</v>
          </cell>
          <cell r="M445" t="str">
            <v>40钳工</v>
          </cell>
          <cell r="N445" t="str">
            <v>45热处理</v>
          </cell>
          <cell r="O445" t="str">
            <v>50热处理</v>
          </cell>
          <cell r="P445" t="str">
            <v>55硬度</v>
          </cell>
          <cell r="Q445" t="str">
            <v>60装夹</v>
          </cell>
          <cell r="R445" t="str">
            <v>65数铣45</v>
          </cell>
          <cell r="S445" t="str">
            <v>70数铣75</v>
          </cell>
          <cell r="T445" t="str">
            <v>75数铣55</v>
          </cell>
          <cell r="U445" t="str">
            <v>80数铣15</v>
          </cell>
          <cell r="V445" t="str">
            <v>85数铣75</v>
          </cell>
          <cell r="W445" t="str">
            <v>90线切割</v>
          </cell>
          <cell r="X445" t="str">
            <v>100五轴25</v>
          </cell>
          <cell r="Y445" t="str">
            <v>105数铣25</v>
          </cell>
          <cell r="Z445" t="str">
            <v>110数铣55</v>
          </cell>
          <cell r="AA445" t="str">
            <v>115线切割</v>
          </cell>
          <cell r="AB445" t="str">
            <v>120钳工</v>
          </cell>
          <cell r="AC445" t="str">
            <v>125测量</v>
          </cell>
          <cell r="AD445" t="str">
            <v>130清洁</v>
          </cell>
          <cell r="AE445" t="str">
            <v>135成检</v>
          </cell>
        </row>
        <row r="446">
          <cell r="B446" t="str">
            <v>528A1120-000-003</v>
          </cell>
          <cell r="D446" t="str">
            <v>B</v>
          </cell>
          <cell r="E446" t="str">
            <v>准备工时</v>
          </cell>
          <cell r="H446">
            <v>30</v>
          </cell>
          <cell r="K446">
            <v>60</v>
          </cell>
          <cell r="L446">
            <v>60</v>
          </cell>
          <cell r="R446">
            <v>90</v>
          </cell>
          <cell r="S446">
            <v>90</v>
          </cell>
          <cell r="T446">
            <v>60</v>
          </cell>
          <cell r="U446">
            <v>60</v>
          </cell>
          <cell r="V446">
            <v>60</v>
          </cell>
          <cell r="X446">
            <v>90</v>
          </cell>
          <cell r="Y446">
            <v>60</v>
          </cell>
          <cell r="Z446">
            <v>60</v>
          </cell>
        </row>
        <row r="447">
          <cell r="B447" t="str">
            <v>528A1120-000-003</v>
          </cell>
          <cell r="D447" t="str">
            <v>B</v>
          </cell>
          <cell r="E447" t="str">
            <v>装夹时间</v>
          </cell>
          <cell r="X447">
            <v>30</v>
          </cell>
        </row>
        <row r="448">
          <cell r="B448" t="str">
            <v>528A1120-000-003</v>
          </cell>
          <cell r="D448" t="str">
            <v>B</v>
          </cell>
          <cell r="E448" t="str">
            <v>程序时间</v>
          </cell>
          <cell r="H448">
            <v>25</v>
          </cell>
          <cell r="K448">
            <v>45</v>
          </cell>
          <cell r="L448">
            <v>10</v>
          </cell>
          <cell r="M448">
            <v>35</v>
          </cell>
          <cell r="Q448">
            <v>15</v>
          </cell>
          <cell r="R448">
            <v>65</v>
          </cell>
          <cell r="S448">
            <v>100</v>
          </cell>
          <cell r="T448">
            <v>80</v>
          </cell>
          <cell r="U448">
            <v>25</v>
          </cell>
          <cell r="V448">
            <v>100</v>
          </cell>
          <cell r="X448">
            <v>60</v>
          </cell>
          <cell r="Y448">
            <v>40</v>
          </cell>
          <cell r="Z448">
            <v>70</v>
          </cell>
          <cell r="AB448">
            <v>30</v>
          </cell>
        </row>
        <row r="449">
          <cell r="B449" t="str">
            <v>528A1120-000-004</v>
          </cell>
          <cell r="D449" t="str">
            <v>B</v>
          </cell>
          <cell r="E449" t="str">
            <v>工序内容</v>
          </cell>
          <cell r="F449" t="str">
            <v>0/领料</v>
          </cell>
          <cell r="G449" t="str">
            <v>05/线切割</v>
          </cell>
          <cell r="H449" t="str">
            <v>10/线切割</v>
          </cell>
          <cell r="I449" t="str">
            <v>15/数铣</v>
          </cell>
          <cell r="J449" t="str">
            <v>20线切割</v>
          </cell>
          <cell r="K449" t="str">
            <v>25线切割</v>
          </cell>
          <cell r="L449" t="str">
            <v>30数铣25</v>
          </cell>
          <cell r="M449" t="str">
            <v>35车试片</v>
          </cell>
          <cell r="N449" t="str">
            <v>40钳工</v>
          </cell>
          <cell r="O449" t="str">
            <v>45热处理</v>
          </cell>
          <cell r="P449" t="str">
            <v>50热处理</v>
          </cell>
          <cell r="Q449" t="str">
            <v>55硬度</v>
          </cell>
          <cell r="R449" t="str">
            <v>60装夹</v>
          </cell>
          <cell r="S449" t="str">
            <v>65数铣45</v>
          </cell>
          <cell r="T449" t="str">
            <v>70数铣75</v>
          </cell>
          <cell r="U449" t="str">
            <v>75数铣55</v>
          </cell>
          <cell r="V449" t="str">
            <v>80数铣15</v>
          </cell>
          <cell r="W449" t="str">
            <v>85数铣75</v>
          </cell>
          <cell r="X449" t="str">
            <v>90线切割</v>
          </cell>
          <cell r="Y449" t="str">
            <v>95</v>
          </cell>
          <cell r="Z449" t="str">
            <v>100五轴25</v>
          </cell>
          <cell r="AA449" t="str">
            <v>105数铣25</v>
          </cell>
          <cell r="AB449" t="str">
            <v>110数铣55</v>
          </cell>
          <cell r="AC449" t="str">
            <v>115线切割</v>
          </cell>
          <cell r="AD449" t="str">
            <v>120钳工</v>
          </cell>
          <cell r="AE449" t="str">
            <v>125测量</v>
          </cell>
          <cell r="AF449" t="str">
            <v>130清洁</v>
          </cell>
        </row>
        <row r="450">
          <cell r="B450" t="str">
            <v>528A1120-000-004</v>
          </cell>
          <cell r="D450" t="str">
            <v>B</v>
          </cell>
          <cell r="E450" t="str">
            <v>准备工时</v>
          </cell>
          <cell r="I450">
            <v>30</v>
          </cell>
          <cell r="L450">
            <v>60</v>
          </cell>
          <cell r="M450">
            <v>60</v>
          </cell>
          <cell r="S450">
            <v>90</v>
          </cell>
          <cell r="T450">
            <v>90</v>
          </cell>
          <cell r="U450">
            <v>60</v>
          </cell>
          <cell r="V450">
            <v>60</v>
          </cell>
          <cell r="W450">
            <v>60</v>
          </cell>
          <cell r="Z450">
            <v>90</v>
          </cell>
          <cell r="AA450">
            <v>60</v>
          </cell>
          <cell r="AB450">
            <v>60</v>
          </cell>
        </row>
        <row r="451">
          <cell r="B451" t="str">
            <v>528A1120-000-004</v>
          </cell>
          <cell r="D451" t="str">
            <v>B</v>
          </cell>
          <cell r="E451" t="str">
            <v>装夹时间</v>
          </cell>
          <cell r="Z451">
            <v>30</v>
          </cell>
        </row>
        <row r="452">
          <cell r="B452" t="str">
            <v>528A1120-000-004</v>
          </cell>
          <cell r="D452" t="str">
            <v>B</v>
          </cell>
          <cell r="E452" t="str">
            <v>程序时间</v>
          </cell>
          <cell r="I452">
            <v>25</v>
          </cell>
          <cell r="L452">
            <v>45</v>
          </cell>
          <cell r="M452">
            <v>10</v>
          </cell>
          <cell r="N452">
            <v>35</v>
          </cell>
          <cell r="R452">
            <v>15</v>
          </cell>
          <cell r="S452">
            <v>65</v>
          </cell>
          <cell r="T452">
            <v>100</v>
          </cell>
          <cell r="U452">
            <v>80</v>
          </cell>
          <cell r="V452">
            <v>25</v>
          </cell>
          <cell r="W452">
            <v>100</v>
          </cell>
          <cell r="Z452">
            <v>60</v>
          </cell>
          <cell r="AA452">
            <v>40</v>
          </cell>
          <cell r="AB452">
            <v>70</v>
          </cell>
          <cell r="AD452">
            <v>30</v>
          </cell>
        </row>
        <row r="453">
          <cell r="B453" t="str">
            <v>BC22971B1-002-001</v>
          </cell>
          <cell r="D453" t="str">
            <v>A</v>
          </cell>
          <cell r="E453" t="str">
            <v>工序内容</v>
          </cell>
          <cell r="F453" t="str">
            <v>0/领料</v>
          </cell>
          <cell r="G453" t="str">
            <v>05/普车15</v>
          </cell>
          <cell r="H453" t="str">
            <v>10/分光</v>
          </cell>
          <cell r="I453" t="str">
            <v>15/热处理</v>
          </cell>
          <cell r="J453" t="str">
            <v>20/数车35</v>
          </cell>
          <cell r="K453" t="str">
            <v>25/数车10</v>
          </cell>
          <cell r="L453" t="str">
            <v>30/普车5</v>
          </cell>
          <cell r="M453" t="str">
            <v>35/线切割</v>
          </cell>
          <cell r="N453" t="str">
            <v>40/数铣10</v>
          </cell>
          <cell r="O453" t="str">
            <v>45/钳工</v>
          </cell>
          <cell r="P453" t="str">
            <v>50/中检</v>
          </cell>
          <cell r="Q453" t="str">
            <v>55/热处理</v>
          </cell>
          <cell r="R453" t="str">
            <v>60/表处</v>
          </cell>
          <cell r="S453" t="str">
            <v>65/数车20</v>
          </cell>
          <cell r="T453" t="str">
            <v>70/清洁</v>
          </cell>
          <cell r="U453" t="str">
            <v>75/成检</v>
          </cell>
        </row>
        <row r="454">
          <cell r="B454" t="str">
            <v>BC22971B1-002-001</v>
          </cell>
          <cell r="D454" t="str">
            <v>A</v>
          </cell>
          <cell r="E454" t="str">
            <v>准备工时</v>
          </cell>
          <cell r="G454">
            <v>60</v>
          </cell>
          <cell r="J454">
            <v>60</v>
          </cell>
          <cell r="K454">
            <v>60</v>
          </cell>
          <cell r="L454">
            <v>60</v>
          </cell>
          <cell r="N454">
            <v>60</v>
          </cell>
          <cell r="S454">
            <v>60</v>
          </cell>
        </row>
        <row r="455">
          <cell r="B455" t="str">
            <v>BC22971B1-002-001</v>
          </cell>
          <cell r="D455" t="str">
            <v>A</v>
          </cell>
          <cell r="E455" t="str">
            <v>装夹时间</v>
          </cell>
        </row>
        <row r="456">
          <cell r="B456" t="str">
            <v>BC22971B1-002-001</v>
          </cell>
          <cell r="D456" t="str">
            <v>A</v>
          </cell>
          <cell r="E456" t="str">
            <v>程序时间</v>
          </cell>
          <cell r="G456">
            <v>20</v>
          </cell>
          <cell r="J456">
            <v>50</v>
          </cell>
          <cell r="K456">
            <v>20</v>
          </cell>
          <cell r="L456">
            <v>10</v>
          </cell>
          <cell r="N456">
            <v>40</v>
          </cell>
          <cell r="O456">
            <v>35</v>
          </cell>
          <cell r="S456">
            <v>40</v>
          </cell>
        </row>
        <row r="457">
          <cell r="B457" t="str">
            <v>DD-J10-55051-6101</v>
          </cell>
          <cell r="D457" t="str">
            <v>B</v>
          </cell>
          <cell r="E457" t="str">
            <v>工序内容</v>
          </cell>
          <cell r="F457" t="str">
            <v>0/领料</v>
          </cell>
          <cell r="G457" t="str">
            <v>05/钳工</v>
          </cell>
          <cell r="H457" t="str">
            <v>10/数车30</v>
          </cell>
          <cell r="I457" t="str">
            <v>15/数车15</v>
          </cell>
          <cell r="J457" t="str">
            <v>20/数车15</v>
          </cell>
          <cell r="K457" t="str">
            <v>25/数铣8</v>
          </cell>
          <cell r="L457" t="str">
            <v>30数铣15</v>
          </cell>
          <cell r="M457" t="str">
            <v>35数铣5</v>
          </cell>
          <cell r="N457" t="str">
            <v>40钳工</v>
          </cell>
          <cell r="O457" t="str">
            <v>45清洁</v>
          </cell>
          <cell r="P457" t="str">
            <v>50成检</v>
          </cell>
        </row>
        <row r="458">
          <cell r="B458" t="str">
            <v>DD-J10-55051-6101</v>
          </cell>
          <cell r="D458" t="str">
            <v>B</v>
          </cell>
          <cell r="E458" t="str">
            <v>准备工时</v>
          </cell>
          <cell r="H458">
            <v>60</v>
          </cell>
          <cell r="I458">
            <v>60</v>
          </cell>
          <cell r="J458">
            <v>60</v>
          </cell>
          <cell r="K458">
            <v>60</v>
          </cell>
          <cell r="L458">
            <v>60</v>
          </cell>
          <cell r="M458">
            <v>60</v>
          </cell>
        </row>
        <row r="459">
          <cell r="B459" t="str">
            <v>DD-J10-55051-6101</v>
          </cell>
          <cell r="D459" t="str">
            <v>B</v>
          </cell>
          <cell r="E459" t="str">
            <v>装夹时间</v>
          </cell>
        </row>
        <row r="460">
          <cell r="B460" t="str">
            <v>DD-J10-55051-6101</v>
          </cell>
          <cell r="D460" t="str">
            <v>B</v>
          </cell>
          <cell r="E460" t="str">
            <v>程序时间</v>
          </cell>
          <cell r="G460">
            <v>12</v>
          </cell>
          <cell r="H460">
            <v>45</v>
          </cell>
          <cell r="I460">
            <v>25</v>
          </cell>
          <cell r="J460">
            <v>25</v>
          </cell>
          <cell r="K460">
            <v>18</v>
          </cell>
          <cell r="L460">
            <v>35</v>
          </cell>
          <cell r="M460">
            <v>15</v>
          </cell>
          <cell r="N460" t="str">
            <v>35</v>
          </cell>
        </row>
        <row r="461">
          <cell r="B461" t="str">
            <v>CB2284460-004-001</v>
          </cell>
          <cell r="D461" t="str">
            <v>A</v>
          </cell>
          <cell r="E461" t="str">
            <v>工序内容</v>
          </cell>
          <cell r="F461" t="str">
            <v>0/领料</v>
          </cell>
          <cell r="G461" t="str">
            <v>05/数铣</v>
          </cell>
          <cell r="H461" t="str">
            <v>10/数铣20</v>
          </cell>
          <cell r="I461" t="str">
            <v>15/数铣15</v>
          </cell>
          <cell r="J461" t="str">
            <v>20/数铣25</v>
          </cell>
          <cell r="K461" t="str">
            <v>25/数铣20</v>
          </cell>
          <cell r="L461" t="str">
            <v>30/钳工</v>
          </cell>
          <cell r="M461" t="str">
            <v>35/分光</v>
          </cell>
          <cell r="N461" t="str">
            <v>40/硬度</v>
          </cell>
          <cell r="O461" t="str">
            <v>45/数车30</v>
          </cell>
          <cell r="P461" t="str">
            <v>50/数车45</v>
          </cell>
          <cell r="Q461" t="str">
            <v>55/数车35</v>
          </cell>
          <cell r="R461" t="str">
            <v>60/数车15</v>
          </cell>
          <cell r="S461" t="str">
            <v>65/数车35</v>
          </cell>
          <cell r="T461" t="str">
            <v>70/数铣10</v>
          </cell>
          <cell r="U461" t="str">
            <v>75/数铣15</v>
          </cell>
          <cell r="V461" t="str">
            <v>80/数车35</v>
          </cell>
          <cell r="W461" t="str">
            <v>85/钳工</v>
          </cell>
          <cell r="X461" t="str">
            <v>90/成检</v>
          </cell>
        </row>
        <row r="462">
          <cell r="B462" t="str">
            <v>CB2284460-004-001</v>
          </cell>
          <cell r="D462" t="str">
            <v>A</v>
          </cell>
          <cell r="E462" t="str">
            <v>准备工时</v>
          </cell>
          <cell r="G462">
            <v>60</v>
          </cell>
          <cell r="H462">
            <v>60</v>
          </cell>
          <cell r="I462">
            <v>60</v>
          </cell>
          <cell r="J462">
            <v>60</v>
          </cell>
          <cell r="K462">
            <v>60</v>
          </cell>
          <cell r="O462">
            <v>60</v>
          </cell>
          <cell r="P462">
            <v>60</v>
          </cell>
          <cell r="Q462">
            <v>60</v>
          </cell>
          <cell r="R462">
            <v>60</v>
          </cell>
          <cell r="S462">
            <v>60</v>
          </cell>
          <cell r="T462">
            <v>60</v>
          </cell>
          <cell r="U462">
            <v>60</v>
          </cell>
          <cell r="V462">
            <v>60</v>
          </cell>
        </row>
        <row r="463">
          <cell r="B463" t="str">
            <v>CB2284460-004-001</v>
          </cell>
          <cell r="D463" t="str">
            <v>A</v>
          </cell>
          <cell r="E463" t="str">
            <v>装夹时间</v>
          </cell>
        </row>
        <row r="464">
          <cell r="B464" t="str">
            <v>CB2284460-004-001</v>
          </cell>
          <cell r="D464" t="str">
            <v>A</v>
          </cell>
          <cell r="E464" t="str">
            <v>程序时间</v>
          </cell>
          <cell r="G464">
            <v>60</v>
          </cell>
          <cell r="H464">
            <v>40</v>
          </cell>
          <cell r="I464">
            <v>30</v>
          </cell>
          <cell r="J464">
            <v>45</v>
          </cell>
          <cell r="K464">
            <v>40</v>
          </cell>
          <cell r="L464">
            <v>15</v>
          </cell>
          <cell r="O464">
            <v>40</v>
          </cell>
          <cell r="P464">
            <v>60</v>
          </cell>
          <cell r="Q464">
            <v>50</v>
          </cell>
          <cell r="R464">
            <v>25</v>
          </cell>
          <cell r="S464">
            <v>50</v>
          </cell>
          <cell r="T464">
            <v>25</v>
          </cell>
          <cell r="U464">
            <v>30</v>
          </cell>
          <cell r="V464">
            <v>50</v>
          </cell>
          <cell r="W464">
            <v>25</v>
          </cell>
        </row>
        <row r="465">
          <cell r="B465" t="str">
            <v>DD-J10B-55141-111</v>
          </cell>
          <cell r="D465" t="str">
            <v>D</v>
          </cell>
          <cell r="E465" t="str">
            <v>工序内容</v>
          </cell>
          <cell r="F465" t="str">
            <v>0/领料</v>
          </cell>
          <cell r="G465" t="str">
            <v>5/钳工</v>
          </cell>
          <cell r="H465" t="str">
            <v>10/数车30</v>
          </cell>
          <cell r="I465" t="str">
            <v>15/数车15</v>
          </cell>
          <cell r="J465" t="str">
            <v>20/数车30</v>
          </cell>
          <cell r="K465" t="str">
            <v>25/数车35</v>
          </cell>
          <cell r="L465" t="str">
            <v>30/数铣15</v>
          </cell>
          <cell r="M465" t="str">
            <v>35/钳工</v>
          </cell>
          <cell r="N465" t="str">
            <v>40/热处理</v>
          </cell>
          <cell r="O465" t="str">
            <v>45/数车10</v>
          </cell>
          <cell r="P465" t="str">
            <v>50/钳工</v>
          </cell>
          <cell r="Q465" t="str">
            <v>55/中间验</v>
          </cell>
          <cell r="R465" t="str">
            <v>60/入厂复检</v>
          </cell>
          <cell r="S465" t="str">
            <v>65/清洗</v>
          </cell>
          <cell r="T465" t="str">
            <v>70/表面处理</v>
          </cell>
          <cell r="U465" t="str">
            <v>75/入厂复检</v>
          </cell>
          <cell r="V465" t="str">
            <v>80/数车10</v>
          </cell>
          <cell r="W465" t="str">
            <v>85/数车10</v>
          </cell>
          <cell r="X465" t="str">
            <v>90/清洁</v>
          </cell>
          <cell r="Y465" t="str">
            <v>95/成检</v>
          </cell>
        </row>
        <row r="466">
          <cell r="B466" t="str">
            <v>DD-J10B-55141-111</v>
          </cell>
          <cell r="D466" t="str">
            <v>D</v>
          </cell>
          <cell r="E466" t="str">
            <v>准备工时</v>
          </cell>
          <cell r="H466">
            <v>60</v>
          </cell>
          <cell r="I466">
            <v>60</v>
          </cell>
          <cell r="J466">
            <v>60</v>
          </cell>
          <cell r="K466">
            <v>60</v>
          </cell>
          <cell r="L466">
            <v>60</v>
          </cell>
          <cell r="N466">
            <v>60</v>
          </cell>
          <cell r="T466">
            <v>30</v>
          </cell>
        </row>
        <row r="467">
          <cell r="B467" t="str">
            <v>DD-J10B-55141-111</v>
          </cell>
          <cell r="D467" t="str">
            <v>D</v>
          </cell>
          <cell r="E467" t="str">
            <v>装夹时间</v>
          </cell>
        </row>
        <row r="468">
          <cell r="B468" t="str">
            <v>DD-J10B-55141-111</v>
          </cell>
          <cell r="D468" t="str">
            <v>D</v>
          </cell>
          <cell r="E468" t="str">
            <v>程序时间</v>
          </cell>
          <cell r="G468">
            <v>10</v>
          </cell>
          <cell r="H468">
            <v>40</v>
          </cell>
          <cell r="I468">
            <v>25</v>
          </cell>
          <cell r="J468">
            <v>45</v>
          </cell>
          <cell r="K468">
            <v>50</v>
          </cell>
          <cell r="L468">
            <v>40</v>
          </cell>
          <cell r="M468">
            <v>30</v>
          </cell>
          <cell r="N468">
            <v>15</v>
          </cell>
          <cell r="O468">
            <v>10</v>
          </cell>
          <cell r="P468">
            <v>10</v>
          </cell>
          <cell r="T468">
            <v>15</v>
          </cell>
        </row>
        <row r="469">
          <cell r="B469" t="str">
            <v>CB5512300-006L003</v>
          </cell>
          <cell r="D469" t="str">
            <v>D</v>
          </cell>
          <cell r="E469" t="str">
            <v>工序内容</v>
          </cell>
          <cell r="F469" t="str">
            <v>0/领料</v>
          </cell>
          <cell r="G469" t="str">
            <v>5/数铣30</v>
          </cell>
          <cell r="H469" t="str">
            <v>10/数铣15</v>
          </cell>
          <cell r="I469" t="str">
            <v>15/钳工</v>
          </cell>
          <cell r="J469" t="str">
            <v>20/探伤</v>
          </cell>
          <cell r="K469" t="str">
            <v>25/数铣60</v>
          </cell>
          <cell r="L469" t="str">
            <v>30/数铣300</v>
          </cell>
          <cell r="M469" t="str">
            <v>35/数铣180</v>
          </cell>
          <cell r="N469" t="str">
            <v>40/数铣400</v>
          </cell>
          <cell r="O469" t="str">
            <v>45/五轴15</v>
          </cell>
          <cell r="P469" t="str">
            <v>50/数铣300</v>
          </cell>
          <cell r="Q469" t="str">
            <v>55/钳工</v>
          </cell>
          <cell r="R469" t="str">
            <v>60/清洁</v>
          </cell>
          <cell r="S469" t="str">
            <v>65/测量</v>
          </cell>
          <cell r="T469" t="str">
            <v>70/成检</v>
          </cell>
          <cell r="U469" t="str">
            <v>70/成检</v>
          </cell>
        </row>
        <row r="470">
          <cell r="B470" t="str">
            <v>CB5512300-006L003</v>
          </cell>
          <cell r="D470" t="str">
            <v>D</v>
          </cell>
          <cell r="E470" t="str">
            <v>准备工时</v>
          </cell>
          <cell r="G470">
            <v>120</v>
          </cell>
          <cell r="H470">
            <v>180</v>
          </cell>
          <cell r="K470">
            <v>120</v>
          </cell>
          <cell r="L470">
            <v>120</v>
          </cell>
          <cell r="M470">
            <v>120</v>
          </cell>
          <cell r="N470">
            <v>120</v>
          </cell>
          <cell r="O470">
            <v>150</v>
          </cell>
          <cell r="P470">
            <v>120</v>
          </cell>
        </row>
        <row r="471">
          <cell r="B471" t="str">
            <v>CB5512300-006L003</v>
          </cell>
          <cell r="D471" t="str">
            <v>D</v>
          </cell>
          <cell r="E471" t="str">
            <v>装夹时间</v>
          </cell>
          <cell r="G471">
            <v>60</v>
          </cell>
          <cell r="H471">
            <v>60</v>
          </cell>
          <cell r="K471">
            <v>60</v>
          </cell>
          <cell r="L471">
            <v>60</v>
          </cell>
          <cell r="M471">
            <v>60</v>
          </cell>
          <cell r="N471">
            <v>60</v>
          </cell>
          <cell r="O471">
            <v>75</v>
          </cell>
          <cell r="P471">
            <v>60</v>
          </cell>
        </row>
        <row r="472">
          <cell r="B472" t="str">
            <v>CB5512300-006L003</v>
          </cell>
          <cell r="D472" t="str">
            <v>D</v>
          </cell>
          <cell r="E472" t="str">
            <v>程序时间</v>
          </cell>
          <cell r="G472">
            <v>480</v>
          </cell>
          <cell r="H472">
            <v>120</v>
          </cell>
          <cell r="I472">
            <v>60</v>
          </cell>
          <cell r="K472">
            <v>240</v>
          </cell>
          <cell r="L472">
            <v>840</v>
          </cell>
          <cell r="M472">
            <v>540</v>
          </cell>
          <cell r="N472">
            <v>1200</v>
          </cell>
          <cell r="O472">
            <v>150</v>
          </cell>
          <cell r="P472">
            <v>900</v>
          </cell>
          <cell r="Q472">
            <v>300</v>
          </cell>
        </row>
        <row r="473">
          <cell r="B473" t="str">
            <v>CB5512300-006R003</v>
          </cell>
          <cell r="D473" t="str">
            <v>D</v>
          </cell>
          <cell r="E473" t="str">
            <v>工序内容</v>
          </cell>
          <cell r="F473" t="str">
            <v>0/领料</v>
          </cell>
          <cell r="G473" t="str">
            <v>5/数铣30</v>
          </cell>
          <cell r="H473" t="str">
            <v>10/数铣15</v>
          </cell>
          <cell r="I473" t="str">
            <v>15/钳工</v>
          </cell>
          <cell r="J473" t="str">
            <v>20/探伤</v>
          </cell>
          <cell r="K473" t="str">
            <v>25/数铣60</v>
          </cell>
          <cell r="L473" t="str">
            <v>30/数铣300</v>
          </cell>
          <cell r="M473" t="str">
            <v>35/数铣180</v>
          </cell>
          <cell r="N473" t="str">
            <v>40/数铣400</v>
          </cell>
          <cell r="O473" t="str">
            <v>45/数铣300</v>
          </cell>
          <cell r="P473" t="str">
            <v>50/钳工</v>
          </cell>
          <cell r="Q473" t="str">
            <v>55/清洁</v>
          </cell>
          <cell r="R473" t="str">
            <v>60/测量</v>
          </cell>
          <cell r="S473" t="str">
            <v>65/成检</v>
          </cell>
        </row>
        <row r="474">
          <cell r="B474" t="str">
            <v>CB5512300-006R003</v>
          </cell>
          <cell r="D474" t="str">
            <v>D</v>
          </cell>
          <cell r="E474" t="str">
            <v>准备工时</v>
          </cell>
          <cell r="G474">
            <v>120</v>
          </cell>
          <cell r="H474">
            <v>120</v>
          </cell>
          <cell r="K474">
            <v>120</v>
          </cell>
          <cell r="L474">
            <v>120</v>
          </cell>
          <cell r="M474">
            <v>120</v>
          </cell>
          <cell r="N474">
            <v>120</v>
          </cell>
          <cell r="O474">
            <v>120</v>
          </cell>
        </row>
        <row r="475">
          <cell r="B475" t="str">
            <v>CB5512300-006R003</v>
          </cell>
          <cell r="D475" t="str">
            <v>D</v>
          </cell>
          <cell r="E475" t="str">
            <v>装夹时间</v>
          </cell>
          <cell r="G475">
            <v>60</v>
          </cell>
          <cell r="H475">
            <v>60</v>
          </cell>
          <cell r="K475">
            <v>60</v>
          </cell>
          <cell r="L475">
            <v>60</v>
          </cell>
          <cell r="M475">
            <v>60</v>
          </cell>
          <cell r="N475">
            <v>60</v>
          </cell>
          <cell r="O475">
            <v>60</v>
          </cell>
        </row>
        <row r="476">
          <cell r="B476" t="str">
            <v>CB5512300-006R003</v>
          </cell>
          <cell r="D476" t="str">
            <v>D</v>
          </cell>
          <cell r="E476" t="str">
            <v>程序时间</v>
          </cell>
          <cell r="G476">
            <v>480</v>
          </cell>
          <cell r="H476">
            <v>120</v>
          </cell>
          <cell r="I476">
            <v>60</v>
          </cell>
          <cell r="K476">
            <v>280</v>
          </cell>
          <cell r="L476">
            <v>900</v>
          </cell>
          <cell r="M476">
            <v>540</v>
          </cell>
          <cell r="N476">
            <v>1200</v>
          </cell>
          <cell r="O476">
            <v>900</v>
          </cell>
          <cell r="P476">
            <v>300</v>
          </cell>
        </row>
        <row r="477">
          <cell r="B477" t="str">
            <v>DD-J10B-65000-1901G2</v>
          </cell>
          <cell r="D477" t="str">
            <v>B</v>
          </cell>
          <cell r="E477" t="str">
            <v>工序内容</v>
          </cell>
          <cell r="F477" t="str">
            <v>0/领料</v>
          </cell>
          <cell r="G477" t="str">
            <v>5/空</v>
          </cell>
          <cell r="H477" t="str">
            <v>10/数铣</v>
          </cell>
          <cell r="I477" t="str">
            <v>15/线切割</v>
          </cell>
          <cell r="J477" t="str">
            <v>20/数铣</v>
          </cell>
          <cell r="K477" t="str">
            <v>25/数铣</v>
          </cell>
          <cell r="L477" t="str">
            <v>30/数铣</v>
          </cell>
          <cell r="M477" t="str">
            <v>35/数铣</v>
          </cell>
          <cell r="N477" t="str">
            <v>40/钳工</v>
          </cell>
          <cell r="O477" t="str">
            <v>45/分光</v>
          </cell>
          <cell r="P477" t="str">
            <v>50/硬度</v>
          </cell>
          <cell r="Q477" t="str">
            <v>55/钳工</v>
          </cell>
          <cell r="R477" t="str">
            <v>60/清洁</v>
          </cell>
          <cell r="S477" t="str">
            <v>65/成检</v>
          </cell>
        </row>
        <row r="478">
          <cell r="B478" t="str">
            <v>DD-J10B-65000-1901G2</v>
          </cell>
          <cell r="D478" t="str">
            <v>B</v>
          </cell>
          <cell r="E478" t="str">
            <v>准备工时</v>
          </cell>
          <cell r="H478">
            <v>60</v>
          </cell>
          <cell r="K478">
            <v>60</v>
          </cell>
          <cell r="L478">
            <v>60</v>
          </cell>
          <cell r="M478">
            <v>60</v>
          </cell>
        </row>
        <row r="479">
          <cell r="B479" t="str">
            <v>DD-J10B-65000-1901G2</v>
          </cell>
          <cell r="D479" t="str">
            <v>B</v>
          </cell>
          <cell r="E479" t="str">
            <v>装夹时间</v>
          </cell>
        </row>
        <row r="480">
          <cell r="B480" t="str">
            <v>DD-J10B-65000-1901G2</v>
          </cell>
          <cell r="D480" t="str">
            <v>B</v>
          </cell>
          <cell r="E480" t="str">
            <v>程序时间</v>
          </cell>
          <cell r="H480">
            <v>30</v>
          </cell>
          <cell r="J480">
            <v>20</v>
          </cell>
          <cell r="K480">
            <v>65</v>
          </cell>
          <cell r="L480">
            <v>160</v>
          </cell>
          <cell r="M480">
            <v>150</v>
          </cell>
          <cell r="N480">
            <v>120</v>
          </cell>
          <cell r="Q480">
            <v>10</v>
          </cell>
        </row>
        <row r="481">
          <cell r="B481" t="str">
            <v>Y20-5312100302-001</v>
          </cell>
          <cell r="D481" t="str">
            <v>B</v>
          </cell>
          <cell r="E481" t="str">
            <v>工序内容</v>
          </cell>
          <cell r="F481" t="str">
            <v>0/领料</v>
          </cell>
          <cell r="G481" t="str">
            <v>05/下料</v>
          </cell>
          <cell r="H481" t="str">
            <v>10/数铣</v>
          </cell>
          <cell r="I481" t="str">
            <v>15/数铣</v>
          </cell>
          <cell r="J481" t="str">
            <v>20/钳工</v>
          </cell>
          <cell r="K481" t="str">
            <v>25/清洁</v>
          </cell>
          <cell r="L481" t="str">
            <v>30/成检</v>
          </cell>
        </row>
        <row r="482">
          <cell r="B482" t="str">
            <v>Y20-5312100302-001</v>
          </cell>
          <cell r="D482" t="str">
            <v>B</v>
          </cell>
          <cell r="E482" t="str">
            <v>准备工时</v>
          </cell>
          <cell r="H482">
            <v>60</v>
          </cell>
          <cell r="I482">
            <v>60</v>
          </cell>
        </row>
        <row r="483">
          <cell r="B483" t="str">
            <v>Y20-5312100302-001</v>
          </cell>
          <cell r="D483" t="str">
            <v>B</v>
          </cell>
          <cell r="E483" t="str">
            <v>装夹时间</v>
          </cell>
        </row>
        <row r="484">
          <cell r="B484" t="str">
            <v>Y20-5312100302-001</v>
          </cell>
          <cell r="D484" t="str">
            <v>B</v>
          </cell>
          <cell r="E484" t="str">
            <v>程序时间</v>
          </cell>
          <cell r="H484">
            <v>25</v>
          </cell>
          <cell r="I484">
            <v>25</v>
          </cell>
          <cell r="J484">
            <v>25</v>
          </cell>
        </row>
        <row r="485">
          <cell r="B485" t="str">
            <v>Y20-5313100202-001</v>
          </cell>
          <cell r="D485" t="str">
            <v>B</v>
          </cell>
          <cell r="E485" t="str">
            <v>工序内容</v>
          </cell>
          <cell r="F485" t="str">
            <v>0/领料</v>
          </cell>
          <cell r="G485" t="str">
            <v>05/下料</v>
          </cell>
          <cell r="H485" t="str">
            <v>10/数铣</v>
          </cell>
          <cell r="I485" t="str">
            <v>15/数铣</v>
          </cell>
          <cell r="J485" t="str">
            <v>20/钳工</v>
          </cell>
          <cell r="K485" t="str">
            <v>25/清洁</v>
          </cell>
          <cell r="L485" t="str">
            <v>30/成检</v>
          </cell>
        </row>
        <row r="486">
          <cell r="B486" t="str">
            <v>Y20-5313100202-001</v>
          </cell>
          <cell r="D486" t="str">
            <v>B</v>
          </cell>
          <cell r="E486" t="str">
            <v>准备工时</v>
          </cell>
          <cell r="H486">
            <v>60</v>
          </cell>
          <cell r="I486">
            <v>60</v>
          </cell>
        </row>
        <row r="487">
          <cell r="B487" t="str">
            <v>Y20-5313100202-001</v>
          </cell>
          <cell r="D487" t="str">
            <v>B</v>
          </cell>
          <cell r="E487" t="str">
            <v>装夹时间</v>
          </cell>
        </row>
        <row r="488">
          <cell r="B488" t="str">
            <v>Y20-5313100202-001</v>
          </cell>
          <cell r="D488" t="str">
            <v>B</v>
          </cell>
          <cell r="E488" t="str">
            <v>程序时间</v>
          </cell>
          <cell r="H488">
            <v>25</v>
          </cell>
          <cell r="I488">
            <v>25</v>
          </cell>
          <cell r="J488">
            <v>25</v>
          </cell>
        </row>
        <row r="489">
          <cell r="B489" t="str">
            <v>Y20-5313100203-001</v>
          </cell>
          <cell r="D489" t="str">
            <v>B</v>
          </cell>
          <cell r="E489" t="str">
            <v>工序内容</v>
          </cell>
          <cell r="F489" t="str">
            <v>0/领料</v>
          </cell>
          <cell r="G489" t="str">
            <v>05/下料</v>
          </cell>
          <cell r="H489" t="str">
            <v>10/数铣</v>
          </cell>
          <cell r="I489" t="str">
            <v>15/数铣</v>
          </cell>
          <cell r="J489" t="str">
            <v>20/钳工</v>
          </cell>
          <cell r="K489" t="str">
            <v>25/清洁</v>
          </cell>
          <cell r="L489" t="str">
            <v>30/成检</v>
          </cell>
        </row>
        <row r="490">
          <cell r="B490" t="str">
            <v>Y20-5313100203-001</v>
          </cell>
          <cell r="D490" t="str">
            <v>B</v>
          </cell>
          <cell r="E490" t="str">
            <v>准备工时</v>
          </cell>
          <cell r="H490">
            <v>60</v>
          </cell>
          <cell r="I490">
            <v>60</v>
          </cell>
        </row>
        <row r="491">
          <cell r="B491" t="str">
            <v>Y20-5313100203-001</v>
          </cell>
          <cell r="D491" t="str">
            <v>B</v>
          </cell>
          <cell r="E491" t="str">
            <v>装夹时间</v>
          </cell>
        </row>
        <row r="492">
          <cell r="B492" t="str">
            <v>Y20-5313100203-001</v>
          </cell>
          <cell r="D492" t="str">
            <v>B</v>
          </cell>
          <cell r="E492" t="str">
            <v>程序时间</v>
          </cell>
          <cell r="H492">
            <v>25</v>
          </cell>
          <cell r="I492">
            <v>25</v>
          </cell>
          <cell r="J492">
            <v>25</v>
          </cell>
        </row>
        <row r="493">
          <cell r="B493" t="str">
            <v>Y20-5312100303-001</v>
          </cell>
          <cell r="D493" t="str">
            <v>B</v>
          </cell>
          <cell r="E493" t="str">
            <v>工序内容</v>
          </cell>
          <cell r="F493" t="str">
            <v>0/领料</v>
          </cell>
          <cell r="G493" t="str">
            <v>05/下料</v>
          </cell>
          <cell r="H493" t="str">
            <v>10/数铣10</v>
          </cell>
          <cell r="I493" t="str">
            <v>15/数铣10</v>
          </cell>
          <cell r="J493" t="str">
            <v>20/钳工</v>
          </cell>
          <cell r="K493" t="str">
            <v>25/清洁</v>
          </cell>
          <cell r="L493" t="str">
            <v>30/成检</v>
          </cell>
        </row>
        <row r="494">
          <cell r="B494" t="str">
            <v>Y20-5312100303-001</v>
          </cell>
          <cell r="D494" t="str">
            <v>B</v>
          </cell>
          <cell r="E494" t="str">
            <v>准备工时</v>
          </cell>
          <cell r="H494">
            <v>60</v>
          </cell>
          <cell r="I494">
            <v>60</v>
          </cell>
        </row>
        <row r="495">
          <cell r="B495" t="str">
            <v>Y20-5312100303-001</v>
          </cell>
          <cell r="D495" t="str">
            <v>B</v>
          </cell>
          <cell r="E495" t="str">
            <v>装夹时间</v>
          </cell>
        </row>
        <row r="496">
          <cell r="B496" t="str">
            <v>Y20-5312100303-001</v>
          </cell>
          <cell r="D496" t="str">
            <v>B</v>
          </cell>
          <cell r="E496" t="str">
            <v>程序时间</v>
          </cell>
          <cell r="H496">
            <v>25</v>
          </cell>
          <cell r="I496">
            <v>25</v>
          </cell>
          <cell r="J496">
            <v>25</v>
          </cell>
        </row>
        <row r="497">
          <cell r="B497" t="str">
            <v>CB2295170-001-002</v>
          </cell>
          <cell r="D497" t="str">
            <v>B</v>
          </cell>
          <cell r="E497" t="str">
            <v>工序内容</v>
          </cell>
          <cell r="F497" t="str">
            <v>0/领料</v>
          </cell>
          <cell r="G497" t="str">
            <v>05/数铣</v>
          </cell>
          <cell r="H497" t="str">
            <v>10/数铣30</v>
          </cell>
          <cell r="I497" t="str">
            <v>15/数铣70</v>
          </cell>
          <cell r="J497" t="str">
            <v>20/数铣100</v>
          </cell>
          <cell r="K497" t="str">
            <v>25/测量</v>
          </cell>
          <cell r="L497" t="str">
            <v>30/钳工</v>
          </cell>
          <cell r="M497" t="str">
            <v>35/钳工去分光</v>
          </cell>
          <cell r="N497" t="str">
            <v>40/清洁</v>
          </cell>
          <cell r="O497" t="str">
            <v>45/成检</v>
          </cell>
        </row>
        <row r="498">
          <cell r="B498" t="str">
            <v>CB2295170-001-002</v>
          </cell>
          <cell r="D498" t="str">
            <v>B</v>
          </cell>
          <cell r="E498" t="str">
            <v>准备工时</v>
          </cell>
          <cell r="G498">
            <v>60</v>
          </cell>
          <cell r="H498">
            <v>60</v>
          </cell>
          <cell r="I498">
            <v>60</v>
          </cell>
          <cell r="J498">
            <v>60</v>
          </cell>
        </row>
        <row r="499">
          <cell r="B499" t="str">
            <v>CB2295170-001-002</v>
          </cell>
          <cell r="D499" t="str">
            <v>B</v>
          </cell>
          <cell r="E499" t="str">
            <v>装夹时间</v>
          </cell>
        </row>
        <row r="500">
          <cell r="B500" t="str">
            <v>CB2295170-001-002</v>
          </cell>
          <cell r="D500" t="str">
            <v>B</v>
          </cell>
          <cell r="E500" t="str">
            <v>程序时间</v>
          </cell>
          <cell r="G500">
            <v>50</v>
          </cell>
          <cell r="H500">
            <v>55</v>
          </cell>
          <cell r="I500">
            <v>100</v>
          </cell>
          <cell r="J500">
            <v>140</v>
          </cell>
          <cell r="L500">
            <v>60</v>
          </cell>
          <cell r="M500">
            <v>10</v>
          </cell>
        </row>
        <row r="501">
          <cell r="B501" t="str">
            <v>CB2294440-005-001</v>
          </cell>
          <cell r="D501" t="str">
            <v>工艺版次</v>
          </cell>
          <cell r="E501" t="str">
            <v>工序内容</v>
          </cell>
          <cell r="F501" t="str">
            <v>0/领料</v>
          </cell>
          <cell r="G501" t="str">
            <v>5/数铣</v>
          </cell>
          <cell r="H501" t="str">
            <v>10/数铣20</v>
          </cell>
          <cell r="I501" t="str">
            <v>15/数铣50</v>
          </cell>
          <cell r="J501" t="str">
            <v>20/钳工</v>
          </cell>
          <cell r="K501" t="str">
            <v>25/铣试块</v>
          </cell>
          <cell r="L501" t="str">
            <v>30/硬度</v>
          </cell>
          <cell r="M501" t="str">
            <v>35/分光</v>
          </cell>
          <cell r="N501" t="str">
            <v>40/钳工</v>
          </cell>
          <cell r="O501" t="str">
            <v>45/清洁</v>
          </cell>
          <cell r="P501" t="str">
            <v>55/成检</v>
          </cell>
        </row>
        <row r="502">
          <cell r="B502" t="str">
            <v>CB2294440-005-001</v>
          </cell>
          <cell r="D502" t="str">
            <v>E</v>
          </cell>
          <cell r="E502" t="str">
            <v>准备工时</v>
          </cell>
          <cell r="G502">
            <v>60</v>
          </cell>
          <cell r="H502">
            <v>90</v>
          </cell>
          <cell r="I502">
            <v>90</v>
          </cell>
        </row>
        <row r="503">
          <cell r="B503" t="str">
            <v>CB2294440-005-001</v>
          </cell>
          <cell r="D503" t="str">
            <v>E</v>
          </cell>
          <cell r="E503" t="str">
            <v>装夹时间</v>
          </cell>
        </row>
        <row r="504">
          <cell r="B504" t="str">
            <v>CB2294440-005-001</v>
          </cell>
          <cell r="D504" t="str">
            <v>E</v>
          </cell>
          <cell r="E504" t="str">
            <v>程序时间</v>
          </cell>
          <cell r="G504">
            <v>20</v>
          </cell>
          <cell r="H504">
            <v>30</v>
          </cell>
          <cell r="I504">
            <v>80</v>
          </cell>
          <cell r="J504">
            <v>25</v>
          </cell>
          <cell r="K504">
            <v>10</v>
          </cell>
          <cell r="N504">
            <v>5</v>
          </cell>
        </row>
        <row r="505">
          <cell r="B505" t="str">
            <v>DD-J10-06031-302</v>
          </cell>
          <cell r="D505" t="str">
            <v>B</v>
          </cell>
          <cell r="E505" t="str">
            <v>工序内容</v>
          </cell>
          <cell r="F505" t="str">
            <v>0/领料</v>
          </cell>
          <cell r="G505" t="str">
            <v>5/下料</v>
          </cell>
          <cell r="H505" t="str">
            <v>10/数铣25</v>
          </cell>
          <cell r="I505" t="str">
            <v>15/装夹</v>
          </cell>
          <cell r="J505" t="str">
            <v>20/数铣20</v>
          </cell>
          <cell r="K505" t="str">
            <v>25/数铣10</v>
          </cell>
          <cell r="L505" t="str">
            <v>30/数铣10</v>
          </cell>
          <cell r="M505" t="str">
            <v>35/数铣25</v>
          </cell>
          <cell r="N505" t="str">
            <v>40/钳工</v>
          </cell>
          <cell r="O505" t="str">
            <v>45/分光</v>
          </cell>
          <cell r="P505" t="str">
            <v>50/装夹</v>
          </cell>
          <cell r="Q505" t="str">
            <v>55/数铣5</v>
          </cell>
          <cell r="R505" t="str">
            <v>60/数铣5</v>
          </cell>
          <cell r="S505" t="str">
            <v>65/数铣25</v>
          </cell>
          <cell r="T505" t="str">
            <v>70/数铣10</v>
          </cell>
          <cell r="U505" t="str">
            <v>75/钳工</v>
          </cell>
          <cell r="V505" t="str">
            <v>80/热处理</v>
          </cell>
          <cell r="W505" t="str">
            <v>85/钳工</v>
          </cell>
          <cell r="X505" t="str">
            <v>90/数铣15</v>
          </cell>
          <cell r="Y505" t="str">
            <v>95/钳工</v>
          </cell>
          <cell r="Z505" t="str">
            <v>100/清洗</v>
          </cell>
          <cell r="AA505" t="str">
            <v>105/成检</v>
          </cell>
        </row>
        <row r="506">
          <cell r="B506" t="str">
            <v>DD-J10-06031-302</v>
          </cell>
          <cell r="D506" t="str">
            <v>B</v>
          </cell>
          <cell r="E506" t="str">
            <v>准备工时</v>
          </cell>
          <cell r="H506">
            <v>90</v>
          </cell>
          <cell r="J506">
            <v>60</v>
          </cell>
          <cell r="K506">
            <v>60</v>
          </cell>
          <cell r="L506" t="str">
            <v>60</v>
          </cell>
          <cell r="M506" t="str">
            <v>60</v>
          </cell>
          <cell r="Q506">
            <v>60</v>
          </cell>
          <cell r="R506">
            <v>60</v>
          </cell>
          <cell r="S506">
            <v>60</v>
          </cell>
          <cell r="T506">
            <v>60</v>
          </cell>
          <cell r="X506">
            <v>60</v>
          </cell>
        </row>
        <row r="507">
          <cell r="B507" t="str">
            <v>DD-J10-06031-302</v>
          </cell>
          <cell r="D507" t="str">
            <v>B</v>
          </cell>
          <cell r="E507" t="str">
            <v>装夹时间</v>
          </cell>
        </row>
        <row r="508">
          <cell r="B508" t="str">
            <v>DD-J10-06031-302</v>
          </cell>
          <cell r="D508" t="str">
            <v>B</v>
          </cell>
          <cell r="E508" t="str">
            <v>程序时间</v>
          </cell>
          <cell r="G508">
            <v>10</v>
          </cell>
          <cell r="H508">
            <v>45</v>
          </cell>
          <cell r="I508">
            <v>10</v>
          </cell>
          <cell r="J508">
            <v>30</v>
          </cell>
          <cell r="K508">
            <v>20</v>
          </cell>
          <cell r="L508" t="str">
            <v>20</v>
          </cell>
          <cell r="M508" t="str">
            <v>45</v>
          </cell>
          <cell r="N508" t="str">
            <v>30</v>
          </cell>
          <cell r="P508">
            <v>10</v>
          </cell>
          <cell r="Q508">
            <v>15</v>
          </cell>
          <cell r="R508">
            <v>15</v>
          </cell>
          <cell r="S508">
            <v>45</v>
          </cell>
          <cell r="T508">
            <v>30</v>
          </cell>
          <cell r="U508">
            <v>30</v>
          </cell>
          <cell r="W508">
            <v>10</v>
          </cell>
          <cell r="X508">
            <v>60</v>
          </cell>
          <cell r="Y508">
            <v>20</v>
          </cell>
        </row>
        <row r="509">
          <cell r="B509" t="str">
            <v>Y20-5316100415-001</v>
          </cell>
          <cell r="D509" t="str">
            <v>C</v>
          </cell>
          <cell r="E509" t="str">
            <v>工序内容</v>
          </cell>
          <cell r="F509" t="str">
            <v>0/领料</v>
          </cell>
          <cell r="G509" t="str">
            <v>05/下料</v>
          </cell>
          <cell r="H509" t="str">
            <v>10/数铣</v>
          </cell>
          <cell r="I509" t="str">
            <v>15/数铣15</v>
          </cell>
          <cell r="J509" t="str">
            <v>20/数铣28</v>
          </cell>
          <cell r="K509" t="str">
            <v>25/数铣35</v>
          </cell>
          <cell r="L509" t="str">
            <v>30/钳工</v>
          </cell>
          <cell r="M509" t="str">
            <v>35/测量</v>
          </cell>
          <cell r="N509" t="str">
            <v>40/清洁</v>
          </cell>
          <cell r="O509" t="str">
            <v>45/检验</v>
          </cell>
          <cell r="P509" t="str">
            <v>50/分光</v>
          </cell>
          <cell r="Q509" t="str">
            <v>55/钳工</v>
          </cell>
          <cell r="R509" t="str">
            <v>60/清洁</v>
          </cell>
          <cell r="S509" t="str">
            <v>65/成检</v>
          </cell>
        </row>
        <row r="510">
          <cell r="B510" t="str">
            <v>Y20-5316100415-001</v>
          </cell>
          <cell r="D510" t="str">
            <v>C</v>
          </cell>
          <cell r="E510" t="str">
            <v>准备工时</v>
          </cell>
          <cell r="H510">
            <v>60</v>
          </cell>
          <cell r="I510">
            <v>60</v>
          </cell>
          <cell r="J510">
            <v>90</v>
          </cell>
          <cell r="K510">
            <v>90</v>
          </cell>
        </row>
        <row r="511">
          <cell r="B511" t="str">
            <v>Y20-5316100415-001</v>
          </cell>
          <cell r="D511" t="str">
            <v>C</v>
          </cell>
          <cell r="E511" t="str">
            <v>装夹时间</v>
          </cell>
        </row>
        <row r="512">
          <cell r="B512" t="str">
            <v>Y20-5316100415-001</v>
          </cell>
          <cell r="D512" t="str">
            <v>C</v>
          </cell>
          <cell r="E512" t="str">
            <v>程序时间</v>
          </cell>
          <cell r="H512">
            <v>30</v>
          </cell>
          <cell r="I512">
            <v>25</v>
          </cell>
          <cell r="J512">
            <v>30</v>
          </cell>
          <cell r="K512">
            <v>35</v>
          </cell>
          <cell r="L512" t="str">
            <v>35</v>
          </cell>
          <cell r="Q512">
            <v>5</v>
          </cell>
        </row>
        <row r="513">
          <cell r="B513" t="str">
            <v>图号</v>
          </cell>
        </row>
        <row r="514">
          <cell r="B514" t="str">
            <v>Y20-5316100415-002</v>
          </cell>
          <cell r="D514" t="str">
            <v>C</v>
          </cell>
          <cell r="E514" t="str">
            <v>工序内容</v>
          </cell>
          <cell r="F514" t="str">
            <v>0/领料</v>
          </cell>
          <cell r="G514" t="str">
            <v>05/下料</v>
          </cell>
          <cell r="H514" t="str">
            <v>10/数铣</v>
          </cell>
          <cell r="I514" t="str">
            <v>15/数铣15</v>
          </cell>
          <cell r="J514" t="str">
            <v>20/数铣28</v>
          </cell>
          <cell r="K514" t="str">
            <v>25/数铣35</v>
          </cell>
          <cell r="L514" t="str">
            <v>30/钳工</v>
          </cell>
          <cell r="M514" t="str">
            <v>35/测量</v>
          </cell>
          <cell r="N514" t="str">
            <v>40/清洁</v>
          </cell>
          <cell r="O514" t="str">
            <v>45/检验</v>
          </cell>
          <cell r="P514" t="str">
            <v>50/分光</v>
          </cell>
          <cell r="Q514" t="str">
            <v>55/钳工</v>
          </cell>
          <cell r="R514" t="str">
            <v>60/清洁</v>
          </cell>
          <cell r="S514" t="str">
            <v>65/成检</v>
          </cell>
        </row>
        <row r="515">
          <cell r="B515" t="str">
            <v>Y20-5316100415-002</v>
          </cell>
          <cell r="D515" t="str">
            <v>C</v>
          </cell>
          <cell r="E515" t="str">
            <v>准备工时</v>
          </cell>
          <cell r="H515">
            <v>60</v>
          </cell>
          <cell r="I515">
            <v>60</v>
          </cell>
          <cell r="J515">
            <v>90</v>
          </cell>
          <cell r="K515">
            <v>90</v>
          </cell>
        </row>
        <row r="516">
          <cell r="B516" t="str">
            <v>Y20-5316100415-002</v>
          </cell>
          <cell r="D516" t="str">
            <v>C</v>
          </cell>
          <cell r="E516" t="str">
            <v>装夹时间</v>
          </cell>
        </row>
        <row r="517">
          <cell r="B517" t="str">
            <v>Y20-5316100415-002</v>
          </cell>
          <cell r="D517" t="str">
            <v>C</v>
          </cell>
          <cell r="E517" t="str">
            <v>程序时间</v>
          </cell>
          <cell r="H517">
            <v>30</v>
          </cell>
          <cell r="I517">
            <v>25</v>
          </cell>
          <cell r="J517">
            <v>30</v>
          </cell>
          <cell r="K517">
            <v>35</v>
          </cell>
          <cell r="L517" t="str">
            <v>35</v>
          </cell>
          <cell r="Q517">
            <v>5</v>
          </cell>
        </row>
        <row r="518">
          <cell r="B518" t="str">
            <v>图号</v>
          </cell>
        </row>
        <row r="519">
          <cell r="B519" t="str">
            <v>DD-J10-55222-3106</v>
          </cell>
          <cell r="D519" t="str">
            <v>A</v>
          </cell>
          <cell r="E519" t="str">
            <v>工序内容</v>
          </cell>
          <cell r="F519" t="str">
            <v>0/领料</v>
          </cell>
          <cell r="G519" t="str">
            <v>05/钳工</v>
          </cell>
          <cell r="H519" t="str">
            <v>10/数车15</v>
          </cell>
          <cell r="I519" t="str">
            <v>15/数车5</v>
          </cell>
          <cell r="J519" t="str">
            <v>20/数车15</v>
          </cell>
          <cell r="K519" t="str">
            <v>25/热处理</v>
          </cell>
          <cell r="L519" t="str">
            <v>30/数车20</v>
          </cell>
          <cell r="M519" t="str">
            <v>35/数车20</v>
          </cell>
          <cell r="N519" t="str">
            <v>40/钳工</v>
          </cell>
          <cell r="O519" t="str">
            <v>45中检</v>
          </cell>
          <cell r="P519" t="str">
            <v>50复检</v>
          </cell>
          <cell r="Q519" t="str">
            <v>55/表处</v>
          </cell>
          <cell r="R519" t="str">
            <v>60/表处</v>
          </cell>
          <cell r="S519" t="str">
            <v>65/数车10</v>
          </cell>
          <cell r="T519" t="str">
            <v>70/数车10</v>
          </cell>
          <cell r="U519" t="str">
            <v>75/清洁</v>
          </cell>
          <cell r="V519" t="str">
            <v>80/成检</v>
          </cell>
        </row>
        <row r="520">
          <cell r="B520" t="str">
            <v>DD-J10-55222-3106</v>
          </cell>
          <cell r="D520" t="str">
            <v>A</v>
          </cell>
          <cell r="E520" t="str">
            <v>准备工时</v>
          </cell>
          <cell r="H520">
            <v>120</v>
          </cell>
          <cell r="I520">
            <v>120</v>
          </cell>
          <cell r="J520">
            <v>120</v>
          </cell>
          <cell r="L520">
            <v>180</v>
          </cell>
          <cell r="M520">
            <v>180</v>
          </cell>
          <cell r="S520">
            <v>120</v>
          </cell>
          <cell r="T520">
            <v>120</v>
          </cell>
        </row>
        <row r="521">
          <cell r="B521" t="str">
            <v>DD-J10-55222-3106</v>
          </cell>
          <cell r="D521" t="str">
            <v>A</v>
          </cell>
          <cell r="E521" t="str">
            <v>装夹时间</v>
          </cell>
        </row>
        <row r="522">
          <cell r="B522" t="str">
            <v>DD-J10-55222-3106</v>
          </cell>
          <cell r="D522" t="str">
            <v>A</v>
          </cell>
          <cell r="E522" t="str">
            <v>程序时间</v>
          </cell>
          <cell r="G522">
            <v>15</v>
          </cell>
          <cell r="H522">
            <v>30</v>
          </cell>
          <cell r="I522">
            <v>15</v>
          </cell>
          <cell r="J522">
            <v>20</v>
          </cell>
          <cell r="L522">
            <v>35</v>
          </cell>
          <cell r="M522">
            <v>35</v>
          </cell>
          <cell r="N522">
            <v>30</v>
          </cell>
          <cell r="S522">
            <v>20</v>
          </cell>
          <cell r="T522">
            <v>20</v>
          </cell>
        </row>
        <row r="523">
          <cell r="B523" t="str">
            <v>图号</v>
          </cell>
        </row>
        <row r="524">
          <cell r="B524" t="str">
            <v>CB2284460-007-001</v>
          </cell>
          <cell r="D524" t="str">
            <v>B</v>
          </cell>
          <cell r="E524" t="str">
            <v>工序内容</v>
          </cell>
          <cell r="F524" t="str">
            <v>0/领料</v>
          </cell>
          <cell r="G524" t="str">
            <v>05/数铣</v>
          </cell>
          <cell r="H524" t="str">
            <v>10/数铣15</v>
          </cell>
          <cell r="I524" t="str">
            <v>15/数铣15</v>
          </cell>
          <cell r="J524" t="str">
            <v>20/数车15</v>
          </cell>
          <cell r="K524" t="str">
            <v>25/数车20</v>
          </cell>
          <cell r="L524" t="str">
            <v>30/数车20</v>
          </cell>
          <cell r="M524" t="str">
            <v>35/分光</v>
          </cell>
          <cell r="N524" t="str">
            <v>40/硬度</v>
          </cell>
          <cell r="O524" t="str">
            <v>45/数车20</v>
          </cell>
          <cell r="P524" t="str">
            <v>50/数车5</v>
          </cell>
          <cell r="Q524" t="str">
            <v>55/数车20</v>
          </cell>
          <cell r="R524" t="str">
            <v>60/数车5</v>
          </cell>
          <cell r="S524" t="str">
            <v>65/钳工</v>
          </cell>
          <cell r="T524" t="str">
            <v>70/清洁</v>
          </cell>
          <cell r="U524" t="str">
            <v>75/成检</v>
          </cell>
        </row>
        <row r="525">
          <cell r="B525" t="str">
            <v>CB2284460-007-001</v>
          </cell>
          <cell r="D525" t="str">
            <v>B</v>
          </cell>
          <cell r="E525" t="str">
            <v>准备工时</v>
          </cell>
          <cell r="G525">
            <v>60</v>
          </cell>
          <cell r="H525">
            <v>60</v>
          </cell>
          <cell r="I525">
            <v>60</v>
          </cell>
          <cell r="J525">
            <v>60</v>
          </cell>
          <cell r="K525">
            <v>60</v>
          </cell>
          <cell r="L525">
            <v>60</v>
          </cell>
          <cell r="O525">
            <v>60</v>
          </cell>
          <cell r="P525">
            <v>60</v>
          </cell>
          <cell r="Q525">
            <v>60</v>
          </cell>
          <cell r="R525">
            <v>60</v>
          </cell>
        </row>
        <row r="526">
          <cell r="B526" t="str">
            <v>CB2284460-007-001</v>
          </cell>
          <cell r="D526" t="str">
            <v>B</v>
          </cell>
          <cell r="E526" t="str">
            <v>装夹时间</v>
          </cell>
        </row>
        <row r="527">
          <cell r="B527" t="str">
            <v>CB2284460-007-001</v>
          </cell>
          <cell r="D527" t="str">
            <v>B</v>
          </cell>
          <cell r="E527" t="str">
            <v>程序时间</v>
          </cell>
          <cell r="G527">
            <v>60</v>
          </cell>
          <cell r="H527">
            <v>30</v>
          </cell>
          <cell r="I527">
            <v>30</v>
          </cell>
          <cell r="J527">
            <v>25</v>
          </cell>
          <cell r="K527">
            <v>35</v>
          </cell>
          <cell r="L527">
            <v>35</v>
          </cell>
          <cell r="O527">
            <v>35</v>
          </cell>
          <cell r="P527">
            <v>15</v>
          </cell>
          <cell r="Q527">
            <v>35</v>
          </cell>
          <cell r="R527">
            <v>15</v>
          </cell>
          <cell r="S527">
            <v>35</v>
          </cell>
        </row>
        <row r="528">
          <cell r="B528" t="str">
            <v>图号</v>
          </cell>
        </row>
        <row r="529">
          <cell r="B529" t="str">
            <v>DD-J10-55025-704</v>
          </cell>
          <cell r="D529" t="str">
            <v>C</v>
          </cell>
          <cell r="E529" t="str">
            <v>工序内容</v>
          </cell>
          <cell r="G529" t="str">
            <v>5/数车</v>
          </cell>
          <cell r="H529" t="str">
            <v>10/数车</v>
          </cell>
          <cell r="I529" t="str">
            <v>15/数车</v>
          </cell>
          <cell r="J529" t="str">
            <v>20/数车</v>
          </cell>
          <cell r="K529" t="str">
            <v>25/钳工</v>
          </cell>
        </row>
        <row r="530">
          <cell r="B530" t="str">
            <v>DD-J10-55025-704</v>
          </cell>
          <cell r="D530" t="str">
            <v>C</v>
          </cell>
          <cell r="E530" t="str">
            <v>准备工时</v>
          </cell>
          <cell r="G530">
            <v>90</v>
          </cell>
          <cell r="H530">
            <v>90</v>
          </cell>
          <cell r="I530">
            <v>90</v>
          </cell>
          <cell r="J530">
            <v>60</v>
          </cell>
        </row>
        <row r="531">
          <cell r="B531" t="str">
            <v>DD-J10-55025-704</v>
          </cell>
          <cell r="D531" t="str">
            <v>C</v>
          </cell>
          <cell r="E531" t="str">
            <v>装夹时间</v>
          </cell>
        </row>
        <row r="532">
          <cell r="B532" t="str">
            <v>DD-J10-55025-704</v>
          </cell>
          <cell r="D532" t="str">
            <v>C</v>
          </cell>
          <cell r="E532" t="str">
            <v>程序时间</v>
          </cell>
          <cell r="G532">
            <v>25</v>
          </cell>
          <cell r="H532">
            <v>6</v>
          </cell>
          <cell r="I532">
            <v>20</v>
          </cell>
          <cell r="J532">
            <v>6</v>
          </cell>
          <cell r="K532">
            <v>30</v>
          </cell>
        </row>
        <row r="533">
          <cell r="B533" t="str">
            <v>图号</v>
          </cell>
        </row>
        <row r="534">
          <cell r="B534" t="str">
            <v>DD-J10-25002-1-Y</v>
          </cell>
          <cell r="D534" t="str">
            <v>C</v>
          </cell>
          <cell r="E534" t="str">
            <v>工序内容</v>
          </cell>
          <cell r="F534" t="str">
            <v>0/领料</v>
          </cell>
          <cell r="G534" t="str">
            <v>5/数铣</v>
          </cell>
          <cell r="H534" t="str">
            <v>10/数铣25</v>
          </cell>
          <cell r="I534" t="str">
            <v>15/数铣340</v>
          </cell>
          <cell r="J534" t="str">
            <v>20/数铣330</v>
          </cell>
          <cell r="K534" t="str">
            <v>25/测量</v>
          </cell>
          <cell r="L534" t="str">
            <v>30/钳工</v>
          </cell>
          <cell r="M534" t="str">
            <v>35/清洁</v>
          </cell>
          <cell r="N534" t="str">
            <v>40/成检</v>
          </cell>
        </row>
        <row r="535">
          <cell r="B535" t="str">
            <v>DD-J10-25002-1-Y</v>
          </cell>
          <cell r="D535" t="str">
            <v>C</v>
          </cell>
          <cell r="E535" t="str">
            <v>准备工时</v>
          </cell>
          <cell r="G535">
            <v>60</v>
          </cell>
          <cell r="H535">
            <v>90</v>
          </cell>
          <cell r="I535">
            <v>120</v>
          </cell>
          <cell r="J535">
            <v>90</v>
          </cell>
        </row>
        <row r="536">
          <cell r="B536" t="str">
            <v>DD-J10-25002-1-Y</v>
          </cell>
          <cell r="D536" t="str">
            <v>C</v>
          </cell>
          <cell r="E536" t="str">
            <v>装夹时间</v>
          </cell>
        </row>
        <row r="537">
          <cell r="B537" t="str">
            <v>DD-J10-25002-1-Y</v>
          </cell>
          <cell r="D537" t="str">
            <v>C</v>
          </cell>
          <cell r="E537" t="str">
            <v>程序时间</v>
          </cell>
          <cell r="G537">
            <v>80</v>
          </cell>
          <cell r="H537">
            <v>60</v>
          </cell>
          <cell r="I537">
            <v>430</v>
          </cell>
          <cell r="J537">
            <v>420</v>
          </cell>
          <cell r="L537">
            <v>120</v>
          </cell>
        </row>
        <row r="538">
          <cell r="B538" t="str">
            <v>图号</v>
          </cell>
        </row>
        <row r="539">
          <cell r="B539" t="str">
            <v>DD-J10-25002-1-Z</v>
          </cell>
          <cell r="D539" t="str">
            <v>C</v>
          </cell>
          <cell r="E539" t="str">
            <v>工序内容</v>
          </cell>
          <cell r="F539" t="str">
            <v>0/领料</v>
          </cell>
          <cell r="G539" t="str">
            <v>5/数铣</v>
          </cell>
          <cell r="H539" t="str">
            <v>10/数铣25</v>
          </cell>
          <cell r="I539" t="str">
            <v>15/数铣340</v>
          </cell>
          <cell r="J539" t="str">
            <v>20/数铣330</v>
          </cell>
          <cell r="K539" t="str">
            <v>25/测量</v>
          </cell>
          <cell r="L539" t="str">
            <v>30/钳工</v>
          </cell>
          <cell r="M539" t="str">
            <v>35/清洁</v>
          </cell>
          <cell r="N539" t="str">
            <v>40/成检</v>
          </cell>
        </row>
        <row r="540">
          <cell r="B540" t="str">
            <v>DD-J10-25002-1-Z</v>
          </cell>
          <cell r="D540" t="str">
            <v>C</v>
          </cell>
          <cell r="E540" t="str">
            <v>准备工时</v>
          </cell>
          <cell r="G540">
            <v>60</v>
          </cell>
          <cell r="H540">
            <v>90</v>
          </cell>
          <cell r="I540">
            <v>120</v>
          </cell>
          <cell r="J540">
            <v>90</v>
          </cell>
        </row>
        <row r="541">
          <cell r="B541" t="str">
            <v>DD-J10-25002-1-Z</v>
          </cell>
          <cell r="D541" t="str">
            <v>C</v>
          </cell>
          <cell r="E541" t="str">
            <v>装夹时间</v>
          </cell>
        </row>
        <row r="542">
          <cell r="B542" t="str">
            <v>DD-J10-25002-1-Z</v>
          </cell>
          <cell r="D542" t="str">
            <v>C</v>
          </cell>
          <cell r="E542" t="str">
            <v>程序时间</v>
          </cell>
          <cell r="G542">
            <v>80</v>
          </cell>
          <cell r="H542">
            <v>60</v>
          </cell>
          <cell r="I542">
            <v>430</v>
          </cell>
          <cell r="J542">
            <v>420</v>
          </cell>
          <cell r="L542">
            <v>120</v>
          </cell>
        </row>
        <row r="543">
          <cell r="B543" t="str">
            <v>图号</v>
          </cell>
        </row>
        <row r="544">
          <cell r="B544" t="str">
            <v>CB3014944-001-002</v>
          </cell>
          <cell r="D544" t="str">
            <v>B</v>
          </cell>
          <cell r="E544" t="str">
            <v>工序内容</v>
          </cell>
          <cell r="F544" t="str">
            <v>0/领料</v>
          </cell>
          <cell r="G544" t="str">
            <v>05/下料</v>
          </cell>
          <cell r="H544" t="str">
            <v>10/数铣</v>
          </cell>
          <cell r="I544" t="str">
            <v>15/数铣</v>
          </cell>
          <cell r="J544" t="str">
            <v>20/数铣</v>
          </cell>
          <cell r="K544" t="str">
            <v>25/数铣</v>
          </cell>
          <cell r="L544" t="str">
            <v>30/钳工</v>
          </cell>
          <cell r="M544" t="str">
            <v>35/数铣</v>
          </cell>
          <cell r="N544" t="str">
            <v>40/清洁</v>
          </cell>
          <cell r="O544" t="str">
            <v>45/成检</v>
          </cell>
        </row>
        <row r="545">
          <cell r="B545" t="str">
            <v>CB3014944-001-002</v>
          </cell>
          <cell r="D545" t="str">
            <v>B</v>
          </cell>
          <cell r="E545" t="str">
            <v>准备工时</v>
          </cell>
          <cell r="H545">
            <v>60</v>
          </cell>
          <cell r="I545">
            <v>60</v>
          </cell>
          <cell r="J545">
            <v>90</v>
          </cell>
          <cell r="K545">
            <v>120</v>
          </cell>
        </row>
        <row r="546">
          <cell r="B546" t="str">
            <v>CB3014944-001-002</v>
          </cell>
          <cell r="D546" t="str">
            <v>B</v>
          </cell>
          <cell r="E546" t="str">
            <v>程序时间</v>
          </cell>
          <cell r="H546">
            <v>180</v>
          </cell>
          <cell r="I546">
            <v>60</v>
          </cell>
          <cell r="J546">
            <v>80</v>
          </cell>
          <cell r="K546">
            <v>240</v>
          </cell>
          <cell r="L546">
            <v>180</v>
          </cell>
          <cell r="M546">
            <v>20</v>
          </cell>
        </row>
        <row r="547">
          <cell r="B547" t="str">
            <v>图号</v>
          </cell>
        </row>
        <row r="548">
          <cell r="B548" t="str">
            <v>CB22956R0-001L001</v>
          </cell>
          <cell r="D548" t="str">
            <v>F</v>
          </cell>
          <cell r="E548" t="str">
            <v>工序内容</v>
          </cell>
          <cell r="F548" t="str">
            <v>0/领料</v>
          </cell>
          <cell r="G548" t="str">
            <v>5/数铣</v>
          </cell>
          <cell r="H548" t="str">
            <v>10/数铣20</v>
          </cell>
          <cell r="I548" t="str">
            <v>15/数铣6</v>
          </cell>
          <cell r="J548" t="str">
            <v>20/数铣45</v>
          </cell>
          <cell r="K548" t="str">
            <v>25/数铣40</v>
          </cell>
          <cell r="L548" t="str">
            <v>30/数铣25</v>
          </cell>
          <cell r="M548" t="str">
            <v>35/数铣20</v>
          </cell>
          <cell r="N548" t="str">
            <v>40/数铣15</v>
          </cell>
          <cell r="O548" t="str">
            <v>45/数铣10</v>
          </cell>
          <cell r="P548" t="str">
            <v>50/钳工</v>
          </cell>
          <cell r="Q548" t="str">
            <v>55/测量</v>
          </cell>
          <cell r="R548" t="str">
            <v>60/清洁</v>
          </cell>
          <cell r="S548" t="str">
            <v>65/检验</v>
          </cell>
          <cell r="T548" t="str">
            <v>70/分光</v>
          </cell>
          <cell r="U548" t="str">
            <v>75/钳工</v>
          </cell>
          <cell r="V548" t="str">
            <v>80/清洁</v>
          </cell>
          <cell r="W548" t="str">
            <v>85/成检</v>
          </cell>
        </row>
        <row r="549">
          <cell r="B549" t="str">
            <v>CB22956R0-001L001</v>
          </cell>
          <cell r="D549" t="str">
            <v>F</v>
          </cell>
          <cell r="E549" t="str">
            <v>准备工时</v>
          </cell>
          <cell r="G549">
            <v>60</v>
          </cell>
          <cell r="H549">
            <v>60</v>
          </cell>
          <cell r="I549">
            <v>60</v>
          </cell>
          <cell r="J549">
            <v>90</v>
          </cell>
          <cell r="K549">
            <v>90</v>
          </cell>
          <cell r="L549">
            <v>60</v>
          </cell>
          <cell r="M549">
            <v>90</v>
          </cell>
          <cell r="N549">
            <v>90</v>
          </cell>
          <cell r="O549">
            <v>60</v>
          </cell>
        </row>
        <row r="550">
          <cell r="B550" t="str">
            <v>CB22956R0-001L001</v>
          </cell>
          <cell r="D550" t="str">
            <v>F</v>
          </cell>
          <cell r="E550" t="str">
            <v>装夹时间</v>
          </cell>
        </row>
        <row r="551">
          <cell r="B551" t="str">
            <v>CB22956R0-001L001</v>
          </cell>
          <cell r="D551" t="str">
            <v>F</v>
          </cell>
          <cell r="E551" t="str">
            <v>程序时间</v>
          </cell>
          <cell r="G551">
            <v>35</v>
          </cell>
          <cell r="H551">
            <v>30</v>
          </cell>
          <cell r="I551">
            <v>15</v>
          </cell>
          <cell r="J551">
            <v>70</v>
          </cell>
          <cell r="K551">
            <v>60</v>
          </cell>
          <cell r="L551">
            <v>50</v>
          </cell>
          <cell r="M551">
            <v>60</v>
          </cell>
          <cell r="N551">
            <v>30</v>
          </cell>
          <cell r="O551">
            <v>20</v>
          </cell>
          <cell r="P551">
            <v>60</v>
          </cell>
          <cell r="U551">
            <v>5</v>
          </cell>
        </row>
        <row r="552">
          <cell r="B552" t="str">
            <v>图号</v>
          </cell>
        </row>
        <row r="553">
          <cell r="B553" t="str">
            <v>CB22956R0-001R001</v>
          </cell>
          <cell r="D553" t="str">
            <v>F</v>
          </cell>
          <cell r="E553" t="str">
            <v>工序内容</v>
          </cell>
          <cell r="F553" t="str">
            <v>0/领料</v>
          </cell>
          <cell r="G553" t="str">
            <v>5/数铣</v>
          </cell>
          <cell r="H553" t="str">
            <v>10/数铣20</v>
          </cell>
          <cell r="I553" t="str">
            <v>15/数铣6</v>
          </cell>
          <cell r="J553" t="str">
            <v>20/数铣45</v>
          </cell>
          <cell r="K553" t="str">
            <v>25/数铣40</v>
          </cell>
          <cell r="L553" t="str">
            <v>30/数铣25</v>
          </cell>
          <cell r="M553" t="str">
            <v>35/数铣20</v>
          </cell>
          <cell r="N553" t="str">
            <v>40/数铣15</v>
          </cell>
          <cell r="O553" t="str">
            <v>45/数铣10</v>
          </cell>
          <cell r="P553" t="str">
            <v>50/钳工</v>
          </cell>
          <cell r="Q553" t="str">
            <v>55/测量</v>
          </cell>
          <cell r="R553" t="str">
            <v>60/清洁</v>
          </cell>
          <cell r="S553" t="str">
            <v>65/检验</v>
          </cell>
          <cell r="T553" t="str">
            <v>70/分光</v>
          </cell>
          <cell r="U553" t="str">
            <v>75/钳工</v>
          </cell>
          <cell r="V553" t="str">
            <v>80/清洁</v>
          </cell>
          <cell r="W553" t="str">
            <v>85/成检</v>
          </cell>
        </row>
        <row r="554">
          <cell r="B554" t="str">
            <v>CB22956R0-001R001</v>
          </cell>
          <cell r="D554" t="str">
            <v>F</v>
          </cell>
          <cell r="E554" t="str">
            <v>准备工时</v>
          </cell>
          <cell r="G554">
            <v>60</v>
          </cell>
          <cell r="H554">
            <v>60</v>
          </cell>
          <cell r="I554">
            <v>60</v>
          </cell>
          <cell r="J554">
            <v>90</v>
          </cell>
          <cell r="K554">
            <v>90</v>
          </cell>
          <cell r="L554">
            <v>60</v>
          </cell>
          <cell r="M554">
            <v>90</v>
          </cell>
          <cell r="N554">
            <v>90</v>
          </cell>
          <cell r="O554">
            <v>60</v>
          </cell>
        </row>
        <row r="555">
          <cell r="B555" t="str">
            <v>CB22956R0-001R001</v>
          </cell>
          <cell r="D555" t="str">
            <v>F</v>
          </cell>
          <cell r="E555" t="str">
            <v>装夹时间</v>
          </cell>
        </row>
        <row r="556">
          <cell r="B556" t="str">
            <v>CB22956R0-001R001</v>
          </cell>
          <cell r="D556" t="str">
            <v>F</v>
          </cell>
          <cell r="E556" t="str">
            <v>程序时间</v>
          </cell>
          <cell r="G556">
            <v>35</v>
          </cell>
          <cell r="H556">
            <v>30</v>
          </cell>
          <cell r="I556">
            <v>15</v>
          </cell>
          <cell r="J556">
            <v>70</v>
          </cell>
          <cell r="K556">
            <v>60</v>
          </cell>
          <cell r="L556">
            <v>50</v>
          </cell>
          <cell r="M556">
            <v>60</v>
          </cell>
          <cell r="N556">
            <v>30</v>
          </cell>
          <cell r="O556">
            <v>20</v>
          </cell>
          <cell r="P556">
            <v>60</v>
          </cell>
          <cell r="U556">
            <v>5</v>
          </cell>
        </row>
        <row r="557">
          <cell r="B557" t="str">
            <v>图号</v>
          </cell>
        </row>
        <row r="558">
          <cell r="B558" t="str">
            <v>CB5324310-009L/R006</v>
          </cell>
          <cell r="D558" t="str">
            <v>D</v>
          </cell>
          <cell r="E558" t="str">
            <v>工序内容</v>
          </cell>
          <cell r="F558" t="str">
            <v>0/领料</v>
          </cell>
          <cell r="G558" t="str">
            <v>5/数铣</v>
          </cell>
          <cell r="H558" t="str">
            <v>10/数铣15</v>
          </cell>
          <cell r="I558" t="str">
            <v>15/数铣70</v>
          </cell>
          <cell r="J558" t="str">
            <v>20/数铣75</v>
          </cell>
          <cell r="K558" t="str">
            <v>25/数铣30</v>
          </cell>
          <cell r="L558" t="str">
            <v>30/测量</v>
          </cell>
          <cell r="M558" t="str">
            <v>35/钳工</v>
          </cell>
          <cell r="N558" t="str">
            <v>40/数铣</v>
          </cell>
          <cell r="O558" t="str">
            <v>45/清洁</v>
          </cell>
          <cell r="P558" t="str">
            <v>50/成检</v>
          </cell>
        </row>
        <row r="559">
          <cell r="B559" t="str">
            <v>CB5324310-009L/R006</v>
          </cell>
          <cell r="D559" t="str">
            <v>D</v>
          </cell>
          <cell r="E559" t="str">
            <v>准备工时</v>
          </cell>
          <cell r="G559">
            <v>60</v>
          </cell>
          <cell r="H559">
            <v>60</v>
          </cell>
          <cell r="I559">
            <v>60</v>
          </cell>
          <cell r="J559">
            <v>60</v>
          </cell>
          <cell r="K559">
            <v>60</v>
          </cell>
        </row>
        <row r="560">
          <cell r="B560" t="str">
            <v>CB5324310-009L/R006</v>
          </cell>
          <cell r="D560" t="str">
            <v>D</v>
          </cell>
          <cell r="E560" t="str">
            <v>装夹时间</v>
          </cell>
        </row>
        <row r="561">
          <cell r="B561" t="str">
            <v>CB5324310-009L/R006</v>
          </cell>
          <cell r="D561" t="str">
            <v>D</v>
          </cell>
          <cell r="E561" t="str">
            <v>程序时间</v>
          </cell>
          <cell r="G561">
            <v>60</v>
          </cell>
          <cell r="H561">
            <v>30</v>
          </cell>
          <cell r="I561">
            <v>130</v>
          </cell>
          <cell r="J561">
            <v>110</v>
          </cell>
          <cell r="K561">
            <v>45</v>
          </cell>
          <cell r="M561">
            <v>30</v>
          </cell>
          <cell r="N561">
            <v>20</v>
          </cell>
        </row>
        <row r="562">
          <cell r="B562" t="str">
            <v>CB5324310-009L006</v>
          </cell>
          <cell r="D562" t="str">
            <v>D</v>
          </cell>
          <cell r="E562" t="str">
            <v>工序内容</v>
          </cell>
          <cell r="F562" t="str">
            <v>0/领料</v>
          </cell>
          <cell r="G562" t="str">
            <v>5/数铣</v>
          </cell>
          <cell r="H562" t="str">
            <v>10/数铣15</v>
          </cell>
          <cell r="I562" t="str">
            <v>15/数铣70</v>
          </cell>
          <cell r="J562" t="str">
            <v>20/数铣75</v>
          </cell>
          <cell r="K562" t="str">
            <v>25/数铣30</v>
          </cell>
          <cell r="L562" t="str">
            <v>30/测量</v>
          </cell>
          <cell r="M562" t="str">
            <v>35/钳工</v>
          </cell>
          <cell r="N562" t="str">
            <v>40/数铣</v>
          </cell>
          <cell r="O562" t="str">
            <v>45/清洁</v>
          </cell>
          <cell r="P562" t="str">
            <v>50/成检</v>
          </cell>
        </row>
        <row r="563">
          <cell r="B563" t="str">
            <v>CB5324310-009L006</v>
          </cell>
          <cell r="D563" t="str">
            <v>D</v>
          </cell>
          <cell r="E563" t="str">
            <v>准备工时</v>
          </cell>
          <cell r="G563">
            <v>60</v>
          </cell>
          <cell r="H563">
            <v>60</v>
          </cell>
          <cell r="I563">
            <v>60</v>
          </cell>
          <cell r="J563">
            <v>60</v>
          </cell>
          <cell r="K563">
            <v>60</v>
          </cell>
        </row>
        <row r="564">
          <cell r="B564" t="str">
            <v>CB5324310-009L006</v>
          </cell>
          <cell r="D564" t="str">
            <v>D</v>
          </cell>
          <cell r="E564" t="str">
            <v>装夹时间</v>
          </cell>
        </row>
        <row r="565">
          <cell r="B565" t="str">
            <v>CB5324310-009L006</v>
          </cell>
          <cell r="D565" t="str">
            <v>D</v>
          </cell>
          <cell r="E565" t="str">
            <v>程序时间</v>
          </cell>
          <cell r="G565">
            <v>60</v>
          </cell>
          <cell r="H565">
            <v>30</v>
          </cell>
          <cell r="I565">
            <v>130</v>
          </cell>
          <cell r="J565">
            <v>110</v>
          </cell>
          <cell r="K565">
            <v>60</v>
          </cell>
          <cell r="M565">
            <v>30</v>
          </cell>
          <cell r="N565">
            <v>20</v>
          </cell>
        </row>
        <row r="566">
          <cell r="B566" t="str">
            <v>图号</v>
          </cell>
        </row>
        <row r="567">
          <cell r="B567" t="str">
            <v>CB5324310-009R006</v>
          </cell>
          <cell r="D567" t="str">
            <v>D</v>
          </cell>
          <cell r="E567" t="str">
            <v>工序内容</v>
          </cell>
          <cell r="F567" t="str">
            <v>0/领料</v>
          </cell>
          <cell r="G567" t="str">
            <v>5/数铣</v>
          </cell>
          <cell r="H567" t="str">
            <v>10/数铣15</v>
          </cell>
          <cell r="I567" t="str">
            <v>15/数铣70</v>
          </cell>
          <cell r="J567" t="str">
            <v>20/数铣75</v>
          </cell>
          <cell r="K567" t="str">
            <v>25/数铣30</v>
          </cell>
          <cell r="L567" t="str">
            <v>30/测量</v>
          </cell>
          <cell r="M567" t="str">
            <v>35/钳工</v>
          </cell>
          <cell r="N567" t="str">
            <v>40/数铣</v>
          </cell>
          <cell r="O567" t="str">
            <v>45/清洁</v>
          </cell>
          <cell r="P567" t="str">
            <v>50/成检</v>
          </cell>
        </row>
        <row r="568">
          <cell r="B568" t="str">
            <v>CB5324310-009R006</v>
          </cell>
          <cell r="D568" t="str">
            <v>D</v>
          </cell>
          <cell r="E568" t="str">
            <v>准备工时</v>
          </cell>
          <cell r="G568">
            <v>60</v>
          </cell>
          <cell r="H568">
            <v>60</v>
          </cell>
          <cell r="I568">
            <v>60</v>
          </cell>
          <cell r="J568">
            <v>60</v>
          </cell>
          <cell r="K568">
            <v>60</v>
          </cell>
        </row>
        <row r="569">
          <cell r="B569" t="str">
            <v>CB5324310-009R006</v>
          </cell>
          <cell r="D569" t="str">
            <v>D</v>
          </cell>
          <cell r="E569" t="str">
            <v>装夹时间</v>
          </cell>
        </row>
        <row r="570">
          <cell r="B570" t="str">
            <v>CB5324310-009R006</v>
          </cell>
          <cell r="D570" t="str">
            <v>D</v>
          </cell>
          <cell r="E570" t="str">
            <v>程序时间</v>
          </cell>
          <cell r="G570">
            <v>60</v>
          </cell>
          <cell r="H570">
            <v>30</v>
          </cell>
          <cell r="I570">
            <v>130</v>
          </cell>
          <cell r="J570">
            <v>110</v>
          </cell>
          <cell r="K570">
            <v>45</v>
          </cell>
          <cell r="M570">
            <v>30</v>
          </cell>
          <cell r="N570">
            <v>20</v>
          </cell>
        </row>
        <row r="571">
          <cell r="B571" t="str">
            <v>图号</v>
          </cell>
        </row>
        <row r="572">
          <cell r="B572" t="str">
            <v>CB22844A0-002-001</v>
          </cell>
          <cell r="D572" t="str">
            <v>B</v>
          </cell>
          <cell r="E572" t="str">
            <v>工序内容</v>
          </cell>
          <cell r="F572" t="str">
            <v>0/领料</v>
          </cell>
          <cell r="G572" t="str">
            <v>05/普铣</v>
          </cell>
          <cell r="H572" t="str">
            <v>10/钳工</v>
          </cell>
          <cell r="I572" t="str">
            <v>15/分光</v>
          </cell>
          <cell r="J572" t="str">
            <v>20/硬度</v>
          </cell>
          <cell r="K572" t="str">
            <v>25/线切割</v>
          </cell>
          <cell r="L572" t="str">
            <v>30/数车20</v>
          </cell>
          <cell r="M572" t="str">
            <v>35/数车20</v>
          </cell>
          <cell r="N572" t="str">
            <v>40/数铣10</v>
          </cell>
          <cell r="O572" t="str">
            <v>45/数车20</v>
          </cell>
          <cell r="P572" t="str">
            <v>50/数车5</v>
          </cell>
          <cell r="Q572" t="str">
            <v>55/钻孔</v>
          </cell>
          <cell r="R572" t="str">
            <v>60/钳工</v>
          </cell>
          <cell r="S572" t="str">
            <v>65/清洁</v>
          </cell>
          <cell r="T572" t="str">
            <v>70/成检</v>
          </cell>
        </row>
        <row r="573">
          <cell r="B573" t="str">
            <v>CB22844A0-002-001</v>
          </cell>
          <cell r="D573" t="str">
            <v>B</v>
          </cell>
          <cell r="E573" t="str">
            <v>准备工时</v>
          </cell>
          <cell r="G573">
            <v>60</v>
          </cell>
          <cell r="L573">
            <v>180</v>
          </cell>
          <cell r="M573">
            <v>180</v>
          </cell>
          <cell r="N573">
            <v>90</v>
          </cell>
          <cell r="O573">
            <v>180</v>
          </cell>
          <cell r="P573">
            <v>120</v>
          </cell>
          <cell r="Q573">
            <v>90</v>
          </cell>
        </row>
        <row r="574">
          <cell r="B574" t="str">
            <v>CB22844A0-002-001</v>
          </cell>
          <cell r="D574" t="str">
            <v>B</v>
          </cell>
          <cell r="E574" t="str">
            <v>装夹时间</v>
          </cell>
        </row>
        <row r="575">
          <cell r="B575" t="str">
            <v>CB22844A0-002-001</v>
          </cell>
          <cell r="D575" t="str">
            <v>B</v>
          </cell>
          <cell r="E575" t="str">
            <v>程序时间</v>
          </cell>
          <cell r="G575">
            <v>30</v>
          </cell>
          <cell r="H575">
            <v>15</v>
          </cell>
          <cell r="L575">
            <v>40</v>
          </cell>
          <cell r="M575">
            <v>40</v>
          </cell>
          <cell r="N575">
            <v>40</v>
          </cell>
          <cell r="O575">
            <v>40</v>
          </cell>
          <cell r="P575">
            <v>15</v>
          </cell>
          <cell r="Q575">
            <v>50</v>
          </cell>
          <cell r="R575">
            <v>35</v>
          </cell>
        </row>
        <row r="576">
          <cell r="B576" t="str">
            <v>图号</v>
          </cell>
        </row>
        <row r="577">
          <cell r="B577" t="str">
            <v>DD-J10-55015-6201</v>
          </cell>
          <cell r="D577" t="str">
            <v>B</v>
          </cell>
          <cell r="E577" t="str">
            <v>工序内容</v>
          </cell>
          <cell r="F577" t="str">
            <v>0/领料</v>
          </cell>
          <cell r="G577" t="str">
            <v>05/钳工</v>
          </cell>
          <cell r="H577" t="str">
            <v>10/数车20</v>
          </cell>
          <cell r="I577" t="str">
            <v>15/数车10</v>
          </cell>
          <cell r="J577" t="str">
            <v>20/数车30</v>
          </cell>
          <cell r="K577" t="str">
            <v>25/线切割</v>
          </cell>
          <cell r="L577" t="str">
            <v>30/钳工</v>
          </cell>
          <cell r="M577" t="str">
            <v>35/清洁</v>
          </cell>
          <cell r="N577" t="str">
            <v>40/成检</v>
          </cell>
        </row>
        <row r="578">
          <cell r="B578" t="str">
            <v>DD-J10-55015-6201</v>
          </cell>
          <cell r="D578" t="str">
            <v>B</v>
          </cell>
          <cell r="E578" t="str">
            <v>准备工时</v>
          </cell>
          <cell r="H578">
            <v>120</v>
          </cell>
          <cell r="I578">
            <v>120</v>
          </cell>
          <cell r="J578">
            <v>120</v>
          </cell>
        </row>
        <row r="579">
          <cell r="B579" t="str">
            <v>DD-J10-55015-6201</v>
          </cell>
          <cell r="D579" t="str">
            <v>B</v>
          </cell>
          <cell r="E579" t="str">
            <v>装夹时间</v>
          </cell>
        </row>
        <row r="580">
          <cell r="B580" t="str">
            <v>DD-J10-55015-6201</v>
          </cell>
          <cell r="D580" t="str">
            <v>B</v>
          </cell>
          <cell r="E580" t="str">
            <v>程序时间</v>
          </cell>
          <cell r="G580">
            <v>15</v>
          </cell>
          <cell r="H580">
            <v>30</v>
          </cell>
          <cell r="I580">
            <v>20</v>
          </cell>
          <cell r="J580">
            <v>45</v>
          </cell>
          <cell r="L580">
            <v>30</v>
          </cell>
        </row>
        <row r="581">
          <cell r="B581" t="str">
            <v>Y20-5316200098-001</v>
          </cell>
          <cell r="D581" t="str">
            <v>B</v>
          </cell>
          <cell r="E581" t="str">
            <v>工序内容</v>
          </cell>
          <cell r="F581" t="str">
            <v>0/领料</v>
          </cell>
          <cell r="G581" t="str">
            <v>5/数铣</v>
          </cell>
          <cell r="H581" t="str">
            <v>10/数铣18</v>
          </cell>
          <cell r="I581" t="str">
            <v>15/数铣55</v>
          </cell>
          <cell r="J581" t="str">
            <v>20/数铣</v>
          </cell>
          <cell r="K581" t="str">
            <v>25/数铣38</v>
          </cell>
          <cell r="L581" t="str">
            <v>30/数铣100</v>
          </cell>
          <cell r="M581" t="str">
            <v>35/测量</v>
          </cell>
          <cell r="N581" t="str">
            <v>40/钳工</v>
          </cell>
          <cell r="O581" t="str">
            <v>45/数铣</v>
          </cell>
          <cell r="P581" t="str">
            <v>50/清洁</v>
          </cell>
          <cell r="Q581" t="str">
            <v>55/成检</v>
          </cell>
        </row>
        <row r="582">
          <cell r="B582" t="str">
            <v>Y20-5316200098-001</v>
          </cell>
          <cell r="D582" t="str">
            <v>B</v>
          </cell>
          <cell r="E582" t="str">
            <v>准备工时</v>
          </cell>
          <cell r="G582">
            <v>60</v>
          </cell>
          <cell r="H582">
            <v>60</v>
          </cell>
          <cell r="I582">
            <v>60</v>
          </cell>
          <cell r="J582">
            <v>60</v>
          </cell>
          <cell r="K582">
            <v>60</v>
          </cell>
          <cell r="L582">
            <v>60</v>
          </cell>
        </row>
        <row r="583">
          <cell r="B583" t="str">
            <v>Y20-5316200098-001</v>
          </cell>
          <cell r="D583" t="str">
            <v>B</v>
          </cell>
          <cell r="E583" t="str">
            <v>装夹时间</v>
          </cell>
        </row>
        <row r="584">
          <cell r="B584" t="str">
            <v>Y20-5316200098-001</v>
          </cell>
          <cell r="D584" t="str">
            <v>B</v>
          </cell>
          <cell r="E584" t="str">
            <v>程序时间</v>
          </cell>
          <cell r="G584">
            <v>75</v>
          </cell>
          <cell r="H584">
            <v>45</v>
          </cell>
          <cell r="I584">
            <v>100</v>
          </cell>
          <cell r="J584">
            <v>120</v>
          </cell>
          <cell r="K584">
            <v>60</v>
          </cell>
          <cell r="L584">
            <v>150</v>
          </cell>
          <cell r="N584">
            <v>100</v>
          </cell>
          <cell r="O584">
            <v>10</v>
          </cell>
        </row>
        <row r="585">
          <cell r="B585" t="str">
            <v>图号</v>
          </cell>
        </row>
        <row r="586">
          <cell r="B586" t="str">
            <v>CB22921N2-001-001</v>
          </cell>
          <cell r="D586" t="str">
            <v>B</v>
          </cell>
          <cell r="E586" t="str">
            <v>工序内容</v>
          </cell>
          <cell r="F586" t="str">
            <v>0/领料</v>
          </cell>
          <cell r="G586" t="str">
            <v>05/下料</v>
          </cell>
          <cell r="H586" t="str">
            <v>10/铣夹持</v>
          </cell>
          <cell r="I586" t="str">
            <v>15数铣20</v>
          </cell>
          <cell r="J586" t="str">
            <v>20/数铣</v>
          </cell>
          <cell r="K586" t="str">
            <v>25/数铣</v>
          </cell>
          <cell r="M586" t="str">
            <v>35/钳工</v>
          </cell>
          <cell r="N586" t="str">
            <v>40/分光</v>
          </cell>
          <cell r="O586" t="str">
            <v>45/硬度</v>
          </cell>
          <cell r="P586" t="str">
            <v>50/钳工</v>
          </cell>
          <cell r="Q586" t="str">
            <v>55/清洁</v>
          </cell>
          <cell r="R586" t="str">
            <v>60/成检</v>
          </cell>
        </row>
        <row r="587">
          <cell r="B587" t="str">
            <v>CB22921N2-001-001</v>
          </cell>
          <cell r="D587" t="str">
            <v>B</v>
          </cell>
          <cell r="E587" t="str">
            <v>准备工时</v>
          </cell>
          <cell r="H587">
            <v>60</v>
          </cell>
          <cell r="I587">
            <v>90</v>
          </cell>
          <cell r="J587">
            <v>60</v>
          </cell>
          <cell r="K587">
            <v>60</v>
          </cell>
        </row>
        <row r="588">
          <cell r="B588" t="str">
            <v>CB22921N2-001-001</v>
          </cell>
          <cell r="D588" t="str">
            <v>B</v>
          </cell>
          <cell r="E588" t="str">
            <v>装夹时间</v>
          </cell>
        </row>
        <row r="589">
          <cell r="B589" t="str">
            <v>CB22921N2-001-001</v>
          </cell>
          <cell r="D589" t="str">
            <v>B</v>
          </cell>
          <cell r="E589" t="str">
            <v>程序时间</v>
          </cell>
          <cell r="H589">
            <v>20</v>
          </cell>
          <cell r="I589">
            <v>40</v>
          </cell>
          <cell r="J589">
            <v>25</v>
          </cell>
          <cell r="K589">
            <v>20</v>
          </cell>
          <cell r="M589">
            <v>25</v>
          </cell>
          <cell r="P589">
            <v>10</v>
          </cell>
        </row>
        <row r="590">
          <cell r="B590" t="str">
            <v>图号</v>
          </cell>
        </row>
        <row r="591">
          <cell r="B591" t="str">
            <v>CB2210260-001-001</v>
          </cell>
          <cell r="D591" t="str">
            <v>B</v>
          </cell>
          <cell r="E591" t="str">
            <v>工序内容</v>
          </cell>
          <cell r="F591" t="str">
            <v>0/领料</v>
          </cell>
          <cell r="G591" t="str">
            <v>05/数铣</v>
          </cell>
          <cell r="H591" t="str">
            <v>10/数铣12</v>
          </cell>
          <cell r="I591" t="str">
            <v>15/装夹</v>
          </cell>
          <cell r="J591" t="str">
            <v>20/数铣12</v>
          </cell>
          <cell r="K591" t="str">
            <v>25/数铣13</v>
          </cell>
          <cell r="L591" t="str">
            <v>30/数铣23</v>
          </cell>
          <cell r="M591" t="str">
            <v>35/数铣30</v>
          </cell>
          <cell r="N591" t="str">
            <v>40/钳工</v>
          </cell>
          <cell r="O591" t="str">
            <v>45/清洁</v>
          </cell>
          <cell r="P591" t="str">
            <v>50/分光</v>
          </cell>
          <cell r="Q591" t="str">
            <v>55/硬度</v>
          </cell>
          <cell r="R591" t="str">
            <v>60/检验</v>
          </cell>
          <cell r="S591" t="str">
            <v>65/钳工</v>
          </cell>
          <cell r="T591" t="str">
            <v>70/清洁</v>
          </cell>
          <cell r="U591" t="str">
            <v>75/成检</v>
          </cell>
        </row>
        <row r="592">
          <cell r="B592" t="str">
            <v>CB2210260-001-001</v>
          </cell>
          <cell r="D592" t="str">
            <v>B</v>
          </cell>
          <cell r="E592" t="str">
            <v>准备工时</v>
          </cell>
          <cell r="G592">
            <v>60</v>
          </cell>
          <cell r="H592">
            <v>60</v>
          </cell>
          <cell r="J592">
            <v>60</v>
          </cell>
          <cell r="K592">
            <v>60</v>
          </cell>
          <cell r="L592">
            <v>60</v>
          </cell>
          <cell r="M592">
            <v>60</v>
          </cell>
        </row>
        <row r="593">
          <cell r="B593" t="str">
            <v>CB2210260-001-001</v>
          </cell>
          <cell r="D593" t="str">
            <v>B</v>
          </cell>
          <cell r="E593" t="str">
            <v>装夹时间</v>
          </cell>
        </row>
        <row r="594">
          <cell r="B594" t="str">
            <v>CB2210260-001-001</v>
          </cell>
          <cell r="D594" t="str">
            <v>B</v>
          </cell>
          <cell r="E594" t="str">
            <v>程序时间</v>
          </cell>
          <cell r="G594">
            <v>60</v>
          </cell>
          <cell r="H594">
            <v>25</v>
          </cell>
          <cell r="I594">
            <v>15</v>
          </cell>
          <cell r="J594">
            <v>25</v>
          </cell>
          <cell r="K594">
            <v>25</v>
          </cell>
          <cell r="L594">
            <v>40</v>
          </cell>
          <cell r="M594">
            <v>55</v>
          </cell>
          <cell r="N594">
            <v>25</v>
          </cell>
          <cell r="S594">
            <v>10</v>
          </cell>
        </row>
        <row r="595">
          <cell r="B595" t="str">
            <v>图号</v>
          </cell>
        </row>
        <row r="596">
          <cell r="B596" t="str">
            <v>CB2297120-005-002</v>
          </cell>
          <cell r="D596" t="str">
            <v>E</v>
          </cell>
          <cell r="E596" t="str">
            <v>工序内容</v>
          </cell>
          <cell r="F596" t="str">
            <v>0/检验</v>
          </cell>
          <cell r="G596" t="str">
            <v>5/数铣</v>
          </cell>
          <cell r="H596" t="str">
            <v>10/数铣55</v>
          </cell>
          <cell r="I596" t="str">
            <v>15/线切割</v>
          </cell>
          <cell r="J596" t="str">
            <v>20/数铣10</v>
          </cell>
          <cell r="K596" t="str">
            <v>25/数铣10</v>
          </cell>
          <cell r="L596" t="str">
            <v>30/测量</v>
          </cell>
          <cell r="M596" t="str">
            <v>35/钳工</v>
          </cell>
          <cell r="N596" t="str">
            <v>40/数铣</v>
          </cell>
          <cell r="O596" t="str">
            <v>45/硬度</v>
          </cell>
          <cell r="P596" t="str">
            <v>50/分光</v>
          </cell>
          <cell r="Q596" t="str">
            <v>55/复验</v>
          </cell>
          <cell r="R596" t="str">
            <v>60/钳工</v>
          </cell>
        </row>
        <row r="597">
          <cell r="B597" t="str">
            <v>CB2297120-005-002</v>
          </cell>
          <cell r="D597" t="str">
            <v>E</v>
          </cell>
          <cell r="E597" t="str">
            <v>准备工时</v>
          </cell>
          <cell r="G597">
            <v>60</v>
          </cell>
          <cell r="H597">
            <v>120</v>
          </cell>
          <cell r="J597">
            <v>60</v>
          </cell>
          <cell r="K597">
            <v>60</v>
          </cell>
          <cell r="N597">
            <v>20</v>
          </cell>
          <cell r="R597">
            <v>5</v>
          </cell>
        </row>
        <row r="598">
          <cell r="B598" t="str">
            <v>CB2297120-005-002</v>
          </cell>
          <cell r="D598" t="str">
            <v>E</v>
          </cell>
          <cell r="E598" t="str">
            <v>装夹时间</v>
          </cell>
        </row>
        <row r="599">
          <cell r="B599" t="str">
            <v>CB2297120-005-002</v>
          </cell>
          <cell r="D599" t="str">
            <v>E</v>
          </cell>
          <cell r="E599" t="str">
            <v>程序时间</v>
          </cell>
          <cell r="G599">
            <v>30</v>
          </cell>
          <cell r="H599">
            <v>75</v>
          </cell>
          <cell r="J599">
            <v>30</v>
          </cell>
          <cell r="K599">
            <v>20</v>
          </cell>
          <cell r="M599">
            <v>30</v>
          </cell>
        </row>
        <row r="600">
          <cell r="B600" t="str">
            <v>CB2297120-005-002</v>
          </cell>
          <cell r="D600" t="str">
            <v>E</v>
          </cell>
        </row>
        <row r="601">
          <cell r="B601" t="str">
            <v>CB2297120-006-002</v>
          </cell>
          <cell r="D601" t="str">
            <v>E</v>
          </cell>
          <cell r="E601" t="str">
            <v>工序内容</v>
          </cell>
          <cell r="F601" t="str">
            <v>0/检验</v>
          </cell>
          <cell r="G601" t="str">
            <v>5/数铣</v>
          </cell>
          <cell r="H601" t="str">
            <v>10/数铣55</v>
          </cell>
          <cell r="I601" t="str">
            <v>15/线切割</v>
          </cell>
          <cell r="J601" t="str">
            <v>20/数铣10</v>
          </cell>
          <cell r="K601" t="str">
            <v>25/数铣10</v>
          </cell>
          <cell r="L601" t="str">
            <v>30/测量</v>
          </cell>
          <cell r="M601" t="str">
            <v>35/钳工</v>
          </cell>
          <cell r="N601" t="str">
            <v>40/数铣</v>
          </cell>
          <cell r="O601" t="str">
            <v>45/硬度</v>
          </cell>
          <cell r="P601" t="str">
            <v>50/分光</v>
          </cell>
          <cell r="Q601" t="str">
            <v>55/复验</v>
          </cell>
          <cell r="R601" t="str">
            <v>60/钳工</v>
          </cell>
        </row>
        <row r="602">
          <cell r="B602" t="str">
            <v>CB2297120-006-002</v>
          </cell>
          <cell r="D602" t="str">
            <v>E</v>
          </cell>
          <cell r="E602" t="str">
            <v>准备工时</v>
          </cell>
          <cell r="G602">
            <v>60</v>
          </cell>
          <cell r="H602">
            <v>120</v>
          </cell>
          <cell r="J602">
            <v>60</v>
          </cell>
          <cell r="K602">
            <v>60</v>
          </cell>
          <cell r="N602">
            <v>20</v>
          </cell>
          <cell r="R602">
            <v>5</v>
          </cell>
        </row>
        <row r="603">
          <cell r="B603" t="str">
            <v>CB2297120-006-002</v>
          </cell>
          <cell r="D603" t="str">
            <v>E</v>
          </cell>
          <cell r="E603" t="str">
            <v>装夹时间</v>
          </cell>
        </row>
        <row r="604">
          <cell r="B604" t="str">
            <v>CB2297120-006-002</v>
          </cell>
          <cell r="D604" t="str">
            <v>E</v>
          </cell>
          <cell r="E604" t="str">
            <v>程序时间</v>
          </cell>
          <cell r="G604">
            <v>50</v>
          </cell>
          <cell r="H604">
            <v>75</v>
          </cell>
          <cell r="J604">
            <v>30</v>
          </cell>
          <cell r="K604">
            <v>20</v>
          </cell>
          <cell r="M604">
            <v>30</v>
          </cell>
        </row>
        <row r="605">
          <cell r="B605" t="str">
            <v>CB5315130-002L/R001</v>
          </cell>
          <cell r="D605" t="str">
            <v>B</v>
          </cell>
          <cell r="E605" t="str">
            <v>工序内容</v>
          </cell>
          <cell r="F605" t="str">
            <v>0/领料</v>
          </cell>
          <cell r="G605" t="str">
            <v>5/钳工</v>
          </cell>
          <cell r="H605" t="str">
            <v>10/数铣</v>
          </cell>
          <cell r="I605" t="str">
            <v>15/数铣40</v>
          </cell>
          <cell r="J605" t="str">
            <v>20/数铣170</v>
          </cell>
          <cell r="K605" t="str">
            <v>25/数380</v>
          </cell>
          <cell r="L605" t="str">
            <v>30/五轴150</v>
          </cell>
          <cell r="M605" t="str">
            <v>35/数铣280</v>
          </cell>
          <cell r="N605" t="str">
            <v>40/测量</v>
          </cell>
          <cell r="O605" t="str">
            <v>45/钳工</v>
          </cell>
          <cell r="P605" t="str">
            <v>50/清洁</v>
          </cell>
          <cell r="Q605" t="str">
            <v>55/成检</v>
          </cell>
        </row>
        <row r="606">
          <cell r="B606" t="str">
            <v>CB5315130-002L/R001</v>
          </cell>
          <cell r="D606" t="str">
            <v>B</v>
          </cell>
          <cell r="E606" t="str">
            <v>准备工时</v>
          </cell>
          <cell r="H606">
            <v>60</v>
          </cell>
          <cell r="I606">
            <v>60</v>
          </cell>
          <cell r="J606">
            <v>60</v>
          </cell>
          <cell r="K606">
            <v>60</v>
          </cell>
          <cell r="L606">
            <v>120</v>
          </cell>
          <cell r="M606">
            <v>60</v>
          </cell>
        </row>
        <row r="607">
          <cell r="B607" t="str">
            <v>CB5315130-002L/R001</v>
          </cell>
          <cell r="D607" t="str">
            <v>B</v>
          </cell>
          <cell r="E607" t="str">
            <v>装夹时间</v>
          </cell>
          <cell r="G607">
            <v>60</v>
          </cell>
          <cell r="L607">
            <v>60</v>
          </cell>
        </row>
        <row r="608">
          <cell r="B608" t="str">
            <v>CB5315130-002L/R001</v>
          </cell>
          <cell r="D608" t="str">
            <v>B</v>
          </cell>
          <cell r="E608" t="str">
            <v>程序时间</v>
          </cell>
          <cell r="H608">
            <v>90</v>
          </cell>
          <cell r="I608">
            <v>80</v>
          </cell>
          <cell r="J608">
            <v>290</v>
          </cell>
          <cell r="K608">
            <v>500</v>
          </cell>
          <cell r="L608">
            <v>350</v>
          </cell>
          <cell r="M608">
            <v>540</v>
          </cell>
          <cell r="O608">
            <v>240</v>
          </cell>
        </row>
        <row r="609">
          <cell r="B609" t="str">
            <v>CB5315130-002L001</v>
          </cell>
          <cell r="D609" t="str">
            <v>B</v>
          </cell>
          <cell r="E609" t="str">
            <v>工序内容</v>
          </cell>
          <cell r="F609" t="str">
            <v>0/领料</v>
          </cell>
          <cell r="G609" t="str">
            <v>5/钳工</v>
          </cell>
          <cell r="H609" t="str">
            <v>10/数铣</v>
          </cell>
          <cell r="I609" t="str">
            <v>15/数铣40</v>
          </cell>
          <cell r="J609" t="str">
            <v>20/数铣170</v>
          </cell>
          <cell r="K609" t="str">
            <v>25/数380</v>
          </cell>
          <cell r="L609" t="str">
            <v>30/五轴150</v>
          </cell>
          <cell r="M609" t="str">
            <v>35/数铣280</v>
          </cell>
          <cell r="N609" t="str">
            <v>40/测量</v>
          </cell>
          <cell r="O609" t="str">
            <v>45/钳工</v>
          </cell>
          <cell r="P609" t="str">
            <v>50/清洁</v>
          </cell>
          <cell r="Q609" t="str">
            <v>55/成检</v>
          </cell>
        </row>
        <row r="610">
          <cell r="B610" t="str">
            <v>CB5315130-002L001</v>
          </cell>
          <cell r="D610" t="str">
            <v>B</v>
          </cell>
          <cell r="E610" t="str">
            <v>准备工时</v>
          </cell>
          <cell r="H610">
            <v>60</v>
          </cell>
          <cell r="I610">
            <v>60</v>
          </cell>
          <cell r="J610">
            <v>60</v>
          </cell>
          <cell r="K610">
            <v>60</v>
          </cell>
          <cell r="L610">
            <v>120</v>
          </cell>
          <cell r="M610">
            <v>60</v>
          </cell>
        </row>
        <row r="611">
          <cell r="B611" t="str">
            <v>CB5315130-002L001</v>
          </cell>
          <cell r="D611" t="str">
            <v>B</v>
          </cell>
          <cell r="E611" t="str">
            <v>装夹时间</v>
          </cell>
          <cell r="G611">
            <v>60</v>
          </cell>
          <cell r="L611">
            <v>60</v>
          </cell>
        </row>
        <row r="612">
          <cell r="B612" t="str">
            <v>CB5315130-002L001</v>
          </cell>
          <cell r="D612" t="str">
            <v>B</v>
          </cell>
          <cell r="E612" t="str">
            <v>程序时间</v>
          </cell>
          <cell r="H612">
            <v>90</v>
          </cell>
          <cell r="I612">
            <v>80</v>
          </cell>
          <cell r="J612">
            <v>290</v>
          </cell>
          <cell r="K612">
            <v>500</v>
          </cell>
          <cell r="L612">
            <v>350</v>
          </cell>
          <cell r="M612">
            <v>540</v>
          </cell>
          <cell r="O612">
            <v>240</v>
          </cell>
        </row>
        <row r="613">
          <cell r="B613" t="str">
            <v>CB5315130-002R001</v>
          </cell>
          <cell r="D613" t="str">
            <v>B</v>
          </cell>
          <cell r="E613" t="str">
            <v>工序内容</v>
          </cell>
          <cell r="F613" t="str">
            <v>0/领料</v>
          </cell>
          <cell r="G613" t="str">
            <v>5/钳工</v>
          </cell>
          <cell r="H613" t="str">
            <v>10/数铣</v>
          </cell>
          <cell r="I613" t="str">
            <v>15/数铣40</v>
          </cell>
          <cell r="J613" t="str">
            <v>20/数铣170</v>
          </cell>
          <cell r="K613" t="str">
            <v>25/数380</v>
          </cell>
          <cell r="L613" t="str">
            <v>30/五轴150</v>
          </cell>
          <cell r="M613" t="str">
            <v>35/数铣280</v>
          </cell>
          <cell r="N613" t="str">
            <v>40/测量</v>
          </cell>
          <cell r="O613" t="str">
            <v>45/钳工</v>
          </cell>
          <cell r="P613" t="str">
            <v>50/清洁</v>
          </cell>
          <cell r="Q613" t="str">
            <v>55/成检</v>
          </cell>
        </row>
        <row r="614">
          <cell r="B614" t="str">
            <v>CB5315130-002R001</v>
          </cell>
          <cell r="D614" t="str">
            <v>B</v>
          </cell>
          <cell r="E614" t="str">
            <v>准备工时</v>
          </cell>
          <cell r="H614">
            <v>60</v>
          </cell>
          <cell r="I614">
            <v>60</v>
          </cell>
          <cell r="J614">
            <v>60</v>
          </cell>
          <cell r="K614">
            <v>60</v>
          </cell>
          <cell r="L614">
            <v>120</v>
          </cell>
          <cell r="M614">
            <v>60</v>
          </cell>
        </row>
        <row r="615">
          <cell r="B615" t="str">
            <v>CB5315130-002R001</v>
          </cell>
          <cell r="D615" t="str">
            <v>B</v>
          </cell>
          <cell r="E615" t="str">
            <v>装夹时间</v>
          </cell>
          <cell r="G615">
            <v>60</v>
          </cell>
          <cell r="L615">
            <v>60</v>
          </cell>
        </row>
        <row r="616">
          <cell r="B616" t="str">
            <v>CB5315130-002R001</v>
          </cell>
          <cell r="D616" t="str">
            <v>B</v>
          </cell>
          <cell r="E616" t="str">
            <v>程序时间</v>
          </cell>
          <cell r="H616">
            <v>90</v>
          </cell>
          <cell r="I616">
            <v>80</v>
          </cell>
          <cell r="J616">
            <v>290</v>
          </cell>
          <cell r="K616">
            <v>500</v>
          </cell>
          <cell r="L616">
            <v>350</v>
          </cell>
          <cell r="M616">
            <v>540</v>
          </cell>
          <cell r="O616">
            <v>240</v>
          </cell>
        </row>
        <row r="617">
          <cell r="B617" t="str">
            <v>CB5315120-002L001</v>
          </cell>
          <cell r="D617" t="str">
            <v>B</v>
          </cell>
          <cell r="E617" t="str">
            <v>工序内容</v>
          </cell>
          <cell r="F617" t="str">
            <v>0/领料</v>
          </cell>
          <cell r="G617" t="str">
            <v>5/钳工</v>
          </cell>
          <cell r="H617" t="str">
            <v>10/数铣</v>
          </cell>
          <cell r="I617" t="str">
            <v>15/数铣35</v>
          </cell>
          <cell r="J617" t="str">
            <v>20/数铣230</v>
          </cell>
          <cell r="K617" t="str">
            <v>25/数470</v>
          </cell>
          <cell r="L617" t="str">
            <v>30/五轴200</v>
          </cell>
          <cell r="M617" t="str">
            <v>35/数铣420</v>
          </cell>
          <cell r="N617" t="str">
            <v>40/测量</v>
          </cell>
          <cell r="O617" t="str">
            <v>45/钳工</v>
          </cell>
          <cell r="P617" t="str">
            <v>50/清洁</v>
          </cell>
          <cell r="Q617" t="str">
            <v>55/成检</v>
          </cell>
        </row>
        <row r="618">
          <cell r="B618" t="str">
            <v>CB5315120-002L001</v>
          </cell>
          <cell r="D618" t="str">
            <v>B</v>
          </cell>
          <cell r="E618" t="str">
            <v>准备工时</v>
          </cell>
          <cell r="H618">
            <v>60</v>
          </cell>
          <cell r="I618">
            <v>60</v>
          </cell>
          <cell r="J618">
            <v>60</v>
          </cell>
          <cell r="K618">
            <v>60</v>
          </cell>
          <cell r="L618">
            <v>120</v>
          </cell>
          <cell r="M618">
            <v>60</v>
          </cell>
        </row>
        <row r="619">
          <cell r="B619" t="str">
            <v>CB5315120-002L001</v>
          </cell>
          <cell r="D619" t="str">
            <v>B</v>
          </cell>
          <cell r="E619" t="str">
            <v>装夹时间</v>
          </cell>
          <cell r="G619">
            <v>60</v>
          </cell>
          <cell r="L619">
            <v>60</v>
          </cell>
        </row>
        <row r="620">
          <cell r="B620" t="str">
            <v>CB5315120-002L001</v>
          </cell>
          <cell r="D620" t="str">
            <v>B</v>
          </cell>
          <cell r="E620" t="str">
            <v>程序时间</v>
          </cell>
          <cell r="H620">
            <v>90</v>
          </cell>
          <cell r="I620">
            <v>65</v>
          </cell>
          <cell r="J620">
            <v>290</v>
          </cell>
          <cell r="K620">
            <v>560</v>
          </cell>
          <cell r="L620">
            <v>300</v>
          </cell>
          <cell r="M620">
            <v>750</v>
          </cell>
          <cell r="O620">
            <v>150</v>
          </cell>
        </row>
        <row r="621">
          <cell r="B621" t="str">
            <v>CB5315120-002R001</v>
          </cell>
          <cell r="D621" t="str">
            <v>B</v>
          </cell>
          <cell r="E621" t="str">
            <v>工序内容</v>
          </cell>
          <cell r="F621" t="str">
            <v>0/领料</v>
          </cell>
          <cell r="G621" t="str">
            <v>5/钳工</v>
          </cell>
          <cell r="H621" t="str">
            <v>10/数铣</v>
          </cell>
          <cell r="I621" t="str">
            <v>15/数铣35</v>
          </cell>
          <cell r="J621" t="str">
            <v>20/数铣230</v>
          </cell>
          <cell r="K621" t="str">
            <v>25/数470</v>
          </cell>
          <cell r="L621" t="str">
            <v>30/五轴200</v>
          </cell>
          <cell r="M621" t="str">
            <v>35/数铣420</v>
          </cell>
          <cell r="N621" t="str">
            <v>40/测量</v>
          </cell>
          <cell r="O621" t="str">
            <v>45/钳工</v>
          </cell>
          <cell r="P621" t="str">
            <v>50/清洁</v>
          </cell>
          <cell r="Q621" t="str">
            <v>55/成检</v>
          </cell>
        </row>
        <row r="622">
          <cell r="B622" t="str">
            <v>CB5315120-002R001</v>
          </cell>
          <cell r="D622" t="str">
            <v>B</v>
          </cell>
          <cell r="E622" t="str">
            <v>准备工时</v>
          </cell>
          <cell r="H622">
            <v>60</v>
          </cell>
          <cell r="I622">
            <v>60</v>
          </cell>
          <cell r="J622">
            <v>60</v>
          </cell>
          <cell r="K622">
            <v>60</v>
          </cell>
          <cell r="L622">
            <v>120</v>
          </cell>
          <cell r="M622">
            <v>60</v>
          </cell>
        </row>
        <row r="623">
          <cell r="B623" t="str">
            <v>CB5315120-002R001</v>
          </cell>
          <cell r="D623" t="str">
            <v>B</v>
          </cell>
          <cell r="E623" t="str">
            <v>装夹时间</v>
          </cell>
          <cell r="G623">
            <v>60</v>
          </cell>
          <cell r="L623">
            <v>60</v>
          </cell>
        </row>
        <row r="624">
          <cell r="B624" t="str">
            <v>CB5315120-002R001</v>
          </cell>
          <cell r="D624" t="str">
            <v>B</v>
          </cell>
          <cell r="E624" t="str">
            <v>程序时间</v>
          </cell>
          <cell r="H624">
            <v>90</v>
          </cell>
          <cell r="I624">
            <v>65</v>
          </cell>
          <cell r="J624">
            <v>290</v>
          </cell>
          <cell r="K624">
            <v>560</v>
          </cell>
          <cell r="L624">
            <v>300</v>
          </cell>
          <cell r="M624">
            <v>750</v>
          </cell>
          <cell r="O624">
            <v>150</v>
          </cell>
        </row>
        <row r="625">
          <cell r="B625" t="str">
            <v>CB5315120-002L/R001</v>
          </cell>
          <cell r="D625" t="str">
            <v>B</v>
          </cell>
          <cell r="E625" t="str">
            <v>工序内容</v>
          </cell>
          <cell r="F625" t="str">
            <v>0/领料</v>
          </cell>
          <cell r="G625" t="str">
            <v>5/钳工</v>
          </cell>
          <cell r="H625" t="str">
            <v>10/数铣</v>
          </cell>
          <cell r="I625" t="str">
            <v>15/数铣35</v>
          </cell>
          <cell r="J625" t="str">
            <v>20/数铣230</v>
          </cell>
          <cell r="K625" t="str">
            <v>25/数470</v>
          </cell>
          <cell r="L625" t="str">
            <v>30/五轴200</v>
          </cell>
          <cell r="M625" t="str">
            <v>35/数铣420</v>
          </cell>
          <cell r="N625" t="str">
            <v>40/测量</v>
          </cell>
          <cell r="O625" t="str">
            <v>45/钳工</v>
          </cell>
          <cell r="P625" t="str">
            <v>50/清洁</v>
          </cell>
          <cell r="Q625" t="str">
            <v>55/成检</v>
          </cell>
        </row>
        <row r="626">
          <cell r="B626" t="str">
            <v>CB5315120-002L/R001</v>
          </cell>
          <cell r="D626" t="str">
            <v>B</v>
          </cell>
          <cell r="E626" t="str">
            <v>准备工时</v>
          </cell>
          <cell r="H626">
            <v>60</v>
          </cell>
          <cell r="I626">
            <v>60</v>
          </cell>
          <cell r="J626">
            <v>60</v>
          </cell>
          <cell r="K626">
            <v>60</v>
          </cell>
          <cell r="L626">
            <v>120</v>
          </cell>
          <cell r="M626">
            <v>60</v>
          </cell>
        </row>
        <row r="627">
          <cell r="B627" t="str">
            <v>CB5315120-002L/R001</v>
          </cell>
          <cell r="D627" t="str">
            <v>B</v>
          </cell>
          <cell r="E627" t="str">
            <v>装夹时间</v>
          </cell>
          <cell r="G627">
            <v>60</v>
          </cell>
          <cell r="L627">
            <v>60</v>
          </cell>
        </row>
        <row r="628">
          <cell r="B628" t="str">
            <v>CB5315120-002L/R001</v>
          </cell>
          <cell r="D628" t="str">
            <v>B</v>
          </cell>
          <cell r="E628" t="str">
            <v>程序时间</v>
          </cell>
          <cell r="H628">
            <v>90</v>
          </cell>
          <cell r="I628">
            <v>65</v>
          </cell>
          <cell r="J628">
            <v>290</v>
          </cell>
          <cell r="K628">
            <v>560</v>
          </cell>
          <cell r="L628">
            <v>300</v>
          </cell>
          <cell r="M628">
            <v>750</v>
          </cell>
          <cell r="O628">
            <v>150</v>
          </cell>
        </row>
        <row r="629">
          <cell r="B629" t="str">
            <v>DD-J10-21102-410-0-Z</v>
          </cell>
          <cell r="D629" t="str">
            <v>J</v>
          </cell>
          <cell r="E629" t="str">
            <v>工序内容</v>
          </cell>
          <cell r="F629" t="str">
            <v>0/领料</v>
          </cell>
          <cell r="G629" t="str">
            <v>5/飞面</v>
          </cell>
          <cell r="H629" t="str">
            <v>10/孔50</v>
          </cell>
          <cell r="I629" t="str">
            <v>15/数铣120</v>
          </cell>
          <cell r="J629" t="str">
            <v>20/时效</v>
          </cell>
          <cell r="K629" t="str">
            <v>25/数铣</v>
          </cell>
          <cell r="L629" t="str">
            <v>30/数铣400</v>
          </cell>
          <cell r="M629" t="str">
            <v>35/数铣480</v>
          </cell>
          <cell r="N629" t="str">
            <v>40/测量</v>
          </cell>
          <cell r="O629" t="str">
            <v>45/数铣210</v>
          </cell>
          <cell r="P629" t="str">
            <v>50/数铣60</v>
          </cell>
          <cell r="Q629" t="str">
            <v>55/数铣55</v>
          </cell>
          <cell r="R629" t="str">
            <v>60/数铣55</v>
          </cell>
          <cell r="S629" t="str">
            <v>65/测量</v>
          </cell>
          <cell r="T629" t="str">
            <v>70/钳工</v>
          </cell>
          <cell r="U629" t="str">
            <v>75/清洁</v>
          </cell>
          <cell r="V629" t="str">
            <v>80/成检</v>
          </cell>
          <cell r="W629" t="str">
            <v>80/成检</v>
          </cell>
        </row>
        <row r="630">
          <cell r="B630" t="str">
            <v>DD-J10-21102-410-1-Z</v>
          </cell>
          <cell r="D630" t="str">
            <v>J</v>
          </cell>
          <cell r="E630" t="str">
            <v>准备工时</v>
          </cell>
          <cell r="G630">
            <v>60</v>
          </cell>
          <cell r="H630">
            <v>60</v>
          </cell>
          <cell r="I630">
            <v>60</v>
          </cell>
          <cell r="K630">
            <v>60</v>
          </cell>
          <cell r="L630">
            <v>120</v>
          </cell>
          <cell r="M630">
            <v>120</v>
          </cell>
          <cell r="O630">
            <v>60</v>
          </cell>
          <cell r="P630">
            <v>60</v>
          </cell>
          <cell r="Q630">
            <v>60</v>
          </cell>
          <cell r="R630">
            <v>60</v>
          </cell>
        </row>
        <row r="631">
          <cell r="B631" t="str">
            <v>DD-J10-21102-410-1-Z</v>
          </cell>
          <cell r="D631" t="str">
            <v>J</v>
          </cell>
          <cell r="E631" t="str">
            <v>装夹时间</v>
          </cell>
          <cell r="G631">
            <v>60</v>
          </cell>
          <cell r="H631">
            <v>60</v>
          </cell>
          <cell r="I631">
            <v>60</v>
          </cell>
          <cell r="K631">
            <v>60</v>
          </cell>
          <cell r="L631">
            <v>60</v>
          </cell>
          <cell r="M631">
            <v>60</v>
          </cell>
          <cell r="O631">
            <v>90</v>
          </cell>
          <cell r="P631">
            <v>60</v>
          </cell>
          <cell r="Q631">
            <v>60</v>
          </cell>
          <cell r="R631">
            <v>60</v>
          </cell>
        </row>
        <row r="632">
          <cell r="B632" t="str">
            <v>DD-J10-21102-410-1-Z</v>
          </cell>
          <cell r="D632" t="str">
            <v>J</v>
          </cell>
          <cell r="E632" t="str">
            <v>程序时间</v>
          </cell>
          <cell r="G632">
            <v>90</v>
          </cell>
          <cell r="H632">
            <v>90</v>
          </cell>
          <cell r="I632">
            <v>270</v>
          </cell>
          <cell r="K632">
            <v>90</v>
          </cell>
          <cell r="L632">
            <v>570</v>
          </cell>
          <cell r="M632">
            <v>600</v>
          </cell>
          <cell r="O632">
            <v>270</v>
          </cell>
          <cell r="P632">
            <v>60</v>
          </cell>
          <cell r="Q632">
            <v>90</v>
          </cell>
          <cell r="R632">
            <v>70</v>
          </cell>
          <cell r="T632">
            <v>360</v>
          </cell>
        </row>
        <row r="633">
          <cell r="B633" t="str">
            <v>图号</v>
          </cell>
        </row>
        <row r="634">
          <cell r="B634" t="str">
            <v>DD-J10-21102-410-2-Y</v>
          </cell>
          <cell r="D634" t="str">
            <v>J</v>
          </cell>
          <cell r="E634" t="str">
            <v>工序内容</v>
          </cell>
          <cell r="F634" t="str">
            <v>0/领料</v>
          </cell>
          <cell r="G634" t="str">
            <v>5/飞面</v>
          </cell>
          <cell r="H634" t="str">
            <v>10/孔50</v>
          </cell>
          <cell r="I634" t="str">
            <v>15/数铣120</v>
          </cell>
          <cell r="J634" t="str">
            <v>20/时效</v>
          </cell>
          <cell r="K634" t="str">
            <v>25/数铣</v>
          </cell>
          <cell r="L634" t="str">
            <v>30/数铣400</v>
          </cell>
          <cell r="M634" t="str">
            <v>35/数铣480</v>
          </cell>
          <cell r="N634" t="str">
            <v>40/测量</v>
          </cell>
          <cell r="O634" t="str">
            <v>45/数铣210</v>
          </cell>
          <cell r="P634" t="str">
            <v>50/数铣60</v>
          </cell>
          <cell r="Q634" t="str">
            <v>55/数铣55</v>
          </cell>
          <cell r="R634" t="str">
            <v>60/数铣55</v>
          </cell>
          <cell r="S634" t="str">
            <v>65/测量</v>
          </cell>
          <cell r="T634" t="str">
            <v>70/钳工</v>
          </cell>
          <cell r="U634" t="str">
            <v>75/清洁</v>
          </cell>
          <cell r="V634" t="str">
            <v>80/成检</v>
          </cell>
          <cell r="W634" t="str">
            <v>80/成检</v>
          </cell>
        </row>
        <row r="635">
          <cell r="B635" t="str">
            <v>DD-J10-21102-410-1-Y</v>
          </cell>
          <cell r="D635" t="str">
            <v>J</v>
          </cell>
          <cell r="E635" t="str">
            <v>准备工时</v>
          </cell>
          <cell r="G635">
            <v>60</v>
          </cell>
          <cell r="H635">
            <v>60</v>
          </cell>
          <cell r="I635">
            <v>60</v>
          </cell>
          <cell r="K635">
            <v>60</v>
          </cell>
          <cell r="L635">
            <v>120</v>
          </cell>
          <cell r="M635">
            <v>120</v>
          </cell>
          <cell r="O635">
            <v>60</v>
          </cell>
          <cell r="P635">
            <v>60</v>
          </cell>
          <cell r="Q635">
            <v>60</v>
          </cell>
          <cell r="R635">
            <v>60</v>
          </cell>
        </row>
        <row r="636">
          <cell r="B636" t="str">
            <v>DD-J10-21102-410-0-Y</v>
          </cell>
          <cell r="D636" t="str">
            <v>J</v>
          </cell>
          <cell r="E636" t="str">
            <v>装夹时间</v>
          </cell>
          <cell r="G636">
            <v>60</v>
          </cell>
          <cell r="H636">
            <v>60</v>
          </cell>
          <cell r="I636">
            <v>60</v>
          </cell>
          <cell r="K636">
            <v>60</v>
          </cell>
          <cell r="L636">
            <v>60</v>
          </cell>
          <cell r="M636">
            <v>60</v>
          </cell>
          <cell r="O636">
            <v>90</v>
          </cell>
          <cell r="P636">
            <v>60</v>
          </cell>
          <cell r="Q636">
            <v>60</v>
          </cell>
          <cell r="R636">
            <v>60</v>
          </cell>
        </row>
        <row r="637">
          <cell r="B637" t="str">
            <v>DD-J10-21102-410-1-Y</v>
          </cell>
          <cell r="D637" t="str">
            <v>J</v>
          </cell>
          <cell r="E637" t="str">
            <v>程序时间</v>
          </cell>
          <cell r="G637">
            <v>90</v>
          </cell>
          <cell r="H637">
            <v>90</v>
          </cell>
          <cell r="I637">
            <v>270</v>
          </cell>
          <cell r="K637">
            <v>90</v>
          </cell>
          <cell r="L637">
            <v>570</v>
          </cell>
          <cell r="M637">
            <v>600</v>
          </cell>
          <cell r="O637">
            <v>270</v>
          </cell>
          <cell r="P637">
            <v>60</v>
          </cell>
          <cell r="Q637">
            <v>90</v>
          </cell>
          <cell r="R637">
            <v>70</v>
          </cell>
          <cell r="T637">
            <v>360</v>
          </cell>
        </row>
        <row r="638">
          <cell r="B638" t="str">
            <v>图号</v>
          </cell>
        </row>
        <row r="639">
          <cell r="B639" t="str">
            <v>DD-J10-05156-2-Z</v>
          </cell>
          <cell r="D639" t="str">
            <v>G</v>
          </cell>
          <cell r="E639" t="str">
            <v>工序内容</v>
          </cell>
          <cell r="F639" t="str">
            <v>0/领料</v>
          </cell>
          <cell r="G639" t="str">
            <v>05/数铣</v>
          </cell>
          <cell r="H639" t="str">
            <v>10/数铣15</v>
          </cell>
          <cell r="I639" t="str">
            <v>15/数铣60</v>
          </cell>
          <cell r="J639" t="str">
            <v>20/数铣90</v>
          </cell>
          <cell r="K639" t="str">
            <v>2530/测量</v>
          </cell>
          <cell r="L639" t="str">
            <v>30/钳工</v>
          </cell>
          <cell r="M639" t="str">
            <v>35/清洁</v>
          </cell>
          <cell r="N639" t="str">
            <v>40/成检</v>
          </cell>
        </row>
        <row r="640">
          <cell r="B640" t="str">
            <v>DD-J10-05156-2-Z</v>
          </cell>
          <cell r="D640" t="str">
            <v>G</v>
          </cell>
          <cell r="E640" t="str">
            <v>准备工时</v>
          </cell>
          <cell r="G640">
            <v>60</v>
          </cell>
          <cell r="H640">
            <v>60</v>
          </cell>
          <cell r="I640">
            <v>60</v>
          </cell>
          <cell r="J640">
            <v>90</v>
          </cell>
        </row>
        <row r="641">
          <cell r="B641" t="str">
            <v>DD-J10-05156-2-Z</v>
          </cell>
          <cell r="D641" t="str">
            <v>G</v>
          </cell>
          <cell r="E641" t="str">
            <v>装夹时间</v>
          </cell>
        </row>
        <row r="642">
          <cell r="B642" t="str">
            <v>DD-J10-05156-2-Z</v>
          </cell>
          <cell r="D642" t="str">
            <v>G</v>
          </cell>
          <cell r="E642" t="str">
            <v>程序时间</v>
          </cell>
          <cell r="G642">
            <v>60</v>
          </cell>
          <cell r="H642">
            <v>60</v>
          </cell>
          <cell r="I642">
            <v>100</v>
          </cell>
          <cell r="J642">
            <v>210</v>
          </cell>
          <cell r="L642">
            <v>30</v>
          </cell>
        </row>
        <row r="643">
          <cell r="B643" t="str">
            <v>图号</v>
          </cell>
        </row>
        <row r="644">
          <cell r="B644" t="str">
            <v>DD-J10-05156-2-Y</v>
          </cell>
          <cell r="D644" t="str">
            <v>G</v>
          </cell>
          <cell r="E644" t="str">
            <v>工序内容</v>
          </cell>
          <cell r="F644" t="str">
            <v>0/领料</v>
          </cell>
          <cell r="G644" t="str">
            <v>05/数铣</v>
          </cell>
          <cell r="H644" t="str">
            <v>10/数铣15</v>
          </cell>
          <cell r="I644" t="str">
            <v>15/数铣60</v>
          </cell>
          <cell r="J644" t="str">
            <v>20/数铣90</v>
          </cell>
          <cell r="K644" t="str">
            <v>2530/测量</v>
          </cell>
          <cell r="L644" t="str">
            <v>30/钳工</v>
          </cell>
          <cell r="M644" t="str">
            <v>35/清洁</v>
          </cell>
          <cell r="N644" t="str">
            <v>40/成检</v>
          </cell>
        </row>
        <row r="645">
          <cell r="B645" t="str">
            <v>DD-J10-05156-2-Y</v>
          </cell>
          <cell r="D645" t="str">
            <v>G</v>
          </cell>
          <cell r="E645" t="str">
            <v>准备工时</v>
          </cell>
          <cell r="G645">
            <v>60</v>
          </cell>
          <cell r="H645">
            <v>60</v>
          </cell>
          <cell r="I645">
            <v>60</v>
          </cell>
          <cell r="J645">
            <v>90</v>
          </cell>
        </row>
        <row r="646">
          <cell r="B646" t="str">
            <v>DD-J10-05156-2-Y</v>
          </cell>
          <cell r="D646" t="str">
            <v>G</v>
          </cell>
          <cell r="E646" t="str">
            <v>装夹时间</v>
          </cell>
        </row>
        <row r="647">
          <cell r="B647" t="str">
            <v>DD-J10-05156-2-Y</v>
          </cell>
          <cell r="D647" t="str">
            <v>G</v>
          </cell>
          <cell r="E647" t="str">
            <v>程序时间</v>
          </cell>
          <cell r="G647">
            <v>60</v>
          </cell>
          <cell r="H647">
            <v>60</v>
          </cell>
          <cell r="I647">
            <v>100</v>
          </cell>
          <cell r="J647">
            <v>210</v>
          </cell>
          <cell r="L647">
            <v>30</v>
          </cell>
        </row>
        <row r="648">
          <cell r="B648" t="str">
            <v>图号</v>
          </cell>
        </row>
        <row r="649">
          <cell r="B649" t="str">
            <v>CB2747G30-003-002</v>
          </cell>
          <cell r="D649" t="str">
            <v>B</v>
          </cell>
          <cell r="E649" t="str">
            <v>工序内容</v>
          </cell>
          <cell r="F649" t="str">
            <v>0/领料</v>
          </cell>
          <cell r="G649" t="str">
            <v>05/数车</v>
          </cell>
          <cell r="H649" t="str">
            <v>10/数车</v>
          </cell>
          <cell r="I649" t="str">
            <v>15/数铣5</v>
          </cell>
          <cell r="J649" t="str">
            <v>20/钳工</v>
          </cell>
          <cell r="K649" t="str">
            <v>25/分光</v>
          </cell>
          <cell r="L649" t="str">
            <v>30/检验</v>
          </cell>
          <cell r="M649" t="str">
            <v>35/线切割</v>
          </cell>
          <cell r="N649" t="str">
            <v>40/穿孔</v>
          </cell>
          <cell r="O649" t="str">
            <v>45/钳工</v>
          </cell>
          <cell r="P649" t="str">
            <v>50/清洁</v>
          </cell>
          <cell r="Q649" t="str">
            <v>55/成检</v>
          </cell>
        </row>
        <row r="650">
          <cell r="B650" t="str">
            <v>CB2747G30-003-002</v>
          </cell>
          <cell r="D650" t="str">
            <v>B</v>
          </cell>
          <cell r="E650" t="str">
            <v>准备工时</v>
          </cell>
          <cell r="G650">
            <v>90</v>
          </cell>
          <cell r="H650">
            <v>90</v>
          </cell>
          <cell r="I650">
            <v>60</v>
          </cell>
        </row>
        <row r="651">
          <cell r="B651" t="str">
            <v>CB2747G30-003-002</v>
          </cell>
          <cell r="D651" t="str">
            <v>B</v>
          </cell>
          <cell r="E651" t="str">
            <v>装夹时间</v>
          </cell>
        </row>
        <row r="652">
          <cell r="B652" t="str">
            <v>CB2747G30-003-002</v>
          </cell>
          <cell r="D652" t="str">
            <v>B</v>
          </cell>
          <cell r="E652" t="str">
            <v>程序时间</v>
          </cell>
          <cell r="G652">
            <v>25</v>
          </cell>
          <cell r="H652">
            <v>60</v>
          </cell>
          <cell r="I652">
            <v>25</v>
          </cell>
          <cell r="J652">
            <v>20</v>
          </cell>
          <cell r="O652">
            <v>30</v>
          </cell>
        </row>
        <row r="653">
          <cell r="B653" t="str">
            <v>图号</v>
          </cell>
        </row>
        <row r="654">
          <cell r="B654" t="str">
            <v>DD-J10-04021-4</v>
          </cell>
          <cell r="D654" t="str">
            <v>D</v>
          </cell>
          <cell r="E654" t="str">
            <v>工序内容</v>
          </cell>
          <cell r="F654" t="str">
            <v>0/领料</v>
          </cell>
          <cell r="G654" t="str">
            <v>5/数铣</v>
          </cell>
          <cell r="H654" t="str">
            <v>10/数铣25</v>
          </cell>
          <cell r="I654" t="str">
            <v>15/数铣10</v>
          </cell>
          <cell r="J654" t="str">
            <v>20/数铣60</v>
          </cell>
          <cell r="K654" t="str">
            <v>25/数铣50</v>
          </cell>
          <cell r="L654" t="str">
            <v>30/测量</v>
          </cell>
          <cell r="M654" t="str">
            <v>35钳工</v>
          </cell>
          <cell r="N654" t="str">
            <v>40/清洁</v>
          </cell>
          <cell r="O654" t="str">
            <v>45/成检</v>
          </cell>
        </row>
        <row r="655">
          <cell r="B655" t="str">
            <v>DD-J10-04021-4</v>
          </cell>
          <cell r="D655" t="str">
            <v>D</v>
          </cell>
          <cell r="E655" t="str">
            <v>准备工时</v>
          </cell>
          <cell r="G655">
            <v>60</v>
          </cell>
          <cell r="H655">
            <v>90</v>
          </cell>
          <cell r="I655">
            <v>60</v>
          </cell>
          <cell r="J655">
            <v>90</v>
          </cell>
          <cell r="K655">
            <v>90</v>
          </cell>
        </row>
        <row r="656">
          <cell r="B656" t="str">
            <v>DD-J10-04021-4</v>
          </cell>
          <cell r="D656" t="str">
            <v>D</v>
          </cell>
          <cell r="E656" t="str">
            <v>装夹时间</v>
          </cell>
        </row>
        <row r="657">
          <cell r="B657" t="str">
            <v>DD-J10-04021-4</v>
          </cell>
          <cell r="D657" t="str">
            <v>D</v>
          </cell>
          <cell r="E657" t="str">
            <v>程序时间</v>
          </cell>
          <cell r="G657">
            <v>40</v>
          </cell>
          <cell r="H657">
            <v>60</v>
          </cell>
          <cell r="I657">
            <v>25</v>
          </cell>
          <cell r="J657">
            <v>90</v>
          </cell>
          <cell r="K657">
            <v>80</v>
          </cell>
          <cell r="M657">
            <v>60</v>
          </cell>
        </row>
        <row r="658">
          <cell r="B658" t="str">
            <v>图号</v>
          </cell>
        </row>
        <row r="659">
          <cell r="B659" t="str">
            <v>CB5325125-404L001</v>
          </cell>
          <cell r="D659" t="str">
            <v>B</v>
          </cell>
          <cell r="E659" t="str">
            <v>工序内容</v>
          </cell>
          <cell r="F659" t="str">
            <v>0/领料</v>
          </cell>
          <cell r="G659" t="str">
            <v>5/下料</v>
          </cell>
          <cell r="H659" t="str">
            <v>10/数铣</v>
          </cell>
          <cell r="I659" t="str">
            <v>15/数铣20</v>
          </cell>
          <cell r="J659" t="str">
            <v>20/数铣50</v>
          </cell>
          <cell r="K659" t="str">
            <v>25/数铣105</v>
          </cell>
          <cell r="L659" t="str">
            <v>30/数铣25</v>
          </cell>
          <cell r="M659" t="str">
            <v>35/数铣25</v>
          </cell>
          <cell r="N659" t="str">
            <v>40/测量</v>
          </cell>
          <cell r="O659" t="str">
            <v>45/钳工</v>
          </cell>
          <cell r="P659" t="str">
            <v>65/分光</v>
          </cell>
          <cell r="Q659" t="str">
            <v>70/去分光点</v>
          </cell>
        </row>
        <row r="660">
          <cell r="B660" t="str">
            <v>CB5325125-404L001</v>
          </cell>
          <cell r="D660" t="str">
            <v>B</v>
          </cell>
          <cell r="E660" t="str">
            <v>准备工时</v>
          </cell>
          <cell r="H660">
            <v>60</v>
          </cell>
          <cell r="I660">
            <v>60</v>
          </cell>
          <cell r="J660">
            <v>60</v>
          </cell>
          <cell r="K660">
            <v>60</v>
          </cell>
          <cell r="L660">
            <v>90</v>
          </cell>
          <cell r="M660">
            <v>90</v>
          </cell>
        </row>
        <row r="661">
          <cell r="B661" t="str">
            <v>CB5325125-404L001</v>
          </cell>
          <cell r="D661" t="str">
            <v>B</v>
          </cell>
          <cell r="E661" t="str">
            <v>装夹时间</v>
          </cell>
        </row>
        <row r="662">
          <cell r="B662" t="str">
            <v>CB5325125-404L001</v>
          </cell>
          <cell r="D662" t="str">
            <v>B</v>
          </cell>
          <cell r="E662" t="str">
            <v>程序时间</v>
          </cell>
          <cell r="G662">
            <v>30</v>
          </cell>
          <cell r="H662">
            <v>45</v>
          </cell>
          <cell r="I662">
            <v>30</v>
          </cell>
          <cell r="J662">
            <v>90</v>
          </cell>
          <cell r="K662">
            <v>220</v>
          </cell>
          <cell r="L662">
            <v>60</v>
          </cell>
          <cell r="M662">
            <v>60</v>
          </cell>
          <cell r="O662">
            <v>50</v>
          </cell>
          <cell r="Q662">
            <v>5</v>
          </cell>
        </row>
        <row r="663">
          <cell r="B663" t="str">
            <v>图号</v>
          </cell>
        </row>
        <row r="664">
          <cell r="B664" t="str">
            <v>CB5325125-404R001</v>
          </cell>
          <cell r="D664" t="str">
            <v>B</v>
          </cell>
          <cell r="E664" t="str">
            <v>工序内容</v>
          </cell>
          <cell r="F664" t="str">
            <v>0/领料</v>
          </cell>
          <cell r="G664" t="str">
            <v>5/下料</v>
          </cell>
          <cell r="H664" t="str">
            <v>10/数铣</v>
          </cell>
          <cell r="I664" t="str">
            <v>15/数铣20</v>
          </cell>
          <cell r="J664" t="str">
            <v>20/数铣50</v>
          </cell>
          <cell r="K664" t="str">
            <v>25/数铣105</v>
          </cell>
          <cell r="L664" t="str">
            <v>30/数铣25</v>
          </cell>
          <cell r="M664" t="str">
            <v>35/数铣25</v>
          </cell>
          <cell r="N664" t="str">
            <v>40/测量</v>
          </cell>
          <cell r="O664" t="str">
            <v>45/钳工</v>
          </cell>
          <cell r="P664" t="str">
            <v>65/分光</v>
          </cell>
          <cell r="Q664" t="str">
            <v>70/去分光点</v>
          </cell>
        </row>
        <row r="665">
          <cell r="B665" t="str">
            <v>CB5325125-404R001</v>
          </cell>
          <cell r="D665" t="str">
            <v>B</v>
          </cell>
          <cell r="E665" t="str">
            <v>准备工时</v>
          </cell>
          <cell r="H665">
            <v>60</v>
          </cell>
          <cell r="I665">
            <v>60</v>
          </cell>
          <cell r="J665">
            <v>60</v>
          </cell>
          <cell r="K665">
            <v>60</v>
          </cell>
          <cell r="L665">
            <v>90</v>
          </cell>
          <cell r="M665">
            <v>90</v>
          </cell>
        </row>
        <row r="666">
          <cell r="B666" t="str">
            <v>CB5325125-404R001</v>
          </cell>
          <cell r="D666" t="str">
            <v>B</v>
          </cell>
          <cell r="E666" t="str">
            <v>装夹时间</v>
          </cell>
        </row>
        <row r="667">
          <cell r="B667" t="str">
            <v>CB5325125-404R001</v>
          </cell>
          <cell r="D667" t="str">
            <v>B</v>
          </cell>
          <cell r="E667" t="str">
            <v>程序时间</v>
          </cell>
          <cell r="G667">
            <v>30</v>
          </cell>
          <cell r="H667">
            <v>45</v>
          </cell>
          <cell r="I667">
            <v>30</v>
          </cell>
          <cell r="J667">
            <v>90</v>
          </cell>
          <cell r="K667">
            <v>180</v>
          </cell>
          <cell r="L667">
            <v>60</v>
          </cell>
          <cell r="M667">
            <v>60</v>
          </cell>
          <cell r="O667">
            <v>50</v>
          </cell>
          <cell r="Q667">
            <v>5</v>
          </cell>
        </row>
        <row r="668">
          <cell r="B668" t="str">
            <v>图号</v>
          </cell>
        </row>
        <row r="669">
          <cell r="B669" t="str">
            <v>Y20-5826100003-001</v>
          </cell>
          <cell r="D669" t="str">
            <v>C</v>
          </cell>
          <cell r="E669" t="str">
            <v>工序内容</v>
          </cell>
          <cell r="F669" t="str">
            <v>0/领料</v>
          </cell>
          <cell r="G669" t="str">
            <v>05/数铣</v>
          </cell>
          <cell r="H669" t="str">
            <v>10/数铣180</v>
          </cell>
          <cell r="I669" t="str">
            <v>15/数铣</v>
          </cell>
          <cell r="J669" t="str">
            <v>20/数铣25</v>
          </cell>
          <cell r="K669" t="str">
            <v>25/数铣15</v>
          </cell>
          <cell r="L669" t="str">
            <v>30/钳工</v>
          </cell>
          <cell r="M669" t="str">
            <v>35/检验</v>
          </cell>
          <cell r="N669" t="str">
            <v>40/分光</v>
          </cell>
          <cell r="O669" t="str">
            <v>45/钳工</v>
          </cell>
          <cell r="P669" t="str">
            <v>50/清洁</v>
          </cell>
          <cell r="Q669" t="str">
            <v>55/成检</v>
          </cell>
        </row>
        <row r="670">
          <cell r="B670" t="str">
            <v>Y20-5826100003-001</v>
          </cell>
          <cell r="D670" t="str">
            <v>C</v>
          </cell>
          <cell r="E670" t="str">
            <v>准备工时</v>
          </cell>
          <cell r="G670">
            <v>60</v>
          </cell>
          <cell r="H670">
            <v>60</v>
          </cell>
          <cell r="I670">
            <v>60</v>
          </cell>
          <cell r="J670">
            <v>60</v>
          </cell>
          <cell r="K670">
            <v>90</v>
          </cell>
        </row>
        <row r="671">
          <cell r="B671" t="str">
            <v>Y20-5826100003-001</v>
          </cell>
          <cell r="D671" t="str">
            <v>C</v>
          </cell>
          <cell r="E671" t="str">
            <v>装夹时间</v>
          </cell>
        </row>
        <row r="672">
          <cell r="B672" t="str">
            <v>Y20-5826100003-001</v>
          </cell>
          <cell r="D672" t="str">
            <v>C</v>
          </cell>
          <cell r="E672" t="str">
            <v>程序时间</v>
          </cell>
          <cell r="G672">
            <v>40</v>
          </cell>
          <cell r="H672">
            <v>270</v>
          </cell>
          <cell r="I672">
            <v>25</v>
          </cell>
          <cell r="J672">
            <v>35</v>
          </cell>
          <cell r="K672">
            <v>75</v>
          </cell>
          <cell r="L672" t="str">
            <v>70</v>
          </cell>
          <cell r="O672">
            <v>10</v>
          </cell>
        </row>
        <row r="673">
          <cell r="B673" t="str">
            <v>图号</v>
          </cell>
        </row>
        <row r="674">
          <cell r="B674" t="str">
            <v>Y20-5316200098-001</v>
          </cell>
          <cell r="D674" t="str">
            <v>B</v>
          </cell>
          <cell r="E674" t="str">
            <v>工序内容</v>
          </cell>
          <cell r="F674" t="str">
            <v>0/领料</v>
          </cell>
          <cell r="G674" t="str">
            <v>5/数铣</v>
          </cell>
          <cell r="H674" t="str">
            <v>10/数铣18</v>
          </cell>
          <cell r="I674" t="str">
            <v>15/数铣55</v>
          </cell>
          <cell r="J674" t="str">
            <v>18/时效</v>
          </cell>
          <cell r="K674" t="str">
            <v>20/数铣</v>
          </cell>
          <cell r="L674" t="str">
            <v>25/数铣38</v>
          </cell>
          <cell r="M674" t="str">
            <v>30/数铣100</v>
          </cell>
          <cell r="N674" t="str">
            <v>35/测量</v>
          </cell>
          <cell r="O674" t="str">
            <v>40/钳工</v>
          </cell>
          <cell r="P674" t="str">
            <v>45/数铣</v>
          </cell>
          <cell r="Q674" t="str">
            <v>50/清洁</v>
          </cell>
          <cell r="R674" t="str">
            <v>55/成检</v>
          </cell>
        </row>
        <row r="675">
          <cell r="B675" t="str">
            <v>Y20-5316200098-001</v>
          </cell>
          <cell r="D675" t="str">
            <v>B</v>
          </cell>
          <cell r="E675" t="str">
            <v>准备工时</v>
          </cell>
          <cell r="G675">
            <v>60</v>
          </cell>
          <cell r="H675">
            <v>60</v>
          </cell>
          <cell r="I675">
            <v>60</v>
          </cell>
          <cell r="K675">
            <v>60</v>
          </cell>
          <cell r="L675">
            <v>60</v>
          </cell>
          <cell r="M675">
            <v>60</v>
          </cell>
        </row>
        <row r="676">
          <cell r="B676" t="str">
            <v>Y20-5316200098-001</v>
          </cell>
          <cell r="D676" t="str">
            <v>B</v>
          </cell>
          <cell r="E676" t="str">
            <v>装夹时间</v>
          </cell>
        </row>
        <row r="677">
          <cell r="B677" t="str">
            <v>Y20-5316200098-001</v>
          </cell>
          <cell r="D677" t="str">
            <v>B</v>
          </cell>
          <cell r="E677" t="str">
            <v>程序时间</v>
          </cell>
          <cell r="G677">
            <v>75</v>
          </cell>
          <cell r="H677">
            <v>45</v>
          </cell>
          <cell r="I677">
            <v>100</v>
          </cell>
          <cell r="K677">
            <v>120</v>
          </cell>
          <cell r="L677">
            <v>60</v>
          </cell>
          <cell r="M677">
            <v>150</v>
          </cell>
          <cell r="O677">
            <v>100</v>
          </cell>
          <cell r="P677">
            <v>10</v>
          </cell>
        </row>
        <row r="678">
          <cell r="B678" t="str">
            <v>图号</v>
          </cell>
        </row>
        <row r="679">
          <cell r="B679" t="str">
            <v>CB2284460-004-001</v>
          </cell>
          <cell r="D679" t="str">
            <v>B</v>
          </cell>
          <cell r="E679" t="str">
            <v>工序内容</v>
          </cell>
          <cell r="F679" t="str">
            <v>0/领料</v>
          </cell>
          <cell r="G679" t="str">
            <v>05/数铣</v>
          </cell>
          <cell r="H679" t="str">
            <v>10/数铣20</v>
          </cell>
          <cell r="I679" t="str">
            <v>15/数铣15</v>
          </cell>
          <cell r="J679" t="str">
            <v>20/数铣25</v>
          </cell>
          <cell r="K679" t="str">
            <v>25/数铣20</v>
          </cell>
          <cell r="L679" t="str">
            <v>30/钳工</v>
          </cell>
          <cell r="M679" t="str">
            <v>35/分光</v>
          </cell>
          <cell r="N679" t="str">
            <v>40/硬度</v>
          </cell>
          <cell r="O679" t="str">
            <v>45/数车30</v>
          </cell>
          <cell r="P679" t="str">
            <v>50/数车45</v>
          </cell>
          <cell r="Q679" t="str">
            <v>55/数车35</v>
          </cell>
          <cell r="R679" t="str">
            <v>60/数车15</v>
          </cell>
          <cell r="S679" t="str">
            <v>65/数车35</v>
          </cell>
          <cell r="T679" t="str">
            <v>70/数铣10</v>
          </cell>
          <cell r="U679" t="str">
            <v>75/数铣15</v>
          </cell>
          <cell r="V679" t="str">
            <v>80/数车35</v>
          </cell>
          <cell r="W679" t="str">
            <v>85/钳工</v>
          </cell>
          <cell r="X679" t="str">
            <v>85/清洁</v>
          </cell>
          <cell r="Y679" t="str">
            <v>90/成检</v>
          </cell>
        </row>
        <row r="680">
          <cell r="B680" t="str">
            <v>CB2284460-004-001</v>
          </cell>
          <cell r="D680" t="str">
            <v>B</v>
          </cell>
          <cell r="E680" t="str">
            <v>准备工时</v>
          </cell>
          <cell r="G680">
            <v>60</v>
          </cell>
          <cell r="H680">
            <v>60</v>
          </cell>
          <cell r="I680">
            <v>60</v>
          </cell>
          <cell r="J680">
            <v>60</v>
          </cell>
          <cell r="K680">
            <v>60</v>
          </cell>
          <cell r="O680">
            <v>180</v>
          </cell>
          <cell r="P680">
            <v>180</v>
          </cell>
          <cell r="Q680">
            <v>180</v>
          </cell>
          <cell r="R680">
            <v>120</v>
          </cell>
          <cell r="S680">
            <v>180</v>
          </cell>
          <cell r="T680">
            <v>60</v>
          </cell>
          <cell r="U680">
            <v>60</v>
          </cell>
          <cell r="V680">
            <v>180</v>
          </cell>
        </row>
        <row r="681">
          <cell r="B681" t="str">
            <v>CB2284460-004-001</v>
          </cell>
          <cell r="D681" t="str">
            <v>B</v>
          </cell>
          <cell r="E681" t="str">
            <v>装夹时间</v>
          </cell>
        </row>
        <row r="682">
          <cell r="B682" t="str">
            <v>CB2284460-004-001</v>
          </cell>
          <cell r="D682" t="str">
            <v>B</v>
          </cell>
          <cell r="E682" t="str">
            <v>程序时间</v>
          </cell>
          <cell r="G682">
            <v>60</v>
          </cell>
          <cell r="H682">
            <v>45</v>
          </cell>
          <cell r="I682">
            <v>30</v>
          </cell>
          <cell r="J682">
            <v>45</v>
          </cell>
          <cell r="K682">
            <v>40</v>
          </cell>
          <cell r="L682">
            <v>35</v>
          </cell>
          <cell r="O682">
            <v>45</v>
          </cell>
          <cell r="P682">
            <v>80</v>
          </cell>
          <cell r="Q682">
            <v>60</v>
          </cell>
          <cell r="R682">
            <v>25</v>
          </cell>
          <cell r="S682">
            <v>60</v>
          </cell>
          <cell r="T682">
            <v>40</v>
          </cell>
          <cell r="U682">
            <v>40</v>
          </cell>
          <cell r="V682">
            <v>50</v>
          </cell>
          <cell r="W682">
            <v>45</v>
          </cell>
        </row>
        <row r="683">
          <cell r="B683" t="str">
            <v>图号</v>
          </cell>
        </row>
        <row r="684">
          <cell r="B684" t="str">
            <v>CB2297120-005-002</v>
          </cell>
          <cell r="D684" t="str">
            <v>E</v>
          </cell>
          <cell r="E684" t="str">
            <v>工序内容</v>
          </cell>
          <cell r="F684" t="str">
            <v>0/检验</v>
          </cell>
          <cell r="G684" t="str">
            <v>5/数铣</v>
          </cell>
          <cell r="H684" t="str">
            <v>10/数铣55</v>
          </cell>
          <cell r="I684" t="str">
            <v>15/线切割</v>
          </cell>
          <cell r="J684" t="str">
            <v>18/数铣</v>
          </cell>
          <cell r="K684" t="str">
            <v>20/数铣10</v>
          </cell>
          <cell r="L684" t="str">
            <v>25/数铣10</v>
          </cell>
          <cell r="M684" t="str">
            <v>30/测量</v>
          </cell>
          <cell r="N684" t="str">
            <v>35/钳工</v>
          </cell>
          <cell r="O684" t="str">
            <v>40/铣试块</v>
          </cell>
          <cell r="P684" t="str">
            <v>45/硬度</v>
          </cell>
          <cell r="Q684" t="str">
            <v>50/分光</v>
          </cell>
          <cell r="R684" t="str">
            <v>55/复验</v>
          </cell>
          <cell r="S684" t="str">
            <v>60/钳工</v>
          </cell>
        </row>
        <row r="685">
          <cell r="B685" t="str">
            <v>CB2297120-005-002</v>
          </cell>
          <cell r="D685" t="str">
            <v>E</v>
          </cell>
          <cell r="E685" t="str">
            <v>准备工时</v>
          </cell>
          <cell r="G685">
            <v>60</v>
          </cell>
          <cell r="H685">
            <v>120</v>
          </cell>
          <cell r="I685">
            <v>60</v>
          </cell>
          <cell r="J685">
            <v>90</v>
          </cell>
          <cell r="K685">
            <v>60</v>
          </cell>
          <cell r="L685">
            <v>60</v>
          </cell>
          <cell r="N685">
            <v>30</v>
          </cell>
          <cell r="O685">
            <v>10</v>
          </cell>
          <cell r="S685">
            <v>5</v>
          </cell>
        </row>
        <row r="686">
          <cell r="B686" t="str">
            <v>CB2297120-005-002</v>
          </cell>
          <cell r="D686" t="str">
            <v>E</v>
          </cell>
          <cell r="E686" t="str">
            <v>装夹时间</v>
          </cell>
        </row>
        <row r="687">
          <cell r="B687" t="str">
            <v>CB2297120-005-002</v>
          </cell>
          <cell r="D687" t="str">
            <v>E</v>
          </cell>
          <cell r="E687" t="str">
            <v>程序时间</v>
          </cell>
          <cell r="G687">
            <v>30</v>
          </cell>
          <cell r="H687">
            <v>75</v>
          </cell>
          <cell r="J687">
            <v>20</v>
          </cell>
          <cell r="K687">
            <v>30</v>
          </cell>
          <cell r="L687">
            <v>20</v>
          </cell>
        </row>
        <row r="688">
          <cell r="B688" t="str">
            <v>图号</v>
          </cell>
        </row>
        <row r="689">
          <cell r="B689" t="str">
            <v>CB2297120-006-002</v>
          </cell>
          <cell r="D689" t="str">
            <v>E</v>
          </cell>
          <cell r="E689" t="str">
            <v>工序内容</v>
          </cell>
          <cell r="F689" t="str">
            <v>0/检验</v>
          </cell>
          <cell r="G689" t="str">
            <v>5/数铣</v>
          </cell>
          <cell r="H689" t="str">
            <v>10/数铣55</v>
          </cell>
          <cell r="I689" t="str">
            <v>15/线切割</v>
          </cell>
          <cell r="J689" t="str">
            <v>18/数铣</v>
          </cell>
          <cell r="K689" t="str">
            <v>20/数铣10</v>
          </cell>
          <cell r="L689" t="str">
            <v>25/数铣10</v>
          </cell>
          <cell r="M689" t="str">
            <v>30/测量</v>
          </cell>
          <cell r="N689" t="str">
            <v>35/钳工</v>
          </cell>
          <cell r="O689" t="str">
            <v>40/铣试块</v>
          </cell>
          <cell r="P689" t="str">
            <v>45/硬度</v>
          </cell>
          <cell r="Q689" t="str">
            <v>50/分光</v>
          </cell>
          <cell r="R689" t="str">
            <v>55/复验</v>
          </cell>
          <cell r="S689" t="str">
            <v>60/钳工</v>
          </cell>
        </row>
        <row r="690">
          <cell r="B690" t="str">
            <v>CB2297120-006-002</v>
          </cell>
          <cell r="D690" t="str">
            <v>E</v>
          </cell>
          <cell r="E690" t="str">
            <v>准备工时</v>
          </cell>
          <cell r="G690">
            <v>60</v>
          </cell>
          <cell r="H690">
            <v>120</v>
          </cell>
          <cell r="I690">
            <v>60</v>
          </cell>
          <cell r="J690">
            <v>90</v>
          </cell>
          <cell r="K690">
            <v>60</v>
          </cell>
          <cell r="L690">
            <v>60</v>
          </cell>
          <cell r="N690">
            <v>30</v>
          </cell>
          <cell r="O690">
            <v>10</v>
          </cell>
          <cell r="S690">
            <v>5</v>
          </cell>
        </row>
        <row r="691">
          <cell r="B691" t="str">
            <v>CB2297120-006-002</v>
          </cell>
          <cell r="D691" t="str">
            <v>E</v>
          </cell>
          <cell r="E691" t="str">
            <v>装夹时间</v>
          </cell>
        </row>
        <row r="692">
          <cell r="B692" t="str">
            <v>CB2297120-006-002</v>
          </cell>
          <cell r="D692" t="str">
            <v>E</v>
          </cell>
          <cell r="E692" t="str">
            <v>程序时间</v>
          </cell>
          <cell r="G692">
            <v>30</v>
          </cell>
          <cell r="H692">
            <v>75</v>
          </cell>
          <cell r="J692">
            <v>20</v>
          </cell>
          <cell r="K692">
            <v>30</v>
          </cell>
          <cell r="L692">
            <v>20</v>
          </cell>
        </row>
        <row r="693">
          <cell r="B693" t="str">
            <v>图号</v>
          </cell>
        </row>
        <row r="694">
          <cell r="B694" t="str">
            <v>CB5714100-002L003</v>
          </cell>
          <cell r="D694" t="str">
            <v>C</v>
          </cell>
          <cell r="E694" t="str">
            <v>工序内容</v>
          </cell>
          <cell r="F694" t="str">
            <v>0/领料</v>
          </cell>
          <cell r="G694" t="str">
            <v>5/钳工</v>
          </cell>
          <cell r="H694" t="str">
            <v>10/数铣</v>
          </cell>
          <cell r="I694" t="str">
            <v>15/数铣160</v>
          </cell>
          <cell r="J694" t="str">
            <v>20/数铣580</v>
          </cell>
          <cell r="K694" t="str">
            <v>25/数200</v>
          </cell>
          <cell r="L694" t="str">
            <v>30/时效</v>
          </cell>
          <cell r="M694" t="str">
            <v>35/数铣</v>
          </cell>
          <cell r="N694" t="str">
            <v>40/数铣300</v>
          </cell>
          <cell r="O694" t="str">
            <v>45/数铣810</v>
          </cell>
          <cell r="P694" t="str">
            <v>50/五轴20</v>
          </cell>
          <cell r="Q694" t="str">
            <v>55/数铣70</v>
          </cell>
          <cell r="R694" t="str">
            <v>60/五轴70</v>
          </cell>
          <cell r="S694" t="str">
            <v>65/钳工</v>
          </cell>
          <cell r="T694" t="str">
            <v>70/清洁</v>
          </cell>
          <cell r="U694" t="str">
            <v>75/测量</v>
          </cell>
          <cell r="V694" t="str">
            <v>80/检验</v>
          </cell>
          <cell r="W694" t="str">
            <v>85/硬检</v>
          </cell>
          <cell r="X694" t="str">
            <v>90/分光</v>
          </cell>
          <cell r="Y694" t="str">
            <v>95/钳工</v>
          </cell>
          <cell r="Z694" t="str">
            <v>100/清洁</v>
          </cell>
          <cell r="AA694" t="str">
            <v>120/成检</v>
          </cell>
        </row>
        <row r="695">
          <cell r="B695" t="str">
            <v>CB5714100-002L003</v>
          </cell>
          <cell r="D695" t="str">
            <v>C</v>
          </cell>
          <cell r="E695" t="str">
            <v>准备工时</v>
          </cell>
          <cell r="G695">
            <v>60</v>
          </cell>
          <cell r="H695">
            <v>60</v>
          </cell>
          <cell r="I695">
            <v>60</v>
          </cell>
          <cell r="J695">
            <v>60</v>
          </cell>
          <cell r="K695">
            <v>60</v>
          </cell>
          <cell r="M695">
            <v>60</v>
          </cell>
          <cell r="N695">
            <v>90</v>
          </cell>
          <cell r="O695">
            <v>90</v>
          </cell>
          <cell r="P695">
            <v>90</v>
          </cell>
          <cell r="Q695">
            <v>90</v>
          </cell>
          <cell r="R695">
            <v>90</v>
          </cell>
        </row>
        <row r="696">
          <cell r="B696" t="str">
            <v>CB5714100-002L003</v>
          </cell>
          <cell r="D696" t="str">
            <v>C</v>
          </cell>
          <cell r="E696" t="str">
            <v>装夹时间</v>
          </cell>
          <cell r="H696">
            <v>60</v>
          </cell>
          <cell r="I696">
            <v>60</v>
          </cell>
          <cell r="J696">
            <v>60</v>
          </cell>
          <cell r="K696">
            <v>60</v>
          </cell>
          <cell r="M696">
            <v>60</v>
          </cell>
          <cell r="N696">
            <v>60</v>
          </cell>
          <cell r="O696">
            <v>60</v>
          </cell>
          <cell r="P696">
            <v>60</v>
          </cell>
          <cell r="Q696">
            <v>60</v>
          </cell>
          <cell r="R696">
            <v>60</v>
          </cell>
        </row>
        <row r="697">
          <cell r="B697" t="str">
            <v>CB5714100-002L003</v>
          </cell>
          <cell r="D697" t="str">
            <v>C</v>
          </cell>
          <cell r="E697" t="str">
            <v>程序时间</v>
          </cell>
          <cell r="G697">
            <v>60</v>
          </cell>
          <cell r="H697">
            <v>90</v>
          </cell>
          <cell r="I697">
            <v>240</v>
          </cell>
          <cell r="J697">
            <v>750</v>
          </cell>
          <cell r="K697">
            <v>260</v>
          </cell>
          <cell r="M697">
            <v>90</v>
          </cell>
          <cell r="N697">
            <v>450</v>
          </cell>
          <cell r="O697">
            <v>1000</v>
          </cell>
          <cell r="P697">
            <v>120</v>
          </cell>
          <cell r="Q697">
            <v>100</v>
          </cell>
          <cell r="R697">
            <v>210</v>
          </cell>
          <cell r="S697">
            <v>600</v>
          </cell>
          <cell r="Y697">
            <v>10</v>
          </cell>
        </row>
        <row r="698">
          <cell r="B698" t="str">
            <v>图号</v>
          </cell>
        </row>
        <row r="699">
          <cell r="B699" t="str">
            <v>CB5714100-002R003</v>
          </cell>
          <cell r="D699" t="str">
            <v>C</v>
          </cell>
          <cell r="E699" t="str">
            <v>工序内容</v>
          </cell>
          <cell r="F699" t="str">
            <v>0/领料</v>
          </cell>
          <cell r="G699" t="str">
            <v>5/钳工</v>
          </cell>
          <cell r="H699" t="str">
            <v>10/数铣</v>
          </cell>
          <cell r="I699" t="str">
            <v>15/数铣160</v>
          </cell>
          <cell r="J699" t="str">
            <v>20/数铣580</v>
          </cell>
          <cell r="K699" t="str">
            <v>25/数200</v>
          </cell>
          <cell r="L699" t="str">
            <v>30/时效</v>
          </cell>
          <cell r="M699" t="str">
            <v>35/数铣</v>
          </cell>
          <cell r="N699" t="str">
            <v>40/数铣300</v>
          </cell>
          <cell r="O699" t="str">
            <v>45/数铣810</v>
          </cell>
          <cell r="P699" t="str">
            <v>50/五轴20</v>
          </cell>
          <cell r="Q699" t="str">
            <v>55/数铣70</v>
          </cell>
          <cell r="R699" t="str">
            <v>60/五轴70</v>
          </cell>
          <cell r="S699" t="str">
            <v>65/钳工</v>
          </cell>
          <cell r="T699" t="str">
            <v>70/清洁</v>
          </cell>
          <cell r="U699" t="str">
            <v>75/测量</v>
          </cell>
          <cell r="V699" t="str">
            <v>80/检验</v>
          </cell>
          <cell r="W699" t="str">
            <v>85/硬检</v>
          </cell>
          <cell r="X699" t="str">
            <v>90/分光</v>
          </cell>
          <cell r="Y699" t="str">
            <v>95/钳工</v>
          </cell>
          <cell r="Z699" t="str">
            <v>100/清洁</v>
          </cell>
          <cell r="AA699" t="str">
            <v>120/成检</v>
          </cell>
        </row>
        <row r="700">
          <cell r="B700" t="str">
            <v>CB5714100-002R003</v>
          </cell>
          <cell r="D700" t="str">
            <v>C</v>
          </cell>
          <cell r="E700" t="str">
            <v>准备工时</v>
          </cell>
          <cell r="G700">
            <v>60</v>
          </cell>
          <cell r="H700">
            <v>60</v>
          </cell>
          <cell r="I700">
            <v>60</v>
          </cell>
          <cell r="J700">
            <v>60</v>
          </cell>
          <cell r="K700">
            <v>60</v>
          </cell>
          <cell r="M700">
            <v>60</v>
          </cell>
          <cell r="N700">
            <v>90</v>
          </cell>
          <cell r="O700">
            <v>90</v>
          </cell>
          <cell r="P700">
            <v>90</v>
          </cell>
          <cell r="Q700">
            <v>90</v>
          </cell>
          <cell r="R700">
            <v>90</v>
          </cell>
        </row>
        <row r="701">
          <cell r="B701" t="str">
            <v>CB5714100-002R003</v>
          </cell>
          <cell r="D701" t="str">
            <v>C</v>
          </cell>
          <cell r="E701" t="str">
            <v>装夹时间</v>
          </cell>
          <cell r="H701">
            <v>60</v>
          </cell>
          <cell r="I701">
            <v>60</v>
          </cell>
          <cell r="J701">
            <v>60</v>
          </cell>
          <cell r="K701">
            <v>60</v>
          </cell>
          <cell r="M701">
            <v>60</v>
          </cell>
          <cell r="N701">
            <v>60</v>
          </cell>
          <cell r="O701">
            <v>60</v>
          </cell>
          <cell r="P701">
            <v>60</v>
          </cell>
          <cell r="Q701">
            <v>60</v>
          </cell>
          <cell r="R701">
            <v>60</v>
          </cell>
        </row>
        <row r="702">
          <cell r="B702" t="str">
            <v>CB5714100-002R003</v>
          </cell>
          <cell r="D702" t="str">
            <v>C</v>
          </cell>
          <cell r="E702" t="str">
            <v>程序时间</v>
          </cell>
          <cell r="G702">
            <v>60</v>
          </cell>
          <cell r="H702">
            <v>90</v>
          </cell>
          <cell r="I702">
            <v>240</v>
          </cell>
          <cell r="J702">
            <v>750</v>
          </cell>
          <cell r="K702">
            <v>260</v>
          </cell>
          <cell r="M702">
            <v>90</v>
          </cell>
          <cell r="N702">
            <v>450</v>
          </cell>
          <cell r="O702">
            <v>1000</v>
          </cell>
          <cell r="P702">
            <v>120</v>
          </cell>
          <cell r="Q702">
            <v>100</v>
          </cell>
          <cell r="R702">
            <v>210</v>
          </cell>
          <cell r="S702">
            <v>600</v>
          </cell>
          <cell r="Y702">
            <v>10</v>
          </cell>
        </row>
        <row r="703">
          <cell r="B703" t="str">
            <v>图号</v>
          </cell>
        </row>
        <row r="704">
          <cell r="B704" t="str">
            <v>DD-J10-04021-3</v>
          </cell>
          <cell r="D704" t="str">
            <v>C</v>
          </cell>
          <cell r="E704" t="str">
            <v>工序内容</v>
          </cell>
          <cell r="F704" t="str">
            <v>0/领料</v>
          </cell>
          <cell r="G704" t="str">
            <v>5/数铣</v>
          </cell>
          <cell r="H704" t="str">
            <v>10/数铣25</v>
          </cell>
          <cell r="I704" t="str">
            <v>15/数铣10</v>
          </cell>
          <cell r="J704" t="str">
            <v>20/数铣60</v>
          </cell>
          <cell r="K704" t="str">
            <v>25/数铣50</v>
          </cell>
          <cell r="L704" t="str">
            <v>30/测量</v>
          </cell>
          <cell r="M704" t="str">
            <v>35/钳工</v>
          </cell>
          <cell r="N704" t="str">
            <v>40/清洁</v>
          </cell>
          <cell r="O704" t="str">
            <v>45成检</v>
          </cell>
        </row>
        <row r="705">
          <cell r="B705" t="str">
            <v>DD-J10-04021-3</v>
          </cell>
          <cell r="D705" t="str">
            <v>C</v>
          </cell>
          <cell r="E705" t="str">
            <v>准备工时</v>
          </cell>
          <cell r="G705">
            <v>60</v>
          </cell>
          <cell r="H705">
            <v>60</v>
          </cell>
          <cell r="I705">
            <v>90</v>
          </cell>
          <cell r="J705">
            <v>90</v>
          </cell>
          <cell r="K705">
            <v>60</v>
          </cell>
        </row>
        <row r="706">
          <cell r="B706" t="str">
            <v>DD-J10-04021-3</v>
          </cell>
          <cell r="D706" t="str">
            <v>C</v>
          </cell>
          <cell r="E706" t="str">
            <v>装夹时间</v>
          </cell>
        </row>
        <row r="707">
          <cell r="B707" t="str">
            <v>DD-J10-04021-3</v>
          </cell>
          <cell r="D707" t="str">
            <v>C</v>
          </cell>
          <cell r="E707" t="str">
            <v>程序时间</v>
          </cell>
          <cell r="G707">
            <v>40</v>
          </cell>
          <cell r="H707">
            <v>30</v>
          </cell>
          <cell r="I707">
            <v>90</v>
          </cell>
          <cell r="J707">
            <v>90</v>
          </cell>
          <cell r="K707">
            <v>90</v>
          </cell>
          <cell r="M707">
            <v>60</v>
          </cell>
        </row>
        <row r="708">
          <cell r="B708" t="str">
            <v>图号</v>
          </cell>
        </row>
        <row r="709">
          <cell r="B709" t="str">
            <v>DD-J10B-65000-1710G2-1</v>
          </cell>
          <cell r="D709" t="str">
            <v>F</v>
          </cell>
          <cell r="E709" t="str">
            <v>工序内容</v>
          </cell>
          <cell r="F709" t="str">
            <v>0/领料</v>
          </cell>
          <cell r="G709" t="str">
            <v>5/数铣</v>
          </cell>
          <cell r="H709" t="str">
            <v>10/数铣35</v>
          </cell>
          <cell r="I709" t="str">
            <v>15/数铣35</v>
          </cell>
          <cell r="J709" t="str">
            <v>20/数铣5</v>
          </cell>
          <cell r="K709" t="str">
            <v>25/钳工</v>
          </cell>
          <cell r="L709" t="str">
            <v>30/检验</v>
          </cell>
          <cell r="M709" t="str">
            <v>35/分光</v>
          </cell>
          <cell r="N709" t="str">
            <v>40/热处理</v>
          </cell>
          <cell r="O709" t="str">
            <v>45/数铣5</v>
          </cell>
          <cell r="P709" t="str">
            <v>50/数铣5</v>
          </cell>
          <cell r="Q709" t="str">
            <v>55/数车60</v>
          </cell>
          <cell r="R709" t="str">
            <v>60/钳工</v>
          </cell>
          <cell r="S709" t="str">
            <v>65/清洁</v>
          </cell>
          <cell r="T709" t="str">
            <v>70/成检</v>
          </cell>
        </row>
        <row r="710">
          <cell r="B710" t="str">
            <v>DD-J10B-65000-1710G2-1</v>
          </cell>
          <cell r="D710" t="str">
            <v>F</v>
          </cell>
          <cell r="E710" t="str">
            <v>准备工时</v>
          </cell>
          <cell r="G710">
            <v>60</v>
          </cell>
          <cell r="H710">
            <v>120</v>
          </cell>
          <cell r="I710">
            <v>120</v>
          </cell>
          <cell r="J710">
            <v>60</v>
          </cell>
          <cell r="O710">
            <v>60</v>
          </cell>
          <cell r="P710">
            <v>60</v>
          </cell>
          <cell r="Q710">
            <v>120</v>
          </cell>
        </row>
        <row r="711">
          <cell r="B711" t="str">
            <v>DD-J10B-65000-1710G2-1</v>
          </cell>
          <cell r="D711" t="str">
            <v>F</v>
          </cell>
          <cell r="E711" t="str">
            <v>装夹时间</v>
          </cell>
        </row>
        <row r="712">
          <cell r="B712" t="str">
            <v>DD-J10B-65000-1710G2-1</v>
          </cell>
          <cell r="D712" t="str">
            <v>F</v>
          </cell>
          <cell r="E712" t="str">
            <v>程序时间</v>
          </cell>
          <cell r="G712">
            <v>30</v>
          </cell>
          <cell r="H712">
            <v>80</v>
          </cell>
          <cell r="I712">
            <v>70</v>
          </cell>
          <cell r="J712">
            <v>15</v>
          </cell>
          <cell r="K712">
            <v>30</v>
          </cell>
          <cell r="O712">
            <v>15</v>
          </cell>
          <cell r="P712">
            <v>15</v>
          </cell>
          <cell r="Q712">
            <v>60</v>
          </cell>
          <cell r="R712">
            <v>20</v>
          </cell>
        </row>
        <row r="713">
          <cell r="B713" t="str">
            <v>图号</v>
          </cell>
        </row>
        <row r="714">
          <cell r="B714" t="str">
            <v>CB5324320-004L006</v>
          </cell>
          <cell r="D714" t="str">
            <v>D</v>
          </cell>
          <cell r="E714" t="str">
            <v>工序内容</v>
          </cell>
          <cell r="F714" t="str">
            <v>0/领料</v>
          </cell>
          <cell r="G714" t="str">
            <v>5/数铣</v>
          </cell>
          <cell r="H714" t="str">
            <v>10/数铣30</v>
          </cell>
          <cell r="I714" t="str">
            <v>15/数铣90</v>
          </cell>
          <cell r="J714" t="str">
            <v>20/数铣240</v>
          </cell>
          <cell r="K714" t="str">
            <v>25/数铣90</v>
          </cell>
          <cell r="L714" t="str">
            <v>30/五轴30</v>
          </cell>
          <cell r="M714" t="str">
            <v>35/五轴90</v>
          </cell>
          <cell r="N714" t="str">
            <v>40/测量</v>
          </cell>
          <cell r="O714" t="str">
            <v>45/钳工</v>
          </cell>
          <cell r="P714">
            <v>50</v>
          </cell>
          <cell r="Q714" t="str">
            <v>55/清洁</v>
          </cell>
          <cell r="R714" t="str">
            <v>60/检验</v>
          </cell>
          <cell r="S714" t="str">
            <v>65/硬检</v>
          </cell>
          <cell r="T714" t="str">
            <v>70/分光</v>
          </cell>
          <cell r="U714" t="str">
            <v>75/钳工</v>
          </cell>
          <cell r="V714" t="str">
            <v>80/成检</v>
          </cell>
          <cell r="W714" t="str">
            <v>80/清洁</v>
          </cell>
          <cell r="X714" t="str">
            <v>85/成检</v>
          </cell>
        </row>
        <row r="715">
          <cell r="B715" t="str">
            <v>CB5324320-004L006</v>
          </cell>
          <cell r="D715" t="str">
            <v>D</v>
          </cell>
          <cell r="E715" t="str">
            <v>准备工时</v>
          </cell>
          <cell r="G715">
            <v>60</v>
          </cell>
          <cell r="H715">
            <v>60</v>
          </cell>
          <cell r="I715">
            <v>60</v>
          </cell>
          <cell r="J715">
            <v>60</v>
          </cell>
          <cell r="K715">
            <v>60</v>
          </cell>
          <cell r="L715">
            <v>120</v>
          </cell>
          <cell r="M715">
            <v>120</v>
          </cell>
        </row>
        <row r="716">
          <cell r="B716" t="str">
            <v>CB5324320-004L006</v>
          </cell>
          <cell r="D716" t="str">
            <v>D</v>
          </cell>
          <cell r="E716" t="str">
            <v>装夹时间</v>
          </cell>
          <cell r="L716">
            <v>60</v>
          </cell>
          <cell r="M716">
            <v>60</v>
          </cell>
        </row>
        <row r="717">
          <cell r="B717" t="str">
            <v>CB5324320-004L006</v>
          </cell>
          <cell r="D717" t="str">
            <v>D</v>
          </cell>
          <cell r="E717" t="str">
            <v>程序时间</v>
          </cell>
          <cell r="G717">
            <v>60</v>
          </cell>
          <cell r="H717">
            <v>40</v>
          </cell>
          <cell r="I717">
            <v>120</v>
          </cell>
          <cell r="J717">
            <v>280</v>
          </cell>
          <cell r="K717">
            <v>120</v>
          </cell>
          <cell r="L717">
            <v>90</v>
          </cell>
          <cell r="M717">
            <v>180</v>
          </cell>
          <cell r="O717">
            <v>80</v>
          </cell>
          <cell r="U717">
            <v>5</v>
          </cell>
        </row>
        <row r="718">
          <cell r="B718" t="str">
            <v>CB5324320-004R006</v>
          </cell>
          <cell r="D718" t="str">
            <v>D</v>
          </cell>
          <cell r="E718" t="str">
            <v>工序内容</v>
          </cell>
          <cell r="F718" t="str">
            <v>0/领料</v>
          </cell>
          <cell r="G718" t="str">
            <v>5/数铣</v>
          </cell>
          <cell r="H718" t="str">
            <v>10/数铣30</v>
          </cell>
          <cell r="I718" t="str">
            <v>15/数铣90</v>
          </cell>
          <cell r="J718" t="str">
            <v>20/数铣240</v>
          </cell>
          <cell r="K718" t="str">
            <v>25/数铣90</v>
          </cell>
          <cell r="L718" t="str">
            <v>30/五轴30</v>
          </cell>
          <cell r="M718" t="str">
            <v>35/五轴90</v>
          </cell>
          <cell r="N718" t="str">
            <v>40/测量</v>
          </cell>
          <cell r="O718" t="str">
            <v>45/钳工</v>
          </cell>
          <cell r="P718">
            <v>50</v>
          </cell>
          <cell r="Q718" t="str">
            <v>55/清洁</v>
          </cell>
          <cell r="R718" t="str">
            <v>60/检验</v>
          </cell>
          <cell r="S718" t="str">
            <v>65/硬检</v>
          </cell>
          <cell r="T718" t="str">
            <v>70/分光</v>
          </cell>
          <cell r="U718" t="str">
            <v>75/钳工</v>
          </cell>
          <cell r="V718" t="str">
            <v>80/成检</v>
          </cell>
          <cell r="W718" t="str">
            <v>80/清洁</v>
          </cell>
          <cell r="X718" t="str">
            <v>85/成检</v>
          </cell>
        </row>
        <row r="719">
          <cell r="B719" t="str">
            <v>CB5324320-004R006</v>
          </cell>
          <cell r="D719" t="str">
            <v>D</v>
          </cell>
          <cell r="E719" t="str">
            <v>准备工时</v>
          </cell>
          <cell r="G719">
            <v>60</v>
          </cell>
          <cell r="H719">
            <v>60</v>
          </cell>
          <cell r="I719">
            <v>60</v>
          </cell>
          <cell r="J719">
            <v>60</v>
          </cell>
          <cell r="K719">
            <v>60</v>
          </cell>
          <cell r="L719">
            <v>120</v>
          </cell>
          <cell r="M719">
            <v>120</v>
          </cell>
        </row>
        <row r="720">
          <cell r="B720" t="str">
            <v>CB5324320-004R006</v>
          </cell>
          <cell r="D720" t="str">
            <v>D</v>
          </cell>
          <cell r="E720" t="str">
            <v>装夹时间</v>
          </cell>
          <cell r="L720">
            <v>60</v>
          </cell>
          <cell r="M720">
            <v>60</v>
          </cell>
        </row>
        <row r="721">
          <cell r="B721" t="str">
            <v>CB5324320-004R006</v>
          </cell>
          <cell r="D721" t="str">
            <v>D</v>
          </cell>
          <cell r="E721" t="str">
            <v>程序时间</v>
          </cell>
          <cell r="G721">
            <v>60</v>
          </cell>
          <cell r="H721">
            <v>40</v>
          </cell>
          <cell r="I721">
            <v>120</v>
          </cell>
          <cell r="J721">
            <v>280</v>
          </cell>
          <cell r="K721">
            <v>120</v>
          </cell>
          <cell r="L721">
            <v>90</v>
          </cell>
          <cell r="M721">
            <v>180</v>
          </cell>
          <cell r="O721">
            <v>80</v>
          </cell>
          <cell r="U721">
            <v>5</v>
          </cell>
        </row>
        <row r="722">
          <cell r="B722" t="str">
            <v>图号</v>
          </cell>
        </row>
        <row r="723">
          <cell r="B723" t="str">
            <v>531A5100-126-501/502</v>
          </cell>
          <cell r="D723" t="str">
            <v>C</v>
          </cell>
          <cell r="E723" t="str">
            <v>工序内容</v>
          </cell>
          <cell r="F723" t="str">
            <v>0/领料</v>
          </cell>
          <cell r="G723" t="str">
            <v>05/数铣</v>
          </cell>
          <cell r="H723" t="str">
            <v>10/数铣80</v>
          </cell>
          <cell r="I723" t="str">
            <v>15/数铣200</v>
          </cell>
          <cell r="J723" t="str">
            <v>20/数铣570</v>
          </cell>
          <cell r="K723" t="str">
            <v>25/数铣190</v>
          </cell>
          <cell r="L723" t="str">
            <v>30/数铣510</v>
          </cell>
          <cell r="M723" t="str">
            <v>35/五轴90</v>
          </cell>
          <cell r="N723" t="str">
            <v>40/钳工</v>
          </cell>
          <cell r="O723" t="str">
            <v>45/钳工</v>
          </cell>
          <cell r="P723" t="str">
            <v>50/五轴200</v>
          </cell>
          <cell r="Q723" t="str">
            <v>55/测量</v>
          </cell>
          <cell r="R723" t="str">
            <v>60/钳工</v>
          </cell>
          <cell r="S723" t="str">
            <v>65/清洁</v>
          </cell>
          <cell r="T723" t="str">
            <v>70/成检</v>
          </cell>
        </row>
        <row r="724">
          <cell r="B724" t="str">
            <v>531A5100-126-501/502</v>
          </cell>
          <cell r="D724" t="str">
            <v>C</v>
          </cell>
          <cell r="E724" t="str">
            <v>准备工时</v>
          </cell>
          <cell r="G724">
            <v>60</v>
          </cell>
          <cell r="H724">
            <v>60</v>
          </cell>
          <cell r="I724">
            <v>60</v>
          </cell>
          <cell r="J724">
            <v>120</v>
          </cell>
          <cell r="K724">
            <v>60</v>
          </cell>
          <cell r="L724">
            <v>60</v>
          </cell>
          <cell r="M724">
            <v>60</v>
          </cell>
          <cell r="P724">
            <v>60</v>
          </cell>
        </row>
        <row r="725">
          <cell r="B725" t="str">
            <v>531A5100-126-501/502</v>
          </cell>
          <cell r="D725" t="str">
            <v>C</v>
          </cell>
          <cell r="E725" t="str">
            <v>装夹时间</v>
          </cell>
          <cell r="G725">
            <v>60</v>
          </cell>
          <cell r="H725">
            <v>60</v>
          </cell>
          <cell r="I725">
            <v>60</v>
          </cell>
          <cell r="J725">
            <v>60</v>
          </cell>
          <cell r="K725">
            <v>60</v>
          </cell>
          <cell r="L725">
            <v>60</v>
          </cell>
          <cell r="M725">
            <v>90</v>
          </cell>
          <cell r="P725">
            <v>90</v>
          </cell>
        </row>
        <row r="726">
          <cell r="B726" t="str">
            <v>531A5100-126-501/502</v>
          </cell>
          <cell r="D726" t="str">
            <v>C</v>
          </cell>
          <cell r="E726" t="str">
            <v>程序时间</v>
          </cell>
          <cell r="G726">
            <v>120</v>
          </cell>
          <cell r="H726">
            <v>120</v>
          </cell>
          <cell r="I726">
            <v>260</v>
          </cell>
          <cell r="J726">
            <v>690</v>
          </cell>
          <cell r="K726">
            <v>400</v>
          </cell>
          <cell r="L726">
            <v>610</v>
          </cell>
          <cell r="M726">
            <v>150</v>
          </cell>
          <cell r="N726">
            <v>120</v>
          </cell>
          <cell r="O726">
            <v>120</v>
          </cell>
          <cell r="P726">
            <v>300</v>
          </cell>
          <cell r="R726">
            <v>240</v>
          </cell>
        </row>
        <row r="727">
          <cell r="B727" t="str">
            <v>图号</v>
          </cell>
        </row>
        <row r="728">
          <cell r="B728" t="str">
            <v>Y20-5316107001-002</v>
          </cell>
          <cell r="D728" t="str">
            <v>C</v>
          </cell>
          <cell r="E728" t="str">
            <v>工序内容</v>
          </cell>
          <cell r="F728" t="str">
            <v>0/领料</v>
          </cell>
          <cell r="G728" t="str">
            <v>5/数铣</v>
          </cell>
          <cell r="H728" t="str">
            <v>10/数铣30</v>
          </cell>
          <cell r="I728" t="str">
            <v>15/数铣135</v>
          </cell>
          <cell r="J728" t="str">
            <v>20/测量</v>
          </cell>
          <cell r="K728" t="str">
            <v>25/钳工</v>
          </cell>
          <cell r="L728" t="str">
            <v>30/清洁</v>
          </cell>
          <cell r="M728" t="str">
            <v>35/成检</v>
          </cell>
        </row>
        <row r="729">
          <cell r="B729" t="str">
            <v>Y20-5316107001-002</v>
          </cell>
          <cell r="D729" t="str">
            <v>C</v>
          </cell>
          <cell r="E729" t="str">
            <v>准备工时</v>
          </cell>
          <cell r="G729">
            <v>60</v>
          </cell>
          <cell r="H729">
            <v>60</v>
          </cell>
          <cell r="I729">
            <v>90</v>
          </cell>
        </row>
        <row r="730">
          <cell r="B730" t="str">
            <v>Y20-5316107001-002</v>
          </cell>
          <cell r="D730" t="str">
            <v>C</v>
          </cell>
          <cell r="E730" t="str">
            <v>装夹时间</v>
          </cell>
        </row>
        <row r="731">
          <cell r="B731" t="str">
            <v>Y20-5316107001-002</v>
          </cell>
          <cell r="D731" t="str">
            <v>C</v>
          </cell>
          <cell r="E731" t="str">
            <v>程序时间</v>
          </cell>
          <cell r="G731">
            <v>60</v>
          </cell>
          <cell r="H731">
            <v>60</v>
          </cell>
          <cell r="I731">
            <v>200</v>
          </cell>
          <cell r="K731">
            <v>120</v>
          </cell>
        </row>
        <row r="732">
          <cell r="B732" t="str">
            <v>图号</v>
          </cell>
        </row>
        <row r="733">
          <cell r="B733" t="str">
            <v>EA5721120-001L101</v>
          </cell>
          <cell r="D733" t="str">
            <v>B</v>
          </cell>
          <cell r="E733" t="str">
            <v>工序内容</v>
          </cell>
          <cell r="F733" t="str">
            <v>0/领料</v>
          </cell>
          <cell r="G733" t="str">
            <v>5/钳工</v>
          </cell>
          <cell r="H733" t="str">
            <v>8/数铣100</v>
          </cell>
          <cell r="I733" t="str">
            <v>10/数铣</v>
          </cell>
          <cell r="J733" t="str">
            <v>15/数铣80</v>
          </cell>
          <cell r="K733" t="str">
            <v>20/数铣480</v>
          </cell>
          <cell r="L733" t="str">
            <v>25/数铣180</v>
          </cell>
          <cell r="M733" t="str">
            <v>30/时效</v>
          </cell>
          <cell r="N733" t="str">
            <v>35/数铣</v>
          </cell>
          <cell r="O733" t="str">
            <v>40/数铣750</v>
          </cell>
          <cell r="P733" t="str">
            <v>45/五轴450</v>
          </cell>
          <cell r="Q733" t="str">
            <v>50/数铣580</v>
          </cell>
          <cell r="R733" t="str">
            <v>55/数铣120</v>
          </cell>
          <cell r="S733" t="str">
            <v>60/钳工</v>
          </cell>
          <cell r="T733" t="str">
            <v>65/测量</v>
          </cell>
          <cell r="U733" t="str">
            <v>70/清洁</v>
          </cell>
          <cell r="V733" t="str">
            <v>75/成检</v>
          </cell>
        </row>
        <row r="734">
          <cell r="B734" t="str">
            <v>EA5721120-001L101</v>
          </cell>
          <cell r="D734" t="str">
            <v>B</v>
          </cell>
          <cell r="E734" t="str">
            <v>准备工时</v>
          </cell>
          <cell r="G734">
            <v>60</v>
          </cell>
          <cell r="H734">
            <v>60</v>
          </cell>
          <cell r="I734">
            <v>60</v>
          </cell>
          <cell r="J734">
            <v>60</v>
          </cell>
          <cell r="K734">
            <v>90</v>
          </cell>
          <cell r="L734">
            <v>90</v>
          </cell>
          <cell r="N734">
            <v>60</v>
          </cell>
          <cell r="O734">
            <v>60</v>
          </cell>
          <cell r="P734">
            <v>120</v>
          </cell>
          <cell r="Q734">
            <v>90</v>
          </cell>
          <cell r="R734">
            <v>60</v>
          </cell>
        </row>
        <row r="735">
          <cell r="B735" t="str">
            <v>EA5721120-001L101</v>
          </cell>
          <cell r="D735" t="str">
            <v>B</v>
          </cell>
          <cell r="E735" t="str">
            <v>装夹时间</v>
          </cell>
          <cell r="H735">
            <v>30</v>
          </cell>
          <cell r="I735">
            <v>60</v>
          </cell>
          <cell r="J735">
            <v>60</v>
          </cell>
          <cell r="K735">
            <v>60</v>
          </cell>
          <cell r="L735">
            <v>60</v>
          </cell>
          <cell r="N735">
            <v>60</v>
          </cell>
          <cell r="O735">
            <v>120</v>
          </cell>
          <cell r="P735">
            <v>120</v>
          </cell>
          <cell r="Q735">
            <v>120</v>
          </cell>
          <cell r="R735">
            <v>120</v>
          </cell>
        </row>
        <row r="736">
          <cell r="B736" t="str">
            <v>EA5721120-001L101</v>
          </cell>
          <cell r="D736" t="str">
            <v>B</v>
          </cell>
          <cell r="E736" t="str">
            <v>程序时间</v>
          </cell>
          <cell r="G736">
            <v>60</v>
          </cell>
          <cell r="H736">
            <v>60</v>
          </cell>
          <cell r="I736">
            <v>120</v>
          </cell>
          <cell r="J736">
            <v>120</v>
          </cell>
          <cell r="K736">
            <v>600</v>
          </cell>
          <cell r="L736">
            <v>260</v>
          </cell>
          <cell r="N736">
            <v>180</v>
          </cell>
          <cell r="O736">
            <v>830</v>
          </cell>
          <cell r="P736">
            <v>960</v>
          </cell>
          <cell r="Q736">
            <v>720</v>
          </cell>
          <cell r="R736">
            <v>180</v>
          </cell>
          <cell r="S736">
            <v>480</v>
          </cell>
        </row>
        <row r="737">
          <cell r="B737" t="str">
            <v>图号</v>
          </cell>
        </row>
        <row r="738">
          <cell r="B738" t="str">
            <v>EA5721120-001R101</v>
          </cell>
          <cell r="D738" t="str">
            <v>B</v>
          </cell>
          <cell r="E738" t="str">
            <v>工序内容</v>
          </cell>
          <cell r="F738" t="str">
            <v>0/领料</v>
          </cell>
          <cell r="G738" t="str">
            <v>5/钳工</v>
          </cell>
          <cell r="H738" t="str">
            <v>8/数铣100</v>
          </cell>
          <cell r="I738" t="str">
            <v>10/数铣</v>
          </cell>
          <cell r="J738" t="str">
            <v>15/数铣80</v>
          </cell>
          <cell r="K738" t="str">
            <v>20/数铣480</v>
          </cell>
          <cell r="L738" t="str">
            <v>25/数铣180</v>
          </cell>
          <cell r="M738" t="str">
            <v>30/时效</v>
          </cell>
          <cell r="N738" t="str">
            <v>35/数铣</v>
          </cell>
          <cell r="O738" t="str">
            <v>40/数铣750</v>
          </cell>
          <cell r="P738" t="str">
            <v>45/五轴450</v>
          </cell>
          <cell r="Q738" t="str">
            <v>50/数铣580</v>
          </cell>
          <cell r="R738" t="str">
            <v>55/数铣120</v>
          </cell>
          <cell r="S738" t="str">
            <v>60/钳工</v>
          </cell>
          <cell r="T738" t="str">
            <v>65/测量</v>
          </cell>
          <cell r="U738" t="str">
            <v>70/清洁</v>
          </cell>
          <cell r="V738" t="str">
            <v>75/成检</v>
          </cell>
        </row>
        <row r="739">
          <cell r="B739" t="str">
            <v>EA5721120-001R101</v>
          </cell>
          <cell r="D739" t="str">
            <v>B</v>
          </cell>
          <cell r="E739" t="str">
            <v>准备工时</v>
          </cell>
          <cell r="G739">
            <v>60</v>
          </cell>
          <cell r="H739">
            <v>60</v>
          </cell>
          <cell r="I739">
            <v>60</v>
          </cell>
          <cell r="J739">
            <v>60</v>
          </cell>
          <cell r="K739">
            <v>90</v>
          </cell>
          <cell r="L739">
            <v>90</v>
          </cell>
          <cell r="N739">
            <v>60</v>
          </cell>
          <cell r="O739">
            <v>60</v>
          </cell>
          <cell r="P739">
            <v>120</v>
          </cell>
          <cell r="Q739">
            <v>90</v>
          </cell>
          <cell r="R739">
            <v>60</v>
          </cell>
        </row>
        <row r="740">
          <cell r="B740" t="str">
            <v>EA5721120-001R101</v>
          </cell>
          <cell r="D740" t="str">
            <v>B</v>
          </cell>
          <cell r="E740" t="str">
            <v>装夹时间</v>
          </cell>
          <cell r="H740">
            <v>30</v>
          </cell>
          <cell r="I740">
            <v>60</v>
          </cell>
          <cell r="J740">
            <v>60</v>
          </cell>
          <cell r="K740">
            <v>60</v>
          </cell>
          <cell r="L740">
            <v>60</v>
          </cell>
          <cell r="N740">
            <v>60</v>
          </cell>
          <cell r="O740">
            <v>120</v>
          </cell>
          <cell r="P740">
            <v>120</v>
          </cell>
          <cell r="Q740">
            <v>120</v>
          </cell>
          <cell r="R740">
            <v>120</v>
          </cell>
        </row>
        <row r="741">
          <cell r="B741" t="str">
            <v>EA5721120-001R101</v>
          </cell>
          <cell r="D741" t="str">
            <v>B</v>
          </cell>
          <cell r="E741" t="str">
            <v>程序时间</v>
          </cell>
          <cell r="G741">
            <v>60</v>
          </cell>
          <cell r="H741">
            <v>60</v>
          </cell>
          <cell r="I741">
            <v>120</v>
          </cell>
          <cell r="J741">
            <v>120</v>
          </cell>
          <cell r="K741">
            <v>600</v>
          </cell>
          <cell r="L741">
            <v>260</v>
          </cell>
          <cell r="N741">
            <v>180</v>
          </cell>
          <cell r="O741">
            <v>830</v>
          </cell>
          <cell r="P741">
            <v>960</v>
          </cell>
          <cell r="Q741">
            <v>720</v>
          </cell>
          <cell r="R741">
            <v>180</v>
          </cell>
          <cell r="S741">
            <v>480</v>
          </cell>
        </row>
        <row r="742">
          <cell r="B742" t="str">
            <v>图号</v>
          </cell>
        </row>
        <row r="743">
          <cell r="B743" t="str">
            <v>DD-J10B-02161-501</v>
          </cell>
          <cell r="D743" t="str">
            <v>E</v>
          </cell>
          <cell r="E743" t="str">
            <v>工序内容</v>
          </cell>
          <cell r="F743" t="str">
            <v>0/领料</v>
          </cell>
          <cell r="G743" t="str">
            <v>5/数铣</v>
          </cell>
          <cell r="H743" t="str">
            <v>10/数铣40</v>
          </cell>
          <cell r="I743" t="str">
            <v>15/数铣50</v>
          </cell>
          <cell r="J743" t="str">
            <v>20/数铣210</v>
          </cell>
          <cell r="K743" t="str">
            <v>25/数铣110</v>
          </cell>
          <cell r="L743" t="str">
            <v>30/数铣130</v>
          </cell>
          <cell r="M743" t="str">
            <v>35/钳工</v>
          </cell>
          <cell r="N743" t="str">
            <v>40/五轴25</v>
          </cell>
          <cell r="O743" t="str">
            <v>45/测量</v>
          </cell>
          <cell r="P743" t="str">
            <v>50/清洁</v>
          </cell>
          <cell r="Q743" t="str">
            <v>55/成检</v>
          </cell>
        </row>
        <row r="744">
          <cell r="B744" t="str">
            <v>DD-J10B-02161-501</v>
          </cell>
          <cell r="D744" t="str">
            <v>E</v>
          </cell>
          <cell r="E744" t="str">
            <v>准备工时</v>
          </cell>
          <cell r="G744">
            <v>60</v>
          </cell>
          <cell r="H744">
            <v>60</v>
          </cell>
          <cell r="I744">
            <v>60</v>
          </cell>
          <cell r="J744">
            <v>90</v>
          </cell>
          <cell r="K744">
            <v>90</v>
          </cell>
          <cell r="L744">
            <v>90</v>
          </cell>
          <cell r="N744">
            <v>120</v>
          </cell>
        </row>
        <row r="745">
          <cell r="B745" t="str">
            <v>DD-J10B-02161-501</v>
          </cell>
          <cell r="D745" t="str">
            <v>E</v>
          </cell>
          <cell r="E745" t="str">
            <v>装夹时间</v>
          </cell>
        </row>
        <row r="746">
          <cell r="B746" t="str">
            <v>DD-J10B-02161-501</v>
          </cell>
          <cell r="D746" t="str">
            <v>E</v>
          </cell>
          <cell r="E746" t="str">
            <v>程序时间</v>
          </cell>
          <cell r="G746">
            <v>90</v>
          </cell>
          <cell r="H746">
            <v>60</v>
          </cell>
          <cell r="I746">
            <v>80</v>
          </cell>
          <cell r="J746">
            <v>360</v>
          </cell>
          <cell r="K746">
            <v>240</v>
          </cell>
          <cell r="L746">
            <v>320</v>
          </cell>
          <cell r="M746">
            <v>120</v>
          </cell>
          <cell r="N746">
            <v>150</v>
          </cell>
        </row>
        <row r="747">
          <cell r="B747" t="str">
            <v>图号</v>
          </cell>
        </row>
        <row r="748">
          <cell r="B748" t="str">
            <v>CB2297021-001-001</v>
          </cell>
          <cell r="D748" t="str">
            <v>D</v>
          </cell>
          <cell r="E748" t="str">
            <v>工序内容</v>
          </cell>
          <cell r="F748" t="str">
            <v>0/检验</v>
          </cell>
          <cell r="G748" t="str">
            <v>5/下料</v>
          </cell>
          <cell r="H748" t="str">
            <v>10/数铣10</v>
          </cell>
          <cell r="I748" t="str">
            <v>15/数铣10</v>
          </cell>
          <cell r="J748" t="str">
            <v>20/数铣10</v>
          </cell>
          <cell r="K748" t="str">
            <v>25/数铣20</v>
          </cell>
          <cell r="L748" t="str">
            <v>30/数铣30</v>
          </cell>
          <cell r="M748" t="str">
            <v>35/线切割</v>
          </cell>
          <cell r="N748" t="str">
            <v>40/数铣</v>
          </cell>
          <cell r="O748" t="str">
            <v>45/钳工</v>
          </cell>
          <cell r="P748" t="str">
            <v>50/测量</v>
          </cell>
          <cell r="Q748" t="str">
            <v>55/数铣</v>
          </cell>
          <cell r="R748" t="str">
            <v>60/清洗</v>
          </cell>
          <cell r="S748" t="str">
            <v>65/成检</v>
          </cell>
          <cell r="T748" t="str">
            <v>65/成检</v>
          </cell>
        </row>
        <row r="749">
          <cell r="B749" t="str">
            <v>CB2297021-001-001</v>
          </cell>
          <cell r="D749" t="str">
            <v>D</v>
          </cell>
          <cell r="E749" t="str">
            <v>准备工时</v>
          </cell>
          <cell r="H749">
            <v>60</v>
          </cell>
          <cell r="I749">
            <v>60</v>
          </cell>
          <cell r="J749">
            <v>60</v>
          </cell>
          <cell r="K749">
            <v>60</v>
          </cell>
          <cell r="L749">
            <v>60</v>
          </cell>
          <cell r="N749">
            <v>30</v>
          </cell>
        </row>
        <row r="750">
          <cell r="B750" t="str">
            <v>CB2297021-001-001</v>
          </cell>
          <cell r="D750" t="str">
            <v>D</v>
          </cell>
          <cell r="E750" t="str">
            <v>装夹时间</v>
          </cell>
        </row>
        <row r="751">
          <cell r="B751" t="str">
            <v>CB2297021-001-001</v>
          </cell>
          <cell r="D751" t="str">
            <v>D</v>
          </cell>
          <cell r="E751" t="str">
            <v>程序时间</v>
          </cell>
          <cell r="G751">
            <v>20</v>
          </cell>
          <cell r="H751">
            <v>20</v>
          </cell>
          <cell r="I751">
            <v>20</v>
          </cell>
          <cell r="J751">
            <v>20</v>
          </cell>
          <cell r="K751">
            <v>50</v>
          </cell>
          <cell r="L751">
            <v>50</v>
          </cell>
          <cell r="N751">
            <v>20</v>
          </cell>
          <cell r="O751">
            <v>30</v>
          </cell>
        </row>
        <row r="752">
          <cell r="B752" t="str">
            <v>图号</v>
          </cell>
        </row>
        <row r="753">
          <cell r="B753" t="str">
            <v>CB26036A6-001-001</v>
          </cell>
          <cell r="D753" t="str">
            <v>B</v>
          </cell>
          <cell r="E753" t="str">
            <v>工序内容</v>
          </cell>
          <cell r="F753" t="str">
            <v>0/领料</v>
          </cell>
          <cell r="G753" t="str">
            <v>05/数车</v>
          </cell>
          <cell r="H753" t="str">
            <v>10/分光</v>
          </cell>
          <cell r="I753" t="str">
            <v>15/检验</v>
          </cell>
          <cell r="J753" t="str">
            <v>20/数铣10</v>
          </cell>
          <cell r="K753" t="str">
            <v>25/数车</v>
          </cell>
          <cell r="L753" t="str">
            <v>30/穿孔机</v>
          </cell>
          <cell r="M753" t="str">
            <v>35/钳工</v>
          </cell>
          <cell r="N753" t="str">
            <v>40/清洁</v>
          </cell>
          <cell r="O753" t="str">
            <v>45/成检</v>
          </cell>
        </row>
        <row r="754">
          <cell r="B754" t="str">
            <v>CB26036A6-001-001</v>
          </cell>
          <cell r="D754" t="str">
            <v>B</v>
          </cell>
          <cell r="E754" t="str">
            <v>准备工时</v>
          </cell>
          <cell r="G754">
            <v>90</v>
          </cell>
          <cell r="J754">
            <v>60</v>
          </cell>
          <cell r="K754">
            <v>90</v>
          </cell>
        </row>
        <row r="755">
          <cell r="B755" t="str">
            <v>CB26036A6-001-001</v>
          </cell>
          <cell r="D755" t="str">
            <v>B</v>
          </cell>
          <cell r="E755" t="str">
            <v>装夹时间</v>
          </cell>
        </row>
        <row r="756">
          <cell r="B756" t="str">
            <v>CB26036A6-001-001</v>
          </cell>
          <cell r="D756" t="str">
            <v>B</v>
          </cell>
          <cell r="E756" t="str">
            <v>程序时间</v>
          </cell>
          <cell r="G756">
            <v>45</v>
          </cell>
          <cell r="J756">
            <v>25</v>
          </cell>
          <cell r="K756">
            <v>30</v>
          </cell>
          <cell r="M756">
            <v>25</v>
          </cell>
        </row>
        <row r="757">
          <cell r="B757" t="str">
            <v>图号</v>
          </cell>
        </row>
        <row r="758">
          <cell r="B758" t="str">
            <v>BC2712530-003-001</v>
          </cell>
          <cell r="D758" t="str">
            <v>C</v>
          </cell>
          <cell r="E758" t="str">
            <v>工序内容</v>
          </cell>
          <cell r="F758" t="str">
            <v>0/领料</v>
          </cell>
          <cell r="G758" t="str">
            <v>5/普车10</v>
          </cell>
          <cell r="H758" t="str">
            <v>10/分光</v>
          </cell>
          <cell r="I758" t="str">
            <v>15/热处理</v>
          </cell>
          <cell r="J758" t="str">
            <v>20/数车20</v>
          </cell>
          <cell r="K758" t="str">
            <v>25/数铣10</v>
          </cell>
          <cell r="L758" t="str">
            <v>30/数车30</v>
          </cell>
          <cell r="M758" t="str">
            <v>35/数车10</v>
          </cell>
          <cell r="N758" t="str">
            <v>40/钳工</v>
          </cell>
          <cell r="O758" t="str">
            <v>45/清洁</v>
          </cell>
          <cell r="P758" t="str">
            <v>50/成检</v>
          </cell>
        </row>
        <row r="759">
          <cell r="B759" t="str">
            <v>BC2712530-003-001</v>
          </cell>
          <cell r="D759" t="str">
            <v>C</v>
          </cell>
          <cell r="E759" t="str">
            <v>准备工时</v>
          </cell>
          <cell r="G759">
            <v>60</v>
          </cell>
          <cell r="J759">
            <v>90</v>
          </cell>
          <cell r="K759">
            <v>60</v>
          </cell>
          <cell r="L759">
            <v>90</v>
          </cell>
          <cell r="M759">
            <v>90</v>
          </cell>
        </row>
        <row r="760">
          <cell r="B760" t="str">
            <v>BC2712530-003-001</v>
          </cell>
          <cell r="D760" t="str">
            <v>C</v>
          </cell>
          <cell r="E760" t="str">
            <v>装夹时间</v>
          </cell>
        </row>
        <row r="761">
          <cell r="B761" t="str">
            <v>BC2712530-003-001</v>
          </cell>
          <cell r="D761" t="str">
            <v>C</v>
          </cell>
          <cell r="E761" t="str">
            <v>程序时间</v>
          </cell>
          <cell r="G761">
            <v>20</v>
          </cell>
          <cell r="J761">
            <v>40</v>
          </cell>
          <cell r="K761">
            <v>25</v>
          </cell>
          <cell r="L761">
            <v>60</v>
          </cell>
          <cell r="M761">
            <v>20</v>
          </cell>
          <cell r="N761">
            <v>20</v>
          </cell>
        </row>
        <row r="762">
          <cell r="B762" t="str">
            <v>图号</v>
          </cell>
        </row>
        <row r="763">
          <cell r="B763" t="str">
            <v>CB2245110-001-001</v>
          </cell>
          <cell r="D763" t="str">
            <v>C</v>
          </cell>
          <cell r="E763" t="str">
            <v>工序内容</v>
          </cell>
          <cell r="F763" t="str">
            <v>0/领料</v>
          </cell>
          <cell r="G763" t="str">
            <v>05/数铣</v>
          </cell>
          <cell r="H763" t="str">
            <v>10/钳工</v>
          </cell>
          <cell r="I763" t="str">
            <v>15/分光</v>
          </cell>
          <cell r="J763" t="str">
            <v>20/硬度</v>
          </cell>
          <cell r="K763" t="str">
            <v>25/检验</v>
          </cell>
          <cell r="L763" t="str">
            <v>30/数铣</v>
          </cell>
          <cell r="M763" t="str">
            <v>35/数铣</v>
          </cell>
          <cell r="N763" t="str">
            <v>40/数铣</v>
          </cell>
          <cell r="O763" t="str">
            <v>45/钳工</v>
          </cell>
          <cell r="P763" t="str">
            <v>50/清洁</v>
          </cell>
          <cell r="Q763" t="str">
            <v>55/成检</v>
          </cell>
        </row>
        <row r="764">
          <cell r="B764" t="str">
            <v>CB2245110-001-001</v>
          </cell>
          <cell r="D764" t="str">
            <v>C</v>
          </cell>
          <cell r="E764" t="str">
            <v>准备工时</v>
          </cell>
          <cell r="G764">
            <v>60</v>
          </cell>
          <cell r="L764">
            <v>60</v>
          </cell>
          <cell r="M764">
            <v>90</v>
          </cell>
          <cell r="N764">
            <v>90</v>
          </cell>
        </row>
        <row r="765">
          <cell r="B765" t="str">
            <v>CB2245110-001-001</v>
          </cell>
          <cell r="D765" t="str">
            <v>C</v>
          </cell>
          <cell r="E765" t="str">
            <v>装夹时间</v>
          </cell>
        </row>
        <row r="766">
          <cell r="B766" t="str">
            <v>CB2245110-001-001</v>
          </cell>
          <cell r="D766" t="str">
            <v>C</v>
          </cell>
          <cell r="E766" t="str">
            <v>程序时间</v>
          </cell>
          <cell r="G766">
            <v>40</v>
          </cell>
          <cell r="H766">
            <v>15</v>
          </cell>
          <cell r="L766">
            <v>20</v>
          </cell>
          <cell r="M766">
            <v>50</v>
          </cell>
          <cell r="N766">
            <v>50</v>
          </cell>
          <cell r="O766">
            <v>25</v>
          </cell>
        </row>
        <row r="767">
          <cell r="B767" t="str">
            <v>图号</v>
          </cell>
        </row>
        <row r="768">
          <cell r="B768" t="str">
            <v>CB2285201-001-001</v>
          </cell>
          <cell r="D768" t="str">
            <v>B</v>
          </cell>
          <cell r="E768" t="str">
            <v>工序内容</v>
          </cell>
          <cell r="F768" t="str">
            <v>0/领料</v>
          </cell>
          <cell r="G768" t="str">
            <v>05/下料</v>
          </cell>
          <cell r="H768" t="str">
            <v>10/普车</v>
          </cell>
          <cell r="I768" t="str">
            <v>15/分光</v>
          </cell>
          <cell r="J768" t="str">
            <v>20/硬度</v>
          </cell>
          <cell r="K768" t="str">
            <v>25/数铣</v>
          </cell>
          <cell r="L768" t="str">
            <v>30/数铣35</v>
          </cell>
          <cell r="M768" t="str">
            <v>35/数铣35</v>
          </cell>
          <cell r="N768" t="str">
            <v>40/数铣60</v>
          </cell>
          <cell r="O768" t="str">
            <v>45/数车60</v>
          </cell>
          <cell r="P768" t="str">
            <v>50/数车20</v>
          </cell>
          <cell r="Q768" t="str">
            <v>55/数车15</v>
          </cell>
          <cell r="R768" t="str">
            <v>60/数铣20</v>
          </cell>
          <cell r="S768" t="str">
            <v>65/钳工</v>
          </cell>
          <cell r="T768" t="str">
            <v>70/清洁</v>
          </cell>
          <cell r="U768" t="str">
            <v>75/成检</v>
          </cell>
        </row>
        <row r="769">
          <cell r="B769" t="str">
            <v>CB2285201-001-001</v>
          </cell>
          <cell r="D769" t="str">
            <v>B</v>
          </cell>
          <cell r="E769" t="str">
            <v>准备工时</v>
          </cell>
          <cell r="H769">
            <v>60</v>
          </cell>
          <cell r="K769">
            <v>60</v>
          </cell>
          <cell r="L769">
            <v>60</v>
          </cell>
          <cell r="M769">
            <v>90</v>
          </cell>
          <cell r="N769">
            <v>90</v>
          </cell>
          <cell r="O769">
            <v>180</v>
          </cell>
          <cell r="P769">
            <v>180</v>
          </cell>
          <cell r="Q769">
            <v>180</v>
          </cell>
          <cell r="R769">
            <v>90</v>
          </cell>
        </row>
        <row r="770">
          <cell r="B770" t="str">
            <v>CB2285201-001-001</v>
          </cell>
          <cell r="D770" t="str">
            <v>B</v>
          </cell>
          <cell r="E770" t="str">
            <v>装夹时间</v>
          </cell>
        </row>
        <row r="771">
          <cell r="B771" t="str">
            <v>CB2285201-001-001</v>
          </cell>
          <cell r="D771" t="str">
            <v>B</v>
          </cell>
          <cell r="E771" t="str">
            <v>程序时间</v>
          </cell>
          <cell r="H771">
            <v>20</v>
          </cell>
          <cell r="K771">
            <v>50</v>
          </cell>
          <cell r="L771">
            <v>60</v>
          </cell>
          <cell r="M771">
            <v>50</v>
          </cell>
          <cell r="N771">
            <v>30</v>
          </cell>
          <cell r="O771">
            <v>100</v>
          </cell>
          <cell r="P771" t="str">
            <v>50+50</v>
          </cell>
          <cell r="Q771">
            <v>45</v>
          </cell>
          <cell r="R771">
            <v>40</v>
          </cell>
          <cell r="S771">
            <v>40</v>
          </cell>
        </row>
        <row r="772">
          <cell r="B772" t="str">
            <v>图号</v>
          </cell>
        </row>
        <row r="773">
          <cell r="B773" t="str">
            <v>CB2747GA0-002-002</v>
          </cell>
          <cell r="D773" t="str">
            <v>C</v>
          </cell>
          <cell r="E773" t="str">
            <v>工序内容</v>
          </cell>
          <cell r="F773" t="str">
            <v>0/领料</v>
          </cell>
          <cell r="G773" t="str">
            <v>05/普车20</v>
          </cell>
          <cell r="H773" t="str">
            <v>10/分光</v>
          </cell>
          <cell r="I773" t="str">
            <v>15/检验</v>
          </cell>
          <cell r="J773" t="str">
            <v>20/数车</v>
          </cell>
          <cell r="K773" t="str">
            <v>25/数铣5</v>
          </cell>
          <cell r="L773" t="str">
            <v>30/数车</v>
          </cell>
          <cell r="M773" t="str">
            <v>35/穿孔</v>
          </cell>
          <cell r="N773" t="str">
            <v>40/线切割</v>
          </cell>
          <cell r="O773" t="str">
            <v>45/钳工</v>
          </cell>
          <cell r="P773" t="str">
            <v>50/清洁</v>
          </cell>
          <cell r="Q773" t="str">
            <v>55/成检</v>
          </cell>
        </row>
        <row r="774">
          <cell r="B774" t="str">
            <v>CB2747GA0-002-002</v>
          </cell>
          <cell r="D774" t="str">
            <v>C</v>
          </cell>
          <cell r="E774" t="str">
            <v>准备工时</v>
          </cell>
          <cell r="G774">
            <v>60</v>
          </cell>
          <cell r="J774">
            <v>90</v>
          </cell>
          <cell r="K774">
            <v>60</v>
          </cell>
          <cell r="L774">
            <v>90</v>
          </cell>
        </row>
        <row r="775">
          <cell r="B775" t="str">
            <v>CB2747GA0-002-002</v>
          </cell>
          <cell r="D775" t="str">
            <v>C</v>
          </cell>
          <cell r="E775" t="str">
            <v>装夹时间</v>
          </cell>
        </row>
        <row r="776">
          <cell r="B776" t="str">
            <v>CB2747GA0-002-002</v>
          </cell>
          <cell r="D776" t="str">
            <v>C</v>
          </cell>
          <cell r="E776" t="str">
            <v>程序时间</v>
          </cell>
          <cell r="G776">
            <v>30</v>
          </cell>
          <cell r="J776">
            <v>35</v>
          </cell>
          <cell r="K776">
            <v>25</v>
          </cell>
          <cell r="L776">
            <v>25</v>
          </cell>
          <cell r="O776">
            <v>40</v>
          </cell>
        </row>
        <row r="777">
          <cell r="B777" t="str">
            <v>图号</v>
          </cell>
        </row>
        <row r="778">
          <cell r="B778" t="str">
            <v>BC5327100-009R002</v>
          </cell>
          <cell r="D778" t="str">
            <v>B</v>
          </cell>
          <cell r="E778" t="str">
            <v>工序内容</v>
          </cell>
          <cell r="F778" t="str">
            <v>0/领料</v>
          </cell>
          <cell r="G778" t="str">
            <v>05/数铣</v>
          </cell>
          <cell r="H778" t="str">
            <v>10/数铣40</v>
          </cell>
          <cell r="I778" t="str">
            <v>15/数铣120</v>
          </cell>
          <cell r="J778" t="str">
            <v>20/数铣110</v>
          </cell>
          <cell r="K778" t="str">
            <v>25/失效</v>
          </cell>
          <cell r="L778" t="str">
            <v>30/数铣</v>
          </cell>
          <cell r="M778" t="str">
            <v>35/数铣115</v>
          </cell>
          <cell r="N778" t="str">
            <v>40/五轴40</v>
          </cell>
          <cell r="O778" t="str">
            <v>45/五轴280</v>
          </cell>
          <cell r="P778" t="str">
            <v>50/测量</v>
          </cell>
          <cell r="Q778" t="str">
            <v>55/钳工</v>
          </cell>
          <cell r="R778" t="str">
            <v>60/清洁</v>
          </cell>
          <cell r="S778" t="str">
            <v>65/成检</v>
          </cell>
        </row>
        <row r="779">
          <cell r="B779" t="str">
            <v>BC5327100-009R002</v>
          </cell>
          <cell r="D779" t="str">
            <v>B</v>
          </cell>
          <cell r="E779" t="str">
            <v>准备工时</v>
          </cell>
          <cell r="G779" t="str">
            <v>60</v>
          </cell>
          <cell r="H779">
            <v>60</v>
          </cell>
          <cell r="I779">
            <v>60</v>
          </cell>
          <cell r="J779">
            <v>60</v>
          </cell>
          <cell r="L779">
            <v>60</v>
          </cell>
          <cell r="M779">
            <v>60</v>
          </cell>
          <cell r="N779">
            <v>60</v>
          </cell>
          <cell r="O779">
            <v>90</v>
          </cell>
        </row>
        <row r="780">
          <cell r="B780" t="str">
            <v>BC5327100-009R002</v>
          </cell>
          <cell r="D780" t="str">
            <v>B</v>
          </cell>
          <cell r="E780" t="str">
            <v>装夹时间</v>
          </cell>
          <cell r="N780">
            <v>60</v>
          </cell>
          <cell r="O780">
            <v>60</v>
          </cell>
        </row>
        <row r="781">
          <cell r="B781" t="str">
            <v>BC5327100-009R002</v>
          </cell>
          <cell r="D781" t="str">
            <v>B</v>
          </cell>
          <cell r="E781" t="str">
            <v>程序时间</v>
          </cell>
          <cell r="G781">
            <v>80</v>
          </cell>
          <cell r="H781">
            <v>60</v>
          </cell>
          <cell r="I781">
            <v>180</v>
          </cell>
          <cell r="J781">
            <v>170</v>
          </cell>
          <cell r="L781">
            <v>80</v>
          </cell>
          <cell r="M781">
            <v>220</v>
          </cell>
          <cell r="N781">
            <v>90</v>
          </cell>
          <cell r="O781">
            <v>540</v>
          </cell>
          <cell r="Q781">
            <v>150</v>
          </cell>
        </row>
        <row r="782">
          <cell r="B782" t="str">
            <v>图号</v>
          </cell>
        </row>
        <row r="783">
          <cell r="B783" t="str">
            <v>DD-J10B-61201-301</v>
          </cell>
          <cell r="D783" t="str">
            <v>A</v>
          </cell>
          <cell r="E783" t="str">
            <v>工序内容</v>
          </cell>
          <cell r="F783" t="str">
            <v>0/领料</v>
          </cell>
          <cell r="G783" t="str">
            <v>05/数车30</v>
          </cell>
          <cell r="H783" t="str">
            <v>10/数车10</v>
          </cell>
          <cell r="I783" t="str">
            <v>15/分光</v>
          </cell>
          <cell r="J783" t="str">
            <v>20/硬度</v>
          </cell>
          <cell r="K783" t="str">
            <v>25/车铣45</v>
          </cell>
          <cell r="L783" t="str">
            <v>30/穿孔</v>
          </cell>
          <cell r="M783" t="str">
            <v>35/钳工</v>
          </cell>
          <cell r="N783" t="str">
            <v>40/清洁</v>
          </cell>
          <cell r="O783" t="str">
            <v>45/成检</v>
          </cell>
        </row>
        <row r="784">
          <cell r="B784" t="str">
            <v>DD-J10B-61201-301</v>
          </cell>
          <cell r="D784" t="str">
            <v>A</v>
          </cell>
          <cell r="E784" t="str">
            <v>准备工时</v>
          </cell>
          <cell r="G784">
            <v>90</v>
          </cell>
          <cell r="H784">
            <v>90</v>
          </cell>
          <cell r="K784">
            <v>120</v>
          </cell>
        </row>
        <row r="785">
          <cell r="B785" t="str">
            <v>DD-J10B-61201-301</v>
          </cell>
          <cell r="D785" t="str">
            <v>A</v>
          </cell>
          <cell r="E785" t="str">
            <v>装夹时间</v>
          </cell>
        </row>
        <row r="786">
          <cell r="B786" t="str">
            <v>DD-J10B-61201-301</v>
          </cell>
          <cell r="D786" t="str">
            <v>A</v>
          </cell>
          <cell r="E786" t="str">
            <v>程序时间</v>
          </cell>
          <cell r="G786">
            <v>45</v>
          </cell>
          <cell r="H786">
            <v>20</v>
          </cell>
          <cell r="K786">
            <v>80</v>
          </cell>
          <cell r="M786">
            <v>30</v>
          </cell>
        </row>
        <row r="787">
          <cell r="B787" t="str">
            <v>图号</v>
          </cell>
        </row>
        <row r="788">
          <cell r="B788" t="str">
            <v>CB2298615-001-001</v>
          </cell>
          <cell r="D788" t="str">
            <v>B</v>
          </cell>
          <cell r="E788" t="str">
            <v>工序内容</v>
          </cell>
          <cell r="F788" t="str">
            <v>0/领料</v>
          </cell>
          <cell r="G788" t="str">
            <v>05/数车5</v>
          </cell>
          <cell r="H788" t="str">
            <v>10/分光</v>
          </cell>
          <cell r="I788" t="str">
            <v>15/硬度</v>
          </cell>
          <cell r="J788" t="str">
            <v>20/检验</v>
          </cell>
          <cell r="K788" t="str">
            <v>25/数铣10</v>
          </cell>
          <cell r="L788" t="str">
            <v>30/数铣5</v>
          </cell>
          <cell r="M788" t="str">
            <v>35/数铣5</v>
          </cell>
          <cell r="N788" t="str">
            <v>40/线切割</v>
          </cell>
          <cell r="O788" t="str">
            <v>45/钳工</v>
          </cell>
          <cell r="P788" t="str">
            <v>50/清洁</v>
          </cell>
          <cell r="Q788" t="str">
            <v>55/成检</v>
          </cell>
        </row>
        <row r="789">
          <cell r="B789" t="str">
            <v>CB2298615-001-001</v>
          </cell>
          <cell r="D789" t="str">
            <v>B</v>
          </cell>
          <cell r="E789" t="str">
            <v>准备工时</v>
          </cell>
          <cell r="G789">
            <v>60</v>
          </cell>
          <cell r="K789">
            <v>60</v>
          </cell>
          <cell r="L789">
            <v>60</v>
          </cell>
          <cell r="M789">
            <v>60</v>
          </cell>
        </row>
        <row r="790">
          <cell r="B790" t="str">
            <v>CB2298615-001-001</v>
          </cell>
          <cell r="D790" t="str">
            <v>B</v>
          </cell>
          <cell r="E790" t="str">
            <v>装夹时间</v>
          </cell>
        </row>
        <row r="791">
          <cell r="B791" t="str">
            <v>CB2298615-001-001</v>
          </cell>
          <cell r="D791" t="str">
            <v>B</v>
          </cell>
          <cell r="E791" t="str">
            <v>程序时间</v>
          </cell>
          <cell r="G791">
            <v>15</v>
          </cell>
          <cell r="K791">
            <v>20</v>
          </cell>
          <cell r="L791">
            <v>15</v>
          </cell>
          <cell r="M791">
            <v>15</v>
          </cell>
          <cell r="O791">
            <v>20</v>
          </cell>
        </row>
        <row r="792">
          <cell r="B792" t="str">
            <v>图号</v>
          </cell>
        </row>
        <row r="793">
          <cell r="B793" t="str">
            <v>CB22985T0-002-001</v>
          </cell>
          <cell r="D793" t="str">
            <v>B</v>
          </cell>
          <cell r="E793" t="str">
            <v>工序内容</v>
          </cell>
          <cell r="F793" t="str">
            <v>0领料</v>
          </cell>
          <cell r="G793" t="str">
            <v>05数车</v>
          </cell>
          <cell r="H793" t="str">
            <v>10钳工</v>
          </cell>
          <cell r="I793" t="str">
            <v>15分光</v>
          </cell>
          <cell r="J793" t="str">
            <v>20硬度</v>
          </cell>
          <cell r="K793" t="str">
            <v>25数铣3</v>
          </cell>
          <cell r="L793" t="str">
            <v>30数铣18</v>
          </cell>
          <cell r="M793" t="str">
            <v>35数铣6</v>
          </cell>
          <cell r="N793" t="str">
            <v>40数铣8</v>
          </cell>
          <cell r="O793" t="str">
            <v>45数铣8</v>
          </cell>
          <cell r="P793" t="str">
            <v>50数铣</v>
          </cell>
          <cell r="Q793" t="str">
            <v>55钳工</v>
          </cell>
          <cell r="R793" t="str">
            <v>60清洁</v>
          </cell>
          <cell r="S793" t="str">
            <v>65成检</v>
          </cell>
        </row>
        <row r="794">
          <cell r="B794" t="str">
            <v>CB22985T0-002-001</v>
          </cell>
          <cell r="D794" t="str">
            <v>B</v>
          </cell>
          <cell r="E794" t="str">
            <v>准备工时</v>
          </cell>
          <cell r="G794">
            <v>60</v>
          </cell>
          <cell r="K794">
            <v>60</v>
          </cell>
          <cell r="L794">
            <v>60</v>
          </cell>
          <cell r="M794">
            <v>60</v>
          </cell>
          <cell r="N794">
            <v>60</v>
          </cell>
          <cell r="O794">
            <v>60</v>
          </cell>
          <cell r="P794">
            <v>60</v>
          </cell>
        </row>
        <row r="795">
          <cell r="B795" t="str">
            <v>CB22985T0-002-001</v>
          </cell>
          <cell r="D795" t="str">
            <v>B</v>
          </cell>
          <cell r="E795" t="str">
            <v>装夹时间</v>
          </cell>
        </row>
        <row r="796">
          <cell r="B796" t="str">
            <v>CB22985T0-002-001</v>
          </cell>
          <cell r="D796" t="str">
            <v>B</v>
          </cell>
          <cell r="E796" t="str">
            <v>程序时间</v>
          </cell>
          <cell r="G796">
            <v>20</v>
          </cell>
          <cell r="H796">
            <v>10</v>
          </cell>
          <cell r="K796">
            <v>20</v>
          </cell>
          <cell r="L796">
            <v>30</v>
          </cell>
          <cell r="M796">
            <v>20</v>
          </cell>
          <cell r="N796">
            <v>25</v>
          </cell>
          <cell r="O796">
            <v>25</v>
          </cell>
          <cell r="P796">
            <v>25</v>
          </cell>
          <cell r="Q796">
            <v>30</v>
          </cell>
        </row>
        <row r="797">
          <cell r="B797" t="str">
            <v>图号</v>
          </cell>
        </row>
        <row r="798">
          <cell r="B798" t="str">
            <v>DD-J10-21102-250-2-Y</v>
          </cell>
          <cell r="D798" t="str">
            <v>H</v>
          </cell>
          <cell r="E798" t="str">
            <v>工序内容</v>
          </cell>
          <cell r="F798" t="str">
            <v>00/领料</v>
          </cell>
          <cell r="G798" t="str">
            <v>5/飞面</v>
          </cell>
          <cell r="H798" t="str">
            <v>10/孔40</v>
          </cell>
          <cell r="I798" t="str">
            <v>15/数铣100</v>
          </cell>
          <cell r="J798" t="str">
            <v>20/数铣160</v>
          </cell>
          <cell r="K798" t="str">
            <v>25/时效</v>
          </cell>
          <cell r="L798" t="str">
            <v>30/数铣</v>
          </cell>
          <cell r="M798" t="str">
            <v>35/数铣230</v>
          </cell>
          <cell r="N798" t="str">
            <v>40/数铣410</v>
          </cell>
          <cell r="O798" t="str">
            <v>45/钳工</v>
          </cell>
          <cell r="P798" t="str">
            <v>50/五轴</v>
          </cell>
          <cell r="Q798" t="str">
            <v>55/测量</v>
          </cell>
          <cell r="R798" t="str">
            <v>60/钳工</v>
          </cell>
          <cell r="S798" t="str">
            <v>65/清洁</v>
          </cell>
          <cell r="T798" t="str">
            <v>70/检验</v>
          </cell>
          <cell r="U798" t="str">
            <v>75/硬检</v>
          </cell>
          <cell r="V798" t="str">
            <v>80/分光</v>
          </cell>
          <cell r="W798" t="str">
            <v>85/钳工</v>
          </cell>
          <cell r="X798" t="str">
            <v>90/清洁</v>
          </cell>
          <cell r="Y798" t="str">
            <v>95/成检</v>
          </cell>
        </row>
        <row r="799">
          <cell r="B799" t="str">
            <v>DD-J10-21102-250-2-Y</v>
          </cell>
          <cell r="D799" t="str">
            <v>H</v>
          </cell>
          <cell r="E799" t="str">
            <v>准备工时</v>
          </cell>
          <cell r="G799">
            <v>60</v>
          </cell>
          <cell r="H799">
            <v>60</v>
          </cell>
          <cell r="I799">
            <v>90</v>
          </cell>
          <cell r="J799">
            <v>90</v>
          </cell>
          <cell r="L799">
            <v>60</v>
          </cell>
          <cell r="M799">
            <v>120</v>
          </cell>
          <cell r="N799">
            <v>120</v>
          </cell>
          <cell r="P799">
            <v>180</v>
          </cell>
        </row>
        <row r="800">
          <cell r="B800" t="str">
            <v>DD-J10-21102-250-2-Y</v>
          </cell>
          <cell r="D800" t="str">
            <v>H</v>
          </cell>
          <cell r="E800" t="str">
            <v>装夹时间</v>
          </cell>
          <cell r="G800">
            <v>60</v>
          </cell>
          <cell r="H800">
            <v>60</v>
          </cell>
          <cell r="I800">
            <v>60</v>
          </cell>
          <cell r="J800">
            <v>60</v>
          </cell>
          <cell r="L800">
            <v>60</v>
          </cell>
          <cell r="M800">
            <v>60</v>
          </cell>
          <cell r="N800">
            <v>60</v>
          </cell>
          <cell r="P800">
            <v>90</v>
          </cell>
        </row>
        <row r="801">
          <cell r="B801" t="str">
            <v>DD-J10-21102-250-2-Y</v>
          </cell>
          <cell r="D801" t="str">
            <v>H</v>
          </cell>
          <cell r="E801" t="str">
            <v>程序时间</v>
          </cell>
          <cell r="G801">
            <v>60</v>
          </cell>
          <cell r="H801">
            <v>60</v>
          </cell>
          <cell r="I801">
            <v>120</v>
          </cell>
          <cell r="J801">
            <v>210</v>
          </cell>
          <cell r="L801">
            <v>120</v>
          </cell>
          <cell r="M801">
            <v>270</v>
          </cell>
          <cell r="N801">
            <v>540</v>
          </cell>
          <cell r="O801">
            <v>120</v>
          </cell>
          <cell r="P801">
            <v>420</v>
          </cell>
          <cell r="R801">
            <v>360</v>
          </cell>
          <cell r="W801">
            <v>10</v>
          </cell>
        </row>
        <row r="802">
          <cell r="B802" t="str">
            <v>图号</v>
          </cell>
        </row>
        <row r="803">
          <cell r="B803" t="str">
            <v>DD-J10-21102-250-2-Z</v>
          </cell>
          <cell r="D803" t="str">
            <v>H</v>
          </cell>
          <cell r="E803" t="str">
            <v>工序内容</v>
          </cell>
          <cell r="F803" t="str">
            <v>00/领料</v>
          </cell>
          <cell r="G803" t="str">
            <v>5/飞面</v>
          </cell>
          <cell r="H803" t="str">
            <v>10/孔40</v>
          </cell>
          <cell r="I803" t="str">
            <v>15/数铣100</v>
          </cell>
          <cell r="J803" t="str">
            <v>20/数铣160</v>
          </cell>
          <cell r="K803" t="str">
            <v>25/时效</v>
          </cell>
          <cell r="L803" t="str">
            <v>30/数铣</v>
          </cell>
          <cell r="M803" t="str">
            <v>35/数铣230</v>
          </cell>
          <cell r="N803" t="str">
            <v>40/数铣410</v>
          </cell>
          <cell r="O803" t="str">
            <v>45/钳工</v>
          </cell>
          <cell r="P803" t="str">
            <v>50/五轴</v>
          </cell>
          <cell r="Q803" t="str">
            <v>55/测量</v>
          </cell>
          <cell r="R803" t="str">
            <v>60/钳工</v>
          </cell>
          <cell r="S803" t="str">
            <v>65/清洁</v>
          </cell>
          <cell r="T803" t="str">
            <v>70/检验</v>
          </cell>
          <cell r="U803" t="str">
            <v>75/硬检</v>
          </cell>
          <cell r="V803" t="str">
            <v>80/分光</v>
          </cell>
          <cell r="W803" t="str">
            <v>85/钳工</v>
          </cell>
          <cell r="X803" t="str">
            <v>90/清洁</v>
          </cell>
          <cell r="Y803" t="str">
            <v>95/成检</v>
          </cell>
        </row>
        <row r="804">
          <cell r="B804" t="str">
            <v>DD-J10-21102-250-2-Z</v>
          </cell>
          <cell r="D804" t="str">
            <v>H</v>
          </cell>
          <cell r="E804" t="str">
            <v>准备工时</v>
          </cell>
          <cell r="G804">
            <v>60</v>
          </cell>
          <cell r="H804">
            <v>60</v>
          </cell>
          <cell r="I804">
            <v>90</v>
          </cell>
          <cell r="J804">
            <v>90</v>
          </cell>
          <cell r="L804">
            <v>60</v>
          </cell>
          <cell r="M804">
            <v>120</v>
          </cell>
          <cell r="N804">
            <v>120</v>
          </cell>
          <cell r="P804">
            <v>180</v>
          </cell>
        </row>
        <row r="805">
          <cell r="B805" t="str">
            <v>DD-J10-21102-250-2-Z</v>
          </cell>
          <cell r="D805" t="str">
            <v>H</v>
          </cell>
          <cell r="E805" t="str">
            <v>装夹时间</v>
          </cell>
          <cell r="G805">
            <v>60</v>
          </cell>
          <cell r="H805">
            <v>60</v>
          </cell>
          <cell r="I805">
            <v>60</v>
          </cell>
          <cell r="J805">
            <v>60</v>
          </cell>
          <cell r="L805">
            <v>60</v>
          </cell>
          <cell r="M805">
            <v>60</v>
          </cell>
          <cell r="N805">
            <v>60</v>
          </cell>
          <cell r="P805">
            <v>90</v>
          </cell>
        </row>
        <row r="806">
          <cell r="B806" t="str">
            <v>DD-J10-21102-250-2-Z</v>
          </cell>
          <cell r="D806" t="str">
            <v>H</v>
          </cell>
          <cell r="E806" t="str">
            <v>程序时间</v>
          </cell>
          <cell r="G806">
            <v>60</v>
          </cell>
          <cell r="H806">
            <v>60</v>
          </cell>
          <cell r="I806">
            <v>120</v>
          </cell>
          <cell r="J806">
            <v>210</v>
          </cell>
          <cell r="L806">
            <v>120</v>
          </cell>
          <cell r="M806">
            <v>270</v>
          </cell>
          <cell r="N806">
            <v>540</v>
          </cell>
          <cell r="O806">
            <v>120</v>
          </cell>
          <cell r="P806">
            <v>420</v>
          </cell>
          <cell r="R806">
            <v>360</v>
          </cell>
          <cell r="W806">
            <v>10</v>
          </cell>
        </row>
        <row r="807">
          <cell r="B807" t="str">
            <v>图号</v>
          </cell>
        </row>
        <row r="808">
          <cell r="B808" t="str">
            <v>DD-J10B-21402-10G2-1G2-Z</v>
          </cell>
          <cell r="D808" t="str">
            <v>H</v>
          </cell>
          <cell r="E808" t="str">
            <v>工序内容</v>
          </cell>
          <cell r="F808" t="str">
            <v>00/领料</v>
          </cell>
          <cell r="G808" t="str">
            <v>5/钳工</v>
          </cell>
          <cell r="H808" t="str">
            <v>10/数铣60</v>
          </cell>
          <cell r="I808" t="str">
            <v>15/数铣370</v>
          </cell>
          <cell r="J808" t="str">
            <v>20/数铣170</v>
          </cell>
          <cell r="K808" t="str">
            <v>25/修面</v>
          </cell>
          <cell r="L808" t="str">
            <v>30/数铣280</v>
          </cell>
          <cell r="M808" t="str">
            <v>35/五轴480</v>
          </cell>
          <cell r="N808" t="str">
            <v>40/测量</v>
          </cell>
          <cell r="O808" t="str">
            <v>45/钳工</v>
          </cell>
          <cell r="P808" t="str">
            <v>50/清洁</v>
          </cell>
          <cell r="Q808" t="str">
            <v>55/成检</v>
          </cell>
        </row>
        <row r="809">
          <cell r="B809" t="str">
            <v>DD-J10B-21402-10G2-1G2-Z</v>
          </cell>
          <cell r="D809" t="str">
            <v>H</v>
          </cell>
          <cell r="E809" t="str">
            <v>准备工时</v>
          </cell>
          <cell r="G809">
            <v>60</v>
          </cell>
          <cell r="H809">
            <v>60</v>
          </cell>
          <cell r="I809">
            <v>60</v>
          </cell>
          <cell r="J809">
            <v>60</v>
          </cell>
          <cell r="K809">
            <v>60</v>
          </cell>
          <cell r="L809">
            <v>150</v>
          </cell>
          <cell r="M809">
            <v>150</v>
          </cell>
        </row>
        <row r="810">
          <cell r="B810" t="str">
            <v>DD-J10B-21402-10G2-1G2-Z</v>
          </cell>
          <cell r="D810" t="str">
            <v>H</v>
          </cell>
          <cell r="E810" t="str">
            <v>装夹时间</v>
          </cell>
          <cell r="H810">
            <v>60</v>
          </cell>
          <cell r="I810">
            <v>60</v>
          </cell>
          <cell r="J810">
            <v>60</v>
          </cell>
          <cell r="K810">
            <v>60</v>
          </cell>
          <cell r="L810">
            <v>90</v>
          </cell>
          <cell r="M810">
            <v>90</v>
          </cell>
        </row>
        <row r="811">
          <cell r="B811" t="str">
            <v>DD-J10B-21402-10G2-1G2-Z</v>
          </cell>
          <cell r="D811" t="str">
            <v>H</v>
          </cell>
          <cell r="E811" t="str">
            <v>程序时间</v>
          </cell>
          <cell r="G811">
            <v>30</v>
          </cell>
          <cell r="H811">
            <v>120</v>
          </cell>
          <cell r="I811">
            <v>450</v>
          </cell>
          <cell r="J811">
            <v>220</v>
          </cell>
          <cell r="K811">
            <v>60</v>
          </cell>
          <cell r="L811">
            <v>650</v>
          </cell>
          <cell r="M811">
            <v>960</v>
          </cell>
          <cell r="O811">
            <v>360</v>
          </cell>
        </row>
        <row r="812">
          <cell r="B812" t="str">
            <v>图号</v>
          </cell>
        </row>
        <row r="813">
          <cell r="B813" t="str">
            <v>DD-J10B-21402-10G2-1G2-Y</v>
          </cell>
          <cell r="D813" t="str">
            <v>H</v>
          </cell>
          <cell r="E813" t="str">
            <v>工序内容</v>
          </cell>
          <cell r="F813" t="str">
            <v>00/领料</v>
          </cell>
          <cell r="G813" t="str">
            <v>5/钳工</v>
          </cell>
          <cell r="H813" t="str">
            <v>10/数铣60</v>
          </cell>
          <cell r="I813" t="str">
            <v>15/数铣370</v>
          </cell>
          <cell r="J813" t="str">
            <v>20/数铣170</v>
          </cell>
          <cell r="K813" t="str">
            <v>25/修面</v>
          </cell>
          <cell r="L813" t="str">
            <v>30/数铣280</v>
          </cell>
          <cell r="M813" t="str">
            <v>35/五轴480</v>
          </cell>
          <cell r="N813" t="str">
            <v>40/测量</v>
          </cell>
          <cell r="O813" t="str">
            <v>45/钳工</v>
          </cell>
          <cell r="P813" t="str">
            <v>50/清洁</v>
          </cell>
          <cell r="Q813" t="str">
            <v>55/成检</v>
          </cell>
        </row>
        <row r="814">
          <cell r="B814" t="str">
            <v>DD-J10B-21402-10G2-1G2-Y</v>
          </cell>
          <cell r="D814" t="str">
            <v>H</v>
          </cell>
          <cell r="E814" t="str">
            <v>准备工时</v>
          </cell>
          <cell r="G814">
            <v>60</v>
          </cell>
          <cell r="H814">
            <v>60</v>
          </cell>
          <cell r="I814">
            <v>60</v>
          </cell>
          <cell r="J814">
            <v>60</v>
          </cell>
          <cell r="K814">
            <v>60</v>
          </cell>
          <cell r="L814">
            <v>150</v>
          </cell>
          <cell r="M814">
            <v>150</v>
          </cell>
        </row>
        <row r="815">
          <cell r="B815" t="str">
            <v>DD-J10B-21402-10G2-1G2-Y</v>
          </cell>
          <cell r="D815" t="str">
            <v>H</v>
          </cell>
          <cell r="E815" t="str">
            <v>装夹时间</v>
          </cell>
          <cell r="H815">
            <v>60</v>
          </cell>
          <cell r="I815">
            <v>60</v>
          </cell>
          <cell r="J815">
            <v>60</v>
          </cell>
          <cell r="K815">
            <v>60</v>
          </cell>
          <cell r="L815">
            <v>90</v>
          </cell>
          <cell r="M815">
            <v>90</v>
          </cell>
        </row>
        <row r="816">
          <cell r="B816" t="str">
            <v>DD-J10B-21402-10G2-1G2-Y</v>
          </cell>
          <cell r="D816" t="str">
            <v>H</v>
          </cell>
          <cell r="E816" t="str">
            <v>程序时间</v>
          </cell>
          <cell r="G816">
            <v>30</v>
          </cell>
          <cell r="H816">
            <v>120</v>
          </cell>
          <cell r="I816">
            <v>450</v>
          </cell>
          <cell r="J816">
            <v>220</v>
          </cell>
          <cell r="K816">
            <v>60</v>
          </cell>
          <cell r="L816">
            <v>650</v>
          </cell>
          <cell r="M816">
            <v>960</v>
          </cell>
          <cell r="O816">
            <v>360</v>
          </cell>
        </row>
        <row r="817">
          <cell r="B817" t="str">
            <v>图号</v>
          </cell>
        </row>
        <row r="818">
          <cell r="B818" t="str">
            <v>DD-J10B-21402-10G2-1G2-Z</v>
          </cell>
          <cell r="D818" t="str">
            <v>G</v>
          </cell>
          <cell r="E818" t="str">
            <v>工序内容</v>
          </cell>
          <cell r="F818" t="str">
            <v>00/领料</v>
          </cell>
          <cell r="G818" t="str">
            <v>5/钳工</v>
          </cell>
          <cell r="H818" t="str">
            <v>10/数铣</v>
          </cell>
          <cell r="I818" t="str">
            <v>15/数铣107</v>
          </cell>
          <cell r="J818" t="str">
            <v>20/数铣192</v>
          </cell>
          <cell r="K818" t="str">
            <v>25/数铣22</v>
          </cell>
          <cell r="L818" t="str">
            <v>30/数铣13</v>
          </cell>
          <cell r="M818" t="str">
            <v>35/数铣201</v>
          </cell>
          <cell r="N818" t="str">
            <v>40/数铣317</v>
          </cell>
          <cell r="O818" t="str">
            <v>45/数铣160</v>
          </cell>
          <cell r="P818" t="str">
            <v>50/五轴30</v>
          </cell>
          <cell r="Q818" t="str">
            <v>55/五轴400</v>
          </cell>
          <cell r="R818" t="str">
            <v>60/测量</v>
          </cell>
          <cell r="S818" t="str">
            <v>65/钳工</v>
          </cell>
          <cell r="T818" t="str">
            <v>70/数铣</v>
          </cell>
          <cell r="U818" t="str">
            <v>75/清洁</v>
          </cell>
          <cell r="V818" t="str">
            <v>80/成检</v>
          </cell>
        </row>
        <row r="819">
          <cell r="B819" t="str">
            <v>DD-J10B-21402-10G2-1G2-Z</v>
          </cell>
          <cell r="D819" t="str">
            <v>G</v>
          </cell>
          <cell r="E819" t="str">
            <v>准备工时</v>
          </cell>
          <cell r="H819">
            <v>60</v>
          </cell>
          <cell r="I819">
            <v>60</v>
          </cell>
          <cell r="J819">
            <v>60</v>
          </cell>
          <cell r="K819">
            <v>60</v>
          </cell>
          <cell r="L819">
            <v>60</v>
          </cell>
          <cell r="M819">
            <v>120</v>
          </cell>
          <cell r="N819">
            <v>120</v>
          </cell>
          <cell r="O819">
            <v>180</v>
          </cell>
          <cell r="P819">
            <v>150</v>
          </cell>
          <cell r="Q819">
            <v>120</v>
          </cell>
        </row>
        <row r="820">
          <cell r="B820" t="str">
            <v>DD-J10B-21402-10G2-1G2-Z</v>
          </cell>
          <cell r="D820" t="str">
            <v>G</v>
          </cell>
          <cell r="E820" t="str">
            <v>装夹时间</v>
          </cell>
          <cell r="H820">
            <v>60</v>
          </cell>
          <cell r="I820">
            <v>60</v>
          </cell>
          <cell r="J820">
            <v>60</v>
          </cell>
          <cell r="K820">
            <v>60</v>
          </cell>
          <cell r="L820">
            <v>60</v>
          </cell>
          <cell r="M820">
            <v>60</v>
          </cell>
          <cell r="N820">
            <v>60</v>
          </cell>
          <cell r="O820">
            <v>60</v>
          </cell>
          <cell r="P820">
            <v>90</v>
          </cell>
          <cell r="Q820">
            <v>60</v>
          </cell>
        </row>
        <row r="821">
          <cell r="B821" t="str">
            <v>DD-J10B-21402-10G2-1G2-Z</v>
          </cell>
          <cell r="D821" t="str">
            <v>G</v>
          </cell>
          <cell r="E821" t="str">
            <v>程序时间</v>
          </cell>
          <cell r="H821">
            <v>120</v>
          </cell>
          <cell r="I821">
            <v>150</v>
          </cell>
          <cell r="J821">
            <v>210</v>
          </cell>
          <cell r="K821">
            <v>60</v>
          </cell>
          <cell r="L821">
            <v>60</v>
          </cell>
          <cell r="M821">
            <v>330</v>
          </cell>
          <cell r="N821">
            <v>510</v>
          </cell>
          <cell r="O821">
            <v>180</v>
          </cell>
          <cell r="P821">
            <v>150</v>
          </cell>
          <cell r="Q821">
            <v>1040</v>
          </cell>
          <cell r="S821">
            <v>360</v>
          </cell>
          <cell r="T821">
            <v>20</v>
          </cell>
        </row>
        <row r="822">
          <cell r="B822" t="str">
            <v>图号</v>
          </cell>
        </row>
        <row r="823">
          <cell r="B823" t="str">
            <v>CB5327310-014L001</v>
          </cell>
          <cell r="D823" t="str">
            <v>B</v>
          </cell>
          <cell r="E823" t="str">
            <v>工序内容</v>
          </cell>
          <cell r="F823" t="str">
            <v>0/领料</v>
          </cell>
          <cell r="G823" t="str">
            <v>5/下料</v>
          </cell>
          <cell r="H823" t="str">
            <v>10/数铣20</v>
          </cell>
          <cell r="I823" t="str">
            <v>15/数铣100</v>
          </cell>
          <cell r="J823" t="str">
            <v>20/数铣130</v>
          </cell>
          <cell r="K823" t="str">
            <v>25/测量</v>
          </cell>
          <cell r="L823" t="str">
            <v>30/钳工</v>
          </cell>
          <cell r="M823" t="str">
            <v>35/数铣</v>
          </cell>
          <cell r="N823" t="str">
            <v>40/清洁</v>
          </cell>
          <cell r="O823" t="str">
            <v>45/成检</v>
          </cell>
        </row>
        <row r="824">
          <cell r="B824" t="str">
            <v>CB5327310-014L001</v>
          </cell>
          <cell r="D824" t="str">
            <v>B</v>
          </cell>
          <cell r="E824" t="str">
            <v>准备工时</v>
          </cell>
          <cell r="H824">
            <v>60</v>
          </cell>
          <cell r="I824">
            <v>60</v>
          </cell>
          <cell r="J824">
            <v>60</v>
          </cell>
        </row>
        <row r="825">
          <cell r="B825" t="str">
            <v>CB5327310-014L001</v>
          </cell>
          <cell r="D825" t="str">
            <v>B</v>
          </cell>
          <cell r="E825" t="str">
            <v>装夹时间</v>
          </cell>
        </row>
        <row r="826">
          <cell r="B826" t="str">
            <v>CB5327310-014L001</v>
          </cell>
          <cell r="D826" t="str">
            <v>B</v>
          </cell>
          <cell r="E826" t="str">
            <v>程序时间</v>
          </cell>
          <cell r="H826">
            <v>40</v>
          </cell>
          <cell r="I826">
            <v>130</v>
          </cell>
          <cell r="J826">
            <v>210</v>
          </cell>
          <cell r="L826">
            <v>30</v>
          </cell>
        </row>
        <row r="827">
          <cell r="B827" t="str">
            <v>图号</v>
          </cell>
        </row>
        <row r="828">
          <cell r="B828" t="str">
            <v>CB5327310-014R001</v>
          </cell>
          <cell r="D828" t="str">
            <v>B</v>
          </cell>
          <cell r="E828" t="str">
            <v>工序内容</v>
          </cell>
          <cell r="F828" t="str">
            <v>0/领料</v>
          </cell>
          <cell r="G828" t="str">
            <v>5/下料</v>
          </cell>
          <cell r="H828" t="str">
            <v>10/数铣20</v>
          </cell>
          <cell r="I828" t="str">
            <v>15/数铣100</v>
          </cell>
          <cell r="J828" t="str">
            <v>20/数铣130</v>
          </cell>
          <cell r="K828" t="str">
            <v>25/测量</v>
          </cell>
          <cell r="L828" t="str">
            <v>30/钳工</v>
          </cell>
          <cell r="M828" t="str">
            <v>35/数铣</v>
          </cell>
          <cell r="N828" t="str">
            <v>40/清洁</v>
          </cell>
          <cell r="O828" t="str">
            <v>45/成检</v>
          </cell>
        </row>
        <row r="829">
          <cell r="B829" t="str">
            <v>CB5327310-014R001</v>
          </cell>
          <cell r="D829" t="str">
            <v>B</v>
          </cell>
          <cell r="E829" t="str">
            <v>准备工时</v>
          </cell>
          <cell r="H829">
            <v>60</v>
          </cell>
          <cell r="I829">
            <v>60</v>
          </cell>
          <cell r="J829">
            <v>60</v>
          </cell>
        </row>
        <row r="830">
          <cell r="B830" t="str">
            <v>CB5327310-014R001</v>
          </cell>
          <cell r="D830" t="str">
            <v>B</v>
          </cell>
          <cell r="E830" t="str">
            <v>装夹时间</v>
          </cell>
        </row>
        <row r="831">
          <cell r="B831" t="str">
            <v>CB5327310-014R001</v>
          </cell>
          <cell r="D831" t="str">
            <v>B</v>
          </cell>
          <cell r="E831" t="str">
            <v>程序时间</v>
          </cell>
          <cell r="H831">
            <v>40</v>
          </cell>
          <cell r="I831">
            <v>130</v>
          </cell>
          <cell r="J831">
            <v>210</v>
          </cell>
          <cell r="L831">
            <v>30</v>
          </cell>
        </row>
        <row r="832">
          <cell r="B832" t="str">
            <v>图号</v>
          </cell>
        </row>
        <row r="833">
          <cell r="B833" t="str">
            <v>DD-J10-05346-3-Z</v>
          </cell>
          <cell r="D833" t="str">
            <v>E</v>
          </cell>
          <cell r="E833" t="str">
            <v>工序内容</v>
          </cell>
          <cell r="F833" t="str">
            <v>0/领料</v>
          </cell>
          <cell r="G833" t="str">
            <v>5/数铣</v>
          </cell>
          <cell r="H833" t="str">
            <v>10/超声</v>
          </cell>
          <cell r="I833" t="str">
            <v>15/线切割</v>
          </cell>
          <cell r="J833" t="str">
            <v>20/数铣</v>
          </cell>
          <cell r="K833" t="str">
            <v>25/数铣</v>
          </cell>
          <cell r="L833" t="str">
            <v>30/数铣</v>
          </cell>
          <cell r="M833" t="str">
            <v>33/数铣</v>
          </cell>
          <cell r="N833" t="str">
            <v>35/数铣</v>
          </cell>
          <cell r="O833" t="str">
            <v>45/钳工</v>
          </cell>
          <cell r="P833" t="str">
            <v>50/清洗</v>
          </cell>
          <cell r="Q833" t="str">
            <v>55/成检</v>
          </cell>
        </row>
        <row r="834">
          <cell r="B834" t="str">
            <v>DD-J10-05346-3-Z</v>
          </cell>
          <cell r="D834" t="str">
            <v>E</v>
          </cell>
          <cell r="E834" t="str">
            <v>准备工时</v>
          </cell>
          <cell r="G834">
            <v>60</v>
          </cell>
          <cell r="J834">
            <v>60</v>
          </cell>
          <cell r="K834">
            <v>90</v>
          </cell>
          <cell r="L834">
            <v>60</v>
          </cell>
          <cell r="M834">
            <v>60</v>
          </cell>
          <cell r="N834">
            <v>60</v>
          </cell>
        </row>
        <row r="835">
          <cell r="B835" t="str">
            <v>DD-J10-05346-3-Z</v>
          </cell>
          <cell r="D835" t="str">
            <v>E</v>
          </cell>
          <cell r="E835" t="str">
            <v>装夹时间</v>
          </cell>
        </row>
        <row r="836">
          <cell r="B836" t="str">
            <v>DD-J10-05346-3-Z</v>
          </cell>
          <cell r="D836" t="str">
            <v>E</v>
          </cell>
          <cell r="E836" t="str">
            <v>程序时间</v>
          </cell>
          <cell r="G836">
            <v>90</v>
          </cell>
          <cell r="J836">
            <v>60</v>
          </cell>
          <cell r="K836">
            <v>160</v>
          </cell>
          <cell r="L836">
            <v>75</v>
          </cell>
          <cell r="M836">
            <v>90</v>
          </cell>
          <cell r="N836">
            <v>60</v>
          </cell>
          <cell r="O836">
            <v>120</v>
          </cell>
        </row>
        <row r="837">
          <cell r="B837" t="str">
            <v>图号</v>
          </cell>
        </row>
        <row r="838">
          <cell r="B838" t="str">
            <v>DD-J10-05346-3-Y</v>
          </cell>
          <cell r="D838" t="str">
            <v>E</v>
          </cell>
          <cell r="E838" t="str">
            <v>工序内容</v>
          </cell>
          <cell r="F838" t="str">
            <v>0/领料</v>
          </cell>
          <cell r="G838" t="str">
            <v>5/数铣</v>
          </cell>
          <cell r="H838" t="str">
            <v>10/超声</v>
          </cell>
          <cell r="I838" t="str">
            <v>15/线切割</v>
          </cell>
          <cell r="J838" t="str">
            <v>20/数铣</v>
          </cell>
          <cell r="K838" t="str">
            <v>25/数铣</v>
          </cell>
          <cell r="L838" t="str">
            <v>30/数铣</v>
          </cell>
          <cell r="M838" t="str">
            <v>33/数铣</v>
          </cell>
          <cell r="N838" t="str">
            <v>35/数铣</v>
          </cell>
          <cell r="O838" t="str">
            <v>45/钳工</v>
          </cell>
          <cell r="P838" t="str">
            <v>50/清洗</v>
          </cell>
          <cell r="Q838" t="str">
            <v>55/成检</v>
          </cell>
        </row>
        <row r="839">
          <cell r="B839" t="str">
            <v>DD-J10-05346-3-Y</v>
          </cell>
          <cell r="D839" t="str">
            <v>E</v>
          </cell>
          <cell r="E839" t="str">
            <v>准备工时</v>
          </cell>
          <cell r="G839">
            <v>60</v>
          </cell>
          <cell r="J839">
            <v>60</v>
          </cell>
          <cell r="K839">
            <v>90</v>
          </cell>
          <cell r="L839">
            <v>60</v>
          </cell>
          <cell r="M839">
            <v>60</v>
          </cell>
          <cell r="N839">
            <v>60</v>
          </cell>
        </row>
        <row r="840">
          <cell r="B840" t="str">
            <v>DD-J10-05346-3-Y</v>
          </cell>
          <cell r="D840" t="str">
            <v>E</v>
          </cell>
          <cell r="E840" t="str">
            <v>装夹时间</v>
          </cell>
        </row>
        <row r="841">
          <cell r="B841" t="str">
            <v>DD-J10-05346-3-Y</v>
          </cell>
          <cell r="D841" t="str">
            <v>E</v>
          </cell>
          <cell r="E841" t="str">
            <v>程序时间</v>
          </cell>
          <cell r="G841">
            <v>90</v>
          </cell>
          <cell r="J841">
            <v>60</v>
          </cell>
          <cell r="K841">
            <v>160</v>
          </cell>
          <cell r="L841">
            <v>75</v>
          </cell>
          <cell r="M841">
            <v>90</v>
          </cell>
          <cell r="N841">
            <v>60</v>
          </cell>
          <cell r="O841">
            <v>120</v>
          </cell>
        </row>
        <row r="842">
          <cell r="B842" t="str">
            <v>图号</v>
          </cell>
        </row>
        <row r="843">
          <cell r="B843" t="str">
            <v>CB5811100-004-001</v>
          </cell>
          <cell r="D843" t="str">
            <v>C</v>
          </cell>
          <cell r="E843" t="str">
            <v>工序内容</v>
          </cell>
          <cell r="F843" t="str">
            <v>0/领料</v>
          </cell>
          <cell r="G843" t="str">
            <v>05/下料</v>
          </cell>
          <cell r="H843" t="str">
            <v>10/线切割</v>
          </cell>
          <cell r="I843" t="str">
            <v>15/数车30</v>
          </cell>
          <cell r="J843" t="str">
            <v>20/数车25</v>
          </cell>
          <cell r="K843" t="str">
            <v>25/数车35</v>
          </cell>
          <cell r="L843" t="str">
            <v>30/数车30</v>
          </cell>
          <cell r="M843" t="str">
            <v>35/数铣15</v>
          </cell>
          <cell r="N843" t="str">
            <v>40/线切割</v>
          </cell>
          <cell r="O843" t="str">
            <v>45/钳工</v>
          </cell>
          <cell r="P843" t="str">
            <v>50/分光</v>
          </cell>
          <cell r="Q843" t="str">
            <v>55/热处理</v>
          </cell>
          <cell r="R843" t="str">
            <v>60/数车25</v>
          </cell>
          <cell r="S843" t="str">
            <v>65/数车15</v>
          </cell>
          <cell r="T843" t="str">
            <v>70/数铣5</v>
          </cell>
          <cell r="U843" t="str">
            <v>75/钳工</v>
          </cell>
        </row>
        <row r="844">
          <cell r="B844" t="str">
            <v>CB5811100-004-001</v>
          </cell>
          <cell r="D844" t="str">
            <v>C</v>
          </cell>
          <cell r="E844" t="str">
            <v>准备工时</v>
          </cell>
          <cell r="I844">
            <v>90</v>
          </cell>
          <cell r="J844">
            <v>60</v>
          </cell>
          <cell r="K844">
            <v>60</v>
          </cell>
          <cell r="L844">
            <v>60</v>
          </cell>
          <cell r="M844">
            <v>60</v>
          </cell>
          <cell r="R844">
            <v>60</v>
          </cell>
          <cell r="S844">
            <v>60</v>
          </cell>
          <cell r="T844">
            <v>60</v>
          </cell>
        </row>
        <row r="845">
          <cell r="B845" t="str">
            <v>CB5811100-004-001</v>
          </cell>
          <cell r="D845" t="str">
            <v>C</v>
          </cell>
          <cell r="E845" t="str">
            <v>装夹时间</v>
          </cell>
        </row>
        <row r="846">
          <cell r="B846" t="str">
            <v>CB5811100-004-001</v>
          </cell>
          <cell r="D846" t="str">
            <v>C</v>
          </cell>
          <cell r="E846" t="str">
            <v>程序时间</v>
          </cell>
          <cell r="G846">
            <v>10</v>
          </cell>
          <cell r="I846">
            <v>60</v>
          </cell>
          <cell r="J846">
            <v>25</v>
          </cell>
          <cell r="K846">
            <v>35</v>
          </cell>
          <cell r="L846">
            <v>30</v>
          </cell>
          <cell r="M846">
            <v>25</v>
          </cell>
          <cell r="O846">
            <v>30</v>
          </cell>
          <cell r="R846">
            <v>25</v>
          </cell>
          <cell r="S846">
            <v>15</v>
          </cell>
          <cell r="T846">
            <v>30</v>
          </cell>
          <cell r="U846">
            <v>30</v>
          </cell>
        </row>
        <row r="847">
          <cell r="B847" t="str">
            <v>图号</v>
          </cell>
        </row>
        <row r="848">
          <cell r="B848" t="str">
            <v>CB22109MN-001-003</v>
          </cell>
          <cell r="D848" t="str">
            <v>A</v>
          </cell>
          <cell r="E848" t="str">
            <v>工序内容</v>
          </cell>
          <cell r="F848" t="str">
            <v>0/领料</v>
          </cell>
          <cell r="G848" t="str">
            <v>5/钳工</v>
          </cell>
          <cell r="H848" t="str">
            <v>10/数车15</v>
          </cell>
          <cell r="I848" t="str">
            <v>15/数车15</v>
          </cell>
          <cell r="J848" t="str">
            <v>20/硬度</v>
          </cell>
          <cell r="K848" t="str">
            <v>25/数车45</v>
          </cell>
          <cell r="L848" t="str">
            <v>30/数车30</v>
          </cell>
          <cell r="M848" t="str">
            <v>35/钳工</v>
          </cell>
          <cell r="N848" t="str">
            <v>40/清洁</v>
          </cell>
          <cell r="O848" t="str">
            <v>45/成检</v>
          </cell>
        </row>
        <row r="849">
          <cell r="B849" t="str">
            <v>CB22109MN-001-003</v>
          </cell>
          <cell r="D849" t="str">
            <v>A</v>
          </cell>
          <cell r="E849" t="str">
            <v>准备工时</v>
          </cell>
          <cell r="H849">
            <v>90</v>
          </cell>
          <cell r="I849">
            <v>90</v>
          </cell>
          <cell r="K849">
            <v>120</v>
          </cell>
          <cell r="L849">
            <v>120</v>
          </cell>
        </row>
        <row r="850">
          <cell r="B850" t="str">
            <v>CB22109MN-001-003</v>
          </cell>
          <cell r="D850" t="str">
            <v>A</v>
          </cell>
          <cell r="E850" t="str">
            <v>装夹时间</v>
          </cell>
        </row>
        <row r="851">
          <cell r="B851" t="str">
            <v>CB22109MN-001-003</v>
          </cell>
          <cell r="D851" t="str">
            <v>A</v>
          </cell>
          <cell r="E851" t="str">
            <v>程序时间</v>
          </cell>
          <cell r="G851">
            <v>10</v>
          </cell>
          <cell r="H851">
            <v>20</v>
          </cell>
          <cell r="I851">
            <v>20</v>
          </cell>
          <cell r="K851">
            <v>60</v>
          </cell>
          <cell r="L851">
            <v>40</v>
          </cell>
          <cell r="M851">
            <v>30</v>
          </cell>
        </row>
        <row r="852">
          <cell r="B852" t="str">
            <v>图号</v>
          </cell>
        </row>
        <row r="853">
          <cell r="B853" t="str">
            <v>CB22109MD-001-003</v>
          </cell>
          <cell r="D853" t="str">
            <v>B</v>
          </cell>
          <cell r="E853" t="str">
            <v>工序内容</v>
          </cell>
          <cell r="F853" t="str">
            <v>0/领料</v>
          </cell>
          <cell r="G853" t="str">
            <v>05/硬度</v>
          </cell>
          <cell r="H853" t="str">
            <v>10/钳工</v>
          </cell>
          <cell r="I853" t="str">
            <v>15/数车15</v>
          </cell>
          <cell r="J853" t="str">
            <v>20/数车35</v>
          </cell>
          <cell r="K853" t="str">
            <v>25/数车20</v>
          </cell>
          <cell r="L853" t="str">
            <v>30/数车25</v>
          </cell>
          <cell r="M853" t="str">
            <v>35/数车10</v>
          </cell>
          <cell r="N853" t="str">
            <v>40/数车25</v>
          </cell>
          <cell r="O853" t="str">
            <v>45/数车10</v>
          </cell>
          <cell r="P853" t="str">
            <v>50/钳工</v>
          </cell>
          <cell r="Q853" t="str">
            <v>55/清洁</v>
          </cell>
          <cell r="R853" t="str">
            <v>60/成检</v>
          </cell>
        </row>
        <row r="854">
          <cell r="B854" t="str">
            <v>CB22109MD-001-003</v>
          </cell>
          <cell r="D854" t="str">
            <v>B</v>
          </cell>
          <cell r="E854" t="str">
            <v>准备工时</v>
          </cell>
          <cell r="I854">
            <v>180</v>
          </cell>
          <cell r="J854">
            <v>180</v>
          </cell>
          <cell r="K854">
            <v>180</v>
          </cell>
          <cell r="L854">
            <v>180</v>
          </cell>
          <cell r="M854">
            <v>120</v>
          </cell>
          <cell r="N854">
            <v>180</v>
          </cell>
          <cell r="O854">
            <v>120</v>
          </cell>
        </row>
        <row r="855">
          <cell r="B855" t="str">
            <v>CB22109MD-001-003</v>
          </cell>
          <cell r="D855" t="str">
            <v>B</v>
          </cell>
          <cell r="E855" t="str">
            <v>装夹时间</v>
          </cell>
        </row>
        <row r="856">
          <cell r="B856" t="str">
            <v>CB22109MD-001-003</v>
          </cell>
          <cell r="D856" t="str">
            <v>B</v>
          </cell>
          <cell r="E856" t="str">
            <v>程序时间</v>
          </cell>
          <cell r="H856">
            <v>20</v>
          </cell>
          <cell r="I856">
            <v>25</v>
          </cell>
          <cell r="J856">
            <v>80</v>
          </cell>
          <cell r="K856">
            <v>40</v>
          </cell>
          <cell r="L856">
            <v>60</v>
          </cell>
          <cell r="M856">
            <v>25</v>
          </cell>
          <cell r="N856">
            <v>70</v>
          </cell>
          <cell r="O856">
            <v>25</v>
          </cell>
          <cell r="P856">
            <v>40</v>
          </cell>
        </row>
        <row r="857">
          <cell r="B857" t="str">
            <v>图号</v>
          </cell>
        </row>
        <row r="858">
          <cell r="B858" t="str">
            <v>CB2298091-001-001</v>
          </cell>
          <cell r="D858" t="str">
            <v>D</v>
          </cell>
          <cell r="E858" t="str">
            <v>工序内容</v>
          </cell>
          <cell r="F858" t="str">
            <v>0/领料</v>
          </cell>
          <cell r="G858" t="str">
            <v>5/线切割</v>
          </cell>
          <cell r="H858" t="str">
            <v>10/数铣</v>
          </cell>
          <cell r="I858" t="str">
            <v>15/数铣23</v>
          </cell>
          <cell r="J858" t="str">
            <v>20/数铣42</v>
          </cell>
          <cell r="K858" t="str">
            <v>25/测量</v>
          </cell>
          <cell r="L858" t="str">
            <v>30/硬检</v>
          </cell>
          <cell r="M858" t="str">
            <v>35/分光</v>
          </cell>
          <cell r="N858" t="str">
            <v>40/钳工</v>
          </cell>
          <cell r="O858" t="str">
            <v>45/清洁</v>
          </cell>
          <cell r="P858" t="str">
            <v>50/成检</v>
          </cell>
          <cell r="Q858" t="str">
            <v>50/成检</v>
          </cell>
        </row>
        <row r="859">
          <cell r="B859" t="str">
            <v>CB2298091-001-001</v>
          </cell>
          <cell r="D859" t="str">
            <v>D</v>
          </cell>
          <cell r="E859" t="str">
            <v>准备工时</v>
          </cell>
          <cell r="H859">
            <v>60</v>
          </cell>
          <cell r="I859">
            <v>60</v>
          </cell>
          <cell r="J859">
            <v>90</v>
          </cell>
        </row>
        <row r="860">
          <cell r="B860" t="str">
            <v>CB2298091-001-001</v>
          </cell>
          <cell r="D860" t="str">
            <v>D</v>
          </cell>
          <cell r="E860" t="str">
            <v>装夹时间</v>
          </cell>
        </row>
        <row r="861">
          <cell r="B861" t="str">
            <v>CB2298091-001-001</v>
          </cell>
          <cell r="D861" t="str">
            <v>D</v>
          </cell>
          <cell r="E861" t="str">
            <v>程序时间</v>
          </cell>
          <cell r="G861">
            <v>20</v>
          </cell>
          <cell r="H861">
            <v>60</v>
          </cell>
          <cell r="I861">
            <v>30</v>
          </cell>
          <cell r="J861">
            <v>70</v>
          </cell>
          <cell r="N861">
            <v>40</v>
          </cell>
        </row>
        <row r="862">
          <cell r="B862" t="str">
            <v>图号</v>
          </cell>
        </row>
        <row r="863">
          <cell r="B863" t="str">
            <v>DD-J10-05156-3-Z</v>
          </cell>
          <cell r="D863" t="str">
            <v>G</v>
          </cell>
          <cell r="E863" t="str">
            <v>工序内容</v>
          </cell>
          <cell r="F863" t="str">
            <v>0/领料</v>
          </cell>
          <cell r="G863" t="str">
            <v>05/数铣</v>
          </cell>
          <cell r="H863" t="str">
            <v>10/数铣25</v>
          </cell>
          <cell r="I863" t="str">
            <v>15/数铣5</v>
          </cell>
          <cell r="J863" t="str">
            <v>20/数铣40</v>
          </cell>
          <cell r="K863" t="str">
            <v>25/数铣70</v>
          </cell>
          <cell r="L863" t="str">
            <v>30/测量</v>
          </cell>
          <cell r="M863" t="str">
            <v>35/钳工</v>
          </cell>
          <cell r="N863" t="str">
            <v>40/清洁</v>
          </cell>
          <cell r="O863" t="str">
            <v>45/成检</v>
          </cell>
        </row>
        <row r="864">
          <cell r="B864" t="str">
            <v>DD-J10-05156-3-Z</v>
          </cell>
          <cell r="D864" t="str">
            <v>G</v>
          </cell>
          <cell r="E864" t="str">
            <v>准备工时</v>
          </cell>
          <cell r="G864">
            <v>60</v>
          </cell>
          <cell r="H864">
            <v>60</v>
          </cell>
          <cell r="I864">
            <v>60</v>
          </cell>
          <cell r="J864">
            <v>60</v>
          </cell>
          <cell r="K864">
            <v>60</v>
          </cell>
        </row>
        <row r="865">
          <cell r="B865" t="str">
            <v>DD-J10-05156-3-Z</v>
          </cell>
          <cell r="D865" t="str">
            <v>G</v>
          </cell>
          <cell r="E865" t="str">
            <v>装夹时间</v>
          </cell>
        </row>
        <row r="866">
          <cell r="B866" t="str">
            <v>DD-J10-05156-3-Z</v>
          </cell>
          <cell r="D866" t="str">
            <v>G</v>
          </cell>
          <cell r="E866" t="str">
            <v>程序时间</v>
          </cell>
          <cell r="G866">
            <v>60</v>
          </cell>
          <cell r="H866">
            <v>60</v>
          </cell>
          <cell r="I866">
            <v>25</v>
          </cell>
          <cell r="J866">
            <v>80</v>
          </cell>
          <cell r="K866">
            <v>120</v>
          </cell>
          <cell r="M866">
            <v>30</v>
          </cell>
        </row>
        <row r="867">
          <cell r="B867" t="str">
            <v>图号</v>
          </cell>
        </row>
        <row r="868">
          <cell r="B868" t="str">
            <v>DD-J10-05156-3-Y</v>
          </cell>
          <cell r="D868" t="str">
            <v>G</v>
          </cell>
          <cell r="E868" t="str">
            <v>工序内容</v>
          </cell>
          <cell r="F868" t="str">
            <v>0/领料</v>
          </cell>
          <cell r="G868" t="str">
            <v>05/数铣</v>
          </cell>
          <cell r="H868" t="str">
            <v>10/数铣25</v>
          </cell>
          <cell r="I868" t="str">
            <v>15/数铣5</v>
          </cell>
          <cell r="J868" t="str">
            <v>20/数铣40</v>
          </cell>
          <cell r="K868" t="str">
            <v>25/数铣70</v>
          </cell>
          <cell r="L868" t="str">
            <v>30/测量</v>
          </cell>
          <cell r="M868" t="str">
            <v>35/钳工</v>
          </cell>
          <cell r="N868" t="str">
            <v>40/清洁</v>
          </cell>
          <cell r="O868" t="str">
            <v>45/成检</v>
          </cell>
        </row>
        <row r="869">
          <cell r="B869" t="str">
            <v>DD-J10-05156-3-Y</v>
          </cell>
          <cell r="D869" t="str">
            <v>G</v>
          </cell>
          <cell r="E869" t="str">
            <v>准备工时</v>
          </cell>
          <cell r="G869">
            <v>60</v>
          </cell>
          <cell r="H869">
            <v>60</v>
          </cell>
          <cell r="I869">
            <v>60</v>
          </cell>
          <cell r="J869">
            <v>60</v>
          </cell>
          <cell r="K869">
            <v>60</v>
          </cell>
        </row>
        <row r="870">
          <cell r="B870" t="str">
            <v>DD-J10-05156-3-Y</v>
          </cell>
          <cell r="D870" t="str">
            <v>G</v>
          </cell>
          <cell r="E870" t="str">
            <v>装夹时间</v>
          </cell>
        </row>
        <row r="871">
          <cell r="B871" t="str">
            <v>DD-J10-05156-3-Y</v>
          </cell>
          <cell r="D871" t="str">
            <v>G</v>
          </cell>
          <cell r="E871" t="str">
            <v>程序时间</v>
          </cell>
          <cell r="G871">
            <v>60</v>
          </cell>
          <cell r="H871">
            <v>60</v>
          </cell>
          <cell r="I871">
            <v>25</v>
          </cell>
          <cell r="J871">
            <v>80</v>
          </cell>
          <cell r="K871">
            <v>120</v>
          </cell>
          <cell r="M871">
            <v>30</v>
          </cell>
        </row>
        <row r="872">
          <cell r="B872" t="str">
            <v>图号</v>
          </cell>
        </row>
        <row r="873">
          <cell r="B873" t="str">
            <v>BC2295175-005-001</v>
          </cell>
          <cell r="D873" t="str">
            <v>B</v>
          </cell>
          <cell r="E873" t="str">
            <v>工序内容</v>
          </cell>
          <cell r="F873" t="str">
            <v>0/领料</v>
          </cell>
          <cell r="G873" t="str">
            <v>05/数车20</v>
          </cell>
          <cell r="H873" t="str">
            <v>10/数车20</v>
          </cell>
          <cell r="I873" t="str">
            <v>15/数车5</v>
          </cell>
          <cell r="J873" t="str">
            <v>20/分光</v>
          </cell>
          <cell r="K873" t="str">
            <v>25/车铣45</v>
          </cell>
          <cell r="L873" t="str">
            <v>30/钳工</v>
          </cell>
          <cell r="M873" t="str">
            <v>35/清洁</v>
          </cell>
          <cell r="N873" t="str">
            <v>40/成检</v>
          </cell>
        </row>
        <row r="874">
          <cell r="B874" t="str">
            <v>BC2295175-005-001</v>
          </cell>
          <cell r="D874" t="str">
            <v>B</v>
          </cell>
          <cell r="E874" t="str">
            <v>准备工时</v>
          </cell>
          <cell r="G874">
            <v>60</v>
          </cell>
          <cell r="H874">
            <v>60</v>
          </cell>
          <cell r="I874">
            <v>60</v>
          </cell>
          <cell r="K874">
            <v>60</v>
          </cell>
        </row>
        <row r="875">
          <cell r="B875" t="str">
            <v>BC2295175-005-001</v>
          </cell>
          <cell r="D875" t="str">
            <v>B</v>
          </cell>
          <cell r="E875" t="str">
            <v>装夹时间</v>
          </cell>
        </row>
        <row r="876">
          <cell r="B876" t="str">
            <v>BC2295175-005-001</v>
          </cell>
          <cell r="D876" t="str">
            <v>B</v>
          </cell>
          <cell r="E876" t="str">
            <v>程序时间</v>
          </cell>
          <cell r="G876">
            <v>30</v>
          </cell>
          <cell r="H876">
            <v>30</v>
          </cell>
          <cell r="I876">
            <v>15</v>
          </cell>
          <cell r="K876">
            <v>70</v>
          </cell>
          <cell r="L876">
            <v>15</v>
          </cell>
        </row>
        <row r="877">
          <cell r="B877" t="str">
            <v>图号</v>
          </cell>
        </row>
        <row r="878">
          <cell r="B878" t="str">
            <v>561A3351-002-501</v>
          </cell>
          <cell r="D878" t="str">
            <v>A</v>
          </cell>
          <cell r="E878" t="str">
            <v>工序内容</v>
          </cell>
          <cell r="F878" t="str">
            <v>00/领料</v>
          </cell>
          <cell r="G878" t="str">
            <v>05数车15</v>
          </cell>
          <cell r="H878" t="str">
            <v>10数车3</v>
          </cell>
          <cell r="I878" t="str">
            <v>15热处理</v>
          </cell>
          <cell r="J878" t="str">
            <v>20热处理</v>
          </cell>
          <cell r="K878" t="str">
            <v>25硬度检查</v>
          </cell>
          <cell r="L878" t="str">
            <v>30数车5</v>
          </cell>
          <cell r="M878" t="str">
            <v>35车铣20</v>
          </cell>
          <cell r="N878" t="str">
            <v>40标记</v>
          </cell>
          <cell r="O878" t="str">
            <v>45回火</v>
          </cell>
          <cell r="P878" t="str">
            <v>50清洗</v>
          </cell>
          <cell r="Q878" t="str">
            <v>55磁粉</v>
          </cell>
          <cell r="R878" t="str">
            <v>60清洗</v>
          </cell>
          <cell r="S878" t="str">
            <v>65表处</v>
          </cell>
          <cell r="T878" t="str">
            <v>70磨工</v>
          </cell>
          <cell r="U878" t="str">
            <v>75检验</v>
          </cell>
          <cell r="V878" t="str">
            <v>80数车5</v>
          </cell>
          <cell r="W878" t="str">
            <v>85数车5</v>
          </cell>
          <cell r="X878" t="str">
            <v>90线切割</v>
          </cell>
          <cell r="Y878" t="str">
            <v>95钳工</v>
          </cell>
          <cell r="Z878" t="str">
            <v>100标记</v>
          </cell>
          <cell r="AA878" t="str">
            <v>105回火</v>
          </cell>
          <cell r="AB878" t="str">
            <v>110表处</v>
          </cell>
          <cell r="AC878" t="str">
            <v>115数车抛光</v>
          </cell>
          <cell r="AD878" t="str">
            <v>120清洁</v>
          </cell>
          <cell r="AE878" t="str">
            <v>125成检</v>
          </cell>
        </row>
        <row r="879">
          <cell r="B879" t="str">
            <v>561A3351-002-501</v>
          </cell>
          <cell r="D879" t="str">
            <v>A</v>
          </cell>
          <cell r="E879" t="str">
            <v>准备工时</v>
          </cell>
          <cell r="G879">
            <v>90</v>
          </cell>
          <cell r="H879">
            <v>60</v>
          </cell>
          <cell r="L879">
            <v>90</v>
          </cell>
          <cell r="M879">
            <v>150</v>
          </cell>
          <cell r="V879">
            <v>90</v>
          </cell>
          <cell r="W879">
            <v>120</v>
          </cell>
          <cell r="AC879">
            <v>60</v>
          </cell>
        </row>
        <row r="880">
          <cell r="B880" t="str">
            <v>561A3351-002-501</v>
          </cell>
          <cell r="D880" t="str">
            <v>A</v>
          </cell>
          <cell r="E880" t="str">
            <v>装夹时间</v>
          </cell>
        </row>
        <row r="881">
          <cell r="B881" t="str">
            <v>561A3351-002-501</v>
          </cell>
          <cell r="D881" t="str">
            <v>A</v>
          </cell>
          <cell r="E881" t="str">
            <v>程序时间</v>
          </cell>
          <cell r="G881">
            <v>30</v>
          </cell>
          <cell r="H881">
            <v>15</v>
          </cell>
          <cell r="L881">
            <v>15</v>
          </cell>
          <cell r="M881">
            <v>60</v>
          </cell>
          <cell r="V881">
            <v>15</v>
          </cell>
          <cell r="W881">
            <v>25</v>
          </cell>
          <cell r="Y881">
            <v>20</v>
          </cell>
          <cell r="AC881">
            <v>10</v>
          </cell>
        </row>
        <row r="882">
          <cell r="B882" t="str">
            <v>图号</v>
          </cell>
        </row>
        <row r="883">
          <cell r="B883" t="str">
            <v>CB2284480-003-001</v>
          </cell>
          <cell r="D883" t="str">
            <v>B</v>
          </cell>
          <cell r="E883" t="str">
            <v>工序内容</v>
          </cell>
          <cell r="F883" t="str">
            <v>0/领料</v>
          </cell>
          <cell r="G883" t="str">
            <v>05/数铣</v>
          </cell>
          <cell r="H883" t="str">
            <v>10/数铣20</v>
          </cell>
          <cell r="I883" t="str">
            <v>15/数铣15</v>
          </cell>
          <cell r="J883" t="str">
            <v>20/数铣25</v>
          </cell>
          <cell r="K883" t="str">
            <v>25/数铣20</v>
          </cell>
          <cell r="L883" t="str">
            <v>30/钳工</v>
          </cell>
          <cell r="M883" t="str">
            <v>35/分光</v>
          </cell>
          <cell r="N883" t="str">
            <v>40/硬度</v>
          </cell>
          <cell r="O883" t="str">
            <v>45/数车30</v>
          </cell>
          <cell r="P883" t="str">
            <v>50/数车45</v>
          </cell>
          <cell r="Q883" t="str">
            <v>55/数车35</v>
          </cell>
          <cell r="R883" t="str">
            <v>60/数车15</v>
          </cell>
          <cell r="S883" t="str">
            <v>65/数车35</v>
          </cell>
          <cell r="T883" t="str">
            <v>70/数铣10</v>
          </cell>
          <cell r="U883" t="str">
            <v>75/数铣15</v>
          </cell>
          <cell r="V883" t="str">
            <v>80/数车35</v>
          </cell>
          <cell r="W883" t="str">
            <v>85/钳工</v>
          </cell>
          <cell r="X883" t="str">
            <v>90/清洁</v>
          </cell>
          <cell r="Y883" t="str">
            <v>95/成检</v>
          </cell>
        </row>
        <row r="884">
          <cell r="B884" t="str">
            <v>CB2284480-003-001</v>
          </cell>
          <cell r="D884" t="str">
            <v>B</v>
          </cell>
          <cell r="E884" t="str">
            <v>准备工时</v>
          </cell>
          <cell r="G884">
            <v>60</v>
          </cell>
          <cell r="H884">
            <v>60</v>
          </cell>
          <cell r="I884">
            <v>60</v>
          </cell>
          <cell r="J884">
            <v>60</v>
          </cell>
          <cell r="K884">
            <v>60</v>
          </cell>
          <cell r="O884">
            <v>180</v>
          </cell>
          <cell r="P884">
            <v>180</v>
          </cell>
          <cell r="Q884">
            <v>180</v>
          </cell>
          <cell r="R884">
            <v>120</v>
          </cell>
          <cell r="S884">
            <v>180</v>
          </cell>
          <cell r="T884">
            <v>60</v>
          </cell>
          <cell r="U884">
            <v>60</v>
          </cell>
          <cell r="V884">
            <v>180</v>
          </cell>
        </row>
        <row r="885">
          <cell r="B885" t="str">
            <v>CB2284480-003-001</v>
          </cell>
          <cell r="D885" t="str">
            <v>B</v>
          </cell>
          <cell r="E885" t="str">
            <v>装夹时间</v>
          </cell>
        </row>
        <row r="886">
          <cell r="B886" t="str">
            <v>CB2284480-003-001</v>
          </cell>
          <cell r="D886" t="str">
            <v>B</v>
          </cell>
          <cell r="E886" t="str">
            <v>程序时间</v>
          </cell>
          <cell r="G886">
            <v>60</v>
          </cell>
          <cell r="H886">
            <v>40</v>
          </cell>
          <cell r="I886">
            <v>30</v>
          </cell>
          <cell r="J886">
            <v>45</v>
          </cell>
          <cell r="K886">
            <v>40</v>
          </cell>
          <cell r="L886">
            <v>35</v>
          </cell>
          <cell r="O886">
            <v>45</v>
          </cell>
          <cell r="P886">
            <v>80</v>
          </cell>
          <cell r="Q886">
            <v>60</v>
          </cell>
          <cell r="R886">
            <v>25</v>
          </cell>
          <cell r="S886">
            <v>60</v>
          </cell>
          <cell r="T886">
            <v>40</v>
          </cell>
          <cell r="U886">
            <v>30</v>
          </cell>
          <cell r="V886">
            <v>50</v>
          </cell>
          <cell r="W886">
            <v>45</v>
          </cell>
        </row>
        <row r="887">
          <cell r="B887" t="str">
            <v>图号</v>
          </cell>
        </row>
        <row r="888">
          <cell r="B888" t="str">
            <v>DD-J10-55015-6201</v>
          </cell>
          <cell r="D888" t="str">
            <v>B</v>
          </cell>
          <cell r="E888" t="str">
            <v>工序内容</v>
          </cell>
          <cell r="F888" t="str">
            <v>0/领料</v>
          </cell>
          <cell r="G888" t="str">
            <v>05/钳工</v>
          </cell>
          <cell r="H888" t="str">
            <v>10/数车20</v>
          </cell>
          <cell r="I888" t="str">
            <v>15/数车10</v>
          </cell>
          <cell r="J888" t="str">
            <v>20/数车30</v>
          </cell>
          <cell r="K888" t="str">
            <v>25/线切割</v>
          </cell>
          <cell r="L888" t="str">
            <v>30/钳工</v>
          </cell>
          <cell r="M888" t="str">
            <v>35/清洁</v>
          </cell>
          <cell r="N888" t="str">
            <v>40/成检</v>
          </cell>
        </row>
        <row r="889">
          <cell r="B889" t="str">
            <v>DD-J10-55015-6201</v>
          </cell>
          <cell r="D889" t="str">
            <v>B</v>
          </cell>
          <cell r="E889" t="str">
            <v>准备工时</v>
          </cell>
          <cell r="H889">
            <v>120</v>
          </cell>
          <cell r="I889">
            <v>120</v>
          </cell>
          <cell r="J889">
            <v>120</v>
          </cell>
        </row>
        <row r="890">
          <cell r="B890" t="str">
            <v>DD-J10-55015-6201</v>
          </cell>
          <cell r="D890" t="str">
            <v>B</v>
          </cell>
          <cell r="E890" t="str">
            <v>装夹时间</v>
          </cell>
        </row>
        <row r="891">
          <cell r="B891" t="str">
            <v>DD-J10-55015-6201</v>
          </cell>
          <cell r="D891" t="str">
            <v>B</v>
          </cell>
          <cell r="E891" t="str">
            <v>程序时间</v>
          </cell>
          <cell r="G891">
            <v>15</v>
          </cell>
          <cell r="H891">
            <v>30</v>
          </cell>
          <cell r="I891">
            <v>20</v>
          </cell>
          <cell r="J891">
            <v>45</v>
          </cell>
          <cell r="L891">
            <v>30</v>
          </cell>
        </row>
        <row r="892">
          <cell r="B892" t="str">
            <v>图号</v>
          </cell>
        </row>
        <row r="893">
          <cell r="B893" t="str">
            <v>DD-J10-05156-1-Z/Y</v>
          </cell>
          <cell r="D893" t="str">
            <v>A</v>
          </cell>
          <cell r="E893" t="str">
            <v>工序内容</v>
          </cell>
          <cell r="F893" t="str">
            <v>0/领料</v>
          </cell>
          <cell r="G893" t="str">
            <v>5钳工</v>
          </cell>
          <cell r="H893" t="str">
            <v>10数铣</v>
          </cell>
          <cell r="I893" t="str">
            <v>15数铣180</v>
          </cell>
          <cell r="J893" t="str">
            <v>20数铣600</v>
          </cell>
          <cell r="K893" t="str">
            <v>25/数铣660</v>
          </cell>
          <cell r="L893" t="str">
            <v>30钳工</v>
          </cell>
          <cell r="M893" t="str">
            <v>35自然时效</v>
          </cell>
          <cell r="N893" t="str">
            <v>40数铣</v>
          </cell>
          <cell r="O893" t="str">
            <v>45数铣90</v>
          </cell>
          <cell r="P893" t="str">
            <v>50数铣270</v>
          </cell>
          <cell r="Q893" t="str">
            <v>55自然时效</v>
          </cell>
          <cell r="R893" t="str">
            <v>60数铣</v>
          </cell>
          <cell r="S893" t="str">
            <v>65数铣210</v>
          </cell>
          <cell r="T893" t="str">
            <v>70五轴780</v>
          </cell>
          <cell r="U893" t="str">
            <v>75钳工</v>
          </cell>
          <cell r="V893" t="str">
            <v>80清洗</v>
          </cell>
          <cell r="W893" t="str">
            <v>85冷挤压</v>
          </cell>
          <cell r="X893" t="str">
            <v>90数铣30</v>
          </cell>
          <cell r="Y893" t="str">
            <v>95数铣10</v>
          </cell>
          <cell r="Z893" t="str">
            <v>100测量</v>
          </cell>
          <cell r="AA893" t="str">
            <v>105钳工</v>
          </cell>
          <cell r="AB893" t="str">
            <v>110清洁</v>
          </cell>
          <cell r="AC893" t="str">
            <v>115成检</v>
          </cell>
        </row>
        <row r="894">
          <cell r="B894" t="str">
            <v>DD-J10-05156-1-Z/Y</v>
          </cell>
          <cell r="D894" t="str">
            <v>A</v>
          </cell>
          <cell r="E894" t="str">
            <v>准备工时</v>
          </cell>
          <cell r="G894">
            <v>60</v>
          </cell>
          <cell r="H894">
            <v>90</v>
          </cell>
          <cell r="I894">
            <v>120</v>
          </cell>
          <cell r="J894">
            <v>120</v>
          </cell>
          <cell r="K894">
            <v>120</v>
          </cell>
          <cell r="N894">
            <v>120</v>
          </cell>
          <cell r="O894">
            <v>120</v>
          </cell>
          <cell r="P894">
            <v>120</v>
          </cell>
          <cell r="R894">
            <v>120</v>
          </cell>
          <cell r="S894">
            <v>120</v>
          </cell>
          <cell r="T894">
            <v>180</v>
          </cell>
          <cell r="X894">
            <v>120</v>
          </cell>
          <cell r="Y894">
            <v>90</v>
          </cell>
        </row>
        <row r="895">
          <cell r="B895" t="str">
            <v>DD-J10-05156-1-Z/Y</v>
          </cell>
          <cell r="D895" t="str">
            <v>A</v>
          </cell>
          <cell r="E895" t="str">
            <v>装夹时间</v>
          </cell>
          <cell r="H895">
            <v>60</v>
          </cell>
          <cell r="I895">
            <v>90</v>
          </cell>
          <cell r="J895">
            <v>90</v>
          </cell>
          <cell r="K895">
            <v>90</v>
          </cell>
          <cell r="N895">
            <v>90</v>
          </cell>
          <cell r="O895">
            <v>90</v>
          </cell>
          <cell r="P895">
            <v>90</v>
          </cell>
          <cell r="R895">
            <v>120</v>
          </cell>
          <cell r="S895">
            <v>90</v>
          </cell>
          <cell r="T895">
            <v>120</v>
          </cell>
          <cell r="X895">
            <v>90</v>
          </cell>
          <cell r="Y895">
            <v>90</v>
          </cell>
        </row>
        <row r="896">
          <cell r="B896" t="str">
            <v>DD-J10-05156-1-Z/Y</v>
          </cell>
          <cell r="D896" t="str">
            <v>A</v>
          </cell>
          <cell r="E896" t="str">
            <v>程序时间</v>
          </cell>
          <cell r="G896">
            <v>80</v>
          </cell>
          <cell r="H896">
            <v>360</v>
          </cell>
          <cell r="I896">
            <v>300</v>
          </cell>
          <cell r="J896">
            <v>1000</v>
          </cell>
          <cell r="K896">
            <v>1200</v>
          </cell>
          <cell r="L896">
            <v>120</v>
          </cell>
          <cell r="N896">
            <v>300</v>
          </cell>
          <cell r="O896">
            <v>90</v>
          </cell>
          <cell r="P896">
            <v>420</v>
          </cell>
          <cell r="R896">
            <v>420</v>
          </cell>
          <cell r="S896">
            <v>270</v>
          </cell>
          <cell r="T896">
            <v>2760</v>
          </cell>
          <cell r="U896">
            <v>360</v>
          </cell>
          <cell r="X896">
            <v>300</v>
          </cell>
          <cell r="Y896">
            <v>60</v>
          </cell>
          <cell r="AA896">
            <v>960</v>
          </cell>
        </row>
        <row r="897">
          <cell r="B897" t="str">
            <v>DD-J10-05156-1-Z</v>
          </cell>
          <cell r="D897" t="str">
            <v>A</v>
          </cell>
          <cell r="E897" t="str">
            <v>工序内容</v>
          </cell>
          <cell r="F897" t="str">
            <v>0/领料</v>
          </cell>
          <cell r="G897" t="str">
            <v>5钳工</v>
          </cell>
          <cell r="H897" t="str">
            <v>10数铣</v>
          </cell>
          <cell r="I897" t="str">
            <v>15数铣180</v>
          </cell>
          <cell r="J897" t="str">
            <v>20数铣600</v>
          </cell>
          <cell r="K897" t="str">
            <v>25/数铣660</v>
          </cell>
          <cell r="L897" t="str">
            <v>30钳工</v>
          </cell>
          <cell r="M897" t="str">
            <v>35自然时效</v>
          </cell>
          <cell r="N897" t="str">
            <v>40数铣</v>
          </cell>
          <cell r="O897" t="str">
            <v>45数铣90</v>
          </cell>
          <cell r="P897" t="str">
            <v>50数铣270</v>
          </cell>
          <cell r="Q897" t="str">
            <v>55自然时效</v>
          </cell>
          <cell r="R897" t="str">
            <v>60数铣</v>
          </cell>
          <cell r="S897" t="str">
            <v>65数铣210</v>
          </cell>
          <cell r="T897" t="str">
            <v>70五轴780</v>
          </cell>
          <cell r="U897" t="str">
            <v>75钳工</v>
          </cell>
          <cell r="V897" t="str">
            <v>80清洗</v>
          </cell>
          <cell r="W897" t="str">
            <v>85冷挤压</v>
          </cell>
          <cell r="X897" t="str">
            <v>90数铣30</v>
          </cell>
          <cell r="Y897" t="str">
            <v>95数铣10</v>
          </cell>
          <cell r="Z897" t="str">
            <v>100测量</v>
          </cell>
          <cell r="AA897" t="str">
            <v>105钳工</v>
          </cell>
          <cell r="AB897" t="str">
            <v>110清洁</v>
          </cell>
          <cell r="AC897" t="str">
            <v>115成检</v>
          </cell>
        </row>
        <row r="898">
          <cell r="B898" t="str">
            <v>DD-J10-05156-1-Z</v>
          </cell>
          <cell r="D898" t="str">
            <v>A</v>
          </cell>
          <cell r="E898" t="str">
            <v>准备工时</v>
          </cell>
          <cell r="G898">
            <v>60</v>
          </cell>
          <cell r="H898">
            <v>90</v>
          </cell>
          <cell r="I898">
            <v>120</v>
          </cell>
          <cell r="J898">
            <v>120</v>
          </cell>
          <cell r="K898">
            <v>120</v>
          </cell>
          <cell r="N898">
            <v>120</v>
          </cell>
          <cell r="O898">
            <v>120</v>
          </cell>
          <cell r="P898">
            <v>120</v>
          </cell>
          <cell r="R898">
            <v>120</v>
          </cell>
          <cell r="S898">
            <v>120</v>
          </cell>
          <cell r="T898">
            <v>180</v>
          </cell>
          <cell r="X898">
            <v>120</v>
          </cell>
          <cell r="Y898">
            <v>90</v>
          </cell>
        </row>
        <row r="899">
          <cell r="B899" t="str">
            <v>DD-J10-05156-1-Z</v>
          </cell>
          <cell r="D899" t="str">
            <v>A</v>
          </cell>
          <cell r="E899" t="str">
            <v>装夹时间</v>
          </cell>
          <cell r="H899">
            <v>60</v>
          </cell>
          <cell r="I899">
            <v>90</v>
          </cell>
          <cell r="J899">
            <v>90</v>
          </cell>
          <cell r="K899">
            <v>90</v>
          </cell>
          <cell r="N899">
            <v>90</v>
          </cell>
          <cell r="O899">
            <v>90</v>
          </cell>
          <cell r="P899">
            <v>90</v>
          </cell>
          <cell r="R899">
            <v>120</v>
          </cell>
          <cell r="S899">
            <v>90</v>
          </cell>
          <cell r="T899">
            <v>120</v>
          </cell>
          <cell r="X899">
            <v>90</v>
          </cell>
          <cell r="Y899">
            <v>90</v>
          </cell>
        </row>
        <row r="900">
          <cell r="B900" t="str">
            <v>DD-J10-05156-1-Z</v>
          </cell>
          <cell r="D900" t="str">
            <v>A</v>
          </cell>
          <cell r="E900" t="str">
            <v>程序时间</v>
          </cell>
          <cell r="G900">
            <v>80</v>
          </cell>
          <cell r="H900">
            <v>360</v>
          </cell>
          <cell r="I900">
            <v>300</v>
          </cell>
          <cell r="J900">
            <v>1000</v>
          </cell>
          <cell r="K900">
            <v>1200</v>
          </cell>
          <cell r="L900">
            <v>120</v>
          </cell>
          <cell r="N900">
            <v>300</v>
          </cell>
          <cell r="O900">
            <v>90</v>
          </cell>
          <cell r="P900">
            <v>420</v>
          </cell>
          <cell r="R900">
            <v>420</v>
          </cell>
          <cell r="S900">
            <v>270</v>
          </cell>
          <cell r="T900">
            <v>2760</v>
          </cell>
          <cell r="U900">
            <v>360</v>
          </cell>
          <cell r="X900">
            <v>300</v>
          </cell>
          <cell r="Y900">
            <v>60</v>
          </cell>
          <cell r="AA900">
            <v>960</v>
          </cell>
        </row>
        <row r="901">
          <cell r="B901" t="str">
            <v>图号</v>
          </cell>
        </row>
        <row r="902">
          <cell r="B902" t="str">
            <v>DD-J10-05156-1-Y</v>
          </cell>
          <cell r="D902" t="str">
            <v>A</v>
          </cell>
          <cell r="E902" t="str">
            <v>工序内容</v>
          </cell>
          <cell r="F902" t="str">
            <v>0/领料</v>
          </cell>
          <cell r="G902" t="str">
            <v>5钳工</v>
          </cell>
          <cell r="H902" t="str">
            <v>10数铣</v>
          </cell>
          <cell r="I902" t="str">
            <v>15数铣180</v>
          </cell>
          <cell r="J902" t="str">
            <v>20数铣600</v>
          </cell>
          <cell r="K902" t="str">
            <v>25/数铣660</v>
          </cell>
          <cell r="L902" t="str">
            <v>30钳工</v>
          </cell>
          <cell r="M902" t="str">
            <v>35自然时效</v>
          </cell>
          <cell r="N902" t="str">
            <v>40数铣</v>
          </cell>
          <cell r="O902" t="str">
            <v>45数铣90</v>
          </cell>
          <cell r="P902" t="str">
            <v>50数铣270</v>
          </cell>
          <cell r="Q902" t="str">
            <v>55自然时效</v>
          </cell>
          <cell r="R902" t="str">
            <v>60数铣</v>
          </cell>
          <cell r="S902" t="str">
            <v>65数铣210</v>
          </cell>
          <cell r="T902" t="str">
            <v>70五轴780</v>
          </cell>
          <cell r="U902" t="str">
            <v>75钳工</v>
          </cell>
          <cell r="V902" t="str">
            <v>80清洗</v>
          </cell>
          <cell r="W902" t="str">
            <v>85冷挤压</v>
          </cell>
          <cell r="X902" t="str">
            <v>90数铣30</v>
          </cell>
          <cell r="Y902" t="str">
            <v>95数铣10</v>
          </cell>
          <cell r="Z902" t="str">
            <v>100测量</v>
          </cell>
          <cell r="AA902" t="str">
            <v>105钳工</v>
          </cell>
          <cell r="AB902" t="str">
            <v>110清洁</v>
          </cell>
          <cell r="AC902" t="str">
            <v>115成检</v>
          </cell>
        </row>
        <row r="903">
          <cell r="B903" t="str">
            <v>DD-J10-05156-1-Y</v>
          </cell>
          <cell r="D903" t="str">
            <v>A</v>
          </cell>
          <cell r="E903" t="str">
            <v>准备工时</v>
          </cell>
          <cell r="G903">
            <v>60</v>
          </cell>
          <cell r="H903">
            <v>90</v>
          </cell>
          <cell r="I903">
            <v>120</v>
          </cell>
          <cell r="J903">
            <v>120</v>
          </cell>
          <cell r="K903">
            <v>120</v>
          </cell>
          <cell r="N903">
            <v>120</v>
          </cell>
          <cell r="O903">
            <v>120</v>
          </cell>
          <cell r="P903">
            <v>120</v>
          </cell>
          <cell r="R903">
            <v>120</v>
          </cell>
          <cell r="S903">
            <v>120</v>
          </cell>
          <cell r="T903">
            <v>180</v>
          </cell>
          <cell r="X903">
            <v>120</v>
          </cell>
          <cell r="Y903">
            <v>90</v>
          </cell>
        </row>
        <row r="904">
          <cell r="B904" t="str">
            <v>DD-J10-05156-1-Y</v>
          </cell>
          <cell r="D904" t="str">
            <v>A</v>
          </cell>
          <cell r="E904" t="str">
            <v>装夹时间</v>
          </cell>
          <cell r="H904">
            <v>60</v>
          </cell>
          <cell r="I904">
            <v>90</v>
          </cell>
          <cell r="J904">
            <v>90</v>
          </cell>
          <cell r="K904">
            <v>90</v>
          </cell>
          <cell r="N904">
            <v>90</v>
          </cell>
          <cell r="O904">
            <v>90</v>
          </cell>
          <cell r="P904">
            <v>90</v>
          </cell>
          <cell r="R904">
            <v>120</v>
          </cell>
          <cell r="S904">
            <v>90</v>
          </cell>
          <cell r="T904">
            <v>120</v>
          </cell>
          <cell r="X904">
            <v>90</v>
          </cell>
          <cell r="Y904">
            <v>90</v>
          </cell>
        </row>
        <row r="905">
          <cell r="B905" t="str">
            <v>DD-J10-05156-1-Y</v>
          </cell>
          <cell r="D905" t="str">
            <v>A</v>
          </cell>
          <cell r="E905" t="str">
            <v>程序时间</v>
          </cell>
          <cell r="G905">
            <v>80</v>
          </cell>
          <cell r="H905">
            <v>360</v>
          </cell>
          <cell r="I905">
            <v>300</v>
          </cell>
          <cell r="J905">
            <v>1000</v>
          </cell>
          <cell r="K905">
            <v>1200</v>
          </cell>
          <cell r="L905">
            <v>120</v>
          </cell>
          <cell r="N905">
            <v>300</v>
          </cell>
          <cell r="O905">
            <v>90</v>
          </cell>
          <cell r="P905">
            <v>420</v>
          </cell>
          <cell r="R905">
            <v>420</v>
          </cell>
          <cell r="S905">
            <v>270</v>
          </cell>
          <cell r="T905">
            <v>2760</v>
          </cell>
          <cell r="U905">
            <v>360</v>
          </cell>
          <cell r="X905">
            <v>300</v>
          </cell>
          <cell r="Y905">
            <v>60</v>
          </cell>
          <cell r="AA905">
            <v>960</v>
          </cell>
        </row>
        <row r="906">
          <cell r="B906" t="str">
            <v>图号</v>
          </cell>
        </row>
        <row r="907">
          <cell r="B907" t="str">
            <v>DD-J10B-65000-1901G2</v>
          </cell>
          <cell r="D907" t="str">
            <v>B</v>
          </cell>
          <cell r="E907" t="str">
            <v>工序内容</v>
          </cell>
          <cell r="F907" t="str">
            <v>0/领料</v>
          </cell>
          <cell r="H907" t="str">
            <v>10/数铣</v>
          </cell>
          <cell r="I907" t="str">
            <v>15/线切割</v>
          </cell>
          <cell r="J907" t="str">
            <v>20/数铣</v>
          </cell>
          <cell r="K907" t="str">
            <v>25/数铣</v>
          </cell>
          <cell r="L907" t="str">
            <v>30/数铣</v>
          </cell>
          <cell r="M907" t="str">
            <v>35/数铣</v>
          </cell>
          <cell r="N907" t="str">
            <v>40/钳工</v>
          </cell>
          <cell r="O907" t="str">
            <v>45/分光</v>
          </cell>
          <cell r="P907" t="str">
            <v>50/硬度</v>
          </cell>
          <cell r="Q907" t="str">
            <v>55/钳工</v>
          </cell>
          <cell r="R907" t="str">
            <v>60/清洁</v>
          </cell>
          <cell r="S907" t="str">
            <v>65/成检</v>
          </cell>
        </row>
        <row r="908">
          <cell r="B908" t="str">
            <v>DD-J10B-65000-1901G2</v>
          </cell>
          <cell r="D908" t="str">
            <v>B</v>
          </cell>
          <cell r="E908" t="str">
            <v>准备工时</v>
          </cell>
          <cell r="H908">
            <v>60</v>
          </cell>
          <cell r="J908">
            <v>60</v>
          </cell>
          <cell r="K908">
            <v>60</v>
          </cell>
          <cell r="L908">
            <v>60</v>
          </cell>
          <cell r="M908">
            <v>60</v>
          </cell>
        </row>
        <row r="909">
          <cell r="B909" t="str">
            <v>DD-J10B-65000-1901G2</v>
          </cell>
          <cell r="D909" t="str">
            <v>B</v>
          </cell>
          <cell r="E909" t="str">
            <v>装夹时间</v>
          </cell>
        </row>
        <row r="910">
          <cell r="B910" t="str">
            <v>DD-J10B-65000-1901G2</v>
          </cell>
          <cell r="D910" t="str">
            <v>B</v>
          </cell>
          <cell r="E910" t="str">
            <v>程序时间</v>
          </cell>
          <cell r="H910">
            <v>30</v>
          </cell>
          <cell r="J910">
            <v>20</v>
          </cell>
          <cell r="K910">
            <v>65</v>
          </cell>
          <cell r="L910">
            <v>160</v>
          </cell>
          <cell r="M910">
            <v>150</v>
          </cell>
          <cell r="N910">
            <v>120</v>
          </cell>
          <cell r="Q910">
            <v>10</v>
          </cell>
        </row>
        <row r="911">
          <cell r="B911" t="str">
            <v>图号</v>
          </cell>
        </row>
        <row r="912">
          <cell r="B912" t="str">
            <v>CB5325210-001-004</v>
          </cell>
          <cell r="D912" t="str">
            <v>B</v>
          </cell>
          <cell r="E912" t="str">
            <v>工序内容</v>
          </cell>
          <cell r="F912" t="str">
            <v>0/领料</v>
          </cell>
          <cell r="G912" t="str">
            <v>5/数铣</v>
          </cell>
          <cell r="H912" t="str">
            <v>10/数铣80</v>
          </cell>
          <cell r="I912" t="str">
            <v>15/数铣540</v>
          </cell>
          <cell r="J912" t="str">
            <v>20/数铣280</v>
          </cell>
          <cell r="K912" t="str">
            <v>25/时效</v>
          </cell>
          <cell r="L912" t="str">
            <v>30/数铣</v>
          </cell>
          <cell r="M912" t="str">
            <v>35/数铣1240</v>
          </cell>
          <cell r="N912" t="str">
            <v>40数铣1950</v>
          </cell>
          <cell r="O912" t="str">
            <v>45五轴60</v>
          </cell>
          <cell r="P912" t="str">
            <v>50/钳工</v>
          </cell>
          <cell r="Q912" t="str">
            <v>52/钳工</v>
          </cell>
          <cell r="R912" t="str">
            <v>55/数铣</v>
          </cell>
          <cell r="S912" t="str">
            <v>60/清洁</v>
          </cell>
          <cell r="T912" t="str">
            <v>65/成检</v>
          </cell>
        </row>
        <row r="913">
          <cell r="B913" t="str">
            <v>CB5325210-001-004</v>
          </cell>
          <cell r="D913" t="str">
            <v>B</v>
          </cell>
          <cell r="E913" t="str">
            <v>准备工时</v>
          </cell>
          <cell r="G913">
            <v>60</v>
          </cell>
          <cell r="H913">
            <v>60</v>
          </cell>
          <cell r="I913">
            <v>60</v>
          </cell>
          <cell r="J913">
            <v>60</v>
          </cell>
          <cell r="L913">
            <v>60</v>
          </cell>
          <cell r="M913">
            <v>60</v>
          </cell>
          <cell r="N913">
            <v>180</v>
          </cell>
          <cell r="O913">
            <v>120</v>
          </cell>
        </row>
        <row r="914">
          <cell r="B914" t="str">
            <v>CB5325210-001-004</v>
          </cell>
          <cell r="D914" t="str">
            <v>B</v>
          </cell>
          <cell r="E914" t="str">
            <v>装夹时间</v>
          </cell>
          <cell r="G914">
            <v>90</v>
          </cell>
          <cell r="H914">
            <v>90</v>
          </cell>
          <cell r="I914">
            <v>90</v>
          </cell>
          <cell r="J914">
            <v>90</v>
          </cell>
          <cell r="L914">
            <v>90</v>
          </cell>
          <cell r="M914">
            <v>90</v>
          </cell>
          <cell r="N914">
            <v>90</v>
          </cell>
          <cell r="O914">
            <v>90</v>
          </cell>
        </row>
        <row r="915">
          <cell r="B915" t="str">
            <v>CB5325210-001-004</v>
          </cell>
          <cell r="D915" t="str">
            <v>B</v>
          </cell>
          <cell r="E915" t="str">
            <v>程序时间</v>
          </cell>
          <cell r="G915">
            <v>120</v>
          </cell>
          <cell r="H915">
            <v>120</v>
          </cell>
          <cell r="I915">
            <v>650</v>
          </cell>
          <cell r="J915">
            <v>350</v>
          </cell>
          <cell r="L915">
            <v>90</v>
          </cell>
          <cell r="M915">
            <v>1400</v>
          </cell>
          <cell r="N915">
            <v>2640</v>
          </cell>
          <cell r="O915">
            <v>210</v>
          </cell>
          <cell r="P915">
            <v>480</v>
          </cell>
          <cell r="Q915">
            <v>60</v>
          </cell>
          <cell r="R915">
            <v>20</v>
          </cell>
        </row>
        <row r="916">
          <cell r="B916" t="str">
            <v>图号</v>
          </cell>
        </row>
        <row r="917">
          <cell r="B917" t="str">
            <v>CB2276731-007-001</v>
          </cell>
          <cell r="D917" t="str">
            <v>B</v>
          </cell>
          <cell r="E917" t="str">
            <v>工序内容</v>
          </cell>
          <cell r="F917" t="str">
            <v>0/领料</v>
          </cell>
          <cell r="G917" t="str">
            <v>05/下料</v>
          </cell>
          <cell r="H917" t="str">
            <v>10/数铣</v>
          </cell>
          <cell r="I917" t="str">
            <v>15/数铣25</v>
          </cell>
          <cell r="J917" t="str">
            <v>20/数铣</v>
          </cell>
          <cell r="K917" t="str">
            <v>25/数铣55</v>
          </cell>
          <cell r="L917" t="str">
            <v>30/钳工</v>
          </cell>
          <cell r="M917" t="str">
            <v>35/清洁</v>
          </cell>
          <cell r="N917" t="str">
            <v>40/中检</v>
          </cell>
          <cell r="O917" t="str">
            <v>45/分光</v>
          </cell>
          <cell r="P917" t="str">
            <v>50/硬度</v>
          </cell>
          <cell r="Q917" t="str">
            <v>55/钳工</v>
          </cell>
          <cell r="R917" t="str">
            <v>60/成检</v>
          </cell>
        </row>
        <row r="918">
          <cell r="B918" t="str">
            <v>CB2276731-007-001</v>
          </cell>
          <cell r="D918" t="str">
            <v>B</v>
          </cell>
          <cell r="E918" t="str">
            <v>准备工时</v>
          </cell>
          <cell r="H918">
            <v>60</v>
          </cell>
          <cell r="I918">
            <v>90</v>
          </cell>
          <cell r="J918">
            <v>60</v>
          </cell>
          <cell r="K918">
            <v>60</v>
          </cell>
        </row>
        <row r="919">
          <cell r="B919" t="str">
            <v>CB2276731-007-001</v>
          </cell>
          <cell r="D919" t="str">
            <v>B</v>
          </cell>
          <cell r="E919" t="str">
            <v>装夹时间</v>
          </cell>
        </row>
        <row r="920">
          <cell r="B920" t="str">
            <v>CB2276731-007-001</v>
          </cell>
          <cell r="D920" t="str">
            <v>B</v>
          </cell>
          <cell r="E920" t="str">
            <v>程序时间</v>
          </cell>
          <cell r="G920">
            <v>15</v>
          </cell>
          <cell r="H920">
            <v>15</v>
          </cell>
          <cell r="I920">
            <v>50</v>
          </cell>
          <cell r="J920">
            <v>20</v>
          </cell>
          <cell r="K920">
            <v>15</v>
          </cell>
          <cell r="L920">
            <v>20</v>
          </cell>
          <cell r="Q920">
            <v>20</v>
          </cell>
        </row>
        <row r="921">
          <cell r="B921" t="str">
            <v>图号</v>
          </cell>
        </row>
        <row r="922">
          <cell r="B922" t="str">
            <v>DD-J10-06041-81</v>
          </cell>
          <cell r="D922" t="str">
            <v>B</v>
          </cell>
          <cell r="E922" t="str">
            <v>工序内容</v>
          </cell>
          <cell r="F922" t="str">
            <v>0/领料</v>
          </cell>
          <cell r="G922" t="str">
            <v>05/钳工</v>
          </cell>
          <cell r="H922" t="str">
            <v>10/数车20</v>
          </cell>
          <cell r="I922" t="str">
            <v>15/数车20</v>
          </cell>
          <cell r="J922" t="str">
            <v>20/钳工</v>
          </cell>
          <cell r="K922" t="str">
            <v>25清洁</v>
          </cell>
          <cell r="L922" t="str">
            <v>30成检</v>
          </cell>
        </row>
        <row r="923">
          <cell r="B923" t="str">
            <v>DD-J10-06041-81</v>
          </cell>
          <cell r="D923" t="str">
            <v>B</v>
          </cell>
          <cell r="E923" t="str">
            <v>准备工时</v>
          </cell>
          <cell r="H923">
            <v>150</v>
          </cell>
          <cell r="I923">
            <v>150</v>
          </cell>
        </row>
        <row r="924">
          <cell r="B924" t="str">
            <v>DD-J10-06041-81</v>
          </cell>
          <cell r="D924" t="str">
            <v>B</v>
          </cell>
          <cell r="E924" t="str">
            <v>装夹时间</v>
          </cell>
        </row>
        <row r="925">
          <cell r="B925" t="str">
            <v>DD-J10-06041-81</v>
          </cell>
          <cell r="D925" t="str">
            <v>B</v>
          </cell>
          <cell r="E925" t="str">
            <v>程序时间</v>
          </cell>
          <cell r="G925">
            <v>15</v>
          </cell>
          <cell r="H925">
            <v>35</v>
          </cell>
          <cell r="I925">
            <v>35</v>
          </cell>
          <cell r="J925">
            <v>30</v>
          </cell>
        </row>
        <row r="926">
          <cell r="B926" t="str">
            <v>图号</v>
          </cell>
        </row>
        <row r="927">
          <cell r="B927" t="str">
            <v>CB22843G7-002-001</v>
          </cell>
          <cell r="D927" t="str">
            <v>B</v>
          </cell>
          <cell r="E927" t="str">
            <v>工序内容</v>
          </cell>
          <cell r="F927" t="str">
            <v>0/领料</v>
          </cell>
          <cell r="G927" t="str">
            <v>05/下料</v>
          </cell>
          <cell r="H927" t="str">
            <v>10/普车</v>
          </cell>
          <cell r="I927" t="str">
            <v>15/线切割</v>
          </cell>
          <cell r="J927" t="str">
            <v>20/数车35</v>
          </cell>
          <cell r="K927" t="str">
            <v>25/钳工</v>
          </cell>
          <cell r="L927" t="str">
            <v>30/分光</v>
          </cell>
          <cell r="M927" t="str">
            <v>35/数车30</v>
          </cell>
          <cell r="N927" t="str">
            <v>40/数铣30</v>
          </cell>
          <cell r="O927" t="str">
            <v>45/数车30</v>
          </cell>
          <cell r="P927" t="str">
            <v>50/数铣15</v>
          </cell>
          <cell r="Q927" t="str">
            <v>55/钳工</v>
          </cell>
          <cell r="R927" t="str">
            <v>60/清洁</v>
          </cell>
          <cell r="S927" t="str">
            <v>65/成检</v>
          </cell>
        </row>
        <row r="928">
          <cell r="B928" t="str">
            <v>CB22843G7-002-001</v>
          </cell>
          <cell r="D928" t="str">
            <v>B</v>
          </cell>
          <cell r="E928" t="str">
            <v>准备工时</v>
          </cell>
          <cell r="H928">
            <v>60</v>
          </cell>
          <cell r="J928">
            <v>90</v>
          </cell>
          <cell r="M928">
            <v>120</v>
          </cell>
          <cell r="N928">
            <v>120</v>
          </cell>
          <cell r="O928">
            <v>120</v>
          </cell>
          <cell r="P928">
            <v>90</v>
          </cell>
        </row>
        <row r="929">
          <cell r="B929" t="str">
            <v>CB22843G7-002-001</v>
          </cell>
          <cell r="D929" t="str">
            <v>B</v>
          </cell>
          <cell r="E929" t="str">
            <v>装夹时间</v>
          </cell>
        </row>
        <row r="930">
          <cell r="B930" t="str">
            <v>CB22843G7-002-001</v>
          </cell>
          <cell r="D930" t="str">
            <v>B</v>
          </cell>
          <cell r="E930" t="str">
            <v>程序时间</v>
          </cell>
          <cell r="H930">
            <v>30</v>
          </cell>
          <cell r="J930">
            <v>55</v>
          </cell>
          <cell r="K930">
            <v>20</v>
          </cell>
          <cell r="M930">
            <v>50</v>
          </cell>
          <cell r="N930">
            <v>50</v>
          </cell>
          <cell r="O930">
            <v>50</v>
          </cell>
          <cell r="P930">
            <v>40</v>
          </cell>
          <cell r="Q930">
            <v>35</v>
          </cell>
        </row>
        <row r="931">
          <cell r="B931" t="str">
            <v>图号</v>
          </cell>
        </row>
        <row r="932">
          <cell r="B932" t="str">
            <v>DD-J10-55015-5503-Y/Z</v>
          </cell>
          <cell r="D932" t="str">
            <v>B</v>
          </cell>
          <cell r="E932" t="str">
            <v>工序内容</v>
          </cell>
          <cell r="F932" t="str">
            <v>0/领料</v>
          </cell>
          <cell r="G932" t="str">
            <v>05/钳工</v>
          </cell>
          <cell r="H932" t="str">
            <v>10/数车20</v>
          </cell>
          <cell r="I932" t="str">
            <v>15/数车30</v>
          </cell>
          <cell r="J932" t="str">
            <v>20/数车10</v>
          </cell>
          <cell r="K932" t="str">
            <v>25/线切割</v>
          </cell>
          <cell r="L932" t="str">
            <v>30/钳工</v>
          </cell>
          <cell r="M932" t="str">
            <v>35/清洁</v>
          </cell>
          <cell r="N932" t="str">
            <v>40/成检</v>
          </cell>
        </row>
        <row r="933">
          <cell r="B933" t="str">
            <v>DD-J10-55015-5503-Y/Z</v>
          </cell>
          <cell r="D933" t="str">
            <v>B</v>
          </cell>
          <cell r="E933" t="str">
            <v>准备工时</v>
          </cell>
          <cell r="H933">
            <v>120</v>
          </cell>
          <cell r="I933">
            <v>120</v>
          </cell>
          <cell r="J933">
            <v>90</v>
          </cell>
        </row>
        <row r="934">
          <cell r="B934" t="str">
            <v>DD-J10-55015-5503-Y/Z</v>
          </cell>
          <cell r="D934" t="str">
            <v>B</v>
          </cell>
          <cell r="E934" t="str">
            <v>装夹时间</v>
          </cell>
        </row>
        <row r="935">
          <cell r="B935" t="str">
            <v>DD-J10-55015-5503-Y/Z</v>
          </cell>
          <cell r="D935" t="str">
            <v>B</v>
          </cell>
          <cell r="E935" t="str">
            <v>程序时间</v>
          </cell>
          <cell r="G935">
            <v>15</v>
          </cell>
          <cell r="H935">
            <v>30</v>
          </cell>
          <cell r="I935">
            <v>45</v>
          </cell>
          <cell r="J935">
            <v>20</v>
          </cell>
          <cell r="L935">
            <v>40</v>
          </cell>
        </row>
        <row r="936">
          <cell r="B936" t="str">
            <v>图号</v>
          </cell>
        </row>
        <row r="937">
          <cell r="B937" t="str">
            <v>DD-J10B-02121-1AG2-Z</v>
          </cell>
          <cell r="D937" t="str">
            <v>G</v>
          </cell>
          <cell r="E937" t="str">
            <v>工序内容</v>
          </cell>
          <cell r="F937" t="str">
            <v>0/数铣</v>
          </cell>
          <cell r="G937" t="str">
            <v>5/数铣150</v>
          </cell>
          <cell r="H937" t="str">
            <v>10/数铣40</v>
          </cell>
          <cell r="I937" t="str">
            <v>15/数铣350</v>
          </cell>
          <cell r="J937" t="str">
            <v>20/数铣280</v>
          </cell>
          <cell r="K937" t="str">
            <v>25/五轴360</v>
          </cell>
          <cell r="L937" t="str">
            <v>30/五轴930</v>
          </cell>
          <cell r="M937" t="str">
            <v>35/测量</v>
          </cell>
          <cell r="N937" t="str">
            <v>40/钳工</v>
          </cell>
          <cell r="O937" t="str">
            <v>45/数铣</v>
          </cell>
          <cell r="P937" t="str">
            <v>50/清洁</v>
          </cell>
          <cell r="Q937" t="str">
            <v>55/成检</v>
          </cell>
        </row>
        <row r="938">
          <cell r="B938" t="str">
            <v>DD-J10B-02121-1AG2-Z</v>
          </cell>
          <cell r="D938" t="str">
            <v>G</v>
          </cell>
          <cell r="E938" t="str">
            <v>准备工时</v>
          </cell>
          <cell r="F938" t="str">
            <v>60</v>
          </cell>
          <cell r="G938">
            <v>120</v>
          </cell>
          <cell r="H938">
            <v>120</v>
          </cell>
          <cell r="I938">
            <v>120</v>
          </cell>
          <cell r="J938">
            <v>120</v>
          </cell>
          <cell r="K938">
            <v>150</v>
          </cell>
          <cell r="L938">
            <v>210</v>
          </cell>
        </row>
        <row r="939">
          <cell r="B939" t="str">
            <v>DD-J10B-02121-1AG2-Z</v>
          </cell>
          <cell r="D939" t="str">
            <v>G</v>
          </cell>
          <cell r="E939" t="str">
            <v>装夹时间</v>
          </cell>
          <cell r="G939">
            <v>90</v>
          </cell>
          <cell r="H939">
            <v>90</v>
          </cell>
          <cell r="I939">
            <v>60</v>
          </cell>
          <cell r="J939">
            <v>60</v>
          </cell>
          <cell r="K939">
            <v>120</v>
          </cell>
          <cell r="L939">
            <v>120</v>
          </cell>
        </row>
        <row r="940">
          <cell r="B940" t="str">
            <v>DD-J10B-02121-1AG2-Z</v>
          </cell>
          <cell r="D940" t="str">
            <v>G</v>
          </cell>
          <cell r="E940" t="str">
            <v>程序时间</v>
          </cell>
          <cell r="F940" t="str">
            <v>80</v>
          </cell>
          <cell r="G940">
            <v>270</v>
          </cell>
          <cell r="H940">
            <v>100</v>
          </cell>
          <cell r="I940">
            <v>480</v>
          </cell>
          <cell r="J940">
            <v>420</v>
          </cell>
          <cell r="K940">
            <v>840</v>
          </cell>
          <cell r="L940">
            <v>1700</v>
          </cell>
          <cell r="N940">
            <v>960</v>
          </cell>
          <cell r="O940">
            <v>20</v>
          </cell>
        </row>
        <row r="941">
          <cell r="B941" t="str">
            <v>图号</v>
          </cell>
        </row>
        <row r="942">
          <cell r="B942" t="str">
            <v>DD-J10B-02121-1AG2-Y</v>
          </cell>
          <cell r="D942" t="str">
            <v>G</v>
          </cell>
          <cell r="E942" t="str">
            <v>工序内容</v>
          </cell>
          <cell r="F942" t="str">
            <v>0/数铣</v>
          </cell>
          <cell r="G942" t="str">
            <v>5/数铣150</v>
          </cell>
          <cell r="H942" t="str">
            <v>10/数铣40</v>
          </cell>
          <cell r="I942" t="str">
            <v>15/数铣350</v>
          </cell>
          <cell r="J942" t="str">
            <v>20/数铣280</v>
          </cell>
          <cell r="K942" t="str">
            <v>25/五轴360</v>
          </cell>
          <cell r="L942" t="str">
            <v>30/五轴930</v>
          </cell>
          <cell r="M942" t="str">
            <v>35/测量</v>
          </cell>
          <cell r="N942" t="str">
            <v>40/钳工</v>
          </cell>
          <cell r="O942" t="str">
            <v>45/数铣</v>
          </cell>
          <cell r="P942" t="str">
            <v>50/清洁</v>
          </cell>
          <cell r="Q942" t="str">
            <v>55/成检</v>
          </cell>
          <cell r="R942" t="str">
            <v>55/成检</v>
          </cell>
        </row>
        <row r="943">
          <cell r="B943" t="str">
            <v>DD-J10B-02121-1AG2-Y</v>
          </cell>
          <cell r="D943" t="str">
            <v>G</v>
          </cell>
          <cell r="E943" t="str">
            <v>准备工时</v>
          </cell>
          <cell r="F943" t="str">
            <v>60</v>
          </cell>
          <cell r="G943">
            <v>120</v>
          </cell>
          <cell r="H943">
            <v>120</v>
          </cell>
          <cell r="I943">
            <v>120</v>
          </cell>
          <cell r="J943">
            <v>120</v>
          </cell>
          <cell r="K943">
            <v>150</v>
          </cell>
          <cell r="L943">
            <v>210</v>
          </cell>
        </row>
        <row r="944">
          <cell r="B944" t="str">
            <v>DD-J10B-02121-1AG2-Y</v>
          </cell>
          <cell r="D944" t="str">
            <v>G</v>
          </cell>
          <cell r="E944" t="str">
            <v>装夹时间</v>
          </cell>
          <cell r="G944">
            <v>90</v>
          </cell>
          <cell r="H944">
            <v>90</v>
          </cell>
          <cell r="I944">
            <v>60</v>
          </cell>
          <cell r="J944">
            <v>60</v>
          </cell>
          <cell r="K944">
            <v>120</v>
          </cell>
          <cell r="L944">
            <v>120</v>
          </cell>
        </row>
        <row r="945">
          <cell r="B945" t="str">
            <v>DD-J10B-02121-1AG2-Y</v>
          </cell>
          <cell r="D945" t="str">
            <v>G</v>
          </cell>
          <cell r="E945" t="str">
            <v>程序时间</v>
          </cell>
          <cell r="F945" t="str">
            <v>80</v>
          </cell>
          <cell r="G945">
            <v>270</v>
          </cell>
          <cell r="H945">
            <v>100</v>
          </cell>
          <cell r="I945">
            <v>480</v>
          </cell>
          <cell r="J945">
            <v>420</v>
          </cell>
          <cell r="K945">
            <v>840</v>
          </cell>
          <cell r="L945">
            <v>1700</v>
          </cell>
          <cell r="N945">
            <v>960</v>
          </cell>
          <cell r="O945">
            <v>20</v>
          </cell>
        </row>
        <row r="946">
          <cell r="B946" t="str">
            <v>图号</v>
          </cell>
        </row>
        <row r="947">
          <cell r="B947" t="str">
            <v>CB3014944-001-002</v>
          </cell>
          <cell r="D947" t="str">
            <v>C</v>
          </cell>
          <cell r="E947" t="str">
            <v>工序内容</v>
          </cell>
          <cell r="F947" t="str">
            <v>0/领料</v>
          </cell>
          <cell r="G947" t="str">
            <v>05/下料</v>
          </cell>
          <cell r="H947" t="str">
            <v>10/数铣</v>
          </cell>
          <cell r="I947" t="str">
            <v>15/数铣15</v>
          </cell>
          <cell r="J947" t="str">
            <v>20/数铣10</v>
          </cell>
          <cell r="K947" t="str">
            <v>25/数铣40</v>
          </cell>
          <cell r="L947" t="str">
            <v>30/时效</v>
          </cell>
          <cell r="M947" t="str">
            <v>35/数铣</v>
          </cell>
          <cell r="N947" t="str">
            <v>40/数铣30</v>
          </cell>
          <cell r="O947" t="str">
            <v>45/数铣90</v>
          </cell>
          <cell r="P947" t="str">
            <v>50/钳工</v>
          </cell>
          <cell r="Q947" t="str">
            <v>55/清洁</v>
          </cell>
          <cell r="R947" t="str">
            <v>60/成检</v>
          </cell>
        </row>
        <row r="948">
          <cell r="B948" t="str">
            <v>CB3014944-001-002</v>
          </cell>
          <cell r="D948" t="str">
            <v>C</v>
          </cell>
          <cell r="E948" t="str">
            <v>准备工时</v>
          </cell>
          <cell r="H948">
            <v>60</v>
          </cell>
          <cell r="I948">
            <v>60</v>
          </cell>
          <cell r="J948">
            <v>60</v>
          </cell>
          <cell r="K948">
            <v>120</v>
          </cell>
          <cell r="M948">
            <v>60</v>
          </cell>
          <cell r="N948">
            <v>90</v>
          </cell>
          <cell r="O948">
            <v>120</v>
          </cell>
        </row>
        <row r="949">
          <cell r="B949" t="str">
            <v>CB3014944-001-002</v>
          </cell>
          <cell r="D949" t="str">
            <v>C</v>
          </cell>
          <cell r="E949" t="str">
            <v>装夹时间</v>
          </cell>
        </row>
        <row r="950">
          <cell r="B950" t="str">
            <v>CB3014944-001-002</v>
          </cell>
          <cell r="D950" t="str">
            <v>C</v>
          </cell>
          <cell r="E950" t="str">
            <v>程序时间</v>
          </cell>
          <cell r="H950">
            <v>90</v>
          </cell>
          <cell r="I950">
            <v>50</v>
          </cell>
          <cell r="J950">
            <v>30</v>
          </cell>
          <cell r="K950">
            <v>90</v>
          </cell>
          <cell r="M950">
            <v>120</v>
          </cell>
          <cell r="N950">
            <v>60</v>
          </cell>
          <cell r="O950">
            <v>170</v>
          </cell>
          <cell r="P950">
            <v>180</v>
          </cell>
        </row>
        <row r="951">
          <cell r="B951" t="str">
            <v>图号</v>
          </cell>
        </row>
        <row r="952">
          <cell r="B952" t="str">
            <v>Y20-5312143002-001</v>
          </cell>
          <cell r="D952" t="str">
            <v>C</v>
          </cell>
          <cell r="E952" t="str">
            <v>工序内容</v>
          </cell>
          <cell r="F952" t="str">
            <v>0/领料</v>
          </cell>
          <cell r="G952" t="str">
            <v>05/下料</v>
          </cell>
          <cell r="H952" t="str">
            <v>10/钳校形</v>
          </cell>
          <cell r="I952" t="str">
            <v>15/数车10</v>
          </cell>
          <cell r="J952" t="str">
            <v>20/数车10</v>
          </cell>
          <cell r="K952" t="str">
            <v>25/数铣15</v>
          </cell>
          <cell r="L952" t="str">
            <v>30/数铣15</v>
          </cell>
          <cell r="M952" t="str">
            <v>35/数车15</v>
          </cell>
          <cell r="N952" t="str">
            <v>40/钳工</v>
          </cell>
          <cell r="O952" t="str">
            <v>45/清洁</v>
          </cell>
          <cell r="P952" t="str">
            <v>50/成检</v>
          </cell>
        </row>
        <row r="953">
          <cell r="B953" t="str">
            <v>Y20-5312143002-001</v>
          </cell>
          <cell r="D953" t="str">
            <v>C</v>
          </cell>
          <cell r="E953" t="str">
            <v>准备工时</v>
          </cell>
          <cell r="I953">
            <v>60</v>
          </cell>
          <cell r="J953">
            <v>60</v>
          </cell>
          <cell r="K953">
            <v>60</v>
          </cell>
          <cell r="L953">
            <v>90</v>
          </cell>
          <cell r="M953">
            <v>60</v>
          </cell>
        </row>
        <row r="954">
          <cell r="B954" t="str">
            <v>Y20-5312143002-001</v>
          </cell>
          <cell r="D954" t="str">
            <v>C</v>
          </cell>
          <cell r="E954" t="str">
            <v>装夹时间</v>
          </cell>
        </row>
        <row r="955">
          <cell r="B955" t="str">
            <v>Y20-5312143002-001</v>
          </cell>
          <cell r="D955" t="str">
            <v>C</v>
          </cell>
          <cell r="E955" t="str">
            <v>程序时间</v>
          </cell>
          <cell r="H955">
            <v>20</v>
          </cell>
          <cell r="I955">
            <v>30</v>
          </cell>
          <cell r="J955">
            <v>30</v>
          </cell>
          <cell r="K955">
            <v>25</v>
          </cell>
          <cell r="L955">
            <v>80</v>
          </cell>
          <cell r="M955">
            <v>100</v>
          </cell>
          <cell r="N955">
            <v>30</v>
          </cell>
        </row>
        <row r="956">
          <cell r="B956" t="str">
            <v>图号</v>
          </cell>
        </row>
        <row r="957">
          <cell r="B957" t="str">
            <v>DD-J10B-55121-6</v>
          </cell>
          <cell r="D957" t="str">
            <v>C</v>
          </cell>
          <cell r="E957" t="str">
            <v>工序内容</v>
          </cell>
          <cell r="F957" t="str">
            <v>0/领料</v>
          </cell>
          <cell r="G957" t="str">
            <v>5分光</v>
          </cell>
          <cell r="H957" t="str">
            <v>10硬度</v>
          </cell>
          <cell r="I957" t="str">
            <v>15下料</v>
          </cell>
          <cell r="J957" t="str">
            <v>20数铣</v>
          </cell>
          <cell r="K957" t="str">
            <v>25数铣10</v>
          </cell>
          <cell r="L957" t="str">
            <v>30钳工</v>
          </cell>
          <cell r="M957" t="str">
            <v>35清洁</v>
          </cell>
          <cell r="N957" t="str">
            <v>40成检</v>
          </cell>
        </row>
        <row r="958">
          <cell r="B958" t="str">
            <v>DD-J10B-55121-6</v>
          </cell>
          <cell r="D958" t="str">
            <v>C</v>
          </cell>
          <cell r="E958" t="str">
            <v>准备工时</v>
          </cell>
          <cell r="J958">
            <v>60</v>
          </cell>
          <cell r="K958">
            <v>60</v>
          </cell>
        </row>
        <row r="959">
          <cell r="B959" t="str">
            <v>DD-J10B-55121-6</v>
          </cell>
          <cell r="D959" t="str">
            <v>C</v>
          </cell>
          <cell r="E959" t="str">
            <v>装夹时间</v>
          </cell>
        </row>
        <row r="960">
          <cell r="B960" t="str">
            <v>DD-J10B-55121-6</v>
          </cell>
          <cell r="D960" t="str">
            <v>C</v>
          </cell>
          <cell r="E960" t="str">
            <v>程序时间</v>
          </cell>
          <cell r="J960">
            <v>15</v>
          </cell>
          <cell r="K960">
            <v>25</v>
          </cell>
          <cell r="L960">
            <v>15</v>
          </cell>
        </row>
        <row r="961">
          <cell r="B961" t="str">
            <v>图号</v>
          </cell>
        </row>
        <row r="962">
          <cell r="B962" t="str">
            <v>CB5313200-004L006</v>
          </cell>
          <cell r="D962" t="str">
            <v>D</v>
          </cell>
          <cell r="E962" t="str">
            <v>工序内容</v>
          </cell>
          <cell r="F962" t="str">
            <v>0/领料</v>
          </cell>
          <cell r="G962" t="str">
            <v>5/数铣</v>
          </cell>
          <cell r="H962" t="str">
            <v>10/数铣50</v>
          </cell>
          <cell r="I962" t="str">
            <v>15/数铣180</v>
          </cell>
          <cell r="J962" t="str">
            <v>20/数铣210</v>
          </cell>
          <cell r="K962" t="str">
            <v>25/五轴480</v>
          </cell>
          <cell r="L962" t="str">
            <v>30/测量</v>
          </cell>
          <cell r="M962" t="str">
            <v>35/钳工</v>
          </cell>
          <cell r="N962" t="str">
            <v>40/测量</v>
          </cell>
          <cell r="O962" t="str">
            <v>45/清洁</v>
          </cell>
          <cell r="P962" t="str">
            <v>50/检验</v>
          </cell>
          <cell r="Q962" t="str">
            <v>55/清洗</v>
          </cell>
          <cell r="R962" t="str">
            <v>60/电导</v>
          </cell>
          <cell r="S962" t="str">
            <v>65/硬检</v>
          </cell>
          <cell r="T962" t="str">
            <v>70/分光</v>
          </cell>
          <cell r="U962" t="str">
            <v>75/钳工</v>
          </cell>
          <cell r="V962" t="str">
            <v>80/清洁</v>
          </cell>
          <cell r="W962" t="str">
            <v>85/成检</v>
          </cell>
        </row>
        <row r="963">
          <cell r="B963" t="str">
            <v>CB5313200-004L006</v>
          </cell>
          <cell r="D963" t="str">
            <v>D</v>
          </cell>
          <cell r="E963" t="str">
            <v>准备工时</v>
          </cell>
          <cell r="G963">
            <v>60</v>
          </cell>
          <cell r="H963">
            <v>60</v>
          </cell>
          <cell r="I963">
            <v>60</v>
          </cell>
          <cell r="J963">
            <v>60</v>
          </cell>
          <cell r="K963">
            <v>120</v>
          </cell>
        </row>
        <row r="964">
          <cell r="B964" t="str">
            <v>CB5313200-004L006</v>
          </cell>
          <cell r="D964" t="str">
            <v>D</v>
          </cell>
          <cell r="E964" t="str">
            <v>装夹时间</v>
          </cell>
          <cell r="K964">
            <v>60</v>
          </cell>
        </row>
        <row r="965">
          <cell r="B965" t="str">
            <v>CB5313200-004L006</v>
          </cell>
          <cell r="D965" t="str">
            <v>D</v>
          </cell>
          <cell r="E965" t="str">
            <v>程序时间</v>
          </cell>
          <cell r="G965">
            <v>120</v>
          </cell>
          <cell r="H965">
            <v>90</v>
          </cell>
          <cell r="I965">
            <v>280</v>
          </cell>
          <cell r="J965">
            <v>400</v>
          </cell>
          <cell r="K965">
            <v>1020</v>
          </cell>
          <cell r="M965">
            <v>300</v>
          </cell>
          <cell r="U965">
            <v>5</v>
          </cell>
        </row>
        <row r="966">
          <cell r="B966" t="str">
            <v>图号</v>
          </cell>
        </row>
        <row r="967">
          <cell r="B967" t="str">
            <v>CB5313200-004R006</v>
          </cell>
          <cell r="D967" t="str">
            <v>D</v>
          </cell>
          <cell r="E967" t="str">
            <v>工序内容</v>
          </cell>
          <cell r="F967" t="str">
            <v>0/领料</v>
          </cell>
          <cell r="G967" t="str">
            <v>5/数铣</v>
          </cell>
          <cell r="H967" t="str">
            <v>10/数铣50</v>
          </cell>
          <cell r="I967" t="str">
            <v>15/数铣180</v>
          </cell>
          <cell r="J967" t="str">
            <v>20/数铣210</v>
          </cell>
          <cell r="K967" t="str">
            <v>25/五轴480</v>
          </cell>
          <cell r="L967" t="str">
            <v>30/测量</v>
          </cell>
          <cell r="M967" t="str">
            <v>35/钳工</v>
          </cell>
          <cell r="N967" t="str">
            <v>40/测量</v>
          </cell>
          <cell r="O967" t="str">
            <v>45/清洁</v>
          </cell>
          <cell r="P967" t="str">
            <v>50/检验</v>
          </cell>
          <cell r="Q967" t="str">
            <v>55/清洗</v>
          </cell>
          <cell r="R967" t="str">
            <v>60/电导</v>
          </cell>
          <cell r="S967" t="str">
            <v>65/硬检</v>
          </cell>
          <cell r="T967" t="str">
            <v>70/分光</v>
          </cell>
          <cell r="U967" t="str">
            <v>75/钳工</v>
          </cell>
          <cell r="V967" t="str">
            <v>80/清洁</v>
          </cell>
          <cell r="W967" t="str">
            <v>85/成检</v>
          </cell>
        </row>
        <row r="968">
          <cell r="B968" t="str">
            <v>CB5313200-004R006</v>
          </cell>
          <cell r="D968" t="str">
            <v>D</v>
          </cell>
          <cell r="E968" t="str">
            <v>准备工时</v>
          </cell>
          <cell r="G968">
            <v>60</v>
          </cell>
          <cell r="H968">
            <v>60</v>
          </cell>
          <cell r="I968">
            <v>60</v>
          </cell>
          <cell r="J968">
            <v>60</v>
          </cell>
          <cell r="K968">
            <v>120</v>
          </cell>
        </row>
        <row r="969">
          <cell r="B969" t="str">
            <v>CB5313200-004R006</v>
          </cell>
          <cell r="D969" t="str">
            <v>D</v>
          </cell>
          <cell r="E969" t="str">
            <v>装夹时间</v>
          </cell>
          <cell r="K969">
            <v>60</v>
          </cell>
        </row>
        <row r="970">
          <cell r="B970" t="str">
            <v>CB5313200-004R006</v>
          </cell>
          <cell r="D970" t="str">
            <v>D</v>
          </cell>
          <cell r="E970" t="str">
            <v>程序时间</v>
          </cell>
          <cell r="G970">
            <v>120</v>
          </cell>
          <cell r="H970">
            <v>90</v>
          </cell>
          <cell r="I970">
            <v>280</v>
          </cell>
          <cell r="J970">
            <v>400</v>
          </cell>
          <cell r="K970">
            <v>1020</v>
          </cell>
          <cell r="M970">
            <v>300</v>
          </cell>
          <cell r="U970">
            <v>5</v>
          </cell>
        </row>
        <row r="971">
          <cell r="B971" t="str">
            <v>图号</v>
          </cell>
        </row>
        <row r="972">
          <cell r="B972" t="str">
            <v>BC221T1CA-001-001</v>
          </cell>
          <cell r="D972" t="str">
            <v>B</v>
          </cell>
          <cell r="E972" t="str">
            <v>工序内容</v>
          </cell>
          <cell r="F972" t="str">
            <v>0/领料</v>
          </cell>
          <cell r="G972" t="str">
            <v>05/数车120</v>
          </cell>
          <cell r="H972" t="str">
            <v>10/分光</v>
          </cell>
          <cell r="I972" t="str">
            <v>15/热处理</v>
          </cell>
          <cell r="J972" t="str">
            <v>20/数车60</v>
          </cell>
          <cell r="K972" t="str">
            <v>25/数车30</v>
          </cell>
          <cell r="L972" t="str">
            <v>30/数铣35</v>
          </cell>
          <cell r="M972" t="str">
            <v>35/穿孔</v>
          </cell>
          <cell r="N972" t="str">
            <v>40/钳工</v>
          </cell>
          <cell r="O972" t="str">
            <v>45/清洁</v>
          </cell>
          <cell r="P972" t="str">
            <v>50/成检</v>
          </cell>
        </row>
        <row r="973">
          <cell r="B973" t="str">
            <v>BC221T1CA-001-001</v>
          </cell>
          <cell r="D973" t="str">
            <v>B</v>
          </cell>
          <cell r="E973" t="str">
            <v>准备工时</v>
          </cell>
          <cell r="G973">
            <v>60</v>
          </cell>
          <cell r="J973">
            <v>120</v>
          </cell>
          <cell r="K973">
            <v>120</v>
          </cell>
          <cell r="L973">
            <v>60</v>
          </cell>
        </row>
        <row r="974">
          <cell r="B974" t="str">
            <v>BC221T1CA-001-001</v>
          </cell>
          <cell r="D974" t="str">
            <v>B</v>
          </cell>
          <cell r="E974" t="str">
            <v>装夹时间</v>
          </cell>
        </row>
        <row r="975">
          <cell r="B975" t="str">
            <v>BC221T1CA-001-001</v>
          </cell>
          <cell r="D975" t="str">
            <v>B</v>
          </cell>
          <cell r="E975" t="str">
            <v>程序时间</v>
          </cell>
          <cell r="G975">
            <v>120</v>
          </cell>
          <cell r="J975">
            <v>60</v>
          </cell>
          <cell r="K975">
            <v>30</v>
          </cell>
          <cell r="L975">
            <v>60</v>
          </cell>
          <cell r="N975">
            <v>30</v>
          </cell>
        </row>
        <row r="976">
          <cell r="B976" t="str">
            <v>图号</v>
          </cell>
        </row>
        <row r="977">
          <cell r="B977" t="str">
            <v>BC2711365-001-001</v>
          </cell>
          <cell r="D977" t="str">
            <v>A</v>
          </cell>
          <cell r="E977" t="str">
            <v>工序内容</v>
          </cell>
          <cell r="F977" t="str">
            <v>0/领料</v>
          </cell>
          <cell r="G977" t="str">
            <v>05/数车20</v>
          </cell>
          <cell r="H977" t="str">
            <v>10/数车10</v>
          </cell>
          <cell r="I977" t="str">
            <v>15/数铣15</v>
          </cell>
          <cell r="J977" t="str">
            <v>20/数铣20</v>
          </cell>
          <cell r="K977" t="str">
            <v>25/数车30</v>
          </cell>
          <cell r="L977" t="str">
            <v>30/穿孔</v>
          </cell>
          <cell r="M977" t="str">
            <v>35/分光</v>
          </cell>
          <cell r="N977" t="str">
            <v>40/数车15</v>
          </cell>
          <cell r="O977" t="str">
            <v>45/钳工</v>
          </cell>
          <cell r="P977" t="str">
            <v>50/清洁</v>
          </cell>
          <cell r="Q977" t="str">
            <v>55/成检</v>
          </cell>
        </row>
        <row r="978">
          <cell r="B978" t="str">
            <v>BC2711365-001-001</v>
          </cell>
          <cell r="D978" t="str">
            <v>A</v>
          </cell>
          <cell r="E978" t="str">
            <v>准备工时</v>
          </cell>
          <cell r="G978">
            <v>60</v>
          </cell>
          <cell r="H978">
            <v>60</v>
          </cell>
          <cell r="I978">
            <v>60</v>
          </cell>
          <cell r="J978">
            <v>60</v>
          </cell>
          <cell r="K978">
            <v>120</v>
          </cell>
          <cell r="N978">
            <v>90</v>
          </cell>
        </row>
        <row r="979">
          <cell r="B979" t="str">
            <v>BC2711365-001-001</v>
          </cell>
          <cell r="D979" t="str">
            <v>A</v>
          </cell>
          <cell r="E979" t="str">
            <v>装夹时间</v>
          </cell>
        </row>
        <row r="980">
          <cell r="B980" t="str">
            <v>BC2711365-001-001</v>
          </cell>
          <cell r="D980" t="str">
            <v>A</v>
          </cell>
          <cell r="E980" t="str">
            <v>程序时间</v>
          </cell>
          <cell r="G980">
            <v>25</v>
          </cell>
          <cell r="H980">
            <v>15</v>
          </cell>
          <cell r="I980">
            <v>25</v>
          </cell>
          <cell r="J980">
            <v>30</v>
          </cell>
          <cell r="K980">
            <v>60</v>
          </cell>
          <cell r="N980">
            <v>25</v>
          </cell>
          <cell r="O980">
            <v>20</v>
          </cell>
        </row>
        <row r="981">
          <cell r="B981" t="str">
            <v>图号</v>
          </cell>
        </row>
        <row r="982">
          <cell r="B982" t="str">
            <v>DD-J10-61041-2</v>
          </cell>
          <cell r="D982" t="str">
            <v>B</v>
          </cell>
          <cell r="E982" t="str">
            <v>工序内容</v>
          </cell>
          <cell r="F982" t="str">
            <v>0/领料</v>
          </cell>
          <cell r="G982" t="str">
            <v>05/数车15</v>
          </cell>
          <cell r="H982" t="str">
            <v>10/数车30</v>
          </cell>
          <cell r="I982" t="str">
            <v>15/分光</v>
          </cell>
          <cell r="J982" t="str">
            <v>20/硬度</v>
          </cell>
          <cell r="K982" t="str">
            <v>25/数车30</v>
          </cell>
          <cell r="L982" t="str">
            <v>30/数铣20</v>
          </cell>
          <cell r="M982" t="str">
            <v>35/钳工</v>
          </cell>
          <cell r="N982" t="str">
            <v>40/清洁</v>
          </cell>
          <cell r="O982" t="str">
            <v>45/成检</v>
          </cell>
        </row>
        <row r="983">
          <cell r="B983" t="str">
            <v>DD-J10-61041-2</v>
          </cell>
          <cell r="D983" t="str">
            <v>B</v>
          </cell>
          <cell r="E983" t="str">
            <v>准备工时</v>
          </cell>
          <cell r="G983">
            <v>60</v>
          </cell>
          <cell r="H983">
            <v>60</v>
          </cell>
          <cell r="K983">
            <v>60</v>
          </cell>
          <cell r="L983">
            <v>60</v>
          </cell>
        </row>
        <row r="984">
          <cell r="B984" t="str">
            <v>DD-J10-61041-2</v>
          </cell>
          <cell r="D984" t="str">
            <v>B</v>
          </cell>
          <cell r="E984" t="str">
            <v>装夹时间</v>
          </cell>
        </row>
        <row r="985">
          <cell r="B985" t="str">
            <v>DD-J10-61041-2</v>
          </cell>
          <cell r="D985" t="str">
            <v>B</v>
          </cell>
          <cell r="E985" t="str">
            <v>程序时间</v>
          </cell>
          <cell r="G985">
            <v>30</v>
          </cell>
          <cell r="H985">
            <v>40</v>
          </cell>
          <cell r="K985">
            <v>40</v>
          </cell>
          <cell r="L985">
            <v>35</v>
          </cell>
          <cell r="M985">
            <v>30</v>
          </cell>
        </row>
        <row r="986">
          <cell r="B986" t="str">
            <v>图号</v>
          </cell>
        </row>
        <row r="987">
          <cell r="B987" t="str">
            <v>BC5525200-003-002</v>
          </cell>
          <cell r="D987" t="str">
            <v>A</v>
          </cell>
          <cell r="E987" t="str">
            <v>工序内容</v>
          </cell>
          <cell r="F987" t="str">
            <v>0/领料</v>
          </cell>
          <cell r="G987" t="str">
            <v>05数车30</v>
          </cell>
          <cell r="H987" t="str">
            <v>10数车20</v>
          </cell>
          <cell r="I987" t="str">
            <v>15数车30</v>
          </cell>
          <cell r="J987" t="str">
            <v>20数车20</v>
          </cell>
          <cell r="K987" t="str">
            <v>25数铣10</v>
          </cell>
          <cell r="L987" t="str">
            <v>30数车60</v>
          </cell>
          <cell r="M987" t="str">
            <v>35数车10</v>
          </cell>
          <cell r="N987" t="str">
            <v>40钳工</v>
          </cell>
          <cell r="O987" t="str">
            <v>45清洁</v>
          </cell>
          <cell r="P987" t="str">
            <v>50成检</v>
          </cell>
          <cell r="Q987" t="str">
            <v>55清洁</v>
          </cell>
          <cell r="R987" t="str">
            <v>60成检</v>
          </cell>
        </row>
        <row r="988">
          <cell r="B988" t="str">
            <v>BC5525200-003-002</v>
          </cell>
          <cell r="D988" t="str">
            <v>A</v>
          </cell>
          <cell r="E988" t="str">
            <v>准备工时</v>
          </cell>
          <cell r="G988">
            <v>60</v>
          </cell>
          <cell r="H988">
            <v>60</v>
          </cell>
          <cell r="I988">
            <v>90</v>
          </cell>
          <cell r="J988">
            <v>60</v>
          </cell>
          <cell r="K988">
            <v>60</v>
          </cell>
          <cell r="L988">
            <v>120</v>
          </cell>
          <cell r="M988">
            <v>90</v>
          </cell>
        </row>
        <row r="989">
          <cell r="B989" t="str">
            <v>BC5525200-003-002</v>
          </cell>
          <cell r="D989" t="str">
            <v>A</v>
          </cell>
          <cell r="E989" t="str">
            <v>装夹时间</v>
          </cell>
        </row>
        <row r="990">
          <cell r="B990" t="str">
            <v>BC5525200-003-002</v>
          </cell>
          <cell r="D990" t="str">
            <v>A</v>
          </cell>
          <cell r="E990" t="str">
            <v>程序时间</v>
          </cell>
          <cell r="G990">
            <v>30</v>
          </cell>
          <cell r="H990">
            <v>10</v>
          </cell>
          <cell r="I990">
            <v>35</v>
          </cell>
          <cell r="J990">
            <v>15</v>
          </cell>
          <cell r="K990">
            <v>25</v>
          </cell>
          <cell r="L990">
            <v>60</v>
          </cell>
          <cell r="M990">
            <v>15</v>
          </cell>
          <cell r="N990">
            <v>20</v>
          </cell>
        </row>
        <row r="991">
          <cell r="B991" t="str">
            <v>图号</v>
          </cell>
        </row>
        <row r="992">
          <cell r="B992" t="str">
            <v>C533114600-004L001</v>
          </cell>
          <cell r="D992" t="str">
            <v>A</v>
          </cell>
          <cell r="E992" t="str">
            <v>工序内容</v>
          </cell>
          <cell r="F992" t="str">
            <v>0领料</v>
          </cell>
          <cell r="G992" t="str">
            <v>05数铣</v>
          </cell>
          <cell r="H992" t="str">
            <v>10数铣30</v>
          </cell>
          <cell r="I992" t="str">
            <v>15数铣120</v>
          </cell>
          <cell r="J992" t="str">
            <v>20数铣100</v>
          </cell>
          <cell r="K992" t="str">
            <v>25五轴320</v>
          </cell>
          <cell r="L992" t="str">
            <v>30钳工</v>
          </cell>
          <cell r="M992" t="str">
            <v>35清洁</v>
          </cell>
          <cell r="N992" t="str">
            <v>40成检</v>
          </cell>
        </row>
        <row r="993">
          <cell r="B993" t="str">
            <v>C533114600-004L001</v>
          </cell>
          <cell r="D993" t="str">
            <v>A</v>
          </cell>
          <cell r="E993" t="str">
            <v>准备工时</v>
          </cell>
          <cell r="G993">
            <v>60</v>
          </cell>
          <cell r="H993">
            <v>60</v>
          </cell>
          <cell r="I993">
            <v>60</v>
          </cell>
          <cell r="J993">
            <v>120</v>
          </cell>
          <cell r="K993">
            <v>120</v>
          </cell>
        </row>
        <row r="994">
          <cell r="B994" t="str">
            <v>C533114600-004L001</v>
          </cell>
          <cell r="D994" t="str">
            <v>A</v>
          </cell>
          <cell r="E994" t="str">
            <v>装夹时间</v>
          </cell>
          <cell r="K994">
            <v>60</v>
          </cell>
        </row>
        <row r="995">
          <cell r="B995" t="str">
            <v>C533114600-004L001</v>
          </cell>
          <cell r="D995" t="str">
            <v>A</v>
          </cell>
          <cell r="E995" t="str">
            <v>程序时间</v>
          </cell>
          <cell r="G995">
            <v>50</v>
          </cell>
          <cell r="H995">
            <v>70</v>
          </cell>
          <cell r="I995">
            <v>180</v>
          </cell>
          <cell r="J995">
            <v>150</v>
          </cell>
          <cell r="K995">
            <v>660</v>
          </cell>
          <cell r="L995">
            <v>180</v>
          </cell>
        </row>
        <row r="996">
          <cell r="B996" t="str">
            <v>图号</v>
          </cell>
        </row>
        <row r="997">
          <cell r="B997" t="str">
            <v>C533114600-004R001</v>
          </cell>
          <cell r="D997" t="str">
            <v>A</v>
          </cell>
          <cell r="E997" t="str">
            <v>工序内容</v>
          </cell>
          <cell r="F997" t="str">
            <v>0领料</v>
          </cell>
          <cell r="G997" t="str">
            <v>05数铣</v>
          </cell>
          <cell r="H997" t="str">
            <v>10数铣30</v>
          </cell>
          <cell r="I997" t="str">
            <v>15数铣120</v>
          </cell>
          <cell r="J997" t="str">
            <v>20数铣100</v>
          </cell>
          <cell r="K997" t="str">
            <v>25五轴320</v>
          </cell>
          <cell r="L997" t="str">
            <v>30钳工</v>
          </cell>
          <cell r="M997" t="str">
            <v>35清洁</v>
          </cell>
          <cell r="N997" t="str">
            <v>40成检</v>
          </cell>
        </row>
        <row r="998">
          <cell r="B998" t="str">
            <v>C533114600-004R001</v>
          </cell>
          <cell r="D998" t="str">
            <v>A</v>
          </cell>
          <cell r="E998" t="str">
            <v>准备工时</v>
          </cell>
          <cell r="G998">
            <v>60</v>
          </cell>
          <cell r="H998">
            <v>60</v>
          </cell>
          <cell r="I998">
            <v>60</v>
          </cell>
          <cell r="J998">
            <v>120</v>
          </cell>
          <cell r="K998">
            <v>120</v>
          </cell>
        </row>
        <row r="999">
          <cell r="B999" t="str">
            <v>C533114600-004R001</v>
          </cell>
          <cell r="D999" t="str">
            <v>A</v>
          </cell>
          <cell r="E999" t="str">
            <v>装夹时间</v>
          </cell>
          <cell r="K999">
            <v>60</v>
          </cell>
        </row>
        <row r="1000">
          <cell r="B1000" t="str">
            <v>C533114600-004R001</v>
          </cell>
          <cell r="D1000" t="str">
            <v>A</v>
          </cell>
          <cell r="E1000" t="str">
            <v>程序时间</v>
          </cell>
          <cell r="G1000">
            <v>50</v>
          </cell>
          <cell r="H1000">
            <v>70</v>
          </cell>
          <cell r="I1000">
            <v>300</v>
          </cell>
          <cell r="J1000">
            <v>150</v>
          </cell>
          <cell r="K1000">
            <v>660</v>
          </cell>
          <cell r="L1000">
            <v>180</v>
          </cell>
        </row>
        <row r="1001">
          <cell r="B1001" t="str">
            <v>图号</v>
          </cell>
        </row>
        <row r="1002">
          <cell r="B1002" t="str">
            <v>C533114600-005L001</v>
          </cell>
          <cell r="D1002" t="str">
            <v>A</v>
          </cell>
          <cell r="E1002" t="str">
            <v>工序内容</v>
          </cell>
          <cell r="F1002" t="str">
            <v>0领料</v>
          </cell>
          <cell r="G1002" t="str">
            <v>05数铣</v>
          </cell>
          <cell r="H1002" t="str">
            <v>10数铣35</v>
          </cell>
          <cell r="I1002" t="str">
            <v>15数铣100</v>
          </cell>
          <cell r="J1002" t="str">
            <v>20数铣100</v>
          </cell>
          <cell r="K1002" t="str">
            <v>25五轴330</v>
          </cell>
          <cell r="L1002" t="str">
            <v>30钳工</v>
          </cell>
          <cell r="M1002" t="str">
            <v>35清洁</v>
          </cell>
          <cell r="N1002" t="str">
            <v>40成检</v>
          </cell>
        </row>
        <row r="1003">
          <cell r="B1003" t="str">
            <v>C533114600-005L001</v>
          </cell>
          <cell r="D1003" t="str">
            <v>A</v>
          </cell>
          <cell r="E1003" t="str">
            <v>准备工时</v>
          </cell>
          <cell r="G1003">
            <v>60</v>
          </cell>
          <cell r="H1003">
            <v>60</v>
          </cell>
          <cell r="I1003">
            <v>60</v>
          </cell>
          <cell r="J1003">
            <v>120</v>
          </cell>
          <cell r="K1003">
            <v>120</v>
          </cell>
        </row>
        <row r="1004">
          <cell r="B1004" t="str">
            <v>C533114600-005L001</v>
          </cell>
          <cell r="D1004" t="str">
            <v>A</v>
          </cell>
          <cell r="E1004" t="str">
            <v>装夹时间</v>
          </cell>
          <cell r="K1004">
            <v>60</v>
          </cell>
        </row>
        <row r="1005">
          <cell r="B1005" t="str">
            <v>C533114600-005L001</v>
          </cell>
          <cell r="D1005" t="str">
            <v>A</v>
          </cell>
          <cell r="E1005" t="str">
            <v>程序时间</v>
          </cell>
          <cell r="G1005">
            <v>50</v>
          </cell>
          <cell r="H1005">
            <v>70</v>
          </cell>
          <cell r="I1005">
            <v>170</v>
          </cell>
          <cell r="J1005">
            <v>150</v>
          </cell>
          <cell r="K1005">
            <v>660</v>
          </cell>
          <cell r="L1005">
            <v>150</v>
          </cell>
        </row>
        <row r="1006">
          <cell r="B1006" t="str">
            <v>图号</v>
          </cell>
        </row>
        <row r="1007">
          <cell r="B1007" t="str">
            <v>C533114600-005R001</v>
          </cell>
          <cell r="D1007" t="str">
            <v>A</v>
          </cell>
          <cell r="E1007" t="str">
            <v>工序内容</v>
          </cell>
          <cell r="F1007" t="str">
            <v>0领料</v>
          </cell>
          <cell r="G1007" t="str">
            <v>05数铣</v>
          </cell>
          <cell r="H1007" t="str">
            <v>10数铣35</v>
          </cell>
          <cell r="I1007" t="str">
            <v>15数铣100</v>
          </cell>
          <cell r="J1007" t="str">
            <v>20数铣100</v>
          </cell>
          <cell r="K1007" t="str">
            <v>25五轴330</v>
          </cell>
          <cell r="L1007" t="str">
            <v>30钳工</v>
          </cell>
          <cell r="M1007" t="str">
            <v>35清洁</v>
          </cell>
          <cell r="N1007" t="str">
            <v>40成检</v>
          </cell>
        </row>
        <row r="1008">
          <cell r="B1008" t="str">
            <v>C533114600-005R001</v>
          </cell>
          <cell r="D1008" t="str">
            <v>A</v>
          </cell>
          <cell r="E1008" t="str">
            <v>准备工时</v>
          </cell>
          <cell r="G1008">
            <v>60</v>
          </cell>
          <cell r="H1008">
            <v>60</v>
          </cell>
          <cell r="I1008">
            <v>60</v>
          </cell>
          <cell r="J1008">
            <v>120</v>
          </cell>
          <cell r="K1008">
            <v>120</v>
          </cell>
        </row>
        <row r="1009">
          <cell r="B1009" t="str">
            <v>C533114600-005R001</v>
          </cell>
          <cell r="D1009" t="str">
            <v>A</v>
          </cell>
          <cell r="E1009" t="str">
            <v>装夹时间</v>
          </cell>
          <cell r="K1009">
            <v>60</v>
          </cell>
        </row>
        <row r="1010">
          <cell r="B1010" t="str">
            <v>C533114600-005R001</v>
          </cell>
          <cell r="D1010" t="str">
            <v>A</v>
          </cell>
          <cell r="E1010" t="str">
            <v>程序时间</v>
          </cell>
          <cell r="G1010">
            <v>50</v>
          </cell>
          <cell r="H1010">
            <v>70</v>
          </cell>
          <cell r="I1010">
            <v>170</v>
          </cell>
          <cell r="J1010">
            <v>150</v>
          </cell>
          <cell r="K1010">
            <v>660</v>
          </cell>
          <cell r="L1010">
            <v>150</v>
          </cell>
        </row>
        <row r="1011">
          <cell r="B1011" t="str">
            <v>图号</v>
          </cell>
        </row>
        <row r="1012">
          <cell r="B1012" t="str">
            <v>CB5322400-017-061</v>
          </cell>
          <cell r="D1012" t="str">
            <v>E</v>
          </cell>
          <cell r="E1012" t="str">
            <v>工序内容</v>
          </cell>
          <cell r="F1012" t="str">
            <v>0领料</v>
          </cell>
          <cell r="G1012" t="str">
            <v>05/数铣</v>
          </cell>
          <cell r="H1012" t="str">
            <v>10/数铣65</v>
          </cell>
          <cell r="I1012" t="str">
            <v>15/数铣480</v>
          </cell>
          <cell r="J1012" t="str">
            <v>20/数铣5</v>
          </cell>
          <cell r="K1012" t="str">
            <v>25/数铣8</v>
          </cell>
          <cell r="L1012" t="str">
            <v>30/数铣10</v>
          </cell>
          <cell r="M1012" t="str">
            <v>35/数铣520</v>
          </cell>
          <cell r="N1012" t="str">
            <v>40/五轴65</v>
          </cell>
          <cell r="O1012" t="str">
            <v>45/五轴5</v>
          </cell>
          <cell r="P1012" t="str">
            <v>50/五轴65</v>
          </cell>
          <cell r="Q1012" t="str">
            <v>55/测量</v>
          </cell>
          <cell r="R1012" t="str">
            <v>60/钳工</v>
          </cell>
          <cell r="S1012" t="str">
            <v>65/清洁</v>
          </cell>
          <cell r="T1012" t="str">
            <v>70/成检</v>
          </cell>
        </row>
        <row r="1013">
          <cell r="B1013" t="str">
            <v>CB5322400-017-061</v>
          </cell>
          <cell r="D1013" t="str">
            <v>E</v>
          </cell>
          <cell r="E1013" t="str">
            <v>准备工时</v>
          </cell>
          <cell r="G1013">
            <v>120</v>
          </cell>
          <cell r="H1013">
            <v>120</v>
          </cell>
          <cell r="I1013">
            <v>120</v>
          </cell>
          <cell r="J1013">
            <v>120</v>
          </cell>
          <cell r="K1013">
            <v>120</v>
          </cell>
          <cell r="L1013">
            <v>120</v>
          </cell>
          <cell r="M1013">
            <v>120</v>
          </cell>
          <cell r="N1013">
            <v>150</v>
          </cell>
          <cell r="O1013">
            <v>150</v>
          </cell>
          <cell r="P1013">
            <v>150</v>
          </cell>
        </row>
        <row r="1014">
          <cell r="B1014" t="str">
            <v>CB5322400-017-061</v>
          </cell>
          <cell r="D1014" t="str">
            <v>E</v>
          </cell>
          <cell r="E1014" t="str">
            <v>装夹时间</v>
          </cell>
          <cell r="G1014">
            <v>60</v>
          </cell>
          <cell r="H1014">
            <v>60</v>
          </cell>
          <cell r="I1014">
            <v>60</v>
          </cell>
          <cell r="J1014">
            <v>60</v>
          </cell>
          <cell r="K1014">
            <v>60</v>
          </cell>
          <cell r="L1014">
            <v>60</v>
          </cell>
          <cell r="M1014">
            <v>60</v>
          </cell>
          <cell r="N1014">
            <v>75</v>
          </cell>
          <cell r="O1014">
            <v>75</v>
          </cell>
          <cell r="P1014">
            <v>75</v>
          </cell>
        </row>
        <row r="1015">
          <cell r="B1015" t="str">
            <v>CB5322400-017-061</v>
          </cell>
          <cell r="D1015" t="str">
            <v>E</v>
          </cell>
          <cell r="E1015" t="str">
            <v>程序时间</v>
          </cell>
          <cell r="G1015">
            <v>60</v>
          </cell>
          <cell r="H1015">
            <v>110</v>
          </cell>
          <cell r="I1015">
            <v>720</v>
          </cell>
          <cell r="J1015">
            <v>80</v>
          </cell>
          <cell r="K1015">
            <v>100</v>
          </cell>
          <cell r="L1015">
            <v>100</v>
          </cell>
          <cell r="M1015">
            <v>800</v>
          </cell>
          <cell r="N1015">
            <v>150</v>
          </cell>
          <cell r="O1015">
            <v>60</v>
          </cell>
          <cell r="P1015">
            <v>110</v>
          </cell>
          <cell r="R1015">
            <v>560</v>
          </cell>
        </row>
        <row r="1016">
          <cell r="B1016" t="str">
            <v>图号</v>
          </cell>
        </row>
        <row r="1017">
          <cell r="B1017" t="str">
            <v>CB5322400-016-061</v>
          </cell>
          <cell r="D1017" t="str">
            <v>E</v>
          </cell>
          <cell r="E1017" t="str">
            <v>工序内容</v>
          </cell>
          <cell r="F1017" t="str">
            <v>0领料</v>
          </cell>
          <cell r="G1017" t="str">
            <v>05/数铣</v>
          </cell>
          <cell r="H1017" t="str">
            <v>10/数铣65</v>
          </cell>
          <cell r="I1017" t="str">
            <v>15/数铣480</v>
          </cell>
          <cell r="J1017" t="str">
            <v>20/数铣5</v>
          </cell>
          <cell r="K1017" t="str">
            <v>25/数铣8</v>
          </cell>
          <cell r="L1017" t="str">
            <v>30/数铣10</v>
          </cell>
          <cell r="M1017" t="str">
            <v>35/数铣520</v>
          </cell>
          <cell r="N1017" t="str">
            <v>40/五轴65</v>
          </cell>
          <cell r="O1017" t="str">
            <v>45/五轴5</v>
          </cell>
          <cell r="P1017" t="str">
            <v>50/五轴65</v>
          </cell>
          <cell r="Q1017" t="str">
            <v>55/测量</v>
          </cell>
          <cell r="R1017" t="str">
            <v>60/钳工</v>
          </cell>
          <cell r="S1017" t="str">
            <v>65/清洁</v>
          </cell>
          <cell r="T1017" t="str">
            <v>70/成检</v>
          </cell>
        </row>
        <row r="1018">
          <cell r="B1018" t="str">
            <v>CB5322400-016-061</v>
          </cell>
          <cell r="D1018" t="str">
            <v>E</v>
          </cell>
          <cell r="E1018" t="str">
            <v>准备工时</v>
          </cell>
          <cell r="G1018">
            <v>120</v>
          </cell>
          <cell r="H1018">
            <v>120</v>
          </cell>
          <cell r="I1018">
            <v>120</v>
          </cell>
          <cell r="J1018">
            <v>120</v>
          </cell>
          <cell r="K1018">
            <v>120</v>
          </cell>
          <cell r="L1018">
            <v>120</v>
          </cell>
          <cell r="M1018">
            <v>120</v>
          </cell>
          <cell r="N1018">
            <v>150</v>
          </cell>
          <cell r="O1018">
            <v>150</v>
          </cell>
          <cell r="P1018">
            <v>150</v>
          </cell>
        </row>
        <row r="1019">
          <cell r="B1019" t="str">
            <v>CB5322400-016-061</v>
          </cell>
          <cell r="D1019" t="str">
            <v>E</v>
          </cell>
          <cell r="E1019" t="str">
            <v>装夹时间</v>
          </cell>
          <cell r="G1019">
            <v>60</v>
          </cell>
          <cell r="H1019">
            <v>60</v>
          </cell>
          <cell r="I1019">
            <v>60</v>
          </cell>
          <cell r="J1019">
            <v>60</v>
          </cell>
          <cell r="K1019">
            <v>60</v>
          </cell>
          <cell r="L1019">
            <v>60</v>
          </cell>
          <cell r="M1019">
            <v>60</v>
          </cell>
          <cell r="N1019">
            <v>75</v>
          </cell>
          <cell r="O1019">
            <v>75</v>
          </cell>
          <cell r="P1019">
            <v>75</v>
          </cell>
        </row>
        <row r="1020">
          <cell r="B1020" t="str">
            <v>CB5322400-016-061</v>
          </cell>
          <cell r="D1020" t="str">
            <v>E</v>
          </cell>
          <cell r="E1020" t="str">
            <v>程序时间</v>
          </cell>
          <cell r="G1020">
            <v>60</v>
          </cell>
          <cell r="H1020">
            <v>110</v>
          </cell>
          <cell r="I1020">
            <v>720</v>
          </cell>
          <cell r="J1020">
            <v>80</v>
          </cell>
          <cell r="K1020">
            <v>100</v>
          </cell>
          <cell r="L1020">
            <v>100</v>
          </cell>
          <cell r="M1020">
            <v>800</v>
          </cell>
          <cell r="N1020">
            <v>150</v>
          </cell>
          <cell r="O1020">
            <v>60</v>
          </cell>
          <cell r="P1020">
            <v>110</v>
          </cell>
          <cell r="R1020">
            <v>560</v>
          </cell>
        </row>
        <row r="1021">
          <cell r="B1021" t="str">
            <v>CB5322400-016-061</v>
          </cell>
          <cell r="D1021" t="str">
            <v>F</v>
          </cell>
          <cell r="E1021" t="str">
            <v>工序内容</v>
          </cell>
          <cell r="F1021" t="str">
            <v>0领料</v>
          </cell>
          <cell r="G1021" t="str">
            <v>05/数铣</v>
          </cell>
          <cell r="H1021" t="str">
            <v>10/数铣65</v>
          </cell>
          <cell r="I1021" t="str">
            <v>15/数铣480</v>
          </cell>
          <cell r="J1021" t="str">
            <v>20/数铣5</v>
          </cell>
          <cell r="K1021" t="str">
            <v>25/数铣8</v>
          </cell>
          <cell r="L1021" t="str">
            <v>30/数铣10</v>
          </cell>
          <cell r="M1021" t="str">
            <v>35/数铣520</v>
          </cell>
          <cell r="N1021" t="str">
            <v>40/五轴65</v>
          </cell>
          <cell r="O1021" t="str">
            <v>45/五轴5</v>
          </cell>
          <cell r="P1021" t="str">
            <v>50/五轴65</v>
          </cell>
          <cell r="Q1021" t="str">
            <v>55/测量</v>
          </cell>
          <cell r="R1021" t="str">
            <v>60/钳工</v>
          </cell>
          <cell r="S1021" t="str">
            <v>65/清洁</v>
          </cell>
          <cell r="T1021" t="str">
            <v>70/成检</v>
          </cell>
        </row>
        <row r="1022">
          <cell r="B1022" t="str">
            <v>CB5322400-016-061</v>
          </cell>
          <cell r="D1022" t="str">
            <v>F</v>
          </cell>
          <cell r="E1022" t="str">
            <v>准备工时</v>
          </cell>
          <cell r="G1022">
            <v>120</v>
          </cell>
          <cell r="H1022">
            <v>120</v>
          </cell>
          <cell r="I1022">
            <v>120</v>
          </cell>
          <cell r="J1022">
            <v>120</v>
          </cell>
          <cell r="K1022">
            <v>120</v>
          </cell>
          <cell r="L1022">
            <v>120</v>
          </cell>
          <cell r="M1022">
            <v>120</v>
          </cell>
          <cell r="N1022">
            <v>150</v>
          </cell>
          <cell r="O1022">
            <v>150</v>
          </cell>
          <cell r="P1022">
            <v>150</v>
          </cell>
        </row>
        <row r="1023">
          <cell r="B1023" t="str">
            <v>CB5322400-016-061</v>
          </cell>
          <cell r="D1023" t="str">
            <v>F</v>
          </cell>
          <cell r="E1023" t="str">
            <v>装夹时间</v>
          </cell>
          <cell r="G1023">
            <v>60</v>
          </cell>
          <cell r="H1023">
            <v>60</v>
          </cell>
          <cell r="I1023">
            <v>60</v>
          </cell>
          <cell r="J1023">
            <v>60</v>
          </cell>
          <cell r="K1023">
            <v>60</v>
          </cell>
          <cell r="L1023">
            <v>60</v>
          </cell>
          <cell r="M1023">
            <v>60</v>
          </cell>
          <cell r="N1023">
            <v>75</v>
          </cell>
          <cell r="O1023">
            <v>75</v>
          </cell>
          <cell r="P1023">
            <v>75</v>
          </cell>
        </row>
        <row r="1024">
          <cell r="B1024" t="str">
            <v>CB5322400-016-061</v>
          </cell>
          <cell r="D1024" t="str">
            <v>F</v>
          </cell>
          <cell r="E1024" t="str">
            <v>程序时间</v>
          </cell>
          <cell r="G1024">
            <v>60</v>
          </cell>
          <cell r="H1024">
            <v>110</v>
          </cell>
          <cell r="I1024">
            <v>720</v>
          </cell>
          <cell r="J1024">
            <v>80</v>
          </cell>
          <cell r="K1024">
            <v>100</v>
          </cell>
          <cell r="L1024">
            <v>100</v>
          </cell>
          <cell r="M1024">
            <v>800</v>
          </cell>
          <cell r="N1024">
            <v>150</v>
          </cell>
          <cell r="O1024">
            <v>60</v>
          </cell>
          <cell r="P1024">
            <v>110</v>
          </cell>
          <cell r="R1024">
            <v>560</v>
          </cell>
        </row>
        <row r="1025">
          <cell r="B1025" t="str">
            <v>图号</v>
          </cell>
        </row>
        <row r="1026">
          <cell r="B1026" t="str">
            <v>CB2294170-003-001</v>
          </cell>
          <cell r="D1026" t="str">
            <v>D</v>
          </cell>
          <cell r="E1026" t="str">
            <v>工序内容</v>
          </cell>
          <cell r="F1026" t="str">
            <v>0/领料</v>
          </cell>
          <cell r="G1026" t="str">
            <v>5/数铣</v>
          </cell>
          <cell r="H1026" t="str">
            <v>10/数铣42</v>
          </cell>
          <cell r="I1026" t="str">
            <v>15/数铣89</v>
          </cell>
          <cell r="J1026" t="str">
            <v>20/数铣102</v>
          </cell>
          <cell r="K1026" t="str">
            <v>25/钳工</v>
          </cell>
          <cell r="L1026" t="str">
            <v>30/复验</v>
          </cell>
          <cell r="M1026" t="str">
            <v>35/分光</v>
          </cell>
          <cell r="N1026" t="str">
            <v>40/热处理</v>
          </cell>
          <cell r="O1026" t="str">
            <v>45/数铣70</v>
          </cell>
          <cell r="P1026" t="str">
            <v>50/钳工</v>
          </cell>
          <cell r="Q1026" t="str">
            <v>55/清洁</v>
          </cell>
          <cell r="R1026" t="str">
            <v>60/成检</v>
          </cell>
        </row>
        <row r="1027">
          <cell r="B1027" t="str">
            <v>CB2294170-003-001</v>
          </cell>
          <cell r="D1027" t="str">
            <v>D</v>
          </cell>
          <cell r="E1027" t="str">
            <v>准备工时</v>
          </cell>
          <cell r="G1027">
            <v>60</v>
          </cell>
          <cell r="H1027">
            <v>90</v>
          </cell>
          <cell r="I1027">
            <v>120</v>
          </cell>
          <cell r="J1027">
            <v>120</v>
          </cell>
          <cell r="O1027">
            <v>90</v>
          </cell>
        </row>
        <row r="1028">
          <cell r="B1028" t="str">
            <v>CB2294170-003-001</v>
          </cell>
          <cell r="D1028" t="str">
            <v>D</v>
          </cell>
          <cell r="E1028" t="str">
            <v>装夹时间</v>
          </cell>
        </row>
        <row r="1029">
          <cell r="B1029" t="str">
            <v>CB2294170-003-001</v>
          </cell>
          <cell r="D1029" t="str">
            <v>D</v>
          </cell>
          <cell r="E1029" t="str">
            <v>程序时间</v>
          </cell>
          <cell r="G1029">
            <v>60</v>
          </cell>
          <cell r="H1029">
            <v>60</v>
          </cell>
          <cell r="I1029">
            <v>140</v>
          </cell>
          <cell r="J1029">
            <v>140</v>
          </cell>
          <cell r="K1029">
            <v>30</v>
          </cell>
          <cell r="O1029">
            <v>80</v>
          </cell>
          <cell r="P1029">
            <v>50</v>
          </cell>
        </row>
        <row r="1030">
          <cell r="B1030" t="str">
            <v>图号</v>
          </cell>
        </row>
        <row r="1031">
          <cell r="B1031" t="str">
            <v>CB5327120-010L/R015</v>
          </cell>
          <cell r="D1031" t="str">
            <v>E</v>
          </cell>
          <cell r="E1031" t="str">
            <v>工序内容</v>
          </cell>
          <cell r="F1031" t="str">
            <v>0/领料</v>
          </cell>
          <cell r="G1031" t="str">
            <v>5/数铣130</v>
          </cell>
          <cell r="H1031" t="str">
            <v>10/数铣136</v>
          </cell>
          <cell r="I1031" t="str">
            <v>15/数铣64</v>
          </cell>
          <cell r="J1031" t="str">
            <v>20/数铣230</v>
          </cell>
          <cell r="K1031" t="str">
            <v>25/数铣750</v>
          </cell>
          <cell r="L1031" t="str">
            <v>30/数铣590</v>
          </cell>
          <cell r="M1031" t="str">
            <v>35/五轴45</v>
          </cell>
          <cell r="N1031" t="str">
            <v>40/数铣240</v>
          </cell>
          <cell r="O1031" t="str">
            <v>45/数铣65</v>
          </cell>
          <cell r="P1031" t="str">
            <v>50/测量</v>
          </cell>
          <cell r="Q1031" t="str">
            <v>55/钳工</v>
          </cell>
          <cell r="R1031" t="str">
            <v>60/清洁</v>
          </cell>
          <cell r="S1031" t="str">
            <v>65/试块</v>
          </cell>
          <cell r="T1031" t="str">
            <v>70/测量</v>
          </cell>
          <cell r="U1031" t="str">
            <v>75/成检</v>
          </cell>
        </row>
        <row r="1032">
          <cell r="B1032" t="str">
            <v>CB5327120-010L/R015</v>
          </cell>
          <cell r="D1032" t="str">
            <v>E</v>
          </cell>
          <cell r="E1032" t="str">
            <v>准备工时</v>
          </cell>
          <cell r="G1032">
            <v>60</v>
          </cell>
          <cell r="H1032">
            <v>60</v>
          </cell>
          <cell r="I1032">
            <v>60</v>
          </cell>
          <cell r="J1032">
            <v>120</v>
          </cell>
          <cell r="K1032">
            <v>180</v>
          </cell>
          <cell r="L1032">
            <v>120</v>
          </cell>
          <cell r="M1032">
            <v>210</v>
          </cell>
          <cell r="N1032">
            <v>120</v>
          </cell>
          <cell r="O1032">
            <v>120</v>
          </cell>
        </row>
        <row r="1033">
          <cell r="B1033" t="str">
            <v>CB5327120-010L/R015</v>
          </cell>
          <cell r="D1033" t="str">
            <v>E</v>
          </cell>
          <cell r="E1033" t="str">
            <v>装夹时间</v>
          </cell>
          <cell r="G1033">
            <v>60</v>
          </cell>
          <cell r="H1033">
            <v>60</v>
          </cell>
          <cell r="I1033">
            <v>60</v>
          </cell>
          <cell r="J1033">
            <v>60</v>
          </cell>
          <cell r="K1033">
            <v>60</v>
          </cell>
          <cell r="L1033">
            <v>60</v>
          </cell>
          <cell r="M1033">
            <v>75</v>
          </cell>
          <cell r="N1033">
            <v>60</v>
          </cell>
          <cell r="O1033">
            <v>60</v>
          </cell>
        </row>
        <row r="1034">
          <cell r="B1034" t="str">
            <v>CB5327120-010L/R015</v>
          </cell>
          <cell r="D1034" t="str">
            <v>E</v>
          </cell>
          <cell r="E1034" t="str">
            <v>程序时间</v>
          </cell>
          <cell r="G1034">
            <v>180</v>
          </cell>
          <cell r="H1034">
            <v>180</v>
          </cell>
          <cell r="I1034">
            <v>100</v>
          </cell>
          <cell r="J1034">
            <v>300</v>
          </cell>
          <cell r="K1034">
            <v>900</v>
          </cell>
          <cell r="L1034">
            <v>700</v>
          </cell>
          <cell r="M1034">
            <v>90</v>
          </cell>
          <cell r="N1034">
            <v>330</v>
          </cell>
          <cell r="O1034">
            <v>90</v>
          </cell>
          <cell r="Q1034">
            <v>480</v>
          </cell>
        </row>
        <row r="1035">
          <cell r="B1035" t="str">
            <v>图号</v>
          </cell>
        </row>
        <row r="1036">
          <cell r="B1036" t="str">
            <v>CB5314107-005-001</v>
          </cell>
          <cell r="D1036" t="str">
            <v>C</v>
          </cell>
          <cell r="E1036" t="str">
            <v>工序内容</v>
          </cell>
          <cell r="F1036" t="str">
            <v>0/领料</v>
          </cell>
          <cell r="G1036" t="str">
            <v>05/钳工</v>
          </cell>
          <cell r="H1036" t="str">
            <v>10/数铣</v>
          </cell>
          <cell r="I1036" t="str">
            <v>15/数铣</v>
          </cell>
          <cell r="J1036" t="str">
            <v>20/数铣170</v>
          </cell>
          <cell r="K1036" t="str">
            <v>25/时效</v>
          </cell>
          <cell r="L1036" t="str">
            <v>30/数铣</v>
          </cell>
          <cell r="M1036" t="str">
            <v>35/数铣</v>
          </cell>
          <cell r="N1036" t="str">
            <v>40/测量</v>
          </cell>
          <cell r="O1036" t="str">
            <v>45/钳工</v>
          </cell>
          <cell r="P1036" t="str">
            <v>50/清洁</v>
          </cell>
          <cell r="Q1036" t="str">
            <v>55/成检</v>
          </cell>
        </row>
        <row r="1037">
          <cell r="B1037" t="str">
            <v>CB5314107-005-001</v>
          </cell>
          <cell r="D1037" t="str">
            <v>C</v>
          </cell>
          <cell r="E1037" t="str">
            <v>准备工时</v>
          </cell>
          <cell r="H1037">
            <v>120</v>
          </cell>
          <cell r="I1037">
            <v>120</v>
          </cell>
          <cell r="J1037">
            <v>120</v>
          </cell>
          <cell r="L1037">
            <v>120</v>
          </cell>
          <cell r="M1037">
            <v>120</v>
          </cell>
        </row>
        <row r="1038">
          <cell r="B1038" t="str">
            <v>CB5314107-005-001</v>
          </cell>
          <cell r="D1038" t="str">
            <v>C</v>
          </cell>
          <cell r="E1038" t="str">
            <v>装夹时间</v>
          </cell>
        </row>
        <row r="1039">
          <cell r="B1039" t="str">
            <v>CB5314107-005-001</v>
          </cell>
          <cell r="D1039" t="str">
            <v>C</v>
          </cell>
          <cell r="E1039" t="str">
            <v>程序时间</v>
          </cell>
          <cell r="G1039">
            <v>40</v>
          </cell>
          <cell r="H1039">
            <v>120</v>
          </cell>
          <cell r="I1039">
            <v>50</v>
          </cell>
          <cell r="J1039">
            <v>240</v>
          </cell>
          <cell r="L1039">
            <v>240</v>
          </cell>
          <cell r="M1039">
            <v>370</v>
          </cell>
          <cell r="O1039">
            <v>180</v>
          </cell>
        </row>
        <row r="1040">
          <cell r="B1040" t="str">
            <v>DD-J10B-02021-52/1-Y/Z</v>
          </cell>
          <cell r="D1040" t="str">
            <v>E</v>
          </cell>
          <cell r="E1040" t="str">
            <v>工序内容</v>
          </cell>
          <cell r="F1040" t="str">
            <v>0/领料</v>
          </cell>
          <cell r="G1040" t="str">
            <v>5/数车</v>
          </cell>
          <cell r="H1040" t="str">
            <v>10/数车</v>
          </cell>
          <cell r="I1040" t="str">
            <v>15/钳工</v>
          </cell>
          <cell r="J1040" t="str">
            <v>20/超声波</v>
          </cell>
          <cell r="K1040" t="str">
            <v>25/分光</v>
          </cell>
          <cell r="L1040" t="str">
            <v>30/数车</v>
          </cell>
          <cell r="M1040" t="str">
            <v>35/数车</v>
          </cell>
          <cell r="N1040" t="str">
            <v>40/数铣</v>
          </cell>
          <cell r="O1040" t="str">
            <v>45/数铣</v>
          </cell>
          <cell r="P1040" t="str">
            <v>50/线切割</v>
          </cell>
          <cell r="Q1040" t="str">
            <v>55/钳工</v>
          </cell>
          <cell r="R1040" t="str">
            <v>60/热处理</v>
          </cell>
          <cell r="S1040" t="str">
            <v>65/数车</v>
          </cell>
          <cell r="T1040" t="str">
            <v>70/数车</v>
          </cell>
          <cell r="U1040" t="str">
            <v>75/四轴</v>
          </cell>
          <cell r="V1040" t="str">
            <v>80/钳工</v>
          </cell>
        </row>
        <row r="1041">
          <cell r="B1041" t="str">
            <v>DD-J10B-02021-52/1-Y/Z</v>
          </cell>
          <cell r="D1041" t="str">
            <v>E</v>
          </cell>
          <cell r="E1041" t="str">
            <v>准备工时</v>
          </cell>
          <cell r="G1041">
            <v>60</v>
          </cell>
          <cell r="H1041">
            <v>60</v>
          </cell>
          <cell r="L1041" t="str">
            <v>180</v>
          </cell>
          <cell r="M1041" t="str">
            <v>120</v>
          </cell>
          <cell r="N1041" t="str">
            <v>60</v>
          </cell>
          <cell r="O1041" t="str">
            <v>60</v>
          </cell>
          <cell r="S1041">
            <v>90</v>
          </cell>
          <cell r="T1041">
            <v>90</v>
          </cell>
          <cell r="U1041">
            <v>90</v>
          </cell>
        </row>
        <row r="1042">
          <cell r="B1042" t="str">
            <v>DD-J10B-02021-52/1-Y/Z</v>
          </cell>
          <cell r="D1042" t="str">
            <v>E</v>
          </cell>
          <cell r="E1042" t="str">
            <v>程序时间</v>
          </cell>
          <cell r="G1042">
            <v>15</v>
          </cell>
          <cell r="H1042">
            <v>8</v>
          </cell>
          <cell r="I1042">
            <v>10</v>
          </cell>
          <cell r="L1042" t="str">
            <v>40</v>
          </cell>
          <cell r="M1042" t="str">
            <v>30</v>
          </cell>
          <cell r="N1042">
            <v>55</v>
          </cell>
          <cell r="O1042">
            <v>15</v>
          </cell>
          <cell r="P1042">
            <v>20</v>
          </cell>
          <cell r="Q1042">
            <v>40</v>
          </cell>
          <cell r="S1042">
            <v>24</v>
          </cell>
          <cell r="T1042">
            <v>40</v>
          </cell>
          <cell r="U1042">
            <v>60</v>
          </cell>
          <cell r="V1042">
            <v>40</v>
          </cell>
        </row>
        <row r="1043">
          <cell r="B1043" t="str">
            <v>DD-J10B-02021-52/1-Z</v>
          </cell>
          <cell r="D1043" t="str">
            <v>E</v>
          </cell>
          <cell r="E1043" t="str">
            <v>工序内容</v>
          </cell>
          <cell r="F1043" t="str">
            <v>0/领料</v>
          </cell>
          <cell r="G1043" t="str">
            <v>5/数车</v>
          </cell>
          <cell r="H1043" t="str">
            <v>10/数车</v>
          </cell>
          <cell r="I1043" t="str">
            <v>15/钳工</v>
          </cell>
          <cell r="J1043" t="str">
            <v>20/超声波</v>
          </cell>
          <cell r="K1043" t="str">
            <v>25/分光</v>
          </cell>
          <cell r="L1043" t="str">
            <v>30/数车</v>
          </cell>
          <cell r="M1043" t="str">
            <v>35/数车</v>
          </cell>
          <cell r="N1043" t="str">
            <v>40/数铣</v>
          </cell>
          <cell r="O1043" t="str">
            <v>45/数铣</v>
          </cell>
          <cell r="P1043" t="str">
            <v>50/线切割</v>
          </cell>
          <cell r="Q1043" t="str">
            <v>55/钳工</v>
          </cell>
          <cell r="R1043" t="str">
            <v>60/热处理</v>
          </cell>
          <cell r="S1043" t="str">
            <v>65/数车</v>
          </cell>
          <cell r="T1043" t="str">
            <v>70/数车</v>
          </cell>
          <cell r="U1043" t="str">
            <v>75/四轴</v>
          </cell>
          <cell r="V1043" t="str">
            <v>80/钳工</v>
          </cell>
        </row>
        <row r="1044">
          <cell r="B1044" t="str">
            <v>DD-J10B-02021-52/1-Z</v>
          </cell>
          <cell r="D1044" t="str">
            <v>E</v>
          </cell>
          <cell r="E1044" t="str">
            <v>准备工时</v>
          </cell>
          <cell r="G1044">
            <v>60</v>
          </cell>
          <cell r="H1044">
            <v>60</v>
          </cell>
          <cell r="L1044" t="str">
            <v>180</v>
          </cell>
          <cell r="M1044" t="str">
            <v>120</v>
          </cell>
          <cell r="N1044" t="str">
            <v>60</v>
          </cell>
          <cell r="O1044" t="str">
            <v>60</v>
          </cell>
          <cell r="S1044">
            <v>90</v>
          </cell>
          <cell r="T1044">
            <v>90</v>
          </cell>
          <cell r="U1044">
            <v>90</v>
          </cell>
        </row>
        <row r="1045">
          <cell r="B1045" t="str">
            <v>DD-J10B-02021-52/1-Z</v>
          </cell>
          <cell r="D1045" t="str">
            <v>E</v>
          </cell>
          <cell r="E1045" t="str">
            <v>程序时间</v>
          </cell>
          <cell r="G1045">
            <v>15</v>
          </cell>
          <cell r="H1045">
            <v>8</v>
          </cell>
          <cell r="I1045">
            <v>10</v>
          </cell>
          <cell r="L1045" t="str">
            <v>40</v>
          </cell>
          <cell r="M1045" t="str">
            <v>30</v>
          </cell>
          <cell r="N1045">
            <v>55</v>
          </cell>
          <cell r="O1045">
            <v>15</v>
          </cell>
          <cell r="P1045">
            <v>20</v>
          </cell>
          <cell r="Q1045">
            <v>40</v>
          </cell>
          <cell r="S1045">
            <v>24</v>
          </cell>
          <cell r="T1045">
            <v>40</v>
          </cell>
          <cell r="U1045">
            <v>60</v>
          </cell>
          <cell r="V1045">
            <v>40</v>
          </cell>
        </row>
        <row r="1046">
          <cell r="B1046" t="str">
            <v>DD-J10B-02021-52/1-Y</v>
          </cell>
          <cell r="D1046" t="str">
            <v>E</v>
          </cell>
          <cell r="E1046" t="str">
            <v>工序内容</v>
          </cell>
          <cell r="F1046" t="str">
            <v>0/领料</v>
          </cell>
          <cell r="G1046" t="str">
            <v>5/数车</v>
          </cell>
          <cell r="H1046" t="str">
            <v>10/数车</v>
          </cell>
          <cell r="I1046" t="str">
            <v>15/钳工</v>
          </cell>
          <cell r="J1046" t="str">
            <v>20/超声波</v>
          </cell>
          <cell r="K1046" t="str">
            <v>25/分光</v>
          </cell>
          <cell r="L1046" t="str">
            <v>30/数车</v>
          </cell>
          <cell r="M1046" t="str">
            <v>35/数车</v>
          </cell>
          <cell r="N1046" t="str">
            <v>40/数铣</v>
          </cell>
          <cell r="O1046" t="str">
            <v>45/数铣</v>
          </cell>
          <cell r="P1046" t="str">
            <v>50/线切割</v>
          </cell>
          <cell r="Q1046" t="str">
            <v>55/钳工</v>
          </cell>
          <cell r="R1046" t="str">
            <v>60/热处理</v>
          </cell>
          <cell r="S1046" t="str">
            <v>65/数车</v>
          </cell>
          <cell r="T1046" t="str">
            <v>70/数车</v>
          </cell>
          <cell r="U1046" t="str">
            <v>75/四轴</v>
          </cell>
          <cell r="V1046" t="str">
            <v>80/钳工</v>
          </cell>
        </row>
        <row r="1047">
          <cell r="B1047" t="str">
            <v>DD-J10B-02021-52/1-Y</v>
          </cell>
          <cell r="D1047" t="str">
            <v>E</v>
          </cell>
          <cell r="E1047" t="str">
            <v>准备工时</v>
          </cell>
          <cell r="G1047">
            <v>60</v>
          </cell>
          <cell r="H1047">
            <v>60</v>
          </cell>
          <cell r="L1047" t="str">
            <v>180</v>
          </cell>
          <cell r="M1047" t="str">
            <v>120</v>
          </cell>
          <cell r="N1047" t="str">
            <v>60</v>
          </cell>
          <cell r="O1047" t="str">
            <v>60</v>
          </cell>
          <cell r="S1047">
            <v>90</v>
          </cell>
          <cell r="T1047">
            <v>90</v>
          </cell>
          <cell r="U1047">
            <v>90</v>
          </cell>
        </row>
        <row r="1048">
          <cell r="B1048" t="str">
            <v>DD-J10B-02021-52/1-Y</v>
          </cell>
          <cell r="D1048" t="str">
            <v>E</v>
          </cell>
          <cell r="E1048" t="str">
            <v>程序时间</v>
          </cell>
          <cell r="G1048">
            <v>15</v>
          </cell>
          <cell r="H1048">
            <v>8</v>
          </cell>
          <cell r="I1048">
            <v>10</v>
          </cell>
          <cell r="L1048" t="str">
            <v>40</v>
          </cell>
          <cell r="M1048" t="str">
            <v>30</v>
          </cell>
          <cell r="N1048">
            <v>55</v>
          </cell>
          <cell r="O1048">
            <v>15</v>
          </cell>
          <cell r="P1048">
            <v>20</v>
          </cell>
          <cell r="Q1048">
            <v>40</v>
          </cell>
          <cell r="S1048">
            <v>24</v>
          </cell>
          <cell r="T1048">
            <v>40</v>
          </cell>
          <cell r="U1048">
            <v>60</v>
          </cell>
          <cell r="V1048">
            <v>40</v>
          </cell>
        </row>
        <row r="1049">
          <cell r="B1049" t="str">
            <v>DD-J10B-02021-52/2-Y/Z</v>
          </cell>
          <cell r="D1049" t="str">
            <v>E</v>
          </cell>
          <cell r="E1049" t="str">
            <v>工序内容</v>
          </cell>
          <cell r="F1049" t="str">
            <v>0/领料</v>
          </cell>
          <cell r="G1049" t="str">
            <v>5/数车</v>
          </cell>
          <cell r="H1049" t="str">
            <v>10/数车</v>
          </cell>
          <cell r="I1049" t="str">
            <v>15/钳工</v>
          </cell>
          <cell r="J1049" t="str">
            <v>20/超声波</v>
          </cell>
          <cell r="K1049" t="str">
            <v>25/分光</v>
          </cell>
          <cell r="L1049" t="str">
            <v>30/数车</v>
          </cell>
          <cell r="M1049" t="str">
            <v>35/数车</v>
          </cell>
          <cell r="N1049" t="str">
            <v>40/数铣</v>
          </cell>
          <cell r="O1049" t="str">
            <v>45/数铣</v>
          </cell>
          <cell r="P1049" t="str">
            <v>50/线切割</v>
          </cell>
          <cell r="Q1049" t="str">
            <v>55/钳工</v>
          </cell>
          <cell r="R1049" t="str">
            <v>60/热处理</v>
          </cell>
          <cell r="S1049" t="str">
            <v>65/数车</v>
          </cell>
          <cell r="T1049" t="str">
            <v>70/数车</v>
          </cell>
          <cell r="U1049" t="str">
            <v>75/四轴</v>
          </cell>
          <cell r="V1049" t="str">
            <v>80/钳工</v>
          </cell>
        </row>
        <row r="1050">
          <cell r="B1050" t="str">
            <v>DD-J10B-02021-52/2-Y/Z</v>
          </cell>
          <cell r="D1050" t="str">
            <v>E</v>
          </cell>
          <cell r="E1050" t="str">
            <v>准备工时</v>
          </cell>
          <cell r="G1050">
            <v>60</v>
          </cell>
          <cell r="H1050">
            <v>60</v>
          </cell>
          <cell r="L1050" t="str">
            <v>180</v>
          </cell>
          <cell r="M1050" t="str">
            <v>120</v>
          </cell>
          <cell r="N1050" t="str">
            <v>60</v>
          </cell>
          <cell r="O1050" t="str">
            <v>60</v>
          </cell>
          <cell r="P1050">
            <v>60</v>
          </cell>
          <cell r="S1050">
            <v>90</v>
          </cell>
          <cell r="T1050">
            <v>90</v>
          </cell>
          <cell r="U1050">
            <v>90</v>
          </cell>
        </row>
        <row r="1051">
          <cell r="B1051" t="str">
            <v>DD-J10B-02021-52/2-Y/Z</v>
          </cell>
          <cell r="D1051" t="str">
            <v>E</v>
          </cell>
          <cell r="E1051" t="str">
            <v>程序时间</v>
          </cell>
          <cell r="G1051">
            <v>15</v>
          </cell>
          <cell r="H1051">
            <v>8</v>
          </cell>
          <cell r="I1051">
            <v>10</v>
          </cell>
          <cell r="L1051" t="str">
            <v>40</v>
          </cell>
          <cell r="M1051" t="str">
            <v>30</v>
          </cell>
          <cell r="N1051">
            <v>55</v>
          </cell>
          <cell r="O1051">
            <v>15</v>
          </cell>
          <cell r="P1051">
            <v>20</v>
          </cell>
          <cell r="Q1051">
            <v>40</v>
          </cell>
          <cell r="S1051">
            <v>24</v>
          </cell>
          <cell r="T1051">
            <v>40</v>
          </cell>
          <cell r="U1051">
            <v>60</v>
          </cell>
          <cell r="V1051">
            <v>40</v>
          </cell>
        </row>
        <row r="1052">
          <cell r="B1052" t="str">
            <v>DD-J10B-02021-52/2-Z</v>
          </cell>
          <cell r="D1052" t="str">
            <v>E</v>
          </cell>
          <cell r="E1052" t="str">
            <v>工序内容</v>
          </cell>
          <cell r="F1052" t="str">
            <v>0/领料</v>
          </cell>
          <cell r="G1052" t="str">
            <v>5/数车</v>
          </cell>
          <cell r="H1052" t="str">
            <v>10/数车</v>
          </cell>
          <cell r="I1052" t="str">
            <v>15/钳工</v>
          </cell>
          <cell r="J1052" t="str">
            <v>20/超声波</v>
          </cell>
          <cell r="K1052" t="str">
            <v>25/分光</v>
          </cell>
          <cell r="L1052" t="str">
            <v>30/数车</v>
          </cell>
          <cell r="M1052" t="str">
            <v>35/数车</v>
          </cell>
          <cell r="N1052" t="str">
            <v>40/数铣</v>
          </cell>
          <cell r="O1052" t="str">
            <v>45/数铣</v>
          </cell>
          <cell r="P1052" t="str">
            <v>50/线切割</v>
          </cell>
          <cell r="Q1052" t="str">
            <v>55/钳工</v>
          </cell>
          <cell r="R1052" t="str">
            <v>60/热处理</v>
          </cell>
          <cell r="S1052" t="str">
            <v>65/数车</v>
          </cell>
          <cell r="T1052" t="str">
            <v>70/数车</v>
          </cell>
          <cell r="U1052" t="str">
            <v>75/四轴</v>
          </cell>
          <cell r="V1052" t="str">
            <v>80/钳工</v>
          </cell>
        </row>
        <row r="1053">
          <cell r="B1053" t="str">
            <v>DD-J10B-02021-52/2-Z</v>
          </cell>
          <cell r="D1053" t="str">
            <v>E</v>
          </cell>
          <cell r="E1053" t="str">
            <v>准备工时</v>
          </cell>
          <cell r="G1053">
            <v>60</v>
          </cell>
          <cell r="H1053">
            <v>60</v>
          </cell>
          <cell r="L1053" t="str">
            <v>180</v>
          </cell>
          <cell r="M1053" t="str">
            <v>120</v>
          </cell>
          <cell r="N1053" t="str">
            <v>60</v>
          </cell>
          <cell r="O1053" t="str">
            <v>60</v>
          </cell>
          <cell r="P1053">
            <v>60</v>
          </cell>
          <cell r="S1053">
            <v>90</v>
          </cell>
          <cell r="T1053">
            <v>90</v>
          </cell>
          <cell r="U1053">
            <v>90</v>
          </cell>
        </row>
        <row r="1054">
          <cell r="B1054" t="str">
            <v>DD-J10B-02021-52/2-Z</v>
          </cell>
          <cell r="D1054" t="str">
            <v>E</v>
          </cell>
          <cell r="E1054" t="str">
            <v>程序时间</v>
          </cell>
          <cell r="G1054">
            <v>15</v>
          </cell>
          <cell r="H1054">
            <v>8</v>
          </cell>
          <cell r="I1054">
            <v>10</v>
          </cell>
          <cell r="L1054" t="str">
            <v>40</v>
          </cell>
          <cell r="M1054" t="str">
            <v>30</v>
          </cell>
          <cell r="N1054">
            <v>55</v>
          </cell>
          <cell r="O1054">
            <v>15</v>
          </cell>
          <cell r="P1054">
            <v>20</v>
          </cell>
          <cell r="Q1054">
            <v>40</v>
          </cell>
          <cell r="S1054">
            <v>24</v>
          </cell>
          <cell r="T1054">
            <v>40</v>
          </cell>
          <cell r="U1054">
            <v>60</v>
          </cell>
          <cell r="V1054">
            <v>40</v>
          </cell>
        </row>
        <row r="1055">
          <cell r="B1055" t="str">
            <v>DD-J10B-02021-52/2-Y</v>
          </cell>
          <cell r="D1055" t="str">
            <v>E</v>
          </cell>
          <cell r="E1055" t="str">
            <v>工序内容</v>
          </cell>
          <cell r="F1055" t="str">
            <v>0/领料</v>
          </cell>
          <cell r="G1055" t="str">
            <v>5/数车</v>
          </cell>
          <cell r="H1055" t="str">
            <v>10/数车</v>
          </cell>
          <cell r="I1055" t="str">
            <v>15/钳工</v>
          </cell>
          <cell r="J1055" t="str">
            <v>20/超声波</v>
          </cell>
          <cell r="K1055" t="str">
            <v>25/分光</v>
          </cell>
          <cell r="L1055" t="str">
            <v>30/数车</v>
          </cell>
          <cell r="M1055" t="str">
            <v>35/数车</v>
          </cell>
          <cell r="N1055" t="str">
            <v>40/数铣</v>
          </cell>
          <cell r="O1055" t="str">
            <v>45/数铣</v>
          </cell>
          <cell r="P1055" t="str">
            <v>50/线切割</v>
          </cell>
          <cell r="Q1055" t="str">
            <v>55/钳工</v>
          </cell>
          <cell r="R1055" t="str">
            <v>60/热处理</v>
          </cell>
          <cell r="S1055" t="str">
            <v>65/数车</v>
          </cell>
          <cell r="T1055" t="str">
            <v>70/数车</v>
          </cell>
          <cell r="U1055" t="str">
            <v>75/四轴</v>
          </cell>
          <cell r="V1055" t="str">
            <v>80/钳工</v>
          </cell>
        </row>
        <row r="1056">
          <cell r="B1056" t="str">
            <v>DD-J10B-02021-52/2-Y</v>
          </cell>
          <cell r="D1056" t="str">
            <v>E</v>
          </cell>
          <cell r="E1056" t="str">
            <v>准备工时</v>
          </cell>
          <cell r="G1056">
            <v>60</v>
          </cell>
          <cell r="H1056">
            <v>60</v>
          </cell>
          <cell r="L1056" t="str">
            <v>180</v>
          </cell>
          <cell r="M1056" t="str">
            <v>120</v>
          </cell>
          <cell r="N1056" t="str">
            <v>60</v>
          </cell>
          <cell r="O1056" t="str">
            <v>60</v>
          </cell>
          <cell r="P1056">
            <v>60</v>
          </cell>
          <cell r="S1056">
            <v>90</v>
          </cell>
          <cell r="T1056">
            <v>90</v>
          </cell>
          <cell r="U1056">
            <v>90</v>
          </cell>
        </row>
        <row r="1057">
          <cell r="B1057" t="str">
            <v>DD-J10B-02021-52/2-Y</v>
          </cell>
          <cell r="D1057" t="str">
            <v>E</v>
          </cell>
          <cell r="E1057" t="str">
            <v>程序时间</v>
          </cell>
          <cell r="G1057">
            <v>15</v>
          </cell>
          <cell r="H1057">
            <v>8</v>
          </cell>
          <cell r="I1057">
            <v>10</v>
          </cell>
          <cell r="L1057" t="str">
            <v>40</v>
          </cell>
          <cell r="M1057" t="str">
            <v>30</v>
          </cell>
          <cell r="N1057">
            <v>55</v>
          </cell>
          <cell r="O1057">
            <v>15</v>
          </cell>
          <cell r="P1057">
            <v>20</v>
          </cell>
          <cell r="Q1057">
            <v>40</v>
          </cell>
          <cell r="S1057">
            <v>24</v>
          </cell>
          <cell r="T1057">
            <v>40</v>
          </cell>
          <cell r="U1057">
            <v>60</v>
          </cell>
          <cell r="V1057">
            <v>40</v>
          </cell>
        </row>
        <row r="1058">
          <cell r="B1058" t="str">
            <v>图号</v>
          </cell>
        </row>
        <row r="1059">
          <cell r="B1059" t="str">
            <v>BC5333100-006L001</v>
          </cell>
          <cell r="D1059" t="str">
            <v>C</v>
          </cell>
          <cell r="E1059" t="str">
            <v>工序内容</v>
          </cell>
          <cell r="F1059" t="str">
            <v>0/领料</v>
          </cell>
          <cell r="G1059" t="str">
            <v>05/检验</v>
          </cell>
          <cell r="H1059" t="str">
            <v>10/数铣</v>
          </cell>
          <cell r="I1059" t="str">
            <v>15/数铣</v>
          </cell>
          <cell r="J1059" t="str">
            <v>20/数铣</v>
          </cell>
          <cell r="K1059" t="str">
            <v>25/数铣40</v>
          </cell>
          <cell r="L1059" t="str">
            <v>30/数铣80</v>
          </cell>
          <cell r="M1059" t="str">
            <v>35/数铣320</v>
          </cell>
          <cell r="N1059" t="str">
            <v>40/五轴180</v>
          </cell>
          <cell r="O1059" t="str">
            <v>45/数铣200</v>
          </cell>
          <cell r="P1059" t="str">
            <v>50/数铣125</v>
          </cell>
          <cell r="Q1059" t="str">
            <v>55/测量</v>
          </cell>
          <cell r="R1059" t="str">
            <v>60/钳工</v>
          </cell>
          <cell r="S1059" t="str">
            <v>65/清洁</v>
          </cell>
          <cell r="T1059" t="str">
            <v>70/成检</v>
          </cell>
        </row>
        <row r="1060">
          <cell r="B1060" t="str">
            <v>BC5333100-006L001</v>
          </cell>
          <cell r="D1060" t="str">
            <v>C</v>
          </cell>
          <cell r="E1060" t="str">
            <v>准备工时</v>
          </cell>
          <cell r="H1060" t="str">
            <v>60</v>
          </cell>
          <cell r="I1060">
            <v>60</v>
          </cell>
          <cell r="J1060">
            <v>60</v>
          </cell>
          <cell r="K1060">
            <v>60</v>
          </cell>
          <cell r="L1060">
            <v>60</v>
          </cell>
          <cell r="M1060">
            <v>60</v>
          </cell>
          <cell r="N1060">
            <v>120</v>
          </cell>
          <cell r="O1060">
            <v>60</v>
          </cell>
          <cell r="P1060">
            <v>120</v>
          </cell>
        </row>
        <row r="1061">
          <cell r="B1061" t="str">
            <v>BC5333100-006L001</v>
          </cell>
          <cell r="D1061" t="str">
            <v>C</v>
          </cell>
          <cell r="E1061" t="str">
            <v>装夹时间</v>
          </cell>
          <cell r="N1061" t="str">
            <v>60</v>
          </cell>
          <cell r="P1061" t="str">
            <v>60</v>
          </cell>
        </row>
        <row r="1062">
          <cell r="B1062" t="str">
            <v>BC5333100-006L001</v>
          </cell>
          <cell r="D1062" t="str">
            <v>C</v>
          </cell>
          <cell r="E1062" t="str">
            <v>程序时间</v>
          </cell>
          <cell r="H1062" t="str">
            <v>30</v>
          </cell>
          <cell r="I1062">
            <v>30</v>
          </cell>
          <cell r="J1062">
            <v>80</v>
          </cell>
          <cell r="K1062">
            <v>70</v>
          </cell>
          <cell r="L1062">
            <v>110</v>
          </cell>
          <cell r="M1062">
            <v>400</v>
          </cell>
          <cell r="N1062">
            <v>480</v>
          </cell>
          <cell r="O1062">
            <v>300</v>
          </cell>
          <cell r="P1062">
            <v>360</v>
          </cell>
          <cell r="R1062">
            <v>180</v>
          </cell>
        </row>
        <row r="1063">
          <cell r="B1063" t="str">
            <v>图号</v>
          </cell>
        </row>
        <row r="1064">
          <cell r="B1064" t="str">
            <v>BC5333100-006R001</v>
          </cell>
          <cell r="D1064" t="str">
            <v>C</v>
          </cell>
          <cell r="E1064" t="str">
            <v>工序内容</v>
          </cell>
          <cell r="F1064" t="str">
            <v>0/领料</v>
          </cell>
          <cell r="G1064" t="str">
            <v>05/检验</v>
          </cell>
          <cell r="H1064" t="str">
            <v>10/数铣</v>
          </cell>
          <cell r="I1064" t="str">
            <v>15/数铣</v>
          </cell>
          <cell r="J1064" t="str">
            <v>20/数铣</v>
          </cell>
          <cell r="K1064" t="str">
            <v>25/数铣40</v>
          </cell>
          <cell r="L1064" t="str">
            <v>30/数铣80</v>
          </cell>
          <cell r="M1064" t="str">
            <v>35/数铣320</v>
          </cell>
          <cell r="N1064" t="str">
            <v>40/五轴180</v>
          </cell>
          <cell r="O1064" t="str">
            <v>45/数铣200</v>
          </cell>
          <cell r="P1064" t="str">
            <v>50/数铣125</v>
          </cell>
          <cell r="Q1064" t="str">
            <v>55/测量</v>
          </cell>
          <cell r="R1064" t="str">
            <v>60/钳工</v>
          </cell>
          <cell r="S1064" t="str">
            <v>65/清洁</v>
          </cell>
          <cell r="T1064" t="str">
            <v>70/成检</v>
          </cell>
        </row>
        <row r="1065">
          <cell r="B1065" t="str">
            <v>BC5333100-006R001</v>
          </cell>
          <cell r="D1065" t="str">
            <v>C</v>
          </cell>
          <cell r="E1065" t="str">
            <v>准备工时</v>
          </cell>
          <cell r="H1065" t="str">
            <v>60</v>
          </cell>
          <cell r="I1065">
            <v>60</v>
          </cell>
          <cell r="J1065">
            <v>60</v>
          </cell>
          <cell r="K1065">
            <v>60</v>
          </cell>
          <cell r="L1065">
            <v>60</v>
          </cell>
          <cell r="M1065">
            <v>60</v>
          </cell>
          <cell r="N1065">
            <v>120</v>
          </cell>
          <cell r="O1065">
            <v>60</v>
          </cell>
          <cell r="P1065">
            <v>120</v>
          </cell>
        </row>
        <row r="1066">
          <cell r="B1066" t="str">
            <v>BC5333100-006R001</v>
          </cell>
          <cell r="D1066" t="str">
            <v>C</v>
          </cell>
          <cell r="E1066" t="str">
            <v>装夹时间</v>
          </cell>
          <cell r="N1066" t="str">
            <v>60</v>
          </cell>
          <cell r="P1066" t="str">
            <v>60</v>
          </cell>
        </row>
        <row r="1067">
          <cell r="B1067" t="str">
            <v>BC5333100-006R001</v>
          </cell>
          <cell r="D1067" t="str">
            <v>C</v>
          </cell>
          <cell r="E1067" t="str">
            <v>程序时间</v>
          </cell>
          <cell r="H1067" t="str">
            <v>30</v>
          </cell>
          <cell r="I1067">
            <v>30</v>
          </cell>
          <cell r="J1067">
            <v>80</v>
          </cell>
          <cell r="K1067">
            <v>70</v>
          </cell>
          <cell r="L1067">
            <v>110</v>
          </cell>
          <cell r="M1067">
            <v>400</v>
          </cell>
          <cell r="N1067">
            <v>480</v>
          </cell>
          <cell r="O1067">
            <v>300</v>
          </cell>
          <cell r="P1067">
            <v>360</v>
          </cell>
          <cell r="R1067">
            <v>180</v>
          </cell>
        </row>
        <row r="1068">
          <cell r="B1068" t="str">
            <v>图号</v>
          </cell>
        </row>
        <row r="1069">
          <cell r="B1069" t="str">
            <v>BC5333213-001-001</v>
          </cell>
          <cell r="D1069" t="str">
            <v>C</v>
          </cell>
          <cell r="E1069" t="str">
            <v>工序内容</v>
          </cell>
          <cell r="F1069" t="str">
            <v>0/领料</v>
          </cell>
          <cell r="G1069" t="str">
            <v>05/数铣</v>
          </cell>
          <cell r="H1069" t="str">
            <v>10/数铣70</v>
          </cell>
          <cell r="I1069" t="str">
            <v>15/数铣70</v>
          </cell>
          <cell r="J1069" t="str">
            <v>20/数铣510</v>
          </cell>
          <cell r="K1069" t="str">
            <v>25/数铣500</v>
          </cell>
          <cell r="L1069" t="str">
            <v>30/五轴10</v>
          </cell>
          <cell r="M1069" t="str">
            <v>35/测量</v>
          </cell>
          <cell r="N1069" t="str">
            <v>40/钳工</v>
          </cell>
          <cell r="O1069" t="str">
            <v>45/清洁</v>
          </cell>
          <cell r="P1069" t="str">
            <v>50/成检</v>
          </cell>
        </row>
        <row r="1070">
          <cell r="B1070" t="str">
            <v>BC5333213-001-001</v>
          </cell>
          <cell r="D1070" t="str">
            <v>C</v>
          </cell>
          <cell r="E1070" t="str">
            <v>准备工时</v>
          </cell>
          <cell r="G1070">
            <v>60</v>
          </cell>
          <cell r="H1070">
            <v>60</v>
          </cell>
          <cell r="I1070">
            <v>60</v>
          </cell>
          <cell r="J1070">
            <v>60</v>
          </cell>
          <cell r="K1070">
            <v>60</v>
          </cell>
          <cell r="L1070">
            <v>60</v>
          </cell>
        </row>
        <row r="1071">
          <cell r="B1071" t="str">
            <v>BC5333213-001-001</v>
          </cell>
          <cell r="D1071" t="str">
            <v>C</v>
          </cell>
          <cell r="E1071" t="str">
            <v>装夹时间</v>
          </cell>
          <cell r="G1071">
            <v>60</v>
          </cell>
          <cell r="H1071">
            <v>60</v>
          </cell>
          <cell r="I1071">
            <v>60</v>
          </cell>
          <cell r="J1071">
            <v>60</v>
          </cell>
          <cell r="K1071">
            <v>60</v>
          </cell>
          <cell r="L1071">
            <v>60</v>
          </cell>
          <cell r="N1071">
            <v>60</v>
          </cell>
        </row>
        <row r="1072">
          <cell r="B1072" t="str">
            <v>BC5333213-001-001</v>
          </cell>
          <cell r="D1072" t="str">
            <v>C</v>
          </cell>
          <cell r="E1072" t="str">
            <v>程序时间</v>
          </cell>
          <cell r="G1072">
            <v>80</v>
          </cell>
          <cell r="H1072">
            <v>120</v>
          </cell>
          <cell r="I1072">
            <v>100</v>
          </cell>
          <cell r="J1072">
            <v>670</v>
          </cell>
          <cell r="K1072">
            <v>660</v>
          </cell>
          <cell r="L1072">
            <v>60</v>
          </cell>
          <cell r="N1072">
            <v>180</v>
          </cell>
        </row>
        <row r="1073">
          <cell r="B1073" t="str">
            <v>图号</v>
          </cell>
        </row>
        <row r="1074">
          <cell r="B1074" t="str">
            <v>CB5325153-303-008</v>
          </cell>
          <cell r="D1074" t="str">
            <v>B</v>
          </cell>
          <cell r="E1074" t="str">
            <v>工序内容</v>
          </cell>
          <cell r="F1074" t="str">
            <v>0/领料</v>
          </cell>
          <cell r="G1074" t="str">
            <v>05/下料</v>
          </cell>
          <cell r="H1074" t="str">
            <v>10/数铣</v>
          </cell>
          <cell r="I1074" t="str">
            <v>15/数铣7</v>
          </cell>
          <cell r="J1074" t="str">
            <v>20/数铣10</v>
          </cell>
          <cell r="K1074" t="str">
            <v>25/数铣55</v>
          </cell>
          <cell r="L1074" t="str">
            <v>30/数铣16</v>
          </cell>
          <cell r="M1074" t="str">
            <v>35/数铣8</v>
          </cell>
          <cell r="N1074" t="str">
            <v>40数铣8</v>
          </cell>
          <cell r="O1074" t="str">
            <v>45数铣7</v>
          </cell>
          <cell r="P1074" t="str">
            <v>50测量</v>
          </cell>
          <cell r="Q1074" t="str">
            <v>55钳工</v>
          </cell>
          <cell r="R1074" t="str">
            <v>60清洁</v>
          </cell>
          <cell r="S1074" t="str">
            <v>65硬度</v>
          </cell>
          <cell r="T1074" t="str">
            <v>70分光</v>
          </cell>
          <cell r="U1074" t="str">
            <v>75检验</v>
          </cell>
          <cell r="V1074" t="str">
            <v>80钳工</v>
          </cell>
          <cell r="W1074" t="str">
            <v>85清洁</v>
          </cell>
          <cell r="X1074" t="str">
            <v>90成检</v>
          </cell>
        </row>
        <row r="1075">
          <cell r="B1075" t="str">
            <v>CB5325153-303-008</v>
          </cell>
          <cell r="D1075" t="str">
            <v>B</v>
          </cell>
          <cell r="E1075" t="str">
            <v>准备工时</v>
          </cell>
          <cell r="H1075">
            <v>60</v>
          </cell>
          <cell r="I1075">
            <v>90</v>
          </cell>
          <cell r="J1075">
            <v>60</v>
          </cell>
          <cell r="K1075">
            <v>60</v>
          </cell>
          <cell r="L1075">
            <v>60</v>
          </cell>
          <cell r="M1075">
            <v>60</v>
          </cell>
          <cell r="N1075">
            <v>60</v>
          </cell>
          <cell r="O1075">
            <v>60</v>
          </cell>
        </row>
        <row r="1076">
          <cell r="B1076" t="str">
            <v>CB5325153-303-008</v>
          </cell>
          <cell r="D1076" t="str">
            <v>B</v>
          </cell>
          <cell r="E1076" t="str">
            <v>装夹时间</v>
          </cell>
        </row>
        <row r="1077">
          <cell r="B1077" t="str">
            <v>CB5325153-303-008</v>
          </cell>
          <cell r="D1077" t="str">
            <v>B</v>
          </cell>
          <cell r="E1077" t="str">
            <v>程序时间</v>
          </cell>
          <cell r="H1077">
            <v>40</v>
          </cell>
          <cell r="I1077">
            <v>45</v>
          </cell>
          <cell r="J1077">
            <v>25</v>
          </cell>
          <cell r="K1077">
            <v>95</v>
          </cell>
          <cell r="L1077">
            <v>30</v>
          </cell>
          <cell r="M1077">
            <v>30</v>
          </cell>
          <cell r="N1077">
            <v>30</v>
          </cell>
          <cell r="O1077">
            <v>15</v>
          </cell>
          <cell r="Q1077">
            <v>40</v>
          </cell>
          <cell r="V1077">
            <v>5</v>
          </cell>
        </row>
        <row r="1078">
          <cell r="B1078" t="str">
            <v>图号</v>
          </cell>
        </row>
        <row r="1079">
          <cell r="B1079" t="str">
            <v>CB2298612-002-001</v>
          </cell>
          <cell r="D1079" t="str">
            <v>B</v>
          </cell>
          <cell r="E1079" t="str">
            <v>工序内容</v>
          </cell>
          <cell r="F1079" t="str">
            <v>0/领料</v>
          </cell>
          <cell r="G1079" t="str">
            <v>05/下料</v>
          </cell>
          <cell r="H1079" t="str">
            <v>10/钳工</v>
          </cell>
          <cell r="I1079" t="str">
            <v>15/分光</v>
          </cell>
          <cell r="J1079" t="str">
            <v>20/硬度</v>
          </cell>
          <cell r="K1079" t="str">
            <v>25/数铣</v>
          </cell>
          <cell r="L1079" t="str">
            <v>30/数铣10</v>
          </cell>
          <cell r="M1079" t="str">
            <v>35/数铣5</v>
          </cell>
          <cell r="N1079" t="str">
            <v>40/数铣8</v>
          </cell>
          <cell r="O1079" t="str">
            <v>45/数铣3</v>
          </cell>
          <cell r="P1079" t="str">
            <v>50/线切割</v>
          </cell>
          <cell r="Q1079" t="str">
            <v>55/数铣10</v>
          </cell>
          <cell r="R1079" t="str">
            <v>60/数铣10</v>
          </cell>
          <cell r="S1079" t="str">
            <v>65/钳工</v>
          </cell>
          <cell r="T1079" t="str">
            <v>70/清洁</v>
          </cell>
          <cell r="U1079" t="str">
            <v>80/成检</v>
          </cell>
        </row>
        <row r="1080">
          <cell r="B1080" t="str">
            <v>CB2298612-002-001</v>
          </cell>
          <cell r="D1080" t="str">
            <v>B</v>
          </cell>
          <cell r="E1080" t="str">
            <v>准备工时</v>
          </cell>
          <cell r="K1080">
            <v>60</v>
          </cell>
          <cell r="L1080">
            <v>60</v>
          </cell>
          <cell r="M1080">
            <v>60</v>
          </cell>
          <cell r="N1080">
            <v>60</v>
          </cell>
          <cell r="O1080">
            <v>60</v>
          </cell>
          <cell r="Q1080">
            <v>60</v>
          </cell>
          <cell r="R1080">
            <v>60</v>
          </cell>
        </row>
        <row r="1081">
          <cell r="B1081" t="str">
            <v>CB2298612-002-001</v>
          </cell>
          <cell r="D1081" t="str">
            <v>B</v>
          </cell>
          <cell r="E1081" t="str">
            <v>装夹时间</v>
          </cell>
        </row>
        <row r="1082">
          <cell r="B1082" t="str">
            <v>CB2298612-002-001</v>
          </cell>
          <cell r="D1082" t="str">
            <v>B</v>
          </cell>
          <cell r="E1082" t="str">
            <v>程序时间</v>
          </cell>
          <cell r="H1082">
            <v>10</v>
          </cell>
          <cell r="K1082">
            <v>80</v>
          </cell>
          <cell r="L1082">
            <v>25</v>
          </cell>
          <cell r="M1082">
            <v>15</v>
          </cell>
          <cell r="N1082">
            <v>20</v>
          </cell>
          <cell r="O1082">
            <v>15</v>
          </cell>
          <cell r="Q1082">
            <v>25</v>
          </cell>
          <cell r="R1082">
            <v>25</v>
          </cell>
          <cell r="S1082">
            <v>20</v>
          </cell>
        </row>
        <row r="1083">
          <cell r="B1083" t="str">
            <v>图号</v>
          </cell>
        </row>
        <row r="1084">
          <cell r="B1084" t="str">
            <v>DD-J10B-94091-24G2</v>
          </cell>
          <cell r="D1084" t="str">
            <v>B</v>
          </cell>
          <cell r="E1084" t="str">
            <v>工序内容</v>
          </cell>
          <cell r="F1084" t="str">
            <v>0/领料</v>
          </cell>
          <cell r="G1084" t="str">
            <v>05/车铣35</v>
          </cell>
          <cell r="H1084" t="str">
            <v>10/钳毛刺</v>
          </cell>
          <cell r="I1084" t="str">
            <v>15/分光</v>
          </cell>
          <cell r="J1084" t="str">
            <v>20/硬度</v>
          </cell>
          <cell r="K1084" t="str">
            <v>25/数车30</v>
          </cell>
          <cell r="L1084" t="str">
            <v>30/穿孔</v>
          </cell>
          <cell r="M1084" t="str">
            <v>35/钳工</v>
          </cell>
          <cell r="N1084" t="str">
            <v>40/清洁</v>
          </cell>
          <cell r="O1084" t="str">
            <v>45/成检</v>
          </cell>
        </row>
        <row r="1085">
          <cell r="B1085" t="str">
            <v>DD-J10B-94091-24G2</v>
          </cell>
          <cell r="D1085" t="str">
            <v>B</v>
          </cell>
          <cell r="E1085" t="str">
            <v>准备工时</v>
          </cell>
          <cell r="G1085">
            <v>120</v>
          </cell>
          <cell r="K1085">
            <v>90</v>
          </cell>
        </row>
        <row r="1086">
          <cell r="B1086" t="str">
            <v>DD-J10B-94091-24G2</v>
          </cell>
          <cell r="D1086" t="str">
            <v>B</v>
          </cell>
          <cell r="E1086" t="str">
            <v>装夹时间</v>
          </cell>
        </row>
        <row r="1087">
          <cell r="B1087" t="str">
            <v>DD-J10B-94091-24G2</v>
          </cell>
          <cell r="D1087" t="str">
            <v>B</v>
          </cell>
          <cell r="E1087" t="str">
            <v>程序时间</v>
          </cell>
          <cell r="G1087">
            <v>70</v>
          </cell>
          <cell r="H1087">
            <v>10</v>
          </cell>
          <cell r="K1087">
            <v>50</v>
          </cell>
          <cell r="M1087">
            <v>30</v>
          </cell>
        </row>
        <row r="1088">
          <cell r="B1088" t="str">
            <v>图号</v>
          </cell>
        </row>
        <row r="1089">
          <cell r="B1089" t="str">
            <v>CB5814000-003-001</v>
          </cell>
          <cell r="D1089" t="str">
            <v>C</v>
          </cell>
          <cell r="E1089" t="str">
            <v>工序内容</v>
          </cell>
          <cell r="F1089" t="str">
            <v>0/领料</v>
          </cell>
          <cell r="G1089" t="str">
            <v>05/数铣</v>
          </cell>
          <cell r="H1089" t="str">
            <v>10/数铣30</v>
          </cell>
          <cell r="I1089" t="str">
            <v>15/数铣100</v>
          </cell>
          <cell r="J1089" t="str">
            <v>20/数铣45</v>
          </cell>
          <cell r="K1089" t="str">
            <v>25/数铣35</v>
          </cell>
          <cell r="L1089" t="str">
            <v>30/数铣10</v>
          </cell>
          <cell r="M1089" t="str">
            <v>35/测量</v>
          </cell>
          <cell r="N1089" t="str">
            <v>40/钳工</v>
          </cell>
          <cell r="O1089" t="str">
            <v>45/清洁</v>
          </cell>
          <cell r="P1089" t="str">
            <v>50/检验</v>
          </cell>
          <cell r="Q1089" t="str">
            <v>55/硬度</v>
          </cell>
          <cell r="R1089" t="str">
            <v>60/分光</v>
          </cell>
          <cell r="S1089" t="str">
            <v>65/钳返厂</v>
          </cell>
          <cell r="T1089" t="str">
            <v>70/钳工</v>
          </cell>
          <cell r="U1089" t="str">
            <v>75/清洁</v>
          </cell>
          <cell r="V1089" t="str">
            <v>80/成检</v>
          </cell>
          <cell r="W1089" t="str">
            <v>80/成检</v>
          </cell>
        </row>
        <row r="1090">
          <cell r="B1090" t="str">
            <v>CB5814000-003-001</v>
          </cell>
          <cell r="D1090" t="str">
            <v>C</v>
          </cell>
          <cell r="E1090" t="str">
            <v>准备工时</v>
          </cell>
          <cell r="G1090">
            <v>60</v>
          </cell>
          <cell r="H1090">
            <v>60</v>
          </cell>
          <cell r="I1090">
            <v>60</v>
          </cell>
          <cell r="J1090">
            <v>60</v>
          </cell>
          <cell r="K1090">
            <v>60</v>
          </cell>
          <cell r="L1090">
            <v>60</v>
          </cell>
        </row>
        <row r="1091">
          <cell r="B1091" t="str">
            <v>CB5814000-003-001</v>
          </cell>
          <cell r="D1091" t="str">
            <v>C</v>
          </cell>
          <cell r="E1091" t="str">
            <v>装夹时间</v>
          </cell>
        </row>
        <row r="1092">
          <cell r="B1092" t="str">
            <v>CB5814000-003-001</v>
          </cell>
          <cell r="D1092" t="str">
            <v>C</v>
          </cell>
          <cell r="E1092" t="str">
            <v>程序时间</v>
          </cell>
          <cell r="G1092">
            <v>30</v>
          </cell>
          <cell r="H1092">
            <v>50</v>
          </cell>
          <cell r="I1092">
            <v>180</v>
          </cell>
          <cell r="J1092">
            <v>75</v>
          </cell>
          <cell r="K1092">
            <v>60</v>
          </cell>
          <cell r="L1092">
            <v>20</v>
          </cell>
          <cell r="N1092">
            <v>20</v>
          </cell>
          <cell r="T1092">
            <v>20</v>
          </cell>
        </row>
        <row r="1093">
          <cell r="B1093" t="str">
            <v>图号</v>
          </cell>
        </row>
        <row r="1094">
          <cell r="B1094" t="str">
            <v>BC22846Y4-004-001</v>
          </cell>
          <cell r="D1094" t="str">
            <v>A</v>
          </cell>
          <cell r="E1094" t="str">
            <v>工序内容</v>
          </cell>
          <cell r="F1094" t="str">
            <v>0/领料</v>
          </cell>
          <cell r="G1094" t="str">
            <v>05/车铣35</v>
          </cell>
          <cell r="H1094" t="str">
            <v>10/数车 10</v>
          </cell>
          <cell r="I1094" t="str">
            <v>15/穿孔机</v>
          </cell>
          <cell r="J1094" t="str">
            <v>20/钳工</v>
          </cell>
          <cell r="K1094" t="str">
            <v>25分光</v>
          </cell>
          <cell r="L1094" t="str">
            <v>30/热处理</v>
          </cell>
          <cell r="M1094" t="str">
            <v>35/数车 15</v>
          </cell>
          <cell r="N1094" t="str">
            <v>40/钳工</v>
          </cell>
          <cell r="O1094" t="str">
            <v>45/清洁</v>
          </cell>
          <cell r="P1094" t="str">
            <v>50/成检</v>
          </cell>
        </row>
        <row r="1095">
          <cell r="B1095" t="str">
            <v>BC22846Y4-004-001</v>
          </cell>
          <cell r="D1095" t="str">
            <v>A</v>
          </cell>
          <cell r="E1095" t="str">
            <v>准备工时</v>
          </cell>
          <cell r="G1095">
            <v>120</v>
          </cell>
          <cell r="H1095">
            <v>60</v>
          </cell>
          <cell r="M1095">
            <v>90</v>
          </cell>
        </row>
        <row r="1096">
          <cell r="B1096" t="str">
            <v>BC22846Y4-004-001</v>
          </cell>
          <cell r="D1096" t="str">
            <v>A</v>
          </cell>
          <cell r="E1096" t="str">
            <v>装夹时间</v>
          </cell>
        </row>
        <row r="1097">
          <cell r="B1097" t="str">
            <v>BC22846Y4-004-001</v>
          </cell>
          <cell r="D1097" t="str">
            <v>A</v>
          </cell>
          <cell r="E1097" t="str">
            <v>程序时间</v>
          </cell>
          <cell r="G1097">
            <v>70</v>
          </cell>
          <cell r="H1097">
            <v>15</v>
          </cell>
          <cell r="J1097">
            <v>15</v>
          </cell>
          <cell r="M1097">
            <v>25</v>
          </cell>
          <cell r="N1097">
            <v>20</v>
          </cell>
        </row>
        <row r="1098">
          <cell r="B1098" t="str">
            <v>CB5315190-002L001</v>
          </cell>
          <cell r="D1098" t="str">
            <v>E</v>
          </cell>
          <cell r="E1098" t="str">
            <v>工序内容</v>
          </cell>
          <cell r="F1098" t="str">
            <v>0/领料</v>
          </cell>
          <cell r="G1098" t="str">
            <v>5/数铣</v>
          </cell>
          <cell r="H1098" t="str">
            <v>10/数铣40</v>
          </cell>
          <cell r="I1098" t="str">
            <v>15/数铣140</v>
          </cell>
          <cell r="J1098" t="str">
            <v>20/时效</v>
          </cell>
          <cell r="K1098" t="str">
            <v>25/数铣</v>
          </cell>
          <cell r="L1098" t="str">
            <v>30/数铣260</v>
          </cell>
          <cell r="M1098" t="str">
            <v>35/数铣240</v>
          </cell>
          <cell r="N1098" t="str">
            <v>40/测量</v>
          </cell>
          <cell r="O1098" t="str">
            <v>45/钳工</v>
          </cell>
          <cell r="P1098" t="str">
            <v>50/数铣</v>
          </cell>
          <cell r="Q1098" t="str">
            <v>55/清洁</v>
          </cell>
          <cell r="R1098" t="str">
            <v>60/成检</v>
          </cell>
        </row>
        <row r="1099">
          <cell r="B1099" t="str">
            <v>CB5315190-002L001</v>
          </cell>
          <cell r="D1099" t="str">
            <v>E</v>
          </cell>
          <cell r="E1099" t="str">
            <v>准备工时</v>
          </cell>
          <cell r="G1099">
            <v>60</v>
          </cell>
          <cell r="H1099">
            <v>60</v>
          </cell>
          <cell r="I1099">
            <v>60</v>
          </cell>
          <cell r="K1099">
            <v>60</v>
          </cell>
          <cell r="L1099">
            <v>90</v>
          </cell>
          <cell r="M1099">
            <v>90</v>
          </cell>
        </row>
        <row r="1100">
          <cell r="B1100" t="str">
            <v>CB5315190-002L001</v>
          </cell>
          <cell r="D1100" t="str">
            <v>E</v>
          </cell>
          <cell r="E1100" t="str">
            <v>装夹时间</v>
          </cell>
          <cell r="G1100">
            <v>60</v>
          </cell>
          <cell r="H1100">
            <v>60</v>
          </cell>
          <cell r="I1100">
            <v>90</v>
          </cell>
          <cell r="K1100">
            <v>90</v>
          </cell>
          <cell r="L1100">
            <v>90</v>
          </cell>
          <cell r="M1100">
            <v>90</v>
          </cell>
        </row>
        <row r="1101">
          <cell r="B1101" t="str">
            <v>CB5315190-002L001</v>
          </cell>
          <cell r="D1101" t="str">
            <v>E</v>
          </cell>
          <cell r="E1101" t="str">
            <v>程序时间</v>
          </cell>
          <cell r="G1101">
            <v>60</v>
          </cell>
          <cell r="H1101">
            <v>60</v>
          </cell>
          <cell r="I1101">
            <v>210</v>
          </cell>
          <cell r="K1101">
            <v>90</v>
          </cell>
          <cell r="L1101">
            <v>310</v>
          </cell>
          <cell r="M1101">
            <v>280</v>
          </cell>
          <cell r="O1101">
            <v>210</v>
          </cell>
          <cell r="P1101">
            <v>20</v>
          </cell>
        </row>
        <row r="1102">
          <cell r="B1102" t="str">
            <v>CB5315190-002R001</v>
          </cell>
          <cell r="D1102" t="str">
            <v>E</v>
          </cell>
          <cell r="E1102" t="str">
            <v>工序内容</v>
          </cell>
          <cell r="F1102" t="str">
            <v>0/领料</v>
          </cell>
          <cell r="G1102" t="str">
            <v>5/数铣</v>
          </cell>
          <cell r="H1102" t="str">
            <v>10/数铣40</v>
          </cell>
          <cell r="I1102" t="str">
            <v>15/数铣140</v>
          </cell>
          <cell r="J1102" t="str">
            <v>20/时效</v>
          </cell>
          <cell r="K1102" t="str">
            <v>25/数铣</v>
          </cell>
          <cell r="L1102" t="str">
            <v>30/数铣260</v>
          </cell>
          <cell r="M1102" t="str">
            <v>35/数铣240</v>
          </cell>
          <cell r="N1102" t="str">
            <v>40/测量</v>
          </cell>
          <cell r="O1102" t="str">
            <v>45/钳工</v>
          </cell>
          <cell r="P1102" t="str">
            <v>50/数铣</v>
          </cell>
          <cell r="Q1102" t="str">
            <v>55/清洁</v>
          </cell>
          <cell r="R1102" t="str">
            <v>60/成检</v>
          </cell>
        </row>
        <row r="1103">
          <cell r="B1103" t="str">
            <v>CB5315190-002R001</v>
          </cell>
          <cell r="D1103" t="str">
            <v>E</v>
          </cell>
          <cell r="E1103" t="str">
            <v>准备工时</v>
          </cell>
          <cell r="G1103">
            <v>60</v>
          </cell>
          <cell r="H1103">
            <v>60</v>
          </cell>
          <cell r="I1103">
            <v>60</v>
          </cell>
          <cell r="K1103">
            <v>60</v>
          </cell>
          <cell r="L1103">
            <v>90</v>
          </cell>
          <cell r="M1103">
            <v>90</v>
          </cell>
        </row>
        <row r="1104">
          <cell r="B1104" t="str">
            <v>CB5315190-002R001</v>
          </cell>
          <cell r="D1104" t="str">
            <v>E</v>
          </cell>
          <cell r="E1104" t="str">
            <v>装夹时间</v>
          </cell>
          <cell r="G1104">
            <v>60</v>
          </cell>
          <cell r="H1104">
            <v>60</v>
          </cell>
          <cell r="I1104">
            <v>90</v>
          </cell>
          <cell r="K1104">
            <v>90</v>
          </cell>
          <cell r="L1104">
            <v>90</v>
          </cell>
          <cell r="M1104">
            <v>90</v>
          </cell>
        </row>
        <row r="1105">
          <cell r="B1105" t="str">
            <v>CB5315190-002R001</v>
          </cell>
          <cell r="D1105" t="str">
            <v>E</v>
          </cell>
          <cell r="E1105" t="str">
            <v>程序时间</v>
          </cell>
          <cell r="G1105">
            <v>60</v>
          </cell>
          <cell r="H1105">
            <v>60</v>
          </cell>
          <cell r="I1105">
            <v>210</v>
          </cell>
          <cell r="K1105">
            <v>90</v>
          </cell>
          <cell r="L1105">
            <v>310</v>
          </cell>
          <cell r="M1105">
            <v>280</v>
          </cell>
          <cell r="O1105">
            <v>210</v>
          </cell>
          <cell r="P1105">
            <v>20</v>
          </cell>
        </row>
        <row r="1106">
          <cell r="B1106" t="str">
            <v>图号</v>
          </cell>
        </row>
        <row r="1107">
          <cell r="B1107" t="str">
            <v>BC221P2LB-003-001</v>
          </cell>
          <cell r="D1107" t="str">
            <v>D</v>
          </cell>
          <cell r="E1107" t="str">
            <v>工序内容</v>
          </cell>
          <cell r="F1107" t="str">
            <v>0/领料</v>
          </cell>
          <cell r="G1107" t="str">
            <v>5/下料</v>
          </cell>
          <cell r="H1107" t="str">
            <v>10/数车10</v>
          </cell>
          <cell r="I1107" t="str">
            <v>15/数车15</v>
          </cell>
          <cell r="J1107" t="str">
            <v>20/数车15</v>
          </cell>
          <cell r="K1107" t="str">
            <v>25/数铣15</v>
          </cell>
          <cell r="L1107" t="str">
            <v>30/数铣30</v>
          </cell>
          <cell r="M1107" t="str">
            <v>35/钳工</v>
          </cell>
          <cell r="N1107" t="str">
            <v>40/清洁</v>
          </cell>
          <cell r="O1107" t="str">
            <v>45//检验</v>
          </cell>
          <cell r="P1107" t="str">
            <v>50/分光</v>
          </cell>
          <cell r="Q1107" t="str">
            <v>55/标记</v>
          </cell>
          <cell r="R1107" t="str">
            <v>60/清洁</v>
          </cell>
          <cell r="S1107" t="str">
            <v>65/成检</v>
          </cell>
          <cell r="T1107" t="str">
            <v>65/成检</v>
          </cell>
        </row>
        <row r="1108">
          <cell r="B1108" t="str">
            <v>BC221P2LB-003-001</v>
          </cell>
          <cell r="D1108" t="str">
            <v>D</v>
          </cell>
          <cell r="E1108" t="str">
            <v>准备工时</v>
          </cell>
          <cell r="H1108">
            <v>60</v>
          </cell>
          <cell r="I1108">
            <v>90</v>
          </cell>
          <cell r="J1108">
            <v>120</v>
          </cell>
          <cell r="K1108">
            <v>60</v>
          </cell>
          <cell r="L1108">
            <v>60</v>
          </cell>
        </row>
        <row r="1109">
          <cell r="B1109" t="str">
            <v>BC221P2LB-003-001</v>
          </cell>
          <cell r="D1109" t="str">
            <v>D</v>
          </cell>
          <cell r="E1109" t="str">
            <v>装夹时间</v>
          </cell>
        </row>
        <row r="1110">
          <cell r="B1110" t="str">
            <v>BC221P2LB-003-001</v>
          </cell>
          <cell r="D1110" t="str">
            <v>D</v>
          </cell>
          <cell r="E1110" t="str">
            <v>程序时间</v>
          </cell>
          <cell r="G1110">
            <v>20</v>
          </cell>
          <cell r="H1110">
            <v>30</v>
          </cell>
          <cell r="I1110">
            <v>30</v>
          </cell>
          <cell r="J1110">
            <v>40</v>
          </cell>
          <cell r="K1110">
            <v>30</v>
          </cell>
          <cell r="L1110">
            <v>50</v>
          </cell>
          <cell r="M1110">
            <v>30</v>
          </cell>
        </row>
        <row r="1111">
          <cell r="B1111" t="str">
            <v>图号</v>
          </cell>
        </row>
        <row r="1112">
          <cell r="B1112" t="str">
            <v>DD-J10B-61001-1</v>
          </cell>
          <cell r="D1112" t="str">
            <v>B</v>
          </cell>
          <cell r="E1112" t="str">
            <v>工序内容</v>
          </cell>
          <cell r="F1112" t="str">
            <v>0/领料</v>
          </cell>
          <cell r="G1112" t="str">
            <v>05/数车</v>
          </cell>
          <cell r="H1112" t="str">
            <v>10/硬度</v>
          </cell>
          <cell r="I1112" t="str">
            <v>15/分光</v>
          </cell>
          <cell r="J1112" t="str">
            <v>20/数车</v>
          </cell>
          <cell r="K1112" t="str">
            <v>25/车铣</v>
          </cell>
          <cell r="L1112" t="str">
            <v>30/数车45</v>
          </cell>
          <cell r="M1112" t="str">
            <v>35/穿孔</v>
          </cell>
          <cell r="N1112" t="str">
            <v>45/钳工</v>
          </cell>
          <cell r="O1112" t="str">
            <v>50/清洁</v>
          </cell>
          <cell r="P1112" t="str">
            <v>55/成检</v>
          </cell>
        </row>
        <row r="1113">
          <cell r="B1113" t="str">
            <v>DD-J10B-61001-1</v>
          </cell>
          <cell r="D1113" t="str">
            <v>B</v>
          </cell>
          <cell r="E1113" t="str">
            <v>准备工时</v>
          </cell>
          <cell r="G1113">
            <v>60</v>
          </cell>
          <cell r="J1113">
            <v>90</v>
          </cell>
          <cell r="K1113">
            <v>120</v>
          </cell>
          <cell r="L1113">
            <v>120</v>
          </cell>
        </row>
        <row r="1114">
          <cell r="B1114" t="str">
            <v>DD-J10B-61001-1</v>
          </cell>
          <cell r="D1114" t="str">
            <v>B</v>
          </cell>
          <cell r="E1114" t="str">
            <v>装夹时间</v>
          </cell>
        </row>
        <row r="1115">
          <cell r="B1115" t="str">
            <v>DD-J10B-61001-1</v>
          </cell>
          <cell r="D1115" t="str">
            <v>B</v>
          </cell>
          <cell r="E1115" t="str">
            <v>程序时间</v>
          </cell>
          <cell r="G1115">
            <v>100</v>
          </cell>
          <cell r="J1115">
            <v>90</v>
          </cell>
          <cell r="K1115">
            <v>60</v>
          </cell>
          <cell r="L1115">
            <v>70</v>
          </cell>
          <cell r="N1115" t="str">
            <v>35</v>
          </cell>
        </row>
        <row r="1116">
          <cell r="B1116" t="str">
            <v>CB5350510-002-006</v>
          </cell>
          <cell r="D1116" t="str">
            <v>B</v>
          </cell>
          <cell r="E1116" t="str">
            <v>工序内容</v>
          </cell>
          <cell r="F1116" t="str">
            <v>0/领料</v>
          </cell>
          <cell r="G1116" t="str">
            <v>05/数车15</v>
          </cell>
          <cell r="H1116" t="str">
            <v>10/钳工</v>
          </cell>
          <cell r="I1116" t="str">
            <v>15/分光</v>
          </cell>
          <cell r="J1116" t="str">
            <v>20/下料</v>
          </cell>
          <cell r="K1116" t="str">
            <v>25/数车10</v>
          </cell>
          <cell r="L1116" t="str">
            <v>30/数车30</v>
          </cell>
          <cell r="M1116" t="str">
            <v>35/数铣10</v>
          </cell>
          <cell r="N1116" t="str">
            <v>40/测量</v>
          </cell>
          <cell r="O1116" t="str">
            <v>45/钳工</v>
          </cell>
          <cell r="P1116" t="str">
            <v>50/清洁</v>
          </cell>
          <cell r="Q1116" t="str">
            <v>55/成检</v>
          </cell>
        </row>
        <row r="1117">
          <cell r="B1117" t="str">
            <v>CB5350510-002-006</v>
          </cell>
          <cell r="D1117" t="str">
            <v>B</v>
          </cell>
          <cell r="E1117" t="str">
            <v>准备工时</v>
          </cell>
          <cell r="G1117">
            <v>60</v>
          </cell>
          <cell r="J1117">
            <v>60</v>
          </cell>
          <cell r="K1117">
            <v>90</v>
          </cell>
          <cell r="L1117">
            <v>90</v>
          </cell>
          <cell r="M1117">
            <v>90</v>
          </cell>
        </row>
        <row r="1118">
          <cell r="B1118" t="str">
            <v>CB5350510-002-006</v>
          </cell>
          <cell r="D1118" t="str">
            <v>B</v>
          </cell>
          <cell r="E1118" t="str">
            <v>装夹时间</v>
          </cell>
        </row>
        <row r="1119">
          <cell r="B1119" t="str">
            <v>CB5350510-002-006</v>
          </cell>
          <cell r="D1119" t="str">
            <v>B</v>
          </cell>
          <cell r="E1119" t="str">
            <v>程序时间</v>
          </cell>
          <cell r="G1119">
            <v>15</v>
          </cell>
          <cell r="H1119">
            <v>10</v>
          </cell>
          <cell r="J1119">
            <v>10</v>
          </cell>
          <cell r="K1119">
            <v>15</v>
          </cell>
          <cell r="L1119">
            <v>45</v>
          </cell>
          <cell r="M1119">
            <v>35</v>
          </cell>
          <cell r="O1119">
            <v>15</v>
          </cell>
        </row>
        <row r="1120">
          <cell r="B1120" t="str">
            <v>图号</v>
          </cell>
        </row>
        <row r="1121">
          <cell r="B1121" t="str">
            <v>CB22837C3-001-001</v>
          </cell>
          <cell r="D1121" t="str">
            <v>D</v>
          </cell>
          <cell r="E1121" t="str">
            <v>工序内容</v>
          </cell>
          <cell r="F1121" t="str">
            <v>0/领料</v>
          </cell>
          <cell r="G1121" t="str">
            <v>05/普车</v>
          </cell>
          <cell r="H1121" t="str">
            <v>10/钳工</v>
          </cell>
          <cell r="I1121" t="str">
            <v>15/分光</v>
          </cell>
          <cell r="J1121" t="str">
            <v>20/数车20</v>
          </cell>
          <cell r="K1121" t="str">
            <v>25/车铣30</v>
          </cell>
          <cell r="L1121" t="str">
            <v>30/数车20</v>
          </cell>
          <cell r="M1121" t="str">
            <v>35/钳工</v>
          </cell>
          <cell r="N1121" t="str">
            <v>40/清洁</v>
          </cell>
          <cell r="O1121" t="str">
            <v>45/成检</v>
          </cell>
        </row>
        <row r="1122">
          <cell r="B1122" t="str">
            <v>CB22837C3-001-001</v>
          </cell>
          <cell r="D1122" t="str">
            <v>D</v>
          </cell>
          <cell r="E1122" t="str">
            <v>准备时间</v>
          </cell>
          <cell r="G1122">
            <v>60</v>
          </cell>
          <cell r="J1122">
            <v>90</v>
          </cell>
          <cell r="K1122">
            <v>120</v>
          </cell>
          <cell r="L1122">
            <v>90</v>
          </cell>
        </row>
        <row r="1123">
          <cell r="B1123" t="str">
            <v>CB22837C3-001-001</v>
          </cell>
          <cell r="D1123" t="str">
            <v>D</v>
          </cell>
          <cell r="E1123" t="str">
            <v>装夹时间</v>
          </cell>
        </row>
        <row r="1124">
          <cell r="B1124" t="str">
            <v>CB22837C3-001-001</v>
          </cell>
          <cell r="D1124" t="str">
            <v>D</v>
          </cell>
          <cell r="E1124" t="str">
            <v>程序时间</v>
          </cell>
          <cell r="G1124" t="str">
            <v>60/根</v>
          </cell>
          <cell r="H1124">
            <v>10</v>
          </cell>
          <cell r="J1124">
            <v>30</v>
          </cell>
          <cell r="K1124">
            <v>60</v>
          </cell>
          <cell r="L1124">
            <v>35</v>
          </cell>
          <cell r="M1124">
            <v>40</v>
          </cell>
        </row>
        <row r="1125">
          <cell r="B1125" t="str">
            <v>图号</v>
          </cell>
        </row>
        <row r="1126">
          <cell r="B1126" t="str">
            <v>CB3092441-002-001</v>
          </cell>
          <cell r="D1126" t="str">
            <v>D</v>
          </cell>
          <cell r="E1126" t="str">
            <v>工序内容</v>
          </cell>
          <cell r="F1126" t="str">
            <v>0/领料</v>
          </cell>
          <cell r="G1126" t="str">
            <v>05/数铣</v>
          </cell>
          <cell r="H1126" t="str">
            <v>10/分光</v>
          </cell>
          <cell r="I1126" t="str">
            <v>15/硬度</v>
          </cell>
          <cell r="J1126" t="str">
            <v>20/数铣25</v>
          </cell>
          <cell r="K1126" t="str">
            <v>25/线切割</v>
          </cell>
          <cell r="L1126" t="str">
            <v>30/数铣</v>
          </cell>
          <cell r="M1126" t="str">
            <v>35/钳工</v>
          </cell>
          <cell r="N1126" t="str">
            <v>40/清洁</v>
          </cell>
          <cell r="O1126" t="str">
            <v>45/成检</v>
          </cell>
        </row>
        <row r="1127">
          <cell r="B1127" t="str">
            <v>CB3092441-002-001</v>
          </cell>
          <cell r="D1127" t="str">
            <v>D</v>
          </cell>
          <cell r="E1127" t="str">
            <v>准备时间</v>
          </cell>
          <cell r="G1127">
            <v>60</v>
          </cell>
          <cell r="J1127">
            <v>60</v>
          </cell>
          <cell r="L1127">
            <v>60</v>
          </cell>
        </row>
        <row r="1128">
          <cell r="B1128" t="str">
            <v>CB3092441-002-001</v>
          </cell>
          <cell r="D1128" t="str">
            <v>D</v>
          </cell>
          <cell r="E1128" t="str">
            <v>装夹时间</v>
          </cell>
        </row>
        <row r="1129">
          <cell r="B1129" t="str">
            <v>CB3092441-002-001</v>
          </cell>
          <cell r="D1129" t="str">
            <v>D</v>
          </cell>
          <cell r="E1129" t="str">
            <v>程序时间</v>
          </cell>
          <cell r="G1129">
            <v>30</v>
          </cell>
          <cell r="J1129">
            <v>60</v>
          </cell>
          <cell r="L1129">
            <v>20</v>
          </cell>
          <cell r="M1129">
            <v>20</v>
          </cell>
        </row>
        <row r="1130">
          <cell r="B1130" t="str">
            <v>图号</v>
          </cell>
        </row>
        <row r="1131">
          <cell r="B1131" t="str">
            <v>CB5327120-010L015</v>
          </cell>
          <cell r="D1131" t="str">
            <v>E</v>
          </cell>
          <cell r="E1131" t="str">
            <v>工序内容</v>
          </cell>
          <cell r="F1131" t="str">
            <v>0/领料</v>
          </cell>
          <cell r="G1131" t="str">
            <v>5/数铣130</v>
          </cell>
          <cell r="H1131" t="str">
            <v>10/数铣136</v>
          </cell>
          <cell r="I1131" t="str">
            <v>15/数铣64</v>
          </cell>
          <cell r="J1131" t="str">
            <v>20/数铣230</v>
          </cell>
          <cell r="K1131" t="str">
            <v>25/数铣750</v>
          </cell>
          <cell r="L1131" t="str">
            <v>30/数铣590</v>
          </cell>
          <cell r="M1131" t="str">
            <v>35/五轴45</v>
          </cell>
          <cell r="N1131" t="str">
            <v>40/数铣240</v>
          </cell>
          <cell r="O1131" t="str">
            <v>45/数铣65</v>
          </cell>
          <cell r="P1131" t="str">
            <v>50/测量</v>
          </cell>
          <cell r="Q1131" t="str">
            <v>55/钳工</v>
          </cell>
          <cell r="R1131" t="str">
            <v>60/清洁</v>
          </cell>
          <cell r="S1131" t="str">
            <v>65/试块</v>
          </cell>
          <cell r="T1131" t="str">
            <v>70/测量</v>
          </cell>
          <cell r="U1131" t="str">
            <v>75/成检</v>
          </cell>
        </row>
        <row r="1132">
          <cell r="B1132" t="str">
            <v>CB5327120-010L015</v>
          </cell>
          <cell r="D1132" t="str">
            <v>E</v>
          </cell>
          <cell r="E1132" t="str">
            <v>准备工时</v>
          </cell>
          <cell r="G1132">
            <v>60</v>
          </cell>
          <cell r="H1132">
            <v>60</v>
          </cell>
          <cell r="I1132">
            <v>60</v>
          </cell>
          <cell r="J1132">
            <v>120</v>
          </cell>
          <cell r="K1132">
            <v>180</v>
          </cell>
          <cell r="L1132">
            <v>120</v>
          </cell>
          <cell r="M1132">
            <v>210</v>
          </cell>
          <cell r="N1132">
            <v>120</v>
          </cell>
          <cell r="O1132">
            <v>120</v>
          </cell>
        </row>
        <row r="1133">
          <cell r="B1133" t="str">
            <v>CB5327120-010L015</v>
          </cell>
          <cell r="D1133" t="str">
            <v>E</v>
          </cell>
          <cell r="E1133" t="str">
            <v>装夹时间</v>
          </cell>
          <cell r="G1133">
            <v>60</v>
          </cell>
          <cell r="H1133">
            <v>60</v>
          </cell>
          <cell r="I1133">
            <v>60</v>
          </cell>
          <cell r="J1133">
            <v>60</v>
          </cell>
          <cell r="K1133">
            <v>60</v>
          </cell>
          <cell r="L1133">
            <v>60</v>
          </cell>
          <cell r="M1133">
            <v>75</v>
          </cell>
          <cell r="N1133">
            <v>60</v>
          </cell>
          <cell r="O1133">
            <v>60</v>
          </cell>
        </row>
        <row r="1134">
          <cell r="B1134" t="str">
            <v>CB5327120-010L015</v>
          </cell>
          <cell r="D1134" t="str">
            <v>E</v>
          </cell>
          <cell r="E1134" t="str">
            <v>程序时间</v>
          </cell>
          <cell r="G1134">
            <v>180</v>
          </cell>
          <cell r="H1134">
            <v>180</v>
          </cell>
          <cell r="I1134">
            <v>100</v>
          </cell>
          <cell r="J1134">
            <v>300</v>
          </cell>
          <cell r="K1134">
            <v>900</v>
          </cell>
          <cell r="L1134">
            <v>700</v>
          </cell>
          <cell r="M1134">
            <v>180</v>
          </cell>
          <cell r="N1134">
            <v>330</v>
          </cell>
          <cell r="O1134">
            <v>90</v>
          </cell>
          <cell r="Q1134">
            <v>480</v>
          </cell>
        </row>
        <row r="1135">
          <cell r="B1135" t="str">
            <v>图号</v>
          </cell>
        </row>
        <row r="1136">
          <cell r="B1136" t="str">
            <v>CB5327120-010R015</v>
          </cell>
          <cell r="D1136" t="str">
            <v>E</v>
          </cell>
          <cell r="E1136" t="str">
            <v>工序内容</v>
          </cell>
          <cell r="F1136" t="str">
            <v>0/领料</v>
          </cell>
          <cell r="G1136" t="str">
            <v>5/数铣130</v>
          </cell>
          <cell r="H1136" t="str">
            <v>10/数铣136</v>
          </cell>
          <cell r="I1136" t="str">
            <v>15/数铣64</v>
          </cell>
          <cell r="J1136" t="str">
            <v>20/数铣230</v>
          </cell>
          <cell r="K1136" t="str">
            <v>25/数铣750</v>
          </cell>
          <cell r="L1136" t="str">
            <v>30/数铣590</v>
          </cell>
          <cell r="M1136" t="str">
            <v>35/五轴45</v>
          </cell>
          <cell r="N1136" t="str">
            <v>40/数铣240</v>
          </cell>
          <cell r="O1136" t="str">
            <v>45/数铣65</v>
          </cell>
          <cell r="P1136" t="str">
            <v>50/测量</v>
          </cell>
          <cell r="Q1136" t="str">
            <v>55/钳工</v>
          </cell>
          <cell r="R1136" t="str">
            <v>60/清洁</v>
          </cell>
          <cell r="S1136" t="str">
            <v>65/试块</v>
          </cell>
          <cell r="T1136" t="str">
            <v>70/测量</v>
          </cell>
          <cell r="U1136" t="str">
            <v>75/成检</v>
          </cell>
        </row>
        <row r="1137">
          <cell r="B1137" t="str">
            <v>CB5327120-010R015</v>
          </cell>
          <cell r="D1137" t="str">
            <v>E</v>
          </cell>
          <cell r="E1137" t="str">
            <v>准备工时</v>
          </cell>
          <cell r="G1137">
            <v>60</v>
          </cell>
          <cell r="H1137">
            <v>60</v>
          </cell>
          <cell r="I1137">
            <v>60</v>
          </cell>
          <cell r="J1137">
            <v>120</v>
          </cell>
          <cell r="K1137">
            <v>180</v>
          </cell>
          <cell r="L1137">
            <v>120</v>
          </cell>
          <cell r="M1137">
            <v>210</v>
          </cell>
          <cell r="N1137">
            <v>120</v>
          </cell>
          <cell r="O1137">
            <v>120</v>
          </cell>
        </row>
        <row r="1138">
          <cell r="B1138" t="str">
            <v>CB5327120-010R015</v>
          </cell>
          <cell r="D1138" t="str">
            <v>E</v>
          </cell>
          <cell r="E1138" t="str">
            <v>装夹时间</v>
          </cell>
          <cell r="G1138">
            <v>60</v>
          </cell>
          <cell r="H1138">
            <v>60</v>
          </cell>
          <cell r="I1138">
            <v>60</v>
          </cell>
          <cell r="J1138">
            <v>60</v>
          </cell>
          <cell r="K1138">
            <v>60</v>
          </cell>
          <cell r="L1138">
            <v>60</v>
          </cell>
          <cell r="M1138">
            <v>75</v>
          </cell>
          <cell r="N1138">
            <v>60</v>
          </cell>
          <cell r="O1138">
            <v>60</v>
          </cell>
        </row>
        <row r="1139">
          <cell r="B1139" t="str">
            <v>CB5327120-010R015</v>
          </cell>
          <cell r="D1139" t="str">
            <v>E</v>
          </cell>
          <cell r="E1139" t="str">
            <v>程序时间</v>
          </cell>
          <cell r="G1139">
            <v>180</v>
          </cell>
          <cell r="H1139">
            <v>180</v>
          </cell>
          <cell r="I1139">
            <v>100</v>
          </cell>
          <cell r="J1139">
            <v>300</v>
          </cell>
          <cell r="K1139">
            <v>900</v>
          </cell>
          <cell r="L1139">
            <v>700</v>
          </cell>
          <cell r="M1139">
            <v>180</v>
          </cell>
          <cell r="N1139">
            <v>330</v>
          </cell>
          <cell r="O1139">
            <v>90</v>
          </cell>
          <cell r="Q1139">
            <v>480</v>
          </cell>
        </row>
        <row r="1140">
          <cell r="B1140" t="str">
            <v>图号</v>
          </cell>
        </row>
        <row r="1141">
          <cell r="B1141" t="str">
            <v>DD-J10-21102-32-Z</v>
          </cell>
          <cell r="D1141" t="str">
            <v>D</v>
          </cell>
          <cell r="E1141" t="str">
            <v>工序内容</v>
          </cell>
          <cell r="F1141" t="str">
            <v>0/领料</v>
          </cell>
          <cell r="G1141" t="str">
            <v>5/数铣</v>
          </cell>
          <cell r="H1141" t="str">
            <v>10/数铣40</v>
          </cell>
          <cell r="I1141" t="str">
            <v>15/数铣380</v>
          </cell>
          <cell r="J1141" t="str">
            <v>20/数铣35</v>
          </cell>
          <cell r="K1141" t="str">
            <v>25/数铣670</v>
          </cell>
          <cell r="L1141" t="str">
            <v>30/测量</v>
          </cell>
          <cell r="M1141" t="str">
            <v>35/钳工</v>
          </cell>
          <cell r="N1141" t="str">
            <v>40/钳工</v>
          </cell>
          <cell r="O1141" t="str">
            <v>45/清洁</v>
          </cell>
          <cell r="P1141" t="str">
            <v>50/成检</v>
          </cell>
        </row>
        <row r="1142">
          <cell r="B1142" t="str">
            <v>DD-J10-21102-32-Z</v>
          </cell>
          <cell r="D1142" t="str">
            <v>D</v>
          </cell>
          <cell r="E1142" t="str">
            <v>准备工时</v>
          </cell>
          <cell r="G1142">
            <v>60</v>
          </cell>
          <cell r="H1142">
            <v>90</v>
          </cell>
          <cell r="I1142">
            <v>120</v>
          </cell>
          <cell r="J1142">
            <v>90</v>
          </cell>
          <cell r="K1142">
            <v>120</v>
          </cell>
        </row>
        <row r="1143">
          <cell r="B1143" t="str">
            <v>DD-J10-21102-32-Z</v>
          </cell>
          <cell r="D1143" t="str">
            <v>D</v>
          </cell>
          <cell r="E1143" t="str">
            <v>装夹时间</v>
          </cell>
          <cell r="J1143">
            <v>60</v>
          </cell>
        </row>
        <row r="1144">
          <cell r="B1144" t="str">
            <v>DD-J10-21102-32-Z</v>
          </cell>
          <cell r="D1144" t="str">
            <v>D</v>
          </cell>
          <cell r="E1144" t="str">
            <v>程序时间</v>
          </cell>
          <cell r="G1144">
            <v>30</v>
          </cell>
          <cell r="H1144">
            <v>80</v>
          </cell>
          <cell r="I1144">
            <v>600</v>
          </cell>
          <cell r="J1144">
            <v>40</v>
          </cell>
          <cell r="K1144">
            <v>1080</v>
          </cell>
          <cell r="M1144">
            <v>360</v>
          </cell>
          <cell r="N1144">
            <v>15</v>
          </cell>
        </row>
        <row r="1145">
          <cell r="B1145" t="str">
            <v>图号</v>
          </cell>
        </row>
        <row r="1146">
          <cell r="B1146" t="str">
            <v>DD-J10-21102-32-Y</v>
          </cell>
          <cell r="D1146" t="str">
            <v>D</v>
          </cell>
          <cell r="E1146" t="str">
            <v>工序内容</v>
          </cell>
          <cell r="F1146" t="str">
            <v>0/领料</v>
          </cell>
          <cell r="G1146" t="str">
            <v>5/数铣</v>
          </cell>
          <cell r="H1146" t="str">
            <v>10/数铣40</v>
          </cell>
          <cell r="I1146" t="str">
            <v>15/数铣380</v>
          </cell>
          <cell r="J1146" t="str">
            <v>20/数铣35</v>
          </cell>
          <cell r="K1146" t="str">
            <v>25/数铣670</v>
          </cell>
          <cell r="L1146" t="str">
            <v>30/测量</v>
          </cell>
          <cell r="M1146" t="str">
            <v>35/钳工</v>
          </cell>
          <cell r="N1146" t="str">
            <v>40/钳工</v>
          </cell>
          <cell r="O1146" t="str">
            <v>45/清洁</v>
          </cell>
          <cell r="P1146" t="str">
            <v>50/成检</v>
          </cell>
        </row>
        <row r="1147">
          <cell r="B1147" t="str">
            <v>DD-J10-21102-32-Y</v>
          </cell>
          <cell r="D1147" t="str">
            <v>D</v>
          </cell>
          <cell r="E1147" t="str">
            <v>准备工时</v>
          </cell>
          <cell r="G1147">
            <v>60</v>
          </cell>
          <cell r="H1147">
            <v>90</v>
          </cell>
          <cell r="I1147">
            <v>120</v>
          </cell>
          <cell r="J1147">
            <v>90</v>
          </cell>
          <cell r="K1147">
            <v>120</v>
          </cell>
        </row>
        <row r="1148">
          <cell r="B1148" t="str">
            <v>DD-J10-21102-32-Y</v>
          </cell>
          <cell r="D1148" t="str">
            <v>D</v>
          </cell>
          <cell r="E1148" t="str">
            <v>装夹时间</v>
          </cell>
          <cell r="J1148">
            <v>60</v>
          </cell>
        </row>
        <row r="1149">
          <cell r="B1149" t="str">
            <v>DD-J10-21102-32-Y</v>
          </cell>
          <cell r="D1149" t="str">
            <v>D</v>
          </cell>
          <cell r="E1149" t="str">
            <v>程序时间</v>
          </cell>
          <cell r="G1149">
            <v>30</v>
          </cell>
          <cell r="H1149">
            <v>80</v>
          </cell>
          <cell r="I1149">
            <v>600</v>
          </cell>
          <cell r="J1149">
            <v>40</v>
          </cell>
          <cell r="K1149">
            <v>1080</v>
          </cell>
          <cell r="M1149">
            <v>360</v>
          </cell>
          <cell r="N1149">
            <v>15</v>
          </cell>
        </row>
        <row r="1150">
          <cell r="B1150" t="str">
            <v>图号</v>
          </cell>
        </row>
        <row r="1151">
          <cell r="B1151" t="str">
            <v>DD-J10-21102-31-Z</v>
          </cell>
          <cell r="D1151" t="str">
            <v>D</v>
          </cell>
          <cell r="E1151" t="str">
            <v>工序内容</v>
          </cell>
          <cell r="F1151" t="str">
            <v>0/领料</v>
          </cell>
          <cell r="G1151" t="str">
            <v>5/数铣</v>
          </cell>
          <cell r="H1151" t="str">
            <v>10/数铣40</v>
          </cell>
          <cell r="I1151" t="str">
            <v>15/数铣515</v>
          </cell>
          <cell r="J1151" t="str">
            <v>20/数铣35</v>
          </cell>
          <cell r="K1151" t="str">
            <v>25/数铣960</v>
          </cell>
          <cell r="L1151" t="str">
            <v>30/测量</v>
          </cell>
          <cell r="M1151" t="str">
            <v>35/钳工</v>
          </cell>
          <cell r="N1151" t="str">
            <v>40/钳刻字</v>
          </cell>
          <cell r="O1151" t="str">
            <v>45/清洁</v>
          </cell>
          <cell r="P1151" t="str">
            <v>50/成检</v>
          </cell>
        </row>
        <row r="1152">
          <cell r="B1152" t="str">
            <v>DD-J10-21102-31-Z</v>
          </cell>
          <cell r="D1152" t="str">
            <v>D</v>
          </cell>
          <cell r="E1152" t="str">
            <v>准备工时</v>
          </cell>
          <cell r="G1152" t="str">
            <v>60</v>
          </cell>
          <cell r="H1152">
            <v>90</v>
          </cell>
          <cell r="I1152">
            <v>120</v>
          </cell>
          <cell r="J1152">
            <v>90</v>
          </cell>
          <cell r="K1152">
            <v>120</v>
          </cell>
        </row>
        <row r="1153">
          <cell r="B1153" t="str">
            <v>DD-J10-21102-31-Z</v>
          </cell>
          <cell r="D1153" t="str">
            <v>D</v>
          </cell>
          <cell r="E1153" t="str">
            <v>装夹时间</v>
          </cell>
          <cell r="J1153">
            <v>30</v>
          </cell>
        </row>
        <row r="1154">
          <cell r="B1154" t="str">
            <v>DD-J10-21102-31-Z</v>
          </cell>
          <cell r="D1154" t="str">
            <v>D</v>
          </cell>
          <cell r="E1154" t="str">
            <v>程序时间</v>
          </cell>
          <cell r="G1154" t="str">
            <v>30</v>
          </cell>
          <cell r="H1154">
            <v>70</v>
          </cell>
          <cell r="I1154">
            <v>580</v>
          </cell>
          <cell r="J1154">
            <v>80</v>
          </cell>
          <cell r="K1154">
            <v>900</v>
          </cell>
          <cell r="M1154">
            <v>300</v>
          </cell>
          <cell r="N1154">
            <v>15</v>
          </cell>
        </row>
        <row r="1155">
          <cell r="B1155" t="str">
            <v>DD-J10-21102-31-Y</v>
          </cell>
          <cell r="D1155" t="str">
            <v>A</v>
          </cell>
          <cell r="E1155" t="str">
            <v>工序内容</v>
          </cell>
          <cell r="F1155" t="str">
            <v>3/数铣</v>
          </cell>
          <cell r="G1155" t="str">
            <v>5/数铣</v>
          </cell>
          <cell r="H1155" t="str">
            <v>10/数铣40</v>
          </cell>
          <cell r="I1155" t="str">
            <v>15/数铣515</v>
          </cell>
          <cell r="J1155" t="str">
            <v>20/数铣35</v>
          </cell>
          <cell r="K1155" t="str">
            <v>25/数铣960</v>
          </cell>
          <cell r="L1155" t="str">
            <v>30/测量</v>
          </cell>
          <cell r="M1155" t="str">
            <v>35/钳工</v>
          </cell>
          <cell r="N1155" t="str">
            <v>40</v>
          </cell>
          <cell r="O1155" t="str">
            <v>45/清洁</v>
          </cell>
          <cell r="P1155" t="str">
            <v>50/成检</v>
          </cell>
        </row>
        <row r="1156">
          <cell r="B1156" t="str">
            <v>DD-J10-21102-31-Y</v>
          </cell>
          <cell r="D1156" t="str">
            <v>A</v>
          </cell>
          <cell r="E1156" t="str">
            <v>准备工时</v>
          </cell>
          <cell r="F1156" t="str">
            <v>60</v>
          </cell>
          <cell r="G1156" t="str">
            <v>60</v>
          </cell>
          <cell r="H1156">
            <v>90</v>
          </cell>
          <cell r="I1156">
            <v>120</v>
          </cell>
          <cell r="J1156">
            <v>90</v>
          </cell>
          <cell r="K1156">
            <v>120</v>
          </cell>
        </row>
        <row r="1157">
          <cell r="B1157" t="str">
            <v>DD-J10-21102-31-Y</v>
          </cell>
          <cell r="D1157" t="str">
            <v>A</v>
          </cell>
          <cell r="E1157" t="str">
            <v>装夹时间</v>
          </cell>
          <cell r="J1157">
            <v>30</v>
          </cell>
        </row>
        <row r="1158">
          <cell r="B1158" t="str">
            <v>DD-J10-21102-31-Y</v>
          </cell>
          <cell r="D1158" t="str">
            <v>A</v>
          </cell>
          <cell r="E1158" t="str">
            <v>程序时间</v>
          </cell>
          <cell r="F1158" t="str">
            <v>30</v>
          </cell>
          <cell r="G1158" t="str">
            <v>30</v>
          </cell>
          <cell r="H1158">
            <v>70</v>
          </cell>
          <cell r="I1158">
            <v>580</v>
          </cell>
          <cell r="J1158">
            <v>80</v>
          </cell>
          <cell r="K1158">
            <v>900</v>
          </cell>
          <cell r="M1158">
            <v>360</v>
          </cell>
          <cell r="N1158">
            <v>15</v>
          </cell>
        </row>
        <row r="1159">
          <cell r="B1159" t="str">
            <v>DD-J10-21102-31-Y</v>
          </cell>
          <cell r="D1159" t="str">
            <v>D</v>
          </cell>
          <cell r="E1159" t="str">
            <v>工序内容</v>
          </cell>
          <cell r="F1159" t="str">
            <v>0/领料</v>
          </cell>
          <cell r="G1159" t="str">
            <v>5/数铣</v>
          </cell>
          <cell r="H1159" t="str">
            <v>10/数铣40</v>
          </cell>
          <cell r="I1159" t="str">
            <v>15/数铣515</v>
          </cell>
          <cell r="J1159" t="str">
            <v>20/数铣35</v>
          </cell>
          <cell r="K1159" t="str">
            <v>25/数铣960</v>
          </cell>
          <cell r="L1159" t="str">
            <v>30/测量</v>
          </cell>
          <cell r="M1159" t="str">
            <v>35/钳工</v>
          </cell>
          <cell r="N1159" t="str">
            <v>40/钳刻字</v>
          </cell>
          <cell r="O1159" t="str">
            <v>45/清洁</v>
          </cell>
          <cell r="P1159" t="str">
            <v>50/成检</v>
          </cell>
        </row>
        <row r="1160">
          <cell r="B1160" t="str">
            <v>DD-J10-21102-31-Y</v>
          </cell>
          <cell r="D1160" t="str">
            <v>D</v>
          </cell>
          <cell r="E1160" t="str">
            <v>准备工时</v>
          </cell>
          <cell r="G1160" t="str">
            <v>60</v>
          </cell>
          <cell r="H1160">
            <v>90</v>
          </cell>
          <cell r="I1160">
            <v>120</v>
          </cell>
          <cell r="J1160">
            <v>90</v>
          </cell>
          <cell r="K1160">
            <v>120</v>
          </cell>
        </row>
        <row r="1161">
          <cell r="B1161" t="str">
            <v>DD-J10-21102-31-Y</v>
          </cell>
          <cell r="D1161" t="str">
            <v>D</v>
          </cell>
          <cell r="E1161" t="str">
            <v>装夹时间</v>
          </cell>
          <cell r="J1161">
            <v>30</v>
          </cell>
        </row>
        <row r="1162">
          <cell r="B1162" t="str">
            <v>DD-J10-21102-31-Y</v>
          </cell>
          <cell r="D1162" t="str">
            <v>D</v>
          </cell>
          <cell r="E1162" t="str">
            <v>程序时间</v>
          </cell>
          <cell r="G1162" t="str">
            <v>30</v>
          </cell>
          <cell r="H1162">
            <v>70</v>
          </cell>
          <cell r="I1162">
            <v>580</v>
          </cell>
          <cell r="J1162">
            <v>80</v>
          </cell>
          <cell r="K1162">
            <v>900</v>
          </cell>
          <cell r="M1162">
            <v>300</v>
          </cell>
          <cell r="N1162">
            <v>15</v>
          </cell>
        </row>
        <row r="1163">
          <cell r="B1163" t="str">
            <v>图号</v>
          </cell>
        </row>
        <row r="1164">
          <cell r="B1164" t="str">
            <v>CB5327110-003L002</v>
          </cell>
          <cell r="D1164" t="str">
            <v>E</v>
          </cell>
          <cell r="E1164" t="str">
            <v>工序内容</v>
          </cell>
          <cell r="F1164" t="str">
            <v>0/领料</v>
          </cell>
          <cell r="G1164" t="str">
            <v>5/钳工</v>
          </cell>
          <cell r="H1164" t="str">
            <v>10/数铣110</v>
          </cell>
          <cell r="I1164" t="str">
            <v>15/数铣65</v>
          </cell>
          <cell r="J1164" t="str">
            <v>20/数铣310</v>
          </cell>
          <cell r="K1164" t="str">
            <v>25/数铣550</v>
          </cell>
          <cell r="L1164" t="str">
            <v>30/五轴500</v>
          </cell>
          <cell r="M1164" t="str">
            <v>35/钳工</v>
          </cell>
          <cell r="N1164" t="str">
            <v>40/测量</v>
          </cell>
          <cell r="O1164" t="str">
            <v>45/钳工</v>
          </cell>
          <cell r="P1164" t="str">
            <v>50/数铣</v>
          </cell>
          <cell r="Q1164" t="str">
            <v>55/清洁</v>
          </cell>
          <cell r="R1164" t="str">
            <v>60/成检</v>
          </cell>
        </row>
        <row r="1165">
          <cell r="B1165" t="str">
            <v>CB5327110-003L002</v>
          </cell>
          <cell r="D1165" t="str">
            <v>E</v>
          </cell>
          <cell r="E1165" t="str">
            <v>准备工时</v>
          </cell>
          <cell r="H1165">
            <v>90</v>
          </cell>
          <cell r="I1165">
            <v>90</v>
          </cell>
          <cell r="J1165">
            <v>90</v>
          </cell>
          <cell r="K1165">
            <v>180</v>
          </cell>
          <cell r="L1165">
            <v>180</v>
          </cell>
        </row>
        <row r="1166">
          <cell r="B1166" t="str">
            <v>CB5327110-003L002</v>
          </cell>
          <cell r="D1166" t="str">
            <v>E</v>
          </cell>
          <cell r="E1166" t="str">
            <v>装夹时间</v>
          </cell>
          <cell r="H1166">
            <v>60</v>
          </cell>
          <cell r="I1166">
            <v>60</v>
          </cell>
          <cell r="J1166">
            <v>60</v>
          </cell>
          <cell r="K1166">
            <v>60</v>
          </cell>
          <cell r="L1166">
            <v>120</v>
          </cell>
        </row>
        <row r="1167">
          <cell r="B1167" t="str">
            <v>CB5327110-003L002</v>
          </cell>
          <cell r="D1167" t="str">
            <v>E</v>
          </cell>
          <cell r="E1167" t="str">
            <v>程序时间</v>
          </cell>
          <cell r="G1167">
            <v>40</v>
          </cell>
          <cell r="H1167">
            <v>180</v>
          </cell>
          <cell r="I1167">
            <v>120</v>
          </cell>
          <cell r="J1167">
            <v>420</v>
          </cell>
          <cell r="K1167">
            <v>660</v>
          </cell>
          <cell r="L1167">
            <v>960</v>
          </cell>
          <cell r="M1167">
            <v>120</v>
          </cell>
          <cell r="O1167">
            <v>480</v>
          </cell>
          <cell r="P1167">
            <v>20</v>
          </cell>
        </row>
        <row r="1168">
          <cell r="B1168" t="str">
            <v>图号</v>
          </cell>
          <cell r="L1168">
            <v>600</v>
          </cell>
        </row>
        <row r="1169">
          <cell r="B1169" t="str">
            <v>CB5327110-003R002</v>
          </cell>
          <cell r="D1169" t="str">
            <v>E</v>
          </cell>
          <cell r="E1169" t="str">
            <v>工序内容</v>
          </cell>
          <cell r="F1169" t="str">
            <v>0/领料</v>
          </cell>
          <cell r="G1169" t="str">
            <v>5/钳工</v>
          </cell>
          <cell r="H1169" t="str">
            <v>10/数铣110</v>
          </cell>
          <cell r="I1169" t="str">
            <v>15/数铣65</v>
          </cell>
          <cell r="J1169" t="str">
            <v>20/数铣310</v>
          </cell>
          <cell r="K1169" t="str">
            <v>25/数铣550</v>
          </cell>
          <cell r="L1169" t="str">
            <v>30/五轴500</v>
          </cell>
          <cell r="M1169" t="str">
            <v>35/钳工</v>
          </cell>
          <cell r="N1169" t="str">
            <v>40/测量</v>
          </cell>
          <cell r="O1169" t="str">
            <v>45/钳工</v>
          </cell>
          <cell r="P1169" t="str">
            <v>50/数铣</v>
          </cell>
          <cell r="Q1169" t="str">
            <v>55/清洁</v>
          </cell>
          <cell r="R1169" t="str">
            <v>60/成检</v>
          </cell>
        </row>
        <row r="1170">
          <cell r="B1170" t="str">
            <v>CB5327110-003R002</v>
          </cell>
          <cell r="D1170" t="str">
            <v>E</v>
          </cell>
          <cell r="E1170" t="str">
            <v>准备工时</v>
          </cell>
          <cell r="H1170">
            <v>90</v>
          </cell>
          <cell r="I1170">
            <v>90</v>
          </cell>
          <cell r="J1170">
            <v>90</v>
          </cell>
          <cell r="K1170">
            <v>180</v>
          </cell>
          <cell r="L1170">
            <v>180</v>
          </cell>
        </row>
        <row r="1171">
          <cell r="B1171" t="str">
            <v>CB5327110-003R002</v>
          </cell>
          <cell r="D1171" t="str">
            <v>E</v>
          </cell>
          <cell r="E1171" t="str">
            <v>装夹时间</v>
          </cell>
          <cell r="H1171">
            <v>60</v>
          </cell>
          <cell r="I1171">
            <v>60</v>
          </cell>
          <cell r="J1171">
            <v>60</v>
          </cell>
          <cell r="K1171">
            <v>60</v>
          </cell>
          <cell r="L1171">
            <v>120</v>
          </cell>
        </row>
        <row r="1172">
          <cell r="B1172" t="str">
            <v>CB5327110-003R002</v>
          </cell>
          <cell r="D1172" t="str">
            <v>E</v>
          </cell>
          <cell r="E1172" t="str">
            <v>程序时间</v>
          </cell>
          <cell r="G1172">
            <v>40</v>
          </cell>
          <cell r="H1172">
            <v>180</v>
          </cell>
          <cell r="I1172">
            <v>120</v>
          </cell>
          <cell r="J1172">
            <v>420</v>
          </cell>
          <cell r="K1172">
            <v>660</v>
          </cell>
          <cell r="L1172">
            <v>960</v>
          </cell>
          <cell r="M1172">
            <v>120</v>
          </cell>
          <cell r="O1172">
            <v>480</v>
          </cell>
          <cell r="P1172">
            <v>20</v>
          </cell>
        </row>
        <row r="1173">
          <cell r="B1173" t="str">
            <v>图号</v>
          </cell>
          <cell r="L1173">
            <v>600</v>
          </cell>
        </row>
        <row r="1174">
          <cell r="B1174" t="str">
            <v>Y20-5317018032-001</v>
          </cell>
          <cell r="D1174" t="str">
            <v>C</v>
          </cell>
          <cell r="E1174" t="str">
            <v>工序内容</v>
          </cell>
          <cell r="F1174" t="str">
            <v>0/领料</v>
          </cell>
          <cell r="G1174" t="str">
            <v>05/数铣</v>
          </cell>
          <cell r="H1174" t="str">
            <v>10/数铣20</v>
          </cell>
          <cell r="I1174" t="str">
            <v>15/数铣55</v>
          </cell>
          <cell r="J1174" t="str">
            <v>20/数铣45</v>
          </cell>
          <cell r="K1174" t="str">
            <v>25/测量</v>
          </cell>
          <cell r="L1174" t="str">
            <v>30/钳工</v>
          </cell>
          <cell r="M1174" t="str">
            <v>35/检验</v>
          </cell>
          <cell r="N1174" t="str">
            <v>40/分光</v>
          </cell>
          <cell r="O1174" t="str">
            <v>45/钳工</v>
          </cell>
          <cell r="P1174" t="str">
            <v>50/清洁</v>
          </cell>
          <cell r="Q1174" t="str">
            <v>55/成检</v>
          </cell>
        </row>
        <row r="1175">
          <cell r="B1175" t="str">
            <v>Y20-5317018032-001</v>
          </cell>
          <cell r="D1175" t="str">
            <v>C</v>
          </cell>
          <cell r="E1175" t="str">
            <v>准备工时</v>
          </cell>
          <cell r="G1175">
            <v>60</v>
          </cell>
          <cell r="H1175">
            <v>60</v>
          </cell>
          <cell r="I1175">
            <v>60</v>
          </cell>
          <cell r="J1175">
            <v>60</v>
          </cell>
        </row>
        <row r="1176">
          <cell r="B1176" t="str">
            <v>Y20-5317018032-001</v>
          </cell>
          <cell r="D1176" t="str">
            <v>C</v>
          </cell>
          <cell r="E1176" t="str">
            <v>装夹时间</v>
          </cell>
        </row>
        <row r="1177">
          <cell r="B1177" t="str">
            <v>Y20-5317018032-001</v>
          </cell>
          <cell r="D1177" t="str">
            <v>C</v>
          </cell>
          <cell r="E1177" t="str">
            <v>程序时间</v>
          </cell>
          <cell r="G1177">
            <v>30</v>
          </cell>
          <cell r="H1177">
            <v>50</v>
          </cell>
          <cell r="I1177">
            <v>90</v>
          </cell>
          <cell r="J1177">
            <v>70</v>
          </cell>
          <cell r="L1177" t="str">
            <v>60</v>
          </cell>
          <cell r="O1177">
            <v>5</v>
          </cell>
        </row>
        <row r="1178">
          <cell r="B1178" t="str">
            <v>Y20-5317018033-001</v>
          </cell>
          <cell r="D1178" t="str">
            <v>C</v>
          </cell>
          <cell r="E1178" t="str">
            <v>工序内容</v>
          </cell>
          <cell r="F1178" t="str">
            <v>0/领料</v>
          </cell>
          <cell r="G1178" t="str">
            <v>05/数铣</v>
          </cell>
          <cell r="H1178" t="str">
            <v>10/数铣20</v>
          </cell>
          <cell r="I1178" t="str">
            <v>15/数铣38</v>
          </cell>
          <cell r="J1178" t="str">
            <v>20/数铣45</v>
          </cell>
          <cell r="K1178" t="str">
            <v>25/测量</v>
          </cell>
          <cell r="L1178" t="str">
            <v>30/钳工</v>
          </cell>
          <cell r="M1178" t="str">
            <v>35/检验</v>
          </cell>
          <cell r="N1178" t="str">
            <v>40/分光</v>
          </cell>
          <cell r="O1178" t="str">
            <v>45/钳工</v>
          </cell>
          <cell r="P1178" t="str">
            <v>50/清洁</v>
          </cell>
          <cell r="Q1178" t="str">
            <v>55/成检</v>
          </cell>
        </row>
        <row r="1179">
          <cell r="B1179" t="str">
            <v>Y20-5317018033-001</v>
          </cell>
          <cell r="D1179" t="str">
            <v>C</v>
          </cell>
          <cell r="E1179" t="str">
            <v>准备工时</v>
          </cell>
          <cell r="G1179">
            <v>60</v>
          </cell>
          <cell r="H1179">
            <v>60</v>
          </cell>
          <cell r="I1179">
            <v>60</v>
          </cell>
          <cell r="J1179">
            <v>60</v>
          </cell>
        </row>
        <row r="1180">
          <cell r="B1180" t="str">
            <v>Y20-5317018033-001</v>
          </cell>
          <cell r="D1180" t="str">
            <v>C</v>
          </cell>
          <cell r="E1180" t="str">
            <v>装夹时间</v>
          </cell>
        </row>
        <row r="1181">
          <cell r="B1181" t="str">
            <v>Y20-5317018033-001</v>
          </cell>
          <cell r="D1181" t="str">
            <v>C</v>
          </cell>
          <cell r="E1181" t="str">
            <v>程序时间</v>
          </cell>
          <cell r="G1181">
            <v>30</v>
          </cell>
          <cell r="H1181">
            <v>50</v>
          </cell>
          <cell r="I1181">
            <v>75</v>
          </cell>
          <cell r="J1181">
            <v>75</v>
          </cell>
          <cell r="L1181" t="str">
            <v>60</v>
          </cell>
          <cell r="O1181">
            <v>5</v>
          </cell>
        </row>
        <row r="1182">
          <cell r="B1182" t="str">
            <v>Y20-5317018034-001</v>
          </cell>
          <cell r="D1182" t="str">
            <v>C</v>
          </cell>
          <cell r="E1182" t="str">
            <v>工序内容</v>
          </cell>
          <cell r="F1182" t="str">
            <v>0/领料</v>
          </cell>
          <cell r="G1182" t="str">
            <v>05/数铣</v>
          </cell>
          <cell r="H1182" t="str">
            <v>10/数铣20</v>
          </cell>
          <cell r="I1182" t="str">
            <v>15/数铣50</v>
          </cell>
          <cell r="J1182" t="str">
            <v>20/数铣32</v>
          </cell>
          <cell r="K1182" t="str">
            <v>25/测量</v>
          </cell>
          <cell r="L1182" t="str">
            <v>30/钳工</v>
          </cell>
          <cell r="M1182" t="str">
            <v>35/检验</v>
          </cell>
          <cell r="N1182" t="str">
            <v>40/分光</v>
          </cell>
          <cell r="O1182" t="str">
            <v>45/钳工</v>
          </cell>
          <cell r="P1182" t="str">
            <v>50/清洁</v>
          </cell>
          <cell r="Q1182" t="str">
            <v>55/成检</v>
          </cell>
        </row>
        <row r="1183">
          <cell r="B1183" t="str">
            <v>Y20-5317018034-001</v>
          </cell>
          <cell r="D1183" t="str">
            <v>C</v>
          </cell>
          <cell r="E1183" t="str">
            <v>准备工时</v>
          </cell>
          <cell r="G1183">
            <v>60</v>
          </cell>
          <cell r="H1183">
            <v>60</v>
          </cell>
          <cell r="I1183">
            <v>60</v>
          </cell>
          <cell r="J1183">
            <v>60</v>
          </cell>
        </row>
        <row r="1184">
          <cell r="B1184" t="str">
            <v>Y20-5317018034-001</v>
          </cell>
          <cell r="D1184" t="str">
            <v>C</v>
          </cell>
          <cell r="E1184" t="str">
            <v>装夹时间</v>
          </cell>
        </row>
        <row r="1185">
          <cell r="B1185" t="str">
            <v>Y20-5317018034-001</v>
          </cell>
          <cell r="D1185" t="str">
            <v>C</v>
          </cell>
          <cell r="E1185" t="str">
            <v>程序时间</v>
          </cell>
          <cell r="G1185">
            <v>30</v>
          </cell>
          <cell r="H1185">
            <v>50</v>
          </cell>
          <cell r="I1185">
            <v>100</v>
          </cell>
          <cell r="J1185">
            <v>70</v>
          </cell>
          <cell r="L1185" t="str">
            <v>60</v>
          </cell>
          <cell r="O1185">
            <v>5</v>
          </cell>
        </row>
        <row r="1186">
          <cell r="B1186" t="str">
            <v>DD-J10B-02041-2-Z</v>
          </cell>
          <cell r="D1186" t="str">
            <v>G</v>
          </cell>
          <cell r="E1186" t="str">
            <v>工序内容</v>
          </cell>
          <cell r="F1186" t="str">
            <v>0/领料</v>
          </cell>
          <cell r="G1186" t="str">
            <v>5/数铣</v>
          </cell>
          <cell r="H1186" t="str">
            <v>10/数铣50</v>
          </cell>
          <cell r="I1186" t="str">
            <v>15/数铣80</v>
          </cell>
          <cell r="J1186" t="str">
            <v>20/数铣80</v>
          </cell>
          <cell r="K1186" t="str">
            <v>25/数铣</v>
          </cell>
          <cell r="L1186" t="str">
            <v>30/数铣120</v>
          </cell>
          <cell r="M1186" t="str">
            <v>35/数铣300</v>
          </cell>
          <cell r="N1186" t="str">
            <v>40/五轴120</v>
          </cell>
          <cell r="O1186" t="str">
            <v>45/五轴60</v>
          </cell>
          <cell r="P1186" t="str">
            <v>50/测量</v>
          </cell>
          <cell r="Q1186" t="str">
            <v>55/钳工</v>
          </cell>
          <cell r="R1186" t="str">
            <v>60/清洁</v>
          </cell>
          <cell r="S1186" t="str">
            <v>65/成检</v>
          </cell>
        </row>
        <row r="1187">
          <cell r="B1187" t="str">
            <v>DD-J10B-02041-2-Z</v>
          </cell>
          <cell r="D1187" t="str">
            <v>G</v>
          </cell>
          <cell r="E1187" t="str">
            <v>准备工时</v>
          </cell>
          <cell r="G1187">
            <v>60</v>
          </cell>
          <cell r="H1187">
            <v>90</v>
          </cell>
          <cell r="I1187">
            <v>90</v>
          </cell>
          <cell r="J1187">
            <v>90</v>
          </cell>
          <cell r="K1187">
            <v>60</v>
          </cell>
          <cell r="L1187">
            <v>90</v>
          </cell>
          <cell r="M1187">
            <v>100</v>
          </cell>
          <cell r="N1187">
            <v>210</v>
          </cell>
          <cell r="O1187">
            <v>210</v>
          </cell>
        </row>
        <row r="1188">
          <cell r="B1188" t="str">
            <v>DD-J10B-02041-2-Z</v>
          </cell>
          <cell r="D1188" t="str">
            <v>G</v>
          </cell>
          <cell r="E1188" t="str">
            <v>装夹时间</v>
          </cell>
          <cell r="N1188">
            <v>90</v>
          </cell>
          <cell r="O1188">
            <v>90</v>
          </cell>
        </row>
        <row r="1189">
          <cell r="B1189" t="str">
            <v>DD-J10B-02041-2-Z</v>
          </cell>
          <cell r="D1189" t="str">
            <v>G</v>
          </cell>
          <cell r="E1189" t="str">
            <v>程序时间</v>
          </cell>
          <cell r="G1189">
            <v>120</v>
          </cell>
          <cell r="H1189">
            <v>90</v>
          </cell>
          <cell r="I1189">
            <v>180</v>
          </cell>
          <cell r="J1189">
            <v>180</v>
          </cell>
          <cell r="K1189">
            <v>90</v>
          </cell>
          <cell r="L1189">
            <v>220</v>
          </cell>
          <cell r="M1189">
            <v>540</v>
          </cell>
          <cell r="N1189">
            <v>330</v>
          </cell>
          <cell r="O1189">
            <v>150</v>
          </cell>
          <cell r="Q1189">
            <v>240</v>
          </cell>
        </row>
        <row r="1190">
          <cell r="B1190" t="str">
            <v>图号</v>
          </cell>
        </row>
        <row r="1191">
          <cell r="B1191" t="str">
            <v>DD-J10B-02041-2-Y</v>
          </cell>
          <cell r="D1191" t="str">
            <v>G</v>
          </cell>
          <cell r="E1191" t="str">
            <v>工序内容</v>
          </cell>
          <cell r="F1191" t="str">
            <v>0/领料</v>
          </cell>
          <cell r="G1191" t="str">
            <v>5/数铣</v>
          </cell>
          <cell r="H1191" t="str">
            <v>10/数铣50</v>
          </cell>
          <cell r="I1191" t="str">
            <v>15/数铣80</v>
          </cell>
          <cell r="J1191" t="str">
            <v>20/数铣80</v>
          </cell>
          <cell r="K1191" t="str">
            <v>25/数铣</v>
          </cell>
          <cell r="L1191" t="str">
            <v>30/数铣120</v>
          </cell>
          <cell r="M1191" t="str">
            <v>35/数铣300</v>
          </cell>
          <cell r="N1191" t="str">
            <v>40/五轴120</v>
          </cell>
          <cell r="O1191" t="str">
            <v>45/五轴60</v>
          </cell>
          <cell r="P1191" t="str">
            <v>50/测量</v>
          </cell>
          <cell r="Q1191" t="str">
            <v>55/钳工</v>
          </cell>
          <cell r="R1191" t="str">
            <v>60/清洁</v>
          </cell>
          <cell r="S1191" t="str">
            <v>65/成检</v>
          </cell>
        </row>
        <row r="1192">
          <cell r="B1192" t="str">
            <v>DD-J10B-02041-2-Y</v>
          </cell>
          <cell r="D1192" t="str">
            <v>G</v>
          </cell>
          <cell r="E1192" t="str">
            <v>准备工时</v>
          </cell>
          <cell r="G1192">
            <v>60</v>
          </cell>
          <cell r="H1192">
            <v>90</v>
          </cell>
          <cell r="I1192">
            <v>90</v>
          </cell>
          <cell r="J1192">
            <v>90</v>
          </cell>
          <cell r="K1192">
            <v>60</v>
          </cell>
          <cell r="L1192">
            <v>90</v>
          </cell>
          <cell r="M1192">
            <v>100</v>
          </cell>
          <cell r="N1192">
            <v>210</v>
          </cell>
          <cell r="O1192">
            <v>210</v>
          </cell>
        </row>
        <row r="1193">
          <cell r="B1193" t="str">
            <v>DD-J10B-02041-2-Y</v>
          </cell>
          <cell r="D1193" t="str">
            <v>G</v>
          </cell>
          <cell r="E1193" t="str">
            <v>装夹时间</v>
          </cell>
          <cell r="N1193">
            <v>90</v>
          </cell>
          <cell r="O1193">
            <v>90</v>
          </cell>
        </row>
        <row r="1194">
          <cell r="B1194" t="str">
            <v>DD-J10B-02041-2-Y</v>
          </cell>
          <cell r="D1194" t="str">
            <v>G</v>
          </cell>
          <cell r="E1194" t="str">
            <v>程序时间</v>
          </cell>
          <cell r="G1194">
            <v>120</v>
          </cell>
          <cell r="H1194">
            <v>90</v>
          </cell>
          <cell r="I1194">
            <v>180</v>
          </cell>
          <cell r="J1194">
            <v>180</v>
          </cell>
          <cell r="K1194">
            <v>90</v>
          </cell>
          <cell r="L1194">
            <v>220</v>
          </cell>
          <cell r="M1194">
            <v>540</v>
          </cell>
          <cell r="N1194">
            <v>330</v>
          </cell>
          <cell r="O1194">
            <v>150</v>
          </cell>
          <cell r="Q1194">
            <v>240</v>
          </cell>
        </row>
        <row r="1195">
          <cell r="B1195" t="str">
            <v>图号</v>
          </cell>
        </row>
        <row r="1196">
          <cell r="B1196" t="str">
            <v>DD-J10B-04321-30-1-Z</v>
          </cell>
          <cell r="D1196" t="str">
            <v>F</v>
          </cell>
          <cell r="E1196" t="str">
            <v>工序内容</v>
          </cell>
          <cell r="F1196" t="str">
            <v>00/领料</v>
          </cell>
          <cell r="G1196" t="str">
            <v>5/飞面</v>
          </cell>
          <cell r="H1196" t="str">
            <v>10/孔90</v>
          </cell>
          <cell r="I1196" t="str">
            <v>15/数铣850</v>
          </cell>
          <cell r="J1196" t="str">
            <v>20/铣350</v>
          </cell>
          <cell r="K1196" t="str">
            <v>25/铣50</v>
          </cell>
          <cell r="L1196" t="str">
            <v>30/数铣130</v>
          </cell>
          <cell r="M1196" t="str">
            <v>35/钳工</v>
          </cell>
          <cell r="N1196" t="str">
            <v>40/测量</v>
          </cell>
          <cell r="O1196" t="str">
            <v>45/清洁</v>
          </cell>
          <cell r="P1196" t="str">
            <v>50/成检</v>
          </cell>
        </row>
        <row r="1197">
          <cell r="B1197" t="str">
            <v>DD-J10B-04321-30-1-Z</v>
          </cell>
          <cell r="D1197" t="str">
            <v>F</v>
          </cell>
          <cell r="E1197" t="str">
            <v>准备工时</v>
          </cell>
          <cell r="G1197">
            <v>60</v>
          </cell>
          <cell r="H1197">
            <v>60</v>
          </cell>
          <cell r="I1197">
            <v>120</v>
          </cell>
          <cell r="J1197">
            <v>120</v>
          </cell>
          <cell r="K1197">
            <v>60</v>
          </cell>
          <cell r="L1197">
            <v>60</v>
          </cell>
        </row>
        <row r="1198">
          <cell r="B1198" t="str">
            <v>DD-J10B-04321-30-1-Z</v>
          </cell>
          <cell r="D1198" t="str">
            <v>F</v>
          </cell>
          <cell r="E1198" t="str">
            <v>装夹时间</v>
          </cell>
          <cell r="G1198">
            <v>60</v>
          </cell>
          <cell r="H1198">
            <v>60</v>
          </cell>
          <cell r="I1198">
            <v>60</v>
          </cell>
          <cell r="J1198">
            <v>90</v>
          </cell>
          <cell r="K1198">
            <v>90</v>
          </cell>
          <cell r="L1198">
            <v>90</v>
          </cell>
        </row>
        <row r="1199">
          <cell r="B1199" t="str">
            <v>DD-J10B-04321-30-1-Z</v>
          </cell>
          <cell r="D1199" t="str">
            <v>F</v>
          </cell>
          <cell r="E1199" t="str">
            <v>程序时间</v>
          </cell>
          <cell r="G1199">
            <v>180</v>
          </cell>
          <cell r="H1199">
            <v>150</v>
          </cell>
          <cell r="I1199">
            <v>1020</v>
          </cell>
          <cell r="J1199">
            <v>510</v>
          </cell>
          <cell r="K1199">
            <v>60</v>
          </cell>
          <cell r="L1199">
            <v>180</v>
          </cell>
          <cell r="M1199">
            <v>180</v>
          </cell>
        </row>
        <row r="1200">
          <cell r="B1200" t="str">
            <v>DD-J10B-04321-30-1-Y</v>
          </cell>
          <cell r="D1200" t="str">
            <v>F</v>
          </cell>
          <cell r="E1200" t="str">
            <v>工序内容</v>
          </cell>
          <cell r="F1200" t="str">
            <v>00/领料</v>
          </cell>
          <cell r="G1200" t="str">
            <v>5/飞面</v>
          </cell>
          <cell r="H1200" t="str">
            <v>10/孔90</v>
          </cell>
          <cell r="I1200" t="str">
            <v>15/数铣850</v>
          </cell>
          <cell r="J1200" t="str">
            <v>20/铣350</v>
          </cell>
          <cell r="K1200" t="str">
            <v>25/铣50</v>
          </cell>
          <cell r="L1200" t="str">
            <v>30/数铣130</v>
          </cell>
          <cell r="M1200" t="str">
            <v>35/钳工</v>
          </cell>
          <cell r="N1200" t="str">
            <v>40/测量</v>
          </cell>
          <cell r="O1200" t="str">
            <v>45/清洁</v>
          </cell>
          <cell r="P1200" t="str">
            <v>50/成检</v>
          </cell>
        </row>
        <row r="1201">
          <cell r="B1201" t="str">
            <v>DD-J10B-04321-30-1-Y</v>
          </cell>
          <cell r="D1201" t="str">
            <v>F</v>
          </cell>
          <cell r="E1201" t="str">
            <v>准备工时</v>
          </cell>
          <cell r="G1201">
            <v>60</v>
          </cell>
          <cell r="H1201">
            <v>60</v>
          </cell>
          <cell r="I1201">
            <v>120</v>
          </cell>
          <cell r="J1201">
            <v>120</v>
          </cell>
          <cell r="K1201">
            <v>60</v>
          </cell>
          <cell r="L1201">
            <v>60</v>
          </cell>
        </row>
        <row r="1202">
          <cell r="B1202" t="str">
            <v>DD-J10B-04321-30-1-Y</v>
          </cell>
          <cell r="D1202" t="str">
            <v>F</v>
          </cell>
          <cell r="E1202" t="str">
            <v>装夹时间</v>
          </cell>
          <cell r="G1202">
            <v>60</v>
          </cell>
          <cell r="H1202">
            <v>60</v>
          </cell>
          <cell r="I1202">
            <v>60</v>
          </cell>
          <cell r="J1202">
            <v>90</v>
          </cell>
          <cell r="K1202">
            <v>90</v>
          </cell>
          <cell r="L1202">
            <v>90</v>
          </cell>
        </row>
        <row r="1203">
          <cell r="B1203" t="str">
            <v>DD-J10B-04321-30-1-Y</v>
          </cell>
          <cell r="D1203" t="str">
            <v>F</v>
          </cell>
          <cell r="E1203" t="str">
            <v>程序时间</v>
          </cell>
          <cell r="G1203">
            <v>180</v>
          </cell>
          <cell r="H1203">
            <v>150</v>
          </cell>
          <cell r="I1203">
            <v>1020</v>
          </cell>
          <cell r="J1203">
            <v>510</v>
          </cell>
          <cell r="K1203">
            <v>60</v>
          </cell>
          <cell r="L1203">
            <v>180</v>
          </cell>
          <cell r="M1203">
            <v>180</v>
          </cell>
        </row>
        <row r="1204">
          <cell r="B1204" t="str">
            <v>图号</v>
          </cell>
        </row>
        <row r="1205">
          <cell r="B1205" t="str">
            <v>DD-J10B-04321-30-2-Y</v>
          </cell>
          <cell r="D1205" t="str">
            <v>F</v>
          </cell>
          <cell r="E1205" t="str">
            <v>工序内容</v>
          </cell>
          <cell r="F1205" t="str">
            <v>00/领料</v>
          </cell>
          <cell r="G1205" t="str">
            <v>5/飞面</v>
          </cell>
          <cell r="H1205" t="str">
            <v>10/孔90</v>
          </cell>
          <cell r="I1205" t="str">
            <v>15/数铣850</v>
          </cell>
          <cell r="J1205" t="str">
            <v>20/铣350</v>
          </cell>
          <cell r="K1205" t="str">
            <v>25/铣50</v>
          </cell>
          <cell r="L1205" t="str">
            <v>30/数铣130</v>
          </cell>
          <cell r="M1205" t="str">
            <v>35/钳工</v>
          </cell>
          <cell r="N1205" t="str">
            <v>40/测量</v>
          </cell>
          <cell r="O1205" t="str">
            <v>45/清洁</v>
          </cell>
          <cell r="P1205" t="str">
            <v>50/成检</v>
          </cell>
        </row>
        <row r="1206">
          <cell r="B1206" t="str">
            <v>DD-J10B-04321-30-2-Y</v>
          </cell>
          <cell r="D1206" t="str">
            <v>F</v>
          </cell>
          <cell r="E1206" t="str">
            <v>准备工时</v>
          </cell>
          <cell r="G1206">
            <v>60</v>
          </cell>
          <cell r="H1206">
            <v>60</v>
          </cell>
          <cell r="I1206">
            <v>120</v>
          </cell>
          <cell r="J1206">
            <v>120</v>
          </cell>
          <cell r="K1206">
            <v>60</v>
          </cell>
          <cell r="L1206">
            <v>60</v>
          </cell>
        </row>
        <row r="1207">
          <cell r="B1207" t="str">
            <v>DD-J10B-04321-30-2-Y</v>
          </cell>
          <cell r="D1207" t="str">
            <v>F</v>
          </cell>
          <cell r="E1207" t="str">
            <v>装夹时间</v>
          </cell>
          <cell r="G1207">
            <v>60</v>
          </cell>
          <cell r="H1207">
            <v>60</v>
          </cell>
          <cell r="I1207">
            <v>60</v>
          </cell>
          <cell r="J1207">
            <v>120</v>
          </cell>
          <cell r="K1207">
            <v>90</v>
          </cell>
          <cell r="L1207">
            <v>90</v>
          </cell>
        </row>
        <row r="1208">
          <cell r="B1208" t="str">
            <v>DD-J10B-04321-30-2-Y</v>
          </cell>
          <cell r="D1208" t="str">
            <v>F</v>
          </cell>
          <cell r="E1208" t="str">
            <v>程序时间</v>
          </cell>
          <cell r="G1208">
            <v>180</v>
          </cell>
          <cell r="H1208">
            <v>150</v>
          </cell>
          <cell r="I1208">
            <v>1020</v>
          </cell>
          <cell r="J1208">
            <v>510</v>
          </cell>
          <cell r="K1208">
            <v>60</v>
          </cell>
          <cell r="L1208">
            <v>180</v>
          </cell>
          <cell r="M1208">
            <v>180</v>
          </cell>
        </row>
        <row r="1209">
          <cell r="B1209" t="str">
            <v>DD-J10B-26002-1G2-Z</v>
          </cell>
          <cell r="D1209" t="str">
            <v>SY</v>
          </cell>
          <cell r="E1209" t="str">
            <v>工序内容</v>
          </cell>
          <cell r="F1209" t="str">
            <v>00/领料</v>
          </cell>
          <cell r="G1209" t="str">
            <v>5/数铣120</v>
          </cell>
          <cell r="H1209" t="str">
            <v>10/数铣100</v>
          </cell>
          <cell r="I1209" t="str">
            <v>15/数铣400</v>
          </cell>
          <cell r="J1209" t="str">
            <v>20/数铣</v>
          </cell>
          <cell r="K1209" t="str">
            <v>25/数铣90</v>
          </cell>
          <cell r="L1209" t="str">
            <v>30/数铣540</v>
          </cell>
          <cell r="M1209" t="str">
            <v>35/数铣520</v>
          </cell>
          <cell r="N1209" t="str">
            <v>40/时效</v>
          </cell>
          <cell r="O1209" t="str">
            <v>45/数铣</v>
          </cell>
          <cell r="P1209" t="str">
            <v>50/数铣470</v>
          </cell>
          <cell r="Q1209" t="str">
            <v>55/五轴200</v>
          </cell>
          <cell r="R1209" t="str">
            <v>60/数铣440</v>
          </cell>
          <cell r="S1209" t="str">
            <v>65/五轴540</v>
          </cell>
          <cell r="T1209" t="str">
            <v>70/钳工</v>
          </cell>
          <cell r="U1209" t="str">
            <v>75/数铣</v>
          </cell>
          <cell r="V1209" t="str">
            <v>80/清洁</v>
          </cell>
          <cell r="W1209" t="str">
            <v>85/测量</v>
          </cell>
          <cell r="X1209" t="str">
            <v>90/成检</v>
          </cell>
        </row>
        <row r="1210">
          <cell r="B1210" t="str">
            <v>DD-J10B-26002-1G2-Z</v>
          </cell>
          <cell r="D1210" t="str">
            <v>SY</v>
          </cell>
          <cell r="E1210" t="str">
            <v>准备工时</v>
          </cell>
          <cell r="G1210">
            <v>90</v>
          </cell>
          <cell r="H1210">
            <v>90</v>
          </cell>
          <cell r="I1210">
            <v>60</v>
          </cell>
          <cell r="J1210">
            <v>60</v>
          </cell>
          <cell r="K1210">
            <v>90</v>
          </cell>
          <cell r="L1210">
            <v>90</v>
          </cell>
          <cell r="M1210">
            <v>60</v>
          </cell>
          <cell r="O1210">
            <v>90</v>
          </cell>
          <cell r="P1210">
            <v>90</v>
          </cell>
          <cell r="Q1210">
            <v>120</v>
          </cell>
          <cell r="R1210">
            <v>90</v>
          </cell>
          <cell r="S1210">
            <v>150</v>
          </cell>
        </row>
        <row r="1211">
          <cell r="B1211" t="str">
            <v>DD-J10B-26002-1G2-Z</v>
          </cell>
          <cell r="D1211" t="str">
            <v>SY</v>
          </cell>
          <cell r="E1211" t="str">
            <v>装夹时间</v>
          </cell>
          <cell r="G1211">
            <v>60</v>
          </cell>
          <cell r="H1211">
            <v>60</v>
          </cell>
          <cell r="I1211">
            <v>90</v>
          </cell>
          <cell r="J1211">
            <v>60</v>
          </cell>
          <cell r="K1211">
            <v>90</v>
          </cell>
          <cell r="L1211">
            <v>120</v>
          </cell>
          <cell r="M1211">
            <v>120</v>
          </cell>
          <cell r="O1211">
            <v>120</v>
          </cell>
          <cell r="P1211">
            <v>120</v>
          </cell>
          <cell r="Q1211">
            <v>180</v>
          </cell>
          <cell r="R1211">
            <v>120</v>
          </cell>
          <cell r="S1211">
            <v>180</v>
          </cell>
          <cell r="U1211">
            <v>20</v>
          </cell>
        </row>
        <row r="1212">
          <cell r="B1212" t="str">
            <v>DD-J10B-26002-1G2-Z</v>
          </cell>
          <cell r="D1212" t="str">
            <v>SY</v>
          </cell>
          <cell r="E1212" t="str">
            <v>程序时间</v>
          </cell>
          <cell r="G1212">
            <v>140</v>
          </cell>
          <cell r="H1212">
            <v>120</v>
          </cell>
          <cell r="I1212">
            <v>480</v>
          </cell>
          <cell r="J1212">
            <v>120</v>
          </cell>
          <cell r="K1212">
            <v>140</v>
          </cell>
          <cell r="L1212">
            <v>720</v>
          </cell>
          <cell r="M1212">
            <v>660</v>
          </cell>
          <cell r="O1212">
            <v>300</v>
          </cell>
          <cell r="P1212">
            <v>630</v>
          </cell>
          <cell r="Q1212">
            <v>540</v>
          </cell>
          <cell r="R1212">
            <v>520</v>
          </cell>
          <cell r="S1212">
            <v>1080</v>
          </cell>
          <cell r="T1212">
            <v>960</v>
          </cell>
        </row>
        <row r="1213">
          <cell r="B1213" t="str">
            <v>图号</v>
          </cell>
        </row>
        <row r="1214">
          <cell r="B1214" t="str">
            <v>DD-J10B-26002-1G2-Z</v>
          </cell>
          <cell r="D1214" t="str">
            <v>B</v>
          </cell>
          <cell r="E1214" t="str">
            <v>工序内容</v>
          </cell>
          <cell r="F1214" t="str">
            <v>00/领料</v>
          </cell>
          <cell r="G1214" t="str">
            <v>5/数铣120</v>
          </cell>
          <cell r="H1214" t="str">
            <v>10/数铣100</v>
          </cell>
          <cell r="I1214" t="str">
            <v>15/数铣400</v>
          </cell>
          <cell r="J1214" t="str">
            <v>20/数铣</v>
          </cell>
          <cell r="K1214" t="str">
            <v>25/数铣90</v>
          </cell>
          <cell r="L1214" t="str">
            <v>30/数铣540</v>
          </cell>
          <cell r="M1214" t="str">
            <v>35/数铣520</v>
          </cell>
          <cell r="N1214" t="str">
            <v>40/时效</v>
          </cell>
          <cell r="O1214" t="str">
            <v>45/数铣</v>
          </cell>
          <cell r="P1214" t="str">
            <v>50/数铣470</v>
          </cell>
          <cell r="Q1214" t="str">
            <v>55/五轴200</v>
          </cell>
          <cell r="R1214" t="str">
            <v>60/数铣440</v>
          </cell>
          <cell r="S1214" t="str">
            <v>65/五轴540</v>
          </cell>
          <cell r="T1214" t="str">
            <v>70/钳工</v>
          </cell>
          <cell r="U1214" t="str">
            <v>75/数铣</v>
          </cell>
          <cell r="V1214" t="str">
            <v>80/清洁</v>
          </cell>
          <cell r="W1214" t="str">
            <v>85/测量</v>
          </cell>
          <cell r="X1214" t="str">
            <v>90/成检</v>
          </cell>
        </row>
        <row r="1215">
          <cell r="B1215" t="str">
            <v>DD-J10B-26002-1G2-Z</v>
          </cell>
          <cell r="D1215" t="str">
            <v>B</v>
          </cell>
          <cell r="E1215" t="str">
            <v>准备工时</v>
          </cell>
          <cell r="G1215">
            <v>90</v>
          </cell>
          <cell r="H1215">
            <v>90</v>
          </cell>
          <cell r="I1215">
            <v>60</v>
          </cell>
          <cell r="J1215">
            <v>60</v>
          </cell>
          <cell r="K1215">
            <v>90</v>
          </cell>
          <cell r="L1215">
            <v>90</v>
          </cell>
          <cell r="M1215">
            <v>60</v>
          </cell>
          <cell r="O1215">
            <v>90</v>
          </cell>
          <cell r="P1215">
            <v>90</v>
          </cell>
          <cell r="Q1215">
            <v>120</v>
          </cell>
          <cell r="R1215">
            <v>90</v>
          </cell>
          <cell r="S1215">
            <v>150</v>
          </cell>
        </row>
        <row r="1216">
          <cell r="B1216" t="str">
            <v>DD-J10B-26002-1G2-Z</v>
          </cell>
          <cell r="D1216" t="str">
            <v>B</v>
          </cell>
          <cell r="E1216" t="str">
            <v>装夹时间</v>
          </cell>
          <cell r="G1216">
            <v>60</v>
          </cell>
          <cell r="H1216">
            <v>60</v>
          </cell>
          <cell r="I1216">
            <v>90</v>
          </cell>
          <cell r="J1216">
            <v>60</v>
          </cell>
          <cell r="K1216">
            <v>90</v>
          </cell>
          <cell r="L1216">
            <v>120</v>
          </cell>
          <cell r="M1216">
            <v>120</v>
          </cell>
          <cell r="O1216">
            <v>120</v>
          </cell>
          <cell r="P1216">
            <v>120</v>
          </cell>
          <cell r="Q1216">
            <v>180</v>
          </cell>
          <cell r="R1216">
            <v>120</v>
          </cell>
          <cell r="S1216">
            <v>180</v>
          </cell>
          <cell r="U1216">
            <v>20</v>
          </cell>
        </row>
        <row r="1217">
          <cell r="B1217" t="str">
            <v>DD-J10B-26002-1G2-Z</v>
          </cell>
          <cell r="D1217" t="str">
            <v>B</v>
          </cell>
          <cell r="E1217" t="str">
            <v>程序时间</v>
          </cell>
          <cell r="G1217">
            <v>140</v>
          </cell>
          <cell r="H1217">
            <v>120</v>
          </cell>
          <cell r="I1217">
            <v>480</v>
          </cell>
          <cell r="J1217">
            <v>120</v>
          </cell>
          <cell r="K1217">
            <v>140</v>
          </cell>
          <cell r="L1217">
            <v>720</v>
          </cell>
          <cell r="M1217">
            <v>660</v>
          </cell>
          <cell r="O1217">
            <v>300</v>
          </cell>
          <cell r="P1217">
            <v>630</v>
          </cell>
          <cell r="Q1217">
            <v>540</v>
          </cell>
          <cell r="R1217">
            <v>520</v>
          </cell>
          <cell r="S1217">
            <v>1080</v>
          </cell>
          <cell r="T1217">
            <v>960</v>
          </cell>
        </row>
        <row r="1218">
          <cell r="B1218" t="str">
            <v>图号</v>
          </cell>
        </row>
        <row r="1219">
          <cell r="B1219" t="str">
            <v>DD-J10B-26002-1G2-Y</v>
          </cell>
          <cell r="D1219" t="str">
            <v>B</v>
          </cell>
          <cell r="E1219" t="str">
            <v>工序内容</v>
          </cell>
          <cell r="F1219" t="str">
            <v>00/领料</v>
          </cell>
          <cell r="G1219" t="str">
            <v>5/数铣120</v>
          </cell>
          <cell r="H1219" t="str">
            <v>10/数铣100</v>
          </cell>
          <cell r="I1219" t="str">
            <v>15/数铣400</v>
          </cell>
          <cell r="J1219" t="str">
            <v>20/数铣</v>
          </cell>
          <cell r="K1219" t="str">
            <v>25/数铣90</v>
          </cell>
          <cell r="L1219" t="str">
            <v>30/数铣540</v>
          </cell>
          <cell r="M1219" t="str">
            <v>35/数铣520</v>
          </cell>
          <cell r="N1219" t="str">
            <v>40/时效</v>
          </cell>
          <cell r="O1219" t="str">
            <v>45/数铣</v>
          </cell>
          <cell r="P1219" t="str">
            <v>50/数铣470</v>
          </cell>
          <cell r="Q1219" t="str">
            <v>55/五轴200</v>
          </cell>
          <cell r="R1219" t="str">
            <v>60/数铣440</v>
          </cell>
          <cell r="S1219" t="str">
            <v>65/五轴540</v>
          </cell>
          <cell r="T1219" t="str">
            <v>70/钳工</v>
          </cell>
          <cell r="U1219" t="str">
            <v>75/数铣</v>
          </cell>
          <cell r="V1219" t="str">
            <v>80/清洁</v>
          </cell>
          <cell r="W1219" t="str">
            <v>85/测量</v>
          </cell>
          <cell r="X1219" t="str">
            <v>90/成检</v>
          </cell>
        </row>
        <row r="1220">
          <cell r="B1220" t="str">
            <v>DD-J10B-26002-1G2-Y</v>
          </cell>
          <cell r="D1220" t="str">
            <v>B</v>
          </cell>
          <cell r="E1220" t="str">
            <v>准备工时</v>
          </cell>
          <cell r="G1220">
            <v>90</v>
          </cell>
          <cell r="H1220">
            <v>90</v>
          </cell>
          <cell r="I1220">
            <v>60</v>
          </cell>
          <cell r="J1220">
            <v>60</v>
          </cell>
          <cell r="K1220">
            <v>90</v>
          </cell>
          <cell r="L1220">
            <v>90</v>
          </cell>
          <cell r="M1220">
            <v>60</v>
          </cell>
          <cell r="O1220">
            <v>90</v>
          </cell>
          <cell r="P1220">
            <v>90</v>
          </cell>
          <cell r="Q1220">
            <v>120</v>
          </cell>
          <cell r="R1220">
            <v>90</v>
          </cell>
          <cell r="S1220">
            <v>150</v>
          </cell>
        </row>
        <row r="1221">
          <cell r="B1221" t="str">
            <v>DD-J10B-26002-1G2-Y</v>
          </cell>
          <cell r="D1221" t="str">
            <v>B</v>
          </cell>
          <cell r="E1221" t="str">
            <v>装夹时间</v>
          </cell>
          <cell r="G1221">
            <v>60</v>
          </cell>
          <cell r="H1221">
            <v>60</v>
          </cell>
          <cell r="I1221">
            <v>90</v>
          </cell>
          <cell r="J1221">
            <v>60</v>
          </cell>
          <cell r="K1221">
            <v>90</v>
          </cell>
          <cell r="L1221">
            <v>120</v>
          </cell>
          <cell r="M1221">
            <v>120</v>
          </cell>
          <cell r="O1221">
            <v>120</v>
          </cell>
          <cell r="P1221">
            <v>120</v>
          </cell>
          <cell r="Q1221">
            <v>180</v>
          </cell>
          <cell r="R1221">
            <v>120</v>
          </cell>
          <cell r="S1221">
            <v>180</v>
          </cell>
          <cell r="U1221">
            <v>20</v>
          </cell>
        </row>
        <row r="1222">
          <cell r="B1222" t="str">
            <v>DD-J10B-26002-1G2-Y</v>
          </cell>
          <cell r="D1222" t="str">
            <v>B</v>
          </cell>
          <cell r="E1222" t="str">
            <v>程序时间</v>
          </cell>
          <cell r="G1222">
            <v>140</v>
          </cell>
          <cell r="H1222">
            <v>120</v>
          </cell>
          <cell r="I1222">
            <v>480</v>
          </cell>
          <cell r="J1222">
            <v>120</v>
          </cell>
          <cell r="K1222">
            <v>140</v>
          </cell>
          <cell r="L1222">
            <v>720</v>
          </cell>
          <cell r="M1222">
            <v>660</v>
          </cell>
          <cell r="O1222">
            <v>300</v>
          </cell>
          <cell r="P1222">
            <v>630</v>
          </cell>
          <cell r="Q1222">
            <v>540</v>
          </cell>
          <cell r="R1222">
            <v>520</v>
          </cell>
          <cell r="S1222">
            <v>1080</v>
          </cell>
          <cell r="T1222">
            <v>960</v>
          </cell>
        </row>
        <row r="1223">
          <cell r="B1223" t="str">
            <v>DD-J10B-26002-1G2-Z</v>
          </cell>
          <cell r="D1223" t="str">
            <v>C</v>
          </cell>
          <cell r="E1223" t="str">
            <v>工序内容</v>
          </cell>
          <cell r="F1223" t="str">
            <v>00/领料</v>
          </cell>
          <cell r="G1223" t="str">
            <v>5/数铣120</v>
          </cell>
          <cell r="H1223" t="str">
            <v>10/数铣100</v>
          </cell>
          <cell r="I1223" t="str">
            <v>15/数铣400</v>
          </cell>
          <cell r="J1223" t="str">
            <v>20/数铣</v>
          </cell>
          <cell r="K1223" t="str">
            <v>25/数铣90</v>
          </cell>
          <cell r="L1223" t="str">
            <v>30/数铣540</v>
          </cell>
          <cell r="M1223" t="str">
            <v>35/数铣520</v>
          </cell>
          <cell r="N1223" t="str">
            <v>40/时效</v>
          </cell>
          <cell r="O1223" t="str">
            <v>45/数铣</v>
          </cell>
          <cell r="P1223" t="str">
            <v>50/数铣470</v>
          </cell>
          <cell r="Q1223" t="str">
            <v>55/五轴200</v>
          </cell>
          <cell r="R1223" t="str">
            <v>60/数铣440</v>
          </cell>
          <cell r="S1223" t="str">
            <v>65/五轴540</v>
          </cell>
          <cell r="T1223" t="str">
            <v>70/钳工</v>
          </cell>
          <cell r="U1223" t="str">
            <v>75/清洁</v>
          </cell>
          <cell r="V1223" t="str">
            <v>80/测量</v>
          </cell>
          <cell r="W1223" t="str">
            <v>85/成检</v>
          </cell>
        </row>
        <row r="1224">
          <cell r="B1224" t="str">
            <v>DD-J10B-26002-1G2-Z</v>
          </cell>
          <cell r="D1224" t="str">
            <v>C</v>
          </cell>
          <cell r="E1224" t="str">
            <v>准备工时</v>
          </cell>
          <cell r="G1224">
            <v>90</v>
          </cell>
          <cell r="H1224">
            <v>90</v>
          </cell>
          <cell r="I1224">
            <v>60</v>
          </cell>
          <cell r="J1224">
            <v>60</v>
          </cell>
          <cell r="K1224">
            <v>90</v>
          </cell>
          <cell r="L1224">
            <v>90</v>
          </cell>
          <cell r="M1224">
            <v>60</v>
          </cell>
          <cell r="O1224">
            <v>90</v>
          </cell>
          <cell r="P1224">
            <v>90</v>
          </cell>
          <cell r="Q1224">
            <v>120</v>
          </cell>
          <cell r="R1224">
            <v>90</v>
          </cell>
          <cell r="S1224">
            <v>150</v>
          </cell>
        </row>
        <row r="1225">
          <cell r="B1225" t="str">
            <v>DD-J10B-26002-1G2-Z</v>
          </cell>
          <cell r="D1225" t="str">
            <v>C</v>
          </cell>
          <cell r="E1225" t="str">
            <v>装夹时间</v>
          </cell>
          <cell r="G1225">
            <v>60</v>
          </cell>
          <cell r="H1225">
            <v>60</v>
          </cell>
          <cell r="I1225">
            <v>90</v>
          </cell>
          <cell r="J1225">
            <v>60</v>
          </cell>
          <cell r="K1225">
            <v>90</v>
          </cell>
          <cell r="L1225">
            <v>120</v>
          </cell>
          <cell r="M1225">
            <v>120</v>
          </cell>
          <cell r="O1225">
            <v>120</v>
          </cell>
          <cell r="P1225">
            <v>120</v>
          </cell>
          <cell r="Q1225">
            <v>180</v>
          </cell>
          <cell r="R1225">
            <v>120</v>
          </cell>
          <cell r="S1225">
            <v>180</v>
          </cell>
        </row>
        <row r="1226">
          <cell r="B1226" t="str">
            <v>DD-J10B-26002-1G2-Z</v>
          </cell>
          <cell r="D1226" t="str">
            <v>C</v>
          </cell>
          <cell r="E1226" t="str">
            <v>程序时间</v>
          </cell>
          <cell r="G1226">
            <v>140</v>
          </cell>
          <cell r="H1226">
            <v>120</v>
          </cell>
          <cell r="I1226">
            <v>480</v>
          </cell>
          <cell r="J1226">
            <v>120</v>
          </cell>
          <cell r="K1226">
            <v>140</v>
          </cell>
          <cell r="L1226">
            <v>720</v>
          </cell>
          <cell r="M1226">
            <v>660</v>
          </cell>
          <cell r="O1226">
            <v>300</v>
          </cell>
          <cell r="P1226">
            <v>630</v>
          </cell>
          <cell r="Q1226">
            <v>540</v>
          </cell>
          <cell r="R1226">
            <v>520</v>
          </cell>
          <cell r="S1226">
            <v>1080</v>
          </cell>
          <cell r="T1226">
            <v>960</v>
          </cell>
        </row>
        <row r="1227">
          <cell r="B1227" t="str">
            <v>DD-J10B-26002-1G2-Y</v>
          </cell>
          <cell r="D1227" t="str">
            <v>C</v>
          </cell>
          <cell r="E1227" t="str">
            <v>工序内容</v>
          </cell>
          <cell r="F1227" t="str">
            <v>00/领料</v>
          </cell>
          <cell r="G1227" t="str">
            <v>5/数铣120</v>
          </cell>
          <cell r="H1227" t="str">
            <v>10/数铣100</v>
          </cell>
          <cell r="I1227" t="str">
            <v>15/数铣400</v>
          </cell>
          <cell r="J1227" t="str">
            <v>20/数铣</v>
          </cell>
          <cell r="K1227" t="str">
            <v>25/数铣90</v>
          </cell>
          <cell r="L1227" t="str">
            <v>30/数铣540</v>
          </cell>
          <cell r="M1227" t="str">
            <v>35/数铣520</v>
          </cell>
          <cell r="N1227" t="str">
            <v>40/时效</v>
          </cell>
          <cell r="O1227" t="str">
            <v>45/数铣</v>
          </cell>
          <cell r="P1227" t="str">
            <v>50/数铣470</v>
          </cell>
          <cell r="Q1227" t="str">
            <v>55/五轴200</v>
          </cell>
          <cell r="R1227" t="str">
            <v>60/数铣440</v>
          </cell>
          <cell r="S1227" t="str">
            <v>65/五轴540</v>
          </cell>
          <cell r="T1227" t="str">
            <v>70/钳工</v>
          </cell>
          <cell r="U1227" t="str">
            <v>75/清洁</v>
          </cell>
          <cell r="V1227" t="str">
            <v>80/测量</v>
          </cell>
          <cell r="W1227" t="str">
            <v>85/成检</v>
          </cell>
        </row>
        <row r="1228">
          <cell r="B1228" t="str">
            <v>DD-J10B-26002-1G2-Y</v>
          </cell>
          <cell r="D1228" t="str">
            <v>C</v>
          </cell>
          <cell r="E1228" t="str">
            <v>准备工时</v>
          </cell>
          <cell r="G1228">
            <v>90</v>
          </cell>
          <cell r="H1228">
            <v>90</v>
          </cell>
          <cell r="I1228">
            <v>60</v>
          </cell>
          <cell r="J1228">
            <v>60</v>
          </cell>
          <cell r="K1228">
            <v>90</v>
          </cell>
          <cell r="L1228">
            <v>90</v>
          </cell>
          <cell r="M1228">
            <v>60</v>
          </cell>
          <cell r="O1228">
            <v>90</v>
          </cell>
          <cell r="P1228">
            <v>90</v>
          </cell>
          <cell r="Q1228">
            <v>120</v>
          </cell>
          <cell r="R1228">
            <v>90</v>
          </cell>
          <cell r="S1228">
            <v>150</v>
          </cell>
        </row>
        <row r="1229">
          <cell r="B1229" t="str">
            <v>DD-J10B-26002-1G2-Y</v>
          </cell>
          <cell r="D1229" t="str">
            <v>C</v>
          </cell>
          <cell r="E1229" t="str">
            <v>装夹时间</v>
          </cell>
          <cell r="G1229">
            <v>60</v>
          </cell>
          <cell r="H1229">
            <v>60</v>
          </cell>
          <cell r="I1229">
            <v>90</v>
          </cell>
          <cell r="J1229">
            <v>60</v>
          </cell>
          <cell r="K1229">
            <v>90</v>
          </cell>
          <cell r="L1229">
            <v>120</v>
          </cell>
          <cell r="M1229">
            <v>120</v>
          </cell>
          <cell r="O1229">
            <v>120</v>
          </cell>
          <cell r="P1229">
            <v>120</v>
          </cell>
          <cell r="Q1229">
            <v>180</v>
          </cell>
          <cell r="R1229">
            <v>120</v>
          </cell>
          <cell r="S1229">
            <v>180</v>
          </cell>
        </row>
        <row r="1230">
          <cell r="B1230" t="str">
            <v>DD-J10B-26002-1G2-Y</v>
          </cell>
          <cell r="D1230" t="str">
            <v>C</v>
          </cell>
          <cell r="E1230" t="str">
            <v>程序时间</v>
          </cell>
          <cell r="G1230">
            <v>140</v>
          </cell>
          <cell r="H1230">
            <v>120</v>
          </cell>
          <cell r="I1230">
            <v>480</v>
          </cell>
          <cell r="J1230">
            <v>120</v>
          </cell>
          <cell r="K1230">
            <v>140</v>
          </cell>
          <cell r="L1230">
            <v>720</v>
          </cell>
          <cell r="M1230">
            <v>660</v>
          </cell>
          <cell r="O1230">
            <v>300</v>
          </cell>
          <cell r="P1230">
            <v>630</v>
          </cell>
          <cell r="Q1230">
            <v>540</v>
          </cell>
          <cell r="R1230">
            <v>520</v>
          </cell>
          <cell r="S1230">
            <v>1080</v>
          </cell>
          <cell r="T1230">
            <v>960</v>
          </cell>
        </row>
        <row r="1231">
          <cell r="B1231" t="str">
            <v>CB5714100-001L004</v>
          </cell>
          <cell r="D1231" t="str">
            <v>D</v>
          </cell>
          <cell r="E1231" t="str">
            <v>工序内容</v>
          </cell>
          <cell r="F1231" t="str">
            <v>0/领料</v>
          </cell>
          <cell r="G1231" t="str">
            <v>5/钳工</v>
          </cell>
          <cell r="H1231" t="str">
            <v>10/数铣</v>
          </cell>
          <cell r="I1231" t="str">
            <v>15/数铣150</v>
          </cell>
          <cell r="J1231" t="str">
            <v>20/数铣630</v>
          </cell>
          <cell r="K1231" t="str">
            <v>25/数铣160</v>
          </cell>
          <cell r="L1231" t="str">
            <v>30/时效</v>
          </cell>
          <cell r="M1231" t="str">
            <v>35/数铣</v>
          </cell>
          <cell r="N1231" t="str">
            <v>40/数铣360</v>
          </cell>
          <cell r="O1231" t="str">
            <v>45/数铣10</v>
          </cell>
          <cell r="P1231" t="str">
            <v>50/数铣900</v>
          </cell>
          <cell r="Q1231" t="str">
            <v>55/五轴360</v>
          </cell>
          <cell r="R1231" t="str">
            <v>60/数铣60</v>
          </cell>
          <cell r="S1231" t="str">
            <v>65/五轴80</v>
          </cell>
          <cell r="T1231" t="str">
            <v>70/钳工</v>
          </cell>
          <cell r="U1231" t="str">
            <v>75/清洁</v>
          </cell>
          <cell r="V1231" t="str">
            <v>80/测量</v>
          </cell>
          <cell r="W1231" t="str">
            <v>85/检验</v>
          </cell>
          <cell r="X1231" t="str">
            <v>90/硬度</v>
          </cell>
          <cell r="Y1231" t="str">
            <v>95/分光</v>
          </cell>
          <cell r="Z1231" t="str">
            <v>100/钳工</v>
          </cell>
          <cell r="AA1231" t="str">
            <v>105/清洗</v>
          </cell>
          <cell r="AB1231" t="str">
            <v>110/成检</v>
          </cell>
        </row>
        <row r="1232">
          <cell r="B1232" t="str">
            <v>CB5714100-001L004</v>
          </cell>
          <cell r="D1232" t="str">
            <v>D</v>
          </cell>
          <cell r="E1232" t="str">
            <v>准备工时</v>
          </cell>
          <cell r="H1232">
            <v>60</v>
          </cell>
          <cell r="I1232">
            <v>60</v>
          </cell>
          <cell r="J1232">
            <v>90</v>
          </cell>
          <cell r="K1232">
            <v>60</v>
          </cell>
          <cell r="M1232">
            <v>60</v>
          </cell>
          <cell r="N1232">
            <v>120</v>
          </cell>
          <cell r="O1232">
            <v>60</v>
          </cell>
          <cell r="P1232">
            <v>120</v>
          </cell>
          <cell r="Q1232">
            <v>90</v>
          </cell>
          <cell r="R1232">
            <v>90</v>
          </cell>
          <cell r="S1232">
            <v>150</v>
          </cell>
        </row>
        <row r="1233">
          <cell r="B1233" t="str">
            <v>CB5714100-001L004</v>
          </cell>
          <cell r="D1233" t="str">
            <v>D</v>
          </cell>
          <cell r="E1233" t="str">
            <v>装夹时间</v>
          </cell>
          <cell r="G1233">
            <v>60</v>
          </cell>
          <cell r="H1233">
            <v>90</v>
          </cell>
          <cell r="I1233">
            <v>60</v>
          </cell>
          <cell r="J1233">
            <v>60</v>
          </cell>
          <cell r="K1233">
            <v>60</v>
          </cell>
          <cell r="M1233">
            <v>60</v>
          </cell>
          <cell r="N1233">
            <v>60</v>
          </cell>
          <cell r="O1233">
            <v>60</v>
          </cell>
          <cell r="P1233">
            <v>60</v>
          </cell>
          <cell r="Q1233">
            <v>60</v>
          </cell>
          <cell r="R1233">
            <v>60</v>
          </cell>
          <cell r="S1233">
            <v>60</v>
          </cell>
        </row>
        <row r="1234">
          <cell r="B1234" t="str">
            <v>CB5714100-001L004</v>
          </cell>
          <cell r="D1234" t="str">
            <v>D</v>
          </cell>
          <cell r="E1234" t="str">
            <v>程序时间</v>
          </cell>
          <cell r="G1234">
            <v>80</v>
          </cell>
          <cell r="H1234">
            <v>60</v>
          </cell>
          <cell r="I1234">
            <v>210</v>
          </cell>
          <cell r="J1234">
            <v>770</v>
          </cell>
          <cell r="K1234">
            <v>210</v>
          </cell>
          <cell r="M1234">
            <v>90</v>
          </cell>
          <cell r="N1234">
            <v>450</v>
          </cell>
          <cell r="O1234">
            <v>30</v>
          </cell>
          <cell r="P1234">
            <v>1080</v>
          </cell>
          <cell r="Q1234">
            <v>540</v>
          </cell>
          <cell r="R1234">
            <v>90</v>
          </cell>
          <cell r="S1234">
            <v>240</v>
          </cell>
          <cell r="T1234">
            <v>600</v>
          </cell>
          <cell r="Z1234">
            <v>10</v>
          </cell>
        </row>
        <row r="1235">
          <cell r="B1235" t="str">
            <v>图号</v>
          </cell>
          <cell r="Q1235">
            <v>240</v>
          </cell>
        </row>
        <row r="1236">
          <cell r="B1236" t="str">
            <v>CB5714100-001R004</v>
          </cell>
          <cell r="D1236" t="str">
            <v>D</v>
          </cell>
          <cell r="E1236" t="str">
            <v>工序内容</v>
          </cell>
          <cell r="F1236" t="str">
            <v>0/领料</v>
          </cell>
          <cell r="G1236" t="str">
            <v>5/钳工</v>
          </cell>
          <cell r="H1236" t="str">
            <v>10/数铣</v>
          </cell>
          <cell r="I1236" t="str">
            <v>15/数铣150</v>
          </cell>
          <cell r="J1236" t="str">
            <v>20/数铣630</v>
          </cell>
          <cell r="K1236" t="str">
            <v>25/数铣160</v>
          </cell>
          <cell r="L1236" t="str">
            <v>30/时效</v>
          </cell>
          <cell r="M1236" t="str">
            <v>35/数铣</v>
          </cell>
          <cell r="N1236" t="str">
            <v>40/数铣360</v>
          </cell>
          <cell r="O1236" t="str">
            <v>45/数铣10</v>
          </cell>
          <cell r="P1236" t="str">
            <v>50/数铣900</v>
          </cell>
          <cell r="Q1236" t="str">
            <v>55/五轴360</v>
          </cell>
          <cell r="R1236" t="str">
            <v>60/数铣60</v>
          </cell>
          <cell r="S1236" t="str">
            <v>65/五轴80</v>
          </cell>
          <cell r="T1236" t="str">
            <v>70/钳工</v>
          </cell>
          <cell r="U1236" t="str">
            <v>75/清洁</v>
          </cell>
          <cell r="V1236" t="str">
            <v>80/测量</v>
          </cell>
          <cell r="W1236" t="str">
            <v>85/检验</v>
          </cell>
          <cell r="X1236" t="str">
            <v>90/硬度</v>
          </cell>
          <cell r="Y1236" t="str">
            <v>95/分光</v>
          </cell>
          <cell r="Z1236" t="str">
            <v>100/钳工</v>
          </cell>
          <cell r="AA1236" t="str">
            <v>105/清洗</v>
          </cell>
          <cell r="AB1236" t="str">
            <v>110/成检</v>
          </cell>
        </row>
        <row r="1237">
          <cell r="B1237" t="str">
            <v>CB5714100-001R004</v>
          </cell>
          <cell r="D1237" t="str">
            <v>D</v>
          </cell>
          <cell r="E1237" t="str">
            <v>准备工时</v>
          </cell>
          <cell r="H1237">
            <v>60</v>
          </cell>
          <cell r="I1237">
            <v>60</v>
          </cell>
          <cell r="J1237">
            <v>90</v>
          </cell>
          <cell r="K1237">
            <v>60</v>
          </cell>
          <cell r="M1237">
            <v>60</v>
          </cell>
          <cell r="N1237">
            <v>120</v>
          </cell>
          <cell r="O1237">
            <v>60</v>
          </cell>
          <cell r="P1237">
            <v>120</v>
          </cell>
          <cell r="Q1237">
            <v>90</v>
          </cell>
          <cell r="R1237">
            <v>90</v>
          </cell>
          <cell r="S1237">
            <v>150</v>
          </cell>
        </row>
        <row r="1238">
          <cell r="B1238" t="str">
            <v>CB5714100-001R004</v>
          </cell>
          <cell r="D1238" t="str">
            <v>D</v>
          </cell>
          <cell r="E1238" t="str">
            <v>装夹时间</v>
          </cell>
          <cell r="G1238">
            <v>60</v>
          </cell>
          <cell r="H1238">
            <v>90</v>
          </cell>
          <cell r="I1238">
            <v>60</v>
          </cell>
          <cell r="J1238">
            <v>60</v>
          </cell>
          <cell r="K1238">
            <v>60</v>
          </cell>
          <cell r="M1238">
            <v>60</v>
          </cell>
          <cell r="N1238">
            <v>60</v>
          </cell>
          <cell r="O1238">
            <v>60</v>
          </cell>
          <cell r="P1238">
            <v>60</v>
          </cell>
          <cell r="Q1238">
            <v>60</v>
          </cell>
          <cell r="R1238">
            <v>60</v>
          </cell>
          <cell r="S1238">
            <v>60</v>
          </cell>
        </row>
        <row r="1239">
          <cell r="B1239" t="str">
            <v>CB5714100-001R004</v>
          </cell>
          <cell r="D1239" t="str">
            <v>D</v>
          </cell>
          <cell r="E1239" t="str">
            <v>程序时间</v>
          </cell>
          <cell r="G1239">
            <v>80</v>
          </cell>
          <cell r="H1239">
            <v>60</v>
          </cell>
          <cell r="I1239">
            <v>210</v>
          </cell>
          <cell r="J1239">
            <v>770</v>
          </cell>
          <cell r="K1239">
            <v>210</v>
          </cell>
          <cell r="M1239">
            <v>90</v>
          </cell>
          <cell r="N1239">
            <v>450</v>
          </cell>
          <cell r="O1239">
            <v>30</v>
          </cell>
          <cell r="P1239">
            <v>1080</v>
          </cell>
          <cell r="Q1239">
            <v>540</v>
          </cell>
          <cell r="R1239">
            <v>90</v>
          </cell>
          <cell r="S1239">
            <v>240</v>
          </cell>
          <cell r="T1239">
            <v>600</v>
          </cell>
          <cell r="Z1239">
            <v>10</v>
          </cell>
        </row>
        <row r="1240">
          <cell r="B1240" t="str">
            <v>图号</v>
          </cell>
          <cell r="Q1240">
            <v>240</v>
          </cell>
        </row>
        <row r="1241">
          <cell r="B1241" t="str">
            <v>CB5314240-012-003</v>
          </cell>
          <cell r="D1241" t="str">
            <v>D</v>
          </cell>
          <cell r="E1241" t="str">
            <v>工序内容</v>
          </cell>
          <cell r="F1241" t="str">
            <v>0/领料</v>
          </cell>
          <cell r="G1241" t="str">
            <v>5/数铣</v>
          </cell>
          <cell r="H1241" t="str">
            <v>10/数铣130</v>
          </cell>
          <cell r="I1241" t="str">
            <v>15/数铣250</v>
          </cell>
          <cell r="J1241" t="str">
            <v>20/数铣370</v>
          </cell>
          <cell r="K1241" t="str">
            <v>25/数铣修面</v>
          </cell>
          <cell r="L1241" t="str">
            <v>30/数铣900</v>
          </cell>
          <cell r="M1241" t="str">
            <v>35/五轴50</v>
          </cell>
          <cell r="N1241" t="str">
            <v>40/数铣1380</v>
          </cell>
          <cell r="O1241" t="str">
            <v>45/测量</v>
          </cell>
          <cell r="P1241" t="str">
            <v>50/钳工</v>
          </cell>
          <cell r="Q1241" t="str">
            <v>55/清洁</v>
          </cell>
          <cell r="R1241" t="str">
            <v>60/铣试块</v>
          </cell>
          <cell r="S1241" t="str">
            <v>65/成检</v>
          </cell>
          <cell r="T1241" t="str">
            <v>65/成检</v>
          </cell>
          <cell r="U1241" t="str">
            <v>65/成检</v>
          </cell>
        </row>
        <row r="1242">
          <cell r="B1242" t="str">
            <v>CB5314240-012-003</v>
          </cell>
          <cell r="D1242" t="str">
            <v>D</v>
          </cell>
          <cell r="E1242" t="str">
            <v>准备工时</v>
          </cell>
          <cell r="G1242">
            <v>60</v>
          </cell>
          <cell r="H1242">
            <v>90</v>
          </cell>
          <cell r="I1242">
            <v>90</v>
          </cell>
          <cell r="J1242">
            <v>90</v>
          </cell>
          <cell r="K1242">
            <v>60</v>
          </cell>
          <cell r="L1242">
            <v>120</v>
          </cell>
          <cell r="M1242">
            <v>120</v>
          </cell>
          <cell r="N1242">
            <v>120</v>
          </cell>
        </row>
        <row r="1243">
          <cell r="B1243" t="str">
            <v>CB5314240-012-003</v>
          </cell>
          <cell r="D1243" t="str">
            <v>D</v>
          </cell>
          <cell r="E1243" t="str">
            <v>装夹时间</v>
          </cell>
          <cell r="G1243">
            <v>60</v>
          </cell>
          <cell r="H1243">
            <v>60</v>
          </cell>
          <cell r="I1243">
            <v>60</v>
          </cell>
          <cell r="J1243">
            <v>60</v>
          </cell>
          <cell r="K1243">
            <v>60</v>
          </cell>
          <cell r="L1243">
            <v>120</v>
          </cell>
          <cell r="M1243">
            <v>90</v>
          </cell>
          <cell r="N1243">
            <v>90</v>
          </cell>
        </row>
        <row r="1244">
          <cell r="B1244" t="str">
            <v>CB5314240-012-003</v>
          </cell>
          <cell r="D1244" t="str">
            <v>D</v>
          </cell>
          <cell r="E1244" t="str">
            <v>程序时间</v>
          </cell>
          <cell r="G1244">
            <v>150</v>
          </cell>
          <cell r="H1244">
            <v>200</v>
          </cell>
          <cell r="I1244">
            <v>360</v>
          </cell>
          <cell r="J1244">
            <v>450</v>
          </cell>
          <cell r="K1244">
            <v>120</v>
          </cell>
          <cell r="L1244">
            <v>1080</v>
          </cell>
          <cell r="M1244">
            <v>100</v>
          </cell>
          <cell r="N1244">
            <v>1800</v>
          </cell>
          <cell r="P1244">
            <v>720</v>
          </cell>
          <cell r="R1244">
            <v>30</v>
          </cell>
        </row>
        <row r="1245">
          <cell r="B1245" t="str">
            <v>DD-J10-21102-390-1-Y</v>
          </cell>
          <cell r="D1245" t="str">
            <v>H</v>
          </cell>
          <cell r="E1245" t="str">
            <v>工序内容</v>
          </cell>
          <cell r="F1245" t="str">
            <v>0/领料</v>
          </cell>
          <cell r="G1245" t="str">
            <v>5/钳工</v>
          </cell>
          <cell r="H1245" t="str">
            <v>10/飞面</v>
          </cell>
          <cell r="I1245" t="str">
            <v>15/孔45</v>
          </cell>
          <cell r="J1245" t="str">
            <v>20/数铣180</v>
          </cell>
          <cell r="K1245" t="str">
            <v>25/时效</v>
          </cell>
          <cell r="L1245" t="str">
            <v>30/数铣</v>
          </cell>
          <cell r="M1245" t="str">
            <v>35/数铣60</v>
          </cell>
          <cell r="N1245" t="str">
            <v>40/数铣700</v>
          </cell>
          <cell r="O1245" t="str">
            <v>45/钳工</v>
          </cell>
          <cell r="P1245" t="str">
            <v>50/五轴100</v>
          </cell>
          <cell r="Q1245" t="str">
            <v>55/测量</v>
          </cell>
          <cell r="R1245" t="str">
            <v>60/钳工</v>
          </cell>
          <cell r="S1245" t="str">
            <v>65/清洁</v>
          </cell>
          <cell r="T1245" t="str">
            <v>70/检验</v>
          </cell>
          <cell r="U1245" t="str">
            <v>75/硬度</v>
          </cell>
          <cell r="V1245" t="str">
            <v>80/分光</v>
          </cell>
          <cell r="W1245" t="str">
            <v>85/钳工</v>
          </cell>
          <cell r="X1245" t="str">
            <v>90/清洁</v>
          </cell>
          <cell r="Y1245" t="str">
            <v>95/成检</v>
          </cell>
        </row>
        <row r="1246">
          <cell r="B1246" t="str">
            <v>DD-J10-21102-390-1-Y</v>
          </cell>
          <cell r="D1246" t="str">
            <v>H</v>
          </cell>
          <cell r="E1246" t="str">
            <v>准备工时</v>
          </cell>
          <cell r="G1246">
            <v>60</v>
          </cell>
          <cell r="H1246">
            <v>60</v>
          </cell>
          <cell r="I1246">
            <v>90</v>
          </cell>
          <cell r="J1246">
            <v>60</v>
          </cell>
          <cell r="L1246">
            <v>60</v>
          </cell>
          <cell r="M1246">
            <v>120</v>
          </cell>
          <cell r="N1246">
            <v>120</v>
          </cell>
          <cell r="P1246">
            <v>150</v>
          </cell>
        </row>
        <row r="1247">
          <cell r="B1247" t="str">
            <v>DD-J10-21102-390-1-Y</v>
          </cell>
          <cell r="D1247" t="str">
            <v>H</v>
          </cell>
          <cell r="E1247" t="str">
            <v>装夹时间</v>
          </cell>
          <cell r="H1247">
            <v>60</v>
          </cell>
          <cell r="I1247">
            <v>60</v>
          </cell>
          <cell r="J1247">
            <v>60</v>
          </cell>
          <cell r="L1247">
            <v>60</v>
          </cell>
          <cell r="M1247">
            <v>50</v>
          </cell>
          <cell r="N1247">
            <v>50</v>
          </cell>
          <cell r="P1247">
            <v>90</v>
          </cell>
        </row>
        <row r="1248">
          <cell r="B1248" t="str">
            <v>DD-J10-21102-390-1-Y</v>
          </cell>
          <cell r="D1248" t="str">
            <v>H</v>
          </cell>
          <cell r="E1248" t="str">
            <v>程序时间</v>
          </cell>
          <cell r="G1248">
            <v>30</v>
          </cell>
          <cell r="H1248">
            <v>90</v>
          </cell>
          <cell r="I1248">
            <v>80</v>
          </cell>
          <cell r="J1248">
            <v>360</v>
          </cell>
          <cell r="L1248">
            <v>120</v>
          </cell>
          <cell r="M1248">
            <v>110</v>
          </cell>
          <cell r="N1248">
            <v>1050</v>
          </cell>
          <cell r="O1248">
            <v>60</v>
          </cell>
          <cell r="P1248">
            <v>300</v>
          </cell>
          <cell r="R1248">
            <v>360</v>
          </cell>
          <cell r="W1248">
            <v>5</v>
          </cell>
        </row>
        <row r="1249">
          <cell r="B1249" t="str">
            <v>DD-J10-21102-390-1-Z</v>
          </cell>
          <cell r="D1249" t="str">
            <v>J</v>
          </cell>
          <cell r="E1249" t="str">
            <v>工序内容</v>
          </cell>
          <cell r="F1249" t="str">
            <v>0/领料</v>
          </cell>
          <cell r="G1249" t="str">
            <v>5/钳工</v>
          </cell>
          <cell r="H1249" t="str">
            <v>10/飞面</v>
          </cell>
          <cell r="I1249" t="str">
            <v>15/孔45</v>
          </cell>
          <cell r="J1249" t="str">
            <v>20/数铣180</v>
          </cell>
          <cell r="K1249" t="str">
            <v>25/时效</v>
          </cell>
          <cell r="L1249" t="str">
            <v>30/数铣</v>
          </cell>
          <cell r="M1249" t="str">
            <v>35/数铣60</v>
          </cell>
          <cell r="N1249" t="str">
            <v>40/数铣700</v>
          </cell>
          <cell r="O1249" t="str">
            <v>45/钳工</v>
          </cell>
          <cell r="P1249" t="str">
            <v>50/五轴100</v>
          </cell>
          <cell r="Q1249" t="str">
            <v>55/测量</v>
          </cell>
          <cell r="R1249" t="str">
            <v>60/钳工</v>
          </cell>
          <cell r="S1249" t="str">
            <v>65/清洁</v>
          </cell>
          <cell r="T1249" t="str">
            <v>70/检验</v>
          </cell>
          <cell r="U1249" t="str">
            <v>75/硬度</v>
          </cell>
          <cell r="V1249" t="str">
            <v>80/分光</v>
          </cell>
          <cell r="W1249" t="str">
            <v>85/钳工</v>
          </cell>
          <cell r="X1249" t="str">
            <v>90/清洁</v>
          </cell>
          <cell r="Y1249" t="str">
            <v>95/成检</v>
          </cell>
        </row>
        <row r="1250">
          <cell r="B1250" t="str">
            <v>DD-J10-21102-390-1-Z</v>
          </cell>
          <cell r="D1250" t="str">
            <v>J</v>
          </cell>
          <cell r="E1250" t="str">
            <v>准备工时</v>
          </cell>
          <cell r="G1250">
            <v>60</v>
          </cell>
          <cell r="H1250">
            <v>60</v>
          </cell>
          <cell r="I1250">
            <v>90</v>
          </cell>
          <cell r="J1250">
            <v>60</v>
          </cell>
          <cell r="L1250">
            <v>60</v>
          </cell>
          <cell r="M1250">
            <v>120</v>
          </cell>
          <cell r="N1250">
            <v>120</v>
          </cell>
          <cell r="P1250">
            <v>150</v>
          </cell>
        </row>
        <row r="1251">
          <cell r="B1251" t="str">
            <v>DD-J10-21102-390-1-Z</v>
          </cell>
          <cell r="D1251" t="str">
            <v>J</v>
          </cell>
          <cell r="E1251" t="str">
            <v>装夹时间</v>
          </cell>
          <cell r="H1251">
            <v>60</v>
          </cell>
          <cell r="I1251">
            <v>60</v>
          </cell>
          <cell r="J1251">
            <v>60</v>
          </cell>
          <cell r="L1251">
            <v>60</v>
          </cell>
          <cell r="M1251">
            <v>50</v>
          </cell>
          <cell r="N1251">
            <v>50</v>
          </cell>
          <cell r="P1251">
            <v>90</v>
          </cell>
        </row>
        <row r="1252">
          <cell r="B1252" t="str">
            <v>DD-J10-21102-390-1-Z</v>
          </cell>
          <cell r="D1252" t="str">
            <v>J</v>
          </cell>
          <cell r="E1252" t="str">
            <v>程序时间</v>
          </cell>
          <cell r="G1252">
            <v>30</v>
          </cell>
          <cell r="H1252">
            <v>90</v>
          </cell>
          <cell r="I1252">
            <v>80</v>
          </cell>
          <cell r="J1252">
            <v>360</v>
          </cell>
          <cell r="L1252">
            <v>120</v>
          </cell>
          <cell r="M1252">
            <v>110</v>
          </cell>
          <cell r="N1252">
            <v>1050</v>
          </cell>
          <cell r="O1252">
            <v>60</v>
          </cell>
          <cell r="P1252">
            <v>300</v>
          </cell>
          <cell r="R1252">
            <v>360</v>
          </cell>
          <cell r="W1252">
            <v>5</v>
          </cell>
        </row>
        <row r="1253">
          <cell r="B1253" t="str">
            <v>图号</v>
          </cell>
        </row>
        <row r="1254">
          <cell r="B1254" t="str">
            <v>DD-J10-21102-390-1-Y</v>
          </cell>
          <cell r="D1254" t="str">
            <v>J</v>
          </cell>
          <cell r="E1254" t="str">
            <v>工序内容</v>
          </cell>
          <cell r="F1254" t="str">
            <v>0/领料</v>
          </cell>
          <cell r="G1254" t="str">
            <v>5/钳工</v>
          </cell>
          <cell r="H1254" t="str">
            <v>10/飞面</v>
          </cell>
          <cell r="I1254" t="str">
            <v>15/孔45</v>
          </cell>
          <cell r="J1254" t="str">
            <v>20/数铣180</v>
          </cell>
          <cell r="K1254" t="str">
            <v>25/时效</v>
          </cell>
          <cell r="L1254" t="str">
            <v>30/数铣</v>
          </cell>
          <cell r="M1254" t="str">
            <v>35/数铣60</v>
          </cell>
          <cell r="N1254" t="str">
            <v>40/数铣700</v>
          </cell>
          <cell r="O1254" t="str">
            <v>45/钳工</v>
          </cell>
          <cell r="P1254" t="str">
            <v>50/五轴100</v>
          </cell>
          <cell r="Q1254" t="str">
            <v>55/测量</v>
          </cell>
          <cell r="R1254" t="str">
            <v>60/钳工</v>
          </cell>
          <cell r="S1254" t="str">
            <v>65/清洁</v>
          </cell>
          <cell r="T1254" t="str">
            <v>70/检验</v>
          </cell>
          <cell r="U1254" t="str">
            <v>75/硬度</v>
          </cell>
          <cell r="V1254" t="str">
            <v>80/分光</v>
          </cell>
          <cell r="W1254" t="str">
            <v>85/钳工</v>
          </cell>
          <cell r="X1254" t="str">
            <v>90/清洁</v>
          </cell>
          <cell r="Y1254" t="str">
            <v>95/成检</v>
          </cell>
        </row>
        <row r="1255">
          <cell r="B1255" t="str">
            <v>DD-J10-21102-390-1-Y</v>
          </cell>
          <cell r="D1255" t="str">
            <v>J</v>
          </cell>
          <cell r="E1255" t="str">
            <v>准备工时</v>
          </cell>
          <cell r="G1255">
            <v>60</v>
          </cell>
          <cell r="H1255">
            <v>60</v>
          </cell>
          <cell r="I1255">
            <v>90</v>
          </cell>
          <cell r="J1255">
            <v>60</v>
          </cell>
          <cell r="L1255">
            <v>60</v>
          </cell>
          <cell r="M1255">
            <v>120</v>
          </cell>
          <cell r="N1255">
            <v>120</v>
          </cell>
          <cell r="P1255">
            <v>150</v>
          </cell>
        </row>
        <row r="1256">
          <cell r="B1256" t="str">
            <v>DD-J10-21102-390-1-Y</v>
          </cell>
          <cell r="D1256" t="str">
            <v>J</v>
          </cell>
          <cell r="E1256" t="str">
            <v>装夹时间</v>
          </cell>
          <cell r="H1256">
            <v>60</v>
          </cell>
          <cell r="I1256">
            <v>60</v>
          </cell>
          <cell r="J1256">
            <v>60</v>
          </cell>
          <cell r="L1256">
            <v>60</v>
          </cell>
          <cell r="M1256">
            <v>50</v>
          </cell>
          <cell r="N1256">
            <v>50</v>
          </cell>
          <cell r="P1256">
            <v>90</v>
          </cell>
        </row>
        <row r="1257">
          <cell r="B1257" t="str">
            <v>DD-J10-21102-390-1-Y</v>
          </cell>
          <cell r="D1257" t="str">
            <v>J</v>
          </cell>
          <cell r="E1257" t="str">
            <v>程序时间</v>
          </cell>
          <cell r="G1257">
            <v>30</v>
          </cell>
          <cell r="H1257">
            <v>90</v>
          </cell>
          <cell r="I1257">
            <v>80</v>
          </cell>
          <cell r="J1257">
            <v>360</v>
          </cell>
          <cell r="L1257">
            <v>120</v>
          </cell>
          <cell r="M1257">
            <v>110</v>
          </cell>
          <cell r="N1257">
            <v>1050</v>
          </cell>
          <cell r="O1257">
            <v>60</v>
          </cell>
          <cell r="P1257">
            <v>300</v>
          </cell>
          <cell r="R1257">
            <v>360</v>
          </cell>
          <cell r="W1257">
            <v>5</v>
          </cell>
        </row>
        <row r="1258">
          <cell r="B1258" t="str">
            <v>图号</v>
          </cell>
        </row>
        <row r="1259">
          <cell r="B1259" t="str">
            <v>CB5512300-005L002</v>
          </cell>
          <cell r="D1259" t="str">
            <v>B</v>
          </cell>
          <cell r="E1259" t="str">
            <v>工序内容</v>
          </cell>
          <cell r="F1259" t="str">
            <v>0/领料</v>
          </cell>
          <cell r="G1259" t="str">
            <v>5/数铣150</v>
          </cell>
          <cell r="H1259" t="str">
            <v>10/钳工</v>
          </cell>
          <cell r="I1259" t="str">
            <v>15/超声波</v>
          </cell>
          <cell r="J1259" t="str">
            <v>20/数铣220</v>
          </cell>
          <cell r="K1259" t="str">
            <v>25/数铣300</v>
          </cell>
          <cell r="L1259" t="str">
            <v>30/数铣330</v>
          </cell>
          <cell r="M1259" t="str">
            <v>35/自然时效</v>
          </cell>
          <cell r="N1259" t="str">
            <v>40/数铣60</v>
          </cell>
          <cell r="O1259" t="str">
            <v>45/数铣700</v>
          </cell>
          <cell r="P1259" t="str">
            <v>50数铣900</v>
          </cell>
          <cell r="Q1259" t="str">
            <v>55/数铣300</v>
          </cell>
          <cell r="R1259" t="str">
            <v>60/钳工</v>
          </cell>
          <cell r="S1259" t="str">
            <v>65/测量</v>
          </cell>
          <cell r="T1259" t="str">
            <v>75/清洁</v>
          </cell>
          <cell r="U1259" t="str">
            <v>80/成检</v>
          </cell>
        </row>
        <row r="1260">
          <cell r="B1260" t="str">
            <v>CB5512300-005L002</v>
          </cell>
          <cell r="D1260" t="str">
            <v>B</v>
          </cell>
          <cell r="E1260" t="str">
            <v>准备工时</v>
          </cell>
          <cell r="G1260">
            <v>120</v>
          </cell>
          <cell r="J1260">
            <v>120</v>
          </cell>
          <cell r="K1260">
            <v>120</v>
          </cell>
          <cell r="L1260">
            <v>120</v>
          </cell>
          <cell r="N1260">
            <v>120</v>
          </cell>
          <cell r="O1260">
            <v>180</v>
          </cell>
          <cell r="P1260">
            <v>150</v>
          </cell>
          <cell r="Q1260">
            <v>120</v>
          </cell>
        </row>
        <row r="1261">
          <cell r="B1261" t="str">
            <v>CB5512300-005L002</v>
          </cell>
          <cell r="D1261" t="str">
            <v>B</v>
          </cell>
          <cell r="E1261" t="str">
            <v>装夹时间</v>
          </cell>
          <cell r="G1261">
            <v>120</v>
          </cell>
          <cell r="J1261">
            <v>90</v>
          </cell>
          <cell r="K1261">
            <v>90</v>
          </cell>
          <cell r="L1261">
            <v>90</v>
          </cell>
          <cell r="N1261">
            <v>90</v>
          </cell>
          <cell r="O1261">
            <v>90</v>
          </cell>
          <cell r="P1261">
            <v>90</v>
          </cell>
          <cell r="Q1261">
            <v>90</v>
          </cell>
        </row>
        <row r="1262">
          <cell r="B1262" t="str">
            <v>CB5512300-005L002</v>
          </cell>
          <cell r="D1262" t="str">
            <v>B</v>
          </cell>
          <cell r="E1262" t="str">
            <v>程序时间</v>
          </cell>
          <cell r="G1262">
            <v>600</v>
          </cell>
          <cell r="H1262">
            <v>150</v>
          </cell>
          <cell r="J1262">
            <v>510</v>
          </cell>
          <cell r="K1262">
            <v>1050</v>
          </cell>
          <cell r="L1262">
            <v>700</v>
          </cell>
          <cell r="N1262">
            <v>240</v>
          </cell>
          <cell r="O1262">
            <v>1900</v>
          </cell>
          <cell r="P1262">
            <v>2100</v>
          </cell>
          <cell r="Q1262">
            <v>700</v>
          </cell>
          <cell r="R1262">
            <v>420</v>
          </cell>
        </row>
        <row r="1263">
          <cell r="B1263" t="str">
            <v>CB5512300-005R002</v>
          </cell>
          <cell r="D1263" t="str">
            <v>B</v>
          </cell>
          <cell r="E1263" t="str">
            <v>工序内容</v>
          </cell>
          <cell r="F1263" t="str">
            <v>0/领料</v>
          </cell>
          <cell r="G1263" t="str">
            <v>5/数铣150</v>
          </cell>
          <cell r="H1263" t="str">
            <v>10/钳工</v>
          </cell>
          <cell r="I1263" t="str">
            <v>15/超声波</v>
          </cell>
          <cell r="J1263" t="str">
            <v>20/数铣220</v>
          </cell>
          <cell r="K1263" t="str">
            <v>25/数铣300</v>
          </cell>
          <cell r="L1263" t="str">
            <v>30/数铣330</v>
          </cell>
          <cell r="M1263" t="str">
            <v>35/自然时效</v>
          </cell>
          <cell r="N1263" t="str">
            <v>40/数铣60</v>
          </cell>
          <cell r="O1263" t="str">
            <v>45/数铣700</v>
          </cell>
          <cell r="P1263" t="str">
            <v>50数铣900</v>
          </cell>
          <cell r="Q1263" t="str">
            <v>55/数铣300</v>
          </cell>
          <cell r="R1263" t="str">
            <v>60/钳工</v>
          </cell>
          <cell r="S1263" t="str">
            <v>65/测量</v>
          </cell>
          <cell r="T1263" t="str">
            <v>75/清洁</v>
          </cell>
          <cell r="U1263" t="str">
            <v>80/成检</v>
          </cell>
        </row>
        <row r="1264">
          <cell r="B1264" t="str">
            <v>CB5512300-005R002</v>
          </cell>
          <cell r="D1264" t="str">
            <v>B</v>
          </cell>
          <cell r="E1264" t="str">
            <v>准备工时</v>
          </cell>
          <cell r="G1264">
            <v>120</v>
          </cell>
          <cell r="J1264">
            <v>120</v>
          </cell>
          <cell r="K1264">
            <v>120</v>
          </cell>
          <cell r="L1264">
            <v>120</v>
          </cell>
          <cell r="N1264">
            <v>120</v>
          </cell>
          <cell r="O1264">
            <v>180</v>
          </cell>
          <cell r="P1264">
            <v>150</v>
          </cell>
          <cell r="Q1264">
            <v>120</v>
          </cell>
        </row>
        <row r="1265">
          <cell r="B1265" t="str">
            <v>CB5512300-005R002</v>
          </cell>
          <cell r="D1265" t="str">
            <v>B</v>
          </cell>
          <cell r="E1265" t="str">
            <v>装夹时间</v>
          </cell>
          <cell r="G1265">
            <v>120</v>
          </cell>
          <cell r="J1265">
            <v>90</v>
          </cell>
          <cell r="K1265">
            <v>90</v>
          </cell>
          <cell r="L1265">
            <v>90</v>
          </cell>
          <cell r="N1265">
            <v>90</v>
          </cell>
          <cell r="O1265">
            <v>90</v>
          </cell>
          <cell r="P1265">
            <v>90</v>
          </cell>
          <cell r="Q1265">
            <v>90</v>
          </cell>
        </row>
        <row r="1266">
          <cell r="B1266" t="str">
            <v>CB5512300-005R002</v>
          </cell>
          <cell r="D1266" t="str">
            <v>B</v>
          </cell>
          <cell r="E1266" t="str">
            <v>程序时间</v>
          </cell>
          <cell r="G1266">
            <v>600</v>
          </cell>
          <cell r="H1266">
            <v>150</v>
          </cell>
          <cell r="J1266">
            <v>510</v>
          </cell>
          <cell r="K1266">
            <v>1050</v>
          </cell>
          <cell r="L1266">
            <v>700</v>
          </cell>
          <cell r="N1266">
            <v>240</v>
          </cell>
          <cell r="O1266">
            <v>1900</v>
          </cell>
          <cell r="P1266">
            <v>2100</v>
          </cell>
          <cell r="Q1266">
            <v>700</v>
          </cell>
          <cell r="R1266">
            <v>420</v>
          </cell>
        </row>
        <row r="1267">
          <cell r="B1267" t="str">
            <v>图号</v>
          </cell>
        </row>
        <row r="1268">
          <cell r="B1268" t="str">
            <v>CB22956R0-001L001</v>
          </cell>
          <cell r="D1268" t="str">
            <v>F</v>
          </cell>
          <cell r="E1268" t="str">
            <v>工序内容</v>
          </cell>
          <cell r="F1268" t="str">
            <v>0/领料</v>
          </cell>
          <cell r="G1268" t="str">
            <v>5/数铣</v>
          </cell>
          <cell r="H1268" t="str">
            <v>10/数铣20</v>
          </cell>
          <cell r="I1268" t="str">
            <v>15/数铣6</v>
          </cell>
          <cell r="J1268" t="str">
            <v>20/数铣45</v>
          </cell>
          <cell r="K1268" t="str">
            <v>25/数铣40</v>
          </cell>
          <cell r="L1268" t="str">
            <v>30/数铣25</v>
          </cell>
          <cell r="M1268" t="str">
            <v>35/数铣20</v>
          </cell>
          <cell r="N1268" t="str">
            <v>40/数铣15</v>
          </cell>
          <cell r="O1268" t="str">
            <v>45/数铣10</v>
          </cell>
          <cell r="P1268" t="str">
            <v>50/钳工</v>
          </cell>
          <cell r="Q1268" t="str">
            <v>55/测量</v>
          </cell>
          <cell r="R1268" t="str">
            <v>60/清洁</v>
          </cell>
          <cell r="S1268" t="str">
            <v>65/检验</v>
          </cell>
          <cell r="T1268" t="str">
            <v>70/分光</v>
          </cell>
          <cell r="U1268" t="str">
            <v>75/钳工</v>
          </cell>
          <cell r="V1268" t="str">
            <v>80/清洁</v>
          </cell>
          <cell r="W1268" t="str">
            <v>85/成检</v>
          </cell>
        </row>
        <row r="1269">
          <cell r="B1269" t="str">
            <v>CB22956R0-001L001</v>
          </cell>
          <cell r="D1269" t="str">
            <v>F</v>
          </cell>
          <cell r="E1269" t="str">
            <v>准备工时</v>
          </cell>
          <cell r="G1269">
            <v>60</v>
          </cell>
          <cell r="H1269">
            <v>60</v>
          </cell>
          <cell r="I1269">
            <v>60</v>
          </cell>
          <cell r="J1269">
            <v>90</v>
          </cell>
          <cell r="K1269">
            <v>90</v>
          </cell>
          <cell r="L1269">
            <v>60</v>
          </cell>
          <cell r="M1269">
            <v>90</v>
          </cell>
          <cell r="N1269">
            <v>90</v>
          </cell>
          <cell r="O1269">
            <v>60</v>
          </cell>
        </row>
        <row r="1270">
          <cell r="B1270" t="str">
            <v>CB22956R0-001L001</v>
          </cell>
          <cell r="D1270" t="str">
            <v>F</v>
          </cell>
          <cell r="E1270" t="str">
            <v>程序时间</v>
          </cell>
          <cell r="G1270">
            <v>35</v>
          </cell>
          <cell r="H1270">
            <v>30</v>
          </cell>
          <cell r="I1270">
            <v>15</v>
          </cell>
          <cell r="J1270">
            <v>70</v>
          </cell>
          <cell r="K1270">
            <v>60</v>
          </cell>
          <cell r="L1270">
            <v>50</v>
          </cell>
          <cell r="M1270">
            <v>60</v>
          </cell>
          <cell r="N1270">
            <v>30</v>
          </cell>
          <cell r="O1270">
            <v>20</v>
          </cell>
          <cell r="P1270">
            <v>60</v>
          </cell>
          <cell r="U1270">
            <v>5</v>
          </cell>
        </row>
        <row r="1271">
          <cell r="B1271" t="str">
            <v>图号</v>
          </cell>
        </row>
        <row r="1272">
          <cell r="B1272" t="str">
            <v>CB22956R0-001R001</v>
          </cell>
          <cell r="D1272" t="str">
            <v>F</v>
          </cell>
          <cell r="E1272" t="str">
            <v>工序内容</v>
          </cell>
          <cell r="F1272" t="str">
            <v>0/领料</v>
          </cell>
          <cell r="G1272" t="str">
            <v>5/数铣</v>
          </cell>
          <cell r="H1272" t="str">
            <v>10/数铣20</v>
          </cell>
          <cell r="I1272" t="str">
            <v>15/数铣6</v>
          </cell>
          <cell r="J1272" t="str">
            <v>20/数铣45</v>
          </cell>
          <cell r="K1272" t="str">
            <v>25/数铣40</v>
          </cell>
          <cell r="L1272" t="str">
            <v>30/数铣25</v>
          </cell>
          <cell r="M1272" t="str">
            <v>35/数铣20</v>
          </cell>
          <cell r="N1272" t="str">
            <v>40/数铣15</v>
          </cell>
          <cell r="O1272" t="str">
            <v>45/数铣10</v>
          </cell>
          <cell r="P1272" t="str">
            <v>50/钳工</v>
          </cell>
          <cell r="Q1272" t="str">
            <v>55/测量</v>
          </cell>
          <cell r="R1272" t="str">
            <v>60/清洁</v>
          </cell>
          <cell r="S1272" t="str">
            <v>65/检验</v>
          </cell>
          <cell r="T1272" t="str">
            <v>70/分光</v>
          </cell>
          <cell r="U1272" t="str">
            <v>75/钳工</v>
          </cell>
          <cell r="V1272" t="str">
            <v>80/清洁</v>
          </cell>
          <cell r="W1272" t="str">
            <v>85/成检</v>
          </cell>
        </row>
        <row r="1273">
          <cell r="B1273" t="str">
            <v>CB22956R0-001R001</v>
          </cell>
          <cell r="D1273" t="str">
            <v>F</v>
          </cell>
          <cell r="E1273" t="str">
            <v>准备工时</v>
          </cell>
          <cell r="G1273">
            <v>60</v>
          </cell>
          <cell r="H1273">
            <v>60</v>
          </cell>
          <cell r="I1273">
            <v>60</v>
          </cell>
          <cell r="J1273">
            <v>90</v>
          </cell>
          <cell r="K1273">
            <v>90</v>
          </cell>
          <cell r="L1273">
            <v>60</v>
          </cell>
          <cell r="M1273">
            <v>90</v>
          </cell>
          <cell r="N1273">
            <v>90</v>
          </cell>
          <cell r="O1273">
            <v>60</v>
          </cell>
        </row>
        <row r="1274">
          <cell r="B1274" t="str">
            <v>CB22956R0-001R001</v>
          </cell>
          <cell r="D1274" t="str">
            <v>F</v>
          </cell>
          <cell r="E1274" t="str">
            <v>程序时间</v>
          </cell>
          <cell r="G1274">
            <v>35</v>
          </cell>
          <cell r="H1274">
            <v>30</v>
          </cell>
          <cell r="I1274">
            <v>15</v>
          </cell>
          <cell r="J1274">
            <v>70</v>
          </cell>
          <cell r="K1274">
            <v>60</v>
          </cell>
          <cell r="L1274">
            <v>50</v>
          </cell>
          <cell r="M1274">
            <v>60</v>
          </cell>
          <cell r="N1274">
            <v>30</v>
          </cell>
          <cell r="O1274">
            <v>20</v>
          </cell>
          <cell r="P1274">
            <v>60</v>
          </cell>
          <cell r="U1274">
            <v>5</v>
          </cell>
        </row>
        <row r="1275">
          <cell r="B1275" t="str">
            <v>图号</v>
          </cell>
        </row>
        <row r="1276">
          <cell r="B1276" t="str">
            <v>CB5325153-303-008</v>
          </cell>
          <cell r="D1276" t="str">
            <v>B</v>
          </cell>
          <cell r="E1276" t="str">
            <v>工序内容</v>
          </cell>
          <cell r="F1276" t="str">
            <v>0/领料</v>
          </cell>
          <cell r="G1276" t="str">
            <v>05/下料</v>
          </cell>
          <cell r="H1276" t="str">
            <v>10/数铣</v>
          </cell>
          <cell r="I1276" t="str">
            <v>15/数铣7</v>
          </cell>
          <cell r="J1276" t="str">
            <v>20/数铣10</v>
          </cell>
          <cell r="K1276" t="str">
            <v>25/数铣55</v>
          </cell>
          <cell r="L1276" t="str">
            <v>30/数铣16</v>
          </cell>
          <cell r="M1276" t="str">
            <v>35/数铣8</v>
          </cell>
          <cell r="N1276" t="str">
            <v>40数铣8</v>
          </cell>
          <cell r="O1276" t="str">
            <v>45数铣7</v>
          </cell>
          <cell r="P1276" t="str">
            <v>50测量</v>
          </cell>
          <cell r="Q1276" t="str">
            <v>55钳工</v>
          </cell>
          <cell r="R1276" t="str">
            <v>60清洁</v>
          </cell>
          <cell r="S1276" t="str">
            <v>65硬度</v>
          </cell>
          <cell r="T1276" t="str">
            <v>70分光</v>
          </cell>
          <cell r="U1276" t="str">
            <v>75检验</v>
          </cell>
          <cell r="V1276" t="str">
            <v>80钳工</v>
          </cell>
          <cell r="W1276" t="str">
            <v>85清洁</v>
          </cell>
          <cell r="X1276" t="str">
            <v>90成检</v>
          </cell>
        </row>
        <row r="1277">
          <cell r="B1277" t="str">
            <v>CB5325153-303-008</v>
          </cell>
          <cell r="D1277" t="str">
            <v>B</v>
          </cell>
          <cell r="E1277" t="str">
            <v>准备工时</v>
          </cell>
          <cell r="H1277">
            <v>60</v>
          </cell>
          <cell r="I1277">
            <v>90</v>
          </cell>
          <cell r="J1277">
            <v>60</v>
          </cell>
          <cell r="K1277">
            <v>60</v>
          </cell>
          <cell r="L1277">
            <v>60</v>
          </cell>
          <cell r="M1277">
            <v>60</v>
          </cell>
          <cell r="N1277">
            <v>60</v>
          </cell>
          <cell r="O1277">
            <v>60</v>
          </cell>
        </row>
        <row r="1278">
          <cell r="B1278" t="str">
            <v>CB5325153-303-008</v>
          </cell>
          <cell r="D1278" t="str">
            <v>B</v>
          </cell>
          <cell r="E1278" t="str">
            <v>程序时间</v>
          </cell>
          <cell r="H1278">
            <v>40</v>
          </cell>
          <cell r="I1278">
            <v>45</v>
          </cell>
          <cell r="J1278">
            <v>25</v>
          </cell>
          <cell r="K1278">
            <v>95</v>
          </cell>
          <cell r="L1278">
            <v>30</v>
          </cell>
          <cell r="M1278">
            <v>30</v>
          </cell>
          <cell r="N1278">
            <v>30</v>
          </cell>
          <cell r="O1278">
            <v>15</v>
          </cell>
          <cell r="Q1278">
            <v>40</v>
          </cell>
          <cell r="V1278">
            <v>5</v>
          </cell>
        </row>
        <row r="1279">
          <cell r="B1279" t="str">
            <v>图号</v>
          </cell>
        </row>
        <row r="1280">
          <cell r="B1280" t="str">
            <v>DD-J10B-04061-1</v>
          </cell>
          <cell r="D1280" t="str">
            <v>K</v>
          </cell>
          <cell r="E1280" t="str">
            <v>工序内容</v>
          </cell>
          <cell r="F1280" t="str">
            <v>0/检验</v>
          </cell>
          <cell r="G1280" t="str">
            <v>5/数铣180</v>
          </cell>
          <cell r="H1280" t="str">
            <v>10/数铣270</v>
          </cell>
          <cell r="I1280" t="str">
            <v>15/数铣120</v>
          </cell>
          <cell r="J1280" t="str">
            <v>20/超声波</v>
          </cell>
          <cell r="K1280" t="str">
            <v>25/数铣210</v>
          </cell>
          <cell r="L1280" t="str">
            <v>30/数铣210</v>
          </cell>
          <cell r="M1280" t="str">
            <v>35/数铣330</v>
          </cell>
          <cell r="N1280" t="str">
            <v>40/数铣240</v>
          </cell>
          <cell r="O1280" t="str">
            <v>45/自然时效</v>
          </cell>
          <cell r="P1280" t="str">
            <v>50/数铣450</v>
          </cell>
          <cell r="Q1280" t="str">
            <v>55/数铣420</v>
          </cell>
          <cell r="R1280" t="str">
            <v>60/钳工</v>
          </cell>
          <cell r="S1280" t="str">
            <v>65/测量</v>
          </cell>
          <cell r="T1280" t="str">
            <v>70/清洁</v>
          </cell>
          <cell r="U1280" t="str">
            <v>75/成检</v>
          </cell>
        </row>
        <row r="1281">
          <cell r="B1281" t="str">
            <v>DD-J10B-04061-1</v>
          </cell>
          <cell r="D1281" t="str">
            <v>K</v>
          </cell>
          <cell r="E1281" t="str">
            <v>准备工时</v>
          </cell>
          <cell r="G1281" t="str">
            <v>180</v>
          </cell>
          <cell r="H1281">
            <v>180</v>
          </cell>
          <cell r="I1281">
            <v>180</v>
          </cell>
          <cell r="K1281">
            <v>180</v>
          </cell>
          <cell r="L1281">
            <v>180</v>
          </cell>
          <cell r="M1281">
            <v>180</v>
          </cell>
          <cell r="N1281">
            <v>180</v>
          </cell>
          <cell r="P1281">
            <v>180</v>
          </cell>
          <cell r="Q1281">
            <v>180</v>
          </cell>
        </row>
        <row r="1282">
          <cell r="B1282" t="str">
            <v>DD-J10B-04061-1</v>
          </cell>
          <cell r="D1282" t="str">
            <v>K</v>
          </cell>
          <cell r="E1282" t="str">
            <v>装夹时间</v>
          </cell>
          <cell r="G1282" t="str">
            <v>120</v>
          </cell>
          <cell r="H1282">
            <v>120</v>
          </cell>
          <cell r="I1282">
            <v>120</v>
          </cell>
          <cell r="K1282">
            <v>120</v>
          </cell>
          <cell r="L1282">
            <v>120</v>
          </cell>
          <cell r="M1282">
            <v>120</v>
          </cell>
          <cell r="N1282">
            <v>120</v>
          </cell>
          <cell r="P1282">
            <v>120</v>
          </cell>
          <cell r="Q1282">
            <v>120</v>
          </cell>
        </row>
        <row r="1283">
          <cell r="B1283" t="str">
            <v>DD-J10B-04061-1</v>
          </cell>
          <cell r="D1283" t="str">
            <v>K</v>
          </cell>
          <cell r="E1283" t="str">
            <v>程序时间</v>
          </cell>
          <cell r="G1283">
            <v>540</v>
          </cell>
          <cell r="H1283">
            <v>420</v>
          </cell>
          <cell r="I1283">
            <v>210</v>
          </cell>
          <cell r="K1283">
            <v>360</v>
          </cell>
          <cell r="L1283">
            <v>360</v>
          </cell>
          <cell r="M1283">
            <v>480</v>
          </cell>
          <cell r="N1283">
            <v>390</v>
          </cell>
          <cell r="P1283">
            <v>630</v>
          </cell>
          <cell r="Q1283">
            <v>660</v>
          </cell>
          <cell r="R1283">
            <v>360</v>
          </cell>
        </row>
        <row r="1284">
          <cell r="B1284" t="str">
            <v>图号</v>
          </cell>
        </row>
        <row r="1285">
          <cell r="B1285" t="str">
            <v>DD-J10B-94076-2031/3</v>
          </cell>
          <cell r="D1285" t="str">
            <v>B</v>
          </cell>
          <cell r="E1285" t="str">
            <v>工序内容</v>
          </cell>
          <cell r="F1285" t="str">
            <v>0/领料</v>
          </cell>
          <cell r="G1285" t="str">
            <v>5/数车</v>
          </cell>
          <cell r="H1285" t="str">
            <v>10/数车</v>
          </cell>
          <cell r="I1285" t="str">
            <v>15/分光</v>
          </cell>
          <cell r="J1285" t="str">
            <v>20/数车</v>
          </cell>
          <cell r="K1285" t="str">
            <v>25/数铣3</v>
          </cell>
          <cell r="L1285" t="str">
            <v>30/穿孔</v>
          </cell>
          <cell r="M1285" t="str">
            <v>35/钳工</v>
          </cell>
          <cell r="N1285" t="str">
            <v>40/成检</v>
          </cell>
        </row>
        <row r="1286">
          <cell r="B1286" t="str">
            <v>DD-J10B-94076-2031/3</v>
          </cell>
          <cell r="D1286" t="str">
            <v>B</v>
          </cell>
          <cell r="E1286" t="str">
            <v>准备工时</v>
          </cell>
          <cell r="G1286" t="str">
            <v>60</v>
          </cell>
          <cell r="H1286">
            <v>180</v>
          </cell>
          <cell r="J1286" t="str">
            <v>90</v>
          </cell>
          <cell r="K1286" t="str">
            <v>60</v>
          </cell>
        </row>
        <row r="1287">
          <cell r="B1287" t="str">
            <v>DD-J10B-94076-2031/3</v>
          </cell>
          <cell r="D1287" t="str">
            <v>B</v>
          </cell>
          <cell r="E1287" t="str">
            <v>装夹时间</v>
          </cell>
        </row>
        <row r="1288">
          <cell r="B1288" t="str">
            <v>DD-J10B-94076-2031/3</v>
          </cell>
          <cell r="D1288" t="str">
            <v>B</v>
          </cell>
          <cell r="E1288" t="str">
            <v>程序时间</v>
          </cell>
          <cell r="G1288" t="str">
            <v>40</v>
          </cell>
          <cell r="H1288" t="str">
            <v>90</v>
          </cell>
          <cell r="J1288" t="str">
            <v>30</v>
          </cell>
          <cell r="K1288" t="str">
            <v>30</v>
          </cell>
          <cell r="L1288">
            <v>20</v>
          </cell>
          <cell r="M1288" t="str">
            <v>35</v>
          </cell>
        </row>
        <row r="1289">
          <cell r="B1289" t="str">
            <v>图号</v>
          </cell>
        </row>
        <row r="1290">
          <cell r="B1290" t="str">
            <v>DD-J10-21102-32-Z</v>
          </cell>
          <cell r="D1290" t="str">
            <v>A</v>
          </cell>
          <cell r="E1290" t="str">
            <v>工序内容</v>
          </cell>
          <cell r="F1290" t="str">
            <v>0/领料</v>
          </cell>
          <cell r="G1290" t="str">
            <v>5/数铣</v>
          </cell>
          <cell r="H1290" t="str">
            <v>10/数铣40</v>
          </cell>
          <cell r="I1290" t="str">
            <v>15/数铣380</v>
          </cell>
          <cell r="J1290" t="str">
            <v>20/数铣35</v>
          </cell>
          <cell r="K1290" t="str">
            <v>25/数铣670</v>
          </cell>
          <cell r="L1290" t="str">
            <v>30/测量</v>
          </cell>
          <cell r="M1290" t="str">
            <v>35/钳工</v>
          </cell>
          <cell r="N1290" t="str">
            <v>40/钳工</v>
          </cell>
          <cell r="O1290" t="str">
            <v>45/清洁</v>
          </cell>
          <cell r="P1290" t="str">
            <v>50/成检</v>
          </cell>
        </row>
        <row r="1291">
          <cell r="B1291" t="str">
            <v>DD-J10-21102-32-Z</v>
          </cell>
          <cell r="D1291" t="str">
            <v>A</v>
          </cell>
          <cell r="E1291" t="str">
            <v>准备工时</v>
          </cell>
          <cell r="G1291">
            <v>60</v>
          </cell>
          <cell r="H1291">
            <v>90</v>
          </cell>
          <cell r="I1291">
            <v>120</v>
          </cell>
          <cell r="J1291">
            <v>90</v>
          </cell>
          <cell r="K1291">
            <v>120</v>
          </cell>
        </row>
        <row r="1292">
          <cell r="B1292" t="str">
            <v>DD-J10-21102-32-Z</v>
          </cell>
          <cell r="D1292" t="str">
            <v>A</v>
          </cell>
          <cell r="E1292" t="str">
            <v>装夹时间</v>
          </cell>
          <cell r="J1292">
            <v>60</v>
          </cell>
        </row>
        <row r="1293">
          <cell r="B1293" t="str">
            <v>DD-J10-21102-32-Z</v>
          </cell>
          <cell r="D1293" t="str">
            <v>A</v>
          </cell>
          <cell r="E1293" t="str">
            <v>程序时间</v>
          </cell>
          <cell r="G1293">
            <v>30</v>
          </cell>
          <cell r="H1293">
            <v>80</v>
          </cell>
          <cell r="I1293">
            <v>580</v>
          </cell>
          <cell r="J1293">
            <v>40</v>
          </cell>
          <cell r="K1293">
            <v>1050</v>
          </cell>
          <cell r="M1293">
            <v>360</v>
          </cell>
          <cell r="N1293">
            <v>15</v>
          </cell>
        </row>
        <row r="1294">
          <cell r="B1294" t="str">
            <v>图号</v>
          </cell>
        </row>
        <row r="1295">
          <cell r="B1295" t="str">
            <v>DD-J10-21102-32-Y</v>
          </cell>
          <cell r="D1295" t="str">
            <v>A</v>
          </cell>
          <cell r="E1295" t="str">
            <v>工序内容</v>
          </cell>
          <cell r="F1295" t="str">
            <v>0/领料</v>
          </cell>
          <cell r="G1295" t="str">
            <v>5/数铣</v>
          </cell>
          <cell r="H1295" t="str">
            <v>10/数铣40</v>
          </cell>
          <cell r="I1295" t="str">
            <v>15/数铣380</v>
          </cell>
          <cell r="J1295" t="str">
            <v>20/数铣35</v>
          </cell>
          <cell r="K1295" t="str">
            <v>25/数铣670</v>
          </cell>
          <cell r="L1295" t="str">
            <v>30/测量</v>
          </cell>
          <cell r="M1295" t="str">
            <v>35/钳工</v>
          </cell>
          <cell r="N1295" t="str">
            <v>40/钳工</v>
          </cell>
          <cell r="O1295" t="str">
            <v>45/清洁</v>
          </cell>
          <cell r="P1295" t="str">
            <v>50/成检</v>
          </cell>
        </row>
        <row r="1296">
          <cell r="B1296" t="str">
            <v>DD-J10-21102-32-Y</v>
          </cell>
          <cell r="D1296" t="str">
            <v>A</v>
          </cell>
          <cell r="E1296" t="str">
            <v>准备工时</v>
          </cell>
          <cell r="G1296">
            <v>60</v>
          </cell>
          <cell r="H1296">
            <v>90</v>
          </cell>
          <cell r="I1296">
            <v>120</v>
          </cell>
          <cell r="J1296">
            <v>90</v>
          </cell>
          <cell r="K1296">
            <v>120</v>
          </cell>
        </row>
        <row r="1297">
          <cell r="B1297" t="str">
            <v>DD-J10-21102-32-Y</v>
          </cell>
          <cell r="D1297" t="str">
            <v>A</v>
          </cell>
          <cell r="E1297" t="str">
            <v>装夹时间</v>
          </cell>
          <cell r="J1297">
            <v>60</v>
          </cell>
        </row>
        <row r="1298">
          <cell r="B1298" t="str">
            <v>DD-J10-21102-32-Y</v>
          </cell>
          <cell r="D1298" t="str">
            <v>A</v>
          </cell>
          <cell r="E1298" t="str">
            <v>程序时间</v>
          </cell>
          <cell r="G1298">
            <v>30</v>
          </cell>
          <cell r="H1298">
            <v>80</v>
          </cell>
          <cell r="I1298">
            <v>580</v>
          </cell>
          <cell r="J1298">
            <v>40</v>
          </cell>
          <cell r="K1298">
            <v>1050</v>
          </cell>
          <cell r="M1298">
            <v>360</v>
          </cell>
          <cell r="N1298">
            <v>15</v>
          </cell>
        </row>
        <row r="1299">
          <cell r="B1299" t="str">
            <v>图号</v>
          </cell>
        </row>
        <row r="1300">
          <cell r="B1300" t="str">
            <v>LTCS-551100000-53L02</v>
          </cell>
          <cell r="D1300" t="str">
            <v>B</v>
          </cell>
          <cell r="E1300" t="str">
            <v>工序内容</v>
          </cell>
          <cell r="F1300" t="str">
            <v>0/领料</v>
          </cell>
          <cell r="G1300" t="str">
            <v>5/数铣</v>
          </cell>
          <cell r="H1300" t="str">
            <v>10/数铣25</v>
          </cell>
          <cell r="I1300" t="str">
            <v>15/数铣120</v>
          </cell>
          <cell r="J1300" t="str">
            <v>20/数铣10</v>
          </cell>
          <cell r="K1300" t="str">
            <v>25/测量</v>
          </cell>
          <cell r="L1300" t="str">
            <v>30/钳工</v>
          </cell>
          <cell r="M1300" t="str">
            <v>35/称重</v>
          </cell>
          <cell r="N1300" t="str">
            <v>40/清洁</v>
          </cell>
          <cell r="O1300" t="str">
            <v>45/成检</v>
          </cell>
        </row>
        <row r="1301">
          <cell r="B1301" t="str">
            <v>LTCS-551100000-53L02</v>
          </cell>
          <cell r="D1301" t="str">
            <v>B</v>
          </cell>
          <cell r="E1301" t="str">
            <v>准备工时</v>
          </cell>
          <cell r="G1301">
            <v>60</v>
          </cell>
          <cell r="H1301">
            <v>90</v>
          </cell>
          <cell r="I1301">
            <v>120</v>
          </cell>
          <cell r="J1301">
            <v>60</v>
          </cell>
        </row>
        <row r="1302">
          <cell r="B1302" t="str">
            <v>LTCS-551100000-53L02</v>
          </cell>
          <cell r="D1302" t="str">
            <v>B</v>
          </cell>
          <cell r="E1302" t="str">
            <v>准备工时</v>
          </cell>
        </row>
        <row r="1303">
          <cell r="B1303" t="str">
            <v>LTCS-551100000-53L02</v>
          </cell>
          <cell r="D1303" t="str">
            <v>B</v>
          </cell>
          <cell r="E1303" t="str">
            <v>程序时间</v>
          </cell>
          <cell r="G1303">
            <v>30</v>
          </cell>
          <cell r="H1303">
            <v>50</v>
          </cell>
          <cell r="I1303">
            <v>180</v>
          </cell>
          <cell r="J1303">
            <v>25</v>
          </cell>
          <cell r="L1303">
            <v>60</v>
          </cell>
          <cell r="P1303" t="str">
            <v/>
          </cell>
        </row>
        <row r="1304">
          <cell r="B1304" t="str">
            <v>图号</v>
          </cell>
        </row>
        <row r="1305">
          <cell r="B1305" t="str">
            <v>LTCS-551100000-53R02</v>
          </cell>
          <cell r="D1305" t="str">
            <v>B</v>
          </cell>
          <cell r="E1305" t="str">
            <v>工序内容</v>
          </cell>
          <cell r="F1305" t="str">
            <v>0/领料</v>
          </cell>
          <cell r="G1305" t="str">
            <v>5/数铣</v>
          </cell>
          <cell r="H1305" t="str">
            <v>10/数铣25</v>
          </cell>
          <cell r="I1305" t="str">
            <v>15/数铣120</v>
          </cell>
          <cell r="J1305" t="str">
            <v>20/数铣10</v>
          </cell>
          <cell r="K1305" t="str">
            <v>25/测量</v>
          </cell>
          <cell r="L1305" t="str">
            <v>30/钳工</v>
          </cell>
          <cell r="M1305" t="str">
            <v>35/称重</v>
          </cell>
          <cell r="N1305" t="str">
            <v>40/清洁</v>
          </cell>
          <cell r="O1305" t="str">
            <v>45/成检</v>
          </cell>
        </row>
        <row r="1306">
          <cell r="B1306" t="str">
            <v>LTCS-551100000-53R02</v>
          </cell>
          <cell r="D1306" t="str">
            <v>B</v>
          </cell>
          <cell r="E1306" t="str">
            <v>准备工时</v>
          </cell>
          <cell r="G1306">
            <v>60</v>
          </cell>
          <cell r="H1306">
            <v>90</v>
          </cell>
          <cell r="I1306">
            <v>120</v>
          </cell>
          <cell r="J1306">
            <v>60</v>
          </cell>
        </row>
        <row r="1307">
          <cell r="B1307" t="str">
            <v>LTCS-551100000-53R02</v>
          </cell>
          <cell r="D1307" t="str">
            <v>B</v>
          </cell>
          <cell r="E1307" t="str">
            <v>装夹时间</v>
          </cell>
        </row>
        <row r="1308">
          <cell r="B1308" t="str">
            <v>LTCS-551100000-53R02</v>
          </cell>
          <cell r="D1308" t="str">
            <v>B</v>
          </cell>
          <cell r="E1308" t="str">
            <v>程序时间</v>
          </cell>
          <cell r="G1308">
            <v>30</v>
          </cell>
          <cell r="H1308">
            <v>50</v>
          </cell>
          <cell r="I1308">
            <v>180</v>
          </cell>
          <cell r="J1308">
            <v>25</v>
          </cell>
          <cell r="L1308">
            <v>60</v>
          </cell>
          <cell r="P1308" t="str">
            <v/>
          </cell>
        </row>
        <row r="1309">
          <cell r="B1309" t="str">
            <v>CB5324320-007L009</v>
          </cell>
          <cell r="D1309" t="str">
            <v>F</v>
          </cell>
          <cell r="E1309" t="str">
            <v>工序内容</v>
          </cell>
          <cell r="F1309" t="str">
            <v>0/领料</v>
          </cell>
          <cell r="G1309" t="str">
            <v>5/钳工</v>
          </cell>
          <cell r="H1309" t="str">
            <v>10/数铣</v>
          </cell>
          <cell r="I1309" t="str">
            <v>15/数铣45</v>
          </cell>
          <cell r="J1309" t="str">
            <v>20/数铣200</v>
          </cell>
          <cell r="K1309" t="str">
            <v>25/数铣120</v>
          </cell>
          <cell r="L1309">
            <v>30</v>
          </cell>
          <cell r="M1309" t="str">
            <v>35/时效</v>
          </cell>
          <cell r="N1309" t="str">
            <v>40/数铣</v>
          </cell>
          <cell r="O1309" t="str">
            <v>45/数铣220</v>
          </cell>
          <cell r="P1309" t="str">
            <v>50/五轴40</v>
          </cell>
          <cell r="Q1309" t="str">
            <v>55/数铣165</v>
          </cell>
          <cell r="R1309" t="str">
            <v>60/数铣95</v>
          </cell>
          <cell r="S1309" t="str">
            <v>65/数铣20</v>
          </cell>
          <cell r="T1309" t="str">
            <v>70/测量</v>
          </cell>
          <cell r="U1309" t="str">
            <v>75/钳工</v>
          </cell>
          <cell r="V1309" t="str">
            <v>80/清洁</v>
          </cell>
          <cell r="W1309" t="str">
            <v>85/检验</v>
          </cell>
          <cell r="X1309" t="str">
            <v>90/硬检</v>
          </cell>
          <cell r="Y1309" t="str">
            <v>95/分光</v>
          </cell>
          <cell r="Z1309" t="str">
            <v>100/钳工</v>
          </cell>
          <cell r="AA1309" t="str">
            <v>105/清洁</v>
          </cell>
          <cell r="AB1309" t="str">
            <v>110/成检</v>
          </cell>
        </row>
        <row r="1310">
          <cell r="B1310" t="str">
            <v>CB5324320-007L009</v>
          </cell>
          <cell r="D1310" t="str">
            <v>F</v>
          </cell>
          <cell r="E1310" t="str">
            <v>准备工时</v>
          </cell>
          <cell r="H1310">
            <v>60</v>
          </cell>
          <cell r="I1310">
            <v>90</v>
          </cell>
          <cell r="J1310">
            <v>90</v>
          </cell>
          <cell r="K1310">
            <v>60</v>
          </cell>
          <cell r="N1310">
            <v>90</v>
          </cell>
          <cell r="O1310">
            <v>90</v>
          </cell>
          <cell r="P1310">
            <v>150</v>
          </cell>
          <cell r="Q1310">
            <v>90</v>
          </cell>
          <cell r="R1310">
            <v>90</v>
          </cell>
          <cell r="S1310">
            <v>60</v>
          </cell>
        </row>
        <row r="1311">
          <cell r="B1311" t="str">
            <v>CB5324320-007L009</v>
          </cell>
          <cell r="D1311" t="str">
            <v>F</v>
          </cell>
          <cell r="E1311" t="str">
            <v>装夹时间</v>
          </cell>
          <cell r="P1311">
            <v>60</v>
          </cell>
        </row>
        <row r="1312">
          <cell r="B1312" t="str">
            <v>CB5324320-007L009</v>
          </cell>
          <cell r="D1312" t="str">
            <v>F</v>
          </cell>
          <cell r="E1312" t="str">
            <v>程序时间</v>
          </cell>
          <cell r="G1312">
            <v>40</v>
          </cell>
          <cell r="H1312">
            <v>60</v>
          </cell>
          <cell r="I1312">
            <v>90</v>
          </cell>
          <cell r="J1312">
            <v>300</v>
          </cell>
          <cell r="K1312">
            <v>210</v>
          </cell>
          <cell r="N1312">
            <v>150</v>
          </cell>
          <cell r="O1312">
            <v>330</v>
          </cell>
          <cell r="P1312">
            <v>180</v>
          </cell>
          <cell r="Q1312">
            <v>270</v>
          </cell>
          <cell r="R1312">
            <v>180</v>
          </cell>
          <cell r="S1312">
            <v>45</v>
          </cell>
          <cell r="U1312">
            <v>300</v>
          </cell>
          <cell r="Z1312">
            <v>5</v>
          </cell>
        </row>
        <row r="1313">
          <cell r="B1313" t="str">
            <v>图号</v>
          </cell>
        </row>
        <row r="1314">
          <cell r="B1314" t="str">
            <v>CB5324320-007R009</v>
          </cell>
          <cell r="D1314" t="str">
            <v>F</v>
          </cell>
          <cell r="E1314" t="str">
            <v>工序内容</v>
          </cell>
          <cell r="F1314" t="str">
            <v>0/领料</v>
          </cell>
          <cell r="G1314" t="str">
            <v>5/钳工</v>
          </cell>
          <cell r="H1314" t="str">
            <v>10/数铣</v>
          </cell>
          <cell r="I1314" t="str">
            <v>15/数铣45</v>
          </cell>
          <cell r="J1314" t="str">
            <v>20/数铣200</v>
          </cell>
          <cell r="K1314" t="str">
            <v>25/数铣120</v>
          </cell>
          <cell r="L1314">
            <v>30</v>
          </cell>
          <cell r="M1314" t="str">
            <v>35/时效</v>
          </cell>
          <cell r="N1314" t="str">
            <v>40/数铣</v>
          </cell>
          <cell r="O1314" t="str">
            <v>45/数铣220</v>
          </cell>
          <cell r="P1314" t="str">
            <v>50/五轴40</v>
          </cell>
          <cell r="Q1314" t="str">
            <v>55/数铣165</v>
          </cell>
          <cell r="R1314" t="str">
            <v>60/数铣95</v>
          </cell>
          <cell r="S1314" t="str">
            <v>65/数铣20</v>
          </cell>
          <cell r="T1314" t="str">
            <v>70/测量</v>
          </cell>
          <cell r="U1314" t="str">
            <v>75/钳工</v>
          </cell>
          <cell r="V1314" t="str">
            <v>80/清洁</v>
          </cell>
          <cell r="W1314" t="str">
            <v>85/检验</v>
          </cell>
          <cell r="X1314" t="str">
            <v>90/硬检</v>
          </cell>
          <cell r="Y1314" t="str">
            <v>95/分光</v>
          </cell>
          <cell r="Z1314" t="str">
            <v>100/钳工</v>
          </cell>
          <cell r="AA1314" t="str">
            <v>105/清洁</v>
          </cell>
          <cell r="AB1314" t="str">
            <v>110/成检</v>
          </cell>
        </row>
        <row r="1315">
          <cell r="B1315" t="str">
            <v>CB5324320-007R009</v>
          </cell>
          <cell r="D1315" t="str">
            <v>F</v>
          </cell>
          <cell r="E1315" t="str">
            <v>准备工时</v>
          </cell>
          <cell r="H1315">
            <v>60</v>
          </cell>
          <cell r="I1315">
            <v>90</v>
          </cell>
          <cell r="J1315">
            <v>90</v>
          </cell>
          <cell r="K1315">
            <v>60</v>
          </cell>
          <cell r="N1315">
            <v>90</v>
          </cell>
          <cell r="O1315">
            <v>90</v>
          </cell>
          <cell r="P1315">
            <v>150</v>
          </cell>
          <cell r="Q1315">
            <v>90</v>
          </cell>
          <cell r="R1315">
            <v>90</v>
          </cell>
          <cell r="S1315">
            <v>60</v>
          </cell>
        </row>
        <row r="1316">
          <cell r="B1316" t="str">
            <v>CB5324320-007R009</v>
          </cell>
          <cell r="D1316" t="str">
            <v>F</v>
          </cell>
          <cell r="E1316" t="str">
            <v>装夹时间</v>
          </cell>
          <cell r="P1316">
            <v>60</v>
          </cell>
        </row>
        <row r="1317">
          <cell r="B1317" t="str">
            <v>CB5324320-007R009</v>
          </cell>
          <cell r="D1317" t="str">
            <v>F</v>
          </cell>
          <cell r="E1317" t="str">
            <v>程序时间</v>
          </cell>
          <cell r="G1317">
            <v>40</v>
          </cell>
          <cell r="H1317">
            <v>60</v>
          </cell>
          <cell r="I1317">
            <v>90</v>
          </cell>
          <cell r="J1317">
            <v>300</v>
          </cell>
          <cell r="K1317">
            <v>210</v>
          </cell>
          <cell r="N1317">
            <v>150</v>
          </cell>
          <cell r="O1317">
            <v>330</v>
          </cell>
          <cell r="P1317">
            <v>180</v>
          </cell>
          <cell r="Q1317">
            <v>270</v>
          </cell>
          <cell r="R1317">
            <v>180</v>
          </cell>
          <cell r="S1317">
            <v>45</v>
          </cell>
          <cell r="U1317">
            <v>300</v>
          </cell>
          <cell r="Z1317">
            <v>5</v>
          </cell>
        </row>
        <row r="1318">
          <cell r="B1318" t="str">
            <v>图号</v>
          </cell>
        </row>
        <row r="1319">
          <cell r="B1319" t="str">
            <v>DD-J10-34103-4</v>
          </cell>
          <cell r="D1319" t="str">
            <v>F</v>
          </cell>
          <cell r="E1319" t="str">
            <v>工序内容</v>
          </cell>
          <cell r="F1319" t="str">
            <v>3/钳工</v>
          </cell>
          <cell r="G1319" t="str">
            <v>5/数铣</v>
          </cell>
          <cell r="H1319" t="str">
            <v>10/数铣50</v>
          </cell>
          <cell r="I1319" t="str">
            <v>15/数铣15</v>
          </cell>
          <cell r="J1319" t="str">
            <v>20/数铣180</v>
          </cell>
          <cell r="K1319" t="str">
            <v>25/数铣145</v>
          </cell>
          <cell r="L1319" t="str">
            <v>30/时效</v>
          </cell>
          <cell r="M1319" t="str">
            <v>35/数铣</v>
          </cell>
          <cell r="N1319" t="str">
            <v>40/数铣200</v>
          </cell>
          <cell r="O1319" t="str">
            <v>45/数铣910</v>
          </cell>
          <cell r="P1319" t="str">
            <v>50/五轴150</v>
          </cell>
          <cell r="Q1319" t="str">
            <v>55/数铣</v>
          </cell>
          <cell r="R1319" t="str">
            <v>60</v>
          </cell>
          <cell r="S1319" t="str">
            <v>65/钳工</v>
          </cell>
        </row>
        <row r="1320">
          <cell r="B1320" t="str">
            <v>DD-J10-34103-4</v>
          </cell>
          <cell r="D1320" t="str">
            <v>F</v>
          </cell>
          <cell r="E1320" t="str">
            <v>准备工时</v>
          </cell>
          <cell r="F1320">
            <v>30</v>
          </cell>
          <cell r="G1320">
            <v>60</v>
          </cell>
          <cell r="H1320">
            <v>60</v>
          </cell>
          <cell r="I1320">
            <v>60</v>
          </cell>
          <cell r="J1320">
            <v>60</v>
          </cell>
          <cell r="K1320">
            <v>60</v>
          </cell>
          <cell r="M1320">
            <v>60</v>
          </cell>
          <cell r="N1320">
            <v>120</v>
          </cell>
          <cell r="O1320">
            <v>120</v>
          </cell>
          <cell r="P1320">
            <v>120</v>
          </cell>
          <cell r="Q1320">
            <v>120</v>
          </cell>
        </row>
        <row r="1321">
          <cell r="B1321" t="str">
            <v>DD-J10-34103-4</v>
          </cell>
          <cell r="D1321" t="str">
            <v>F</v>
          </cell>
          <cell r="E1321" t="str">
            <v>装夹时间</v>
          </cell>
          <cell r="G1321">
            <v>60</v>
          </cell>
          <cell r="H1321">
            <v>60</v>
          </cell>
          <cell r="I1321">
            <v>60</v>
          </cell>
          <cell r="J1321">
            <v>90</v>
          </cell>
          <cell r="K1321">
            <v>90</v>
          </cell>
          <cell r="M1321">
            <v>60</v>
          </cell>
          <cell r="N1321">
            <v>90</v>
          </cell>
          <cell r="O1321">
            <v>90</v>
          </cell>
          <cell r="P1321">
            <v>90</v>
          </cell>
          <cell r="Q1321">
            <v>90</v>
          </cell>
        </row>
        <row r="1322">
          <cell r="B1322" t="str">
            <v>DD-J10-34103-4</v>
          </cell>
          <cell r="D1322" t="str">
            <v>F</v>
          </cell>
          <cell r="E1322" t="str">
            <v>程序时间</v>
          </cell>
          <cell r="F1322">
            <v>40</v>
          </cell>
          <cell r="G1322">
            <v>80</v>
          </cell>
          <cell r="H1322">
            <v>80</v>
          </cell>
          <cell r="I1322">
            <v>40</v>
          </cell>
          <cell r="J1322">
            <v>270</v>
          </cell>
          <cell r="K1322">
            <v>180</v>
          </cell>
          <cell r="M1322">
            <v>180</v>
          </cell>
          <cell r="N1322">
            <v>330</v>
          </cell>
          <cell r="O1322">
            <v>1080</v>
          </cell>
          <cell r="P1322">
            <v>40</v>
          </cell>
          <cell r="Q1322">
            <v>300</v>
          </cell>
          <cell r="R1322">
            <v>20</v>
          </cell>
          <cell r="S1322">
            <v>240</v>
          </cell>
        </row>
        <row r="1323">
          <cell r="B1323" t="str">
            <v>DD-J10-05236-1-Z</v>
          </cell>
          <cell r="D1323" t="str">
            <v>D</v>
          </cell>
          <cell r="E1323" t="str">
            <v>工序内容</v>
          </cell>
          <cell r="F1323" t="str">
            <v>0/领料</v>
          </cell>
          <cell r="G1323" t="str">
            <v>5/数铣</v>
          </cell>
          <cell r="H1323" t="str">
            <v>10/数铣45</v>
          </cell>
          <cell r="I1323" t="str">
            <v>15/数铣60</v>
          </cell>
          <cell r="J1323" t="str">
            <v>20/数铣40</v>
          </cell>
          <cell r="K1323" t="str">
            <v>25/数铣20</v>
          </cell>
          <cell r="L1323" t="str">
            <v>30/数铣255</v>
          </cell>
          <cell r="M1323" t="str">
            <v>35/数铣190</v>
          </cell>
          <cell r="N1323" t="str">
            <v>40/五轴120</v>
          </cell>
          <cell r="O1323" t="str">
            <v>45/测量</v>
          </cell>
          <cell r="P1323" t="str">
            <v>50/数铣30</v>
          </cell>
          <cell r="Q1323" t="str">
            <v>55/钳工</v>
          </cell>
          <cell r="R1323" t="str">
            <v>60/数铣</v>
          </cell>
          <cell r="S1323" t="str">
            <v>65/清洁</v>
          </cell>
          <cell r="T1323" t="str">
            <v>70/成检</v>
          </cell>
        </row>
        <row r="1324">
          <cell r="B1324" t="str">
            <v>DD-J10-05236-1-Z</v>
          </cell>
          <cell r="D1324" t="str">
            <v>D</v>
          </cell>
          <cell r="E1324" t="str">
            <v>准备工时</v>
          </cell>
          <cell r="G1324">
            <v>60</v>
          </cell>
          <cell r="H1324">
            <v>120</v>
          </cell>
          <cell r="I1324">
            <v>90</v>
          </cell>
          <cell r="J1324">
            <v>90</v>
          </cell>
          <cell r="K1324">
            <v>90</v>
          </cell>
          <cell r="L1324">
            <v>120</v>
          </cell>
          <cell r="M1324">
            <v>120</v>
          </cell>
          <cell r="N1324">
            <v>180</v>
          </cell>
          <cell r="P1324">
            <v>60</v>
          </cell>
        </row>
        <row r="1325">
          <cell r="B1325" t="str">
            <v>DD-J10-05236-1-Z</v>
          </cell>
          <cell r="D1325" t="str">
            <v>D</v>
          </cell>
          <cell r="E1325" t="str">
            <v>装夹时间</v>
          </cell>
          <cell r="N1325">
            <v>60</v>
          </cell>
        </row>
        <row r="1326">
          <cell r="B1326" t="str">
            <v>DD-J10-05236-1-Z</v>
          </cell>
          <cell r="D1326" t="str">
            <v>D</v>
          </cell>
          <cell r="E1326" t="str">
            <v>程序时间</v>
          </cell>
          <cell r="G1326">
            <v>90</v>
          </cell>
          <cell r="H1326">
            <v>60</v>
          </cell>
          <cell r="I1326">
            <v>90</v>
          </cell>
          <cell r="J1326">
            <v>60</v>
          </cell>
          <cell r="K1326">
            <v>50</v>
          </cell>
          <cell r="L1326">
            <v>330</v>
          </cell>
          <cell r="M1326">
            <v>240</v>
          </cell>
          <cell r="N1326">
            <v>300</v>
          </cell>
          <cell r="P1326">
            <v>60</v>
          </cell>
          <cell r="Q1326">
            <v>360</v>
          </cell>
          <cell r="R1326">
            <v>20</v>
          </cell>
        </row>
        <row r="1327">
          <cell r="B1327" t="str">
            <v>图号</v>
          </cell>
        </row>
        <row r="1328">
          <cell r="B1328" t="str">
            <v>DD-J10-05236-1-Y</v>
          </cell>
          <cell r="D1328" t="str">
            <v>D</v>
          </cell>
          <cell r="E1328" t="str">
            <v>工序内容</v>
          </cell>
          <cell r="F1328" t="str">
            <v>0/领料</v>
          </cell>
          <cell r="G1328" t="str">
            <v>5/数铣</v>
          </cell>
          <cell r="H1328" t="str">
            <v>10/数铣45</v>
          </cell>
          <cell r="I1328" t="str">
            <v>15/数铣60</v>
          </cell>
          <cell r="J1328" t="str">
            <v>20/数铣40</v>
          </cell>
          <cell r="K1328" t="str">
            <v>25/数铣20</v>
          </cell>
          <cell r="L1328" t="str">
            <v>30/数铣255</v>
          </cell>
          <cell r="M1328" t="str">
            <v>35/数铣190</v>
          </cell>
          <cell r="N1328" t="str">
            <v>40/五轴120</v>
          </cell>
          <cell r="O1328" t="str">
            <v>45/测量</v>
          </cell>
          <cell r="P1328" t="str">
            <v>50/数铣30</v>
          </cell>
          <cell r="Q1328" t="str">
            <v>55/钳工</v>
          </cell>
          <cell r="R1328" t="str">
            <v>60/数铣</v>
          </cell>
          <cell r="S1328" t="str">
            <v>65/清洁</v>
          </cell>
          <cell r="T1328" t="str">
            <v>70/成检</v>
          </cell>
        </row>
        <row r="1329">
          <cell r="B1329" t="str">
            <v>DD-J10-05236-1-Y</v>
          </cell>
          <cell r="D1329" t="str">
            <v>D</v>
          </cell>
          <cell r="E1329" t="str">
            <v>准备工时</v>
          </cell>
          <cell r="G1329">
            <v>60</v>
          </cell>
          <cell r="H1329">
            <v>120</v>
          </cell>
          <cell r="I1329">
            <v>90</v>
          </cell>
          <cell r="J1329">
            <v>90</v>
          </cell>
          <cell r="K1329">
            <v>90</v>
          </cell>
          <cell r="L1329">
            <v>120</v>
          </cell>
          <cell r="M1329">
            <v>120</v>
          </cell>
          <cell r="N1329">
            <v>180</v>
          </cell>
          <cell r="P1329">
            <v>60</v>
          </cell>
        </row>
        <row r="1330">
          <cell r="B1330" t="str">
            <v>DD-J10-05236-1-Y</v>
          </cell>
          <cell r="D1330" t="str">
            <v>D</v>
          </cell>
          <cell r="E1330" t="str">
            <v>装夹时间</v>
          </cell>
          <cell r="N1330">
            <v>60</v>
          </cell>
        </row>
        <row r="1331">
          <cell r="B1331" t="str">
            <v>DD-J10-05236-1-Y</v>
          </cell>
          <cell r="D1331" t="str">
            <v>D</v>
          </cell>
          <cell r="E1331" t="str">
            <v>程序时间</v>
          </cell>
          <cell r="G1331">
            <v>90</v>
          </cell>
          <cell r="H1331">
            <v>60</v>
          </cell>
          <cell r="I1331">
            <v>90</v>
          </cell>
          <cell r="J1331">
            <v>60</v>
          </cell>
          <cell r="K1331">
            <v>50</v>
          </cell>
          <cell r="L1331">
            <v>330</v>
          </cell>
          <cell r="M1331">
            <v>240</v>
          </cell>
          <cell r="N1331">
            <v>300</v>
          </cell>
          <cell r="P1331">
            <v>60</v>
          </cell>
          <cell r="Q1331">
            <v>360</v>
          </cell>
          <cell r="R1331">
            <v>20</v>
          </cell>
        </row>
        <row r="1332">
          <cell r="B1332" t="str">
            <v>图号</v>
          </cell>
        </row>
        <row r="1333">
          <cell r="B1333" t="str">
            <v>EA5740020-004L101</v>
          </cell>
          <cell r="D1333" t="str">
            <v>A</v>
          </cell>
          <cell r="E1333" t="str">
            <v>工序内容</v>
          </cell>
          <cell r="F1333" t="str">
            <v>0/领料</v>
          </cell>
          <cell r="G1333" t="str">
            <v>5/钳工</v>
          </cell>
          <cell r="H1333" t="str">
            <v>10/数铣</v>
          </cell>
          <cell r="I1333" t="str">
            <v>15/数铣60</v>
          </cell>
          <cell r="J1333" t="str">
            <v>20/数铣220</v>
          </cell>
          <cell r="K1333" t="str">
            <v>25/数铣130</v>
          </cell>
          <cell r="L1333" t="str">
            <v>30/时效</v>
          </cell>
          <cell r="M1333" t="str">
            <v>35/数铣</v>
          </cell>
          <cell r="N1333" t="str">
            <v>40/数铣200</v>
          </cell>
          <cell r="O1333" t="str">
            <v>45/数铣120</v>
          </cell>
          <cell r="P1333" t="str">
            <v>50/五轴30</v>
          </cell>
          <cell r="Q1333" t="str">
            <v>55/五轴270</v>
          </cell>
          <cell r="R1333" t="str">
            <v>60/测量</v>
          </cell>
          <cell r="S1333" t="str">
            <v>65/钳工</v>
          </cell>
          <cell r="T1333" t="str">
            <v>70/钳校形</v>
          </cell>
          <cell r="U1333" t="str">
            <v>75/清洁</v>
          </cell>
          <cell r="V1333" t="str">
            <v>80/成检</v>
          </cell>
        </row>
        <row r="1334">
          <cell r="B1334" t="str">
            <v>EA5740020-004L101</v>
          </cell>
          <cell r="D1334" t="str">
            <v>A</v>
          </cell>
          <cell r="E1334" t="str">
            <v>准备工时</v>
          </cell>
          <cell r="H1334">
            <v>60</v>
          </cell>
          <cell r="I1334">
            <v>60</v>
          </cell>
          <cell r="J1334">
            <v>60</v>
          </cell>
          <cell r="K1334">
            <v>60</v>
          </cell>
          <cell r="M1334">
            <v>60</v>
          </cell>
          <cell r="N1334">
            <v>90</v>
          </cell>
          <cell r="O1334">
            <v>60</v>
          </cell>
          <cell r="P1334">
            <v>90</v>
          </cell>
          <cell r="Q1334">
            <v>120</v>
          </cell>
        </row>
        <row r="1335">
          <cell r="B1335" t="str">
            <v>EA5740020-004L101</v>
          </cell>
          <cell r="D1335" t="str">
            <v>A</v>
          </cell>
          <cell r="E1335" t="str">
            <v>装夹时间</v>
          </cell>
          <cell r="H1335">
            <v>60</v>
          </cell>
          <cell r="I1335">
            <v>60</v>
          </cell>
          <cell r="J1335">
            <v>60</v>
          </cell>
          <cell r="K1335">
            <v>60</v>
          </cell>
          <cell r="M1335">
            <v>90</v>
          </cell>
          <cell r="N1335">
            <v>60</v>
          </cell>
          <cell r="O1335">
            <v>60</v>
          </cell>
          <cell r="P1335">
            <v>60</v>
          </cell>
          <cell r="Q1335">
            <v>60</v>
          </cell>
        </row>
        <row r="1336">
          <cell r="B1336" t="str">
            <v>EA5740020-004L101</v>
          </cell>
          <cell r="D1336" t="str">
            <v>A</v>
          </cell>
          <cell r="E1336" t="str">
            <v>程序时间</v>
          </cell>
          <cell r="G1336">
            <v>40</v>
          </cell>
          <cell r="H1336">
            <v>90</v>
          </cell>
          <cell r="I1336">
            <v>80</v>
          </cell>
          <cell r="J1336">
            <v>270</v>
          </cell>
          <cell r="K1336">
            <v>170</v>
          </cell>
          <cell r="M1336">
            <v>120</v>
          </cell>
          <cell r="N1336">
            <v>270</v>
          </cell>
          <cell r="O1336">
            <v>170</v>
          </cell>
          <cell r="P1336">
            <v>40</v>
          </cell>
          <cell r="Q1336">
            <v>900</v>
          </cell>
          <cell r="S1336">
            <v>300</v>
          </cell>
          <cell r="T1336">
            <v>180</v>
          </cell>
        </row>
        <row r="1337">
          <cell r="B1337" t="str">
            <v>图号</v>
          </cell>
        </row>
        <row r="1338">
          <cell r="B1338" t="str">
            <v>EA5740020-004R101</v>
          </cell>
          <cell r="D1338" t="str">
            <v>A</v>
          </cell>
          <cell r="E1338" t="str">
            <v>工序内容</v>
          </cell>
          <cell r="F1338" t="str">
            <v>0/领料</v>
          </cell>
          <cell r="G1338" t="str">
            <v>5/钳工</v>
          </cell>
          <cell r="H1338" t="str">
            <v>10/数铣</v>
          </cell>
          <cell r="I1338" t="str">
            <v>15/数铣60</v>
          </cell>
          <cell r="J1338" t="str">
            <v>20/数铣220</v>
          </cell>
          <cell r="K1338" t="str">
            <v>25/数铣130</v>
          </cell>
          <cell r="L1338" t="str">
            <v>30/时效</v>
          </cell>
          <cell r="M1338" t="str">
            <v>35/数铣</v>
          </cell>
          <cell r="N1338" t="str">
            <v>40/数铣200</v>
          </cell>
          <cell r="O1338" t="str">
            <v>45/数铣120</v>
          </cell>
          <cell r="P1338" t="str">
            <v>50/五轴30</v>
          </cell>
          <cell r="Q1338" t="str">
            <v>55/五轴270</v>
          </cell>
          <cell r="R1338" t="str">
            <v>60/测量</v>
          </cell>
          <cell r="S1338" t="str">
            <v>65/钳工</v>
          </cell>
          <cell r="T1338" t="str">
            <v>70/钳校形</v>
          </cell>
          <cell r="U1338" t="str">
            <v>75/清洁</v>
          </cell>
          <cell r="V1338" t="str">
            <v>80/成检</v>
          </cell>
        </row>
        <row r="1339">
          <cell r="B1339" t="str">
            <v>EA5740020-004R101</v>
          </cell>
          <cell r="D1339" t="str">
            <v>A</v>
          </cell>
          <cell r="E1339" t="str">
            <v>准备工时</v>
          </cell>
          <cell r="H1339">
            <v>60</v>
          </cell>
          <cell r="I1339">
            <v>60</v>
          </cell>
          <cell r="J1339">
            <v>60</v>
          </cell>
          <cell r="K1339">
            <v>60</v>
          </cell>
          <cell r="M1339">
            <v>60</v>
          </cell>
          <cell r="N1339">
            <v>90</v>
          </cell>
          <cell r="O1339">
            <v>60</v>
          </cell>
          <cell r="P1339">
            <v>90</v>
          </cell>
          <cell r="Q1339">
            <v>120</v>
          </cell>
        </row>
        <row r="1340">
          <cell r="B1340" t="str">
            <v>EA5740020-004R101</v>
          </cell>
          <cell r="D1340" t="str">
            <v>A</v>
          </cell>
          <cell r="E1340" t="str">
            <v>装夹时间</v>
          </cell>
          <cell r="H1340">
            <v>60</v>
          </cell>
          <cell r="I1340">
            <v>60</v>
          </cell>
          <cell r="J1340">
            <v>60</v>
          </cell>
          <cell r="K1340">
            <v>60</v>
          </cell>
          <cell r="M1340">
            <v>90</v>
          </cell>
          <cell r="N1340">
            <v>60</v>
          </cell>
          <cell r="O1340">
            <v>60</v>
          </cell>
          <cell r="P1340">
            <v>60</v>
          </cell>
          <cell r="Q1340">
            <v>60</v>
          </cell>
        </row>
        <row r="1341">
          <cell r="B1341" t="str">
            <v>EA5740020-004R101</v>
          </cell>
          <cell r="D1341" t="str">
            <v>A</v>
          </cell>
          <cell r="E1341" t="str">
            <v>程序时间</v>
          </cell>
          <cell r="G1341">
            <v>40</v>
          </cell>
          <cell r="H1341">
            <v>90</v>
          </cell>
          <cell r="I1341">
            <v>80</v>
          </cell>
          <cell r="J1341">
            <v>270</v>
          </cell>
          <cell r="K1341">
            <v>170</v>
          </cell>
          <cell r="M1341">
            <v>120</v>
          </cell>
          <cell r="N1341">
            <v>270</v>
          </cell>
          <cell r="O1341">
            <v>170</v>
          </cell>
          <cell r="P1341">
            <v>40</v>
          </cell>
          <cell r="Q1341">
            <v>900</v>
          </cell>
          <cell r="S1341">
            <v>300</v>
          </cell>
          <cell r="T1341">
            <v>180</v>
          </cell>
        </row>
        <row r="1342">
          <cell r="B1342" t="str">
            <v>图号</v>
          </cell>
        </row>
        <row r="1343">
          <cell r="B1343" t="str">
            <v>BC5337100-101/102/103L001</v>
          </cell>
          <cell r="D1343" t="str">
            <v>C</v>
          </cell>
          <cell r="E1343" t="str">
            <v>工序内容</v>
          </cell>
          <cell r="F1343" t="str">
            <v>0/领料</v>
          </cell>
          <cell r="G1343" t="str">
            <v>5/数铣</v>
          </cell>
          <cell r="H1343" t="str">
            <v>10/超探</v>
          </cell>
          <cell r="I1343" t="str">
            <v>15/检验</v>
          </cell>
          <cell r="J1343" t="str">
            <v>20/数铣</v>
          </cell>
          <cell r="K1343" t="str">
            <v>25/数铣25</v>
          </cell>
          <cell r="L1343" t="str">
            <v>30/数铣300</v>
          </cell>
          <cell r="M1343" t="str">
            <v>35/数铣360</v>
          </cell>
          <cell r="N1343" t="str">
            <v>40/数铣175</v>
          </cell>
          <cell r="O1343" t="str">
            <v>45/数铣10</v>
          </cell>
          <cell r="P1343" t="str">
            <v>50/数铣15</v>
          </cell>
          <cell r="Q1343" t="str">
            <v>55/钳工</v>
          </cell>
          <cell r="R1343" t="str">
            <v>60/测量</v>
          </cell>
          <cell r="S1343" t="str">
            <v>65/清洁</v>
          </cell>
          <cell r="T1343" t="str">
            <v>70/成检</v>
          </cell>
        </row>
        <row r="1344">
          <cell r="B1344" t="str">
            <v>BC5337100-101/102/103L001</v>
          </cell>
          <cell r="D1344" t="str">
            <v>C</v>
          </cell>
          <cell r="E1344" t="str">
            <v>准备工时</v>
          </cell>
          <cell r="G1344" t="str">
            <v>120</v>
          </cell>
          <cell r="J1344">
            <v>120</v>
          </cell>
          <cell r="K1344">
            <v>120</v>
          </cell>
          <cell r="L1344">
            <v>120</v>
          </cell>
          <cell r="M1344">
            <v>120</v>
          </cell>
          <cell r="N1344">
            <v>120</v>
          </cell>
          <cell r="O1344">
            <v>120</v>
          </cell>
          <cell r="P1344">
            <v>120</v>
          </cell>
        </row>
        <row r="1345">
          <cell r="B1345" t="str">
            <v>BC5337100-101/102/103L001</v>
          </cell>
          <cell r="D1345" t="str">
            <v>C</v>
          </cell>
          <cell r="E1345" t="str">
            <v>装夹时间</v>
          </cell>
          <cell r="O1345">
            <v>30</v>
          </cell>
        </row>
        <row r="1346">
          <cell r="B1346" t="str">
            <v>BC5337100-101/102/103L001</v>
          </cell>
          <cell r="D1346" t="str">
            <v>C</v>
          </cell>
          <cell r="E1346" t="str">
            <v>程序时间</v>
          </cell>
          <cell r="G1346" t="str">
            <v>420</v>
          </cell>
          <cell r="J1346">
            <v>360</v>
          </cell>
          <cell r="K1346">
            <v>120</v>
          </cell>
          <cell r="L1346">
            <v>580</v>
          </cell>
          <cell r="M1346">
            <v>720</v>
          </cell>
          <cell r="N1346">
            <v>420</v>
          </cell>
          <cell r="O1346">
            <v>150</v>
          </cell>
          <cell r="P1346">
            <v>60</v>
          </cell>
          <cell r="Q1346">
            <v>120</v>
          </cell>
        </row>
        <row r="1347">
          <cell r="B1347" t="str">
            <v>BC5337100-101/102/103R001</v>
          </cell>
          <cell r="D1347" t="str">
            <v>C</v>
          </cell>
          <cell r="E1347" t="str">
            <v>工序内容</v>
          </cell>
          <cell r="F1347" t="str">
            <v>0/领料</v>
          </cell>
          <cell r="G1347" t="str">
            <v>5/数铣</v>
          </cell>
          <cell r="H1347" t="str">
            <v>10/超探</v>
          </cell>
          <cell r="I1347" t="str">
            <v>15/检验</v>
          </cell>
          <cell r="J1347" t="str">
            <v>20/数铣</v>
          </cell>
          <cell r="K1347" t="str">
            <v>25/数铣25</v>
          </cell>
          <cell r="L1347" t="str">
            <v>30/数铣300</v>
          </cell>
          <cell r="M1347" t="str">
            <v>35/数铣360</v>
          </cell>
          <cell r="N1347" t="str">
            <v>40/数铣175</v>
          </cell>
          <cell r="O1347" t="str">
            <v>45/数铣10</v>
          </cell>
          <cell r="P1347" t="str">
            <v>50/数铣15</v>
          </cell>
          <cell r="Q1347" t="str">
            <v>55/钳工</v>
          </cell>
          <cell r="R1347" t="str">
            <v>60/测量</v>
          </cell>
          <cell r="S1347" t="str">
            <v>65/清洁</v>
          </cell>
          <cell r="T1347" t="str">
            <v>70/成检</v>
          </cell>
        </row>
        <row r="1348">
          <cell r="B1348" t="str">
            <v>BC5337100-101/102/103R001</v>
          </cell>
          <cell r="D1348" t="str">
            <v>C</v>
          </cell>
          <cell r="E1348" t="str">
            <v>准备工时</v>
          </cell>
          <cell r="G1348" t="str">
            <v>120</v>
          </cell>
          <cell r="J1348">
            <v>120</v>
          </cell>
          <cell r="K1348">
            <v>120</v>
          </cell>
          <cell r="L1348">
            <v>120</v>
          </cell>
          <cell r="M1348">
            <v>120</v>
          </cell>
          <cell r="N1348">
            <v>120</v>
          </cell>
          <cell r="O1348">
            <v>120</v>
          </cell>
          <cell r="P1348">
            <v>120</v>
          </cell>
        </row>
        <row r="1349">
          <cell r="B1349" t="str">
            <v>BC5337100-101/102/103R001</v>
          </cell>
          <cell r="D1349" t="str">
            <v>C</v>
          </cell>
          <cell r="E1349" t="str">
            <v>装夹时间</v>
          </cell>
          <cell r="O1349">
            <v>30</v>
          </cell>
        </row>
        <row r="1350">
          <cell r="B1350" t="str">
            <v>BC5337100-101/102/103R001</v>
          </cell>
          <cell r="D1350" t="str">
            <v>C</v>
          </cell>
          <cell r="E1350" t="str">
            <v>程序时间</v>
          </cell>
          <cell r="G1350" t="str">
            <v>420</v>
          </cell>
          <cell r="J1350">
            <v>360</v>
          </cell>
          <cell r="K1350">
            <v>120</v>
          </cell>
          <cell r="L1350">
            <v>580</v>
          </cell>
          <cell r="M1350">
            <v>720</v>
          </cell>
          <cell r="N1350">
            <v>420</v>
          </cell>
          <cell r="O1350">
            <v>150</v>
          </cell>
          <cell r="P1350">
            <v>60</v>
          </cell>
          <cell r="Q1350">
            <v>120</v>
          </cell>
        </row>
        <row r="1351">
          <cell r="B1351" t="str">
            <v>图号</v>
          </cell>
        </row>
        <row r="1352">
          <cell r="B1352" t="str">
            <v>CB229C050-014-003</v>
          </cell>
          <cell r="D1352" t="str">
            <v>B</v>
          </cell>
          <cell r="E1352" t="str">
            <v>工序内容</v>
          </cell>
          <cell r="F1352" t="str">
            <v>0/领料</v>
          </cell>
          <cell r="G1352" t="str">
            <v>05/下料</v>
          </cell>
          <cell r="H1352" t="str">
            <v>10/普车</v>
          </cell>
          <cell r="I1352" t="str">
            <v>15/数铣10</v>
          </cell>
          <cell r="J1352" t="str">
            <v>20/数铣45</v>
          </cell>
          <cell r="K1352" t="str">
            <v>25/线切割</v>
          </cell>
          <cell r="L1352" t="str">
            <v>30/钳工</v>
          </cell>
          <cell r="M1352" t="str">
            <v>35/清洁</v>
          </cell>
          <cell r="N1352" t="str">
            <v>40/中检</v>
          </cell>
          <cell r="O1352" t="str">
            <v>45/分光</v>
          </cell>
          <cell r="P1352" t="str">
            <v>50/检验</v>
          </cell>
          <cell r="Q1352" t="str">
            <v>55/钳工</v>
          </cell>
          <cell r="R1352" t="str">
            <v>60/成检</v>
          </cell>
        </row>
        <row r="1353">
          <cell r="B1353" t="str">
            <v>CB229C050-014-003</v>
          </cell>
          <cell r="D1353" t="str">
            <v>B</v>
          </cell>
          <cell r="E1353" t="str">
            <v>准备工时</v>
          </cell>
          <cell r="H1353">
            <v>60</v>
          </cell>
          <cell r="I1353">
            <v>60</v>
          </cell>
          <cell r="J1353">
            <v>60</v>
          </cell>
        </row>
        <row r="1354">
          <cell r="B1354" t="str">
            <v>CB229C050-014-003</v>
          </cell>
          <cell r="D1354" t="str">
            <v>B</v>
          </cell>
          <cell r="E1354" t="str">
            <v>装夹时间</v>
          </cell>
        </row>
        <row r="1355">
          <cell r="B1355" t="str">
            <v>CB229C050-014-003</v>
          </cell>
          <cell r="D1355" t="str">
            <v>B</v>
          </cell>
          <cell r="E1355" t="str">
            <v>程序时间</v>
          </cell>
          <cell r="H1355">
            <v>20</v>
          </cell>
          <cell r="I1355">
            <v>25</v>
          </cell>
          <cell r="J1355">
            <v>100</v>
          </cell>
          <cell r="L1355">
            <v>120</v>
          </cell>
          <cell r="Q1355">
            <v>25</v>
          </cell>
        </row>
        <row r="1356">
          <cell r="B1356" t="str">
            <v>CB5714200-005L002</v>
          </cell>
          <cell r="D1356" t="str">
            <v>E</v>
          </cell>
          <cell r="E1356" t="str">
            <v>工序内容</v>
          </cell>
          <cell r="F1356" t="str">
            <v>0/领料</v>
          </cell>
          <cell r="G1356" t="str">
            <v>5/钳工</v>
          </cell>
          <cell r="H1356" t="str">
            <v>10/数铣</v>
          </cell>
          <cell r="I1356" t="str">
            <v>15/数铣</v>
          </cell>
          <cell r="J1356" t="str">
            <v>20/数铣40</v>
          </cell>
          <cell r="K1356" t="str">
            <v>25/数铣500</v>
          </cell>
          <cell r="L1356" t="str">
            <v>30/数铣480</v>
          </cell>
          <cell r="M1356" t="str">
            <v>35/数铣20</v>
          </cell>
          <cell r="N1356" t="str">
            <v>40/数铣20</v>
          </cell>
          <cell r="O1356" t="str">
            <v>45/测量</v>
          </cell>
          <cell r="P1356" t="str">
            <v>50/钳工</v>
          </cell>
          <cell r="Q1356" t="str">
            <v>55/清洁</v>
          </cell>
          <cell r="R1356" t="str">
            <v>60/中检</v>
          </cell>
          <cell r="S1356" t="str">
            <v>65/返厂</v>
          </cell>
          <cell r="T1356" t="str">
            <v>70/返厂</v>
          </cell>
          <cell r="U1356" t="str">
            <v>75/钳工</v>
          </cell>
          <cell r="V1356" t="str">
            <v>80/成检</v>
          </cell>
        </row>
        <row r="1357">
          <cell r="B1357" t="str">
            <v>CB5714200-005L002</v>
          </cell>
          <cell r="D1357" t="str">
            <v>E</v>
          </cell>
          <cell r="E1357" t="str">
            <v>准备工时</v>
          </cell>
          <cell r="G1357">
            <v>60</v>
          </cell>
          <cell r="H1357">
            <v>60</v>
          </cell>
          <cell r="I1357">
            <v>60</v>
          </cell>
          <cell r="J1357">
            <v>60</v>
          </cell>
          <cell r="K1357">
            <v>90</v>
          </cell>
          <cell r="L1357">
            <v>60</v>
          </cell>
          <cell r="M1357">
            <v>60</v>
          </cell>
          <cell r="N1357">
            <v>60</v>
          </cell>
        </row>
        <row r="1358">
          <cell r="B1358" t="str">
            <v>CB5714200-005L002</v>
          </cell>
          <cell r="D1358" t="str">
            <v>E</v>
          </cell>
          <cell r="E1358" t="str">
            <v>装夹时间</v>
          </cell>
          <cell r="H1358">
            <v>60</v>
          </cell>
          <cell r="I1358">
            <v>60</v>
          </cell>
          <cell r="J1358">
            <v>60</v>
          </cell>
          <cell r="K1358">
            <v>60</v>
          </cell>
          <cell r="L1358">
            <v>60</v>
          </cell>
          <cell r="M1358">
            <v>60</v>
          </cell>
          <cell r="N1358">
            <v>60</v>
          </cell>
          <cell r="U1358">
            <v>5</v>
          </cell>
        </row>
        <row r="1359">
          <cell r="B1359" t="str">
            <v>CB5714200-005L002</v>
          </cell>
          <cell r="D1359" t="str">
            <v>E</v>
          </cell>
          <cell r="E1359" t="str">
            <v>程序时间</v>
          </cell>
          <cell r="G1359">
            <v>40</v>
          </cell>
          <cell r="H1359">
            <v>60</v>
          </cell>
          <cell r="I1359">
            <v>60</v>
          </cell>
          <cell r="J1359">
            <v>60</v>
          </cell>
          <cell r="K1359">
            <v>600</v>
          </cell>
          <cell r="L1359">
            <v>720</v>
          </cell>
          <cell r="M1359">
            <v>30</v>
          </cell>
          <cell r="N1359">
            <v>30</v>
          </cell>
          <cell r="P1359">
            <v>240</v>
          </cell>
        </row>
        <row r="1360">
          <cell r="B1360" t="str">
            <v>CB5714200-005R002</v>
          </cell>
          <cell r="D1360" t="str">
            <v>E</v>
          </cell>
          <cell r="E1360" t="str">
            <v>工序内容</v>
          </cell>
          <cell r="F1360" t="str">
            <v>0/领料</v>
          </cell>
          <cell r="G1360" t="str">
            <v>5/钳工</v>
          </cell>
          <cell r="H1360" t="str">
            <v>10/数铣</v>
          </cell>
          <cell r="I1360" t="str">
            <v>15/数铣</v>
          </cell>
          <cell r="J1360" t="str">
            <v>20/数铣40</v>
          </cell>
          <cell r="K1360" t="str">
            <v>25/数铣500</v>
          </cell>
          <cell r="L1360" t="str">
            <v>30/数铣480</v>
          </cell>
          <cell r="M1360" t="str">
            <v>35/数铣20</v>
          </cell>
          <cell r="N1360" t="str">
            <v>40/数铣20</v>
          </cell>
          <cell r="O1360" t="str">
            <v>45/测量</v>
          </cell>
          <cell r="P1360" t="str">
            <v>50/钳工</v>
          </cell>
          <cell r="Q1360" t="str">
            <v>55/清洁</v>
          </cell>
          <cell r="R1360" t="str">
            <v>60/中检</v>
          </cell>
          <cell r="S1360" t="str">
            <v>65/返厂</v>
          </cell>
          <cell r="T1360" t="str">
            <v>70/返厂</v>
          </cell>
          <cell r="U1360" t="str">
            <v>75/钳工</v>
          </cell>
          <cell r="V1360" t="str">
            <v>80/成检</v>
          </cell>
        </row>
        <row r="1361">
          <cell r="B1361" t="str">
            <v>CB5714200-005R002</v>
          </cell>
          <cell r="D1361" t="str">
            <v>E</v>
          </cell>
          <cell r="E1361" t="str">
            <v>准备工时</v>
          </cell>
          <cell r="G1361">
            <v>60</v>
          </cell>
          <cell r="H1361">
            <v>60</v>
          </cell>
          <cell r="I1361">
            <v>60</v>
          </cell>
          <cell r="J1361">
            <v>60</v>
          </cell>
          <cell r="K1361">
            <v>90</v>
          </cell>
          <cell r="L1361">
            <v>60</v>
          </cell>
          <cell r="M1361">
            <v>60</v>
          </cell>
          <cell r="N1361">
            <v>60</v>
          </cell>
        </row>
        <row r="1362">
          <cell r="B1362" t="str">
            <v>CB5714200-005R002</v>
          </cell>
          <cell r="D1362" t="str">
            <v>E</v>
          </cell>
          <cell r="E1362" t="str">
            <v>装夹时间</v>
          </cell>
          <cell r="H1362">
            <v>60</v>
          </cell>
          <cell r="I1362">
            <v>60</v>
          </cell>
          <cell r="J1362">
            <v>60</v>
          </cell>
          <cell r="K1362">
            <v>60</v>
          </cell>
          <cell r="L1362">
            <v>60</v>
          </cell>
          <cell r="M1362">
            <v>60</v>
          </cell>
          <cell r="N1362">
            <v>60</v>
          </cell>
          <cell r="U1362">
            <v>5</v>
          </cell>
        </row>
        <row r="1363">
          <cell r="B1363" t="str">
            <v>CB5714200-005R002</v>
          </cell>
          <cell r="D1363" t="str">
            <v>E</v>
          </cell>
          <cell r="E1363" t="str">
            <v>程序时间</v>
          </cell>
          <cell r="G1363">
            <v>40</v>
          </cell>
          <cell r="H1363">
            <v>60</v>
          </cell>
          <cell r="I1363">
            <v>60</v>
          </cell>
          <cell r="J1363">
            <v>60</v>
          </cell>
          <cell r="K1363">
            <v>600</v>
          </cell>
          <cell r="L1363">
            <v>720</v>
          </cell>
          <cell r="M1363">
            <v>30</v>
          </cell>
          <cell r="N1363">
            <v>30</v>
          </cell>
          <cell r="P1363">
            <v>240</v>
          </cell>
        </row>
        <row r="1364">
          <cell r="B1364" t="str">
            <v>图号</v>
          </cell>
        </row>
        <row r="1365">
          <cell r="B1365" t="str">
            <v>CB5325125-403L001</v>
          </cell>
          <cell r="D1365" t="str">
            <v>D</v>
          </cell>
          <cell r="E1365" t="str">
            <v>工序内容</v>
          </cell>
          <cell r="F1365" t="str">
            <v>0/领料</v>
          </cell>
          <cell r="G1365" t="str">
            <v>5/下料</v>
          </cell>
          <cell r="H1365" t="str">
            <v>10/数铣30</v>
          </cell>
          <cell r="I1365" t="str">
            <v>15/装夹</v>
          </cell>
          <cell r="J1365" t="str">
            <v>20/数铣100</v>
          </cell>
          <cell r="K1365" t="str">
            <v>25/数铣15</v>
          </cell>
          <cell r="L1365" t="str">
            <v>30/数铣15</v>
          </cell>
          <cell r="M1365" t="str">
            <v>35/数铣40</v>
          </cell>
          <cell r="N1365" t="str">
            <v>40/测量</v>
          </cell>
          <cell r="O1365" t="str">
            <v>45/钳工</v>
          </cell>
          <cell r="P1365" t="str">
            <v>50/钳校形</v>
          </cell>
          <cell r="Q1365" t="str">
            <v>55/清洁</v>
          </cell>
          <cell r="R1365" t="str">
            <v>60/成检</v>
          </cell>
        </row>
        <row r="1366">
          <cell r="B1366" t="str">
            <v>CB5325125-403L001</v>
          </cell>
          <cell r="D1366" t="str">
            <v>D</v>
          </cell>
          <cell r="E1366" t="str">
            <v>准备工时</v>
          </cell>
          <cell r="H1366">
            <v>90</v>
          </cell>
          <cell r="J1366">
            <v>120</v>
          </cell>
          <cell r="K1366">
            <v>90</v>
          </cell>
          <cell r="L1366">
            <v>90</v>
          </cell>
          <cell r="M1366">
            <v>60</v>
          </cell>
        </row>
        <row r="1367">
          <cell r="B1367" t="str">
            <v>CB5325125-403L001</v>
          </cell>
          <cell r="D1367" t="str">
            <v>D</v>
          </cell>
          <cell r="E1367" t="str">
            <v>装夹时间</v>
          </cell>
        </row>
        <row r="1368">
          <cell r="B1368" t="str">
            <v>CB5325125-403L001</v>
          </cell>
          <cell r="D1368" t="str">
            <v>D</v>
          </cell>
          <cell r="E1368" t="str">
            <v>程序时间</v>
          </cell>
          <cell r="G1368">
            <v>30</v>
          </cell>
          <cell r="H1368">
            <v>40</v>
          </cell>
          <cell r="I1368">
            <v>10</v>
          </cell>
          <cell r="J1368">
            <v>170</v>
          </cell>
          <cell r="K1368">
            <v>40</v>
          </cell>
          <cell r="L1368">
            <v>40</v>
          </cell>
          <cell r="M1368">
            <v>95</v>
          </cell>
          <cell r="O1368">
            <v>45</v>
          </cell>
          <cell r="P1368">
            <v>30</v>
          </cell>
        </row>
        <row r="1369">
          <cell r="B1369" t="str">
            <v>CB5325125-403R001</v>
          </cell>
          <cell r="D1369" t="str">
            <v>D</v>
          </cell>
          <cell r="E1369" t="str">
            <v>工序内容</v>
          </cell>
          <cell r="F1369" t="str">
            <v>0/领料</v>
          </cell>
          <cell r="G1369" t="str">
            <v>5/下料</v>
          </cell>
          <cell r="H1369" t="str">
            <v>10/数铣30</v>
          </cell>
          <cell r="I1369" t="str">
            <v>15/装夹</v>
          </cell>
          <cell r="J1369" t="str">
            <v>20/数铣100</v>
          </cell>
          <cell r="K1369" t="str">
            <v>25/数铣15</v>
          </cell>
          <cell r="L1369" t="str">
            <v>30/数铣15</v>
          </cell>
          <cell r="M1369" t="str">
            <v>35/数铣40</v>
          </cell>
          <cell r="N1369" t="str">
            <v>40/测量</v>
          </cell>
          <cell r="O1369" t="str">
            <v>45/钳工</v>
          </cell>
          <cell r="P1369" t="str">
            <v>50/钳校形</v>
          </cell>
          <cell r="Q1369" t="str">
            <v>55/清洁</v>
          </cell>
          <cell r="R1369" t="str">
            <v>60/成检</v>
          </cell>
        </row>
        <row r="1370">
          <cell r="B1370" t="str">
            <v>CB5325125-403R001</v>
          </cell>
          <cell r="D1370" t="str">
            <v>D</v>
          </cell>
          <cell r="E1370" t="str">
            <v>准备工时</v>
          </cell>
          <cell r="H1370">
            <v>90</v>
          </cell>
          <cell r="J1370">
            <v>120</v>
          </cell>
          <cell r="K1370">
            <v>90</v>
          </cell>
          <cell r="L1370">
            <v>90</v>
          </cell>
          <cell r="M1370">
            <v>60</v>
          </cell>
        </row>
        <row r="1371">
          <cell r="B1371" t="str">
            <v>CB5325125-403R001</v>
          </cell>
          <cell r="D1371" t="str">
            <v>D</v>
          </cell>
          <cell r="E1371" t="str">
            <v>装夹时间</v>
          </cell>
        </row>
        <row r="1372">
          <cell r="B1372" t="str">
            <v>CB5325125-403R001</v>
          </cell>
          <cell r="D1372" t="str">
            <v>D</v>
          </cell>
          <cell r="E1372" t="str">
            <v>程序时间</v>
          </cell>
          <cell r="G1372">
            <v>30</v>
          </cell>
          <cell r="H1372">
            <v>40</v>
          </cell>
          <cell r="I1372">
            <v>10</v>
          </cell>
          <cell r="J1372">
            <v>170</v>
          </cell>
          <cell r="K1372">
            <v>40</v>
          </cell>
          <cell r="L1372">
            <v>40</v>
          </cell>
          <cell r="M1372">
            <v>95</v>
          </cell>
          <cell r="O1372">
            <v>45</v>
          </cell>
          <cell r="P1372">
            <v>30</v>
          </cell>
        </row>
        <row r="1373">
          <cell r="B1373" t="str">
            <v>图号</v>
          </cell>
        </row>
        <row r="1374">
          <cell r="B1374" t="str">
            <v>CB5323120-001L002</v>
          </cell>
          <cell r="D1374" t="str">
            <v>F</v>
          </cell>
          <cell r="E1374" t="str">
            <v>工序内容</v>
          </cell>
          <cell r="F1374" t="str">
            <v>0/领料</v>
          </cell>
          <cell r="G1374" t="str">
            <v>5/数铣</v>
          </cell>
          <cell r="H1374" t="str">
            <v>10/数铣70</v>
          </cell>
          <cell r="I1374" t="str">
            <v>15/数铣30</v>
          </cell>
          <cell r="J1374" t="str">
            <v>20/数铣180</v>
          </cell>
          <cell r="K1374" t="str">
            <v>25/数铣500</v>
          </cell>
          <cell r="L1374" t="str">
            <v>30/五轴156</v>
          </cell>
          <cell r="M1374" t="str">
            <v>35/数铣600</v>
          </cell>
          <cell r="N1374" t="str">
            <v>40/五轴170</v>
          </cell>
          <cell r="O1374" t="str">
            <v>45/测量</v>
          </cell>
          <cell r="P1374" t="str">
            <v>50/钳工</v>
          </cell>
          <cell r="Q1374" t="str">
            <v>55/测量</v>
          </cell>
          <cell r="R1374" t="str">
            <v>60/检验</v>
          </cell>
          <cell r="S1374" t="str">
            <v>65/分光</v>
          </cell>
          <cell r="T1374" t="str">
            <v>70/钳工</v>
          </cell>
          <cell r="U1374" t="str">
            <v>75/成检</v>
          </cell>
          <cell r="V1374" t="str">
            <v>65/分光</v>
          </cell>
          <cell r="W1374" t="str">
            <v>70/钳工</v>
          </cell>
          <cell r="X1374" t="str">
            <v>75/成检</v>
          </cell>
        </row>
        <row r="1375">
          <cell r="B1375" t="str">
            <v>CB5323120-001L002</v>
          </cell>
          <cell r="D1375" t="str">
            <v>F</v>
          </cell>
          <cell r="E1375" t="str">
            <v>准备工时</v>
          </cell>
          <cell r="G1375">
            <v>60</v>
          </cell>
          <cell r="H1375">
            <v>90</v>
          </cell>
          <cell r="I1375">
            <v>90</v>
          </cell>
          <cell r="J1375">
            <v>90</v>
          </cell>
          <cell r="K1375">
            <v>120</v>
          </cell>
          <cell r="L1375">
            <v>120</v>
          </cell>
          <cell r="M1375">
            <v>90</v>
          </cell>
          <cell r="N1375">
            <v>120</v>
          </cell>
        </row>
        <row r="1376">
          <cell r="B1376" t="str">
            <v>CB5323120-001L002</v>
          </cell>
          <cell r="D1376" t="str">
            <v>F</v>
          </cell>
          <cell r="E1376" t="str">
            <v>装夹时间</v>
          </cell>
          <cell r="L1376">
            <v>60</v>
          </cell>
          <cell r="N1376">
            <v>60</v>
          </cell>
        </row>
        <row r="1377">
          <cell r="B1377" t="str">
            <v>CB5323120-001L002</v>
          </cell>
          <cell r="D1377" t="str">
            <v>F</v>
          </cell>
          <cell r="E1377" t="str">
            <v>程序时间</v>
          </cell>
          <cell r="G1377">
            <v>80</v>
          </cell>
          <cell r="H1377">
            <v>100</v>
          </cell>
          <cell r="I1377">
            <v>60</v>
          </cell>
          <cell r="J1377">
            <v>270</v>
          </cell>
          <cell r="K1377">
            <v>900</v>
          </cell>
          <cell r="L1377">
            <v>420</v>
          </cell>
          <cell r="M1377">
            <v>840</v>
          </cell>
          <cell r="N1377">
            <v>450</v>
          </cell>
          <cell r="P1377">
            <v>180</v>
          </cell>
          <cell r="T1377">
            <v>5</v>
          </cell>
          <cell r="W1377">
            <v>5</v>
          </cell>
        </row>
        <row r="1378">
          <cell r="B1378" t="str">
            <v>CB5323120-001R005</v>
          </cell>
          <cell r="D1378" t="str">
            <v>F</v>
          </cell>
          <cell r="E1378" t="str">
            <v>工序内容</v>
          </cell>
          <cell r="F1378" t="str">
            <v>0/领料</v>
          </cell>
          <cell r="G1378" t="str">
            <v>5/数铣</v>
          </cell>
          <cell r="H1378" t="str">
            <v>10/数铣70</v>
          </cell>
          <cell r="I1378" t="str">
            <v>15/数铣30</v>
          </cell>
          <cell r="J1378" t="str">
            <v>20/数铣180</v>
          </cell>
          <cell r="K1378" t="str">
            <v>25/数铣500</v>
          </cell>
          <cell r="L1378" t="str">
            <v>30/五轴156</v>
          </cell>
          <cell r="M1378" t="str">
            <v>35/数铣600</v>
          </cell>
          <cell r="N1378" t="str">
            <v>40/五轴170</v>
          </cell>
          <cell r="O1378" t="str">
            <v>45/测量</v>
          </cell>
          <cell r="P1378" t="str">
            <v>50/钳工</v>
          </cell>
          <cell r="Q1378" t="str">
            <v>55/测量</v>
          </cell>
          <cell r="R1378" t="str">
            <v>60/检验</v>
          </cell>
          <cell r="S1378" t="str">
            <v>65/分光</v>
          </cell>
          <cell r="T1378" t="str">
            <v>70/钳工</v>
          </cell>
          <cell r="U1378" t="str">
            <v>75/成检</v>
          </cell>
          <cell r="V1378" t="str">
            <v>65/分光</v>
          </cell>
          <cell r="W1378" t="str">
            <v>70/钳工</v>
          </cell>
          <cell r="X1378" t="str">
            <v>75/成检</v>
          </cell>
        </row>
        <row r="1379">
          <cell r="B1379" t="str">
            <v>CB5323120-001R005</v>
          </cell>
          <cell r="D1379" t="str">
            <v>F</v>
          </cell>
          <cell r="E1379" t="str">
            <v>准备工时</v>
          </cell>
          <cell r="G1379">
            <v>60</v>
          </cell>
          <cell r="H1379">
            <v>90</v>
          </cell>
          <cell r="I1379">
            <v>90</v>
          </cell>
          <cell r="J1379">
            <v>90</v>
          </cell>
          <cell r="K1379">
            <v>120</v>
          </cell>
          <cell r="L1379">
            <v>120</v>
          </cell>
          <cell r="M1379">
            <v>90</v>
          </cell>
          <cell r="N1379">
            <v>120</v>
          </cell>
        </row>
        <row r="1380">
          <cell r="B1380" t="str">
            <v>CB5323120-001R005</v>
          </cell>
          <cell r="D1380" t="str">
            <v>F</v>
          </cell>
          <cell r="E1380" t="str">
            <v>装夹时间</v>
          </cell>
          <cell r="L1380">
            <v>60</v>
          </cell>
          <cell r="N1380">
            <v>60</v>
          </cell>
        </row>
        <row r="1381">
          <cell r="B1381" t="str">
            <v>CB5323120-001R005</v>
          </cell>
          <cell r="D1381" t="str">
            <v>F</v>
          </cell>
          <cell r="E1381" t="str">
            <v>程序时间</v>
          </cell>
          <cell r="G1381">
            <v>80</v>
          </cell>
          <cell r="H1381">
            <v>100</v>
          </cell>
          <cell r="I1381">
            <v>60</v>
          </cell>
          <cell r="J1381">
            <v>270</v>
          </cell>
          <cell r="K1381">
            <v>900</v>
          </cell>
          <cell r="L1381">
            <v>420</v>
          </cell>
          <cell r="M1381">
            <v>840</v>
          </cell>
          <cell r="N1381">
            <v>450</v>
          </cell>
          <cell r="P1381">
            <v>180</v>
          </cell>
          <cell r="T1381">
            <v>5</v>
          </cell>
          <cell r="W1381">
            <v>5</v>
          </cell>
        </row>
        <row r="1382">
          <cell r="B1382" t="str">
            <v>图号</v>
          </cell>
        </row>
        <row r="1383">
          <cell r="B1383" t="str">
            <v>CB5814000-002-001</v>
          </cell>
          <cell r="D1383" t="str">
            <v>D</v>
          </cell>
          <cell r="E1383" t="str">
            <v>工序内容</v>
          </cell>
          <cell r="F1383" t="str">
            <v>0/领料</v>
          </cell>
          <cell r="G1383" t="str">
            <v>05/数铣</v>
          </cell>
          <cell r="H1383" t="str">
            <v>10/数铣30</v>
          </cell>
          <cell r="I1383" t="str">
            <v>15/数铣120</v>
          </cell>
          <cell r="J1383" t="str">
            <v>20/数铣55</v>
          </cell>
          <cell r="K1383" t="str">
            <v>25/数铣35</v>
          </cell>
          <cell r="L1383" t="str">
            <v>30/数铣10</v>
          </cell>
          <cell r="M1383" t="str">
            <v>35/测量</v>
          </cell>
          <cell r="N1383" t="str">
            <v>40/钳工</v>
          </cell>
          <cell r="O1383" t="str">
            <v>45/清洁</v>
          </cell>
          <cell r="P1383" t="str">
            <v>50/检验</v>
          </cell>
          <cell r="Q1383" t="str">
            <v>55/硬度</v>
          </cell>
          <cell r="R1383" t="str">
            <v>60/分光</v>
          </cell>
          <cell r="S1383" t="str">
            <v>65/钳工</v>
          </cell>
          <cell r="T1383" t="str">
            <v>70/钳工</v>
          </cell>
          <cell r="U1383" t="str">
            <v>75/清洁</v>
          </cell>
          <cell r="V1383" t="str">
            <v>80/成检</v>
          </cell>
        </row>
        <row r="1384">
          <cell r="B1384" t="str">
            <v>CB5814000-002-001</v>
          </cell>
          <cell r="D1384" t="str">
            <v>D</v>
          </cell>
          <cell r="E1384" t="str">
            <v>准备工时</v>
          </cell>
          <cell r="G1384">
            <v>60</v>
          </cell>
          <cell r="H1384">
            <v>60</v>
          </cell>
          <cell r="I1384">
            <v>90</v>
          </cell>
          <cell r="J1384">
            <v>90</v>
          </cell>
          <cell r="K1384">
            <v>90</v>
          </cell>
          <cell r="L1384">
            <v>60</v>
          </cell>
        </row>
        <row r="1385">
          <cell r="B1385" t="str">
            <v>CB5814000-002-001</v>
          </cell>
          <cell r="D1385" t="str">
            <v>D</v>
          </cell>
          <cell r="E1385" t="str">
            <v>装夹时间</v>
          </cell>
        </row>
        <row r="1386">
          <cell r="B1386" t="str">
            <v>CB5814000-002-001</v>
          </cell>
          <cell r="D1386" t="str">
            <v>D</v>
          </cell>
          <cell r="E1386" t="str">
            <v>程序时间</v>
          </cell>
          <cell r="G1386">
            <v>30</v>
          </cell>
          <cell r="H1386">
            <v>55</v>
          </cell>
          <cell r="I1386">
            <v>240</v>
          </cell>
          <cell r="J1386">
            <v>110</v>
          </cell>
          <cell r="K1386">
            <v>80</v>
          </cell>
          <cell r="L1386">
            <v>50</v>
          </cell>
          <cell r="N1386">
            <v>60</v>
          </cell>
          <cell r="S1386">
            <v>10</v>
          </cell>
        </row>
        <row r="1387">
          <cell r="B1387" t="str">
            <v>图号</v>
          </cell>
        </row>
        <row r="1388">
          <cell r="B1388" t="str">
            <v>BC2711362-001-001</v>
          </cell>
          <cell r="D1388" t="str">
            <v>B</v>
          </cell>
          <cell r="E1388" t="str">
            <v>工序内容</v>
          </cell>
          <cell r="F1388" t="str">
            <v>0/领料</v>
          </cell>
          <cell r="G1388" t="str">
            <v>05/数车25</v>
          </cell>
          <cell r="H1388" t="str">
            <v>10/数车5</v>
          </cell>
          <cell r="I1388" t="str">
            <v>15/数铣15</v>
          </cell>
          <cell r="J1388" t="str">
            <v>20/数铣15</v>
          </cell>
          <cell r="K1388" t="str">
            <v>25/数车</v>
          </cell>
          <cell r="L1388" t="str">
            <v>30/穿孔</v>
          </cell>
          <cell r="M1388" t="str">
            <v>35/分光</v>
          </cell>
          <cell r="N1388" t="str">
            <v>40/数车10</v>
          </cell>
          <cell r="O1388" t="str">
            <v>45/钳工</v>
          </cell>
          <cell r="P1388" t="str">
            <v>50/清洁</v>
          </cell>
          <cell r="Q1388" t="str">
            <v>55/成检</v>
          </cell>
        </row>
        <row r="1389">
          <cell r="B1389" t="str">
            <v>BC2711362-001-001</v>
          </cell>
          <cell r="D1389" t="str">
            <v>B</v>
          </cell>
          <cell r="E1389" t="str">
            <v>准备工时</v>
          </cell>
          <cell r="G1389">
            <v>60</v>
          </cell>
          <cell r="H1389">
            <v>60</v>
          </cell>
          <cell r="I1389">
            <v>60</v>
          </cell>
          <cell r="J1389">
            <v>60</v>
          </cell>
          <cell r="K1389">
            <v>120</v>
          </cell>
          <cell r="N1389">
            <v>120</v>
          </cell>
        </row>
        <row r="1390">
          <cell r="B1390" t="str">
            <v>BC2711362-001-001</v>
          </cell>
          <cell r="D1390" t="str">
            <v>B</v>
          </cell>
          <cell r="E1390" t="str">
            <v>装夹时间</v>
          </cell>
        </row>
        <row r="1391">
          <cell r="B1391" t="str">
            <v>BC2711362-001-001</v>
          </cell>
          <cell r="D1391" t="str">
            <v>B</v>
          </cell>
          <cell r="E1391" t="str">
            <v>程序时间</v>
          </cell>
          <cell r="G1391">
            <v>30</v>
          </cell>
          <cell r="H1391">
            <v>10</v>
          </cell>
          <cell r="I1391">
            <v>25</v>
          </cell>
          <cell r="J1391">
            <v>40</v>
          </cell>
          <cell r="K1391">
            <v>40</v>
          </cell>
          <cell r="N1391">
            <v>20</v>
          </cell>
          <cell r="O1391">
            <v>20</v>
          </cell>
        </row>
        <row r="1392">
          <cell r="B1392" t="str">
            <v>图号</v>
          </cell>
        </row>
        <row r="1393">
          <cell r="B1393" t="str">
            <v>BC2711363-001-001</v>
          </cell>
          <cell r="D1393" t="str">
            <v>B</v>
          </cell>
          <cell r="E1393" t="str">
            <v>工序内容</v>
          </cell>
          <cell r="F1393" t="str">
            <v>0/领料</v>
          </cell>
          <cell r="G1393" t="str">
            <v>05/数车25</v>
          </cell>
          <cell r="H1393" t="str">
            <v>10/数车5</v>
          </cell>
          <cell r="I1393" t="str">
            <v>15/数铣15</v>
          </cell>
          <cell r="J1393" t="str">
            <v>20/数铣15</v>
          </cell>
          <cell r="K1393" t="str">
            <v>25/数车</v>
          </cell>
          <cell r="L1393" t="str">
            <v>30/穿孔</v>
          </cell>
          <cell r="M1393" t="str">
            <v>35/分光</v>
          </cell>
          <cell r="N1393" t="str">
            <v>40/数车10</v>
          </cell>
          <cell r="O1393" t="str">
            <v>45/钳工</v>
          </cell>
          <cell r="P1393" t="str">
            <v>50/清洁</v>
          </cell>
          <cell r="Q1393" t="str">
            <v>55/成检</v>
          </cell>
        </row>
        <row r="1394">
          <cell r="B1394" t="str">
            <v>BC2711363-001-001</v>
          </cell>
          <cell r="D1394" t="str">
            <v>B</v>
          </cell>
          <cell r="E1394" t="str">
            <v>准备工时</v>
          </cell>
          <cell r="G1394">
            <v>60</v>
          </cell>
          <cell r="H1394">
            <v>60</v>
          </cell>
          <cell r="I1394">
            <v>60</v>
          </cell>
          <cell r="J1394">
            <v>60</v>
          </cell>
          <cell r="K1394">
            <v>120</v>
          </cell>
          <cell r="N1394">
            <v>120</v>
          </cell>
        </row>
        <row r="1395">
          <cell r="B1395" t="str">
            <v>BC2711363-001-001</v>
          </cell>
          <cell r="D1395" t="str">
            <v>B</v>
          </cell>
          <cell r="E1395" t="str">
            <v>装夹时间</v>
          </cell>
        </row>
        <row r="1396">
          <cell r="B1396" t="str">
            <v>BC2711363-001-001</v>
          </cell>
          <cell r="D1396" t="str">
            <v>B</v>
          </cell>
          <cell r="E1396" t="str">
            <v>程序时间</v>
          </cell>
          <cell r="G1396">
            <v>30</v>
          </cell>
          <cell r="H1396">
            <v>10</v>
          </cell>
          <cell r="I1396">
            <v>25</v>
          </cell>
          <cell r="J1396">
            <v>40</v>
          </cell>
          <cell r="K1396">
            <v>40</v>
          </cell>
          <cell r="N1396">
            <v>20</v>
          </cell>
          <cell r="O1396">
            <v>20</v>
          </cell>
        </row>
        <row r="1397">
          <cell r="B1397" t="str">
            <v>DD-J10-21102-553-Z</v>
          </cell>
          <cell r="D1397" t="str">
            <v>C</v>
          </cell>
          <cell r="E1397" t="str">
            <v>工序内容</v>
          </cell>
          <cell r="F1397" t="str">
            <v>0/领料</v>
          </cell>
          <cell r="G1397" t="str">
            <v>05/数铣</v>
          </cell>
          <cell r="H1397" t="str">
            <v>10/数铣15</v>
          </cell>
          <cell r="I1397" t="str">
            <v>15/数铣95</v>
          </cell>
          <cell r="J1397" t="str">
            <v>20/数铣25</v>
          </cell>
          <cell r="K1397" t="str">
            <v>25/数铣50</v>
          </cell>
          <cell r="L1397" t="str">
            <v>30/时效</v>
          </cell>
          <cell r="M1397" t="str">
            <v>35/数铣</v>
          </cell>
          <cell r="N1397" t="str">
            <v>40/数铣</v>
          </cell>
          <cell r="O1397" t="str">
            <v>45数铣</v>
          </cell>
          <cell r="P1397" t="str">
            <v>50/测量</v>
          </cell>
          <cell r="Q1397" t="str">
            <v>55/数铣</v>
          </cell>
          <cell r="R1397" t="str">
            <v>60钳工</v>
          </cell>
          <cell r="S1397" t="str">
            <v>65/数铣</v>
          </cell>
          <cell r="T1397" t="str">
            <v>70/清洁</v>
          </cell>
          <cell r="U1397" t="str">
            <v>75/成检</v>
          </cell>
        </row>
        <row r="1398">
          <cell r="B1398" t="str">
            <v>DD-J10-21102-553-Z</v>
          </cell>
          <cell r="D1398" t="str">
            <v>C</v>
          </cell>
          <cell r="E1398" t="str">
            <v>准备工时</v>
          </cell>
          <cell r="G1398">
            <v>60</v>
          </cell>
          <cell r="H1398">
            <v>60</v>
          </cell>
          <cell r="I1398">
            <v>60</v>
          </cell>
          <cell r="J1398">
            <v>60</v>
          </cell>
          <cell r="K1398">
            <v>60</v>
          </cell>
          <cell r="M1398">
            <v>60</v>
          </cell>
          <cell r="N1398">
            <v>120</v>
          </cell>
          <cell r="O1398">
            <v>120</v>
          </cell>
          <cell r="Q1398">
            <v>60</v>
          </cell>
        </row>
        <row r="1399">
          <cell r="B1399" t="str">
            <v>DD-J10-21102-553-Z</v>
          </cell>
          <cell r="D1399" t="str">
            <v>C</v>
          </cell>
          <cell r="E1399" t="str">
            <v>程序时间</v>
          </cell>
          <cell r="G1399">
            <v>50</v>
          </cell>
          <cell r="H1399">
            <v>40</v>
          </cell>
          <cell r="I1399">
            <v>180</v>
          </cell>
          <cell r="J1399">
            <v>45</v>
          </cell>
          <cell r="K1399">
            <v>60</v>
          </cell>
          <cell r="M1399">
            <v>60</v>
          </cell>
          <cell r="N1399">
            <v>240</v>
          </cell>
          <cell r="O1399">
            <v>150</v>
          </cell>
          <cell r="Q1399">
            <v>60</v>
          </cell>
          <cell r="R1399">
            <v>35</v>
          </cell>
        </row>
        <row r="1400">
          <cell r="B1400" t="str">
            <v>DD-J10-21102-553-Y</v>
          </cell>
          <cell r="D1400" t="str">
            <v>C</v>
          </cell>
          <cell r="E1400" t="str">
            <v>工序内容</v>
          </cell>
          <cell r="F1400" t="str">
            <v>0/领料</v>
          </cell>
          <cell r="G1400" t="str">
            <v>05/数铣</v>
          </cell>
          <cell r="H1400" t="str">
            <v>10/数铣15</v>
          </cell>
          <cell r="I1400" t="str">
            <v>15/数铣150</v>
          </cell>
          <cell r="J1400" t="str">
            <v>20/数铣100</v>
          </cell>
          <cell r="K1400" t="str">
            <v>25/测量</v>
          </cell>
          <cell r="L1400" t="str">
            <v>30/数铣15</v>
          </cell>
          <cell r="M1400" t="str">
            <v>35/钳工</v>
          </cell>
          <cell r="N1400" t="str">
            <v>40/清洁</v>
          </cell>
          <cell r="O1400" t="str">
            <v>45/成检</v>
          </cell>
        </row>
        <row r="1401">
          <cell r="B1401" t="str">
            <v>DD-J10-21102-553-Y</v>
          </cell>
          <cell r="D1401" t="str">
            <v>C</v>
          </cell>
          <cell r="E1401" t="str">
            <v>准备工时</v>
          </cell>
          <cell r="G1401">
            <v>60</v>
          </cell>
          <cell r="H1401">
            <v>60</v>
          </cell>
          <cell r="I1401">
            <v>90</v>
          </cell>
          <cell r="J1401">
            <v>60</v>
          </cell>
          <cell r="L1401">
            <v>60</v>
          </cell>
        </row>
        <row r="1402">
          <cell r="B1402" t="str">
            <v>DD-J10-21102-553-Y</v>
          </cell>
          <cell r="D1402" t="str">
            <v>C</v>
          </cell>
          <cell r="E1402" t="str">
            <v>装夹时间</v>
          </cell>
        </row>
        <row r="1403">
          <cell r="B1403" t="str">
            <v>DD-J10-21102-553-Y</v>
          </cell>
          <cell r="D1403" t="str">
            <v>C</v>
          </cell>
          <cell r="E1403" t="str">
            <v>程序时间</v>
          </cell>
          <cell r="G1403">
            <v>50</v>
          </cell>
          <cell r="H1403">
            <v>35</v>
          </cell>
          <cell r="I1403">
            <v>230</v>
          </cell>
          <cell r="J1403">
            <v>150</v>
          </cell>
          <cell r="L1403">
            <v>40</v>
          </cell>
          <cell r="M1403">
            <v>35</v>
          </cell>
        </row>
        <row r="1404">
          <cell r="B1404" t="str">
            <v>CB5752000-022L003</v>
          </cell>
          <cell r="D1404" t="str">
            <v>D</v>
          </cell>
          <cell r="E1404" t="str">
            <v>工序内容</v>
          </cell>
          <cell r="F1404" t="str">
            <v>0/领料</v>
          </cell>
          <cell r="G1404" t="str">
            <v>05/钳工</v>
          </cell>
          <cell r="H1404" t="str">
            <v>10/数铣</v>
          </cell>
          <cell r="I1404" t="str">
            <v>15/超声波</v>
          </cell>
          <cell r="J1404" t="str">
            <v>20/数铣560</v>
          </cell>
          <cell r="K1404" t="str">
            <v>25/数铣20</v>
          </cell>
          <cell r="L1404" t="str">
            <v>30/线切割</v>
          </cell>
          <cell r="M1404" t="str">
            <v>35/数铣</v>
          </cell>
          <cell r="N1404" t="str">
            <v>40/钳工</v>
          </cell>
          <cell r="O1404" t="str">
            <v>45/清洁</v>
          </cell>
          <cell r="P1404" t="str">
            <v>50/成检</v>
          </cell>
          <cell r="Q1404" t="str">
            <v>50/成检</v>
          </cell>
        </row>
        <row r="1405">
          <cell r="B1405" t="str">
            <v>CB5752000-022L003</v>
          </cell>
          <cell r="D1405" t="str">
            <v>D</v>
          </cell>
          <cell r="E1405" t="str">
            <v>准备工时</v>
          </cell>
          <cell r="H1405">
            <v>60</v>
          </cell>
          <cell r="J1405">
            <v>60</v>
          </cell>
          <cell r="K1405">
            <v>60</v>
          </cell>
          <cell r="M1405">
            <v>60</v>
          </cell>
        </row>
        <row r="1406">
          <cell r="B1406" t="str">
            <v>CB5752000-022L003</v>
          </cell>
          <cell r="D1406" t="str">
            <v>D</v>
          </cell>
          <cell r="E1406" t="str">
            <v>装夹时间</v>
          </cell>
        </row>
        <row r="1407">
          <cell r="B1407" t="str">
            <v>CB5752000-022L003</v>
          </cell>
          <cell r="D1407" t="str">
            <v>D</v>
          </cell>
          <cell r="E1407" t="str">
            <v>程序时间</v>
          </cell>
          <cell r="G1407">
            <v>30</v>
          </cell>
          <cell r="H1407">
            <v>240</v>
          </cell>
          <cell r="J1407">
            <v>600</v>
          </cell>
          <cell r="K1407">
            <v>60</v>
          </cell>
          <cell r="M1407">
            <v>50</v>
          </cell>
          <cell r="N1407">
            <v>60</v>
          </cell>
        </row>
        <row r="1408">
          <cell r="B1408" t="str">
            <v>CB5752000-022R002</v>
          </cell>
          <cell r="D1408" t="str">
            <v>D</v>
          </cell>
          <cell r="E1408" t="str">
            <v>工序内容</v>
          </cell>
          <cell r="F1408" t="str">
            <v>0/领料</v>
          </cell>
          <cell r="G1408" t="str">
            <v>05/钳工</v>
          </cell>
          <cell r="H1408" t="str">
            <v>10/数铣</v>
          </cell>
          <cell r="I1408" t="str">
            <v>15/超声波</v>
          </cell>
          <cell r="J1408" t="str">
            <v>20/数铣560</v>
          </cell>
          <cell r="K1408" t="str">
            <v>25/数铣20</v>
          </cell>
          <cell r="L1408" t="str">
            <v>30/线切割</v>
          </cell>
          <cell r="M1408" t="str">
            <v>35/数铣</v>
          </cell>
          <cell r="N1408" t="str">
            <v>40/钳工</v>
          </cell>
          <cell r="O1408" t="str">
            <v>45/清洁</v>
          </cell>
          <cell r="P1408" t="str">
            <v>50/成检</v>
          </cell>
        </row>
        <row r="1409">
          <cell r="B1409" t="str">
            <v>CB5752000-022R002</v>
          </cell>
          <cell r="D1409" t="str">
            <v>D</v>
          </cell>
          <cell r="E1409" t="str">
            <v>准备工时</v>
          </cell>
          <cell r="H1409">
            <v>60</v>
          </cell>
          <cell r="J1409">
            <v>60</v>
          </cell>
          <cell r="K1409">
            <v>60</v>
          </cell>
          <cell r="M1409">
            <v>60</v>
          </cell>
        </row>
        <row r="1410">
          <cell r="B1410" t="str">
            <v>CB5752000-022R002</v>
          </cell>
          <cell r="D1410" t="str">
            <v>D</v>
          </cell>
          <cell r="E1410" t="str">
            <v>装夹时间</v>
          </cell>
        </row>
        <row r="1411">
          <cell r="B1411" t="str">
            <v>CB5752000-022R002</v>
          </cell>
          <cell r="D1411" t="str">
            <v>D</v>
          </cell>
          <cell r="E1411" t="str">
            <v>程序时间</v>
          </cell>
          <cell r="G1411">
            <v>30</v>
          </cell>
          <cell r="H1411">
            <v>240</v>
          </cell>
          <cell r="J1411">
            <v>600</v>
          </cell>
          <cell r="K1411">
            <v>60</v>
          </cell>
          <cell r="M1411">
            <v>50</v>
          </cell>
          <cell r="N1411">
            <v>60</v>
          </cell>
        </row>
        <row r="1412">
          <cell r="B1412" t="str">
            <v>CB5752000-023L003/R002</v>
          </cell>
          <cell r="D1412" t="str">
            <v>D</v>
          </cell>
          <cell r="E1412" t="str">
            <v>工序内容</v>
          </cell>
          <cell r="F1412" t="str">
            <v>0/领料</v>
          </cell>
          <cell r="G1412" t="str">
            <v>05/钳工</v>
          </cell>
          <cell r="H1412" t="str">
            <v>10/数铣</v>
          </cell>
          <cell r="I1412" t="str">
            <v>15/超声波</v>
          </cell>
          <cell r="J1412" t="str">
            <v>20/数铣560</v>
          </cell>
          <cell r="K1412" t="str">
            <v>25/数铣20</v>
          </cell>
          <cell r="L1412" t="str">
            <v>30/线切割</v>
          </cell>
          <cell r="M1412" t="str">
            <v>35/数铣</v>
          </cell>
          <cell r="N1412" t="str">
            <v>40/钳工</v>
          </cell>
          <cell r="O1412" t="str">
            <v>45/清洁</v>
          </cell>
          <cell r="P1412" t="str">
            <v>50/成检</v>
          </cell>
        </row>
        <row r="1413">
          <cell r="B1413" t="str">
            <v>CB5752000-023L003/R002</v>
          </cell>
          <cell r="D1413" t="str">
            <v>D</v>
          </cell>
          <cell r="E1413" t="str">
            <v>准备工时</v>
          </cell>
          <cell r="H1413">
            <v>60</v>
          </cell>
          <cell r="J1413">
            <v>60</v>
          </cell>
          <cell r="K1413">
            <v>60</v>
          </cell>
          <cell r="M1413">
            <v>60</v>
          </cell>
        </row>
        <row r="1414">
          <cell r="B1414" t="str">
            <v>CB5752000-023L003/R002</v>
          </cell>
          <cell r="D1414" t="str">
            <v>D</v>
          </cell>
          <cell r="E1414" t="str">
            <v>装夹时间</v>
          </cell>
        </row>
        <row r="1415">
          <cell r="B1415" t="str">
            <v>CB5752000-023L003/R002</v>
          </cell>
          <cell r="D1415" t="str">
            <v>D</v>
          </cell>
          <cell r="E1415" t="str">
            <v>程序时间</v>
          </cell>
          <cell r="G1415">
            <v>30</v>
          </cell>
          <cell r="H1415">
            <v>240</v>
          </cell>
          <cell r="J1415">
            <v>600</v>
          </cell>
          <cell r="K1415">
            <v>60</v>
          </cell>
          <cell r="M1415">
            <v>50</v>
          </cell>
          <cell r="N1415">
            <v>60</v>
          </cell>
        </row>
        <row r="1416">
          <cell r="B1416" t="str">
            <v>CB5752000-023L003</v>
          </cell>
          <cell r="D1416" t="str">
            <v>D</v>
          </cell>
          <cell r="E1416" t="str">
            <v>工序内容</v>
          </cell>
          <cell r="F1416" t="str">
            <v>0/领料</v>
          </cell>
          <cell r="G1416" t="str">
            <v>05/钳工</v>
          </cell>
          <cell r="H1416" t="str">
            <v>10/数铣</v>
          </cell>
          <cell r="I1416" t="str">
            <v>15/超声波</v>
          </cell>
          <cell r="J1416" t="str">
            <v>20/数铣560</v>
          </cell>
          <cell r="K1416" t="str">
            <v>25/数铣20</v>
          </cell>
          <cell r="L1416" t="str">
            <v>30/线切割</v>
          </cell>
          <cell r="M1416" t="str">
            <v>35/数铣</v>
          </cell>
          <cell r="N1416" t="str">
            <v>40/钳工</v>
          </cell>
          <cell r="O1416" t="str">
            <v>45/清洁</v>
          </cell>
          <cell r="P1416" t="str">
            <v>50/成检</v>
          </cell>
        </row>
        <row r="1417">
          <cell r="B1417" t="str">
            <v>CB5752000-023L003</v>
          </cell>
          <cell r="D1417" t="str">
            <v>D</v>
          </cell>
          <cell r="E1417" t="str">
            <v>准备工时</v>
          </cell>
          <cell r="H1417">
            <v>60</v>
          </cell>
          <cell r="J1417">
            <v>60</v>
          </cell>
          <cell r="K1417">
            <v>60</v>
          </cell>
          <cell r="M1417">
            <v>60</v>
          </cell>
        </row>
        <row r="1418">
          <cell r="B1418" t="str">
            <v>CB5752000-023L003</v>
          </cell>
          <cell r="D1418" t="str">
            <v>D</v>
          </cell>
          <cell r="E1418" t="str">
            <v>装夹时间</v>
          </cell>
        </row>
        <row r="1419">
          <cell r="B1419" t="str">
            <v>CB5752000-023L003</v>
          </cell>
          <cell r="D1419" t="str">
            <v>D</v>
          </cell>
          <cell r="E1419" t="str">
            <v>程序时间</v>
          </cell>
          <cell r="G1419">
            <v>30</v>
          </cell>
          <cell r="H1419">
            <v>240</v>
          </cell>
          <cell r="J1419">
            <v>600</v>
          </cell>
          <cell r="K1419">
            <v>60</v>
          </cell>
          <cell r="M1419">
            <v>50</v>
          </cell>
          <cell r="N1419">
            <v>60</v>
          </cell>
        </row>
        <row r="1420">
          <cell r="B1420" t="str">
            <v>CB5752000-023R002</v>
          </cell>
          <cell r="D1420" t="str">
            <v>D</v>
          </cell>
          <cell r="E1420" t="str">
            <v>工序内容</v>
          </cell>
          <cell r="F1420" t="str">
            <v>0/领料</v>
          </cell>
          <cell r="G1420" t="str">
            <v>05/钳工</v>
          </cell>
          <cell r="H1420" t="str">
            <v>10/数铣</v>
          </cell>
          <cell r="I1420" t="str">
            <v>15/超声波</v>
          </cell>
          <cell r="J1420" t="str">
            <v>20/数铣560</v>
          </cell>
          <cell r="K1420" t="str">
            <v>25/数铣20</v>
          </cell>
          <cell r="L1420" t="str">
            <v>30/线切割</v>
          </cell>
          <cell r="M1420" t="str">
            <v>35/数铣</v>
          </cell>
          <cell r="N1420" t="str">
            <v>40/钳工</v>
          </cell>
          <cell r="O1420" t="str">
            <v>45/清洁</v>
          </cell>
          <cell r="P1420" t="str">
            <v>50/成检</v>
          </cell>
        </row>
        <row r="1421">
          <cell r="B1421" t="str">
            <v>CB5752000-023R002</v>
          </cell>
          <cell r="D1421" t="str">
            <v>D</v>
          </cell>
          <cell r="E1421" t="str">
            <v>准备工时</v>
          </cell>
          <cell r="H1421">
            <v>60</v>
          </cell>
          <cell r="J1421">
            <v>60</v>
          </cell>
          <cell r="K1421">
            <v>60</v>
          </cell>
          <cell r="M1421">
            <v>60</v>
          </cell>
        </row>
        <row r="1422">
          <cell r="B1422" t="str">
            <v>CB5752000-023R002</v>
          </cell>
          <cell r="D1422" t="str">
            <v>D</v>
          </cell>
          <cell r="E1422" t="str">
            <v>装夹时间</v>
          </cell>
        </row>
        <row r="1423">
          <cell r="B1423" t="str">
            <v>CB5752000-023R002</v>
          </cell>
          <cell r="D1423" t="str">
            <v>D</v>
          </cell>
          <cell r="E1423" t="str">
            <v>程序时间</v>
          </cell>
          <cell r="G1423">
            <v>30</v>
          </cell>
          <cell r="H1423">
            <v>240</v>
          </cell>
          <cell r="J1423">
            <v>600</v>
          </cell>
          <cell r="K1423">
            <v>60</v>
          </cell>
          <cell r="M1423">
            <v>50</v>
          </cell>
          <cell r="N1423">
            <v>60</v>
          </cell>
        </row>
        <row r="1424">
          <cell r="B1424" t="str">
            <v>DD-J10-21102-555-Z</v>
          </cell>
          <cell r="D1424" t="str">
            <v>E</v>
          </cell>
          <cell r="E1424" t="str">
            <v>工序内容</v>
          </cell>
          <cell r="F1424" t="str">
            <v>0/领料</v>
          </cell>
          <cell r="G1424" t="str">
            <v>5/数铣</v>
          </cell>
          <cell r="H1424" t="str">
            <v>10/数铣10</v>
          </cell>
          <cell r="I1424" t="str">
            <v>15/数铣50</v>
          </cell>
          <cell r="J1424" t="str">
            <v>20/数铣230</v>
          </cell>
          <cell r="K1424" t="str">
            <v>25/钳工</v>
          </cell>
          <cell r="L1424" t="str">
            <v>30/测量</v>
          </cell>
          <cell r="M1424" t="str">
            <v>35/清洁</v>
          </cell>
          <cell r="N1424" t="str">
            <v>40/成检</v>
          </cell>
        </row>
        <row r="1425">
          <cell r="B1425" t="str">
            <v>DD-J10-21102-555-Z</v>
          </cell>
          <cell r="D1425" t="str">
            <v>E</v>
          </cell>
          <cell r="E1425" t="str">
            <v>准备工时</v>
          </cell>
          <cell r="G1425">
            <v>60</v>
          </cell>
          <cell r="H1425">
            <v>60</v>
          </cell>
          <cell r="I1425">
            <v>90</v>
          </cell>
          <cell r="J1425">
            <v>120</v>
          </cell>
        </row>
        <row r="1426">
          <cell r="B1426" t="str">
            <v>DD-J10-21102-555-Z</v>
          </cell>
          <cell r="D1426" t="str">
            <v>E</v>
          </cell>
          <cell r="E1426" t="str">
            <v>装夹时间</v>
          </cell>
        </row>
        <row r="1427">
          <cell r="B1427" t="str">
            <v>DD-J10-21102-555-Z</v>
          </cell>
          <cell r="D1427" t="str">
            <v>E</v>
          </cell>
          <cell r="E1427" t="str">
            <v>程序时间</v>
          </cell>
          <cell r="G1427">
            <v>60</v>
          </cell>
          <cell r="H1427">
            <v>40</v>
          </cell>
          <cell r="I1427">
            <v>100</v>
          </cell>
          <cell r="J1427">
            <v>390</v>
          </cell>
          <cell r="K1427">
            <v>120</v>
          </cell>
        </row>
        <row r="1428">
          <cell r="B1428" t="str">
            <v>DD-J10-21102-555-Y</v>
          </cell>
          <cell r="D1428" t="str">
            <v>E</v>
          </cell>
          <cell r="E1428" t="str">
            <v>工序内容</v>
          </cell>
          <cell r="F1428" t="str">
            <v>0/领料</v>
          </cell>
          <cell r="G1428" t="str">
            <v>5/数铣</v>
          </cell>
          <cell r="H1428" t="str">
            <v>10/数铣10</v>
          </cell>
          <cell r="I1428" t="str">
            <v>15/数铣50</v>
          </cell>
          <cell r="J1428" t="str">
            <v>20/数铣230</v>
          </cell>
          <cell r="K1428" t="str">
            <v>25/钳工</v>
          </cell>
          <cell r="L1428" t="str">
            <v>30/测量</v>
          </cell>
          <cell r="M1428" t="str">
            <v>35/清洁</v>
          </cell>
          <cell r="N1428" t="str">
            <v>40/成检</v>
          </cell>
        </row>
        <row r="1429">
          <cell r="B1429" t="str">
            <v>DD-J10-21102-555-Y</v>
          </cell>
          <cell r="D1429" t="str">
            <v>E</v>
          </cell>
          <cell r="E1429" t="str">
            <v>准备工时</v>
          </cell>
          <cell r="G1429">
            <v>60</v>
          </cell>
          <cell r="H1429">
            <v>60</v>
          </cell>
          <cell r="I1429">
            <v>90</v>
          </cell>
          <cell r="J1429">
            <v>120</v>
          </cell>
        </row>
        <row r="1430">
          <cell r="B1430" t="str">
            <v>DD-J10-21102-555-Y</v>
          </cell>
          <cell r="D1430" t="str">
            <v>E</v>
          </cell>
          <cell r="E1430" t="str">
            <v>装夹时间</v>
          </cell>
        </row>
        <row r="1431">
          <cell r="B1431" t="str">
            <v>DD-J10-21102-555-Y</v>
          </cell>
          <cell r="D1431" t="str">
            <v>E</v>
          </cell>
          <cell r="E1431" t="str">
            <v>程序时间</v>
          </cell>
          <cell r="G1431">
            <v>60</v>
          </cell>
          <cell r="H1431">
            <v>40</v>
          </cell>
          <cell r="I1431">
            <v>100</v>
          </cell>
          <cell r="J1431">
            <v>390</v>
          </cell>
          <cell r="K1431">
            <v>120</v>
          </cell>
        </row>
        <row r="1432">
          <cell r="B1432" t="str">
            <v>CB22956R1-001L001</v>
          </cell>
          <cell r="D1432" t="str">
            <v>D</v>
          </cell>
          <cell r="E1432" t="str">
            <v>工序内容</v>
          </cell>
          <cell r="F1432" t="str">
            <v>0/领料</v>
          </cell>
          <cell r="G1432" t="str">
            <v>5/下料</v>
          </cell>
          <cell r="H1432" t="str">
            <v>10/数铣</v>
          </cell>
          <cell r="I1432" t="str">
            <v>15/数铣28</v>
          </cell>
          <cell r="J1432" t="str">
            <v>20/数铣22</v>
          </cell>
          <cell r="K1432" t="str">
            <v>25/数铣48</v>
          </cell>
          <cell r="L1432" t="str">
            <v>30/数铣23</v>
          </cell>
          <cell r="M1432" t="str">
            <v>35/数铣38</v>
          </cell>
          <cell r="N1432" t="str">
            <v>40/钳工</v>
          </cell>
          <cell r="O1432" t="str">
            <v>45/测量</v>
          </cell>
          <cell r="P1432" t="str">
            <v>50/清洁</v>
          </cell>
          <cell r="Q1432" t="str">
            <v>53/检验</v>
          </cell>
          <cell r="R1432" t="str">
            <v>55/硬检</v>
          </cell>
          <cell r="S1432" t="str">
            <v>60/分光</v>
          </cell>
          <cell r="T1432" t="str">
            <v>65/钳工</v>
          </cell>
          <cell r="U1432" t="str">
            <v>70/清洁</v>
          </cell>
          <cell r="V1432" t="str">
            <v>75/成检</v>
          </cell>
        </row>
        <row r="1433">
          <cell r="B1433" t="str">
            <v>CB22956R1-001L001</v>
          </cell>
          <cell r="D1433" t="str">
            <v>D</v>
          </cell>
          <cell r="E1433" t="str">
            <v>准备工时</v>
          </cell>
          <cell r="H1433">
            <v>60</v>
          </cell>
          <cell r="I1433">
            <v>60</v>
          </cell>
          <cell r="J1433">
            <v>60</v>
          </cell>
          <cell r="K1433">
            <v>60</v>
          </cell>
          <cell r="L1433">
            <v>60</v>
          </cell>
          <cell r="M1433">
            <v>60</v>
          </cell>
          <cell r="P1433">
            <v>20</v>
          </cell>
        </row>
        <row r="1434">
          <cell r="B1434" t="str">
            <v>CB22956R1-001L001</v>
          </cell>
          <cell r="D1434" t="str">
            <v>D</v>
          </cell>
          <cell r="E1434" t="str">
            <v>装夹时间</v>
          </cell>
        </row>
        <row r="1435">
          <cell r="B1435" t="str">
            <v>CB22956R1-001L001</v>
          </cell>
          <cell r="D1435" t="str">
            <v>D</v>
          </cell>
          <cell r="E1435" t="str">
            <v>程序时间</v>
          </cell>
          <cell r="G1435">
            <v>30</v>
          </cell>
          <cell r="H1435">
            <v>30</v>
          </cell>
          <cell r="I1435">
            <v>45</v>
          </cell>
          <cell r="J1435">
            <v>40</v>
          </cell>
          <cell r="K1435">
            <v>100</v>
          </cell>
          <cell r="L1435">
            <v>35</v>
          </cell>
          <cell r="M1435">
            <v>55</v>
          </cell>
          <cell r="N1435">
            <v>30</v>
          </cell>
          <cell r="T1435">
            <v>5</v>
          </cell>
        </row>
        <row r="1436">
          <cell r="B1436" t="str">
            <v>CB22956R1-001R001</v>
          </cell>
          <cell r="D1436" t="str">
            <v>D</v>
          </cell>
          <cell r="E1436" t="str">
            <v>工序内容</v>
          </cell>
          <cell r="F1436" t="str">
            <v>0/领料</v>
          </cell>
          <cell r="G1436" t="str">
            <v>5/下料</v>
          </cell>
          <cell r="H1436" t="str">
            <v>10/数铣</v>
          </cell>
          <cell r="I1436" t="str">
            <v>15/数铣28</v>
          </cell>
          <cell r="J1436" t="str">
            <v>20/数铣22</v>
          </cell>
          <cell r="K1436" t="str">
            <v>25/数铣48</v>
          </cell>
          <cell r="L1436" t="str">
            <v>30/数铣23</v>
          </cell>
          <cell r="M1436" t="str">
            <v>35/数铣38</v>
          </cell>
          <cell r="N1436" t="str">
            <v>40/钳工</v>
          </cell>
          <cell r="O1436" t="str">
            <v>45/测量</v>
          </cell>
          <cell r="P1436" t="str">
            <v>50/清洁</v>
          </cell>
          <cell r="Q1436" t="str">
            <v>53/检验</v>
          </cell>
          <cell r="R1436" t="str">
            <v>55/硬检</v>
          </cell>
          <cell r="S1436" t="str">
            <v>60/分光</v>
          </cell>
          <cell r="T1436" t="str">
            <v>65/钳工</v>
          </cell>
          <cell r="U1436" t="str">
            <v>70/清洁</v>
          </cell>
          <cell r="V1436" t="str">
            <v>75/成检</v>
          </cell>
        </row>
        <row r="1437">
          <cell r="B1437" t="str">
            <v>CB22956R1-001R001</v>
          </cell>
          <cell r="D1437" t="str">
            <v>D</v>
          </cell>
          <cell r="E1437" t="str">
            <v>准备工时</v>
          </cell>
          <cell r="H1437">
            <v>60</v>
          </cell>
          <cell r="I1437">
            <v>60</v>
          </cell>
          <cell r="J1437">
            <v>60</v>
          </cell>
          <cell r="K1437">
            <v>60</v>
          </cell>
          <cell r="L1437">
            <v>60</v>
          </cell>
          <cell r="M1437">
            <v>60</v>
          </cell>
          <cell r="P1437">
            <v>20</v>
          </cell>
        </row>
        <row r="1438">
          <cell r="B1438" t="str">
            <v>CB22956R1-001R001</v>
          </cell>
          <cell r="D1438" t="str">
            <v>D</v>
          </cell>
          <cell r="E1438" t="str">
            <v>装夹时间</v>
          </cell>
        </row>
        <row r="1439">
          <cell r="B1439" t="str">
            <v>CB22956R1-001R001</v>
          </cell>
          <cell r="D1439" t="str">
            <v>D</v>
          </cell>
          <cell r="E1439" t="str">
            <v>程序时间</v>
          </cell>
          <cell r="G1439">
            <v>30</v>
          </cell>
          <cell r="H1439">
            <v>30</v>
          </cell>
          <cell r="I1439">
            <v>45</v>
          </cell>
          <cell r="J1439">
            <v>40</v>
          </cell>
          <cell r="K1439">
            <v>100</v>
          </cell>
          <cell r="L1439">
            <v>35</v>
          </cell>
          <cell r="M1439">
            <v>55</v>
          </cell>
          <cell r="N1439">
            <v>30</v>
          </cell>
          <cell r="T1439">
            <v>5</v>
          </cell>
        </row>
        <row r="1440">
          <cell r="B1440" t="str">
            <v>DD-J10B-04041-1</v>
          </cell>
          <cell r="D1440" t="str">
            <v>H</v>
          </cell>
          <cell r="E1440" t="str">
            <v>工序内容</v>
          </cell>
          <cell r="F1440" t="str">
            <v>0/领料</v>
          </cell>
          <cell r="G1440" t="str">
            <v>5/钳工</v>
          </cell>
          <cell r="H1440" t="str">
            <v>10/</v>
          </cell>
          <cell r="I1440" t="str">
            <v>15/数铣237</v>
          </cell>
          <cell r="J1440" t="str">
            <v>20/数铣185</v>
          </cell>
          <cell r="K1440" t="str">
            <v>25/数铣215</v>
          </cell>
          <cell r="L1440" t="str">
            <v>30/数铣243</v>
          </cell>
          <cell r="M1440" t="str">
            <v>35/检验</v>
          </cell>
          <cell r="N1440" t="str">
            <v>40/超声波</v>
          </cell>
          <cell r="O1440" t="str">
            <v>45/数铣275</v>
          </cell>
          <cell r="P1440" t="str">
            <v>50/数铣349</v>
          </cell>
          <cell r="Q1440" t="str">
            <v>55/数铣600</v>
          </cell>
          <cell r="R1440" t="str">
            <v>60/数铣6.5</v>
          </cell>
          <cell r="S1440" t="str">
            <v>钳工</v>
          </cell>
        </row>
        <row r="1441">
          <cell r="B1441" t="str">
            <v>DD-J10B-04041-1</v>
          </cell>
          <cell r="D1441" t="str">
            <v>H</v>
          </cell>
          <cell r="E1441" t="str">
            <v>准备工时</v>
          </cell>
          <cell r="I1441">
            <v>180</v>
          </cell>
          <cell r="J1441">
            <v>180</v>
          </cell>
          <cell r="K1441">
            <v>180</v>
          </cell>
          <cell r="L1441">
            <v>180</v>
          </cell>
          <cell r="O1441">
            <v>180</v>
          </cell>
          <cell r="P1441">
            <v>180</v>
          </cell>
          <cell r="Q1441">
            <v>180</v>
          </cell>
          <cell r="R1441">
            <v>180</v>
          </cell>
        </row>
        <row r="1442">
          <cell r="B1442" t="str">
            <v>DD-J10B-04041-1</v>
          </cell>
          <cell r="D1442" t="str">
            <v>H</v>
          </cell>
          <cell r="E1442" t="str">
            <v>装夹时间</v>
          </cell>
          <cell r="I1442">
            <v>120</v>
          </cell>
          <cell r="J1442">
            <v>120</v>
          </cell>
          <cell r="K1442">
            <v>120</v>
          </cell>
          <cell r="L1442">
            <v>120</v>
          </cell>
          <cell r="O1442">
            <v>120</v>
          </cell>
          <cell r="P1442">
            <v>120</v>
          </cell>
          <cell r="Q1442">
            <v>120</v>
          </cell>
          <cell r="R1442">
            <v>120</v>
          </cell>
        </row>
        <row r="1443">
          <cell r="B1443" t="str">
            <v>DD-J10B-04041-1</v>
          </cell>
          <cell r="D1443" t="str">
            <v>H</v>
          </cell>
          <cell r="E1443" t="str">
            <v>程序时间</v>
          </cell>
          <cell r="I1443">
            <v>600</v>
          </cell>
          <cell r="J1443">
            <v>330</v>
          </cell>
          <cell r="K1443">
            <v>420</v>
          </cell>
          <cell r="L1443">
            <v>420</v>
          </cell>
          <cell r="O1443">
            <v>480</v>
          </cell>
          <cell r="P1443">
            <v>510</v>
          </cell>
          <cell r="Q1443">
            <v>720</v>
          </cell>
          <cell r="R1443">
            <v>660</v>
          </cell>
          <cell r="S1443">
            <v>360</v>
          </cell>
        </row>
        <row r="1444">
          <cell r="B1444" t="str">
            <v>CB2297011-002-001</v>
          </cell>
          <cell r="D1444" t="str">
            <v>D</v>
          </cell>
          <cell r="E1444" t="str">
            <v>工序内容</v>
          </cell>
          <cell r="F1444" t="str">
            <v>00/领料</v>
          </cell>
          <cell r="G1444" t="str">
            <v>5/下料</v>
          </cell>
          <cell r="H1444" t="str">
            <v>10/数铣5</v>
          </cell>
          <cell r="I1444" t="str">
            <v>15/数铣12</v>
          </cell>
          <cell r="J1444" t="str">
            <v>20/数铣23</v>
          </cell>
          <cell r="K1444" t="str">
            <v>25/线切割</v>
          </cell>
          <cell r="L1444" t="str">
            <v>30/数铣</v>
          </cell>
          <cell r="M1444" t="str">
            <v>35/钳工</v>
          </cell>
          <cell r="N1444" t="str">
            <v>40/测量</v>
          </cell>
          <cell r="O1444" t="str">
            <v>45/数铣</v>
          </cell>
          <cell r="P1444" t="str">
            <v>50/清洁</v>
          </cell>
          <cell r="Q1444" t="str">
            <v>55/复验</v>
          </cell>
          <cell r="R1444" t="str">
            <v>60/硬捡</v>
          </cell>
        </row>
        <row r="1445">
          <cell r="B1445" t="str">
            <v>CB2297011-002-001</v>
          </cell>
          <cell r="D1445" t="str">
            <v>D</v>
          </cell>
          <cell r="E1445" t="str">
            <v>准备工时</v>
          </cell>
          <cell r="H1445">
            <v>90</v>
          </cell>
          <cell r="I1445">
            <v>60</v>
          </cell>
          <cell r="J1445">
            <v>60</v>
          </cell>
          <cell r="L1445">
            <v>30</v>
          </cell>
        </row>
        <row r="1446">
          <cell r="B1446" t="str">
            <v>CB2297011-002-001</v>
          </cell>
          <cell r="D1446" t="str">
            <v>D</v>
          </cell>
          <cell r="E1446" t="str">
            <v>装夹时间</v>
          </cell>
        </row>
        <row r="1447">
          <cell r="B1447" t="str">
            <v>CB2297011-002-001</v>
          </cell>
          <cell r="D1447" t="str">
            <v>D</v>
          </cell>
          <cell r="E1447" t="str">
            <v>程序时间</v>
          </cell>
          <cell r="G1447">
            <v>15</v>
          </cell>
          <cell r="H1447">
            <v>20</v>
          </cell>
          <cell r="I1447">
            <v>50</v>
          </cell>
          <cell r="J1447">
            <v>50</v>
          </cell>
          <cell r="K1447">
            <v>40</v>
          </cell>
          <cell r="L1447">
            <v>20</v>
          </cell>
          <cell r="M1447">
            <v>40</v>
          </cell>
          <cell r="O1447">
            <v>20</v>
          </cell>
        </row>
        <row r="1448">
          <cell r="B1448" t="str">
            <v>C532210912-001-001</v>
          </cell>
          <cell r="D1448" t="str">
            <v>A</v>
          </cell>
          <cell r="E1448" t="str">
            <v>工序内容</v>
          </cell>
          <cell r="F1448" t="str">
            <v>0领料</v>
          </cell>
          <cell r="G1448" t="str">
            <v>05铣床</v>
          </cell>
          <cell r="H1448" t="str">
            <v>10数铣40</v>
          </cell>
          <cell r="I1448" t="str">
            <v>15数铣210</v>
          </cell>
          <cell r="J1448" t="str">
            <v>20超声波</v>
          </cell>
          <cell r="K1448" t="str">
            <v>25数铣195</v>
          </cell>
          <cell r="L1448" t="str">
            <v>30数铣20</v>
          </cell>
          <cell r="M1448" t="str">
            <v>35数铣75</v>
          </cell>
          <cell r="N1448" t="str">
            <v>40数铣100</v>
          </cell>
          <cell r="O1448" t="str">
            <v>45数铣140</v>
          </cell>
          <cell r="P1448" t="str">
            <v>50数铣20</v>
          </cell>
          <cell r="Q1448" t="str">
            <v>55数铣120</v>
          </cell>
          <cell r="R1448" t="str">
            <v>60数铣50</v>
          </cell>
          <cell r="S1448" t="str">
            <v>65数铣10</v>
          </cell>
          <cell r="T1448" t="str">
            <v>70数铣100</v>
          </cell>
          <cell r="U1448" t="str">
            <v>75测量</v>
          </cell>
          <cell r="V1448" t="str">
            <v>80钳工</v>
          </cell>
          <cell r="W1448" t="str">
            <v>83钳工</v>
          </cell>
          <cell r="X1448" t="str">
            <v>85清洁</v>
          </cell>
          <cell r="Y1448" t="str">
            <v>90成检</v>
          </cell>
        </row>
        <row r="1449">
          <cell r="B1449" t="str">
            <v>C532210912-001-001</v>
          </cell>
          <cell r="D1449" t="str">
            <v>A</v>
          </cell>
          <cell r="E1449" t="str">
            <v>准备工时</v>
          </cell>
          <cell r="G1449">
            <v>90</v>
          </cell>
          <cell r="H1449">
            <v>90</v>
          </cell>
          <cell r="I1449">
            <v>120</v>
          </cell>
          <cell r="K1449">
            <v>90</v>
          </cell>
          <cell r="L1449">
            <v>120</v>
          </cell>
          <cell r="M1449">
            <v>90</v>
          </cell>
          <cell r="N1449">
            <v>120</v>
          </cell>
          <cell r="O1449">
            <v>90</v>
          </cell>
          <cell r="P1449">
            <v>90</v>
          </cell>
          <cell r="Q1449">
            <v>90</v>
          </cell>
          <cell r="R1449">
            <v>90</v>
          </cell>
          <cell r="S1449">
            <v>120</v>
          </cell>
          <cell r="T1449">
            <v>120</v>
          </cell>
        </row>
        <row r="1450">
          <cell r="B1450" t="str">
            <v>C532210912-001-001</v>
          </cell>
          <cell r="D1450" t="str">
            <v>A</v>
          </cell>
          <cell r="E1450" t="str">
            <v>装夹时间</v>
          </cell>
        </row>
        <row r="1451">
          <cell r="B1451" t="str">
            <v>C532210912-001-001</v>
          </cell>
          <cell r="D1451" t="str">
            <v>A</v>
          </cell>
          <cell r="E1451" t="str">
            <v>程序时间</v>
          </cell>
          <cell r="G1451">
            <v>520</v>
          </cell>
          <cell r="H1451">
            <v>240</v>
          </cell>
          <cell r="I1451">
            <v>240</v>
          </cell>
          <cell r="K1451">
            <v>510</v>
          </cell>
          <cell r="L1451">
            <v>90</v>
          </cell>
          <cell r="M1451">
            <v>240</v>
          </cell>
          <cell r="N1451">
            <v>270</v>
          </cell>
          <cell r="O1451">
            <v>300</v>
          </cell>
          <cell r="P1451">
            <v>75</v>
          </cell>
          <cell r="Q1451">
            <v>270</v>
          </cell>
          <cell r="R1451">
            <v>150</v>
          </cell>
          <cell r="S1451">
            <v>50</v>
          </cell>
          <cell r="T1451">
            <v>300</v>
          </cell>
          <cell r="V1451">
            <v>360</v>
          </cell>
          <cell r="W1451">
            <v>90</v>
          </cell>
        </row>
        <row r="1452">
          <cell r="B1452" t="str">
            <v>C532210912-001-001</v>
          </cell>
          <cell r="D1452" t="str">
            <v>B</v>
          </cell>
          <cell r="E1452" t="str">
            <v>工序内容</v>
          </cell>
          <cell r="F1452" t="str">
            <v>0领料</v>
          </cell>
          <cell r="G1452" t="str">
            <v>05铣床</v>
          </cell>
          <cell r="H1452" t="str">
            <v>10数铣18</v>
          </cell>
          <cell r="I1452" t="str">
            <v>15超声波</v>
          </cell>
          <cell r="J1452" t="str">
            <v>20数铣60</v>
          </cell>
          <cell r="K1452" t="str">
            <v>25数铣320</v>
          </cell>
          <cell r="L1452" t="str">
            <v>30数铣30</v>
          </cell>
          <cell r="M1452" t="str">
            <v>35数铣120</v>
          </cell>
          <cell r="N1452" t="str">
            <v>40数铣130</v>
          </cell>
          <cell r="O1452" t="str">
            <v>45数铣150</v>
          </cell>
          <cell r="P1452" t="str">
            <v>50数铣20</v>
          </cell>
          <cell r="Q1452" t="str">
            <v>55数铣130</v>
          </cell>
          <cell r="R1452" t="str">
            <v>60数铣70</v>
          </cell>
          <cell r="S1452" t="str">
            <v>65数铣20</v>
          </cell>
          <cell r="T1452" t="str">
            <v>70数铣110</v>
          </cell>
          <cell r="U1452" t="str">
            <v>75钳工</v>
          </cell>
          <cell r="V1452" t="str">
            <v>78钳工</v>
          </cell>
          <cell r="W1452" t="str">
            <v>80测量</v>
          </cell>
          <cell r="X1452" t="str">
            <v>85清洁</v>
          </cell>
          <cell r="Y1452" t="str">
            <v>90成检</v>
          </cell>
        </row>
        <row r="1453">
          <cell r="B1453" t="str">
            <v>C532210912-001-001</v>
          </cell>
          <cell r="D1453" t="str">
            <v>B</v>
          </cell>
          <cell r="E1453" t="str">
            <v>准备工时</v>
          </cell>
          <cell r="G1453">
            <v>90</v>
          </cell>
          <cell r="H1453">
            <v>90</v>
          </cell>
          <cell r="J1453">
            <v>90</v>
          </cell>
          <cell r="K1453">
            <v>90</v>
          </cell>
          <cell r="L1453">
            <v>120</v>
          </cell>
          <cell r="M1453">
            <v>90</v>
          </cell>
          <cell r="N1453">
            <v>120</v>
          </cell>
          <cell r="O1453">
            <v>90</v>
          </cell>
          <cell r="P1453">
            <v>90</v>
          </cell>
          <cell r="Q1453">
            <v>90</v>
          </cell>
          <cell r="R1453">
            <v>90</v>
          </cell>
          <cell r="S1453">
            <v>120</v>
          </cell>
          <cell r="T1453">
            <v>120</v>
          </cell>
        </row>
        <row r="1454">
          <cell r="B1454" t="str">
            <v>C532210912-001-001</v>
          </cell>
          <cell r="D1454" t="str">
            <v>B</v>
          </cell>
          <cell r="E1454" t="str">
            <v>装夹时间</v>
          </cell>
        </row>
        <row r="1455">
          <cell r="B1455" t="str">
            <v>C532210912-001-001</v>
          </cell>
          <cell r="D1455" t="str">
            <v>B</v>
          </cell>
          <cell r="E1455" t="str">
            <v>程序时间</v>
          </cell>
          <cell r="G1455">
            <v>540</v>
          </cell>
          <cell r="H1455">
            <v>600</v>
          </cell>
          <cell r="J1455">
            <v>120</v>
          </cell>
          <cell r="K1455">
            <v>720</v>
          </cell>
          <cell r="L1455">
            <v>180</v>
          </cell>
          <cell r="M1455">
            <v>360</v>
          </cell>
          <cell r="N1455">
            <v>360</v>
          </cell>
          <cell r="O1455">
            <v>420</v>
          </cell>
          <cell r="P1455">
            <v>240</v>
          </cell>
          <cell r="Q1455">
            <v>330</v>
          </cell>
          <cell r="R1455">
            <v>180</v>
          </cell>
          <cell r="S1455">
            <v>240</v>
          </cell>
          <cell r="T1455">
            <v>360</v>
          </cell>
          <cell r="U1455">
            <v>300</v>
          </cell>
          <cell r="V1455">
            <v>60</v>
          </cell>
        </row>
        <row r="1456">
          <cell r="B1456" t="str">
            <v>C532210912-001-001</v>
          </cell>
          <cell r="D1456" t="str">
            <v>C</v>
          </cell>
          <cell r="E1456" t="str">
            <v>工序内容</v>
          </cell>
          <cell r="F1456" t="str">
            <v>0领料</v>
          </cell>
          <cell r="G1456" t="str">
            <v>05铣床</v>
          </cell>
          <cell r="H1456" t="str">
            <v>10数铣18</v>
          </cell>
          <cell r="I1456" t="str">
            <v>15超声波</v>
          </cell>
          <cell r="J1456" t="str">
            <v>20数铣60</v>
          </cell>
          <cell r="K1456" t="str">
            <v>25数铣320</v>
          </cell>
          <cell r="L1456" t="str">
            <v>30数铣30</v>
          </cell>
          <cell r="M1456" t="str">
            <v>35数铣120</v>
          </cell>
          <cell r="N1456" t="str">
            <v>40数铣130</v>
          </cell>
          <cell r="O1456" t="str">
            <v>45数铣150</v>
          </cell>
          <cell r="P1456" t="str">
            <v>50数铣20</v>
          </cell>
          <cell r="Q1456" t="str">
            <v>55数铣130</v>
          </cell>
          <cell r="R1456" t="str">
            <v>60数铣70</v>
          </cell>
          <cell r="S1456" t="str">
            <v>65数铣20</v>
          </cell>
          <cell r="T1456" t="str">
            <v>70数铣110</v>
          </cell>
          <cell r="U1456" t="str">
            <v>75钳工</v>
          </cell>
          <cell r="V1456" t="str">
            <v>78钳工</v>
          </cell>
          <cell r="W1456" t="str">
            <v>80测量</v>
          </cell>
          <cell r="X1456" t="str">
            <v>85清洁</v>
          </cell>
          <cell r="Y1456" t="str">
            <v>90成检</v>
          </cell>
        </row>
        <row r="1457">
          <cell r="B1457" t="str">
            <v>C532210912-001-001</v>
          </cell>
          <cell r="D1457" t="str">
            <v>C</v>
          </cell>
          <cell r="E1457" t="str">
            <v>准备工时</v>
          </cell>
          <cell r="G1457">
            <v>90</v>
          </cell>
          <cell r="H1457">
            <v>90</v>
          </cell>
          <cell r="J1457">
            <v>90</v>
          </cell>
          <cell r="K1457">
            <v>90</v>
          </cell>
          <cell r="L1457">
            <v>120</v>
          </cell>
          <cell r="M1457">
            <v>90</v>
          </cell>
          <cell r="N1457">
            <v>120</v>
          </cell>
          <cell r="O1457">
            <v>90</v>
          </cell>
          <cell r="P1457">
            <v>90</v>
          </cell>
          <cell r="Q1457">
            <v>90</v>
          </cell>
          <cell r="R1457">
            <v>90</v>
          </cell>
          <cell r="S1457">
            <v>120</v>
          </cell>
          <cell r="T1457">
            <v>120</v>
          </cell>
        </row>
        <row r="1458">
          <cell r="B1458" t="str">
            <v>C532210912-001-001</v>
          </cell>
          <cell r="D1458" t="str">
            <v>C</v>
          </cell>
          <cell r="E1458" t="str">
            <v>装夹时间</v>
          </cell>
        </row>
        <row r="1459">
          <cell r="B1459" t="str">
            <v>C532210912-001-001</v>
          </cell>
          <cell r="D1459" t="str">
            <v>C</v>
          </cell>
          <cell r="E1459" t="str">
            <v>程序时间</v>
          </cell>
          <cell r="G1459">
            <v>540</v>
          </cell>
          <cell r="H1459">
            <v>600</v>
          </cell>
          <cell r="J1459">
            <v>120</v>
          </cell>
          <cell r="K1459">
            <v>720</v>
          </cell>
          <cell r="L1459">
            <v>180</v>
          </cell>
          <cell r="M1459">
            <v>360</v>
          </cell>
          <cell r="N1459">
            <v>360</v>
          </cell>
          <cell r="O1459">
            <v>420</v>
          </cell>
          <cell r="P1459">
            <v>240</v>
          </cell>
          <cell r="Q1459">
            <v>330</v>
          </cell>
          <cell r="R1459">
            <v>180</v>
          </cell>
          <cell r="S1459">
            <v>240</v>
          </cell>
          <cell r="T1459">
            <v>480</v>
          </cell>
          <cell r="U1459">
            <v>300</v>
          </cell>
          <cell r="V1459">
            <v>60</v>
          </cell>
        </row>
        <row r="1460">
          <cell r="B1460" t="str">
            <v>531A1100-014-001</v>
          </cell>
          <cell r="D1460" t="str">
            <v>C</v>
          </cell>
          <cell r="E1460" t="str">
            <v>工序内容</v>
          </cell>
          <cell r="F1460" t="str">
            <v>0领料</v>
          </cell>
          <cell r="G1460" t="str">
            <v>05/下料</v>
          </cell>
          <cell r="H1460" t="str">
            <v>10/数铣</v>
          </cell>
          <cell r="I1460" t="str">
            <v>15/数铣30</v>
          </cell>
          <cell r="J1460" t="str">
            <v>20/数铣20</v>
          </cell>
          <cell r="K1460" t="str">
            <v>25/数铣15</v>
          </cell>
          <cell r="L1460" t="str">
            <v>30/数铣5</v>
          </cell>
          <cell r="M1460" t="str">
            <v>35/数铣5</v>
          </cell>
          <cell r="N1460" t="str">
            <v>40/线切割</v>
          </cell>
          <cell r="O1460" t="str">
            <v>45/钳工</v>
          </cell>
          <cell r="P1460" t="str">
            <v>50/数铣10</v>
          </cell>
          <cell r="Q1460" t="str">
            <v>55/测量</v>
          </cell>
          <cell r="R1460" t="str">
            <v>60/钳工</v>
          </cell>
          <cell r="S1460" t="str">
            <v>65/清洁</v>
          </cell>
          <cell r="T1460" t="str">
            <v>70/成检</v>
          </cell>
        </row>
        <row r="1461">
          <cell r="B1461" t="str">
            <v>531A1100-014-001</v>
          </cell>
          <cell r="D1461" t="str">
            <v>C</v>
          </cell>
          <cell r="E1461" t="str">
            <v>准备工时</v>
          </cell>
          <cell r="H1461">
            <v>60</v>
          </cell>
          <cell r="I1461">
            <v>60</v>
          </cell>
          <cell r="J1461">
            <v>60</v>
          </cell>
          <cell r="K1461">
            <v>60</v>
          </cell>
          <cell r="L1461">
            <v>60</v>
          </cell>
          <cell r="M1461">
            <v>60</v>
          </cell>
          <cell r="P1461">
            <v>60</v>
          </cell>
        </row>
        <row r="1462">
          <cell r="B1462" t="str">
            <v>531A1100-014-001</v>
          </cell>
          <cell r="D1462" t="str">
            <v>C</v>
          </cell>
          <cell r="E1462" t="str">
            <v>装夹时间</v>
          </cell>
        </row>
        <row r="1463">
          <cell r="B1463" t="str">
            <v>531A1100-014-001</v>
          </cell>
          <cell r="D1463" t="str">
            <v>C</v>
          </cell>
          <cell r="E1463" t="str">
            <v>程序时间</v>
          </cell>
          <cell r="G1463">
            <v>30</v>
          </cell>
          <cell r="H1463">
            <v>30</v>
          </cell>
          <cell r="I1463">
            <v>50</v>
          </cell>
          <cell r="J1463">
            <v>40</v>
          </cell>
          <cell r="K1463">
            <v>40</v>
          </cell>
          <cell r="L1463">
            <v>20</v>
          </cell>
          <cell r="M1463">
            <v>20</v>
          </cell>
          <cell r="O1463">
            <v>80</v>
          </cell>
          <cell r="P1463">
            <v>25</v>
          </cell>
          <cell r="R1463">
            <v>25</v>
          </cell>
        </row>
        <row r="1464">
          <cell r="B1464" t="str">
            <v>531A1100-015-001</v>
          </cell>
          <cell r="D1464" t="str">
            <v>C</v>
          </cell>
          <cell r="E1464" t="str">
            <v>工序内容</v>
          </cell>
          <cell r="F1464" t="str">
            <v>0领料</v>
          </cell>
          <cell r="G1464" t="str">
            <v>05/下料</v>
          </cell>
          <cell r="H1464" t="str">
            <v>10/数铣</v>
          </cell>
          <cell r="I1464" t="str">
            <v>15/数铣20</v>
          </cell>
          <cell r="J1464" t="str">
            <v>20/数铣25</v>
          </cell>
          <cell r="K1464" t="str">
            <v>25/数铣15</v>
          </cell>
          <cell r="L1464" t="str">
            <v>30/数铣5</v>
          </cell>
          <cell r="M1464" t="str">
            <v>35/数铣5</v>
          </cell>
          <cell r="N1464" t="str">
            <v>40/线切割</v>
          </cell>
          <cell r="O1464" t="str">
            <v>45/钳工</v>
          </cell>
          <cell r="P1464" t="str">
            <v>50/数铣10</v>
          </cell>
          <cell r="Q1464" t="str">
            <v>55/测量</v>
          </cell>
          <cell r="R1464" t="str">
            <v>60/钳工</v>
          </cell>
          <cell r="S1464" t="str">
            <v>65/清洁</v>
          </cell>
          <cell r="T1464" t="str">
            <v>70/成检</v>
          </cell>
        </row>
        <row r="1465">
          <cell r="B1465" t="str">
            <v>531A1100-015-001</v>
          </cell>
          <cell r="D1465" t="str">
            <v>C</v>
          </cell>
          <cell r="E1465" t="str">
            <v>准备工时</v>
          </cell>
          <cell r="H1465">
            <v>60</v>
          </cell>
          <cell r="I1465">
            <v>60</v>
          </cell>
          <cell r="J1465">
            <v>60</v>
          </cell>
          <cell r="K1465">
            <v>60</v>
          </cell>
          <cell r="L1465">
            <v>60</v>
          </cell>
          <cell r="M1465">
            <v>60</v>
          </cell>
          <cell r="P1465">
            <v>60</v>
          </cell>
        </row>
        <row r="1466">
          <cell r="B1466" t="str">
            <v>531A1100-015-001</v>
          </cell>
          <cell r="D1466" t="str">
            <v>C</v>
          </cell>
          <cell r="E1466" t="str">
            <v>装夹时间</v>
          </cell>
        </row>
        <row r="1467">
          <cell r="B1467" t="str">
            <v>531A1100-015-001</v>
          </cell>
          <cell r="D1467" t="str">
            <v>C</v>
          </cell>
          <cell r="E1467" t="str">
            <v>程序时间</v>
          </cell>
          <cell r="G1467">
            <v>30</v>
          </cell>
          <cell r="H1467">
            <v>30</v>
          </cell>
          <cell r="I1467">
            <v>30</v>
          </cell>
          <cell r="J1467">
            <v>40</v>
          </cell>
          <cell r="K1467">
            <v>40</v>
          </cell>
          <cell r="L1467">
            <v>20</v>
          </cell>
          <cell r="M1467">
            <v>20</v>
          </cell>
          <cell r="O1467">
            <v>80</v>
          </cell>
          <cell r="P1467">
            <v>25</v>
          </cell>
          <cell r="R1467">
            <v>25</v>
          </cell>
        </row>
        <row r="1468">
          <cell r="B1468" t="str">
            <v>DD-J10-06061-6</v>
          </cell>
          <cell r="D1468" t="str">
            <v>C</v>
          </cell>
          <cell r="E1468" t="str">
            <v>工序内容</v>
          </cell>
          <cell r="F1468" t="str">
            <v>0/领料</v>
          </cell>
          <cell r="G1468" t="str">
            <v>5/数铣</v>
          </cell>
          <cell r="H1468" t="str">
            <v>10/清洗</v>
          </cell>
          <cell r="I1468" t="str">
            <v>15/热处理</v>
          </cell>
          <cell r="J1468" t="str">
            <v>20/热处理</v>
          </cell>
          <cell r="K1468" t="str">
            <v>25/硬检</v>
          </cell>
          <cell r="L1468" t="str">
            <v>30/检验</v>
          </cell>
          <cell r="M1468" t="str">
            <v>35/数铣</v>
          </cell>
          <cell r="N1468" t="str">
            <v>40/线切割</v>
          </cell>
          <cell r="O1468" t="str">
            <v>45/数车25</v>
          </cell>
          <cell r="P1468" t="str">
            <v>50/数铣13</v>
          </cell>
          <cell r="Q1468" t="str">
            <v>55/数铣4</v>
          </cell>
          <cell r="R1468" t="str">
            <v>60/线切割</v>
          </cell>
          <cell r="S1468" t="str">
            <v>65/数铣3</v>
          </cell>
          <cell r="T1468" t="str">
            <v>70/钳工</v>
          </cell>
          <cell r="U1468" t="str">
            <v>75/清洁</v>
          </cell>
          <cell r="V1468" t="str">
            <v>80/成检</v>
          </cell>
        </row>
        <row r="1469">
          <cell r="B1469" t="str">
            <v>DD-J10-06061-6</v>
          </cell>
          <cell r="D1469" t="str">
            <v>C</v>
          </cell>
          <cell r="E1469" t="str">
            <v>准备工时</v>
          </cell>
          <cell r="G1469">
            <v>60</v>
          </cell>
          <cell r="M1469" t="str">
            <v>60</v>
          </cell>
          <cell r="O1469">
            <v>60</v>
          </cell>
          <cell r="P1469">
            <v>90</v>
          </cell>
          <cell r="Q1469">
            <v>60</v>
          </cell>
          <cell r="S1469">
            <v>60</v>
          </cell>
        </row>
        <row r="1470">
          <cell r="B1470" t="str">
            <v>DD-J10-06061-6</v>
          </cell>
          <cell r="D1470" t="str">
            <v>C</v>
          </cell>
          <cell r="E1470" t="str">
            <v>装夹时间</v>
          </cell>
        </row>
        <row r="1471">
          <cell r="B1471" t="str">
            <v>DD-J10-06061-6</v>
          </cell>
          <cell r="D1471" t="str">
            <v>C</v>
          </cell>
          <cell r="E1471" t="str">
            <v>程序时间</v>
          </cell>
          <cell r="G1471">
            <v>40</v>
          </cell>
          <cell r="M1471" t="str">
            <v>20</v>
          </cell>
          <cell r="N1471" t="str">
            <v>40</v>
          </cell>
          <cell r="O1471">
            <v>90</v>
          </cell>
          <cell r="P1471">
            <v>50</v>
          </cell>
          <cell r="Q1471">
            <v>40</v>
          </cell>
          <cell r="R1471">
            <v>30</v>
          </cell>
          <cell r="S1471">
            <v>20</v>
          </cell>
          <cell r="T1471">
            <v>30</v>
          </cell>
        </row>
        <row r="1472">
          <cell r="B1472" t="str">
            <v>CB5324310-016-006</v>
          </cell>
          <cell r="D1472" t="str">
            <v>D</v>
          </cell>
          <cell r="E1472" t="str">
            <v>工序内容</v>
          </cell>
          <cell r="F1472" t="str">
            <v>0/领料</v>
          </cell>
          <cell r="G1472" t="str">
            <v>05/数铣</v>
          </cell>
          <cell r="H1472" t="str">
            <v>10/数铣15</v>
          </cell>
          <cell r="I1472" t="str">
            <v>15/数铣50</v>
          </cell>
          <cell r="J1472" t="str">
            <v>20/数铣220</v>
          </cell>
          <cell r="K1472" t="str">
            <v>25/数铣5</v>
          </cell>
          <cell r="L1472" t="str">
            <v>30/数铣200</v>
          </cell>
          <cell r="M1472" t="str">
            <v>35/测量</v>
          </cell>
          <cell r="N1472" t="str">
            <v>40/钳工</v>
          </cell>
          <cell r="O1472" t="str">
            <v>45/清洁</v>
          </cell>
          <cell r="P1472" t="str">
            <v>50/成检</v>
          </cell>
        </row>
        <row r="1473">
          <cell r="B1473" t="str">
            <v>CB5324310-016-006</v>
          </cell>
          <cell r="D1473" t="str">
            <v>D</v>
          </cell>
          <cell r="E1473" t="str">
            <v>准备工时</v>
          </cell>
          <cell r="G1473">
            <v>60</v>
          </cell>
          <cell r="H1473">
            <v>90</v>
          </cell>
          <cell r="I1473">
            <v>90</v>
          </cell>
          <cell r="J1473">
            <v>90</v>
          </cell>
          <cell r="K1473">
            <v>90</v>
          </cell>
          <cell r="L1473">
            <v>90</v>
          </cell>
        </row>
        <row r="1474">
          <cell r="B1474" t="str">
            <v>CB5324310-016-006</v>
          </cell>
          <cell r="D1474" t="str">
            <v>D</v>
          </cell>
          <cell r="E1474" t="str">
            <v>装夹时间</v>
          </cell>
        </row>
        <row r="1475">
          <cell r="B1475" t="str">
            <v>CB5324310-016-006</v>
          </cell>
          <cell r="D1475" t="str">
            <v>D</v>
          </cell>
          <cell r="E1475" t="str">
            <v>程序时间</v>
          </cell>
          <cell r="G1475">
            <v>80</v>
          </cell>
          <cell r="H1475">
            <v>50</v>
          </cell>
          <cell r="I1475">
            <v>80</v>
          </cell>
          <cell r="J1475">
            <v>300</v>
          </cell>
          <cell r="K1475">
            <v>40</v>
          </cell>
          <cell r="L1475">
            <v>270</v>
          </cell>
          <cell r="N1475">
            <v>180</v>
          </cell>
        </row>
        <row r="1476">
          <cell r="B1476" t="str">
            <v>CB2287726-001-001</v>
          </cell>
          <cell r="D1476" t="str">
            <v>B</v>
          </cell>
          <cell r="E1476" t="str">
            <v>工序内容</v>
          </cell>
          <cell r="F1476" t="str">
            <v>0/领料</v>
          </cell>
          <cell r="G1476" t="str">
            <v>05/线切割</v>
          </cell>
          <cell r="H1476" t="str">
            <v>10数铣70</v>
          </cell>
          <cell r="I1476" t="str">
            <v>15数铣</v>
          </cell>
          <cell r="J1476" t="str">
            <v>20/数铣</v>
          </cell>
          <cell r="K1476" t="str">
            <v>25/数铣</v>
          </cell>
          <cell r="L1476" t="str">
            <v>30/数铣</v>
          </cell>
          <cell r="M1476" t="str">
            <v>35钳工</v>
          </cell>
          <cell r="N1476" t="str">
            <v>40/检验</v>
          </cell>
          <cell r="O1476" t="str">
            <v>45/分光</v>
          </cell>
          <cell r="P1476" t="str">
            <v>50/硬度</v>
          </cell>
          <cell r="Q1476" t="str">
            <v>55/钳工</v>
          </cell>
        </row>
        <row r="1477">
          <cell r="B1477" t="str">
            <v>CB2287726-001-001</v>
          </cell>
          <cell r="D1477" t="str">
            <v>B</v>
          </cell>
          <cell r="E1477" t="str">
            <v>准备工时</v>
          </cell>
          <cell r="H1477">
            <v>60</v>
          </cell>
          <cell r="I1477">
            <v>60</v>
          </cell>
          <cell r="J1477">
            <v>60</v>
          </cell>
          <cell r="K1477">
            <v>60</v>
          </cell>
          <cell r="L1477">
            <v>60</v>
          </cell>
        </row>
        <row r="1478">
          <cell r="B1478" t="str">
            <v>CB2287726-001-001</v>
          </cell>
          <cell r="D1478" t="str">
            <v>B</v>
          </cell>
          <cell r="E1478" t="str">
            <v>装夹时间</v>
          </cell>
        </row>
        <row r="1479">
          <cell r="B1479" t="str">
            <v>CB2287726-001-001</v>
          </cell>
          <cell r="D1479" t="str">
            <v>B</v>
          </cell>
          <cell r="E1479" t="str">
            <v>程序时间</v>
          </cell>
          <cell r="H1479">
            <v>100</v>
          </cell>
          <cell r="I1479">
            <v>70</v>
          </cell>
          <cell r="J1479">
            <v>20</v>
          </cell>
          <cell r="K1479">
            <v>30</v>
          </cell>
          <cell r="L1479">
            <v>30</v>
          </cell>
          <cell r="M1479">
            <v>30</v>
          </cell>
          <cell r="Q1479">
            <v>15</v>
          </cell>
        </row>
        <row r="1480">
          <cell r="B1480" t="str">
            <v>CB2287726-001-001</v>
          </cell>
          <cell r="D1480" t="str">
            <v>钻攻时间</v>
          </cell>
          <cell r="H1480">
            <v>130</v>
          </cell>
          <cell r="I1480">
            <v>150</v>
          </cell>
        </row>
        <row r="1481">
          <cell r="B1481" t="str">
            <v>CB229C050-007-003</v>
          </cell>
          <cell r="D1481" t="str">
            <v>B</v>
          </cell>
          <cell r="E1481" t="str">
            <v>工序内容</v>
          </cell>
          <cell r="F1481" t="str">
            <v>00/领料</v>
          </cell>
          <cell r="G1481" t="str">
            <v>5/数车15</v>
          </cell>
          <cell r="H1481" t="str">
            <v>10/数车5</v>
          </cell>
          <cell r="I1481" t="str">
            <v>15/普铣</v>
          </cell>
          <cell r="J1481" t="str">
            <v>20/数铣60</v>
          </cell>
          <cell r="K1481" t="str">
            <v>25/线切割</v>
          </cell>
          <cell r="L1481" t="str">
            <v>30/数铣20</v>
          </cell>
          <cell r="M1481" t="str">
            <v>35/数车30</v>
          </cell>
          <cell r="N1481" t="str">
            <v>40/钳工</v>
          </cell>
          <cell r="O1481" t="str">
            <v>45/清洁</v>
          </cell>
          <cell r="P1481" t="str">
            <v>50/成检</v>
          </cell>
        </row>
        <row r="1482">
          <cell r="B1482" t="str">
            <v>CB229C050-007-003</v>
          </cell>
          <cell r="D1482" t="str">
            <v>B</v>
          </cell>
          <cell r="E1482" t="str">
            <v>准备工时</v>
          </cell>
          <cell r="G1482">
            <v>90</v>
          </cell>
          <cell r="H1482">
            <v>90</v>
          </cell>
          <cell r="I1482">
            <v>60</v>
          </cell>
          <cell r="J1482">
            <v>120</v>
          </cell>
          <cell r="K1482">
            <v>60</v>
          </cell>
          <cell r="L1482">
            <v>120</v>
          </cell>
          <cell r="M1482">
            <v>120</v>
          </cell>
        </row>
        <row r="1483">
          <cell r="B1483" t="str">
            <v>CB229C050-007-003</v>
          </cell>
          <cell r="D1483" t="str">
            <v>B</v>
          </cell>
          <cell r="E1483" t="str">
            <v>装夹时间</v>
          </cell>
        </row>
        <row r="1484">
          <cell r="B1484" t="str">
            <v>CB229C050-007-003</v>
          </cell>
          <cell r="D1484" t="str">
            <v>B</v>
          </cell>
          <cell r="E1484" t="str">
            <v>程序时间</v>
          </cell>
          <cell r="G1484">
            <v>25</v>
          </cell>
          <cell r="H1484">
            <v>15</v>
          </cell>
          <cell r="I1484">
            <v>30</v>
          </cell>
          <cell r="J1484">
            <v>120</v>
          </cell>
          <cell r="K1484">
            <v>30</v>
          </cell>
          <cell r="L1484">
            <v>50</v>
          </cell>
          <cell r="M1484">
            <v>50</v>
          </cell>
          <cell r="N1484">
            <v>20</v>
          </cell>
        </row>
        <row r="1485">
          <cell r="B1485" t="str">
            <v>5214A000025G010</v>
          </cell>
          <cell r="D1485" t="str">
            <v>B</v>
          </cell>
          <cell r="E1485" t="str">
            <v>工序内容</v>
          </cell>
          <cell r="F1485" t="str">
            <v>05/下料</v>
          </cell>
          <cell r="G1485" t="str">
            <v>05/数铣</v>
          </cell>
          <cell r="H1485" t="str">
            <v>10/数铣20</v>
          </cell>
          <cell r="I1485" t="str">
            <v>15/数铣8</v>
          </cell>
          <cell r="J1485" t="str">
            <v>20/数铣93</v>
          </cell>
          <cell r="K1485" t="str">
            <v>25/数铣61</v>
          </cell>
          <cell r="L1485" t="str">
            <v>30/自然失效</v>
          </cell>
          <cell r="M1485" t="str">
            <v>35/修面</v>
          </cell>
          <cell r="N1485" t="str">
            <v>40/数铣70</v>
          </cell>
          <cell r="O1485" t="str">
            <v>45/数铣80</v>
          </cell>
          <cell r="P1485" t="str">
            <v>50/五轴160</v>
          </cell>
          <cell r="Q1485" t="str">
            <v>55/测量</v>
          </cell>
          <cell r="R1485" t="str">
            <v>60/钳工</v>
          </cell>
          <cell r="S1485" t="str">
            <v>65/清洁</v>
          </cell>
          <cell r="T1485" t="str">
            <v>70/成检</v>
          </cell>
        </row>
        <row r="1486">
          <cell r="B1486" t="str">
            <v>5214A000025G010</v>
          </cell>
          <cell r="D1486" t="str">
            <v>B</v>
          </cell>
          <cell r="E1486" t="str">
            <v>准备工时</v>
          </cell>
          <cell r="G1486">
            <v>60</v>
          </cell>
          <cell r="H1486">
            <v>60</v>
          </cell>
          <cell r="I1486">
            <v>60</v>
          </cell>
          <cell r="J1486">
            <v>60</v>
          </cell>
          <cell r="K1486">
            <v>60</v>
          </cell>
          <cell r="M1486">
            <v>60</v>
          </cell>
          <cell r="N1486">
            <v>60</v>
          </cell>
          <cell r="O1486">
            <v>60</v>
          </cell>
          <cell r="P1486">
            <v>120</v>
          </cell>
        </row>
        <row r="1487">
          <cell r="B1487" t="str">
            <v>5214A000025G010</v>
          </cell>
          <cell r="D1487" t="str">
            <v>B</v>
          </cell>
          <cell r="E1487" t="str">
            <v>装夹时间</v>
          </cell>
          <cell r="P1487">
            <v>60</v>
          </cell>
        </row>
        <row r="1488">
          <cell r="B1488" t="str">
            <v>5214A000025G010</v>
          </cell>
          <cell r="D1488" t="str">
            <v>B</v>
          </cell>
          <cell r="E1488" t="str">
            <v>程序时间</v>
          </cell>
          <cell r="G1488">
            <v>50</v>
          </cell>
          <cell r="H1488">
            <v>70</v>
          </cell>
          <cell r="I1488">
            <v>30</v>
          </cell>
          <cell r="J1488">
            <v>160</v>
          </cell>
          <cell r="K1488">
            <v>110</v>
          </cell>
          <cell r="M1488">
            <v>90</v>
          </cell>
          <cell r="N1488">
            <v>120</v>
          </cell>
          <cell r="O1488">
            <v>135</v>
          </cell>
          <cell r="P1488">
            <v>420</v>
          </cell>
          <cell r="R1488">
            <v>180</v>
          </cell>
        </row>
        <row r="1489">
          <cell r="B1489" t="str">
            <v>DD-J10-05236-15-Z</v>
          </cell>
          <cell r="D1489" t="str">
            <v>D</v>
          </cell>
          <cell r="E1489" t="str">
            <v>工序内容</v>
          </cell>
          <cell r="F1489" t="str">
            <v>0/领料</v>
          </cell>
          <cell r="G1489" t="str">
            <v>5/数铣</v>
          </cell>
          <cell r="H1489" t="str">
            <v>10/数铣60</v>
          </cell>
          <cell r="I1489" t="str">
            <v>15/数铣15</v>
          </cell>
          <cell r="J1489" t="str">
            <v>20/数铣160</v>
          </cell>
          <cell r="K1489" t="str">
            <v>25/数铣160</v>
          </cell>
          <cell r="L1489" t="str">
            <v>30/数铣450</v>
          </cell>
          <cell r="M1489" t="str">
            <v>35/数铣390</v>
          </cell>
          <cell r="N1489" t="str">
            <v>40/测量</v>
          </cell>
          <cell r="O1489" t="str">
            <v>45/钳工</v>
          </cell>
          <cell r="P1489" t="str">
            <v>50/成检</v>
          </cell>
        </row>
        <row r="1490">
          <cell r="B1490" t="str">
            <v>DD-J10-05236-15-Z</v>
          </cell>
          <cell r="D1490" t="str">
            <v>D</v>
          </cell>
          <cell r="E1490" t="str">
            <v>准备工时</v>
          </cell>
          <cell r="G1490">
            <v>60</v>
          </cell>
          <cell r="H1490">
            <v>90</v>
          </cell>
          <cell r="I1490">
            <v>90</v>
          </cell>
          <cell r="J1490">
            <v>90</v>
          </cell>
          <cell r="K1490">
            <v>90</v>
          </cell>
          <cell r="L1490">
            <v>90</v>
          </cell>
          <cell r="M1490">
            <v>90</v>
          </cell>
        </row>
        <row r="1491">
          <cell r="B1491" t="str">
            <v>DD-J10-05236-15-Z</v>
          </cell>
          <cell r="D1491" t="str">
            <v>D</v>
          </cell>
          <cell r="E1491" t="str">
            <v>装夹时间</v>
          </cell>
          <cell r="G1491">
            <v>40</v>
          </cell>
          <cell r="H1491">
            <v>40</v>
          </cell>
          <cell r="I1491">
            <v>50</v>
          </cell>
          <cell r="J1491">
            <v>50</v>
          </cell>
          <cell r="K1491">
            <v>50</v>
          </cell>
          <cell r="L1491">
            <v>50</v>
          </cell>
          <cell r="M1491">
            <v>50</v>
          </cell>
        </row>
        <row r="1492">
          <cell r="B1492" t="str">
            <v>DD-J10-05236-15-Z</v>
          </cell>
          <cell r="D1492" t="str">
            <v>D</v>
          </cell>
          <cell r="E1492" t="str">
            <v>程序时间</v>
          </cell>
          <cell r="G1492">
            <v>90</v>
          </cell>
          <cell r="H1492">
            <v>90</v>
          </cell>
          <cell r="I1492">
            <v>30</v>
          </cell>
          <cell r="J1492">
            <v>240</v>
          </cell>
          <cell r="K1492">
            <v>300</v>
          </cell>
          <cell r="L1492">
            <v>630</v>
          </cell>
          <cell r="M1492">
            <v>600</v>
          </cell>
          <cell r="O1492">
            <v>240</v>
          </cell>
        </row>
        <row r="1493">
          <cell r="B1493" t="str">
            <v>DD-J10-05236-15-Y</v>
          </cell>
          <cell r="D1493" t="str">
            <v>D</v>
          </cell>
          <cell r="E1493" t="str">
            <v>工序内容</v>
          </cell>
          <cell r="F1493" t="str">
            <v>0/领料</v>
          </cell>
          <cell r="G1493" t="str">
            <v>5/数铣</v>
          </cell>
          <cell r="H1493" t="str">
            <v>10/数铣60</v>
          </cell>
          <cell r="I1493" t="str">
            <v>15/数铣15</v>
          </cell>
          <cell r="J1493" t="str">
            <v>20/数铣160</v>
          </cell>
          <cell r="K1493" t="str">
            <v>25/数铣160</v>
          </cell>
          <cell r="L1493" t="str">
            <v>30/数铣450</v>
          </cell>
          <cell r="M1493" t="str">
            <v>35/数铣390</v>
          </cell>
          <cell r="N1493" t="str">
            <v>40/测量</v>
          </cell>
          <cell r="O1493" t="str">
            <v>45/钳工</v>
          </cell>
          <cell r="P1493" t="str">
            <v>50/成检</v>
          </cell>
        </row>
        <row r="1494">
          <cell r="B1494" t="str">
            <v>DD-J10-05236-15-Y</v>
          </cell>
          <cell r="D1494" t="str">
            <v>D</v>
          </cell>
          <cell r="E1494" t="str">
            <v>准备工时</v>
          </cell>
          <cell r="G1494">
            <v>60</v>
          </cell>
          <cell r="H1494">
            <v>90</v>
          </cell>
          <cell r="I1494">
            <v>90</v>
          </cell>
          <cell r="J1494">
            <v>90</v>
          </cell>
          <cell r="K1494">
            <v>90</v>
          </cell>
          <cell r="L1494">
            <v>90</v>
          </cell>
          <cell r="M1494">
            <v>90</v>
          </cell>
        </row>
        <row r="1495">
          <cell r="B1495" t="str">
            <v>DD-J10-05236-15-Y</v>
          </cell>
          <cell r="D1495" t="str">
            <v>D</v>
          </cell>
          <cell r="E1495" t="str">
            <v>装夹时间</v>
          </cell>
          <cell r="G1495">
            <v>40</v>
          </cell>
          <cell r="H1495">
            <v>40</v>
          </cell>
          <cell r="I1495">
            <v>50</v>
          </cell>
          <cell r="J1495">
            <v>50</v>
          </cell>
          <cell r="K1495">
            <v>50</v>
          </cell>
          <cell r="L1495">
            <v>50</v>
          </cell>
          <cell r="M1495">
            <v>50</v>
          </cell>
        </row>
        <row r="1496">
          <cell r="B1496" t="str">
            <v>DD-J10-05236-15-Y</v>
          </cell>
          <cell r="D1496" t="str">
            <v>D</v>
          </cell>
          <cell r="E1496" t="str">
            <v>程序时间</v>
          </cell>
          <cell r="G1496">
            <v>90</v>
          </cell>
          <cell r="H1496">
            <v>90</v>
          </cell>
          <cell r="I1496">
            <v>30</v>
          </cell>
          <cell r="J1496">
            <v>240</v>
          </cell>
          <cell r="K1496">
            <v>300</v>
          </cell>
          <cell r="L1496">
            <v>630</v>
          </cell>
          <cell r="M1496">
            <v>600</v>
          </cell>
          <cell r="O1496">
            <v>240</v>
          </cell>
        </row>
        <row r="1497">
          <cell r="B1497" t="str">
            <v>CB22110LAN002-001</v>
          </cell>
          <cell r="D1497" t="str">
            <v>B</v>
          </cell>
          <cell r="E1497" t="str">
            <v>工序内容</v>
          </cell>
          <cell r="F1497" t="str">
            <v>0/领料</v>
          </cell>
          <cell r="G1497" t="str">
            <v>05/下料</v>
          </cell>
          <cell r="H1497" t="str">
            <v>10/普车</v>
          </cell>
          <cell r="I1497" t="str">
            <v>15/数车</v>
          </cell>
          <cell r="J1497" t="str">
            <v>20/分光</v>
          </cell>
          <cell r="K1497" t="str">
            <v>25/数车</v>
          </cell>
          <cell r="L1497" t="str">
            <v>30/数铣</v>
          </cell>
          <cell r="M1497" t="str">
            <v>35/数铣</v>
          </cell>
          <cell r="N1497" t="str">
            <v>40/穿孔</v>
          </cell>
          <cell r="O1497" t="str">
            <v>45/数铣</v>
          </cell>
          <cell r="P1497" t="str">
            <v>50/数铣</v>
          </cell>
          <cell r="Q1497" t="str">
            <v>55/数铣</v>
          </cell>
          <cell r="R1497" t="str">
            <v>60/数车</v>
          </cell>
          <cell r="S1497" t="str">
            <v>65/线切割</v>
          </cell>
          <cell r="T1497" t="str">
            <v>70/钳工</v>
          </cell>
          <cell r="U1497" t="str">
            <v>75/清洁</v>
          </cell>
          <cell r="V1497" t="str">
            <v>80/成检</v>
          </cell>
        </row>
        <row r="1498">
          <cell r="B1498" t="str">
            <v>CB22110LAN002-001</v>
          </cell>
          <cell r="D1498" t="str">
            <v>B</v>
          </cell>
          <cell r="E1498" t="str">
            <v>准备工时</v>
          </cell>
          <cell r="H1498">
            <v>60</v>
          </cell>
          <cell r="I1498">
            <v>120</v>
          </cell>
          <cell r="K1498">
            <v>180</v>
          </cell>
          <cell r="L1498">
            <v>60</v>
          </cell>
          <cell r="M1498">
            <v>60</v>
          </cell>
          <cell r="O1498">
            <v>60</v>
          </cell>
          <cell r="P1498">
            <v>60</v>
          </cell>
          <cell r="Q1498">
            <v>90</v>
          </cell>
          <cell r="R1498">
            <v>120</v>
          </cell>
        </row>
        <row r="1499">
          <cell r="B1499" t="str">
            <v>CB22110LAN002-001</v>
          </cell>
          <cell r="D1499" t="str">
            <v>B</v>
          </cell>
          <cell r="E1499" t="str">
            <v>装夹时间</v>
          </cell>
        </row>
        <row r="1500">
          <cell r="B1500" t="str">
            <v>CB22110LAN002-001</v>
          </cell>
          <cell r="D1500" t="str">
            <v>B</v>
          </cell>
          <cell r="E1500" t="str">
            <v>程序时间</v>
          </cell>
          <cell r="H1500">
            <v>40</v>
          </cell>
          <cell r="I1500">
            <v>60</v>
          </cell>
          <cell r="K1500">
            <v>75</v>
          </cell>
          <cell r="L1500">
            <v>30</v>
          </cell>
          <cell r="M1500">
            <v>25</v>
          </cell>
          <cell r="O1500">
            <v>20</v>
          </cell>
          <cell r="P1500">
            <v>20</v>
          </cell>
          <cell r="Q1500">
            <v>50</v>
          </cell>
          <cell r="R1500">
            <v>35</v>
          </cell>
          <cell r="T1500">
            <v>40</v>
          </cell>
        </row>
        <row r="1501">
          <cell r="B1501" t="str">
            <v>CB5811400-002-001</v>
          </cell>
          <cell r="D1501" t="str">
            <v>D</v>
          </cell>
          <cell r="E1501" t="str">
            <v>工序内容</v>
          </cell>
          <cell r="F1501" t="str">
            <v>0/领料</v>
          </cell>
          <cell r="G1501" t="str">
            <v>05/数铣</v>
          </cell>
          <cell r="H1501" t="str">
            <v>10/钳工</v>
          </cell>
          <cell r="I1501" t="str">
            <v>15/超声波</v>
          </cell>
          <cell r="J1501" t="str">
            <v>20/检验</v>
          </cell>
          <cell r="K1501" t="str">
            <v>25/数铣20</v>
          </cell>
          <cell r="L1501" t="str">
            <v>30/数铣10</v>
          </cell>
          <cell r="M1501" t="str">
            <v>35/钳工</v>
          </cell>
          <cell r="N1501" t="str">
            <v>40/装夹</v>
          </cell>
          <cell r="O1501" t="str">
            <v>45/数铣180</v>
          </cell>
          <cell r="P1501" t="str">
            <v>50/数铣35</v>
          </cell>
          <cell r="Q1501" t="str">
            <v>55/数铣40</v>
          </cell>
          <cell r="R1501" t="str">
            <v>60/数铣28</v>
          </cell>
          <cell r="S1501" t="str">
            <v>65/数铣5</v>
          </cell>
          <cell r="T1501" t="str">
            <v>70/数铣50</v>
          </cell>
          <cell r="U1501" t="str">
            <v>75/数铣5</v>
          </cell>
          <cell r="V1501" t="str">
            <v>80/数铣35</v>
          </cell>
          <cell r="W1501" t="str">
            <v>85/数铣5</v>
          </cell>
          <cell r="X1501" t="str">
            <v>90/钳工</v>
          </cell>
          <cell r="Y1501" t="str">
            <v>95/测量</v>
          </cell>
        </row>
        <row r="1502">
          <cell r="B1502" t="str">
            <v>CB5811400-002-001</v>
          </cell>
          <cell r="D1502" t="str">
            <v>D</v>
          </cell>
          <cell r="E1502" t="str">
            <v>准备工时</v>
          </cell>
          <cell r="G1502">
            <v>60</v>
          </cell>
          <cell r="K1502">
            <v>120</v>
          </cell>
          <cell r="L1502">
            <v>90</v>
          </cell>
          <cell r="O1502">
            <v>90</v>
          </cell>
          <cell r="P1502">
            <v>90</v>
          </cell>
          <cell r="Q1502">
            <v>90</v>
          </cell>
          <cell r="R1502">
            <v>90</v>
          </cell>
          <cell r="S1502">
            <v>90</v>
          </cell>
          <cell r="T1502">
            <v>60</v>
          </cell>
          <cell r="U1502">
            <v>90</v>
          </cell>
          <cell r="V1502">
            <v>90</v>
          </cell>
          <cell r="W1502">
            <v>90</v>
          </cell>
        </row>
        <row r="1503">
          <cell r="B1503" t="str">
            <v>CB5811400-002-001</v>
          </cell>
          <cell r="D1503" t="str">
            <v>D</v>
          </cell>
          <cell r="E1503" t="str">
            <v>装夹时间</v>
          </cell>
        </row>
        <row r="1504">
          <cell r="B1504" t="str">
            <v>CB5811400-002-001</v>
          </cell>
          <cell r="D1504" t="str">
            <v>D</v>
          </cell>
          <cell r="E1504" t="str">
            <v>程序时间</v>
          </cell>
          <cell r="G1504">
            <v>200</v>
          </cell>
          <cell r="H1504">
            <v>30</v>
          </cell>
          <cell r="K1504">
            <v>90</v>
          </cell>
          <cell r="L1504">
            <v>40</v>
          </cell>
          <cell r="M1504">
            <v>90</v>
          </cell>
          <cell r="N1504">
            <v>60</v>
          </cell>
          <cell r="O1504">
            <v>340</v>
          </cell>
          <cell r="P1504">
            <v>100</v>
          </cell>
          <cell r="Q1504">
            <v>130</v>
          </cell>
          <cell r="R1504">
            <v>80</v>
          </cell>
          <cell r="S1504">
            <v>50</v>
          </cell>
          <cell r="T1504">
            <v>130</v>
          </cell>
          <cell r="U1504">
            <v>100</v>
          </cell>
          <cell r="V1504">
            <v>90</v>
          </cell>
          <cell r="W1504">
            <v>90</v>
          </cell>
          <cell r="X1504">
            <v>200</v>
          </cell>
        </row>
        <row r="1505">
          <cell r="B1505" t="str">
            <v>DD-J10-21102-33-Z</v>
          </cell>
          <cell r="D1505" t="str">
            <v>A</v>
          </cell>
          <cell r="E1505" t="str">
            <v>工序内容</v>
          </cell>
          <cell r="F1505" t="str">
            <v>0/领料</v>
          </cell>
          <cell r="G1505" t="str">
            <v>5/数铣</v>
          </cell>
          <cell r="H1505" t="str">
            <v>10/数铣40</v>
          </cell>
          <cell r="I1505" t="str">
            <v>15/数铣380</v>
          </cell>
          <cell r="J1505" t="str">
            <v>20/数铣35</v>
          </cell>
          <cell r="K1505" t="str">
            <v>25/数铣580</v>
          </cell>
          <cell r="L1505" t="str">
            <v>30/测量</v>
          </cell>
          <cell r="M1505" t="str">
            <v>35/钳工</v>
          </cell>
          <cell r="N1505" t="str">
            <v>40/钳工</v>
          </cell>
          <cell r="O1505" t="str">
            <v>45/清洁</v>
          </cell>
          <cell r="P1505" t="str">
            <v>50/成检</v>
          </cell>
        </row>
        <row r="1506">
          <cell r="B1506" t="str">
            <v>DD-J10-21102-33-Z</v>
          </cell>
          <cell r="D1506" t="str">
            <v>A</v>
          </cell>
          <cell r="E1506" t="str">
            <v>准备工时</v>
          </cell>
          <cell r="G1506">
            <v>60</v>
          </cell>
          <cell r="H1506">
            <v>90</v>
          </cell>
          <cell r="I1506">
            <v>120</v>
          </cell>
          <cell r="J1506">
            <v>90</v>
          </cell>
          <cell r="K1506">
            <v>120</v>
          </cell>
        </row>
        <row r="1507">
          <cell r="B1507" t="str">
            <v>DD-J10-21102-33-Z</v>
          </cell>
          <cell r="D1507" t="str">
            <v>A</v>
          </cell>
          <cell r="E1507" t="str">
            <v>装夹时间</v>
          </cell>
          <cell r="J1507">
            <v>60</v>
          </cell>
        </row>
        <row r="1508">
          <cell r="B1508" t="str">
            <v>DD-J10-21102-33-Z</v>
          </cell>
          <cell r="D1508" t="str">
            <v>A</v>
          </cell>
          <cell r="E1508" t="str">
            <v>程序时间</v>
          </cell>
          <cell r="G1508">
            <v>30</v>
          </cell>
          <cell r="H1508">
            <v>80</v>
          </cell>
          <cell r="I1508">
            <v>580</v>
          </cell>
          <cell r="J1508">
            <v>40</v>
          </cell>
          <cell r="K1508">
            <v>1050</v>
          </cell>
          <cell r="M1508">
            <v>360</v>
          </cell>
          <cell r="N1508">
            <v>15</v>
          </cell>
        </row>
        <row r="1509">
          <cell r="B1509" t="str">
            <v>DD-J10-21102-33-Y</v>
          </cell>
          <cell r="D1509" t="str">
            <v>A</v>
          </cell>
          <cell r="E1509" t="str">
            <v>工序内容</v>
          </cell>
          <cell r="F1509" t="str">
            <v>0/领料</v>
          </cell>
          <cell r="G1509" t="str">
            <v>5/数铣</v>
          </cell>
          <cell r="H1509" t="str">
            <v>10/数铣40</v>
          </cell>
          <cell r="I1509" t="str">
            <v>15/数铣380</v>
          </cell>
          <cell r="J1509" t="str">
            <v>20/数铣35</v>
          </cell>
          <cell r="K1509" t="str">
            <v>25/数铣580</v>
          </cell>
          <cell r="L1509" t="str">
            <v>30/测量</v>
          </cell>
          <cell r="M1509" t="str">
            <v>35/钳工</v>
          </cell>
          <cell r="N1509" t="str">
            <v>40/钳工</v>
          </cell>
          <cell r="O1509" t="str">
            <v>45/清洁</v>
          </cell>
          <cell r="P1509" t="str">
            <v>50/成检</v>
          </cell>
        </row>
        <row r="1510">
          <cell r="B1510" t="str">
            <v>DD-J10-21102-33-Y</v>
          </cell>
          <cell r="D1510" t="str">
            <v>A</v>
          </cell>
          <cell r="E1510" t="str">
            <v>准备工时</v>
          </cell>
          <cell r="G1510">
            <v>60</v>
          </cell>
          <cell r="H1510">
            <v>90</v>
          </cell>
          <cell r="I1510">
            <v>120</v>
          </cell>
          <cell r="J1510">
            <v>90</v>
          </cell>
          <cell r="K1510">
            <v>120</v>
          </cell>
        </row>
        <row r="1511">
          <cell r="B1511" t="str">
            <v>DD-J10-21102-33-Y</v>
          </cell>
          <cell r="D1511" t="str">
            <v>A</v>
          </cell>
          <cell r="E1511" t="str">
            <v>装夹时间</v>
          </cell>
          <cell r="J1511">
            <v>60</v>
          </cell>
        </row>
        <row r="1512">
          <cell r="B1512" t="str">
            <v>DD-J10-21102-33-Y</v>
          </cell>
          <cell r="D1512" t="str">
            <v>A</v>
          </cell>
          <cell r="E1512" t="str">
            <v>程序时间</v>
          </cell>
          <cell r="G1512">
            <v>30</v>
          </cell>
          <cell r="H1512">
            <v>80</v>
          </cell>
          <cell r="I1512">
            <v>580</v>
          </cell>
          <cell r="J1512">
            <v>40</v>
          </cell>
          <cell r="K1512">
            <v>1050</v>
          </cell>
          <cell r="M1512">
            <v>360</v>
          </cell>
          <cell r="N1512">
            <v>15</v>
          </cell>
        </row>
        <row r="1513">
          <cell r="B1513" t="str">
            <v>DD-J10-21102-33-Z</v>
          </cell>
          <cell r="D1513" t="str">
            <v>D</v>
          </cell>
          <cell r="E1513" t="str">
            <v>工序内容</v>
          </cell>
          <cell r="F1513" t="str">
            <v>0/领料</v>
          </cell>
          <cell r="G1513" t="str">
            <v>5/数铣</v>
          </cell>
          <cell r="H1513" t="str">
            <v>10/数铣40</v>
          </cell>
          <cell r="I1513" t="str">
            <v>15/数铣380</v>
          </cell>
          <cell r="J1513" t="str">
            <v>20/数铣35</v>
          </cell>
          <cell r="K1513" t="str">
            <v>25/数铣580</v>
          </cell>
          <cell r="L1513" t="str">
            <v>30/测量</v>
          </cell>
          <cell r="M1513" t="str">
            <v>35/钳工</v>
          </cell>
          <cell r="N1513" t="str">
            <v>40/钳工</v>
          </cell>
        </row>
        <row r="1514">
          <cell r="B1514" t="str">
            <v>DD-J10-21102-33-Z</v>
          </cell>
          <cell r="D1514" t="str">
            <v>D</v>
          </cell>
          <cell r="E1514" t="str">
            <v>准备工时</v>
          </cell>
          <cell r="G1514">
            <v>60</v>
          </cell>
          <cell r="H1514">
            <v>90</v>
          </cell>
          <cell r="I1514">
            <v>120</v>
          </cell>
          <cell r="J1514">
            <v>90</v>
          </cell>
          <cell r="K1514">
            <v>120</v>
          </cell>
        </row>
        <row r="1515">
          <cell r="B1515" t="str">
            <v>DD-J10-21102-33-Z</v>
          </cell>
          <cell r="D1515" t="str">
            <v>D</v>
          </cell>
          <cell r="E1515" t="str">
            <v>装夹时间</v>
          </cell>
          <cell r="J1515">
            <v>60</v>
          </cell>
        </row>
        <row r="1516">
          <cell r="B1516" t="str">
            <v>DD-J10-21102-33-Z</v>
          </cell>
          <cell r="D1516" t="str">
            <v>D</v>
          </cell>
          <cell r="E1516" t="str">
            <v>程序时间</v>
          </cell>
          <cell r="G1516">
            <v>30</v>
          </cell>
          <cell r="H1516">
            <v>80</v>
          </cell>
          <cell r="I1516">
            <v>580</v>
          </cell>
          <cell r="J1516">
            <v>40</v>
          </cell>
          <cell r="K1516">
            <v>1050</v>
          </cell>
          <cell r="M1516">
            <v>360</v>
          </cell>
          <cell r="N1516">
            <v>15</v>
          </cell>
        </row>
        <row r="1517">
          <cell r="B1517" t="str">
            <v>DD-J10-21102-33-Y</v>
          </cell>
          <cell r="D1517" t="str">
            <v>D</v>
          </cell>
          <cell r="E1517" t="str">
            <v>工序内容</v>
          </cell>
          <cell r="F1517" t="str">
            <v>0/领料</v>
          </cell>
          <cell r="G1517" t="str">
            <v>5/数铣</v>
          </cell>
          <cell r="H1517" t="str">
            <v>10/数铣40</v>
          </cell>
          <cell r="I1517" t="str">
            <v>15/数铣380</v>
          </cell>
          <cell r="J1517" t="str">
            <v>20/数铣35</v>
          </cell>
          <cell r="K1517" t="str">
            <v>25/数铣580</v>
          </cell>
          <cell r="L1517" t="str">
            <v>30/测量</v>
          </cell>
          <cell r="M1517" t="str">
            <v>35/钳工</v>
          </cell>
          <cell r="N1517" t="str">
            <v>40/钳工</v>
          </cell>
        </row>
        <row r="1518">
          <cell r="B1518" t="str">
            <v>DD-J10-21102-33-Y</v>
          </cell>
          <cell r="D1518" t="str">
            <v>D</v>
          </cell>
          <cell r="E1518" t="str">
            <v>准备工时</v>
          </cell>
          <cell r="G1518">
            <v>60</v>
          </cell>
          <cell r="H1518">
            <v>90</v>
          </cell>
          <cell r="I1518">
            <v>120</v>
          </cell>
          <cell r="J1518">
            <v>90</v>
          </cell>
          <cell r="K1518">
            <v>120</v>
          </cell>
        </row>
        <row r="1519">
          <cell r="B1519" t="str">
            <v>DD-J10-21102-33-Y</v>
          </cell>
          <cell r="D1519" t="str">
            <v>D</v>
          </cell>
          <cell r="E1519" t="str">
            <v>装夹时间</v>
          </cell>
          <cell r="J1519">
            <v>60</v>
          </cell>
        </row>
        <row r="1520">
          <cell r="B1520" t="str">
            <v>DD-J10-21102-33-Y</v>
          </cell>
          <cell r="D1520" t="str">
            <v>D</v>
          </cell>
          <cell r="E1520" t="str">
            <v>程序时间</v>
          </cell>
          <cell r="G1520">
            <v>30</v>
          </cell>
          <cell r="H1520">
            <v>80</v>
          </cell>
          <cell r="I1520">
            <v>580</v>
          </cell>
          <cell r="J1520">
            <v>40</v>
          </cell>
          <cell r="K1520">
            <v>1050</v>
          </cell>
          <cell r="M1520">
            <v>360</v>
          </cell>
          <cell r="N1520">
            <v>15</v>
          </cell>
        </row>
        <row r="1521">
          <cell r="B1521" t="str">
            <v>CB2297120-005-002</v>
          </cell>
          <cell r="D1521" t="str">
            <v>E</v>
          </cell>
          <cell r="E1521" t="str">
            <v>工序内容</v>
          </cell>
          <cell r="F1521" t="str">
            <v>0/检验</v>
          </cell>
          <cell r="G1521" t="str">
            <v>5/数铣</v>
          </cell>
          <cell r="H1521" t="str">
            <v>10/数铣55</v>
          </cell>
          <cell r="I1521" t="str">
            <v>15/线切割</v>
          </cell>
          <cell r="J1521" t="str">
            <v>20/数铣10</v>
          </cell>
          <cell r="K1521" t="str">
            <v>25/数铣10</v>
          </cell>
          <cell r="L1521" t="str">
            <v>30/测量</v>
          </cell>
          <cell r="M1521" t="str">
            <v>35/钳工</v>
          </cell>
          <cell r="N1521" t="str">
            <v>40/铣试块</v>
          </cell>
          <cell r="O1521" t="str">
            <v>45/硬度</v>
          </cell>
          <cell r="P1521" t="str">
            <v>50/分光</v>
          </cell>
          <cell r="Q1521" t="str">
            <v>55/复验</v>
          </cell>
          <cell r="R1521" t="str">
            <v>60/钳工</v>
          </cell>
        </row>
        <row r="1522">
          <cell r="B1522" t="str">
            <v>CB2297120-005-002</v>
          </cell>
          <cell r="D1522" t="str">
            <v>E</v>
          </cell>
          <cell r="E1522" t="str">
            <v>准备工时</v>
          </cell>
          <cell r="G1522">
            <v>60</v>
          </cell>
          <cell r="H1522">
            <v>120</v>
          </cell>
          <cell r="I1522">
            <v>60</v>
          </cell>
          <cell r="J1522">
            <v>60</v>
          </cell>
          <cell r="K1522">
            <v>60</v>
          </cell>
        </row>
        <row r="1523">
          <cell r="B1523" t="str">
            <v>CB2297120-005-002</v>
          </cell>
          <cell r="D1523" t="str">
            <v>E</v>
          </cell>
          <cell r="E1523" t="str">
            <v>装夹时间</v>
          </cell>
        </row>
        <row r="1524">
          <cell r="B1524" t="str">
            <v>CB2297120-005-002</v>
          </cell>
          <cell r="D1524" t="str">
            <v>E</v>
          </cell>
          <cell r="E1524" t="str">
            <v>程序时间</v>
          </cell>
          <cell r="G1524">
            <v>50</v>
          </cell>
          <cell r="H1524">
            <v>75</v>
          </cell>
          <cell r="J1524">
            <v>30</v>
          </cell>
          <cell r="K1524">
            <v>20</v>
          </cell>
          <cell r="M1524">
            <v>30</v>
          </cell>
          <cell r="N1524">
            <v>10</v>
          </cell>
          <cell r="R1524">
            <v>5</v>
          </cell>
        </row>
        <row r="1525">
          <cell r="B1525" t="str">
            <v>CB2297120-006-002</v>
          </cell>
          <cell r="D1525" t="str">
            <v>E</v>
          </cell>
          <cell r="E1525" t="str">
            <v>工序内容</v>
          </cell>
          <cell r="F1525" t="str">
            <v>0/检验</v>
          </cell>
          <cell r="G1525" t="str">
            <v>5/数铣</v>
          </cell>
          <cell r="H1525" t="str">
            <v>10/数铣55</v>
          </cell>
          <cell r="I1525" t="str">
            <v>15/线切割</v>
          </cell>
          <cell r="J1525" t="str">
            <v>20/数铣10</v>
          </cell>
          <cell r="K1525" t="str">
            <v>25/数铣10</v>
          </cell>
          <cell r="L1525" t="str">
            <v>30/测量</v>
          </cell>
          <cell r="M1525" t="str">
            <v>35/钳工</v>
          </cell>
          <cell r="N1525" t="str">
            <v>40/铣试块</v>
          </cell>
          <cell r="O1525" t="str">
            <v>45/硬度</v>
          </cell>
          <cell r="P1525" t="str">
            <v>50/分光</v>
          </cell>
          <cell r="Q1525" t="str">
            <v>55/复验</v>
          </cell>
          <cell r="R1525" t="str">
            <v>60/钳工</v>
          </cell>
        </row>
        <row r="1526">
          <cell r="B1526" t="str">
            <v>CB2297120-006-002</v>
          </cell>
          <cell r="D1526" t="str">
            <v>E</v>
          </cell>
          <cell r="E1526" t="str">
            <v>准备工时</v>
          </cell>
          <cell r="G1526">
            <v>60</v>
          </cell>
          <cell r="H1526">
            <v>120</v>
          </cell>
          <cell r="I1526">
            <v>60</v>
          </cell>
          <cell r="J1526">
            <v>60</v>
          </cell>
          <cell r="K1526">
            <v>60</v>
          </cell>
        </row>
        <row r="1527">
          <cell r="B1527" t="str">
            <v>CB2297120-006-002</v>
          </cell>
          <cell r="D1527" t="str">
            <v>E</v>
          </cell>
          <cell r="E1527" t="str">
            <v>装夹时间</v>
          </cell>
        </row>
        <row r="1528">
          <cell r="B1528" t="str">
            <v>CB2297120-006-002</v>
          </cell>
          <cell r="D1528" t="str">
            <v>E</v>
          </cell>
          <cell r="E1528" t="str">
            <v>程序时间</v>
          </cell>
          <cell r="G1528">
            <v>50</v>
          </cell>
          <cell r="H1528">
            <v>75</v>
          </cell>
          <cell r="J1528">
            <v>30</v>
          </cell>
          <cell r="K1528">
            <v>20</v>
          </cell>
          <cell r="M1528">
            <v>30</v>
          </cell>
          <cell r="N1528">
            <v>10</v>
          </cell>
          <cell r="R1528">
            <v>5</v>
          </cell>
        </row>
        <row r="1529">
          <cell r="B1529" t="str">
            <v>CB2747G90-003-002</v>
          </cell>
          <cell r="D1529" t="str">
            <v>A</v>
          </cell>
          <cell r="E1529" t="str">
            <v>工序内容</v>
          </cell>
          <cell r="F1529" t="str">
            <v>0/领料</v>
          </cell>
          <cell r="G1529" t="str">
            <v>05/下料</v>
          </cell>
          <cell r="H1529" t="str">
            <v>10/数车20</v>
          </cell>
          <cell r="I1529" t="str">
            <v>15/数车45</v>
          </cell>
          <cell r="J1529" t="str">
            <v>20/数车45</v>
          </cell>
          <cell r="K1529" t="str">
            <v>25/线切割</v>
          </cell>
          <cell r="L1529" t="str">
            <v>30/数铣25</v>
          </cell>
          <cell r="M1529" t="str">
            <v>35/数铣15</v>
          </cell>
          <cell r="N1529" t="str">
            <v>40/数铣20</v>
          </cell>
          <cell r="O1529" t="str">
            <v>45/钳工</v>
          </cell>
          <cell r="P1529" t="str">
            <v>50/分光</v>
          </cell>
          <cell r="Q1529" t="str">
            <v>55/数铣</v>
          </cell>
          <cell r="R1529" t="str">
            <v>60/钳工</v>
          </cell>
          <cell r="S1529" t="str">
            <v>65/清洁</v>
          </cell>
          <cell r="T1529" t="str">
            <v>70/成检</v>
          </cell>
        </row>
        <row r="1530">
          <cell r="B1530" t="str">
            <v>CB2747G90-003-002</v>
          </cell>
          <cell r="D1530" t="str">
            <v>A</v>
          </cell>
          <cell r="E1530" t="str">
            <v>准备工时</v>
          </cell>
          <cell r="H1530">
            <v>60</v>
          </cell>
          <cell r="I1530">
            <v>120</v>
          </cell>
          <cell r="J1530">
            <v>120</v>
          </cell>
          <cell r="L1530">
            <v>60</v>
          </cell>
          <cell r="M1530">
            <v>60</v>
          </cell>
          <cell r="N1530">
            <v>60</v>
          </cell>
          <cell r="Q1530">
            <v>60</v>
          </cell>
        </row>
        <row r="1531">
          <cell r="B1531" t="str">
            <v>CB2747G90-003-002</v>
          </cell>
          <cell r="D1531" t="str">
            <v>A</v>
          </cell>
          <cell r="E1531" t="str">
            <v>装夹时间</v>
          </cell>
        </row>
        <row r="1532">
          <cell r="B1532" t="str">
            <v>CB2747G90-003-002</v>
          </cell>
          <cell r="D1532" t="str">
            <v>A</v>
          </cell>
          <cell r="E1532" t="str">
            <v>程序时间</v>
          </cell>
          <cell r="G1532">
            <v>30</v>
          </cell>
          <cell r="H1532">
            <v>35</v>
          </cell>
          <cell r="I1532">
            <v>100</v>
          </cell>
          <cell r="J1532">
            <v>100</v>
          </cell>
          <cell r="L1532">
            <v>35</v>
          </cell>
          <cell r="M1532">
            <v>30</v>
          </cell>
          <cell r="N1532">
            <v>40</v>
          </cell>
          <cell r="O1532">
            <v>40</v>
          </cell>
          <cell r="Q1532">
            <v>30</v>
          </cell>
          <cell r="R1532">
            <v>40</v>
          </cell>
        </row>
        <row r="1533">
          <cell r="B1533" t="str">
            <v>CB5323210-002-028</v>
          </cell>
          <cell r="D1533" t="str">
            <v>E</v>
          </cell>
          <cell r="E1533" t="str">
            <v>工序内容</v>
          </cell>
          <cell r="F1533" t="str">
            <v>0/领料</v>
          </cell>
          <cell r="G1533" t="str">
            <v>5/数铣</v>
          </cell>
          <cell r="H1533" t="str">
            <v>10/数铣60</v>
          </cell>
          <cell r="I1533" t="str">
            <v>15/数铣330</v>
          </cell>
          <cell r="J1533" t="str">
            <v>20/时效</v>
          </cell>
          <cell r="K1533" t="str">
            <v>25/数铣</v>
          </cell>
          <cell r="L1533" t="str">
            <v>30/数铣550</v>
          </cell>
          <cell r="M1533" t="str">
            <v>35/时效</v>
          </cell>
          <cell r="N1533" t="str">
            <v>40/数铣</v>
          </cell>
          <cell r="O1533" t="str">
            <v>45/数铣15</v>
          </cell>
          <cell r="P1533" t="str">
            <v>50/数铣230</v>
          </cell>
          <cell r="Q1533" t="str">
            <v>55/数铣250</v>
          </cell>
          <cell r="R1533" t="str">
            <v>60/数铣1200</v>
          </cell>
          <cell r="S1533" t="str">
            <v>65/钳工</v>
          </cell>
          <cell r="T1533" t="str">
            <v>70/五轴</v>
          </cell>
          <cell r="U1533" t="str">
            <v>75/测量</v>
          </cell>
          <cell r="V1533" t="str">
            <v>80/清洁</v>
          </cell>
          <cell r="W1533" t="str">
            <v>85/成检</v>
          </cell>
        </row>
        <row r="1534">
          <cell r="B1534" t="str">
            <v>CB5323210-002-028</v>
          </cell>
          <cell r="D1534" t="str">
            <v>E</v>
          </cell>
          <cell r="E1534" t="str">
            <v>准备工时</v>
          </cell>
          <cell r="G1534">
            <v>120</v>
          </cell>
          <cell r="H1534">
            <v>120</v>
          </cell>
          <cell r="I1534">
            <v>180</v>
          </cell>
          <cell r="K1534">
            <v>120</v>
          </cell>
          <cell r="L1534">
            <v>120</v>
          </cell>
          <cell r="N1534">
            <v>120</v>
          </cell>
          <cell r="O1534">
            <v>120</v>
          </cell>
          <cell r="P1534">
            <v>180</v>
          </cell>
          <cell r="Q1534">
            <v>120</v>
          </cell>
          <cell r="R1534">
            <v>180</v>
          </cell>
          <cell r="T1534">
            <v>180</v>
          </cell>
        </row>
        <row r="1535">
          <cell r="B1535" t="str">
            <v>CB5323210-002-028</v>
          </cell>
          <cell r="D1535" t="str">
            <v>E</v>
          </cell>
          <cell r="E1535" t="str">
            <v>装夹时间</v>
          </cell>
          <cell r="G1535">
            <v>60</v>
          </cell>
          <cell r="H1535">
            <v>60</v>
          </cell>
          <cell r="I1535">
            <v>120</v>
          </cell>
          <cell r="K1535">
            <v>120</v>
          </cell>
          <cell r="L1535">
            <v>90</v>
          </cell>
          <cell r="N1535">
            <v>90</v>
          </cell>
          <cell r="O1535">
            <v>90</v>
          </cell>
          <cell r="P1535">
            <v>90</v>
          </cell>
          <cell r="Q1535">
            <v>90</v>
          </cell>
          <cell r="R1535">
            <v>120</v>
          </cell>
          <cell r="T1535">
            <v>90</v>
          </cell>
        </row>
        <row r="1536">
          <cell r="B1536" t="str">
            <v>CB5323210-002-028</v>
          </cell>
          <cell r="D1536" t="str">
            <v>E</v>
          </cell>
          <cell r="E1536" t="str">
            <v>程序时间</v>
          </cell>
          <cell r="G1536">
            <v>60</v>
          </cell>
          <cell r="H1536">
            <v>180</v>
          </cell>
          <cell r="I1536">
            <v>420</v>
          </cell>
          <cell r="K1536">
            <v>180</v>
          </cell>
          <cell r="L1536">
            <v>1020</v>
          </cell>
          <cell r="N1536">
            <v>300</v>
          </cell>
          <cell r="O1536">
            <v>60</v>
          </cell>
          <cell r="P1536">
            <v>600</v>
          </cell>
          <cell r="Q1536">
            <v>380</v>
          </cell>
          <cell r="R1536">
            <v>1400</v>
          </cell>
          <cell r="S1536">
            <v>720</v>
          </cell>
          <cell r="T1536">
            <v>30</v>
          </cell>
        </row>
        <row r="1537">
          <cell r="B1537" t="str">
            <v>CB5323210-002-028</v>
          </cell>
          <cell r="D1537" t="str">
            <v>F</v>
          </cell>
          <cell r="E1537" t="str">
            <v>工序内容</v>
          </cell>
          <cell r="F1537" t="str">
            <v>0/领料</v>
          </cell>
          <cell r="G1537" t="str">
            <v>5/数铣</v>
          </cell>
          <cell r="H1537" t="str">
            <v>10/数铣60</v>
          </cell>
          <cell r="I1537" t="str">
            <v>15/数铣330</v>
          </cell>
          <cell r="J1537" t="str">
            <v>20/时效</v>
          </cell>
          <cell r="K1537" t="str">
            <v>25/数铣</v>
          </cell>
          <cell r="L1537" t="str">
            <v>30/数铣550</v>
          </cell>
          <cell r="M1537" t="str">
            <v>35/时效</v>
          </cell>
          <cell r="N1537" t="str">
            <v>40/数铣</v>
          </cell>
          <cell r="O1537" t="str">
            <v>45/数铣15</v>
          </cell>
          <cell r="P1537" t="str">
            <v>50/数铣230</v>
          </cell>
          <cell r="Q1537" t="str">
            <v>55/数铣250</v>
          </cell>
          <cell r="R1537" t="str">
            <v>60/数铣1200</v>
          </cell>
          <cell r="S1537" t="str">
            <v>65/钳工</v>
          </cell>
          <cell r="T1537" t="str">
            <v>70/五轴</v>
          </cell>
          <cell r="U1537" t="str">
            <v>75/测量</v>
          </cell>
          <cell r="V1537" t="str">
            <v>80/清洁</v>
          </cell>
          <cell r="W1537" t="str">
            <v>85/成检</v>
          </cell>
        </row>
        <row r="1538">
          <cell r="B1538" t="str">
            <v>CB5323210-002-028</v>
          </cell>
          <cell r="D1538" t="str">
            <v>F</v>
          </cell>
          <cell r="E1538" t="str">
            <v>准备工时</v>
          </cell>
          <cell r="G1538">
            <v>120</v>
          </cell>
          <cell r="H1538">
            <v>120</v>
          </cell>
          <cell r="I1538">
            <v>180</v>
          </cell>
          <cell r="K1538">
            <v>120</v>
          </cell>
          <cell r="L1538">
            <v>120</v>
          </cell>
          <cell r="N1538">
            <v>120</v>
          </cell>
          <cell r="O1538">
            <v>120</v>
          </cell>
          <cell r="P1538">
            <v>180</v>
          </cell>
          <cell r="Q1538">
            <v>120</v>
          </cell>
          <cell r="R1538">
            <v>180</v>
          </cell>
          <cell r="T1538">
            <v>180</v>
          </cell>
        </row>
        <row r="1539">
          <cell r="B1539" t="str">
            <v>CB5323210-002-028</v>
          </cell>
          <cell r="D1539" t="str">
            <v>F</v>
          </cell>
          <cell r="E1539" t="str">
            <v>装夹时间</v>
          </cell>
          <cell r="G1539">
            <v>60</v>
          </cell>
          <cell r="H1539">
            <v>60</v>
          </cell>
          <cell r="I1539">
            <v>120</v>
          </cell>
          <cell r="K1539">
            <v>120</v>
          </cell>
          <cell r="L1539">
            <v>90</v>
          </cell>
          <cell r="N1539">
            <v>90</v>
          </cell>
          <cell r="O1539">
            <v>90</v>
          </cell>
          <cell r="P1539">
            <v>90</v>
          </cell>
          <cell r="Q1539">
            <v>90</v>
          </cell>
          <cell r="R1539">
            <v>120</v>
          </cell>
          <cell r="T1539">
            <v>90</v>
          </cell>
        </row>
        <row r="1540">
          <cell r="B1540" t="str">
            <v>CB5323210-002-028</v>
          </cell>
          <cell r="D1540" t="str">
            <v>F</v>
          </cell>
          <cell r="E1540" t="str">
            <v>程序时间</v>
          </cell>
          <cell r="G1540">
            <v>60</v>
          </cell>
          <cell r="H1540">
            <v>180</v>
          </cell>
          <cell r="I1540">
            <v>420</v>
          </cell>
          <cell r="K1540">
            <v>180</v>
          </cell>
          <cell r="L1540">
            <v>1020</v>
          </cell>
          <cell r="N1540">
            <v>300</v>
          </cell>
          <cell r="O1540">
            <v>60</v>
          </cell>
          <cell r="P1540">
            <v>600</v>
          </cell>
          <cell r="Q1540">
            <v>380</v>
          </cell>
          <cell r="R1540">
            <v>1400</v>
          </cell>
          <cell r="S1540">
            <v>720</v>
          </cell>
          <cell r="T1540">
            <v>30</v>
          </cell>
        </row>
        <row r="1541">
          <cell r="B1541" t="str">
            <v>CB5811400-001-001</v>
          </cell>
          <cell r="D1541" t="str">
            <v>D</v>
          </cell>
          <cell r="E1541" t="str">
            <v>工序内容</v>
          </cell>
          <cell r="F1541" t="str">
            <v>0/领料</v>
          </cell>
          <cell r="G1541" t="str">
            <v>05/数铣</v>
          </cell>
          <cell r="H1541" t="str">
            <v>10/钳工</v>
          </cell>
          <cell r="I1541" t="str">
            <v>15/超声波</v>
          </cell>
          <cell r="J1541" t="str">
            <v>20/检验</v>
          </cell>
          <cell r="K1541" t="str">
            <v>25/数铣60</v>
          </cell>
          <cell r="L1541" t="str">
            <v>30/数铣55</v>
          </cell>
          <cell r="M1541" t="str">
            <v>35/钳工</v>
          </cell>
          <cell r="N1541" t="str">
            <v>40/装夹</v>
          </cell>
          <cell r="O1541" t="str">
            <v>45/数铣180</v>
          </cell>
          <cell r="P1541" t="str">
            <v>50/数铣80</v>
          </cell>
          <cell r="Q1541" t="str">
            <v>55/数铣35</v>
          </cell>
          <cell r="R1541" t="str">
            <v>60/数铣55</v>
          </cell>
          <cell r="S1541" t="str">
            <v>65/数铣45</v>
          </cell>
          <cell r="T1541" t="str">
            <v>70/数铣20</v>
          </cell>
          <cell r="U1541" t="str">
            <v>75/数铣90</v>
          </cell>
          <cell r="V1541" t="str">
            <v>80/数铣25</v>
          </cell>
          <cell r="W1541" t="str">
            <v>85/钳工</v>
          </cell>
          <cell r="X1541" t="str">
            <v>90/测量</v>
          </cell>
        </row>
        <row r="1542">
          <cell r="B1542" t="str">
            <v>CB5811400-001-001</v>
          </cell>
          <cell r="D1542" t="str">
            <v>D</v>
          </cell>
          <cell r="E1542" t="str">
            <v>准备工时</v>
          </cell>
          <cell r="G1542">
            <v>60</v>
          </cell>
          <cell r="K1542">
            <v>120</v>
          </cell>
          <cell r="L1542">
            <v>90</v>
          </cell>
          <cell r="O1542">
            <v>90</v>
          </cell>
          <cell r="P1542">
            <v>90</v>
          </cell>
          <cell r="Q1542">
            <v>60</v>
          </cell>
          <cell r="R1542">
            <v>60</v>
          </cell>
          <cell r="S1542">
            <v>60</v>
          </cell>
          <cell r="T1542">
            <v>90</v>
          </cell>
          <cell r="U1542">
            <v>90</v>
          </cell>
          <cell r="V1542">
            <v>90</v>
          </cell>
        </row>
        <row r="1543">
          <cell r="B1543" t="str">
            <v>CB5811400-001-001</v>
          </cell>
          <cell r="D1543" t="str">
            <v>D</v>
          </cell>
          <cell r="E1543" t="str">
            <v>装夹时间</v>
          </cell>
        </row>
        <row r="1544">
          <cell r="B1544" t="str">
            <v>CB5811400-001-001</v>
          </cell>
          <cell r="D1544" t="str">
            <v>D</v>
          </cell>
          <cell r="E1544" t="str">
            <v>程序时间</v>
          </cell>
          <cell r="G1544">
            <v>200</v>
          </cell>
          <cell r="H1544">
            <v>30</v>
          </cell>
          <cell r="K1544">
            <v>80</v>
          </cell>
          <cell r="L1544">
            <v>80</v>
          </cell>
          <cell r="M1544">
            <v>45</v>
          </cell>
          <cell r="N1544">
            <v>30</v>
          </cell>
          <cell r="O1544">
            <v>300</v>
          </cell>
          <cell r="P1544">
            <v>160</v>
          </cell>
          <cell r="Q1544">
            <v>70</v>
          </cell>
          <cell r="R1544">
            <v>90</v>
          </cell>
          <cell r="S1544">
            <v>90</v>
          </cell>
          <cell r="T1544">
            <v>90</v>
          </cell>
          <cell r="U1544">
            <v>240</v>
          </cell>
          <cell r="V1544">
            <v>90</v>
          </cell>
          <cell r="W1544">
            <v>210</v>
          </cell>
        </row>
        <row r="1545">
          <cell r="B1545" t="str">
            <v>CB5324310-011L/R006</v>
          </cell>
          <cell r="D1545" t="str">
            <v>C</v>
          </cell>
          <cell r="E1545" t="str">
            <v>工序内容</v>
          </cell>
          <cell r="F1545" t="str">
            <v>0/领料</v>
          </cell>
          <cell r="G1545" t="str">
            <v>5/数铣</v>
          </cell>
          <cell r="H1545" t="str">
            <v>10/数铣15</v>
          </cell>
          <cell r="I1545" t="str">
            <v>15/数铣105</v>
          </cell>
          <cell r="J1545" t="str">
            <v>20/数铣70</v>
          </cell>
          <cell r="K1545" t="str">
            <v>25/测量</v>
          </cell>
          <cell r="L1545" t="str">
            <v>30/数铣10</v>
          </cell>
          <cell r="M1545" t="str">
            <v>35/数铣</v>
          </cell>
          <cell r="N1545" t="str">
            <v>40/钳工</v>
          </cell>
          <cell r="O1545" t="str">
            <v>45/清洁</v>
          </cell>
          <cell r="P1545" t="str">
            <v>50/成检</v>
          </cell>
        </row>
        <row r="1546">
          <cell r="B1546" t="str">
            <v>CB5324310-011L/R006</v>
          </cell>
          <cell r="D1546" t="str">
            <v>C</v>
          </cell>
          <cell r="E1546" t="str">
            <v>准备工时</v>
          </cell>
          <cell r="G1546">
            <v>60</v>
          </cell>
          <cell r="H1546">
            <v>60</v>
          </cell>
          <cell r="I1546">
            <v>60</v>
          </cell>
          <cell r="J1546">
            <v>60</v>
          </cell>
          <cell r="L1546">
            <v>60</v>
          </cell>
        </row>
        <row r="1547">
          <cell r="B1547" t="str">
            <v>CB5324310-011L/R006</v>
          </cell>
          <cell r="D1547" t="str">
            <v>C</v>
          </cell>
          <cell r="E1547" t="str">
            <v>装夹时间</v>
          </cell>
        </row>
        <row r="1548">
          <cell r="B1548" t="str">
            <v>CB5324310-011L/R006</v>
          </cell>
          <cell r="D1548" t="str">
            <v>C</v>
          </cell>
          <cell r="E1548" t="str">
            <v>程序时间</v>
          </cell>
          <cell r="G1548">
            <v>60</v>
          </cell>
          <cell r="H1548">
            <v>40</v>
          </cell>
          <cell r="I1548">
            <v>160</v>
          </cell>
          <cell r="J1548">
            <v>120</v>
          </cell>
          <cell r="L1548">
            <v>25</v>
          </cell>
          <cell r="M1548">
            <v>20</v>
          </cell>
          <cell r="N1548">
            <v>30</v>
          </cell>
        </row>
        <row r="1549">
          <cell r="B1549" t="str">
            <v>DD-J10B-94076-501-Z</v>
          </cell>
          <cell r="D1549" t="str">
            <v>B</v>
          </cell>
          <cell r="E1549" t="str">
            <v>工序内容</v>
          </cell>
          <cell r="F1549" t="str">
            <v>0/领料</v>
          </cell>
          <cell r="G1549" t="str">
            <v>5/数铣</v>
          </cell>
          <cell r="H1549" t="str">
            <v>10/数铣28</v>
          </cell>
          <cell r="I1549" t="str">
            <v>15/数铣28</v>
          </cell>
          <cell r="J1549" t="str">
            <v>20/数铣50</v>
          </cell>
          <cell r="K1549" t="str">
            <v>25/数铣25</v>
          </cell>
          <cell r="L1549" t="str">
            <v>30/数铣4</v>
          </cell>
          <cell r="M1549" t="str">
            <v>35/钳工</v>
          </cell>
          <cell r="N1549" t="str">
            <v>40/数铣3</v>
          </cell>
          <cell r="O1549" t="str">
            <v>45/数铣3</v>
          </cell>
          <cell r="P1549" t="str">
            <v>50/数铣3</v>
          </cell>
          <cell r="Q1549" t="str">
            <v>55/数铣</v>
          </cell>
          <cell r="R1549" t="str">
            <v>60/钳工</v>
          </cell>
          <cell r="S1549" t="str">
            <v>65/清洁</v>
          </cell>
          <cell r="T1549" t="str">
            <v>70/分光</v>
          </cell>
          <cell r="U1549" t="str">
            <v>75/硬检</v>
          </cell>
          <cell r="V1549" t="str">
            <v>80/检验</v>
          </cell>
          <cell r="W1549" t="str">
            <v>85/钳工</v>
          </cell>
          <cell r="X1549" t="str">
            <v>90/清洁</v>
          </cell>
          <cell r="Y1549" t="str">
            <v>95/成检</v>
          </cell>
        </row>
        <row r="1550">
          <cell r="B1550" t="str">
            <v>DD-J10B-94076-501-Z</v>
          </cell>
          <cell r="D1550" t="str">
            <v>B</v>
          </cell>
          <cell r="E1550" t="str">
            <v>准备工时</v>
          </cell>
          <cell r="G1550">
            <v>60</v>
          </cell>
          <cell r="H1550">
            <v>90</v>
          </cell>
          <cell r="I1550">
            <v>60</v>
          </cell>
          <cell r="J1550">
            <v>60</v>
          </cell>
          <cell r="K1550">
            <v>60</v>
          </cell>
          <cell r="L1550" t="str">
            <v>60</v>
          </cell>
          <cell r="N1550" t="str">
            <v>60</v>
          </cell>
          <cell r="O1550">
            <v>60</v>
          </cell>
          <cell r="P1550">
            <v>60</v>
          </cell>
          <cell r="S1550">
            <v>60</v>
          </cell>
        </row>
        <row r="1551">
          <cell r="B1551" t="str">
            <v>DD-J10B-94076-501-Z</v>
          </cell>
          <cell r="D1551" t="str">
            <v>B</v>
          </cell>
          <cell r="E1551" t="str">
            <v>装夹时间</v>
          </cell>
        </row>
        <row r="1552">
          <cell r="B1552" t="str">
            <v>DD-J10B-94076-501-Z</v>
          </cell>
          <cell r="D1552" t="str">
            <v>B</v>
          </cell>
          <cell r="E1552" t="str">
            <v>程序时间</v>
          </cell>
          <cell r="G1552">
            <v>20</v>
          </cell>
          <cell r="H1552">
            <v>45</v>
          </cell>
          <cell r="I1552">
            <v>40</v>
          </cell>
          <cell r="J1552">
            <v>100</v>
          </cell>
          <cell r="K1552">
            <v>40</v>
          </cell>
          <cell r="L1552" t="str">
            <v>10</v>
          </cell>
          <cell r="M1552" t="str">
            <v>20</v>
          </cell>
          <cell r="N1552" t="str">
            <v>10</v>
          </cell>
          <cell r="O1552">
            <v>10</v>
          </cell>
          <cell r="P1552">
            <v>10</v>
          </cell>
          <cell r="Q1552">
            <v>10</v>
          </cell>
          <cell r="R1552">
            <v>30</v>
          </cell>
          <cell r="S1552">
            <v>20</v>
          </cell>
          <cell r="T1552">
            <v>30</v>
          </cell>
          <cell r="W1552">
            <v>20</v>
          </cell>
        </row>
        <row r="1553">
          <cell r="B1553" t="str">
            <v>DD-J10B-94076-501-Y</v>
          </cell>
          <cell r="D1553" t="str">
            <v>B</v>
          </cell>
          <cell r="E1553" t="str">
            <v>工序内容</v>
          </cell>
          <cell r="F1553" t="str">
            <v>0/领料</v>
          </cell>
          <cell r="G1553" t="str">
            <v>5/数铣</v>
          </cell>
          <cell r="H1553" t="str">
            <v>10/数铣28</v>
          </cell>
          <cell r="I1553" t="str">
            <v>15/数铣28</v>
          </cell>
          <cell r="J1553" t="str">
            <v>20/数铣50</v>
          </cell>
          <cell r="K1553" t="str">
            <v>25/数铣25</v>
          </cell>
          <cell r="L1553" t="str">
            <v>30/数铣4</v>
          </cell>
          <cell r="M1553" t="str">
            <v>35/钳工</v>
          </cell>
          <cell r="N1553" t="str">
            <v>40/数铣3</v>
          </cell>
          <cell r="O1553" t="str">
            <v>45/数铣3</v>
          </cell>
          <cell r="P1553" t="str">
            <v>50/数铣3</v>
          </cell>
          <cell r="Q1553" t="str">
            <v>55/数铣</v>
          </cell>
          <cell r="R1553" t="str">
            <v>60/钳工</v>
          </cell>
          <cell r="S1553" t="str">
            <v>65/清洁</v>
          </cell>
          <cell r="T1553" t="str">
            <v>70/分光</v>
          </cell>
          <cell r="U1553" t="str">
            <v>75/硬检</v>
          </cell>
          <cell r="V1553" t="str">
            <v>80/检验</v>
          </cell>
          <cell r="W1553" t="str">
            <v>85/钳工</v>
          </cell>
          <cell r="X1553" t="str">
            <v>90/清洁</v>
          </cell>
          <cell r="Y1553" t="str">
            <v>95/成检</v>
          </cell>
        </row>
        <row r="1554">
          <cell r="B1554" t="str">
            <v>DD-J10B-94076-501-Y</v>
          </cell>
          <cell r="D1554" t="str">
            <v>B</v>
          </cell>
          <cell r="E1554" t="str">
            <v>准备工时</v>
          </cell>
          <cell r="G1554">
            <v>60</v>
          </cell>
          <cell r="H1554">
            <v>90</v>
          </cell>
          <cell r="I1554">
            <v>60</v>
          </cell>
          <cell r="J1554">
            <v>60</v>
          </cell>
          <cell r="K1554">
            <v>60</v>
          </cell>
          <cell r="L1554" t="str">
            <v>60</v>
          </cell>
          <cell r="N1554" t="str">
            <v>60</v>
          </cell>
          <cell r="O1554">
            <v>60</v>
          </cell>
          <cell r="P1554">
            <v>60</v>
          </cell>
          <cell r="S1554">
            <v>60</v>
          </cell>
        </row>
        <row r="1555">
          <cell r="B1555" t="str">
            <v>DD-J10B-94076-501-Y</v>
          </cell>
          <cell r="D1555" t="str">
            <v>B</v>
          </cell>
          <cell r="E1555" t="str">
            <v>装夹时间</v>
          </cell>
        </row>
        <row r="1556">
          <cell r="B1556" t="str">
            <v>DD-J10B-94076-501-Y</v>
          </cell>
          <cell r="D1556" t="str">
            <v>B</v>
          </cell>
          <cell r="E1556" t="str">
            <v>程序时间</v>
          </cell>
          <cell r="G1556">
            <v>20</v>
          </cell>
          <cell r="H1556">
            <v>45</v>
          </cell>
          <cell r="I1556">
            <v>40</v>
          </cell>
          <cell r="J1556">
            <v>100</v>
          </cell>
          <cell r="K1556">
            <v>40</v>
          </cell>
          <cell r="L1556" t="str">
            <v>10</v>
          </cell>
          <cell r="M1556" t="str">
            <v>20</v>
          </cell>
          <cell r="N1556" t="str">
            <v>20</v>
          </cell>
          <cell r="O1556">
            <v>20</v>
          </cell>
          <cell r="P1556">
            <v>20</v>
          </cell>
          <cell r="Q1556">
            <v>10</v>
          </cell>
          <cell r="R1556">
            <v>30</v>
          </cell>
          <cell r="S1556">
            <v>20</v>
          </cell>
          <cell r="T1556">
            <v>30</v>
          </cell>
          <cell r="W1556">
            <v>20</v>
          </cell>
        </row>
        <row r="1557">
          <cell r="B1557" t="str">
            <v>CB5327120-013L015</v>
          </cell>
          <cell r="D1557" t="str">
            <v>D</v>
          </cell>
          <cell r="E1557" t="str">
            <v>工序内容</v>
          </cell>
          <cell r="F1557" t="str">
            <v>0/领料</v>
          </cell>
          <cell r="G1557" t="str">
            <v>5/数铣</v>
          </cell>
          <cell r="H1557" t="str">
            <v>10/数铣150</v>
          </cell>
          <cell r="I1557" t="str">
            <v>15/数铣90</v>
          </cell>
          <cell r="J1557" t="str">
            <v>20/数铣220</v>
          </cell>
          <cell r="K1557" t="str">
            <v>25/数铣750</v>
          </cell>
          <cell r="L1557" t="str">
            <v>30/数铣540</v>
          </cell>
          <cell r="M1557" t="str">
            <v>35/五轴40</v>
          </cell>
          <cell r="N1557" t="str">
            <v>40/数铣120</v>
          </cell>
          <cell r="O1557" t="str">
            <v>45/数铣40</v>
          </cell>
          <cell r="P1557" t="str">
            <v>50/测量</v>
          </cell>
          <cell r="Q1557" t="str">
            <v>55/钳工</v>
          </cell>
          <cell r="R1557" t="str">
            <v>60/数铣</v>
          </cell>
          <cell r="S1557" t="str">
            <v>65/清洁</v>
          </cell>
          <cell r="T1557" t="str">
            <v>70/成检</v>
          </cell>
          <cell r="W1557" t="str">
            <v>70/成检</v>
          </cell>
        </row>
        <row r="1558">
          <cell r="B1558" t="str">
            <v>CB5327120-013L015</v>
          </cell>
          <cell r="D1558" t="str">
            <v>D</v>
          </cell>
          <cell r="E1558" t="str">
            <v>准备工时</v>
          </cell>
          <cell r="G1558">
            <v>60</v>
          </cell>
          <cell r="H1558">
            <v>60</v>
          </cell>
          <cell r="I1558">
            <v>60</v>
          </cell>
          <cell r="J1558">
            <v>60</v>
          </cell>
          <cell r="K1558">
            <v>180</v>
          </cell>
          <cell r="L1558">
            <v>180</v>
          </cell>
          <cell r="M1558">
            <v>180</v>
          </cell>
          <cell r="N1558">
            <v>60</v>
          </cell>
          <cell r="O1558">
            <v>60</v>
          </cell>
        </row>
        <row r="1559">
          <cell r="B1559" t="str">
            <v>CB5327120-013L015</v>
          </cell>
          <cell r="D1559" t="str">
            <v>D</v>
          </cell>
          <cell r="E1559" t="str">
            <v>装夹时间</v>
          </cell>
          <cell r="G1559">
            <v>60</v>
          </cell>
          <cell r="H1559">
            <v>60</v>
          </cell>
          <cell r="I1559">
            <v>60</v>
          </cell>
          <cell r="J1559">
            <v>60</v>
          </cell>
          <cell r="K1559">
            <v>60</v>
          </cell>
          <cell r="L1559">
            <v>60</v>
          </cell>
          <cell r="M1559">
            <v>75</v>
          </cell>
          <cell r="N1559">
            <v>60</v>
          </cell>
          <cell r="O1559">
            <v>60</v>
          </cell>
        </row>
        <row r="1560">
          <cell r="B1560" t="str">
            <v>CB5327120-013L015</v>
          </cell>
          <cell r="D1560" t="str">
            <v>D</v>
          </cell>
          <cell r="E1560" t="str">
            <v>程序时间</v>
          </cell>
          <cell r="G1560">
            <v>180</v>
          </cell>
          <cell r="H1560">
            <v>180</v>
          </cell>
          <cell r="I1560">
            <v>120</v>
          </cell>
          <cell r="J1560">
            <v>300</v>
          </cell>
          <cell r="K1560">
            <v>1020</v>
          </cell>
          <cell r="L1560">
            <v>750</v>
          </cell>
          <cell r="M1560">
            <v>210</v>
          </cell>
          <cell r="N1560">
            <v>300</v>
          </cell>
          <cell r="O1560">
            <v>50</v>
          </cell>
          <cell r="Q1560">
            <v>480</v>
          </cell>
          <cell r="R1560">
            <v>10</v>
          </cell>
        </row>
        <row r="1561">
          <cell r="B1561" t="str">
            <v>CB5327120-013R015</v>
          </cell>
          <cell r="D1561" t="str">
            <v>D</v>
          </cell>
          <cell r="E1561" t="str">
            <v>工序内容</v>
          </cell>
          <cell r="F1561" t="str">
            <v>0/领料</v>
          </cell>
          <cell r="G1561" t="str">
            <v>5/数铣</v>
          </cell>
          <cell r="H1561" t="str">
            <v>10/数铣150</v>
          </cell>
          <cell r="I1561" t="str">
            <v>15/数铣90</v>
          </cell>
          <cell r="J1561" t="str">
            <v>20/数铣220</v>
          </cell>
          <cell r="K1561" t="str">
            <v>25/数铣750</v>
          </cell>
          <cell r="L1561" t="str">
            <v>30/数铣540</v>
          </cell>
          <cell r="M1561" t="str">
            <v>35/五轴40</v>
          </cell>
          <cell r="N1561" t="str">
            <v>40/数铣120</v>
          </cell>
          <cell r="O1561" t="str">
            <v>45/数铣40</v>
          </cell>
          <cell r="P1561" t="str">
            <v>50/测量</v>
          </cell>
          <cell r="Q1561" t="str">
            <v>55/钳工</v>
          </cell>
          <cell r="R1561" t="str">
            <v>60/数铣</v>
          </cell>
          <cell r="S1561" t="str">
            <v>65/清洁</v>
          </cell>
          <cell r="T1561" t="str">
            <v>70/成检</v>
          </cell>
          <cell r="W1561" t="str">
            <v>70/成检</v>
          </cell>
        </row>
        <row r="1562">
          <cell r="B1562" t="str">
            <v>CB5327120-013R015</v>
          </cell>
          <cell r="D1562" t="str">
            <v>D</v>
          </cell>
          <cell r="E1562" t="str">
            <v>准备工时</v>
          </cell>
          <cell r="G1562">
            <v>60</v>
          </cell>
          <cell r="H1562">
            <v>60</v>
          </cell>
          <cell r="I1562">
            <v>60</v>
          </cell>
          <cell r="J1562">
            <v>60</v>
          </cell>
          <cell r="K1562">
            <v>180</v>
          </cell>
          <cell r="L1562">
            <v>180</v>
          </cell>
          <cell r="M1562">
            <v>180</v>
          </cell>
          <cell r="N1562">
            <v>60</v>
          </cell>
          <cell r="O1562">
            <v>60</v>
          </cell>
        </row>
        <row r="1563">
          <cell r="B1563" t="str">
            <v>CB5327120-013R015</v>
          </cell>
          <cell r="D1563" t="str">
            <v>D</v>
          </cell>
          <cell r="E1563" t="str">
            <v>装夹时间</v>
          </cell>
          <cell r="G1563">
            <v>60</v>
          </cell>
          <cell r="H1563">
            <v>60</v>
          </cell>
          <cell r="I1563">
            <v>60</v>
          </cell>
          <cell r="J1563">
            <v>60</v>
          </cell>
          <cell r="K1563">
            <v>60</v>
          </cell>
          <cell r="L1563">
            <v>60</v>
          </cell>
          <cell r="M1563">
            <v>75</v>
          </cell>
          <cell r="N1563">
            <v>60</v>
          </cell>
          <cell r="O1563">
            <v>60</v>
          </cell>
        </row>
        <row r="1564">
          <cell r="B1564" t="str">
            <v>CB5327120-013R015</v>
          </cell>
          <cell r="D1564" t="str">
            <v>D</v>
          </cell>
          <cell r="E1564" t="str">
            <v>程序时间</v>
          </cell>
          <cell r="G1564">
            <v>180</v>
          </cell>
          <cell r="H1564">
            <v>180</v>
          </cell>
          <cell r="I1564">
            <v>120</v>
          </cell>
          <cell r="J1564">
            <v>300</v>
          </cell>
          <cell r="K1564">
            <v>1020</v>
          </cell>
          <cell r="L1564">
            <v>750</v>
          </cell>
          <cell r="M1564">
            <v>210</v>
          </cell>
          <cell r="N1564">
            <v>300</v>
          </cell>
          <cell r="O1564">
            <v>50</v>
          </cell>
          <cell r="Q1564">
            <v>480</v>
          </cell>
          <cell r="R1564">
            <v>10</v>
          </cell>
        </row>
        <row r="1565">
          <cell r="B1565" t="str">
            <v>DD-J10S-02121-3-Z</v>
          </cell>
          <cell r="D1565" t="str">
            <v>D</v>
          </cell>
          <cell r="E1565" t="str">
            <v>工序内容</v>
          </cell>
          <cell r="F1565" t="str">
            <v>0/领料</v>
          </cell>
          <cell r="G1565" t="str">
            <v>5/钳工</v>
          </cell>
          <cell r="H1565" t="str">
            <v>10/数铣</v>
          </cell>
          <cell r="I1565" t="str">
            <v>15/数铣40</v>
          </cell>
          <cell r="J1565" t="str">
            <v>20/数铣20</v>
          </cell>
          <cell r="K1565" t="str">
            <v>25/数铣220</v>
          </cell>
          <cell r="L1565" t="str">
            <v>30/数铣70</v>
          </cell>
          <cell r="M1565" t="str">
            <v>35/数铣60</v>
          </cell>
          <cell r="N1565" t="str">
            <v>40数铣240</v>
          </cell>
          <cell r="O1565" t="str">
            <v>45/五轴400</v>
          </cell>
          <cell r="P1565" t="str">
            <v>50测量</v>
          </cell>
          <cell r="Q1565" t="str">
            <v>55/钳工</v>
          </cell>
        </row>
        <row r="1566">
          <cell r="B1566" t="str">
            <v>DD-J10S-02121-3-Z</v>
          </cell>
          <cell r="D1566" t="str">
            <v>D</v>
          </cell>
          <cell r="E1566" t="str">
            <v>准备工时</v>
          </cell>
          <cell r="G1566">
            <v>60</v>
          </cell>
          <cell r="H1566">
            <v>60</v>
          </cell>
          <cell r="I1566">
            <v>90</v>
          </cell>
          <cell r="J1566">
            <v>60</v>
          </cell>
          <cell r="K1566">
            <v>60</v>
          </cell>
          <cell r="L1566">
            <v>60</v>
          </cell>
          <cell r="M1566">
            <v>60</v>
          </cell>
          <cell r="N1566">
            <v>60</v>
          </cell>
          <cell r="O1566">
            <v>180</v>
          </cell>
        </row>
        <row r="1567">
          <cell r="B1567" t="str">
            <v>DD-J10S-02121-3-Z</v>
          </cell>
          <cell r="D1567" t="str">
            <v>D</v>
          </cell>
          <cell r="E1567" t="str">
            <v>装夹时间</v>
          </cell>
          <cell r="H1567">
            <v>60</v>
          </cell>
          <cell r="I1567">
            <v>60</v>
          </cell>
          <cell r="J1567">
            <v>60</v>
          </cell>
          <cell r="K1567">
            <v>60</v>
          </cell>
          <cell r="L1567">
            <v>60</v>
          </cell>
          <cell r="M1567">
            <v>60</v>
          </cell>
          <cell r="N1567">
            <v>60</v>
          </cell>
          <cell r="O1567">
            <v>90</v>
          </cell>
        </row>
        <row r="1568">
          <cell r="B1568" t="str">
            <v>DD-J10S-02121-3-Z</v>
          </cell>
          <cell r="D1568" t="str">
            <v>D</v>
          </cell>
          <cell r="E1568" t="str">
            <v>程序时间</v>
          </cell>
          <cell r="G1568">
            <v>40</v>
          </cell>
          <cell r="H1568">
            <v>120</v>
          </cell>
          <cell r="I1568">
            <v>100</v>
          </cell>
          <cell r="J1568">
            <v>30</v>
          </cell>
          <cell r="K1568">
            <v>330</v>
          </cell>
          <cell r="L1568">
            <v>70</v>
          </cell>
          <cell r="M1568">
            <v>60</v>
          </cell>
          <cell r="N1568">
            <v>300</v>
          </cell>
          <cell r="O1568">
            <v>1080</v>
          </cell>
          <cell r="Q1568">
            <v>360</v>
          </cell>
        </row>
        <row r="1569">
          <cell r="B1569" t="str">
            <v>DD-J10S-02121-3-Y</v>
          </cell>
          <cell r="D1569" t="str">
            <v>D</v>
          </cell>
          <cell r="E1569" t="str">
            <v>工序内容</v>
          </cell>
          <cell r="F1569" t="str">
            <v>0/领料</v>
          </cell>
          <cell r="G1569" t="str">
            <v>5/钳工</v>
          </cell>
          <cell r="H1569" t="str">
            <v>10/数铣</v>
          </cell>
          <cell r="I1569" t="str">
            <v>15/数铣40</v>
          </cell>
          <cell r="J1569" t="str">
            <v>20/数铣20</v>
          </cell>
          <cell r="K1569" t="str">
            <v>25/数铣220</v>
          </cell>
          <cell r="L1569" t="str">
            <v>30/数铣70</v>
          </cell>
          <cell r="M1569" t="str">
            <v>35/数铣60</v>
          </cell>
          <cell r="N1569" t="str">
            <v>40数铣240</v>
          </cell>
          <cell r="O1569" t="str">
            <v>45/五轴400</v>
          </cell>
          <cell r="P1569" t="str">
            <v>50测量</v>
          </cell>
          <cell r="Q1569" t="str">
            <v>55/钳工</v>
          </cell>
        </row>
        <row r="1570">
          <cell r="B1570" t="str">
            <v>DD-J10S-02121-3-Y</v>
          </cell>
          <cell r="D1570" t="str">
            <v>D</v>
          </cell>
          <cell r="E1570" t="str">
            <v>准备工时</v>
          </cell>
          <cell r="G1570">
            <v>60</v>
          </cell>
          <cell r="H1570">
            <v>60</v>
          </cell>
          <cell r="I1570">
            <v>90</v>
          </cell>
          <cell r="J1570">
            <v>60</v>
          </cell>
          <cell r="K1570">
            <v>60</v>
          </cell>
          <cell r="L1570">
            <v>60</v>
          </cell>
          <cell r="M1570">
            <v>60</v>
          </cell>
          <cell r="N1570">
            <v>60</v>
          </cell>
          <cell r="O1570">
            <v>180</v>
          </cell>
        </row>
        <row r="1571">
          <cell r="B1571" t="str">
            <v>DD-J10S-02121-3-Y</v>
          </cell>
          <cell r="D1571" t="str">
            <v>D</v>
          </cell>
          <cell r="E1571" t="str">
            <v>装夹时间</v>
          </cell>
          <cell r="H1571">
            <v>60</v>
          </cell>
          <cell r="I1571">
            <v>60</v>
          </cell>
          <cell r="J1571">
            <v>60</v>
          </cell>
          <cell r="K1571">
            <v>60</v>
          </cell>
          <cell r="L1571">
            <v>60</v>
          </cell>
          <cell r="M1571">
            <v>60</v>
          </cell>
          <cell r="N1571">
            <v>60</v>
          </cell>
          <cell r="O1571">
            <v>90</v>
          </cell>
        </row>
        <row r="1572">
          <cell r="B1572" t="str">
            <v>DD-J10S-02121-3-Y</v>
          </cell>
          <cell r="D1572" t="str">
            <v>D</v>
          </cell>
          <cell r="E1572" t="str">
            <v>程序时间</v>
          </cell>
          <cell r="G1572">
            <v>40</v>
          </cell>
          <cell r="H1572">
            <v>120</v>
          </cell>
          <cell r="I1572">
            <v>100</v>
          </cell>
          <cell r="J1572">
            <v>30</v>
          </cell>
          <cell r="K1572">
            <v>330</v>
          </cell>
          <cell r="L1572">
            <v>70</v>
          </cell>
          <cell r="M1572">
            <v>60</v>
          </cell>
          <cell r="N1572">
            <v>300</v>
          </cell>
          <cell r="O1572">
            <v>1080</v>
          </cell>
          <cell r="Q1572">
            <v>360</v>
          </cell>
        </row>
        <row r="1573">
          <cell r="B1573" t="str">
            <v>BC5327100-031L001</v>
          </cell>
          <cell r="D1573" t="str">
            <v>B</v>
          </cell>
          <cell r="E1573" t="str">
            <v>工序内容</v>
          </cell>
          <cell r="F1573" t="str">
            <v>0/领料</v>
          </cell>
          <cell r="G1573" t="str">
            <v>5/数铣</v>
          </cell>
          <cell r="H1573" t="str">
            <v>10/数铣30</v>
          </cell>
          <cell r="I1573" t="str">
            <v>15/数铣35</v>
          </cell>
          <cell r="J1573" t="str">
            <v>20/数铣50</v>
          </cell>
          <cell r="K1573" t="str">
            <v>25/数铣10</v>
          </cell>
          <cell r="L1573" t="str">
            <v>30/测量</v>
          </cell>
          <cell r="M1573" t="str">
            <v>35/钳工</v>
          </cell>
          <cell r="N1573" t="str">
            <v>40/数铣</v>
          </cell>
          <cell r="O1573" t="str">
            <v>45/清洁</v>
          </cell>
          <cell r="P1573" t="str">
            <v>50/检验</v>
          </cell>
          <cell r="Q1573" t="str">
            <v>55/分光</v>
          </cell>
          <cell r="R1573" t="str">
            <v>60/硬检</v>
          </cell>
          <cell r="S1573" t="str">
            <v>65/清洗</v>
          </cell>
          <cell r="T1573" t="str">
            <v>70/渗透</v>
          </cell>
          <cell r="U1573" t="str">
            <v>75/表处</v>
          </cell>
          <cell r="V1573" t="str">
            <v>80/表处</v>
          </cell>
          <cell r="W1573" t="str">
            <v>85/标记</v>
          </cell>
          <cell r="X1573" t="str">
            <v>90/入库</v>
          </cell>
        </row>
        <row r="1574">
          <cell r="B1574" t="str">
            <v>BC5327100-031L001</v>
          </cell>
          <cell r="D1574" t="str">
            <v>B</v>
          </cell>
          <cell r="E1574" t="str">
            <v>准备工时</v>
          </cell>
          <cell r="G1574">
            <v>60</v>
          </cell>
          <cell r="H1574">
            <v>90</v>
          </cell>
          <cell r="I1574">
            <v>90</v>
          </cell>
          <cell r="J1574">
            <v>90</v>
          </cell>
          <cell r="K1574">
            <v>90</v>
          </cell>
        </row>
        <row r="1575">
          <cell r="B1575" t="str">
            <v>BC5327100-031L001</v>
          </cell>
          <cell r="D1575" t="str">
            <v>B</v>
          </cell>
          <cell r="E1575" t="str">
            <v>装夹时间</v>
          </cell>
        </row>
        <row r="1576">
          <cell r="B1576" t="str">
            <v>BC5327100-031L001</v>
          </cell>
          <cell r="D1576" t="str">
            <v>B</v>
          </cell>
          <cell r="E1576" t="str">
            <v>程序时间</v>
          </cell>
          <cell r="G1576">
            <v>40</v>
          </cell>
          <cell r="H1576">
            <v>65</v>
          </cell>
          <cell r="I1576">
            <v>50</v>
          </cell>
          <cell r="J1576">
            <v>85</v>
          </cell>
          <cell r="K1576">
            <v>20</v>
          </cell>
          <cell r="M1576">
            <v>60</v>
          </cell>
          <cell r="N1576">
            <v>20</v>
          </cell>
        </row>
        <row r="1577">
          <cell r="B1577" t="str">
            <v>BC5327100-031R001</v>
          </cell>
          <cell r="D1577" t="str">
            <v>B</v>
          </cell>
          <cell r="E1577" t="str">
            <v>工序内容</v>
          </cell>
          <cell r="F1577" t="str">
            <v>0/领料</v>
          </cell>
          <cell r="G1577" t="str">
            <v>5/数铣</v>
          </cell>
          <cell r="H1577" t="str">
            <v>10/数铣30</v>
          </cell>
          <cell r="I1577" t="str">
            <v>15/数铣35</v>
          </cell>
          <cell r="J1577" t="str">
            <v>20/数铣50</v>
          </cell>
          <cell r="K1577" t="str">
            <v>25/数铣10</v>
          </cell>
          <cell r="L1577" t="str">
            <v>30/测量</v>
          </cell>
          <cell r="M1577" t="str">
            <v>35/钳工</v>
          </cell>
          <cell r="N1577" t="str">
            <v>40/数铣</v>
          </cell>
          <cell r="O1577" t="str">
            <v>45/清洁</v>
          </cell>
          <cell r="P1577" t="str">
            <v>50/检验</v>
          </cell>
          <cell r="Q1577" t="str">
            <v>55/分光</v>
          </cell>
          <cell r="R1577" t="str">
            <v>60/硬检</v>
          </cell>
          <cell r="S1577" t="str">
            <v>65/清洗</v>
          </cell>
          <cell r="T1577" t="str">
            <v>70/渗透</v>
          </cell>
          <cell r="U1577" t="str">
            <v>75/表处</v>
          </cell>
          <cell r="V1577" t="str">
            <v>80/表处</v>
          </cell>
          <cell r="W1577" t="str">
            <v>85/标记</v>
          </cell>
          <cell r="X1577" t="str">
            <v>90/入库</v>
          </cell>
        </row>
        <row r="1578">
          <cell r="B1578" t="str">
            <v>BC5327100-031R001</v>
          </cell>
          <cell r="D1578" t="str">
            <v>B</v>
          </cell>
          <cell r="E1578" t="str">
            <v>准备工时</v>
          </cell>
          <cell r="G1578">
            <v>60</v>
          </cell>
          <cell r="H1578">
            <v>90</v>
          </cell>
          <cell r="I1578">
            <v>90</v>
          </cell>
          <cell r="J1578">
            <v>90</v>
          </cell>
          <cell r="K1578">
            <v>90</v>
          </cell>
        </row>
        <row r="1579">
          <cell r="B1579" t="str">
            <v>BC5327100-031R001</v>
          </cell>
          <cell r="D1579" t="str">
            <v>B</v>
          </cell>
          <cell r="E1579" t="str">
            <v>装夹时间</v>
          </cell>
        </row>
        <row r="1580">
          <cell r="B1580" t="str">
            <v>BC5327100-031R001</v>
          </cell>
          <cell r="D1580" t="str">
            <v>B</v>
          </cell>
          <cell r="E1580" t="str">
            <v>程序时间</v>
          </cell>
          <cell r="G1580">
            <v>40</v>
          </cell>
          <cell r="H1580">
            <v>65</v>
          </cell>
          <cell r="I1580">
            <v>50</v>
          </cell>
          <cell r="J1580">
            <v>85</v>
          </cell>
          <cell r="K1580">
            <v>20</v>
          </cell>
          <cell r="M1580">
            <v>60</v>
          </cell>
          <cell r="N1580">
            <v>20</v>
          </cell>
        </row>
        <row r="1581">
          <cell r="B1581" t="str">
            <v>CB2284480-004-001</v>
          </cell>
          <cell r="D1581" t="str">
            <v>B</v>
          </cell>
          <cell r="E1581" t="str">
            <v>工序内容</v>
          </cell>
          <cell r="F1581" t="str">
            <v>0/领料</v>
          </cell>
          <cell r="G1581" t="str">
            <v>05/数铣</v>
          </cell>
          <cell r="H1581" t="str">
            <v>10/数铣15</v>
          </cell>
          <cell r="I1581" t="str">
            <v>15/数铣15</v>
          </cell>
          <cell r="J1581" t="str">
            <v>20/数铣15</v>
          </cell>
          <cell r="K1581" t="str">
            <v>25/数铣10</v>
          </cell>
          <cell r="L1581" t="str">
            <v>30/钳工</v>
          </cell>
          <cell r="M1581" t="str">
            <v>35/分光</v>
          </cell>
          <cell r="N1581" t="str">
            <v>40/硬度</v>
          </cell>
          <cell r="O1581" t="str">
            <v>45/数车30</v>
          </cell>
          <cell r="P1581" t="str">
            <v>50/数车30</v>
          </cell>
          <cell r="Q1581" t="str">
            <v>55/数车20</v>
          </cell>
          <cell r="R1581" t="str">
            <v>60/数车15</v>
          </cell>
          <cell r="S1581" t="str">
            <v>65/数车20</v>
          </cell>
          <cell r="T1581" t="str">
            <v>70/数车5</v>
          </cell>
          <cell r="U1581" t="str">
            <v>75/数铣10</v>
          </cell>
          <cell r="V1581" t="str">
            <v>80/钳工</v>
          </cell>
          <cell r="W1581" t="str">
            <v>85/清洁</v>
          </cell>
          <cell r="X1581" t="str">
            <v>90/成检</v>
          </cell>
        </row>
        <row r="1582">
          <cell r="B1582" t="str">
            <v>CB2284480-004-001</v>
          </cell>
          <cell r="D1582" t="str">
            <v>B</v>
          </cell>
          <cell r="E1582" t="str">
            <v>准备工时</v>
          </cell>
          <cell r="G1582">
            <v>60</v>
          </cell>
          <cell r="H1582">
            <v>60</v>
          </cell>
          <cell r="I1582">
            <v>60</v>
          </cell>
          <cell r="J1582">
            <v>60</v>
          </cell>
          <cell r="K1582">
            <v>60</v>
          </cell>
          <cell r="O1582">
            <v>150</v>
          </cell>
          <cell r="P1582">
            <v>180</v>
          </cell>
          <cell r="Q1582">
            <v>180</v>
          </cell>
          <cell r="R1582">
            <v>120</v>
          </cell>
          <cell r="S1582">
            <v>120</v>
          </cell>
          <cell r="T1582">
            <v>120</v>
          </cell>
          <cell r="U1582">
            <v>60</v>
          </cell>
        </row>
        <row r="1583">
          <cell r="B1583" t="str">
            <v>CB2284480-004-001</v>
          </cell>
          <cell r="D1583" t="str">
            <v>B</v>
          </cell>
          <cell r="E1583" t="str">
            <v>装夹时间</v>
          </cell>
        </row>
        <row r="1584">
          <cell r="B1584" t="str">
            <v>CB2284480-004-001</v>
          </cell>
          <cell r="D1584" t="str">
            <v>B</v>
          </cell>
          <cell r="E1584" t="str">
            <v>程序时间</v>
          </cell>
          <cell r="G1584">
            <v>60</v>
          </cell>
          <cell r="H1584">
            <v>30</v>
          </cell>
          <cell r="I1584">
            <v>30</v>
          </cell>
          <cell r="J1584">
            <v>30</v>
          </cell>
          <cell r="K1584">
            <v>25</v>
          </cell>
          <cell r="L1584">
            <v>20</v>
          </cell>
          <cell r="O1584">
            <v>40</v>
          </cell>
          <cell r="P1584">
            <v>90</v>
          </cell>
          <cell r="Q1584">
            <v>40</v>
          </cell>
          <cell r="R1584">
            <v>25</v>
          </cell>
          <cell r="S1584">
            <v>30</v>
          </cell>
          <cell r="T1584">
            <v>15</v>
          </cell>
          <cell r="U1584">
            <v>25</v>
          </cell>
          <cell r="V1584">
            <v>40</v>
          </cell>
        </row>
        <row r="1585">
          <cell r="B1585" t="str">
            <v>DD-J10B-86051-2</v>
          </cell>
          <cell r="D1585" t="str">
            <v>F</v>
          </cell>
          <cell r="E1585" t="str">
            <v>工序内容</v>
          </cell>
          <cell r="F1585" t="str">
            <v>0/领料</v>
          </cell>
          <cell r="G1585" t="str">
            <v>5/下料</v>
          </cell>
          <cell r="H1585" t="str">
            <v>10/数车30</v>
          </cell>
          <cell r="I1585" t="str">
            <v>15/数车45</v>
          </cell>
          <cell r="J1585" t="str">
            <v>20/线切割</v>
          </cell>
          <cell r="K1585" t="str">
            <v>25/数铣5</v>
          </cell>
          <cell r="L1585" t="str">
            <v>30/数铣18</v>
          </cell>
          <cell r="M1585" t="str">
            <v>35/钳工</v>
          </cell>
          <cell r="N1585" t="str">
            <v>40/入厂复验</v>
          </cell>
          <cell r="O1585" t="str">
            <v>45/分光</v>
          </cell>
          <cell r="P1585" t="str">
            <v>50/热处理</v>
          </cell>
          <cell r="Q1585" t="str">
            <v>55/数车20</v>
          </cell>
          <cell r="R1585" t="str">
            <v>60/数铣5</v>
          </cell>
          <cell r="S1585" t="str">
            <v>65/钳工</v>
          </cell>
          <cell r="T1585" t="str">
            <v>70/清洁</v>
          </cell>
          <cell r="U1585" t="str">
            <v>75/成检</v>
          </cell>
        </row>
        <row r="1586">
          <cell r="B1586" t="str">
            <v>DD-J10B-86051-2</v>
          </cell>
          <cell r="D1586" t="str">
            <v>F</v>
          </cell>
          <cell r="E1586" t="str">
            <v>准备工时</v>
          </cell>
          <cell r="H1586">
            <v>120</v>
          </cell>
          <cell r="I1586">
            <v>60</v>
          </cell>
          <cell r="K1586">
            <v>90</v>
          </cell>
          <cell r="L1586">
            <v>120</v>
          </cell>
          <cell r="Q1586">
            <v>120</v>
          </cell>
          <cell r="R1586">
            <v>120</v>
          </cell>
        </row>
        <row r="1587">
          <cell r="B1587" t="str">
            <v>DD-J10B-86051-2</v>
          </cell>
          <cell r="D1587" t="str">
            <v>F</v>
          </cell>
          <cell r="E1587" t="str">
            <v>装夹时间</v>
          </cell>
        </row>
        <row r="1588">
          <cell r="B1588" t="str">
            <v>DD-J10B-86051-2</v>
          </cell>
          <cell r="D1588" t="str">
            <v>F</v>
          </cell>
          <cell r="E1588" t="str">
            <v>程序时间</v>
          </cell>
          <cell r="G1588">
            <v>60</v>
          </cell>
          <cell r="H1588">
            <v>40</v>
          </cell>
          <cell r="I1588">
            <v>50</v>
          </cell>
          <cell r="J1588">
            <v>40</v>
          </cell>
          <cell r="K1588">
            <v>20</v>
          </cell>
          <cell r="L1588">
            <v>40</v>
          </cell>
          <cell r="M1588">
            <v>40</v>
          </cell>
          <cell r="Q1588">
            <v>30</v>
          </cell>
          <cell r="R1588">
            <v>40</v>
          </cell>
          <cell r="S1588">
            <v>60</v>
          </cell>
        </row>
        <row r="1589">
          <cell r="B1589" t="str">
            <v>DD-J10B-04321-1-Z</v>
          </cell>
          <cell r="D1589" t="str">
            <v>B</v>
          </cell>
          <cell r="E1589" t="str">
            <v>工序内容</v>
          </cell>
          <cell r="F1589" t="str">
            <v>0/领料</v>
          </cell>
          <cell r="G1589" t="str">
            <v>5/钳工</v>
          </cell>
          <cell r="H1589" t="str">
            <v>10/数铣</v>
          </cell>
          <cell r="I1589" t="str">
            <v>15/数铣40</v>
          </cell>
          <cell r="J1589" t="str">
            <v>20/数铣120</v>
          </cell>
          <cell r="K1589" t="str">
            <v>25/数铣50</v>
          </cell>
          <cell r="L1589" t="str">
            <v>30/时效</v>
          </cell>
          <cell r="M1589" t="str">
            <v>35/数铣</v>
          </cell>
          <cell r="N1589" t="str">
            <v>40/数铣20</v>
          </cell>
          <cell r="O1589" t="str">
            <v>45/数铣160</v>
          </cell>
          <cell r="P1589" t="str">
            <v>50/数铣280</v>
          </cell>
          <cell r="Q1589" t="str">
            <v>55/五轴 10</v>
          </cell>
          <cell r="R1589" t="str">
            <v>60/五轴80</v>
          </cell>
          <cell r="S1589" t="str">
            <v>65/钳去工艺台</v>
          </cell>
          <cell r="T1589" t="str">
            <v>70/五轴</v>
          </cell>
          <cell r="U1589" t="str">
            <v>75/测量</v>
          </cell>
          <cell r="V1589" t="str">
            <v>80/钳工</v>
          </cell>
          <cell r="W1589" t="str">
            <v>85/清洁</v>
          </cell>
          <cell r="X1589" t="str">
            <v>90/成检</v>
          </cell>
        </row>
        <row r="1590">
          <cell r="B1590" t="str">
            <v>DD-J10B-04321-1-Z</v>
          </cell>
          <cell r="D1590" t="str">
            <v>B</v>
          </cell>
          <cell r="E1590" t="str">
            <v>准备工时</v>
          </cell>
          <cell r="G1590">
            <v>60</v>
          </cell>
          <cell r="H1590">
            <v>60</v>
          </cell>
          <cell r="I1590">
            <v>60</v>
          </cell>
          <cell r="J1590">
            <v>60</v>
          </cell>
          <cell r="K1590">
            <v>60</v>
          </cell>
          <cell r="M1590">
            <v>60</v>
          </cell>
          <cell r="N1590">
            <v>90</v>
          </cell>
          <cell r="O1590">
            <v>120</v>
          </cell>
          <cell r="P1590">
            <v>120</v>
          </cell>
          <cell r="Q1590">
            <v>180</v>
          </cell>
          <cell r="R1590">
            <v>180</v>
          </cell>
          <cell r="T1590">
            <v>150</v>
          </cell>
        </row>
        <row r="1591">
          <cell r="B1591" t="str">
            <v>DD-J10B-04321-1-Z</v>
          </cell>
          <cell r="D1591" t="str">
            <v>B</v>
          </cell>
          <cell r="E1591" t="str">
            <v>装夹时间</v>
          </cell>
          <cell r="Q1591">
            <v>90</v>
          </cell>
          <cell r="R1591">
            <v>90</v>
          </cell>
          <cell r="T1591">
            <v>90</v>
          </cell>
        </row>
        <row r="1592">
          <cell r="B1592" t="str">
            <v>DD-J10B-04321-1-Z</v>
          </cell>
          <cell r="D1592" t="str">
            <v>B</v>
          </cell>
          <cell r="E1592" t="str">
            <v>程序时间</v>
          </cell>
          <cell r="G1592">
            <v>30</v>
          </cell>
          <cell r="H1592">
            <v>110</v>
          </cell>
          <cell r="I1592">
            <v>120</v>
          </cell>
          <cell r="J1592">
            <v>230</v>
          </cell>
          <cell r="K1592">
            <v>120</v>
          </cell>
          <cell r="M1592">
            <v>150</v>
          </cell>
          <cell r="N1592">
            <v>60</v>
          </cell>
          <cell r="O1592">
            <v>420</v>
          </cell>
          <cell r="P1592">
            <v>660</v>
          </cell>
          <cell r="Q1592">
            <v>75</v>
          </cell>
          <cell r="R1592">
            <v>180</v>
          </cell>
          <cell r="S1592">
            <v>120</v>
          </cell>
          <cell r="T1592">
            <v>60</v>
          </cell>
          <cell r="V1592" t="str">
            <v>240+200</v>
          </cell>
        </row>
        <row r="1593">
          <cell r="B1593" t="str">
            <v>DD-J10B-04321-1-Y</v>
          </cell>
          <cell r="D1593" t="str">
            <v>B</v>
          </cell>
          <cell r="E1593" t="str">
            <v>工序内容</v>
          </cell>
          <cell r="F1593" t="str">
            <v>0/领料</v>
          </cell>
          <cell r="G1593" t="str">
            <v>5/钳工</v>
          </cell>
          <cell r="H1593" t="str">
            <v>10/数铣</v>
          </cell>
          <cell r="I1593" t="str">
            <v>15/数铣40</v>
          </cell>
          <cell r="J1593" t="str">
            <v>20/数铣120</v>
          </cell>
          <cell r="K1593" t="str">
            <v>25/数铣50</v>
          </cell>
          <cell r="L1593" t="str">
            <v>30/时效</v>
          </cell>
          <cell r="M1593" t="str">
            <v>35/数铣</v>
          </cell>
          <cell r="N1593" t="str">
            <v>40/数铣20</v>
          </cell>
          <cell r="O1593" t="str">
            <v>45/数铣160</v>
          </cell>
          <cell r="P1593" t="str">
            <v>50/数铣280</v>
          </cell>
          <cell r="Q1593" t="str">
            <v>55/五轴 10</v>
          </cell>
          <cell r="R1593" t="str">
            <v>60/五轴80</v>
          </cell>
          <cell r="S1593" t="str">
            <v>65/钳去工艺台</v>
          </cell>
          <cell r="T1593" t="str">
            <v>70/五轴</v>
          </cell>
          <cell r="U1593" t="str">
            <v>75/测量</v>
          </cell>
          <cell r="V1593" t="str">
            <v>80/钳工</v>
          </cell>
          <cell r="W1593" t="str">
            <v>85/清洁</v>
          </cell>
          <cell r="X1593" t="str">
            <v>90/成检</v>
          </cell>
        </row>
        <row r="1594">
          <cell r="B1594" t="str">
            <v>DD-J10B-04321-1-Y</v>
          </cell>
          <cell r="D1594" t="str">
            <v>B</v>
          </cell>
          <cell r="E1594" t="str">
            <v>准备工时</v>
          </cell>
          <cell r="G1594">
            <v>60</v>
          </cell>
          <cell r="H1594">
            <v>60</v>
          </cell>
          <cell r="I1594">
            <v>60</v>
          </cell>
          <cell r="J1594">
            <v>60</v>
          </cell>
          <cell r="K1594">
            <v>60</v>
          </cell>
          <cell r="M1594">
            <v>60</v>
          </cell>
          <cell r="N1594">
            <v>90</v>
          </cell>
          <cell r="O1594">
            <v>120</v>
          </cell>
          <cell r="P1594">
            <v>120</v>
          </cell>
          <cell r="Q1594">
            <v>180</v>
          </cell>
          <cell r="R1594">
            <v>180</v>
          </cell>
          <cell r="T1594">
            <v>150</v>
          </cell>
        </row>
        <row r="1595">
          <cell r="B1595" t="str">
            <v>DD-J10B-04321-1-Y</v>
          </cell>
          <cell r="D1595" t="str">
            <v>B</v>
          </cell>
          <cell r="E1595" t="str">
            <v>装夹时间</v>
          </cell>
          <cell r="Q1595">
            <v>90</v>
          </cell>
          <cell r="R1595">
            <v>90</v>
          </cell>
          <cell r="T1595">
            <v>90</v>
          </cell>
        </row>
        <row r="1596">
          <cell r="B1596" t="str">
            <v>DD-J10B-04321-1-Y</v>
          </cell>
          <cell r="D1596" t="str">
            <v>B</v>
          </cell>
          <cell r="E1596" t="str">
            <v>程序时间</v>
          </cell>
          <cell r="G1596">
            <v>30</v>
          </cell>
          <cell r="H1596">
            <v>110</v>
          </cell>
          <cell r="I1596">
            <v>120</v>
          </cell>
          <cell r="J1596">
            <v>230</v>
          </cell>
          <cell r="K1596">
            <v>120</v>
          </cell>
          <cell r="M1596">
            <v>150</v>
          </cell>
          <cell r="N1596">
            <v>60</v>
          </cell>
          <cell r="O1596">
            <v>420</v>
          </cell>
          <cell r="P1596">
            <v>660</v>
          </cell>
          <cell r="Q1596">
            <v>75</v>
          </cell>
          <cell r="R1596">
            <v>180</v>
          </cell>
          <cell r="S1596">
            <v>120</v>
          </cell>
          <cell r="T1596">
            <v>60</v>
          </cell>
          <cell r="V1596" t="str">
            <v>240+200</v>
          </cell>
        </row>
        <row r="1597">
          <cell r="B1597" t="str">
            <v>CB2297011-001-001</v>
          </cell>
          <cell r="D1597" t="str">
            <v>D</v>
          </cell>
          <cell r="E1597" t="str">
            <v>工序内容</v>
          </cell>
          <cell r="F1597" t="str">
            <v>0/领料</v>
          </cell>
          <cell r="G1597" t="str">
            <v>5/下料</v>
          </cell>
          <cell r="H1597" t="str">
            <v>10/数铣10</v>
          </cell>
          <cell r="I1597" t="str">
            <v>15/数铣10</v>
          </cell>
          <cell r="J1597" t="str">
            <v>20/数铣15</v>
          </cell>
          <cell r="K1597" t="str">
            <v>25/数铣25</v>
          </cell>
          <cell r="L1597" t="str">
            <v>30/线切割</v>
          </cell>
          <cell r="M1597" t="str">
            <v>35/数铣</v>
          </cell>
          <cell r="N1597" t="str">
            <v>40/钳工</v>
          </cell>
          <cell r="O1597" t="str">
            <v>45/铣试片</v>
          </cell>
          <cell r="P1597" t="str">
            <v>50/清洁</v>
          </cell>
          <cell r="Q1597" t="str">
            <v>55/硬检</v>
          </cell>
          <cell r="R1597" t="str">
            <v>60/分光</v>
          </cell>
          <cell r="S1597" t="str">
            <v>65/</v>
          </cell>
          <cell r="T1597" t="str">
            <v>70/钳工</v>
          </cell>
          <cell r="U1597" t="str">
            <v>75/清洁</v>
          </cell>
          <cell r="V1597" t="str">
            <v>80/成检</v>
          </cell>
        </row>
        <row r="1598">
          <cell r="B1598" t="str">
            <v>CB2297011-001-001</v>
          </cell>
          <cell r="D1598" t="str">
            <v>D</v>
          </cell>
          <cell r="E1598" t="str">
            <v>准备工时</v>
          </cell>
          <cell r="H1598">
            <v>90</v>
          </cell>
          <cell r="I1598">
            <v>90</v>
          </cell>
          <cell r="J1598">
            <v>90</v>
          </cell>
          <cell r="K1598">
            <v>90</v>
          </cell>
          <cell r="M1598">
            <v>60</v>
          </cell>
          <cell r="O1598">
            <v>60</v>
          </cell>
        </row>
        <row r="1599">
          <cell r="B1599" t="str">
            <v>CB2297011-001-001</v>
          </cell>
          <cell r="D1599" t="str">
            <v>D</v>
          </cell>
          <cell r="E1599" t="str">
            <v>装夹时间</v>
          </cell>
        </row>
        <row r="1600">
          <cell r="B1600" t="str">
            <v>CB2297011-001-001</v>
          </cell>
          <cell r="D1600" t="str">
            <v>D</v>
          </cell>
          <cell r="E1600" t="str">
            <v>程序时间</v>
          </cell>
          <cell r="H1600">
            <v>20</v>
          </cell>
          <cell r="I1600">
            <v>20</v>
          </cell>
          <cell r="J1600">
            <v>45</v>
          </cell>
          <cell r="K1600">
            <v>45</v>
          </cell>
          <cell r="M1600">
            <v>20</v>
          </cell>
          <cell r="N1600">
            <v>40</v>
          </cell>
          <cell r="O1600">
            <v>10</v>
          </cell>
          <cell r="T1600">
            <v>10</v>
          </cell>
        </row>
        <row r="1601">
          <cell r="B1601" t="str">
            <v>CB2248143-001-006</v>
          </cell>
          <cell r="D1601" t="str">
            <v>B</v>
          </cell>
          <cell r="E1601" t="str">
            <v>工序内容</v>
          </cell>
          <cell r="F1601" t="str">
            <v>0/领料</v>
          </cell>
          <cell r="G1601" t="str">
            <v>05/数铣</v>
          </cell>
          <cell r="H1601" t="str">
            <v>10/数铣65</v>
          </cell>
          <cell r="I1601" t="str">
            <v>15/线切割</v>
          </cell>
          <cell r="J1601" t="str">
            <v>20/数铣</v>
          </cell>
          <cell r="K1601" t="str">
            <v>25/钳工</v>
          </cell>
          <cell r="L1601" t="str">
            <v>30/清洁</v>
          </cell>
          <cell r="M1601" t="str">
            <v>35/中检</v>
          </cell>
          <cell r="N1601" t="str">
            <v>40/分光</v>
          </cell>
          <cell r="O1601" t="str">
            <v>45/硬度</v>
          </cell>
          <cell r="P1601" t="str">
            <v>50/检验</v>
          </cell>
          <cell r="Q1601" t="str">
            <v>55/钳分光点</v>
          </cell>
          <cell r="R1601" t="str">
            <v>60/成检</v>
          </cell>
        </row>
        <row r="1602">
          <cell r="B1602" t="str">
            <v>CB2248143-001-006</v>
          </cell>
          <cell r="D1602" t="str">
            <v>B</v>
          </cell>
          <cell r="E1602" t="str">
            <v>准备工时</v>
          </cell>
          <cell r="G1602">
            <v>60</v>
          </cell>
          <cell r="H1602">
            <v>60</v>
          </cell>
          <cell r="J1602">
            <v>60</v>
          </cell>
        </row>
        <row r="1603">
          <cell r="B1603" t="str">
            <v>CB2248143-001-006</v>
          </cell>
          <cell r="D1603" t="str">
            <v>B</v>
          </cell>
          <cell r="E1603" t="str">
            <v>装夹时间</v>
          </cell>
        </row>
        <row r="1604">
          <cell r="B1604" t="str">
            <v>CB2248143-001-006</v>
          </cell>
          <cell r="D1604" t="str">
            <v>B</v>
          </cell>
          <cell r="E1604" t="str">
            <v>程序时间</v>
          </cell>
          <cell r="G1604">
            <v>20</v>
          </cell>
          <cell r="H1604">
            <v>100</v>
          </cell>
          <cell r="J1604">
            <v>20</v>
          </cell>
          <cell r="K1604">
            <v>20</v>
          </cell>
          <cell r="Q1604">
            <v>5</v>
          </cell>
        </row>
        <row r="1605">
          <cell r="B1605" t="str">
            <v>CB5811300-003-001</v>
          </cell>
          <cell r="D1605" t="str">
            <v>C</v>
          </cell>
          <cell r="E1605" t="str">
            <v>工序内容</v>
          </cell>
          <cell r="F1605" t="str">
            <v>0/领料</v>
          </cell>
          <cell r="G1605" t="str">
            <v>05/数车15</v>
          </cell>
          <cell r="H1605" t="str">
            <v>10/数车5</v>
          </cell>
          <cell r="I1605" t="str">
            <v>15/分光</v>
          </cell>
          <cell r="J1605" t="str">
            <v>20/热处理</v>
          </cell>
          <cell r="K1605" t="str">
            <v>25/数车10</v>
          </cell>
          <cell r="L1605" t="str">
            <v>30/数车15</v>
          </cell>
          <cell r="M1605" t="str">
            <v>35/数铣15</v>
          </cell>
          <cell r="N1605" t="str">
            <v>40/数铣5</v>
          </cell>
          <cell r="O1605" t="str">
            <v>45/数车15</v>
          </cell>
          <cell r="P1605" t="str">
            <v>50/数车20</v>
          </cell>
          <cell r="Q1605" t="str">
            <v>55/数车5</v>
          </cell>
          <cell r="R1605" t="str">
            <v>60/钳工</v>
          </cell>
          <cell r="S1605" t="str">
            <v>65/清洁</v>
          </cell>
          <cell r="T1605" t="str">
            <v>70/成检</v>
          </cell>
        </row>
        <row r="1606">
          <cell r="B1606" t="str">
            <v>CB5811300-003-001</v>
          </cell>
          <cell r="D1606" t="str">
            <v>C</v>
          </cell>
          <cell r="E1606" t="str">
            <v>准备工时</v>
          </cell>
          <cell r="G1606">
            <v>90</v>
          </cell>
          <cell r="H1606">
            <v>90</v>
          </cell>
          <cell r="K1606">
            <v>90</v>
          </cell>
          <cell r="L1606">
            <v>90</v>
          </cell>
          <cell r="M1606">
            <v>120</v>
          </cell>
          <cell r="N1606">
            <v>90</v>
          </cell>
          <cell r="O1606">
            <v>90</v>
          </cell>
          <cell r="P1606">
            <v>90</v>
          </cell>
          <cell r="Q1606">
            <v>90</v>
          </cell>
        </row>
        <row r="1607">
          <cell r="B1607" t="str">
            <v>CB5811300-003-001</v>
          </cell>
          <cell r="D1607" t="str">
            <v>C</v>
          </cell>
          <cell r="E1607" t="str">
            <v>装夹时间</v>
          </cell>
        </row>
        <row r="1608">
          <cell r="B1608" t="str">
            <v>CB5811300-003-001</v>
          </cell>
          <cell r="D1608" t="str">
            <v>C</v>
          </cell>
          <cell r="E1608" t="str">
            <v>程序时间</v>
          </cell>
          <cell r="G1608">
            <v>30</v>
          </cell>
          <cell r="H1608">
            <v>10</v>
          </cell>
          <cell r="K1608">
            <v>25</v>
          </cell>
          <cell r="L1608">
            <v>25</v>
          </cell>
          <cell r="M1608">
            <v>60</v>
          </cell>
          <cell r="N1608">
            <v>30</v>
          </cell>
          <cell r="O1608">
            <v>25</v>
          </cell>
          <cell r="P1608">
            <v>30</v>
          </cell>
          <cell r="Q1608">
            <v>15</v>
          </cell>
          <cell r="R1608">
            <v>30</v>
          </cell>
        </row>
        <row r="1609">
          <cell r="B1609" t="str">
            <v>CB5323210-005L065</v>
          </cell>
          <cell r="D1609" t="str">
            <v>D</v>
          </cell>
          <cell r="E1609" t="str">
            <v>工序内容</v>
          </cell>
          <cell r="F1609" t="str">
            <v>00/领料</v>
          </cell>
          <cell r="G1609" t="str">
            <v>5/数铣</v>
          </cell>
          <cell r="H1609" t="str">
            <v>10/钳工</v>
          </cell>
          <cell r="I1609" t="str">
            <v>15/数铣</v>
          </cell>
          <cell r="J1609" t="str">
            <v>20/数铣220</v>
          </cell>
          <cell r="K1609" t="str">
            <v>25/数铣380</v>
          </cell>
          <cell r="L1609" t="str">
            <v>30/数铣300</v>
          </cell>
          <cell r="M1609" t="str">
            <v>35/数铣800</v>
          </cell>
          <cell r="N1609" t="str">
            <v>40/五轴钻孔</v>
          </cell>
          <cell r="O1609" t="str">
            <v>45/数铣600</v>
          </cell>
          <cell r="P1609" t="str">
            <v>50/五轴1000</v>
          </cell>
          <cell r="Q1609" t="str">
            <v>55/测量</v>
          </cell>
          <cell r="R1609" t="str">
            <v>60/钳工</v>
          </cell>
          <cell r="S1609" t="str">
            <v>65/清洁</v>
          </cell>
          <cell r="T1609" t="str">
            <v>70/成检</v>
          </cell>
        </row>
        <row r="1610">
          <cell r="B1610" t="str">
            <v>CB5323210-005L065</v>
          </cell>
          <cell r="D1610" t="str">
            <v>D</v>
          </cell>
          <cell r="E1610" t="str">
            <v>准备工时</v>
          </cell>
          <cell r="G1610">
            <v>60</v>
          </cell>
          <cell r="H1610">
            <v>60</v>
          </cell>
          <cell r="I1610">
            <v>60</v>
          </cell>
          <cell r="J1610">
            <v>90</v>
          </cell>
          <cell r="K1610">
            <v>90</v>
          </cell>
          <cell r="L1610">
            <v>120</v>
          </cell>
          <cell r="M1610">
            <v>120</v>
          </cell>
          <cell r="N1610">
            <v>180</v>
          </cell>
          <cell r="O1610">
            <v>120</v>
          </cell>
          <cell r="P1610">
            <v>150</v>
          </cell>
        </row>
        <row r="1611">
          <cell r="B1611" t="str">
            <v>CB5323210-005L065</v>
          </cell>
          <cell r="D1611" t="str">
            <v>D</v>
          </cell>
          <cell r="E1611" t="str">
            <v>装夹时间</v>
          </cell>
          <cell r="G1611">
            <v>60</v>
          </cell>
          <cell r="H1611">
            <v>80</v>
          </cell>
          <cell r="I1611">
            <v>60</v>
          </cell>
          <cell r="J1611">
            <v>90</v>
          </cell>
          <cell r="K1611">
            <v>90</v>
          </cell>
          <cell r="L1611">
            <v>90</v>
          </cell>
          <cell r="M1611">
            <v>90</v>
          </cell>
          <cell r="N1611">
            <v>90</v>
          </cell>
          <cell r="O1611">
            <v>90</v>
          </cell>
          <cell r="P1611">
            <v>90</v>
          </cell>
        </row>
        <row r="1612">
          <cell r="B1612" t="str">
            <v>CB5323210-005L065</v>
          </cell>
          <cell r="D1612" t="str">
            <v>D</v>
          </cell>
          <cell r="E1612" t="str">
            <v>程序时间</v>
          </cell>
          <cell r="G1612">
            <v>90</v>
          </cell>
          <cell r="I1612">
            <v>300</v>
          </cell>
          <cell r="J1612">
            <v>330</v>
          </cell>
          <cell r="K1612">
            <v>540</v>
          </cell>
          <cell r="L1612">
            <v>480</v>
          </cell>
          <cell r="M1612">
            <v>1300</v>
          </cell>
          <cell r="N1612">
            <v>120</v>
          </cell>
          <cell r="O1612">
            <v>660</v>
          </cell>
          <cell r="P1612">
            <v>3000</v>
          </cell>
          <cell r="R1612">
            <v>720</v>
          </cell>
        </row>
        <row r="1613">
          <cell r="B1613" t="str">
            <v>CB5323220-052-024</v>
          </cell>
          <cell r="D1613" t="str">
            <v>H</v>
          </cell>
          <cell r="E1613" t="str">
            <v>工序内容</v>
          </cell>
          <cell r="F1613" t="str">
            <v>0/领料</v>
          </cell>
          <cell r="G1613" t="str">
            <v>5/数铣</v>
          </cell>
          <cell r="H1613" t="str">
            <v>10/钳工</v>
          </cell>
          <cell r="I1613" t="str">
            <v>15/数铣</v>
          </cell>
          <cell r="J1613" t="str">
            <v>20/数铣240</v>
          </cell>
          <cell r="K1613" t="str">
            <v>25/数铣380</v>
          </cell>
          <cell r="L1613" t="str">
            <v>30/数铣870</v>
          </cell>
          <cell r="M1613" t="str">
            <v>35/五轴15</v>
          </cell>
          <cell r="N1613" t="str">
            <v>40/五轴1140</v>
          </cell>
          <cell r="O1613" t="str">
            <v>45/测量</v>
          </cell>
          <cell r="P1613" t="str">
            <v>50/钳工</v>
          </cell>
          <cell r="Q1613" t="str">
            <v>60/清洁</v>
          </cell>
          <cell r="R1613" t="str">
            <v>65/成检</v>
          </cell>
          <cell r="S1613" t="str">
            <v>65/成检</v>
          </cell>
          <cell r="T1613" t="str">
            <v>65/成检</v>
          </cell>
        </row>
        <row r="1614">
          <cell r="B1614" t="str">
            <v>CB5323220-052-024</v>
          </cell>
          <cell r="D1614" t="str">
            <v>H</v>
          </cell>
          <cell r="E1614" t="str">
            <v>准备工时</v>
          </cell>
          <cell r="G1614">
            <v>60</v>
          </cell>
          <cell r="H1614">
            <v>60</v>
          </cell>
          <cell r="I1614">
            <v>60</v>
          </cell>
          <cell r="J1614">
            <v>60</v>
          </cell>
          <cell r="K1614">
            <v>60</v>
          </cell>
          <cell r="L1614">
            <v>120</v>
          </cell>
          <cell r="M1614">
            <v>180</v>
          </cell>
          <cell r="N1614">
            <v>120</v>
          </cell>
        </row>
        <row r="1615">
          <cell r="B1615" t="str">
            <v>CB5323220-052-024</v>
          </cell>
          <cell r="D1615" t="str">
            <v>H</v>
          </cell>
          <cell r="E1615" t="str">
            <v>装夹时间</v>
          </cell>
          <cell r="G1615">
            <v>60</v>
          </cell>
          <cell r="I1615">
            <v>60</v>
          </cell>
          <cell r="J1615">
            <v>90</v>
          </cell>
          <cell r="K1615">
            <v>90</v>
          </cell>
          <cell r="L1615">
            <v>90</v>
          </cell>
          <cell r="M1615">
            <v>90</v>
          </cell>
          <cell r="N1615">
            <v>90</v>
          </cell>
        </row>
        <row r="1616">
          <cell r="B1616" t="str">
            <v>CB5323220-052-024</v>
          </cell>
          <cell r="D1616" t="str">
            <v>H</v>
          </cell>
          <cell r="E1616" t="str">
            <v>程序时间</v>
          </cell>
          <cell r="G1616">
            <v>90</v>
          </cell>
          <cell r="H1616">
            <v>80</v>
          </cell>
          <cell r="I1616">
            <v>300</v>
          </cell>
          <cell r="J1616">
            <v>330</v>
          </cell>
          <cell r="K1616">
            <v>540</v>
          </cell>
          <cell r="L1616">
            <v>1300</v>
          </cell>
          <cell r="M1616">
            <v>120</v>
          </cell>
          <cell r="N1616">
            <v>3000</v>
          </cell>
          <cell r="P1616">
            <v>720</v>
          </cell>
        </row>
        <row r="1617">
          <cell r="B1617" t="str">
            <v>CB221T0LCN002-002</v>
          </cell>
          <cell r="D1617" t="str">
            <v>B</v>
          </cell>
          <cell r="E1617" t="str">
            <v>工序内容</v>
          </cell>
          <cell r="F1617" t="str">
            <v>0/领料</v>
          </cell>
          <cell r="G1617" t="str">
            <v>05/下料</v>
          </cell>
          <cell r="H1617" t="str">
            <v>10/数车</v>
          </cell>
          <cell r="I1617" t="str">
            <v>15/数车</v>
          </cell>
          <cell r="J1617">
            <v>20</v>
          </cell>
          <cell r="K1617" t="str">
            <v>25/数铣</v>
          </cell>
          <cell r="L1617" t="str">
            <v>30/数铣</v>
          </cell>
          <cell r="M1617" t="str">
            <v>35/穿孔</v>
          </cell>
          <cell r="N1617" t="str">
            <v>40/数铣</v>
          </cell>
          <cell r="O1617" t="str">
            <v>45/数车</v>
          </cell>
          <cell r="P1617" t="str">
            <v>50/线切割</v>
          </cell>
          <cell r="Q1617" t="str">
            <v>55/钳工</v>
          </cell>
          <cell r="R1617" t="str">
            <v>55/钳工</v>
          </cell>
        </row>
        <row r="1618">
          <cell r="B1618" t="str">
            <v>CB221T0LCN002-002</v>
          </cell>
          <cell r="D1618" t="str">
            <v>B</v>
          </cell>
          <cell r="E1618" t="str">
            <v>准备工时</v>
          </cell>
          <cell r="H1618">
            <v>60</v>
          </cell>
          <cell r="I1618">
            <v>60</v>
          </cell>
          <cell r="K1618">
            <v>60</v>
          </cell>
          <cell r="L1618">
            <v>60</v>
          </cell>
          <cell r="N1618">
            <v>60</v>
          </cell>
          <cell r="O1618">
            <v>60</v>
          </cell>
        </row>
        <row r="1619">
          <cell r="B1619" t="str">
            <v>CB221T0LCN002-002</v>
          </cell>
          <cell r="D1619" t="str">
            <v>B</v>
          </cell>
          <cell r="E1619" t="str">
            <v>装夹时间</v>
          </cell>
        </row>
        <row r="1620">
          <cell r="B1620" t="str">
            <v>CB221T0LCN002-002</v>
          </cell>
          <cell r="D1620" t="str">
            <v>B</v>
          </cell>
          <cell r="E1620" t="str">
            <v>程序时间</v>
          </cell>
          <cell r="H1620">
            <v>20</v>
          </cell>
          <cell r="I1620">
            <v>30</v>
          </cell>
          <cell r="K1620">
            <v>30</v>
          </cell>
          <cell r="L1620">
            <v>25</v>
          </cell>
          <cell r="N1620">
            <v>25</v>
          </cell>
          <cell r="O1620">
            <v>25</v>
          </cell>
          <cell r="Q1620">
            <v>25</v>
          </cell>
        </row>
        <row r="1621">
          <cell r="B1621" t="str">
            <v>CB5324500-003L002</v>
          </cell>
          <cell r="D1621" t="str">
            <v>D</v>
          </cell>
          <cell r="E1621" t="str">
            <v>工序内容</v>
          </cell>
          <cell r="F1621" t="str">
            <v>3/钳工</v>
          </cell>
          <cell r="G1621" t="str">
            <v>5/数铣</v>
          </cell>
          <cell r="H1621" t="str">
            <v>10/数铣50</v>
          </cell>
          <cell r="I1621" t="str">
            <v>15/数铣200</v>
          </cell>
          <cell r="J1621" t="str">
            <v>20/数铣45</v>
          </cell>
          <cell r="K1621" t="str">
            <v>25/时效</v>
          </cell>
          <cell r="L1621" t="str">
            <v>30/数铣</v>
          </cell>
          <cell r="M1621" t="str">
            <v>35/数铣140</v>
          </cell>
          <cell r="N1621" t="str">
            <v>40/数铣30</v>
          </cell>
          <cell r="O1621" t="str">
            <v>45/数铣600</v>
          </cell>
          <cell r="P1621" t="str">
            <v>50/测量</v>
          </cell>
          <cell r="Q1621" t="str">
            <v>55/五轴200</v>
          </cell>
          <cell r="R1621" t="str">
            <v>60/钳工</v>
          </cell>
          <cell r="S1621" t="str">
            <v>65/检验</v>
          </cell>
          <cell r="T1621" t="str">
            <v>70/硬检</v>
          </cell>
          <cell r="U1621" t="str">
            <v>75/分光</v>
          </cell>
          <cell r="V1621" t="str">
            <v>80/钳工</v>
          </cell>
          <cell r="W1621" t="str">
            <v>85/清洁</v>
          </cell>
          <cell r="X1621" t="str">
            <v>90/成检</v>
          </cell>
        </row>
        <row r="1622">
          <cell r="B1622" t="str">
            <v>CB5324500-003L002</v>
          </cell>
          <cell r="D1622" t="str">
            <v>D</v>
          </cell>
          <cell r="E1622" t="str">
            <v>准备工时</v>
          </cell>
          <cell r="F1622">
            <v>60</v>
          </cell>
          <cell r="G1622">
            <v>60</v>
          </cell>
          <cell r="H1622">
            <v>60</v>
          </cell>
          <cell r="I1622">
            <v>60</v>
          </cell>
          <cell r="J1622">
            <v>60</v>
          </cell>
          <cell r="L1622">
            <v>60</v>
          </cell>
          <cell r="M1622">
            <v>60</v>
          </cell>
          <cell r="N1622">
            <v>60</v>
          </cell>
          <cell r="O1622">
            <v>120</v>
          </cell>
          <cell r="Q1622">
            <v>180</v>
          </cell>
        </row>
        <row r="1623">
          <cell r="B1623" t="str">
            <v>CB5324500-003L002</v>
          </cell>
          <cell r="D1623" t="str">
            <v>D</v>
          </cell>
          <cell r="E1623" t="str">
            <v>装夹时间</v>
          </cell>
          <cell r="G1623">
            <v>60</v>
          </cell>
          <cell r="H1623">
            <v>60</v>
          </cell>
          <cell r="I1623">
            <v>90</v>
          </cell>
          <cell r="J1623">
            <v>90</v>
          </cell>
          <cell r="L1623">
            <v>90</v>
          </cell>
          <cell r="M1623">
            <v>90</v>
          </cell>
          <cell r="N1623">
            <v>60</v>
          </cell>
          <cell r="O1623">
            <v>90</v>
          </cell>
          <cell r="Q1623">
            <v>90</v>
          </cell>
        </row>
        <row r="1624">
          <cell r="B1624" t="str">
            <v>CB5324500-003L002</v>
          </cell>
          <cell r="D1624" t="str">
            <v>D</v>
          </cell>
          <cell r="E1624" t="str">
            <v>程序时间</v>
          </cell>
          <cell r="F1624">
            <v>30</v>
          </cell>
          <cell r="G1624">
            <v>180</v>
          </cell>
          <cell r="H1624">
            <v>120</v>
          </cell>
          <cell r="I1624">
            <v>360</v>
          </cell>
          <cell r="J1624">
            <v>90</v>
          </cell>
          <cell r="L1624">
            <v>120</v>
          </cell>
          <cell r="M1624">
            <v>180</v>
          </cell>
          <cell r="N1624">
            <v>30</v>
          </cell>
          <cell r="O1624">
            <v>1050</v>
          </cell>
          <cell r="Q1624">
            <v>450</v>
          </cell>
          <cell r="R1624">
            <v>300</v>
          </cell>
          <cell r="V1624">
            <v>5</v>
          </cell>
        </row>
        <row r="1625">
          <cell r="B1625" t="str">
            <v>CB5324500-003R002</v>
          </cell>
          <cell r="D1625" t="str">
            <v>D</v>
          </cell>
          <cell r="E1625" t="str">
            <v>工序内容</v>
          </cell>
          <cell r="F1625" t="str">
            <v>3/钳工</v>
          </cell>
          <cell r="G1625" t="str">
            <v>5/数铣</v>
          </cell>
          <cell r="H1625" t="str">
            <v>10/数铣50</v>
          </cell>
          <cell r="I1625" t="str">
            <v>15/数铣200</v>
          </cell>
          <cell r="J1625" t="str">
            <v>20/数铣45</v>
          </cell>
          <cell r="K1625" t="str">
            <v>25/时效</v>
          </cell>
          <cell r="L1625" t="str">
            <v>30/数铣</v>
          </cell>
          <cell r="M1625" t="str">
            <v>35/数铣140</v>
          </cell>
          <cell r="N1625" t="str">
            <v>40/数铣30</v>
          </cell>
          <cell r="O1625" t="str">
            <v>45/数铣600</v>
          </cell>
          <cell r="P1625" t="str">
            <v>50/测量</v>
          </cell>
          <cell r="Q1625" t="str">
            <v>55/五轴200</v>
          </cell>
          <cell r="R1625" t="str">
            <v>60/钳工</v>
          </cell>
          <cell r="S1625" t="str">
            <v>65/检验</v>
          </cell>
          <cell r="T1625" t="str">
            <v>70/硬检</v>
          </cell>
          <cell r="U1625" t="str">
            <v>75/分光</v>
          </cell>
          <cell r="V1625" t="str">
            <v>80/钳工</v>
          </cell>
          <cell r="W1625" t="str">
            <v>85/清洁</v>
          </cell>
          <cell r="X1625" t="str">
            <v>90/成检</v>
          </cell>
        </row>
        <row r="1626">
          <cell r="B1626" t="str">
            <v>CB5324500-003R002</v>
          </cell>
          <cell r="D1626" t="str">
            <v>D</v>
          </cell>
          <cell r="E1626" t="str">
            <v>准备工时</v>
          </cell>
          <cell r="F1626">
            <v>60</v>
          </cell>
          <cell r="G1626">
            <v>60</v>
          </cell>
          <cell r="H1626">
            <v>60</v>
          </cell>
          <cell r="I1626">
            <v>60</v>
          </cell>
          <cell r="J1626">
            <v>60</v>
          </cell>
          <cell r="L1626">
            <v>60</v>
          </cell>
          <cell r="M1626">
            <v>60</v>
          </cell>
          <cell r="N1626">
            <v>60</v>
          </cell>
          <cell r="O1626">
            <v>120</v>
          </cell>
          <cell r="Q1626">
            <v>180</v>
          </cell>
        </row>
        <row r="1627">
          <cell r="B1627" t="str">
            <v>CB5324500-003R002</v>
          </cell>
          <cell r="D1627" t="str">
            <v>D</v>
          </cell>
          <cell r="E1627" t="str">
            <v>装夹时间</v>
          </cell>
          <cell r="G1627">
            <v>60</v>
          </cell>
          <cell r="H1627">
            <v>60</v>
          </cell>
          <cell r="I1627">
            <v>90</v>
          </cell>
          <cell r="J1627">
            <v>90</v>
          </cell>
          <cell r="L1627">
            <v>90</v>
          </cell>
          <cell r="M1627">
            <v>90</v>
          </cell>
          <cell r="N1627">
            <v>60</v>
          </cell>
          <cell r="O1627">
            <v>90</v>
          </cell>
          <cell r="Q1627">
            <v>90</v>
          </cell>
        </row>
        <row r="1628">
          <cell r="B1628" t="str">
            <v>CB5324500-003R002</v>
          </cell>
          <cell r="D1628" t="str">
            <v>D</v>
          </cell>
          <cell r="E1628" t="str">
            <v>程序时间</v>
          </cell>
          <cell r="F1628">
            <v>30</v>
          </cell>
          <cell r="G1628">
            <v>180</v>
          </cell>
          <cell r="H1628">
            <v>120</v>
          </cell>
          <cell r="I1628">
            <v>360</v>
          </cell>
          <cell r="J1628">
            <v>90</v>
          </cell>
          <cell r="L1628">
            <v>120</v>
          </cell>
          <cell r="M1628">
            <v>180</v>
          </cell>
          <cell r="N1628">
            <v>30</v>
          </cell>
          <cell r="O1628">
            <v>1050</v>
          </cell>
          <cell r="Q1628">
            <v>450</v>
          </cell>
          <cell r="R1628">
            <v>300</v>
          </cell>
          <cell r="V1628">
            <v>5</v>
          </cell>
        </row>
        <row r="1629">
          <cell r="B1629" t="str">
            <v>Y20-5315200202-001</v>
          </cell>
          <cell r="D1629" t="str">
            <v>B</v>
          </cell>
          <cell r="E1629" t="str">
            <v>工序内容</v>
          </cell>
          <cell r="F1629" t="str">
            <v>0/领料</v>
          </cell>
          <cell r="G1629" t="str">
            <v>5铣夹持</v>
          </cell>
          <cell r="H1629" t="str">
            <v>10数铣10</v>
          </cell>
          <cell r="I1629" t="str">
            <v>15五轴60</v>
          </cell>
          <cell r="J1629" t="str">
            <v>20测量</v>
          </cell>
          <cell r="K1629" t="str">
            <v>25钳工</v>
          </cell>
          <cell r="L1629" t="str">
            <v>30清洁</v>
          </cell>
          <cell r="M1629" t="str">
            <v>35检验</v>
          </cell>
          <cell r="N1629" t="str">
            <v>40分光</v>
          </cell>
          <cell r="O1629" t="str">
            <v>45钳工</v>
          </cell>
          <cell r="P1629" t="str">
            <v>50清洁</v>
          </cell>
          <cell r="Q1629" t="str">
            <v>55成检</v>
          </cell>
        </row>
        <row r="1630">
          <cell r="B1630" t="str">
            <v>Y20-5315200202-001</v>
          </cell>
          <cell r="D1630" t="str">
            <v>B</v>
          </cell>
          <cell r="E1630" t="str">
            <v>准备工时</v>
          </cell>
          <cell r="G1630">
            <v>60</v>
          </cell>
          <cell r="H1630">
            <v>60</v>
          </cell>
          <cell r="I1630">
            <v>60</v>
          </cell>
        </row>
        <row r="1631">
          <cell r="B1631" t="str">
            <v>Y20-5315200202-001</v>
          </cell>
          <cell r="D1631" t="str">
            <v>B</v>
          </cell>
          <cell r="E1631" t="str">
            <v>装夹时间</v>
          </cell>
          <cell r="I1631">
            <v>60</v>
          </cell>
        </row>
        <row r="1632">
          <cell r="B1632" t="str">
            <v>Y20-5315200202-001</v>
          </cell>
          <cell r="D1632" t="str">
            <v>B</v>
          </cell>
          <cell r="E1632" t="str">
            <v>程序时间</v>
          </cell>
          <cell r="G1632">
            <v>20</v>
          </cell>
          <cell r="H1632">
            <v>45</v>
          </cell>
          <cell r="I1632">
            <v>150</v>
          </cell>
          <cell r="K1632">
            <v>35</v>
          </cell>
          <cell r="O1632">
            <v>5</v>
          </cell>
        </row>
        <row r="1633">
          <cell r="B1633" t="str">
            <v>Y20-5315200202-002</v>
          </cell>
          <cell r="D1633" t="str">
            <v>B</v>
          </cell>
          <cell r="E1633" t="str">
            <v>工序内容</v>
          </cell>
          <cell r="F1633" t="str">
            <v>0/领料</v>
          </cell>
          <cell r="G1633" t="str">
            <v>5铣夹持</v>
          </cell>
          <cell r="H1633" t="str">
            <v>10数铣10</v>
          </cell>
          <cell r="I1633" t="str">
            <v>15五轴60</v>
          </cell>
          <cell r="J1633" t="str">
            <v>20测量</v>
          </cell>
          <cell r="K1633" t="str">
            <v>25钳工</v>
          </cell>
          <cell r="L1633" t="str">
            <v>30清洁</v>
          </cell>
          <cell r="M1633" t="str">
            <v>35检验</v>
          </cell>
          <cell r="N1633" t="str">
            <v>40分光</v>
          </cell>
          <cell r="O1633" t="str">
            <v>45钳工</v>
          </cell>
          <cell r="P1633" t="str">
            <v>50清洁</v>
          </cell>
          <cell r="Q1633" t="str">
            <v>55成检</v>
          </cell>
        </row>
        <row r="1634">
          <cell r="B1634" t="str">
            <v>Y20-5315200202-002</v>
          </cell>
          <cell r="D1634" t="str">
            <v>B</v>
          </cell>
          <cell r="E1634" t="str">
            <v>准备工时</v>
          </cell>
          <cell r="G1634">
            <v>60</v>
          </cell>
          <cell r="H1634">
            <v>60</v>
          </cell>
          <cell r="I1634">
            <v>60</v>
          </cell>
        </row>
        <row r="1635">
          <cell r="B1635" t="str">
            <v>Y20-5315200202-002</v>
          </cell>
          <cell r="D1635" t="str">
            <v>B</v>
          </cell>
          <cell r="E1635" t="str">
            <v>装夹时间</v>
          </cell>
          <cell r="I1635">
            <v>60</v>
          </cell>
        </row>
        <row r="1636">
          <cell r="B1636" t="str">
            <v>Y20-5315200202-002</v>
          </cell>
          <cell r="D1636" t="str">
            <v>B</v>
          </cell>
          <cell r="E1636" t="str">
            <v>程序时间</v>
          </cell>
          <cell r="G1636">
            <v>20</v>
          </cell>
          <cell r="H1636">
            <v>45</v>
          </cell>
          <cell r="I1636">
            <v>150</v>
          </cell>
          <cell r="K1636">
            <v>35</v>
          </cell>
          <cell r="O1636">
            <v>5</v>
          </cell>
        </row>
        <row r="1637">
          <cell r="B1637" t="str">
            <v>CB5323400-008L001</v>
          </cell>
          <cell r="D1637" t="str">
            <v>B</v>
          </cell>
          <cell r="E1637" t="str">
            <v>工序内容</v>
          </cell>
          <cell r="F1637" t="str">
            <v>0/领料</v>
          </cell>
          <cell r="G1637" t="str">
            <v>05/下料</v>
          </cell>
          <cell r="H1637" t="str">
            <v>10/数铣</v>
          </cell>
          <cell r="I1637" t="str">
            <v>15/数铣20</v>
          </cell>
          <cell r="J1637" t="str">
            <v>20/数铣120</v>
          </cell>
          <cell r="K1637" t="str">
            <v>25/数铣90</v>
          </cell>
          <cell r="L1637" t="str">
            <v>30/失效</v>
          </cell>
          <cell r="M1637" t="str">
            <v>35/修面</v>
          </cell>
          <cell r="N1637" t="str">
            <v>40/数铣160</v>
          </cell>
          <cell r="O1637" t="str">
            <v>45/数铣180</v>
          </cell>
          <cell r="P1637" t="str">
            <v>50/钳工</v>
          </cell>
          <cell r="Q1637" t="str">
            <v>55/测量</v>
          </cell>
          <cell r="R1637" t="str">
            <v>60/铣试块</v>
          </cell>
          <cell r="S1637" t="str">
            <v>65/清洁</v>
          </cell>
          <cell r="T1637" t="str">
            <v>70/检验</v>
          </cell>
          <cell r="U1637" t="str">
            <v>75/分光</v>
          </cell>
          <cell r="V1637" t="str">
            <v>80/硬度</v>
          </cell>
          <cell r="W1637" t="str">
            <v>85/钳工</v>
          </cell>
          <cell r="X1637" t="str">
            <v>90/检验</v>
          </cell>
          <cell r="Y1637" t="str">
            <v>95/清洁</v>
          </cell>
          <cell r="Z1637" t="str">
            <v>100/成检</v>
          </cell>
        </row>
        <row r="1638">
          <cell r="B1638" t="str">
            <v>CB5323400-008L001</v>
          </cell>
          <cell r="D1638" t="str">
            <v>B</v>
          </cell>
          <cell r="E1638" t="str">
            <v>准备工时</v>
          </cell>
          <cell r="H1638">
            <v>60</v>
          </cell>
          <cell r="I1638">
            <v>60</v>
          </cell>
          <cell r="J1638">
            <v>60</v>
          </cell>
          <cell r="K1638">
            <v>60</v>
          </cell>
          <cell r="M1638">
            <v>60</v>
          </cell>
          <cell r="N1638">
            <v>60</v>
          </cell>
          <cell r="O1638">
            <v>60</v>
          </cell>
        </row>
        <row r="1639">
          <cell r="B1639" t="str">
            <v>CB5323400-008L001</v>
          </cell>
          <cell r="D1639" t="str">
            <v>B</v>
          </cell>
          <cell r="E1639" t="str">
            <v>装夹时间</v>
          </cell>
        </row>
        <row r="1640">
          <cell r="B1640" t="str">
            <v>CB5323400-008L001</v>
          </cell>
          <cell r="D1640" t="str">
            <v>B</v>
          </cell>
          <cell r="E1640" t="str">
            <v>程序时间</v>
          </cell>
          <cell r="H1640">
            <v>60</v>
          </cell>
          <cell r="I1640">
            <v>50</v>
          </cell>
          <cell r="J1640">
            <v>160</v>
          </cell>
          <cell r="K1640">
            <v>130</v>
          </cell>
          <cell r="M1640">
            <v>60</v>
          </cell>
          <cell r="N1640">
            <v>230</v>
          </cell>
          <cell r="O1640">
            <v>250</v>
          </cell>
          <cell r="P1640">
            <v>90</v>
          </cell>
          <cell r="R1640">
            <v>10</v>
          </cell>
          <cell r="W1640">
            <v>5</v>
          </cell>
        </row>
        <row r="1641">
          <cell r="B1641" t="str">
            <v>CB5323400-008R001</v>
          </cell>
          <cell r="D1641" t="str">
            <v>B</v>
          </cell>
          <cell r="E1641" t="str">
            <v>工序内容</v>
          </cell>
          <cell r="F1641" t="str">
            <v>0/领料</v>
          </cell>
          <cell r="G1641" t="str">
            <v>05/下料</v>
          </cell>
          <cell r="H1641" t="str">
            <v>10/数铣</v>
          </cell>
          <cell r="I1641" t="str">
            <v>15/数铣20</v>
          </cell>
          <cell r="J1641" t="str">
            <v>20/数铣120</v>
          </cell>
          <cell r="K1641" t="str">
            <v>25/数铣90</v>
          </cell>
          <cell r="L1641" t="str">
            <v>30/失效</v>
          </cell>
          <cell r="M1641" t="str">
            <v>35/修面</v>
          </cell>
          <cell r="N1641" t="str">
            <v>40/数铣160</v>
          </cell>
          <cell r="O1641" t="str">
            <v>45/数铣180</v>
          </cell>
          <cell r="P1641" t="str">
            <v>50/钳工</v>
          </cell>
          <cell r="Q1641" t="str">
            <v>55/测量</v>
          </cell>
          <cell r="R1641" t="str">
            <v>60/铣试块</v>
          </cell>
          <cell r="S1641" t="str">
            <v>65/清洁</v>
          </cell>
          <cell r="T1641" t="str">
            <v>70/检验</v>
          </cell>
          <cell r="U1641" t="str">
            <v>75/分光</v>
          </cell>
          <cell r="V1641" t="str">
            <v>80/硬度</v>
          </cell>
          <cell r="W1641" t="str">
            <v>85/钳工</v>
          </cell>
          <cell r="X1641" t="str">
            <v>90/检验</v>
          </cell>
          <cell r="Y1641" t="str">
            <v>95/清洁</v>
          </cell>
          <cell r="Z1641" t="str">
            <v>100/成检</v>
          </cell>
        </row>
        <row r="1642">
          <cell r="B1642" t="str">
            <v>CB5323400-008R001</v>
          </cell>
          <cell r="D1642" t="str">
            <v>B</v>
          </cell>
          <cell r="E1642" t="str">
            <v>准备工时</v>
          </cell>
          <cell r="H1642">
            <v>60</v>
          </cell>
          <cell r="I1642">
            <v>60</v>
          </cell>
          <cell r="J1642">
            <v>60</v>
          </cell>
          <cell r="K1642">
            <v>60</v>
          </cell>
          <cell r="M1642">
            <v>60</v>
          </cell>
          <cell r="N1642">
            <v>120</v>
          </cell>
          <cell r="O1642">
            <v>90</v>
          </cell>
        </row>
        <row r="1643">
          <cell r="B1643" t="str">
            <v>CB5323400-008R001</v>
          </cell>
          <cell r="D1643" t="str">
            <v>B</v>
          </cell>
          <cell r="E1643" t="str">
            <v>装夹时间</v>
          </cell>
        </row>
        <row r="1644">
          <cell r="B1644" t="str">
            <v>CB5323400-008R001</v>
          </cell>
          <cell r="D1644" t="str">
            <v>B</v>
          </cell>
          <cell r="E1644" t="str">
            <v>程序时间</v>
          </cell>
          <cell r="H1644">
            <v>60</v>
          </cell>
          <cell r="I1644">
            <v>50</v>
          </cell>
          <cell r="J1644">
            <v>160</v>
          </cell>
          <cell r="K1644">
            <v>130</v>
          </cell>
          <cell r="M1644">
            <v>60</v>
          </cell>
          <cell r="N1644">
            <v>230</v>
          </cell>
          <cell r="O1644">
            <v>250</v>
          </cell>
          <cell r="P1644">
            <v>90</v>
          </cell>
          <cell r="R1644">
            <v>10</v>
          </cell>
          <cell r="W1644">
            <v>5</v>
          </cell>
        </row>
        <row r="1645">
          <cell r="B1645" t="str">
            <v>C532111100-008L001</v>
          </cell>
          <cell r="D1645" t="str">
            <v>A</v>
          </cell>
          <cell r="E1645" t="str">
            <v>工序内容</v>
          </cell>
          <cell r="F1645" t="str">
            <v>0/领料</v>
          </cell>
          <cell r="G1645" t="str">
            <v>05/下料</v>
          </cell>
          <cell r="H1645" t="str">
            <v>10/数铣</v>
          </cell>
          <cell r="I1645" t="str">
            <v>15/数铣20</v>
          </cell>
          <cell r="J1645" t="str">
            <v>20/数铣120</v>
          </cell>
          <cell r="K1645" t="str">
            <v>25/数铣90</v>
          </cell>
          <cell r="L1645" t="str">
            <v>30/失效</v>
          </cell>
          <cell r="M1645" t="str">
            <v>35/修面</v>
          </cell>
          <cell r="N1645" t="str">
            <v>40/数铣160</v>
          </cell>
          <cell r="O1645" t="str">
            <v>45/数铣180</v>
          </cell>
          <cell r="P1645" t="str">
            <v>50/钳工</v>
          </cell>
          <cell r="Q1645" t="str">
            <v>55/测量</v>
          </cell>
          <cell r="R1645" t="str">
            <v>60清洁</v>
          </cell>
          <cell r="S1645" t="str">
            <v>65成检</v>
          </cell>
        </row>
        <row r="1646">
          <cell r="B1646" t="str">
            <v>C532111100-008L001</v>
          </cell>
          <cell r="D1646" t="str">
            <v>A</v>
          </cell>
          <cell r="E1646" t="str">
            <v>准备工时</v>
          </cell>
          <cell r="H1646">
            <v>60</v>
          </cell>
          <cell r="I1646">
            <v>60</v>
          </cell>
          <cell r="J1646">
            <v>60</v>
          </cell>
          <cell r="K1646">
            <v>60</v>
          </cell>
          <cell r="M1646">
            <v>60</v>
          </cell>
          <cell r="N1646">
            <v>120</v>
          </cell>
          <cell r="O1646">
            <v>90</v>
          </cell>
        </row>
        <row r="1647">
          <cell r="B1647" t="str">
            <v>C532111100-008L001</v>
          </cell>
          <cell r="D1647" t="str">
            <v>A</v>
          </cell>
          <cell r="E1647" t="str">
            <v>装夹时间</v>
          </cell>
        </row>
        <row r="1648">
          <cell r="B1648" t="str">
            <v>C532111100-008L001</v>
          </cell>
          <cell r="D1648" t="str">
            <v>A</v>
          </cell>
          <cell r="E1648" t="str">
            <v>程序时间</v>
          </cell>
          <cell r="H1648">
            <v>60</v>
          </cell>
          <cell r="I1648">
            <v>50</v>
          </cell>
          <cell r="J1648">
            <v>260</v>
          </cell>
          <cell r="K1648">
            <v>180</v>
          </cell>
          <cell r="M1648">
            <v>60</v>
          </cell>
          <cell r="N1648">
            <v>230</v>
          </cell>
          <cell r="O1648">
            <v>250</v>
          </cell>
          <cell r="P1648">
            <v>90</v>
          </cell>
        </row>
        <row r="1649">
          <cell r="B1649" t="str">
            <v>C532111100-008R001</v>
          </cell>
          <cell r="D1649" t="str">
            <v>A</v>
          </cell>
          <cell r="E1649" t="str">
            <v>工序内容</v>
          </cell>
          <cell r="F1649" t="str">
            <v>0/领料</v>
          </cell>
          <cell r="G1649" t="str">
            <v>05/下料</v>
          </cell>
          <cell r="H1649" t="str">
            <v>10/数铣</v>
          </cell>
          <cell r="I1649" t="str">
            <v>15/数铣20</v>
          </cell>
          <cell r="J1649" t="str">
            <v>20/数铣120</v>
          </cell>
          <cell r="K1649" t="str">
            <v>25/数铣90</v>
          </cell>
          <cell r="L1649" t="str">
            <v>30/失效</v>
          </cell>
          <cell r="M1649" t="str">
            <v>35/修面</v>
          </cell>
          <cell r="N1649" t="str">
            <v>40/数铣160</v>
          </cell>
          <cell r="O1649" t="str">
            <v>45/数铣180</v>
          </cell>
          <cell r="P1649" t="str">
            <v>50/钳工</v>
          </cell>
          <cell r="Q1649" t="str">
            <v>55/测量</v>
          </cell>
          <cell r="R1649" t="str">
            <v>60清洁</v>
          </cell>
          <cell r="S1649" t="str">
            <v>65成检</v>
          </cell>
        </row>
        <row r="1650">
          <cell r="B1650" t="str">
            <v>C532111100-008R001</v>
          </cell>
          <cell r="D1650" t="str">
            <v>A</v>
          </cell>
          <cell r="E1650" t="str">
            <v>准备工时</v>
          </cell>
          <cell r="H1650">
            <v>60</v>
          </cell>
          <cell r="I1650">
            <v>60</v>
          </cell>
          <cell r="J1650">
            <v>60</v>
          </cell>
          <cell r="K1650">
            <v>60</v>
          </cell>
          <cell r="M1650">
            <v>60</v>
          </cell>
          <cell r="N1650">
            <v>60</v>
          </cell>
          <cell r="O1650">
            <v>60</v>
          </cell>
        </row>
        <row r="1651">
          <cell r="B1651" t="str">
            <v>C532111100-008R001</v>
          </cell>
          <cell r="D1651" t="str">
            <v>A</v>
          </cell>
          <cell r="E1651" t="str">
            <v>装夹时间</v>
          </cell>
        </row>
        <row r="1652">
          <cell r="B1652" t="str">
            <v>C532111100-008R001</v>
          </cell>
          <cell r="D1652" t="str">
            <v>A</v>
          </cell>
          <cell r="E1652" t="str">
            <v>程序时间</v>
          </cell>
          <cell r="H1652">
            <v>60</v>
          </cell>
          <cell r="I1652">
            <v>50</v>
          </cell>
          <cell r="J1652">
            <v>260</v>
          </cell>
          <cell r="K1652">
            <v>180</v>
          </cell>
          <cell r="M1652">
            <v>60</v>
          </cell>
          <cell r="N1652">
            <v>230</v>
          </cell>
          <cell r="O1652">
            <v>250</v>
          </cell>
          <cell r="P1652">
            <v>90</v>
          </cell>
        </row>
        <row r="1653">
          <cell r="B1653" t="str">
            <v>C532111100-008L001</v>
          </cell>
          <cell r="D1653" t="str">
            <v>B</v>
          </cell>
          <cell r="E1653" t="str">
            <v>工序内容</v>
          </cell>
          <cell r="F1653" t="str">
            <v>0/领料</v>
          </cell>
          <cell r="G1653" t="str">
            <v>05/下料</v>
          </cell>
          <cell r="H1653" t="str">
            <v>10/数铣</v>
          </cell>
          <cell r="I1653" t="str">
            <v>15/数铣20</v>
          </cell>
          <cell r="J1653" t="str">
            <v>20/数铣120</v>
          </cell>
          <cell r="K1653" t="str">
            <v>25/数铣90</v>
          </cell>
          <cell r="L1653" t="str">
            <v>30/失效</v>
          </cell>
          <cell r="M1653" t="str">
            <v>35/修面</v>
          </cell>
          <cell r="N1653" t="str">
            <v>40/数铣160</v>
          </cell>
          <cell r="O1653" t="str">
            <v>45/数铣180</v>
          </cell>
          <cell r="P1653" t="str">
            <v>50/钳工</v>
          </cell>
          <cell r="Q1653" t="str">
            <v>55/测量</v>
          </cell>
          <cell r="R1653" t="str">
            <v>60清洁</v>
          </cell>
          <cell r="S1653" t="str">
            <v>65成检</v>
          </cell>
        </row>
        <row r="1654">
          <cell r="B1654" t="str">
            <v>C532111100-008L001</v>
          </cell>
          <cell r="D1654" t="str">
            <v>B</v>
          </cell>
          <cell r="E1654" t="str">
            <v>准备工时</v>
          </cell>
          <cell r="H1654">
            <v>60</v>
          </cell>
          <cell r="I1654">
            <v>60</v>
          </cell>
          <cell r="J1654">
            <v>60</v>
          </cell>
          <cell r="K1654">
            <v>60</v>
          </cell>
          <cell r="M1654">
            <v>60</v>
          </cell>
          <cell r="N1654">
            <v>90</v>
          </cell>
          <cell r="O1654">
            <v>90</v>
          </cell>
        </row>
        <row r="1655">
          <cell r="B1655" t="str">
            <v>C532111100-008L001</v>
          </cell>
          <cell r="D1655" t="str">
            <v>B</v>
          </cell>
          <cell r="E1655" t="str">
            <v>装夹时间</v>
          </cell>
        </row>
        <row r="1656">
          <cell r="B1656" t="str">
            <v>C532111100-008L001</v>
          </cell>
          <cell r="D1656" t="str">
            <v>B</v>
          </cell>
          <cell r="E1656" t="str">
            <v>程序时间</v>
          </cell>
          <cell r="H1656">
            <v>60</v>
          </cell>
          <cell r="I1656">
            <v>50</v>
          </cell>
          <cell r="J1656">
            <v>260</v>
          </cell>
          <cell r="K1656">
            <v>180</v>
          </cell>
          <cell r="M1656">
            <v>60</v>
          </cell>
          <cell r="N1656">
            <v>230</v>
          </cell>
          <cell r="O1656">
            <v>250</v>
          </cell>
          <cell r="P1656">
            <v>90</v>
          </cell>
        </row>
        <row r="1657">
          <cell r="B1657" t="str">
            <v>C532111100-008R001</v>
          </cell>
          <cell r="D1657" t="str">
            <v>B</v>
          </cell>
          <cell r="E1657" t="str">
            <v>工序内容</v>
          </cell>
          <cell r="F1657" t="str">
            <v>0/领料</v>
          </cell>
          <cell r="G1657" t="str">
            <v>05/下料</v>
          </cell>
          <cell r="H1657" t="str">
            <v>10/数铣</v>
          </cell>
          <cell r="I1657" t="str">
            <v>15/数铣20</v>
          </cell>
          <cell r="J1657" t="str">
            <v>20/数铣120</v>
          </cell>
          <cell r="K1657" t="str">
            <v>25/数铣90</v>
          </cell>
          <cell r="L1657" t="str">
            <v>30/失效</v>
          </cell>
          <cell r="M1657" t="str">
            <v>35/修面</v>
          </cell>
          <cell r="N1657" t="str">
            <v>40/数铣160</v>
          </cell>
          <cell r="O1657" t="str">
            <v>45/数铣180</v>
          </cell>
          <cell r="P1657" t="str">
            <v>50/钳工</v>
          </cell>
          <cell r="Q1657" t="str">
            <v>55/测量</v>
          </cell>
          <cell r="R1657" t="str">
            <v>60清洁</v>
          </cell>
          <cell r="S1657" t="str">
            <v>65成检</v>
          </cell>
        </row>
        <row r="1658">
          <cell r="B1658" t="str">
            <v>C532111100-008R001</v>
          </cell>
          <cell r="D1658" t="str">
            <v>B</v>
          </cell>
          <cell r="E1658" t="str">
            <v>准备工时</v>
          </cell>
          <cell r="H1658">
            <v>60</v>
          </cell>
          <cell r="I1658">
            <v>60</v>
          </cell>
          <cell r="J1658">
            <v>60</v>
          </cell>
          <cell r="K1658">
            <v>60</v>
          </cell>
          <cell r="M1658">
            <v>60</v>
          </cell>
          <cell r="N1658">
            <v>90</v>
          </cell>
          <cell r="O1658">
            <v>90</v>
          </cell>
        </row>
        <row r="1659">
          <cell r="B1659" t="str">
            <v>C532111100-008R001</v>
          </cell>
          <cell r="D1659" t="str">
            <v>B</v>
          </cell>
          <cell r="E1659" t="str">
            <v>装夹时间</v>
          </cell>
        </row>
        <row r="1660">
          <cell r="B1660" t="str">
            <v>C532111100-008R001</v>
          </cell>
          <cell r="D1660" t="str">
            <v>B</v>
          </cell>
          <cell r="E1660" t="str">
            <v>程序时间</v>
          </cell>
          <cell r="H1660">
            <v>60</v>
          </cell>
          <cell r="I1660">
            <v>50</v>
          </cell>
          <cell r="J1660">
            <v>260</v>
          </cell>
          <cell r="K1660">
            <v>180</v>
          </cell>
          <cell r="M1660">
            <v>60</v>
          </cell>
          <cell r="N1660">
            <v>230</v>
          </cell>
          <cell r="O1660">
            <v>250</v>
          </cell>
          <cell r="P1660">
            <v>90</v>
          </cell>
        </row>
        <row r="1661">
          <cell r="B1661" t="str">
            <v>DD-J10-55014-3200-1</v>
          </cell>
          <cell r="D1661" t="str">
            <v>A</v>
          </cell>
          <cell r="E1661" t="str">
            <v>工序内容</v>
          </cell>
          <cell r="F1661" t="str">
            <v>0/领料</v>
          </cell>
          <cell r="G1661" t="str">
            <v>05/钳工</v>
          </cell>
          <cell r="H1661" t="str">
            <v>10/数车5</v>
          </cell>
          <cell r="I1661" t="str">
            <v>15/数车10</v>
          </cell>
          <cell r="J1661" t="str">
            <v>20/数铣10</v>
          </cell>
          <cell r="K1661" t="str">
            <v>25/线切割</v>
          </cell>
          <cell r="L1661" t="str">
            <v>30/数车15</v>
          </cell>
          <cell r="M1661" t="str">
            <v>35/数车15</v>
          </cell>
          <cell r="N1661" t="str">
            <v>40/线切割</v>
          </cell>
          <cell r="O1661" t="str">
            <v>45/钳工</v>
          </cell>
          <cell r="P1661" t="str">
            <v>50热处理</v>
          </cell>
          <cell r="Q1661" t="str">
            <v>55/线切割</v>
          </cell>
          <cell r="R1661" t="str">
            <v>60数车20</v>
          </cell>
          <cell r="S1661" t="str">
            <v>65钳工</v>
          </cell>
          <cell r="T1661" t="str">
            <v>70/入厂复检</v>
          </cell>
          <cell r="U1661" t="str">
            <v>75/回火</v>
          </cell>
          <cell r="V1661" t="str">
            <v>80表处</v>
          </cell>
          <cell r="W1661" t="str">
            <v>85表处</v>
          </cell>
          <cell r="X1661" t="str">
            <v>90清洗</v>
          </cell>
          <cell r="Y1661" t="str">
            <v>95磁粉</v>
          </cell>
          <cell r="Z1661" t="str">
            <v>100清洗</v>
          </cell>
          <cell r="AA1661" t="str">
            <v>105表处</v>
          </cell>
          <cell r="AB1661" t="str">
            <v>110表处</v>
          </cell>
          <cell r="AC1661" t="str">
            <v>115钳工</v>
          </cell>
          <cell r="AD1661" t="str">
            <v>120清洁</v>
          </cell>
          <cell r="AE1661" t="str">
            <v>125成检</v>
          </cell>
        </row>
        <row r="1662">
          <cell r="B1662" t="str">
            <v>DD-J10-55014-3200-1</v>
          </cell>
          <cell r="D1662" t="str">
            <v>A</v>
          </cell>
          <cell r="E1662" t="str">
            <v>准备工时</v>
          </cell>
          <cell r="H1662">
            <v>90</v>
          </cell>
          <cell r="I1662">
            <v>120</v>
          </cell>
          <cell r="M1662">
            <v>120</v>
          </cell>
          <cell r="R1662">
            <v>60</v>
          </cell>
        </row>
        <row r="1663">
          <cell r="B1663" t="str">
            <v>DD-J10-55014-3200-1</v>
          </cell>
          <cell r="D1663" t="str">
            <v>A</v>
          </cell>
          <cell r="E1663" t="str">
            <v>装夹时间</v>
          </cell>
        </row>
        <row r="1664">
          <cell r="B1664" t="str">
            <v>DD-J10-55014-3200-1</v>
          </cell>
          <cell r="D1664" t="str">
            <v>A</v>
          </cell>
          <cell r="E1664" t="str">
            <v>程序时间</v>
          </cell>
          <cell r="G1664">
            <v>20</v>
          </cell>
          <cell r="H1664">
            <v>20</v>
          </cell>
          <cell r="I1664">
            <v>25</v>
          </cell>
          <cell r="M1664">
            <v>40</v>
          </cell>
          <cell r="O1664">
            <v>35</v>
          </cell>
          <cell r="R1664">
            <v>40</v>
          </cell>
          <cell r="S1664">
            <v>30</v>
          </cell>
          <cell r="AC1664">
            <v>20</v>
          </cell>
        </row>
        <row r="1665">
          <cell r="B1665" t="str">
            <v>DD-J10-55014-3200-1</v>
          </cell>
          <cell r="D1665" t="str">
            <v>B</v>
          </cell>
          <cell r="E1665" t="str">
            <v>工序内容</v>
          </cell>
          <cell r="F1665" t="str">
            <v>0/领料</v>
          </cell>
          <cell r="G1665" t="str">
            <v>05/钳工</v>
          </cell>
          <cell r="H1665" t="str">
            <v>10/数车10</v>
          </cell>
          <cell r="I1665" t="str">
            <v>15/数车15</v>
          </cell>
          <cell r="J1665" t="str">
            <v>20/线切割</v>
          </cell>
          <cell r="K1665" t="str">
            <v>25/数铣20</v>
          </cell>
          <cell r="L1665" t="str">
            <v>30/数车25</v>
          </cell>
          <cell r="M1665" t="str">
            <v>35/数车15</v>
          </cell>
          <cell r="N1665" t="str">
            <v>40/数铣15</v>
          </cell>
          <cell r="O1665" t="str">
            <v>45/钳工</v>
          </cell>
          <cell r="P1665" t="str">
            <v>50热处理</v>
          </cell>
          <cell r="Q1665" t="str">
            <v>55数铣20</v>
          </cell>
          <cell r="R1665" t="str">
            <v>60数车30</v>
          </cell>
          <cell r="S1665" t="str">
            <v>65钳工</v>
          </cell>
          <cell r="T1665" t="str">
            <v>68中间检</v>
          </cell>
          <cell r="U1665" t="str">
            <v>70入厂复检</v>
          </cell>
          <cell r="V1665" t="str">
            <v>75去应力</v>
          </cell>
          <cell r="W1665" t="str">
            <v>80表处</v>
          </cell>
          <cell r="X1665" t="str">
            <v>85表处</v>
          </cell>
          <cell r="Y1665" t="str">
            <v>90清洗</v>
          </cell>
          <cell r="Z1665" t="str">
            <v>95磁粉</v>
          </cell>
          <cell r="AA1665" t="str">
            <v>100清洗</v>
          </cell>
          <cell r="AB1665" t="str">
            <v>105表处</v>
          </cell>
          <cell r="AC1665" t="str">
            <v>110表处</v>
          </cell>
          <cell r="AD1665" t="str">
            <v>115数车10</v>
          </cell>
          <cell r="AE1665" t="str">
            <v>120清洁</v>
          </cell>
          <cell r="AF1665" t="str">
            <v>130成检</v>
          </cell>
        </row>
        <row r="1666">
          <cell r="B1666" t="str">
            <v>DD-J10-55014-3200-1</v>
          </cell>
          <cell r="D1666" t="str">
            <v>B</v>
          </cell>
          <cell r="E1666" t="str">
            <v>准备工时</v>
          </cell>
          <cell r="H1666">
            <v>90</v>
          </cell>
          <cell r="I1666">
            <v>120</v>
          </cell>
          <cell r="K1666">
            <v>60</v>
          </cell>
          <cell r="L1666">
            <v>150</v>
          </cell>
          <cell r="M1666">
            <v>120</v>
          </cell>
          <cell r="N1666">
            <v>60</v>
          </cell>
          <cell r="Q1666">
            <v>60</v>
          </cell>
          <cell r="R1666">
            <v>180</v>
          </cell>
          <cell r="AD1666">
            <v>120</v>
          </cell>
        </row>
        <row r="1667">
          <cell r="B1667" t="str">
            <v>DD-J10-55014-3200-1</v>
          </cell>
          <cell r="D1667" t="str">
            <v>B</v>
          </cell>
          <cell r="E1667" t="str">
            <v>装夹时间</v>
          </cell>
        </row>
        <row r="1668">
          <cell r="B1668" t="str">
            <v>DD-J10-55014-3200-1</v>
          </cell>
          <cell r="D1668" t="str">
            <v>B</v>
          </cell>
          <cell r="E1668" t="str">
            <v>程序时间</v>
          </cell>
          <cell r="G1668">
            <v>20</v>
          </cell>
          <cell r="H1668">
            <v>20</v>
          </cell>
          <cell r="I1668">
            <v>25</v>
          </cell>
          <cell r="K1668">
            <v>30</v>
          </cell>
          <cell r="L1668">
            <v>50</v>
          </cell>
          <cell r="M1668">
            <v>40</v>
          </cell>
          <cell r="N1668">
            <v>30</v>
          </cell>
          <cell r="O1668">
            <v>35</v>
          </cell>
          <cell r="Q1668">
            <v>40</v>
          </cell>
          <cell r="R1668">
            <v>40</v>
          </cell>
          <cell r="S1668">
            <v>30</v>
          </cell>
          <cell r="AD1668">
            <v>25</v>
          </cell>
        </row>
        <row r="1669">
          <cell r="B1669" t="str">
            <v>Y20-6692030020-001</v>
          </cell>
          <cell r="D1669" t="str">
            <v>D</v>
          </cell>
          <cell r="E1669" t="str">
            <v>工序内容</v>
          </cell>
          <cell r="F1669" t="str">
            <v>0/领料</v>
          </cell>
          <cell r="G1669" t="str">
            <v>5/数铣</v>
          </cell>
          <cell r="H1669" t="str">
            <v>10/数铣10</v>
          </cell>
          <cell r="I1669" t="str">
            <v>15/数铣45</v>
          </cell>
          <cell r="J1669" t="str">
            <v>20/数铣75</v>
          </cell>
          <cell r="K1669" t="str">
            <v>25/钳工</v>
          </cell>
          <cell r="L1669" t="str">
            <v>30/检验</v>
          </cell>
          <cell r="M1669" t="str">
            <v>35/分光</v>
          </cell>
          <cell r="N1669" t="str">
            <v>40/钳工</v>
          </cell>
          <cell r="O1669" t="str">
            <v>45/清洁</v>
          </cell>
          <cell r="P1669" t="str">
            <v>50/成检</v>
          </cell>
        </row>
        <row r="1670">
          <cell r="B1670" t="str">
            <v>Y20-6692030020-001</v>
          </cell>
          <cell r="D1670" t="str">
            <v>D</v>
          </cell>
          <cell r="E1670" t="str">
            <v>准备工时</v>
          </cell>
          <cell r="G1670">
            <v>60</v>
          </cell>
          <cell r="H1670">
            <v>60</v>
          </cell>
          <cell r="I1670">
            <v>60</v>
          </cell>
          <cell r="J1670">
            <v>60</v>
          </cell>
        </row>
        <row r="1671">
          <cell r="B1671" t="str">
            <v>Y20-6692030020-001</v>
          </cell>
          <cell r="D1671" t="str">
            <v>D</v>
          </cell>
          <cell r="E1671" t="str">
            <v>装夹时间</v>
          </cell>
        </row>
        <row r="1672">
          <cell r="B1672" t="str">
            <v>Y20-6692030020-001</v>
          </cell>
          <cell r="D1672" t="str">
            <v>D</v>
          </cell>
          <cell r="E1672" t="str">
            <v>程序时间</v>
          </cell>
          <cell r="G1672">
            <v>40</v>
          </cell>
          <cell r="H1672">
            <v>30</v>
          </cell>
          <cell r="I1672">
            <v>100</v>
          </cell>
          <cell r="J1672">
            <v>110</v>
          </cell>
          <cell r="K1672">
            <v>35</v>
          </cell>
          <cell r="N1672">
            <v>5</v>
          </cell>
        </row>
        <row r="1673">
          <cell r="B1673" t="str">
            <v>BC5337100-104/105/106L001</v>
          </cell>
          <cell r="D1673" t="str">
            <v>E</v>
          </cell>
          <cell r="E1673" t="str">
            <v>工序内容</v>
          </cell>
          <cell r="F1673" t="str">
            <v>0/领料</v>
          </cell>
          <cell r="G1673" t="str">
            <v>5/数铣</v>
          </cell>
          <cell r="H1673" t="str">
            <v>10/超探</v>
          </cell>
          <cell r="I1673" t="str">
            <v>15/数铣60</v>
          </cell>
          <cell r="J1673" t="str">
            <v>20/数铣150</v>
          </cell>
          <cell r="K1673" t="str">
            <v>25/数铣440</v>
          </cell>
          <cell r="L1673" t="str">
            <v>30/无</v>
          </cell>
          <cell r="M1673" t="str">
            <v>35/数铣80</v>
          </cell>
          <cell r="N1673" t="str">
            <v>40/五轴30</v>
          </cell>
          <cell r="O1673" t="str">
            <v>45/钳工</v>
          </cell>
          <cell r="P1673" t="str">
            <v>50/测量</v>
          </cell>
          <cell r="Q1673" t="str">
            <v>55/清洁</v>
          </cell>
          <cell r="R1673" t="str">
            <v>60/成检</v>
          </cell>
        </row>
        <row r="1674">
          <cell r="B1674" t="str">
            <v>BC5337100-104/105/106L001</v>
          </cell>
          <cell r="D1674" t="str">
            <v>E</v>
          </cell>
          <cell r="E1674" t="str">
            <v>准备工时</v>
          </cell>
          <cell r="G1674" t="str">
            <v>120</v>
          </cell>
          <cell r="I1674">
            <v>120</v>
          </cell>
          <cell r="J1674">
            <v>120</v>
          </cell>
          <cell r="K1674">
            <v>120</v>
          </cell>
          <cell r="M1674">
            <v>120</v>
          </cell>
          <cell r="N1674">
            <v>150</v>
          </cell>
        </row>
        <row r="1675">
          <cell r="B1675" t="str">
            <v>BC5337100-104/105/106L001</v>
          </cell>
          <cell r="D1675" t="str">
            <v>E</v>
          </cell>
          <cell r="E1675" t="str">
            <v>装夹时间</v>
          </cell>
          <cell r="N1675">
            <v>60</v>
          </cell>
        </row>
        <row r="1676">
          <cell r="B1676" t="str">
            <v>BC5337100-104/105/106L001</v>
          </cell>
          <cell r="D1676" t="str">
            <v>E</v>
          </cell>
          <cell r="E1676" t="str">
            <v>程序时间</v>
          </cell>
          <cell r="G1676" t="str">
            <v>420</v>
          </cell>
          <cell r="I1676">
            <v>120</v>
          </cell>
          <cell r="J1676">
            <v>240</v>
          </cell>
          <cell r="K1676">
            <v>800</v>
          </cell>
          <cell r="M1676">
            <v>150</v>
          </cell>
          <cell r="N1676">
            <v>150</v>
          </cell>
          <cell r="O1676">
            <v>120</v>
          </cell>
        </row>
        <row r="1677">
          <cell r="B1677" t="str">
            <v>BC5337100-104/105/106R001</v>
          </cell>
          <cell r="D1677" t="str">
            <v>E</v>
          </cell>
          <cell r="E1677" t="str">
            <v>工序内容</v>
          </cell>
          <cell r="F1677" t="str">
            <v>0/领料</v>
          </cell>
          <cell r="G1677" t="str">
            <v>5/数铣</v>
          </cell>
          <cell r="H1677" t="str">
            <v>10/超探</v>
          </cell>
          <cell r="I1677" t="str">
            <v>15/数铣60</v>
          </cell>
          <cell r="J1677" t="str">
            <v>20/数铣150</v>
          </cell>
          <cell r="K1677" t="str">
            <v>25/数铣440</v>
          </cell>
          <cell r="L1677" t="str">
            <v>30/无</v>
          </cell>
          <cell r="M1677" t="str">
            <v>35/数铣80</v>
          </cell>
          <cell r="N1677" t="str">
            <v>40/五轴30</v>
          </cell>
          <cell r="O1677" t="str">
            <v>45/钳工</v>
          </cell>
          <cell r="P1677" t="str">
            <v>50/测量</v>
          </cell>
          <cell r="Q1677" t="str">
            <v>55/清洁</v>
          </cell>
          <cell r="R1677" t="str">
            <v>60/成检</v>
          </cell>
        </row>
        <row r="1678">
          <cell r="B1678" t="str">
            <v>BC5337100-104/105/106R001</v>
          </cell>
          <cell r="D1678" t="str">
            <v>E</v>
          </cell>
          <cell r="E1678" t="str">
            <v>准备工时</v>
          </cell>
          <cell r="G1678" t="str">
            <v>120</v>
          </cell>
          <cell r="I1678">
            <v>120</v>
          </cell>
          <cell r="J1678">
            <v>120</v>
          </cell>
          <cell r="K1678">
            <v>120</v>
          </cell>
          <cell r="M1678">
            <v>120</v>
          </cell>
          <cell r="N1678">
            <v>150</v>
          </cell>
        </row>
        <row r="1679">
          <cell r="B1679" t="str">
            <v>BC5337100-104/105/106R001</v>
          </cell>
          <cell r="D1679" t="str">
            <v>E</v>
          </cell>
          <cell r="E1679" t="str">
            <v>装夹时间</v>
          </cell>
          <cell r="N1679">
            <v>60</v>
          </cell>
        </row>
        <row r="1680">
          <cell r="B1680" t="str">
            <v>BC5337100-104/105/106R001</v>
          </cell>
          <cell r="D1680" t="str">
            <v>E</v>
          </cell>
          <cell r="E1680" t="str">
            <v>程序时间</v>
          </cell>
          <cell r="G1680" t="str">
            <v>420</v>
          </cell>
          <cell r="I1680">
            <v>120</v>
          </cell>
          <cell r="J1680">
            <v>240</v>
          </cell>
          <cell r="K1680">
            <v>800</v>
          </cell>
          <cell r="M1680">
            <v>150</v>
          </cell>
          <cell r="N1680">
            <v>150</v>
          </cell>
          <cell r="O1680">
            <v>120</v>
          </cell>
        </row>
        <row r="1681">
          <cell r="B1681" t="str">
            <v>531A5100-126-501</v>
          </cell>
          <cell r="D1681" t="str">
            <v>C</v>
          </cell>
          <cell r="E1681" t="str">
            <v>工序内容</v>
          </cell>
          <cell r="F1681" t="str">
            <v>03/钳工</v>
          </cell>
          <cell r="G1681" t="str">
            <v>05/数铣</v>
          </cell>
          <cell r="H1681" t="str">
            <v>10/数铣80</v>
          </cell>
          <cell r="I1681" t="str">
            <v>15/数铣200</v>
          </cell>
          <cell r="J1681" t="str">
            <v>20/数铣570</v>
          </cell>
          <cell r="K1681" t="str">
            <v>25/数铣190</v>
          </cell>
          <cell r="L1681" t="str">
            <v>30/数铣510</v>
          </cell>
          <cell r="M1681" t="str">
            <v>35/五轴90</v>
          </cell>
          <cell r="N1681" t="str">
            <v>40/钳工</v>
          </cell>
          <cell r="O1681" t="str">
            <v>45/钳工</v>
          </cell>
          <cell r="P1681" t="str">
            <v>50/五轴200</v>
          </cell>
          <cell r="Q1681" t="str">
            <v>55/测量</v>
          </cell>
          <cell r="R1681" t="str">
            <v>60/钳工</v>
          </cell>
          <cell r="S1681" t="str">
            <v>65/清洁</v>
          </cell>
          <cell r="T1681" t="str">
            <v>70/成检</v>
          </cell>
        </row>
        <row r="1682">
          <cell r="B1682" t="str">
            <v>531A5100-126-501</v>
          </cell>
          <cell r="D1682" t="str">
            <v>C</v>
          </cell>
          <cell r="E1682" t="str">
            <v>准备工时</v>
          </cell>
          <cell r="F1682">
            <v>60</v>
          </cell>
          <cell r="G1682">
            <v>60</v>
          </cell>
          <cell r="H1682">
            <v>60</v>
          </cell>
          <cell r="I1682">
            <v>60</v>
          </cell>
          <cell r="J1682">
            <v>120</v>
          </cell>
          <cell r="K1682">
            <v>60</v>
          </cell>
          <cell r="L1682">
            <v>60</v>
          </cell>
          <cell r="M1682">
            <v>120</v>
          </cell>
          <cell r="P1682">
            <v>120</v>
          </cell>
        </row>
        <row r="1683">
          <cell r="B1683" t="str">
            <v>531A5100-126-501</v>
          </cell>
          <cell r="D1683" t="str">
            <v>C</v>
          </cell>
          <cell r="E1683" t="str">
            <v>装夹时间</v>
          </cell>
          <cell r="G1683">
            <v>60</v>
          </cell>
          <cell r="H1683">
            <v>60</v>
          </cell>
          <cell r="I1683">
            <v>60</v>
          </cell>
          <cell r="J1683">
            <v>60</v>
          </cell>
          <cell r="K1683">
            <v>60</v>
          </cell>
          <cell r="L1683">
            <v>60</v>
          </cell>
          <cell r="M1683">
            <v>90</v>
          </cell>
          <cell r="P1683">
            <v>90</v>
          </cell>
        </row>
        <row r="1684">
          <cell r="B1684" t="str">
            <v>531A5100-126-501</v>
          </cell>
          <cell r="D1684" t="str">
            <v>C</v>
          </cell>
          <cell r="E1684" t="str">
            <v>程序时间</v>
          </cell>
          <cell r="F1684">
            <v>70</v>
          </cell>
          <cell r="G1684">
            <v>120</v>
          </cell>
          <cell r="H1684">
            <v>120</v>
          </cell>
          <cell r="I1684">
            <v>260</v>
          </cell>
          <cell r="J1684">
            <v>690</v>
          </cell>
          <cell r="K1684">
            <v>400</v>
          </cell>
          <cell r="L1684">
            <v>610</v>
          </cell>
          <cell r="M1684">
            <v>150</v>
          </cell>
          <cell r="N1684">
            <v>120</v>
          </cell>
          <cell r="O1684">
            <v>120</v>
          </cell>
          <cell r="P1684">
            <v>300</v>
          </cell>
          <cell r="R1684">
            <v>240</v>
          </cell>
        </row>
        <row r="1685">
          <cell r="B1685" t="str">
            <v>531A5100-126-502</v>
          </cell>
          <cell r="D1685" t="str">
            <v>C</v>
          </cell>
          <cell r="E1685" t="str">
            <v>工序内容</v>
          </cell>
          <cell r="F1685" t="str">
            <v>03/钳工</v>
          </cell>
          <cell r="G1685" t="str">
            <v>05/数铣</v>
          </cell>
          <cell r="H1685" t="str">
            <v>10/数铣80</v>
          </cell>
          <cell r="I1685" t="str">
            <v>15/数铣200</v>
          </cell>
          <cell r="J1685" t="str">
            <v>20/数铣570</v>
          </cell>
          <cell r="K1685" t="str">
            <v>25/数铣190</v>
          </cell>
          <cell r="L1685" t="str">
            <v>30/数铣510</v>
          </cell>
          <cell r="M1685" t="str">
            <v>35/五轴90</v>
          </cell>
          <cell r="N1685" t="str">
            <v>40/钳工</v>
          </cell>
          <cell r="O1685" t="str">
            <v>45/钳工</v>
          </cell>
          <cell r="P1685" t="str">
            <v>50/五轴200</v>
          </cell>
          <cell r="Q1685" t="str">
            <v>55/测量</v>
          </cell>
          <cell r="R1685" t="str">
            <v>60/钳工</v>
          </cell>
          <cell r="S1685" t="str">
            <v>65/清洁</v>
          </cell>
          <cell r="T1685" t="str">
            <v>70/成检</v>
          </cell>
        </row>
        <row r="1686">
          <cell r="B1686" t="str">
            <v>531A5100-126-502</v>
          </cell>
          <cell r="D1686" t="str">
            <v>C</v>
          </cell>
          <cell r="E1686" t="str">
            <v>准备工时</v>
          </cell>
          <cell r="F1686">
            <v>60</v>
          </cell>
          <cell r="G1686">
            <v>60</v>
          </cell>
          <cell r="H1686">
            <v>60</v>
          </cell>
          <cell r="I1686">
            <v>60</v>
          </cell>
          <cell r="J1686">
            <v>120</v>
          </cell>
          <cell r="K1686">
            <v>60</v>
          </cell>
          <cell r="L1686">
            <v>60</v>
          </cell>
          <cell r="M1686">
            <v>120</v>
          </cell>
          <cell r="P1686">
            <v>120</v>
          </cell>
        </row>
        <row r="1687">
          <cell r="B1687" t="str">
            <v>531A5100-126-502</v>
          </cell>
          <cell r="D1687" t="str">
            <v>C</v>
          </cell>
          <cell r="E1687" t="str">
            <v>装夹时间</v>
          </cell>
          <cell r="G1687">
            <v>60</v>
          </cell>
          <cell r="H1687">
            <v>60</v>
          </cell>
          <cell r="I1687">
            <v>60</v>
          </cell>
          <cell r="J1687">
            <v>60</v>
          </cell>
          <cell r="K1687">
            <v>60</v>
          </cell>
          <cell r="L1687">
            <v>60</v>
          </cell>
          <cell r="M1687">
            <v>90</v>
          </cell>
          <cell r="P1687">
            <v>90</v>
          </cell>
        </row>
        <row r="1688">
          <cell r="B1688" t="str">
            <v>531A5100-126-502</v>
          </cell>
          <cell r="D1688" t="str">
            <v>C</v>
          </cell>
          <cell r="E1688" t="str">
            <v>程序时间</v>
          </cell>
          <cell r="F1688">
            <v>70</v>
          </cell>
          <cell r="G1688">
            <v>120</v>
          </cell>
          <cell r="H1688">
            <v>120</v>
          </cell>
          <cell r="I1688">
            <v>260</v>
          </cell>
          <cell r="J1688">
            <v>690</v>
          </cell>
          <cell r="K1688">
            <v>400</v>
          </cell>
          <cell r="L1688">
            <v>610</v>
          </cell>
          <cell r="M1688">
            <v>150</v>
          </cell>
          <cell r="N1688">
            <v>120</v>
          </cell>
          <cell r="O1688">
            <v>120</v>
          </cell>
          <cell r="P1688">
            <v>300</v>
          </cell>
          <cell r="R1688">
            <v>240</v>
          </cell>
        </row>
        <row r="1689">
          <cell r="B1689" t="str">
            <v>DD-J10B-94061-1061/1</v>
          </cell>
          <cell r="D1689" t="str">
            <v>B</v>
          </cell>
          <cell r="E1689" t="str">
            <v>工序内容</v>
          </cell>
          <cell r="F1689" t="str">
            <v>0/领料</v>
          </cell>
          <cell r="G1689" t="str">
            <v>5/数车15</v>
          </cell>
          <cell r="H1689" t="str">
            <v>10/数车5</v>
          </cell>
          <cell r="I1689" t="str">
            <v>15/钳工</v>
          </cell>
          <cell r="J1689" t="str">
            <v>20/分光</v>
          </cell>
          <cell r="K1689" t="str">
            <v>25/数车5</v>
          </cell>
          <cell r="L1689" t="str">
            <v>30/数铣</v>
          </cell>
          <cell r="M1689" t="str">
            <v>35/数铣</v>
          </cell>
          <cell r="N1689" t="str">
            <v>40/钳工</v>
          </cell>
          <cell r="O1689" t="str">
            <v>45/清洁</v>
          </cell>
          <cell r="P1689" t="str">
            <v>50/成检</v>
          </cell>
        </row>
        <row r="1690">
          <cell r="B1690" t="str">
            <v>DD-J10B-94061-1061/1</v>
          </cell>
          <cell r="D1690" t="str">
            <v>B</v>
          </cell>
          <cell r="E1690" t="str">
            <v>准备工时</v>
          </cell>
          <cell r="G1690">
            <v>60</v>
          </cell>
          <cell r="H1690">
            <v>60</v>
          </cell>
          <cell r="K1690">
            <v>60</v>
          </cell>
          <cell r="L1690">
            <v>60</v>
          </cell>
          <cell r="M1690">
            <v>90</v>
          </cell>
        </row>
        <row r="1691">
          <cell r="B1691" t="str">
            <v>DD-J10B-94061-1061/1</v>
          </cell>
          <cell r="D1691" t="str">
            <v>B</v>
          </cell>
          <cell r="E1691" t="str">
            <v>装夹时间</v>
          </cell>
        </row>
        <row r="1692">
          <cell r="B1692" t="str">
            <v>DD-J10B-94061-1061/1</v>
          </cell>
          <cell r="D1692" t="str">
            <v>B</v>
          </cell>
          <cell r="E1692" t="str">
            <v>程序时间</v>
          </cell>
          <cell r="G1692">
            <v>20</v>
          </cell>
          <cell r="H1692">
            <v>10</v>
          </cell>
          <cell r="I1692">
            <v>10</v>
          </cell>
          <cell r="K1692">
            <v>10</v>
          </cell>
          <cell r="L1692">
            <v>30</v>
          </cell>
          <cell r="M1692">
            <v>20</v>
          </cell>
          <cell r="N1692">
            <v>20</v>
          </cell>
        </row>
        <row r="1693">
          <cell r="B1693" t="str">
            <v>CB2280211-025-001</v>
          </cell>
          <cell r="D1693" t="str">
            <v>B</v>
          </cell>
          <cell r="E1693" t="str">
            <v>工序内容</v>
          </cell>
          <cell r="F1693" t="str">
            <v>0/领料</v>
          </cell>
          <cell r="G1693" t="str">
            <v>5/下料</v>
          </cell>
          <cell r="H1693" t="str">
            <v>10/数车</v>
          </cell>
          <cell r="I1693" t="str">
            <v>15/数车</v>
          </cell>
          <cell r="J1693" t="str">
            <v>20/钳工</v>
          </cell>
          <cell r="K1693" t="str">
            <v>25/分光</v>
          </cell>
          <cell r="L1693" t="str">
            <v>30/硬度</v>
          </cell>
          <cell r="M1693" t="str">
            <v>35/数车</v>
          </cell>
          <cell r="N1693" t="str">
            <v>40/数铣</v>
          </cell>
          <cell r="O1693" t="str">
            <v>45/钳工</v>
          </cell>
          <cell r="P1693" t="str">
            <v>50/清洁</v>
          </cell>
          <cell r="Q1693" t="str">
            <v>55/成检</v>
          </cell>
        </row>
        <row r="1694">
          <cell r="B1694" t="str">
            <v>CB2280211-025-001</v>
          </cell>
          <cell r="D1694" t="str">
            <v>B</v>
          </cell>
          <cell r="E1694" t="str">
            <v>准备工时</v>
          </cell>
          <cell r="H1694">
            <v>90</v>
          </cell>
          <cell r="I1694">
            <v>90</v>
          </cell>
          <cell r="M1694">
            <v>90</v>
          </cell>
          <cell r="N1694">
            <v>60</v>
          </cell>
        </row>
        <row r="1695">
          <cell r="B1695" t="str">
            <v>CB2280211-025-001</v>
          </cell>
          <cell r="D1695" t="str">
            <v>B</v>
          </cell>
          <cell r="E1695" t="str">
            <v>装夹时间</v>
          </cell>
        </row>
        <row r="1696">
          <cell r="B1696" t="str">
            <v>CB2280211-025-001</v>
          </cell>
          <cell r="D1696" t="str">
            <v>B</v>
          </cell>
          <cell r="E1696" t="str">
            <v>程序时间</v>
          </cell>
          <cell r="H1696">
            <v>20</v>
          </cell>
          <cell r="I1696">
            <v>35</v>
          </cell>
          <cell r="J1696">
            <v>20</v>
          </cell>
          <cell r="M1696">
            <v>35</v>
          </cell>
          <cell r="N1696">
            <v>20</v>
          </cell>
          <cell r="O1696">
            <v>20</v>
          </cell>
        </row>
        <row r="1697">
          <cell r="B1697" t="str">
            <v>DD-J10-55165-180-1</v>
          </cell>
          <cell r="D1697" t="str">
            <v>A</v>
          </cell>
          <cell r="E1697" t="str">
            <v>工序内容</v>
          </cell>
          <cell r="F1697">
            <v>0</v>
          </cell>
          <cell r="G1697" t="str">
            <v>5/领料</v>
          </cell>
          <cell r="H1697" t="str">
            <v>10/数铣</v>
          </cell>
          <cell r="I1697" t="str">
            <v>15/分光</v>
          </cell>
          <cell r="J1697" t="str">
            <v>20/清洗</v>
          </cell>
          <cell r="K1697" t="str">
            <v>25/热处理</v>
          </cell>
          <cell r="L1697" t="str">
            <v>30/硬度</v>
          </cell>
          <cell r="M1697" t="str">
            <v>35/数车10</v>
          </cell>
          <cell r="N1697" t="str">
            <v>40/数铣5</v>
          </cell>
          <cell r="O1697" t="str">
            <v>45/数铣5</v>
          </cell>
          <cell r="P1697" t="str">
            <v>50/线切割</v>
          </cell>
          <cell r="Q1697" t="str">
            <v>55/数铣5</v>
          </cell>
          <cell r="R1697" t="str">
            <v>60/数铣</v>
          </cell>
          <cell r="S1697" t="str">
            <v>65/数铣</v>
          </cell>
          <cell r="T1697" t="str">
            <v>70/钳工</v>
          </cell>
          <cell r="U1697" t="str">
            <v>75/清洁</v>
          </cell>
          <cell r="V1697" t="str">
            <v>80/成检</v>
          </cell>
        </row>
        <row r="1698">
          <cell r="B1698" t="str">
            <v>DD-J10-55165-180-1</v>
          </cell>
          <cell r="D1698" t="str">
            <v>A</v>
          </cell>
          <cell r="E1698" t="str">
            <v>准备工时</v>
          </cell>
          <cell r="H1698">
            <v>60</v>
          </cell>
          <cell r="M1698" t="str">
            <v>60</v>
          </cell>
          <cell r="N1698" t="str">
            <v>60</v>
          </cell>
          <cell r="O1698">
            <v>90</v>
          </cell>
          <cell r="Q1698">
            <v>60</v>
          </cell>
          <cell r="R1698">
            <v>60</v>
          </cell>
          <cell r="S1698">
            <v>60</v>
          </cell>
        </row>
        <row r="1699">
          <cell r="B1699" t="str">
            <v>DD-J10-55165-180-1</v>
          </cell>
          <cell r="D1699" t="str">
            <v>A</v>
          </cell>
          <cell r="E1699" t="str">
            <v>装夹时间</v>
          </cell>
        </row>
        <row r="1700">
          <cell r="B1700" t="str">
            <v>DD-J10-55165-180-1</v>
          </cell>
          <cell r="D1700" t="str">
            <v>A</v>
          </cell>
          <cell r="E1700" t="str">
            <v>程序时间</v>
          </cell>
          <cell r="H1700">
            <v>40</v>
          </cell>
          <cell r="M1700" t="str">
            <v>25</v>
          </cell>
          <cell r="N1700" t="str">
            <v>15</v>
          </cell>
          <cell r="O1700">
            <v>30</v>
          </cell>
          <cell r="Q1700">
            <v>15</v>
          </cell>
          <cell r="R1700">
            <v>20</v>
          </cell>
          <cell r="S1700">
            <v>15</v>
          </cell>
          <cell r="T1700">
            <v>10</v>
          </cell>
        </row>
        <row r="1701">
          <cell r="B1701" t="str">
            <v>DD-J10-55165-180-2</v>
          </cell>
          <cell r="D1701" t="str">
            <v>A</v>
          </cell>
          <cell r="E1701" t="str">
            <v>工序内容</v>
          </cell>
          <cell r="F1701">
            <v>0</v>
          </cell>
          <cell r="G1701" t="str">
            <v>5/领料</v>
          </cell>
          <cell r="H1701" t="str">
            <v>10/数铣</v>
          </cell>
          <cell r="I1701" t="str">
            <v>15/分光</v>
          </cell>
          <cell r="J1701" t="str">
            <v>20/清洗</v>
          </cell>
          <cell r="K1701" t="str">
            <v>25/热处理</v>
          </cell>
          <cell r="L1701" t="str">
            <v>30/硬度</v>
          </cell>
          <cell r="M1701" t="str">
            <v>35/数车10</v>
          </cell>
          <cell r="N1701" t="str">
            <v>40/数铣5</v>
          </cell>
          <cell r="O1701" t="str">
            <v>45/数铣5</v>
          </cell>
          <cell r="P1701" t="str">
            <v>50/线切割</v>
          </cell>
          <cell r="Q1701" t="str">
            <v>55/数铣5</v>
          </cell>
          <cell r="R1701" t="str">
            <v>60/数铣</v>
          </cell>
          <cell r="S1701" t="str">
            <v>65/数铣</v>
          </cell>
          <cell r="T1701" t="str">
            <v>70/钳工</v>
          </cell>
          <cell r="U1701" t="str">
            <v>75/清洁</v>
          </cell>
          <cell r="V1701" t="str">
            <v>80/成检</v>
          </cell>
        </row>
        <row r="1702">
          <cell r="B1702" t="str">
            <v>DD-J10-55165-180-2</v>
          </cell>
          <cell r="D1702" t="str">
            <v>A</v>
          </cell>
          <cell r="E1702" t="str">
            <v>准备工时</v>
          </cell>
          <cell r="H1702">
            <v>60</v>
          </cell>
          <cell r="M1702" t="str">
            <v>60</v>
          </cell>
          <cell r="N1702" t="str">
            <v>60</v>
          </cell>
          <cell r="O1702">
            <v>90</v>
          </cell>
          <cell r="Q1702">
            <v>60</v>
          </cell>
          <cell r="R1702">
            <v>60</v>
          </cell>
          <cell r="S1702">
            <v>60</v>
          </cell>
        </row>
        <row r="1703">
          <cell r="B1703" t="str">
            <v>DD-J10-55165-180-2</v>
          </cell>
          <cell r="D1703" t="str">
            <v>A</v>
          </cell>
          <cell r="E1703" t="str">
            <v>装夹时间</v>
          </cell>
        </row>
        <row r="1704">
          <cell r="B1704" t="str">
            <v>DD-J10-55165-180-2</v>
          </cell>
          <cell r="D1704" t="str">
            <v>A</v>
          </cell>
          <cell r="E1704" t="str">
            <v>程序时间</v>
          </cell>
          <cell r="H1704">
            <v>40</v>
          </cell>
          <cell r="M1704" t="str">
            <v>25</v>
          </cell>
          <cell r="N1704" t="str">
            <v>15</v>
          </cell>
          <cell r="O1704">
            <v>30</v>
          </cell>
          <cell r="Q1704">
            <v>15</v>
          </cell>
          <cell r="R1704">
            <v>20</v>
          </cell>
          <cell r="S1704">
            <v>15</v>
          </cell>
          <cell r="T1704">
            <v>10</v>
          </cell>
        </row>
        <row r="1705">
          <cell r="B1705" t="str">
            <v>DD-J10-55165-180-3</v>
          </cell>
          <cell r="D1705" t="str">
            <v>A</v>
          </cell>
          <cell r="E1705" t="str">
            <v>工序内容</v>
          </cell>
          <cell r="F1705">
            <v>0</v>
          </cell>
          <cell r="G1705" t="str">
            <v>5/领料</v>
          </cell>
          <cell r="H1705" t="str">
            <v>10/数铣</v>
          </cell>
          <cell r="I1705" t="str">
            <v>15/分光</v>
          </cell>
          <cell r="J1705" t="str">
            <v>20/清洗</v>
          </cell>
          <cell r="K1705" t="str">
            <v>25/热处理</v>
          </cell>
          <cell r="L1705" t="str">
            <v>30/硬度</v>
          </cell>
          <cell r="M1705" t="str">
            <v>35/数车10</v>
          </cell>
          <cell r="N1705" t="str">
            <v>40/数铣5</v>
          </cell>
          <cell r="O1705" t="str">
            <v>45/数铣5</v>
          </cell>
          <cell r="P1705" t="str">
            <v>50/线切割</v>
          </cell>
          <cell r="Q1705" t="str">
            <v>55/数铣5</v>
          </cell>
          <cell r="R1705" t="str">
            <v>60/数铣</v>
          </cell>
          <cell r="S1705" t="str">
            <v>65/数铣</v>
          </cell>
          <cell r="T1705" t="str">
            <v>70/钳工</v>
          </cell>
          <cell r="U1705" t="str">
            <v>75/清洁</v>
          </cell>
          <cell r="V1705" t="str">
            <v>80/成检</v>
          </cell>
        </row>
        <row r="1706">
          <cell r="B1706" t="str">
            <v>DD-J10-55165-180-3</v>
          </cell>
          <cell r="D1706" t="str">
            <v>A</v>
          </cell>
          <cell r="E1706" t="str">
            <v>准备工时</v>
          </cell>
          <cell r="H1706">
            <v>60</v>
          </cell>
          <cell r="M1706" t="str">
            <v>60</v>
          </cell>
          <cell r="N1706" t="str">
            <v>60</v>
          </cell>
          <cell r="O1706">
            <v>90</v>
          </cell>
          <cell r="Q1706">
            <v>60</v>
          </cell>
          <cell r="R1706">
            <v>60</v>
          </cell>
          <cell r="S1706">
            <v>60</v>
          </cell>
        </row>
        <row r="1707">
          <cell r="B1707" t="str">
            <v>DD-J10-55165-180-3</v>
          </cell>
          <cell r="D1707" t="str">
            <v>A</v>
          </cell>
          <cell r="E1707" t="str">
            <v>装夹时间</v>
          </cell>
        </row>
        <row r="1708">
          <cell r="B1708" t="str">
            <v>DD-J10-55165-180-3</v>
          </cell>
          <cell r="D1708" t="str">
            <v>A</v>
          </cell>
          <cell r="E1708" t="str">
            <v>程序时间</v>
          </cell>
          <cell r="H1708">
            <v>40</v>
          </cell>
          <cell r="M1708" t="str">
            <v>25</v>
          </cell>
          <cell r="N1708" t="str">
            <v>15</v>
          </cell>
          <cell r="O1708">
            <v>30</v>
          </cell>
          <cell r="Q1708">
            <v>15</v>
          </cell>
          <cell r="R1708">
            <v>20</v>
          </cell>
          <cell r="S1708">
            <v>15</v>
          </cell>
          <cell r="T1708">
            <v>10</v>
          </cell>
        </row>
        <row r="1709">
          <cell r="B1709" t="str">
            <v>DD-J10-55014-1401</v>
          </cell>
          <cell r="D1709" t="str">
            <v>B</v>
          </cell>
          <cell r="E1709" t="str">
            <v>工序内容</v>
          </cell>
          <cell r="F1709" t="str">
            <v>0/领料</v>
          </cell>
          <cell r="G1709" t="str">
            <v>05/钳工</v>
          </cell>
          <cell r="H1709" t="str">
            <v>10/数车20</v>
          </cell>
          <cell r="I1709" t="str">
            <v>15/数车10</v>
          </cell>
          <cell r="J1709" t="str">
            <v>20/数铣30</v>
          </cell>
          <cell r="K1709" t="str">
            <v>25/钳工</v>
          </cell>
          <cell r="L1709" t="str">
            <v>30/清洁</v>
          </cell>
          <cell r="M1709" t="str">
            <v>35/成检</v>
          </cell>
        </row>
        <row r="1710">
          <cell r="B1710" t="str">
            <v>DD-J10-55014-1401</v>
          </cell>
          <cell r="D1710" t="str">
            <v>B</v>
          </cell>
          <cell r="E1710" t="str">
            <v>准备工时</v>
          </cell>
          <cell r="H1710">
            <v>90</v>
          </cell>
          <cell r="I1710">
            <v>150</v>
          </cell>
          <cell r="J1710">
            <v>90</v>
          </cell>
        </row>
        <row r="1711">
          <cell r="B1711" t="str">
            <v>DD-J10-55014-1401</v>
          </cell>
          <cell r="D1711" t="str">
            <v>B</v>
          </cell>
          <cell r="E1711" t="str">
            <v>装夹时间</v>
          </cell>
        </row>
        <row r="1712">
          <cell r="B1712" t="str">
            <v>DD-J10-55014-1401</v>
          </cell>
          <cell r="D1712" t="str">
            <v>B</v>
          </cell>
          <cell r="E1712" t="str">
            <v>程序时间</v>
          </cell>
          <cell r="G1712">
            <v>10</v>
          </cell>
          <cell r="H1712">
            <v>30</v>
          </cell>
          <cell r="I1712">
            <v>50</v>
          </cell>
          <cell r="J1712">
            <v>20</v>
          </cell>
          <cell r="K1712">
            <v>30</v>
          </cell>
        </row>
        <row r="1713">
          <cell r="B1713" t="str">
            <v>Y20-5319540003-001</v>
          </cell>
          <cell r="D1713" t="str">
            <v>B</v>
          </cell>
          <cell r="E1713" t="str">
            <v>工序内容</v>
          </cell>
          <cell r="F1713" t="str">
            <v>0/领料</v>
          </cell>
          <cell r="G1713" t="str">
            <v>05/下料</v>
          </cell>
          <cell r="H1713" t="str">
            <v>10/数车15</v>
          </cell>
          <cell r="I1713" t="str">
            <v>15/数车20</v>
          </cell>
          <cell r="J1713" t="str">
            <v>20/分光</v>
          </cell>
          <cell r="K1713" t="str">
            <v>25/热处理</v>
          </cell>
          <cell r="L1713" t="str">
            <v>30/数车25</v>
          </cell>
          <cell r="M1713" t="str">
            <v>35/数车20</v>
          </cell>
          <cell r="N1713" t="str">
            <v>40/数铣30</v>
          </cell>
          <cell r="O1713" t="str">
            <v>45/数铣45</v>
          </cell>
          <cell r="P1713" t="str">
            <v>50/数铣6</v>
          </cell>
          <cell r="Q1713" t="str">
            <v>55/钳工</v>
          </cell>
          <cell r="R1713" t="str">
            <v>60/清洁</v>
          </cell>
          <cell r="S1713" t="str">
            <v>65/成检</v>
          </cell>
        </row>
        <row r="1714">
          <cell r="B1714" t="str">
            <v>Y20-5319540003-001</v>
          </cell>
          <cell r="D1714" t="str">
            <v>B</v>
          </cell>
          <cell r="E1714" t="str">
            <v>准备工时</v>
          </cell>
          <cell r="H1714">
            <v>90</v>
          </cell>
          <cell r="I1714">
            <v>180</v>
          </cell>
          <cell r="L1714" t="str">
            <v>120</v>
          </cell>
          <cell r="M1714" t="str">
            <v>180</v>
          </cell>
          <cell r="N1714" t="str">
            <v>90</v>
          </cell>
          <cell r="O1714">
            <v>60</v>
          </cell>
          <cell r="P1714">
            <v>60</v>
          </cell>
        </row>
        <row r="1715">
          <cell r="B1715" t="str">
            <v>Y20-5319540003-001</v>
          </cell>
          <cell r="D1715" t="str">
            <v>B</v>
          </cell>
          <cell r="E1715" t="str">
            <v>装夹时间</v>
          </cell>
        </row>
        <row r="1716">
          <cell r="B1716" t="str">
            <v>Y20-5319540003-001</v>
          </cell>
          <cell r="D1716" t="str">
            <v>B</v>
          </cell>
          <cell r="E1716" t="str">
            <v>程序时间</v>
          </cell>
          <cell r="H1716">
            <v>25</v>
          </cell>
          <cell r="I1716">
            <v>50</v>
          </cell>
          <cell r="L1716" t="str">
            <v>40</v>
          </cell>
          <cell r="M1716" t="str">
            <v>180</v>
          </cell>
          <cell r="N1716">
            <v>120</v>
          </cell>
          <cell r="O1716">
            <v>100</v>
          </cell>
          <cell r="P1716">
            <v>20</v>
          </cell>
          <cell r="Q1716">
            <v>35</v>
          </cell>
        </row>
        <row r="1717">
          <cell r="B1717" t="str">
            <v>DD-J10-55165-331</v>
          </cell>
          <cell r="D1717" t="str">
            <v>C</v>
          </cell>
          <cell r="E1717" t="str">
            <v>工序内容</v>
          </cell>
          <cell r="F1717" t="str">
            <v>0/领料</v>
          </cell>
          <cell r="G1717" t="str">
            <v>5/钳工</v>
          </cell>
          <cell r="H1717" t="str">
            <v>10/数车15</v>
          </cell>
          <cell r="I1717" t="str">
            <v>15/数车25</v>
          </cell>
          <cell r="J1717" t="str">
            <v>20/数车25</v>
          </cell>
          <cell r="K1717" t="str">
            <v>25/数车25</v>
          </cell>
          <cell r="L1717" t="str">
            <v>30/钳工</v>
          </cell>
          <cell r="M1717" t="str">
            <v>35/热处理</v>
          </cell>
          <cell r="N1717" t="str">
            <v>40/钳工</v>
          </cell>
          <cell r="O1717" t="str">
            <v>45/复验</v>
          </cell>
          <cell r="P1717" t="str">
            <v>50/清洗</v>
          </cell>
          <cell r="Q1717" t="str">
            <v>55/磁粉</v>
          </cell>
          <cell r="R1717" t="str">
            <v>60/清洗</v>
          </cell>
          <cell r="S1717" t="str">
            <v>65/表处</v>
          </cell>
          <cell r="T1717" t="str">
            <v>70/数车10</v>
          </cell>
          <cell r="U1717" t="str">
            <v>75/数车20</v>
          </cell>
          <cell r="V1717" t="str">
            <v>80/清洁</v>
          </cell>
          <cell r="W1717" t="str">
            <v>85/成检</v>
          </cell>
        </row>
        <row r="1718">
          <cell r="B1718" t="str">
            <v>DD-J10-55165-331</v>
          </cell>
          <cell r="D1718" t="str">
            <v>C</v>
          </cell>
          <cell r="E1718" t="str">
            <v>准备工时</v>
          </cell>
          <cell r="H1718">
            <v>90</v>
          </cell>
          <cell r="I1718">
            <v>150</v>
          </cell>
          <cell r="J1718">
            <v>150</v>
          </cell>
          <cell r="K1718">
            <v>150</v>
          </cell>
          <cell r="T1718">
            <v>60</v>
          </cell>
          <cell r="U1718">
            <v>90</v>
          </cell>
        </row>
        <row r="1719">
          <cell r="B1719" t="str">
            <v>DD-J10-55165-331</v>
          </cell>
          <cell r="D1719" t="str">
            <v>C</v>
          </cell>
          <cell r="E1719" t="str">
            <v>装夹时间</v>
          </cell>
        </row>
        <row r="1720">
          <cell r="B1720" t="str">
            <v>DD-J10-55165-331</v>
          </cell>
          <cell r="D1720" t="str">
            <v>C</v>
          </cell>
          <cell r="E1720" t="str">
            <v>程序时间</v>
          </cell>
          <cell r="G1720">
            <v>15</v>
          </cell>
          <cell r="H1720">
            <v>20</v>
          </cell>
          <cell r="I1720">
            <v>35</v>
          </cell>
          <cell r="J1720">
            <v>35</v>
          </cell>
          <cell r="K1720">
            <v>35</v>
          </cell>
          <cell r="L1720" t="str">
            <v>35</v>
          </cell>
          <cell r="N1720" t="str">
            <v>10</v>
          </cell>
          <cell r="T1720">
            <v>15</v>
          </cell>
          <cell r="U1720">
            <v>30</v>
          </cell>
        </row>
        <row r="1721">
          <cell r="B1721" t="str">
            <v>CB22857F7-003-002</v>
          </cell>
          <cell r="D1721" t="str">
            <v>B</v>
          </cell>
          <cell r="E1721" t="str">
            <v>工序内容</v>
          </cell>
          <cell r="F1721" t="str">
            <v>0/领料</v>
          </cell>
          <cell r="G1721" t="str">
            <v>05/普车15</v>
          </cell>
          <cell r="H1721" t="str">
            <v>10/钳工</v>
          </cell>
          <cell r="I1721" t="str">
            <v>15/分光</v>
          </cell>
          <cell r="J1721" t="str">
            <v>20/下料</v>
          </cell>
          <cell r="K1721" t="str">
            <v>25/数车30</v>
          </cell>
          <cell r="L1721" t="str">
            <v>30/数车20</v>
          </cell>
          <cell r="M1721" t="str">
            <v>35/数铣10</v>
          </cell>
          <cell r="N1721" t="str">
            <v>40/测量</v>
          </cell>
          <cell r="O1721" t="str">
            <v>45/钳工</v>
          </cell>
          <cell r="P1721" t="str">
            <v>50/清洗</v>
          </cell>
          <cell r="Q1721" t="str">
            <v>55/成检</v>
          </cell>
        </row>
        <row r="1722">
          <cell r="B1722" t="str">
            <v>CB22857F7-003-002</v>
          </cell>
          <cell r="D1722" t="str">
            <v>B</v>
          </cell>
          <cell r="E1722" t="str">
            <v>准备工时</v>
          </cell>
          <cell r="G1722">
            <v>60</v>
          </cell>
          <cell r="K1722">
            <v>90</v>
          </cell>
          <cell r="L1722">
            <v>90</v>
          </cell>
          <cell r="M1722">
            <v>60</v>
          </cell>
        </row>
        <row r="1723">
          <cell r="B1723" t="str">
            <v>CB22857F7-003-002</v>
          </cell>
          <cell r="D1723" t="str">
            <v>B</v>
          </cell>
          <cell r="E1723" t="str">
            <v>装夹时间</v>
          </cell>
        </row>
        <row r="1724">
          <cell r="B1724" t="str">
            <v>CB22857F7-003-002</v>
          </cell>
          <cell r="D1724" t="str">
            <v>B</v>
          </cell>
          <cell r="E1724" t="str">
            <v>程序时间</v>
          </cell>
          <cell r="G1724">
            <v>30</v>
          </cell>
          <cell r="H1724">
            <v>15</v>
          </cell>
          <cell r="K1724">
            <v>35</v>
          </cell>
          <cell r="L1724">
            <v>25</v>
          </cell>
          <cell r="M1724">
            <v>25</v>
          </cell>
          <cell r="O1724">
            <v>25</v>
          </cell>
        </row>
        <row r="1725">
          <cell r="B1725" t="str">
            <v>CB5822016-029L001</v>
          </cell>
          <cell r="D1725" t="str">
            <v>B</v>
          </cell>
          <cell r="E1725" t="str">
            <v>工序内容</v>
          </cell>
          <cell r="F1725" t="str">
            <v>0/领料</v>
          </cell>
          <cell r="G1725" t="str">
            <v>5/</v>
          </cell>
          <cell r="H1725" t="str">
            <v>10/数铣</v>
          </cell>
          <cell r="I1725" t="str">
            <v>15/数铣30</v>
          </cell>
          <cell r="J1725" t="str">
            <v>20/数铣60</v>
          </cell>
          <cell r="K1725" t="str">
            <v>25/数铣20</v>
          </cell>
          <cell r="L1725" t="str">
            <v>30/测量</v>
          </cell>
          <cell r="M1725" t="str">
            <v>35/钳工</v>
          </cell>
          <cell r="N1725" t="str">
            <v>40/清洁</v>
          </cell>
          <cell r="O1725" t="str">
            <v>45/清洁</v>
          </cell>
          <cell r="P1725" t="str">
            <v>50/成检</v>
          </cell>
        </row>
        <row r="1726">
          <cell r="B1726" t="str">
            <v>CB5822016-029L001</v>
          </cell>
          <cell r="D1726" t="str">
            <v>B</v>
          </cell>
          <cell r="E1726" t="str">
            <v>准备工时</v>
          </cell>
          <cell r="H1726">
            <v>60</v>
          </cell>
          <cell r="I1726">
            <v>60</v>
          </cell>
          <cell r="J1726">
            <v>60</v>
          </cell>
          <cell r="K1726">
            <v>60</v>
          </cell>
        </row>
        <row r="1727">
          <cell r="B1727" t="str">
            <v>CB5822016-029L001</v>
          </cell>
          <cell r="D1727" t="str">
            <v>B</v>
          </cell>
          <cell r="E1727" t="str">
            <v>装夹时间</v>
          </cell>
        </row>
        <row r="1728">
          <cell r="B1728" t="str">
            <v>CB5822016-029L001</v>
          </cell>
          <cell r="D1728" t="str">
            <v>B</v>
          </cell>
          <cell r="E1728" t="str">
            <v>程序时间</v>
          </cell>
          <cell r="H1728">
            <v>30</v>
          </cell>
          <cell r="I1728">
            <v>45</v>
          </cell>
          <cell r="J1728">
            <v>80</v>
          </cell>
          <cell r="K1728">
            <v>40</v>
          </cell>
          <cell r="M1728">
            <v>30</v>
          </cell>
        </row>
        <row r="1729">
          <cell r="B1729" t="str">
            <v>CB5822016-029R001</v>
          </cell>
          <cell r="D1729" t="str">
            <v>B</v>
          </cell>
          <cell r="E1729" t="str">
            <v>工序内容</v>
          </cell>
          <cell r="F1729" t="str">
            <v>0/领料</v>
          </cell>
          <cell r="G1729" t="str">
            <v>5/</v>
          </cell>
          <cell r="H1729" t="str">
            <v>10/数铣</v>
          </cell>
          <cell r="I1729" t="str">
            <v>15/数铣30</v>
          </cell>
          <cell r="J1729" t="str">
            <v>20/数铣60</v>
          </cell>
          <cell r="K1729" t="str">
            <v>25/数铣20</v>
          </cell>
          <cell r="L1729" t="str">
            <v>30/测量</v>
          </cell>
          <cell r="M1729" t="str">
            <v>35/钳工</v>
          </cell>
          <cell r="N1729" t="str">
            <v>40/清洁</v>
          </cell>
          <cell r="O1729" t="str">
            <v>45/清洁</v>
          </cell>
          <cell r="P1729" t="str">
            <v>50/成检</v>
          </cell>
        </row>
        <row r="1730">
          <cell r="B1730" t="str">
            <v>CB5822016-029R001</v>
          </cell>
          <cell r="D1730" t="str">
            <v>B</v>
          </cell>
          <cell r="E1730" t="str">
            <v>准备工时</v>
          </cell>
          <cell r="H1730">
            <v>60</v>
          </cell>
          <cell r="I1730">
            <v>60</v>
          </cell>
          <cell r="J1730">
            <v>60</v>
          </cell>
          <cell r="K1730">
            <v>60</v>
          </cell>
        </row>
        <row r="1731">
          <cell r="B1731" t="str">
            <v>CB5822016-029R001</v>
          </cell>
          <cell r="D1731" t="str">
            <v>B</v>
          </cell>
          <cell r="E1731" t="str">
            <v>装夹时间</v>
          </cell>
        </row>
        <row r="1732">
          <cell r="B1732" t="str">
            <v>CB5822016-029R001</v>
          </cell>
          <cell r="D1732" t="str">
            <v>B</v>
          </cell>
          <cell r="E1732" t="str">
            <v>程序时间</v>
          </cell>
          <cell r="H1732">
            <v>30</v>
          </cell>
          <cell r="I1732">
            <v>45</v>
          </cell>
          <cell r="J1732">
            <v>80</v>
          </cell>
          <cell r="K1732">
            <v>40</v>
          </cell>
          <cell r="M1732">
            <v>30</v>
          </cell>
        </row>
        <row r="1733">
          <cell r="B1733" t="str">
            <v>CB5811100-003-001</v>
          </cell>
          <cell r="D1733" t="str">
            <v>B</v>
          </cell>
          <cell r="E1733" t="str">
            <v>工序内容</v>
          </cell>
          <cell r="F1733" t="str">
            <v>0/领料</v>
          </cell>
          <cell r="G1733" t="str">
            <v>05/下料</v>
          </cell>
          <cell r="H1733" t="str">
            <v>10/数车60</v>
          </cell>
          <cell r="I1733" t="str">
            <v>15/数车25</v>
          </cell>
          <cell r="J1733" t="str">
            <v>20/数铣10</v>
          </cell>
          <cell r="K1733" t="str">
            <v>25/穿孔</v>
          </cell>
          <cell r="L1733" t="str">
            <v>30/钳工</v>
          </cell>
          <cell r="M1733" t="str">
            <v>35/分光</v>
          </cell>
          <cell r="N1733" t="str">
            <v>40/热处理</v>
          </cell>
          <cell r="O1733" t="str">
            <v>45/钳工</v>
          </cell>
          <cell r="P1733" t="str">
            <v>50/清洁</v>
          </cell>
          <cell r="Q1733" t="str">
            <v>55/成检</v>
          </cell>
        </row>
        <row r="1734">
          <cell r="B1734" t="str">
            <v>CB5811100-003-001</v>
          </cell>
          <cell r="D1734" t="str">
            <v>B</v>
          </cell>
          <cell r="E1734" t="str">
            <v>准备工时</v>
          </cell>
          <cell r="H1734">
            <v>60</v>
          </cell>
          <cell r="I1734">
            <v>60</v>
          </cell>
          <cell r="J1734">
            <v>90</v>
          </cell>
        </row>
        <row r="1735">
          <cell r="B1735" t="str">
            <v>CB5811100-003-001</v>
          </cell>
          <cell r="D1735" t="str">
            <v>B</v>
          </cell>
          <cell r="E1735" t="str">
            <v>装夹时间</v>
          </cell>
        </row>
        <row r="1736">
          <cell r="B1736" t="str">
            <v>CB5811100-003-001</v>
          </cell>
          <cell r="D1736" t="str">
            <v>B</v>
          </cell>
          <cell r="E1736" t="str">
            <v>程序时间</v>
          </cell>
          <cell r="G1736">
            <v>5</v>
          </cell>
          <cell r="H1736">
            <v>60</v>
          </cell>
          <cell r="I1736">
            <v>25</v>
          </cell>
          <cell r="J1736">
            <v>25</v>
          </cell>
          <cell r="L1736">
            <v>20</v>
          </cell>
          <cell r="O1736">
            <v>15</v>
          </cell>
        </row>
        <row r="1737">
          <cell r="B1737" t="str">
            <v>CB2280211-035-001</v>
          </cell>
          <cell r="D1737" t="str">
            <v>B</v>
          </cell>
          <cell r="E1737" t="str">
            <v>工序内容</v>
          </cell>
          <cell r="F1737" t="str">
            <v>0/领料</v>
          </cell>
          <cell r="G1737" t="str">
            <v>05/下料</v>
          </cell>
          <cell r="H1737" t="str">
            <v>10/数车20</v>
          </cell>
          <cell r="I1737" t="str">
            <v>15/数车40</v>
          </cell>
          <cell r="J1737" t="str">
            <v>20/分光</v>
          </cell>
          <cell r="K1737" t="str">
            <v>25/硬度</v>
          </cell>
          <cell r="L1737" t="str">
            <v>30/车铣45</v>
          </cell>
          <cell r="M1737" t="str">
            <v>35/钳工</v>
          </cell>
          <cell r="N1737" t="str">
            <v>40/清洁</v>
          </cell>
          <cell r="O1737" t="str">
            <v>45/成检</v>
          </cell>
        </row>
        <row r="1738">
          <cell r="B1738" t="str">
            <v>CB2280211-035-001</v>
          </cell>
          <cell r="D1738" t="str">
            <v>B</v>
          </cell>
          <cell r="E1738" t="str">
            <v>准备工时</v>
          </cell>
          <cell r="H1738">
            <v>90</v>
          </cell>
          <cell r="I1738">
            <v>180</v>
          </cell>
          <cell r="L1738">
            <v>180</v>
          </cell>
        </row>
        <row r="1739">
          <cell r="B1739" t="str">
            <v>CB2280211-035-001</v>
          </cell>
          <cell r="D1739" t="str">
            <v>B</v>
          </cell>
          <cell r="E1739" t="str">
            <v>装夹时间</v>
          </cell>
        </row>
        <row r="1740">
          <cell r="B1740" t="str">
            <v>CB2280211-035-001</v>
          </cell>
          <cell r="D1740" t="str">
            <v>B</v>
          </cell>
          <cell r="E1740" t="str">
            <v>程序时间</v>
          </cell>
          <cell r="G1740">
            <v>15</v>
          </cell>
          <cell r="H1740">
            <v>25</v>
          </cell>
          <cell r="I1740">
            <v>40</v>
          </cell>
          <cell r="L1740">
            <v>60</v>
          </cell>
          <cell r="M1740">
            <v>30</v>
          </cell>
        </row>
        <row r="1741">
          <cell r="B1741" t="str">
            <v>CB2284150-002-002</v>
          </cell>
          <cell r="D1741" t="str">
            <v>B</v>
          </cell>
          <cell r="E1741" t="str">
            <v>工序内容</v>
          </cell>
          <cell r="F1741" t="str">
            <v>0/领料</v>
          </cell>
          <cell r="G1741" t="str">
            <v>05/下料</v>
          </cell>
          <cell r="H1741" t="str">
            <v>10/普车</v>
          </cell>
          <cell r="I1741" t="str">
            <v>15/数车</v>
          </cell>
          <cell r="J1741" t="str">
            <v>20/数铣</v>
          </cell>
          <cell r="K1741" t="str">
            <v>25/钳工</v>
          </cell>
          <cell r="L1741" t="str">
            <v>30/分光</v>
          </cell>
          <cell r="M1741" t="str">
            <v>35硬度</v>
          </cell>
          <cell r="N1741" t="str">
            <v>40/数车</v>
          </cell>
          <cell r="O1741" t="str">
            <v>45/钳工</v>
          </cell>
          <cell r="P1741" t="str">
            <v>50清洁</v>
          </cell>
          <cell r="Q1741" t="str">
            <v>55成检</v>
          </cell>
        </row>
        <row r="1742">
          <cell r="B1742" t="str">
            <v>CB2284150-002-002</v>
          </cell>
          <cell r="D1742" t="str">
            <v>B</v>
          </cell>
          <cell r="E1742" t="str">
            <v>准备工时</v>
          </cell>
          <cell r="H1742">
            <v>60</v>
          </cell>
          <cell r="I1742">
            <v>90</v>
          </cell>
          <cell r="J1742">
            <v>60</v>
          </cell>
          <cell r="N1742">
            <v>90</v>
          </cell>
        </row>
        <row r="1743">
          <cell r="B1743" t="str">
            <v>CB2284150-002-002</v>
          </cell>
          <cell r="D1743" t="str">
            <v>B</v>
          </cell>
          <cell r="E1743" t="str">
            <v>装夹时间</v>
          </cell>
        </row>
        <row r="1744">
          <cell r="B1744" t="str">
            <v>CB2284150-002-002</v>
          </cell>
          <cell r="D1744" t="str">
            <v>B</v>
          </cell>
          <cell r="E1744" t="str">
            <v>程序时间</v>
          </cell>
          <cell r="H1744">
            <v>20</v>
          </cell>
          <cell r="I1744">
            <v>40</v>
          </cell>
          <cell r="J1744">
            <v>20</v>
          </cell>
          <cell r="K1744">
            <v>15</v>
          </cell>
          <cell r="N1744">
            <v>40</v>
          </cell>
          <cell r="O1744">
            <v>30</v>
          </cell>
        </row>
        <row r="1745">
          <cell r="B1745" t="str">
            <v>CB22843G0-004-001</v>
          </cell>
          <cell r="D1745" t="str">
            <v>B</v>
          </cell>
          <cell r="E1745" t="str">
            <v>工序内容</v>
          </cell>
          <cell r="F1745" t="str">
            <v>0/领料</v>
          </cell>
          <cell r="G1745" t="str">
            <v>05/下料</v>
          </cell>
          <cell r="H1745" t="str">
            <v>10/数车15</v>
          </cell>
          <cell r="I1745" t="str">
            <v>15/数车30</v>
          </cell>
          <cell r="J1745" t="str">
            <v>20/分光</v>
          </cell>
          <cell r="K1745" t="str">
            <v>25/硬度</v>
          </cell>
          <cell r="L1745" t="str">
            <v>30/车铣35</v>
          </cell>
          <cell r="M1745" t="str">
            <v>35/钳工</v>
          </cell>
          <cell r="N1745" t="str">
            <v>40/清洁</v>
          </cell>
          <cell r="O1745" t="str">
            <v>45/成检</v>
          </cell>
        </row>
        <row r="1746">
          <cell r="B1746" t="str">
            <v>CB22843G0-004-001</v>
          </cell>
          <cell r="D1746" t="str">
            <v>B</v>
          </cell>
          <cell r="E1746" t="str">
            <v>准备工时</v>
          </cell>
          <cell r="H1746">
            <v>90</v>
          </cell>
          <cell r="I1746">
            <v>90</v>
          </cell>
          <cell r="L1746">
            <v>120</v>
          </cell>
        </row>
        <row r="1747">
          <cell r="B1747" t="str">
            <v>CB22843G0-004-001</v>
          </cell>
          <cell r="D1747" t="str">
            <v>B</v>
          </cell>
          <cell r="E1747" t="str">
            <v>装夹时间</v>
          </cell>
        </row>
        <row r="1748">
          <cell r="B1748" t="str">
            <v>CB22843G0-004-001</v>
          </cell>
          <cell r="D1748" t="str">
            <v>B</v>
          </cell>
          <cell r="E1748" t="str">
            <v>程序时间</v>
          </cell>
          <cell r="H1748">
            <v>25</v>
          </cell>
          <cell r="I1748">
            <v>45</v>
          </cell>
          <cell r="L1748">
            <v>70</v>
          </cell>
          <cell r="M1748">
            <v>30</v>
          </cell>
        </row>
        <row r="1749">
          <cell r="B1749" t="str">
            <v>CB2284764-003-003</v>
          </cell>
          <cell r="D1749" t="str">
            <v>B</v>
          </cell>
          <cell r="E1749" t="str">
            <v>工序内容</v>
          </cell>
          <cell r="F1749" t="str">
            <v>0/领料</v>
          </cell>
          <cell r="G1749" t="str">
            <v>05/普车15</v>
          </cell>
          <cell r="H1749" t="str">
            <v>10/钳工</v>
          </cell>
          <cell r="I1749" t="str">
            <v>15/分光</v>
          </cell>
          <cell r="J1749" t="str">
            <v>20/数车20</v>
          </cell>
          <cell r="K1749" t="str">
            <v>25/车铣35</v>
          </cell>
          <cell r="L1749" t="str">
            <v>30/钳工</v>
          </cell>
          <cell r="M1749" t="str">
            <v>35/清洁</v>
          </cell>
          <cell r="N1749" t="str">
            <v>40/成检</v>
          </cell>
        </row>
        <row r="1750">
          <cell r="B1750" t="str">
            <v>CB2284764-003-003</v>
          </cell>
          <cell r="D1750" t="str">
            <v>B</v>
          </cell>
          <cell r="E1750" t="str">
            <v>准备工时</v>
          </cell>
          <cell r="G1750">
            <v>60</v>
          </cell>
          <cell r="J1750">
            <v>90</v>
          </cell>
          <cell r="K1750">
            <v>150</v>
          </cell>
        </row>
        <row r="1751">
          <cell r="B1751" t="str">
            <v>CB2284764-003-003</v>
          </cell>
          <cell r="D1751" t="str">
            <v>B</v>
          </cell>
          <cell r="E1751" t="str">
            <v>装夹时间</v>
          </cell>
        </row>
        <row r="1752">
          <cell r="B1752" t="str">
            <v>CB2284764-003-003</v>
          </cell>
          <cell r="D1752" t="str">
            <v>B</v>
          </cell>
          <cell r="E1752" t="str">
            <v>程序时间</v>
          </cell>
          <cell r="G1752">
            <v>20</v>
          </cell>
          <cell r="H1752">
            <v>15</v>
          </cell>
          <cell r="J1752">
            <v>30</v>
          </cell>
          <cell r="K1752">
            <v>60</v>
          </cell>
          <cell r="L1752">
            <v>30</v>
          </cell>
        </row>
        <row r="1753">
          <cell r="B1753" t="str">
            <v>DD-J10-55134-130-1</v>
          </cell>
          <cell r="D1753" t="str">
            <v>A</v>
          </cell>
          <cell r="E1753" t="str">
            <v>工序内容</v>
          </cell>
          <cell r="F1753" t="str">
            <v>0/领料</v>
          </cell>
          <cell r="G1753" t="str">
            <v>5/数铣</v>
          </cell>
          <cell r="H1753" t="str">
            <v>10/分光</v>
          </cell>
          <cell r="I1753" t="str">
            <v>15/清洗</v>
          </cell>
          <cell r="J1753" t="str">
            <v>20/热处理</v>
          </cell>
          <cell r="K1753" t="str">
            <v>25/硬度</v>
          </cell>
          <cell r="L1753" t="str">
            <v>30/数铣</v>
          </cell>
          <cell r="M1753" t="str">
            <v>35/数铣10</v>
          </cell>
          <cell r="N1753" t="str">
            <v>40/数铣5</v>
          </cell>
          <cell r="O1753" t="str">
            <v>45/数铣5</v>
          </cell>
          <cell r="P1753" t="str">
            <v>50/线切割</v>
          </cell>
          <cell r="Q1753" t="str">
            <v>55/数铣</v>
          </cell>
          <cell r="R1753" t="str">
            <v>60/数铣5</v>
          </cell>
          <cell r="S1753" t="str">
            <v>65/数铣10</v>
          </cell>
          <cell r="T1753" t="str">
            <v>70/钳工</v>
          </cell>
          <cell r="U1753" t="str">
            <v>75/清洁</v>
          </cell>
          <cell r="V1753" t="str">
            <v>80/成检</v>
          </cell>
        </row>
        <row r="1754">
          <cell r="B1754" t="str">
            <v>DD-J10-55134-130-1</v>
          </cell>
          <cell r="D1754" t="str">
            <v>A</v>
          </cell>
          <cell r="E1754" t="str">
            <v>准备工时</v>
          </cell>
          <cell r="G1754">
            <v>60</v>
          </cell>
          <cell r="L1754" t="str">
            <v>60</v>
          </cell>
          <cell r="M1754" t="str">
            <v>60</v>
          </cell>
          <cell r="N1754">
            <v>60</v>
          </cell>
          <cell r="O1754">
            <v>60</v>
          </cell>
          <cell r="Q1754">
            <v>60</v>
          </cell>
          <cell r="R1754">
            <v>60</v>
          </cell>
          <cell r="S1754">
            <v>60</v>
          </cell>
        </row>
        <row r="1755">
          <cell r="B1755" t="str">
            <v>DD-J10-55134-130-1</v>
          </cell>
          <cell r="D1755" t="str">
            <v>A</v>
          </cell>
          <cell r="E1755" t="str">
            <v>装夹时间</v>
          </cell>
        </row>
        <row r="1756">
          <cell r="B1756" t="str">
            <v>DD-J10-55134-130-1</v>
          </cell>
          <cell r="D1756" t="str">
            <v>A</v>
          </cell>
          <cell r="E1756" t="str">
            <v>程序时间</v>
          </cell>
          <cell r="G1756">
            <v>30</v>
          </cell>
          <cell r="L1756" t="str">
            <v>45</v>
          </cell>
          <cell r="M1756" t="str">
            <v>25</v>
          </cell>
          <cell r="N1756">
            <v>20</v>
          </cell>
          <cell r="O1756">
            <v>20</v>
          </cell>
          <cell r="Q1756">
            <v>20</v>
          </cell>
          <cell r="R1756">
            <v>20</v>
          </cell>
          <cell r="S1756">
            <v>25</v>
          </cell>
          <cell r="T1756">
            <v>15</v>
          </cell>
        </row>
        <row r="1757">
          <cell r="B1757" t="str">
            <v>DD-J10-55134-130-2</v>
          </cell>
          <cell r="D1757" t="str">
            <v>A</v>
          </cell>
          <cell r="E1757" t="str">
            <v>工序内容</v>
          </cell>
          <cell r="F1757" t="str">
            <v>0/领料</v>
          </cell>
          <cell r="G1757" t="str">
            <v>5/数铣</v>
          </cell>
          <cell r="H1757" t="str">
            <v>10/分光</v>
          </cell>
          <cell r="I1757" t="str">
            <v>15/清洗</v>
          </cell>
          <cell r="J1757" t="str">
            <v>20/热处理</v>
          </cell>
          <cell r="K1757" t="str">
            <v>25/硬度</v>
          </cell>
          <cell r="L1757" t="str">
            <v>30/数铣</v>
          </cell>
          <cell r="M1757" t="str">
            <v>35/数铣10</v>
          </cell>
          <cell r="N1757" t="str">
            <v>40/数铣5</v>
          </cell>
          <cell r="O1757" t="str">
            <v>45/数铣5</v>
          </cell>
          <cell r="P1757" t="str">
            <v>50/线切割</v>
          </cell>
          <cell r="Q1757" t="str">
            <v>55/数铣</v>
          </cell>
          <cell r="R1757" t="str">
            <v>60/数铣5</v>
          </cell>
          <cell r="S1757" t="str">
            <v>65/数铣10</v>
          </cell>
          <cell r="T1757" t="str">
            <v>70/钳工</v>
          </cell>
          <cell r="U1757" t="str">
            <v>75/清洁</v>
          </cell>
          <cell r="V1757" t="str">
            <v>80/成检</v>
          </cell>
        </row>
        <row r="1758">
          <cell r="B1758" t="str">
            <v>DD-J10-55134-130-2</v>
          </cell>
          <cell r="D1758" t="str">
            <v>A</v>
          </cell>
          <cell r="E1758" t="str">
            <v>准备工时</v>
          </cell>
          <cell r="G1758">
            <v>60</v>
          </cell>
          <cell r="L1758" t="str">
            <v>60</v>
          </cell>
          <cell r="M1758" t="str">
            <v>60</v>
          </cell>
          <cell r="N1758">
            <v>60</v>
          </cell>
          <cell r="O1758">
            <v>60</v>
          </cell>
          <cell r="Q1758">
            <v>60</v>
          </cell>
          <cell r="R1758">
            <v>60</v>
          </cell>
          <cell r="S1758">
            <v>60</v>
          </cell>
        </row>
        <row r="1759">
          <cell r="B1759" t="str">
            <v>DD-J10-55134-130-2</v>
          </cell>
          <cell r="D1759" t="str">
            <v>A</v>
          </cell>
          <cell r="E1759" t="str">
            <v>装夹时间</v>
          </cell>
        </row>
        <row r="1760">
          <cell r="B1760" t="str">
            <v>DD-J10-55134-130-2</v>
          </cell>
          <cell r="D1760" t="str">
            <v>A</v>
          </cell>
          <cell r="E1760" t="str">
            <v>程序时间</v>
          </cell>
          <cell r="G1760">
            <v>30</v>
          </cell>
          <cell r="L1760" t="str">
            <v>45</v>
          </cell>
          <cell r="M1760" t="str">
            <v>25</v>
          </cell>
          <cell r="N1760">
            <v>20</v>
          </cell>
          <cell r="O1760">
            <v>20</v>
          </cell>
          <cell r="Q1760">
            <v>20</v>
          </cell>
          <cell r="R1760">
            <v>20</v>
          </cell>
          <cell r="S1760">
            <v>25</v>
          </cell>
          <cell r="T1760">
            <v>15</v>
          </cell>
        </row>
        <row r="1761">
          <cell r="B1761" t="str">
            <v>DD-J10-96011-12</v>
          </cell>
          <cell r="D1761" t="str">
            <v>B</v>
          </cell>
          <cell r="E1761" t="str">
            <v>工序内容</v>
          </cell>
          <cell r="F1761" t="str">
            <v>0/领料</v>
          </cell>
          <cell r="G1761" t="str">
            <v>05/数车25</v>
          </cell>
          <cell r="H1761" t="str">
            <v>10/数车25</v>
          </cell>
          <cell r="I1761" t="str">
            <v>15/钳工</v>
          </cell>
          <cell r="J1761" t="str">
            <v>20/清洁</v>
          </cell>
          <cell r="K1761" t="str">
            <v>25/成检</v>
          </cell>
        </row>
        <row r="1762">
          <cell r="B1762" t="str">
            <v>DD-J10-96011-12</v>
          </cell>
          <cell r="D1762" t="str">
            <v>B</v>
          </cell>
          <cell r="E1762" t="str">
            <v>准备工时</v>
          </cell>
          <cell r="G1762">
            <v>90</v>
          </cell>
          <cell r="H1762">
            <v>90</v>
          </cell>
        </row>
        <row r="1763">
          <cell r="B1763" t="str">
            <v>DD-J10-96011-12</v>
          </cell>
          <cell r="D1763" t="str">
            <v>B</v>
          </cell>
          <cell r="E1763" t="str">
            <v>装夹时间</v>
          </cell>
        </row>
        <row r="1764">
          <cell r="B1764" t="str">
            <v>DD-J10-96011-12</v>
          </cell>
          <cell r="D1764" t="str">
            <v>B</v>
          </cell>
          <cell r="E1764" t="str">
            <v>程序时间</v>
          </cell>
          <cell r="G1764">
            <v>40</v>
          </cell>
          <cell r="H1764">
            <v>40</v>
          </cell>
          <cell r="I1764">
            <v>30</v>
          </cell>
        </row>
        <row r="1765">
          <cell r="B1765" t="str">
            <v>CB2280211-020-001</v>
          </cell>
          <cell r="D1765" t="str">
            <v>B</v>
          </cell>
          <cell r="E1765" t="str">
            <v>工序内容</v>
          </cell>
          <cell r="F1765" t="str">
            <v>0/领料</v>
          </cell>
          <cell r="G1765" t="str">
            <v>5/下料</v>
          </cell>
          <cell r="H1765" t="str">
            <v>10/数车15</v>
          </cell>
          <cell r="I1765" t="str">
            <v>15/数车30</v>
          </cell>
          <cell r="J1765" t="str">
            <v>20/分光</v>
          </cell>
          <cell r="K1765" t="str">
            <v>25硬检</v>
          </cell>
          <cell r="L1765" t="str">
            <v>30车铣45</v>
          </cell>
          <cell r="M1765" t="str">
            <v>35钳工</v>
          </cell>
          <cell r="N1765" t="str">
            <v>40清洁</v>
          </cell>
          <cell r="O1765" t="str">
            <v>45成检</v>
          </cell>
        </row>
        <row r="1766">
          <cell r="B1766" t="str">
            <v>CB2280211-020-001</v>
          </cell>
          <cell r="D1766" t="str">
            <v>B</v>
          </cell>
          <cell r="E1766" t="str">
            <v>准备工时</v>
          </cell>
          <cell r="H1766">
            <v>90</v>
          </cell>
          <cell r="I1766">
            <v>90</v>
          </cell>
          <cell r="L1766">
            <v>120</v>
          </cell>
        </row>
        <row r="1767">
          <cell r="B1767" t="str">
            <v>CB2280211-020-001</v>
          </cell>
          <cell r="D1767" t="str">
            <v>B</v>
          </cell>
          <cell r="E1767" t="str">
            <v>装夹时间</v>
          </cell>
        </row>
        <row r="1768">
          <cell r="B1768" t="str">
            <v>CB2280211-020-001</v>
          </cell>
          <cell r="D1768" t="str">
            <v>B</v>
          </cell>
          <cell r="E1768" t="str">
            <v>程序时间</v>
          </cell>
          <cell r="H1768">
            <v>25</v>
          </cell>
          <cell r="I1768">
            <v>45</v>
          </cell>
          <cell r="L1768">
            <v>70</v>
          </cell>
          <cell r="M1768">
            <v>20</v>
          </cell>
        </row>
        <row r="1769">
          <cell r="B1769" t="str">
            <v>CB2284752-005-002</v>
          </cell>
          <cell r="D1769" t="str">
            <v>B</v>
          </cell>
          <cell r="E1769" t="str">
            <v>工序内容</v>
          </cell>
          <cell r="F1769" t="str">
            <v>0/领料</v>
          </cell>
          <cell r="G1769" t="str">
            <v>05/普车10</v>
          </cell>
          <cell r="H1769" t="str">
            <v>10/钳工</v>
          </cell>
          <cell r="I1769" t="str">
            <v>15/分光</v>
          </cell>
          <cell r="J1769" t="str">
            <v>20/下料</v>
          </cell>
          <cell r="K1769" t="str">
            <v>25/数车15</v>
          </cell>
          <cell r="L1769" t="str">
            <v>30/车铣45</v>
          </cell>
          <cell r="M1769" t="str">
            <v>35/数车15</v>
          </cell>
          <cell r="N1769" t="str">
            <v>40/钳工</v>
          </cell>
          <cell r="O1769" t="str">
            <v>45/清洁</v>
          </cell>
          <cell r="P1769" t="str">
            <v>50/成检</v>
          </cell>
        </row>
        <row r="1770">
          <cell r="B1770" t="str">
            <v>CB2284752-005-002</v>
          </cell>
          <cell r="D1770" t="str">
            <v>B</v>
          </cell>
          <cell r="E1770" t="str">
            <v>准备工时</v>
          </cell>
          <cell r="G1770">
            <v>60</v>
          </cell>
          <cell r="K1770">
            <v>90</v>
          </cell>
          <cell r="L1770">
            <v>120</v>
          </cell>
          <cell r="M1770">
            <v>90</v>
          </cell>
        </row>
        <row r="1771">
          <cell r="B1771" t="str">
            <v>CB2284752-005-002</v>
          </cell>
          <cell r="D1771" t="str">
            <v>B</v>
          </cell>
          <cell r="E1771" t="str">
            <v>程序时间</v>
          </cell>
          <cell r="G1771">
            <v>20</v>
          </cell>
          <cell r="H1771">
            <v>15</v>
          </cell>
          <cell r="K1771">
            <v>25</v>
          </cell>
          <cell r="L1771">
            <v>70</v>
          </cell>
          <cell r="M1771">
            <v>25</v>
          </cell>
          <cell r="N1771">
            <v>30</v>
          </cell>
        </row>
        <row r="1772">
          <cell r="B1772" t="str">
            <v>CB2284752-005-002</v>
          </cell>
          <cell r="D1772" t="str">
            <v>C</v>
          </cell>
          <cell r="E1772" t="str">
            <v>工序内容</v>
          </cell>
          <cell r="F1772" t="str">
            <v>0/领料</v>
          </cell>
          <cell r="G1772" t="str">
            <v>05/普车10</v>
          </cell>
          <cell r="H1772" t="str">
            <v>10/钳工</v>
          </cell>
          <cell r="I1772" t="str">
            <v>15/分光</v>
          </cell>
          <cell r="J1772" t="str">
            <v>20/下料</v>
          </cell>
          <cell r="K1772" t="str">
            <v>25/数车20</v>
          </cell>
          <cell r="L1772" t="str">
            <v>30/车铣60</v>
          </cell>
          <cell r="M1772" t="str">
            <v>35/数车20</v>
          </cell>
          <cell r="N1772" t="str">
            <v>40/钳工</v>
          </cell>
          <cell r="O1772" t="str">
            <v>45/清洁</v>
          </cell>
          <cell r="P1772" t="str">
            <v>50/成检</v>
          </cell>
        </row>
        <row r="1773">
          <cell r="B1773" t="str">
            <v>CB2284752-005-002</v>
          </cell>
          <cell r="D1773" t="str">
            <v>C</v>
          </cell>
          <cell r="E1773" t="str">
            <v>准备工时</v>
          </cell>
          <cell r="G1773">
            <v>60</v>
          </cell>
          <cell r="K1773">
            <v>90</v>
          </cell>
          <cell r="L1773">
            <v>120</v>
          </cell>
          <cell r="M1773">
            <v>90</v>
          </cell>
        </row>
        <row r="1774">
          <cell r="B1774" t="str">
            <v>CB2284752-005-002</v>
          </cell>
          <cell r="D1774" t="str">
            <v>C</v>
          </cell>
          <cell r="E1774" t="str">
            <v>程序时间</v>
          </cell>
          <cell r="G1774">
            <v>20</v>
          </cell>
          <cell r="H1774">
            <v>15</v>
          </cell>
          <cell r="K1774">
            <v>20</v>
          </cell>
          <cell r="L1774">
            <v>60</v>
          </cell>
          <cell r="M1774">
            <v>20</v>
          </cell>
          <cell r="N1774">
            <v>30</v>
          </cell>
        </row>
        <row r="1775">
          <cell r="B1775" t="str">
            <v>CB22924K0-001-005</v>
          </cell>
          <cell r="D1775" t="str">
            <v>B</v>
          </cell>
          <cell r="E1775" t="str">
            <v>工序内容</v>
          </cell>
          <cell r="F1775" t="str">
            <v>0/领料</v>
          </cell>
          <cell r="G1775" t="str">
            <v>5/下料</v>
          </cell>
          <cell r="H1775" t="str">
            <v>10/数铣</v>
          </cell>
          <cell r="I1775" t="str">
            <v>15/数铣30</v>
          </cell>
          <cell r="J1775" t="str">
            <v>20/数车35</v>
          </cell>
          <cell r="K1775" t="str">
            <v>25/数铣35</v>
          </cell>
          <cell r="L1775" t="str">
            <v>30/钳工</v>
          </cell>
          <cell r="M1775" t="str">
            <v>35/数铣5</v>
          </cell>
          <cell r="N1775" t="str">
            <v>40/数铣</v>
          </cell>
          <cell r="O1775" t="str">
            <v>45/钳工</v>
          </cell>
          <cell r="P1775" t="str">
            <v>50/清洗</v>
          </cell>
          <cell r="Q1775" t="str">
            <v>55/检验</v>
          </cell>
          <cell r="R1775" t="str">
            <v>60/硬捡</v>
          </cell>
          <cell r="S1775" t="str">
            <v>65/硬捡</v>
          </cell>
          <cell r="T1775" t="str">
            <v>70/钳工</v>
          </cell>
          <cell r="U1775" t="str">
            <v>75/成检</v>
          </cell>
        </row>
        <row r="1776">
          <cell r="B1776" t="str">
            <v>CB22924K0-001-005</v>
          </cell>
          <cell r="D1776" t="str">
            <v>B</v>
          </cell>
          <cell r="E1776" t="str">
            <v>准备工时</v>
          </cell>
          <cell r="H1776">
            <v>60</v>
          </cell>
          <cell r="I1776">
            <v>60</v>
          </cell>
          <cell r="J1776">
            <v>60</v>
          </cell>
          <cell r="K1776">
            <v>60</v>
          </cell>
          <cell r="M1776">
            <v>90</v>
          </cell>
        </row>
        <row r="1777">
          <cell r="B1777" t="str">
            <v>CB22924K0-001-005</v>
          </cell>
          <cell r="D1777" t="str">
            <v>B</v>
          </cell>
          <cell r="E1777" t="str">
            <v>装夹时间</v>
          </cell>
        </row>
        <row r="1778">
          <cell r="B1778" t="str">
            <v>CB22924K0-001-005</v>
          </cell>
          <cell r="D1778" t="str">
            <v>B</v>
          </cell>
          <cell r="E1778" t="str">
            <v>程序时间</v>
          </cell>
          <cell r="G1778">
            <v>10</v>
          </cell>
          <cell r="H1778">
            <v>30</v>
          </cell>
          <cell r="I1778">
            <v>50</v>
          </cell>
          <cell r="J1778">
            <v>60</v>
          </cell>
          <cell r="K1778">
            <v>60</v>
          </cell>
          <cell r="L1778">
            <v>20</v>
          </cell>
          <cell r="M1778">
            <v>25</v>
          </cell>
          <cell r="N1778">
            <v>20</v>
          </cell>
          <cell r="O1778">
            <v>10</v>
          </cell>
          <cell r="T1778">
            <v>5</v>
          </cell>
        </row>
        <row r="1779">
          <cell r="B1779" t="str">
            <v>Y20-5315200201-001</v>
          </cell>
          <cell r="D1779" t="str">
            <v>B</v>
          </cell>
          <cell r="E1779" t="str">
            <v>工序内容</v>
          </cell>
          <cell r="F1779" t="str">
            <v>0/领料</v>
          </cell>
          <cell r="G1779" t="str">
            <v>05/下料</v>
          </cell>
          <cell r="H1779" t="str">
            <v>10/数铣</v>
          </cell>
          <cell r="I1779" t="str">
            <v>15/数铣10</v>
          </cell>
          <cell r="J1779" t="str">
            <v>20/数铣20</v>
          </cell>
          <cell r="K1779" t="str">
            <v>25/数铣20</v>
          </cell>
          <cell r="L1779" t="str">
            <v>30/测量</v>
          </cell>
          <cell r="M1779" t="str">
            <v>35/钳工</v>
          </cell>
          <cell r="N1779" t="str">
            <v>40/清洁</v>
          </cell>
          <cell r="O1779" t="str">
            <v>45/成检</v>
          </cell>
        </row>
        <row r="1780">
          <cell r="B1780" t="str">
            <v>Y20-5315200201-001</v>
          </cell>
          <cell r="D1780" t="str">
            <v>B</v>
          </cell>
          <cell r="E1780" t="str">
            <v>准备工时</v>
          </cell>
          <cell r="H1780">
            <v>60</v>
          </cell>
          <cell r="I1780">
            <v>60</v>
          </cell>
          <cell r="J1780">
            <v>60</v>
          </cell>
          <cell r="K1780">
            <v>60</v>
          </cell>
        </row>
        <row r="1781">
          <cell r="B1781" t="str">
            <v>Y20-5315200201-001</v>
          </cell>
          <cell r="D1781" t="str">
            <v>B</v>
          </cell>
          <cell r="E1781" t="str">
            <v>装夹时间</v>
          </cell>
        </row>
        <row r="1782">
          <cell r="B1782" t="str">
            <v>Y20-5315200201-001</v>
          </cell>
          <cell r="D1782" t="str">
            <v>B</v>
          </cell>
          <cell r="E1782" t="str">
            <v>程序时间</v>
          </cell>
          <cell r="H1782">
            <v>30</v>
          </cell>
          <cell r="I1782">
            <v>40</v>
          </cell>
          <cell r="J1782">
            <v>45</v>
          </cell>
          <cell r="K1782">
            <v>45</v>
          </cell>
          <cell r="M1782" t="str">
            <v>35</v>
          </cell>
        </row>
        <row r="1783">
          <cell r="B1783" t="str">
            <v>CB2284480-004-001</v>
          </cell>
          <cell r="D1783" t="str">
            <v>B</v>
          </cell>
          <cell r="E1783" t="str">
            <v>工序内容</v>
          </cell>
          <cell r="F1783" t="str">
            <v>0/领料</v>
          </cell>
          <cell r="G1783" t="str">
            <v>05/数铣</v>
          </cell>
          <cell r="H1783" t="str">
            <v>10/数铣15</v>
          </cell>
          <cell r="I1783" t="str">
            <v>15/数铣15</v>
          </cell>
          <cell r="J1783" t="str">
            <v>20/数铣15</v>
          </cell>
          <cell r="K1783" t="str">
            <v>25/数铣10</v>
          </cell>
          <cell r="L1783" t="str">
            <v>30/钳工</v>
          </cell>
          <cell r="M1783" t="str">
            <v>35/分光</v>
          </cell>
          <cell r="N1783" t="str">
            <v>40/硬度</v>
          </cell>
          <cell r="O1783" t="str">
            <v>45/数车30</v>
          </cell>
          <cell r="P1783" t="str">
            <v>50/数车30</v>
          </cell>
          <cell r="Q1783" t="str">
            <v>55/数车20</v>
          </cell>
          <cell r="R1783" t="str">
            <v>60/数车15</v>
          </cell>
          <cell r="S1783" t="str">
            <v>65/数车20</v>
          </cell>
          <cell r="T1783" t="str">
            <v>70/数车5</v>
          </cell>
          <cell r="U1783" t="str">
            <v>75/数铣10</v>
          </cell>
          <cell r="V1783" t="str">
            <v>80/钳工</v>
          </cell>
          <cell r="W1783" t="str">
            <v>85/清洁</v>
          </cell>
          <cell r="X1783" t="str">
            <v>90/成检</v>
          </cell>
        </row>
        <row r="1784">
          <cell r="B1784" t="str">
            <v>CB2284480-004-001</v>
          </cell>
          <cell r="D1784" t="str">
            <v>B</v>
          </cell>
          <cell r="E1784" t="str">
            <v>准备工时</v>
          </cell>
          <cell r="G1784">
            <v>60</v>
          </cell>
          <cell r="H1784">
            <v>60</v>
          </cell>
          <cell r="I1784">
            <v>60</v>
          </cell>
          <cell r="J1784">
            <v>60</v>
          </cell>
          <cell r="K1784">
            <v>60</v>
          </cell>
          <cell r="O1784">
            <v>150</v>
          </cell>
          <cell r="P1784">
            <v>180</v>
          </cell>
          <cell r="Q1784">
            <v>180</v>
          </cell>
          <cell r="R1784">
            <v>120</v>
          </cell>
          <cell r="S1784">
            <v>120</v>
          </cell>
          <cell r="T1784">
            <v>120</v>
          </cell>
          <cell r="U1784">
            <v>60</v>
          </cell>
        </row>
        <row r="1785">
          <cell r="B1785" t="str">
            <v>CB2284480-004-001</v>
          </cell>
          <cell r="D1785" t="str">
            <v>B</v>
          </cell>
          <cell r="E1785" t="str">
            <v>装夹时间</v>
          </cell>
        </row>
        <row r="1786">
          <cell r="B1786" t="str">
            <v>CB2284480-004-001</v>
          </cell>
          <cell r="D1786" t="str">
            <v>B</v>
          </cell>
          <cell r="E1786" t="str">
            <v>程序时间</v>
          </cell>
          <cell r="G1786">
            <v>60</v>
          </cell>
          <cell r="H1786">
            <v>30</v>
          </cell>
          <cell r="I1786">
            <v>30</v>
          </cell>
          <cell r="J1786">
            <v>30</v>
          </cell>
          <cell r="K1786">
            <v>25</v>
          </cell>
          <cell r="L1786">
            <v>20</v>
          </cell>
          <cell r="O1786">
            <v>40</v>
          </cell>
          <cell r="P1786">
            <v>90</v>
          </cell>
          <cell r="Q1786">
            <v>40</v>
          </cell>
          <cell r="R1786">
            <v>25</v>
          </cell>
          <cell r="S1786">
            <v>30</v>
          </cell>
          <cell r="T1786">
            <v>15</v>
          </cell>
          <cell r="U1786">
            <v>25</v>
          </cell>
          <cell r="V1786">
            <v>30</v>
          </cell>
        </row>
        <row r="1787">
          <cell r="B1787" t="str">
            <v>CB22837C2-001-001</v>
          </cell>
          <cell r="D1787" t="str">
            <v>D</v>
          </cell>
          <cell r="E1787" t="str">
            <v>工序内容</v>
          </cell>
          <cell r="F1787" t="str">
            <v>0/领料</v>
          </cell>
          <cell r="G1787" t="str">
            <v>05/普车</v>
          </cell>
          <cell r="H1787" t="str">
            <v>10/钳工</v>
          </cell>
          <cell r="I1787" t="str">
            <v>15/分光</v>
          </cell>
          <cell r="J1787" t="str">
            <v>20/数车20</v>
          </cell>
          <cell r="K1787" t="str">
            <v>25/车铣30</v>
          </cell>
          <cell r="L1787" t="str">
            <v>30/数车20</v>
          </cell>
          <cell r="M1787" t="str">
            <v>35/钳工</v>
          </cell>
          <cell r="N1787" t="str">
            <v>40/清洁</v>
          </cell>
          <cell r="O1787" t="str">
            <v>45/成检</v>
          </cell>
        </row>
        <row r="1788">
          <cell r="B1788" t="str">
            <v>CB22837C2-001-001</v>
          </cell>
          <cell r="D1788" t="str">
            <v>D</v>
          </cell>
          <cell r="E1788" t="str">
            <v>准备工时</v>
          </cell>
          <cell r="G1788">
            <v>60</v>
          </cell>
          <cell r="J1788">
            <v>90</v>
          </cell>
          <cell r="K1788">
            <v>150</v>
          </cell>
          <cell r="L1788">
            <v>90</v>
          </cell>
        </row>
        <row r="1789">
          <cell r="B1789" t="str">
            <v>CB22837C2-001-001</v>
          </cell>
          <cell r="D1789" t="str">
            <v>D</v>
          </cell>
          <cell r="E1789" t="str">
            <v>装夹时间</v>
          </cell>
        </row>
        <row r="1790">
          <cell r="B1790" t="str">
            <v>CB22837C2-001-001</v>
          </cell>
          <cell r="D1790" t="str">
            <v>D</v>
          </cell>
          <cell r="E1790" t="str">
            <v>程序时间</v>
          </cell>
          <cell r="G1790">
            <v>15</v>
          </cell>
          <cell r="H1790">
            <v>15</v>
          </cell>
          <cell r="J1790">
            <v>30</v>
          </cell>
          <cell r="K1790">
            <v>60</v>
          </cell>
          <cell r="L1790">
            <v>35</v>
          </cell>
          <cell r="M1790">
            <v>25</v>
          </cell>
        </row>
        <row r="1791">
          <cell r="B1791" t="str">
            <v>CB2747G90-003-001</v>
          </cell>
          <cell r="D1791" t="str">
            <v>B</v>
          </cell>
          <cell r="E1791" t="str">
            <v>工序内容</v>
          </cell>
          <cell r="F1791" t="str">
            <v>0/领料</v>
          </cell>
          <cell r="G1791" t="str">
            <v>05/下料</v>
          </cell>
          <cell r="H1791" t="str">
            <v>10/数车</v>
          </cell>
          <cell r="I1791" t="str">
            <v>15/数车</v>
          </cell>
          <cell r="J1791" t="str">
            <v>20/线切割</v>
          </cell>
          <cell r="K1791" t="str">
            <v>25/数铣</v>
          </cell>
          <cell r="L1791" t="str">
            <v>30/数铣</v>
          </cell>
          <cell r="M1791" t="str">
            <v>35/数铣</v>
          </cell>
          <cell r="N1791" t="str">
            <v>40/钳工</v>
          </cell>
          <cell r="O1791" t="str">
            <v>45/分光</v>
          </cell>
          <cell r="P1791" t="str">
            <v>50/数铣</v>
          </cell>
          <cell r="Q1791" t="str">
            <v>55/钳工</v>
          </cell>
        </row>
        <row r="1792">
          <cell r="B1792" t="str">
            <v>CB2747G90-003-001</v>
          </cell>
          <cell r="D1792" t="str">
            <v>B</v>
          </cell>
          <cell r="E1792" t="str">
            <v>准备工时</v>
          </cell>
          <cell r="H1792">
            <v>60</v>
          </cell>
          <cell r="I1792">
            <v>60</v>
          </cell>
          <cell r="K1792">
            <v>60</v>
          </cell>
          <cell r="L1792">
            <v>60</v>
          </cell>
          <cell r="M1792">
            <v>60</v>
          </cell>
          <cell r="P1792">
            <v>60</v>
          </cell>
        </row>
        <row r="1793">
          <cell r="B1793" t="str">
            <v>CB2747G90-003-001</v>
          </cell>
          <cell r="D1793" t="str">
            <v>B</v>
          </cell>
          <cell r="E1793" t="str">
            <v>装夹时间</v>
          </cell>
        </row>
        <row r="1794">
          <cell r="B1794" t="str">
            <v>CB2747G90-003-001</v>
          </cell>
          <cell r="D1794" t="str">
            <v>B</v>
          </cell>
          <cell r="E1794" t="str">
            <v>程序时间</v>
          </cell>
          <cell r="H1794">
            <v>20</v>
          </cell>
          <cell r="I1794">
            <v>60</v>
          </cell>
          <cell r="K1794">
            <v>20</v>
          </cell>
          <cell r="L1794">
            <v>20</v>
          </cell>
          <cell r="M1794">
            <v>15</v>
          </cell>
          <cell r="N1794">
            <v>40</v>
          </cell>
          <cell r="P1794">
            <v>15</v>
          </cell>
          <cell r="Q1794">
            <v>30</v>
          </cell>
        </row>
        <row r="1795">
          <cell r="B1795" t="str">
            <v>DD-J10-55014-2160-1</v>
          </cell>
          <cell r="D1795" t="str">
            <v>A</v>
          </cell>
          <cell r="E1795" t="str">
            <v>工序内容</v>
          </cell>
          <cell r="F1795" t="str">
            <v>0/领料</v>
          </cell>
          <cell r="G1795" t="str">
            <v>05/钳工</v>
          </cell>
          <cell r="H1795" t="str">
            <v>10/数车5</v>
          </cell>
          <cell r="I1795" t="str">
            <v>15/数车10</v>
          </cell>
          <cell r="J1795" t="str">
            <v>20/数铣10</v>
          </cell>
          <cell r="K1795" t="str">
            <v>25/线切割</v>
          </cell>
          <cell r="L1795" t="str">
            <v>30/数车15</v>
          </cell>
          <cell r="M1795" t="str">
            <v>35/数车15</v>
          </cell>
          <cell r="N1795" t="str">
            <v>40/线切割</v>
          </cell>
          <cell r="O1795" t="str">
            <v>45/钳工</v>
          </cell>
          <cell r="P1795" t="str">
            <v>50/热处理</v>
          </cell>
          <cell r="Q1795" t="str">
            <v>55/数铣</v>
          </cell>
          <cell r="R1795" t="str">
            <v>60/数车20</v>
          </cell>
          <cell r="S1795" t="str">
            <v>65/钳工</v>
          </cell>
          <cell r="T1795" t="str">
            <v>70/入厂复检</v>
          </cell>
          <cell r="U1795" t="str">
            <v>75/消除应力</v>
          </cell>
          <cell r="V1795" t="str">
            <v>80/清洗</v>
          </cell>
          <cell r="W1795" t="str">
            <v>85/磁粉</v>
          </cell>
          <cell r="X1795" t="str">
            <v>90/清洗</v>
          </cell>
          <cell r="Y1795" t="str">
            <v>95/表处</v>
          </cell>
          <cell r="Z1795" t="str">
            <v>100/清洗</v>
          </cell>
          <cell r="AA1795" t="str">
            <v>105/磁粉</v>
          </cell>
          <cell r="AB1795" t="str">
            <v>110/清洗</v>
          </cell>
          <cell r="AC1795" t="str">
            <v>115/表处</v>
          </cell>
          <cell r="AD1795" t="str">
            <v>120/表处</v>
          </cell>
          <cell r="AE1795" t="str">
            <v>125/钳工</v>
          </cell>
          <cell r="AF1795" t="str">
            <v>130/成检</v>
          </cell>
        </row>
        <row r="1796">
          <cell r="B1796" t="str">
            <v>DD-J10-55014-2160-1</v>
          </cell>
          <cell r="D1796" t="str">
            <v>A</v>
          </cell>
          <cell r="E1796" t="str">
            <v>准备工时</v>
          </cell>
          <cell r="H1796">
            <v>120</v>
          </cell>
          <cell r="I1796">
            <v>120</v>
          </cell>
          <cell r="J1796">
            <v>60</v>
          </cell>
          <cell r="L1796">
            <v>120</v>
          </cell>
          <cell r="M1796">
            <v>120</v>
          </cell>
          <cell r="Q1796">
            <v>60</v>
          </cell>
          <cell r="R1796">
            <v>60</v>
          </cell>
        </row>
        <row r="1797">
          <cell r="B1797" t="str">
            <v>DD-J10-55014-2160-1</v>
          </cell>
          <cell r="D1797" t="str">
            <v>A</v>
          </cell>
          <cell r="E1797" t="str">
            <v>装夹时间</v>
          </cell>
        </row>
        <row r="1798">
          <cell r="B1798" t="str">
            <v>DD-J10-55014-2160-1</v>
          </cell>
          <cell r="D1798" t="str">
            <v>A</v>
          </cell>
          <cell r="E1798" t="str">
            <v>程序时间</v>
          </cell>
          <cell r="G1798">
            <v>15</v>
          </cell>
          <cell r="H1798">
            <v>20</v>
          </cell>
          <cell r="I1798">
            <v>25</v>
          </cell>
          <cell r="J1798">
            <v>30</v>
          </cell>
          <cell r="L1798">
            <v>30</v>
          </cell>
          <cell r="M1798">
            <v>30</v>
          </cell>
          <cell r="O1798">
            <v>35</v>
          </cell>
          <cell r="Q1798">
            <v>40</v>
          </cell>
          <cell r="R1798">
            <v>30</v>
          </cell>
          <cell r="S1798">
            <v>30</v>
          </cell>
          <cell r="AE1798">
            <v>20</v>
          </cell>
        </row>
        <row r="1799">
          <cell r="B1799" t="str">
            <v>DD-J10-55014-2160-1</v>
          </cell>
          <cell r="D1799" t="str">
            <v>A</v>
          </cell>
          <cell r="E1799" t="str">
            <v>工序内容</v>
          </cell>
          <cell r="F1799" t="str">
            <v>0/领料</v>
          </cell>
          <cell r="G1799" t="str">
            <v>05/钳工</v>
          </cell>
          <cell r="H1799" t="str">
            <v>10/数车5</v>
          </cell>
          <cell r="I1799" t="str">
            <v>15/数车10</v>
          </cell>
          <cell r="J1799" t="str">
            <v>20/数铣10</v>
          </cell>
          <cell r="K1799" t="str">
            <v>25/线切割</v>
          </cell>
          <cell r="L1799" t="str">
            <v>30/数车15</v>
          </cell>
          <cell r="M1799" t="str">
            <v>35/数车15</v>
          </cell>
          <cell r="N1799" t="str">
            <v>40/线切割</v>
          </cell>
          <cell r="O1799" t="str">
            <v>45/钳工</v>
          </cell>
          <cell r="P1799" t="str">
            <v>50/热处理</v>
          </cell>
          <cell r="Q1799" t="str">
            <v>55/数铣</v>
          </cell>
          <cell r="R1799" t="str">
            <v>60/数车20</v>
          </cell>
          <cell r="S1799" t="str">
            <v>65/钳工</v>
          </cell>
          <cell r="T1799" t="str">
            <v>70/入厂复检</v>
          </cell>
          <cell r="U1799" t="str">
            <v>75/消除应力</v>
          </cell>
          <cell r="V1799" t="str">
            <v>80/清洗</v>
          </cell>
          <cell r="W1799" t="str">
            <v>85/磁粉</v>
          </cell>
          <cell r="X1799" t="str">
            <v>90/清洗</v>
          </cell>
          <cell r="Y1799" t="str">
            <v>95/表处</v>
          </cell>
          <cell r="Z1799" t="str">
            <v>100/清洗</v>
          </cell>
          <cell r="AA1799" t="str">
            <v>105/磁粉</v>
          </cell>
          <cell r="AB1799" t="str">
            <v>110/清洗</v>
          </cell>
          <cell r="AC1799" t="str">
            <v>115/表处</v>
          </cell>
          <cell r="AD1799" t="str">
            <v>120/表处</v>
          </cell>
          <cell r="AE1799" t="str">
            <v>125/钳工</v>
          </cell>
          <cell r="AF1799" t="str">
            <v>130/成检</v>
          </cell>
        </row>
        <row r="1800">
          <cell r="B1800" t="str">
            <v>DD-J10-55014-2160-1</v>
          </cell>
          <cell r="D1800" t="str">
            <v>A</v>
          </cell>
          <cell r="E1800" t="str">
            <v>准备工时</v>
          </cell>
          <cell r="H1800">
            <v>120</v>
          </cell>
          <cell r="I1800">
            <v>120</v>
          </cell>
          <cell r="J1800">
            <v>60</v>
          </cell>
          <cell r="L1800">
            <v>120</v>
          </cell>
          <cell r="M1800">
            <v>120</v>
          </cell>
          <cell r="Q1800">
            <v>60</v>
          </cell>
          <cell r="R1800">
            <v>60</v>
          </cell>
        </row>
        <row r="1801">
          <cell r="B1801" t="str">
            <v>DD-J10-55014-2160-1</v>
          </cell>
          <cell r="D1801" t="str">
            <v>A</v>
          </cell>
          <cell r="E1801" t="str">
            <v>装夹时间</v>
          </cell>
        </row>
        <row r="1802">
          <cell r="B1802" t="str">
            <v>DD-J10-55014-2160-1</v>
          </cell>
          <cell r="D1802" t="str">
            <v>A</v>
          </cell>
          <cell r="E1802" t="str">
            <v>程序时间</v>
          </cell>
          <cell r="G1802">
            <v>15</v>
          </cell>
          <cell r="H1802">
            <v>20</v>
          </cell>
          <cell r="I1802">
            <v>25</v>
          </cell>
          <cell r="J1802">
            <v>30</v>
          </cell>
          <cell r="L1802">
            <v>30</v>
          </cell>
          <cell r="M1802">
            <v>30</v>
          </cell>
          <cell r="O1802">
            <v>35</v>
          </cell>
          <cell r="Q1802">
            <v>40</v>
          </cell>
          <cell r="R1802">
            <v>30</v>
          </cell>
          <cell r="S1802">
            <v>30</v>
          </cell>
          <cell r="AE1802">
            <v>20</v>
          </cell>
        </row>
        <row r="1803">
          <cell r="B1803" t="str">
            <v>DD-J10-55014-2160-1</v>
          </cell>
          <cell r="D1803" t="str">
            <v>B</v>
          </cell>
          <cell r="E1803" t="str">
            <v>工序内容</v>
          </cell>
          <cell r="F1803" t="str">
            <v>0/领料</v>
          </cell>
          <cell r="G1803" t="str">
            <v>05/钳工</v>
          </cell>
          <cell r="H1803" t="str">
            <v>10/数车5</v>
          </cell>
          <cell r="I1803" t="str">
            <v>15/数车10</v>
          </cell>
          <cell r="J1803" t="str">
            <v>20/线切割</v>
          </cell>
          <cell r="K1803" t="str">
            <v>25/数铣20</v>
          </cell>
          <cell r="L1803" t="str">
            <v>30/数车25</v>
          </cell>
          <cell r="M1803" t="str">
            <v>35/数车30</v>
          </cell>
          <cell r="N1803" t="str">
            <v>40/数铣</v>
          </cell>
          <cell r="O1803" t="str">
            <v>45/钳工</v>
          </cell>
          <cell r="P1803" t="str">
            <v>50热处理</v>
          </cell>
          <cell r="Q1803" t="str">
            <v>55数铣25</v>
          </cell>
          <cell r="R1803" t="str">
            <v>60数车30</v>
          </cell>
          <cell r="S1803" t="str">
            <v>65钳工</v>
          </cell>
          <cell r="T1803" t="str">
            <v>70入厂复检</v>
          </cell>
          <cell r="U1803" t="str">
            <v>75去应力</v>
          </cell>
          <cell r="V1803" t="str">
            <v>80清洗</v>
          </cell>
          <cell r="W1803" t="str">
            <v>85磁粉</v>
          </cell>
          <cell r="X1803" t="str">
            <v>90清洗</v>
          </cell>
          <cell r="Y1803" t="str">
            <v>95表处</v>
          </cell>
          <cell r="Z1803" t="str">
            <v>100清洗</v>
          </cell>
          <cell r="AA1803" t="str">
            <v>105磁粉</v>
          </cell>
          <cell r="AB1803" t="str">
            <v>110清洗</v>
          </cell>
          <cell r="AC1803" t="str">
            <v>115表处</v>
          </cell>
          <cell r="AD1803" t="str">
            <v>120表处</v>
          </cell>
          <cell r="AE1803" t="str">
            <v>125数车</v>
          </cell>
          <cell r="AF1803" t="str">
            <v>130清洁</v>
          </cell>
        </row>
        <row r="1804">
          <cell r="B1804" t="str">
            <v>DD-J10-55014-2160-1</v>
          </cell>
          <cell r="D1804" t="str">
            <v>B</v>
          </cell>
          <cell r="E1804" t="str">
            <v>准备工时</v>
          </cell>
          <cell r="H1804">
            <v>90</v>
          </cell>
          <cell r="I1804">
            <v>120</v>
          </cell>
          <cell r="K1804">
            <v>60</v>
          </cell>
          <cell r="L1804">
            <v>150</v>
          </cell>
          <cell r="M1804">
            <v>120</v>
          </cell>
          <cell r="N1804">
            <v>60</v>
          </cell>
          <cell r="Q1804">
            <v>60</v>
          </cell>
          <cell r="R1804">
            <v>180</v>
          </cell>
          <cell r="AE1804">
            <v>120</v>
          </cell>
        </row>
        <row r="1805">
          <cell r="B1805" t="str">
            <v>DD-J10-55014-2160-1</v>
          </cell>
          <cell r="D1805" t="str">
            <v>B</v>
          </cell>
          <cell r="E1805" t="str">
            <v>装夹时间</v>
          </cell>
        </row>
        <row r="1806">
          <cell r="B1806" t="str">
            <v>DD-J10-55014-2160-1</v>
          </cell>
          <cell r="D1806" t="str">
            <v>B</v>
          </cell>
          <cell r="E1806" t="str">
            <v>程序时间</v>
          </cell>
          <cell r="G1806">
            <v>20</v>
          </cell>
          <cell r="H1806">
            <v>20</v>
          </cell>
          <cell r="I1806">
            <v>25</v>
          </cell>
          <cell r="K1806">
            <v>30</v>
          </cell>
          <cell r="L1806">
            <v>50</v>
          </cell>
          <cell r="M1806">
            <v>40</v>
          </cell>
          <cell r="N1806">
            <v>30</v>
          </cell>
          <cell r="O1806">
            <v>35</v>
          </cell>
          <cell r="Q1806">
            <v>40</v>
          </cell>
          <cell r="R1806">
            <v>40</v>
          </cell>
          <cell r="S1806">
            <v>30</v>
          </cell>
          <cell r="AE1806">
            <v>25</v>
          </cell>
        </row>
        <row r="1807">
          <cell r="B1807" t="str">
            <v>CB5522200-020L001</v>
          </cell>
          <cell r="D1807" t="str">
            <v>B</v>
          </cell>
          <cell r="E1807" t="str">
            <v>工序内容</v>
          </cell>
          <cell r="F1807" t="str">
            <v>0/领料</v>
          </cell>
          <cell r="G1807" t="str">
            <v>5/数铣</v>
          </cell>
          <cell r="H1807" t="str">
            <v>10/数铣15</v>
          </cell>
          <cell r="I1807" t="str">
            <v>15/数铣45</v>
          </cell>
          <cell r="J1807" t="str">
            <v>20/数铣45</v>
          </cell>
          <cell r="K1807" t="str">
            <v>25/测量</v>
          </cell>
          <cell r="L1807" t="str">
            <v>30/钳工</v>
          </cell>
          <cell r="M1807" t="str">
            <v>35/数铣</v>
          </cell>
          <cell r="N1807" t="str">
            <v>40/清洁</v>
          </cell>
          <cell r="O1807" t="str">
            <v>45/成检</v>
          </cell>
        </row>
        <row r="1808">
          <cell r="B1808" t="str">
            <v>CB5522200-020L001</v>
          </cell>
          <cell r="D1808" t="str">
            <v>B</v>
          </cell>
          <cell r="E1808" t="str">
            <v>准备工时</v>
          </cell>
          <cell r="G1808">
            <v>60</v>
          </cell>
          <cell r="H1808">
            <v>60</v>
          </cell>
          <cell r="I1808">
            <v>60</v>
          </cell>
          <cell r="J1808">
            <v>60</v>
          </cell>
        </row>
        <row r="1809">
          <cell r="B1809" t="str">
            <v>CB5522200-020L001</v>
          </cell>
          <cell r="D1809" t="str">
            <v>B</v>
          </cell>
          <cell r="E1809" t="str">
            <v>装夹时间</v>
          </cell>
        </row>
        <row r="1810">
          <cell r="B1810" t="str">
            <v>CB5522200-020L001</v>
          </cell>
          <cell r="D1810" t="str">
            <v>B</v>
          </cell>
          <cell r="E1810" t="str">
            <v>程序时间</v>
          </cell>
          <cell r="G1810">
            <v>30</v>
          </cell>
          <cell r="H1810">
            <v>30</v>
          </cell>
          <cell r="I1810">
            <v>70</v>
          </cell>
          <cell r="J1810">
            <v>70</v>
          </cell>
          <cell r="L1810">
            <v>45</v>
          </cell>
          <cell r="M1810">
            <v>20</v>
          </cell>
        </row>
        <row r="1811">
          <cell r="B1811" t="str">
            <v>CB5522200-020R001</v>
          </cell>
          <cell r="D1811" t="str">
            <v>B</v>
          </cell>
          <cell r="E1811" t="str">
            <v>工序内容</v>
          </cell>
          <cell r="F1811" t="str">
            <v>0/领料</v>
          </cell>
          <cell r="G1811" t="str">
            <v>5/数铣</v>
          </cell>
          <cell r="H1811" t="str">
            <v>10/数铣15</v>
          </cell>
          <cell r="I1811" t="str">
            <v>15/数铣45</v>
          </cell>
          <cell r="J1811" t="str">
            <v>20/数铣45</v>
          </cell>
          <cell r="K1811" t="str">
            <v>25/测量</v>
          </cell>
          <cell r="L1811" t="str">
            <v>30/钳工</v>
          </cell>
          <cell r="M1811" t="str">
            <v>35/数铣</v>
          </cell>
          <cell r="N1811" t="str">
            <v>40/清洁</v>
          </cell>
          <cell r="O1811" t="str">
            <v>45/成检</v>
          </cell>
        </row>
        <row r="1812">
          <cell r="B1812" t="str">
            <v>CB5522200-020R001</v>
          </cell>
          <cell r="D1812" t="str">
            <v>B</v>
          </cell>
          <cell r="E1812" t="str">
            <v>准备工时</v>
          </cell>
          <cell r="G1812">
            <v>60</v>
          </cell>
          <cell r="H1812">
            <v>60</v>
          </cell>
          <cell r="I1812">
            <v>60</v>
          </cell>
          <cell r="J1812">
            <v>60</v>
          </cell>
        </row>
        <row r="1813">
          <cell r="B1813" t="str">
            <v>CB5522200-020R001</v>
          </cell>
          <cell r="D1813" t="str">
            <v>B</v>
          </cell>
          <cell r="E1813" t="str">
            <v>装夹时间</v>
          </cell>
        </row>
        <row r="1814">
          <cell r="B1814" t="str">
            <v>CB5522200-020R001</v>
          </cell>
          <cell r="D1814" t="str">
            <v>B</v>
          </cell>
          <cell r="E1814" t="str">
            <v>程序时间</v>
          </cell>
          <cell r="G1814">
            <v>30</v>
          </cell>
          <cell r="H1814">
            <v>30</v>
          </cell>
          <cell r="I1814">
            <v>70</v>
          </cell>
          <cell r="J1814">
            <v>70</v>
          </cell>
          <cell r="L1814">
            <v>45</v>
          </cell>
          <cell r="M1814">
            <v>20</v>
          </cell>
        </row>
        <row r="1815">
          <cell r="B1815" t="str">
            <v>BC3101242-013L001</v>
          </cell>
          <cell r="D1815" t="str">
            <v>B</v>
          </cell>
          <cell r="E1815" t="str">
            <v>工序内容</v>
          </cell>
          <cell r="F1815" t="str">
            <v>0/领料</v>
          </cell>
          <cell r="G1815" t="str">
            <v>05/普车</v>
          </cell>
          <cell r="H1815" t="str">
            <v>10/钳工</v>
          </cell>
          <cell r="I1815">
            <v>15</v>
          </cell>
          <cell r="J1815">
            <v>20</v>
          </cell>
          <cell r="K1815" t="str">
            <v>25/数车45</v>
          </cell>
          <cell r="L1815" t="str">
            <v>30/数车60</v>
          </cell>
          <cell r="M1815" t="str">
            <v>35/数铣15</v>
          </cell>
          <cell r="N1815" t="str">
            <v>40/钳工</v>
          </cell>
          <cell r="O1815" t="str">
            <v>45/测量</v>
          </cell>
          <cell r="P1815" t="str">
            <v>50/热处理</v>
          </cell>
          <cell r="Q1815" t="str">
            <v>55/表处</v>
          </cell>
          <cell r="R1815" t="str">
            <v>60/数车30</v>
          </cell>
          <cell r="S1815" t="str">
            <v>65/钳工</v>
          </cell>
          <cell r="T1815" t="str">
            <v>70/清洁</v>
          </cell>
          <cell r="U1815" t="str">
            <v>75/成检</v>
          </cell>
        </row>
        <row r="1816">
          <cell r="B1816" t="str">
            <v>BC3101242-013L001</v>
          </cell>
          <cell r="D1816" t="str">
            <v>B</v>
          </cell>
          <cell r="E1816" t="str">
            <v>准备工时</v>
          </cell>
          <cell r="G1816">
            <v>60</v>
          </cell>
          <cell r="K1816">
            <v>90</v>
          </cell>
          <cell r="L1816">
            <v>90</v>
          </cell>
          <cell r="M1816">
            <v>90</v>
          </cell>
        </row>
        <row r="1817">
          <cell r="B1817" t="str">
            <v>BC3101242-013L001</v>
          </cell>
          <cell r="D1817" t="str">
            <v>B</v>
          </cell>
          <cell r="E1817" t="str">
            <v>装夹时间</v>
          </cell>
        </row>
        <row r="1818">
          <cell r="B1818" t="str">
            <v>BC3101242-013L001</v>
          </cell>
          <cell r="D1818" t="str">
            <v>B</v>
          </cell>
          <cell r="E1818" t="str">
            <v>程序时间</v>
          </cell>
          <cell r="G1818">
            <v>20</v>
          </cell>
          <cell r="H1818">
            <v>10</v>
          </cell>
          <cell r="K1818">
            <v>45</v>
          </cell>
          <cell r="L1818">
            <v>60</v>
          </cell>
          <cell r="M1818">
            <v>30</v>
          </cell>
          <cell r="N1818">
            <v>10</v>
          </cell>
        </row>
        <row r="1819">
          <cell r="B1819" t="str">
            <v>BC3101242-013R001</v>
          </cell>
          <cell r="D1819" t="str">
            <v>B</v>
          </cell>
          <cell r="E1819" t="str">
            <v>工序内容</v>
          </cell>
          <cell r="F1819" t="str">
            <v>0/领料</v>
          </cell>
          <cell r="G1819" t="str">
            <v>05/普车</v>
          </cell>
          <cell r="H1819" t="str">
            <v>10/钳工</v>
          </cell>
          <cell r="I1819">
            <v>15</v>
          </cell>
          <cell r="J1819">
            <v>20</v>
          </cell>
          <cell r="K1819" t="str">
            <v>25/数车45</v>
          </cell>
          <cell r="L1819" t="str">
            <v>30/数车60</v>
          </cell>
          <cell r="M1819" t="str">
            <v>35/数铣15</v>
          </cell>
          <cell r="N1819" t="str">
            <v>40/钳工</v>
          </cell>
          <cell r="O1819" t="str">
            <v>45/测量</v>
          </cell>
          <cell r="P1819" t="str">
            <v>50/热处理</v>
          </cell>
          <cell r="Q1819" t="str">
            <v>55/表处</v>
          </cell>
          <cell r="R1819" t="str">
            <v>60/数车30</v>
          </cell>
          <cell r="S1819" t="str">
            <v>65/钳工</v>
          </cell>
          <cell r="T1819" t="str">
            <v>70/清洁</v>
          </cell>
          <cell r="U1819" t="str">
            <v>75/成检</v>
          </cell>
        </row>
        <row r="1820">
          <cell r="B1820" t="str">
            <v>BC3101242-013R001</v>
          </cell>
          <cell r="D1820" t="str">
            <v>B</v>
          </cell>
          <cell r="E1820" t="str">
            <v>准备工时</v>
          </cell>
          <cell r="G1820">
            <v>60</v>
          </cell>
          <cell r="K1820">
            <v>90</v>
          </cell>
          <cell r="L1820">
            <v>90</v>
          </cell>
          <cell r="M1820">
            <v>90</v>
          </cell>
        </row>
        <row r="1821">
          <cell r="B1821" t="str">
            <v>BC3101242-013R001</v>
          </cell>
          <cell r="D1821" t="str">
            <v>B</v>
          </cell>
          <cell r="E1821" t="str">
            <v>装夹时间</v>
          </cell>
        </row>
        <row r="1822">
          <cell r="B1822" t="str">
            <v>BC3101242-013R001</v>
          </cell>
          <cell r="D1822" t="str">
            <v>B</v>
          </cell>
          <cell r="E1822" t="str">
            <v>程序时间</v>
          </cell>
          <cell r="G1822">
            <v>20</v>
          </cell>
          <cell r="H1822">
            <v>10</v>
          </cell>
          <cell r="K1822">
            <v>45</v>
          </cell>
          <cell r="L1822">
            <v>60</v>
          </cell>
          <cell r="M1822">
            <v>30</v>
          </cell>
          <cell r="N1822">
            <v>20</v>
          </cell>
        </row>
        <row r="1823">
          <cell r="B1823" t="str">
            <v>DD-J10S-96011-1202</v>
          </cell>
          <cell r="D1823" t="str">
            <v>B</v>
          </cell>
          <cell r="E1823" t="str">
            <v>工序内容</v>
          </cell>
          <cell r="F1823" t="str">
            <v>0/领料</v>
          </cell>
          <cell r="G1823" t="str">
            <v>05/数车30</v>
          </cell>
          <cell r="H1823" t="str">
            <v>10/数车30</v>
          </cell>
          <cell r="I1823" t="str">
            <v>15钳工</v>
          </cell>
          <cell r="J1823" t="str">
            <v>20/清洁</v>
          </cell>
          <cell r="K1823" t="str">
            <v>25/成检</v>
          </cell>
        </row>
        <row r="1824">
          <cell r="B1824" t="str">
            <v>DD-J10S-96011-1202</v>
          </cell>
          <cell r="D1824" t="str">
            <v>B</v>
          </cell>
          <cell r="E1824" t="str">
            <v>准备工时</v>
          </cell>
          <cell r="G1824">
            <v>90</v>
          </cell>
          <cell r="H1824">
            <v>90</v>
          </cell>
        </row>
        <row r="1825">
          <cell r="B1825" t="str">
            <v>DD-J10S-96011-1202</v>
          </cell>
          <cell r="D1825" t="str">
            <v>B</v>
          </cell>
          <cell r="E1825" t="str">
            <v>装夹时间</v>
          </cell>
        </row>
        <row r="1826">
          <cell r="B1826" t="str">
            <v>DD-J10S-96011-1202</v>
          </cell>
          <cell r="D1826" t="str">
            <v>B</v>
          </cell>
          <cell r="E1826" t="str">
            <v>程序时间</v>
          </cell>
          <cell r="G1826">
            <v>30</v>
          </cell>
          <cell r="H1826">
            <v>35</v>
          </cell>
          <cell r="I1826" t="str">
            <v>30</v>
          </cell>
        </row>
        <row r="1827">
          <cell r="B1827" t="str">
            <v>CB2248146-001-006</v>
          </cell>
          <cell r="D1827" t="str">
            <v>B</v>
          </cell>
          <cell r="E1827" t="str">
            <v>工序内容</v>
          </cell>
          <cell r="F1827" t="str">
            <v>0/领料</v>
          </cell>
          <cell r="G1827" t="str">
            <v>05/线切割</v>
          </cell>
          <cell r="H1827" t="str">
            <v>10/数铣</v>
          </cell>
          <cell r="I1827" t="str">
            <v>15/数铣</v>
          </cell>
          <cell r="J1827" t="str">
            <v>20/线切割</v>
          </cell>
          <cell r="K1827" t="str">
            <v>25/数铣</v>
          </cell>
          <cell r="L1827" t="str">
            <v>30/钳工</v>
          </cell>
          <cell r="M1827" t="str">
            <v>35/清洁</v>
          </cell>
          <cell r="N1827" t="str">
            <v>40/中检</v>
          </cell>
          <cell r="O1827" t="str">
            <v>45/分光</v>
          </cell>
          <cell r="P1827" t="str">
            <v>50/硬度</v>
          </cell>
          <cell r="Q1827">
            <v>55</v>
          </cell>
          <cell r="R1827" t="str">
            <v>60/钳工</v>
          </cell>
          <cell r="S1827" t="str">
            <v>65/清洁</v>
          </cell>
          <cell r="T1827" t="str">
            <v>70/成检</v>
          </cell>
        </row>
        <row r="1828">
          <cell r="B1828" t="str">
            <v>CB2248146-001-006</v>
          </cell>
          <cell r="D1828" t="str">
            <v>B</v>
          </cell>
          <cell r="E1828" t="str">
            <v>准备工时</v>
          </cell>
          <cell r="H1828">
            <v>60</v>
          </cell>
          <cell r="I1828">
            <v>60</v>
          </cell>
          <cell r="K1828">
            <v>60</v>
          </cell>
        </row>
        <row r="1829">
          <cell r="B1829" t="str">
            <v>CB2248146-001-006</v>
          </cell>
          <cell r="D1829" t="str">
            <v>B</v>
          </cell>
          <cell r="E1829" t="str">
            <v>装夹时间</v>
          </cell>
        </row>
        <row r="1830">
          <cell r="B1830" t="str">
            <v>CB2248146-001-006</v>
          </cell>
          <cell r="D1830" t="str">
            <v>B</v>
          </cell>
          <cell r="E1830" t="str">
            <v>程序时间</v>
          </cell>
          <cell r="H1830">
            <v>40</v>
          </cell>
          <cell r="I1830">
            <v>85</v>
          </cell>
          <cell r="K1830">
            <v>20</v>
          </cell>
          <cell r="L1830">
            <v>30</v>
          </cell>
          <cell r="R1830">
            <v>10</v>
          </cell>
        </row>
        <row r="1831">
          <cell r="B1831" t="str">
            <v>DD-J10-55171-130-1</v>
          </cell>
          <cell r="D1831" t="str">
            <v>A</v>
          </cell>
          <cell r="E1831" t="str">
            <v>工序内容</v>
          </cell>
          <cell r="F1831" t="str">
            <v>0/领料</v>
          </cell>
          <cell r="G1831" t="str">
            <v>5/数铣</v>
          </cell>
          <cell r="H1831" t="str">
            <v>10/分光</v>
          </cell>
          <cell r="I1831" t="str">
            <v>15/清洗</v>
          </cell>
          <cell r="J1831" t="str">
            <v>20/热处理</v>
          </cell>
          <cell r="K1831" t="str">
            <v>25/硬度</v>
          </cell>
          <cell r="L1831" t="str">
            <v>30/数铣</v>
          </cell>
          <cell r="M1831" t="str">
            <v>35/数铣10</v>
          </cell>
          <cell r="N1831" t="str">
            <v>40/数铣5</v>
          </cell>
          <cell r="O1831" t="str">
            <v>45/数铣5</v>
          </cell>
          <cell r="P1831" t="str">
            <v>50/线切割</v>
          </cell>
          <cell r="Q1831" t="str">
            <v>55/数铣</v>
          </cell>
          <cell r="R1831" t="str">
            <v>60/数铣</v>
          </cell>
          <cell r="S1831" t="str">
            <v>65/数铣</v>
          </cell>
          <cell r="T1831" t="str">
            <v>70/钳工</v>
          </cell>
          <cell r="U1831" t="str">
            <v>75/清洁</v>
          </cell>
          <cell r="V1831" t="str">
            <v>80/成检</v>
          </cell>
        </row>
        <row r="1832">
          <cell r="B1832" t="str">
            <v>DD-J10-55171-130-1</v>
          </cell>
          <cell r="D1832" t="str">
            <v>A</v>
          </cell>
          <cell r="E1832" t="str">
            <v>准备工时</v>
          </cell>
          <cell r="G1832">
            <v>60</v>
          </cell>
          <cell r="L1832">
            <v>60</v>
          </cell>
          <cell r="M1832" t="str">
            <v>60</v>
          </cell>
          <cell r="N1832" t="str">
            <v>60</v>
          </cell>
          <cell r="O1832" t="str">
            <v>60</v>
          </cell>
          <cell r="Q1832">
            <v>60</v>
          </cell>
          <cell r="R1832">
            <v>60</v>
          </cell>
          <cell r="S1832">
            <v>60</v>
          </cell>
        </row>
        <row r="1833">
          <cell r="B1833" t="str">
            <v>DD-J10-55171-130-1</v>
          </cell>
          <cell r="D1833" t="str">
            <v>A</v>
          </cell>
          <cell r="E1833" t="str">
            <v>装夹时间</v>
          </cell>
        </row>
        <row r="1834">
          <cell r="B1834" t="str">
            <v>DD-J10-55171-130-1</v>
          </cell>
          <cell r="D1834" t="str">
            <v>A</v>
          </cell>
          <cell r="E1834" t="str">
            <v>程序时间</v>
          </cell>
          <cell r="G1834">
            <v>30</v>
          </cell>
          <cell r="L1834">
            <v>40</v>
          </cell>
          <cell r="M1834" t="str">
            <v>25</v>
          </cell>
          <cell r="N1834" t="str">
            <v>15</v>
          </cell>
          <cell r="O1834" t="str">
            <v>15</v>
          </cell>
          <cell r="Q1834">
            <v>15</v>
          </cell>
          <cell r="R1834">
            <v>25</v>
          </cell>
          <cell r="S1834">
            <v>15</v>
          </cell>
          <cell r="T1834">
            <v>10</v>
          </cell>
        </row>
        <row r="1835">
          <cell r="B1835" t="str">
            <v>DD-J10-55171-130-2</v>
          </cell>
          <cell r="D1835" t="str">
            <v>A</v>
          </cell>
          <cell r="E1835" t="str">
            <v>工序内容</v>
          </cell>
          <cell r="F1835" t="str">
            <v>0/领料</v>
          </cell>
          <cell r="G1835" t="str">
            <v>5/数铣</v>
          </cell>
          <cell r="H1835" t="str">
            <v>10/分光</v>
          </cell>
          <cell r="I1835" t="str">
            <v>15/清洗</v>
          </cell>
          <cell r="J1835" t="str">
            <v>20/热处理</v>
          </cell>
          <cell r="K1835" t="str">
            <v>25/硬度</v>
          </cell>
          <cell r="L1835" t="str">
            <v>30/数铣</v>
          </cell>
          <cell r="M1835" t="str">
            <v>35/数铣10</v>
          </cell>
          <cell r="N1835" t="str">
            <v>40/数铣5</v>
          </cell>
          <cell r="O1835" t="str">
            <v>45/数铣5</v>
          </cell>
          <cell r="P1835" t="str">
            <v>50/线切割</v>
          </cell>
          <cell r="Q1835" t="str">
            <v>55/数铣</v>
          </cell>
          <cell r="R1835" t="str">
            <v>60/数铣</v>
          </cell>
          <cell r="S1835" t="str">
            <v>65/数铣</v>
          </cell>
          <cell r="T1835" t="str">
            <v>70/钳工</v>
          </cell>
          <cell r="U1835" t="str">
            <v>75/清洁</v>
          </cell>
          <cell r="V1835" t="str">
            <v>80/成检</v>
          </cell>
        </row>
        <row r="1836">
          <cell r="B1836" t="str">
            <v>DD-J10-55171-130-2</v>
          </cell>
          <cell r="D1836" t="str">
            <v>A</v>
          </cell>
          <cell r="E1836" t="str">
            <v>准备工时</v>
          </cell>
          <cell r="G1836">
            <v>60</v>
          </cell>
          <cell r="L1836">
            <v>60</v>
          </cell>
          <cell r="M1836" t="str">
            <v>60</v>
          </cell>
          <cell r="N1836" t="str">
            <v>60</v>
          </cell>
          <cell r="O1836" t="str">
            <v>60</v>
          </cell>
          <cell r="Q1836">
            <v>60</v>
          </cell>
          <cell r="R1836">
            <v>60</v>
          </cell>
          <cell r="S1836">
            <v>60</v>
          </cell>
        </row>
        <row r="1837">
          <cell r="B1837" t="str">
            <v>DD-J10-55171-130-2</v>
          </cell>
          <cell r="D1837" t="str">
            <v>A</v>
          </cell>
          <cell r="E1837" t="str">
            <v>装夹时间</v>
          </cell>
        </row>
        <row r="1838">
          <cell r="B1838" t="str">
            <v>DD-J10-55171-130-2</v>
          </cell>
          <cell r="D1838" t="str">
            <v>A</v>
          </cell>
          <cell r="E1838" t="str">
            <v>程序时间</v>
          </cell>
          <cell r="G1838">
            <v>30</v>
          </cell>
          <cell r="L1838">
            <v>40</v>
          </cell>
          <cell r="M1838" t="str">
            <v>25</v>
          </cell>
          <cell r="N1838" t="str">
            <v>15</v>
          </cell>
          <cell r="O1838" t="str">
            <v>15</v>
          </cell>
          <cell r="Q1838">
            <v>15</v>
          </cell>
          <cell r="R1838">
            <v>25</v>
          </cell>
          <cell r="S1838">
            <v>15</v>
          </cell>
          <cell r="T1838">
            <v>10</v>
          </cell>
        </row>
        <row r="1839">
          <cell r="B1839" t="str">
            <v>DD-J10-55171-130-3</v>
          </cell>
          <cell r="D1839" t="str">
            <v>A</v>
          </cell>
          <cell r="E1839" t="str">
            <v>工序内容</v>
          </cell>
          <cell r="F1839" t="str">
            <v>0/领料</v>
          </cell>
          <cell r="G1839" t="str">
            <v>5/数铣</v>
          </cell>
          <cell r="H1839" t="str">
            <v>10/分光</v>
          </cell>
          <cell r="I1839" t="str">
            <v>15/清洗</v>
          </cell>
          <cell r="J1839" t="str">
            <v>20/热处理</v>
          </cell>
          <cell r="K1839" t="str">
            <v>25/硬度</v>
          </cell>
          <cell r="L1839" t="str">
            <v>30/数铣</v>
          </cell>
          <cell r="M1839" t="str">
            <v>35/数铣10</v>
          </cell>
          <cell r="N1839" t="str">
            <v>40/数铣5</v>
          </cell>
          <cell r="O1839" t="str">
            <v>45/数铣5</v>
          </cell>
          <cell r="P1839" t="str">
            <v>50/线切割</v>
          </cell>
          <cell r="Q1839" t="str">
            <v>55/数铣</v>
          </cell>
          <cell r="R1839" t="str">
            <v>60/数铣</v>
          </cell>
          <cell r="S1839" t="str">
            <v>65/数铣</v>
          </cell>
          <cell r="T1839" t="str">
            <v>70/钳工</v>
          </cell>
          <cell r="U1839" t="str">
            <v>75/清洁</v>
          </cell>
          <cell r="V1839" t="str">
            <v>80/成检</v>
          </cell>
        </row>
        <row r="1840">
          <cell r="B1840" t="str">
            <v>DD-J10-55171-130-3</v>
          </cell>
          <cell r="D1840" t="str">
            <v>A</v>
          </cell>
          <cell r="E1840" t="str">
            <v>准备工时</v>
          </cell>
          <cell r="G1840">
            <v>60</v>
          </cell>
          <cell r="L1840">
            <v>60</v>
          </cell>
          <cell r="M1840" t="str">
            <v>60</v>
          </cell>
          <cell r="N1840" t="str">
            <v>60</v>
          </cell>
          <cell r="O1840" t="str">
            <v>60</v>
          </cell>
          <cell r="Q1840">
            <v>60</v>
          </cell>
          <cell r="R1840">
            <v>60</v>
          </cell>
          <cell r="S1840">
            <v>60</v>
          </cell>
        </row>
        <row r="1841">
          <cell r="B1841" t="str">
            <v>DD-J10-55171-130-3</v>
          </cell>
          <cell r="D1841" t="str">
            <v>A</v>
          </cell>
          <cell r="E1841" t="str">
            <v>装夹时间</v>
          </cell>
        </row>
        <row r="1842">
          <cell r="B1842" t="str">
            <v>DD-J10-55171-130-3</v>
          </cell>
          <cell r="D1842" t="str">
            <v>A</v>
          </cell>
          <cell r="E1842" t="str">
            <v>程序时间</v>
          </cell>
          <cell r="G1842">
            <v>30</v>
          </cell>
          <cell r="L1842">
            <v>40</v>
          </cell>
          <cell r="M1842" t="str">
            <v>25</v>
          </cell>
          <cell r="N1842" t="str">
            <v>15</v>
          </cell>
          <cell r="O1842" t="str">
            <v>15</v>
          </cell>
          <cell r="Q1842">
            <v>15</v>
          </cell>
          <cell r="R1842">
            <v>25</v>
          </cell>
          <cell r="S1842">
            <v>15</v>
          </cell>
          <cell r="T1842">
            <v>10</v>
          </cell>
        </row>
        <row r="1843">
          <cell r="B1843" t="str">
            <v>CB2747B20-003-002</v>
          </cell>
          <cell r="D1843" t="str">
            <v>A</v>
          </cell>
          <cell r="E1843" t="str">
            <v>工序内容</v>
          </cell>
          <cell r="F1843" t="str">
            <v>0/领料</v>
          </cell>
          <cell r="G1843" t="str">
            <v>05/数车</v>
          </cell>
          <cell r="H1843" t="str">
            <v>10/数铣</v>
          </cell>
          <cell r="I1843" t="str">
            <v>15/分光</v>
          </cell>
          <cell r="J1843" t="str">
            <v>20/数车</v>
          </cell>
          <cell r="K1843" t="str">
            <v>25/线切割</v>
          </cell>
          <cell r="L1843" t="str">
            <v>30/穿孔</v>
          </cell>
          <cell r="M1843" t="str">
            <v>35/钳工</v>
          </cell>
          <cell r="N1843" t="str">
            <v>40/测量</v>
          </cell>
          <cell r="O1843" t="str">
            <v>45/清洁</v>
          </cell>
          <cell r="P1843" t="str">
            <v>50/成检</v>
          </cell>
        </row>
        <row r="1844">
          <cell r="B1844" t="str">
            <v>CB2747B20-003-002</v>
          </cell>
          <cell r="D1844" t="str">
            <v>A</v>
          </cell>
          <cell r="E1844" t="str">
            <v>准备工时</v>
          </cell>
          <cell r="G1844">
            <v>120</v>
          </cell>
          <cell r="H1844">
            <v>60</v>
          </cell>
          <cell r="J1844">
            <v>120</v>
          </cell>
        </row>
        <row r="1845">
          <cell r="B1845" t="str">
            <v>CB2747B20-003-002</v>
          </cell>
          <cell r="D1845" t="str">
            <v>A</v>
          </cell>
          <cell r="E1845" t="str">
            <v>装夹时间</v>
          </cell>
        </row>
        <row r="1846">
          <cell r="B1846" t="str">
            <v>CB2747B20-003-002</v>
          </cell>
          <cell r="D1846" t="str">
            <v>A</v>
          </cell>
          <cell r="E1846" t="str">
            <v>程序时间</v>
          </cell>
          <cell r="G1846">
            <v>70</v>
          </cell>
          <cell r="H1846">
            <v>25</v>
          </cell>
          <cell r="J1846">
            <v>60</v>
          </cell>
          <cell r="M1846">
            <v>30</v>
          </cell>
        </row>
        <row r="1847">
          <cell r="B1847" t="str">
            <v>CB5350500-016L006</v>
          </cell>
          <cell r="D1847" t="str">
            <v>B</v>
          </cell>
          <cell r="E1847" t="str">
            <v>工序内容</v>
          </cell>
          <cell r="F1847" t="str">
            <v>0/领料</v>
          </cell>
          <cell r="G1847" t="str">
            <v>05/数铣</v>
          </cell>
          <cell r="H1847" t="str">
            <v>10/数铣30</v>
          </cell>
          <cell r="I1847" t="str">
            <v>15/数铣10</v>
          </cell>
          <cell r="J1847" t="str">
            <v>20/数铣100</v>
          </cell>
          <cell r="K1847" t="str">
            <v>25/数铣60</v>
          </cell>
          <cell r="L1847" t="str">
            <v>30/钳工</v>
          </cell>
          <cell r="M1847" t="str">
            <v>35/清洁</v>
          </cell>
          <cell r="N1847" t="str">
            <v>40/检验</v>
          </cell>
          <cell r="O1847" t="str">
            <v>45/分光</v>
          </cell>
          <cell r="P1847" t="str">
            <v>50/硬度</v>
          </cell>
          <cell r="Q1847" t="str">
            <v>55/钳工</v>
          </cell>
          <cell r="R1847" t="str">
            <v>60/清洁</v>
          </cell>
          <cell r="S1847" t="str">
            <v>65/成检</v>
          </cell>
        </row>
        <row r="1848">
          <cell r="B1848" t="str">
            <v>CB5350500-016L006</v>
          </cell>
          <cell r="D1848" t="str">
            <v>B</v>
          </cell>
          <cell r="E1848" t="str">
            <v>准备工时</v>
          </cell>
          <cell r="G1848">
            <v>60</v>
          </cell>
          <cell r="H1848">
            <v>60</v>
          </cell>
          <cell r="I1848">
            <v>60</v>
          </cell>
          <cell r="J1848">
            <v>60</v>
          </cell>
          <cell r="K1848">
            <v>60</v>
          </cell>
        </row>
        <row r="1849">
          <cell r="B1849" t="str">
            <v>CB5350500-016L006</v>
          </cell>
          <cell r="D1849" t="str">
            <v>B</v>
          </cell>
          <cell r="E1849" t="str">
            <v>装夹时间</v>
          </cell>
        </row>
        <row r="1850">
          <cell r="B1850" t="str">
            <v>CB5350500-016L006</v>
          </cell>
          <cell r="D1850" t="str">
            <v>B</v>
          </cell>
          <cell r="E1850" t="str">
            <v>程序时间</v>
          </cell>
          <cell r="G1850">
            <v>40</v>
          </cell>
          <cell r="H1850">
            <v>50</v>
          </cell>
          <cell r="I1850">
            <v>25</v>
          </cell>
          <cell r="J1850">
            <v>150</v>
          </cell>
          <cell r="K1850">
            <v>100</v>
          </cell>
          <cell r="L1850">
            <v>45</v>
          </cell>
          <cell r="Q1850">
            <v>10</v>
          </cell>
        </row>
        <row r="1851">
          <cell r="B1851" t="str">
            <v>CB5350500-016R006</v>
          </cell>
          <cell r="D1851" t="str">
            <v>B</v>
          </cell>
          <cell r="E1851" t="str">
            <v>工序内容</v>
          </cell>
          <cell r="F1851" t="str">
            <v>0/领料</v>
          </cell>
          <cell r="G1851" t="str">
            <v>05/数铣</v>
          </cell>
          <cell r="H1851" t="str">
            <v>10/数铣30</v>
          </cell>
          <cell r="I1851" t="str">
            <v>15/数铣10</v>
          </cell>
          <cell r="J1851" t="str">
            <v>20/数铣100</v>
          </cell>
          <cell r="K1851" t="str">
            <v>25/数铣60</v>
          </cell>
          <cell r="L1851" t="str">
            <v>30/钳工</v>
          </cell>
          <cell r="M1851" t="str">
            <v>35/清洁</v>
          </cell>
          <cell r="N1851" t="str">
            <v>40/检验</v>
          </cell>
          <cell r="O1851" t="str">
            <v>45/分光</v>
          </cell>
          <cell r="P1851" t="str">
            <v>50/硬度</v>
          </cell>
          <cell r="Q1851" t="str">
            <v>55/钳工</v>
          </cell>
          <cell r="R1851" t="str">
            <v>60/清洁</v>
          </cell>
          <cell r="S1851" t="str">
            <v>65/成检</v>
          </cell>
        </row>
        <row r="1852">
          <cell r="B1852" t="str">
            <v>CB5350500-016R006</v>
          </cell>
          <cell r="D1852" t="str">
            <v>B</v>
          </cell>
          <cell r="E1852" t="str">
            <v>准备工时</v>
          </cell>
          <cell r="G1852">
            <v>60</v>
          </cell>
          <cell r="H1852">
            <v>60</v>
          </cell>
          <cell r="I1852">
            <v>60</v>
          </cell>
          <cell r="J1852">
            <v>60</v>
          </cell>
          <cell r="K1852">
            <v>60</v>
          </cell>
        </row>
        <row r="1853">
          <cell r="B1853" t="str">
            <v>CB5350500-016R006</v>
          </cell>
          <cell r="D1853" t="str">
            <v>B</v>
          </cell>
          <cell r="E1853" t="str">
            <v>装夹时间</v>
          </cell>
        </row>
        <row r="1854">
          <cell r="B1854" t="str">
            <v>CB5350500-016R006</v>
          </cell>
          <cell r="D1854" t="str">
            <v>B</v>
          </cell>
          <cell r="E1854" t="str">
            <v>程序时间</v>
          </cell>
          <cell r="G1854">
            <v>40</v>
          </cell>
          <cell r="H1854">
            <v>50</v>
          </cell>
          <cell r="I1854">
            <v>25</v>
          </cell>
          <cell r="J1854">
            <v>150</v>
          </cell>
          <cell r="K1854">
            <v>100</v>
          </cell>
          <cell r="L1854">
            <v>45</v>
          </cell>
          <cell r="Q1854">
            <v>10</v>
          </cell>
        </row>
        <row r="1855">
          <cell r="B1855" t="str">
            <v>CB5350500-016L006</v>
          </cell>
          <cell r="D1855" t="str">
            <v>C</v>
          </cell>
          <cell r="E1855" t="str">
            <v>工序内容</v>
          </cell>
          <cell r="F1855" t="str">
            <v>0/领料</v>
          </cell>
          <cell r="G1855" t="str">
            <v>05/数铣</v>
          </cell>
          <cell r="H1855" t="str">
            <v>10/数铣30</v>
          </cell>
          <cell r="I1855" t="str">
            <v>15/数铣10</v>
          </cell>
          <cell r="J1855" t="str">
            <v>20/数铣100</v>
          </cell>
          <cell r="K1855" t="str">
            <v>25/数铣60</v>
          </cell>
          <cell r="L1855" t="str">
            <v>30/钳工</v>
          </cell>
          <cell r="M1855" t="str">
            <v>35/清洁</v>
          </cell>
          <cell r="N1855" t="str">
            <v>40/检验</v>
          </cell>
          <cell r="O1855" t="str">
            <v>45/分光</v>
          </cell>
          <cell r="P1855" t="str">
            <v>50/硬度</v>
          </cell>
          <cell r="Q1855" t="str">
            <v>55/钳工</v>
          </cell>
          <cell r="R1855" t="str">
            <v>60/清洁</v>
          </cell>
          <cell r="S1855" t="str">
            <v>65/成检</v>
          </cell>
        </row>
        <row r="1856">
          <cell r="B1856" t="str">
            <v>CB5350500-016L006</v>
          </cell>
          <cell r="D1856" t="str">
            <v>C</v>
          </cell>
          <cell r="E1856" t="str">
            <v>准备工时</v>
          </cell>
          <cell r="G1856">
            <v>60</v>
          </cell>
          <cell r="H1856">
            <v>60</v>
          </cell>
          <cell r="I1856">
            <v>60</v>
          </cell>
          <cell r="J1856">
            <v>60</v>
          </cell>
          <cell r="K1856">
            <v>60</v>
          </cell>
        </row>
        <row r="1857">
          <cell r="B1857" t="str">
            <v>CB5350500-016L006</v>
          </cell>
          <cell r="D1857" t="str">
            <v>C</v>
          </cell>
          <cell r="E1857" t="str">
            <v>装夹时间</v>
          </cell>
        </row>
        <row r="1858">
          <cell r="B1858" t="str">
            <v>CB5350500-016L006</v>
          </cell>
          <cell r="D1858" t="str">
            <v>C</v>
          </cell>
          <cell r="E1858" t="str">
            <v>程序时间</v>
          </cell>
          <cell r="G1858">
            <v>40</v>
          </cell>
          <cell r="H1858">
            <v>50</v>
          </cell>
          <cell r="I1858">
            <v>25</v>
          </cell>
          <cell r="J1858">
            <v>150</v>
          </cell>
          <cell r="K1858">
            <v>100</v>
          </cell>
          <cell r="L1858">
            <v>45</v>
          </cell>
          <cell r="Q1858">
            <v>10</v>
          </cell>
        </row>
        <row r="1859">
          <cell r="B1859" t="str">
            <v>CB5350500-016R006</v>
          </cell>
          <cell r="D1859" t="str">
            <v>C</v>
          </cell>
          <cell r="E1859" t="str">
            <v>工序内容</v>
          </cell>
          <cell r="F1859" t="str">
            <v>0/领料</v>
          </cell>
          <cell r="G1859" t="str">
            <v>05/数铣</v>
          </cell>
          <cell r="H1859" t="str">
            <v>10/数铣30</v>
          </cell>
          <cell r="I1859" t="str">
            <v>15/数铣10</v>
          </cell>
          <cell r="J1859" t="str">
            <v>20/数铣100</v>
          </cell>
          <cell r="K1859" t="str">
            <v>25/数铣60</v>
          </cell>
          <cell r="L1859" t="str">
            <v>30/钳工</v>
          </cell>
          <cell r="M1859" t="str">
            <v>35/清洁</v>
          </cell>
          <cell r="N1859" t="str">
            <v>40/检验</v>
          </cell>
          <cell r="O1859" t="str">
            <v>45/分光</v>
          </cell>
          <cell r="P1859" t="str">
            <v>50/硬度</v>
          </cell>
          <cell r="Q1859" t="str">
            <v>55/钳工</v>
          </cell>
          <cell r="R1859" t="str">
            <v>60/清洁</v>
          </cell>
          <cell r="S1859" t="str">
            <v>65/成检</v>
          </cell>
        </row>
        <row r="1860">
          <cell r="B1860" t="str">
            <v>CB5350500-016R006</v>
          </cell>
          <cell r="D1860" t="str">
            <v>C</v>
          </cell>
          <cell r="E1860" t="str">
            <v>准备工时</v>
          </cell>
          <cell r="G1860">
            <v>60</v>
          </cell>
          <cell r="H1860">
            <v>60</v>
          </cell>
          <cell r="I1860">
            <v>60</v>
          </cell>
          <cell r="J1860">
            <v>60</v>
          </cell>
          <cell r="K1860">
            <v>60</v>
          </cell>
        </row>
        <row r="1861">
          <cell r="B1861" t="str">
            <v>CB5350500-016R006</v>
          </cell>
          <cell r="D1861" t="str">
            <v>C</v>
          </cell>
          <cell r="E1861" t="str">
            <v>装夹时间</v>
          </cell>
        </row>
        <row r="1862">
          <cell r="B1862" t="str">
            <v>CB5350500-016R006</v>
          </cell>
          <cell r="D1862" t="str">
            <v>C</v>
          </cell>
          <cell r="E1862" t="str">
            <v>程序时间</v>
          </cell>
          <cell r="G1862">
            <v>40</v>
          </cell>
          <cell r="H1862">
            <v>50</v>
          </cell>
          <cell r="I1862">
            <v>25</v>
          </cell>
          <cell r="J1862">
            <v>150</v>
          </cell>
          <cell r="K1862">
            <v>100</v>
          </cell>
          <cell r="L1862">
            <v>45</v>
          </cell>
          <cell r="Q1862">
            <v>10</v>
          </cell>
        </row>
        <row r="1863">
          <cell r="B1863" t="str">
            <v>DD-J10-55134-120-1</v>
          </cell>
          <cell r="D1863" t="str">
            <v>A</v>
          </cell>
          <cell r="E1863" t="str">
            <v>工序内容</v>
          </cell>
          <cell r="F1863" t="str">
            <v>0/领料</v>
          </cell>
          <cell r="G1863" t="str">
            <v>5/数铣</v>
          </cell>
          <cell r="H1863" t="str">
            <v>10/分光</v>
          </cell>
          <cell r="I1863" t="str">
            <v>15/清洗</v>
          </cell>
          <cell r="J1863" t="str">
            <v>20/热处理</v>
          </cell>
          <cell r="K1863" t="str">
            <v>25/硬度</v>
          </cell>
          <cell r="L1863" t="str">
            <v>30/数铣</v>
          </cell>
          <cell r="M1863" t="str">
            <v>35/数铣10</v>
          </cell>
          <cell r="N1863" t="str">
            <v>40/数铣5</v>
          </cell>
          <cell r="O1863" t="str">
            <v>45/数铣5</v>
          </cell>
          <cell r="P1863" t="str">
            <v>50/线切割</v>
          </cell>
          <cell r="Q1863" t="str">
            <v>55/数铣</v>
          </cell>
          <cell r="R1863" t="str">
            <v>60/数铣5</v>
          </cell>
          <cell r="S1863" t="str">
            <v>65/数铣10</v>
          </cell>
          <cell r="T1863" t="str">
            <v>70/钳工</v>
          </cell>
          <cell r="U1863" t="str">
            <v>75/清洁</v>
          </cell>
          <cell r="V1863" t="str">
            <v>80/成检</v>
          </cell>
        </row>
        <row r="1864">
          <cell r="B1864" t="str">
            <v>DD-J10-55134-120-1</v>
          </cell>
          <cell r="D1864" t="str">
            <v>A</v>
          </cell>
          <cell r="E1864" t="str">
            <v>准备工时</v>
          </cell>
          <cell r="G1864">
            <v>60</v>
          </cell>
          <cell r="L1864" t="str">
            <v>60</v>
          </cell>
          <cell r="M1864" t="str">
            <v>60</v>
          </cell>
          <cell r="N1864">
            <v>60</v>
          </cell>
          <cell r="O1864">
            <v>60</v>
          </cell>
          <cell r="Q1864">
            <v>60</v>
          </cell>
          <cell r="R1864">
            <v>60</v>
          </cell>
          <cell r="S1864">
            <v>60</v>
          </cell>
        </row>
        <row r="1865">
          <cell r="B1865" t="str">
            <v>DD-J10-55134-120-1</v>
          </cell>
          <cell r="D1865" t="str">
            <v>A</v>
          </cell>
          <cell r="E1865" t="str">
            <v>装夹时间</v>
          </cell>
        </row>
        <row r="1866">
          <cell r="B1866" t="str">
            <v>DD-J10-55134-120-1</v>
          </cell>
          <cell r="D1866" t="str">
            <v>A</v>
          </cell>
          <cell r="E1866" t="str">
            <v>程序时间</v>
          </cell>
          <cell r="G1866">
            <v>30</v>
          </cell>
          <cell r="L1866" t="str">
            <v>45</v>
          </cell>
          <cell r="M1866" t="str">
            <v>25</v>
          </cell>
          <cell r="N1866">
            <v>20</v>
          </cell>
          <cell r="O1866">
            <v>20</v>
          </cell>
          <cell r="Q1866">
            <v>20</v>
          </cell>
          <cell r="R1866">
            <v>20</v>
          </cell>
          <cell r="S1866">
            <v>25</v>
          </cell>
          <cell r="T1866">
            <v>15</v>
          </cell>
        </row>
        <row r="1867">
          <cell r="B1867" t="str">
            <v>DD-J10-55134-120-2</v>
          </cell>
          <cell r="D1867" t="str">
            <v>A</v>
          </cell>
          <cell r="E1867" t="str">
            <v>工序内容</v>
          </cell>
          <cell r="F1867" t="str">
            <v>0/领料</v>
          </cell>
          <cell r="G1867" t="str">
            <v>5/数铣</v>
          </cell>
          <cell r="H1867" t="str">
            <v>10/分光</v>
          </cell>
          <cell r="I1867" t="str">
            <v>15/清洗</v>
          </cell>
          <cell r="J1867" t="str">
            <v>20/热处理</v>
          </cell>
          <cell r="K1867" t="str">
            <v>25/硬度</v>
          </cell>
          <cell r="L1867" t="str">
            <v>30/数铣</v>
          </cell>
          <cell r="M1867" t="str">
            <v>35/数铣10</v>
          </cell>
          <cell r="N1867" t="str">
            <v>40/数铣5</v>
          </cell>
          <cell r="O1867" t="str">
            <v>45/数铣5</v>
          </cell>
          <cell r="P1867" t="str">
            <v>50/线切割</v>
          </cell>
          <cell r="Q1867" t="str">
            <v>55/数铣</v>
          </cell>
          <cell r="R1867" t="str">
            <v>60/数铣5</v>
          </cell>
          <cell r="S1867" t="str">
            <v>65/数铣10</v>
          </cell>
          <cell r="T1867" t="str">
            <v>70/钳工</v>
          </cell>
          <cell r="U1867" t="str">
            <v>75/清洁</v>
          </cell>
          <cell r="V1867" t="str">
            <v>80/成检</v>
          </cell>
        </row>
        <row r="1868">
          <cell r="B1868" t="str">
            <v>DD-J10-55134-120-2</v>
          </cell>
          <cell r="D1868" t="str">
            <v>A</v>
          </cell>
          <cell r="E1868" t="str">
            <v>准备工时</v>
          </cell>
          <cell r="G1868">
            <v>60</v>
          </cell>
          <cell r="L1868" t="str">
            <v>60</v>
          </cell>
          <cell r="M1868" t="str">
            <v>60</v>
          </cell>
          <cell r="N1868">
            <v>60</v>
          </cell>
          <cell r="O1868">
            <v>60</v>
          </cell>
          <cell r="Q1868">
            <v>60</v>
          </cell>
          <cell r="R1868">
            <v>60</v>
          </cell>
          <cell r="S1868">
            <v>60</v>
          </cell>
        </row>
        <row r="1869">
          <cell r="B1869" t="str">
            <v>DD-J10-55134-120-2</v>
          </cell>
          <cell r="D1869" t="str">
            <v>A</v>
          </cell>
          <cell r="E1869" t="str">
            <v>装夹时间</v>
          </cell>
        </row>
        <row r="1870">
          <cell r="B1870" t="str">
            <v>DD-J10-55134-120-2</v>
          </cell>
          <cell r="D1870" t="str">
            <v>A</v>
          </cell>
          <cell r="E1870" t="str">
            <v>程序时间</v>
          </cell>
          <cell r="G1870">
            <v>30</v>
          </cell>
          <cell r="L1870" t="str">
            <v>45</v>
          </cell>
          <cell r="M1870" t="str">
            <v>25</v>
          </cell>
          <cell r="N1870">
            <v>20</v>
          </cell>
          <cell r="O1870">
            <v>20</v>
          </cell>
          <cell r="Q1870">
            <v>20</v>
          </cell>
          <cell r="R1870">
            <v>20</v>
          </cell>
          <cell r="S1870">
            <v>25</v>
          </cell>
          <cell r="T1870">
            <v>15</v>
          </cell>
        </row>
        <row r="1871">
          <cell r="B1871" t="str">
            <v>DD-J10S-61001-2820-1</v>
          </cell>
          <cell r="D1871" t="str">
            <v>A</v>
          </cell>
          <cell r="E1871" t="str">
            <v>工序内容</v>
          </cell>
          <cell r="F1871" t="str">
            <v>0/领料</v>
          </cell>
          <cell r="G1871" t="str">
            <v>05/数铣</v>
          </cell>
          <cell r="H1871" t="str">
            <v>10/钳工</v>
          </cell>
          <cell r="I1871" t="str">
            <v>15/分光</v>
          </cell>
          <cell r="J1871" t="str">
            <v>20/清洗</v>
          </cell>
          <cell r="K1871" t="str">
            <v>25/热处理</v>
          </cell>
          <cell r="L1871" t="str">
            <v>30/硬度</v>
          </cell>
          <cell r="M1871" t="str">
            <v>35/检验</v>
          </cell>
          <cell r="N1871" t="str">
            <v>40/数铣</v>
          </cell>
          <cell r="O1871" t="str">
            <v>45/数铣5</v>
          </cell>
          <cell r="P1871" t="str">
            <v>50/数铣2</v>
          </cell>
          <cell r="Q1871" t="str">
            <v>55/数铣3</v>
          </cell>
          <cell r="R1871" t="str">
            <v>60/线切割</v>
          </cell>
          <cell r="S1871" t="str">
            <v>65/数铣</v>
          </cell>
          <cell r="T1871" t="str">
            <v>70/数铣</v>
          </cell>
          <cell r="U1871" t="str">
            <v>75/钳工</v>
          </cell>
          <cell r="V1871" t="str">
            <v>80/清洁</v>
          </cell>
          <cell r="W1871" t="str">
            <v>85/成检</v>
          </cell>
        </row>
        <row r="1872">
          <cell r="B1872" t="str">
            <v>DD-J10S-61001-2820-1</v>
          </cell>
          <cell r="D1872" t="str">
            <v>A</v>
          </cell>
          <cell r="E1872" t="str">
            <v>准备工时</v>
          </cell>
          <cell r="G1872">
            <v>60</v>
          </cell>
          <cell r="N1872">
            <v>60</v>
          </cell>
          <cell r="O1872" t="str">
            <v>60</v>
          </cell>
          <cell r="P1872" t="str">
            <v>60</v>
          </cell>
          <cell r="Q1872">
            <v>60</v>
          </cell>
          <cell r="S1872">
            <v>90</v>
          </cell>
          <cell r="T1872">
            <v>60</v>
          </cell>
        </row>
        <row r="1873">
          <cell r="B1873" t="str">
            <v>DD-J10S-61001-2820-1</v>
          </cell>
          <cell r="D1873" t="str">
            <v>A</v>
          </cell>
          <cell r="E1873" t="str">
            <v>装夹时间</v>
          </cell>
        </row>
        <row r="1874">
          <cell r="B1874" t="str">
            <v>DD-J10S-61001-2820-1</v>
          </cell>
          <cell r="D1874" t="str">
            <v>A</v>
          </cell>
          <cell r="E1874" t="str">
            <v>程序时间</v>
          </cell>
          <cell r="G1874">
            <v>20</v>
          </cell>
          <cell r="H1874">
            <v>6</v>
          </cell>
          <cell r="N1874">
            <v>25</v>
          </cell>
          <cell r="O1874">
            <v>20</v>
          </cell>
          <cell r="P1874">
            <v>10</v>
          </cell>
          <cell r="Q1874">
            <v>18</v>
          </cell>
          <cell r="S1874">
            <v>15</v>
          </cell>
          <cell r="T1874">
            <v>10</v>
          </cell>
          <cell r="U1874">
            <v>10</v>
          </cell>
        </row>
        <row r="1875">
          <cell r="B1875" t="str">
            <v>DD-J10S-61001-2820-2</v>
          </cell>
          <cell r="D1875" t="str">
            <v>A</v>
          </cell>
          <cell r="E1875" t="str">
            <v>工序内容</v>
          </cell>
          <cell r="F1875" t="str">
            <v>0/领料</v>
          </cell>
          <cell r="G1875" t="str">
            <v>05/数铣</v>
          </cell>
          <cell r="H1875" t="str">
            <v>10/钳工</v>
          </cell>
          <cell r="I1875" t="str">
            <v>15/分光</v>
          </cell>
          <cell r="J1875" t="str">
            <v>20/清洗</v>
          </cell>
          <cell r="K1875" t="str">
            <v>25/热处理</v>
          </cell>
          <cell r="L1875" t="str">
            <v>30/硬度</v>
          </cell>
          <cell r="M1875" t="str">
            <v>35/检验</v>
          </cell>
          <cell r="N1875" t="str">
            <v>40/数铣</v>
          </cell>
          <cell r="O1875" t="str">
            <v>45/数铣5</v>
          </cell>
          <cell r="P1875" t="str">
            <v>50/数铣2</v>
          </cell>
          <cell r="Q1875" t="str">
            <v>55/数铣3</v>
          </cell>
          <cell r="R1875" t="str">
            <v>60/线切割</v>
          </cell>
          <cell r="S1875" t="str">
            <v>65/数铣</v>
          </cell>
          <cell r="T1875" t="str">
            <v>70/数铣</v>
          </cell>
          <cell r="U1875" t="str">
            <v>75/钳工</v>
          </cell>
          <cell r="V1875" t="str">
            <v>80/清洁</v>
          </cell>
          <cell r="W1875" t="str">
            <v>85/成检</v>
          </cell>
        </row>
        <row r="1876">
          <cell r="B1876" t="str">
            <v>DD-J10S-61001-2820-2</v>
          </cell>
          <cell r="D1876" t="str">
            <v>A</v>
          </cell>
          <cell r="E1876" t="str">
            <v>准备工时</v>
          </cell>
          <cell r="G1876">
            <v>60</v>
          </cell>
          <cell r="N1876">
            <v>60</v>
          </cell>
          <cell r="O1876" t="str">
            <v>60</v>
          </cell>
          <cell r="P1876" t="str">
            <v>60</v>
          </cell>
          <cell r="Q1876">
            <v>60</v>
          </cell>
          <cell r="S1876">
            <v>90</v>
          </cell>
          <cell r="T1876">
            <v>60</v>
          </cell>
        </row>
        <row r="1877">
          <cell r="B1877" t="str">
            <v>DD-J10S-61001-2820-2</v>
          </cell>
          <cell r="D1877" t="str">
            <v>A</v>
          </cell>
          <cell r="E1877" t="str">
            <v>装夹时间</v>
          </cell>
        </row>
        <row r="1878">
          <cell r="B1878" t="str">
            <v>DD-J10S-61001-2820-2</v>
          </cell>
          <cell r="D1878" t="str">
            <v>A</v>
          </cell>
          <cell r="E1878" t="str">
            <v>程序时间</v>
          </cell>
          <cell r="G1878">
            <v>20</v>
          </cell>
          <cell r="H1878">
            <v>6</v>
          </cell>
          <cell r="N1878">
            <v>25</v>
          </cell>
          <cell r="O1878">
            <v>20</v>
          </cell>
          <cell r="P1878">
            <v>10</v>
          </cell>
          <cell r="Q1878">
            <v>18</v>
          </cell>
          <cell r="S1878">
            <v>15</v>
          </cell>
          <cell r="T1878">
            <v>10</v>
          </cell>
          <cell r="U1878">
            <v>10</v>
          </cell>
        </row>
        <row r="1879">
          <cell r="B1879" t="str">
            <v>CB22837F1-001-001</v>
          </cell>
          <cell r="D1879" t="str">
            <v>B</v>
          </cell>
          <cell r="E1879" t="str">
            <v>工序内容</v>
          </cell>
          <cell r="F1879" t="str">
            <v>0/领料</v>
          </cell>
          <cell r="G1879" t="str">
            <v>05/车铣35</v>
          </cell>
          <cell r="H1879" t="str">
            <v>10/数车10</v>
          </cell>
          <cell r="I1879" t="str">
            <v>15/钳工</v>
          </cell>
          <cell r="J1879" t="str">
            <v>20/分光</v>
          </cell>
          <cell r="K1879" t="str">
            <v>25/钳工</v>
          </cell>
          <cell r="L1879" t="str">
            <v>30/清洁</v>
          </cell>
          <cell r="M1879" t="str">
            <v>35/成检</v>
          </cell>
        </row>
        <row r="1880">
          <cell r="B1880" t="str">
            <v>CB22837F1-001-001</v>
          </cell>
          <cell r="D1880" t="str">
            <v>B</v>
          </cell>
          <cell r="E1880" t="str">
            <v>准备工时</v>
          </cell>
          <cell r="G1880">
            <v>120</v>
          </cell>
          <cell r="H1880">
            <v>90</v>
          </cell>
        </row>
        <row r="1881">
          <cell r="B1881" t="str">
            <v>CB22837F1-001-001</v>
          </cell>
          <cell r="D1881" t="str">
            <v>B</v>
          </cell>
          <cell r="E1881" t="str">
            <v>装夹时间</v>
          </cell>
        </row>
        <row r="1882">
          <cell r="B1882" t="str">
            <v>CB22837F1-001-001</v>
          </cell>
          <cell r="D1882" t="str">
            <v>B</v>
          </cell>
          <cell r="E1882" t="str">
            <v>程序时间</v>
          </cell>
          <cell r="G1882">
            <v>70</v>
          </cell>
          <cell r="H1882">
            <v>20</v>
          </cell>
          <cell r="I1882">
            <v>15</v>
          </cell>
          <cell r="K1882">
            <v>5</v>
          </cell>
          <cell r="L1882">
            <v>30</v>
          </cell>
        </row>
        <row r="1883">
          <cell r="B1883" t="str">
            <v>CB2298814-002-001</v>
          </cell>
          <cell r="D1883" t="str">
            <v>D</v>
          </cell>
          <cell r="E1883" t="str">
            <v>工序内容</v>
          </cell>
          <cell r="F1883" t="str">
            <v>0/领料</v>
          </cell>
          <cell r="G1883" t="str">
            <v>05/数铣</v>
          </cell>
          <cell r="H1883" t="str">
            <v>10/数铣30</v>
          </cell>
          <cell r="I1883" t="str">
            <v>15数铣65</v>
          </cell>
          <cell r="J1883" t="str">
            <v>20/分光</v>
          </cell>
          <cell r="K1883" t="str">
            <v>25/硬度</v>
          </cell>
          <cell r="L1883" t="str">
            <v>30/钳工</v>
          </cell>
          <cell r="M1883" t="str">
            <v>35/清洁</v>
          </cell>
          <cell r="N1883" t="str">
            <v>40/成检</v>
          </cell>
        </row>
        <row r="1884">
          <cell r="B1884" t="str">
            <v>CB2298814-002-001</v>
          </cell>
          <cell r="D1884" t="str">
            <v>D</v>
          </cell>
          <cell r="E1884" t="str">
            <v>准备工时</v>
          </cell>
          <cell r="G1884">
            <v>60</v>
          </cell>
          <cell r="H1884">
            <v>60</v>
          </cell>
          <cell r="I1884">
            <v>60</v>
          </cell>
        </row>
        <row r="1885">
          <cell r="B1885" t="str">
            <v>CB2298814-002-001</v>
          </cell>
          <cell r="D1885" t="str">
            <v>D</v>
          </cell>
          <cell r="E1885" t="str">
            <v>装夹时间</v>
          </cell>
        </row>
        <row r="1886">
          <cell r="B1886" t="str">
            <v>CB2298814-002-001</v>
          </cell>
          <cell r="D1886" t="str">
            <v>D</v>
          </cell>
          <cell r="E1886" t="str">
            <v>程序时间</v>
          </cell>
          <cell r="G1886">
            <v>30</v>
          </cell>
          <cell r="H1886">
            <v>70</v>
          </cell>
          <cell r="I1886">
            <v>100</v>
          </cell>
          <cell r="L1886">
            <v>30</v>
          </cell>
        </row>
        <row r="1887">
          <cell r="B1887" t="str">
            <v>CB2294456-007-001</v>
          </cell>
          <cell r="D1887" t="str">
            <v>B</v>
          </cell>
          <cell r="E1887" t="str">
            <v>工序内容</v>
          </cell>
          <cell r="F1887" t="str">
            <v>0/领料</v>
          </cell>
          <cell r="G1887" t="str">
            <v>05/下料</v>
          </cell>
          <cell r="H1887" t="str">
            <v>10/线切割</v>
          </cell>
          <cell r="I1887" t="str">
            <v>15/数铣</v>
          </cell>
          <cell r="J1887" t="str">
            <v>20/数车</v>
          </cell>
          <cell r="K1887" t="str">
            <v>25/钳工</v>
          </cell>
          <cell r="L1887" t="str">
            <v>30/清洁</v>
          </cell>
          <cell r="M1887" t="str">
            <v>35/成检</v>
          </cell>
        </row>
        <row r="1888">
          <cell r="B1888" t="str">
            <v>CB2294456-007-001</v>
          </cell>
          <cell r="D1888" t="str">
            <v>B</v>
          </cell>
          <cell r="E1888" t="str">
            <v>准备工时</v>
          </cell>
          <cell r="I1888">
            <v>120</v>
          </cell>
          <cell r="J1888">
            <v>120</v>
          </cell>
        </row>
        <row r="1889">
          <cell r="B1889" t="str">
            <v>CB2294456-007-001</v>
          </cell>
          <cell r="D1889" t="str">
            <v>B</v>
          </cell>
          <cell r="E1889" t="str">
            <v>装夹时间</v>
          </cell>
        </row>
        <row r="1890">
          <cell r="B1890" t="str">
            <v>CB2294456-007-001</v>
          </cell>
          <cell r="D1890" t="str">
            <v>B</v>
          </cell>
          <cell r="E1890" t="str">
            <v>程序时间</v>
          </cell>
          <cell r="I1890">
            <v>5</v>
          </cell>
          <cell r="J1890">
            <v>3</v>
          </cell>
          <cell r="K1890">
            <v>4</v>
          </cell>
        </row>
        <row r="1891">
          <cell r="B1891" t="str">
            <v>BC5822100-002L001</v>
          </cell>
          <cell r="D1891" t="str">
            <v>C</v>
          </cell>
          <cell r="E1891" t="str">
            <v>工序内容</v>
          </cell>
          <cell r="F1891" t="str">
            <v>00/领料</v>
          </cell>
          <cell r="G1891" t="str">
            <v>05/钳工</v>
          </cell>
          <cell r="H1891" t="str">
            <v>10/数铣20</v>
          </cell>
          <cell r="I1891" t="str">
            <v>15/数铣30</v>
          </cell>
          <cell r="J1891" t="str">
            <v>20/数铣30</v>
          </cell>
          <cell r="K1891" t="str">
            <v>25/数铣40</v>
          </cell>
          <cell r="L1891" t="str">
            <v>30/数铣30</v>
          </cell>
          <cell r="M1891" t="str">
            <v>35/线切割</v>
          </cell>
          <cell r="N1891" t="str">
            <v>40/数车30</v>
          </cell>
          <cell r="O1891" t="str">
            <v>45/数车30</v>
          </cell>
          <cell r="P1891" t="str">
            <v>50/钳工</v>
          </cell>
          <cell r="Q1891" t="str">
            <v>55/清洁</v>
          </cell>
          <cell r="R1891" t="str">
            <v>60/成检</v>
          </cell>
          <cell r="U1891" t="str">
            <v>60/成检</v>
          </cell>
        </row>
        <row r="1892">
          <cell r="B1892" t="str">
            <v>BC5822100-002L001</v>
          </cell>
          <cell r="D1892" t="str">
            <v>C</v>
          </cell>
          <cell r="E1892" t="str">
            <v>准备工时</v>
          </cell>
          <cell r="H1892">
            <v>60</v>
          </cell>
          <cell r="I1892">
            <v>60</v>
          </cell>
          <cell r="J1892">
            <v>90</v>
          </cell>
          <cell r="K1892">
            <v>90</v>
          </cell>
          <cell r="L1892">
            <v>90</v>
          </cell>
          <cell r="N1892">
            <v>180</v>
          </cell>
          <cell r="O1892">
            <v>180</v>
          </cell>
        </row>
        <row r="1893">
          <cell r="B1893" t="str">
            <v>BC5822100-002L001</v>
          </cell>
          <cell r="D1893" t="str">
            <v>C</v>
          </cell>
          <cell r="E1893" t="str">
            <v>装夹时间</v>
          </cell>
        </row>
        <row r="1894">
          <cell r="B1894" t="str">
            <v>BC5822100-002L001</v>
          </cell>
          <cell r="D1894" t="str">
            <v>C</v>
          </cell>
          <cell r="E1894" t="str">
            <v>程序时间</v>
          </cell>
          <cell r="G1894">
            <v>15</v>
          </cell>
          <cell r="H1894">
            <v>35</v>
          </cell>
          <cell r="I1894">
            <v>45</v>
          </cell>
          <cell r="J1894">
            <v>50</v>
          </cell>
          <cell r="K1894">
            <v>100</v>
          </cell>
          <cell r="L1894">
            <v>45</v>
          </cell>
          <cell r="N1894">
            <v>35</v>
          </cell>
          <cell r="O1894">
            <v>35</v>
          </cell>
          <cell r="P1894">
            <v>15</v>
          </cell>
        </row>
        <row r="1895">
          <cell r="B1895" t="str">
            <v>BC5822100-002R001</v>
          </cell>
          <cell r="D1895" t="str">
            <v>C</v>
          </cell>
          <cell r="E1895" t="str">
            <v>工序内容</v>
          </cell>
          <cell r="F1895" t="str">
            <v>00/领料</v>
          </cell>
          <cell r="G1895" t="str">
            <v>05/钳工</v>
          </cell>
          <cell r="H1895" t="str">
            <v>10/数铣20</v>
          </cell>
          <cell r="I1895" t="str">
            <v>15/数铣30</v>
          </cell>
          <cell r="J1895" t="str">
            <v>20/数铣30</v>
          </cell>
          <cell r="K1895" t="str">
            <v>25/数铣40</v>
          </cell>
          <cell r="L1895" t="str">
            <v>30/数铣30</v>
          </cell>
          <cell r="M1895" t="str">
            <v>35/线切割</v>
          </cell>
          <cell r="N1895" t="str">
            <v>40/数车30</v>
          </cell>
          <cell r="O1895" t="str">
            <v>45/数车30</v>
          </cell>
          <cell r="P1895" t="str">
            <v>50/钳工</v>
          </cell>
          <cell r="Q1895" t="str">
            <v>55/清洁</v>
          </cell>
          <cell r="R1895" t="str">
            <v>60/成检</v>
          </cell>
          <cell r="U1895" t="str">
            <v>60/成检</v>
          </cell>
        </row>
        <row r="1896">
          <cell r="B1896" t="str">
            <v>BC5822100-002R001</v>
          </cell>
          <cell r="D1896" t="str">
            <v>C</v>
          </cell>
          <cell r="E1896" t="str">
            <v>准备工时</v>
          </cell>
          <cell r="H1896">
            <v>60</v>
          </cell>
          <cell r="I1896">
            <v>60</v>
          </cell>
          <cell r="J1896">
            <v>90</v>
          </cell>
          <cell r="K1896">
            <v>90</v>
          </cell>
          <cell r="L1896">
            <v>90</v>
          </cell>
          <cell r="N1896">
            <v>180</v>
          </cell>
          <cell r="O1896">
            <v>180</v>
          </cell>
        </row>
        <row r="1897">
          <cell r="B1897" t="str">
            <v>BC5822100-002R001</v>
          </cell>
          <cell r="D1897" t="str">
            <v>C</v>
          </cell>
          <cell r="E1897" t="str">
            <v>装夹时间</v>
          </cell>
        </row>
        <row r="1898">
          <cell r="B1898" t="str">
            <v>BC5822100-002R001</v>
          </cell>
          <cell r="D1898" t="str">
            <v>C</v>
          </cell>
          <cell r="E1898" t="str">
            <v>程序时间</v>
          </cell>
          <cell r="G1898">
            <v>15</v>
          </cell>
          <cell r="H1898">
            <v>35</v>
          </cell>
          <cell r="I1898">
            <v>45</v>
          </cell>
          <cell r="J1898">
            <v>50</v>
          </cell>
          <cell r="K1898">
            <v>100</v>
          </cell>
          <cell r="L1898">
            <v>45</v>
          </cell>
          <cell r="N1898">
            <v>35</v>
          </cell>
          <cell r="O1898">
            <v>35</v>
          </cell>
          <cell r="P1898">
            <v>15</v>
          </cell>
        </row>
        <row r="1899">
          <cell r="B1899" t="str">
            <v>CB221T9MLN003-001</v>
          </cell>
          <cell r="D1899" t="str">
            <v>B</v>
          </cell>
          <cell r="E1899" t="str">
            <v>工序内容</v>
          </cell>
          <cell r="F1899" t="str">
            <v>0领料</v>
          </cell>
          <cell r="G1899" t="str">
            <v>05下料</v>
          </cell>
          <cell r="H1899" t="str">
            <v>10数车</v>
          </cell>
          <cell r="I1899" t="str">
            <v>15数车</v>
          </cell>
          <cell r="J1899" t="str">
            <v>20分光</v>
          </cell>
          <cell r="K1899" t="str">
            <v>25数铣</v>
          </cell>
          <cell r="L1899" t="str">
            <v>30数铣</v>
          </cell>
          <cell r="M1899" t="str">
            <v>35穿孔</v>
          </cell>
          <cell r="N1899" t="str">
            <v>40数铣</v>
          </cell>
          <cell r="O1899" t="str">
            <v>45数车</v>
          </cell>
          <cell r="P1899" t="str">
            <v>50线切割</v>
          </cell>
          <cell r="Q1899" t="str">
            <v>55钳工</v>
          </cell>
          <cell r="R1899" t="str">
            <v>60清洁</v>
          </cell>
          <cell r="S1899" t="str">
            <v>65成检</v>
          </cell>
        </row>
        <row r="1900">
          <cell r="B1900" t="str">
            <v>CB221T9MLN003-001</v>
          </cell>
          <cell r="D1900" t="str">
            <v>B</v>
          </cell>
          <cell r="E1900" t="str">
            <v>准备工时</v>
          </cell>
          <cell r="H1900">
            <v>90</v>
          </cell>
          <cell r="I1900">
            <v>120</v>
          </cell>
          <cell r="K1900">
            <v>60</v>
          </cell>
          <cell r="L1900">
            <v>60</v>
          </cell>
          <cell r="N1900">
            <v>60</v>
          </cell>
          <cell r="O1900">
            <v>90</v>
          </cell>
        </row>
        <row r="1901">
          <cell r="B1901" t="str">
            <v>CB221T9MLN003-001</v>
          </cell>
          <cell r="D1901" t="str">
            <v>B</v>
          </cell>
          <cell r="E1901" t="str">
            <v>装夹时间</v>
          </cell>
        </row>
        <row r="1902">
          <cell r="B1902" t="str">
            <v>CB221T9MLN003-001</v>
          </cell>
          <cell r="D1902" t="str">
            <v>B</v>
          </cell>
          <cell r="E1902" t="str">
            <v>程序时间</v>
          </cell>
          <cell r="H1902">
            <v>25</v>
          </cell>
          <cell r="I1902">
            <v>50</v>
          </cell>
          <cell r="K1902">
            <v>25</v>
          </cell>
          <cell r="L1902">
            <v>20</v>
          </cell>
          <cell r="N1902">
            <v>35</v>
          </cell>
          <cell r="O1902">
            <v>25</v>
          </cell>
          <cell r="P1902">
            <v>20</v>
          </cell>
          <cell r="Q1902">
            <v>50</v>
          </cell>
        </row>
        <row r="1903">
          <cell r="B1903" t="str">
            <v>DD-J10-55196-311</v>
          </cell>
          <cell r="D1903" t="str">
            <v>B</v>
          </cell>
          <cell r="E1903" t="str">
            <v>工序内容</v>
          </cell>
          <cell r="F1903" t="str">
            <v>0/领料</v>
          </cell>
          <cell r="G1903" t="str">
            <v>5/数车</v>
          </cell>
          <cell r="H1903" t="str">
            <v>10/数车</v>
          </cell>
          <cell r="I1903" t="str">
            <v>15/数车</v>
          </cell>
          <cell r="J1903" t="str">
            <v>20/线切割</v>
          </cell>
          <cell r="K1903" t="str">
            <v>25/钳工</v>
          </cell>
          <cell r="N1903" t="str">
            <v>40/钳工</v>
          </cell>
        </row>
        <row r="1904">
          <cell r="B1904" t="str">
            <v>DD-J10-55196-311</v>
          </cell>
          <cell r="D1904" t="str">
            <v>B</v>
          </cell>
          <cell r="E1904" t="str">
            <v>准备工时</v>
          </cell>
          <cell r="G1904">
            <v>60</v>
          </cell>
          <cell r="H1904">
            <v>90</v>
          </cell>
          <cell r="I1904">
            <v>90</v>
          </cell>
          <cell r="J1904">
            <v>60</v>
          </cell>
        </row>
        <row r="1905">
          <cell r="B1905" t="str">
            <v>DD-J10-55196-311</v>
          </cell>
          <cell r="D1905" t="str">
            <v>B</v>
          </cell>
          <cell r="E1905" t="str">
            <v>装夹时间</v>
          </cell>
        </row>
        <row r="1906">
          <cell r="B1906" t="str">
            <v>DD-J10-55196-311</v>
          </cell>
          <cell r="D1906" t="str">
            <v>B</v>
          </cell>
          <cell r="E1906" t="str">
            <v>程序时间</v>
          </cell>
          <cell r="G1906">
            <v>15</v>
          </cell>
          <cell r="H1906">
            <v>35</v>
          </cell>
          <cell r="I1906">
            <v>10</v>
          </cell>
          <cell r="J1906">
            <v>25</v>
          </cell>
          <cell r="K1906">
            <v>45</v>
          </cell>
          <cell r="N1906">
            <v>10</v>
          </cell>
        </row>
        <row r="1907">
          <cell r="B1907" t="str">
            <v>Y20-5316100332-001</v>
          </cell>
          <cell r="D1907" t="str">
            <v>B</v>
          </cell>
          <cell r="E1907" t="str">
            <v>工序内容</v>
          </cell>
          <cell r="F1907" t="str">
            <v>0/领料</v>
          </cell>
          <cell r="G1907" t="str">
            <v>05/数铣</v>
          </cell>
          <cell r="H1907" t="str">
            <v>10/数铣40</v>
          </cell>
          <cell r="I1907" t="str">
            <v>15/数35</v>
          </cell>
          <cell r="J1907" t="str">
            <v>20/钳工</v>
          </cell>
          <cell r="K1907" t="str">
            <v>25/清洁</v>
          </cell>
          <cell r="L1907" t="str">
            <v>30/分光</v>
          </cell>
          <cell r="M1907" t="str">
            <v>35/检验</v>
          </cell>
          <cell r="N1907" t="str">
            <v>40/钳工</v>
          </cell>
          <cell r="O1907" t="str">
            <v>45/清洁</v>
          </cell>
          <cell r="P1907" t="str">
            <v>50/成检</v>
          </cell>
        </row>
        <row r="1908">
          <cell r="B1908" t="str">
            <v>Y20-5316100332-001</v>
          </cell>
          <cell r="D1908" t="str">
            <v>B</v>
          </cell>
          <cell r="E1908" t="str">
            <v>准备工时</v>
          </cell>
          <cell r="G1908">
            <v>60</v>
          </cell>
          <cell r="H1908">
            <v>90</v>
          </cell>
          <cell r="I1908">
            <v>60</v>
          </cell>
        </row>
        <row r="1909">
          <cell r="B1909" t="str">
            <v>Y20-5316100332-001</v>
          </cell>
          <cell r="D1909" t="str">
            <v>B</v>
          </cell>
          <cell r="E1909" t="str">
            <v>装夹时间</v>
          </cell>
        </row>
        <row r="1910">
          <cell r="B1910" t="str">
            <v>Y20-5316100332-001</v>
          </cell>
          <cell r="D1910" t="str">
            <v>B</v>
          </cell>
          <cell r="E1910" t="str">
            <v>程序时间</v>
          </cell>
          <cell r="G1910">
            <v>50</v>
          </cell>
          <cell r="H1910">
            <v>85</v>
          </cell>
          <cell r="I1910">
            <v>70</v>
          </cell>
          <cell r="J1910">
            <v>50</v>
          </cell>
          <cell r="N1910" t="str">
            <v>5</v>
          </cell>
        </row>
        <row r="1911">
          <cell r="B1911" t="str">
            <v>CB5323320-007L001</v>
          </cell>
          <cell r="D1911" t="str">
            <v>B</v>
          </cell>
          <cell r="E1911" t="str">
            <v>工序内容</v>
          </cell>
          <cell r="F1911" t="str">
            <v>0/领料</v>
          </cell>
          <cell r="G1911" t="str">
            <v>05/数铣</v>
          </cell>
          <cell r="H1911" t="str">
            <v>10/超声</v>
          </cell>
          <cell r="I1911" t="str">
            <v>15/分光</v>
          </cell>
          <cell r="J1911" t="str">
            <v>20/硬度</v>
          </cell>
          <cell r="K1911" t="str">
            <v>25/数铣15</v>
          </cell>
          <cell r="L1911" t="str">
            <v>30/装夹</v>
          </cell>
          <cell r="M1911" t="str">
            <v>35/数铣30</v>
          </cell>
          <cell r="N1911" t="str">
            <v>40/数铣8</v>
          </cell>
          <cell r="O1911" t="str">
            <v>45/数铣8</v>
          </cell>
          <cell r="P1911" t="str">
            <v>50/数铣8</v>
          </cell>
          <cell r="Q1911" t="str">
            <v>55/数铣8</v>
          </cell>
          <cell r="R1911" t="str">
            <v>60/钳工</v>
          </cell>
          <cell r="S1911" t="str">
            <v>65/测量</v>
          </cell>
          <cell r="T1911" t="str">
            <v>70/清洁</v>
          </cell>
          <cell r="U1911" t="str">
            <v>75/成检</v>
          </cell>
        </row>
        <row r="1912">
          <cell r="B1912" t="str">
            <v>CB5323320-007L001</v>
          </cell>
          <cell r="D1912" t="str">
            <v>B</v>
          </cell>
          <cell r="E1912" t="str">
            <v>准备工时</v>
          </cell>
          <cell r="G1912">
            <v>60</v>
          </cell>
          <cell r="K1912">
            <v>90</v>
          </cell>
          <cell r="M1912">
            <v>60</v>
          </cell>
          <cell r="N1912">
            <v>60</v>
          </cell>
          <cell r="O1912">
            <v>60</v>
          </cell>
          <cell r="P1912">
            <v>60</v>
          </cell>
          <cell r="Q1912">
            <v>60</v>
          </cell>
        </row>
        <row r="1913">
          <cell r="B1913" t="str">
            <v>CB5323320-007L001</v>
          </cell>
          <cell r="D1913" t="str">
            <v>B</v>
          </cell>
          <cell r="E1913" t="str">
            <v>装夹时间</v>
          </cell>
        </row>
        <row r="1914">
          <cell r="B1914" t="str">
            <v>CB5323320-007L001</v>
          </cell>
          <cell r="D1914" t="str">
            <v>B</v>
          </cell>
          <cell r="E1914" t="str">
            <v>程序时间</v>
          </cell>
          <cell r="G1914">
            <v>50</v>
          </cell>
          <cell r="K1914">
            <v>35</v>
          </cell>
          <cell r="L1914">
            <v>15</v>
          </cell>
          <cell r="M1914">
            <v>50</v>
          </cell>
          <cell r="N1914">
            <v>20</v>
          </cell>
          <cell r="O1914">
            <v>20</v>
          </cell>
          <cell r="P1914">
            <v>20</v>
          </cell>
          <cell r="Q1914">
            <v>20</v>
          </cell>
          <cell r="R1914">
            <v>30</v>
          </cell>
        </row>
        <row r="1915">
          <cell r="B1915" t="str">
            <v>CB5323320-007R001</v>
          </cell>
          <cell r="D1915" t="str">
            <v>B</v>
          </cell>
          <cell r="E1915" t="str">
            <v>工序内容</v>
          </cell>
          <cell r="F1915" t="str">
            <v>0/领料</v>
          </cell>
          <cell r="G1915" t="str">
            <v>05/数铣</v>
          </cell>
          <cell r="H1915" t="str">
            <v>10/超声</v>
          </cell>
          <cell r="I1915" t="str">
            <v>15/分光</v>
          </cell>
          <cell r="J1915" t="str">
            <v>20/硬度</v>
          </cell>
          <cell r="K1915" t="str">
            <v>25/数铣15</v>
          </cell>
          <cell r="L1915" t="str">
            <v>30/装夹</v>
          </cell>
          <cell r="M1915" t="str">
            <v>35/数铣30</v>
          </cell>
          <cell r="N1915" t="str">
            <v>40/数铣8</v>
          </cell>
          <cell r="O1915" t="str">
            <v>45/数铣8</v>
          </cell>
          <cell r="P1915" t="str">
            <v>50/数铣8</v>
          </cell>
          <cell r="Q1915" t="str">
            <v>55/数铣8</v>
          </cell>
          <cell r="R1915" t="str">
            <v>60/钳工</v>
          </cell>
          <cell r="S1915" t="str">
            <v>65/测量</v>
          </cell>
          <cell r="T1915" t="str">
            <v>70/清洁</v>
          </cell>
          <cell r="U1915" t="str">
            <v>75/成检</v>
          </cell>
        </row>
        <row r="1916">
          <cell r="B1916" t="str">
            <v>CB5323320-007R001</v>
          </cell>
          <cell r="D1916" t="str">
            <v>B</v>
          </cell>
          <cell r="E1916" t="str">
            <v>准备工时</v>
          </cell>
          <cell r="G1916">
            <v>60</v>
          </cell>
          <cell r="K1916">
            <v>90</v>
          </cell>
          <cell r="M1916">
            <v>60</v>
          </cell>
          <cell r="N1916">
            <v>60</v>
          </cell>
          <cell r="O1916">
            <v>60</v>
          </cell>
          <cell r="P1916">
            <v>60</v>
          </cell>
          <cell r="Q1916">
            <v>60</v>
          </cell>
        </row>
        <row r="1917">
          <cell r="B1917" t="str">
            <v>CB5323320-007R001</v>
          </cell>
          <cell r="D1917" t="str">
            <v>B</v>
          </cell>
          <cell r="E1917" t="str">
            <v>装夹时间</v>
          </cell>
        </row>
        <row r="1918">
          <cell r="B1918" t="str">
            <v>CB5323320-007R001</v>
          </cell>
          <cell r="D1918" t="str">
            <v>B</v>
          </cell>
          <cell r="E1918" t="str">
            <v>程序时间</v>
          </cell>
          <cell r="G1918">
            <v>50</v>
          </cell>
          <cell r="K1918">
            <v>35</v>
          </cell>
          <cell r="L1918">
            <v>15</v>
          </cell>
          <cell r="M1918">
            <v>50</v>
          </cell>
          <cell r="N1918">
            <v>20</v>
          </cell>
          <cell r="O1918">
            <v>20</v>
          </cell>
          <cell r="P1918">
            <v>20</v>
          </cell>
          <cell r="Q1918">
            <v>20</v>
          </cell>
          <cell r="R1918">
            <v>30</v>
          </cell>
        </row>
        <row r="1919">
          <cell r="B1919" t="str">
            <v>CB2284751-006-001</v>
          </cell>
          <cell r="D1919" t="str">
            <v>A</v>
          </cell>
          <cell r="E1919" t="str">
            <v>工序内容</v>
          </cell>
          <cell r="F1919" t="str">
            <v>0/领料</v>
          </cell>
          <cell r="G1919" t="str">
            <v>05/数铣</v>
          </cell>
          <cell r="H1919" t="str">
            <v>10/钳工</v>
          </cell>
          <cell r="I1919" t="str">
            <v>15/分光</v>
          </cell>
          <cell r="J1919" t="str">
            <v>20/线切割</v>
          </cell>
          <cell r="K1919" t="str">
            <v>25/数铣10</v>
          </cell>
          <cell r="L1919" t="str">
            <v>30/数铣15</v>
          </cell>
          <cell r="M1919" t="str">
            <v>35/数铣15</v>
          </cell>
          <cell r="N1919" t="str">
            <v>40/数车20</v>
          </cell>
          <cell r="O1919" t="str">
            <v>45/数车20</v>
          </cell>
          <cell r="P1919" t="str">
            <v>50/线切割</v>
          </cell>
          <cell r="Q1919" t="str">
            <v>55/穿孔机</v>
          </cell>
          <cell r="R1919" t="str">
            <v>60/钳工</v>
          </cell>
          <cell r="S1919" t="str">
            <v>65/清洁</v>
          </cell>
          <cell r="T1919" t="str">
            <v>70/成检</v>
          </cell>
        </row>
        <row r="1920">
          <cell r="B1920" t="str">
            <v>CB2284751-006-001</v>
          </cell>
          <cell r="D1920" t="str">
            <v>A</v>
          </cell>
          <cell r="E1920" t="str">
            <v>准备工时</v>
          </cell>
          <cell r="G1920">
            <v>60</v>
          </cell>
          <cell r="K1920">
            <v>90</v>
          </cell>
          <cell r="L1920">
            <v>60</v>
          </cell>
          <cell r="M1920">
            <v>60</v>
          </cell>
          <cell r="N1920">
            <v>120</v>
          </cell>
          <cell r="O1920">
            <v>120</v>
          </cell>
        </row>
        <row r="1921">
          <cell r="B1921" t="str">
            <v>CB2284751-006-001</v>
          </cell>
          <cell r="D1921" t="str">
            <v>A</v>
          </cell>
          <cell r="E1921" t="str">
            <v>装夹时间</v>
          </cell>
        </row>
        <row r="1922">
          <cell r="B1922" t="str">
            <v>CB2284751-006-001</v>
          </cell>
          <cell r="D1922" t="str">
            <v>A</v>
          </cell>
          <cell r="E1922" t="str">
            <v>程序时间</v>
          </cell>
          <cell r="G1922">
            <v>60</v>
          </cell>
          <cell r="H1922">
            <v>10</v>
          </cell>
          <cell r="K1922">
            <v>40</v>
          </cell>
          <cell r="L1922">
            <v>25</v>
          </cell>
          <cell r="M1922">
            <v>25</v>
          </cell>
          <cell r="N1922">
            <v>30</v>
          </cell>
          <cell r="O1922">
            <v>30</v>
          </cell>
          <cell r="R1922">
            <v>90</v>
          </cell>
        </row>
        <row r="1923">
          <cell r="B1923" t="str">
            <v>CB5314107-001-003</v>
          </cell>
          <cell r="D1923" t="str">
            <v>B</v>
          </cell>
          <cell r="E1923" t="str">
            <v>工序内容</v>
          </cell>
          <cell r="F1923" t="str">
            <v>0/领料</v>
          </cell>
          <cell r="G1923" t="str">
            <v>05/钳工</v>
          </cell>
          <cell r="H1923" t="str">
            <v>10/数铣</v>
          </cell>
          <cell r="I1923" t="str">
            <v>15/数铣260</v>
          </cell>
          <cell r="J1923" t="str">
            <v>20/数铣350</v>
          </cell>
          <cell r="K1923" t="str">
            <v>25/数铣500</v>
          </cell>
          <cell r="L1923" t="str">
            <v>30/数铣80</v>
          </cell>
          <cell r="M1923" t="str">
            <v>35/失效</v>
          </cell>
          <cell r="N1923" t="str">
            <v>40/数铣480</v>
          </cell>
          <cell r="O1923" t="str">
            <v>45/数铣650</v>
          </cell>
          <cell r="P1923" t="str">
            <v>50/数铣540</v>
          </cell>
          <cell r="Q1923" t="str">
            <v>55/数铣</v>
          </cell>
          <cell r="R1923" t="str">
            <v>60/五轴720</v>
          </cell>
          <cell r="S1923" t="str">
            <v>65/五轴1100</v>
          </cell>
          <cell r="T1923" t="str">
            <v>70/钳工</v>
          </cell>
          <cell r="U1923" t="str">
            <v>75/钳工</v>
          </cell>
          <cell r="V1923" t="str">
            <v>80/测量</v>
          </cell>
          <cell r="W1923" t="str">
            <v>85/清洁</v>
          </cell>
          <cell r="X1923" t="str">
            <v>90/成检</v>
          </cell>
        </row>
        <row r="1924">
          <cell r="B1924" t="str">
            <v>CB5314107-001-003</v>
          </cell>
          <cell r="D1924" t="str">
            <v>B</v>
          </cell>
          <cell r="E1924" t="str">
            <v>准备工时</v>
          </cell>
          <cell r="G1924">
            <v>60</v>
          </cell>
          <cell r="H1924">
            <v>120</v>
          </cell>
          <cell r="I1924">
            <v>120</v>
          </cell>
          <cell r="J1924">
            <v>120</v>
          </cell>
          <cell r="K1924">
            <v>120</v>
          </cell>
          <cell r="L1924">
            <v>120</v>
          </cell>
          <cell r="N1924">
            <v>120</v>
          </cell>
          <cell r="O1924">
            <v>120</v>
          </cell>
          <cell r="P1924">
            <v>120</v>
          </cell>
          <cell r="Q1924">
            <v>120</v>
          </cell>
          <cell r="R1924">
            <v>300</v>
          </cell>
          <cell r="S1924">
            <v>300</v>
          </cell>
        </row>
        <row r="1925">
          <cell r="B1925" t="str">
            <v>CB5314107-001-003</v>
          </cell>
          <cell r="D1925" t="str">
            <v>B</v>
          </cell>
          <cell r="E1925" t="str">
            <v>装夹时间</v>
          </cell>
          <cell r="H1925">
            <v>60</v>
          </cell>
          <cell r="I1925">
            <v>60</v>
          </cell>
          <cell r="J1925">
            <v>90</v>
          </cell>
          <cell r="K1925">
            <v>90</v>
          </cell>
          <cell r="L1925">
            <v>90</v>
          </cell>
          <cell r="N1925">
            <v>90</v>
          </cell>
          <cell r="O1925">
            <v>90</v>
          </cell>
          <cell r="P1925">
            <v>90</v>
          </cell>
          <cell r="Q1925">
            <v>90</v>
          </cell>
          <cell r="R1925">
            <v>90</v>
          </cell>
          <cell r="S1925">
            <v>90</v>
          </cell>
        </row>
        <row r="1926">
          <cell r="B1926" t="str">
            <v>CB5314107-001-003</v>
          </cell>
          <cell r="D1926" t="str">
            <v>B</v>
          </cell>
          <cell r="E1926" t="str">
            <v>程序时间</v>
          </cell>
          <cell r="G1926">
            <v>60</v>
          </cell>
          <cell r="H1926">
            <v>120</v>
          </cell>
          <cell r="I1926">
            <v>300</v>
          </cell>
          <cell r="J1926">
            <v>630</v>
          </cell>
          <cell r="K1926">
            <v>630</v>
          </cell>
          <cell r="L1926">
            <v>105</v>
          </cell>
          <cell r="N1926">
            <v>480</v>
          </cell>
          <cell r="O1926">
            <v>660</v>
          </cell>
          <cell r="P1926">
            <v>300</v>
          </cell>
          <cell r="Q1926">
            <v>200</v>
          </cell>
          <cell r="R1926">
            <v>1400</v>
          </cell>
          <cell r="S1926">
            <v>2500</v>
          </cell>
          <cell r="T1926">
            <v>1440</v>
          </cell>
          <cell r="U1926">
            <v>360</v>
          </cell>
        </row>
        <row r="1927">
          <cell r="B1927" t="str">
            <v>CB5314107-001-003</v>
          </cell>
          <cell r="D1927" t="str">
            <v>C</v>
          </cell>
          <cell r="E1927" t="str">
            <v>工序内容</v>
          </cell>
          <cell r="F1927" t="str">
            <v>0/领料</v>
          </cell>
          <cell r="G1927" t="str">
            <v>05/钳工</v>
          </cell>
          <cell r="H1927" t="str">
            <v>10/数铣</v>
          </cell>
          <cell r="I1927" t="str">
            <v>15/数铣260</v>
          </cell>
          <cell r="J1927" t="str">
            <v>20/数铣350</v>
          </cell>
          <cell r="K1927" t="str">
            <v>25/数铣500</v>
          </cell>
          <cell r="L1927" t="str">
            <v>30/数铣80</v>
          </cell>
          <cell r="M1927" t="str">
            <v>35/失效</v>
          </cell>
          <cell r="N1927" t="str">
            <v>40/数铣480</v>
          </cell>
          <cell r="O1927" t="str">
            <v>45/数铣650</v>
          </cell>
          <cell r="P1927" t="str">
            <v>50/数铣540</v>
          </cell>
          <cell r="Q1927" t="str">
            <v>55/数铣</v>
          </cell>
          <cell r="R1927" t="str">
            <v>60/五轴720</v>
          </cell>
          <cell r="S1927" t="str">
            <v>65/五轴1100</v>
          </cell>
          <cell r="T1927" t="str">
            <v>70/钳工</v>
          </cell>
          <cell r="U1927" t="str">
            <v>75/钳工</v>
          </cell>
          <cell r="V1927" t="str">
            <v>80/测量</v>
          </cell>
          <cell r="W1927" t="str">
            <v>85/清洁</v>
          </cell>
          <cell r="X1927" t="str">
            <v>90/成检</v>
          </cell>
        </row>
        <row r="1928">
          <cell r="B1928" t="str">
            <v>CB5314107-001-003</v>
          </cell>
          <cell r="D1928" t="str">
            <v>C</v>
          </cell>
          <cell r="E1928" t="str">
            <v>准备工时</v>
          </cell>
          <cell r="G1928">
            <v>60</v>
          </cell>
          <cell r="H1928">
            <v>120</v>
          </cell>
          <cell r="I1928">
            <v>120</v>
          </cell>
          <cell r="J1928">
            <v>120</v>
          </cell>
          <cell r="K1928">
            <v>120</v>
          </cell>
          <cell r="L1928">
            <v>120</v>
          </cell>
          <cell r="N1928">
            <v>120</v>
          </cell>
          <cell r="O1928">
            <v>120</v>
          </cell>
          <cell r="P1928">
            <v>120</v>
          </cell>
          <cell r="Q1928">
            <v>120</v>
          </cell>
          <cell r="R1928">
            <v>300</v>
          </cell>
          <cell r="S1928">
            <v>300</v>
          </cell>
        </row>
        <row r="1929">
          <cell r="B1929" t="str">
            <v>CB5314107-001-003</v>
          </cell>
          <cell r="D1929" t="str">
            <v>C</v>
          </cell>
          <cell r="E1929" t="str">
            <v>装夹时间</v>
          </cell>
          <cell r="H1929">
            <v>60</v>
          </cell>
          <cell r="I1929">
            <v>60</v>
          </cell>
          <cell r="J1929">
            <v>90</v>
          </cell>
          <cell r="K1929">
            <v>90</v>
          </cell>
          <cell r="L1929">
            <v>90</v>
          </cell>
          <cell r="N1929">
            <v>90</v>
          </cell>
          <cell r="O1929">
            <v>90</v>
          </cell>
          <cell r="P1929">
            <v>90</v>
          </cell>
          <cell r="Q1929">
            <v>90</v>
          </cell>
          <cell r="R1929">
            <v>90</v>
          </cell>
          <cell r="S1929">
            <v>90</v>
          </cell>
        </row>
        <row r="1930">
          <cell r="B1930" t="str">
            <v>CB5314107-001-003</v>
          </cell>
          <cell r="D1930" t="str">
            <v>C</v>
          </cell>
          <cell r="E1930" t="str">
            <v>程序时间</v>
          </cell>
          <cell r="G1930">
            <v>60</v>
          </cell>
          <cell r="H1930">
            <v>120</v>
          </cell>
          <cell r="I1930">
            <v>300</v>
          </cell>
          <cell r="J1930">
            <v>720</v>
          </cell>
          <cell r="K1930">
            <v>630</v>
          </cell>
          <cell r="L1930">
            <v>105</v>
          </cell>
          <cell r="N1930">
            <v>480</v>
          </cell>
          <cell r="O1930">
            <v>660</v>
          </cell>
          <cell r="P1930">
            <v>300</v>
          </cell>
          <cell r="Q1930">
            <v>200</v>
          </cell>
          <cell r="R1930">
            <v>1400</v>
          </cell>
          <cell r="S1930">
            <v>2500</v>
          </cell>
          <cell r="T1930">
            <v>1440</v>
          </cell>
          <cell r="U1930">
            <v>360</v>
          </cell>
        </row>
        <row r="1931">
          <cell r="B1931" t="str">
            <v>CB5314107-001-003</v>
          </cell>
          <cell r="D1931" t="str">
            <v>C1</v>
          </cell>
          <cell r="E1931" t="str">
            <v>工序内容</v>
          </cell>
          <cell r="F1931" t="str">
            <v>0/领料</v>
          </cell>
          <cell r="G1931" t="str">
            <v>05/钳工</v>
          </cell>
          <cell r="H1931" t="str">
            <v>10/数铣</v>
          </cell>
          <cell r="I1931" t="str">
            <v>15/数铣260</v>
          </cell>
          <cell r="J1931" t="str">
            <v>20/数铣350</v>
          </cell>
          <cell r="K1931" t="str">
            <v>25/数铣500</v>
          </cell>
          <cell r="L1931" t="str">
            <v>30/钳工</v>
          </cell>
          <cell r="M1931" t="str">
            <v>35/清洁</v>
          </cell>
          <cell r="N1931" t="str">
            <v>40测量</v>
          </cell>
          <cell r="O1931" t="str">
            <v>45成检</v>
          </cell>
        </row>
        <row r="1932">
          <cell r="B1932" t="str">
            <v>CB5314107-001-003</v>
          </cell>
          <cell r="D1932" t="str">
            <v>C1</v>
          </cell>
          <cell r="E1932" t="str">
            <v>准备工时</v>
          </cell>
          <cell r="G1932">
            <v>60</v>
          </cell>
          <cell r="H1932">
            <v>120</v>
          </cell>
          <cell r="I1932">
            <v>120</v>
          </cell>
          <cell r="J1932">
            <v>120</v>
          </cell>
          <cell r="K1932">
            <v>120</v>
          </cell>
        </row>
        <row r="1933">
          <cell r="B1933" t="str">
            <v>CB5314107-001-003</v>
          </cell>
          <cell r="D1933" t="str">
            <v>C1</v>
          </cell>
          <cell r="E1933" t="str">
            <v>装夹时间</v>
          </cell>
          <cell r="H1933">
            <v>60</v>
          </cell>
          <cell r="I1933">
            <v>60</v>
          </cell>
          <cell r="J1933">
            <v>90</v>
          </cell>
          <cell r="K1933">
            <v>90</v>
          </cell>
        </row>
        <row r="1934">
          <cell r="B1934" t="str">
            <v>CB5314107-001-003</v>
          </cell>
          <cell r="D1934" t="str">
            <v>C1</v>
          </cell>
          <cell r="E1934" t="str">
            <v>程序时间</v>
          </cell>
          <cell r="G1934">
            <v>60</v>
          </cell>
          <cell r="H1934">
            <v>120</v>
          </cell>
          <cell r="I1934">
            <v>300</v>
          </cell>
          <cell r="J1934">
            <v>720</v>
          </cell>
          <cell r="K1934">
            <v>630</v>
          </cell>
          <cell r="L1934">
            <v>300</v>
          </cell>
        </row>
        <row r="1935">
          <cell r="B1935" t="str">
            <v>CB5314107-001-003</v>
          </cell>
          <cell r="D1935" t="str">
            <v>D</v>
          </cell>
          <cell r="E1935" t="str">
            <v>工序内容</v>
          </cell>
          <cell r="F1935" t="str">
            <v>0/领料</v>
          </cell>
          <cell r="G1935" t="str">
            <v>05/钳工</v>
          </cell>
          <cell r="H1935" t="str">
            <v>10/数铣</v>
          </cell>
          <cell r="I1935" t="str">
            <v>15/数铣260</v>
          </cell>
          <cell r="J1935" t="str">
            <v>20/数铣350</v>
          </cell>
          <cell r="K1935" t="str">
            <v>25/数铣500</v>
          </cell>
          <cell r="L1935" t="str">
            <v>30/数铣80</v>
          </cell>
          <cell r="M1935" t="str">
            <v>35/失效</v>
          </cell>
          <cell r="N1935" t="str">
            <v>40/数铣480</v>
          </cell>
          <cell r="O1935" t="str">
            <v>45/数铣650</v>
          </cell>
          <cell r="P1935" t="str">
            <v>50/数铣540</v>
          </cell>
          <cell r="Q1935" t="str">
            <v>55/数铣</v>
          </cell>
          <cell r="R1935" t="str">
            <v>60/五轴720</v>
          </cell>
          <cell r="S1935" t="str">
            <v>65/五轴1100</v>
          </cell>
          <cell r="T1935" t="str">
            <v>70/钳工</v>
          </cell>
          <cell r="U1935" t="str">
            <v>75/钳工</v>
          </cell>
          <cell r="V1935" t="str">
            <v>80/测量</v>
          </cell>
          <cell r="W1935" t="str">
            <v>85/清洁</v>
          </cell>
          <cell r="X1935" t="str">
            <v>90/成检</v>
          </cell>
        </row>
        <row r="1936">
          <cell r="B1936" t="str">
            <v>CB5314107-001-003</v>
          </cell>
          <cell r="D1936" t="str">
            <v>D</v>
          </cell>
          <cell r="E1936" t="str">
            <v>准备工时</v>
          </cell>
          <cell r="G1936">
            <v>60</v>
          </cell>
          <cell r="H1936">
            <v>120</v>
          </cell>
          <cell r="I1936">
            <v>120</v>
          </cell>
          <cell r="J1936">
            <v>120</v>
          </cell>
          <cell r="K1936">
            <v>120</v>
          </cell>
          <cell r="L1936">
            <v>120</v>
          </cell>
          <cell r="N1936">
            <v>120</v>
          </cell>
          <cell r="O1936">
            <v>120</v>
          </cell>
          <cell r="P1936">
            <v>120</v>
          </cell>
          <cell r="Q1936">
            <v>120</v>
          </cell>
          <cell r="R1936">
            <v>300</v>
          </cell>
          <cell r="S1936">
            <v>300</v>
          </cell>
        </row>
        <row r="1937">
          <cell r="B1937" t="str">
            <v>CB5314107-001-003</v>
          </cell>
          <cell r="D1937" t="str">
            <v>D</v>
          </cell>
          <cell r="E1937" t="str">
            <v>装夹时间</v>
          </cell>
          <cell r="H1937">
            <v>60</v>
          </cell>
          <cell r="I1937">
            <v>60</v>
          </cell>
          <cell r="J1937">
            <v>90</v>
          </cell>
          <cell r="K1937">
            <v>90</v>
          </cell>
          <cell r="L1937">
            <v>90</v>
          </cell>
          <cell r="N1937">
            <v>90</v>
          </cell>
          <cell r="O1937">
            <v>90</v>
          </cell>
          <cell r="P1937">
            <v>90</v>
          </cell>
          <cell r="Q1937">
            <v>90</v>
          </cell>
          <cell r="R1937">
            <v>90</v>
          </cell>
          <cell r="S1937">
            <v>90</v>
          </cell>
        </row>
        <row r="1938">
          <cell r="B1938" t="str">
            <v>CB5314107-001-003</v>
          </cell>
          <cell r="D1938" t="str">
            <v>D</v>
          </cell>
          <cell r="E1938" t="str">
            <v>程序时间</v>
          </cell>
          <cell r="G1938">
            <v>60</v>
          </cell>
          <cell r="H1938">
            <v>120</v>
          </cell>
          <cell r="I1938">
            <v>300</v>
          </cell>
          <cell r="J1938">
            <v>630</v>
          </cell>
          <cell r="K1938">
            <v>630</v>
          </cell>
          <cell r="L1938">
            <v>105</v>
          </cell>
          <cell r="N1938">
            <v>480</v>
          </cell>
          <cell r="O1938">
            <v>660</v>
          </cell>
          <cell r="P1938">
            <v>300</v>
          </cell>
          <cell r="Q1938">
            <v>200</v>
          </cell>
          <cell r="R1938">
            <v>1400</v>
          </cell>
          <cell r="S1938">
            <v>2500</v>
          </cell>
          <cell r="T1938">
            <v>1440</v>
          </cell>
          <cell r="U1938">
            <v>360</v>
          </cell>
        </row>
        <row r="1939">
          <cell r="B1939" t="str">
            <v>CB5314107-001-003</v>
          </cell>
          <cell r="D1939" t="str">
            <v>E</v>
          </cell>
          <cell r="E1939" t="str">
            <v>工序内容</v>
          </cell>
          <cell r="F1939" t="str">
            <v>0/领料</v>
          </cell>
          <cell r="G1939" t="str">
            <v>05/钳工</v>
          </cell>
          <cell r="H1939" t="str">
            <v>10/数铣</v>
          </cell>
          <cell r="I1939" t="str">
            <v>15/数铣260</v>
          </cell>
          <cell r="J1939" t="str">
            <v>20/数铣350</v>
          </cell>
          <cell r="K1939" t="str">
            <v>25/数铣500</v>
          </cell>
          <cell r="L1939" t="str">
            <v>30/数铣80</v>
          </cell>
          <cell r="M1939" t="str">
            <v>35/失效</v>
          </cell>
          <cell r="N1939" t="str">
            <v>40/数铣480</v>
          </cell>
          <cell r="O1939" t="str">
            <v>45/数铣650</v>
          </cell>
          <cell r="P1939" t="str">
            <v>50/数铣540</v>
          </cell>
          <cell r="Q1939" t="str">
            <v>55/数铣</v>
          </cell>
          <cell r="R1939" t="str">
            <v>60/五轴720</v>
          </cell>
          <cell r="S1939" t="str">
            <v>65/五轴1100</v>
          </cell>
          <cell r="T1939" t="str">
            <v>70/钳工</v>
          </cell>
          <cell r="U1939" t="str">
            <v>75/钳工</v>
          </cell>
          <cell r="V1939" t="str">
            <v>80/测量</v>
          </cell>
          <cell r="W1939" t="str">
            <v>85/清洁</v>
          </cell>
          <cell r="X1939" t="str">
            <v>90/成检</v>
          </cell>
        </row>
        <row r="1940">
          <cell r="B1940" t="str">
            <v>CB5314107-001-003</v>
          </cell>
          <cell r="D1940" t="str">
            <v>E</v>
          </cell>
          <cell r="E1940" t="str">
            <v>准备工时</v>
          </cell>
          <cell r="G1940">
            <v>60</v>
          </cell>
          <cell r="H1940">
            <v>120</v>
          </cell>
          <cell r="I1940">
            <v>120</v>
          </cell>
          <cell r="J1940">
            <v>120</v>
          </cell>
          <cell r="K1940">
            <v>120</v>
          </cell>
          <cell r="L1940">
            <v>120</v>
          </cell>
          <cell r="N1940">
            <v>120</v>
          </cell>
          <cell r="O1940">
            <v>120</v>
          </cell>
          <cell r="P1940">
            <v>120</v>
          </cell>
          <cell r="Q1940">
            <v>120</v>
          </cell>
          <cell r="R1940">
            <v>300</v>
          </cell>
          <cell r="S1940">
            <v>300</v>
          </cell>
        </row>
        <row r="1941">
          <cell r="B1941" t="str">
            <v>CB5314107-001-003</v>
          </cell>
          <cell r="D1941" t="str">
            <v>E</v>
          </cell>
          <cell r="E1941" t="str">
            <v>装夹时间</v>
          </cell>
          <cell r="H1941">
            <v>60</v>
          </cell>
          <cell r="I1941">
            <v>60</v>
          </cell>
          <cell r="J1941">
            <v>90</v>
          </cell>
          <cell r="K1941">
            <v>90</v>
          </cell>
          <cell r="L1941">
            <v>90</v>
          </cell>
          <cell r="N1941">
            <v>90</v>
          </cell>
          <cell r="O1941">
            <v>90</v>
          </cell>
          <cell r="P1941">
            <v>90</v>
          </cell>
          <cell r="Q1941">
            <v>90</v>
          </cell>
          <cell r="R1941">
            <v>90</v>
          </cell>
          <cell r="S1941">
            <v>90</v>
          </cell>
        </row>
        <row r="1942">
          <cell r="B1942" t="str">
            <v>CB5314107-001-003</v>
          </cell>
          <cell r="D1942" t="str">
            <v>E</v>
          </cell>
          <cell r="E1942" t="str">
            <v>程序时间</v>
          </cell>
          <cell r="G1942">
            <v>60</v>
          </cell>
          <cell r="H1942">
            <v>120</v>
          </cell>
          <cell r="I1942">
            <v>300</v>
          </cell>
          <cell r="J1942">
            <v>630</v>
          </cell>
          <cell r="K1942">
            <v>630</v>
          </cell>
          <cell r="L1942">
            <v>105</v>
          </cell>
          <cell r="N1942">
            <v>480</v>
          </cell>
          <cell r="O1942">
            <v>660</v>
          </cell>
          <cell r="P1942">
            <v>300</v>
          </cell>
          <cell r="Q1942">
            <v>200</v>
          </cell>
          <cell r="R1942">
            <v>1400</v>
          </cell>
          <cell r="S1942">
            <v>2500</v>
          </cell>
          <cell r="T1942">
            <v>1440</v>
          </cell>
          <cell r="U1942">
            <v>360</v>
          </cell>
        </row>
        <row r="1943">
          <cell r="B1943" t="str">
            <v>CB5314107-001-003</v>
          </cell>
          <cell r="D1943" t="str">
            <v>F</v>
          </cell>
          <cell r="E1943" t="str">
            <v>工序内容</v>
          </cell>
          <cell r="F1943" t="str">
            <v>0/领料</v>
          </cell>
          <cell r="G1943" t="str">
            <v>05/钳工</v>
          </cell>
          <cell r="H1943" t="str">
            <v>10/数铣</v>
          </cell>
          <cell r="I1943" t="str">
            <v>15/数铣260</v>
          </cell>
          <cell r="J1943" t="str">
            <v>20/数铣350</v>
          </cell>
          <cell r="K1943" t="str">
            <v>25/数铣500</v>
          </cell>
          <cell r="L1943" t="str">
            <v>30/数铣80</v>
          </cell>
          <cell r="M1943" t="str">
            <v>35/失效</v>
          </cell>
          <cell r="N1943" t="str">
            <v>40/数铣480</v>
          </cell>
          <cell r="O1943" t="str">
            <v>45/数铣650</v>
          </cell>
          <cell r="P1943" t="str">
            <v>50/数铣540</v>
          </cell>
          <cell r="Q1943" t="str">
            <v>55/数铣</v>
          </cell>
          <cell r="R1943" t="str">
            <v>60/五轴720</v>
          </cell>
          <cell r="S1943" t="str">
            <v>65/五轴1100</v>
          </cell>
          <cell r="T1943" t="str">
            <v>70/钳工</v>
          </cell>
          <cell r="U1943" t="str">
            <v>75/钳工</v>
          </cell>
          <cell r="V1943" t="str">
            <v>80/测量</v>
          </cell>
          <cell r="W1943" t="str">
            <v>85/清洁</v>
          </cell>
          <cell r="X1943" t="str">
            <v>90/成检</v>
          </cell>
        </row>
        <row r="1944">
          <cell r="B1944" t="str">
            <v>CB5314107-001-003</v>
          </cell>
          <cell r="D1944" t="str">
            <v>F</v>
          </cell>
          <cell r="E1944" t="str">
            <v>准备工时</v>
          </cell>
          <cell r="G1944">
            <v>60</v>
          </cell>
          <cell r="H1944">
            <v>120</v>
          </cell>
          <cell r="I1944">
            <v>120</v>
          </cell>
          <cell r="J1944">
            <v>120</v>
          </cell>
          <cell r="K1944">
            <v>120</v>
          </cell>
          <cell r="L1944">
            <v>120</v>
          </cell>
          <cell r="N1944">
            <v>120</v>
          </cell>
          <cell r="O1944">
            <v>120</v>
          </cell>
          <cell r="P1944">
            <v>120</v>
          </cell>
          <cell r="Q1944">
            <v>120</v>
          </cell>
          <cell r="R1944">
            <v>300</v>
          </cell>
          <cell r="S1944">
            <v>300</v>
          </cell>
        </row>
        <row r="1945">
          <cell r="B1945" t="str">
            <v>CB5314107-001-003</v>
          </cell>
          <cell r="D1945" t="str">
            <v>F</v>
          </cell>
          <cell r="E1945" t="str">
            <v>装夹时间</v>
          </cell>
          <cell r="H1945">
            <v>60</v>
          </cell>
          <cell r="I1945">
            <v>60</v>
          </cell>
          <cell r="J1945">
            <v>90</v>
          </cell>
          <cell r="K1945">
            <v>90</v>
          </cell>
          <cell r="L1945">
            <v>90</v>
          </cell>
          <cell r="N1945">
            <v>90</v>
          </cell>
          <cell r="O1945">
            <v>90</v>
          </cell>
          <cell r="P1945">
            <v>90</v>
          </cell>
          <cell r="Q1945">
            <v>90</v>
          </cell>
          <cell r="R1945">
            <v>90</v>
          </cell>
          <cell r="S1945">
            <v>90</v>
          </cell>
        </row>
        <row r="1946">
          <cell r="B1946" t="str">
            <v>CB5314107-001-003</v>
          </cell>
          <cell r="D1946" t="str">
            <v>F</v>
          </cell>
          <cell r="E1946" t="str">
            <v>程序时间</v>
          </cell>
          <cell r="G1946">
            <v>60</v>
          </cell>
          <cell r="H1946">
            <v>120</v>
          </cell>
          <cell r="I1946">
            <v>300</v>
          </cell>
          <cell r="J1946">
            <v>630</v>
          </cell>
          <cell r="K1946">
            <v>630</v>
          </cell>
          <cell r="L1946">
            <v>105</v>
          </cell>
          <cell r="N1946">
            <v>480</v>
          </cell>
          <cell r="O1946">
            <v>660</v>
          </cell>
          <cell r="P1946">
            <v>300</v>
          </cell>
          <cell r="Q1946">
            <v>200</v>
          </cell>
          <cell r="R1946">
            <v>1400</v>
          </cell>
          <cell r="S1946">
            <v>2500</v>
          </cell>
          <cell r="T1946">
            <v>1440</v>
          </cell>
          <cell r="U1946">
            <v>360</v>
          </cell>
        </row>
        <row r="1947">
          <cell r="B1947" t="str">
            <v>CB5314107-001-003</v>
          </cell>
          <cell r="D1947" t="str">
            <v>G</v>
          </cell>
          <cell r="E1947" t="str">
            <v>工序内容</v>
          </cell>
          <cell r="F1947" t="str">
            <v>0/领料</v>
          </cell>
          <cell r="G1947" t="str">
            <v>05/钳工</v>
          </cell>
          <cell r="H1947" t="str">
            <v>10/数铣</v>
          </cell>
          <cell r="I1947" t="str">
            <v>15/数铣260</v>
          </cell>
          <cell r="J1947" t="str">
            <v>20/数铣350</v>
          </cell>
          <cell r="K1947" t="str">
            <v>25/数铣500</v>
          </cell>
          <cell r="L1947" t="str">
            <v>30/数铣80</v>
          </cell>
          <cell r="M1947" t="str">
            <v>35/失效</v>
          </cell>
          <cell r="N1947" t="str">
            <v>40/数铣480</v>
          </cell>
          <cell r="O1947" t="str">
            <v>45/数铣650</v>
          </cell>
          <cell r="P1947" t="str">
            <v>50/数铣540</v>
          </cell>
          <cell r="Q1947" t="str">
            <v>55/数铣</v>
          </cell>
          <cell r="R1947" t="str">
            <v>60/五轴720</v>
          </cell>
          <cell r="S1947" t="str">
            <v>65/五轴1100</v>
          </cell>
          <cell r="T1947" t="str">
            <v>70/钳工</v>
          </cell>
          <cell r="U1947" t="str">
            <v>75/钳工</v>
          </cell>
          <cell r="V1947" t="str">
            <v>80/测量</v>
          </cell>
          <cell r="W1947" t="str">
            <v>85/清洁</v>
          </cell>
          <cell r="X1947" t="str">
            <v>90/成检</v>
          </cell>
        </row>
        <row r="1948">
          <cell r="B1948" t="str">
            <v>CB5314107-001-003</v>
          </cell>
          <cell r="D1948" t="str">
            <v>G</v>
          </cell>
          <cell r="E1948" t="str">
            <v>准备工时</v>
          </cell>
          <cell r="G1948">
            <v>60</v>
          </cell>
          <cell r="H1948">
            <v>120</v>
          </cell>
          <cell r="I1948">
            <v>120</v>
          </cell>
          <cell r="J1948">
            <v>120</v>
          </cell>
          <cell r="K1948">
            <v>120</v>
          </cell>
          <cell r="L1948">
            <v>120</v>
          </cell>
          <cell r="N1948">
            <v>120</v>
          </cell>
          <cell r="O1948">
            <v>120</v>
          </cell>
          <cell r="P1948">
            <v>120</v>
          </cell>
          <cell r="Q1948">
            <v>120</v>
          </cell>
          <cell r="R1948">
            <v>300</v>
          </cell>
          <cell r="S1948">
            <v>300</v>
          </cell>
        </row>
        <row r="1949">
          <cell r="B1949" t="str">
            <v>CB5314107-001-003</v>
          </cell>
          <cell r="D1949" t="str">
            <v>G</v>
          </cell>
          <cell r="E1949" t="str">
            <v>装夹时间</v>
          </cell>
          <cell r="H1949">
            <v>60</v>
          </cell>
          <cell r="I1949">
            <v>60</v>
          </cell>
          <cell r="J1949">
            <v>90</v>
          </cell>
          <cell r="K1949">
            <v>90</v>
          </cell>
          <cell r="L1949">
            <v>90</v>
          </cell>
          <cell r="N1949">
            <v>90</v>
          </cell>
          <cell r="O1949">
            <v>90</v>
          </cell>
          <cell r="P1949">
            <v>90</v>
          </cell>
          <cell r="Q1949">
            <v>90</v>
          </cell>
          <cell r="R1949">
            <v>90</v>
          </cell>
          <cell r="S1949">
            <v>90</v>
          </cell>
        </row>
        <row r="1950">
          <cell r="B1950" t="str">
            <v>CB5314107-001-003</v>
          </cell>
          <cell r="D1950" t="str">
            <v>G</v>
          </cell>
          <cell r="E1950" t="str">
            <v>程序时间</v>
          </cell>
          <cell r="G1950">
            <v>60</v>
          </cell>
          <cell r="H1950">
            <v>120</v>
          </cell>
          <cell r="I1950">
            <v>300</v>
          </cell>
          <cell r="J1950">
            <v>720</v>
          </cell>
          <cell r="K1950">
            <v>630</v>
          </cell>
          <cell r="L1950">
            <v>105</v>
          </cell>
          <cell r="N1950">
            <v>480</v>
          </cell>
          <cell r="O1950">
            <v>660</v>
          </cell>
          <cell r="P1950">
            <v>300</v>
          </cell>
          <cell r="Q1950">
            <v>200</v>
          </cell>
          <cell r="R1950">
            <v>1400</v>
          </cell>
          <cell r="S1950">
            <v>2500</v>
          </cell>
          <cell r="T1950">
            <v>1440</v>
          </cell>
          <cell r="U1950">
            <v>360</v>
          </cell>
        </row>
        <row r="1951">
          <cell r="B1951" t="str">
            <v>BC221T1AC-003-001</v>
          </cell>
          <cell r="D1951" t="str">
            <v>B</v>
          </cell>
          <cell r="E1951" t="str">
            <v>工序内容</v>
          </cell>
          <cell r="F1951" t="str">
            <v>0/领料</v>
          </cell>
          <cell r="G1951" t="str">
            <v>5下料</v>
          </cell>
          <cell r="H1951" t="str">
            <v>10/普车30</v>
          </cell>
          <cell r="I1951" t="str">
            <v>15/分光</v>
          </cell>
          <cell r="J1951" t="str">
            <v>20/热处理</v>
          </cell>
          <cell r="K1951" t="str">
            <v>25/车铣60</v>
          </cell>
          <cell r="L1951" t="str">
            <v>30/数车10</v>
          </cell>
          <cell r="M1951" t="str">
            <v>35/线切割</v>
          </cell>
          <cell r="N1951" t="str">
            <v>40钳工</v>
          </cell>
          <cell r="O1951" t="str">
            <v>45/清洁</v>
          </cell>
          <cell r="P1951" t="str">
            <v>50/成检</v>
          </cell>
        </row>
        <row r="1952">
          <cell r="B1952" t="str">
            <v>BC221T1AC-003-001</v>
          </cell>
          <cell r="D1952" t="str">
            <v>B</v>
          </cell>
          <cell r="E1952" t="str">
            <v>准备工时</v>
          </cell>
          <cell r="H1952">
            <v>60</v>
          </cell>
          <cell r="K1952">
            <v>150</v>
          </cell>
          <cell r="L1952">
            <v>90</v>
          </cell>
        </row>
        <row r="1953">
          <cell r="B1953" t="str">
            <v>BC221T1AC-003-001</v>
          </cell>
          <cell r="D1953" t="str">
            <v>B</v>
          </cell>
          <cell r="E1953" t="str">
            <v>装夹时间</v>
          </cell>
        </row>
        <row r="1954">
          <cell r="B1954" t="str">
            <v>BC221T1AC-003-001</v>
          </cell>
          <cell r="D1954" t="str">
            <v>B</v>
          </cell>
          <cell r="E1954" t="str">
            <v>程序时间</v>
          </cell>
          <cell r="H1954">
            <v>40</v>
          </cell>
          <cell r="K1954">
            <v>100</v>
          </cell>
          <cell r="L1954">
            <v>20</v>
          </cell>
          <cell r="N1954">
            <v>40</v>
          </cell>
        </row>
        <row r="1955">
          <cell r="B1955" t="str">
            <v>DD-J10-55181-6010-1</v>
          </cell>
          <cell r="D1955" t="str">
            <v>A</v>
          </cell>
          <cell r="E1955" t="str">
            <v>工序内容</v>
          </cell>
          <cell r="F1955" t="str">
            <v>0/领料</v>
          </cell>
          <cell r="G1955" t="str">
            <v>5/数铣</v>
          </cell>
          <cell r="H1955" t="str">
            <v>10/分光</v>
          </cell>
          <cell r="I1955" t="str">
            <v>15/清洗</v>
          </cell>
          <cell r="J1955" t="str">
            <v>20/热处理</v>
          </cell>
          <cell r="K1955" t="str">
            <v>25/硬度</v>
          </cell>
          <cell r="L1955" t="str">
            <v>30/数铣</v>
          </cell>
          <cell r="M1955" t="str">
            <v>35/数铣10</v>
          </cell>
          <cell r="N1955" t="str">
            <v>40/数铣5</v>
          </cell>
          <cell r="O1955" t="str">
            <v>45/数铣5</v>
          </cell>
          <cell r="P1955" t="str">
            <v>50/线切割</v>
          </cell>
          <cell r="Q1955" t="str">
            <v>55/数铣5</v>
          </cell>
          <cell r="R1955" t="str">
            <v>60/数铣</v>
          </cell>
          <cell r="S1955" t="str">
            <v>65/钳工</v>
          </cell>
          <cell r="T1955" t="str">
            <v>70/清洁</v>
          </cell>
          <cell r="U1955" t="str">
            <v>75/成检</v>
          </cell>
        </row>
        <row r="1956">
          <cell r="B1956" t="str">
            <v>DD-J10-55181-6010-1</v>
          </cell>
          <cell r="D1956" t="str">
            <v>A</v>
          </cell>
          <cell r="E1956" t="str">
            <v>准备工时</v>
          </cell>
          <cell r="G1956">
            <v>60</v>
          </cell>
          <cell r="L1956" t="str">
            <v>60</v>
          </cell>
          <cell r="M1956" t="str">
            <v>60</v>
          </cell>
          <cell r="N1956">
            <v>90</v>
          </cell>
          <cell r="O1956">
            <v>60</v>
          </cell>
          <cell r="Q1956">
            <v>60</v>
          </cell>
          <cell r="R1956">
            <v>60</v>
          </cell>
        </row>
        <row r="1957">
          <cell r="B1957" t="str">
            <v>DD-J10-55181-6010-1</v>
          </cell>
          <cell r="D1957" t="str">
            <v>A</v>
          </cell>
          <cell r="E1957" t="str">
            <v>装夹时间</v>
          </cell>
        </row>
        <row r="1958">
          <cell r="B1958" t="str">
            <v>DD-J10-55181-6010-1</v>
          </cell>
          <cell r="D1958" t="str">
            <v>A</v>
          </cell>
          <cell r="E1958" t="str">
            <v>程序时间</v>
          </cell>
          <cell r="G1958">
            <v>60</v>
          </cell>
          <cell r="L1958" t="str">
            <v>40</v>
          </cell>
          <cell r="M1958" t="str">
            <v>25</v>
          </cell>
          <cell r="N1958">
            <v>15</v>
          </cell>
          <cell r="O1958">
            <v>20</v>
          </cell>
          <cell r="Q1958">
            <v>20</v>
          </cell>
          <cell r="R1958">
            <v>10</v>
          </cell>
          <cell r="S1958">
            <v>15</v>
          </cell>
        </row>
        <row r="1959">
          <cell r="B1959" t="str">
            <v>DD-J10-55181-6010-2</v>
          </cell>
          <cell r="D1959" t="str">
            <v>A</v>
          </cell>
          <cell r="E1959" t="str">
            <v>工序内容</v>
          </cell>
          <cell r="F1959" t="str">
            <v>0/领料</v>
          </cell>
          <cell r="G1959" t="str">
            <v>5/数铣</v>
          </cell>
          <cell r="H1959" t="str">
            <v>10/分光</v>
          </cell>
          <cell r="I1959" t="str">
            <v>15/清洗</v>
          </cell>
          <cell r="J1959" t="str">
            <v>20/热处理</v>
          </cell>
          <cell r="K1959" t="str">
            <v>25/硬度</v>
          </cell>
          <cell r="L1959" t="str">
            <v>30/数铣</v>
          </cell>
          <cell r="M1959" t="str">
            <v>35/数铣10</v>
          </cell>
          <cell r="N1959" t="str">
            <v>40/数铣5</v>
          </cell>
          <cell r="O1959" t="str">
            <v>45/数铣5</v>
          </cell>
          <cell r="P1959" t="str">
            <v>50/线切割</v>
          </cell>
          <cell r="Q1959" t="str">
            <v>55/数铣5</v>
          </cell>
          <cell r="R1959" t="str">
            <v>60/数铣</v>
          </cell>
          <cell r="S1959" t="str">
            <v>65/钳工</v>
          </cell>
          <cell r="T1959" t="str">
            <v>70/清洁</v>
          </cell>
          <cell r="U1959" t="str">
            <v>75/成检</v>
          </cell>
        </row>
        <row r="1960">
          <cell r="B1960" t="str">
            <v>DD-J10-55181-6010-2</v>
          </cell>
          <cell r="D1960" t="str">
            <v>A</v>
          </cell>
          <cell r="E1960" t="str">
            <v>准备工时</v>
          </cell>
          <cell r="G1960">
            <v>60</v>
          </cell>
          <cell r="L1960" t="str">
            <v>60</v>
          </cell>
          <cell r="M1960" t="str">
            <v>60</v>
          </cell>
          <cell r="N1960">
            <v>90</v>
          </cell>
          <cell r="O1960">
            <v>60</v>
          </cell>
          <cell r="Q1960">
            <v>60</v>
          </cell>
          <cell r="R1960">
            <v>60</v>
          </cell>
        </row>
        <row r="1961">
          <cell r="B1961" t="str">
            <v>DD-J10-55181-6010-2</v>
          </cell>
          <cell r="D1961" t="str">
            <v>A</v>
          </cell>
          <cell r="E1961" t="str">
            <v>装夹时间</v>
          </cell>
        </row>
        <row r="1962">
          <cell r="B1962" t="str">
            <v>DD-J10-55181-6010-2</v>
          </cell>
          <cell r="D1962" t="str">
            <v>A</v>
          </cell>
          <cell r="E1962" t="str">
            <v>程序时间</v>
          </cell>
          <cell r="G1962">
            <v>60</v>
          </cell>
          <cell r="L1962" t="str">
            <v>40</v>
          </cell>
          <cell r="M1962" t="str">
            <v>25</v>
          </cell>
          <cell r="N1962">
            <v>15</v>
          </cell>
          <cell r="O1962">
            <v>20</v>
          </cell>
          <cell r="Q1962">
            <v>20</v>
          </cell>
          <cell r="R1962">
            <v>10</v>
          </cell>
          <cell r="S1962">
            <v>15</v>
          </cell>
        </row>
        <row r="1963">
          <cell r="B1963" t="str">
            <v>BC5836011-001-001</v>
          </cell>
          <cell r="D1963" t="str">
            <v>A</v>
          </cell>
          <cell r="E1963" t="str">
            <v>工序内容</v>
          </cell>
          <cell r="F1963" t="str">
            <v>0/领料</v>
          </cell>
          <cell r="G1963" t="str">
            <v>05铣四方</v>
          </cell>
          <cell r="H1963" t="str">
            <v>10钳毛刺</v>
          </cell>
          <cell r="I1963" t="str">
            <v>15超声波</v>
          </cell>
          <cell r="J1963" t="str">
            <v>20数铣140</v>
          </cell>
          <cell r="K1963" t="str">
            <v>25钳装配</v>
          </cell>
          <cell r="L1963" t="str">
            <v>30数铣120</v>
          </cell>
          <cell r="M1963" t="str">
            <v>35数铣50</v>
          </cell>
          <cell r="N1963" t="str">
            <v>40数车20</v>
          </cell>
          <cell r="O1963" t="str">
            <v>45数车10</v>
          </cell>
          <cell r="P1963" t="str">
            <v>50线切割</v>
          </cell>
          <cell r="Q1963" t="str">
            <v>55数铣</v>
          </cell>
          <cell r="R1963" t="str">
            <v>60钳工</v>
          </cell>
          <cell r="S1963" t="str">
            <v>65分光</v>
          </cell>
          <cell r="T1963" t="str">
            <v>70硬度</v>
          </cell>
          <cell r="U1963" t="str">
            <v>75钳工</v>
          </cell>
          <cell r="V1963" t="str">
            <v>80清洁</v>
          </cell>
          <cell r="W1963" t="str">
            <v>85测量</v>
          </cell>
          <cell r="X1963" t="str">
            <v>90成检</v>
          </cell>
        </row>
        <row r="1964">
          <cell r="B1964" t="str">
            <v>BC5836011-001-001</v>
          </cell>
          <cell r="D1964" t="str">
            <v>A</v>
          </cell>
          <cell r="E1964" t="str">
            <v>准备工时</v>
          </cell>
          <cell r="G1964">
            <v>60</v>
          </cell>
          <cell r="J1964">
            <v>90</v>
          </cell>
          <cell r="L1964">
            <v>120</v>
          </cell>
          <cell r="M1964">
            <v>90</v>
          </cell>
          <cell r="N1964">
            <v>150</v>
          </cell>
          <cell r="O1964">
            <v>150</v>
          </cell>
          <cell r="Q1964">
            <v>60</v>
          </cell>
        </row>
        <row r="1965">
          <cell r="B1965" t="str">
            <v>BC5836011-001-001</v>
          </cell>
          <cell r="D1965" t="str">
            <v>A</v>
          </cell>
          <cell r="E1965" t="str">
            <v>装夹时间</v>
          </cell>
        </row>
        <row r="1966">
          <cell r="B1966" t="str">
            <v>BC5836011-001-001</v>
          </cell>
          <cell r="D1966" t="str">
            <v>A</v>
          </cell>
          <cell r="E1966" t="str">
            <v>程序时间</v>
          </cell>
          <cell r="G1966">
            <v>40</v>
          </cell>
          <cell r="H1966">
            <v>10</v>
          </cell>
          <cell r="J1966">
            <v>60</v>
          </cell>
          <cell r="K1966">
            <v>10</v>
          </cell>
          <cell r="L1966">
            <v>100</v>
          </cell>
          <cell r="M1966">
            <v>34</v>
          </cell>
          <cell r="N1966">
            <v>35</v>
          </cell>
          <cell r="O1966">
            <v>20</v>
          </cell>
          <cell r="Q1966">
            <v>25</v>
          </cell>
          <cell r="R1966">
            <v>100</v>
          </cell>
          <cell r="U1966">
            <v>5</v>
          </cell>
        </row>
        <row r="1967">
          <cell r="B1967" t="str">
            <v>521A1200-007-001</v>
          </cell>
          <cell r="D1967" t="str">
            <v>B</v>
          </cell>
          <cell r="E1967" t="str">
            <v>工序内容</v>
          </cell>
          <cell r="F1967" t="str">
            <v>05/下料</v>
          </cell>
          <cell r="G1967" t="str">
            <v>05/数铣</v>
          </cell>
          <cell r="H1967" t="str">
            <v>10/数铣15</v>
          </cell>
          <cell r="I1967" t="str">
            <v>15/数铣60</v>
          </cell>
          <cell r="J1967" t="str">
            <v>20/数铣10</v>
          </cell>
          <cell r="K1967" t="str">
            <v>25/数铣5</v>
          </cell>
          <cell r="L1967" t="str">
            <v>30/数铣5</v>
          </cell>
          <cell r="M1967" t="str">
            <v>35/测量</v>
          </cell>
          <cell r="N1967" t="str">
            <v>40/钳工</v>
          </cell>
          <cell r="O1967" t="str">
            <v>45/清洁</v>
          </cell>
          <cell r="P1967" t="str">
            <v>50/成检</v>
          </cell>
        </row>
        <row r="1968">
          <cell r="B1968" t="str">
            <v>521A1200-007-001</v>
          </cell>
          <cell r="D1968" t="str">
            <v>B</v>
          </cell>
          <cell r="E1968" t="str">
            <v>准备工时</v>
          </cell>
          <cell r="G1968">
            <v>60</v>
          </cell>
          <cell r="H1968">
            <v>60</v>
          </cell>
          <cell r="I1968">
            <v>60</v>
          </cell>
          <cell r="J1968">
            <v>90</v>
          </cell>
          <cell r="K1968">
            <v>60</v>
          </cell>
          <cell r="L1968">
            <v>60</v>
          </cell>
        </row>
        <row r="1969">
          <cell r="B1969" t="str">
            <v>521A1200-007-001</v>
          </cell>
          <cell r="D1969" t="str">
            <v>B</v>
          </cell>
          <cell r="E1969" t="str">
            <v>装夹时间</v>
          </cell>
          <cell r="J1969">
            <v>60</v>
          </cell>
        </row>
        <row r="1970">
          <cell r="B1970" t="str">
            <v>521A1200-007-001</v>
          </cell>
          <cell r="D1970" t="str">
            <v>B</v>
          </cell>
          <cell r="E1970" t="str">
            <v>程序时间</v>
          </cell>
          <cell r="G1970">
            <v>30</v>
          </cell>
          <cell r="H1970">
            <v>35</v>
          </cell>
          <cell r="I1970">
            <v>90</v>
          </cell>
          <cell r="J1970">
            <v>60</v>
          </cell>
          <cell r="K1970">
            <v>20</v>
          </cell>
          <cell r="L1970">
            <v>20</v>
          </cell>
          <cell r="N1970">
            <v>25</v>
          </cell>
        </row>
        <row r="1971">
          <cell r="B1971" t="str">
            <v>CB5327120-003L006</v>
          </cell>
          <cell r="D1971" t="str">
            <v>F</v>
          </cell>
          <cell r="E1971" t="str">
            <v>工序内容</v>
          </cell>
          <cell r="F1971" t="str">
            <v>0/领料</v>
          </cell>
          <cell r="G1971" t="str">
            <v>5/钳工</v>
          </cell>
          <cell r="H1971" t="str">
            <v>10/数铣</v>
          </cell>
          <cell r="I1971" t="str">
            <v>15/数铣90</v>
          </cell>
          <cell r="J1971" t="str">
            <v>20/数铣720</v>
          </cell>
          <cell r="K1971" t="str">
            <v>25/数铣360</v>
          </cell>
          <cell r="L1971" t="str">
            <v>30/数铣</v>
          </cell>
          <cell r="M1971" t="str">
            <v>35/数铣15</v>
          </cell>
          <cell r="N1971" t="str">
            <v>40/数铣450</v>
          </cell>
          <cell r="O1971" t="str">
            <v>45/数铣520</v>
          </cell>
          <cell r="P1971" t="str">
            <v>50/五轴60</v>
          </cell>
          <cell r="Q1971" t="str">
            <v>55/钳工</v>
          </cell>
          <cell r="R1971" t="str">
            <v>60/五轴180</v>
          </cell>
          <cell r="S1971" t="str">
            <v>65/测量</v>
          </cell>
          <cell r="T1971" t="str">
            <v>70/数铣40</v>
          </cell>
          <cell r="U1971" t="str">
            <v>75/钳工</v>
          </cell>
          <cell r="V1971" t="str">
            <v>80/测量</v>
          </cell>
          <cell r="W1971" t="str">
            <v>85/数铣</v>
          </cell>
          <cell r="X1971" t="str">
            <v>90/清洁</v>
          </cell>
          <cell r="Y1971" t="str">
            <v>95/成检</v>
          </cell>
          <cell r="Z1971" t="str">
            <v>95/成检</v>
          </cell>
        </row>
        <row r="1972">
          <cell r="B1972" t="str">
            <v>CB5327120-003L006</v>
          </cell>
          <cell r="D1972" t="str">
            <v>F</v>
          </cell>
          <cell r="E1972" t="str">
            <v>准备工时</v>
          </cell>
          <cell r="G1972">
            <v>60</v>
          </cell>
          <cell r="H1972">
            <v>60</v>
          </cell>
          <cell r="I1972">
            <v>60</v>
          </cell>
          <cell r="J1972">
            <v>60</v>
          </cell>
          <cell r="K1972">
            <v>60</v>
          </cell>
          <cell r="L1972">
            <v>60</v>
          </cell>
          <cell r="M1972">
            <v>60</v>
          </cell>
          <cell r="N1972">
            <v>60</v>
          </cell>
          <cell r="O1972">
            <v>60</v>
          </cell>
          <cell r="P1972">
            <v>120</v>
          </cell>
          <cell r="R1972">
            <v>120</v>
          </cell>
          <cell r="T1972">
            <v>60</v>
          </cell>
        </row>
        <row r="1973">
          <cell r="B1973" t="str">
            <v>CB5327120-003L006</v>
          </cell>
          <cell r="D1973" t="str">
            <v>F</v>
          </cell>
          <cell r="E1973" t="str">
            <v>装夹时间</v>
          </cell>
          <cell r="H1973">
            <v>60</v>
          </cell>
          <cell r="I1973">
            <v>60</v>
          </cell>
          <cell r="J1973">
            <v>60</v>
          </cell>
          <cell r="K1973">
            <v>60</v>
          </cell>
          <cell r="L1973">
            <v>60</v>
          </cell>
          <cell r="M1973">
            <v>60</v>
          </cell>
          <cell r="N1973">
            <v>60</v>
          </cell>
          <cell r="O1973">
            <v>60</v>
          </cell>
          <cell r="P1973">
            <v>60</v>
          </cell>
          <cell r="R1973">
            <v>60</v>
          </cell>
          <cell r="T1973">
            <v>60</v>
          </cell>
        </row>
        <row r="1974">
          <cell r="B1974" t="str">
            <v>CB5327120-003L006</v>
          </cell>
          <cell r="D1974" t="str">
            <v>F</v>
          </cell>
          <cell r="E1974" t="str">
            <v>程序时间</v>
          </cell>
          <cell r="G1974">
            <v>80</v>
          </cell>
          <cell r="H1974">
            <v>90</v>
          </cell>
          <cell r="I1974">
            <v>240</v>
          </cell>
          <cell r="J1974">
            <v>800</v>
          </cell>
          <cell r="K1974">
            <v>430</v>
          </cell>
          <cell r="L1974">
            <v>90</v>
          </cell>
          <cell r="M1974">
            <v>30</v>
          </cell>
          <cell r="N1974">
            <v>550</v>
          </cell>
          <cell r="O1974">
            <v>1080</v>
          </cell>
          <cell r="P1974">
            <v>150</v>
          </cell>
          <cell r="Q1974">
            <v>120</v>
          </cell>
          <cell r="R1974">
            <v>720</v>
          </cell>
          <cell r="T1974">
            <v>60</v>
          </cell>
          <cell r="U1974">
            <v>600</v>
          </cell>
        </row>
        <row r="1975">
          <cell r="B1975" t="str">
            <v>CB5327120-003R006</v>
          </cell>
          <cell r="D1975" t="str">
            <v>F</v>
          </cell>
          <cell r="E1975" t="str">
            <v>工序内容</v>
          </cell>
          <cell r="F1975" t="str">
            <v>0/领料</v>
          </cell>
          <cell r="G1975" t="str">
            <v>5/钳工</v>
          </cell>
          <cell r="H1975" t="str">
            <v>10/数铣</v>
          </cell>
          <cell r="I1975" t="str">
            <v>15/数铣90</v>
          </cell>
          <cell r="J1975" t="str">
            <v>20/数铣720</v>
          </cell>
          <cell r="K1975" t="str">
            <v>25/数铣360</v>
          </cell>
          <cell r="L1975" t="str">
            <v>30/数铣</v>
          </cell>
          <cell r="M1975" t="str">
            <v>35/数铣15</v>
          </cell>
          <cell r="N1975" t="str">
            <v>40/数铣450</v>
          </cell>
          <cell r="O1975" t="str">
            <v>45/数铣520</v>
          </cell>
          <cell r="P1975" t="str">
            <v>50/五轴60</v>
          </cell>
          <cell r="Q1975" t="str">
            <v>55/钳工</v>
          </cell>
          <cell r="R1975" t="str">
            <v>60/五轴180</v>
          </cell>
          <cell r="S1975" t="str">
            <v>65/测量</v>
          </cell>
          <cell r="T1975" t="str">
            <v>70/数铣40</v>
          </cell>
          <cell r="U1975" t="str">
            <v>75/钳工</v>
          </cell>
          <cell r="V1975" t="str">
            <v>80/测量</v>
          </cell>
          <cell r="W1975" t="str">
            <v>85/数铣</v>
          </cell>
          <cell r="X1975" t="str">
            <v>90/清洁</v>
          </cell>
          <cell r="Y1975" t="str">
            <v>95/成检</v>
          </cell>
          <cell r="Z1975" t="str">
            <v>95/成检</v>
          </cell>
        </row>
        <row r="1976">
          <cell r="B1976" t="str">
            <v>CB5327120-003R006</v>
          </cell>
          <cell r="D1976" t="str">
            <v>F</v>
          </cell>
          <cell r="E1976" t="str">
            <v>准备工时</v>
          </cell>
          <cell r="G1976">
            <v>60</v>
          </cell>
          <cell r="H1976">
            <v>60</v>
          </cell>
          <cell r="I1976">
            <v>60</v>
          </cell>
          <cell r="J1976">
            <v>60</v>
          </cell>
          <cell r="K1976">
            <v>60</v>
          </cell>
          <cell r="L1976">
            <v>60</v>
          </cell>
          <cell r="M1976">
            <v>60</v>
          </cell>
          <cell r="N1976">
            <v>60</v>
          </cell>
          <cell r="O1976">
            <v>60</v>
          </cell>
          <cell r="P1976">
            <v>120</v>
          </cell>
          <cell r="R1976">
            <v>120</v>
          </cell>
          <cell r="T1976">
            <v>60</v>
          </cell>
        </row>
        <row r="1977">
          <cell r="B1977" t="str">
            <v>CB5327120-003R006</v>
          </cell>
          <cell r="D1977" t="str">
            <v>F</v>
          </cell>
          <cell r="E1977" t="str">
            <v>装夹时间</v>
          </cell>
          <cell r="H1977">
            <v>60</v>
          </cell>
          <cell r="I1977">
            <v>60</v>
          </cell>
          <cell r="J1977">
            <v>60</v>
          </cell>
          <cell r="K1977">
            <v>60</v>
          </cell>
          <cell r="L1977">
            <v>60</v>
          </cell>
          <cell r="M1977">
            <v>60</v>
          </cell>
          <cell r="N1977">
            <v>60</v>
          </cell>
          <cell r="O1977">
            <v>60</v>
          </cell>
          <cell r="P1977">
            <v>60</v>
          </cell>
          <cell r="R1977">
            <v>60</v>
          </cell>
          <cell r="T1977">
            <v>60</v>
          </cell>
        </row>
        <row r="1978">
          <cell r="B1978" t="str">
            <v>CB5327120-003R006</v>
          </cell>
          <cell r="D1978" t="str">
            <v>F</v>
          </cell>
          <cell r="E1978" t="str">
            <v>程序时间</v>
          </cell>
          <cell r="G1978">
            <v>80</v>
          </cell>
          <cell r="H1978">
            <v>90</v>
          </cell>
          <cell r="I1978">
            <v>150</v>
          </cell>
          <cell r="J1978">
            <v>800</v>
          </cell>
          <cell r="K1978">
            <v>430</v>
          </cell>
          <cell r="L1978">
            <v>90</v>
          </cell>
          <cell r="M1978">
            <v>30</v>
          </cell>
          <cell r="N1978">
            <v>550</v>
          </cell>
          <cell r="O1978">
            <v>1080</v>
          </cell>
          <cell r="P1978">
            <v>150</v>
          </cell>
          <cell r="Q1978">
            <v>120</v>
          </cell>
          <cell r="R1978">
            <v>720</v>
          </cell>
          <cell r="T1978">
            <v>60</v>
          </cell>
          <cell r="U1978">
            <v>600</v>
          </cell>
        </row>
        <row r="1979">
          <cell r="B1979" t="str">
            <v>CB229B412-003-001</v>
          </cell>
          <cell r="D1979" t="str">
            <v>B</v>
          </cell>
          <cell r="E1979" t="str">
            <v>工序内容</v>
          </cell>
          <cell r="F1979" t="str">
            <v>0/领料</v>
          </cell>
          <cell r="G1979" t="str">
            <v>05/数铣</v>
          </cell>
          <cell r="H1979" t="str">
            <v>10/分光</v>
          </cell>
          <cell r="I1979" t="str">
            <v>15/热处理</v>
          </cell>
          <cell r="J1979" t="str">
            <v>20/硬度</v>
          </cell>
          <cell r="K1979" t="str">
            <v>25/数铣</v>
          </cell>
          <cell r="L1979" t="str">
            <v>30/数铣</v>
          </cell>
          <cell r="M1979" t="str">
            <v>35/数铣</v>
          </cell>
          <cell r="N1979" t="str">
            <v>40/数铣</v>
          </cell>
          <cell r="O1979" t="str">
            <v>45/线切割</v>
          </cell>
          <cell r="P1979" t="str">
            <v>50/数铣</v>
          </cell>
          <cell r="Q1979" t="str">
            <v>55/数铣</v>
          </cell>
          <cell r="R1979" t="str">
            <v>60/钳工</v>
          </cell>
          <cell r="S1979" t="str">
            <v>65/清洁</v>
          </cell>
          <cell r="T1979" t="str">
            <v>70/成检</v>
          </cell>
          <cell r="U1979" t="str">
            <v>70/成检</v>
          </cell>
        </row>
        <row r="1980">
          <cell r="B1980" t="str">
            <v>CB229B412-003-001</v>
          </cell>
          <cell r="D1980" t="str">
            <v>B</v>
          </cell>
          <cell r="E1980" t="str">
            <v>准备工时</v>
          </cell>
          <cell r="G1980">
            <v>60</v>
          </cell>
          <cell r="K1980">
            <v>60</v>
          </cell>
          <cell r="L1980">
            <v>60</v>
          </cell>
          <cell r="M1980">
            <v>60</v>
          </cell>
          <cell r="N1980">
            <v>60</v>
          </cell>
          <cell r="P1980">
            <v>60</v>
          </cell>
          <cell r="Q1980">
            <v>120</v>
          </cell>
        </row>
        <row r="1981">
          <cell r="B1981" t="str">
            <v>CB229B412-003-001</v>
          </cell>
          <cell r="D1981" t="str">
            <v>B</v>
          </cell>
          <cell r="E1981" t="str">
            <v>装夹时间</v>
          </cell>
        </row>
        <row r="1982">
          <cell r="B1982" t="str">
            <v>CB229B412-003-001</v>
          </cell>
          <cell r="D1982" t="str">
            <v>B</v>
          </cell>
          <cell r="E1982" t="str">
            <v>程序时间</v>
          </cell>
          <cell r="G1982">
            <v>30</v>
          </cell>
          <cell r="K1982">
            <v>40</v>
          </cell>
          <cell r="L1982">
            <v>20</v>
          </cell>
          <cell r="M1982">
            <v>15</v>
          </cell>
          <cell r="N1982">
            <v>20</v>
          </cell>
          <cell r="P1982">
            <v>15</v>
          </cell>
          <cell r="Q1982">
            <v>20</v>
          </cell>
          <cell r="R1982">
            <v>20</v>
          </cell>
        </row>
        <row r="1983">
          <cell r="B1983" t="str">
            <v>CB22987C0-002-001</v>
          </cell>
          <cell r="D1983" t="str">
            <v>B</v>
          </cell>
          <cell r="E1983" t="str">
            <v>工序内容</v>
          </cell>
          <cell r="F1983" t="str">
            <v>0/领料</v>
          </cell>
          <cell r="G1983" t="str">
            <v>05/下料</v>
          </cell>
          <cell r="H1983" t="str">
            <v>10/数车</v>
          </cell>
          <cell r="I1983" t="str">
            <v>15/钳工</v>
          </cell>
          <cell r="J1983" t="str">
            <v>20/分光</v>
          </cell>
          <cell r="K1983" t="str">
            <v>25/硬度</v>
          </cell>
          <cell r="L1983" t="str">
            <v>30/数铣</v>
          </cell>
          <cell r="M1983" t="str">
            <v>35/数铣</v>
          </cell>
          <cell r="N1983" t="str">
            <v>40/数铣</v>
          </cell>
          <cell r="O1983" t="str">
            <v>45/数铣</v>
          </cell>
          <cell r="P1983" t="str">
            <v>50/数铣</v>
          </cell>
          <cell r="Q1983" t="str">
            <v>55/数铣</v>
          </cell>
          <cell r="R1983" t="str">
            <v>60/钳工</v>
          </cell>
          <cell r="S1983" t="str">
            <v>65/清洁</v>
          </cell>
          <cell r="T1983" t="str">
            <v>70/成检</v>
          </cell>
        </row>
        <row r="1984">
          <cell r="B1984" t="str">
            <v>CB22987C0-002-001</v>
          </cell>
          <cell r="D1984" t="str">
            <v>B</v>
          </cell>
          <cell r="E1984" t="str">
            <v>准备工时</v>
          </cell>
          <cell r="H1984">
            <v>60</v>
          </cell>
          <cell r="L1984">
            <v>60</v>
          </cell>
          <cell r="M1984">
            <v>60</v>
          </cell>
          <cell r="N1984">
            <v>60</v>
          </cell>
          <cell r="O1984">
            <v>60</v>
          </cell>
          <cell r="P1984">
            <v>60</v>
          </cell>
          <cell r="Q1984">
            <v>60</v>
          </cell>
        </row>
        <row r="1985">
          <cell r="B1985" t="str">
            <v>CB22987C0-002-001</v>
          </cell>
          <cell r="D1985" t="str">
            <v>B</v>
          </cell>
          <cell r="E1985" t="str">
            <v>装夹时间</v>
          </cell>
        </row>
        <row r="1986">
          <cell r="B1986" t="str">
            <v>CB22987C0-002-001</v>
          </cell>
          <cell r="D1986" t="str">
            <v>B</v>
          </cell>
          <cell r="E1986" t="str">
            <v>程序时间</v>
          </cell>
          <cell r="G1986">
            <v>5</v>
          </cell>
          <cell r="H1986">
            <v>5</v>
          </cell>
          <cell r="I1986">
            <v>15</v>
          </cell>
          <cell r="L1986">
            <v>15</v>
          </cell>
          <cell r="M1986">
            <v>35</v>
          </cell>
          <cell r="N1986">
            <v>15</v>
          </cell>
          <cell r="O1986">
            <v>15</v>
          </cell>
          <cell r="P1986">
            <v>15</v>
          </cell>
          <cell r="Q1986">
            <v>30</v>
          </cell>
          <cell r="R1986">
            <v>20</v>
          </cell>
        </row>
        <row r="1987">
          <cell r="B1987" t="str">
            <v>CB22987E0-002-001</v>
          </cell>
          <cell r="D1987" t="str">
            <v>B</v>
          </cell>
          <cell r="E1987" t="str">
            <v>工序内容</v>
          </cell>
          <cell r="F1987" t="str">
            <v>0/领料</v>
          </cell>
          <cell r="G1987" t="str">
            <v>05/下料</v>
          </cell>
          <cell r="H1987" t="str">
            <v>10/数车</v>
          </cell>
          <cell r="I1987" t="str">
            <v>15/钳工</v>
          </cell>
          <cell r="J1987" t="str">
            <v>20/分光</v>
          </cell>
          <cell r="K1987" t="str">
            <v>25/硬度</v>
          </cell>
          <cell r="L1987" t="str">
            <v>30/数铣</v>
          </cell>
          <cell r="M1987" t="str">
            <v>35/数铣</v>
          </cell>
          <cell r="N1987" t="str">
            <v>40/数铣</v>
          </cell>
          <cell r="O1987" t="str">
            <v>45/数铣</v>
          </cell>
          <cell r="P1987" t="str">
            <v>50/数铣</v>
          </cell>
          <cell r="Q1987" t="str">
            <v>55/数铣</v>
          </cell>
          <cell r="R1987" t="str">
            <v>60/钳工</v>
          </cell>
          <cell r="S1987" t="str">
            <v>65/清洁</v>
          </cell>
        </row>
        <row r="1988">
          <cell r="B1988" t="str">
            <v>CB22987E0-002-001</v>
          </cell>
          <cell r="D1988" t="str">
            <v>B</v>
          </cell>
          <cell r="E1988" t="str">
            <v>准备工时</v>
          </cell>
          <cell r="H1988">
            <v>60</v>
          </cell>
          <cell r="L1988">
            <v>60</v>
          </cell>
          <cell r="M1988">
            <v>60</v>
          </cell>
          <cell r="N1988">
            <v>60</v>
          </cell>
          <cell r="O1988">
            <v>60</v>
          </cell>
          <cell r="P1988">
            <v>60</v>
          </cell>
          <cell r="Q1988">
            <v>60</v>
          </cell>
        </row>
        <row r="1989">
          <cell r="B1989" t="str">
            <v>CB22987E0-002-001</v>
          </cell>
          <cell r="D1989" t="str">
            <v>B</v>
          </cell>
          <cell r="E1989" t="str">
            <v>装夹时间</v>
          </cell>
        </row>
        <row r="1990">
          <cell r="B1990" t="str">
            <v>CB22987E0-002-001</v>
          </cell>
          <cell r="D1990" t="str">
            <v>B</v>
          </cell>
          <cell r="E1990" t="str">
            <v>程序时间</v>
          </cell>
          <cell r="G1990">
            <v>5</v>
          </cell>
          <cell r="H1990">
            <v>10</v>
          </cell>
          <cell r="I1990">
            <v>15</v>
          </cell>
          <cell r="L1990">
            <v>15</v>
          </cell>
          <cell r="M1990">
            <v>30</v>
          </cell>
          <cell r="N1990">
            <v>15</v>
          </cell>
          <cell r="O1990">
            <v>15</v>
          </cell>
          <cell r="P1990">
            <v>15</v>
          </cell>
          <cell r="Q1990">
            <v>30</v>
          </cell>
          <cell r="R1990">
            <v>20</v>
          </cell>
        </row>
        <row r="1991">
          <cell r="B1991" t="str">
            <v>CB22877HD-001-001</v>
          </cell>
          <cell r="D1991" t="str">
            <v>B</v>
          </cell>
          <cell r="E1991" t="str">
            <v>工序内容</v>
          </cell>
          <cell r="F1991" t="str">
            <v>0/领料</v>
          </cell>
          <cell r="G1991" t="str">
            <v>5/数车20</v>
          </cell>
          <cell r="H1991" t="str">
            <v>10/分光</v>
          </cell>
          <cell r="I1991" t="str">
            <v>15/硬度</v>
          </cell>
          <cell r="J1991" t="str">
            <v>20/检验</v>
          </cell>
          <cell r="K1991" t="str">
            <v>25/数车20</v>
          </cell>
          <cell r="L1991" t="str">
            <v>30/数铣5</v>
          </cell>
          <cell r="M1991" t="str">
            <v>35/穿孔</v>
          </cell>
          <cell r="N1991" t="str">
            <v>40/钳工</v>
          </cell>
          <cell r="O1991" t="str">
            <v>45/清洁</v>
          </cell>
          <cell r="P1991" t="str">
            <v>50/成检</v>
          </cell>
        </row>
        <row r="1992">
          <cell r="B1992" t="str">
            <v>CB22877HD-001-001</v>
          </cell>
          <cell r="D1992" t="str">
            <v>B</v>
          </cell>
          <cell r="E1992" t="str">
            <v>准备工时</v>
          </cell>
          <cell r="G1992">
            <v>90</v>
          </cell>
          <cell r="K1992">
            <v>90</v>
          </cell>
          <cell r="L1992">
            <v>60</v>
          </cell>
        </row>
        <row r="1993">
          <cell r="B1993" t="str">
            <v>CB22877HD-001-001</v>
          </cell>
          <cell r="D1993" t="str">
            <v>B</v>
          </cell>
          <cell r="E1993" t="str">
            <v>装夹时间</v>
          </cell>
        </row>
        <row r="1994">
          <cell r="B1994" t="str">
            <v>CB22877HD-001-001</v>
          </cell>
          <cell r="D1994" t="str">
            <v>B</v>
          </cell>
          <cell r="E1994" t="str">
            <v>程序时间</v>
          </cell>
          <cell r="G1994">
            <v>30</v>
          </cell>
          <cell r="K1994">
            <v>45</v>
          </cell>
          <cell r="L1994">
            <v>25</v>
          </cell>
          <cell r="M1994">
            <v>20</v>
          </cell>
          <cell r="N1994">
            <v>25</v>
          </cell>
        </row>
        <row r="1995">
          <cell r="B1995" t="str">
            <v>CB3014940-001-002</v>
          </cell>
          <cell r="D1995" t="str">
            <v>B</v>
          </cell>
          <cell r="E1995" t="str">
            <v>工序内容</v>
          </cell>
          <cell r="F1995" t="str">
            <v>0/领料</v>
          </cell>
          <cell r="G1995" t="str">
            <v>05/数铣</v>
          </cell>
          <cell r="H1995" t="str">
            <v>10/数铣20</v>
          </cell>
          <cell r="I1995" t="str">
            <v>15/数铣80</v>
          </cell>
          <cell r="J1995" t="str">
            <v>20/数铣320</v>
          </cell>
          <cell r="K1995" t="str">
            <v>25/测量</v>
          </cell>
          <cell r="L1995" t="str">
            <v>30/钳工</v>
          </cell>
          <cell r="M1995" t="str">
            <v>35/钳工</v>
          </cell>
          <cell r="N1995" t="str">
            <v>40/清洗</v>
          </cell>
        </row>
        <row r="1996">
          <cell r="B1996" t="str">
            <v>CB3014940-001-002</v>
          </cell>
          <cell r="D1996" t="str">
            <v>B</v>
          </cell>
          <cell r="E1996" t="str">
            <v>准备工时</v>
          </cell>
          <cell r="G1996">
            <v>60</v>
          </cell>
          <cell r="H1996">
            <v>60</v>
          </cell>
          <cell r="I1996">
            <v>60</v>
          </cell>
          <cell r="J1996">
            <v>60</v>
          </cell>
        </row>
        <row r="1997">
          <cell r="B1997" t="str">
            <v>CB3014940-001-002</v>
          </cell>
          <cell r="D1997" t="str">
            <v>B</v>
          </cell>
          <cell r="E1997" t="str">
            <v>装夹时间</v>
          </cell>
          <cell r="I1997">
            <v>30</v>
          </cell>
        </row>
        <row r="1998">
          <cell r="B1998" t="str">
            <v>CB3014940-001-002</v>
          </cell>
          <cell r="D1998" t="str">
            <v>B</v>
          </cell>
          <cell r="E1998" t="str">
            <v>程序时间</v>
          </cell>
          <cell r="G1998">
            <v>150</v>
          </cell>
          <cell r="H1998">
            <v>60</v>
          </cell>
          <cell r="I1998">
            <v>120</v>
          </cell>
          <cell r="J1998">
            <v>500</v>
          </cell>
          <cell r="L1998">
            <v>270</v>
          </cell>
          <cell r="M1998">
            <v>20</v>
          </cell>
        </row>
        <row r="1999">
          <cell r="B1999" t="str">
            <v>CB3092441-001-001</v>
          </cell>
          <cell r="D1999" t="str">
            <v>D</v>
          </cell>
          <cell r="E1999" t="str">
            <v>工序内容</v>
          </cell>
          <cell r="F1999" t="str">
            <v>0/领料</v>
          </cell>
          <cell r="G1999" t="str">
            <v>05/数铣</v>
          </cell>
          <cell r="H1999" t="str">
            <v>10/分光</v>
          </cell>
          <cell r="I1999" t="str">
            <v>15/硬度</v>
          </cell>
          <cell r="J1999" t="str">
            <v>20/数铣25</v>
          </cell>
          <cell r="K1999" t="str">
            <v>25/线切割</v>
          </cell>
          <cell r="L1999" t="str">
            <v>30/数铣</v>
          </cell>
          <cell r="M1999" t="str">
            <v>35/钳工</v>
          </cell>
          <cell r="N1999" t="str">
            <v>40/清洁</v>
          </cell>
          <cell r="O1999" t="str">
            <v>45/成检</v>
          </cell>
          <cell r="P1999" t="str">
            <v>45/成检</v>
          </cell>
        </row>
        <row r="2000">
          <cell r="B2000" t="str">
            <v>CB3092441-001-001</v>
          </cell>
          <cell r="D2000" t="str">
            <v>D</v>
          </cell>
          <cell r="E2000" t="str">
            <v>准备工时</v>
          </cell>
          <cell r="G2000">
            <v>60</v>
          </cell>
          <cell r="J2000">
            <v>60</v>
          </cell>
          <cell r="L2000">
            <v>60</v>
          </cell>
        </row>
        <row r="2001">
          <cell r="B2001" t="str">
            <v>CB3092441-001-001</v>
          </cell>
          <cell r="D2001" t="str">
            <v>D</v>
          </cell>
          <cell r="E2001" t="str">
            <v>装夹时间</v>
          </cell>
        </row>
        <row r="2002">
          <cell r="B2002" t="str">
            <v>CB3092441-001-001</v>
          </cell>
          <cell r="D2002" t="str">
            <v>D</v>
          </cell>
          <cell r="E2002" t="str">
            <v>程序时间</v>
          </cell>
          <cell r="G2002">
            <v>40</v>
          </cell>
          <cell r="J2002">
            <v>60</v>
          </cell>
          <cell r="L2002">
            <v>25</v>
          </cell>
          <cell r="M2002">
            <v>25</v>
          </cell>
        </row>
        <row r="2003">
          <cell r="B2003" t="str">
            <v>DD-J10-61001-7001</v>
          </cell>
          <cell r="D2003" t="str">
            <v>B</v>
          </cell>
          <cell r="E2003" t="str">
            <v>工序内容</v>
          </cell>
          <cell r="F2003" t="str">
            <v>0/领料</v>
          </cell>
          <cell r="G2003" t="str">
            <v>05/数车30</v>
          </cell>
          <cell r="H2003" t="str">
            <v>10/数车10</v>
          </cell>
          <cell r="I2003" t="str">
            <v>15/分光</v>
          </cell>
          <cell r="J2003" t="str">
            <v>20/硬度</v>
          </cell>
          <cell r="K2003" t="str">
            <v>25/</v>
          </cell>
          <cell r="L2003" t="str">
            <v>30/车铣35</v>
          </cell>
          <cell r="M2003" t="str">
            <v>35/钳工</v>
          </cell>
          <cell r="N2003" t="str">
            <v>40/清洁</v>
          </cell>
          <cell r="O2003" t="str">
            <v>45/成检</v>
          </cell>
        </row>
        <row r="2004">
          <cell r="B2004" t="str">
            <v>DD-J10-61001-7001</v>
          </cell>
          <cell r="D2004" t="str">
            <v>B</v>
          </cell>
          <cell r="E2004" t="str">
            <v>准备工时</v>
          </cell>
          <cell r="G2004">
            <v>120</v>
          </cell>
          <cell r="H2004">
            <v>120</v>
          </cell>
          <cell r="L2004">
            <v>150</v>
          </cell>
        </row>
        <row r="2005">
          <cell r="B2005" t="str">
            <v>DD-J10-61001-7001</v>
          </cell>
          <cell r="D2005" t="str">
            <v>B</v>
          </cell>
          <cell r="E2005" t="str">
            <v>装夹时间</v>
          </cell>
        </row>
        <row r="2006">
          <cell r="B2006" t="str">
            <v>DD-J10-61001-7001</v>
          </cell>
          <cell r="D2006" t="str">
            <v>B</v>
          </cell>
          <cell r="E2006" t="str">
            <v>程序时间</v>
          </cell>
          <cell r="G2006">
            <v>40</v>
          </cell>
          <cell r="H2006">
            <v>15</v>
          </cell>
          <cell r="L2006">
            <v>70</v>
          </cell>
          <cell r="M2006">
            <v>25</v>
          </cell>
        </row>
        <row r="2007">
          <cell r="B2007" t="str">
            <v>CB2283780-001-001</v>
          </cell>
          <cell r="D2007" t="str">
            <v>B</v>
          </cell>
          <cell r="E2007" t="str">
            <v>工序内容</v>
          </cell>
          <cell r="F2007" t="str">
            <v>0/领料</v>
          </cell>
          <cell r="G2007" t="str">
            <v>05/普车</v>
          </cell>
          <cell r="H2007" t="str">
            <v>10/钳工</v>
          </cell>
          <cell r="I2007" t="str">
            <v>15/分光</v>
          </cell>
          <cell r="J2007" t="str">
            <v>20/硬检</v>
          </cell>
          <cell r="K2007" t="str">
            <v>25/车铣30</v>
          </cell>
          <cell r="L2007" t="str">
            <v>30/数车5</v>
          </cell>
          <cell r="M2007" t="str">
            <v>35/钳工</v>
          </cell>
          <cell r="N2007" t="str">
            <v>40/清洁</v>
          </cell>
          <cell r="O2007" t="str">
            <v>45/成检</v>
          </cell>
        </row>
        <row r="2008">
          <cell r="B2008" t="str">
            <v>CB2283780-001-001</v>
          </cell>
          <cell r="D2008" t="str">
            <v>B</v>
          </cell>
          <cell r="E2008" t="str">
            <v>准备工时</v>
          </cell>
          <cell r="G2008">
            <v>60</v>
          </cell>
          <cell r="I2008">
            <v>60</v>
          </cell>
          <cell r="J2008">
            <v>60</v>
          </cell>
          <cell r="K2008">
            <v>150</v>
          </cell>
          <cell r="L2008">
            <v>60</v>
          </cell>
        </row>
        <row r="2009">
          <cell r="B2009" t="str">
            <v>CB2283780-001-001</v>
          </cell>
          <cell r="D2009" t="str">
            <v>B</v>
          </cell>
          <cell r="E2009" t="str">
            <v>装夹时间</v>
          </cell>
        </row>
        <row r="2010">
          <cell r="B2010" t="str">
            <v>CB2283780-001-001</v>
          </cell>
          <cell r="D2010" t="str">
            <v>B</v>
          </cell>
          <cell r="E2010" t="str">
            <v>程序时间</v>
          </cell>
          <cell r="G2010">
            <v>7</v>
          </cell>
          <cell r="H2010">
            <v>10</v>
          </cell>
          <cell r="I2010">
            <v>30</v>
          </cell>
          <cell r="J2010">
            <v>10</v>
          </cell>
          <cell r="K2010">
            <v>60</v>
          </cell>
          <cell r="L2010">
            <v>10</v>
          </cell>
          <cell r="M2010">
            <v>20</v>
          </cell>
        </row>
        <row r="2011">
          <cell r="B2011" t="str">
            <v>CB2284461-001-001</v>
          </cell>
          <cell r="D2011" t="str">
            <v>C</v>
          </cell>
          <cell r="E2011" t="str">
            <v>工序内容</v>
          </cell>
          <cell r="F2011" t="str">
            <v>0/领料</v>
          </cell>
          <cell r="G2011" t="str">
            <v>05/普车5</v>
          </cell>
          <cell r="H2011" t="str">
            <v>10/钳工</v>
          </cell>
          <cell r="I2011" t="str">
            <v>15/分光</v>
          </cell>
          <cell r="J2011" t="str">
            <v>20/车铣35</v>
          </cell>
          <cell r="K2011" t="str">
            <v>25/数车10</v>
          </cell>
          <cell r="L2011" t="str">
            <v>30/钳工</v>
          </cell>
          <cell r="M2011" t="str">
            <v>35/清洁</v>
          </cell>
          <cell r="N2011" t="str">
            <v>40/成检</v>
          </cell>
        </row>
        <row r="2012">
          <cell r="B2012" t="str">
            <v>CB2284461-001-001</v>
          </cell>
          <cell r="D2012" t="str">
            <v>C</v>
          </cell>
          <cell r="E2012" t="str">
            <v>准备工时</v>
          </cell>
          <cell r="G2012">
            <v>60</v>
          </cell>
          <cell r="J2012">
            <v>120</v>
          </cell>
          <cell r="K2012">
            <v>60</v>
          </cell>
        </row>
        <row r="2013">
          <cell r="B2013" t="str">
            <v>CB2284461-001-001</v>
          </cell>
          <cell r="D2013" t="str">
            <v>C</v>
          </cell>
          <cell r="E2013" t="str">
            <v>装夹时间</v>
          </cell>
        </row>
        <row r="2014">
          <cell r="B2014" t="str">
            <v>CB2284461-001-001</v>
          </cell>
          <cell r="D2014" t="str">
            <v>C</v>
          </cell>
          <cell r="E2014" t="str">
            <v>程序时间</v>
          </cell>
          <cell r="G2014">
            <v>15</v>
          </cell>
          <cell r="H2014">
            <v>10</v>
          </cell>
          <cell r="J2014">
            <v>70</v>
          </cell>
          <cell r="K2014">
            <v>20</v>
          </cell>
          <cell r="L2014">
            <v>20</v>
          </cell>
        </row>
        <row r="2015">
          <cell r="B2015" t="str">
            <v>CB229C420-001-001</v>
          </cell>
          <cell r="D2015" t="str">
            <v>C</v>
          </cell>
          <cell r="E2015" t="str">
            <v>工序内容</v>
          </cell>
          <cell r="F2015" t="str">
            <v>0/领料</v>
          </cell>
          <cell r="G2015" t="str">
            <v>05/普车10</v>
          </cell>
          <cell r="H2015" t="str">
            <v>10/钳工</v>
          </cell>
          <cell r="I2015" t="str">
            <v>15/分光</v>
          </cell>
          <cell r="J2015" t="str">
            <v>20/热处理</v>
          </cell>
          <cell r="K2015" t="str">
            <v>25/车铣45</v>
          </cell>
          <cell r="L2015" t="str">
            <v>30/数车5</v>
          </cell>
          <cell r="M2015" t="str">
            <v>35/钳工</v>
          </cell>
          <cell r="N2015" t="str">
            <v>40/清洁</v>
          </cell>
          <cell r="O2015" t="str">
            <v>45/成检</v>
          </cell>
        </row>
        <row r="2016">
          <cell r="B2016" t="str">
            <v>CB229C420-001-001</v>
          </cell>
          <cell r="D2016" t="str">
            <v>C</v>
          </cell>
          <cell r="E2016" t="str">
            <v>准备工时</v>
          </cell>
          <cell r="G2016">
            <v>60</v>
          </cell>
          <cell r="K2016">
            <v>120</v>
          </cell>
          <cell r="L2016">
            <v>90</v>
          </cell>
        </row>
        <row r="2017">
          <cell r="B2017" t="str">
            <v>CB229C420-001-001</v>
          </cell>
          <cell r="D2017" t="str">
            <v>C</v>
          </cell>
          <cell r="E2017" t="str">
            <v>装夹时间</v>
          </cell>
        </row>
        <row r="2018">
          <cell r="B2018" t="str">
            <v>CB229C420-001-001</v>
          </cell>
          <cell r="D2018" t="str">
            <v>C</v>
          </cell>
          <cell r="E2018" t="str">
            <v>程序时间</v>
          </cell>
          <cell r="G2018">
            <v>30</v>
          </cell>
          <cell r="H2018">
            <v>15</v>
          </cell>
          <cell r="K2018">
            <v>90</v>
          </cell>
          <cell r="L2018">
            <v>15</v>
          </cell>
          <cell r="M2018">
            <v>20</v>
          </cell>
        </row>
        <row r="2019">
          <cell r="B2019" t="str">
            <v>CB5811100-010-001</v>
          </cell>
          <cell r="D2019" t="str">
            <v>C</v>
          </cell>
          <cell r="E2019" t="str">
            <v>工序内容</v>
          </cell>
          <cell r="F2019" t="str">
            <v>0/领料</v>
          </cell>
          <cell r="G2019" t="str">
            <v>05/下料</v>
          </cell>
          <cell r="H2019" t="str">
            <v>10/数车30</v>
          </cell>
          <cell r="I2019" t="str">
            <v>15/车铣30</v>
          </cell>
          <cell r="J2019" t="str">
            <v>20/穿孔</v>
          </cell>
          <cell r="K2019" t="str">
            <v>25/钳工</v>
          </cell>
          <cell r="L2019" t="str">
            <v>30/分光</v>
          </cell>
          <cell r="M2019" t="str">
            <v>35/热处理</v>
          </cell>
          <cell r="N2019" t="str">
            <v>40/数车25</v>
          </cell>
          <cell r="O2019" t="str">
            <v>45/数车5</v>
          </cell>
          <cell r="P2019" t="str">
            <v>50/钳工</v>
          </cell>
          <cell r="Q2019" t="str">
            <v>55/清洁</v>
          </cell>
          <cell r="R2019" t="str">
            <v>60/成检</v>
          </cell>
        </row>
        <row r="2020">
          <cell r="B2020" t="str">
            <v>CB5811100-010-001</v>
          </cell>
          <cell r="D2020" t="str">
            <v>C</v>
          </cell>
          <cell r="E2020" t="str">
            <v>准备工时</v>
          </cell>
          <cell r="H2020">
            <v>90</v>
          </cell>
          <cell r="I2020">
            <v>120</v>
          </cell>
          <cell r="N2020">
            <v>120</v>
          </cell>
          <cell r="O2020">
            <v>90</v>
          </cell>
        </row>
        <row r="2021">
          <cell r="B2021" t="str">
            <v>CB5811100-010-001</v>
          </cell>
          <cell r="D2021" t="str">
            <v>C</v>
          </cell>
          <cell r="E2021" t="str">
            <v>装夹时间</v>
          </cell>
        </row>
        <row r="2022">
          <cell r="B2022" t="str">
            <v>CB5811100-010-001</v>
          </cell>
          <cell r="D2022" t="str">
            <v>C</v>
          </cell>
          <cell r="E2022" t="str">
            <v>程序时间</v>
          </cell>
          <cell r="H2022">
            <v>45</v>
          </cell>
          <cell r="I2022">
            <v>60</v>
          </cell>
          <cell r="K2022">
            <v>20</v>
          </cell>
          <cell r="N2022">
            <v>40</v>
          </cell>
          <cell r="O2022">
            <v>20</v>
          </cell>
          <cell r="P2022">
            <v>25</v>
          </cell>
        </row>
        <row r="2023">
          <cell r="B2023" t="str">
            <v>BC2281641-002-001</v>
          </cell>
          <cell r="D2023" t="str">
            <v>B</v>
          </cell>
          <cell r="E2023" t="str">
            <v>工序内容</v>
          </cell>
          <cell r="F2023" t="str">
            <v>0/领料</v>
          </cell>
          <cell r="G2023" t="str">
            <v>5/数车30</v>
          </cell>
          <cell r="H2023" t="str">
            <v>10/钳工</v>
          </cell>
          <cell r="I2023" t="str">
            <v>15/分光</v>
          </cell>
          <cell r="J2023" t="str">
            <v>20/数车20</v>
          </cell>
          <cell r="K2023" t="str">
            <v>25/数车15</v>
          </cell>
          <cell r="L2023" t="str">
            <v>30/清洁</v>
          </cell>
          <cell r="M2023" t="str">
            <v>35/成检</v>
          </cell>
        </row>
        <row r="2024">
          <cell r="B2024" t="str">
            <v>BC2281641-002-001</v>
          </cell>
          <cell r="D2024" t="str">
            <v>B</v>
          </cell>
          <cell r="E2024" t="str">
            <v>准备工时</v>
          </cell>
          <cell r="G2024">
            <v>60</v>
          </cell>
          <cell r="J2024">
            <v>90</v>
          </cell>
          <cell r="K2024">
            <v>90</v>
          </cell>
        </row>
        <row r="2025">
          <cell r="B2025" t="str">
            <v>BC2281641-002-001</v>
          </cell>
          <cell r="D2025" t="str">
            <v>B</v>
          </cell>
          <cell r="E2025" t="str">
            <v>装夹时间</v>
          </cell>
        </row>
        <row r="2026">
          <cell r="B2026" t="str">
            <v>BC2281641-002-001</v>
          </cell>
          <cell r="D2026" t="str">
            <v>B</v>
          </cell>
          <cell r="E2026" t="str">
            <v>程序时间</v>
          </cell>
          <cell r="G2026">
            <v>40</v>
          </cell>
          <cell r="H2026">
            <v>15</v>
          </cell>
          <cell r="J2026">
            <v>30</v>
          </cell>
          <cell r="K2026">
            <v>25</v>
          </cell>
        </row>
        <row r="2027">
          <cell r="B2027" t="str">
            <v>CB2284751-003-001</v>
          </cell>
          <cell r="D2027" t="str">
            <v>B</v>
          </cell>
          <cell r="E2027" t="str">
            <v>工序内容</v>
          </cell>
          <cell r="F2027" t="str">
            <v>0/领料</v>
          </cell>
          <cell r="G2027" t="str">
            <v>05/数车</v>
          </cell>
          <cell r="H2027" t="str">
            <v>10/数车</v>
          </cell>
          <cell r="I2027" t="str">
            <v>15/数车</v>
          </cell>
          <cell r="J2027" t="str">
            <v>20/数铣</v>
          </cell>
          <cell r="K2027" t="str">
            <v>25/钳工</v>
          </cell>
          <cell r="L2027" t="str">
            <v>30/清洁</v>
          </cell>
          <cell r="M2027" t="str">
            <v>35/成检</v>
          </cell>
        </row>
        <row r="2028">
          <cell r="B2028" t="str">
            <v>CB2284751-003-001</v>
          </cell>
          <cell r="D2028" t="str">
            <v>B</v>
          </cell>
          <cell r="E2028" t="str">
            <v>准备工时</v>
          </cell>
          <cell r="G2028">
            <v>60</v>
          </cell>
          <cell r="H2028">
            <v>60</v>
          </cell>
          <cell r="I2028">
            <v>60</v>
          </cell>
          <cell r="J2028">
            <v>90</v>
          </cell>
        </row>
        <row r="2029">
          <cell r="B2029" t="str">
            <v>CB2284751-003-001</v>
          </cell>
          <cell r="D2029" t="str">
            <v>B</v>
          </cell>
          <cell r="E2029" t="str">
            <v>程序时间</v>
          </cell>
          <cell r="G2029">
            <v>45</v>
          </cell>
          <cell r="H2029">
            <v>60</v>
          </cell>
          <cell r="I2029">
            <v>30</v>
          </cell>
          <cell r="J2029">
            <v>100</v>
          </cell>
          <cell r="K2029">
            <v>25</v>
          </cell>
        </row>
        <row r="2030">
          <cell r="B2030" t="str">
            <v>BC2711313-006-001</v>
          </cell>
          <cell r="D2030" t="str">
            <v>C</v>
          </cell>
          <cell r="E2030" t="str">
            <v>工序内容</v>
          </cell>
          <cell r="F2030" t="str">
            <v>0/领料</v>
          </cell>
          <cell r="G2030" t="str">
            <v>05/数车 25</v>
          </cell>
          <cell r="H2030" t="str">
            <v>10/钳工</v>
          </cell>
          <cell r="I2030" t="str">
            <v>15/分光</v>
          </cell>
          <cell r="J2030" t="str">
            <v>20/数车15</v>
          </cell>
          <cell r="K2030" t="str">
            <v>25/数车3</v>
          </cell>
          <cell r="L2030" t="str">
            <v>30/清洁</v>
          </cell>
          <cell r="M2030" t="str">
            <v>35/成检</v>
          </cell>
        </row>
        <row r="2031">
          <cell r="B2031" t="str">
            <v>BC2711313-006-001</v>
          </cell>
          <cell r="D2031" t="str">
            <v>C</v>
          </cell>
          <cell r="E2031" t="str">
            <v>准备工时</v>
          </cell>
          <cell r="G2031">
            <v>60</v>
          </cell>
          <cell r="J2031">
            <v>90</v>
          </cell>
          <cell r="K2031">
            <v>60</v>
          </cell>
        </row>
        <row r="2032">
          <cell r="B2032" t="str">
            <v>BC2711313-006-001</v>
          </cell>
          <cell r="D2032" t="str">
            <v>C</v>
          </cell>
          <cell r="E2032" t="str">
            <v>装夹时间</v>
          </cell>
        </row>
        <row r="2033">
          <cell r="B2033" t="str">
            <v>BC2711313-006-001</v>
          </cell>
          <cell r="D2033" t="str">
            <v>C</v>
          </cell>
          <cell r="E2033" t="str">
            <v>程序时间</v>
          </cell>
          <cell r="G2033">
            <v>25</v>
          </cell>
          <cell r="H2033">
            <v>15</v>
          </cell>
          <cell r="J2033">
            <v>30</v>
          </cell>
          <cell r="K2033">
            <v>10</v>
          </cell>
        </row>
        <row r="2034">
          <cell r="B2034" t="str">
            <v>CB2283664-002-001</v>
          </cell>
          <cell r="D2034" t="str">
            <v>C</v>
          </cell>
          <cell r="E2034" t="str">
            <v>工序内容</v>
          </cell>
          <cell r="F2034" t="str">
            <v>0/领料</v>
          </cell>
          <cell r="G2034" t="str">
            <v>05/普车15</v>
          </cell>
          <cell r="H2034" t="str">
            <v>10/钳工</v>
          </cell>
          <cell r="I2034" t="str">
            <v>15/分光</v>
          </cell>
          <cell r="J2034" t="str">
            <v>20/数车10</v>
          </cell>
          <cell r="K2034" t="str">
            <v>25/车铣45</v>
          </cell>
          <cell r="L2034" t="str">
            <v>30/数车20</v>
          </cell>
          <cell r="M2034" t="str">
            <v>35/钳工</v>
          </cell>
          <cell r="N2034" t="str">
            <v>40/清洁</v>
          </cell>
          <cell r="O2034" t="str">
            <v>45/成检</v>
          </cell>
        </row>
        <row r="2035">
          <cell r="B2035" t="str">
            <v>CB2283664-002-001</v>
          </cell>
          <cell r="D2035" t="str">
            <v>C</v>
          </cell>
          <cell r="E2035" t="str">
            <v>准备工时</v>
          </cell>
          <cell r="G2035">
            <v>60</v>
          </cell>
          <cell r="J2035">
            <v>60</v>
          </cell>
          <cell r="K2035">
            <v>150</v>
          </cell>
          <cell r="L2035">
            <v>90</v>
          </cell>
        </row>
        <row r="2036">
          <cell r="B2036" t="str">
            <v>CB2283664-002-001</v>
          </cell>
          <cell r="D2036" t="str">
            <v>C</v>
          </cell>
          <cell r="E2036" t="str">
            <v>装夹时间</v>
          </cell>
        </row>
        <row r="2037">
          <cell r="B2037" t="str">
            <v>CB2283664-002-001</v>
          </cell>
          <cell r="D2037" t="str">
            <v>C</v>
          </cell>
          <cell r="E2037" t="str">
            <v>程序时间</v>
          </cell>
          <cell r="G2037" t="str">
            <v>45/根</v>
          </cell>
          <cell r="H2037">
            <v>15</v>
          </cell>
          <cell r="J2037" t="str">
            <v>60/根</v>
          </cell>
          <cell r="K2037">
            <v>80</v>
          </cell>
          <cell r="L2037">
            <v>30</v>
          </cell>
          <cell r="M2037">
            <v>25</v>
          </cell>
        </row>
        <row r="2038">
          <cell r="B2038" t="str">
            <v>CB229C420-004-001</v>
          </cell>
          <cell r="D2038" t="str">
            <v>C</v>
          </cell>
          <cell r="E2038" t="str">
            <v>工序内容</v>
          </cell>
          <cell r="F2038" t="str">
            <v>0/领料</v>
          </cell>
          <cell r="G2038" t="str">
            <v>05/普车10</v>
          </cell>
          <cell r="H2038" t="str">
            <v>10/钳工</v>
          </cell>
          <cell r="I2038" t="str">
            <v>15/分光</v>
          </cell>
          <cell r="J2038" t="str">
            <v>20/热处理</v>
          </cell>
          <cell r="K2038" t="str">
            <v>25/车铣35</v>
          </cell>
          <cell r="L2038" t="str">
            <v>30/数车5</v>
          </cell>
          <cell r="M2038" t="str">
            <v>35/钳工</v>
          </cell>
          <cell r="N2038" t="str">
            <v>40/清洁</v>
          </cell>
          <cell r="O2038" t="str">
            <v>45/成检</v>
          </cell>
        </row>
        <row r="2039">
          <cell r="B2039" t="str">
            <v>CB229C420-004-001</v>
          </cell>
          <cell r="D2039" t="str">
            <v>C</v>
          </cell>
          <cell r="E2039" t="str">
            <v>准备工时</v>
          </cell>
          <cell r="G2039">
            <v>60</v>
          </cell>
          <cell r="K2039">
            <v>120</v>
          </cell>
          <cell r="L2039">
            <v>90</v>
          </cell>
        </row>
        <row r="2040">
          <cell r="B2040" t="str">
            <v>CB229C420-004-001</v>
          </cell>
          <cell r="D2040" t="str">
            <v>C</v>
          </cell>
          <cell r="E2040" t="str">
            <v>装夹时间</v>
          </cell>
        </row>
        <row r="2041">
          <cell r="B2041" t="str">
            <v>CB229C420-004-001</v>
          </cell>
          <cell r="D2041" t="str">
            <v>C</v>
          </cell>
          <cell r="E2041" t="str">
            <v>程序时间</v>
          </cell>
          <cell r="G2041">
            <v>30</v>
          </cell>
          <cell r="H2041">
            <v>15</v>
          </cell>
          <cell r="K2041">
            <v>90</v>
          </cell>
          <cell r="L2041">
            <v>15</v>
          </cell>
          <cell r="M2041">
            <v>20</v>
          </cell>
        </row>
        <row r="2042">
          <cell r="B2042" t="str">
            <v>CB22837C4-001-001</v>
          </cell>
          <cell r="D2042" t="str">
            <v>C</v>
          </cell>
          <cell r="E2042" t="str">
            <v>工序内容</v>
          </cell>
          <cell r="F2042" t="str">
            <v>0/领料</v>
          </cell>
          <cell r="G2042" t="str">
            <v>05/普车15</v>
          </cell>
          <cell r="H2042" t="str">
            <v>10/钳工</v>
          </cell>
          <cell r="I2042" t="str">
            <v>15/分光</v>
          </cell>
          <cell r="J2042" t="str">
            <v>20/数车30</v>
          </cell>
          <cell r="K2042" t="str">
            <v>25/车铣30</v>
          </cell>
          <cell r="L2042" t="str">
            <v>30/钳工</v>
          </cell>
          <cell r="M2042" t="str">
            <v>35/清洁</v>
          </cell>
          <cell r="N2042" t="str">
            <v>40/成检</v>
          </cell>
        </row>
        <row r="2043">
          <cell r="B2043" t="str">
            <v>CB22837C4-001-001</v>
          </cell>
          <cell r="D2043" t="str">
            <v>C</v>
          </cell>
          <cell r="E2043" t="str">
            <v>准备工时</v>
          </cell>
          <cell r="G2043">
            <v>60</v>
          </cell>
          <cell r="J2043">
            <v>90</v>
          </cell>
          <cell r="K2043">
            <v>120</v>
          </cell>
        </row>
        <row r="2044">
          <cell r="B2044" t="str">
            <v>CB22837C4-001-001</v>
          </cell>
          <cell r="D2044" t="str">
            <v>C</v>
          </cell>
          <cell r="E2044" t="str">
            <v>装夹时间</v>
          </cell>
        </row>
        <row r="2045">
          <cell r="B2045" t="str">
            <v>CB22837C4-001-001</v>
          </cell>
          <cell r="D2045" t="str">
            <v>C</v>
          </cell>
          <cell r="E2045" t="str">
            <v>程序时间</v>
          </cell>
          <cell r="G2045">
            <v>30</v>
          </cell>
          <cell r="H2045">
            <v>15</v>
          </cell>
          <cell r="J2045">
            <v>30</v>
          </cell>
          <cell r="K2045">
            <v>60</v>
          </cell>
          <cell r="L2045">
            <v>15</v>
          </cell>
        </row>
        <row r="2046">
          <cell r="B2046" t="str">
            <v>CB2280211-022-001</v>
          </cell>
          <cell r="D2046" t="str">
            <v>B</v>
          </cell>
          <cell r="E2046" t="str">
            <v>工序内容</v>
          </cell>
          <cell r="F2046" t="str">
            <v>0/领料</v>
          </cell>
          <cell r="G2046" t="str">
            <v>05/下料</v>
          </cell>
          <cell r="H2046" t="str">
            <v>10/数车15</v>
          </cell>
          <cell r="I2046" t="str">
            <v>15/数车30</v>
          </cell>
          <cell r="J2046" t="str">
            <v>20/分光</v>
          </cell>
          <cell r="K2046" t="str">
            <v>25/硬度</v>
          </cell>
          <cell r="L2046" t="str">
            <v>30/车铣45</v>
          </cell>
          <cell r="M2046" t="str">
            <v>35/钳工</v>
          </cell>
          <cell r="N2046" t="str">
            <v>40/清洁</v>
          </cell>
          <cell r="O2046" t="str">
            <v>45/成检</v>
          </cell>
        </row>
        <row r="2047">
          <cell r="B2047" t="str">
            <v>CB2280211-022-001</v>
          </cell>
          <cell r="D2047" t="str">
            <v>B</v>
          </cell>
          <cell r="E2047" t="str">
            <v>准备工时</v>
          </cell>
          <cell r="H2047">
            <v>90</v>
          </cell>
          <cell r="I2047">
            <v>90</v>
          </cell>
          <cell r="L2047">
            <v>120</v>
          </cell>
        </row>
        <row r="2048">
          <cell r="B2048" t="str">
            <v>CB2280211-022-001</v>
          </cell>
          <cell r="D2048" t="str">
            <v>B</v>
          </cell>
          <cell r="E2048" t="str">
            <v>装夹时间</v>
          </cell>
        </row>
        <row r="2049">
          <cell r="B2049" t="str">
            <v>CB2280211-022-001</v>
          </cell>
          <cell r="D2049" t="str">
            <v>B</v>
          </cell>
          <cell r="E2049" t="str">
            <v>程序时间</v>
          </cell>
          <cell r="H2049">
            <v>25</v>
          </cell>
          <cell r="I2049">
            <v>45</v>
          </cell>
          <cell r="L2049">
            <v>70</v>
          </cell>
          <cell r="M2049">
            <v>20</v>
          </cell>
        </row>
        <row r="2050">
          <cell r="B2050" t="str">
            <v>DD-J10-04401-103</v>
          </cell>
          <cell r="D2050" t="str">
            <v>H</v>
          </cell>
          <cell r="E2050" t="str">
            <v>工序内容</v>
          </cell>
          <cell r="F2050" t="str">
            <v>0/领料</v>
          </cell>
          <cell r="G2050" t="str">
            <v>5/钳工</v>
          </cell>
          <cell r="H2050" t="str">
            <v>10/数铣</v>
          </cell>
          <cell r="I2050" t="str">
            <v>15/数铣10</v>
          </cell>
          <cell r="J2050" t="str">
            <v>20/数铣15</v>
          </cell>
          <cell r="K2050" t="str">
            <v>25/数铣15</v>
          </cell>
          <cell r="L2050" t="str">
            <v>30/钳工</v>
          </cell>
          <cell r="M2050" t="str">
            <v>35/</v>
          </cell>
          <cell r="N2050" t="str">
            <v>40/清洁</v>
          </cell>
          <cell r="O2050" t="str">
            <v>45/检验</v>
          </cell>
          <cell r="P2050" t="str">
            <v>50/硬检</v>
          </cell>
          <cell r="Q2050" t="str">
            <v>55/分光</v>
          </cell>
          <cell r="R2050" t="str">
            <v>60/钳工</v>
          </cell>
          <cell r="S2050" t="str">
            <v>65/成检</v>
          </cell>
        </row>
        <row r="2051">
          <cell r="B2051" t="str">
            <v>DD-J10-04401-103</v>
          </cell>
          <cell r="D2051" t="str">
            <v>H</v>
          </cell>
          <cell r="E2051" t="str">
            <v>准备工时</v>
          </cell>
          <cell r="H2051">
            <v>90</v>
          </cell>
          <cell r="I2051">
            <v>90</v>
          </cell>
          <cell r="J2051">
            <v>90</v>
          </cell>
          <cell r="K2051">
            <v>90</v>
          </cell>
        </row>
        <row r="2052">
          <cell r="B2052" t="str">
            <v>DD-J10-04401-103</v>
          </cell>
          <cell r="D2052" t="str">
            <v>H</v>
          </cell>
          <cell r="E2052" t="str">
            <v>装夹时间</v>
          </cell>
        </row>
        <row r="2053">
          <cell r="B2053" t="str">
            <v>DD-J10-04401-103</v>
          </cell>
          <cell r="D2053" t="str">
            <v>H</v>
          </cell>
          <cell r="E2053" t="str">
            <v>程序时间</v>
          </cell>
          <cell r="G2053">
            <v>20</v>
          </cell>
          <cell r="H2053">
            <v>30</v>
          </cell>
          <cell r="I2053">
            <v>20</v>
          </cell>
          <cell r="J2053">
            <v>35</v>
          </cell>
          <cell r="K2053">
            <v>40</v>
          </cell>
          <cell r="L2053">
            <v>30</v>
          </cell>
          <cell r="R2053">
            <v>5</v>
          </cell>
        </row>
        <row r="2054">
          <cell r="B2054" t="str">
            <v>DD-J10-04401-104</v>
          </cell>
          <cell r="D2054" t="str">
            <v>H</v>
          </cell>
          <cell r="E2054" t="str">
            <v>工序内容</v>
          </cell>
          <cell r="F2054" t="str">
            <v>0/领料</v>
          </cell>
          <cell r="G2054" t="str">
            <v>5/钳工</v>
          </cell>
          <cell r="H2054" t="str">
            <v>10/数铣</v>
          </cell>
          <cell r="I2054" t="str">
            <v>15/数铣10</v>
          </cell>
          <cell r="J2054" t="str">
            <v>20/数铣15</v>
          </cell>
          <cell r="K2054" t="str">
            <v>25/数铣15</v>
          </cell>
          <cell r="L2054" t="str">
            <v>30/钳工</v>
          </cell>
          <cell r="M2054" t="str">
            <v>35/</v>
          </cell>
          <cell r="N2054" t="str">
            <v>40/清洁</v>
          </cell>
          <cell r="O2054" t="str">
            <v>45/检验</v>
          </cell>
          <cell r="P2054" t="str">
            <v>50/硬检</v>
          </cell>
          <cell r="Q2054" t="str">
            <v>55/分光</v>
          </cell>
          <cell r="R2054" t="str">
            <v>60/钳工</v>
          </cell>
          <cell r="S2054" t="str">
            <v>65/成检</v>
          </cell>
        </row>
        <row r="2055">
          <cell r="B2055" t="str">
            <v>DD-J10-04401-104</v>
          </cell>
          <cell r="D2055" t="str">
            <v>H</v>
          </cell>
          <cell r="E2055" t="str">
            <v>准备工时</v>
          </cell>
          <cell r="H2055">
            <v>90</v>
          </cell>
          <cell r="I2055">
            <v>90</v>
          </cell>
          <cell r="J2055">
            <v>90</v>
          </cell>
          <cell r="K2055">
            <v>90</v>
          </cell>
        </row>
        <row r="2056">
          <cell r="B2056" t="str">
            <v>DD-J10-04401-104</v>
          </cell>
          <cell r="D2056" t="str">
            <v>H</v>
          </cell>
          <cell r="E2056" t="str">
            <v>装夹时间</v>
          </cell>
        </row>
        <row r="2057">
          <cell r="B2057" t="str">
            <v>DD-J10-04401-104</v>
          </cell>
          <cell r="D2057" t="str">
            <v>H</v>
          </cell>
          <cell r="E2057" t="str">
            <v>程序时间</v>
          </cell>
          <cell r="G2057">
            <v>20</v>
          </cell>
          <cell r="H2057">
            <v>30</v>
          </cell>
          <cell r="I2057">
            <v>20</v>
          </cell>
          <cell r="J2057">
            <v>35</v>
          </cell>
          <cell r="K2057">
            <v>40</v>
          </cell>
          <cell r="L2057">
            <v>30</v>
          </cell>
          <cell r="R2057">
            <v>5</v>
          </cell>
        </row>
        <row r="2058">
          <cell r="B2058" t="str">
            <v>DD-J10B-61001-8001</v>
          </cell>
          <cell r="D2058" t="str">
            <v>F</v>
          </cell>
          <cell r="E2058" t="str">
            <v>工序内容</v>
          </cell>
          <cell r="F2058" t="str">
            <v>00/领料</v>
          </cell>
          <cell r="G2058" t="str">
            <v>5/线切割</v>
          </cell>
          <cell r="H2058" t="str">
            <v>10/数铣15</v>
          </cell>
          <cell r="I2058" t="str">
            <v>15/数铣30</v>
          </cell>
          <cell r="J2058" t="str">
            <v>20/数铣20</v>
          </cell>
          <cell r="K2058" t="str">
            <v>25/钳工</v>
          </cell>
          <cell r="L2058" t="str">
            <v>30/检验</v>
          </cell>
          <cell r="M2058" t="str">
            <v>35/分光</v>
          </cell>
          <cell r="N2058" t="str">
            <v>40/钳工</v>
          </cell>
          <cell r="O2058" t="str">
            <v>45/清洁</v>
          </cell>
          <cell r="P2058" t="str">
            <v>50/成检</v>
          </cell>
        </row>
        <row r="2059">
          <cell r="B2059" t="str">
            <v>DD-J10B-61001-8001</v>
          </cell>
          <cell r="D2059" t="str">
            <v>F</v>
          </cell>
          <cell r="E2059" t="str">
            <v>准备工时</v>
          </cell>
          <cell r="H2059">
            <v>60</v>
          </cell>
          <cell r="I2059">
            <v>60</v>
          </cell>
          <cell r="J2059">
            <v>60</v>
          </cell>
        </row>
        <row r="2060">
          <cell r="B2060" t="str">
            <v>DD-J10B-61001-8001</v>
          </cell>
          <cell r="D2060" t="str">
            <v>F</v>
          </cell>
          <cell r="E2060" t="str">
            <v>装夹时间</v>
          </cell>
        </row>
        <row r="2061">
          <cell r="B2061" t="str">
            <v>DD-J10B-61001-8001</v>
          </cell>
          <cell r="D2061" t="str">
            <v>F</v>
          </cell>
          <cell r="E2061" t="str">
            <v>程序时间</v>
          </cell>
          <cell r="H2061">
            <v>30</v>
          </cell>
          <cell r="I2061">
            <v>30</v>
          </cell>
          <cell r="J2061">
            <v>25</v>
          </cell>
          <cell r="K2061">
            <v>20</v>
          </cell>
          <cell r="N2061" t="str">
            <v>5</v>
          </cell>
        </row>
        <row r="2062">
          <cell r="B2062" t="str">
            <v>CB5822016-034L/R001</v>
          </cell>
          <cell r="D2062" t="str">
            <v>B</v>
          </cell>
          <cell r="E2062" t="str">
            <v>工序内容</v>
          </cell>
          <cell r="F2062" t="str">
            <v>0/领料</v>
          </cell>
          <cell r="G2062" t="str">
            <v>5/下料</v>
          </cell>
          <cell r="H2062" t="str">
            <v>10/数铣10</v>
          </cell>
          <cell r="I2062" t="str">
            <v>15/数铣40</v>
          </cell>
          <cell r="J2062" t="str">
            <v>20/数铣50</v>
          </cell>
          <cell r="K2062" t="str">
            <v>25/测量</v>
          </cell>
          <cell r="L2062" t="str">
            <v>30/钳工</v>
          </cell>
          <cell r="M2062" t="str">
            <v>35/</v>
          </cell>
          <cell r="N2062" t="str">
            <v>40/清洁</v>
          </cell>
          <cell r="O2062" t="str">
            <v>45/成检</v>
          </cell>
          <cell r="P2062" t="str">
            <v>45/成检</v>
          </cell>
        </row>
        <row r="2063">
          <cell r="B2063" t="str">
            <v>CB5822016-034L/R001</v>
          </cell>
          <cell r="D2063" t="str">
            <v>B</v>
          </cell>
          <cell r="E2063" t="str">
            <v>准备工时</v>
          </cell>
          <cell r="H2063">
            <v>60</v>
          </cell>
          <cell r="I2063">
            <v>60</v>
          </cell>
          <cell r="J2063">
            <v>60</v>
          </cell>
        </row>
        <row r="2064">
          <cell r="B2064" t="str">
            <v>CB5822016-034L/R001</v>
          </cell>
          <cell r="D2064" t="str">
            <v>B</v>
          </cell>
          <cell r="E2064" t="str">
            <v>装夹时间</v>
          </cell>
        </row>
        <row r="2065">
          <cell r="B2065" t="str">
            <v>CB5822016-034L/R001</v>
          </cell>
          <cell r="D2065" t="str">
            <v>B</v>
          </cell>
          <cell r="E2065" t="str">
            <v>程序时间</v>
          </cell>
          <cell r="H2065">
            <v>25</v>
          </cell>
          <cell r="I2065">
            <v>70</v>
          </cell>
          <cell r="J2065">
            <v>100</v>
          </cell>
          <cell r="L2065">
            <v>30</v>
          </cell>
        </row>
        <row r="2066">
          <cell r="B2066" t="str">
            <v>CB5822016-034L001</v>
          </cell>
          <cell r="D2066" t="str">
            <v>B</v>
          </cell>
          <cell r="E2066" t="str">
            <v>工序内容</v>
          </cell>
          <cell r="F2066" t="str">
            <v>0/领料</v>
          </cell>
          <cell r="G2066" t="str">
            <v>5/下料</v>
          </cell>
          <cell r="H2066" t="str">
            <v>10/数铣10</v>
          </cell>
          <cell r="I2066" t="str">
            <v>15/数铣40</v>
          </cell>
          <cell r="J2066" t="str">
            <v>20/数铣50</v>
          </cell>
          <cell r="K2066" t="str">
            <v>25/测量</v>
          </cell>
          <cell r="L2066" t="str">
            <v>30/钳工</v>
          </cell>
          <cell r="M2066" t="str">
            <v>35/</v>
          </cell>
          <cell r="N2066" t="str">
            <v>40/清洁</v>
          </cell>
          <cell r="O2066" t="str">
            <v>45/成检</v>
          </cell>
          <cell r="P2066" t="str">
            <v>45/成检</v>
          </cell>
        </row>
        <row r="2067">
          <cell r="B2067" t="str">
            <v>CB5822016-034L001</v>
          </cell>
          <cell r="D2067" t="str">
            <v>B</v>
          </cell>
          <cell r="E2067" t="str">
            <v>准备工时</v>
          </cell>
          <cell r="H2067">
            <v>60</v>
          </cell>
          <cell r="I2067">
            <v>60</v>
          </cell>
          <cell r="J2067">
            <v>60</v>
          </cell>
        </row>
        <row r="2068">
          <cell r="B2068" t="str">
            <v>CB5822016-034L001</v>
          </cell>
          <cell r="D2068" t="str">
            <v>B</v>
          </cell>
          <cell r="E2068" t="str">
            <v>装夹时间</v>
          </cell>
        </row>
        <row r="2069">
          <cell r="B2069" t="str">
            <v>CB5822016-034L001</v>
          </cell>
          <cell r="D2069" t="str">
            <v>B</v>
          </cell>
          <cell r="E2069" t="str">
            <v>程序时间</v>
          </cell>
          <cell r="H2069">
            <v>25</v>
          </cell>
          <cell r="I2069">
            <v>70</v>
          </cell>
          <cell r="J2069">
            <v>100</v>
          </cell>
          <cell r="L2069">
            <v>30</v>
          </cell>
        </row>
        <row r="2070">
          <cell r="B2070" t="str">
            <v>CB5822016-034R001</v>
          </cell>
          <cell r="D2070" t="str">
            <v>B</v>
          </cell>
          <cell r="E2070" t="str">
            <v>工序内容</v>
          </cell>
          <cell r="F2070" t="str">
            <v>0/领料</v>
          </cell>
          <cell r="G2070" t="str">
            <v>5/下料</v>
          </cell>
          <cell r="H2070" t="str">
            <v>10/数铣10</v>
          </cell>
          <cell r="I2070" t="str">
            <v>15/数铣40</v>
          </cell>
          <cell r="J2070" t="str">
            <v>20/数铣50</v>
          </cell>
          <cell r="K2070" t="str">
            <v>25/测量</v>
          </cell>
          <cell r="L2070" t="str">
            <v>30/钳工</v>
          </cell>
          <cell r="M2070" t="str">
            <v>35/</v>
          </cell>
          <cell r="N2070" t="str">
            <v>40/清洁</v>
          </cell>
          <cell r="O2070" t="str">
            <v>45/成检</v>
          </cell>
          <cell r="P2070" t="str">
            <v>45/成检</v>
          </cell>
        </row>
        <row r="2071">
          <cell r="B2071" t="str">
            <v>CB5822016-034R001</v>
          </cell>
          <cell r="D2071" t="str">
            <v>B</v>
          </cell>
          <cell r="E2071" t="str">
            <v>准备工时</v>
          </cell>
          <cell r="H2071">
            <v>60</v>
          </cell>
          <cell r="I2071">
            <v>60</v>
          </cell>
          <cell r="J2071">
            <v>60</v>
          </cell>
        </row>
        <row r="2072">
          <cell r="B2072" t="str">
            <v>CB5822016-034R001</v>
          </cell>
          <cell r="D2072" t="str">
            <v>B</v>
          </cell>
          <cell r="E2072" t="str">
            <v>装夹时间</v>
          </cell>
        </row>
        <row r="2073">
          <cell r="B2073" t="str">
            <v>CB5822016-034R001</v>
          </cell>
          <cell r="D2073" t="str">
            <v>B</v>
          </cell>
          <cell r="E2073" t="str">
            <v>程序时间</v>
          </cell>
          <cell r="H2073">
            <v>25</v>
          </cell>
          <cell r="I2073">
            <v>70</v>
          </cell>
          <cell r="J2073">
            <v>100</v>
          </cell>
          <cell r="L2073">
            <v>30</v>
          </cell>
        </row>
        <row r="2074">
          <cell r="B2074" t="str">
            <v>CB5814000-002-001</v>
          </cell>
          <cell r="D2074" t="str">
            <v>E</v>
          </cell>
          <cell r="E2074" t="str">
            <v>工序内容</v>
          </cell>
          <cell r="F2074" t="str">
            <v>0/领料</v>
          </cell>
          <cell r="G2074" t="str">
            <v>05/数铣</v>
          </cell>
          <cell r="H2074" t="str">
            <v>10/数铣30</v>
          </cell>
          <cell r="I2074" t="str">
            <v>15/数铣120</v>
          </cell>
          <cell r="J2074" t="str">
            <v>20/数铣55</v>
          </cell>
          <cell r="K2074" t="str">
            <v>25/数铣35</v>
          </cell>
          <cell r="L2074" t="str">
            <v>30/数铣10</v>
          </cell>
          <cell r="M2074" t="str">
            <v>35/测量</v>
          </cell>
          <cell r="N2074" t="str">
            <v>40/钳工</v>
          </cell>
          <cell r="O2074" t="str">
            <v>45/清洁</v>
          </cell>
          <cell r="P2074" t="str">
            <v>50/检验</v>
          </cell>
          <cell r="Q2074" t="str">
            <v>55/硬度</v>
          </cell>
          <cell r="R2074" t="str">
            <v>60/分光</v>
          </cell>
          <cell r="S2074" t="str">
            <v>65/钳工</v>
          </cell>
          <cell r="T2074" t="str">
            <v>70/钳工</v>
          </cell>
          <cell r="U2074" t="str">
            <v>75/清洁</v>
          </cell>
          <cell r="V2074" t="str">
            <v>80/成检</v>
          </cell>
        </row>
        <row r="2075">
          <cell r="B2075" t="str">
            <v>CB5814000-002-001</v>
          </cell>
          <cell r="D2075" t="str">
            <v>E</v>
          </cell>
          <cell r="E2075" t="str">
            <v>准备工时</v>
          </cell>
          <cell r="G2075">
            <v>60</v>
          </cell>
          <cell r="H2075">
            <v>60</v>
          </cell>
          <cell r="I2075">
            <v>90</v>
          </cell>
          <cell r="J2075">
            <v>90</v>
          </cell>
          <cell r="K2075">
            <v>90</v>
          </cell>
          <cell r="L2075">
            <v>60</v>
          </cell>
        </row>
        <row r="2076">
          <cell r="B2076" t="str">
            <v>CB5814000-002-001</v>
          </cell>
          <cell r="D2076" t="str">
            <v>E</v>
          </cell>
          <cell r="E2076" t="str">
            <v>装夹时间</v>
          </cell>
        </row>
        <row r="2077">
          <cell r="B2077" t="str">
            <v>CB5814000-002-001</v>
          </cell>
          <cell r="D2077" t="str">
            <v>E</v>
          </cell>
          <cell r="E2077" t="str">
            <v>程序时间</v>
          </cell>
          <cell r="G2077">
            <v>30</v>
          </cell>
          <cell r="H2077">
            <v>55</v>
          </cell>
          <cell r="I2077">
            <v>240</v>
          </cell>
          <cell r="J2077">
            <v>110</v>
          </cell>
          <cell r="K2077">
            <v>80</v>
          </cell>
          <cell r="L2077">
            <v>50</v>
          </cell>
          <cell r="N2077">
            <v>60</v>
          </cell>
          <cell r="S2077">
            <v>10</v>
          </cell>
        </row>
        <row r="2078">
          <cell r="B2078" t="str">
            <v>Y20-5226300011-001</v>
          </cell>
          <cell r="D2078" t="str">
            <v>B</v>
          </cell>
          <cell r="E2078" t="str">
            <v>工序内容</v>
          </cell>
          <cell r="F2078" t="str">
            <v>0/领料</v>
          </cell>
          <cell r="G2078" t="str">
            <v>05/下料</v>
          </cell>
          <cell r="H2078" t="str">
            <v>10/数铣</v>
          </cell>
          <cell r="I2078" t="str">
            <v>15/数铣45</v>
          </cell>
          <cell r="J2078" t="str">
            <v>20/测量</v>
          </cell>
          <cell r="K2078" t="str">
            <v>25/钳工</v>
          </cell>
          <cell r="L2078" t="str">
            <v>30/清洁</v>
          </cell>
          <cell r="M2078" t="str">
            <v>35/成检</v>
          </cell>
        </row>
        <row r="2079">
          <cell r="B2079" t="str">
            <v>Y20-5226300011-001</v>
          </cell>
          <cell r="D2079" t="str">
            <v>B</v>
          </cell>
          <cell r="E2079" t="str">
            <v>准备工时</v>
          </cell>
          <cell r="H2079">
            <v>60</v>
          </cell>
          <cell r="I2079">
            <v>60</v>
          </cell>
        </row>
        <row r="2080">
          <cell r="B2080" t="str">
            <v>Y20-5226300011-001</v>
          </cell>
          <cell r="D2080" t="str">
            <v>B</v>
          </cell>
          <cell r="E2080" t="str">
            <v>装夹时间</v>
          </cell>
        </row>
        <row r="2081">
          <cell r="B2081" t="str">
            <v>Y20-5226300011-001</v>
          </cell>
          <cell r="D2081" t="str">
            <v>B</v>
          </cell>
          <cell r="E2081" t="str">
            <v>程序时间</v>
          </cell>
          <cell r="H2081">
            <v>25</v>
          </cell>
          <cell r="I2081">
            <v>60</v>
          </cell>
          <cell r="K2081">
            <v>35</v>
          </cell>
        </row>
        <row r="2082">
          <cell r="B2082" t="str">
            <v>DD-J10B-02021-3/1-Z</v>
          </cell>
          <cell r="D2082" t="str">
            <v>K</v>
          </cell>
          <cell r="E2082" t="str">
            <v>工序内容</v>
          </cell>
          <cell r="F2082" t="str">
            <v>0/领料</v>
          </cell>
          <cell r="G2082" t="str">
            <v>5/数铣</v>
          </cell>
          <cell r="H2082" t="str">
            <v>10/数铣33</v>
          </cell>
          <cell r="I2082" t="str">
            <v>15/数铣140</v>
          </cell>
          <cell r="J2082" t="str">
            <v>20/数铣70</v>
          </cell>
          <cell r="K2082" t="str">
            <v>25/数铣160</v>
          </cell>
          <cell r="L2082" t="str">
            <v>30/五轴10</v>
          </cell>
          <cell r="M2082" t="str">
            <v>35/测量</v>
          </cell>
          <cell r="N2082" t="str">
            <v>40/钳工</v>
          </cell>
          <cell r="O2082" t="str">
            <v>45/清洁</v>
          </cell>
          <cell r="P2082" t="str">
            <v>50/成检</v>
          </cell>
        </row>
        <row r="2083">
          <cell r="B2083" t="str">
            <v>DD-J10B-02021-3/1-Z</v>
          </cell>
          <cell r="D2083" t="str">
            <v>K</v>
          </cell>
          <cell r="E2083" t="str">
            <v>准备工时</v>
          </cell>
          <cell r="G2083">
            <v>60</v>
          </cell>
          <cell r="H2083">
            <v>90</v>
          </cell>
          <cell r="I2083">
            <v>90</v>
          </cell>
          <cell r="J2083">
            <v>90</v>
          </cell>
          <cell r="K2083">
            <v>90</v>
          </cell>
          <cell r="L2083">
            <v>120</v>
          </cell>
        </row>
        <row r="2084">
          <cell r="B2084" t="str">
            <v>DD-J10B-02021-3/1-Z</v>
          </cell>
          <cell r="D2084" t="str">
            <v>K</v>
          </cell>
          <cell r="E2084" t="str">
            <v>装夹时间</v>
          </cell>
          <cell r="L2084">
            <v>30</v>
          </cell>
        </row>
        <row r="2085">
          <cell r="B2085" t="str">
            <v>DD-J10B-02021-3/1-Z</v>
          </cell>
          <cell r="D2085" t="str">
            <v>K</v>
          </cell>
          <cell r="E2085" t="str">
            <v>程序时间</v>
          </cell>
          <cell r="G2085">
            <v>40</v>
          </cell>
          <cell r="H2085">
            <v>60</v>
          </cell>
          <cell r="I2085">
            <v>210</v>
          </cell>
          <cell r="J2085">
            <v>120</v>
          </cell>
          <cell r="K2085">
            <v>220</v>
          </cell>
          <cell r="L2085">
            <v>90</v>
          </cell>
          <cell r="N2085">
            <v>90</v>
          </cell>
        </row>
        <row r="2086">
          <cell r="B2086" t="str">
            <v>DD-J10B-02021-3/1-Y</v>
          </cell>
          <cell r="D2086" t="str">
            <v>K</v>
          </cell>
          <cell r="E2086" t="str">
            <v>工序内容</v>
          </cell>
          <cell r="F2086" t="str">
            <v>0/领料</v>
          </cell>
          <cell r="G2086" t="str">
            <v>5/数铣</v>
          </cell>
          <cell r="H2086" t="str">
            <v>10/数铣33</v>
          </cell>
          <cell r="I2086" t="str">
            <v>15/数铣140</v>
          </cell>
          <cell r="J2086" t="str">
            <v>20/数铣70</v>
          </cell>
          <cell r="K2086" t="str">
            <v>25/数铣160</v>
          </cell>
          <cell r="L2086" t="str">
            <v>30/五轴10</v>
          </cell>
          <cell r="M2086" t="str">
            <v>35/测量</v>
          </cell>
          <cell r="N2086" t="str">
            <v>40/钳工</v>
          </cell>
          <cell r="O2086" t="str">
            <v>45/清洁</v>
          </cell>
          <cell r="P2086" t="str">
            <v>50/成检</v>
          </cell>
        </row>
        <row r="2087">
          <cell r="B2087" t="str">
            <v>DD-J10B-02021-3/1-Y</v>
          </cell>
          <cell r="D2087" t="str">
            <v>K</v>
          </cell>
          <cell r="E2087" t="str">
            <v>准备工时</v>
          </cell>
          <cell r="G2087">
            <v>60</v>
          </cell>
          <cell r="H2087">
            <v>90</v>
          </cell>
          <cell r="I2087">
            <v>90</v>
          </cell>
          <cell r="J2087">
            <v>90</v>
          </cell>
          <cell r="K2087">
            <v>90</v>
          </cell>
          <cell r="L2087">
            <v>120</v>
          </cell>
        </row>
        <row r="2088">
          <cell r="B2088" t="str">
            <v>DD-J10B-02021-3/1-Y</v>
          </cell>
          <cell r="D2088" t="str">
            <v>K</v>
          </cell>
          <cell r="E2088" t="str">
            <v>装夹时间</v>
          </cell>
          <cell r="L2088">
            <v>30</v>
          </cell>
        </row>
        <row r="2089">
          <cell r="B2089" t="str">
            <v>DD-J10B-02021-3/1-Y</v>
          </cell>
          <cell r="D2089" t="str">
            <v>K</v>
          </cell>
          <cell r="E2089" t="str">
            <v>程序时间</v>
          </cell>
          <cell r="G2089">
            <v>40</v>
          </cell>
          <cell r="H2089">
            <v>60</v>
          </cell>
          <cell r="I2089">
            <v>210</v>
          </cell>
          <cell r="J2089">
            <v>120</v>
          </cell>
          <cell r="K2089">
            <v>220</v>
          </cell>
          <cell r="L2089">
            <v>90</v>
          </cell>
          <cell r="N2089">
            <v>90</v>
          </cell>
        </row>
        <row r="2090">
          <cell r="B2090" t="str">
            <v>DD-J10B-02021-3/2-Z</v>
          </cell>
          <cell r="D2090" t="str">
            <v>K</v>
          </cell>
          <cell r="E2090" t="str">
            <v>工序内容</v>
          </cell>
          <cell r="F2090" t="str">
            <v>0/领料</v>
          </cell>
          <cell r="G2090" t="str">
            <v>5/数铣</v>
          </cell>
          <cell r="H2090" t="str">
            <v>10/数铣33</v>
          </cell>
          <cell r="I2090" t="str">
            <v>15/数铣130</v>
          </cell>
          <cell r="J2090" t="str">
            <v>20/数铣70</v>
          </cell>
          <cell r="K2090" t="str">
            <v>25/数铣160</v>
          </cell>
          <cell r="L2090" t="str">
            <v>30/五轴10</v>
          </cell>
          <cell r="M2090" t="str">
            <v>35/测量</v>
          </cell>
          <cell r="N2090" t="str">
            <v>40/钳工</v>
          </cell>
          <cell r="O2090" t="str">
            <v>45/清洁</v>
          </cell>
          <cell r="P2090" t="str">
            <v>50/成检</v>
          </cell>
        </row>
        <row r="2091">
          <cell r="B2091" t="str">
            <v>DD-J10B-02021-3/2-Z</v>
          </cell>
          <cell r="D2091" t="str">
            <v>K</v>
          </cell>
          <cell r="E2091" t="str">
            <v>准备工时</v>
          </cell>
          <cell r="G2091">
            <v>60</v>
          </cell>
          <cell r="H2091">
            <v>90</v>
          </cell>
          <cell r="I2091">
            <v>90</v>
          </cell>
          <cell r="J2091">
            <v>90</v>
          </cell>
          <cell r="K2091">
            <v>90</v>
          </cell>
          <cell r="L2091">
            <v>120</v>
          </cell>
        </row>
        <row r="2092">
          <cell r="B2092" t="str">
            <v>DD-J10B-02021-3/2-Z</v>
          </cell>
          <cell r="D2092" t="str">
            <v>K</v>
          </cell>
          <cell r="E2092" t="str">
            <v>装夹时间</v>
          </cell>
          <cell r="L2092">
            <v>30</v>
          </cell>
        </row>
        <row r="2093">
          <cell r="B2093" t="str">
            <v>DD-J10B-02021-3/2-Z</v>
          </cell>
          <cell r="D2093" t="str">
            <v>K</v>
          </cell>
          <cell r="E2093" t="str">
            <v>程序时间</v>
          </cell>
          <cell r="G2093">
            <v>40</v>
          </cell>
          <cell r="H2093">
            <v>60</v>
          </cell>
          <cell r="I2093">
            <v>210</v>
          </cell>
          <cell r="J2093">
            <v>120</v>
          </cell>
          <cell r="K2093">
            <v>220</v>
          </cell>
          <cell r="L2093">
            <v>90</v>
          </cell>
          <cell r="N2093">
            <v>90</v>
          </cell>
        </row>
        <row r="2094">
          <cell r="B2094" t="str">
            <v>DD-J10B-02021-3/2-Y</v>
          </cell>
          <cell r="D2094" t="str">
            <v>K</v>
          </cell>
          <cell r="E2094" t="str">
            <v>工序内容</v>
          </cell>
          <cell r="F2094" t="str">
            <v>0/领料</v>
          </cell>
          <cell r="G2094" t="str">
            <v>5/数铣</v>
          </cell>
          <cell r="H2094" t="str">
            <v>10/数铣33</v>
          </cell>
          <cell r="I2094" t="str">
            <v>15/数铣130</v>
          </cell>
          <cell r="J2094" t="str">
            <v>20/数铣70</v>
          </cell>
          <cell r="K2094" t="str">
            <v>25/数铣160</v>
          </cell>
          <cell r="L2094" t="str">
            <v>30/五轴10</v>
          </cell>
          <cell r="M2094" t="str">
            <v>35/测量</v>
          </cell>
          <cell r="N2094" t="str">
            <v>40/钳工</v>
          </cell>
          <cell r="O2094" t="str">
            <v>45/清洁</v>
          </cell>
          <cell r="P2094" t="str">
            <v>50/成检</v>
          </cell>
        </row>
        <row r="2095">
          <cell r="B2095" t="str">
            <v>DD-J10B-02021-3/2-Y</v>
          </cell>
          <cell r="D2095" t="str">
            <v>K</v>
          </cell>
          <cell r="E2095" t="str">
            <v>准备工时</v>
          </cell>
          <cell r="G2095">
            <v>60</v>
          </cell>
          <cell r="H2095">
            <v>90</v>
          </cell>
          <cell r="I2095">
            <v>90</v>
          </cell>
          <cell r="J2095">
            <v>90</v>
          </cell>
          <cell r="K2095">
            <v>90</v>
          </cell>
          <cell r="L2095">
            <v>120</v>
          </cell>
        </row>
        <row r="2096">
          <cell r="B2096" t="str">
            <v>DD-J10B-02021-3/2-Y</v>
          </cell>
          <cell r="D2096" t="str">
            <v>K</v>
          </cell>
          <cell r="E2096" t="str">
            <v>装夹时间</v>
          </cell>
          <cell r="L2096">
            <v>30</v>
          </cell>
        </row>
        <row r="2097">
          <cell r="B2097" t="str">
            <v>DD-J10B-02021-3/2-Y</v>
          </cell>
          <cell r="D2097" t="str">
            <v>K</v>
          </cell>
          <cell r="E2097" t="str">
            <v>程序时间</v>
          </cell>
          <cell r="G2097">
            <v>40</v>
          </cell>
          <cell r="H2097">
            <v>60</v>
          </cell>
          <cell r="I2097">
            <v>210</v>
          </cell>
          <cell r="J2097">
            <v>120</v>
          </cell>
          <cell r="K2097">
            <v>220</v>
          </cell>
          <cell r="L2097">
            <v>90</v>
          </cell>
          <cell r="N2097">
            <v>90</v>
          </cell>
        </row>
        <row r="2098">
          <cell r="B2098" t="str">
            <v>DD-J10-06031-404</v>
          </cell>
          <cell r="D2098" t="str">
            <v>A</v>
          </cell>
          <cell r="E2098" t="str">
            <v>工序内容</v>
          </cell>
          <cell r="F2098" t="str">
            <v>0/领料</v>
          </cell>
          <cell r="G2098" t="str">
            <v>5/数铣</v>
          </cell>
          <cell r="H2098" t="str">
            <v>10/数铣</v>
          </cell>
          <cell r="I2098" t="str">
            <v>15/数铣</v>
          </cell>
          <cell r="J2098" t="str">
            <v>20/分光</v>
          </cell>
          <cell r="K2098" t="str">
            <v>25/硬检</v>
          </cell>
          <cell r="L2098" t="str">
            <v>30/数铣20</v>
          </cell>
          <cell r="M2098" t="str">
            <v>35/数铣15</v>
          </cell>
          <cell r="N2098" t="str">
            <v>40/数铣35</v>
          </cell>
          <cell r="O2098" t="str">
            <v>45/数铣30</v>
          </cell>
          <cell r="P2098" t="str">
            <v>50/数铣5</v>
          </cell>
          <cell r="Q2098" t="str">
            <v>55/钳工</v>
          </cell>
          <cell r="R2098" t="str">
            <v>60/清洁</v>
          </cell>
          <cell r="S2098" t="str">
            <v>65/成检</v>
          </cell>
        </row>
        <row r="2099">
          <cell r="B2099" t="str">
            <v>DD-J10-06031-404</v>
          </cell>
          <cell r="D2099" t="str">
            <v>A</v>
          </cell>
          <cell r="E2099" t="str">
            <v>准备工时</v>
          </cell>
          <cell r="G2099">
            <v>60</v>
          </cell>
          <cell r="H2099">
            <v>60</v>
          </cell>
          <cell r="I2099">
            <v>60</v>
          </cell>
          <cell r="L2099" t="str">
            <v>60</v>
          </cell>
          <cell r="M2099" t="str">
            <v>60</v>
          </cell>
          <cell r="N2099" t="str">
            <v>90</v>
          </cell>
          <cell r="O2099">
            <v>60</v>
          </cell>
          <cell r="P2099">
            <v>90</v>
          </cell>
        </row>
        <row r="2100">
          <cell r="B2100" t="str">
            <v>DD-J10-06031-404</v>
          </cell>
          <cell r="D2100" t="str">
            <v>A</v>
          </cell>
          <cell r="E2100" t="str">
            <v>装夹时间</v>
          </cell>
          <cell r="O2100">
            <v>30</v>
          </cell>
        </row>
        <row r="2101">
          <cell r="B2101" t="str">
            <v>DD-J10-06031-404</v>
          </cell>
          <cell r="D2101" t="str">
            <v>A</v>
          </cell>
          <cell r="E2101" t="str">
            <v>程序时间</v>
          </cell>
          <cell r="G2101">
            <v>20</v>
          </cell>
          <cell r="H2101">
            <v>35</v>
          </cell>
          <cell r="I2101">
            <v>25</v>
          </cell>
          <cell r="L2101" t="str">
            <v>40</v>
          </cell>
          <cell r="M2101" t="str">
            <v>30</v>
          </cell>
          <cell r="N2101" t="str">
            <v>60</v>
          </cell>
          <cell r="O2101">
            <v>90</v>
          </cell>
          <cell r="P2101">
            <v>30</v>
          </cell>
          <cell r="Q2101">
            <v>80</v>
          </cell>
        </row>
        <row r="2102">
          <cell r="B2102" t="str">
            <v>CB2298612-001-001</v>
          </cell>
          <cell r="D2102" t="str">
            <v>E</v>
          </cell>
          <cell r="E2102" t="str">
            <v>工序内容</v>
          </cell>
          <cell r="F2102" t="str">
            <v>0/领料</v>
          </cell>
          <cell r="G2102" t="str">
            <v>5/数铣</v>
          </cell>
          <cell r="H2102" t="str">
            <v>10/数铣</v>
          </cell>
          <cell r="I2102" t="str">
            <v>15/数铣20</v>
          </cell>
          <cell r="J2102" t="str">
            <v>20/数铣55</v>
          </cell>
          <cell r="K2102" t="str">
            <v>25/数铣15</v>
          </cell>
          <cell r="L2102" t="str">
            <v>30/数铣5</v>
          </cell>
          <cell r="M2102" t="str">
            <v>35/硬度</v>
          </cell>
          <cell r="N2102" t="str">
            <v>40/分光</v>
          </cell>
          <cell r="O2102" t="str">
            <v>45/数铣</v>
          </cell>
          <cell r="P2102" t="str">
            <v>50/测量</v>
          </cell>
          <cell r="Q2102" t="str">
            <v>55/钳工</v>
          </cell>
          <cell r="R2102" t="str">
            <v>60/清洁</v>
          </cell>
          <cell r="S2102" t="str">
            <v>65/成检</v>
          </cell>
          <cell r="T2102" t="str">
            <v>65/成检</v>
          </cell>
        </row>
        <row r="2103">
          <cell r="B2103" t="str">
            <v>CB2298612-001-001</v>
          </cell>
          <cell r="D2103" t="str">
            <v>E</v>
          </cell>
          <cell r="E2103" t="str">
            <v>准备工时</v>
          </cell>
          <cell r="G2103">
            <v>60</v>
          </cell>
          <cell r="H2103">
            <v>60</v>
          </cell>
          <cell r="I2103">
            <v>60</v>
          </cell>
          <cell r="J2103">
            <v>100</v>
          </cell>
          <cell r="K2103">
            <v>100</v>
          </cell>
          <cell r="L2103">
            <v>90</v>
          </cell>
          <cell r="O2103">
            <v>90</v>
          </cell>
        </row>
        <row r="2104">
          <cell r="B2104" t="str">
            <v>CB2298612-001-001</v>
          </cell>
          <cell r="D2104" t="str">
            <v>E</v>
          </cell>
          <cell r="E2104" t="str">
            <v>程序时间</v>
          </cell>
          <cell r="G2104">
            <v>30</v>
          </cell>
          <cell r="H2104">
            <v>10</v>
          </cell>
          <cell r="I2104">
            <v>30</v>
          </cell>
          <cell r="J2104">
            <v>60</v>
          </cell>
          <cell r="K2104">
            <v>25</v>
          </cell>
          <cell r="L2104">
            <v>20</v>
          </cell>
          <cell r="O2104">
            <v>20</v>
          </cell>
          <cell r="Q2104">
            <v>40</v>
          </cell>
        </row>
        <row r="2105">
          <cell r="B2105" t="str">
            <v>DD-J10-55015-5300-1</v>
          </cell>
          <cell r="D2105" t="str">
            <v>B</v>
          </cell>
          <cell r="E2105" t="str">
            <v>工序内容</v>
          </cell>
          <cell r="F2105" t="str">
            <v>0/领料</v>
          </cell>
          <cell r="G2105" t="str">
            <v>05/钳工</v>
          </cell>
          <cell r="H2105" t="str">
            <v>10/数车5</v>
          </cell>
          <cell r="I2105" t="str">
            <v>15/数车10</v>
          </cell>
          <cell r="J2105" t="str">
            <v>20/数铣10</v>
          </cell>
          <cell r="K2105" t="str">
            <v>25/线切割</v>
          </cell>
          <cell r="L2105" t="str">
            <v>30/数车15</v>
          </cell>
          <cell r="M2105" t="str">
            <v>35/数车15</v>
          </cell>
          <cell r="N2105" t="str">
            <v>40/线切割</v>
          </cell>
          <cell r="O2105" t="str">
            <v>45/钳工</v>
          </cell>
          <cell r="P2105" t="str">
            <v>50/热处理</v>
          </cell>
          <cell r="Q2105" t="str">
            <v>55/线切割</v>
          </cell>
          <cell r="R2105" t="str">
            <v>60/数车20</v>
          </cell>
          <cell r="S2105" t="str">
            <v>65/钳工</v>
          </cell>
          <cell r="T2105" t="str">
            <v>70/入厂复检</v>
          </cell>
          <cell r="U2105" t="str">
            <v>75/消除应力</v>
          </cell>
          <cell r="V2105" t="str">
            <v>85/磁粉检查</v>
          </cell>
          <cell r="W2105" t="str">
            <v>95/表处</v>
          </cell>
          <cell r="X2105" t="str">
            <v>125/钳工</v>
          </cell>
          <cell r="Y2105" t="str">
            <v>130/清洁</v>
          </cell>
          <cell r="Z2105" t="str">
            <v>135/成检</v>
          </cell>
          <cell r="AE2105" t="str">
            <v>125/钳工</v>
          </cell>
        </row>
        <row r="2106">
          <cell r="B2106" t="str">
            <v>DD-J10-55015-5300-1</v>
          </cell>
          <cell r="D2106" t="str">
            <v>B</v>
          </cell>
          <cell r="E2106" t="str">
            <v>准备工时</v>
          </cell>
          <cell r="H2106">
            <v>120</v>
          </cell>
          <cell r="I2106">
            <v>120</v>
          </cell>
          <cell r="J2106">
            <v>60</v>
          </cell>
          <cell r="L2106">
            <v>120</v>
          </cell>
          <cell r="M2106">
            <v>120</v>
          </cell>
          <cell r="R2106">
            <v>180</v>
          </cell>
        </row>
        <row r="2107">
          <cell r="B2107" t="str">
            <v>DD-J10-55015-5300-1</v>
          </cell>
          <cell r="D2107" t="str">
            <v>B</v>
          </cell>
          <cell r="E2107" t="str">
            <v>装夹时间</v>
          </cell>
        </row>
        <row r="2108">
          <cell r="B2108" t="str">
            <v>DD-J10-55015-5300-1</v>
          </cell>
          <cell r="D2108" t="str">
            <v>B</v>
          </cell>
          <cell r="E2108" t="str">
            <v>程序时间</v>
          </cell>
          <cell r="G2108">
            <v>10</v>
          </cell>
          <cell r="H2108">
            <v>20</v>
          </cell>
          <cell r="I2108">
            <v>25</v>
          </cell>
          <cell r="J2108">
            <v>30</v>
          </cell>
          <cell r="L2108">
            <v>40</v>
          </cell>
          <cell r="M2108">
            <v>35</v>
          </cell>
          <cell r="O2108">
            <v>35</v>
          </cell>
          <cell r="Q2108">
            <v>30</v>
          </cell>
          <cell r="R2108">
            <v>60</v>
          </cell>
          <cell r="S2108">
            <v>30</v>
          </cell>
          <cell r="AE2108">
            <v>10</v>
          </cell>
        </row>
        <row r="2109">
          <cell r="B2109" t="str">
            <v>EA5731400-002L101</v>
          </cell>
          <cell r="D2109" t="str">
            <v>B</v>
          </cell>
          <cell r="E2109" t="str">
            <v>工序内容</v>
          </cell>
          <cell r="F2109" t="str">
            <v>0/领料</v>
          </cell>
          <cell r="G2109" t="str">
            <v>5/数铣</v>
          </cell>
          <cell r="H2109" t="str">
            <v>10/数铣30</v>
          </cell>
          <cell r="I2109" t="str">
            <v>15/数铣100</v>
          </cell>
          <cell r="J2109" t="str">
            <v>20/时效</v>
          </cell>
          <cell r="K2109" t="str">
            <v>25/数铣150</v>
          </cell>
          <cell r="L2109" t="str">
            <v>30/数铣210</v>
          </cell>
          <cell r="M2109" t="str">
            <v>35/数铣</v>
          </cell>
          <cell r="N2109" t="str">
            <v>40/测量</v>
          </cell>
          <cell r="O2109" t="str">
            <v>45/钳工</v>
          </cell>
          <cell r="P2109" t="str">
            <v>50/数铣</v>
          </cell>
          <cell r="Q2109" t="str">
            <v>55/清洁</v>
          </cell>
          <cell r="R2109" t="str">
            <v>60/成检</v>
          </cell>
        </row>
        <row r="2110">
          <cell r="B2110" t="str">
            <v>EA5731400-002L101</v>
          </cell>
          <cell r="D2110" t="str">
            <v>B</v>
          </cell>
          <cell r="E2110" t="str">
            <v>准备工时</v>
          </cell>
          <cell r="G2110">
            <v>60</v>
          </cell>
          <cell r="H2110">
            <v>60</v>
          </cell>
          <cell r="I2110">
            <v>60</v>
          </cell>
          <cell r="K2110">
            <v>60</v>
          </cell>
          <cell r="L2110">
            <v>90</v>
          </cell>
          <cell r="M2110">
            <v>90</v>
          </cell>
        </row>
        <row r="2111">
          <cell r="B2111" t="str">
            <v>EA5731400-002L101</v>
          </cell>
          <cell r="D2111" t="str">
            <v>B</v>
          </cell>
          <cell r="E2111" t="str">
            <v>装夹时间</v>
          </cell>
        </row>
        <row r="2112">
          <cell r="B2112" t="str">
            <v>EA5731400-002L101</v>
          </cell>
          <cell r="D2112" t="str">
            <v>B</v>
          </cell>
          <cell r="E2112" t="str">
            <v>程序时间</v>
          </cell>
          <cell r="G2112">
            <v>90</v>
          </cell>
          <cell r="H2112">
            <v>70</v>
          </cell>
          <cell r="I2112">
            <v>200</v>
          </cell>
          <cell r="K2112">
            <v>120</v>
          </cell>
          <cell r="L2112">
            <v>330</v>
          </cell>
          <cell r="M2112">
            <v>430</v>
          </cell>
          <cell r="O2112">
            <v>120</v>
          </cell>
          <cell r="P2112">
            <v>20</v>
          </cell>
        </row>
        <row r="2113">
          <cell r="B2113" t="str">
            <v>EA5731400-002R101</v>
          </cell>
          <cell r="D2113" t="str">
            <v>B</v>
          </cell>
          <cell r="E2113" t="str">
            <v>工序内容</v>
          </cell>
          <cell r="F2113" t="str">
            <v>0/领料</v>
          </cell>
          <cell r="G2113" t="str">
            <v>5/数铣</v>
          </cell>
          <cell r="H2113" t="str">
            <v>10/数铣30</v>
          </cell>
          <cell r="I2113" t="str">
            <v>15/数铣100</v>
          </cell>
          <cell r="J2113" t="str">
            <v>20/时效</v>
          </cell>
          <cell r="K2113" t="str">
            <v>25/数铣150</v>
          </cell>
          <cell r="L2113" t="str">
            <v>30/数铣210</v>
          </cell>
          <cell r="M2113" t="str">
            <v>35/数铣</v>
          </cell>
          <cell r="N2113" t="str">
            <v>40/测量</v>
          </cell>
          <cell r="O2113" t="str">
            <v>45/钳工</v>
          </cell>
          <cell r="P2113" t="str">
            <v>50/数铣</v>
          </cell>
          <cell r="Q2113" t="str">
            <v>55/清洁</v>
          </cell>
          <cell r="R2113" t="str">
            <v>60/成检</v>
          </cell>
        </row>
        <row r="2114">
          <cell r="B2114" t="str">
            <v>EA5731400-002R101</v>
          </cell>
          <cell r="D2114" t="str">
            <v>B</v>
          </cell>
          <cell r="E2114" t="str">
            <v>准备工时</v>
          </cell>
          <cell r="G2114">
            <v>60</v>
          </cell>
          <cell r="H2114">
            <v>60</v>
          </cell>
          <cell r="I2114">
            <v>60</v>
          </cell>
          <cell r="K2114">
            <v>60</v>
          </cell>
          <cell r="L2114">
            <v>90</v>
          </cell>
          <cell r="M2114">
            <v>90</v>
          </cell>
        </row>
        <row r="2115">
          <cell r="B2115" t="str">
            <v>EA5731400-002R101</v>
          </cell>
          <cell r="D2115" t="str">
            <v>B</v>
          </cell>
          <cell r="E2115" t="str">
            <v>装夹时间</v>
          </cell>
        </row>
        <row r="2116">
          <cell r="B2116" t="str">
            <v>EA5731400-002R101</v>
          </cell>
          <cell r="D2116" t="str">
            <v>B</v>
          </cell>
          <cell r="E2116" t="str">
            <v>程序时间</v>
          </cell>
          <cell r="G2116">
            <v>90</v>
          </cell>
          <cell r="H2116">
            <v>70</v>
          </cell>
          <cell r="I2116">
            <v>200</v>
          </cell>
          <cell r="K2116">
            <v>120</v>
          </cell>
          <cell r="L2116">
            <v>330</v>
          </cell>
          <cell r="M2116">
            <v>430</v>
          </cell>
          <cell r="O2116">
            <v>120</v>
          </cell>
          <cell r="P2116">
            <v>20</v>
          </cell>
        </row>
        <row r="2117">
          <cell r="B2117" t="str">
            <v>EA5731400-003L101</v>
          </cell>
          <cell r="D2117" t="str">
            <v>B</v>
          </cell>
          <cell r="E2117" t="str">
            <v>工序内容</v>
          </cell>
          <cell r="F2117" t="str">
            <v>0/领料</v>
          </cell>
          <cell r="G2117" t="str">
            <v>5/数铣</v>
          </cell>
          <cell r="H2117" t="str">
            <v>10/数铣30</v>
          </cell>
          <cell r="I2117" t="str">
            <v>15/数铣100</v>
          </cell>
          <cell r="J2117" t="str">
            <v>20/时效</v>
          </cell>
          <cell r="K2117" t="str">
            <v>25/数铣150</v>
          </cell>
          <cell r="L2117" t="str">
            <v>30/数铣210</v>
          </cell>
          <cell r="M2117" t="str">
            <v>35/数铣</v>
          </cell>
          <cell r="N2117" t="str">
            <v>40/测量</v>
          </cell>
          <cell r="O2117" t="str">
            <v>45/钳工</v>
          </cell>
          <cell r="P2117" t="str">
            <v>50/数铣</v>
          </cell>
          <cell r="Q2117" t="str">
            <v>55/清洁</v>
          </cell>
          <cell r="R2117" t="str">
            <v>60/成检</v>
          </cell>
        </row>
        <row r="2118">
          <cell r="B2118" t="str">
            <v>EA5731400-003L101</v>
          </cell>
          <cell r="D2118" t="str">
            <v>B</v>
          </cell>
          <cell r="E2118" t="str">
            <v>准备工时</v>
          </cell>
          <cell r="G2118">
            <v>60</v>
          </cell>
          <cell r="H2118">
            <v>60</v>
          </cell>
          <cell r="I2118">
            <v>60</v>
          </cell>
          <cell r="K2118">
            <v>60</v>
          </cell>
          <cell r="L2118">
            <v>90</v>
          </cell>
          <cell r="M2118">
            <v>90</v>
          </cell>
        </row>
        <row r="2119">
          <cell r="B2119" t="str">
            <v>EA5731400-003L101</v>
          </cell>
          <cell r="D2119" t="str">
            <v>B</v>
          </cell>
          <cell r="E2119" t="str">
            <v>装夹时间</v>
          </cell>
        </row>
        <row r="2120">
          <cell r="B2120" t="str">
            <v>EA5731400-003L101</v>
          </cell>
          <cell r="D2120" t="str">
            <v>B</v>
          </cell>
          <cell r="E2120" t="str">
            <v>程序时间</v>
          </cell>
          <cell r="G2120">
            <v>90</v>
          </cell>
          <cell r="H2120">
            <v>70</v>
          </cell>
          <cell r="I2120">
            <v>200</v>
          </cell>
          <cell r="K2120">
            <v>120</v>
          </cell>
          <cell r="L2120">
            <v>330</v>
          </cell>
          <cell r="M2120">
            <v>430</v>
          </cell>
          <cell r="O2120">
            <v>120</v>
          </cell>
          <cell r="P2120">
            <v>20</v>
          </cell>
        </row>
        <row r="2121">
          <cell r="B2121" t="str">
            <v>EA5731400-003R101</v>
          </cell>
          <cell r="D2121" t="str">
            <v>B</v>
          </cell>
          <cell r="E2121" t="str">
            <v>工序内容</v>
          </cell>
          <cell r="F2121" t="str">
            <v>0/领料</v>
          </cell>
          <cell r="G2121" t="str">
            <v>5/数铣</v>
          </cell>
          <cell r="H2121" t="str">
            <v>10/数铣30</v>
          </cell>
          <cell r="I2121" t="str">
            <v>15/数铣100</v>
          </cell>
          <cell r="J2121" t="str">
            <v>20/时效</v>
          </cell>
          <cell r="K2121" t="str">
            <v>25/数铣150</v>
          </cell>
          <cell r="L2121" t="str">
            <v>30/数铣210</v>
          </cell>
          <cell r="M2121" t="str">
            <v>35/数铣</v>
          </cell>
          <cell r="N2121" t="str">
            <v>40/测量</v>
          </cell>
          <cell r="O2121" t="str">
            <v>45/钳工</v>
          </cell>
          <cell r="P2121" t="str">
            <v>50/数铣</v>
          </cell>
          <cell r="Q2121" t="str">
            <v>55/清洁</v>
          </cell>
          <cell r="R2121" t="str">
            <v>60/成检</v>
          </cell>
        </row>
        <row r="2122">
          <cell r="B2122" t="str">
            <v>EA5731400-003R101</v>
          </cell>
          <cell r="D2122" t="str">
            <v>B</v>
          </cell>
          <cell r="E2122" t="str">
            <v>准备工时</v>
          </cell>
          <cell r="G2122">
            <v>60</v>
          </cell>
          <cell r="H2122">
            <v>60</v>
          </cell>
          <cell r="I2122">
            <v>60</v>
          </cell>
          <cell r="K2122">
            <v>60</v>
          </cell>
          <cell r="L2122">
            <v>90</v>
          </cell>
          <cell r="M2122">
            <v>90</v>
          </cell>
        </row>
        <row r="2123">
          <cell r="B2123" t="str">
            <v>EA5731400-003R101</v>
          </cell>
          <cell r="D2123" t="str">
            <v>B</v>
          </cell>
          <cell r="E2123" t="str">
            <v>装夹时间</v>
          </cell>
        </row>
        <row r="2124">
          <cell r="B2124" t="str">
            <v>EA5731400-003R101</v>
          </cell>
          <cell r="D2124" t="str">
            <v>B</v>
          </cell>
          <cell r="E2124" t="str">
            <v>程序时间</v>
          </cell>
          <cell r="G2124">
            <v>90</v>
          </cell>
          <cell r="H2124">
            <v>70</v>
          </cell>
          <cell r="I2124">
            <v>200</v>
          </cell>
          <cell r="K2124">
            <v>120</v>
          </cell>
          <cell r="L2124">
            <v>330</v>
          </cell>
          <cell r="M2124">
            <v>430</v>
          </cell>
          <cell r="O2124">
            <v>120</v>
          </cell>
          <cell r="P2124">
            <v>20</v>
          </cell>
        </row>
        <row r="2125">
          <cell r="B2125" t="str">
            <v>CB2284462-001-001</v>
          </cell>
          <cell r="D2125" t="str">
            <v>C</v>
          </cell>
          <cell r="E2125" t="str">
            <v>工序内容</v>
          </cell>
          <cell r="F2125" t="str">
            <v>0/领料</v>
          </cell>
          <cell r="G2125" t="str">
            <v>05/普车5</v>
          </cell>
          <cell r="H2125" t="str">
            <v>10/钳工</v>
          </cell>
          <cell r="I2125" t="str">
            <v>15/分光</v>
          </cell>
          <cell r="J2125" t="str">
            <v>20/车铣35</v>
          </cell>
          <cell r="K2125" t="str">
            <v>25数车15</v>
          </cell>
          <cell r="L2125" t="str">
            <v>30/钳工</v>
          </cell>
          <cell r="M2125" t="str">
            <v>35/清洁</v>
          </cell>
          <cell r="N2125" t="str">
            <v>40/成检</v>
          </cell>
        </row>
        <row r="2126">
          <cell r="B2126" t="str">
            <v>CB2284462-001-001</v>
          </cell>
          <cell r="D2126" t="str">
            <v>C</v>
          </cell>
          <cell r="E2126" t="str">
            <v>准备工时</v>
          </cell>
          <cell r="G2126">
            <v>60</v>
          </cell>
          <cell r="J2126">
            <v>120</v>
          </cell>
          <cell r="K2126">
            <v>120</v>
          </cell>
        </row>
        <row r="2127">
          <cell r="B2127" t="str">
            <v>CB2284462-001-001</v>
          </cell>
          <cell r="D2127" t="str">
            <v>C</v>
          </cell>
          <cell r="E2127" t="str">
            <v>装夹时间</v>
          </cell>
        </row>
        <row r="2128">
          <cell r="B2128" t="str">
            <v>CB2284462-001-001</v>
          </cell>
          <cell r="D2128" t="str">
            <v>C</v>
          </cell>
          <cell r="E2128" t="str">
            <v>程序时间</v>
          </cell>
          <cell r="G2128">
            <v>15</v>
          </cell>
          <cell r="H2128">
            <v>10</v>
          </cell>
          <cell r="J2128">
            <v>70</v>
          </cell>
          <cell r="K2128">
            <v>30</v>
          </cell>
          <cell r="L2128">
            <v>30</v>
          </cell>
        </row>
        <row r="2129">
          <cell r="B2129" t="str">
            <v>Y20-5316100300-001</v>
          </cell>
          <cell r="D2129" t="str">
            <v>D</v>
          </cell>
          <cell r="E2129" t="str">
            <v>工序内容</v>
          </cell>
          <cell r="F2129" t="str">
            <v>0/领料</v>
          </cell>
          <cell r="G2129" t="str">
            <v>05/数铣</v>
          </cell>
          <cell r="H2129" t="str">
            <v>10/数铣</v>
          </cell>
          <cell r="I2129" t="str">
            <v>15/数铣</v>
          </cell>
          <cell r="J2129" t="str">
            <v>20/数铣</v>
          </cell>
          <cell r="K2129" t="str">
            <v>25/数铣</v>
          </cell>
          <cell r="L2129" t="str">
            <v>30/数铣</v>
          </cell>
          <cell r="M2129" t="str">
            <v>35/测量</v>
          </cell>
          <cell r="N2129" t="str">
            <v>40/钳工</v>
          </cell>
          <cell r="O2129" t="str">
            <v>43/数铣</v>
          </cell>
        </row>
        <row r="2130">
          <cell r="B2130" t="str">
            <v>Y20-5316100300-001</v>
          </cell>
          <cell r="D2130" t="str">
            <v>D</v>
          </cell>
          <cell r="E2130" t="str">
            <v>准备工时</v>
          </cell>
          <cell r="G2130">
            <v>60</v>
          </cell>
          <cell r="H2130">
            <v>60</v>
          </cell>
          <cell r="I2130">
            <v>90</v>
          </cell>
          <cell r="J2130">
            <v>90</v>
          </cell>
          <cell r="K2130">
            <v>90</v>
          </cell>
          <cell r="L2130">
            <v>90</v>
          </cell>
        </row>
        <row r="2131">
          <cell r="B2131" t="str">
            <v>Y20-5316100300-001</v>
          </cell>
          <cell r="D2131" t="str">
            <v>D</v>
          </cell>
          <cell r="E2131" t="str">
            <v>装夹时间</v>
          </cell>
        </row>
        <row r="2132">
          <cell r="B2132" t="str">
            <v>Y20-5316100300-001</v>
          </cell>
          <cell r="D2132" t="str">
            <v>D</v>
          </cell>
          <cell r="E2132" t="str">
            <v>程序时间</v>
          </cell>
          <cell r="G2132">
            <v>60</v>
          </cell>
          <cell r="H2132">
            <v>40</v>
          </cell>
          <cell r="I2132">
            <v>120</v>
          </cell>
          <cell r="J2132">
            <v>120</v>
          </cell>
          <cell r="K2132">
            <v>30</v>
          </cell>
          <cell r="L2132">
            <v>60</v>
          </cell>
          <cell r="N2132">
            <v>240</v>
          </cell>
          <cell r="O2132">
            <v>20</v>
          </cell>
        </row>
        <row r="2133">
          <cell r="B2133" t="str">
            <v>Y20-5316100301-001</v>
          </cell>
          <cell r="D2133" t="str">
            <v>D</v>
          </cell>
          <cell r="E2133" t="str">
            <v>工序内容</v>
          </cell>
          <cell r="F2133" t="str">
            <v>0/领料</v>
          </cell>
          <cell r="G2133" t="str">
            <v>05/数铣</v>
          </cell>
          <cell r="H2133" t="str">
            <v>10/数铣</v>
          </cell>
          <cell r="I2133" t="str">
            <v>15/数铣</v>
          </cell>
          <cell r="J2133" t="str">
            <v>20/数铣</v>
          </cell>
          <cell r="K2133" t="str">
            <v>25/数铣</v>
          </cell>
          <cell r="L2133" t="str">
            <v>30/数铣</v>
          </cell>
          <cell r="M2133" t="str">
            <v>35/测量</v>
          </cell>
          <cell r="N2133" t="str">
            <v>40/钳工</v>
          </cell>
          <cell r="O2133" t="str">
            <v>43/数铣</v>
          </cell>
        </row>
        <row r="2134">
          <cell r="B2134" t="str">
            <v>Y20-5316100301-001</v>
          </cell>
          <cell r="D2134" t="str">
            <v>D</v>
          </cell>
          <cell r="E2134" t="str">
            <v>准备工时</v>
          </cell>
          <cell r="G2134">
            <v>60</v>
          </cell>
          <cell r="H2134">
            <v>60</v>
          </cell>
          <cell r="I2134">
            <v>90</v>
          </cell>
          <cell r="J2134">
            <v>90</v>
          </cell>
          <cell r="K2134">
            <v>90</v>
          </cell>
          <cell r="L2134">
            <v>90</v>
          </cell>
        </row>
        <row r="2135">
          <cell r="B2135" t="str">
            <v>Y20-5316100301-001</v>
          </cell>
          <cell r="D2135" t="str">
            <v>D</v>
          </cell>
          <cell r="E2135" t="str">
            <v>装夹时间</v>
          </cell>
        </row>
        <row r="2136">
          <cell r="B2136" t="str">
            <v>Y20-5316100301-001</v>
          </cell>
          <cell r="D2136" t="str">
            <v>D</v>
          </cell>
          <cell r="E2136" t="str">
            <v>程序时间</v>
          </cell>
          <cell r="G2136">
            <v>60</v>
          </cell>
          <cell r="H2136">
            <v>40</v>
          </cell>
          <cell r="I2136">
            <v>120</v>
          </cell>
          <cell r="J2136">
            <v>120</v>
          </cell>
          <cell r="K2136">
            <v>30</v>
          </cell>
          <cell r="L2136">
            <v>60</v>
          </cell>
          <cell r="N2136">
            <v>240</v>
          </cell>
          <cell r="O2136">
            <v>20</v>
          </cell>
        </row>
        <row r="2137">
          <cell r="B2137" t="str">
            <v>DD-J10-21102-60/-1/1-Y</v>
          </cell>
          <cell r="D2137" t="str">
            <v>D</v>
          </cell>
          <cell r="E2137" t="str">
            <v>工序内容</v>
          </cell>
          <cell r="F2137" t="str">
            <v>0/领料</v>
          </cell>
          <cell r="G2137" t="str">
            <v>5/数铣</v>
          </cell>
          <cell r="H2137" t="str">
            <v>10/数铣</v>
          </cell>
          <cell r="I2137" t="str">
            <v>15/钳工</v>
          </cell>
          <cell r="J2137" t="str">
            <v>25/清洁</v>
          </cell>
          <cell r="K2137" t="str">
            <v>30/成检</v>
          </cell>
        </row>
        <row r="2138">
          <cell r="B2138" t="str">
            <v>DD-J10-21102-60/-1/1-Y</v>
          </cell>
          <cell r="D2138" t="str">
            <v>D</v>
          </cell>
          <cell r="E2138" t="str">
            <v>准备工时</v>
          </cell>
          <cell r="G2138">
            <v>60</v>
          </cell>
          <cell r="H2138">
            <v>120</v>
          </cell>
        </row>
        <row r="2139">
          <cell r="B2139" t="str">
            <v>DD-J10-21102-60/-1/1-Y</v>
          </cell>
          <cell r="D2139" t="str">
            <v>D</v>
          </cell>
          <cell r="E2139" t="str">
            <v>装夹时间</v>
          </cell>
        </row>
        <row r="2140">
          <cell r="B2140" t="str">
            <v>DD-J10-21102-60/-1/1-Y</v>
          </cell>
          <cell r="D2140" t="str">
            <v>D</v>
          </cell>
          <cell r="E2140" t="str">
            <v>程序时间</v>
          </cell>
          <cell r="G2140">
            <v>40</v>
          </cell>
          <cell r="H2140">
            <v>60</v>
          </cell>
          <cell r="I2140">
            <v>45</v>
          </cell>
        </row>
        <row r="2141">
          <cell r="B2141" t="str">
            <v>DD-J10-21102-60/-1/1-Z</v>
          </cell>
          <cell r="D2141" t="str">
            <v>D</v>
          </cell>
          <cell r="E2141" t="str">
            <v>工序内容</v>
          </cell>
          <cell r="F2141" t="str">
            <v>0/领料</v>
          </cell>
          <cell r="G2141" t="str">
            <v>5/数铣</v>
          </cell>
          <cell r="H2141" t="str">
            <v>10/数铣</v>
          </cell>
          <cell r="I2141" t="str">
            <v>15/钳工</v>
          </cell>
          <cell r="J2141" t="str">
            <v>25/清洁</v>
          </cell>
          <cell r="K2141" t="str">
            <v>30/成检</v>
          </cell>
        </row>
        <row r="2142">
          <cell r="B2142" t="str">
            <v>DD-J10-21102-60/-1/1-Z</v>
          </cell>
          <cell r="D2142" t="str">
            <v>D</v>
          </cell>
          <cell r="E2142" t="str">
            <v>准备工时</v>
          </cell>
          <cell r="G2142">
            <v>60</v>
          </cell>
          <cell r="H2142">
            <v>120</v>
          </cell>
        </row>
        <row r="2143">
          <cell r="B2143" t="str">
            <v>DD-J10-21102-60/-1/1-Z</v>
          </cell>
          <cell r="D2143" t="str">
            <v>D</v>
          </cell>
          <cell r="E2143" t="str">
            <v>装夹时间</v>
          </cell>
        </row>
        <row r="2144">
          <cell r="B2144" t="str">
            <v>DD-J10-21102-60/-1/1-Z</v>
          </cell>
          <cell r="D2144" t="str">
            <v>D</v>
          </cell>
          <cell r="E2144" t="str">
            <v>程序时间</v>
          </cell>
          <cell r="G2144">
            <v>40</v>
          </cell>
          <cell r="H2144">
            <v>60</v>
          </cell>
          <cell r="I2144">
            <v>45</v>
          </cell>
        </row>
        <row r="2145">
          <cell r="B2145" t="str">
            <v>DD-J10-21102-60/-1/2-Y</v>
          </cell>
          <cell r="D2145" t="str">
            <v>D</v>
          </cell>
          <cell r="E2145" t="str">
            <v>工序内容</v>
          </cell>
          <cell r="F2145" t="str">
            <v>0/领料</v>
          </cell>
          <cell r="G2145" t="str">
            <v>5/数铣</v>
          </cell>
          <cell r="H2145" t="str">
            <v>10/数铣</v>
          </cell>
          <cell r="I2145" t="str">
            <v>15/钳工</v>
          </cell>
          <cell r="J2145" t="str">
            <v>25/清洁</v>
          </cell>
          <cell r="K2145" t="str">
            <v>30/成检</v>
          </cell>
        </row>
        <row r="2146">
          <cell r="B2146" t="str">
            <v>DD-J10-21102-60/-1/2-Y</v>
          </cell>
          <cell r="D2146" t="str">
            <v>D</v>
          </cell>
          <cell r="E2146" t="str">
            <v>准备工时</v>
          </cell>
          <cell r="G2146">
            <v>60</v>
          </cell>
          <cell r="H2146">
            <v>120</v>
          </cell>
        </row>
        <row r="2147">
          <cell r="B2147" t="str">
            <v>DD-J10-21102-60/-1/2-Y</v>
          </cell>
          <cell r="D2147" t="str">
            <v>D</v>
          </cell>
          <cell r="E2147" t="str">
            <v>装夹时间</v>
          </cell>
        </row>
        <row r="2148">
          <cell r="B2148" t="str">
            <v>DD-J10-21102-60/-1/2-Y</v>
          </cell>
          <cell r="D2148" t="str">
            <v>D</v>
          </cell>
          <cell r="E2148" t="str">
            <v>程序时间</v>
          </cell>
          <cell r="G2148">
            <v>40</v>
          </cell>
          <cell r="H2148">
            <v>60</v>
          </cell>
          <cell r="I2148">
            <v>45</v>
          </cell>
        </row>
        <row r="2149">
          <cell r="B2149" t="str">
            <v>DD-J10-21102-60/-1/3-Y</v>
          </cell>
          <cell r="D2149" t="str">
            <v>D</v>
          </cell>
          <cell r="E2149" t="str">
            <v>工序内容</v>
          </cell>
          <cell r="F2149" t="str">
            <v>0/领料</v>
          </cell>
          <cell r="G2149" t="str">
            <v>5/数铣</v>
          </cell>
          <cell r="H2149" t="str">
            <v>10/数铣</v>
          </cell>
          <cell r="I2149" t="str">
            <v>15/钳工</v>
          </cell>
          <cell r="J2149" t="str">
            <v>25/清洁</v>
          </cell>
          <cell r="K2149" t="str">
            <v>30/成检</v>
          </cell>
        </row>
        <row r="2150">
          <cell r="B2150" t="str">
            <v>DD-J10-21102-60/-1/3-Y</v>
          </cell>
          <cell r="D2150" t="str">
            <v>D</v>
          </cell>
          <cell r="E2150" t="str">
            <v>准备工时</v>
          </cell>
          <cell r="G2150">
            <v>60</v>
          </cell>
          <cell r="H2150">
            <v>120</v>
          </cell>
        </row>
        <row r="2151">
          <cell r="B2151" t="str">
            <v>DD-J10-21102-60/-1/3-Y</v>
          </cell>
          <cell r="D2151" t="str">
            <v>D</v>
          </cell>
          <cell r="E2151" t="str">
            <v>装夹时间</v>
          </cell>
        </row>
        <row r="2152">
          <cell r="B2152" t="str">
            <v>DD-J10-21102-60/-1/3-Y</v>
          </cell>
          <cell r="D2152" t="str">
            <v>D</v>
          </cell>
          <cell r="E2152" t="str">
            <v>程序时间</v>
          </cell>
          <cell r="G2152">
            <v>40</v>
          </cell>
          <cell r="H2152">
            <v>60</v>
          </cell>
          <cell r="I2152">
            <v>45</v>
          </cell>
        </row>
        <row r="2153">
          <cell r="B2153" t="str">
            <v>DD-J10-21102-60/-1/4-Y</v>
          </cell>
          <cell r="D2153" t="str">
            <v>D</v>
          </cell>
          <cell r="E2153" t="str">
            <v>工序内容</v>
          </cell>
          <cell r="F2153" t="str">
            <v>0/领料</v>
          </cell>
          <cell r="G2153" t="str">
            <v>5/数铣</v>
          </cell>
          <cell r="H2153" t="str">
            <v>10/数铣</v>
          </cell>
          <cell r="I2153" t="str">
            <v>15/钳工</v>
          </cell>
          <cell r="J2153" t="str">
            <v>25/清洁</v>
          </cell>
          <cell r="K2153" t="str">
            <v>30/成检</v>
          </cell>
        </row>
        <row r="2154">
          <cell r="B2154" t="str">
            <v>DD-J10-21102-60/-1/4-Y</v>
          </cell>
          <cell r="D2154" t="str">
            <v>D</v>
          </cell>
          <cell r="E2154" t="str">
            <v>准备工时</v>
          </cell>
          <cell r="G2154">
            <v>60</v>
          </cell>
          <cell r="H2154">
            <v>120</v>
          </cell>
        </row>
        <row r="2155">
          <cell r="B2155" t="str">
            <v>DD-J10-21102-60/-1/4-Y</v>
          </cell>
          <cell r="D2155" t="str">
            <v>D</v>
          </cell>
          <cell r="E2155" t="str">
            <v>装夹时间</v>
          </cell>
        </row>
        <row r="2156">
          <cell r="B2156" t="str">
            <v>DD-J10-21102-60/-1/4-Y</v>
          </cell>
          <cell r="D2156" t="str">
            <v>D</v>
          </cell>
          <cell r="E2156" t="str">
            <v>程序时间</v>
          </cell>
          <cell r="G2156">
            <v>40</v>
          </cell>
          <cell r="H2156">
            <v>60</v>
          </cell>
          <cell r="I2156">
            <v>45</v>
          </cell>
        </row>
        <row r="2157">
          <cell r="B2157" t="str">
            <v>DD-J10-21102-60/-1/3-Z</v>
          </cell>
          <cell r="D2157" t="str">
            <v>D</v>
          </cell>
          <cell r="E2157" t="str">
            <v>工序内容</v>
          </cell>
          <cell r="F2157" t="str">
            <v>0/领料</v>
          </cell>
          <cell r="G2157" t="str">
            <v>5/数铣</v>
          </cell>
          <cell r="H2157" t="str">
            <v>10/数铣</v>
          </cell>
          <cell r="I2157" t="str">
            <v>15/钳工</v>
          </cell>
          <cell r="J2157" t="str">
            <v>25/清洁</v>
          </cell>
          <cell r="K2157" t="str">
            <v>30/成检</v>
          </cell>
        </row>
        <row r="2158">
          <cell r="B2158" t="str">
            <v>DD-J10-21102-60/-1/3-Z</v>
          </cell>
          <cell r="D2158" t="str">
            <v>D</v>
          </cell>
          <cell r="E2158" t="str">
            <v>准备工时</v>
          </cell>
          <cell r="G2158">
            <v>60</v>
          </cell>
          <cell r="H2158">
            <v>120</v>
          </cell>
        </row>
        <row r="2159">
          <cell r="B2159" t="str">
            <v>DD-J10-21102-60/-1/3-Z</v>
          </cell>
          <cell r="D2159" t="str">
            <v>D</v>
          </cell>
          <cell r="E2159" t="str">
            <v>装夹时间</v>
          </cell>
        </row>
        <row r="2160">
          <cell r="B2160" t="str">
            <v>DD-J10-21102-60/-1/3-Z</v>
          </cell>
          <cell r="D2160" t="str">
            <v>D</v>
          </cell>
          <cell r="E2160" t="str">
            <v>程序时间</v>
          </cell>
          <cell r="G2160">
            <v>40</v>
          </cell>
          <cell r="H2160">
            <v>60</v>
          </cell>
          <cell r="I2160">
            <v>45</v>
          </cell>
        </row>
        <row r="2161">
          <cell r="B2161" t="str">
            <v>DD-J10-21102-60/-1/2-Z</v>
          </cell>
          <cell r="D2161" t="str">
            <v>D</v>
          </cell>
          <cell r="E2161" t="str">
            <v>工序内容</v>
          </cell>
          <cell r="F2161" t="str">
            <v>0/领料</v>
          </cell>
          <cell r="G2161" t="str">
            <v>5/数铣</v>
          </cell>
          <cell r="H2161" t="str">
            <v>10/数铣</v>
          </cell>
          <cell r="I2161" t="str">
            <v>15/钳工</v>
          </cell>
          <cell r="J2161" t="str">
            <v>25/清洁</v>
          </cell>
          <cell r="K2161" t="str">
            <v>30/成检</v>
          </cell>
        </row>
        <row r="2162">
          <cell r="B2162" t="str">
            <v>DD-J10-21102-60/-1/2-Z</v>
          </cell>
          <cell r="D2162" t="str">
            <v>D</v>
          </cell>
          <cell r="E2162" t="str">
            <v>准备工时</v>
          </cell>
          <cell r="G2162">
            <v>60</v>
          </cell>
          <cell r="H2162">
            <v>120</v>
          </cell>
        </row>
        <row r="2163">
          <cell r="B2163" t="str">
            <v>DD-J10-21102-60/-1/2-Z</v>
          </cell>
          <cell r="D2163" t="str">
            <v>D</v>
          </cell>
          <cell r="E2163" t="str">
            <v>装夹时间</v>
          </cell>
        </row>
        <row r="2164">
          <cell r="B2164" t="str">
            <v>DD-J10-21102-60/-1/2-Z</v>
          </cell>
          <cell r="D2164" t="str">
            <v>D</v>
          </cell>
          <cell r="E2164" t="str">
            <v>程序时间</v>
          </cell>
          <cell r="G2164">
            <v>40</v>
          </cell>
          <cell r="H2164">
            <v>60</v>
          </cell>
          <cell r="I2164">
            <v>45</v>
          </cell>
        </row>
        <row r="2165">
          <cell r="B2165" t="str">
            <v>DD-J10-21102-60/-1/4-Z</v>
          </cell>
          <cell r="D2165" t="str">
            <v>D</v>
          </cell>
          <cell r="E2165" t="str">
            <v>工序内容</v>
          </cell>
          <cell r="F2165" t="str">
            <v>0/领料</v>
          </cell>
          <cell r="G2165" t="str">
            <v>5/数铣</v>
          </cell>
          <cell r="H2165" t="str">
            <v>10/数铣</v>
          </cell>
          <cell r="I2165" t="str">
            <v>15/钳工</v>
          </cell>
          <cell r="J2165" t="str">
            <v>25/清洁</v>
          </cell>
          <cell r="K2165" t="str">
            <v>30/成检</v>
          </cell>
        </row>
        <row r="2166">
          <cell r="B2166" t="str">
            <v>DD-J10-21102-60/-1/4-Z</v>
          </cell>
          <cell r="D2166" t="str">
            <v>D</v>
          </cell>
          <cell r="E2166" t="str">
            <v>准备工时</v>
          </cell>
          <cell r="G2166">
            <v>60</v>
          </cell>
          <cell r="H2166">
            <v>120</v>
          </cell>
        </row>
        <row r="2167">
          <cell r="B2167" t="str">
            <v>DD-J10-21102-60/-1/4-Z</v>
          </cell>
          <cell r="D2167" t="str">
            <v>D</v>
          </cell>
          <cell r="E2167" t="str">
            <v>装夹时间</v>
          </cell>
        </row>
        <row r="2168">
          <cell r="B2168" t="str">
            <v>DD-J10-21102-60/-1/4-Z</v>
          </cell>
          <cell r="D2168" t="str">
            <v>D</v>
          </cell>
          <cell r="E2168" t="str">
            <v>程序时间</v>
          </cell>
          <cell r="G2168">
            <v>40</v>
          </cell>
          <cell r="H2168">
            <v>60</v>
          </cell>
          <cell r="I2168">
            <v>45</v>
          </cell>
        </row>
        <row r="2169">
          <cell r="B2169" t="str">
            <v>BC5822100-009-001</v>
          </cell>
          <cell r="D2169" t="str">
            <v>B</v>
          </cell>
          <cell r="E2169" t="str">
            <v>工序内容</v>
          </cell>
          <cell r="F2169" t="str">
            <v>0/领料</v>
          </cell>
          <cell r="G2169" t="str">
            <v>05/数车25</v>
          </cell>
          <cell r="H2169" t="str">
            <v>10/数车5</v>
          </cell>
          <cell r="I2169" t="str">
            <v>15/花键</v>
          </cell>
          <cell r="J2169" t="str">
            <v>20/钳工</v>
          </cell>
          <cell r="K2169" t="str">
            <v>25/数车15</v>
          </cell>
          <cell r="L2169" t="str">
            <v>30/数车10</v>
          </cell>
          <cell r="M2169" t="str">
            <v>35/钳工</v>
          </cell>
          <cell r="N2169" t="str">
            <v>40/清洁</v>
          </cell>
          <cell r="O2169" t="str">
            <v>45/成检</v>
          </cell>
        </row>
        <row r="2170">
          <cell r="B2170" t="str">
            <v>BC5822100-009-001</v>
          </cell>
          <cell r="D2170" t="str">
            <v>B</v>
          </cell>
          <cell r="E2170" t="str">
            <v>准备工时</v>
          </cell>
          <cell r="G2170">
            <v>60</v>
          </cell>
          <cell r="H2170">
            <v>60</v>
          </cell>
          <cell r="K2170">
            <v>60</v>
          </cell>
          <cell r="L2170">
            <v>60</v>
          </cell>
        </row>
        <row r="2171">
          <cell r="B2171" t="str">
            <v>BC5822100-009-001</v>
          </cell>
          <cell r="D2171" t="str">
            <v>B</v>
          </cell>
          <cell r="E2171" t="str">
            <v>装夹时间</v>
          </cell>
        </row>
        <row r="2172">
          <cell r="B2172" t="str">
            <v>BC5822100-009-001</v>
          </cell>
          <cell r="D2172" t="str">
            <v>B</v>
          </cell>
          <cell r="E2172" t="str">
            <v>程序时间</v>
          </cell>
          <cell r="G2172">
            <v>25</v>
          </cell>
          <cell r="H2172">
            <v>8</v>
          </cell>
          <cell r="J2172">
            <v>15</v>
          </cell>
          <cell r="K2172">
            <v>20</v>
          </cell>
          <cell r="L2172">
            <v>15</v>
          </cell>
          <cell r="M2172">
            <v>20</v>
          </cell>
        </row>
        <row r="2173">
          <cell r="B2173" t="str">
            <v>Y20-5318200003-001</v>
          </cell>
          <cell r="D2173" t="str">
            <v>C</v>
          </cell>
          <cell r="E2173" t="str">
            <v>工序内容</v>
          </cell>
          <cell r="F2173" t="str">
            <v>0/领料</v>
          </cell>
          <cell r="G2173" t="str">
            <v>5/数车55</v>
          </cell>
          <cell r="H2173" t="str">
            <v>10/数车5</v>
          </cell>
          <cell r="I2173" t="str">
            <v>15/钳工</v>
          </cell>
          <cell r="J2173" t="str">
            <v>20/清洁</v>
          </cell>
          <cell r="K2173" t="str">
            <v>25/成检</v>
          </cell>
        </row>
        <row r="2174">
          <cell r="B2174" t="str">
            <v>Y20-5318200003-001</v>
          </cell>
          <cell r="D2174" t="str">
            <v>C</v>
          </cell>
          <cell r="E2174" t="str">
            <v>准备工时</v>
          </cell>
          <cell r="G2174">
            <v>90</v>
          </cell>
          <cell r="H2174">
            <v>60</v>
          </cell>
        </row>
        <row r="2175">
          <cell r="B2175" t="str">
            <v>Y20-5318200003-001</v>
          </cell>
          <cell r="D2175" t="str">
            <v>C</v>
          </cell>
          <cell r="E2175" t="str">
            <v>装夹时间</v>
          </cell>
        </row>
        <row r="2176">
          <cell r="B2176" t="str">
            <v>Y20-5318200003-001</v>
          </cell>
          <cell r="D2176" t="str">
            <v>C</v>
          </cell>
          <cell r="E2176" t="str">
            <v>程序时间</v>
          </cell>
          <cell r="G2176">
            <v>80</v>
          </cell>
          <cell r="H2176">
            <v>10</v>
          </cell>
          <cell r="I2176">
            <v>35</v>
          </cell>
        </row>
        <row r="2177">
          <cell r="B2177" t="str">
            <v>Y20-5318200003-002</v>
          </cell>
          <cell r="D2177" t="str">
            <v>C</v>
          </cell>
          <cell r="E2177" t="str">
            <v>工序内容</v>
          </cell>
          <cell r="F2177" t="str">
            <v>0/领料</v>
          </cell>
          <cell r="G2177" t="str">
            <v>5/数车55</v>
          </cell>
          <cell r="H2177" t="str">
            <v>10/数车5</v>
          </cell>
          <cell r="I2177" t="str">
            <v>15/钳工</v>
          </cell>
          <cell r="J2177" t="str">
            <v>20/清洁</v>
          </cell>
          <cell r="K2177" t="str">
            <v>25/成检</v>
          </cell>
        </row>
        <row r="2178">
          <cell r="B2178" t="str">
            <v>Y20-5318200003-002</v>
          </cell>
          <cell r="D2178" t="str">
            <v>C</v>
          </cell>
          <cell r="E2178" t="str">
            <v>准备工时</v>
          </cell>
          <cell r="G2178">
            <v>90</v>
          </cell>
          <cell r="H2178">
            <v>60</v>
          </cell>
        </row>
        <row r="2179">
          <cell r="B2179" t="str">
            <v>Y20-5318200003-002</v>
          </cell>
          <cell r="D2179" t="str">
            <v>C</v>
          </cell>
          <cell r="E2179" t="str">
            <v>装夹时间</v>
          </cell>
        </row>
        <row r="2180">
          <cell r="B2180" t="str">
            <v>Y20-5318200003-002</v>
          </cell>
          <cell r="D2180" t="str">
            <v>C</v>
          </cell>
          <cell r="E2180" t="str">
            <v>程序时间</v>
          </cell>
          <cell r="G2180">
            <v>80</v>
          </cell>
          <cell r="H2180">
            <v>10</v>
          </cell>
          <cell r="I2180">
            <v>35</v>
          </cell>
        </row>
        <row r="2181">
          <cell r="B2181" t="str">
            <v>Y20-5318200002-001</v>
          </cell>
          <cell r="D2181" t="str">
            <v>C</v>
          </cell>
          <cell r="E2181" t="str">
            <v>工序内容</v>
          </cell>
          <cell r="F2181" t="str">
            <v>0/领料</v>
          </cell>
          <cell r="G2181" t="str">
            <v>5/数车55</v>
          </cell>
          <cell r="H2181" t="str">
            <v>10/数车5</v>
          </cell>
          <cell r="I2181" t="str">
            <v>15/钳工</v>
          </cell>
          <cell r="J2181" t="str">
            <v>20/清洁</v>
          </cell>
          <cell r="K2181" t="str">
            <v>25/成检</v>
          </cell>
        </row>
        <row r="2182">
          <cell r="B2182" t="str">
            <v>Y20-5318200002-001</v>
          </cell>
          <cell r="D2182" t="str">
            <v>C</v>
          </cell>
          <cell r="E2182" t="str">
            <v>准备工时</v>
          </cell>
          <cell r="G2182">
            <v>120</v>
          </cell>
          <cell r="H2182">
            <v>120</v>
          </cell>
        </row>
        <row r="2183">
          <cell r="B2183" t="str">
            <v>Y20-5318200002-001</v>
          </cell>
          <cell r="D2183" t="str">
            <v>C</v>
          </cell>
          <cell r="E2183" t="str">
            <v>装夹时间</v>
          </cell>
        </row>
        <row r="2184">
          <cell r="B2184" t="str">
            <v>Y20-5318200002-001</v>
          </cell>
          <cell r="D2184" t="str">
            <v>C</v>
          </cell>
          <cell r="E2184" t="str">
            <v>程序时间</v>
          </cell>
          <cell r="G2184">
            <v>180</v>
          </cell>
          <cell r="H2184">
            <v>20</v>
          </cell>
          <cell r="I2184">
            <v>35</v>
          </cell>
        </row>
        <row r="2185">
          <cell r="B2185" t="str">
            <v>Y20-5318200002-002</v>
          </cell>
          <cell r="D2185" t="str">
            <v>C</v>
          </cell>
          <cell r="E2185" t="str">
            <v>工序内容</v>
          </cell>
          <cell r="F2185" t="str">
            <v>0/领料</v>
          </cell>
          <cell r="G2185" t="str">
            <v>5/数车55</v>
          </cell>
          <cell r="H2185" t="str">
            <v>10/数车5</v>
          </cell>
          <cell r="I2185" t="str">
            <v>15/钳工</v>
          </cell>
          <cell r="J2185" t="str">
            <v>20/清洁</v>
          </cell>
          <cell r="K2185" t="str">
            <v>25/成检</v>
          </cell>
        </row>
        <row r="2186">
          <cell r="B2186" t="str">
            <v>Y20-5318200002-002</v>
          </cell>
          <cell r="D2186" t="str">
            <v>C</v>
          </cell>
          <cell r="E2186" t="str">
            <v>准备工时</v>
          </cell>
          <cell r="G2186">
            <v>120</v>
          </cell>
          <cell r="H2186">
            <v>120</v>
          </cell>
        </row>
        <row r="2187">
          <cell r="B2187" t="str">
            <v>Y20-5318200002-002</v>
          </cell>
          <cell r="D2187" t="str">
            <v>C</v>
          </cell>
          <cell r="E2187" t="str">
            <v>装夹时间</v>
          </cell>
        </row>
        <row r="2188">
          <cell r="B2188" t="str">
            <v>Y20-5318200002-002</v>
          </cell>
          <cell r="D2188" t="str">
            <v>C</v>
          </cell>
          <cell r="E2188" t="str">
            <v>程序时间</v>
          </cell>
          <cell r="G2188">
            <v>180</v>
          </cell>
          <cell r="H2188">
            <v>20</v>
          </cell>
          <cell r="I2188">
            <v>35</v>
          </cell>
        </row>
        <row r="2189">
          <cell r="B2189" t="str">
            <v>CB5811100-014-001</v>
          </cell>
          <cell r="D2189" t="str">
            <v>B</v>
          </cell>
          <cell r="E2189" t="str">
            <v>工序内容</v>
          </cell>
          <cell r="F2189" t="str">
            <v>0/领料</v>
          </cell>
          <cell r="G2189" t="str">
            <v>05/数车15</v>
          </cell>
          <cell r="H2189" t="str">
            <v>10/数车5</v>
          </cell>
          <cell r="I2189" t="str">
            <v>15/钳工</v>
          </cell>
          <cell r="J2189" t="str">
            <v>20/分光</v>
          </cell>
          <cell r="K2189" t="str">
            <v>25/热处理</v>
          </cell>
          <cell r="L2189" t="str">
            <v>30/数铣10</v>
          </cell>
          <cell r="M2189" t="str">
            <v>35/数车30</v>
          </cell>
          <cell r="N2189" t="str">
            <v>40/数车5</v>
          </cell>
          <cell r="O2189" t="str">
            <v>45/数车15</v>
          </cell>
          <cell r="P2189" t="str">
            <v>50/钳工</v>
          </cell>
          <cell r="Q2189" t="str">
            <v>55/清洁</v>
          </cell>
          <cell r="R2189" t="str">
            <v>60/成检</v>
          </cell>
        </row>
        <row r="2190">
          <cell r="B2190" t="str">
            <v>CB5811100-014-001</v>
          </cell>
          <cell r="D2190" t="str">
            <v>B</v>
          </cell>
          <cell r="E2190" t="str">
            <v>准备工时</v>
          </cell>
          <cell r="G2190">
            <v>90</v>
          </cell>
          <cell r="H2190">
            <v>90</v>
          </cell>
          <cell r="L2190">
            <v>90</v>
          </cell>
          <cell r="M2190">
            <v>90</v>
          </cell>
          <cell r="N2190">
            <v>90</v>
          </cell>
          <cell r="O2190">
            <v>90</v>
          </cell>
        </row>
        <row r="2191">
          <cell r="B2191" t="str">
            <v>CB5811100-014-001</v>
          </cell>
          <cell r="D2191" t="str">
            <v>B</v>
          </cell>
          <cell r="E2191" t="str">
            <v>装夹时间</v>
          </cell>
        </row>
        <row r="2192">
          <cell r="B2192" t="str">
            <v>CB5811100-014-001</v>
          </cell>
          <cell r="D2192" t="str">
            <v>B</v>
          </cell>
          <cell r="E2192" t="str">
            <v>程序时间</v>
          </cell>
          <cell r="G2192">
            <v>30</v>
          </cell>
          <cell r="H2192">
            <v>10</v>
          </cell>
          <cell r="I2192">
            <v>10</v>
          </cell>
          <cell r="L2192">
            <v>20</v>
          </cell>
          <cell r="M2192">
            <v>40</v>
          </cell>
          <cell r="N2192">
            <v>10</v>
          </cell>
          <cell r="O2192">
            <v>25</v>
          </cell>
          <cell r="P2192">
            <v>15</v>
          </cell>
        </row>
        <row r="2193">
          <cell r="B2193" t="str">
            <v>DD-J10B-21402-10G2-1G2-Z</v>
          </cell>
          <cell r="D2193" t="str">
            <v>G</v>
          </cell>
          <cell r="E2193" t="str">
            <v>工序内容</v>
          </cell>
          <cell r="F2193" t="str">
            <v>00/领料</v>
          </cell>
          <cell r="G2193" t="str">
            <v>5/钳工</v>
          </cell>
          <cell r="H2193" t="str">
            <v>10/数铣</v>
          </cell>
          <cell r="I2193" t="str">
            <v>15/数铣107</v>
          </cell>
          <cell r="J2193" t="str">
            <v>20/数铣192</v>
          </cell>
          <cell r="K2193" t="str">
            <v>25/数铣22</v>
          </cell>
          <cell r="L2193" t="str">
            <v>30/数铣13</v>
          </cell>
          <cell r="M2193" t="str">
            <v>35/数铣201</v>
          </cell>
          <cell r="N2193" t="str">
            <v>40/数铣317</v>
          </cell>
          <cell r="O2193" t="str">
            <v>45/数铣160</v>
          </cell>
          <cell r="P2193" t="str">
            <v>50/五轴30</v>
          </cell>
          <cell r="Q2193" t="str">
            <v>55/五轴400</v>
          </cell>
          <cell r="R2193" t="str">
            <v>60/测量</v>
          </cell>
          <cell r="S2193" t="str">
            <v>65/钳工</v>
          </cell>
          <cell r="T2193" t="str">
            <v>70/数铣</v>
          </cell>
          <cell r="U2193" t="str">
            <v>75/清洁</v>
          </cell>
          <cell r="V2193" t="str">
            <v>80/成检</v>
          </cell>
        </row>
        <row r="2194">
          <cell r="B2194" t="str">
            <v>DD-J10B-21402-10G2-1G2-Z</v>
          </cell>
          <cell r="D2194" t="str">
            <v>G</v>
          </cell>
          <cell r="E2194" t="str">
            <v>准备工时</v>
          </cell>
          <cell r="H2194">
            <v>60</v>
          </cell>
          <cell r="I2194">
            <v>60</v>
          </cell>
          <cell r="J2194">
            <v>60</v>
          </cell>
          <cell r="K2194">
            <v>60</v>
          </cell>
          <cell r="L2194">
            <v>60</v>
          </cell>
          <cell r="M2194">
            <v>120</v>
          </cell>
          <cell r="N2194">
            <v>120</v>
          </cell>
          <cell r="O2194">
            <v>180</v>
          </cell>
          <cell r="P2194">
            <v>150</v>
          </cell>
          <cell r="Q2194">
            <v>120</v>
          </cell>
        </row>
        <row r="2195">
          <cell r="B2195" t="str">
            <v>DD-J10B-21402-10G2-1G2-Z</v>
          </cell>
          <cell r="D2195" t="str">
            <v>G</v>
          </cell>
          <cell r="E2195" t="str">
            <v>装夹时间</v>
          </cell>
          <cell r="H2195">
            <v>60</v>
          </cell>
          <cell r="I2195">
            <v>60</v>
          </cell>
          <cell r="J2195">
            <v>60</v>
          </cell>
          <cell r="K2195">
            <v>60</v>
          </cell>
          <cell r="L2195">
            <v>60</v>
          </cell>
          <cell r="M2195">
            <v>60</v>
          </cell>
          <cell r="N2195">
            <v>60</v>
          </cell>
          <cell r="O2195">
            <v>60</v>
          </cell>
          <cell r="P2195">
            <v>90</v>
          </cell>
          <cell r="Q2195">
            <v>60</v>
          </cell>
        </row>
        <row r="2196">
          <cell r="B2196" t="str">
            <v>DD-J10B-21402-10G2-1G2-Z</v>
          </cell>
          <cell r="D2196" t="str">
            <v>G</v>
          </cell>
          <cell r="E2196" t="str">
            <v>程序时间</v>
          </cell>
          <cell r="H2196">
            <v>120</v>
          </cell>
          <cell r="I2196">
            <v>150</v>
          </cell>
          <cell r="J2196">
            <v>210</v>
          </cell>
          <cell r="K2196">
            <v>60</v>
          </cell>
          <cell r="L2196">
            <v>60</v>
          </cell>
          <cell r="M2196">
            <v>330</v>
          </cell>
          <cell r="N2196">
            <v>510</v>
          </cell>
          <cell r="O2196">
            <v>180</v>
          </cell>
          <cell r="P2196">
            <v>150</v>
          </cell>
          <cell r="Q2196">
            <v>1040</v>
          </cell>
          <cell r="S2196">
            <v>360</v>
          </cell>
          <cell r="T2196">
            <v>20</v>
          </cell>
        </row>
        <row r="2197">
          <cell r="B2197" t="str">
            <v>DD-J10B-21402-10G2-1G2-Y</v>
          </cell>
          <cell r="D2197" t="str">
            <v>G</v>
          </cell>
          <cell r="E2197" t="str">
            <v>工序内容</v>
          </cell>
          <cell r="F2197" t="str">
            <v>00/领料</v>
          </cell>
          <cell r="G2197" t="str">
            <v>5/钳工</v>
          </cell>
          <cell r="H2197" t="str">
            <v>10/数铣</v>
          </cell>
          <cell r="I2197" t="str">
            <v>15/数铣107</v>
          </cell>
          <cell r="J2197" t="str">
            <v>20/数铣192</v>
          </cell>
          <cell r="K2197" t="str">
            <v>25/数铣22</v>
          </cell>
          <cell r="L2197" t="str">
            <v>30/数铣13</v>
          </cell>
          <cell r="M2197" t="str">
            <v>35/数铣201</v>
          </cell>
          <cell r="N2197" t="str">
            <v>40/数铣317</v>
          </cell>
          <cell r="O2197" t="str">
            <v>45/数铣160</v>
          </cell>
          <cell r="P2197" t="str">
            <v>50/五轴30</v>
          </cell>
          <cell r="Q2197" t="str">
            <v>55/五轴400</v>
          </cell>
          <cell r="R2197" t="str">
            <v>60/测量</v>
          </cell>
          <cell r="S2197" t="str">
            <v>65/钳工</v>
          </cell>
          <cell r="T2197" t="str">
            <v>70/数铣</v>
          </cell>
          <cell r="U2197" t="str">
            <v>75/清洁</v>
          </cell>
          <cell r="V2197" t="str">
            <v>80/成检</v>
          </cell>
        </row>
        <row r="2198">
          <cell r="B2198" t="str">
            <v>DD-J10B-21402-10G2-1G2-Y</v>
          </cell>
          <cell r="D2198" t="str">
            <v>G</v>
          </cell>
          <cell r="E2198" t="str">
            <v>准备工时</v>
          </cell>
          <cell r="H2198">
            <v>60</v>
          </cell>
          <cell r="I2198">
            <v>60</v>
          </cell>
          <cell r="J2198">
            <v>60</v>
          </cell>
          <cell r="K2198">
            <v>60</v>
          </cell>
          <cell r="L2198">
            <v>60</v>
          </cell>
          <cell r="M2198">
            <v>120</v>
          </cell>
          <cell r="N2198">
            <v>120</v>
          </cell>
          <cell r="O2198">
            <v>180</v>
          </cell>
          <cell r="P2198">
            <v>150</v>
          </cell>
          <cell r="Q2198">
            <v>120</v>
          </cell>
        </row>
        <row r="2199">
          <cell r="B2199" t="str">
            <v>DD-J10B-21402-10G2-1G2-Y</v>
          </cell>
          <cell r="D2199" t="str">
            <v>G</v>
          </cell>
          <cell r="E2199" t="str">
            <v>装夹时间</v>
          </cell>
          <cell r="H2199">
            <v>60</v>
          </cell>
          <cell r="I2199">
            <v>60</v>
          </cell>
          <cell r="J2199">
            <v>60</v>
          </cell>
          <cell r="K2199">
            <v>60</v>
          </cell>
          <cell r="L2199">
            <v>60</v>
          </cell>
          <cell r="M2199">
            <v>60</v>
          </cell>
          <cell r="N2199">
            <v>60</v>
          </cell>
          <cell r="O2199">
            <v>60</v>
          </cell>
          <cell r="P2199">
            <v>90</v>
          </cell>
          <cell r="Q2199">
            <v>60</v>
          </cell>
        </row>
        <row r="2200">
          <cell r="B2200" t="str">
            <v>DD-J10B-21402-10G2-1G2-Y</v>
          </cell>
          <cell r="D2200" t="str">
            <v>G</v>
          </cell>
          <cell r="E2200" t="str">
            <v>程序时间</v>
          </cell>
          <cell r="H2200">
            <v>120</v>
          </cell>
          <cell r="I2200">
            <v>150</v>
          </cell>
          <cell r="J2200">
            <v>210</v>
          </cell>
          <cell r="K2200">
            <v>60</v>
          </cell>
          <cell r="L2200">
            <v>60</v>
          </cell>
          <cell r="M2200">
            <v>330</v>
          </cell>
          <cell r="N2200">
            <v>510</v>
          </cell>
          <cell r="O2200">
            <v>180</v>
          </cell>
          <cell r="P2200">
            <v>150</v>
          </cell>
          <cell r="Q2200">
            <v>1040</v>
          </cell>
          <cell r="S2200">
            <v>360</v>
          </cell>
          <cell r="T2200">
            <v>20</v>
          </cell>
        </row>
        <row r="2201">
          <cell r="B2201" t="str">
            <v>CB2287717-003-001</v>
          </cell>
          <cell r="D2201" t="str">
            <v>B</v>
          </cell>
          <cell r="E2201" t="str">
            <v>工序内容</v>
          </cell>
          <cell r="F2201" t="str">
            <v>0/领料</v>
          </cell>
          <cell r="G2201" t="str">
            <v>05/数铣</v>
          </cell>
          <cell r="H2201" t="str">
            <v>10/数铣50</v>
          </cell>
          <cell r="I2201" t="str">
            <v>15/线切割</v>
          </cell>
          <cell r="J2201" t="str">
            <v>20/数铣15</v>
          </cell>
          <cell r="K2201" t="str">
            <v>25/数铣15</v>
          </cell>
          <cell r="L2201" t="str">
            <v>30/钳工</v>
          </cell>
          <cell r="M2201" t="str">
            <v>35/清洁</v>
          </cell>
          <cell r="N2201" t="str">
            <v>40/检验</v>
          </cell>
          <cell r="O2201" t="str">
            <v>45/分光</v>
          </cell>
          <cell r="P2201" t="str">
            <v>50/硬度</v>
          </cell>
          <cell r="Q2201" t="str">
            <v>55/钳工</v>
          </cell>
          <cell r="R2201" t="str">
            <v>60/清洁</v>
          </cell>
          <cell r="S2201" t="str">
            <v>65/成检</v>
          </cell>
        </row>
        <row r="2202">
          <cell r="B2202" t="str">
            <v>CB2287717-003-001</v>
          </cell>
          <cell r="D2202" t="str">
            <v>B</v>
          </cell>
          <cell r="E2202" t="str">
            <v>准备工时</v>
          </cell>
          <cell r="G2202">
            <v>60</v>
          </cell>
          <cell r="H2202">
            <v>60</v>
          </cell>
          <cell r="J2202">
            <v>60</v>
          </cell>
          <cell r="K2202">
            <v>60</v>
          </cell>
        </row>
        <row r="2203">
          <cell r="B2203" t="str">
            <v>CB2287717-003-001</v>
          </cell>
          <cell r="D2203" t="str">
            <v>B</v>
          </cell>
          <cell r="E2203" t="str">
            <v>装夹时间</v>
          </cell>
        </row>
        <row r="2204">
          <cell r="B2204" t="str">
            <v>CB2287717-003-001</v>
          </cell>
          <cell r="D2204" t="str">
            <v>B</v>
          </cell>
          <cell r="E2204" t="str">
            <v>程序时间</v>
          </cell>
          <cell r="G2204">
            <v>40</v>
          </cell>
          <cell r="H2204">
            <v>70</v>
          </cell>
          <cell r="J2204">
            <v>25</v>
          </cell>
          <cell r="K2204">
            <v>25</v>
          </cell>
          <cell r="L2204">
            <v>20</v>
          </cell>
          <cell r="Q2204">
            <v>10</v>
          </cell>
        </row>
        <row r="2205">
          <cell r="B2205" t="str">
            <v>Y20-5316100300-001</v>
          </cell>
          <cell r="D2205" t="str">
            <v>C</v>
          </cell>
          <cell r="E2205" t="str">
            <v>工序内容</v>
          </cell>
          <cell r="F2205" t="str">
            <v>0/领料</v>
          </cell>
          <cell r="G2205" t="str">
            <v>05/数铣</v>
          </cell>
          <cell r="H2205" t="str">
            <v>10/数铣20</v>
          </cell>
          <cell r="I2205" t="str">
            <v>15/数铣75</v>
          </cell>
          <cell r="J2205" t="str">
            <v>20/数铣75</v>
          </cell>
          <cell r="K2205" t="str">
            <v>25/数铣10</v>
          </cell>
          <cell r="L2205" t="str">
            <v>30/数铣30</v>
          </cell>
          <cell r="M2205" t="str">
            <v>35/钳工</v>
          </cell>
          <cell r="N2205" t="str">
            <v>40/清洁</v>
          </cell>
          <cell r="O2205" t="str">
            <v>45/成检</v>
          </cell>
        </row>
        <row r="2206">
          <cell r="B2206" t="str">
            <v>Y20-5316100300-001</v>
          </cell>
          <cell r="D2206" t="str">
            <v>C</v>
          </cell>
          <cell r="E2206" t="str">
            <v>准备工时</v>
          </cell>
          <cell r="G2206">
            <v>60</v>
          </cell>
          <cell r="H2206">
            <v>60</v>
          </cell>
          <cell r="I2206">
            <v>90</v>
          </cell>
          <cell r="J2206">
            <v>90</v>
          </cell>
          <cell r="K2206">
            <v>90</v>
          </cell>
          <cell r="L2206">
            <v>90</v>
          </cell>
        </row>
        <row r="2207">
          <cell r="B2207" t="str">
            <v>Y20-5316100300-001</v>
          </cell>
          <cell r="D2207" t="str">
            <v>C</v>
          </cell>
          <cell r="E2207" t="str">
            <v>装夹时间</v>
          </cell>
        </row>
        <row r="2208">
          <cell r="B2208" t="str">
            <v>Y20-5316100300-001</v>
          </cell>
          <cell r="D2208" t="str">
            <v>C</v>
          </cell>
          <cell r="E2208" t="str">
            <v>程序时间</v>
          </cell>
          <cell r="G2208">
            <v>60</v>
          </cell>
          <cell r="H2208">
            <v>40</v>
          </cell>
          <cell r="I2208">
            <v>120</v>
          </cell>
          <cell r="J2208">
            <v>120</v>
          </cell>
          <cell r="K2208">
            <v>30</v>
          </cell>
          <cell r="L2208">
            <v>60</v>
          </cell>
          <cell r="M2208">
            <v>240</v>
          </cell>
        </row>
        <row r="2209">
          <cell r="B2209" t="str">
            <v>Y20-5316100301-001</v>
          </cell>
          <cell r="D2209" t="str">
            <v>C</v>
          </cell>
          <cell r="E2209" t="str">
            <v>工序内容</v>
          </cell>
          <cell r="F2209" t="str">
            <v>0/领料</v>
          </cell>
          <cell r="G2209" t="str">
            <v>05/数铣</v>
          </cell>
          <cell r="H2209" t="str">
            <v>10/数铣20</v>
          </cell>
          <cell r="I2209" t="str">
            <v>15/数铣75</v>
          </cell>
          <cell r="J2209" t="str">
            <v>20/数铣75</v>
          </cell>
          <cell r="K2209" t="str">
            <v>25/数铣10</v>
          </cell>
          <cell r="L2209" t="str">
            <v>30/数铣30</v>
          </cell>
          <cell r="M2209" t="str">
            <v>35/钳工</v>
          </cell>
          <cell r="N2209" t="str">
            <v>40/清洁</v>
          </cell>
          <cell r="O2209" t="str">
            <v>45/成检</v>
          </cell>
        </row>
        <row r="2210">
          <cell r="B2210" t="str">
            <v>Y20-5316100301-001</v>
          </cell>
          <cell r="D2210" t="str">
            <v>C</v>
          </cell>
          <cell r="E2210" t="str">
            <v>准备工时</v>
          </cell>
          <cell r="G2210">
            <v>60</v>
          </cell>
          <cell r="H2210">
            <v>60</v>
          </cell>
          <cell r="I2210">
            <v>90</v>
          </cell>
          <cell r="J2210">
            <v>90</v>
          </cell>
          <cell r="K2210">
            <v>90</v>
          </cell>
          <cell r="L2210">
            <v>90</v>
          </cell>
        </row>
        <row r="2211">
          <cell r="B2211" t="str">
            <v>Y20-5316100301-001</v>
          </cell>
          <cell r="D2211" t="str">
            <v>C</v>
          </cell>
          <cell r="E2211" t="str">
            <v>装夹时间</v>
          </cell>
        </row>
        <row r="2212">
          <cell r="B2212" t="str">
            <v>Y20-5316100301-001</v>
          </cell>
          <cell r="D2212" t="str">
            <v>C</v>
          </cell>
          <cell r="E2212" t="str">
            <v>程序时间</v>
          </cell>
          <cell r="G2212">
            <v>60</v>
          </cell>
          <cell r="H2212">
            <v>40</v>
          </cell>
          <cell r="I2212">
            <v>120</v>
          </cell>
          <cell r="J2212">
            <v>120</v>
          </cell>
          <cell r="K2212">
            <v>30</v>
          </cell>
          <cell r="L2212">
            <v>60</v>
          </cell>
          <cell r="M2212">
            <v>240</v>
          </cell>
        </row>
        <row r="2213">
          <cell r="B2213" t="str">
            <v>BC5337100-107L/R001</v>
          </cell>
          <cell r="D2213" t="str">
            <v>B</v>
          </cell>
          <cell r="E2213" t="str">
            <v>工序内容</v>
          </cell>
          <cell r="F2213" t="str">
            <v>0/领料</v>
          </cell>
          <cell r="G2213" t="str">
            <v>5/数铣</v>
          </cell>
          <cell r="H2213" t="str">
            <v>10/超探</v>
          </cell>
          <cell r="I2213" t="str">
            <v>15/数铣</v>
          </cell>
          <cell r="J2213" t="str">
            <v>20/数铣</v>
          </cell>
          <cell r="K2213" t="str">
            <v>25/数铣</v>
          </cell>
          <cell r="L2213" t="str">
            <v>30/数铣</v>
          </cell>
          <cell r="M2213" t="str">
            <v>35/数铣</v>
          </cell>
          <cell r="N2213" t="str">
            <v>40/测量</v>
          </cell>
          <cell r="O2213" t="str">
            <v>45/钳工</v>
          </cell>
          <cell r="P2213" t="str">
            <v>50/清洁</v>
          </cell>
          <cell r="Q2213" t="str">
            <v>55/成检</v>
          </cell>
        </row>
        <row r="2214">
          <cell r="B2214" t="str">
            <v>BC5337100-107L/R001</v>
          </cell>
          <cell r="D2214" t="str">
            <v>B</v>
          </cell>
          <cell r="E2214" t="str">
            <v>准备工时</v>
          </cell>
          <cell r="G2214" t="str">
            <v>120</v>
          </cell>
          <cell r="I2214">
            <v>120</v>
          </cell>
          <cell r="J2214">
            <v>120</v>
          </cell>
          <cell r="K2214">
            <v>120</v>
          </cell>
          <cell r="L2214">
            <v>120</v>
          </cell>
          <cell r="M2214">
            <v>120</v>
          </cell>
        </row>
        <row r="2215">
          <cell r="B2215" t="str">
            <v>BC5337100-107L/R001</v>
          </cell>
          <cell r="D2215" t="str">
            <v>B</v>
          </cell>
          <cell r="E2215" t="str">
            <v>装夹时间</v>
          </cell>
          <cell r="L2215">
            <v>60</v>
          </cell>
        </row>
        <row r="2216">
          <cell r="B2216" t="str">
            <v>BC5337100-107L/R001</v>
          </cell>
          <cell r="D2216" t="str">
            <v>B</v>
          </cell>
          <cell r="E2216" t="str">
            <v>程序时间</v>
          </cell>
          <cell r="G2216" t="str">
            <v>650</v>
          </cell>
          <cell r="I2216">
            <v>360</v>
          </cell>
          <cell r="J2216">
            <v>100</v>
          </cell>
          <cell r="K2216">
            <v>450</v>
          </cell>
          <cell r="L2216">
            <v>30</v>
          </cell>
          <cell r="M2216">
            <v>400</v>
          </cell>
          <cell r="O2216">
            <v>120</v>
          </cell>
        </row>
        <row r="2217">
          <cell r="B2217" t="str">
            <v>CB5324320-004L006</v>
          </cell>
          <cell r="D2217" t="str">
            <v>D</v>
          </cell>
          <cell r="E2217" t="str">
            <v>工序内容</v>
          </cell>
          <cell r="F2217" t="str">
            <v>0/领料</v>
          </cell>
          <cell r="G2217" t="str">
            <v>5/数铣</v>
          </cell>
          <cell r="H2217" t="str">
            <v>10/数铣30</v>
          </cell>
          <cell r="I2217" t="str">
            <v>15/数铣90</v>
          </cell>
          <cell r="J2217" t="str">
            <v>20/数铣240</v>
          </cell>
          <cell r="K2217" t="str">
            <v>25/数铣90</v>
          </cell>
          <cell r="L2217" t="str">
            <v>30/五轴30</v>
          </cell>
          <cell r="M2217" t="str">
            <v>35/五轴90</v>
          </cell>
          <cell r="N2217" t="str">
            <v>40/测量</v>
          </cell>
          <cell r="O2217" t="str">
            <v>45/钳工</v>
          </cell>
          <cell r="P2217" t="str">
            <v>50/</v>
          </cell>
          <cell r="Q2217" t="str">
            <v>55/清洁</v>
          </cell>
          <cell r="R2217" t="str">
            <v>60/检验</v>
          </cell>
          <cell r="S2217" t="str">
            <v>65/硬检</v>
          </cell>
          <cell r="T2217" t="str">
            <v>70/分光</v>
          </cell>
          <cell r="U2217" t="str">
            <v>75/钳工</v>
          </cell>
          <cell r="V2217" t="str">
            <v>80/清洁</v>
          </cell>
          <cell r="W2217" t="str">
            <v>85/成检</v>
          </cell>
        </row>
        <row r="2218">
          <cell r="B2218" t="str">
            <v>CB5324320-004L006</v>
          </cell>
          <cell r="D2218" t="str">
            <v>D</v>
          </cell>
          <cell r="E2218" t="str">
            <v>准备工时</v>
          </cell>
          <cell r="G2218">
            <v>60</v>
          </cell>
          <cell r="H2218">
            <v>60</v>
          </cell>
          <cell r="I2218">
            <v>60</v>
          </cell>
          <cell r="J2218">
            <v>60</v>
          </cell>
          <cell r="K2218">
            <v>60</v>
          </cell>
          <cell r="L2218">
            <v>120</v>
          </cell>
          <cell r="M2218">
            <v>120</v>
          </cell>
        </row>
        <row r="2219">
          <cell r="B2219" t="str">
            <v>CB5324320-004L006</v>
          </cell>
          <cell r="D2219" t="str">
            <v>D</v>
          </cell>
          <cell r="E2219" t="str">
            <v>装夹时间</v>
          </cell>
          <cell r="L2219">
            <v>60</v>
          </cell>
          <cell r="M2219">
            <v>60</v>
          </cell>
        </row>
        <row r="2220">
          <cell r="B2220" t="str">
            <v>CB5324320-004L006</v>
          </cell>
          <cell r="D2220" t="str">
            <v>D</v>
          </cell>
          <cell r="E2220" t="str">
            <v>程序时间</v>
          </cell>
          <cell r="G2220">
            <v>60</v>
          </cell>
          <cell r="H2220">
            <v>40</v>
          </cell>
          <cell r="I2220">
            <v>120</v>
          </cell>
          <cell r="J2220">
            <v>280</v>
          </cell>
          <cell r="K2220">
            <v>120</v>
          </cell>
          <cell r="L2220">
            <v>90</v>
          </cell>
          <cell r="M2220">
            <v>180</v>
          </cell>
          <cell r="O2220">
            <v>80</v>
          </cell>
          <cell r="U2220">
            <v>5</v>
          </cell>
        </row>
        <row r="2221">
          <cell r="B2221" t="str">
            <v>CB5324320-004R006</v>
          </cell>
          <cell r="D2221" t="str">
            <v>D</v>
          </cell>
          <cell r="E2221" t="str">
            <v>工序内容</v>
          </cell>
          <cell r="F2221" t="str">
            <v>0/领料</v>
          </cell>
          <cell r="G2221" t="str">
            <v>5/数铣</v>
          </cell>
          <cell r="H2221" t="str">
            <v>10/数铣30</v>
          </cell>
          <cell r="I2221" t="str">
            <v>15/数铣90</v>
          </cell>
          <cell r="J2221" t="str">
            <v>20/数铣240</v>
          </cell>
          <cell r="K2221" t="str">
            <v>25/数铣90</v>
          </cell>
          <cell r="L2221" t="str">
            <v>30/五轴30</v>
          </cell>
          <cell r="M2221" t="str">
            <v>35/五轴90</v>
          </cell>
          <cell r="N2221" t="str">
            <v>40/测量</v>
          </cell>
          <cell r="O2221" t="str">
            <v>45/钳工</v>
          </cell>
          <cell r="P2221" t="str">
            <v>50/</v>
          </cell>
          <cell r="Q2221" t="str">
            <v>55/清洁</v>
          </cell>
          <cell r="R2221" t="str">
            <v>60/检验</v>
          </cell>
          <cell r="S2221" t="str">
            <v>65/硬检</v>
          </cell>
          <cell r="T2221" t="str">
            <v>70/分光</v>
          </cell>
          <cell r="U2221" t="str">
            <v>75/钳工</v>
          </cell>
          <cell r="V2221" t="str">
            <v>80/清洁</v>
          </cell>
          <cell r="W2221" t="str">
            <v>85/成检</v>
          </cell>
        </row>
        <row r="2222">
          <cell r="B2222" t="str">
            <v>CB5324320-004R006</v>
          </cell>
          <cell r="D2222" t="str">
            <v>D</v>
          </cell>
          <cell r="E2222" t="str">
            <v>准备工时</v>
          </cell>
          <cell r="G2222">
            <v>60</v>
          </cell>
          <cell r="H2222">
            <v>60</v>
          </cell>
          <cell r="I2222">
            <v>60</v>
          </cell>
          <cell r="J2222">
            <v>60</v>
          </cell>
          <cell r="K2222">
            <v>60</v>
          </cell>
          <cell r="L2222">
            <v>120</v>
          </cell>
          <cell r="M2222">
            <v>120</v>
          </cell>
        </row>
        <row r="2223">
          <cell r="B2223" t="str">
            <v>CB5324320-004R006</v>
          </cell>
          <cell r="D2223" t="str">
            <v>D</v>
          </cell>
          <cell r="E2223" t="str">
            <v>装夹时间</v>
          </cell>
          <cell r="L2223">
            <v>60</v>
          </cell>
          <cell r="M2223">
            <v>60</v>
          </cell>
        </row>
        <row r="2224">
          <cell r="B2224" t="str">
            <v>CB5324320-004R006</v>
          </cell>
          <cell r="D2224" t="str">
            <v>D</v>
          </cell>
          <cell r="E2224" t="str">
            <v>程序时间</v>
          </cell>
          <cell r="G2224">
            <v>60</v>
          </cell>
          <cell r="H2224">
            <v>40</v>
          </cell>
          <cell r="I2224">
            <v>120</v>
          </cell>
          <cell r="J2224">
            <v>280</v>
          </cell>
          <cell r="K2224">
            <v>120</v>
          </cell>
          <cell r="L2224">
            <v>90</v>
          </cell>
          <cell r="M2224">
            <v>180</v>
          </cell>
          <cell r="O2224">
            <v>80</v>
          </cell>
          <cell r="U2224">
            <v>5</v>
          </cell>
        </row>
        <row r="2225">
          <cell r="B2225" t="str">
            <v>DD-J10-06031-302</v>
          </cell>
          <cell r="D2225" t="str">
            <v>D</v>
          </cell>
          <cell r="E2225" t="str">
            <v>工序内容</v>
          </cell>
          <cell r="F2225" t="str">
            <v>0/领料</v>
          </cell>
          <cell r="G2225" t="str">
            <v>5/下料</v>
          </cell>
          <cell r="H2225" t="str">
            <v>10/数铣25</v>
          </cell>
          <cell r="I2225" t="str">
            <v>15/装夹</v>
          </cell>
          <cell r="J2225" t="str">
            <v>20/数铣20</v>
          </cell>
          <cell r="K2225" t="str">
            <v>25/数铣10</v>
          </cell>
          <cell r="L2225" t="str">
            <v>30/数铣10</v>
          </cell>
          <cell r="M2225" t="str">
            <v>35/数铣55</v>
          </cell>
          <cell r="N2225" t="str">
            <v>40/钳工</v>
          </cell>
          <cell r="O2225" t="str">
            <v>45/分光</v>
          </cell>
          <cell r="P2225" t="str">
            <v>50/线切割</v>
          </cell>
          <cell r="Q2225" t="str">
            <v>55/数铣10</v>
          </cell>
          <cell r="R2225" t="str">
            <v>60/钳工</v>
          </cell>
          <cell r="S2225" t="str">
            <v>65/热处理</v>
          </cell>
          <cell r="T2225" t="str">
            <v>70钳校形</v>
          </cell>
          <cell r="U2225" t="str">
            <v>75/数铣15</v>
          </cell>
          <cell r="V2225" t="str">
            <v>80/钳工</v>
          </cell>
          <cell r="W2225" t="str">
            <v>85/清洗</v>
          </cell>
          <cell r="X2225" t="str">
            <v>90/成检</v>
          </cell>
        </row>
        <row r="2226">
          <cell r="B2226" t="str">
            <v>DD-J10-06031-302</v>
          </cell>
          <cell r="D2226" t="str">
            <v>D</v>
          </cell>
          <cell r="E2226" t="str">
            <v>准备工时</v>
          </cell>
          <cell r="H2226">
            <v>90</v>
          </cell>
          <cell r="J2226">
            <v>60</v>
          </cell>
          <cell r="K2226">
            <v>60</v>
          </cell>
          <cell r="L2226" t="str">
            <v>60</v>
          </cell>
          <cell r="M2226" t="str">
            <v>60</v>
          </cell>
          <cell r="Q2226">
            <v>60</v>
          </cell>
          <cell r="U2226">
            <v>90</v>
          </cell>
        </row>
        <row r="2227">
          <cell r="B2227" t="str">
            <v>DD-J10-06031-302</v>
          </cell>
          <cell r="D2227" t="str">
            <v>D</v>
          </cell>
          <cell r="E2227" t="str">
            <v>装夹时间</v>
          </cell>
        </row>
        <row r="2228">
          <cell r="B2228" t="str">
            <v>DD-J10-06031-302</v>
          </cell>
          <cell r="D2228" t="str">
            <v>D</v>
          </cell>
          <cell r="E2228" t="str">
            <v>程序时间</v>
          </cell>
          <cell r="H2228">
            <v>45</v>
          </cell>
          <cell r="I2228">
            <v>10</v>
          </cell>
          <cell r="J2228">
            <v>30</v>
          </cell>
          <cell r="K2228">
            <v>30</v>
          </cell>
          <cell r="L2228" t="str">
            <v>30</v>
          </cell>
          <cell r="M2228" t="str">
            <v>90</v>
          </cell>
          <cell r="N2228" t="str">
            <v>30</v>
          </cell>
          <cell r="Q2228">
            <v>20</v>
          </cell>
          <cell r="R2228">
            <v>20</v>
          </cell>
          <cell r="T2228">
            <v>20</v>
          </cell>
          <cell r="U2228">
            <v>30</v>
          </cell>
          <cell r="V2228">
            <v>30</v>
          </cell>
        </row>
        <row r="2229">
          <cell r="B2229" t="str">
            <v>CB5326200-131L/R002</v>
          </cell>
          <cell r="D2229" t="str">
            <v>D</v>
          </cell>
          <cell r="E2229" t="str">
            <v>工序内容</v>
          </cell>
          <cell r="F2229" t="str">
            <v>0领料</v>
          </cell>
          <cell r="G2229" t="str">
            <v>5钳工</v>
          </cell>
          <cell r="H2229" t="str">
            <v>10数铣</v>
          </cell>
          <cell r="I2229" t="str">
            <v>1/数铣40</v>
          </cell>
          <cell r="J2229" t="str">
            <v>20数铣175</v>
          </cell>
          <cell r="K2229" t="str">
            <v>25数铣274</v>
          </cell>
          <cell r="L2229" t="str">
            <v>30数铣310</v>
          </cell>
          <cell r="M2229" t="str">
            <v>35五轴215</v>
          </cell>
          <cell r="N2229" t="str">
            <v>40测量</v>
          </cell>
          <cell r="O2229" t="str">
            <v>45钳工</v>
          </cell>
          <cell r="P2229" t="str">
            <v>50铣试块</v>
          </cell>
          <cell r="Q2229" t="str">
            <v>55清洁</v>
          </cell>
          <cell r="R2229" t="str">
            <v>60测量</v>
          </cell>
        </row>
        <row r="2230">
          <cell r="B2230" t="str">
            <v>CB5326200-131L/R002</v>
          </cell>
          <cell r="D2230" t="str">
            <v>D</v>
          </cell>
          <cell r="E2230" t="str">
            <v>准备工时</v>
          </cell>
          <cell r="H2230">
            <v>60</v>
          </cell>
          <cell r="I2230">
            <v>60</v>
          </cell>
          <cell r="J2230">
            <v>60</v>
          </cell>
          <cell r="K2230">
            <v>90</v>
          </cell>
          <cell r="L2230">
            <v>90</v>
          </cell>
          <cell r="M2230">
            <v>180</v>
          </cell>
        </row>
        <row r="2231">
          <cell r="B2231" t="str">
            <v>CB5326200-131L/R002</v>
          </cell>
          <cell r="D2231" t="str">
            <v>D</v>
          </cell>
          <cell r="E2231" t="str">
            <v>装夹时间</v>
          </cell>
          <cell r="H2231">
            <v>90</v>
          </cell>
          <cell r="I2231">
            <v>90</v>
          </cell>
          <cell r="J2231">
            <v>90</v>
          </cell>
          <cell r="K2231">
            <v>60</v>
          </cell>
          <cell r="L2231">
            <v>90</v>
          </cell>
          <cell r="M2231">
            <v>90</v>
          </cell>
        </row>
        <row r="2232">
          <cell r="B2232" t="str">
            <v>CB5326200-131L/R002</v>
          </cell>
          <cell r="D2232" t="str">
            <v>D</v>
          </cell>
          <cell r="E2232" t="str">
            <v>程序时间</v>
          </cell>
          <cell r="G2232">
            <v>60</v>
          </cell>
          <cell r="H2232">
            <v>90</v>
          </cell>
          <cell r="I2232">
            <v>80</v>
          </cell>
          <cell r="J2232">
            <v>210</v>
          </cell>
          <cell r="K2232">
            <v>360</v>
          </cell>
          <cell r="L2232">
            <v>370</v>
          </cell>
          <cell r="M2232">
            <v>330</v>
          </cell>
          <cell r="O2232">
            <v>270</v>
          </cell>
          <cell r="P2232">
            <v>10</v>
          </cell>
        </row>
        <row r="2233">
          <cell r="B2233" t="str">
            <v>CB5326200-131L002</v>
          </cell>
          <cell r="D2233" t="str">
            <v>D</v>
          </cell>
          <cell r="E2233" t="str">
            <v>工序内容</v>
          </cell>
          <cell r="F2233" t="str">
            <v>0领料</v>
          </cell>
          <cell r="G2233" t="str">
            <v>5钳工</v>
          </cell>
          <cell r="H2233" t="str">
            <v>10数铣</v>
          </cell>
          <cell r="I2233" t="str">
            <v>1/数铣40</v>
          </cell>
          <cell r="J2233" t="str">
            <v>20数铣175</v>
          </cell>
          <cell r="K2233" t="str">
            <v>25数铣274</v>
          </cell>
          <cell r="L2233" t="str">
            <v>30数铣310</v>
          </cell>
          <cell r="M2233" t="str">
            <v>35五轴215</v>
          </cell>
          <cell r="N2233" t="str">
            <v>40测量</v>
          </cell>
          <cell r="O2233" t="str">
            <v>45钳工</v>
          </cell>
          <cell r="P2233" t="str">
            <v>50铣试块</v>
          </cell>
          <cell r="Q2233" t="str">
            <v>55清洁</v>
          </cell>
          <cell r="R2233" t="str">
            <v>60测量</v>
          </cell>
        </row>
        <row r="2234">
          <cell r="B2234" t="str">
            <v>CB5326200-131L002</v>
          </cell>
          <cell r="D2234" t="str">
            <v>D</v>
          </cell>
          <cell r="E2234" t="str">
            <v>准备工时</v>
          </cell>
          <cell r="H2234">
            <v>60</v>
          </cell>
          <cell r="I2234">
            <v>60</v>
          </cell>
          <cell r="J2234">
            <v>60</v>
          </cell>
          <cell r="K2234">
            <v>90</v>
          </cell>
          <cell r="L2234">
            <v>90</v>
          </cell>
          <cell r="M2234">
            <v>180</v>
          </cell>
        </row>
        <row r="2235">
          <cell r="B2235" t="str">
            <v>CB5326200-131L002</v>
          </cell>
          <cell r="D2235" t="str">
            <v>D</v>
          </cell>
          <cell r="E2235" t="str">
            <v>装夹时间</v>
          </cell>
          <cell r="H2235">
            <v>90</v>
          </cell>
          <cell r="I2235">
            <v>90</v>
          </cell>
          <cell r="J2235">
            <v>90</v>
          </cell>
          <cell r="K2235">
            <v>60</v>
          </cell>
          <cell r="L2235">
            <v>90</v>
          </cell>
          <cell r="M2235">
            <v>90</v>
          </cell>
        </row>
        <row r="2236">
          <cell r="B2236" t="str">
            <v>CB5326200-131L002</v>
          </cell>
          <cell r="D2236" t="str">
            <v>D</v>
          </cell>
          <cell r="E2236" t="str">
            <v>程序时间</v>
          </cell>
          <cell r="G2236">
            <v>60</v>
          </cell>
          <cell r="H2236">
            <v>90</v>
          </cell>
          <cell r="I2236">
            <v>80</v>
          </cell>
          <cell r="J2236">
            <v>210</v>
          </cell>
          <cell r="K2236">
            <v>360</v>
          </cell>
          <cell r="L2236">
            <v>370</v>
          </cell>
          <cell r="M2236">
            <v>330</v>
          </cell>
          <cell r="O2236">
            <v>270</v>
          </cell>
          <cell r="P2236">
            <v>10</v>
          </cell>
        </row>
        <row r="2237">
          <cell r="B2237" t="str">
            <v>CB5326200-131R002</v>
          </cell>
          <cell r="D2237" t="str">
            <v>D</v>
          </cell>
          <cell r="E2237" t="str">
            <v>工序内容</v>
          </cell>
          <cell r="F2237" t="str">
            <v>0领料</v>
          </cell>
          <cell r="G2237" t="str">
            <v>5钳工</v>
          </cell>
          <cell r="H2237" t="str">
            <v>10数铣</v>
          </cell>
          <cell r="I2237" t="str">
            <v>1/数铣40</v>
          </cell>
          <cell r="J2237" t="str">
            <v>20数铣175</v>
          </cell>
          <cell r="K2237" t="str">
            <v>25数铣274</v>
          </cell>
          <cell r="L2237" t="str">
            <v>30数铣310</v>
          </cell>
          <cell r="M2237" t="str">
            <v>35五轴215</v>
          </cell>
          <cell r="N2237" t="str">
            <v>40测量</v>
          </cell>
          <cell r="O2237" t="str">
            <v>45钳工</v>
          </cell>
          <cell r="P2237" t="str">
            <v>50铣试块</v>
          </cell>
          <cell r="Q2237" t="str">
            <v>55清洁</v>
          </cell>
          <cell r="R2237" t="str">
            <v>60测量</v>
          </cell>
        </row>
        <row r="2238">
          <cell r="B2238" t="str">
            <v>CB5326200-131R002</v>
          </cell>
          <cell r="D2238" t="str">
            <v>D</v>
          </cell>
          <cell r="E2238" t="str">
            <v>准备工时</v>
          </cell>
          <cell r="H2238">
            <v>60</v>
          </cell>
          <cell r="I2238">
            <v>60</v>
          </cell>
          <cell r="J2238">
            <v>60</v>
          </cell>
          <cell r="K2238">
            <v>90</v>
          </cell>
          <cell r="L2238">
            <v>90</v>
          </cell>
          <cell r="M2238">
            <v>180</v>
          </cell>
        </row>
        <row r="2239">
          <cell r="B2239" t="str">
            <v>CB5326200-131R002</v>
          </cell>
          <cell r="D2239" t="str">
            <v>D</v>
          </cell>
          <cell r="E2239" t="str">
            <v>装夹时间</v>
          </cell>
          <cell r="H2239">
            <v>90</v>
          </cell>
          <cell r="I2239">
            <v>90</v>
          </cell>
          <cell r="J2239">
            <v>90</v>
          </cell>
          <cell r="K2239">
            <v>60</v>
          </cell>
          <cell r="L2239">
            <v>90</v>
          </cell>
          <cell r="M2239">
            <v>90</v>
          </cell>
        </row>
        <row r="2240">
          <cell r="B2240" t="str">
            <v>CB5326200-131R002</v>
          </cell>
          <cell r="D2240" t="str">
            <v>D</v>
          </cell>
          <cell r="E2240" t="str">
            <v>程序时间</v>
          </cell>
          <cell r="G2240">
            <v>60</v>
          </cell>
          <cell r="H2240">
            <v>90</v>
          </cell>
          <cell r="I2240">
            <v>80</v>
          </cell>
          <cell r="J2240">
            <v>210</v>
          </cell>
          <cell r="K2240">
            <v>360</v>
          </cell>
          <cell r="L2240">
            <v>370</v>
          </cell>
          <cell r="M2240">
            <v>330</v>
          </cell>
          <cell r="O2240">
            <v>270</v>
          </cell>
          <cell r="P2240">
            <v>10</v>
          </cell>
        </row>
        <row r="2241">
          <cell r="B2241" t="str">
            <v>CB5814000-004-001</v>
          </cell>
          <cell r="D2241" t="str">
            <v>C</v>
          </cell>
          <cell r="E2241" t="str">
            <v>工序内容</v>
          </cell>
          <cell r="F2241" t="str">
            <v>0/领料</v>
          </cell>
          <cell r="G2241" t="str">
            <v>05/数车15</v>
          </cell>
          <cell r="H2241" t="str">
            <v>10/钳工</v>
          </cell>
          <cell r="I2241" t="str">
            <v>15/分光</v>
          </cell>
          <cell r="J2241" t="str">
            <v>20/热处理</v>
          </cell>
          <cell r="K2241" t="str">
            <v>25/数车5</v>
          </cell>
          <cell r="L2241" t="str">
            <v>30/线切割</v>
          </cell>
          <cell r="M2241" t="str">
            <v>35/磨工</v>
          </cell>
          <cell r="N2241" t="str">
            <v>40/钳工</v>
          </cell>
          <cell r="O2241" t="str">
            <v>45/清洁</v>
          </cell>
          <cell r="P2241" t="str">
            <v>50/成检</v>
          </cell>
        </row>
        <row r="2242">
          <cell r="B2242" t="str">
            <v>CB5814000-004-001</v>
          </cell>
          <cell r="D2242" t="str">
            <v>C</v>
          </cell>
          <cell r="E2242" t="str">
            <v>准备工时</v>
          </cell>
          <cell r="G2242">
            <v>60</v>
          </cell>
          <cell r="K2242">
            <v>90</v>
          </cell>
        </row>
        <row r="2243">
          <cell r="B2243" t="str">
            <v>CB5814000-004-001</v>
          </cell>
          <cell r="D2243" t="str">
            <v>C</v>
          </cell>
          <cell r="E2243" t="str">
            <v>装夹时间</v>
          </cell>
        </row>
        <row r="2244">
          <cell r="B2244" t="str">
            <v>CB5814000-004-001</v>
          </cell>
          <cell r="D2244" t="str">
            <v>C</v>
          </cell>
          <cell r="E2244" t="str">
            <v>程序时间</v>
          </cell>
          <cell r="G2244">
            <v>40</v>
          </cell>
          <cell r="H2244">
            <v>20</v>
          </cell>
          <cell r="K2244">
            <v>15</v>
          </cell>
          <cell r="N2244">
            <v>8</v>
          </cell>
        </row>
        <row r="2245">
          <cell r="B2245" t="str">
            <v>CB5814000-005-001</v>
          </cell>
          <cell r="D2245" t="str">
            <v>C</v>
          </cell>
          <cell r="E2245" t="str">
            <v>工序内容</v>
          </cell>
          <cell r="F2245" t="str">
            <v>0/领料</v>
          </cell>
          <cell r="G2245" t="str">
            <v>05/数车15</v>
          </cell>
          <cell r="H2245" t="str">
            <v>10/钳工</v>
          </cell>
          <cell r="I2245" t="str">
            <v>15/分光</v>
          </cell>
          <cell r="J2245" t="str">
            <v>20/热处理</v>
          </cell>
          <cell r="K2245" t="str">
            <v>25/数车5</v>
          </cell>
          <cell r="L2245" t="str">
            <v>30/线切割</v>
          </cell>
          <cell r="M2245" t="str">
            <v>35/磨工</v>
          </cell>
          <cell r="N2245" t="str">
            <v>40/钳工</v>
          </cell>
          <cell r="O2245" t="str">
            <v>45/清洁</v>
          </cell>
          <cell r="P2245" t="str">
            <v>50/成检</v>
          </cell>
        </row>
        <row r="2246">
          <cell r="B2246" t="str">
            <v>CB5814000-005-001</v>
          </cell>
          <cell r="D2246" t="str">
            <v>C</v>
          </cell>
          <cell r="E2246" t="str">
            <v>准备工时</v>
          </cell>
          <cell r="G2246">
            <v>60</v>
          </cell>
          <cell r="K2246">
            <v>60</v>
          </cell>
        </row>
        <row r="2247">
          <cell r="B2247" t="str">
            <v>CB5814000-005-001</v>
          </cell>
          <cell r="D2247" t="str">
            <v>C</v>
          </cell>
          <cell r="E2247" t="str">
            <v>装夹时间</v>
          </cell>
        </row>
        <row r="2248">
          <cell r="B2248" t="str">
            <v>CB5814000-005-001</v>
          </cell>
          <cell r="D2248" t="str">
            <v>C</v>
          </cell>
          <cell r="E2248" t="str">
            <v>程序时间</v>
          </cell>
          <cell r="G2248">
            <v>40</v>
          </cell>
          <cell r="H2248">
            <v>20</v>
          </cell>
          <cell r="K2248">
            <v>15</v>
          </cell>
          <cell r="N2248">
            <v>8</v>
          </cell>
        </row>
        <row r="2249">
          <cell r="B2249" t="str">
            <v>Y20-5315200047-001</v>
          </cell>
          <cell r="D2249" t="str">
            <v>B</v>
          </cell>
          <cell r="E2249" t="str">
            <v>工序内容</v>
          </cell>
          <cell r="F2249" t="str">
            <v>0/领料</v>
          </cell>
          <cell r="G2249" t="str">
            <v>5/数车10</v>
          </cell>
          <cell r="H2249" t="str">
            <v>10/数车10</v>
          </cell>
          <cell r="I2249" t="str">
            <v>15/数铣10</v>
          </cell>
          <cell r="J2249" t="str">
            <v>20/钳工</v>
          </cell>
          <cell r="K2249" t="str">
            <v>25/分光</v>
          </cell>
          <cell r="L2249" t="str">
            <v>30/钳工</v>
          </cell>
          <cell r="M2249" t="str">
            <v>35/清洁</v>
          </cell>
          <cell r="N2249" t="str">
            <v>40/成检</v>
          </cell>
        </row>
        <row r="2250">
          <cell r="B2250" t="str">
            <v>Y20-5315200047-001</v>
          </cell>
          <cell r="D2250" t="str">
            <v>B</v>
          </cell>
          <cell r="E2250" t="str">
            <v>准备工时</v>
          </cell>
          <cell r="G2250">
            <v>90</v>
          </cell>
          <cell r="H2250">
            <v>90</v>
          </cell>
          <cell r="I2250">
            <v>60</v>
          </cell>
        </row>
        <row r="2251">
          <cell r="B2251" t="str">
            <v>Y20-5315200047-001</v>
          </cell>
          <cell r="D2251" t="str">
            <v>B</v>
          </cell>
          <cell r="E2251" t="str">
            <v>装夹时间</v>
          </cell>
        </row>
        <row r="2252">
          <cell r="B2252" t="str">
            <v>Y20-5315200047-001</v>
          </cell>
          <cell r="D2252" t="str">
            <v>B</v>
          </cell>
          <cell r="E2252" t="str">
            <v>程序时间</v>
          </cell>
          <cell r="G2252">
            <v>35</v>
          </cell>
          <cell r="H2252">
            <v>25</v>
          </cell>
          <cell r="I2252">
            <v>30</v>
          </cell>
          <cell r="J2252">
            <v>20</v>
          </cell>
          <cell r="L2252" t="str">
            <v>5</v>
          </cell>
        </row>
        <row r="2253">
          <cell r="B2253" t="str">
            <v>Y20-5315200047-002</v>
          </cell>
          <cell r="D2253" t="str">
            <v>B</v>
          </cell>
          <cell r="E2253" t="str">
            <v>工序内容</v>
          </cell>
          <cell r="F2253" t="str">
            <v>0/领料</v>
          </cell>
          <cell r="G2253" t="str">
            <v>5/数车10</v>
          </cell>
          <cell r="H2253" t="str">
            <v>10/数车10</v>
          </cell>
          <cell r="I2253" t="str">
            <v>15/数铣10</v>
          </cell>
          <cell r="J2253" t="str">
            <v>20/钳工</v>
          </cell>
          <cell r="K2253" t="str">
            <v>25/分光</v>
          </cell>
          <cell r="L2253" t="str">
            <v>30/钳工</v>
          </cell>
          <cell r="M2253" t="str">
            <v>35/清洁</v>
          </cell>
          <cell r="N2253" t="str">
            <v>40/成检</v>
          </cell>
        </row>
        <row r="2254">
          <cell r="B2254" t="str">
            <v>Y20-5315200047-002</v>
          </cell>
          <cell r="D2254" t="str">
            <v>B</v>
          </cell>
          <cell r="E2254" t="str">
            <v>准备工时</v>
          </cell>
          <cell r="G2254">
            <v>90</v>
          </cell>
          <cell r="H2254">
            <v>90</v>
          </cell>
          <cell r="I2254">
            <v>60</v>
          </cell>
        </row>
        <row r="2255">
          <cell r="B2255" t="str">
            <v>Y20-5315200047-002</v>
          </cell>
          <cell r="D2255" t="str">
            <v>B</v>
          </cell>
          <cell r="E2255" t="str">
            <v>装夹时间</v>
          </cell>
        </row>
        <row r="2256">
          <cell r="B2256" t="str">
            <v>Y20-5315200047-002</v>
          </cell>
          <cell r="D2256" t="str">
            <v>B</v>
          </cell>
          <cell r="E2256" t="str">
            <v>程序时间</v>
          </cell>
          <cell r="G2256">
            <v>35</v>
          </cell>
          <cell r="H2256">
            <v>25</v>
          </cell>
          <cell r="I2256">
            <v>30</v>
          </cell>
          <cell r="J2256">
            <v>20</v>
          </cell>
          <cell r="L2256" t="str">
            <v>5</v>
          </cell>
        </row>
        <row r="2257">
          <cell r="B2257" t="str">
            <v>CB221T9LFN004-002</v>
          </cell>
          <cell r="D2257" t="str">
            <v>B</v>
          </cell>
          <cell r="E2257" t="str">
            <v>工序内容</v>
          </cell>
          <cell r="F2257" t="str">
            <v>0/领料</v>
          </cell>
          <cell r="G2257" t="str">
            <v>05/下料</v>
          </cell>
          <cell r="H2257" t="str">
            <v>10/数车15</v>
          </cell>
          <cell r="I2257" t="str">
            <v>15/数车30</v>
          </cell>
          <cell r="J2257" t="str">
            <v>20/分光</v>
          </cell>
          <cell r="K2257" t="str">
            <v>25/数铣20</v>
          </cell>
          <cell r="L2257" t="str">
            <v>30/数铣10</v>
          </cell>
          <cell r="M2257" t="str">
            <v>35/穿孔</v>
          </cell>
          <cell r="N2257" t="str">
            <v>40/数铣30</v>
          </cell>
          <cell r="O2257" t="str">
            <v>45/数铣10</v>
          </cell>
          <cell r="P2257" t="str">
            <v>50/数车</v>
          </cell>
          <cell r="Q2257" t="str">
            <v>55/线切割</v>
          </cell>
          <cell r="R2257" t="str">
            <v>60/钳工</v>
          </cell>
          <cell r="S2257" t="str">
            <v>65/清洁</v>
          </cell>
          <cell r="T2257" t="str">
            <v>70/成检</v>
          </cell>
        </row>
        <row r="2258">
          <cell r="B2258" t="str">
            <v>CB221T9LFN004-002</v>
          </cell>
          <cell r="D2258" t="str">
            <v>B</v>
          </cell>
          <cell r="E2258" t="str">
            <v>准备工时</v>
          </cell>
          <cell r="H2258">
            <v>90</v>
          </cell>
          <cell r="I2258">
            <v>90</v>
          </cell>
          <cell r="K2258">
            <v>60</v>
          </cell>
          <cell r="L2258">
            <v>60</v>
          </cell>
          <cell r="N2258">
            <v>90</v>
          </cell>
          <cell r="O2258">
            <v>60</v>
          </cell>
          <cell r="P2258">
            <v>90</v>
          </cell>
        </row>
        <row r="2259">
          <cell r="B2259" t="str">
            <v>CB221T9LFN004-002</v>
          </cell>
          <cell r="D2259" t="str">
            <v>B</v>
          </cell>
          <cell r="E2259" t="str">
            <v>装夹时间</v>
          </cell>
        </row>
        <row r="2260">
          <cell r="B2260" t="str">
            <v>CB221T9LFN004-002</v>
          </cell>
          <cell r="D2260" t="str">
            <v>B</v>
          </cell>
          <cell r="E2260" t="str">
            <v>程序时间</v>
          </cell>
          <cell r="H2260">
            <v>30</v>
          </cell>
          <cell r="I2260">
            <v>45</v>
          </cell>
          <cell r="K2260">
            <v>25</v>
          </cell>
          <cell r="L2260">
            <v>15</v>
          </cell>
          <cell r="N2260">
            <v>60</v>
          </cell>
          <cell r="O2260">
            <v>15</v>
          </cell>
          <cell r="P2260">
            <v>15</v>
          </cell>
          <cell r="R2260">
            <v>45</v>
          </cell>
        </row>
        <row r="2261">
          <cell r="B2261" t="str">
            <v>BC5812000-005-001</v>
          </cell>
          <cell r="D2261" t="str">
            <v>B</v>
          </cell>
          <cell r="E2261" t="str">
            <v>工序内容</v>
          </cell>
          <cell r="F2261" t="str">
            <v>0/领料</v>
          </cell>
          <cell r="G2261" t="str">
            <v>05/数铣15</v>
          </cell>
          <cell r="H2261" t="str">
            <v>10/数车60</v>
          </cell>
          <cell r="I2261" t="str">
            <v>15/数车30</v>
          </cell>
          <cell r="J2261" t="str">
            <v>20/超声波</v>
          </cell>
          <cell r="K2261" t="str">
            <v>25/数铣5</v>
          </cell>
          <cell r="L2261" t="str">
            <v>30/线切割</v>
          </cell>
          <cell r="M2261" t="str">
            <v>35/数铣45</v>
          </cell>
          <cell r="N2261" t="str">
            <v>40/数车60</v>
          </cell>
          <cell r="O2261" t="str">
            <v>45/数车15</v>
          </cell>
          <cell r="P2261" t="str">
            <v>50/数铣10</v>
          </cell>
          <cell r="Q2261" t="str">
            <v>55/数车15</v>
          </cell>
          <cell r="R2261" t="str">
            <v>60/钳工</v>
          </cell>
          <cell r="S2261" t="str">
            <v>65/钳标牌</v>
          </cell>
          <cell r="T2261" t="str">
            <v>70/热处理</v>
          </cell>
          <cell r="U2261" t="str">
            <v>75/钳回牙</v>
          </cell>
          <cell r="V2261" t="str">
            <v>80/数车30</v>
          </cell>
          <cell r="W2261" t="str">
            <v>85/抛光</v>
          </cell>
          <cell r="X2261" t="str">
            <v>90/钳工</v>
          </cell>
          <cell r="Y2261" t="str">
            <v>95/钳标牌</v>
          </cell>
          <cell r="Z2261" t="str">
            <v>100/回火</v>
          </cell>
          <cell r="AA2261" t="str">
            <v>105/清洗</v>
          </cell>
          <cell r="AB2261" t="str">
            <v>110磁粉</v>
          </cell>
          <cell r="AC2261" t="str">
            <v>115/清洗</v>
          </cell>
          <cell r="AD2261" t="str">
            <v>120/表处</v>
          </cell>
          <cell r="AE2261" t="str">
            <v>125/数车35</v>
          </cell>
          <cell r="AF2261" t="str">
            <v>130/数车10</v>
          </cell>
        </row>
        <row r="2262">
          <cell r="B2262" t="str">
            <v>BC5812000-005-001</v>
          </cell>
          <cell r="D2262" t="str">
            <v>B</v>
          </cell>
          <cell r="E2262" t="str">
            <v>准备工时</v>
          </cell>
          <cell r="G2262">
            <v>60</v>
          </cell>
          <cell r="H2262">
            <v>120</v>
          </cell>
          <cell r="I2262">
            <v>120</v>
          </cell>
          <cell r="K2262">
            <v>60</v>
          </cell>
          <cell r="M2262">
            <v>90</v>
          </cell>
          <cell r="N2262">
            <v>120</v>
          </cell>
          <cell r="O2262">
            <v>120</v>
          </cell>
          <cell r="P2262">
            <v>60</v>
          </cell>
          <cell r="Q2262">
            <v>120</v>
          </cell>
          <cell r="V2262">
            <v>120</v>
          </cell>
          <cell r="AE2262">
            <v>120</v>
          </cell>
          <cell r="AF2262">
            <v>120</v>
          </cell>
        </row>
        <row r="2263">
          <cell r="B2263" t="str">
            <v>BC5812000-005-001</v>
          </cell>
          <cell r="D2263" t="str">
            <v>B</v>
          </cell>
          <cell r="E2263" t="str">
            <v>装夹时间</v>
          </cell>
        </row>
        <row r="2264">
          <cell r="B2264" t="str">
            <v>BC5812000-005-001</v>
          </cell>
          <cell r="D2264" t="str">
            <v>B</v>
          </cell>
          <cell r="E2264" t="str">
            <v>程序时间</v>
          </cell>
          <cell r="G2264">
            <v>25</v>
          </cell>
          <cell r="H2264">
            <v>75</v>
          </cell>
          <cell r="I2264">
            <v>45</v>
          </cell>
          <cell r="K2264">
            <v>30</v>
          </cell>
          <cell r="M2264">
            <v>60</v>
          </cell>
          <cell r="N2264">
            <v>75</v>
          </cell>
          <cell r="O2264">
            <v>25</v>
          </cell>
          <cell r="P2264">
            <v>30</v>
          </cell>
          <cell r="Q2264">
            <v>25</v>
          </cell>
          <cell r="R2264">
            <v>45</v>
          </cell>
          <cell r="S2264">
            <v>10</v>
          </cell>
          <cell r="U2264">
            <v>10</v>
          </cell>
          <cell r="V2264">
            <v>90</v>
          </cell>
          <cell r="X2264">
            <v>25</v>
          </cell>
          <cell r="Y2264">
            <v>10</v>
          </cell>
          <cell r="AE2264">
            <v>60</v>
          </cell>
          <cell r="AF2264">
            <v>20</v>
          </cell>
        </row>
        <row r="2265">
          <cell r="B2265" t="str">
            <v>LTCS542100601-01L/R01</v>
          </cell>
          <cell r="D2265" t="str">
            <v>C</v>
          </cell>
          <cell r="E2265" t="str">
            <v>工序内容</v>
          </cell>
          <cell r="F2265" t="str">
            <v>0/领料</v>
          </cell>
          <cell r="G2265" t="str">
            <v>05/数铣</v>
          </cell>
          <cell r="H2265" t="str">
            <v>10/数铣60</v>
          </cell>
          <cell r="I2265" t="str">
            <v>15/数铣30</v>
          </cell>
          <cell r="J2265" t="str">
            <v>20/测量</v>
          </cell>
          <cell r="K2265" t="str">
            <v>25/钳工</v>
          </cell>
          <cell r="L2265" t="str">
            <v>30/清洁</v>
          </cell>
          <cell r="M2265" t="str">
            <v>35/成检</v>
          </cell>
        </row>
        <row r="2266">
          <cell r="B2266" t="str">
            <v>LTCS542100601-01L/R01</v>
          </cell>
          <cell r="D2266" t="str">
            <v>C</v>
          </cell>
          <cell r="E2266" t="str">
            <v>准备工时</v>
          </cell>
          <cell r="G2266">
            <v>60</v>
          </cell>
          <cell r="H2266">
            <v>60</v>
          </cell>
          <cell r="I2266">
            <v>60</v>
          </cell>
        </row>
        <row r="2267">
          <cell r="B2267" t="str">
            <v>LTCS542100601-01L/R01</v>
          </cell>
          <cell r="D2267" t="str">
            <v>C</v>
          </cell>
          <cell r="E2267" t="str">
            <v>装夹时间</v>
          </cell>
        </row>
        <row r="2268">
          <cell r="B2268" t="str">
            <v>LTCS542100601-01L/R01</v>
          </cell>
          <cell r="D2268" t="str">
            <v>C</v>
          </cell>
          <cell r="E2268" t="str">
            <v>程序时间</v>
          </cell>
          <cell r="G2268">
            <v>40</v>
          </cell>
          <cell r="H2268">
            <v>100</v>
          </cell>
          <cell r="I2268">
            <v>70</v>
          </cell>
          <cell r="K2268">
            <v>25</v>
          </cell>
        </row>
        <row r="2269">
          <cell r="B2269" t="str">
            <v>LTCS-542100601-01L01</v>
          </cell>
          <cell r="D2269" t="str">
            <v>C</v>
          </cell>
          <cell r="E2269" t="str">
            <v>工序内容</v>
          </cell>
          <cell r="F2269" t="str">
            <v>0/领料</v>
          </cell>
          <cell r="G2269" t="str">
            <v>05/数铣</v>
          </cell>
          <cell r="H2269" t="str">
            <v>10/数铣60</v>
          </cell>
          <cell r="I2269" t="str">
            <v>15/数铣30</v>
          </cell>
          <cell r="J2269" t="str">
            <v>20/测量</v>
          </cell>
          <cell r="K2269" t="str">
            <v>25/钳工</v>
          </cell>
          <cell r="L2269" t="str">
            <v>30/清洁</v>
          </cell>
          <cell r="M2269" t="str">
            <v>35/成检</v>
          </cell>
        </row>
        <row r="2270">
          <cell r="B2270" t="str">
            <v>LTCS-542100601-01L01</v>
          </cell>
          <cell r="D2270" t="str">
            <v>C</v>
          </cell>
          <cell r="E2270" t="str">
            <v>准备工时</v>
          </cell>
          <cell r="G2270">
            <v>60</v>
          </cell>
          <cell r="H2270">
            <v>60</v>
          </cell>
          <cell r="I2270">
            <v>60</v>
          </cell>
        </row>
        <row r="2271">
          <cell r="B2271" t="str">
            <v>LTCS-542100601-01L01</v>
          </cell>
          <cell r="D2271" t="str">
            <v>C</v>
          </cell>
          <cell r="E2271" t="str">
            <v>装夹时间</v>
          </cell>
        </row>
        <row r="2272">
          <cell r="B2272" t="str">
            <v>LTCS-542100601-01L01</v>
          </cell>
          <cell r="D2272" t="str">
            <v>C</v>
          </cell>
          <cell r="E2272" t="str">
            <v>程序时间</v>
          </cell>
          <cell r="G2272">
            <v>40</v>
          </cell>
          <cell r="H2272">
            <v>100</v>
          </cell>
          <cell r="I2272">
            <v>70</v>
          </cell>
          <cell r="K2272">
            <v>25</v>
          </cell>
        </row>
        <row r="2273">
          <cell r="B2273" t="str">
            <v>LTCS-542100601-01R01</v>
          </cell>
          <cell r="D2273" t="str">
            <v>C</v>
          </cell>
          <cell r="E2273" t="str">
            <v>工序内容</v>
          </cell>
          <cell r="F2273" t="str">
            <v>0/领料</v>
          </cell>
          <cell r="G2273" t="str">
            <v>05/数铣</v>
          </cell>
          <cell r="H2273" t="str">
            <v>10/数铣60</v>
          </cell>
          <cell r="I2273" t="str">
            <v>15/数铣30</v>
          </cell>
          <cell r="J2273" t="str">
            <v>20/测量</v>
          </cell>
          <cell r="K2273" t="str">
            <v>25/钳工</v>
          </cell>
          <cell r="L2273" t="str">
            <v>30/清洁</v>
          </cell>
          <cell r="M2273" t="str">
            <v>35/成检</v>
          </cell>
        </row>
        <row r="2274">
          <cell r="B2274" t="str">
            <v>LTCS-542100601-01R01</v>
          </cell>
          <cell r="D2274" t="str">
            <v>C</v>
          </cell>
          <cell r="E2274" t="str">
            <v>准备工时</v>
          </cell>
          <cell r="G2274">
            <v>60</v>
          </cell>
          <cell r="H2274">
            <v>60</v>
          </cell>
          <cell r="I2274">
            <v>60</v>
          </cell>
        </row>
        <row r="2275">
          <cell r="B2275" t="str">
            <v>LTCS-542100601-01R01</v>
          </cell>
          <cell r="D2275" t="str">
            <v>C</v>
          </cell>
          <cell r="E2275" t="str">
            <v>装夹时间</v>
          </cell>
        </row>
        <row r="2276">
          <cell r="B2276" t="str">
            <v>LTCS-542100601-01R01</v>
          </cell>
          <cell r="D2276" t="str">
            <v>C</v>
          </cell>
          <cell r="E2276" t="str">
            <v>程序时间</v>
          </cell>
          <cell r="G2276">
            <v>40</v>
          </cell>
          <cell r="H2276">
            <v>100</v>
          </cell>
          <cell r="I2276">
            <v>70</v>
          </cell>
          <cell r="K2276">
            <v>25</v>
          </cell>
        </row>
        <row r="2277">
          <cell r="B2277" t="str">
            <v>LTCS542100602-01L/R01</v>
          </cell>
          <cell r="D2277" t="str">
            <v>C</v>
          </cell>
          <cell r="E2277" t="str">
            <v>工序内容</v>
          </cell>
          <cell r="F2277" t="str">
            <v>0/领料</v>
          </cell>
          <cell r="G2277" t="str">
            <v>05/数铣</v>
          </cell>
          <cell r="H2277" t="str">
            <v>10/数铣60</v>
          </cell>
          <cell r="I2277" t="str">
            <v>15/数铣30</v>
          </cell>
          <cell r="J2277" t="str">
            <v>20/测量</v>
          </cell>
          <cell r="K2277" t="str">
            <v>25/钳工</v>
          </cell>
          <cell r="L2277" t="str">
            <v>30/清洁</v>
          </cell>
          <cell r="M2277" t="str">
            <v>35/成检</v>
          </cell>
        </row>
        <row r="2278">
          <cell r="B2278" t="str">
            <v>LTCS542100602-01L/R01</v>
          </cell>
          <cell r="D2278" t="str">
            <v>C</v>
          </cell>
          <cell r="E2278" t="str">
            <v>准备工时</v>
          </cell>
          <cell r="G2278">
            <v>60</v>
          </cell>
          <cell r="H2278">
            <v>60</v>
          </cell>
          <cell r="I2278">
            <v>60</v>
          </cell>
        </row>
        <row r="2279">
          <cell r="B2279" t="str">
            <v>LTCS542100602-01L/R01</v>
          </cell>
          <cell r="D2279" t="str">
            <v>C</v>
          </cell>
          <cell r="E2279" t="str">
            <v>装夹时间</v>
          </cell>
        </row>
        <row r="2280">
          <cell r="B2280" t="str">
            <v>LTCS542100602-01L/R01</v>
          </cell>
          <cell r="D2280" t="str">
            <v>C</v>
          </cell>
          <cell r="E2280" t="str">
            <v>程序时间</v>
          </cell>
          <cell r="G2280">
            <v>40</v>
          </cell>
          <cell r="H2280">
            <v>100</v>
          </cell>
          <cell r="I2280">
            <v>70</v>
          </cell>
          <cell r="K2280">
            <v>25</v>
          </cell>
        </row>
        <row r="2281">
          <cell r="B2281" t="str">
            <v>LTCS-542100602-01L01</v>
          </cell>
          <cell r="D2281" t="str">
            <v>C</v>
          </cell>
          <cell r="E2281" t="str">
            <v>工序内容</v>
          </cell>
          <cell r="F2281" t="str">
            <v>0/领料</v>
          </cell>
          <cell r="G2281" t="str">
            <v>05/数铣</v>
          </cell>
          <cell r="H2281" t="str">
            <v>10/数铣60</v>
          </cell>
          <cell r="I2281" t="str">
            <v>15/数铣30</v>
          </cell>
          <cell r="J2281" t="str">
            <v>20/测量</v>
          </cell>
          <cell r="K2281" t="str">
            <v>25/钳工</v>
          </cell>
          <cell r="L2281" t="str">
            <v>30/清洁</v>
          </cell>
          <cell r="M2281" t="str">
            <v>35/成检</v>
          </cell>
        </row>
        <row r="2282">
          <cell r="B2282" t="str">
            <v>LTCS-542100602-01L01</v>
          </cell>
          <cell r="D2282" t="str">
            <v>C</v>
          </cell>
          <cell r="E2282" t="str">
            <v>准备工时</v>
          </cell>
          <cell r="G2282">
            <v>60</v>
          </cell>
          <cell r="H2282">
            <v>60</v>
          </cell>
          <cell r="I2282">
            <v>60</v>
          </cell>
        </row>
        <row r="2283">
          <cell r="B2283" t="str">
            <v>LTCS-542100602-01L01</v>
          </cell>
          <cell r="D2283" t="str">
            <v>C</v>
          </cell>
          <cell r="E2283" t="str">
            <v>装夹时间</v>
          </cell>
        </row>
        <row r="2284">
          <cell r="B2284" t="str">
            <v>LTCS-542100602-01L01</v>
          </cell>
          <cell r="D2284" t="str">
            <v>C</v>
          </cell>
          <cell r="E2284" t="str">
            <v>程序时间</v>
          </cell>
          <cell r="G2284">
            <v>40</v>
          </cell>
          <cell r="H2284">
            <v>100</v>
          </cell>
          <cell r="I2284">
            <v>70</v>
          </cell>
          <cell r="K2284">
            <v>25</v>
          </cell>
        </row>
        <row r="2285">
          <cell r="B2285" t="str">
            <v>LTCS-542100602-01R01</v>
          </cell>
          <cell r="D2285" t="str">
            <v>C</v>
          </cell>
          <cell r="E2285" t="str">
            <v>工序内容</v>
          </cell>
          <cell r="F2285" t="str">
            <v>0/领料</v>
          </cell>
          <cell r="G2285" t="str">
            <v>05/数铣</v>
          </cell>
          <cell r="H2285" t="str">
            <v>10/数铣60</v>
          </cell>
          <cell r="I2285" t="str">
            <v>15/数铣30</v>
          </cell>
          <cell r="J2285" t="str">
            <v>20/测量</v>
          </cell>
          <cell r="K2285" t="str">
            <v>25/钳工</v>
          </cell>
          <cell r="L2285" t="str">
            <v>30/清洁</v>
          </cell>
          <cell r="M2285" t="str">
            <v>35/成检</v>
          </cell>
        </row>
        <row r="2286">
          <cell r="B2286" t="str">
            <v>LTCS-542100602-01R01</v>
          </cell>
          <cell r="D2286" t="str">
            <v>C</v>
          </cell>
          <cell r="E2286" t="str">
            <v>准备工时</v>
          </cell>
          <cell r="G2286">
            <v>60</v>
          </cell>
          <cell r="H2286">
            <v>60</v>
          </cell>
          <cell r="I2286">
            <v>60</v>
          </cell>
        </row>
        <row r="2287">
          <cell r="B2287" t="str">
            <v>LTCS-542100602-01R01</v>
          </cell>
          <cell r="D2287" t="str">
            <v>C</v>
          </cell>
          <cell r="E2287" t="str">
            <v>装夹时间</v>
          </cell>
        </row>
        <row r="2288">
          <cell r="B2288" t="str">
            <v>LTCS-542100602-01R01</v>
          </cell>
          <cell r="D2288" t="str">
            <v>C</v>
          </cell>
          <cell r="E2288" t="str">
            <v>程序时间</v>
          </cell>
          <cell r="G2288">
            <v>40</v>
          </cell>
          <cell r="H2288">
            <v>100</v>
          </cell>
          <cell r="I2288">
            <v>70</v>
          </cell>
          <cell r="K2288">
            <v>25</v>
          </cell>
        </row>
        <row r="2289">
          <cell r="B2289" t="str">
            <v>DD-J10-34003-2</v>
          </cell>
          <cell r="D2289" t="str">
            <v>E</v>
          </cell>
          <cell r="E2289" t="str">
            <v>工序内容</v>
          </cell>
          <cell r="F2289" t="str">
            <v>0/领料</v>
          </cell>
          <cell r="G2289" t="str">
            <v>5/数铣</v>
          </cell>
          <cell r="H2289" t="str">
            <v>10/数铣90</v>
          </cell>
          <cell r="I2289" t="str">
            <v>15/数铣</v>
          </cell>
          <cell r="J2289" t="str">
            <v>20/数铣700</v>
          </cell>
          <cell r="K2289" t="str">
            <v>25/数铣飞面</v>
          </cell>
          <cell r="L2289" t="str">
            <v>30/数铣1200</v>
          </cell>
          <cell r="M2289" t="str">
            <v>35/数铣3700</v>
          </cell>
          <cell r="N2289" t="str">
            <v>40/钳工</v>
          </cell>
          <cell r="O2289" t="str">
            <v>45/清洗</v>
          </cell>
          <cell r="P2289" t="str">
            <v>50/三坐标</v>
          </cell>
          <cell r="Q2289" t="str">
            <v>45/清洗</v>
          </cell>
          <cell r="R2289" t="str">
            <v>50/三坐标</v>
          </cell>
        </row>
        <row r="2290">
          <cell r="B2290" t="str">
            <v>DD-J10-34003-2</v>
          </cell>
          <cell r="D2290" t="str">
            <v>E</v>
          </cell>
          <cell r="E2290" t="str">
            <v>准备工时</v>
          </cell>
          <cell r="G2290">
            <v>60</v>
          </cell>
          <cell r="H2290">
            <v>90</v>
          </cell>
          <cell r="I2290">
            <v>60</v>
          </cell>
          <cell r="J2290">
            <v>60</v>
          </cell>
          <cell r="K2290">
            <v>60</v>
          </cell>
          <cell r="L2290">
            <v>120</v>
          </cell>
          <cell r="M2290">
            <v>300</v>
          </cell>
        </row>
        <row r="2291">
          <cell r="B2291" t="str">
            <v>DD-J10-34003-2</v>
          </cell>
          <cell r="D2291" t="str">
            <v>E</v>
          </cell>
          <cell r="E2291" t="str">
            <v>装夹时间</v>
          </cell>
          <cell r="G2291">
            <v>60</v>
          </cell>
          <cell r="H2291">
            <v>60</v>
          </cell>
          <cell r="I2291">
            <v>120</v>
          </cell>
          <cell r="J2291">
            <v>60</v>
          </cell>
          <cell r="K2291">
            <v>60</v>
          </cell>
          <cell r="L2291">
            <v>60</v>
          </cell>
          <cell r="M2291">
            <v>60</v>
          </cell>
        </row>
        <row r="2292">
          <cell r="B2292" t="str">
            <v>DD-J10-34003-2</v>
          </cell>
          <cell r="D2292" t="str">
            <v>E</v>
          </cell>
          <cell r="E2292" t="str">
            <v>程序时间</v>
          </cell>
          <cell r="G2292">
            <v>180</v>
          </cell>
          <cell r="H2292">
            <v>180</v>
          </cell>
          <cell r="I2292">
            <v>900</v>
          </cell>
          <cell r="J2292">
            <v>430</v>
          </cell>
          <cell r="K2292">
            <v>240</v>
          </cell>
          <cell r="L2292">
            <v>1500</v>
          </cell>
          <cell r="M2292">
            <v>5000</v>
          </cell>
          <cell r="N2292">
            <v>420</v>
          </cell>
        </row>
        <row r="2293">
          <cell r="B2293" t="str">
            <v>CB5512300-015L001</v>
          </cell>
          <cell r="D2293" t="str">
            <v>B</v>
          </cell>
          <cell r="E2293" t="str">
            <v>工序内容</v>
          </cell>
          <cell r="F2293" t="str">
            <v>0/领料</v>
          </cell>
          <cell r="G2293" t="str">
            <v>5/下料</v>
          </cell>
          <cell r="H2293" t="str">
            <v>10/数铣</v>
          </cell>
          <cell r="I2293" t="str">
            <v>15/数铣15</v>
          </cell>
          <cell r="J2293" t="str">
            <v>20/数铣60</v>
          </cell>
          <cell r="K2293" t="str">
            <v>25/数铣34</v>
          </cell>
          <cell r="L2293" t="str">
            <v>30/数铣10</v>
          </cell>
          <cell r="M2293" t="str">
            <v>35/数铣33</v>
          </cell>
          <cell r="N2293" t="str">
            <v>40/数铣120</v>
          </cell>
          <cell r="O2293" t="str">
            <v>45/测量</v>
          </cell>
          <cell r="P2293" t="str">
            <v>50/钳工</v>
          </cell>
          <cell r="Q2293" t="str">
            <v>55/数铣</v>
          </cell>
          <cell r="R2293" t="str">
            <v>60/清洁</v>
          </cell>
          <cell r="S2293" t="str">
            <v>65/成检</v>
          </cell>
        </row>
        <row r="2294">
          <cell r="B2294" t="str">
            <v>CB5512300-015L001</v>
          </cell>
          <cell r="D2294" t="str">
            <v>B</v>
          </cell>
          <cell r="E2294" t="str">
            <v>准备工时</v>
          </cell>
          <cell r="H2294">
            <v>60</v>
          </cell>
          <cell r="I2294">
            <v>60</v>
          </cell>
          <cell r="J2294">
            <v>60</v>
          </cell>
          <cell r="K2294">
            <v>60</v>
          </cell>
          <cell r="L2294">
            <v>60</v>
          </cell>
          <cell r="M2294">
            <v>60</v>
          </cell>
          <cell r="N2294">
            <v>90</v>
          </cell>
        </row>
        <row r="2295">
          <cell r="B2295" t="str">
            <v>CB5512300-015L001</v>
          </cell>
          <cell r="D2295" t="str">
            <v>B</v>
          </cell>
          <cell r="E2295" t="str">
            <v>装夹时间</v>
          </cell>
        </row>
        <row r="2296">
          <cell r="B2296" t="str">
            <v>CB5512300-015L001</v>
          </cell>
          <cell r="D2296" t="str">
            <v>B</v>
          </cell>
          <cell r="E2296" t="str">
            <v>程序时间</v>
          </cell>
          <cell r="G2296">
            <v>30</v>
          </cell>
          <cell r="H2296">
            <v>30</v>
          </cell>
          <cell r="I2296">
            <v>30</v>
          </cell>
          <cell r="J2296">
            <v>90</v>
          </cell>
          <cell r="K2296">
            <v>60</v>
          </cell>
          <cell r="L2296">
            <v>25</v>
          </cell>
          <cell r="M2296">
            <v>60</v>
          </cell>
          <cell r="N2296">
            <v>260</v>
          </cell>
          <cell r="P2296">
            <v>60</v>
          </cell>
          <cell r="Q2296">
            <v>20</v>
          </cell>
        </row>
        <row r="2297">
          <cell r="B2297" t="str">
            <v>CB5512300-015R001</v>
          </cell>
          <cell r="D2297" t="str">
            <v>B</v>
          </cell>
          <cell r="E2297" t="str">
            <v>工序内容</v>
          </cell>
          <cell r="F2297" t="str">
            <v>0/领料</v>
          </cell>
          <cell r="G2297" t="str">
            <v>5/下料</v>
          </cell>
          <cell r="H2297" t="str">
            <v>10/数铣</v>
          </cell>
          <cell r="I2297" t="str">
            <v>15/数铣15</v>
          </cell>
          <cell r="J2297" t="str">
            <v>20/数铣60</v>
          </cell>
          <cell r="K2297" t="str">
            <v>25/数铣34</v>
          </cell>
          <cell r="L2297" t="str">
            <v>30/数铣10</v>
          </cell>
          <cell r="M2297" t="str">
            <v>35/数铣33</v>
          </cell>
          <cell r="N2297" t="str">
            <v>40/数铣120</v>
          </cell>
          <cell r="O2297" t="str">
            <v>45/测量</v>
          </cell>
          <cell r="P2297" t="str">
            <v>50/钳工</v>
          </cell>
          <cell r="Q2297" t="str">
            <v>55/数铣</v>
          </cell>
          <cell r="R2297" t="str">
            <v>60/清洁</v>
          </cell>
          <cell r="S2297" t="str">
            <v>65/成检</v>
          </cell>
        </row>
        <row r="2298">
          <cell r="B2298" t="str">
            <v>CB5512300-015R001</v>
          </cell>
          <cell r="D2298" t="str">
            <v>B</v>
          </cell>
          <cell r="E2298" t="str">
            <v>准备工时</v>
          </cell>
          <cell r="H2298">
            <v>60</v>
          </cell>
          <cell r="I2298">
            <v>60</v>
          </cell>
          <cell r="J2298">
            <v>60</v>
          </cell>
          <cell r="K2298">
            <v>60</v>
          </cell>
          <cell r="L2298">
            <v>60</v>
          </cell>
          <cell r="M2298">
            <v>60</v>
          </cell>
          <cell r="N2298">
            <v>90</v>
          </cell>
        </row>
        <row r="2299">
          <cell r="B2299" t="str">
            <v>CB5512300-015R001</v>
          </cell>
          <cell r="D2299" t="str">
            <v>B</v>
          </cell>
          <cell r="E2299" t="str">
            <v>装夹时间</v>
          </cell>
        </row>
        <row r="2300">
          <cell r="B2300" t="str">
            <v>CB5512300-015R001</v>
          </cell>
          <cell r="D2300" t="str">
            <v>B</v>
          </cell>
          <cell r="E2300" t="str">
            <v>程序时间</v>
          </cell>
          <cell r="G2300">
            <v>30</v>
          </cell>
          <cell r="H2300">
            <v>30</v>
          </cell>
          <cell r="I2300">
            <v>30</v>
          </cell>
          <cell r="J2300">
            <v>90</v>
          </cell>
          <cell r="K2300">
            <v>60</v>
          </cell>
          <cell r="L2300">
            <v>25</v>
          </cell>
          <cell r="M2300">
            <v>60</v>
          </cell>
          <cell r="N2300">
            <v>260</v>
          </cell>
          <cell r="P2300">
            <v>60</v>
          </cell>
          <cell r="Q2300">
            <v>20</v>
          </cell>
        </row>
        <row r="2301">
          <cell r="B2301" t="str">
            <v>CB5512300-015L001</v>
          </cell>
          <cell r="D2301" t="str">
            <v>C</v>
          </cell>
          <cell r="E2301" t="str">
            <v>工序内容</v>
          </cell>
          <cell r="F2301" t="str">
            <v>0/领料</v>
          </cell>
          <cell r="G2301" t="str">
            <v>5/下料</v>
          </cell>
          <cell r="H2301" t="str">
            <v>10/数铣</v>
          </cell>
          <cell r="I2301" t="str">
            <v>15/数铣15</v>
          </cell>
          <cell r="J2301" t="str">
            <v>20/数铣60</v>
          </cell>
          <cell r="K2301" t="str">
            <v>25/数铣34</v>
          </cell>
          <cell r="L2301" t="str">
            <v>30/数铣10</v>
          </cell>
          <cell r="M2301" t="str">
            <v>35/数铣33</v>
          </cell>
          <cell r="N2301" t="str">
            <v>40/数铣120</v>
          </cell>
          <cell r="O2301" t="str">
            <v>45/测量</v>
          </cell>
          <cell r="P2301" t="str">
            <v>50/钳工</v>
          </cell>
          <cell r="Q2301" t="str">
            <v>55/数铣</v>
          </cell>
          <cell r="R2301" t="str">
            <v>60/清洁</v>
          </cell>
          <cell r="S2301" t="str">
            <v>65/成检</v>
          </cell>
        </row>
        <row r="2302">
          <cell r="B2302" t="str">
            <v>CB5512300-015L001</v>
          </cell>
          <cell r="D2302" t="str">
            <v>C</v>
          </cell>
          <cell r="E2302" t="str">
            <v>准备工时</v>
          </cell>
          <cell r="H2302">
            <v>60</v>
          </cell>
          <cell r="I2302">
            <v>60</v>
          </cell>
          <cell r="J2302">
            <v>60</v>
          </cell>
          <cell r="K2302">
            <v>60</v>
          </cell>
          <cell r="L2302">
            <v>60</v>
          </cell>
          <cell r="M2302">
            <v>60</v>
          </cell>
          <cell r="N2302">
            <v>90</v>
          </cell>
        </row>
        <row r="2303">
          <cell r="B2303" t="str">
            <v>CB5512300-015L001</v>
          </cell>
          <cell r="D2303" t="str">
            <v>C</v>
          </cell>
          <cell r="E2303" t="str">
            <v>装夹时间</v>
          </cell>
        </row>
        <row r="2304">
          <cell r="B2304" t="str">
            <v>CB5512300-015L001</v>
          </cell>
          <cell r="D2304" t="str">
            <v>C</v>
          </cell>
          <cell r="E2304" t="str">
            <v>程序时间</v>
          </cell>
          <cell r="G2304">
            <v>30</v>
          </cell>
          <cell r="H2304">
            <v>30</v>
          </cell>
          <cell r="I2304">
            <v>30</v>
          </cell>
          <cell r="J2304">
            <v>90</v>
          </cell>
          <cell r="K2304">
            <v>60</v>
          </cell>
          <cell r="L2304">
            <v>25</v>
          </cell>
          <cell r="M2304">
            <v>60</v>
          </cell>
          <cell r="N2304">
            <v>260</v>
          </cell>
          <cell r="P2304">
            <v>60</v>
          </cell>
          <cell r="Q2304">
            <v>20</v>
          </cell>
        </row>
        <row r="2305">
          <cell r="B2305" t="str">
            <v>CB5512300-015R001</v>
          </cell>
          <cell r="D2305" t="str">
            <v>C</v>
          </cell>
          <cell r="E2305" t="str">
            <v>工序内容</v>
          </cell>
          <cell r="F2305" t="str">
            <v>0/领料</v>
          </cell>
          <cell r="G2305" t="str">
            <v>5/下料</v>
          </cell>
          <cell r="H2305" t="str">
            <v>10/数铣</v>
          </cell>
          <cell r="I2305" t="str">
            <v>15/数铣15</v>
          </cell>
          <cell r="J2305" t="str">
            <v>20/数铣60</v>
          </cell>
          <cell r="K2305" t="str">
            <v>25/数铣34</v>
          </cell>
          <cell r="L2305" t="str">
            <v>30/数铣10</v>
          </cell>
          <cell r="M2305" t="str">
            <v>35/数铣33</v>
          </cell>
          <cell r="N2305" t="str">
            <v>40/数铣120</v>
          </cell>
          <cell r="O2305" t="str">
            <v>45/测量</v>
          </cell>
          <cell r="P2305" t="str">
            <v>50/钳工</v>
          </cell>
          <cell r="Q2305" t="str">
            <v>55/数铣</v>
          </cell>
          <cell r="R2305" t="str">
            <v>60/清洁</v>
          </cell>
          <cell r="S2305" t="str">
            <v>65/成检</v>
          </cell>
        </row>
        <row r="2306">
          <cell r="B2306" t="str">
            <v>CB5512300-015R001</v>
          </cell>
          <cell r="D2306" t="str">
            <v>C</v>
          </cell>
          <cell r="E2306" t="str">
            <v>准备工时</v>
          </cell>
          <cell r="H2306">
            <v>60</v>
          </cell>
          <cell r="I2306">
            <v>60</v>
          </cell>
          <cell r="J2306">
            <v>60</v>
          </cell>
          <cell r="K2306">
            <v>60</v>
          </cell>
          <cell r="L2306">
            <v>60</v>
          </cell>
          <cell r="M2306">
            <v>60</v>
          </cell>
          <cell r="N2306">
            <v>90</v>
          </cell>
        </row>
        <row r="2307">
          <cell r="B2307" t="str">
            <v>CB5512300-015R001</v>
          </cell>
          <cell r="D2307" t="str">
            <v>C</v>
          </cell>
          <cell r="E2307" t="str">
            <v>装夹时间</v>
          </cell>
        </row>
        <row r="2308">
          <cell r="B2308" t="str">
            <v>CB5512300-015R001</v>
          </cell>
          <cell r="D2308" t="str">
            <v>C</v>
          </cell>
          <cell r="E2308" t="str">
            <v>程序时间</v>
          </cell>
          <cell r="G2308">
            <v>30</v>
          </cell>
          <cell r="H2308">
            <v>30</v>
          </cell>
          <cell r="I2308">
            <v>30</v>
          </cell>
          <cell r="J2308">
            <v>90</v>
          </cell>
          <cell r="K2308">
            <v>60</v>
          </cell>
          <cell r="L2308">
            <v>25</v>
          </cell>
          <cell r="M2308">
            <v>60</v>
          </cell>
          <cell r="N2308">
            <v>260</v>
          </cell>
          <cell r="P2308">
            <v>60</v>
          </cell>
          <cell r="Q2308">
            <v>20</v>
          </cell>
        </row>
        <row r="2309">
          <cell r="B2309" t="str">
            <v>CB221T2LF-003-003</v>
          </cell>
          <cell r="D2309" t="str">
            <v>B</v>
          </cell>
          <cell r="E2309" t="str">
            <v>工序内容</v>
          </cell>
          <cell r="F2309" t="str">
            <v>0/领料</v>
          </cell>
          <cell r="G2309" t="str">
            <v>05/普车</v>
          </cell>
          <cell r="H2309" t="str">
            <v>10/分光</v>
          </cell>
          <cell r="I2309" t="str">
            <v>15/检验</v>
          </cell>
          <cell r="J2309" t="str">
            <v>20/数车</v>
          </cell>
          <cell r="K2309" t="str">
            <v>25/数车</v>
          </cell>
          <cell r="L2309" t="str">
            <v>30/钳工</v>
          </cell>
          <cell r="M2309" t="str">
            <v>35/清洁</v>
          </cell>
          <cell r="N2309" t="str">
            <v>40/成检</v>
          </cell>
        </row>
        <row r="2310">
          <cell r="B2310" t="str">
            <v>CB221T2LF-003-003</v>
          </cell>
          <cell r="D2310" t="str">
            <v>B</v>
          </cell>
          <cell r="E2310" t="str">
            <v>准备工时</v>
          </cell>
          <cell r="G2310">
            <v>60</v>
          </cell>
          <cell r="J2310">
            <v>120</v>
          </cell>
          <cell r="K2310">
            <v>120</v>
          </cell>
        </row>
        <row r="2311">
          <cell r="B2311" t="str">
            <v>CB221T2LF-003-003</v>
          </cell>
          <cell r="D2311" t="str">
            <v>B</v>
          </cell>
          <cell r="E2311" t="str">
            <v>装夹时间</v>
          </cell>
        </row>
        <row r="2312">
          <cell r="B2312" t="str">
            <v>CB221T2LF-003-003</v>
          </cell>
          <cell r="D2312" t="str">
            <v>B</v>
          </cell>
          <cell r="E2312" t="str">
            <v>程序时间</v>
          </cell>
          <cell r="G2312">
            <v>20</v>
          </cell>
          <cell r="J2312">
            <v>35</v>
          </cell>
          <cell r="K2312">
            <v>25</v>
          </cell>
          <cell r="L2312">
            <v>20</v>
          </cell>
        </row>
        <row r="2313">
          <cell r="B2313" t="str">
            <v>CB2747G30-002-002</v>
          </cell>
          <cell r="D2313" t="str">
            <v>B</v>
          </cell>
          <cell r="E2313" t="str">
            <v>工序内容</v>
          </cell>
          <cell r="F2313" t="str">
            <v>0/领料</v>
          </cell>
          <cell r="G2313" t="str">
            <v>05/数车</v>
          </cell>
          <cell r="H2313" t="str">
            <v>10/数车</v>
          </cell>
          <cell r="I2313" t="str">
            <v>15/数铣5</v>
          </cell>
          <cell r="J2313" t="str">
            <v>20/穿孔</v>
          </cell>
          <cell r="K2313" t="str">
            <v>25/钳工</v>
          </cell>
          <cell r="L2313" t="str">
            <v>30/清洁</v>
          </cell>
          <cell r="M2313" t="str">
            <v>35/成检</v>
          </cell>
        </row>
        <row r="2314">
          <cell r="B2314" t="str">
            <v>CB2747G30-002-002</v>
          </cell>
          <cell r="D2314" t="str">
            <v>B</v>
          </cell>
          <cell r="E2314" t="str">
            <v>准备工时</v>
          </cell>
          <cell r="G2314">
            <v>120</v>
          </cell>
          <cell r="H2314">
            <v>90</v>
          </cell>
          <cell r="I2314">
            <v>60</v>
          </cell>
        </row>
        <row r="2315">
          <cell r="B2315" t="str">
            <v>CB2747G30-002-002</v>
          </cell>
          <cell r="D2315" t="str">
            <v>B</v>
          </cell>
          <cell r="E2315" t="str">
            <v>装夹时间</v>
          </cell>
        </row>
        <row r="2316">
          <cell r="B2316" t="str">
            <v>CB2747G30-002-002</v>
          </cell>
          <cell r="D2316" t="str">
            <v>B</v>
          </cell>
          <cell r="E2316" t="str">
            <v>程序时间</v>
          </cell>
          <cell r="G2316">
            <v>60</v>
          </cell>
          <cell r="H2316">
            <v>20</v>
          </cell>
          <cell r="I2316">
            <v>25</v>
          </cell>
          <cell r="K2316">
            <v>25</v>
          </cell>
        </row>
        <row r="2317">
          <cell r="B2317" t="str">
            <v>DD-J10-61031-801</v>
          </cell>
          <cell r="D2317" t="str">
            <v>B</v>
          </cell>
          <cell r="E2317" t="str">
            <v>工序内容</v>
          </cell>
          <cell r="F2317" t="str">
            <v>0/领料</v>
          </cell>
          <cell r="G2317" t="str">
            <v>05/数车30</v>
          </cell>
          <cell r="H2317" t="str">
            <v>10/分光</v>
          </cell>
          <cell r="I2317" t="str">
            <v>15/硬度</v>
          </cell>
          <cell r="J2317" t="str">
            <v>20数车30</v>
          </cell>
          <cell r="K2317" t="str">
            <v>25穿孔</v>
          </cell>
          <cell r="L2317" t="str">
            <v>30钳工</v>
          </cell>
          <cell r="M2317" t="str">
            <v>35/清洁</v>
          </cell>
          <cell r="N2317" t="str">
            <v>40/成检</v>
          </cell>
        </row>
        <row r="2318">
          <cell r="B2318" t="str">
            <v>DD-J10-61031-801</v>
          </cell>
          <cell r="D2318" t="str">
            <v>B</v>
          </cell>
          <cell r="E2318" t="str">
            <v>准备工时</v>
          </cell>
          <cell r="G2318">
            <v>90</v>
          </cell>
          <cell r="J2318" t="str">
            <v>90</v>
          </cell>
        </row>
        <row r="2319">
          <cell r="B2319" t="str">
            <v>DD-J10-61031-801</v>
          </cell>
          <cell r="D2319" t="str">
            <v>B</v>
          </cell>
          <cell r="E2319" t="str">
            <v>装夹时间</v>
          </cell>
        </row>
        <row r="2320">
          <cell r="B2320" t="str">
            <v>DD-J10-61031-801</v>
          </cell>
          <cell r="D2320" t="str">
            <v>B</v>
          </cell>
          <cell r="E2320" t="str">
            <v>程序时间</v>
          </cell>
          <cell r="G2320">
            <v>30</v>
          </cell>
          <cell r="J2320" t="str">
            <v>50</v>
          </cell>
          <cell r="L2320" t="str">
            <v>20</v>
          </cell>
        </row>
        <row r="2321">
          <cell r="B2321" t="str">
            <v>CB2294456-001-001</v>
          </cell>
          <cell r="D2321" t="str">
            <v>B</v>
          </cell>
          <cell r="E2321" t="str">
            <v>工序内容</v>
          </cell>
          <cell r="F2321" t="str">
            <v>0/领料</v>
          </cell>
          <cell r="G2321" t="str">
            <v>05/数车15</v>
          </cell>
          <cell r="H2321" t="str">
            <v>10/数车15</v>
          </cell>
          <cell r="I2321" t="str">
            <v>15/钳去毛刺</v>
          </cell>
          <cell r="J2321" t="str">
            <v>20/分光</v>
          </cell>
          <cell r="K2321" t="str">
            <v>25/热处理</v>
          </cell>
          <cell r="L2321" t="str">
            <v>30/标记</v>
          </cell>
          <cell r="M2321" t="str">
            <v>35/数车15</v>
          </cell>
          <cell r="N2321" t="str">
            <v>40/穿孔</v>
          </cell>
          <cell r="O2321" t="str">
            <v>45/钳工</v>
          </cell>
          <cell r="P2321" t="str">
            <v>50/清洁</v>
          </cell>
          <cell r="Q2321" t="str">
            <v>55/成检</v>
          </cell>
        </row>
        <row r="2322">
          <cell r="B2322" t="str">
            <v>CB2294456-001-001</v>
          </cell>
          <cell r="D2322" t="str">
            <v>B</v>
          </cell>
          <cell r="E2322" t="str">
            <v>准备工时</v>
          </cell>
          <cell r="G2322">
            <v>60</v>
          </cell>
          <cell r="H2322">
            <v>60</v>
          </cell>
          <cell r="M2322">
            <v>60</v>
          </cell>
        </row>
        <row r="2323">
          <cell r="B2323" t="str">
            <v>CB2294456-001-001</v>
          </cell>
          <cell r="D2323" t="str">
            <v>B</v>
          </cell>
          <cell r="E2323" t="str">
            <v>装夹时间</v>
          </cell>
        </row>
        <row r="2324">
          <cell r="B2324" t="str">
            <v>CB2294456-001-001</v>
          </cell>
          <cell r="D2324" t="str">
            <v>B</v>
          </cell>
          <cell r="E2324" t="str">
            <v>程序时间</v>
          </cell>
          <cell r="G2324">
            <v>30</v>
          </cell>
          <cell r="H2324">
            <v>30</v>
          </cell>
          <cell r="I2324">
            <v>10</v>
          </cell>
          <cell r="M2324">
            <v>30</v>
          </cell>
          <cell r="O2324">
            <v>25</v>
          </cell>
        </row>
        <row r="2325">
          <cell r="B2325" t="str">
            <v>Y20-5318210002-001</v>
          </cell>
          <cell r="D2325" t="str">
            <v>B</v>
          </cell>
          <cell r="E2325" t="str">
            <v>工序内容</v>
          </cell>
          <cell r="F2325" t="str">
            <v>0/领料</v>
          </cell>
          <cell r="G2325" t="str">
            <v>5/数车50</v>
          </cell>
          <cell r="H2325" t="str">
            <v>10/数车10</v>
          </cell>
          <cell r="I2325" t="str">
            <v>15/钳工</v>
          </cell>
          <cell r="J2325" t="str">
            <v>20/清洁</v>
          </cell>
          <cell r="K2325" t="str">
            <v>25/成检</v>
          </cell>
        </row>
        <row r="2326">
          <cell r="B2326" t="str">
            <v>Y20-5318210002-001</v>
          </cell>
          <cell r="D2326" t="str">
            <v>B</v>
          </cell>
          <cell r="E2326" t="str">
            <v>准备工时</v>
          </cell>
          <cell r="G2326">
            <v>120</v>
          </cell>
          <cell r="H2326">
            <v>60</v>
          </cell>
        </row>
        <row r="2327">
          <cell r="B2327" t="str">
            <v>Y20-5318210002-001</v>
          </cell>
          <cell r="D2327" t="str">
            <v>B</v>
          </cell>
          <cell r="E2327" t="str">
            <v>装夹时间</v>
          </cell>
        </row>
        <row r="2328">
          <cell r="B2328" t="str">
            <v>Y20-5318210002-001</v>
          </cell>
          <cell r="D2328" t="str">
            <v>B</v>
          </cell>
          <cell r="E2328" t="str">
            <v>程序时间</v>
          </cell>
          <cell r="G2328">
            <v>180</v>
          </cell>
          <cell r="H2328">
            <v>20</v>
          </cell>
          <cell r="I2328">
            <v>40</v>
          </cell>
        </row>
        <row r="2329">
          <cell r="B2329" t="str">
            <v>Y20-5318210002-002</v>
          </cell>
          <cell r="D2329" t="str">
            <v>B</v>
          </cell>
          <cell r="E2329" t="str">
            <v>工序内容</v>
          </cell>
          <cell r="F2329" t="str">
            <v>0/领料</v>
          </cell>
          <cell r="G2329" t="str">
            <v>5/数车60</v>
          </cell>
          <cell r="H2329" t="str">
            <v>10/数车10</v>
          </cell>
          <cell r="I2329" t="str">
            <v>15/钳工</v>
          </cell>
          <cell r="J2329" t="str">
            <v>20/清洁</v>
          </cell>
          <cell r="K2329" t="str">
            <v>25/成检</v>
          </cell>
        </row>
        <row r="2330">
          <cell r="B2330" t="str">
            <v>Y20-5318210002-002</v>
          </cell>
          <cell r="D2330" t="str">
            <v>B</v>
          </cell>
          <cell r="E2330" t="str">
            <v>准备工时</v>
          </cell>
          <cell r="G2330">
            <v>120</v>
          </cell>
          <cell r="H2330">
            <v>60</v>
          </cell>
        </row>
        <row r="2331">
          <cell r="B2331" t="str">
            <v>Y20-5318210002-002</v>
          </cell>
          <cell r="D2331" t="str">
            <v>B</v>
          </cell>
          <cell r="E2331" t="str">
            <v>装夹时间</v>
          </cell>
        </row>
        <row r="2332">
          <cell r="B2332" t="str">
            <v>Y20-5318210002-002</v>
          </cell>
          <cell r="D2332" t="str">
            <v>B</v>
          </cell>
          <cell r="E2332" t="str">
            <v>程序时间</v>
          </cell>
          <cell r="G2332">
            <v>180</v>
          </cell>
          <cell r="H2332">
            <v>20</v>
          </cell>
          <cell r="I2332">
            <v>40</v>
          </cell>
        </row>
        <row r="2333">
          <cell r="B2333" t="str">
            <v>CB2263267-001-002</v>
          </cell>
          <cell r="D2333" t="str">
            <v>B</v>
          </cell>
          <cell r="E2333" t="str">
            <v>工序内容</v>
          </cell>
          <cell r="F2333" t="str">
            <v>0/领料</v>
          </cell>
          <cell r="G2333" t="str">
            <v>05/数车30</v>
          </cell>
          <cell r="H2333" t="str">
            <v>10/数车35</v>
          </cell>
          <cell r="I2333" t="str">
            <v>15/车铣</v>
          </cell>
          <cell r="J2333" t="str">
            <v>20/分光</v>
          </cell>
          <cell r="K2333" t="str">
            <v>25/硬度</v>
          </cell>
          <cell r="L2333" t="str">
            <v>30/数车</v>
          </cell>
          <cell r="M2333" t="str">
            <v>35/穿孔</v>
          </cell>
          <cell r="N2333" t="str">
            <v>40/钳工</v>
          </cell>
          <cell r="O2333" t="str">
            <v>45/清洁</v>
          </cell>
          <cell r="P2333" t="str">
            <v>50/成检</v>
          </cell>
        </row>
        <row r="2334">
          <cell r="B2334" t="str">
            <v>CB2263267-001-002</v>
          </cell>
          <cell r="D2334" t="str">
            <v>B</v>
          </cell>
          <cell r="E2334" t="str">
            <v>准备工时</v>
          </cell>
          <cell r="G2334">
            <v>90</v>
          </cell>
          <cell r="H2334">
            <v>120</v>
          </cell>
          <cell r="I2334">
            <v>150</v>
          </cell>
          <cell r="L2334">
            <v>120</v>
          </cell>
        </row>
        <row r="2335">
          <cell r="B2335" t="str">
            <v>CB2263267-001-002</v>
          </cell>
          <cell r="D2335" t="str">
            <v>B</v>
          </cell>
          <cell r="E2335" t="str">
            <v>装夹时间</v>
          </cell>
        </row>
        <row r="2336">
          <cell r="B2336" t="str">
            <v>CB2263267-001-002</v>
          </cell>
          <cell r="D2336" t="str">
            <v>B</v>
          </cell>
          <cell r="E2336" t="str">
            <v>程序时间</v>
          </cell>
          <cell r="G2336">
            <v>45</v>
          </cell>
          <cell r="H2336">
            <v>55</v>
          </cell>
          <cell r="I2336">
            <v>25</v>
          </cell>
          <cell r="L2336">
            <v>30</v>
          </cell>
          <cell r="N2336">
            <v>25</v>
          </cell>
        </row>
        <row r="2337">
          <cell r="B2337" t="str">
            <v>BC22971A1-005-001</v>
          </cell>
          <cell r="D2337" t="str">
            <v>B</v>
          </cell>
          <cell r="E2337" t="str">
            <v>工序内容</v>
          </cell>
          <cell r="F2337" t="str">
            <v>0/领料</v>
          </cell>
          <cell r="G2337" t="str">
            <v>05/数车</v>
          </cell>
          <cell r="H2337" t="str">
            <v>10/数车</v>
          </cell>
          <cell r="I2337" t="str">
            <v>15/数车</v>
          </cell>
          <cell r="J2337" t="str">
            <v>20/分光</v>
          </cell>
          <cell r="K2337" t="str">
            <v>25/数车</v>
          </cell>
          <cell r="L2337" t="str">
            <v>30/数洗</v>
          </cell>
          <cell r="M2337" t="str">
            <v>35/钳工</v>
          </cell>
          <cell r="N2337" t="str">
            <v>40/清洁</v>
          </cell>
          <cell r="O2337" t="str">
            <v>45/成检</v>
          </cell>
        </row>
        <row r="2338">
          <cell r="B2338" t="str">
            <v>BC22971A1-005-001</v>
          </cell>
          <cell r="D2338" t="str">
            <v>B</v>
          </cell>
          <cell r="E2338" t="str">
            <v>准备工时</v>
          </cell>
          <cell r="G2338">
            <v>90</v>
          </cell>
          <cell r="H2338">
            <v>90</v>
          </cell>
          <cell r="I2338">
            <v>90</v>
          </cell>
          <cell r="K2338">
            <v>60</v>
          </cell>
          <cell r="L2338">
            <v>60</v>
          </cell>
        </row>
        <row r="2339">
          <cell r="B2339" t="str">
            <v>BC22971A1-005-001</v>
          </cell>
          <cell r="D2339" t="str">
            <v>B</v>
          </cell>
          <cell r="E2339" t="str">
            <v>装夹时间</v>
          </cell>
        </row>
        <row r="2340">
          <cell r="B2340" t="str">
            <v>BC22971A1-005-001</v>
          </cell>
          <cell r="D2340" t="str">
            <v>B</v>
          </cell>
          <cell r="E2340" t="str">
            <v>程序时间</v>
          </cell>
          <cell r="G2340">
            <v>20</v>
          </cell>
          <cell r="H2340">
            <v>30</v>
          </cell>
          <cell r="I2340">
            <v>10</v>
          </cell>
          <cell r="K2340">
            <v>15</v>
          </cell>
          <cell r="L2340">
            <v>50</v>
          </cell>
          <cell r="M2340">
            <v>15</v>
          </cell>
        </row>
        <row r="2341">
          <cell r="B2341" t="str">
            <v>BC5812420-001-002</v>
          </cell>
          <cell r="D2341" t="str">
            <v>A</v>
          </cell>
          <cell r="E2341" t="str">
            <v>工序内容</v>
          </cell>
          <cell r="F2341" t="str">
            <v>0/领料</v>
          </cell>
          <cell r="G2341" t="str">
            <v>05/数铣</v>
          </cell>
          <cell r="H2341" t="str">
            <v>10/数铣75</v>
          </cell>
          <cell r="I2341" t="str">
            <v>15/数铣150</v>
          </cell>
          <cell r="J2341" t="str">
            <v>20/数铣160</v>
          </cell>
          <cell r="K2341" t="str">
            <v>25/数铣30</v>
          </cell>
          <cell r="L2341" t="str">
            <v>30/数铣100</v>
          </cell>
          <cell r="M2341" t="str">
            <v>35/数铣20</v>
          </cell>
          <cell r="N2341" t="str">
            <v>40/数铣20</v>
          </cell>
          <cell r="O2341" t="str">
            <v>45/数铣10</v>
          </cell>
          <cell r="P2341" t="str">
            <v>50/测量</v>
          </cell>
          <cell r="Q2341" t="str">
            <v>55/分光</v>
          </cell>
          <cell r="R2341" t="str">
            <v>60/硬度</v>
          </cell>
          <cell r="S2341" t="str">
            <v>65/数铣20</v>
          </cell>
          <cell r="T2341" t="str">
            <v>70/钳工</v>
          </cell>
          <cell r="U2341" t="str">
            <v>75/清洁</v>
          </cell>
          <cell r="V2341" t="str">
            <v>80/成检</v>
          </cell>
        </row>
        <row r="2342">
          <cell r="B2342" t="str">
            <v>BC5812420-001-002</v>
          </cell>
          <cell r="D2342" t="str">
            <v>A</v>
          </cell>
          <cell r="E2342" t="str">
            <v>准备工时</v>
          </cell>
          <cell r="G2342">
            <v>60</v>
          </cell>
          <cell r="H2342">
            <v>60</v>
          </cell>
          <cell r="I2342">
            <v>60</v>
          </cell>
          <cell r="J2342">
            <v>60</v>
          </cell>
          <cell r="K2342">
            <v>60</v>
          </cell>
          <cell r="L2342">
            <v>90</v>
          </cell>
          <cell r="M2342">
            <v>60</v>
          </cell>
          <cell r="N2342">
            <v>60</v>
          </cell>
          <cell r="O2342">
            <v>120</v>
          </cell>
          <cell r="S2342">
            <v>60</v>
          </cell>
        </row>
        <row r="2343">
          <cell r="B2343" t="str">
            <v>BC5812420-001-002</v>
          </cell>
          <cell r="D2343" t="str">
            <v>A</v>
          </cell>
          <cell r="E2343" t="str">
            <v>装夹时间</v>
          </cell>
        </row>
        <row r="2344">
          <cell r="B2344" t="str">
            <v>BC5812420-001-002</v>
          </cell>
          <cell r="D2344" t="str">
            <v>A</v>
          </cell>
          <cell r="E2344" t="str">
            <v>程序时间</v>
          </cell>
          <cell r="G2344">
            <v>60</v>
          </cell>
          <cell r="H2344">
            <v>90</v>
          </cell>
          <cell r="I2344">
            <v>180</v>
          </cell>
          <cell r="J2344">
            <v>210</v>
          </cell>
          <cell r="K2344">
            <v>30</v>
          </cell>
          <cell r="L2344">
            <v>150</v>
          </cell>
          <cell r="M2344">
            <v>35</v>
          </cell>
          <cell r="N2344">
            <v>30</v>
          </cell>
          <cell r="O2344">
            <v>60</v>
          </cell>
          <cell r="S2344">
            <v>25</v>
          </cell>
          <cell r="T2344">
            <v>240</v>
          </cell>
        </row>
        <row r="2345">
          <cell r="B2345" t="str">
            <v>DD-J10-55181-2540-1</v>
          </cell>
          <cell r="D2345" t="str">
            <v>C</v>
          </cell>
          <cell r="E2345" t="str">
            <v>工序内容</v>
          </cell>
          <cell r="F2345" t="str">
            <v>0/领料</v>
          </cell>
          <cell r="G2345" t="str">
            <v>5/数车30</v>
          </cell>
          <cell r="H2345" t="str">
            <v>10/数车15</v>
          </cell>
          <cell r="I2345" t="str">
            <v>15/数车3</v>
          </cell>
          <cell r="J2345" t="str">
            <v>20/数车15</v>
          </cell>
          <cell r="K2345" t="str">
            <v>25/数车5</v>
          </cell>
          <cell r="L2345" t="str">
            <v>30/钳工</v>
          </cell>
          <cell r="M2345" t="str">
            <v>35/钳工</v>
          </cell>
          <cell r="N2345" t="str">
            <v>40/清洁</v>
          </cell>
          <cell r="O2345" t="str">
            <v>45/成检</v>
          </cell>
        </row>
        <row r="2346">
          <cell r="B2346" t="str">
            <v>DD-J10-55181-2540-1</v>
          </cell>
          <cell r="D2346" t="str">
            <v>C</v>
          </cell>
          <cell r="E2346" t="str">
            <v>准备工时</v>
          </cell>
          <cell r="G2346">
            <v>40</v>
          </cell>
          <cell r="H2346">
            <v>40</v>
          </cell>
          <cell r="I2346">
            <v>40</v>
          </cell>
          <cell r="J2346">
            <v>40</v>
          </cell>
          <cell r="K2346">
            <v>40</v>
          </cell>
        </row>
        <row r="2347">
          <cell r="B2347" t="str">
            <v>DD-J10-55181-2540-1</v>
          </cell>
          <cell r="D2347" t="str">
            <v>C</v>
          </cell>
          <cell r="E2347" t="str">
            <v>装夹时间</v>
          </cell>
        </row>
        <row r="2348">
          <cell r="B2348" t="str">
            <v>DD-J10-55181-2540-1</v>
          </cell>
          <cell r="D2348" t="str">
            <v>C</v>
          </cell>
          <cell r="E2348" t="str">
            <v>程序时间</v>
          </cell>
          <cell r="G2348">
            <v>35</v>
          </cell>
          <cell r="H2348">
            <v>25</v>
          </cell>
          <cell r="I2348">
            <v>5</v>
          </cell>
          <cell r="J2348">
            <v>20</v>
          </cell>
          <cell r="K2348">
            <v>10</v>
          </cell>
          <cell r="L2348">
            <v>40</v>
          </cell>
          <cell r="M2348">
            <v>20</v>
          </cell>
        </row>
        <row r="2349">
          <cell r="B2349" t="str">
            <v>DD-J10S-91001-1</v>
          </cell>
          <cell r="D2349" t="str">
            <v>B</v>
          </cell>
          <cell r="E2349" t="str">
            <v>工序内容</v>
          </cell>
          <cell r="F2349" t="str">
            <v>0/领料</v>
          </cell>
          <cell r="G2349" t="str">
            <v>5/数铣</v>
          </cell>
          <cell r="H2349" t="str">
            <v>10/数铣25</v>
          </cell>
          <cell r="I2349" t="str">
            <v>15/数铣75</v>
          </cell>
          <cell r="J2349" t="str">
            <v>20/数铣</v>
          </cell>
          <cell r="K2349" t="str">
            <v>25/线切割</v>
          </cell>
          <cell r="L2349" t="str">
            <v>30/钳工</v>
          </cell>
          <cell r="M2349" t="str">
            <v>35/热处理</v>
          </cell>
          <cell r="N2349" t="str">
            <v>40/校形</v>
          </cell>
          <cell r="O2349" t="str">
            <v>45/线切割</v>
          </cell>
          <cell r="P2349" t="str">
            <v>50/数铣20</v>
          </cell>
          <cell r="Q2349" t="str">
            <v>55/数铣5</v>
          </cell>
          <cell r="R2349" t="str">
            <v>60/钳工</v>
          </cell>
          <cell r="S2349" t="str">
            <v>65/清洁</v>
          </cell>
          <cell r="T2349" t="str">
            <v>70/成检</v>
          </cell>
        </row>
        <row r="2350">
          <cell r="B2350" t="str">
            <v>DD-J10S-91001-1</v>
          </cell>
          <cell r="D2350" t="str">
            <v>B</v>
          </cell>
          <cell r="E2350" t="str">
            <v>准备工时</v>
          </cell>
          <cell r="G2350">
            <v>60</v>
          </cell>
          <cell r="H2350">
            <v>60</v>
          </cell>
          <cell r="I2350">
            <v>60</v>
          </cell>
          <cell r="J2350">
            <v>90</v>
          </cell>
          <cell r="P2350">
            <v>60</v>
          </cell>
          <cell r="Q2350">
            <v>60</v>
          </cell>
        </row>
        <row r="2351">
          <cell r="B2351" t="str">
            <v>DD-J10S-91001-1</v>
          </cell>
          <cell r="D2351" t="str">
            <v>B</v>
          </cell>
          <cell r="E2351" t="str">
            <v>装夹时间</v>
          </cell>
        </row>
        <row r="2352">
          <cell r="B2352" t="str">
            <v>DD-J10S-91001-1</v>
          </cell>
          <cell r="D2352" t="str">
            <v>B</v>
          </cell>
          <cell r="E2352" t="str">
            <v>程序时间</v>
          </cell>
          <cell r="G2352">
            <v>40</v>
          </cell>
          <cell r="H2352">
            <v>50</v>
          </cell>
          <cell r="I2352">
            <v>120</v>
          </cell>
          <cell r="J2352">
            <v>20</v>
          </cell>
          <cell r="L2352" t="str">
            <v>25</v>
          </cell>
          <cell r="N2352">
            <v>20</v>
          </cell>
          <cell r="P2352">
            <v>50</v>
          </cell>
          <cell r="Q2352">
            <v>30</v>
          </cell>
          <cell r="R2352">
            <v>30</v>
          </cell>
        </row>
        <row r="2353">
          <cell r="B2353" t="str">
            <v>Y20-5212290004-001</v>
          </cell>
          <cell r="D2353" t="str">
            <v>C</v>
          </cell>
          <cell r="E2353" t="str">
            <v>工序内容</v>
          </cell>
          <cell r="F2353" t="str">
            <v>0/领料</v>
          </cell>
          <cell r="G2353" t="str">
            <v>05/下料</v>
          </cell>
          <cell r="H2353" t="str">
            <v>10/钳校形</v>
          </cell>
          <cell r="I2353" t="str">
            <v>15/数铣20</v>
          </cell>
          <cell r="J2353" t="str">
            <v>20/数铣</v>
          </cell>
          <cell r="K2353" t="str">
            <v>25/钳工</v>
          </cell>
          <cell r="L2353" t="str">
            <v>30/清洁</v>
          </cell>
          <cell r="M2353" t="str">
            <v>35检验</v>
          </cell>
          <cell r="N2353" t="str">
            <v>40成检</v>
          </cell>
        </row>
        <row r="2354">
          <cell r="B2354" t="str">
            <v>Y20-5212290004-001</v>
          </cell>
          <cell r="D2354" t="str">
            <v>C</v>
          </cell>
          <cell r="E2354" t="str">
            <v>准备工时</v>
          </cell>
          <cell r="I2354">
            <v>60</v>
          </cell>
          <cell r="J2354">
            <v>90</v>
          </cell>
        </row>
        <row r="2355">
          <cell r="B2355" t="str">
            <v>Y20-5212290004-001</v>
          </cell>
          <cell r="D2355" t="str">
            <v>C</v>
          </cell>
          <cell r="E2355" t="str">
            <v>装夹时间</v>
          </cell>
        </row>
        <row r="2356">
          <cell r="B2356" t="str">
            <v>Y20-5212290004-001</v>
          </cell>
          <cell r="D2356" t="str">
            <v>C</v>
          </cell>
          <cell r="E2356" t="str">
            <v>程序时间</v>
          </cell>
          <cell r="G2356">
            <v>10</v>
          </cell>
          <cell r="H2356">
            <v>60</v>
          </cell>
          <cell r="I2356">
            <v>50</v>
          </cell>
          <cell r="J2356">
            <v>100</v>
          </cell>
          <cell r="K2356">
            <v>80</v>
          </cell>
          <cell r="L2356">
            <v>10</v>
          </cell>
        </row>
        <row r="2357">
          <cell r="B2357" t="str">
            <v>CB5327110-002L004</v>
          </cell>
          <cell r="D2357" t="str">
            <v>E</v>
          </cell>
          <cell r="E2357" t="str">
            <v>工序内容</v>
          </cell>
          <cell r="F2357" t="str">
            <v>0/领料</v>
          </cell>
          <cell r="G2357" t="str">
            <v>5/数铣</v>
          </cell>
          <cell r="H2357" t="str">
            <v>10/数铣100</v>
          </cell>
          <cell r="I2357" t="str">
            <v>15/数铣60</v>
          </cell>
          <cell r="J2357" t="str">
            <v>20/数铣260</v>
          </cell>
          <cell r="K2357" t="str">
            <v>25/数铣540</v>
          </cell>
          <cell r="L2357" t="str">
            <v>30/5轴400</v>
          </cell>
          <cell r="M2357" t="str">
            <v>35/测量</v>
          </cell>
          <cell r="N2357" t="str">
            <v>40/钳工</v>
          </cell>
          <cell r="O2357" t="str">
            <v>45/测量</v>
          </cell>
          <cell r="P2357" t="str">
            <v>50/清洗</v>
          </cell>
          <cell r="Q2357" t="str">
            <v>55/成检</v>
          </cell>
        </row>
        <row r="2358">
          <cell r="B2358" t="str">
            <v>CB5327110-002L004</v>
          </cell>
          <cell r="D2358" t="str">
            <v>E</v>
          </cell>
          <cell r="E2358" t="str">
            <v>准备工时</v>
          </cell>
          <cell r="G2358">
            <v>60</v>
          </cell>
          <cell r="H2358">
            <v>90</v>
          </cell>
          <cell r="I2358">
            <v>90</v>
          </cell>
          <cell r="J2358">
            <v>90</v>
          </cell>
          <cell r="K2358">
            <v>90</v>
          </cell>
          <cell r="L2358">
            <v>90</v>
          </cell>
        </row>
        <row r="2359">
          <cell r="B2359" t="str">
            <v>CB5327110-002L004</v>
          </cell>
          <cell r="D2359" t="str">
            <v>E</v>
          </cell>
          <cell r="E2359" t="str">
            <v>装夹时间</v>
          </cell>
          <cell r="G2359">
            <v>60</v>
          </cell>
          <cell r="H2359">
            <v>60</v>
          </cell>
          <cell r="I2359">
            <v>60</v>
          </cell>
          <cell r="J2359">
            <v>60</v>
          </cell>
          <cell r="K2359">
            <v>60</v>
          </cell>
          <cell r="L2359">
            <v>60</v>
          </cell>
        </row>
        <row r="2360">
          <cell r="B2360" t="str">
            <v>CB5327110-002L004</v>
          </cell>
          <cell r="D2360" t="str">
            <v>E</v>
          </cell>
          <cell r="E2360" t="str">
            <v>程序时间</v>
          </cell>
          <cell r="G2360">
            <v>150</v>
          </cell>
          <cell r="H2360">
            <v>150</v>
          </cell>
          <cell r="I2360">
            <v>120</v>
          </cell>
          <cell r="J2360">
            <v>420</v>
          </cell>
          <cell r="K2360">
            <v>720</v>
          </cell>
          <cell r="L2360">
            <v>900</v>
          </cell>
          <cell r="N2360">
            <v>600</v>
          </cell>
        </row>
        <row r="2361">
          <cell r="B2361" t="str">
            <v>CB5327110-002R004</v>
          </cell>
          <cell r="D2361" t="str">
            <v>E</v>
          </cell>
          <cell r="E2361" t="str">
            <v>工序内容</v>
          </cell>
          <cell r="F2361" t="str">
            <v>0/领料</v>
          </cell>
          <cell r="G2361" t="str">
            <v>5/数铣</v>
          </cell>
          <cell r="H2361" t="str">
            <v>10/数铣100</v>
          </cell>
          <cell r="I2361" t="str">
            <v>15/数铣60</v>
          </cell>
          <cell r="J2361" t="str">
            <v>20/数铣260</v>
          </cell>
          <cell r="K2361" t="str">
            <v>25/数铣540</v>
          </cell>
          <cell r="L2361" t="str">
            <v>30/5轴400</v>
          </cell>
          <cell r="M2361" t="str">
            <v>35/测量</v>
          </cell>
          <cell r="N2361" t="str">
            <v>40/钳工</v>
          </cell>
          <cell r="O2361" t="str">
            <v>45/测量</v>
          </cell>
          <cell r="P2361" t="str">
            <v>50/清洗</v>
          </cell>
          <cell r="Q2361" t="str">
            <v>55/成检</v>
          </cell>
        </row>
        <row r="2362">
          <cell r="B2362" t="str">
            <v>CB5327110-002R004</v>
          </cell>
          <cell r="D2362" t="str">
            <v>E</v>
          </cell>
          <cell r="E2362" t="str">
            <v>准备工时</v>
          </cell>
          <cell r="G2362">
            <v>60</v>
          </cell>
          <cell r="H2362">
            <v>90</v>
          </cell>
          <cell r="I2362">
            <v>90</v>
          </cell>
          <cell r="J2362">
            <v>90</v>
          </cell>
          <cell r="K2362">
            <v>90</v>
          </cell>
          <cell r="L2362">
            <v>90</v>
          </cell>
        </row>
        <row r="2363">
          <cell r="B2363" t="str">
            <v>CB5327110-002R004</v>
          </cell>
          <cell r="D2363" t="str">
            <v>E</v>
          </cell>
          <cell r="E2363" t="str">
            <v>装夹时间</v>
          </cell>
          <cell r="G2363">
            <v>60</v>
          </cell>
          <cell r="H2363">
            <v>60</v>
          </cell>
          <cell r="I2363">
            <v>60</v>
          </cell>
          <cell r="J2363">
            <v>60</v>
          </cell>
          <cell r="K2363">
            <v>60</v>
          </cell>
          <cell r="L2363">
            <v>60</v>
          </cell>
        </row>
        <row r="2364">
          <cell r="B2364" t="str">
            <v>CB5327110-002R004</v>
          </cell>
          <cell r="D2364" t="str">
            <v>E</v>
          </cell>
          <cell r="E2364" t="str">
            <v>程序时间</v>
          </cell>
          <cell r="G2364">
            <v>150</v>
          </cell>
          <cell r="H2364">
            <v>150</v>
          </cell>
          <cell r="I2364">
            <v>120</v>
          </cell>
          <cell r="J2364">
            <v>420</v>
          </cell>
          <cell r="K2364">
            <v>720</v>
          </cell>
          <cell r="L2364">
            <v>900</v>
          </cell>
          <cell r="N2364">
            <v>600</v>
          </cell>
        </row>
        <row r="2365">
          <cell r="B2365" t="str">
            <v>CB5327110-002L004</v>
          </cell>
          <cell r="D2365" t="str">
            <v>F</v>
          </cell>
          <cell r="E2365" t="str">
            <v>工序内容</v>
          </cell>
          <cell r="F2365" t="str">
            <v>0/领料</v>
          </cell>
          <cell r="G2365" t="str">
            <v>5/数铣</v>
          </cell>
          <cell r="H2365" t="str">
            <v>10/数铣100</v>
          </cell>
          <cell r="I2365" t="str">
            <v>15/数铣60</v>
          </cell>
          <cell r="J2365" t="str">
            <v>20/数铣260</v>
          </cell>
          <cell r="K2365" t="str">
            <v>25/数铣540</v>
          </cell>
          <cell r="L2365" t="str">
            <v>30/5轴400</v>
          </cell>
          <cell r="M2365" t="str">
            <v>35/测量</v>
          </cell>
          <cell r="N2365" t="str">
            <v>40/钳工</v>
          </cell>
          <cell r="O2365" t="str">
            <v>45/测量</v>
          </cell>
          <cell r="P2365" t="str">
            <v>50/清洗</v>
          </cell>
          <cell r="Q2365" t="str">
            <v>55/成检</v>
          </cell>
        </row>
        <row r="2366">
          <cell r="B2366" t="str">
            <v>CB5327110-002L004</v>
          </cell>
          <cell r="D2366" t="str">
            <v>F</v>
          </cell>
          <cell r="E2366" t="str">
            <v>准备工时</v>
          </cell>
          <cell r="G2366">
            <v>60</v>
          </cell>
          <cell r="H2366">
            <v>90</v>
          </cell>
          <cell r="I2366">
            <v>90</v>
          </cell>
          <cell r="J2366">
            <v>90</v>
          </cell>
          <cell r="K2366">
            <v>90</v>
          </cell>
          <cell r="L2366">
            <v>90</v>
          </cell>
        </row>
        <row r="2367">
          <cell r="B2367" t="str">
            <v>CB5327110-002L004</v>
          </cell>
          <cell r="D2367" t="str">
            <v>F</v>
          </cell>
          <cell r="E2367" t="str">
            <v>装夹时间</v>
          </cell>
          <cell r="G2367">
            <v>60</v>
          </cell>
          <cell r="H2367">
            <v>60</v>
          </cell>
          <cell r="I2367">
            <v>60</v>
          </cell>
          <cell r="J2367">
            <v>60</v>
          </cell>
          <cell r="K2367">
            <v>60</v>
          </cell>
          <cell r="L2367">
            <v>60</v>
          </cell>
        </row>
        <row r="2368">
          <cell r="B2368" t="str">
            <v>CB5327110-002L004</v>
          </cell>
          <cell r="D2368" t="str">
            <v>F</v>
          </cell>
          <cell r="E2368" t="str">
            <v>程序时间</v>
          </cell>
          <cell r="G2368">
            <v>150</v>
          </cell>
          <cell r="H2368">
            <v>150</v>
          </cell>
          <cell r="I2368">
            <v>120</v>
          </cell>
          <cell r="J2368">
            <v>420</v>
          </cell>
          <cell r="K2368">
            <v>720</v>
          </cell>
          <cell r="L2368">
            <v>900</v>
          </cell>
          <cell r="N2368">
            <v>600</v>
          </cell>
        </row>
        <row r="2369">
          <cell r="B2369" t="str">
            <v>CB5327110-002R004</v>
          </cell>
          <cell r="D2369" t="str">
            <v>F</v>
          </cell>
          <cell r="E2369" t="str">
            <v>工序内容</v>
          </cell>
          <cell r="F2369" t="str">
            <v>0/领料</v>
          </cell>
          <cell r="G2369" t="str">
            <v>5/数铣</v>
          </cell>
          <cell r="H2369" t="str">
            <v>10/数铣100</v>
          </cell>
          <cell r="I2369" t="str">
            <v>15/数铣60</v>
          </cell>
          <cell r="J2369" t="str">
            <v>20/数铣260</v>
          </cell>
          <cell r="K2369" t="str">
            <v>25/数铣540</v>
          </cell>
          <cell r="L2369" t="str">
            <v>30/5轴400</v>
          </cell>
          <cell r="M2369" t="str">
            <v>35/测量</v>
          </cell>
          <cell r="N2369" t="str">
            <v>40/钳工</v>
          </cell>
          <cell r="O2369" t="str">
            <v>45/测量</v>
          </cell>
          <cell r="P2369" t="str">
            <v>50/清洗</v>
          </cell>
          <cell r="Q2369" t="str">
            <v>55/成检</v>
          </cell>
        </row>
        <row r="2370">
          <cell r="B2370" t="str">
            <v>CB5327110-002R004</v>
          </cell>
          <cell r="D2370" t="str">
            <v>F</v>
          </cell>
          <cell r="E2370" t="str">
            <v>准备工时</v>
          </cell>
          <cell r="G2370">
            <v>60</v>
          </cell>
          <cell r="H2370">
            <v>90</v>
          </cell>
          <cell r="I2370">
            <v>90</v>
          </cell>
          <cell r="J2370">
            <v>90</v>
          </cell>
          <cell r="K2370">
            <v>90</v>
          </cell>
          <cell r="L2370">
            <v>90</v>
          </cell>
        </row>
        <row r="2371">
          <cell r="B2371" t="str">
            <v>CB5327110-002R004</v>
          </cell>
          <cell r="D2371" t="str">
            <v>F</v>
          </cell>
          <cell r="E2371" t="str">
            <v>装夹时间</v>
          </cell>
          <cell r="G2371">
            <v>60</v>
          </cell>
          <cell r="H2371">
            <v>60</v>
          </cell>
          <cell r="I2371">
            <v>60</v>
          </cell>
          <cell r="J2371">
            <v>60</v>
          </cell>
          <cell r="K2371">
            <v>60</v>
          </cell>
          <cell r="L2371">
            <v>60</v>
          </cell>
        </row>
        <row r="2372">
          <cell r="B2372" t="str">
            <v>CB5327110-002R004</v>
          </cell>
          <cell r="D2372" t="str">
            <v>F</v>
          </cell>
          <cell r="E2372" t="str">
            <v>程序时间</v>
          </cell>
          <cell r="G2372">
            <v>150</v>
          </cell>
          <cell r="H2372">
            <v>150</v>
          </cell>
          <cell r="I2372">
            <v>120</v>
          </cell>
          <cell r="J2372">
            <v>420</v>
          </cell>
          <cell r="K2372">
            <v>720</v>
          </cell>
          <cell r="L2372">
            <v>900</v>
          </cell>
          <cell r="N2372">
            <v>600</v>
          </cell>
        </row>
        <row r="2373">
          <cell r="B2373" t="str">
            <v>CB5314300-025-003</v>
          </cell>
          <cell r="D2373" t="str">
            <v>B</v>
          </cell>
          <cell r="E2373" t="str">
            <v>工序内容</v>
          </cell>
          <cell r="F2373" t="str">
            <v>0/领料</v>
          </cell>
          <cell r="G2373" t="str">
            <v>5/数铣</v>
          </cell>
          <cell r="H2373" t="str">
            <v>10/数铣60</v>
          </cell>
          <cell r="I2373" t="str">
            <v>15/数铣180</v>
          </cell>
          <cell r="J2373" t="str">
            <v>20/数铣180</v>
          </cell>
          <cell r="K2373" t="str">
            <v>25/时效</v>
          </cell>
          <cell r="L2373" t="str">
            <v>30/数铣</v>
          </cell>
          <cell r="M2373" t="str">
            <v>35/数铣240</v>
          </cell>
          <cell r="N2373" t="str">
            <v>40/数铣480</v>
          </cell>
          <cell r="O2373" t="str">
            <v>45/钳工</v>
          </cell>
          <cell r="P2373" t="str">
            <v>50/铣试片</v>
          </cell>
          <cell r="Q2373" t="str">
            <v>55/检验</v>
          </cell>
          <cell r="R2373" t="str">
            <v>60/硬检</v>
          </cell>
          <cell r="S2373" t="str">
            <v>65/分光</v>
          </cell>
          <cell r="T2373" t="str">
            <v>70/钳工</v>
          </cell>
          <cell r="U2373" t="str">
            <v>75清洁</v>
          </cell>
          <cell r="V2373" t="str">
            <v>80/成检</v>
          </cell>
        </row>
        <row r="2374">
          <cell r="B2374" t="str">
            <v>CB5314300-025-003</v>
          </cell>
          <cell r="D2374" t="str">
            <v>B</v>
          </cell>
          <cell r="E2374" t="str">
            <v>准备工时</v>
          </cell>
          <cell r="G2374">
            <v>60</v>
          </cell>
          <cell r="H2374">
            <v>60</v>
          </cell>
          <cell r="I2374">
            <v>60</v>
          </cell>
          <cell r="J2374">
            <v>60</v>
          </cell>
          <cell r="L2374">
            <v>60</v>
          </cell>
          <cell r="M2374">
            <v>60</v>
          </cell>
          <cell r="N2374">
            <v>60</v>
          </cell>
        </row>
        <row r="2375">
          <cell r="B2375" t="str">
            <v>CB5314300-025-003</v>
          </cell>
          <cell r="D2375" t="str">
            <v>B</v>
          </cell>
          <cell r="E2375" t="str">
            <v>装夹时间</v>
          </cell>
          <cell r="G2375">
            <v>60</v>
          </cell>
          <cell r="H2375">
            <v>60</v>
          </cell>
          <cell r="I2375">
            <v>90</v>
          </cell>
          <cell r="J2375">
            <v>90</v>
          </cell>
          <cell r="L2375">
            <v>90</v>
          </cell>
          <cell r="M2375">
            <v>90</v>
          </cell>
          <cell r="N2375">
            <v>90</v>
          </cell>
        </row>
        <row r="2376">
          <cell r="B2376" t="str">
            <v>CB5314300-025-003</v>
          </cell>
          <cell r="D2376" t="str">
            <v>B</v>
          </cell>
          <cell r="E2376" t="str">
            <v>程序时间</v>
          </cell>
          <cell r="G2376">
            <v>60</v>
          </cell>
          <cell r="H2376">
            <v>90</v>
          </cell>
          <cell r="I2376">
            <v>270</v>
          </cell>
          <cell r="J2376">
            <v>270</v>
          </cell>
          <cell r="L2376">
            <v>90</v>
          </cell>
          <cell r="M2376">
            <v>450</v>
          </cell>
          <cell r="N2376">
            <v>800</v>
          </cell>
          <cell r="O2376">
            <v>360</v>
          </cell>
          <cell r="P2376">
            <v>10</v>
          </cell>
          <cell r="T2376">
            <v>5</v>
          </cell>
        </row>
        <row r="2377">
          <cell r="B2377" t="str">
            <v>DD-J10B-05236-111-Z/Y</v>
          </cell>
          <cell r="D2377" t="str">
            <v>C</v>
          </cell>
          <cell r="E2377" t="str">
            <v>工序内容</v>
          </cell>
          <cell r="F2377" t="str">
            <v>0/领料</v>
          </cell>
          <cell r="G2377" t="str">
            <v>5/数铣</v>
          </cell>
          <cell r="H2377" t="str">
            <v>10/数铣45</v>
          </cell>
          <cell r="I2377" t="str">
            <v>15/数铣35</v>
          </cell>
          <cell r="J2377" t="str">
            <v>20/数铣95</v>
          </cell>
          <cell r="K2377" t="str">
            <v>25/数铣95</v>
          </cell>
          <cell r="L2377" t="str">
            <v>30/数铣115</v>
          </cell>
          <cell r="M2377" t="str">
            <v>35/数铣220</v>
          </cell>
          <cell r="N2377" t="str">
            <v>40/测量</v>
          </cell>
          <cell r="O2377" t="str">
            <v>45/钳工</v>
          </cell>
          <cell r="P2377" t="str">
            <v>50/数铣</v>
          </cell>
          <cell r="Q2377" t="str">
            <v>55/清洁</v>
          </cell>
          <cell r="R2377" t="str">
            <v>60/成检</v>
          </cell>
        </row>
        <row r="2378">
          <cell r="B2378" t="str">
            <v>DD-J10B-05236-111-Z/Y</v>
          </cell>
          <cell r="D2378" t="str">
            <v>C</v>
          </cell>
          <cell r="E2378" t="str">
            <v>准备工时</v>
          </cell>
          <cell r="G2378">
            <v>60</v>
          </cell>
          <cell r="H2378">
            <v>60</v>
          </cell>
          <cell r="I2378">
            <v>60</v>
          </cell>
          <cell r="J2378">
            <v>90</v>
          </cell>
          <cell r="K2378">
            <v>90</v>
          </cell>
          <cell r="L2378">
            <v>90</v>
          </cell>
          <cell r="M2378">
            <v>90</v>
          </cell>
        </row>
        <row r="2379">
          <cell r="B2379" t="str">
            <v>DD-J10B-05236-111-Z/Y</v>
          </cell>
          <cell r="D2379" t="str">
            <v>C</v>
          </cell>
          <cell r="E2379" t="str">
            <v>装夹时间</v>
          </cell>
        </row>
        <row r="2380">
          <cell r="B2380" t="str">
            <v>DD-J10B-05236-111-Z/Y</v>
          </cell>
          <cell r="D2380" t="str">
            <v>C</v>
          </cell>
          <cell r="E2380" t="str">
            <v>程序时间</v>
          </cell>
          <cell r="G2380">
            <v>30</v>
          </cell>
          <cell r="H2380">
            <v>70</v>
          </cell>
          <cell r="I2380">
            <v>50</v>
          </cell>
          <cell r="J2380">
            <v>120</v>
          </cell>
          <cell r="K2380">
            <v>120</v>
          </cell>
          <cell r="L2380">
            <v>200</v>
          </cell>
          <cell r="M2380">
            <v>360</v>
          </cell>
          <cell r="O2380">
            <v>60</v>
          </cell>
          <cell r="P2380">
            <v>20</v>
          </cell>
        </row>
        <row r="2381">
          <cell r="B2381" t="str">
            <v>DD-J10B-05236-111-Z</v>
          </cell>
          <cell r="D2381" t="str">
            <v>C</v>
          </cell>
          <cell r="E2381" t="str">
            <v>工序内容</v>
          </cell>
          <cell r="F2381" t="str">
            <v>0/领料</v>
          </cell>
          <cell r="G2381" t="str">
            <v>5/数铣</v>
          </cell>
          <cell r="H2381" t="str">
            <v>10/数铣45</v>
          </cell>
          <cell r="I2381" t="str">
            <v>15/数铣35</v>
          </cell>
          <cell r="J2381" t="str">
            <v>20/数铣95</v>
          </cell>
          <cell r="K2381" t="str">
            <v>25/数铣95</v>
          </cell>
          <cell r="L2381" t="str">
            <v>30/数铣115</v>
          </cell>
          <cell r="M2381" t="str">
            <v>35/数铣220</v>
          </cell>
          <cell r="N2381" t="str">
            <v>40/测量</v>
          </cell>
          <cell r="O2381" t="str">
            <v>45/钳工</v>
          </cell>
          <cell r="P2381" t="str">
            <v>50/数铣</v>
          </cell>
          <cell r="Q2381" t="str">
            <v>55/清洁</v>
          </cell>
          <cell r="R2381" t="str">
            <v>60/成检</v>
          </cell>
        </row>
        <row r="2382">
          <cell r="B2382" t="str">
            <v>DD-J10B-05236-111-Z</v>
          </cell>
          <cell r="D2382" t="str">
            <v>C</v>
          </cell>
          <cell r="E2382" t="str">
            <v>准备工时</v>
          </cell>
          <cell r="G2382">
            <v>60</v>
          </cell>
          <cell r="H2382">
            <v>60</v>
          </cell>
          <cell r="I2382">
            <v>60</v>
          </cell>
          <cell r="J2382">
            <v>90</v>
          </cell>
          <cell r="K2382">
            <v>90</v>
          </cell>
          <cell r="L2382">
            <v>90</v>
          </cell>
          <cell r="M2382">
            <v>90</v>
          </cell>
        </row>
        <row r="2383">
          <cell r="B2383" t="str">
            <v>DD-J10B-05236-111-Z</v>
          </cell>
          <cell r="D2383" t="str">
            <v>C</v>
          </cell>
          <cell r="E2383" t="str">
            <v>装夹时间</v>
          </cell>
        </row>
        <row r="2384">
          <cell r="B2384" t="str">
            <v>DD-J10B-05236-111-Z</v>
          </cell>
          <cell r="D2384" t="str">
            <v>C</v>
          </cell>
          <cell r="E2384" t="str">
            <v>程序时间</v>
          </cell>
          <cell r="G2384">
            <v>30</v>
          </cell>
          <cell r="H2384">
            <v>70</v>
          </cell>
          <cell r="I2384">
            <v>50</v>
          </cell>
          <cell r="J2384">
            <v>120</v>
          </cell>
          <cell r="K2384">
            <v>120</v>
          </cell>
          <cell r="L2384">
            <v>200</v>
          </cell>
          <cell r="M2384">
            <v>360</v>
          </cell>
          <cell r="O2384">
            <v>60</v>
          </cell>
          <cell r="P2384">
            <v>20</v>
          </cell>
        </row>
        <row r="2385">
          <cell r="B2385" t="str">
            <v>DD-J10B-05236-111-Y</v>
          </cell>
          <cell r="D2385" t="str">
            <v>C</v>
          </cell>
          <cell r="E2385" t="str">
            <v>工序内容</v>
          </cell>
          <cell r="F2385" t="str">
            <v>0/领料</v>
          </cell>
          <cell r="G2385" t="str">
            <v>5/数铣</v>
          </cell>
          <cell r="H2385" t="str">
            <v>10/数铣45</v>
          </cell>
          <cell r="I2385" t="str">
            <v>15/数铣35</v>
          </cell>
          <cell r="J2385" t="str">
            <v>20/数铣95</v>
          </cell>
          <cell r="K2385" t="str">
            <v>25/数铣95</v>
          </cell>
          <cell r="L2385" t="str">
            <v>30/数铣115</v>
          </cell>
          <cell r="M2385" t="str">
            <v>35/数铣220</v>
          </cell>
          <cell r="N2385" t="str">
            <v>40/测量</v>
          </cell>
          <cell r="O2385" t="str">
            <v>45/钳工</v>
          </cell>
          <cell r="P2385" t="str">
            <v>50/数铣</v>
          </cell>
          <cell r="Q2385" t="str">
            <v>55/清洁</v>
          </cell>
          <cell r="R2385" t="str">
            <v>60/成检</v>
          </cell>
        </row>
        <row r="2386">
          <cell r="B2386" t="str">
            <v>DD-J10B-05236-111-Y</v>
          </cell>
          <cell r="D2386" t="str">
            <v>C</v>
          </cell>
          <cell r="E2386" t="str">
            <v>准备工时</v>
          </cell>
          <cell r="G2386">
            <v>60</v>
          </cell>
          <cell r="H2386">
            <v>60</v>
          </cell>
          <cell r="I2386">
            <v>60</v>
          </cell>
          <cell r="J2386">
            <v>90</v>
          </cell>
          <cell r="K2386">
            <v>90</v>
          </cell>
          <cell r="L2386">
            <v>90</v>
          </cell>
          <cell r="M2386">
            <v>90</v>
          </cell>
        </row>
        <row r="2387">
          <cell r="B2387" t="str">
            <v>DD-J10B-05236-111-Y</v>
          </cell>
          <cell r="D2387" t="str">
            <v>C</v>
          </cell>
          <cell r="E2387" t="str">
            <v>装夹时间</v>
          </cell>
        </row>
        <row r="2388">
          <cell r="B2388" t="str">
            <v>DD-J10B-05236-111-Y</v>
          </cell>
          <cell r="D2388" t="str">
            <v>C</v>
          </cell>
          <cell r="E2388" t="str">
            <v>程序时间</v>
          </cell>
          <cell r="G2388">
            <v>30</v>
          </cell>
          <cell r="H2388">
            <v>70</v>
          </cell>
          <cell r="I2388">
            <v>50</v>
          </cell>
          <cell r="J2388">
            <v>120</v>
          </cell>
          <cell r="K2388">
            <v>120</v>
          </cell>
          <cell r="L2388">
            <v>200</v>
          </cell>
          <cell r="M2388">
            <v>360</v>
          </cell>
          <cell r="O2388">
            <v>60</v>
          </cell>
          <cell r="P2388">
            <v>20</v>
          </cell>
        </row>
        <row r="2389">
          <cell r="B2389" t="str">
            <v>Y20-5319400015-001</v>
          </cell>
          <cell r="D2389" t="str">
            <v>C</v>
          </cell>
          <cell r="E2389" t="str">
            <v>工序内容</v>
          </cell>
          <cell r="F2389" t="str">
            <v>0/领料</v>
          </cell>
          <cell r="G2389" t="str">
            <v>5/下料</v>
          </cell>
          <cell r="H2389" t="str">
            <v>10/数铣</v>
          </cell>
          <cell r="I2389" t="str">
            <v>15/数铣15</v>
          </cell>
          <cell r="J2389" t="str">
            <v>20/数铣60</v>
          </cell>
          <cell r="K2389" t="str">
            <v>25/数铣30</v>
          </cell>
          <cell r="L2389" t="str">
            <v>30/钳工</v>
          </cell>
          <cell r="M2389" t="str">
            <v>35/测量</v>
          </cell>
          <cell r="N2389" t="str">
            <v>40/清洁</v>
          </cell>
          <cell r="O2389" t="str">
            <v>45/检验</v>
          </cell>
          <cell r="P2389" t="str">
            <v>50/分光</v>
          </cell>
          <cell r="Q2389" t="str">
            <v>55/钳工</v>
          </cell>
          <cell r="R2389" t="str">
            <v>60/清洁</v>
          </cell>
          <cell r="S2389" t="str">
            <v>65/成检</v>
          </cell>
        </row>
        <row r="2390">
          <cell r="B2390" t="str">
            <v>Y20-5319400015-001</v>
          </cell>
          <cell r="D2390" t="str">
            <v>C</v>
          </cell>
          <cell r="E2390" t="str">
            <v>准备工时</v>
          </cell>
          <cell r="H2390">
            <v>60</v>
          </cell>
          <cell r="I2390">
            <v>60</v>
          </cell>
          <cell r="J2390">
            <v>90</v>
          </cell>
          <cell r="K2390">
            <v>90</v>
          </cell>
        </row>
        <row r="2391">
          <cell r="B2391" t="str">
            <v>Y20-5319400015-001</v>
          </cell>
          <cell r="D2391" t="str">
            <v>C</v>
          </cell>
          <cell r="E2391" t="str">
            <v>装夹时间</v>
          </cell>
        </row>
        <row r="2392">
          <cell r="B2392" t="str">
            <v>Y20-5319400015-001</v>
          </cell>
          <cell r="D2392" t="str">
            <v>C</v>
          </cell>
          <cell r="E2392" t="str">
            <v>程序时间</v>
          </cell>
          <cell r="G2392">
            <v>20</v>
          </cell>
          <cell r="H2392">
            <v>30</v>
          </cell>
          <cell r="I2392">
            <v>30</v>
          </cell>
          <cell r="J2392">
            <v>80</v>
          </cell>
          <cell r="K2392">
            <v>50</v>
          </cell>
          <cell r="L2392" t="str">
            <v>40</v>
          </cell>
          <cell r="Q2392">
            <v>5</v>
          </cell>
        </row>
        <row r="2393">
          <cell r="B2393" t="str">
            <v>DD-J10B-78001-460-1</v>
          </cell>
          <cell r="D2393" t="str">
            <v>F</v>
          </cell>
          <cell r="E2393" t="str">
            <v>工序内容</v>
          </cell>
          <cell r="F2393" t="str">
            <v>00/领料</v>
          </cell>
          <cell r="G2393" t="str">
            <v>5/数铣</v>
          </cell>
          <cell r="H2393" t="str">
            <v>10分光</v>
          </cell>
          <cell r="I2393" t="str">
            <v>15清洗</v>
          </cell>
          <cell r="J2393" t="str">
            <v>20固溶</v>
          </cell>
          <cell r="K2393" t="str">
            <v>25清洗</v>
          </cell>
          <cell r="L2393" t="str">
            <v>30硬度</v>
          </cell>
          <cell r="M2393" t="str">
            <v>35数铣5</v>
          </cell>
          <cell r="N2393" t="str">
            <v>40数铣5</v>
          </cell>
          <cell r="O2393" t="str">
            <v>45数铣5</v>
          </cell>
          <cell r="P2393" t="str">
            <v>50数铣</v>
          </cell>
          <cell r="Q2393" t="str">
            <v>55钳工</v>
          </cell>
          <cell r="R2393" t="str">
            <v>60清洁</v>
          </cell>
          <cell r="S2393" t="str">
            <v>65成检</v>
          </cell>
        </row>
        <row r="2394">
          <cell r="B2394" t="str">
            <v>DD-J10B-78001-460-1</v>
          </cell>
          <cell r="D2394" t="str">
            <v>F</v>
          </cell>
          <cell r="E2394" t="str">
            <v>准备工时</v>
          </cell>
          <cell r="G2394" t="str">
            <v>60</v>
          </cell>
          <cell r="M2394">
            <v>60</v>
          </cell>
          <cell r="N2394">
            <v>60</v>
          </cell>
          <cell r="O2394" t="str">
            <v>60</v>
          </cell>
          <cell r="P2394">
            <v>120</v>
          </cell>
        </row>
        <row r="2395">
          <cell r="B2395" t="str">
            <v>DD-J10B-78001-460-1</v>
          </cell>
          <cell r="D2395" t="str">
            <v>F</v>
          </cell>
          <cell r="E2395" t="str">
            <v>装夹时间</v>
          </cell>
        </row>
        <row r="2396">
          <cell r="B2396" t="str">
            <v>DD-J10B-78001-460-1</v>
          </cell>
          <cell r="D2396" t="str">
            <v>F</v>
          </cell>
          <cell r="E2396" t="str">
            <v>程序时间</v>
          </cell>
          <cell r="G2396">
            <v>30</v>
          </cell>
          <cell r="M2396">
            <v>45</v>
          </cell>
          <cell r="N2396">
            <v>15</v>
          </cell>
          <cell r="O2396">
            <v>15</v>
          </cell>
          <cell r="P2396">
            <v>30</v>
          </cell>
          <cell r="Q2396">
            <v>15</v>
          </cell>
        </row>
        <row r="2397">
          <cell r="B2397" t="str">
            <v>CB2294440-005-001</v>
          </cell>
          <cell r="D2397" t="str">
            <v>E</v>
          </cell>
          <cell r="E2397" t="str">
            <v>工序内容</v>
          </cell>
          <cell r="F2397" t="str">
            <v>0/领料</v>
          </cell>
          <cell r="G2397" t="str">
            <v>5/数铣</v>
          </cell>
          <cell r="H2397" t="str">
            <v>10/数铣20</v>
          </cell>
          <cell r="I2397" t="str">
            <v>15/数铣50</v>
          </cell>
          <cell r="J2397" t="str">
            <v>20/钳工</v>
          </cell>
          <cell r="K2397" t="str">
            <v>25/铣试块</v>
          </cell>
          <cell r="L2397" t="str">
            <v>30/硬度</v>
          </cell>
          <cell r="M2397" t="str">
            <v>35/分光</v>
          </cell>
          <cell r="N2397" t="str">
            <v>40/钳工</v>
          </cell>
          <cell r="O2397" t="str">
            <v>45/清洁</v>
          </cell>
          <cell r="P2397" t="str">
            <v>55/成检</v>
          </cell>
          <cell r="Q2397" t="str">
            <v>55/成检</v>
          </cell>
        </row>
        <row r="2398">
          <cell r="B2398" t="str">
            <v>CB2294440-005-001</v>
          </cell>
          <cell r="D2398" t="str">
            <v>E</v>
          </cell>
          <cell r="E2398" t="str">
            <v>准备工时</v>
          </cell>
          <cell r="G2398">
            <v>60</v>
          </cell>
          <cell r="H2398">
            <v>90</v>
          </cell>
          <cell r="I2398">
            <v>90</v>
          </cell>
        </row>
        <row r="2399">
          <cell r="B2399" t="str">
            <v>CB2294440-005-001</v>
          </cell>
          <cell r="D2399" t="str">
            <v>E</v>
          </cell>
          <cell r="E2399" t="str">
            <v>装夹时间</v>
          </cell>
        </row>
        <row r="2400">
          <cell r="B2400" t="str">
            <v>CB2294440-005-001</v>
          </cell>
          <cell r="D2400" t="str">
            <v>E</v>
          </cell>
          <cell r="E2400" t="str">
            <v>程序时间</v>
          </cell>
          <cell r="G2400">
            <v>20</v>
          </cell>
          <cell r="H2400">
            <v>30</v>
          </cell>
          <cell r="I2400">
            <v>80</v>
          </cell>
          <cell r="J2400">
            <v>25</v>
          </cell>
          <cell r="K2400">
            <v>10</v>
          </cell>
          <cell r="N2400">
            <v>5</v>
          </cell>
        </row>
        <row r="2401">
          <cell r="B2401" t="str">
            <v>BC5337100-101L001</v>
          </cell>
          <cell r="D2401" t="str">
            <v>C</v>
          </cell>
          <cell r="E2401" t="str">
            <v>工序内容</v>
          </cell>
          <cell r="F2401" t="str">
            <v>0/领料</v>
          </cell>
          <cell r="G2401" t="str">
            <v>5/数铣</v>
          </cell>
          <cell r="H2401" t="str">
            <v>10/超探</v>
          </cell>
          <cell r="I2401" t="str">
            <v>15/检验</v>
          </cell>
          <cell r="J2401" t="str">
            <v>20/数铣</v>
          </cell>
          <cell r="K2401" t="str">
            <v>25/数铣25</v>
          </cell>
          <cell r="L2401" t="str">
            <v>30/数铣300</v>
          </cell>
          <cell r="M2401" t="str">
            <v>35/数铣360</v>
          </cell>
          <cell r="N2401" t="str">
            <v>40/数铣175</v>
          </cell>
          <cell r="O2401" t="str">
            <v>45/数铣10</v>
          </cell>
          <cell r="P2401" t="str">
            <v>50/数铣15</v>
          </cell>
          <cell r="Q2401" t="str">
            <v>55/钳工</v>
          </cell>
          <cell r="R2401" t="str">
            <v>60/测量</v>
          </cell>
          <cell r="S2401" t="str">
            <v>65/清洁</v>
          </cell>
          <cell r="T2401" t="str">
            <v>70/成检</v>
          </cell>
        </row>
        <row r="2402">
          <cell r="B2402" t="str">
            <v>BC5337100-101L001</v>
          </cell>
          <cell r="D2402" t="str">
            <v>C</v>
          </cell>
          <cell r="E2402" t="str">
            <v>准备工时</v>
          </cell>
          <cell r="G2402" t="str">
            <v>120</v>
          </cell>
          <cell r="J2402">
            <v>120</v>
          </cell>
          <cell r="K2402">
            <v>120</v>
          </cell>
          <cell r="L2402">
            <v>120</v>
          </cell>
          <cell r="M2402">
            <v>120</v>
          </cell>
          <cell r="N2402">
            <v>120</v>
          </cell>
          <cell r="O2402">
            <v>120</v>
          </cell>
          <cell r="P2402">
            <v>120</v>
          </cell>
        </row>
        <row r="2403">
          <cell r="B2403" t="str">
            <v>BC5337100-101L001</v>
          </cell>
          <cell r="D2403" t="str">
            <v>C</v>
          </cell>
          <cell r="E2403" t="str">
            <v>装夹时间</v>
          </cell>
        </row>
        <row r="2404">
          <cell r="B2404" t="str">
            <v>BC5337100-101L001</v>
          </cell>
          <cell r="D2404" t="str">
            <v>C</v>
          </cell>
          <cell r="E2404" t="str">
            <v>程序时间</v>
          </cell>
          <cell r="G2404" t="str">
            <v>420</v>
          </cell>
          <cell r="J2404">
            <v>360</v>
          </cell>
          <cell r="K2404">
            <v>120</v>
          </cell>
          <cell r="L2404">
            <v>580</v>
          </cell>
          <cell r="M2404">
            <v>720</v>
          </cell>
          <cell r="N2404">
            <v>420</v>
          </cell>
          <cell r="O2404">
            <v>60</v>
          </cell>
          <cell r="P2404">
            <v>60</v>
          </cell>
          <cell r="Q2404">
            <v>120</v>
          </cell>
        </row>
        <row r="2405">
          <cell r="B2405" t="str">
            <v>BC5337100-102L001</v>
          </cell>
          <cell r="D2405" t="str">
            <v>C</v>
          </cell>
          <cell r="E2405" t="str">
            <v>工序内容</v>
          </cell>
          <cell r="F2405" t="str">
            <v>0/领料</v>
          </cell>
          <cell r="G2405" t="str">
            <v>5/数铣</v>
          </cell>
          <cell r="H2405" t="str">
            <v>10/超探</v>
          </cell>
          <cell r="I2405" t="str">
            <v>15/检验</v>
          </cell>
          <cell r="J2405" t="str">
            <v>20/数铣</v>
          </cell>
          <cell r="K2405" t="str">
            <v>25/数铣25</v>
          </cell>
          <cell r="L2405" t="str">
            <v>30/数铣300</v>
          </cell>
          <cell r="M2405" t="str">
            <v>35/数铣360</v>
          </cell>
          <cell r="N2405" t="str">
            <v>40/数铣175</v>
          </cell>
          <cell r="O2405" t="str">
            <v>45/数铣10</v>
          </cell>
          <cell r="P2405" t="str">
            <v>50/数铣15</v>
          </cell>
          <cell r="Q2405" t="str">
            <v>55/钳工</v>
          </cell>
          <cell r="R2405" t="str">
            <v>60/测量</v>
          </cell>
          <cell r="S2405" t="str">
            <v>65/清洁</v>
          </cell>
          <cell r="T2405" t="str">
            <v>70/成检</v>
          </cell>
        </row>
        <row r="2406">
          <cell r="B2406" t="str">
            <v>BC5337100-102L001</v>
          </cell>
          <cell r="D2406" t="str">
            <v>C</v>
          </cell>
          <cell r="E2406" t="str">
            <v>准备工时</v>
          </cell>
          <cell r="G2406" t="str">
            <v>120</v>
          </cell>
          <cell r="J2406">
            <v>120</v>
          </cell>
          <cell r="K2406">
            <v>120</v>
          </cell>
          <cell r="L2406">
            <v>120</v>
          </cell>
          <cell r="M2406">
            <v>120</v>
          </cell>
          <cell r="N2406">
            <v>120</v>
          </cell>
          <cell r="O2406">
            <v>120</v>
          </cell>
          <cell r="P2406">
            <v>120</v>
          </cell>
        </row>
        <row r="2407">
          <cell r="B2407" t="str">
            <v>BC5337100-102L001</v>
          </cell>
          <cell r="D2407" t="str">
            <v>C</v>
          </cell>
          <cell r="E2407" t="str">
            <v>装夹时间</v>
          </cell>
        </row>
        <row r="2408">
          <cell r="B2408" t="str">
            <v>BC5337100-102L001</v>
          </cell>
          <cell r="D2408" t="str">
            <v>C</v>
          </cell>
          <cell r="E2408" t="str">
            <v>程序时间</v>
          </cell>
          <cell r="G2408" t="str">
            <v>420</v>
          </cell>
          <cell r="J2408">
            <v>360</v>
          </cell>
          <cell r="K2408">
            <v>120</v>
          </cell>
          <cell r="L2408">
            <v>580</v>
          </cell>
          <cell r="M2408">
            <v>720</v>
          </cell>
          <cell r="N2408">
            <v>420</v>
          </cell>
          <cell r="O2408">
            <v>60</v>
          </cell>
          <cell r="P2408">
            <v>60</v>
          </cell>
          <cell r="Q2408">
            <v>120</v>
          </cell>
        </row>
        <row r="2409">
          <cell r="B2409" t="str">
            <v>BC5337100-103L001</v>
          </cell>
          <cell r="D2409" t="str">
            <v>C</v>
          </cell>
          <cell r="E2409" t="str">
            <v>工序内容</v>
          </cell>
          <cell r="F2409" t="str">
            <v>0/领料</v>
          </cell>
          <cell r="G2409" t="str">
            <v>5/数铣</v>
          </cell>
          <cell r="H2409" t="str">
            <v>10/超探</v>
          </cell>
          <cell r="I2409" t="str">
            <v>15/检验</v>
          </cell>
          <cell r="J2409" t="str">
            <v>20/数铣</v>
          </cell>
          <cell r="K2409" t="str">
            <v>25/数铣25</v>
          </cell>
          <cell r="L2409" t="str">
            <v>30/数铣300</v>
          </cell>
          <cell r="M2409" t="str">
            <v>35/数铣360</v>
          </cell>
          <cell r="N2409" t="str">
            <v>40/数铣175</v>
          </cell>
          <cell r="O2409" t="str">
            <v>45/数铣10</v>
          </cell>
          <cell r="P2409" t="str">
            <v>50/数铣15</v>
          </cell>
          <cell r="Q2409" t="str">
            <v>55/钳工</v>
          </cell>
          <cell r="R2409" t="str">
            <v>60/测量</v>
          </cell>
          <cell r="S2409" t="str">
            <v>65/清洁</v>
          </cell>
          <cell r="T2409" t="str">
            <v>70/成检</v>
          </cell>
        </row>
        <row r="2410">
          <cell r="B2410" t="str">
            <v>BC5337100-103L001</v>
          </cell>
          <cell r="D2410" t="str">
            <v>C</v>
          </cell>
          <cell r="E2410" t="str">
            <v>准备工时</v>
          </cell>
          <cell r="G2410" t="str">
            <v>120</v>
          </cell>
          <cell r="J2410">
            <v>120</v>
          </cell>
          <cell r="K2410">
            <v>120</v>
          </cell>
          <cell r="L2410">
            <v>120</v>
          </cell>
          <cell r="M2410">
            <v>120</v>
          </cell>
          <cell r="N2410">
            <v>120</v>
          </cell>
          <cell r="O2410">
            <v>120</v>
          </cell>
          <cell r="P2410">
            <v>120</v>
          </cell>
        </row>
        <row r="2411">
          <cell r="B2411" t="str">
            <v>BC5337100-103L001</v>
          </cell>
          <cell r="D2411" t="str">
            <v>C</v>
          </cell>
          <cell r="E2411" t="str">
            <v>装夹时间</v>
          </cell>
        </row>
        <row r="2412">
          <cell r="B2412" t="str">
            <v>BC5337100-103L001</v>
          </cell>
          <cell r="D2412" t="str">
            <v>C</v>
          </cell>
          <cell r="E2412" t="str">
            <v>程序时间</v>
          </cell>
          <cell r="G2412" t="str">
            <v>420</v>
          </cell>
          <cell r="J2412">
            <v>360</v>
          </cell>
          <cell r="K2412">
            <v>120</v>
          </cell>
          <cell r="L2412">
            <v>580</v>
          </cell>
          <cell r="M2412">
            <v>720</v>
          </cell>
          <cell r="N2412">
            <v>420</v>
          </cell>
          <cell r="O2412">
            <v>60</v>
          </cell>
          <cell r="P2412">
            <v>60</v>
          </cell>
          <cell r="Q2412">
            <v>120</v>
          </cell>
        </row>
        <row r="2413">
          <cell r="B2413" t="str">
            <v>BC5337100-101R001</v>
          </cell>
          <cell r="D2413" t="str">
            <v>C</v>
          </cell>
          <cell r="E2413" t="str">
            <v>工序内容</v>
          </cell>
          <cell r="F2413" t="str">
            <v>0/领料</v>
          </cell>
          <cell r="G2413" t="str">
            <v>5/数铣</v>
          </cell>
          <cell r="H2413" t="str">
            <v>10/超探</v>
          </cell>
          <cell r="I2413" t="str">
            <v>15/检验</v>
          </cell>
          <cell r="J2413" t="str">
            <v>20/数铣</v>
          </cell>
          <cell r="K2413" t="str">
            <v>25/数铣25</v>
          </cell>
          <cell r="L2413" t="str">
            <v>30/数铣300</v>
          </cell>
          <cell r="M2413" t="str">
            <v>35/数铣360</v>
          </cell>
          <cell r="N2413" t="str">
            <v>40/数铣175</v>
          </cell>
          <cell r="O2413" t="str">
            <v>45/数铣10</v>
          </cell>
          <cell r="P2413" t="str">
            <v>50/数铣15</v>
          </cell>
          <cell r="Q2413" t="str">
            <v>55/钳工</v>
          </cell>
          <cell r="R2413" t="str">
            <v>60/测量</v>
          </cell>
          <cell r="S2413" t="str">
            <v>65/清洁</v>
          </cell>
          <cell r="T2413" t="str">
            <v>70/成检</v>
          </cell>
        </row>
        <row r="2414">
          <cell r="B2414" t="str">
            <v>BC5337100-101R001</v>
          </cell>
          <cell r="D2414" t="str">
            <v>C</v>
          </cell>
          <cell r="E2414" t="str">
            <v>准备工时</v>
          </cell>
          <cell r="G2414" t="str">
            <v>120</v>
          </cell>
          <cell r="J2414">
            <v>120</v>
          </cell>
          <cell r="K2414">
            <v>120</v>
          </cell>
          <cell r="L2414">
            <v>120</v>
          </cell>
          <cell r="M2414">
            <v>120</v>
          </cell>
          <cell r="N2414">
            <v>120</v>
          </cell>
          <cell r="O2414">
            <v>120</v>
          </cell>
          <cell r="P2414">
            <v>120</v>
          </cell>
        </row>
        <row r="2415">
          <cell r="B2415" t="str">
            <v>BC5337100-101R001</v>
          </cell>
          <cell r="D2415" t="str">
            <v>C</v>
          </cell>
          <cell r="E2415" t="str">
            <v>装夹时间</v>
          </cell>
        </row>
        <row r="2416">
          <cell r="B2416" t="str">
            <v>BC5337100-101R001</v>
          </cell>
          <cell r="D2416" t="str">
            <v>C</v>
          </cell>
          <cell r="E2416" t="str">
            <v>程序时间</v>
          </cell>
          <cell r="G2416" t="str">
            <v>420</v>
          </cell>
          <cell r="J2416">
            <v>360</v>
          </cell>
          <cell r="K2416">
            <v>120</v>
          </cell>
          <cell r="L2416">
            <v>580</v>
          </cell>
          <cell r="M2416">
            <v>720</v>
          </cell>
          <cell r="N2416">
            <v>420</v>
          </cell>
          <cell r="O2416">
            <v>60</v>
          </cell>
          <cell r="P2416">
            <v>60</v>
          </cell>
          <cell r="Q2416">
            <v>120</v>
          </cell>
        </row>
        <row r="2417">
          <cell r="B2417" t="str">
            <v>BC5337100-102R001</v>
          </cell>
          <cell r="D2417" t="str">
            <v>C</v>
          </cell>
          <cell r="E2417" t="str">
            <v>工序内容</v>
          </cell>
          <cell r="F2417" t="str">
            <v>0/领料</v>
          </cell>
          <cell r="G2417" t="str">
            <v>5/数铣</v>
          </cell>
          <cell r="H2417" t="str">
            <v>10/超探</v>
          </cell>
          <cell r="I2417" t="str">
            <v>15/检验</v>
          </cell>
          <cell r="J2417" t="str">
            <v>20/数铣</v>
          </cell>
          <cell r="K2417" t="str">
            <v>25/数铣25</v>
          </cell>
          <cell r="L2417" t="str">
            <v>30/数铣300</v>
          </cell>
          <cell r="M2417" t="str">
            <v>35/数铣360</v>
          </cell>
          <cell r="N2417" t="str">
            <v>40/数铣175</v>
          </cell>
          <cell r="O2417" t="str">
            <v>45/数铣10</v>
          </cell>
          <cell r="P2417" t="str">
            <v>50/数铣15</v>
          </cell>
          <cell r="Q2417" t="str">
            <v>55/钳工</v>
          </cell>
          <cell r="R2417" t="str">
            <v>60/测量</v>
          </cell>
          <cell r="S2417" t="str">
            <v>65/清洁</v>
          </cell>
          <cell r="T2417" t="str">
            <v>70/成检</v>
          </cell>
        </row>
        <row r="2418">
          <cell r="B2418" t="str">
            <v>BC5337100-102R001</v>
          </cell>
          <cell r="D2418" t="str">
            <v>C</v>
          </cell>
          <cell r="E2418" t="str">
            <v>准备工时</v>
          </cell>
          <cell r="G2418" t="str">
            <v>120</v>
          </cell>
          <cell r="J2418">
            <v>120</v>
          </cell>
          <cell r="K2418">
            <v>120</v>
          </cell>
          <cell r="L2418">
            <v>120</v>
          </cell>
          <cell r="M2418">
            <v>120</v>
          </cell>
          <cell r="N2418">
            <v>120</v>
          </cell>
          <cell r="O2418">
            <v>120</v>
          </cell>
          <cell r="P2418">
            <v>120</v>
          </cell>
        </row>
        <row r="2419">
          <cell r="B2419" t="str">
            <v>BC5337100-102R001</v>
          </cell>
          <cell r="D2419" t="str">
            <v>C</v>
          </cell>
          <cell r="E2419" t="str">
            <v>装夹时间</v>
          </cell>
        </row>
        <row r="2420">
          <cell r="B2420" t="str">
            <v>BC5337100-102R001</v>
          </cell>
          <cell r="D2420" t="str">
            <v>C</v>
          </cell>
          <cell r="E2420" t="str">
            <v>程序时间</v>
          </cell>
          <cell r="G2420" t="str">
            <v>420</v>
          </cell>
          <cell r="J2420">
            <v>360</v>
          </cell>
          <cell r="K2420">
            <v>120</v>
          </cell>
          <cell r="L2420">
            <v>580</v>
          </cell>
          <cell r="M2420">
            <v>720</v>
          </cell>
          <cell r="N2420">
            <v>420</v>
          </cell>
          <cell r="O2420">
            <v>60</v>
          </cell>
          <cell r="P2420">
            <v>60</v>
          </cell>
          <cell r="Q2420">
            <v>120</v>
          </cell>
        </row>
        <row r="2421">
          <cell r="B2421" t="str">
            <v>BC5337100-103R001</v>
          </cell>
          <cell r="D2421" t="str">
            <v>C</v>
          </cell>
          <cell r="E2421" t="str">
            <v>工序内容</v>
          </cell>
          <cell r="F2421" t="str">
            <v>0/领料</v>
          </cell>
          <cell r="G2421" t="str">
            <v>5/数铣</v>
          </cell>
          <cell r="H2421" t="str">
            <v>10/超探</v>
          </cell>
          <cell r="I2421" t="str">
            <v>15/检验</v>
          </cell>
          <cell r="J2421" t="str">
            <v>20/数铣</v>
          </cell>
          <cell r="K2421" t="str">
            <v>25/数铣25</v>
          </cell>
          <cell r="L2421" t="str">
            <v>30/数铣300</v>
          </cell>
          <cell r="M2421" t="str">
            <v>35/数铣360</v>
          </cell>
          <cell r="N2421" t="str">
            <v>40/数铣175</v>
          </cell>
          <cell r="O2421" t="str">
            <v>45/数铣10</v>
          </cell>
          <cell r="P2421" t="str">
            <v>50/数铣15</v>
          </cell>
          <cell r="Q2421" t="str">
            <v>55/钳工</v>
          </cell>
          <cell r="R2421" t="str">
            <v>60/测量</v>
          </cell>
          <cell r="S2421" t="str">
            <v>65/清洁</v>
          </cell>
          <cell r="T2421" t="str">
            <v>70/成检</v>
          </cell>
        </row>
        <row r="2422">
          <cell r="B2422" t="str">
            <v>BC5337100-103R001</v>
          </cell>
          <cell r="D2422" t="str">
            <v>C</v>
          </cell>
          <cell r="E2422" t="str">
            <v>准备工时</v>
          </cell>
          <cell r="G2422" t="str">
            <v>120</v>
          </cell>
          <cell r="J2422">
            <v>120</v>
          </cell>
          <cell r="K2422">
            <v>120</v>
          </cell>
          <cell r="L2422">
            <v>120</v>
          </cell>
          <cell r="M2422">
            <v>120</v>
          </cell>
          <cell r="N2422">
            <v>120</v>
          </cell>
          <cell r="O2422">
            <v>120</v>
          </cell>
          <cell r="P2422">
            <v>120</v>
          </cell>
        </row>
        <row r="2423">
          <cell r="B2423" t="str">
            <v>BC5337100-103R001</v>
          </cell>
          <cell r="D2423" t="str">
            <v>C</v>
          </cell>
          <cell r="E2423" t="str">
            <v>装夹时间</v>
          </cell>
        </row>
        <row r="2424">
          <cell r="B2424" t="str">
            <v>BC5337100-103R001</v>
          </cell>
          <cell r="D2424" t="str">
            <v>C</v>
          </cell>
          <cell r="E2424" t="str">
            <v>程序时间</v>
          </cell>
          <cell r="G2424" t="str">
            <v>420</v>
          </cell>
          <cell r="J2424">
            <v>360</v>
          </cell>
          <cell r="K2424">
            <v>120</v>
          </cell>
          <cell r="L2424">
            <v>580</v>
          </cell>
          <cell r="M2424">
            <v>720</v>
          </cell>
          <cell r="N2424">
            <v>420</v>
          </cell>
          <cell r="O2424">
            <v>60</v>
          </cell>
          <cell r="P2424">
            <v>60</v>
          </cell>
          <cell r="Q2424">
            <v>120</v>
          </cell>
        </row>
        <row r="2425">
          <cell r="B2425" t="str">
            <v>BC5337100-107L001</v>
          </cell>
          <cell r="D2425" t="str">
            <v>B</v>
          </cell>
          <cell r="E2425" t="str">
            <v>工序内容</v>
          </cell>
          <cell r="F2425" t="str">
            <v>0/领料</v>
          </cell>
          <cell r="G2425" t="str">
            <v>5/数铣</v>
          </cell>
          <cell r="H2425" t="str">
            <v>10/超探</v>
          </cell>
          <cell r="I2425" t="str">
            <v>15/数铣</v>
          </cell>
          <cell r="J2425" t="str">
            <v>20/数铣</v>
          </cell>
          <cell r="K2425" t="str">
            <v>25/数铣</v>
          </cell>
          <cell r="L2425" t="str">
            <v>30/数铣</v>
          </cell>
          <cell r="M2425" t="str">
            <v>35/数铣</v>
          </cell>
          <cell r="N2425" t="str">
            <v>40/测量</v>
          </cell>
          <cell r="O2425" t="str">
            <v>45/钳工</v>
          </cell>
          <cell r="P2425" t="str">
            <v>50/清洁</v>
          </cell>
          <cell r="Q2425" t="str">
            <v>55/成检</v>
          </cell>
        </row>
        <row r="2426">
          <cell r="B2426" t="str">
            <v>BC5337100-107L001</v>
          </cell>
          <cell r="D2426" t="str">
            <v>B</v>
          </cell>
          <cell r="E2426" t="str">
            <v>准备工时</v>
          </cell>
          <cell r="G2426" t="str">
            <v>120</v>
          </cell>
          <cell r="I2426">
            <v>120</v>
          </cell>
          <cell r="J2426">
            <v>120</v>
          </cell>
          <cell r="K2426">
            <v>120</v>
          </cell>
          <cell r="L2426">
            <v>120</v>
          </cell>
          <cell r="M2426">
            <v>120</v>
          </cell>
        </row>
        <row r="2427">
          <cell r="B2427" t="str">
            <v>BC5337100-107L001</v>
          </cell>
          <cell r="D2427" t="str">
            <v>B</v>
          </cell>
          <cell r="E2427" t="str">
            <v>装夹时间</v>
          </cell>
          <cell r="L2427">
            <v>60</v>
          </cell>
        </row>
        <row r="2428">
          <cell r="B2428" t="str">
            <v>BC5337100-107L001</v>
          </cell>
          <cell r="D2428" t="str">
            <v>B</v>
          </cell>
          <cell r="E2428" t="str">
            <v>程序时间</v>
          </cell>
          <cell r="G2428" t="str">
            <v>650</v>
          </cell>
          <cell r="I2428">
            <v>360</v>
          </cell>
          <cell r="J2428">
            <v>100</v>
          </cell>
          <cell r="K2428">
            <v>450</v>
          </cell>
          <cell r="L2428">
            <v>30</v>
          </cell>
          <cell r="M2428">
            <v>400</v>
          </cell>
          <cell r="O2428">
            <v>120</v>
          </cell>
        </row>
        <row r="2429">
          <cell r="B2429" t="str">
            <v>BC5337100-107R001</v>
          </cell>
          <cell r="D2429" t="str">
            <v>B</v>
          </cell>
          <cell r="E2429" t="str">
            <v>工序内容</v>
          </cell>
          <cell r="F2429" t="str">
            <v>0/领料</v>
          </cell>
          <cell r="G2429" t="str">
            <v>5/数铣</v>
          </cell>
          <cell r="H2429" t="str">
            <v>10/超探</v>
          </cell>
          <cell r="I2429" t="str">
            <v>15/数铣</v>
          </cell>
          <cell r="J2429" t="str">
            <v>20/数铣</v>
          </cell>
          <cell r="K2429" t="str">
            <v>25/数铣</v>
          </cell>
          <cell r="L2429" t="str">
            <v>30/数铣</v>
          </cell>
          <cell r="M2429" t="str">
            <v>35/数铣</v>
          </cell>
          <cell r="N2429" t="str">
            <v>40/测量</v>
          </cell>
          <cell r="O2429" t="str">
            <v>45/钳工</v>
          </cell>
          <cell r="P2429" t="str">
            <v>50/清洁</v>
          </cell>
          <cell r="Q2429" t="str">
            <v>55/成检</v>
          </cell>
        </row>
        <row r="2430">
          <cell r="B2430" t="str">
            <v>BC5337100-107R001</v>
          </cell>
          <cell r="D2430" t="str">
            <v>B</v>
          </cell>
          <cell r="E2430" t="str">
            <v>准备工时</v>
          </cell>
          <cell r="G2430" t="str">
            <v>120</v>
          </cell>
          <cell r="I2430">
            <v>120</v>
          </cell>
          <cell r="J2430">
            <v>120</v>
          </cell>
          <cell r="K2430">
            <v>120</v>
          </cell>
          <cell r="L2430">
            <v>120</v>
          </cell>
          <cell r="M2430">
            <v>120</v>
          </cell>
        </row>
        <row r="2431">
          <cell r="B2431" t="str">
            <v>BC5337100-107R001</v>
          </cell>
          <cell r="D2431" t="str">
            <v>B</v>
          </cell>
          <cell r="E2431" t="str">
            <v>装夹时间</v>
          </cell>
          <cell r="L2431">
            <v>60</v>
          </cell>
        </row>
        <row r="2432">
          <cell r="B2432" t="str">
            <v>BC5337100-107R001</v>
          </cell>
          <cell r="D2432" t="str">
            <v>B</v>
          </cell>
          <cell r="E2432" t="str">
            <v>程序时间</v>
          </cell>
          <cell r="G2432" t="str">
            <v>650</v>
          </cell>
          <cell r="I2432">
            <v>360</v>
          </cell>
          <cell r="J2432">
            <v>100</v>
          </cell>
          <cell r="K2432">
            <v>450</v>
          </cell>
          <cell r="L2432">
            <v>30</v>
          </cell>
          <cell r="M2432">
            <v>400</v>
          </cell>
          <cell r="O2432">
            <v>120</v>
          </cell>
        </row>
        <row r="2433">
          <cell r="B2433" t="str">
            <v>DD-J10B-21402-90G2-1G2-Z</v>
          </cell>
          <cell r="D2433" t="str">
            <v>G</v>
          </cell>
          <cell r="E2433" t="str">
            <v>工序内容</v>
          </cell>
          <cell r="F2433" t="str">
            <v>00/领料</v>
          </cell>
          <cell r="G2433" t="str">
            <v>5/钳工</v>
          </cell>
          <cell r="H2433" t="str">
            <v>10/数铣60</v>
          </cell>
          <cell r="I2433" t="str">
            <v>15/数铣370</v>
          </cell>
          <cell r="J2433" t="str">
            <v>20/数铣170</v>
          </cell>
          <cell r="K2433" t="str">
            <v>25/修面</v>
          </cell>
          <cell r="L2433" t="str">
            <v>30/数铣280</v>
          </cell>
          <cell r="M2433" t="str">
            <v>35/五轴480</v>
          </cell>
          <cell r="N2433" t="str">
            <v>40/测量</v>
          </cell>
          <cell r="O2433" t="str">
            <v>45/钳工</v>
          </cell>
          <cell r="P2433" t="str">
            <v>50/清洁</v>
          </cell>
          <cell r="Q2433" t="str">
            <v>55/成检</v>
          </cell>
        </row>
        <row r="2434">
          <cell r="B2434" t="str">
            <v>DD-J10B-21402-90G2-1G2-Z</v>
          </cell>
          <cell r="D2434" t="str">
            <v>G</v>
          </cell>
          <cell r="E2434" t="str">
            <v>准备工时</v>
          </cell>
          <cell r="G2434">
            <v>60</v>
          </cell>
          <cell r="H2434">
            <v>60</v>
          </cell>
          <cell r="I2434">
            <v>60</v>
          </cell>
          <cell r="J2434">
            <v>60</v>
          </cell>
          <cell r="K2434">
            <v>60</v>
          </cell>
          <cell r="L2434">
            <v>150</v>
          </cell>
          <cell r="M2434">
            <v>150</v>
          </cell>
        </row>
        <row r="2435">
          <cell r="B2435" t="str">
            <v>DD-J10B-21402-90G2-1G2-Z</v>
          </cell>
          <cell r="D2435" t="str">
            <v>G</v>
          </cell>
          <cell r="E2435" t="str">
            <v>装夹时间</v>
          </cell>
          <cell r="H2435">
            <v>60</v>
          </cell>
          <cell r="I2435">
            <v>60</v>
          </cell>
          <cell r="J2435">
            <v>60</v>
          </cell>
          <cell r="K2435">
            <v>60</v>
          </cell>
          <cell r="L2435">
            <v>90</v>
          </cell>
          <cell r="M2435">
            <v>90</v>
          </cell>
        </row>
        <row r="2436">
          <cell r="B2436" t="str">
            <v>DD-J10B-21402-90G2-1G2-Z</v>
          </cell>
          <cell r="D2436" t="str">
            <v>G</v>
          </cell>
          <cell r="E2436" t="str">
            <v>程序时间</v>
          </cell>
          <cell r="G2436">
            <v>30</v>
          </cell>
          <cell r="H2436">
            <v>120</v>
          </cell>
          <cell r="I2436">
            <v>450</v>
          </cell>
          <cell r="J2436">
            <v>220</v>
          </cell>
          <cell r="K2436">
            <v>60</v>
          </cell>
          <cell r="L2436">
            <v>650</v>
          </cell>
          <cell r="M2436">
            <v>960</v>
          </cell>
          <cell r="O2436">
            <v>360</v>
          </cell>
        </row>
        <row r="2437">
          <cell r="B2437" t="str">
            <v>DD-J10B-21402-90G2-1G2-Z</v>
          </cell>
          <cell r="D2437" t="str">
            <v>H</v>
          </cell>
          <cell r="E2437" t="str">
            <v>工序内容</v>
          </cell>
          <cell r="F2437" t="str">
            <v>00/领料</v>
          </cell>
          <cell r="G2437" t="str">
            <v>5/钳工</v>
          </cell>
          <cell r="H2437" t="str">
            <v>10/数铣60</v>
          </cell>
          <cell r="I2437" t="str">
            <v>15/数铣370</v>
          </cell>
          <cell r="J2437" t="str">
            <v>20/数铣170</v>
          </cell>
          <cell r="K2437" t="str">
            <v>25/修面</v>
          </cell>
          <cell r="L2437" t="str">
            <v>30/数铣280</v>
          </cell>
          <cell r="M2437" t="str">
            <v>35/五轴480</v>
          </cell>
          <cell r="N2437" t="str">
            <v>40/测量</v>
          </cell>
          <cell r="O2437" t="str">
            <v>45/钳工</v>
          </cell>
          <cell r="P2437" t="str">
            <v>50/清洁</v>
          </cell>
          <cell r="Q2437" t="str">
            <v>55/成检</v>
          </cell>
        </row>
        <row r="2438">
          <cell r="B2438" t="str">
            <v>DD-J10B-21402-90G2-1G2-Z</v>
          </cell>
          <cell r="D2438" t="str">
            <v>H</v>
          </cell>
          <cell r="E2438" t="str">
            <v>准备工时</v>
          </cell>
          <cell r="G2438">
            <v>60</v>
          </cell>
          <cell r="H2438">
            <v>60</v>
          </cell>
          <cell r="I2438">
            <v>60</v>
          </cell>
          <cell r="J2438">
            <v>60</v>
          </cell>
          <cell r="K2438">
            <v>60</v>
          </cell>
          <cell r="L2438">
            <v>150</v>
          </cell>
          <cell r="M2438">
            <v>150</v>
          </cell>
        </row>
        <row r="2439">
          <cell r="B2439" t="str">
            <v>DD-J10B-21402-90G2-1G2-Z</v>
          </cell>
          <cell r="D2439" t="str">
            <v>H</v>
          </cell>
          <cell r="E2439" t="str">
            <v>装夹时间</v>
          </cell>
          <cell r="H2439">
            <v>60</v>
          </cell>
          <cell r="I2439">
            <v>60</v>
          </cell>
          <cell r="J2439">
            <v>60</v>
          </cell>
          <cell r="K2439">
            <v>60</v>
          </cell>
          <cell r="L2439">
            <v>90</v>
          </cell>
          <cell r="M2439">
            <v>90</v>
          </cell>
        </row>
        <row r="2440">
          <cell r="B2440" t="str">
            <v>DD-J10B-21402-90G2-1G2-Z</v>
          </cell>
          <cell r="D2440" t="str">
            <v>H</v>
          </cell>
          <cell r="E2440" t="str">
            <v>程序时间</v>
          </cell>
          <cell r="G2440">
            <v>30</v>
          </cell>
          <cell r="H2440">
            <v>120</v>
          </cell>
          <cell r="I2440">
            <v>450</v>
          </cell>
          <cell r="J2440">
            <v>220</v>
          </cell>
          <cell r="K2440">
            <v>60</v>
          </cell>
          <cell r="L2440">
            <v>650</v>
          </cell>
          <cell r="M2440">
            <v>960</v>
          </cell>
          <cell r="O2440">
            <v>360</v>
          </cell>
        </row>
        <row r="2441">
          <cell r="B2441" t="str">
            <v>DD-J10B-21402-90G2-1G2-Y</v>
          </cell>
          <cell r="D2441" t="str">
            <v>G</v>
          </cell>
          <cell r="E2441" t="str">
            <v>工序内容</v>
          </cell>
          <cell r="F2441" t="str">
            <v>00/领料</v>
          </cell>
          <cell r="G2441" t="str">
            <v>5/钳工</v>
          </cell>
          <cell r="H2441" t="str">
            <v>10/数铣60</v>
          </cell>
          <cell r="I2441" t="str">
            <v>15/数铣370</v>
          </cell>
          <cell r="J2441" t="str">
            <v>20/数铣170</v>
          </cell>
          <cell r="K2441" t="str">
            <v>25/修面</v>
          </cell>
          <cell r="L2441" t="str">
            <v>30/数铣280</v>
          </cell>
          <cell r="M2441" t="str">
            <v>35/五轴480</v>
          </cell>
          <cell r="N2441" t="str">
            <v>40/测量</v>
          </cell>
          <cell r="O2441" t="str">
            <v>45/钳工</v>
          </cell>
          <cell r="P2441" t="str">
            <v>50/清洁</v>
          </cell>
          <cell r="Q2441" t="str">
            <v>55/成检</v>
          </cell>
        </row>
        <row r="2442">
          <cell r="B2442" t="str">
            <v>DD-J10B-21402-90G2-1G2-Y</v>
          </cell>
          <cell r="D2442" t="str">
            <v>G</v>
          </cell>
          <cell r="E2442" t="str">
            <v>准备工时</v>
          </cell>
          <cell r="G2442">
            <v>60</v>
          </cell>
          <cell r="H2442">
            <v>60</v>
          </cell>
          <cell r="I2442">
            <v>60</v>
          </cell>
          <cell r="J2442">
            <v>60</v>
          </cell>
          <cell r="K2442">
            <v>60</v>
          </cell>
          <cell r="L2442">
            <v>150</v>
          </cell>
          <cell r="M2442">
            <v>150</v>
          </cell>
        </row>
        <row r="2443">
          <cell r="B2443" t="str">
            <v>DD-J10B-21402-90G2-1G2-Y</v>
          </cell>
          <cell r="D2443" t="str">
            <v>G</v>
          </cell>
          <cell r="E2443" t="str">
            <v>装夹时间</v>
          </cell>
          <cell r="H2443">
            <v>60</v>
          </cell>
          <cell r="I2443">
            <v>60</v>
          </cell>
          <cell r="J2443">
            <v>60</v>
          </cell>
          <cell r="K2443">
            <v>60</v>
          </cell>
          <cell r="L2443">
            <v>90</v>
          </cell>
          <cell r="M2443">
            <v>90</v>
          </cell>
        </row>
        <row r="2444">
          <cell r="B2444" t="str">
            <v>DD-J10B-21402-90G2-1G2-Y</v>
          </cell>
          <cell r="D2444" t="str">
            <v>G</v>
          </cell>
          <cell r="E2444" t="str">
            <v>程序时间</v>
          </cell>
          <cell r="G2444">
            <v>30</v>
          </cell>
          <cell r="H2444">
            <v>120</v>
          </cell>
          <cell r="I2444">
            <v>450</v>
          </cell>
          <cell r="J2444">
            <v>220</v>
          </cell>
          <cell r="K2444">
            <v>60</v>
          </cell>
          <cell r="L2444">
            <v>650</v>
          </cell>
          <cell r="M2444">
            <v>960</v>
          </cell>
          <cell r="O2444">
            <v>360</v>
          </cell>
        </row>
        <row r="2445">
          <cell r="B2445" t="str">
            <v>DD-J10B-21402-90G2-1G2-Y</v>
          </cell>
          <cell r="D2445" t="str">
            <v>H</v>
          </cell>
          <cell r="E2445" t="str">
            <v>工序内容</v>
          </cell>
          <cell r="F2445" t="str">
            <v>00/领料</v>
          </cell>
          <cell r="G2445" t="str">
            <v>5/钳工</v>
          </cell>
          <cell r="H2445" t="str">
            <v>10/数铣60</v>
          </cell>
          <cell r="I2445" t="str">
            <v>15/数铣370</v>
          </cell>
          <cell r="J2445" t="str">
            <v>20/数铣170</v>
          </cell>
          <cell r="K2445" t="str">
            <v>25/修面</v>
          </cell>
          <cell r="L2445" t="str">
            <v>30/数铣280</v>
          </cell>
          <cell r="M2445" t="str">
            <v>35/五轴480</v>
          </cell>
          <cell r="N2445" t="str">
            <v>40/测量</v>
          </cell>
          <cell r="O2445" t="str">
            <v>45/钳工</v>
          </cell>
          <cell r="P2445" t="str">
            <v>50/清洁</v>
          </cell>
          <cell r="Q2445" t="str">
            <v>55/成检</v>
          </cell>
        </row>
        <row r="2446">
          <cell r="B2446" t="str">
            <v>DD-J10B-21402-90G2-1G2-Y</v>
          </cell>
          <cell r="D2446" t="str">
            <v>H</v>
          </cell>
          <cell r="E2446" t="str">
            <v>准备工时</v>
          </cell>
          <cell r="G2446">
            <v>60</v>
          </cell>
          <cell r="H2446">
            <v>60</v>
          </cell>
          <cell r="I2446">
            <v>60</v>
          </cell>
          <cell r="J2446">
            <v>60</v>
          </cell>
          <cell r="K2446">
            <v>60</v>
          </cell>
          <cell r="L2446">
            <v>150</v>
          </cell>
          <cell r="M2446">
            <v>150</v>
          </cell>
        </row>
        <row r="2447">
          <cell r="B2447" t="str">
            <v>DD-J10B-21402-90G2-1G2-Y</v>
          </cell>
          <cell r="D2447" t="str">
            <v>H</v>
          </cell>
          <cell r="E2447" t="str">
            <v>装夹时间</v>
          </cell>
          <cell r="H2447">
            <v>60</v>
          </cell>
          <cell r="I2447">
            <v>60</v>
          </cell>
          <cell r="J2447">
            <v>60</v>
          </cell>
          <cell r="K2447">
            <v>60</v>
          </cell>
          <cell r="L2447">
            <v>90</v>
          </cell>
          <cell r="M2447">
            <v>90</v>
          </cell>
        </row>
        <row r="2448">
          <cell r="B2448" t="str">
            <v>DD-J10B-21402-90G2-1G2-Y</v>
          </cell>
          <cell r="D2448" t="str">
            <v>H</v>
          </cell>
          <cell r="E2448" t="str">
            <v>程序时间</v>
          </cell>
          <cell r="G2448">
            <v>30</v>
          </cell>
          <cell r="H2448">
            <v>120</v>
          </cell>
          <cell r="I2448">
            <v>450</v>
          </cell>
          <cell r="J2448">
            <v>220</v>
          </cell>
          <cell r="K2448">
            <v>60</v>
          </cell>
          <cell r="L2448">
            <v>650</v>
          </cell>
          <cell r="M2448">
            <v>960</v>
          </cell>
          <cell r="O2448">
            <v>360</v>
          </cell>
        </row>
        <row r="2449">
          <cell r="B2449" t="str">
            <v>CB2284480-004-001</v>
          </cell>
          <cell r="D2449" t="str">
            <v>A</v>
          </cell>
          <cell r="E2449" t="str">
            <v>工序内容</v>
          </cell>
          <cell r="F2449" t="str">
            <v>0/领料</v>
          </cell>
          <cell r="G2449" t="str">
            <v>05/数铣</v>
          </cell>
          <cell r="H2449" t="str">
            <v>10/数铣15</v>
          </cell>
          <cell r="I2449" t="str">
            <v>15/数铣15</v>
          </cell>
          <cell r="J2449" t="str">
            <v>20/数铣15</v>
          </cell>
          <cell r="K2449" t="str">
            <v>25/数铣10</v>
          </cell>
          <cell r="L2449" t="str">
            <v>30/钳工</v>
          </cell>
          <cell r="M2449" t="str">
            <v>35/分光</v>
          </cell>
          <cell r="N2449" t="str">
            <v>40/硬度</v>
          </cell>
          <cell r="O2449" t="str">
            <v>45/数车30</v>
          </cell>
          <cell r="P2449" t="str">
            <v>50/数车30</v>
          </cell>
          <cell r="Q2449" t="str">
            <v>55/数车20</v>
          </cell>
          <cell r="R2449" t="str">
            <v>60/数车5</v>
          </cell>
          <cell r="S2449" t="str">
            <v>65/数车20</v>
          </cell>
          <cell r="T2449" t="str">
            <v>70/数车5</v>
          </cell>
          <cell r="U2449" t="str">
            <v>75/数铣10</v>
          </cell>
          <cell r="V2449" t="str">
            <v>80/钳工</v>
          </cell>
          <cell r="W2449" t="str">
            <v>85/清洁</v>
          </cell>
          <cell r="X2449" t="str">
            <v>90/成检</v>
          </cell>
        </row>
        <row r="2450">
          <cell r="B2450" t="str">
            <v>CB2284480-004-001</v>
          </cell>
          <cell r="D2450" t="str">
            <v>A</v>
          </cell>
          <cell r="E2450" t="str">
            <v>准备工时</v>
          </cell>
          <cell r="G2450">
            <v>60</v>
          </cell>
          <cell r="H2450">
            <v>60</v>
          </cell>
          <cell r="I2450">
            <v>60</v>
          </cell>
          <cell r="J2450">
            <v>60</v>
          </cell>
          <cell r="K2450">
            <v>60</v>
          </cell>
          <cell r="O2450">
            <v>150</v>
          </cell>
          <cell r="P2450">
            <v>180</v>
          </cell>
          <cell r="Q2450">
            <v>180</v>
          </cell>
          <cell r="R2450">
            <v>120</v>
          </cell>
          <cell r="S2450">
            <v>120</v>
          </cell>
          <cell r="T2450">
            <v>120</v>
          </cell>
          <cell r="U2450">
            <v>60</v>
          </cell>
        </row>
        <row r="2451">
          <cell r="B2451" t="str">
            <v>CB2284480-004-001</v>
          </cell>
          <cell r="D2451" t="str">
            <v>A</v>
          </cell>
          <cell r="E2451" t="str">
            <v>装夹时间</v>
          </cell>
        </row>
        <row r="2452">
          <cell r="B2452" t="str">
            <v>CB2284480-004-001</v>
          </cell>
          <cell r="D2452" t="str">
            <v>A</v>
          </cell>
          <cell r="E2452" t="str">
            <v>程序时间</v>
          </cell>
          <cell r="G2452">
            <v>60</v>
          </cell>
          <cell r="H2452">
            <v>30</v>
          </cell>
          <cell r="I2452">
            <v>20</v>
          </cell>
          <cell r="J2452">
            <v>20</v>
          </cell>
          <cell r="K2452">
            <v>15</v>
          </cell>
          <cell r="L2452">
            <v>20</v>
          </cell>
          <cell r="O2452">
            <v>40</v>
          </cell>
          <cell r="P2452">
            <v>90</v>
          </cell>
          <cell r="Q2452">
            <v>40</v>
          </cell>
          <cell r="R2452">
            <v>25</v>
          </cell>
          <cell r="S2452">
            <v>30</v>
          </cell>
          <cell r="T2452">
            <v>15</v>
          </cell>
          <cell r="U2452">
            <v>25</v>
          </cell>
          <cell r="V2452">
            <v>30</v>
          </cell>
        </row>
        <row r="2453">
          <cell r="B2453" t="str">
            <v>CB2284480-004-001</v>
          </cell>
          <cell r="D2453" t="str">
            <v>B</v>
          </cell>
          <cell r="E2453" t="str">
            <v>工序内容</v>
          </cell>
          <cell r="F2453" t="str">
            <v>0/领料</v>
          </cell>
          <cell r="G2453" t="str">
            <v>05/数铣</v>
          </cell>
          <cell r="H2453" t="str">
            <v>10/数铣15</v>
          </cell>
          <cell r="I2453" t="str">
            <v>15/数铣15</v>
          </cell>
          <cell r="J2453" t="str">
            <v>20/数铣15</v>
          </cell>
          <cell r="K2453" t="str">
            <v>25/数铣10</v>
          </cell>
          <cell r="L2453" t="str">
            <v>30/钳工</v>
          </cell>
          <cell r="M2453" t="str">
            <v>35/分光</v>
          </cell>
          <cell r="N2453" t="str">
            <v>40/硬度</v>
          </cell>
          <cell r="O2453" t="str">
            <v>45/数车30</v>
          </cell>
          <cell r="P2453" t="str">
            <v>50/数车30</v>
          </cell>
          <cell r="Q2453" t="str">
            <v>55/数车20</v>
          </cell>
          <cell r="R2453" t="str">
            <v>60/数车15</v>
          </cell>
          <cell r="S2453" t="str">
            <v>65/数车20</v>
          </cell>
          <cell r="T2453" t="str">
            <v>70/数车5</v>
          </cell>
          <cell r="U2453" t="str">
            <v>75/数铣10</v>
          </cell>
          <cell r="V2453" t="str">
            <v>80/钳工</v>
          </cell>
          <cell r="W2453" t="str">
            <v>85/清洁</v>
          </cell>
          <cell r="X2453" t="str">
            <v>90/成检</v>
          </cell>
        </row>
        <row r="2454">
          <cell r="B2454" t="str">
            <v>CB2284480-004-001</v>
          </cell>
          <cell r="D2454" t="str">
            <v>B</v>
          </cell>
          <cell r="E2454" t="str">
            <v>准备工时</v>
          </cell>
          <cell r="G2454">
            <v>60</v>
          </cell>
          <cell r="H2454">
            <v>60</v>
          </cell>
          <cell r="I2454">
            <v>60</v>
          </cell>
          <cell r="J2454">
            <v>60</v>
          </cell>
          <cell r="K2454">
            <v>60</v>
          </cell>
          <cell r="O2454">
            <v>150</v>
          </cell>
          <cell r="P2454">
            <v>180</v>
          </cell>
          <cell r="Q2454">
            <v>180</v>
          </cell>
          <cell r="R2454">
            <v>120</v>
          </cell>
          <cell r="S2454">
            <v>120</v>
          </cell>
          <cell r="T2454">
            <v>120</v>
          </cell>
          <cell r="U2454">
            <v>60</v>
          </cell>
        </row>
        <row r="2455">
          <cell r="B2455" t="str">
            <v>CB2284480-004-001</v>
          </cell>
          <cell r="D2455" t="str">
            <v>B</v>
          </cell>
          <cell r="E2455" t="str">
            <v>装夹时间</v>
          </cell>
        </row>
        <row r="2456">
          <cell r="B2456" t="str">
            <v>CB2284480-004-001</v>
          </cell>
          <cell r="D2456" t="str">
            <v>B</v>
          </cell>
          <cell r="E2456" t="str">
            <v>程序时间</v>
          </cell>
          <cell r="G2456">
            <v>60</v>
          </cell>
          <cell r="H2456">
            <v>30</v>
          </cell>
          <cell r="I2456">
            <v>30</v>
          </cell>
          <cell r="J2456">
            <v>30</v>
          </cell>
          <cell r="K2456">
            <v>25</v>
          </cell>
          <cell r="L2456">
            <v>20</v>
          </cell>
          <cell r="O2456">
            <v>40</v>
          </cell>
          <cell r="P2456">
            <v>90</v>
          </cell>
          <cell r="Q2456">
            <v>40</v>
          </cell>
          <cell r="R2456">
            <v>25</v>
          </cell>
          <cell r="S2456">
            <v>30</v>
          </cell>
          <cell r="T2456">
            <v>15</v>
          </cell>
          <cell r="U2456">
            <v>25</v>
          </cell>
          <cell r="V2456">
            <v>30</v>
          </cell>
        </row>
        <row r="2457">
          <cell r="B2457" t="str">
            <v>BC2711364-001-001</v>
          </cell>
          <cell r="D2457" t="str">
            <v>A</v>
          </cell>
          <cell r="E2457" t="str">
            <v>工序内容</v>
          </cell>
          <cell r="F2457" t="str">
            <v>0/领料</v>
          </cell>
          <cell r="G2457" t="str">
            <v>05/数车20</v>
          </cell>
          <cell r="H2457" t="str">
            <v>10/数车5</v>
          </cell>
          <cell r="I2457" t="str">
            <v>15/数铣15</v>
          </cell>
          <cell r="J2457" t="str">
            <v>20/数铣20</v>
          </cell>
          <cell r="K2457" t="str">
            <v>25/数车25</v>
          </cell>
          <cell r="L2457" t="str">
            <v>30/穿孔</v>
          </cell>
          <cell r="M2457" t="str">
            <v>35/分光</v>
          </cell>
          <cell r="N2457" t="str">
            <v>40/数车10</v>
          </cell>
          <cell r="O2457" t="str">
            <v>45/钳工</v>
          </cell>
          <cell r="P2457" t="str">
            <v>50/清洁</v>
          </cell>
          <cell r="Q2457" t="str">
            <v>55/成检</v>
          </cell>
        </row>
        <row r="2458">
          <cell r="B2458" t="str">
            <v>BC2711364-001-001</v>
          </cell>
          <cell r="D2458" t="str">
            <v>A</v>
          </cell>
          <cell r="E2458" t="str">
            <v>准备工时</v>
          </cell>
          <cell r="G2458">
            <v>60</v>
          </cell>
          <cell r="H2458">
            <v>60</v>
          </cell>
          <cell r="I2458">
            <v>60</v>
          </cell>
          <cell r="J2458">
            <v>60</v>
          </cell>
          <cell r="K2458">
            <v>120</v>
          </cell>
          <cell r="N2458">
            <v>90</v>
          </cell>
        </row>
        <row r="2459">
          <cell r="B2459" t="str">
            <v>BC2711364-001-001</v>
          </cell>
          <cell r="D2459" t="str">
            <v>A</v>
          </cell>
          <cell r="E2459" t="str">
            <v>装夹时间</v>
          </cell>
        </row>
        <row r="2460">
          <cell r="B2460" t="str">
            <v>BC2711364-001-001</v>
          </cell>
          <cell r="D2460" t="str">
            <v>A</v>
          </cell>
          <cell r="E2460" t="str">
            <v>程序时间</v>
          </cell>
          <cell r="G2460">
            <v>25</v>
          </cell>
          <cell r="H2460">
            <v>15</v>
          </cell>
          <cell r="I2460">
            <v>25</v>
          </cell>
          <cell r="J2460">
            <v>30</v>
          </cell>
          <cell r="K2460">
            <v>60</v>
          </cell>
          <cell r="N2460">
            <v>25</v>
          </cell>
          <cell r="O2460">
            <v>20</v>
          </cell>
        </row>
        <row r="2461">
          <cell r="B2461" t="str">
            <v>CB221T1LL-005-001</v>
          </cell>
          <cell r="D2461" t="str">
            <v>B</v>
          </cell>
          <cell r="E2461" t="str">
            <v>工序内容</v>
          </cell>
          <cell r="F2461" t="str">
            <v>0/领料</v>
          </cell>
          <cell r="G2461" t="str">
            <v>05/数车</v>
          </cell>
          <cell r="H2461" t="str">
            <v>10/分光</v>
          </cell>
          <cell r="I2461" t="str">
            <v>15/检验</v>
          </cell>
          <cell r="J2461" t="str">
            <v>20/数车</v>
          </cell>
          <cell r="K2461" t="str">
            <v>25/数车</v>
          </cell>
          <cell r="L2461" t="str">
            <v>30/数铣</v>
          </cell>
          <cell r="M2461" t="str">
            <v>35/穿孔</v>
          </cell>
          <cell r="N2461" t="str">
            <v>40/钳工</v>
          </cell>
          <cell r="O2461" t="str">
            <v>45/清洁</v>
          </cell>
          <cell r="P2461" t="str">
            <v>50/成检</v>
          </cell>
        </row>
        <row r="2462">
          <cell r="B2462" t="str">
            <v>CB221T1LL-005-001</v>
          </cell>
          <cell r="D2462" t="str">
            <v>B</v>
          </cell>
          <cell r="E2462" t="str">
            <v>准备工时</v>
          </cell>
          <cell r="G2462">
            <v>60</v>
          </cell>
          <cell r="J2462">
            <v>120</v>
          </cell>
          <cell r="K2462">
            <v>120</v>
          </cell>
          <cell r="L2462">
            <v>60</v>
          </cell>
        </row>
        <row r="2463">
          <cell r="B2463" t="str">
            <v>CB221T1LL-005-001</v>
          </cell>
          <cell r="D2463" t="str">
            <v>B</v>
          </cell>
          <cell r="E2463" t="str">
            <v>装夹时间</v>
          </cell>
        </row>
        <row r="2464">
          <cell r="B2464" t="str">
            <v>CB221T1LL-005-001</v>
          </cell>
          <cell r="D2464" t="str">
            <v>B</v>
          </cell>
          <cell r="E2464" t="str">
            <v>程序时间</v>
          </cell>
          <cell r="G2464">
            <v>20</v>
          </cell>
          <cell r="J2464">
            <v>30</v>
          </cell>
          <cell r="K2464">
            <v>35</v>
          </cell>
          <cell r="L2464">
            <v>25</v>
          </cell>
          <cell r="N2464">
            <v>30</v>
          </cell>
        </row>
        <row r="2465">
          <cell r="B2465" t="str">
            <v>Y20-5319180012-001</v>
          </cell>
          <cell r="D2465" t="str">
            <v>C</v>
          </cell>
          <cell r="E2465" t="str">
            <v>工序内容</v>
          </cell>
          <cell r="F2465" t="str">
            <v>0/领料</v>
          </cell>
          <cell r="G2465" t="str">
            <v>05/下料</v>
          </cell>
          <cell r="H2465" t="str">
            <v>10/数铣10</v>
          </cell>
          <cell r="I2465" t="str">
            <v>15/装夹</v>
          </cell>
          <cell r="J2465" t="str">
            <v>20/数铣30</v>
          </cell>
          <cell r="K2465" t="str">
            <v>25/数铣15</v>
          </cell>
          <cell r="L2465" t="str">
            <v>30/数铣20</v>
          </cell>
          <cell r="M2465" t="str">
            <v>35/数铣5</v>
          </cell>
          <cell r="N2465" t="str">
            <v>40/钳工</v>
          </cell>
          <cell r="O2465" t="str">
            <v>45/测量</v>
          </cell>
          <cell r="P2465" t="str">
            <v>50/清洁</v>
          </cell>
        </row>
        <row r="2466">
          <cell r="B2466" t="str">
            <v>Y20-5319180012-001</v>
          </cell>
          <cell r="D2466" t="str">
            <v>C</v>
          </cell>
          <cell r="E2466" t="str">
            <v>准备工时</v>
          </cell>
          <cell r="H2466">
            <v>60</v>
          </cell>
          <cell r="J2466">
            <v>60</v>
          </cell>
          <cell r="K2466">
            <v>60</v>
          </cell>
          <cell r="L2466" t="str">
            <v>90</v>
          </cell>
          <cell r="M2466" t="str">
            <v>60</v>
          </cell>
        </row>
        <row r="2467">
          <cell r="B2467" t="str">
            <v>Y20-5319180012-001</v>
          </cell>
          <cell r="D2467" t="str">
            <v>C</v>
          </cell>
          <cell r="E2467" t="str">
            <v>装夹时间</v>
          </cell>
        </row>
        <row r="2468">
          <cell r="B2468" t="str">
            <v>Y20-5319180012-001</v>
          </cell>
          <cell r="D2468" t="str">
            <v>C</v>
          </cell>
          <cell r="E2468" t="str">
            <v>程序时间</v>
          </cell>
          <cell r="H2468">
            <v>30</v>
          </cell>
          <cell r="I2468">
            <v>10</v>
          </cell>
          <cell r="J2468">
            <v>60</v>
          </cell>
          <cell r="K2468">
            <v>35</v>
          </cell>
          <cell r="L2468" t="str">
            <v>45</v>
          </cell>
          <cell r="M2468" t="str">
            <v>20</v>
          </cell>
          <cell r="N2468" t="str">
            <v>25</v>
          </cell>
        </row>
        <row r="2469">
          <cell r="B2469" t="str">
            <v>Y20-5319180012-002</v>
          </cell>
          <cell r="D2469" t="str">
            <v>C</v>
          </cell>
          <cell r="E2469" t="str">
            <v>工序内容</v>
          </cell>
          <cell r="F2469" t="str">
            <v>0/领料</v>
          </cell>
          <cell r="G2469" t="str">
            <v>05/下料</v>
          </cell>
          <cell r="H2469" t="str">
            <v>10/数铣10</v>
          </cell>
          <cell r="I2469" t="str">
            <v>15/装夹</v>
          </cell>
          <cell r="J2469" t="str">
            <v>20/数铣30</v>
          </cell>
          <cell r="K2469" t="str">
            <v>25/数铣15</v>
          </cell>
          <cell r="L2469" t="str">
            <v>30/数铣20</v>
          </cell>
          <cell r="M2469" t="str">
            <v>35/数铣5</v>
          </cell>
          <cell r="N2469" t="str">
            <v>40/钳工</v>
          </cell>
          <cell r="O2469" t="str">
            <v>45/测量</v>
          </cell>
          <cell r="P2469" t="str">
            <v>50/清洁</v>
          </cell>
        </row>
        <row r="2470">
          <cell r="B2470" t="str">
            <v>Y20-5319180012-002</v>
          </cell>
          <cell r="D2470" t="str">
            <v>C</v>
          </cell>
          <cell r="E2470" t="str">
            <v>准备工时</v>
          </cell>
          <cell r="H2470">
            <v>60</v>
          </cell>
          <cell r="J2470">
            <v>60</v>
          </cell>
          <cell r="K2470">
            <v>60</v>
          </cell>
          <cell r="L2470" t="str">
            <v>90</v>
          </cell>
          <cell r="M2470" t="str">
            <v>60</v>
          </cell>
        </row>
        <row r="2471">
          <cell r="B2471" t="str">
            <v>Y20-5319180012-002</v>
          </cell>
          <cell r="D2471" t="str">
            <v>C</v>
          </cell>
          <cell r="E2471" t="str">
            <v>装夹时间</v>
          </cell>
        </row>
        <row r="2472">
          <cell r="B2472" t="str">
            <v>Y20-5319180012-002</v>
          </cell>
          <cell r="D2472" t="str">
            <v>C</v>
          </cell>
          <cell r="E2472" t="str">
            <v>程序时间</v>
          </cell>
          <cell r="H2472">
            <v>30</v>
          </cell>
          <cell r="I2472">
            <v>10</v>
          </cell>
          <cell r="J2472">
            <v>60</v>
          </cell>
          <cell r="K2472">
            <v>35</v>
          </cell>
          <cell r="L2472" t="str">
            <v>45</v>
          </cell>
          <cell r="M2472" t="str">
            <v>20</v>
          </cell>
          <cell r="N2472" t="str">
            <v>25</v>
          </cell>
        </row>
        <row r="2473">
          <cell r="B2473" t="str">
            <v>CB2284460-006-001</v>
          </cell>
          <cell r="D2473" t="str">
            <v>B</v>
          </cell>
          <cell r="E2473" t="str">
            <v>工序内容</v>
          </cell>
          <cell r="F2473" t="str">
            <v>0/领料</v>
          </cell>
          <cell r="G2473" t="str">
            <v>05/普铣</v>
          </cell>
          <cell r="H2473" t="str">
            <v>10/普铣</v>
          </cell>
          <cell r="I2473" t="str">
            <v>15/数车30</v>
          </cell>
          <cell r="J2473" t="str">
            <v>20/分光</v>
          </cell>
          <cell r="K2473" t="str">
            <v>25/硬度</v>
          </cell>
          <cell r="L2473" t="str">
            <v>30/数铣10</v>
          </cell>
          <cell r="M2473" t="str">
            <v>35/数车30</v>
          </cell>
          <cell r="N2473" t="str">
            <v>40/数铣20</v>
          </cell>
          <cell r="O2473" t="str">
            <v>45/钳工</v>
          </cell>
          <cell r="P2473" t="str">
            <v>50/清洁</v>
          </cell>
          <cell r="Q2473" t="str">
            <v>55/成检</v>
          </cell>
        </row>
        <row r="2474">
          <cell r="B2474" t="str">
            <v>CB2284460-006-001</v>
          </cell>
          <cell r="D2474" t="str">
            <v>B</v>
          </cell>
          <cell r="E2474" t="str">
            <v>准备工时</v>
          </cell>
          <cell r="G2474">
            <v>60</v>
          </cell>
          <cell r="H2474">
            <v>60</v>
          </cell>
          <cell r="I2474">
            <v>120</v>
          </cell>
          <cell r="L2474">
            <v>60</v>
          </cell>
          <cell r="M2474">
            <v>150</v>
          </cell>
          <cell r="N2474">
            <v>60</v>
          </cell>
        </row>
        <row r="2475">
          <cell r="B2475" t="str">
            <v>CB2284460-006-001</v>
          </cell>
          <cell r="D2475" t="str">
            <v>B</v>
          </cell>
          <cell r="E2475" t="str">
            <v>装夹时间</v>
          </cell>
        </row>
        <row r="2476">
          <cell r="B2476" t="str">
            <v>CB2284460-006-001</v>
          </cell>
          <cell r="D2476" t="str">
            <v>B</v>
          </cell>
          <cell r="E2476" t="str">
            <v>程序时间</v>
          </cell>
          <cell r="G2476">
            <v>40</v>
          </cell>
          <cell r="H2476">
            <v>20</v>
          </cell>
          <cell r="I2476">
            <v>45</v>
          </cell>
          <cell r="L2476">
            <v>30</v>
          </cell>
          <cell r="M2476">
            <v>45</v>
          </cell>
          <cell r="N2476">
            <v>30</v>
          </cell>
          <cell r="O2476">
            <v>35</v>
          </cell>
        </row>
        <row r="2477">
          <cell r="B2477" t="str">
            <v>CB22956R1-001L001</v>
          </cell>
          <cell r="D2477" t="str">
            <v>B</v>
          </cell>
          <cell r="E2477" t="str">
            <v>工序内容</v>
          </cell>
          <cell r="F2477" t="str">
            <v>0/领料</v>
          </cell>
          <cell r="G2477" t="str">
            <v>5/下料</v>
          </cell>
          <cell r="H2477" t="str">
            <v>10/数铣</v>
          </cell>
          <cell r="I2477" t="str">
            <v>15/数铣15</v>
          </cell>
          <cell r="J2477" t="str">
            <v>20/数铣10</v>
          </cell>
          <cell r="K2477" t="str">
            <v>25/数铣20</v>
          </cell>
          <cell r="L2477" t="str">
            <v>30/数铣5</v>
          </cell>
          <cell r="M2477" t="str">
            <v>35/数铣25</v>
          </cell>
          <cell r="N2477" t="str">
            <v>40/钳工</v>
          </cell>
          <cell r="O2477" t="str">
            <v>45/测量</v>
          </cell>
          <cell r="P2477" t="str">
            <v>50/清洁</v>
          </cell>
          <cell r="Q2477" t="str">
            <v>53/检验</v>
          </cell>
          <cell r="R2477" t="str">
            <v>55/硬检</v>
          </cell>
          <cell r="S2477" t="str">
            <v>60/分光</v>
          </cell>
          <cell r="T2477" t="str">
            <v>65/钳工</v>
          </cell>
          <cell r="U2477" t="str">
            <v>70/清洁</v>
          </cell>
          <cell r="V2477" t="str">
            <v>75/成检</v>
          </cell>
        </row>
        <row r="2478">
          <cell r="B2478" t="str">
            <v>CB22956R1-001L001</v>
          </cell>
          <cell r="D2478" t="str">
            <v>B</v>
          </cell>
          <cell r="E2478" t="str">
            <v>准备工时</v>
          </cell>
          <cell r="H2478">
            <v>60</v>
          </cell>
          <cell r="I2478">
            <v>60</v>
          </cell>
          <cell r="J2478">
            <v>60</v>
          </cell>
          <cell r="K2478">
            <v>60</v>
          </cell>
          <cell r="L2478">
            <v>60</v>
          </cell>
          <cell r="M2478">
            <v>60</v>
          </cell>
        </row>
        <row r="2479">
          <cell r="B2479" t="str">
            <v>CB22956R1-001L001</v>
          </cell>
          <cell r="D2479" t="str">
            <v>B</v>
          </cell>
          <cell r="E2479" t="str">
            <v>装夹时间</v>
          </cell>
        </row>
        <row r="2480">
          <cell r="B2480" t="str">
            <v>CB22956R1-001L001</v>
          </cell>
          <cell r="D2480" t="str">
            <v>B</v>
          </cell>
          <cell r="E2480" t="str">
            <v>程序时间</v>
          </cell>
          <cell r="G2480">
            <v>30</v>
          </cell>
          <cell r="H2480">
            <v>30</v>
          </cell>
          <cell r="I2480">
            <v>45</v>
          </cell>
          <cell r="J2480">
            <v>25</v>
          </cell>
          <cell r="K2480">
            <v>100</v>
          </cell>
          <cell r="L2480">
            <v>25</v>
          </cell>
          <cell r="M2480">
            <v>55</v>
          </cell>
          <cell r="N2480">
            <v>30</v>
          </cell>
          <cell r="T2480">
            <v>5</v>
          </cell>
        </row>
        <row r="2481">
          <cell r="B2481" t="str">
            <v>CB22956R1-001R001</v>
          </cell>
          <cell r="D2481" t="str">
            <v>B</v>
          </cell>
          <cell r="E2481" t="str">
            <v>工序内容</v>
          </cell>
          <cell r="F2481" t="str">
            <v>0/领料</v>
          </cell>
          <cell r="G2481" t="str">
            <v>5/下料</v>
          </cell>
          <cell r="H2481" t="str">
            <v>10/数铣</v>
          </cell>
          <cell r="I2481" t="str">
            <v>15/数铣15</v>
          </cell>
          <cell r="J2481" t="str">
            <v>20/数铣10</v>
          </cell>
          <cell r="K2481" t="str">
            <v>25/数铣20</v>
          </cell>
          <cell r="L2481" t="str">
            <v>30/数铣5</v>
          </cell>
          <cell r="M2481" t="str">
            <v>35/数铣25</v>
          </cell>
          <cell r="N2481" t="str">
            <v>40/钳工</v>
          </cell>
          <cell r="O2481" t="str">
            <v>45/测量</v>
          </cell>
          <cell r="P2481" t="str">
            <v>50/清洁</v>
          </cell>
          <cell r="Q2481" t="str">
            <v>53/检验</v>
          </cell>
          <cell r="R2481" t="str">
            <v>55/硬检</v>
          </cell>
          <cell r="S2481" t="str">
            <v>60/分光</v>
          </cell>
          <cell r="T2481" t="str">
            <v>65/钳工</v>
          </cell>
          <cell r="U2481" t="str">
            <v>70/清洁</v>
          </cell>
          <cell r="V2481" t="str">
            <v>75/成检</v>
          </cell>
        </row>
        <row r="2482">
          <cell r="B2482" t="str">
            <v>CB22956R1-001R001</v>
          </cell>
          <cell r="D2482" t="str">
            <v>B</v>
          </cell>
          <cell r="E2482" t="str">
            <v>准备工时</v>
          </cell>
          <cell r="H2482">
            <v>60</v>
          </cell>
          <cell r="I2482">
            <v>60</v>
          </cell>
          <cell r="J2482">
            <v>60</v>
          </cell>
          <cell r="K2482">
            <v>60</v>
          </cell>
          <cell r="L2482">
            <v>60</v>
          </cell>
          <cell r="M2482">
            <v>60</v>
          </cell>
        </row>
        <row r="2483">
          <cell r="B2483" t="str">
            <v>CB22956R1-001R001</v>
          </cell>
          <cell r="D2483" t="str">
            <v>B</v>
          </cell>
          <cell r="E2483" t="str">
            <v>装夹时间</v>
          </cell>
        </row>
        <row r="2484">
          <cell r="B2484" t="str">
            <v>CB22956R1-001R001</v>
          </cell>
          <cell r="D2484" t="str">
            <v>B</v>
          </cell>
          <cell r="E2484" t="str">
            <v>程序时间</v>
          </cell>
          <cell r="G2484">
            <v>30</v>
          </cell>
          <cell r="H2484">
            <v>30</v>
          </cell>
          <cell r="I2484">
            <v>45</v>
          </cell>
          <cell r="J2484">
            <v>25</v>
          </cell>
          <cell r="K2484">
            <v>100</v>
          </cell>
          <cell r="L2484">
            <v>25</v>
          </cell>
          <cell r="M2484">
            <v>55</v>
          </cell>
          <cell r="N2484">
            <v>30</v>
          </cell>
          <cell r="T2484">
            <v>5</v>
          </cell>
        </row>
        <row r="2485">
          <cell r="B2485" t="str">
            <v>CB2294170-001-001</v>
          </cell>
          <cell r="D2485" t="str">
            <v>E</v>
          </cell>
          <cell r="E2485" t="str">
            <v>工序内容</v>
          </cell>
          <cell r="F2485" t="str">
            <v>0/领料</v>
          </cell>
          <cell r="G2485" t="str">
            <v>5/普铣</v>
          </cell>
          <cell r="H2485" t="str">
            <v>10/数铣90</v>
          </cell>
          <cell r="I2485" t="str">
            <v>15/线切割</v>
          </cell>
          <cell r="J2485" t="str">
            <v>20/钳工</v>
          </cell>
          <cell r="K2485" t="str">
            <v>25/复验</v>
          </cell>
          <cell r="L2485" t="str">
            <v>30/热处理</v>
          </cell>
          <cell r="M2485" t="str">
            <v>35/数车30</v>
          </cell>
          <cell r="N2485" t="str">
            <v>40/数铣20</v>
          </cell>
          <cell r="O2485" t="str">
            <v>45/钳工</v>
          </cell>
          <cell r="P2485" t="str">
            <v>50/清洁</v>
          </cell>
          <cell r="Q2485" t="str">
            <v>55/成检</v>
          </cell>
        </row>
        <row r="2486">
          <cell r="B2486" t="str">
            <v>CB2294170-001-001</v>
          </cell>
          <cell r="D2486" t="str">
            <v>E</v>
          </cell>
          <cell r="E2486" t="str">
            <v>准备工时</v>
          </cell>
          <cell r="G2486">
            <v>60</v>
          </cell>
          <cell r="H2486">
            <v>60</v>
          </cell>
          <cell r="M2486">
            <v>60</v>
          </cell>
          <cell r="N2486">
            <v>60</v>
          </cell>
        </row>
        <row r="2487">
          <cell r="B2487" t="str">
            <v>CB2294170-001-001</v>
          </cell>
          <cell r="D2487" t="str">
            <v>E</v>
          </cell>
          <cell r="E2487" t="str">
            <v>装夹时间</v>
          </cell>
        </row>
        <row r="2488">
          <cell r="B2488" t="str">
            <v>CB2294170-001-001</v>
          </cell>
          <cell r="D2488" t="str">
            <v>E</v>
          </cell>
          <cell r="E2488" t="str">
            <v>程序时间</v>
          </cell>
          <cell r="G2488">
            <v>30</v>
          </cell>
          <cell r="H2488">
            <v>120</v>
          </cell>
          <cell r="J2488">
            <v>40</v>
          </cell>
          <cell r="M2488">
            <v>40</v>
          </cell>
          <cell r="N2488">
            <v>30</v>
          </cell>
          <cell r="O2488">
            <v>30</v>
          </cell>
        </row>
        <row r="2489">
          <cell r="B2489" t="str">
            <v>DD-J10-05346-1-Z</v>
          </cell>
          <cell r="D2489" t="str">
            <v>E</v>
          </cell>
          <cell r="E2489" t="str">
            <v>工序内容</v>
          </cell>
          <cell r="F2489" t="str">
            <v>0/领料</v>
          </cell>
          <cell r="G2489" t="str">
            <v>5/数铣</v>
          </cell>
          <cell r="H2489" t="str">
            <v>10/超声</v>
          </cell>
          <cell r="I2489" t="str">
            <v>15/线切割</v>
          </cell>
          <cell r="J2489" t="str">
            <v>20/数铣</v>
          </cell>
          <cell r="K2489" t="str">
            <v>25/数铣</v>
          </cell>
          <cell r="L2489" t="str">
            <v>30/数铣</v>
          </cell>
          <cell r="M2489" t="str">
            <v>35/数铣</v>
          </cell>
          <cell r="N2489" t="str">
            <v>40</v>
          </cell>
          <cell r="O2489" t="str">
            <v>45/钳工</v>
          </cell>
          <cell r="P2489" t="str">
            <v>50/清洗</v>
          </cell>
          <cell r="Q2489" t="str">
            <v>55/成检</v>
          </cell>
        </row>
        <row r="2490">
          <cell r="B2490" t="str">
            <v>DD-J10-05346-1-Z</v>
          </cell>
          <cell r="D2490" t="str">
            <v>E</v>
          </cell>
          <cell r="E2490" t="str">
            <v>准备工时</v>
          </cell>
          <cell r="G2490">
            <v>60</v>
          </cell>
          <cell r="J2490">
            <v>60</v>
          </cell>
          <cell r="K2490">
            <v>60</v>
          </cell>
          <cell r="L2490">
            <v>90</v>
          </cell>
          <cell r="M2490">
            <v>60</v>
          </cell>
        </row>
        <row r="2491">
          <cell r="B2491" t="str">
            <v>DD-J10-05346-1-Z</v>
          </cell>
          <cell r="D2491" t="str">
            <v>E</v>
          </cell>
          <cell r="E2491" t="str">
            <v>装夹时间</v>
          </cell>
        </row>
        <row r="2492">
          <cell r="B2492" t="str">
            <v>DD-J10-05346-1-Z</v>
          </cell>
          <cell r="D2492" t="str">
            <v>E</v>
          </cell>
          <cell r="E2492" t="str">
            <v>程序时间</v>
          </cell>
          <cell r="G2492">
            <v>90</v>
          </cell>
          <cell r="J2492">
            <v>60</v>
          </cell>
          <cell r="K2492">
            <v>160</v>
          </cell>
          <cell r="L2492">
            <v>75</v>
          </cell>
          <cell r="M2492">
            <v>60</v>
          </cell>
          <cell r="O2492">
            <v>120</v>
          </cell>
        </row>
        <row r="2493">
          <cell r="B2493" t="str">
            <v>DD-J10-05346-1-Y</v>
          </cell>
          <cell r="D2493" t="str">
            <v>E</v>
          </cell>
          <cell r="E2493" t="str">
            <v>工序内容</v>
          </cell>
          <cell r="F2493" t="str">
            <v>0/领料</v>
          </cell>
          <cell r="G2493" t="str">
            <v>5/数铣</v>
          </cell>
          <cell r="H2493" t="str">
            <v>10/超声</v>
          </cell>
          <cell r="I2493" t="str">
            <v>15/线切割</v>
          </cell>
          <cell r="J2493" t="str">
            <v>20/数铣</v>
          </cell>
          <cell r="K2493" t="str">
            <v>25/数铣</v>
          </cell>
          <cell r="L2493" t="str">
            <v>30/数铣</v>
          </cell>
          <cell r="M2493" t="str">
            <v>35/数铣</v>
          </cell>
          <cell r="N2493" t="str">
            <v>40</v>
          </cell>
          <cell r="O2493" t="str">
            <v>45/钳工</v>
          </cell>
          <cell r="P2493" t="str">
            <v>50/清洗</v>
          </cell>
          <cell r="Q2493" t="str">
            <v>55/成检</v>
          </cell>
        </row>
        <row r="2494">
          <cell r="B2494" t="str">
            <v>DD-J10-05346-1-Y</v>
          </cell>
          <cell r="D2494" t="str">
            <v>E</v>
          </cell>
          <cell r="E2494" t="str">
            <v>准备工时</v>
          </cell>
          <cell r="G2494">
            <v>60</v>
          </cell>
          <cell r="J2494">
            <v>60</v>
          </cell>
          <cell r="K2494">
            <v>60</v>
          </cell>
          <cell r="L2494">
            <v>90</v>
          </cell>
          <cell r="M2494">
            <v>60</v>
          </cell>
        </row>
        <row r="2495">
          <cell r="B2495" t="str">
            <v>DD-J10-05346-1-Y</v>
          </cell>
          <cell r="D2495" t="str">
            <v>E</v>
          </cell>
          <cell r="E2495" t="str">
            <v>装夹时间</v>
          </cell>
        </row>
        <row r="2496">
          <cell r="B2496" t="str">
            <v>DD-J10-05346-1-Y</v>
          </cell>
          <cell r="D2496" t="str">
            <v>E</v>
          </cell>
          <cell r="E2496" t="str">
            <v>程序时间</v>
          </cell>
          <cell r="G2496">
            <v>90</v>
          </cell>
          <cell r="J2496">
            <v>60</v>
          </cell>
          <cell r="K2496">
            <v>160</v>
          </cell>
          <cell r="L2496">
            <v>75</v>
          </cell>
          <cell r="M2496">
            <v>60</v>
          </cell>
          <cell r="O2496">
            <v>120</v>
          </cell>
        </row>
        <row r="2497">
          <cell r="B2497" t="str">
            <v>DD-J10-05346-1-Z</v>
          </cell>
          <cell r="D2497" t="str">
            <v>F</v>
          </cell>
          <cell r="E2497" t="str">
            <v>工序内容</v>
          </cell>
          <cell r="F2497" t="str">
            <v>0/领料</v>
          </cell>
          <cell r="G2497" t="str">
            <v>5/数铣</v>
          </cell>
          <cell r="H2497" t="str">
            <v>10/超声</v>
          </cell>
          <cell r="I2497" t="str">
            <v>15/线切割</v>
          </cell>
          <cell r="J2497" t="str">
            <v>20/数铣</v>
          </cell>
          <cell r="K2497" t="str">
            <v>25/数铣</v>
          </cell>
          <cell r="L2497" t="str">
            <v>30/数铣</v>
          </cell>
          <cell r="M2497" t="str">
            <v>35/数铣</v>
          </cell>
          <cell r="N2497" t="str">
            <v>40</v>
          </cell>
          <cell r="O2497" t="str">
            <v>45/钳工</v>
          </cell>
          <cell r="P2497" t="str">
            <v>50/清洗</v>
          </cell>
          <cell r="Q2497" t="str">
            <v>55/成检</v>
          </cell>
        </row>
        <row r="2498">
          <cell r="B2498" t="str">
            <v>DD-J10-05346-1-Z</v>
          </cell>
          <cell r="D2498" t="str">
            <v>F</v>
          </cell>
          <cell r="E2498" t="str">
            <v>准备工时</v>
          </cell>
          <cell r="G2498">
            <v>60</v>
          </cell>
          <cell r="J2498">
            <v>60</v>
          </cell>
          <cell r="K2498">
            <v>60</v>
          </cell>
          <cell r="L2498">
            <v>90</v>
          </cell>
          <cell r="M2498">
            <v>60</v>
          </cell>
        </row>
        <row r="2499">
          <cell r="B2499" t="str">
            <v>DD-J10-05346-1-Z</v>
          </cell>
          <cell r="D2499" t="str">
            <v>F</v>
          </cell>
          <cell r="E2499" t="str">
            <v>装夹时间</v>
          </cell>
        </row>
        <row r="2500">
          <cell r="B2500" t="str">
            <v>DD-J10-05346-1-Z</v>
          </cell>
          <cell r="D2500" t="str">
            <v>F</v>
          </cell>
          <cell r="E2500" t="str">
            <v>程序时间</v>
          </cell>
          <cell r="G2500">
            <v>90</v>
          </cell>
          <cell r="J2500">
            <v>60</v>
          </cell>
          <cell r="K2500">
            <v>160</v>
          </cell>
          <cell r="L2500">
            <v>75</v>
          </cell>
          <cell r="M2500">
            <v>60</v>
          </cell>
          <cell r="O2500">
            <v>120</v>
          </cell>
        </row>
        <row r="2501">
          <cell r="B2501" t="str">
            <v>DD-J10-05346-1-Y</v>
          </cell>
          <cell r="D2501" t="str">
            <v>F</v>
          </cell>
          <cell r="E2501" t="str">
            <v>工序内容</v>
          </cell>
          <cell r="F2501" t="str">
            <v>0/领料</v>
          </cell>
          <cell r="G2501" t="str">
            <v>5/数铣</v>
          </cell>
          <cell r="H2501" t="str">
            <v>10/超声</v>
          </cell>
          <cell r="I2501" t="str">
            <v>15/线切割</v>
          </cell>
          <cell r="J2501" t="str">
            <v>20/数铣</v>
          </cell>
          <cell r="K2501" t="str">
            <v>25/数铣</v>
          </cell>
          <cell r="L2501" t="str">
            <v>30/数铣</v>
          </cell>
          <cell r="M2501" t="str">
            <v>35/数铣</v>
          </cell>
          <cell r="N2501" t="str">
            <v>40</v>
          </cell>
          <cell r="O2501" t="str">
            <v>45/钳工</v>
          </cell>
          <cell r="P2501" t="str">
            <v>50/清洗</v>
          </cell>
          <cell r="Q2501" t="str">
            <v>55/成检</v>
          </cell>
        </row>
        <row r="2502">
          <cell r="B2502" t="str">
            <v>DD-J10-05346-1-Y</v>
          </cell>
          <cell r="D2502" t="str">
            <v>F</v>
          </cell>
          <cell r="E2502" t="str">
            <v>准备工时</v>
          </cell>
          <cell r="G2502">
            <v>60</v>
          </cell>
          <cell r="J2502">
            <v>60</v>
          </cell>
          <cell r="K2502">
            <v>60</v>
          </cell>
          <cell r="L2502">
            <v>90</v>
          </cell>
          <cell r="M2502">
            <v>60</v>
          </cell>
        </row>
        <row r="2503">
          <cell r="B2503" t="str">
            <v>DD-J10-05346-1-Y</v>
          </cell>
          <cell r="D2503" t="str">
            <v>F</v>
          </cell>
          <cell r="E2503" t="str">
            <v>装夹时间</v>
          </cell>
        </row>
        <row r="2504">
          <cell r="B2504" t="str">
            <v>DD-J10-05346-1-Y</v>
          </cell>
          <cell r="D2504" t="str">
            <v>F</v>
          </cell>
          <cell r="E2504" t="str">
            <v>程序时间</v>
          </cell>
          <cell r="G2504">
            <v>90</v>
          </cell>
          <cell r="J2504">
            <v>60</v>
          </cell>
          <cell r="K2504">
            <v>160</v>
          </cell>
          <cell r="L2504">
            <v>75</v>
          </cell>
          <cell r="M2504">
            <v>60</v>
          </cell>
          <cell r="O2504">
            <v>120</v>
          </cell>
        </row>
        <row r="2505">
          <cell r="B2505" t="str">
            <v>DD-J10-05346-2-Z</v>
          </cell>
          <cell r="D2505" t="str">
            <v>E</v>
          </cell>
          <cell r="E2505" t="str">
            <v>工序内容</v>
          </cell>
          <cell r="F2505" t="str">
            <v>0/领料</v>
          </cell>
          <cell r="G2505" t="str">
            <v>5/数铣</v>
          </cell>
          <cell r="H2505" t="str">
            <v>10/超声</v>
          </cell>
          <cell r="I2505" t="str">
            <v>15/线切割</v>
          </cell>
          <cell r="J2505" t="str">
            <v>20/数铣</v>
          </cell>
          <cell r="K2505" t="str">
            <v>25/数铣</v>
          </cell>
          <cell r="L2505" t="str">
            <v>30/数铣</v>
          </cell>
          <cell r="M2505" t="str">
            <v>35/数铣</v>
          </cell>
          <cell r="N2505" t="str">
            <v>40</v>
          </cell>
          <cell r="O2505" t="str">
            <v>45/钳工</v>
          </cell>
          <cell r="P2505" t="str">
            <v>50/清洗</v>
          </cell>
          <cell r="Q2505" t="str">
            <v>55/成检</v>
          </cell>
        </row>
        <row r="2506">
          <cell r="B2506" t="str">
            <v>DD-J10-05346-2-Z</v>
          </cell>
          <cell r="D2506" t="str">
            <v>E</v>
          </cell>
          <cell r="E2506" t="str">
            <v>准备工时</v>
          </cell>
          <cell r="G2506">
            <v>60</v>
          </cell>
          <cell r="J2506">
            <v>90</v>
          </cell>
          <cell r="K2506">
            <v>60</v>
          </cell>
          <cell r="L2506">
            <v>60</v>
          </cell>
          <cell r="M2506">
            <v>60</v>
          </cell>
        </row>
        <row r="2507">
          <cell r="B2507" t="str">
            <v>DD-J10-05346-2-Z</v>
          </cell>
          <cell r="D2507" t="str">
            <v>E</v>
          </cell>
          <cell r="E2507" t="str">
            <v>装夹时间</v>
          </cell>
        </row>
        <row r="2508">
          <cell r="B2508" t="str">
            <v>DD-J10-05346-2-Z</v>
          </cell>
          <cell r="D2508" t="str">
            <v>E</v>
          </cell>
          <cell r="E2508" t="str">
            <v>程序时间</v>
          </cell>
          <cell r="G2508">
            <v>90</v>
          </cell>
          <cell r="J2508">
            <v>60</v>
          </cell>
          <cell r="K2508">
            <v>160</v>
          </cell>
          <cell r="L2508">
            <v>75</v>
          </cell>
          <cell r="M2508">
            <v>60</v>
          </cell>
          <cell r="O2508">
            <v>120</v>
          </cell>
        </row>
        <row r="2509">
          <cell r="B2509" t="str">
            <v>DD-J10-05346-2-Y</v>
          </cell>
          <cell r="D2509" t="str">
            <v>E</v>
          </cell>
          <cell r="E2509" t="str">
            <v>工序内容</v>
          </cell>
          <cell r="F2509" t="str">
            <v>0/领料</v>
          </cell>
          <cell r="G2509" t="str">
            <v>5/数铣</v>
          </cell>
          <cell r="H2509" t="str">
            <v>10/超声</v>
          </cell>
          <cell r="I2509" t="str">
            <v>15/线切割</v>
          </cell>
          <cell r="J2509" t="str">
            <v>20/数铣</v>
          </cell>
          <cell r="K2509" t="str">
            <v>25/数铣</v>
          </cell>
          <cell r="L2509" t="str">
            <v>30/数铣</v>
          </cell>
          <cell r="M2509" t="str">
            <v>35/数铣</v>
          </cell>
          <cell r="N2509" t="str">
            <v>40</v>
          </cell>
          <cell r="O2509" t="str">
            <v>45/钳工</v>
          </cell>
          <cell r="P2509" t="str">
            <v>50/清洗</v>
          </cell>
          <cell r="Q2509" t="str">
            <v>55/成检</v>
          </cell>
        </row>
        <row r="2510">
          <cell r="B2510" t="str">
            <v>DD-J10-05346-2-Y</v>
          </cell>
          <cell r="D2510" t="str">
            <v>E</v>
          </cell>
          <cell r="E2510" t="str">
            <v>准备工时</v>
          </cell>
          <cell r="G2510">
            <v>60</v>
          </cell>
          <cell r="J2510">
            <v>60</v>
          </cell>
          <cell r="K2510">
            <v>60</v>
          </cell>
          <cell r="L2510">
            <v>90</v>
          </cell>
          <cell r="M2510">
            <v>60</v>
          </cell>
        </row>
        <row r="2511">
          <cell r="B2511" t="str">
            <v>DD-J10-05346-2-Y</v>
          </cell>
          <cell r="D2511" t="str">
            <v>E</v>
          </cell>
          <cell r="E2511" t="str">
            <v>装夹时间</v>
          </cell>
        </row>
        <row r="2512">
          <cell r="B2512" t="str">
            <v>DD-J10-05346-2-Y</v>
          </cell>
          <cell r="D2512" t="str">
            <v>E</v>
          </cell>
          <cell r="E2512" t="str">
            <v>程序时间</v>
          </cell>
          <cell r="G2512">
            <v>90</v>
          </cell>
          <cell r="J2512">
            <v>60</v>
          </cell>
          <cell r="K2512">
            <v>160</v>
          </cell>
          <cell r="L2512">
            <v>75</v>
          </cell>
          <cell r="M2512">
            <v>60</v>
          </cell>
          <cell r="O2512">
            <v>120</v>
          </cell>
        </row>
        <row r="2513">
          <cell r="B2513" t="str">
            <v>DD-J10-05346-2-Z</v>
          </cell>
          <cell r="D2513" t="str">
            <v>F</v>
          </cell>
          <cell r="E2513" t="str">
            <v>工序内容</v>
          </cell>
          <cell r="F2513" t="str">
            <v>0/领料</v>
          </cell>
          <cell r="G2513" t="str">
            <v>5/数铣</v>
          </cell>
          <cell r="H2513" t="str">
            <v>10/超声</v>
          </cell>
          <cell r="I2513" t="str">
            <v>15/线切割</v>
          </cell>
          <cell r="J2513" t="str">
            <v>20/数铣</v>
          </cell>
          <cell r="K2513" t="str">
            <v>25/数铣</v>
          </cell>
          <cell r="L2513" t="str">
            <v>30/数铣</v>
          </cell>
          <cell r="M2513" t="str">
            <v>35/数铣</v>
          </cell>
          <cell r="N2513" t="str">
            <v>40</v>
          </cell>
          <cell r="O2513" t="str">
            <v>45/钳工</v>
          </cell>
          <cell r="P2513" t="str">
            <v>50/清洗</v>
          </cell>
          <cell r="Q2513" t="str">
            <v>55/成检</v>
          </cell>
        </row>
        <row r="2514">
          <cell r="B2514" t="str">
            <v>DD-J10-05346-2-Z</v>
          </cell>
          <cell r="D2514" t="str">
            <v>F</v>
          </cell>
          <cell r="E2514" t="str">
            <v>准备工时</v>
          </cell>
          <cell r="G2514">
            <v>60</v>
          </cell>
          <cell r="J2514">
            <v>90</v>
          </cell>
          <cell r="K2514">
            <v>60</v>
          </cell>
          <cell r="L2514">
            <v>60</v>
          </cell>
          <cell r="M2514">
            <v>60</v>
          </cell>
        </row>
        <row r="2515">
          <cell r="B2515" t="str">
            <v>DD-J10-05346-2-Z</v>
          </cell>
          <cell r="D2515" t="str">
            <v>F</v>
          </cell>
          <cell r="E2515" t="str">
            <v>装夹时间</v>
          </cell>
        </row>
        <row r="2516">
          <cell r="B2516" t="str">
            <v>DD-J10-05346-2-Z</v>
          </cell>
          <cell r="D2516" t="str">
            <v>F</v>
          </cell>
          <cell r="E2516" t="str">
            <v>程序时间</v>
          </cell>
          <cell r="G2516">
            <v>90</v>
          </cell>
          <cell r="J2516">
            <v>60</v>
          </cell>
          <cell r="K2516">
            <v>185</v>
          </cell>
          <cell r="L2516">
            <v>75</v>
          </cell>
          <cell r="M2516">
            <v>60</v>
          </cell>
          <cell r="O2516">
            <v>120</v>
          </cell>
        </row>
        <row r="2517">
          <cell r="B2517" t="str">
            <v>DD-J10-05346-2-Y</v>
          </cell>
          <cell r="D2517" t="str">
            <v>F</v>
          </cell>
          <cell r="E2517" t="str">
            <v>工序内容</v>
          </cell>
          <cell r="F2517" t="str">
            <v>0/领料</v>
          </cell>
          <cell r="G2517" t="str">
            <v>5/数铣</v>
          </cell>
          <cell r="H2517" t="str">
            <v>10/超声</v>
          </cell>
          <cell r="I2517" t="str">
            <v>15/线切割</v>
          </cell>
          <cell r="J2517" t="str">
            <v>20/数铣</v>
          </cell>
          <cell r="K2517" t="str">
            <v>25/数铣</v>
          </cell>
          <cell r="L2517" t="str">
            <v>30/数铣</v>
          </cell>
          <cell r="M2517" t="str">
            <v>35/数铣</v>
          </cell>
          <cell r="N2517" t="str">
            <v>40</v>
          </cell>
          <cell r="O2517" t="str">
            <v>45/钳工</v>
          </cell>
          <cell r="P2517" t="str">
            <v>50/清洗</v>
          </cell>
          <cell r="Q2517" t="str">
            <v>55/成检</v>
          </cell>
        </row>
        <row r="2518">
          <cell r="B2518" t="str">
            <v>DD-J10-05346-2-Y</v>
          </cell>
          <cell r="D2518" t="str">
            <v>F</v>
          </cell>
          <cell r="E2518" t="str">
            <v>准备工时</v>
          </cell>
          <cell r="G2518">
            <v>60</v>
          </cell>
          <cell r="J2518">
            <v>60</v>
          </cell>
          <cell r="K2518">
            <v>60</v>
          </cell>
          <cell r="L2518">
            <v>90</v>
          </cell>
          <cell r="M2518">
            <v>60</v>
          </cell>
        </row>
        <row r="2519">
          <cell r="B2519" t="str">
            <v>DD-J10-05346-2-Y</v>
          </cell>
          <cell r="D2519" t="str">
            <v>F</v>
          </cell>
          <cell r="E2519" t="str">
            <v>装夹时间</v>
          </cell>
        </row>
        <row r="2520">
          <cell r="B2520" t="str">
            <v>DD-J10-05346-2-Y</v>
          </cell>
          <cell r="D2520" t="str">
            <v>F</v>
          </cell>
          <cell r="E2520" t="str">
            <v>程序时间</v>
          </cell>
          <cell r="G2520">
            <v>90</v>
          </cell>
          <cell r="J2520">
            <v>60</v>
          </cell>
          <cell r="K2520">
            <v>185</v>
          </cell>
          <cell r="L2520">
            <v>75</v>
          </cell>
          <cell r="M2520">
            <v>60</v>
          </cell>
          <cell r="O2520">
            <v>120</v>
          </cell>
        </row>
        <row r="2521">
          <cell r="B2521" t="str">
            <v>DD-J10-05346-3-Z</v>
          </cell>
          <cell r="D2521" t="str">
            <v>E</v>
          </cell>
          <cell r="E2521" t="str">
            <v>工序内容</v>
          </cell>
          <cell r="F2521" t="str">
            <v>0/领料</v>
          </cell>
          <cell r="G2521" t="str">
            <v>5/数铣</v>
          </cell>
          <cell r="H2521" t="str">
            <v>10/超声</v>
          </cell>
          <cell r="I2521" t="str">
            <v>15/线切割</v>
          </cell>
          <cell r="J2521" t="str">
            <v>20/数铣</v>
          </cell>
          <cell r="K2521" t="str">
            <v>25/数铣</v>
          </cell>
          <cell r="L2521" t="str">
            <v>30/数铣</v>
          </cell>
          <cell r="M2521" t="str">
            <v>35/数铣</v>
          </cell>
          <cell r="N2521" t="str">
            <v>40</v>
          </cell>
          <cell r="O2521" t="str">
            <v>45/钳工</v>
          </cell>
          <cell r="P2521" t="str">
            <v>50/清洗</v>
          </cell>
          <cell r="Q2521" t="str">
            <v>55/成检</v>
          </cell>
        </row>
        <row r="2522">
          <cell r="B2522" t="str">
            <v>DD-J10-05346-3-Z</v>
          </cell>
          <cell r="D2522" t="str">
            <v>E</v>
          </cell>
          <cell r="E2522" t="str">
            <v>准备工时</v>
          </cell>
          <cell r="G2522">
            <v>60</v>
          </cell>
          <cell r="J2522">
            <v>60</v>
          </cell>
          <cell r="K2522">
            <v>60</v>
          </cell>
          <cell r="L2522">
            <v>90</v>
          </cell>
          <cell r="M2522">
            <v>60</v>
          </cell>
        </row>
        <row r="2523">
          <cell r="B2523" t="str">
            <v>DD-J10-05346-3-Z</v>
          </cell>
          <cell r="D2523" t="str">
            <v>E</v>
          </cell>
          <cell r="E2523" t="str">
            <v>装夹时间</v>
          </cell>
        </row>
        <row r="2524">
          <cell r="B2524" t="str">
            <v>DD-J10-05346-3-Z</v>
          </cell>
          <cell r="D2524" t="str">
            <v>E</v>
          </cell>
          <cell r="E2524" t="str">
            <v>程序时间</v>
          </cell>
          <cell r="G2524">
            <v>90</v>
          </cell>
          <cell r="J2524">
            <v>60</v>
          </cell>
          <cell r="K2524">
            <v>160</v>
          </cell>
          <cell r="L2524">
            <v>75</v>
          </cell>
          <cell r="M2524">
            <v>60</v>
          </cell>
          <cell r="O2524">
            <v>120</v>
          </cell>
        </row>
        <row r="2525">
          <cell r="B2525" t="str">
            <v>DD-J10-05346-3-Y</v>
          </cell>
          <cell r="D2525" t="str">
            <v>E</v>
          </cell>
          <cell r="E2525" t="str">
            <v>工序内容</v>
          </cell>
          <cell r="F2525" t="str">
            <v>0/领料</v>
          </cell>
          <cell r="G2525" t="str">
            <v>5/数铣</v>
          </cell>
          <cell r="H2525" t="str">
            <v>10/超声</v>
          </cell>
          <cell r="I2525" t="str">
            <v>15/线切割</v>
          </cell>
          <cell r="J2525" t="str">
            <v>20/数铣</v>
          </cell>
          <cell r="K2525" t="str">
            <v>25/数铣</v>
          </cell>
          <cell r="L2525" t="str">
            <v>30/数铣</v>
          </cell>
          <cell r="M2525" t="str">
            <v>35/数铣</v>
          </cell>
          <cell r="N2525" t="str">
            <v>40</v>
          </cell>
          <cell r="O2525" t="str">
            <v>45/钳工</v>
          </cell>
          <cell r="P2525" t="str">
            <v>50/清洗</v>
          </cell>
          <cell r="Q2525" t="str">
            <v>55/成检</v>
          </cell>
        </row>
        <row r="2526">
          <cell r="B2526" t="str">
            <v>DD-J10-05346-3-Y</v>
          </cell>
          <cell r="D2526" t="str">
            <v>E</v>
          </cell>
          <cell r="E2526" t="str">
            <v>准备工时</v>
          </cell>
          <cell r="G2526">
            <v>60</v>
          </cell>
          <cell r="J2526">
            <v>60</v>
          </cell>
          <cell r="K2526">
            <v>60</v>
          </cell>
          <cell r="L2526">
            <v>90</v>
          </cell>
          <cell r="M2526">
            <v>60</v>
          </cell>
        </row>
        <row r="2527">
          <cell r="B2527" t="str">
            <v>DD-J10-05346-3-Y</v>
          </cell>
          <cell r="D2527" t="str">
            <v>E</v>
          </cell>
          <cell r="E2527" t="str">
            <v>装夹时间</v>
          </cell>
        </row>
        <row r="2528">
          <cell r="B2528" t="str">
            <v>DD-J10-05346-3-Y</v>
          </cell>
          <cell r="D2528" t="str">
            <v>E</v>
          </cell>
          <cell r="E2528" t="str">
            <v>程序时间</v>
          </cell>
          <cell r="G2528">
            <v>90</v>
          </cell>
          <cell r="J2528">
            <v>60</v>
          </cell>
          <cell r="K2528">
            <v>160</v>
          </cell>
          <cell r="L2528">
            <v>75</v>
          </cell>
          <cell r="M2528">
            <v>60</v>
          </cell>
          <cell r="O2528">
            <v>120</v>
          </cell>
        </row>
        <row r="2529">
          <cell r="B2529" t="str">
            <v>LTCS-551100000-52L02</v>
          </cell>
          <cell r="D2529" t="str">
            <v>A</v>
          </cell>
          <cell r="E2529" t="str">
            <v>工序内容</v>
          </cell>
          <cell r="F2529" t="str">
            <v>0/领料</v>
          </cell>
          <cell r="G2529" t="str">
            <v>5/数铣</v>
          </cell>
          <cell r="H2529" t="str">
            <v>10/数铣10</v>
          </cell>
          <cell r="I2529" t="str">
            <v>15/数铣20</v>
          </cell>
          <cell r="J2529" t="str">
            <v>20/数铣40</v>
          </cell>
          <cell r="K2529" t="str">
            <v>25/数铣30</v>
          </cell>
          <cell r="L2529" t="str">
            <v>30/测量</v>
          </cell>
          <cell r="M2529" t="str">
            <v>35/钳工</v>
          </cell>
          <cell r="N2529" t="str">
            <v>40/铣试块</v>
          </cell>
          <cell r="O2529" t="str">
            <v>45/清洁</v>
          </cell>
          <cell r="P2529" t="str">
            <v>50/成检</v>
          </cell>
        </row>
        <row r="2530">
          <cell r="B2530" t="str">
            <v>LTCS-551100000-52L02</v>
          </cell>
          <cell r="D2530" t="str">
            <v>A</v>
          </cell>
          <cell r="E2530" t="str">
            <v>准备工时</v>
          </cell>
          <cell r="G2530">
            <v>60</v>
          </cell>
          <cell r="H2530">
            <v>90</v>
          </cell>
          <cell r="I2530">
            <v>60</v>
          </cell>
          <cell r="J2530">
            <v>90</v>
          </cell>
          <cell r="K2530">
            <v>60</v>
          </cell>
        </row>
        <row r="2531">
          <cell r="B2531" t="str">
            <v>LTCS-551100000-52L02</v>
          </cell>
          <cell r="D2531" t="str">
            <v>A</v>
          </cell>
          <cell r="E2531" t="str">
            <v>装夹时间</v>
          </cell>
        </row>
        <row r="2532">
          <cell r="B2532" t="str">
            <v>LTCS-551100000-52L02</v>
          </cell>
          <cell r="D2532" t="str">
            <v>A</v>
          </cell>
          <cell r="E2532" t="str">
            <v>程序时间</v>
          </cell>
          <cell r="G2532">
            <v>20</v>
          </cell>
          <cell r="H2532">
            <v>25</v>
          </cell>
          <cell r="I2532">
            <v>50</v>
          </cell>
          <cell r="J2532">
            <v>100</v>
          </cell>
          <cell r="K2532">
            <v>75</v>
          </cell>
          <cell r="M2532">
            <v>60</v>
          </cell>
          <cell r="N2532">
            <v>20</v>
          </cell>
          <cell r="P2532" t="str">
            <v/>
          </cell>
        </row>
        <row r="2533">
          <cell r="B2533" t="str">
            <v>LTCS-551100000-52R02</v>
          </cell>
          <cell r="D2533" t="str">
            <v>A</v>
          </cell>
          <cell r="E2533" t="str">
            <v>工序内容</v>
          </cell>
          <cell r="F2533" t="str">
            <v>0/领料</v>
          </cell>
          <cell r="G2533" t="str">
            <v>5/数铣</v>
          </cell>
          <cell r="H2533" t="str">
            <v>10/数铣10</v>
          </cell>
          <cell r="I2533" t="str">
            <v>15/数铣20</v>
          </cell>
          <cell r="J2533" t="str">
            <v>20/数铣40</v>
          </cell>
          <cell r="K2533" t="str">
            <v>25/数铣30</v>
          </cell>
          <cell r="L2533" t="str">
            <v>30/测量</v>
          </cell>
          <cell r="M2533" t="str">
            <v>35/钳工</v>
          </cell>
          <cell r="N2533" t="str">
            <v>40/铣试块</v>
          </cell>
          <cell r="O2533" t="str">
            <v>45/清洁</v>
          </cell>
          <cell r="P2533" t="str">
            <v>50/成检</v>
          </cell>
        </row>
        <row r="2534">
          <cell r="B2534" t="str">
            <v>LTCS-551100000-52R02</v>
          </cell>
          <cell r="D2534" t="str">
            <v>A</v>
          </cell>
          <cell r="E2534" t="str">
            <v>准备工时</v>
          </cell>
          <cell r="G2534">
            <v>60</v>
          </cell>
          <cell r="H2534">
            <v>90</v>
          </cell>
          <cell r="I2534">
            <v>60</v>
          </cell>
          <cell r="J2534">
            <v>90</v>
          </cell>
          <cell r="K2534">
            <v>60</v>
          </cell>
        </row>
        <row r="2535">
          <cell r="B2535" t="str">
            <v>LTCS-551100000-52R02</v>
          </cell>
          <cell r="D2535" t="str">
            <v>A</v>
          </cell>
          <cell r="E2535" t="str">
            <v>装夹时间</v>
          </cell>
        </row>
        <row r="2536">
          <cell r="B2536" t="str">
            <v>LTCS-551100000-52R02</v>
          </cell>
          <cell r="D2536" t="str">
            <v>A</v>
          </cell>
          <cell r="E2536" t="str">
            <v>程序时间</v>
          </cell>
          <cell r="G2536">
            <v>20</v>
          </cell>
          <cell r="H2536">
            <v>25</v>
          </cell>
          <cell r="I2536">
            <v>50</v>
          </cell>
          <cell r="J2536">
            <v>100</v>
          </cell>
          <cell r="K2536">
            <v>75</v>
          </cell>
          <cell r="M2536">
            <v>60</v>
          </cell>
          <cell r="N2536">
            <v>20</v>
          </cell>
          <cell r="P2536" t="str">
            <v/>
          </cell>
        </row>
        <row r="2537">
          <cell r="B2537" t="str">
            <v>DD-J10-21102-250-2-Z</v>
          </cell>
          <cell r="D2537" t="str">
            <v>G</v>
          </cell>
          <cell r="E2537" t="str">
            <v>工序内容</v>
          </cell>
          <cell r="F2537" t="str">
            <v>3/钳工</v>
          </cell>
          <cell r="G2537" t="str">
            <v>5/飞面</v>
          </cell>
          <cell r="H2537" t="str">
            <v>10/孔40</v>
          </cell>
          <cell r="I2537" t="str">
            <v>15/数铣100</v>
          </cell>
          <cell r="J2537" t="str">
            <v>20/数铣160</v>
          </cell>
          <cell r="K2537" t="str">
            <v>25/时效</v>
          </cell>
          <cell r="L2537" t="str">
            <v>30/数铣</v>
          </cell>
          <cell r="M2537" t="str">
            <v>35/数铣230</v>
          </cell>
          <cell r="N2537" t="str">
            <v>40/数铣410</v>
          </cell>
          <cell r="O2537" t="str">
            <v>45/钳工</v>
          </cell>
          <cell r="P2537" t="str">
            <v>50/密封槽15</v>
          </cell>
          <cell r="Q2537" t="str">
            <v>55/密封槽15</v>
          </cell>
          <cell r="R2537" t="str">
            <v>60/测量</v>
          </cell>
          <cell r="S2537" t="str">
            <v>65/钳工</v>
          </cell>
          <cell r="T2537" t="str">
            <v>70/数铣</v>
          </cell>
          <cell r="U2537" t="str">
            <v>75/检验</v>
          </cell>
          <cell r="V2537" t="str">
            <v>78/硬检</v>
          </cell>
          <cell r="W2537" t="str">
            <v>80/分光</v>
          </cell>
          <cell r="X2537" t="str">
            <v>85/钳工</v>
          </cell>
          <cell r="Y2537" t="str">
            <v>90/清洁</v>
          </cell>
          <cell r="Z2537" t="str">
            <v>95/成检</v>
          </cell>
        </row>
        <row r="2538">
          <cell r="B2538" t="str">
            <v>DD-J10-21102-250-2-Z</v>
          </cell>
          <cell r="D2538" t="str">
            <v>G</v>
          </cell>
          <cell r="E2538" t="str">
            <v>准备工时</v>
          </cell>
          <cell r="F2538">
            <v>60</v>
          </cell>
          <cell r="G2538">
            <v>60</v>
          </cell>
          <cell r="H2538">
            <v>60</v>
          </cell>
          <cell r="I2538">
            <v>90</v>
          </cell>
          <cell r="J2538">
            <v>90</v>
          </cell>
          <cell r="L2538">
            <v>60</v>
          </cell>
          <cell r="M2538">
            <v>120</v>
          </cell>
          <cell r="N2538">
            <v>120</v>
          </cell>
          <cell r="P2538">
            <v>60</v>
          </cell>
          <cell r="Q2538">
            <v>60</v>
          </cell>
        </row>
        <row r="2539">
          <cell r="B2539" t="str">
            <v>DD-J10-21102-250-2-Z</v>
          </cell>
          <cell r="D2539" t="str">
            <v>G</v>
          </cell>
          <cell r="E2539" t="str">
            <v>装夹时间</v>
          </cell>
          <cell r="F2539">
            <v>30</v>
          </cell>
          <cell r="G2539">
            <v>60</v>
          </cell>
          <cell r="H2539">
            <v>60</v>
          </cell>
          <cell r="I2539">
            <v>60</v>
          </cell>
          <cell r="J2539">
            <v>60</v>
          </cell>
          <cell r="L2539">
            <v>60</v>
          </cell>
          <cell r="M2539">
            <v>60</v>
          </cell>
          <cell r="N2539">
            <v>60</v>
          </cell>
          <cell r="P2539">
            <v>60</v>
          </cell>
          <cell r="Q2539">
            <v>60</v>
          </cell>
          <cell r="X2539">
            <v>360</v>
          </cell>
        </row>
        <row r="2540">
          <cell r="B2540" t="str">
            <v>DD-J10-21102-250-2-Z</v>
          </cell>
          <cell r="D2540" t="str">
            <v>G</v>
          </cell>
          <cell r="E2540" t="str">
            <v>程序时间</v>
          </cell>
          <cell r="G2540">
            <v>60</v>
          </cell>
          <cell r="H2540">
            <v>60</v>
          </cell>
          <cell r="I2540">
            <v>120</v>
          </cell>
          <cell r="J2540">
            <v>210</v>
          </cell>
          <cell r="L2540">
            <v>120</v>
          </cell>
          <cell r="M2540">
            <v>270</v>
          </cell>
          <cell r="N2540">
            <v>540</v>
          </cell>
          <cell r="O2540">
            <v>120</v>
          </cell>
          <cell r="P2540">
            <v>30</v>
          </cell>
          <cell r="Q2540">
            <v>30</v>
          </cell>
          <cell r="S2540">
            <v>360</v>
          </cell>
          <cell r="T2540">
            <v>20</v>
          </cell>
        </row>
        <row r="2541">
          <cell r="B2541" t="str">
            <v>DD-J10-21102-250-2-Y</v>
          </cell>
          <cell r="D2541" t="str">
            <v>G</v>
          </cell>
          <cell r="E2541" t="str">
            <v>工序内容</v>
          </cell>
          <cell r="F2541" t="str">
            <v>3/钳工</v>
          </cell>
          <cell r="G2541" t="str">
            <v>5/飞面</v>
          </cell>
          <cell r="H2541" t="str">
            <v>10/孔40</v>
          </cell>
          <cell r="I2541" t="str">
            <v>15/数铣100</v>
          </cell>
          <cell r="J2541" t="str">
            <v>20/数铣160</v>
          </cell>
          <cell r="K2541" t="str">
            <v>25/时效</v>
          </cell>
          <cell r="L2541" t="str">
            <v>30/数铣</v>
          </cell>
          <cell r="M2541" t="str">
            <v>35/数铣230</v>
          </cell>
          <cell r="N2541" t="str">
            <v>40/数铣410</v>
          </cell>
          <cell r="O2541" t="str">
            <v>45/钳工</v>
          </cell>
          <cell r="P2541" t="str">
            <v>50/密封槽15</v>
          </cell>
          <cell r="Q2541" t="str">
            <v>55/密封槽15</v>
          </cell>
          <cell r="R2541" t="str">
            <v>60/测量</v>
          </cell>
          <cell r="S2541" t="str">
            <v>65/钳工</v>
          </cell>
          <cell r="T2541" t="str">
            <v>70/数铣</v>
          </cell>
          <cell r="U2541" t="str">
            <v>75/检验</v>
          </cell>
          <cell r="V2541" t="str">
            <v>78/硬检</v>
          </cell>
          <cell r="W2541" t="str">
            <v>80/分光</v>
          </cell>
          <cell r="X2541" t="str">
            <v>85/钳工</v>
          </cell>
          <cell r="Y2541" t="str">
            <v>90/清洁</v>
          </cell>
          <cell r="Z2541" t="str">
            <v>95/成检</v>
          </cell>
        </row>
        <row r="2542">
          <cell r="B2542" t="str">
            <v>DD-J10-21102-250-2-Y</v>
          </cell>
          <cell r="D2542" t="str">
            <v>G</v>
          </cell>
          <cell r="E2542" t="str">
            <v>准备工时</v>
          </cell>
          <cell r="F2542">
            <v>60</v>
          </cell>
          <cell r="G2542">
            <v>60</v>
          </cell>
          <cell r="H2542">
            <v>60</v>
          </cell>
          <cell r="I2542">
            <v>90</v>
          </cell>
          <cell r="J2542">
            <v>90</v>
          </cell>
          <cell r="L2542">
            <v>60</v>
          </cell>
          <cell r="M2542">
            <v>120</v>
          </cell>
          <cell r="N2542">
            <v>120</v>
          </cell>
          <cell r="P2542">
            <v>60</v>
          </cell>
          <cell r="Q2542">
            <v>60</v>
          </cell>
        </row>
        <row r="2543">
          <cell r="B2543" t="str">
            <v>DD-J10-21102-250-2-Y</v>
          </cell>
          <cell r="D2543" t="str">
            <v>G</v>
          </cell>
          <cell r="E2543" t="str">
            <v>装夹时间</v>
          </cell>
          <cell r="F2543">
            <v>30</v>
          </cell>
          <cell r="G2543">
            <v>60</v>
          </cell>
          <cell r="H2543">
            <v>60</v>
          </cell>
          <cell r="I2543">
            <v>60</v>
          </cell>
          <cell r="J2543">
            <v>60</v>
          </cell>
          <cell r="L2543">
            <v>60</v>
          </cell>
          <cell r="M2543">
            <v>60</v>
          </cell>
          <cell r="N2543">
            <v>60</v>
          </cell>
          <cell r="P2543">
            <v>60</v>
          </cell>
          <cell r="Q2543">
            <v>60</v>
          </cell>
          <cell r="X2543">
            <v>360</v>
          </cell>
        </row>
        <row r="2544">
          <cell r="B2544" t="str">
            <v>DD-J10-21102-250-2-Y</v>
          </cell>
          <cell r="D2544" t="str">
            <v>G</v>
          </cell>
          <cell r="E2544" t="str">
            <v>程序时间</v>
          </cell>
          <cell r="G2544">
            <v>60</v>
          </cell>
          <cell r="H2544">
            <v>60</v>
          </cell>
          <cell r="I2544">
            <v>120</v>
          </cell>
          <cell r="J2544">
            <v>210</v>
          </cell>
          <cell r="L2544">
            <v>120</v>
          </cell>
          <cell r="M2544">
            <v>270</v>
          </cell>
          <cell r="N2544">
            <v>540</v>
          </cell>
          <cell r="O2544">
            <v>120</v>
          </cell>
          <cell r="P2544">
            <v>30</v>
          </cell>
          <cell r="Q2544">
            <v>30</v>
          </cell>
          <cell r="S2544">
            <v>360</v>
          </cell>
          <cell r="T2544">
            <v>20</v>
          </cell>
        </row>
        <row r="2545">
          <cell r="B2545" t="str">
            <v>Y20-5312224004-001/002</v>
          </cell>
          <cell r="D2545" t="str">
            <v>A</v>
          </cell>
          <cell r="E2545" t="str">
            <v>工序内容</v>
          </cell>
          <cell r="F2545" t="str">
            <v>0/领料</v>
          </cell>
          <cell r="G2545" t="str">
            <v>5/钳工</v>
          </cell>
          <cell r="H2545" t="str">
            <v>10/数铣</v>
          </cell>
          <cell r="I2545" t="str">
            <v>15/数铣70</v>
          </cell>
          <cell r="J2545" t="str">
            <v>20/数铣</v>
          </cell>
          <cell r="K2545" t="str">
            <v>25/数铣35</v>
          </cell>
          <cell r="L2545" t="str">
            <v>30/数铣65</v>
          </cell>
          <cell r="M2545" t="str">
            <v>35/数铣100</v>
          </cell>
          <cell r="N2545" t="str">
            <v>40/时效</v>
          </cell>
          <cell r="O2545" t="str">
            <v>45/数铣</v>
          </cell>
          <cell r="P2545" t="str">
            <v>50/数铣160</v>
          </cell>
          <cell r="Q2545" t="str">
            <v>55数铣/220</v>
          </cell>
          <cell r="R2545" t="str">
            <v>60/测量</v>
          </cell>
          <cell r="S2545" t="str">
            <v>65/钳工</v>
          </cell>
          <cell r="T2545" t="str">
            <v>70/数铣</v>
          </cell>
          <cell r="U2545" t="str">
            <v>75/清洁</v>
          </cell>
          <cell r="V2545" t="str">
            <v>80/成检</v>
          </cell>
        </row>
        <row r="2546">
          <cell r="B2546" t="str">
            <v>Y20-5312224004-001/002</v>
          </cell>
          <cell r="D2546" t="str">
            <v>A</v>
          </cell>
          <cell r="E2546" t="str">
            <v>准备工时</v>
          </cell>
          <cell r="H2546">
            <v>60</v>
          </cell>
          <cell r="I2546">
            <v>60</v>
          </cell>
          <cell r="J2546">
            <v>60</v>
          </cell>
          <cell r="K2546">
            <v>60</v>
          </cell>
          <cell r="L2546">
            <v>60</v>
          </cell>
          <cell r="M2546">
            <v>60</v>
          </cell>
          <cell r="O2546">
            <v>60</v>
          </cell>
          <cell r="P2546">
            <v>60</v>
          </cell>
          <cell r="Q2546">
            <v>60</v>
          </cell>
        </row>
        <row r="2547">
          <cell r="B2547" t="str">
            <v>Y20-5312224004-001/002</v>
          </cell>
          <cell r="D2547" t="str">
            <v>A</v>
          </cell>
          <cell r="E2547" t="str">
            <v>装夹时间</v>
          </cell>
          <cell r="H2547">
            <v>60</v>
          </cell>
          <cell r="I2547">
            <v>60</v>
          </cell>
          <cell r="J2547">
            <v>60</v>
          </cell>
          <cell r="K2547">
            <v>60</v>
          </cell>
          <cell r="L2547">
            <v>60</v>
          </cell>
          <cell r="M2547">
            <v>60</v>
          </cell>
          <cell r="O2547">
            <v>60</v>
          </cell>
          <cell r="P2547">
            <v>60</v>
          </cell>
          <cell r="Q2547">
            <v>60</v>
          </cell>
        </row>
        <row r="2548">
          <cell r="B2548" t="str">
            <v>Y20-5312224004-001/002</v>
          </cell>
          <cell r="D2548" t="str">
            <v>A</v>
          </cell>
          <cell r="E2548" t="str">
            <v>程序时间</v>
          </cell>
          <cell r="G2548">
            <v>80</v>
          </cell>
          <cell r="H2548">
            <v>60</v>
          </cell>
          <cell r="I2548">
            <v>100</v>
          </cell>
          <cell r="J2548">
            <v>60</v>
          </cell>
          <cell r="K2548">
            <v>70</v>
          </cell>
          <cell r="L2548">
            <v>100</v>
          </cell>
          <cell r="M2548">
            <v>130</v>
          </cell>
          <cell r="O2548">
            <v>200</v>
          </cell>
          <cell r="P2548">
            <v>220</v>
          </cell>
          <cell r="Q2548">
            <v>280</v>
          </cell>
          <cell r="S2548">
            <v>390</v>
          </cell>
          <cell r="T2548">
            <v>20</v>
          </cell>
        </row>
        <row r="2549">
          <cell r="B2549" t="str">
            <v>Y20-5316100416-001/002</v>
          </cell>
          <cell r="D2549" t="str">
            <v>A</v>
          </cell>
          <cell r="E2549" t="str">
            <v>工序内容</v>
          </cell>
          <cell r="F2549" t="str">
            <v>0/领料</v>
          </cell>
          <cell r="G2549" t="str">
            <v>05/下料</v>
          </cell>
          <cell r="H2549" t="str">
            <v>10/数铣</v>
          </cell>
          <cell r="I2549" t="str">
            <v>15/数铣18</v>
          </cell>
          <cell r="J2549" t="str">
            <v>20/数铣28</v>
          </cell>
          <cell r="K2549" t="str">
            <v>25/数铣40</v>
          </cell>
          <cell r="L2549" t="str">
            <v>30/钳工</v>
          </cell>
          <cell r="M2549" t="str">
            <v>35/测量</v>
          </cell>
          <cell r="N2549" t="str">
            <v>40/清洁</v>
          </cell>
          <cell r="O2549" t="str">
            <v>45/成检</v>
          </cell>
        </row>
        <row r="2550">
          <cell r="B2550" t="str">
            <v>Y20-5316100416-001/002</v>
          </cell>
          <cell r="D2550" t="str">
            <v>A</v>
          </cell>
          <cell r="E2550" t="str">
            <v>准备工时</v>
          </cell>
          <cell r="H2550">
            <v>60</v>
          </cell>
          <cell r="I2550">
            <v>60</v>
          </cell>
          <cell r="J2550">
            <v>90</v>
          </cell>
          <cell r="K2550">
            <v>90</v>
          </cell>
        </row>
        <row r="2551">
          <cell r="B2551" t="str">
            <v>Y20-5316100416-001/002</v>
          </cell>
          <cell r="D2551" t="str">
            <v>A</v>
          </cell>
          <cell r="E2551" t="str">
            <v>装夹时间</v>
          </cell>
        </row>
        <row r="2552">
          <cell r="B2552" t="str">
            <v>Y20-5316100416-001/002</v>
          </cell>
          <cell r="D2552" t="str">
            <v>A</v>
          </cell>
          <cell r="E2552" t="str">
            <v>程序时间</v>
          </cell>
          <cell r="H2552">
            <v>30</v>
          </cell>
          <cell r="I2552">
            <v>25</v>
          </cell>
          <cell r="J2552">
            <v>30</v>
          </cell>
          <cell r="K2552">
            <v>35</v>
          </cell>
          <cell r="L2552" t="str">
            <v>35</v>
          </cell>
        </row>
        <row r="2553">
          <cell r="B2553" t="str">
            <v>CB22984B0-002-001</v>
          </cell>
          <cell r="D2553" t="str">
            <v>B</v>
          </cell>
          <cell r="E2553" t="str">
            <v>工序内容</v>
          </cell>
          <cell r="F2553" t="str">
            <v>0/领料</v>
          </cell>
          <cell r="G2553" t="str">
            <v>05/数车</v>
          </cell>
          <cell r="H2553" t="str">
            <v>10/分光</v>
          </cell>
          <cell r="I2553" t="str">
            <v>15/硬度</v>
          </cell>
          <cell r="J2553" t="str">
            <v>20/检验</v>
          </cell>
          <cell r="K2553" t="str">
            <v>25/数铣5</v>
          </cell>
          <cell r="L2553" t="str">
            <v>30/数铣15</v>
          </cell>
          <cell r="M2553" t="str">
            <v>35/数铣8</v>
          </cell>
          <cell r="N2553" t="str">
            <v>40/数铣25</v>
          </cell>
          <cell r="O2553" t="str">
            <v>45/数铣</v>
          </cell>
          <cell r="P2553" t="str">
            <v>50/数铣13</v>
          </cell>
          <cell r="Q2553" t="str">
            <v>55/钳工</v>
          </cell>
          <cell r="R2553" t="str">
            <v>60/清洁</v>
          </cell>
          <cell r="S2553" t="str">
            <v>65/成检</v>
          </cell>
        </row>
        <row r="2554">
          <cell r="B2554" t="str">
            <v>CB22984B0-002-001</v>
          </cell>
          <cell r="D2554" t="str">
            <v>B</v>
          </cell>
          <cell r="E2554" t="str">
            <v>准备工时</v>
          </cell>
          <cell r="G2554">
            <v>60</v>
          </cell>
          <cell r="K2554">
            <v>60</v>
          </cell>
          <cell r="L2554">
            <v>60</v>
          </cell>
          <cell r="M2554">
            <v>60</v>
          </cell>
          <cell r="N2554">
            <v>60</v>
          </cell>
          <cell r="O2554">
            <v>60</v>
          </cell>
          <cell r="P2554">
            <v>60</v>
          </cell>
        </row>
        <row r="2555">
          <cell r="B2555" t="str">
            <v>CB22984B0-002-001</v>
          </cell>
          <cell r="D2555" t="str">
            <v>B</v>
          </cell>
          <cell r="E2555" t="str">
            <v>装夹时间</v>
          </cell>
        </row>
        <row r="2556">
          <cell r="B2556" t="str">
            <v>CB22984B0-002-001</v>
          </cell>
          <cell r="D2556" t="str">
            <v>B</v>
          </cell>
          <cell r="E2556" t="str">
            <v>程序时间</v>
          </cell>
          <cell r="G2556">
            <v>10</v>
          </cell>
          <cell r="K2556">
            <v>15</v>
          </cell>
          <cell r="L2556">
            <v>40</v>
          </cell>
          <cell r="M2556">
            <v>15</v>
          </cell>
          <cell r="N2556">
            <v>35</v>
          </cell>
          <cell r="O2556">
            <v>15</v>
          </cell>
          <cell r="P2556">
            <v>25</v>
          </cell>
          <cell r="Q2556">
            <v>20</v>
          </cell>
        </row>
        <row r="2557">
          <cell r="B2557" t="str">
            <v>C571110300-004L001</v>
          </cell>
          <cell r="D2557" t="str">
            <v>A</v>
          </cell>
          <cell r="E2557" t="str">
            <v>工序内容</v>
          </cell>
          <cell r="F2557" t="str">
            <v>0领料</v>
          </cell>
          <cell r="G2557" t="str">
            <v>05数铣</v>
          </cell>
          <cell r="H2557" t="str">
            <v>10数铣20</v>
          </cell>
          <cell r="I2557" t="str">
            <v>15数铣130</v>
          </cell>
          <cell r="J2557" t="str">
            <v>20测量</v>
          </cell>
          <cell r="K2557" t="str">
            <v>25钳工</v>
          </cell>
          <cell r="L2557" t="str">
            <v>30清洁</v>
          </cell>
          <cell r="M2557" t="str">
            <v>35成检</v>
          </cell>
        </row>
        <row r="2558">
          <cell r="B2558" t="str">
            <v>C571110300-004L001</v>
          </cell>
          <cell r="D2558" t="str">
            <v>A</v>
          </cell>
          <cell r="E2558" t="str">
            <v>准备工时</v>
          </cell>
          <cell r="G2558">
            <v>60</v>
          </cell>
          <cell r="H2558">
            <v>60</v>
          </cell>
          <cell r="I2558">
            <v>60</v>
          </cell>
        </row>
        <row r="2559">
          <cell r="B2559" t="str">
            <v>C571110300-004L001</v>
          </cell>
          <cell r="D2559" t="str">
            <v>A</v>
          </cell>
          <cell r="E2559" t="str">
            <v>装夹时间</v>
          </cell>
        </row>
        <row r="2560">
          <cell r="B2560" t="str">
            <v>C571110300-004L001</v>
          </cell>
          <cell r="D2560" t="str">
            <v>A</v>
          </cell>
          <cell r="E2560" t="str">
            <v>程序时间</v>
          </cell>
          <cell r="G2560">
            <v>40</v>
          </cell>
          <cell r="H2560">
            <v>60</v>
          </cell>
          <cell r="I2560">
            <v>180</v>
          </cell>
          <cell r="K2560">
            <v>130</v>
          </cell>
        </row>
        <row r="2561">
          <cell r="B2561" t="str">
            <v>C532210912-001-001</v>
          </cell>
          <cell r="D2561" t="str">
            <v>A</v>
          </cell>
          <cell r="E2561" t="str">
            <v>工序内容</v>
          </cell>
          <cell r="F2561" t="str">
            <v>0领料</v>
          </cell>
          <cell r="G2561" t="str">
            <v>05铣床</v>
          </cell>
          <cell r="H2561" t="str">
            <v>10数铣40</v>
          </cell>
          <cell r="I2561" t="str">
            <v>15数铣210</v>
          </cell>
          <cell r="J2561" t="str">
            <v>20超声波</v>
          </cell>
          <cell r="K2561" t="str">
            <v>25数铣195</v>
          </cell>
          <cell r="L2561" t="str">
            <v>30数铣20</v>
          </cell>
          <cell r="M2561" t="str">
            <v>35数铣75</v>
          </cell>
          <cell r="N2561" t="str">
            <v>40数铣100</v>
          </cell>
          <cell r="O2561" t="str">
            <v>45数铣140</v>
          </cell>
          <cell r="P2561" t="str">
            <v>50数铣20</v>
          </cell>
          <cell r="Q2561" t="str">
            <v>55数铣120</v>
          </cell>
          <cell r="R2561" t="str">
            <v>60数铣50</v>
          </cell>
          <cell r="S2561" t="str">
            <v>65数铣10</v>
          </cell>
          <cell r="T2561" t="str">
            <v>70数铣100</v>
          </cell>
          <cell r="U2561" t="str">
            <v>75测量</v>
          </cell>
          <cell r="V2561" t="str">
            <v>80钳工</v>
          </cell>
          <cell r="W2561" t="str">
            <v>83钳工</v>
          </cell>
          <cell r="X2561" t="str">
            <v>85清洁</v>
          </cell>
          <cell r="Y2561" t="str">
            <v>90成检</v>
          </cell>
        </row>
        <row r="2562">
          <cell r="B2562" t="str">
            <v>C532210912-001-001</v>
          </cell>
          <cell r="D2562" t="str">
            <v>A</v>
          </cell>
          <cell r="E2562" t="str">
            <v>准备工时</v>
          </cell>
          <cell r="G2562">
            <v>90</v>
          </cell>
          <cell r="H2562">
            <v>90</v>
          </cell>
          <cell r="I2562">
            <v>120</v>
          </cell>
          <cell r="K2562">
            <v>90</v>
          </cell>
          <cell r="L2562">
            <v>120</v>
          </cell>
          <cell r="M2562">
            <v>90</v>
          </cell>
          <cell r="N2562">
            <v>120</v>
          </cell>
          <cell r="O2562">
            <v>90</v>
          </cell>
          <cell r="P2562">
            <v>90</v>
          </cell>
          <cell r="Q2562">
            <v>90</v>
          </cell>
          <cell r="R2562">
            <v>90</v>
          </cell>
          <cell r="S2562">
            <v>120</v>
          </cell>
          <cell r="T2562">
            <v>120</v>
          </cell>
        </row>
        <row r="2563">
          <cell r="B2563" t="str">
            <v>C532210912-001-001</v>
          </cell>
          <cell r="D2563" t="str">
            <v>A</v>
          </cell>
          <cell r="E2563" t="str">
            <v>装夹时间</v>
          </cell>
        </row>
        <row r="2564">
          <cell r="B2564" t="str">
            <v>C532210912-001-001</v>
          </cell>
          <cell r="D2564" t="str">
            <v>A</v>
          </cell>
          <cell r="E2564" t="str">
            <v>程序时间</v>
          </cell>
          <cell r="G2564">
            <v>520</v>
          </cell>
          <cell r="H2564">
            <v>240</v>
          </cell>
          <cell r="I2564">
            <v>240</v>
          </cell>
          <cell r="K2564">
            <v>510</v>
          </cell>
          <cell r="L2564">
            <v>90</v>
          </cell>
          <cell r="M2564">
            <v>240</v>
          </cell>
          <cell r="N2564">
            <v>270</v>
          </cell>
          <cell r="O2564">
            <v>300</v>
          </cell>
          <cell r="P2564">
            <v>75</v>
          </cell>
          <cell r="Q2564">
            <v>270</v>
          </cell>
          <cell r="R2564">
            <v>150</v>
          </cell>
          <cell r="S2564">
            <v>50</v>
          </cell>
          <cell r="T2564">
            <v>300</v>
          </cell>
          <cell r="V2564">
            <v>360</v>
          </cell>
          <cell r="W2564">
            <v>90</v>
          </cell>
        </row>
        <row r="2565">
          <cell r="B2565" t="str">
            <v>C571110500-002L001</v>
          </cell>
          <cell r="D2565" t="str">
            <v>A</v>
          </cell>
          <cell r="E2565" t="str">
            <v>工序内容</v>
          </cell>
          <cell r="F2565" t="str">
            <v>0/领料</v>
          </cell>
          <cell r="G2565" t="str">
            <v>05数铣</v>
          </cell>
          <cell r="H2565" t="str">
            <v>10数铣</v>
          </cell>
          <cell r="I2565" t="str">
            <v>15钳工</v>
          </cell>
          <cell r="J2565" t="str">
            <v>20超声波</v>
          </cell>
          <cell r="K2565" t="str">
            <v>25数铣</v>
          </cell>
          <cell r="L2565" t="str">
            <v>30数铣</v>
          </cell>
          <cell r="M2565" t="str">
            <v>35时效</v>
          </cell>
          <cell r="N2565" t="str">
            <v>40数铣</v>
          </cell>
          <cell r="O2565" t="str">
            <v>45数铣</v>
          </cell>
          <cell r="P2565" t="str">
            <v>50钳工</v>
          </cell>
          <cell r="Q2565" t="str">
            <v>55测量</v>
          </cell>
          <cell r="R2565" t="str">
            <v>60清洁</v>
          </cell>
          <cell r="S2565" t="str">
            <v>65成检</v>
          </cell>
        </row>
        <row r="2566">
          <cell r="B2566" t="str">
            <v>C571110500-002L001</v>
          </cell>
          <cell r="D2566" t="str">
            <v>A</v>
          </cell>
          <cell r="E2566" t="str">
            <v>准备工时</v>
          </cell>
          <cell r="G2566">
            <v>210</v>
          </cell>
          <cell r="H2566">
            <v>180</v>
          </cell>
          <cell r="K2566">
            <v>180</v>
          </cell>
          <cell r="N2566">
            <v>180</v>
          </cell>
          <cell r="O2566">
            <v>180</v>
          </cell>
        </row>
        <row r="2567">
          <cell r="B2567" t="str">
            <v>C571110500-002L001</v>
          </cell>
          <cell r="D2567" t="str">
            <v>A</v>
          </cell>
          <cell r="E2567" t="str">
            <v>装夹时间</v>
          </cell>
          <cell r="G2567">
            <v>210</v>
          </cell>
          <cell r="H2567">
            <v>180</v>
          </cell>
          <cell r="K2567">
            <v>180</v>
          </cell>
          <cell r="N2567">
            <v>180</v>
          </cell>
          <cell r="O2567">
            <v>180</v>
          </cell>
        </row>
        <row r="2568">
          <cell r="B2568" t="str">
            <v>C571110500-002L001</v>
          </cell>
          <cell r="D2568" t="str">
            <v>A</v>
          </cell>
          <cell r="E2568" t="str">
            <v>程序时间</v>
          </cell>
          <cell r="F2568">
            <v>1000</v>
          </cell>
          <cell r="G2568">
            <v>2400</v>
          </cell>
          <cell r="H2568">
            <v>1500</v>
          </cell>
          <cell r="I2568">
            <v>300</v>
          </cell>
          <cell r="K2568">
            <v>7800</v>
          </cell>
          <cell r="N2568">
            <v>510</v>
          </cell>
          <cell r="O2568">
            <v>6000</v>
          </cell>
          <cell r="P2568">
            <v>360</v>
          </cell>
        </row>
        <row r="2569">
          <cell r="B2569" t="str">
            <v>C571110500-002R001</v>
          </cell>
          <cell r="D2569" t="str">
            <v>A</v>
          </cell>
          <cell r="E2569" t="str">
            <v>工序内容</v>
          </cell>
          <cell r="F2569" t="str">
            <v>0/领料</v>
          </cell>
          <cell r="G2569" t="str">
            <v>05数铣</v>
          </cell>
          <cell r="H2569" t="str">
            <v>10数铣</v>
          </cell>
          <cell r="I2569" t="str">
            <v>15钳工</v>
          </cell>
          <cell r="J2569" t="str">
            <v>20超声波</v>
          </cell>
          <cell r="K2569" t="str">
            <v>25数铣</v>
          </cell>
          <cell r="L2569" t="str">
            <v>30数铣</v>
          </cell>
          <cell r="M2569" t="str">
            <v>35时效</v>
          </cell>
          <cell r="N2569" t="str">
            <v>40数铣</v>
          </cell>
          <cell r="O2569" t="str">
            <v>45数铣</v>
          </cell>
          <cell r="P2569" t="str">
            <v>50钳工</v>
          </cell>
          <cell r="Q2569" t="str">
            <v>55测量</v>
          </cell>
          <cell r="R2569" t="str">
            <v>60清洁</v>
          </cell>
          <cell r="S2569" t="str">
            <v>65成检</v>
          </cell>
        </row>
        <row r="2570">
          <cell r="B2570" t="str">
            <v>C571110500-002R001</v>
          </cell>
          <cell r="D2570" t="str">
            <v>A</v>
          </cell>
          <cell r="E2570" t="str">
            <v>准备工时</v>
          </cell>
          <cell r="G2570">
            <v>210</v>
          </cell>
          <cell r="H2570">
            <v>180</v>
          </cell>
          <cell r="K2570">
            <v>180</v>
          </cell>
          <cell r="N2570">
            <v>180</v>
          </cell>
          <cell r="O2570">
            <v>180</v>
          </cell>
        </row>
        <row r="2571">
          <cell r="B2571" t="str">
            <v>C571110500-002R001</v>
          </cell>
          <cell r="D2571" t="str">
            <v>A</v>
          </cell>
          <cell r="E2571" t="str">
            <v>装夹时间</v>
          </cell>
          <cell r="G2571">
            <v>210</v>
          </cell>
          <cell r="H2571">
            <v>180</v>
          </cell>
          <cell r="K2571">
            <v>180</v>
          </cell>
          <cell r="N2571">
            <v>180</v>
          </cell>
          <cell r="O2571">
            <v>180</v>
          </cell>
        </row>
        <row r="2572">
          <cell r="B2572" t="str">
            <v>C571110500-002R001</v>
          </cell>
          <cell r="D2572" t="str">
            <v>A</v>
          </cell>
          <cell r="E2572" t="str">
            <v>程序时间</v>
          </cell>
          <cell r="F2572">
            <v>1000</v>
          </cell>
          <cell r="G2572">
            <v>2400</v>
          </cell>
          <cell r="H2572">
            <v>1500</v>
          </cell>
          <cell r="I2572">
            <v>300</v>
          </cell>
          <cell r="K2572">
            <v>7800</v>
          </cell>
          <cell r="N2572">
            <v>510</v>
          </cell>
          <cell r="O2572">
            <v>6000</v>
          </cell>
          <cell r="P2572">
            <v>360</v>
          </cell>
        </row>
        <row r="2573">
          <cell r="B2573" t="str">
            <v>C571110500-002L001</v>
          </cell>
          <cell r="D2573" t="str">
            <v>B</v>
          </cell>
          <cell r="E2573" t="str">
            <v>工序内容</v>
          </cell>
          <cell r="F2573" t="str">
            <v>0/领料</v>
          </cell>
          <cell r="G2573" t="str">
            <v>05数铣</v>
          </cell>
          <cell r="H2573" t="str">
            <v>10数铣</v>
          </cell>
          <cell r="I2573" t="str">
            <v>15钳工</v>
          </cell>
          <cell r="J2573" t="str">
            <v>20超声波</v>
          </cell>
          <cell r="K2573" t="str">
            <v>25数铣</v>
          </cell>
          <cell r="L2573" t="str">
            <v>30数铣</v>
          </cell>
          <cell r="M2573" t="str">
            <v>35时效</v>
          </cell>
          <cell r="N2573" t="str">
            <v>40数铣</v>
          </cell>
          <cell r="O2573" t="str">
            <v>45数铣</v>
          </cell>
          <cell r="P2573" t="str">
            <v>50钳工</v>
          </cell>
          <cell r="Q2573" t="str">
            <v>55测量</v>
          </cell>
          <cell r="R2573" t="str">
            <v>60清洁</v>
          </cell>
          <cell r="S2573" t="str">
            <v>65成检</v>
          </cell>
        </row>
        <row r="2574">
          <cell r="B2574" t="str">
            <v>C571110500-002L001</v>
          </cell>
          <cell r="D2574" t="str">
            <v>B</v>
          </cell>
          <cell r="E2574" t="str">
            <v>准备工时</v>
          </cell>
          <cell r="G2574">
            <v>210</v>
          </cell>
          <cell r="H2574">
            <v>180</v>
          </cell>
          <cell r="K2574">
            <v>180</v>
          </cell>
          <cell r="L2574">
            <v>180</v>
          </cell>
          <cell r="N2574">
            <v>180</v>
          </cell>
          <cell r="O2574">
            <v>180</v>
          </cell>
        </row>
        <row r="2575">
          <cell r="B2575" t="str">
            <v>C571110500-002L001</v>
          </cell>
          <cell r="D2575" t="str">
            <v>B</v>
          </cell>
          <cell r="E2575" t="str">
            <v>装夹时间</v>
          </cell>
          <cell r="G2575">
            <v>210</v>
          </cell>
          <cell r="H2575">
            <v>180</v>
          </cell>
          <cell r="K2575">
            <v>180</v>
          </cell>
          <cell r="L2575">
            <v>180</v>
          </cell>
          <cell r="N2575">
            <v>180</v>
          </cell>
          <cell r="O2575">
            <v>180</v>
          </cell>
        </row>
        <row r="2576">
          <cell r="B2576" t="str">
            <v>C571110500-002L001</v>
          </cell>
          <cell r="D2576" t="str">
            <v>B</v>
          </cell>
          <cell r="E2576" t="str">
            <v>程序时间</v>
          </cell>
          <cell r="F2576">
            <v>1000</v>
          </cell>
          <cell r="G2576">
            <v>2400</v>
          </cell>
          <cell r="H2576">
            <v>1500</v>
          </cell>
          <cell r="I2576">
            <v>300</v>
          </cell>
          <cell r="K2576">
            <v>7800</v>
          </cell>
          <cell r="L2576">
            <v>4800</v>
          </cell>
          <cell r="N2576">
            <v>510</v>
          </cell>
          <cell r="O2576">
            <v>6000</v>
          </cell>
          <cell r="P2576">
            <v>360</v>
          </cell>
        </row>
        <row r="2577">
          <cell r="B2577" t="str">
            <v>C571110500-002R001</v>
          </cell>
          <cell r="D2577" t="str">
            <v>B</v>
          </cell>
          <cell r="E2577" t="str">
            <v>工序内容</v>
          </cell>
          <cell r="F2577" t="str">
            <v>0/领料</v>
          </cell>
          <cell r="G2577" t="str">
            <v>05数铣</v>
          </cell>
          <cell r="H2577" t="str">
            <v>10数铣</v>
          </cell>
          <cell r="I2577" t="str">
            <v>15钳工</v>
          </cell>
          <cell r="J2577" t="str">
            <v>20超声波</v>
          </cell>
          <cell r="K2577" t="str">
            <v>25数铣</v>
          </cell>
          <cell r="L2577" t="str">
            <v>30数铣</v>
          </cell>
          <cell r="M2577" t="str">
            <v>35时效</v>
          </cell>
          <cell r="N2577" t="str">
            <v>40数铣</v>
          </cell>
          <cell r="O2577" t="str">
            <v>45数铣</v>
          </cell>
          <cell r="P2577" t="str">
            <v>50钳工</v>
          </cell>
          <cell r="Q2577" t="str">
            <v>55测量</v>
          </cell>
          <cell r="R2577" t="str">
            <v>60清洁</v>
          </cell>
          <cell r="S2577" t="str">
            <v>65成检</v>
          </cell>
        </row>
        <row r="2578">
          <cell r="B2578" t="str">
            <v>C571110500-002R001</v>
          </cell>
          <cell r="D2578" t="str">
            <v>B</v>
          </cell>
          <cell r="E2578" t="str">
            <v>准备工时</v>
          </cell>
          <cell r="G2578">
            <v>210</v>
          </cell>
          <cell r="H2578">
            <v>180</v>
          </cell>
          <cell r="K2578">
            <v>180</v>
          </cell>
          <cell r="L2578">
            <v>180</v>
          </cell>
          <cell r="N2578">
            <v>180</v>
          </cell>
          <cell r="O2578">
            <v>180</v>
          </cell>
        </row>
        <row r="2579">
          <cell r="B2579" t="str">
            <v>C571110500-002R001</v>
          </cell>
          <cell r="D2579" t="str">
            <v>B</v>
          </cell>
          <cell r="E2579" t="str">
            <v>装夹时间</v>
          </cell>
          <cell r="G2579">
            <v>210</v>
          </cell>
          <cell r="H2579">
            <v>180</v>
          </cell>
          <cell r="K2579">
            <v>180</v>
          </cell>
          <cell r="L2579">
            <v>180</v>
          </cell>
          <cell r="N2579">
            <v>180</v>
          </cell>
          <cell r="O2579">
            <v>180</v>
          </cell>
        </row>
        <row r="2580">
          <cell r="B2580" t="str">
            <v>C571110500-002R001</v>
          </cell>
          <cell r="D2580" t="str">
            <v>B</v>
          </cell>
          <cell r="E2580" t="str">
            <v>程序时间</v>
          </cell>
          <cell r="F2580">
            <v>1000</v>
          </cell>
          <cell r="G2580">
            <v>2400</v>
          </cell>
          <cell r="H2580">
            <v>1500</v>
          </cell>
          <cell r="I2580">
            <v>300</v>
          </cell>
          <cell r="K2580">
            <v>7800</v>
          </cell>
          <cell r="L2580">
            <v>4800</v>
          </cell>
          <cell r="N2580">
            <v>510</v>
          </cell>
          <cell r="O2580">
            <v>6000</v>
          </cell>
          <cell r="P2580">
            <v>360</v>
          </cell>
        </row>
        <row r="2581">
          <cell r="B2581" t="str">
            <v>Y20-5312140011-001</v>
          </cell>
          <cell r="D2581" t="str">
            <v>B</v>
          </cell>
          <cell r="E2581" t="str">
            <v>工序内容</v>
          </cell>
          <cell r="F2581" t="str">
            <v>0/领料</v>
          </cell>
          <cell r="G2581" t="str">
            <v>05/数车10</v>
          </cell>
          <cell r="H2581" t="str">
            <v>10/车铣30</v>
          </cell>
          <cell r="I2581" t="str">
            <v>15/无</v>
          </cell>
          <cell r="J2581" t="str">
            <v>20/数铣5</v>
          </cell>
          <cell r="K2581" t="str">
            <v>25/钳工</v>
          </cell>
          <cell r="L2581" t="str">
            <v>30/分光</v>
          </cell>
          <cell r="M2581" t="str">
            <v>35/钳工</v>
          </cell>
          <cell r="N2581" t="str">
            <v>40/清洁</v>
          </cell>
          <cell r="O2581" t="str">
            <v>45/成检</v>
          </cell>
        </row>
        <row r="2582">
          <cell r="B2582" t="str">
            <v>Y20-5312140011-001</v>
          </cell>
          <cell r="D2582" t="str">
            <v>B</v>
          </cell>
          <cell r="E2582" t="str">
            <v>准备工时</v>
          </cell>
          <cell r="G2582">
            <v>90</v>
          </cell>
          <cell r="H2582">
            <v>120</v>
          </cell>
          <cell r="J2582">
            <v>60</v>
          </cell>
        </row>
        <row r="2583">
          <cell r="B2583" t="str">
            <v>Y20-5312140011-001</v>
          </cell>
          <cell r="D2583" t="str">
            <v>B</v>
          </cell>
          <cell r="E2583" t="str">
            <v>装夹时间</v>
          </cell>
        </row>
        <row r="2584">
          <cell r="B2584" t="str">
            <v>Y20-5312140011-001</v>
          </cell>
          <cell r="D2584" t="str">
            <v>B</v>
          </cell>
          <cell r="E2584" t="str">
            <v>程序时间</v>
          </cell>
          <cell r="G2584">
            <v>20</v>
          </cell>
          <cell r="H2584">
            <v>50</v>
          </cell>
          <cell r="J2584">
            <v>20</v>
          </cell>
          <cell r="K2584">
            <v>20</v>
          </cell>
          <cell r="M2584" t="str">
            <v>5</v>
          </cell>
        </row>
        <row r="2585">
          <cell r="B2585" t="str">
            <v>CB221097C-002-002</v>
          </cell>
          <cell r="D2585" t="str">
            <v>C</v>
          </cell>
          <cell r="E2585" t="str">
            <v>工序内容</v>
          </cell>
          <cell r="F2585" t="str">
            <v>0/领料</v>
          </cell>
          <cell r="G2585" t="str">
            <v>05/数铣</v>
          </cell>
          <cell r="H2585" t="str">
            <v>10/数铣15</v>
          </cell>
          <cell r="I2585" t="str">
            <v>15/数铣30</v>
          </cell>
          <cell r="J2585" t="str">
            <v>20/数铣10</v>
          </cell>
          <cell r="K2585" t="str">
            <v>25/数铣75</v>
          </cell>
          <cell r="L2585" t="str">
            <v>30/清洁</v>
          </cell>
          <cell r="M2585" t="str">
            <v>35/检验</v>
          </cell>
          <cell r="N2585" t="str">
            <v>40/分光</v>
          </cell>
          <cell r="O2585" t="str">
            <v>45/硬度</v>
          </cell>
          <cell r="P2585" t="str">
            <v>50/钳工</v>
          </cell>
          <cell r="Q2585" t="str">
            <v>55/清洁</v>
          </cell>
          <cell r="R2585" t="str">
            <v>60/成检</v>
          </cell>
        </row>
        <row r="2586">
          <cell r="B2586" t="str">
            <v>CB221097C-002-002</v>
          </cell>
          <cell r="D2586" t="str">
            <v>C</v>
          </cell>
          <cell r="E2586" t="str">
            <v>准备工时</v>
          </cell>
          <cell r="G2586">
            <v>60</v>
          </cell>
          <cell r="H2586">
            <v>60</v>
          </cell>
          <cell r="I2586">
            <v>60</v>
          </cell>
          <cell r="J2586">
            <v>60</v>
          </cell>
          <cell r="K2586">
            <v>60</v>
          </cell>
        </row>
        <row r="2587">
          <cell r="B2587" t="str">
            <v>CB221097C-002-002</v>
          </cell>
          <cell r="D2587" t="str">
            <v>C</v>
          </cell>
          <cell r="E2587" t="str">
            <v>装夹时间</v>
          </cell>
        </row>
        <row r="2588">
          <cell r="B2588" t="str">
            <v>CB221097C-002-002</v>
          </cell>
          <cell r="D2588" t="str">
            <v>C</v>
          </cell>
          <cell r="E2588" t="str">
            <v>程序时间</v>
          </cell>
          <cell r="G2588">
            <v>30</v>
          </cell>
          <cell r="H2588">
            <v>25</v>
          </cell>
          <cell r="I2588">
            <v>60</v>
          </cell>
          <cell r="J2588">
            <v>30</v>
          </cell>
          <cell r="K2588">
            <v>120</v>
          </cell>
          <cell r="P2588">
            <v>10</v>
          </cell>
        </row>
        <row r="2589">
          <cell r="B2589" t="str">
            <v>DD-J10S-96011-1811</v>
          </cell>
          <cell r="D2589" t="str">
            <v>B</v>
          </cell>
          <cell r="E2589" t="str">
            <v>工序内容</v>
          </cell>
          <cell r="F2589" t="str">
            <v>0/领料</v>
          </cell>
          <cell r="G2589" t="str">
            <v>05/数车25</v>
          </cell>
          <cell r="H2589" t="str">
            <v>10/数车25</v>
          </cell>
          <cell r="I2589" t="str">
            <v>15/穿孔</v>
          </cell>
          <cell r="J2589" t="str">
            <v>20/钳工</v>
          </cell>
          <cell r="K2589" t="str">
            <v>25/清洁</v>
          </cell>
          <cell r="L2589" t="str">
            <v>30/成检</v>
          </cell>
        </row>
        <row r="2590">
          <cell r="B2590" t="str">
            <v>DD-J10S-96011-1811</v>
          </cell>
          <cell r="D2590" t="str">
            <v>B</v>
          </cell>
          <cell r="E2590" t="str">
            <v>准备工时</v>
          </cell>
          <cell r="G2590">
            <v>60</v>
          </cell>
          <cell r="H2590">
            <v>60</v>
          </cell>
        </row>
        <row r="2591">
          <cell r="B2591" t="str">
            <v>DD-J10S-96011-1811</v>
          </cell>
          <cell r="D2591" t="str">
            <v>B</v>
          </cell>
          <cell r="E2591" t="str">
            <v>装夹时间</v>
          </cell>
        </row>
        <row r="2592">
          <cell r="B2592" t="str">
            <v>DD-J10S-96011-1811</v>
          </cell>
          <cell r="D2592" t="str">
            <v>B</v>
          </cell>
          <cell r="E2592" t="str">
            <v>程序时间</v>
          </cell>
          <cell r="G2592">
            <v>40</v>
          </cell>
          <cell r="H2592">
            <v>40</v>
          </cell>
          <cell r="J2592">
            <v>25</v>
          </cell>
        </row>
        <row r="2593">
          <cell r="B2593" t="str">
            <v>CB22987R0-002-001</v>
          </cell>
          <cell r="D2593" t="str">
            <v>B</v>
          </cell>
          <cell r="E2593" t="str">
            <v>工序内容</v>
          </cell>
          <cell r="F2593" t="str">
            <v>0/领料</v>
          </cell>
          <cell r="G2593" t="str">
            <v>05/数车5</v>
          </cell>
          <cell r="H2593" t="str">
            <v>10/分光</v>
          </cell>
          <cell r="I2593" t="str">
            <v>15/硬度</v>
          </cell>
          <cell r="J2593" t="str">
            <v>20/检验</v>
          </cell>
          <cell r="K2593" t="str">
            <v>25/数铣5</v>
          </cell>
          <cell r="L2593" t="str">
            <v>30/数铣12</v>
          </cell>
          <cell r="M2593" t="str">
            <v>35/数铣8</v>
          </cell>
          <cell r="N2593" t="str">
            <v>40/数铣5</v>
          </cell>
          <cell r="O2593" t="str">
            <v>45/数铣</v>
          </cell>
          <cell r="P2593" t="str">
            <v>50/钳工</v>
          </cell>
          <cell r="Q2593" t="str">
            <v>55/清洁</v>
          </cell>
          <cell r="R2593" t="str">
            <v>60/成检</v>
          </cell>
        </row>
        <row r="2594">
          <cell r="B2594" t="str">
            <v>CB22987R0-002-001</v>
          </cell>
          <cell r="D2594" t="str">
            <v>B</v>
          </cell>
          <cell r="E2594" t="str">
            <v>准备工时</v>
          </cell>
          <cell r="G2594">
            <v>60</v>
          </cell>
          <cell r="K2594">
            <v>60</v>
          </cell>
          <cell r="L2594">
            <v>60</v>
          </cell>
          <cell r="M2594">
            <v>60</v>
          </cell>
          <cell r="N2594">
            <v>60</v>
          </cell>
          <cell r="O2594">
            <v>60</v>
          </cell>
        </row>
        <row r="2595">
          <cell r="B2595" t="str">
            <v>CB22987R0-002-001</v>
          </cell>
          <cell r="D2595" t="str">
            <v>B</v>
          </cell>
          <cell r="E2595" t="str">
            <v>装夹时间</v>
          </cell>
        </row>
        <row r="2596">
          <cell r="B2596" t="str">
            <v>CB22987R0-002-001</v>
          </cell>
          <cell r="D2596" t="str">
            <v>B</v>
          </cell>
          <cell r="E2596" t="str">
            <v>程序时间</v>
          </cell>
          <cell r="G2596">
            <v>10</v>
          </cell>
          <cell r="K2596">
            <v>20</v>
          </cell>
          <cell r="L2596">
            <v>45</v>
          </cell>
          <cell r="M2596">
            <v>15</v>
          </cell>
          <cell r="N2596">
            <v>20</v>
          </cell>
          <cell r="O2596">
            <v>15</v>
          </cell>
          <cell r="P2596">
            <v>20</v>
          </cell>
        </row>
        <row r="2597">
          <cell r="B2597" t="str">
            <v>CB229C440-001-001</v>
          </cell>
          <cell r="D2597" t="str">
            <v>B</v>
          </cell>
          <cell r="E2597" t="str">
            <v>工序内容</v>
          </cell>
          <cell r="F2597" t="str">
            <v>0/领料</v>
          </cell>
          <cell r="G2597" t="str">
            <v>05/数车</v>
          </cell>
          <cell r="H2597" t="str">
            <v>10/分光</v>
          </cell>
          <cell r="I2597" t="str">
            <v>15/硬度</v>
          </cell>
          <cell r="J2597" t="str">
            <v>20/数铣4</v>
          </cell>
          <cell r="K2597" t="str">
            <v>25/数铣10</v>
          </cell>
          <cell r="L2597" t="str">
            <v>30/数铣4</v>
          </cell>
          <cell r="M2597" t="str">
            <v>35/数铣5</v>
          </cell>
          <cell r="N2597" t="str">
            <v>40/线切割</v>
          </cell>
          <cell r="O2597" t="str">
            <v>45/数铣</v>
          </cell>
          <cell r="P2597" t="str">
            <v>50/钳工</v>
          </cell>
          <cell r="Q2597" t="str">
            <v>55/清洁</v>
          </cell>
          <cell r="R2597" t="str">
            <v>60/成检</v>
          </cell>
        </row>
        <row r="2598">
          <cell r="B2598" t="str">
            <v>CB229C440-001-001</v>
          </cell>
          <cell r="D2598" t="str">
            <v>B</v>
          </cell>
          <cell r="E2598" t="str">
            <v>准备工时</v>
          </cell>
          <cell r="G2598">
            <v>60</v>
          </cell>
          <cell r="J2598">
            <v>60</v>
          </cell>
          <cell r="K2598">
            <v>60</v>
          </cell>
          <cell r="L2598">
            <v>60</v>
          </cell>
          <cell r="M2598">
            <v>60</v>
          </cell>
          <cell r="O2598">
            <v>60</v>
          </cell>
        </row>
        <row r="2599">
          <cell r="B2599" t="str">
            <v>CB229C440-001-001</v>
          </cell>
          <cell r="D2599" t="str">
            <v>B</v>
          </cell>
          <cell r="E2599" t="str">
            <v>装夹时间</v>
          </cell>
        </row>
        <row r="2600">
          <cell r="B2600" t="str">
            <v>CB229C440-001-001</v>
          </cell>
          <cell r="D2600" t="str">
            <v>B</v>
          </cell>
          <cell r="E2600" t="str">
            <v>程序时间</v>
          </cell>
          <cell r="G2600">
            <v>15</v>
          </cell>
          <cell r="J2600">
            <v>20</v>
          </cell>
          <cell r="K2600">
            <v>25</v>
          </cell>
          <cell r="L2600">
            <v>20</v>
          </cell>
          <cell r="M2600">
            <v>20</v>
          </cell>
          <cell r="O2600">
            <v>20</v>
          </cell>
          <cell r="P2600">
            <v>30</v>
          </cell>
        </row>
        <row r="2601">
          <cell r="B2601" t="str">
            <v>DD-J10-55141-20-1</v>
          </cell>
          <cell r="D2601" t="str">
            <v>A</v>
          </cell>
          <cell r="E2601" t="str">
            <v>工序内容</v>
          </cell>
          <cell r="F2601" t="str">
            <v>0/领料</v>
          </cell>
          <cell r="G2601" t="str">
            <v>5/数铣</v>
          </cell>
          <cell r="H2601" t="str">
            <v>10/分光</v>
          </cell>
          <cell r="I2601" t="str">
            <v>15/清洗</v>
          </cell>
          <cell r="J2601" t="str">
            <v>20/热处理</v>
          </cell>
          <cell r="K2601" t="str">
            <v>25/硬度</v>
          </cell>
          <cell r="L2601" t="str">
            <v>30/数铣</v>
          </cell>
          <cell r="M2601" t="str">
            <v>35/数铣10</v>
          </cell>
          <cell r="N2601" t="str">
            <v>40/数铣5</v>
          </cell>
          <cell r="O2601" t="str">
            <v>45/数铣5</v>
          </cell>
          <cell r="P2601" t="str">
            <v>50/线切割</v>
          </cell>
          <cell r="Q2601" t="str">
            <v>55/数铣</v>
          </cell>
          <cell r="R2601" t="str">
            <v>60/数铣5</v>
          </cell>
          <cell r="S2601" t="str">
            <v>65/数铣10</v>
          </cell>
          <cell r="T2601" t="str">
            <v>70/钳工</v>
          </cell>
          <cell r="U2601" t="str">
            <v>75/清洁</v>
          </cell>
          <cell r="V2601" t="str">
            <v>80/成检</v>
          </cell>
        </row>
        <row r="2602">
          <cell r="B2602" t="str">
            <v>DD-J10-55141-20-1</v>
          </cell>
          <cell r="D2602" t="str">
            <v>A</v>
          </cell>
          <cell r="E2602" t="str">
            <v>准备工时</v>
          </cell>
          <cell r="G2602">
            <v>60</v>
          </cell>
          <cell r="L2602" t="str">
            <v>60</v>
          </cell>
          <cell r="M2602" t="str">
            <v>60</v>
          </cell>
          <cell r="N2602">
            <v>60</v>
          </cell>
          <cell r="O2602">
            <v>60</v>
          </cell>
          <cell r="Q2602">
            <v>60</v>
          </cell>
          <cell r="R2602">
            <v>60</v>
          </cell>
          <cell r="S2602">
            <v>60</v>
          </cell>
        </row>
        <row r="2603">
          <cell r="B2603" t="str">
            <v>DD-J10-55141-20-1</v>
          </cell>
          <cell r="D2603" t="str">
            <v>A</v>
          </cell>
          <cell r="E2603" t="str">
            <v>装夹时间</v>
          </cell>
        </row>
        <row r="2604">
          <cell r="B2604" t="str">
            <v>DD-J10-55141-20-1</v>
          </cell>
          <cell r="D2604" t="str">
            <v>A</v>
          </cell>
          <cell r="E2604" t="str">
            <v>程序时间</v>
          </cell>
          <cell r="G2604">
            <v>30</v>
          </cell>
          <cell r="L2604" t="str">
            <v>45</v>
          </cell>
          <cell r="M2604" t="str">
            <v>25</v>
          </cell>
          <cell r="N2604">
            <v>20</v>
          </cell>
          <cell r="O2604">
            <v>20</v>
          </cell>
          <cell r="Q2604">
            <v>20</v>
          </cell>
          <cell r="R2604">
            <v>20</v>
          </cell>
          <cell r="S2604">
            <v>25</v>
          </cell>
          <cell r="T2604">
            <v>15</v>
          </cell>
        </row>
        <row r="2605">
          <cell r="B2605" t="str">
            <v>DD-J10-55141-20-2</v>
          </cell>
          <cell r="D2605" t="str">
            <v>A</v>
          </cell>
          <cell r="E2605" t="str">
            <v>工序内容</v>
          </cell>
          <cell r="F2605" t="str">
            <v>0/领料</v>
          </cell>
          <cell r="G2605" t="str">
            <v>5/数铣</v>
          </cell>
          <cell r="H2605" t="str">
            <v>10/分光</v>
          </cell>
          <cell r="I2605" t="str">
            <v>15/清洗</v>
          </cell>
          <cell r="J2605" t="str">
            <v>20/热处理</v>
          </cell>
          <cell r="K2605" t="str">
            <v>25/硬度</v>
          </cell>
          <cell r="L2605" t="str">
            <v>30/数铣</v>
          </cell>
          <cell r="M2605" t="str">
            <v>35/数铣10</v>
          </cell>
          <cell r="N2605" t="str">
            <v>40/数铣5</v>
          </cell>
          <cell r="O2605" t="str">
            <v>45/数铣5</v>
          </cell>
          <cell r="P2605" t="str">
            <v>50/线切割</v>
          </cell>
          <cell r="Q2605" t="str">
            <v>55/数铣</v>
          </cell>
          <cell r="R2605" t="str">
            <v>60/数铣5</v>
          </cell>
          <cell r="S2605" t="str">
            <v>65/数铣10</v>
          </cell>
          <cell r="T2605" t="str">
            <v>70/钳工</v>
          </cell>
          <cell r="U2605" t="str">
            <v>75/清洁</v>
          </cell>
          <cell r="V2605" t="str">
            <v>80/成检</v>
          </cell>
        </row>
        <row r="2606">
          <cell r="B2606" t="str">
            <v>DD-J10-55141-20-2</v>
          </cell>
          <cell r="D2606" t="str">
            <v>A</v>
          </cell>
          <cell r="E2606" t="str">
            <v>准备工时</v>
          </cell>
          <cell r="G2606">
            <v>60</v>
          </cell>
          <cell r="L2606" t="str">
            <v>60</v>
          </cell>
          <cell r="M2606" t="str">
            <v>60</v>
          </cell>
          <cell r="N2606">
            <v>60</v>
          </cell>
          <cell r="O2606">
            <v>60</v>
          </cell>
          <cell r="Q2606">
            <v>60</v>
          </cell>
          <cell r="R2606">
            <v>60</v>
          </cell>
          <cell r="S2606">
            <v>60</v>
          </cell>
        </row>
        <row r="2607">
          <cell r="B2607" t="str">
            <v>DD-J10-55141-20-2</v>
          </cell>
          <cell r="D2607" t="str">
            <v>A</v>
          </cell>
          <cell r="E2607" t="str">
            <v>装夹时间</v>
          </cell>
        </row>
        <row r="2608">
          <cell r="B2608" t="str">
            <v>DD-J10-55141-20-2</v>
          </cell>
          <cell r="D2608" t="str">
            <v>A</v>
          </cell>
          <cell r="E2608" t="str">
            <v>程序时间</v>
          </cell>
          <cell r="G2608">
            <v>30</v>
          </cell>
          <cell r="L2608" t="str">
            <v>45</v>
          </cell>
          <cell r="M2608" t="str">
            <v>25</v>
          </cell>
          <cell r="N2608">
            <v>20</v>
          </cell>
          <cell r="O2608">
            <v>20</v>
          </cell>
          <cell r="Q2608">
            <v>20</v>
          </cell>
          <cell r="R2608">
            <v>20</v>
          </cell>
          <cell r="S2608">
            <v>25</v>
          </cell>
          <cell r="T2608">
            <v>15</v>
          </cell>
        </row>
        <row r="2609">
          <cell r="B2609" t="str">
            <v>DD-J10-55121-30-1</v>
          </cell>
          <cell r="D2609" t="str">
            <v>A</v>
          </cell>
          <cell r="E2609" t="str">
            <v>工序内容</v>
          </cell>
          <cell r="F2609" t="str">
            <v>0/领料</v>
          </cell>
          <cell r="G2609" t="str">
            <v>5/数铣</v>
          </cell>
          <cell r="H2609" t="str">
            <v>10/分光</v>
          </cell>
          <cell r="I2609" t="str">
            <v>15/清洗</v>
          </cell>
          <cell r="J2609" t="str">
            <v>20/热处理</v>
          </cell>
          <cell r="K2609" t="str">
            <v>25/硬度</v>
          </cell>
          <cell r="L2609" t="str">
            <v>30/数铣</v>
          </cell>
          <cell r="M2609" t="str">
            <v>35/数铣10</v>
          </cell>
          <cell r="N2609" t="str">
            <v>40/数铣5</v>
          </cell>
          <cell r="O2609" t="str">
            <v>45/数铣5</v>
          </cell>
          <cell r="P2609" t="str">
            <v>50/线切割</v>
          </cell>
          <cell r="Q2609" t="str">
            <v>55/数铣</v>
          </cell>
          <cell r="R2609" t="str">
            <v>60/数铣5</v>
          </cell>
          <cell r="S2609" t="str">
            <v>65/数铣10</v>
          </cell>
          <cell r="T2609" t="str">
            <v>70/钳工</v>
          </cell>
          <cell r="U2609" t="str">
            <v>75/清洁</v>
          </cell>
          <cell r="V2609" t="str">
            <v>80/成检</v>
          </cell>
        </row>
        <row r="2610">
          <cell r="B2610" t="str">
            <v>DD-J10-55121-30-1</v>
          </cell>
          <cell r="D2610" t="str">
            <v>A</v>
          </cell>
          <cell r="E2610" t="str">
            <v>准备工时</v>
          </cell>
          <cell r="G2610">
            <v>60</v>
          </cell>
          <cell r="L2610" t="str">
            <v>60</v>
          </cell>
          <cell r="M2610" t="str">
            <v>60</v>
          </cell>
          <cell r="N2610">
            <v>60</v>
          </cell>
          <cell r="O2610">
            <v>60</v>
          </cell>
          <cell r="Q2610">
            <v>60</v>
          </cell>
          <cell r="R2610">
            <v>60</v>
          </cell>
          <cell r="S2610">
            <v>60</v>
          </cell>
        </row>
        <row r="2611">
          <cell r="B2611" t="str">
            <v>DD-J10-55121-30-1</v>
          </cell>
          <cell r="D2611" t="str">
            <v>A</v>
          </cell>
          <cell r="E2611" t="str">
            <v>装夹时间</v>
          </cell>
        </row>
        <row r="2612">
          <cell r="B2612" t="str">
            <v>DD-J10-55121-30-1</v>
          </cell>
          <cell r="D2612" t="str">
            <v>A</v>
          </cell>
          <cell r="E2612" t="str">
            <v>程序时间</v>
          </cell>
          <cell r="G2612">
            <v>30</v>
          </cell>
          <cell r="L2612" t="str">
            <v>45</v>
          </cell>
          <cell r="M2612" t="str">
            <v>25</v>
          </cell>
          <cell r="N2612">
            <v>20</v>
          </cell>
          <cell r="O2612">
            <v>20</v>
          </cell>
          <cell r="Q2612">
            <v>20</v>
          </cell>
          <cell r="R2612">
            <v>20</v>
          </cell>
          <cell r="S2612">
            <v>25</v>
          </cell>
          <cell r="T2612">
            <v>15</v>
          </cell>
        </row>
        <row r="2613">
          <cell r="B2613" t="str">
            <v>DD-J10-55121-30-2</v>
          </cell>
          <cell r="D2613" t="str">
            <v>A</v>
          </cell>
          <cell r="E2613" t="str">
            <v>工序内容</v>
          </cell>
          <cell r="F2613" t="str">
            <v>0/领料</v>
          </cell>
          <cell r="G2613" t="str">
            <v>5/数铣</v>
          </cell>
          <cell r="H2613" t="str">
            <v>10/分光</v>
          </cell>
          <cell r="I2613" t="str">
            <v>15/清洗</v>
          </cell>
          <cell r="J2613" t="str">
            <v>20/热处理</v>
          </cell>
          <cell r="K2613" t="str">
            <v>25/硬度</v>
          </cell>
          <cell r="L2613" t="str">
            <v>30/数铣</v>
          </cell>
          <cell r="M2613" t="str">
            <v>35/数铣10</v>
          </cell>
          <cell r="N2613" t="str">
            <v>40/数铣5</v>
          </cell>
          <cell r="O2613" t="str">
            <v>45/数铣5</v>
          </cell>
          <cell r="P2613" t="str">
            <v>50/线切割</v>
          </cell>
          <cell r="Q2613" t="str">
            <v>55/数铣</v>
          </cell>
          <cell r="R2613" t="str">
            <v>60/数铣5</v>
          </cell>
          <cell r="S2613" t="str">
            <v>65/数铣10</v>
          </cell>
          <cell r="T2613" t="str">
            <v>70/钳工</v>
          </cell>
          <cell r="U2613" t="str">
            <v>75/清洁</v>
          </cell>
          <cell r="V2613" t="str">
            <v>80/成检</v>
          </cell>
        </row>
        <row r="2614">
          <cell r="B2614" t="str">
            <v>DD-J10-55121-30-2</v>
          </cell>
          <cell r="D2614" t="str">
            <v>A</v>
          </cell>
          <cell r="E2614" t="str">
            <v>准备工时</v>
          </cell>
          <cell r="G2614">
            <v>60</v>
          </cell>
          <cell r="L2614" t="str">
            <v>60</v>
          </cell>
          <cell r="M2614" t="str">
            <v>60</v>
          </cell>
          <cell r="N2614">
            <v>60</v>
          </cell>
          <cell r="O2614">
            <v>60</v>
          </cell>
          <cell r="Q2614">
            <v>60</v>
          </cell>
          <cell r="R2614">
            <v>60</v>
          </cell>
          <cell r="S2614">
            <v>60</v>
          </cell>
        </row>
        <row r="2615">
          <cell r="B2615" t="str">
            <v>DD-J10-55121-30-2</v>
          </cell>
          <cell r="D2615" t="str">
            <v>A</v>
          </cell>
          <cell r="E2615" t="str">
            <v>装夹时间</v>
          </cell>
        </row>
        <row r="2616">
          <cell r="B2616" t="str">
            <v>DD-J10-55121-30-2</v>
          </cell>
          <cell r="D2616" t="str">
            <v>A</v>
          </cell>
          <cell r="E2616" t="str">
            <v>程序时间</v>
          </cell>
          <cell r="G2616">
            <v>30</v>
          </cell>
          <cell r="L2616" t="str">
            <v>45</v>
          </cell>
          <cell r="M2616" t="str">
            <v>25</v>
          </cell>
          <cell r="N2616">
            <v>20</v>
          </cell>
          <cell r="O2616">
            <v>20</v>
          </cell>
          <cell r="Q2616">
            <v>20</v>
          </cell>
          <cell r="R2616">
            <v>20</v>
          </cell>
          <cell r="S2616">
            <v>25</v>
          </cell>
          <cell r="T2616">
            <v>15</v>
          </cell>
        </row>
        <row r="2617">
          <cell r="B2617" t="str">
            <v>CB2298622-001-001</v>
          </cell>
          <cell r="D2617" t="str">
            <v>B</v>
          </cell>
          <cell r="E2617" t="str">
            <v>工序内容</v>
          </cell>
          <cell r="F2617" t="str">
            <v>0/领料</v>
          </cell>
          <cell r="G2617" t="str">
            <v>05/数车5</v>
          </cell>
          <cell r="H2617" t="str">
            <v>10/分光</v>
          </cell>
          <cell r="I2617" t="str">
            <v>15/硬度</v>
          </cell>
          <cell r="J2617" t="str">
            <v>20/检验</v>
          </cell>
          <cell r="K2617" t="str">
            <v>25/数铣5</v>
          </cell>
          <cell r="L2617" t="str">
            <v>30/数铣10</v>
          </cell>
          <cell r="M2617" t="str">
            <v>35/数铣5</v>
          </cell>
          <cell r="N2617" t="str">
            <v>40/数铣5</v>
          </cell>
          <cell r="O2617" t="str">
            <v>45/数铣</v>
          </cell>
          <cell r="P2617" t="str">
            <v>50/钳工</v>
          </cell>
          <cell r="Q2617" t="str">
            <v>55/清洁</v>
          </cell>
          <cell r="R2617" t="str">
            <v>60/成检</v>
          </cell>
        </row>
        <row r="2618">
          <cell r="B2618" t="str">
            <v>CB2298622-001-001</v>
          </cell>
          <cell r="D2618" t="str">
            <v>B</v>
          </cell>
          <cell r="E2618" t="str">
            <v>准备工时</v>
          </cell>
          <cell r="G2618">
            <v>60</v>
          </cell>
          <cell r="K2618">
            <v>60</v>
          </cell>
          <cell r="L2618">
            <v>60</v>
          </cell>
          <cell r="M2618">
            <v>60</v>
          </cell>
          <cell r="N2618">
            <v>60</v>
          </cell>
          <cell r="O2618">
            <v>60</v>
          </cell>
        </row>
        <row r="2619">
          <cell r="B2619" t="str">
            <v>CB2298622-001-001</v>
          </cell>
          <cell r="D2619" t="str">
            <v>B</v>
          </cell>
          <cell r="E2619" t="str">
            <v>装夹时间</v>
          </cell>
        </row>
        <row r="2620">
          <cell r="B2620" t="str">
            <v>CB2298622-001-001</v>
          </cell>
          <cell r="D2620" t="str">
            <v>B</v>
          </cell>
          <cell r="E2620" t="str">
            <v>程序时间</v>
          </cell>
          <cell r="G2620">
            <v>10</v>
          </cell>
          <cell r="K2620">
            <v>15</v>
          </cell>
          <cell r="L2620">
            <v>35</v>
          </cell>
          <cell r="M2620">
            <v>20</v>
          </cell>
          <cell r="N2620">
            <v>15</v>
          </cell>
          <cell r="O2620">
            <v>15</v>
          </cell>
          <cell r="P2620">
            <v>35</v>
          </cell>
        </row>
        <row r="2621">
          <cell r="B2621" t="str">
            <v>CB2297820-001-001</v>
          </cell>
          <cell r="D2621" t="str">
            <v>A</v>
          </cell>
          <cell r="E2621" t="str">
            <v>工序内容</v>
          </cell>
          <cell r="F2621" t="str">
            <v>0/领料</v>
          </cell>
          <cell r="G2621" t="str">
            <v>05/数车</v>
          </cell>
          <cell r="H2621" t="str">
            <v>10/分光</v>
          </cell>
          <cell r="I2621" t="str">
            <v>15硬度</v>
          </cell>
          <cell r="J2621" t="str">
            <v>20/检验</v>
          </cell>
          <cell r="K2621" t="str">
            <v>25/数铣5</v>
          </cell>
          <cell r="L2621" t="str">
            <v>30/数铣10</v>
          </cell>
          <cell r="M2621" t="str">
            <v>35/数铣5</v>
          </cell>
          <cell r="N2621" t="str">
            <v>40/数铣15</v>
          </cell>
          <cell r="O2621" t="str">
            <v>45/线切割</v>
          </cell>
          <cell r="P2621" t="str">
            <v>50/数铣</v>
          </cell>
          <cell r="Q2621" t="str">
            <v>55/钳工</v>
          </cell>
          <cell r="R2621" t="str">
            <v>60/清洁</v>
          </cell>
          <cell r="S2621" t="str">
            <v>65/成检</v>
          </cell>
        </row>
        <row r="2622">
          <cell r="B2622" t="str">
            <v>CB2297820-001-001</v>
          </cell>
          <cell r="D2622" t="str">
            <v>A</v>
          </cell>
          <cell r="E2622" t="str">
            <v>准备工时</v>
          </cell>
          <cell r="G2622">
            <v>60</v>
          </cell>
          <cell r="K2622">
            <v>60</v>
          </cell>
          <cell r="L2622">
            <v>60</v>
          </cell>
          <cell r="M2622">
            <v>60</v>
          </cell>
          <cell r="N2622">
            <v>60</v>
          </cell>
          <cell r="P2622">
            <v>60</v>
          </cell>
        </row>
        <row r="2623">
          <cell r="B2623" t="str">
            <v>CB2297820-001-001</v>
          </cell>
          <cell r="D2623" t="str">
            <v>A</v>
          </cell>
          <cell r="E2623" t="str">
            <v>装夹时间</v>
          </cell>
        </row>
        <row r="2624">
          <cell r="B2624" t="str">
            <v>CB2297820-001-001</v>
          </cell>
          <cell r="D2624" t="str">
            <v>A</v>
          </cell>
          <cell r="E2624" t="str">
            <v>程序时间</v>
          </cell>
          <cell r="G2624">
            <v>25</v>
          </cell>
          <cell r="K2624">
            <v>20</v>
          </cell>
          <cell r="L2624">
            <v>30</v>
          </cell>
          <cell r="M2624">
            <v>15</v>
          </cell>
          <cell r="N2624">
            <v>25</v>
          </cell>
          <cell r="P2624">
            <v>30</v>
          </cell>
          <cell r="Q2624">
            <v>35</v>
          </cell>
        </row>
        <row r="2625">
          <cell r="B2625" t="str">
            <v>BC5525200-003-002</v>
          </cell>
          <cell r="D2625" t="str">
            <v>A</v>
          </cell>
          <cell r="E2625" t="str">
            <v>工序内容</v>
          </cell>
          <cell r="F2625" t="str">
            <v>0/领料</v>
          </cell>
          <cell r="G2625" t="str">
            <v>05数车30</v>
          </cell>
          <cell r="H2625" t="str">
            <v>10数车20</v>
          </cell>
          <cell r="I2625" t="str">
            <v>15数车30</v>
          </cell>
          <cell r="J2625" t="str">
            <v>20数车20</v>
          </cell>
          <cell r="K2625" t="str">
            <v>25数铣10</v>
          </cell>
          <cell r="L2625" t="str">
            <v>30数车60</v>
          </cell>
          <cell r="M2625" t="str">
            <v>35数车10</v>
          </cell>
          <cell r="N2625" t="str">
            <v>40钳工</v>
          </cell>
          <cell r="O2625" t="str">
            <v>45清洁</v>
          </cell>
          <cell r="P2625" t="str">
            <v>50成检</v>
          </cell>
          <cell r="Q2625" t="str">
            <v>55清洁</v>
          </cell>
          <cell r="R2625" t="str">
            <v>60成检</v>
          </cell>
          <cell r="S2625" t="str">
            <v>60成检</v>
          </cell>
        </row>
        <row r="2626">
          <cell r="B2626" t="str">
            <v>BC5525200-003-002</v>
          </cell>
          <cell r="D2626" t="str">
            <v>A</v>
          </cell>
          <cell r="E2626" t="str">
            <v>准备工时</v>
          </cell>
          <cell r="G2626">
            <v>60</v>
          </cell>
          <cell r="H2626">
            <v>60</v>
          </cell>
          <cell r="I2626">
            <v>90</v>
          </cell>
          <cell r="J2626">
            <v>60</v>
          </cell>
          <cell r="K2626">
            <v>60</v>
          </cell>
          <cell r="L2626">
            <v>120</v>
          </cell>
          <cell r="M2626">
            <v>90</v>
          </cell>
        </row>
        <row r="2627">
          <cell r="B2627" t="str">
            <v>BC5525200-003-002</v>
          </cell>
          <cell r="D2627" t="str">
            <v>A</v>
          </cell>
          <cell r="E2627" t="str">
            <v>装夹时间</v>
          </cell>
        </row>
        <row r="2628">
          <cell r="B2628" t="str">
            <v>BC5525200-003-002</v>
          </cell>
          <cell r="D2628" t="str">
            <v>A</v>
          </cell>
          <cell r="E2628" t="str">
            <v>程序时间</v>
          </cell>
          <cell r="G2628">
            <v>30</v>
          </cell>
          <cell r="H2628">
            <v>10</v>
          </cell>
          <cell r="I2628">
            <v>35</v>
          </cell>
          <cell r="J2628">
            <v>15</v>
          </cell>
          <cell r="K2628">
            <v>25</v>
          </cell>
          <cell r="L2628">
            <v>60</v>
          </cell>
          <cell r="M2628">
            <v>15</v>
          </cell>
          <cell r="N2628">
            <v>20</v>
          </cell>
        </row>
        <row r="2629">
          <cell r="B2629" t="str">
            <v>DD-J10-62021-7</v>
          </cell>
          <cell r="D2629" t="str">
            <v>B</v>
          </cell>
          <cell r="E2629" t="str">
            <v>工序内容</v>
          </cell>
          <cell r="F2629" t="str">
            <v>0/领料</v>
          </cell>
          <cell r="G2629" t="str">
            <v>05/数车25</v>
          </cell>
          <cell r="H2629" t="str">
            <v>10/数车25</v>
          </cell>
          <cell r="I2629" t="str">
            <v>15/钳工</v>
          </cell>
          <cell r="J2629" t="str">
            <v>20清洁</v>
          </cell>
          <cell r="K2629" t="str">
            <v>25成检</v>
          </cell>
        </row>
        <row r="2630">
          <cell r="B2630" t="str">
            <v>DD-J10-62021-7</v>
          </cell>
          <cell r="D2630" t="str">
            <v>B</v>
          </cell>
          <cell r="E2630" t="str">
            <v>准备工时</v>
          </cell>
          <cell r="G2630">
            <v>90</v>
          </cell>
          <cell r="H2630">
            <v>90</v>
          </cell>
        </row>
        <row r="2631">
          <cell r="B2631" t="str">
            <v>DD-J10-62021-7</v>
          </cell>
          <cell r="D2631" t="str">
            <v>B</v>
          </cell>
          <cell r="E2631" t="str">
            <v>装夹时间</v>
          </cell>
        </row>
        <row r="2632">
          <cell r="B2632" t="str">
            <v>DD-J10-62021-7</v>
          </cell>
          <cell r="D2632" t="str">
            <v>B</v>
          </cell>
          <cell r="E2632" t="str">
            <v>程序时间</v>
          </cell>
          <cell r="G2632">
            <v>40</v>
          </cell>
          <cell r="H2632">
            <v>40</v>
          </cell>
          <cell r="I2632" t="str">
            <v>20</v>
          </cell>
        </row>
        <row r="2633">
          <cell r="B2633" t="str">
            <v>CB2284761-003-001</v>
          </cell>
          <cell r="D2633" t="str">
            <v>B</v>
          </cell>
          <cell r="E2633" t="str">
            <v>工序内容</v>
          </cell>
          <cell r="F2633" t="str">
            <v>0/领料</v>
          </cell>
          <cell r="G2633" t="str">
            <v>05/数铣</v>
          </cell>
          <cell r="H2633" t="str">
            <v>10/钳工</v>
          </cell>
          <cell r="I2633" t="str">
            <v>15/分光</v>
          </cell>
          <cell r="J2633" t="str">
            <v>20/线切割</v>
          </cell>
          <cell r="K2633" t="str">
            <v>25/数铣10</v>
          </cell>
          <cell r="L2633" t="str">
            <v>30/数铣15</v>
          </cell>
          <cell r="M2633" t="str">
            <v>35/数铣15</v>
          </cell>
          <cell r="N2633" t="str">
            <v>40/数车20</v>
          </cell>
          <cell r="O2633" t="str">
            <v>45/数车20</v>
          </cell>
          <cell r="P2633" t="str">
            <v>50/线切割</v>
          </cell>
          <cell r="Q2633" t="str">
            <v>55/穿孔机</v>
          </cell>
          <cell r="R2633" t="str">
            <v>60/钳工</v>
          </cell>
          <cell r="S2633" t="str">
            <v>65/清洁</v>
          </cell>
          <cell r="T2633" t="str">
            <v>70/成检</v>
          </cell>
        </row>
        <row r="2634">
          <cell r="B2634" t="str">
            <v>CB2284761-003-001</v>
          </cell>
          <cell r="D2634" t="str">
            <v>B</v>
          </cell>
          <cell r="E2634" t="str">
            <v>准备工时</v>
          </cell>
          <cell r="G2634">
            <v>60</v>
          </cell>
          <cell r="K2634">
            <v>90</v>
          </cell>
          <cell r="L2634">
            <v>60</v>
          </cell>
          <cell r="M2634">
            <v>60</v>
          </cell>
          <cell r="N2634">
            <v>180</v>
          </cell>
          <cell r="O2634">
            <v>180</v>
          </cell>
        </row>
        <row r="2635">
          <cell r="B2635" t="str">
            <v>CB2284761-003-001</v>
          </cell>
          <cell r="D2635" t="str">
            <v>B</v>
          </cell>
          <cell r="E2635" t="str">
            <v>装夹时间</v>
          </cell>
        </row>
        <row r="2636">
          <cell r="B2636" t="str">
            <v>CB2284761-003-001</v>
          </cell>
          <cell r="D2636" t="str">
            <v>B</v>
          </cell>
          <cell r="E2636" t="str">
            <v>程序时间</v>
          </cell>
          <cell r="G2636">
            <v>60</v>
          </cell>
          <cell r="H2636">
            <v>10</v>
          </cell>
          <cell r="K2636">
            <v>40</v>
          </cell>
          <cell r="L2636">
            <v>25</v>
          </cell>
          <cell r="M2636">
            <v>25</v>
          </cell>
          <cell r="N2636">
            <v>35</v>
          </cell>
          <cell r="O2636">
            <v>35</v>
          </cell>
          <cell r="R2636">
            <v>90</v>
          </cell>
        </row>
        <row r="2637">
          <cell r="B2637" t="str">
            <v>Y20-5828031202-001</v>
          </cell>
          <cell r="D2637" t="str">
            <v>B</v>
          </cell>
          <cell r="E2637" t="str">
            <v>工序内容</v>
          </cell>
          <cell r="F2637" t="str">
            <v>0/领料</v>
          </cell>
          <cell r="G2637" t="str">
            <v>05/数铣</v>
          </cell>
          <cell r="H2637" t="str">
            <v>10/数铣460</v>
          </cell>
          <cell r="I2637" t="str">
            <v>15/数铣</v>
          </cell>
          <cell r="J2637" t="str">
            <v>20/热</v>
          </cell>
          <cell r="K2637" t="str">
            <v>25/数铣</v>
          </cell>
          <cell r="L2637" t="str">
            <v>30/线切割</v>
          </cell>
          <cell r="M2637" t="str">
            <v>35/线切割</v>
          </cell>
          <cell r="N2637" t="str">
            <v>40/数铣270</v>
          </cell>
          <cell r="O2637" t="str">
            <v>45/数铣105</v>
          </cell>
          <cell r="P2637" t="str">
            <v>50/五轴15</v>
          </cell>
          <cell r="Q2637" t="str">
            <v>55/钳工</v>
          </cell>
        </row>
        <row r="2638">
          <cell r="B2638" t="str">
            <v>Y20-5828031202-001</v>
          </cell>
          <cell r="D2638" t="str">
            <v>B</v>
          </cell>
          <cell r="E2638" t="str">
            <v>准备工时</v>
          </cell>
          <cell r="G2638">
            <v>60</v>
          </cell>
          <cell r="H2638">
            <v>60</v>
          </cell>
          <cell r="I2638">
            <v>60</v>
          </cell>
          <cell r="K2638">
            <v>60</v>
          </cell>
          <cell r="N2638" t="str">
            <v>60</v>
          </cell>
          <cell r="O2638" t="str">
            <v>120</v>
          </cell>
          <cell r="P2638">
            <v>60</v>
          </cell>
        </row>
        <row r="2639">
          <cell r="B2639" t="str">
            <v>Y20-5828031202-001</v>
          </cell>
          <cell r="D2639" t="str">
            <v>B</v>
          </cell>
          <cell r="E2639" t="str">
            <v>装夹时间</v>
          </cell>
          <cell r="G2639">
            <v>30</v>
          </cell>
          <cell r="H2639">
            <v>30</v>
          </cell>
          <cell r="I2639">
            <v>30</v>
          </cell>
          <cell r="K2639">
            <v>30</v>
          </cell>
          <cell r="N2639" t="str">
            <v>30</v>
          </cell>
          <cell r="O2639" t="str">
            <v>30</v>
          </cell>
          <cell r="P2639">
            <v>30</v>
          </cell>
        </row>
        <row r="2640">
          <cell r="B2640" t="str">
            <v>Y20-5828031202-001</v>
          </cell>
          <cell r="D2640" t="str">
            <v>B</v>
          </cell>
          <cell r="E2640" t="str">
            <v>程序时间</v>
          </cell>
          <cell r="G2640">
            <v>100</v>
          </cell>
          <cell r="H2640">
            <v>700</v>
          </cell>
          <cell r="I2640">
            <v>150</v>
          </cell>
          <cell r="K2640">
            <v>100</v>
          </cell>
          <cell r="N2640" t="str">
            <v>400</v>
          </cell>
          <cell r="O2640">
            <v>160</v>
          </cell>
          <cell r="P2640">
            <v>40</v>
          </cell>
          <cell r="Q2640">
            <v>140</v>
          </cell>
        </row>
        <row r="2641">
          <cell r="B2641" t="str">
            <v>DD-J10B-94091-4141G2</v>
          </cell>
          <cell r="D2641" t="str">
            <v>B</v>
          </cell>
          <cell r="E2641" t="str">
            <v>工序内容</v>
          </cell>
          <cell r="F2641" t="str">
            <v>0/领料</v>
          </cell>
          <cell r="G2641" t="str">
            <v>5/下料</v>
          </cell>
          <cell r="H2641" t="str">
            <v>10/普铣</v>
          </cell>
          <cell r="I2641" t="str">
            <v>15/线切割</v>
          </cell>
          <cell r="J2641" t="str">
            <v>20/数车</v>
          </cell>
          <cell r="K2641" t="str">
            <v>25/返厂</v>
          </cell>
          <cell r="L2641" t="str">
            <v>30/硬度</v>
          </cell>
          <cell r="M2641" t="str">
            <v>35/数车</v>
          </cell>
          <cell r="N2641" t="str">
            <v>40/数铣</v>
          </cell>
          <cell r="O2641" t="str">
            <v>45/数车</v>
          </cell>
          <cell r="P2641" t="str">
            <v>50/钳工</v>
          </cell>
          <cell r="Q2641" t="str">
            <v>55/清洁</v>
          </cell>
          <cell r="R2641" t="str">
            <v>60/成检</v>
          </cell>
        </row>
        <row r="2642">
          <cell r="B2642" t="str">
            <v>DD-J10B-94091-4141G2</v>
          </cell>
          <cell r="D2642" t="str">
            <v>B</v>
          </cell>
          <cell r="E2642" t="str">
            <v>准备工时</v>
          </cell>
          <cell r="H2642">
            <v>60</v>
          </cell>
          <cell r="J2642">
            <v>150</v>
          </cell>
          <cell r="M2642" t="str">
            <v>150</v>
          </cell>
          <cell r="N2642" t="str">
            <v>90</v>
          </cell>
          <cell r="O2642">
            <v>150</v>
          </cell>
        </row>
        <row r="2643">
          <cell r="B2643" t="str">
            <v>DD-J10B-94091-4141G2</v>
          </cell>
          <cell r="D2643" t="str">
            <v>B</v>
          </cell>
          <cell r="E2643" t="str">
            <v>装夹时间</v>
          </cell>
        </row>
        <row r="2644">
          <cell r="B2644" t="str">
            <v>DD-J10B-94091-4141G2</v>
          </cell>
          <cell r="D2644" t="str">
            <v>B</v>
          </cell>
          <cell r="E2644" t="str">
            <v>程序时间</v>
          </cell>
          <cell r="H2644">
            <v>45</v>
          </cell>
          <cell r="J2644">
            <v>40</v>
          </cell>
          <cell r="M2644" t="str">
            <v>40</v>
          </cell>
          <cell r="N2644" t="str">
            <v>40</v>
          </cell>
          <cell r="O2644">
            <v>45</v>
          </cell>
          <cell r="P2644">
            <v>35</v>
          </cell>
        </row>
        <row r="2645">
          <cell r="B2645" t="str">
            <v>DD-J10-55014-2131</v>
          </cell>
          <cell r="D2645" t="str">
            <v>B</v>
          </cell>
          <cell r="E2645" t="str">
            <v>工序内容</v>
          </cell>
          <cell r="F2645" t="str">
            <v>0/领料</v>
          </cell>
          <cell r="G2645" t="str">
            <v>05/钳工</v>
          </cell>
          <cell r="H2645" t="str">
            <v>10/数车20</v>
          </cell>
          <cell r="I2645" t="str">
            <v>15/数车30</v>
          </cell>
          <cell r="J2645" t="str">
            <v>20/数铣10</v>
          </cell>
          <cell r="K2645" t="str">
            <v>25/钳工</v>
          </cell>
          <cell r="L2645" t="str">
            <v>30/清洁</v>
          </cell>
          <cell r="M2645" t="str">
            <v>35/成检</v>
          </cell>
        </row>
        <row r="2646">
          <cell r="B2646" t="str">
            <v>DD-J10-55014-2131</v>
          </cell>
          <cell r="D2646" t="str">
            <v>B</v>
          </cell>
          <cell r="E2646" t="str">
            <v>准备工时</v>
          </cell>
          <cell r="H2646">
            <v>90</v>
          </cell>
          <cell r="I2646">
            <v>120</v>
          </cell>
          <cell r="J2646">
            <v>90</v>
          </cell>
        </row>
        <row r="2647">
          <cell r="B2647" t="str">
            <v>DD-J10-55014-2131</v>
          </cell>
          <cell r="D2647" t="str">
            <v>B</v>
          </cell>
          <cell r="E2647" t="str">
            <v>装夹时间</v>
          </cell>
        </row>
        <row r="2648">
          <cell r="B2648" t="str">
            <v>DD-J10-55014-2131</v>
          </cell>
          <cell r="D2648" t="str">
            <v>B</v>
          </cell>
          <cell r="E2648" t="str">
            <v>程序时间</v>
          </cell>
          <cell r="G2648">
            <v>15</v>
          </cell>
          <cell r="H2648">
            <v>30</v>
          </cell>
          <cell r="I2648">
            <v>50</v>
          </cell>
          <cell r="J2648">
            <v>20</v>
          </cell>
          <cell r="K2648">
            <v>30</v>
          </cell>
        </row>
        <row r="2649">
          <cell r="B2649" t="str">
            <v>CB2747R00-002-001</v>
          </cell>
          <cell r="D2649" t="str">
            <v>B</v>
          </cell>
          <cell r="E2649" t="str">
            <v>工序内容</v>
          </cell>
          <cell r="F2649" t="str">
            <v>0/领料</v>
          </cell>
          <cell r="G2649" t="str">
            <v>05/下料</v>
          </cell>
          <cell r="H2649" t="str">
            <v>10/普铣</v>
          </cell>
          <cell r="I2649" t="str">
            <v>15/普铣</v>
          </cell>
          <cell r="J2649" t="str">
            <v>20/分光</v>
          </cell>
          <cell r="K2649" t="str">
            <v>25/数车30</v>
          </cell>
          <cell r="L2649" t="str">
            <v>30/数车30</v>
          </cell>
          <cell r="M2649" t="str">
            <v>35/数铣20</v>
          </cell>
          <cell r="N2649" t="str">
            <v>40/数车30</v>
          </cell>
          <cell r="O2649" t="str">
            <v>45/钳工</v>
          </cell>
          <cell r="P2649" t="str">
            <v>50/清洁</v>
          </cell>
          <cell r="Q2649" t="str">
            <v>55/成检</v>
          </cell>
        </row>
        <row r="2650">
          <cell r="B2650" t="str">
            <v>CB2747R00-002-001</v>
          </cell>
          <cell r="D2650" t="str">
            <v>B</v>
          </cell>
          <cell r="E2650" t="str">
            <v>准备工时</v>
          </cell>
          <cell r="H2650">
            <v>60</v>
          </cell>
          <cell r="I2650">
            <v>60</v>
          </cell>
          <cell r="K2650">
            <v>120</v>
          </cell>
          <cell r="L2650">
            <v>120</v>
          </cell>
          <cell r="M2650">
            <v>90</v>
          </cell>
          <cell r="N2650">
            <v>120</v>
          </cell>
        </row>
        <row r="2651">
          <cell r="B2651" t="str">
            <v>CB2747R00-002-001</v>
          </cell>
          <cell r="D2651" t="str">
            <v>B</v>
          </cell>
          <cell r="E2651" t="str">
            <v>装夹时间</v>
          </cell>
        </row>
        <row r="2652">
          <cell r="B2652" t="str">
            <v>CB2747R00-002-001</v>
          </cell>
          <cell r="D2652" t="str">
            <v>B</v>
          </cell>
          <cell r="E2652" t="str">
            <v>程序时间</v>
          </cell>
          <cell r="H2652">
            <v>30</v>
          </cell>
          <cell r="I2652">
            <v>30</v>
          </cell>
          <cell r="K2652">
            <v>60</v>
          </cell>
          <cell r="L2652">
            <v>75</v>
          </cell>
          <cell r="M2652">
            <v>50</v>
          </cell>
          <cell r="N2652">
            <v>60</v>
          </cell>
          <cell r="O2652">
            <v>35</v>
          </cell>
        </row>
        <row r="2653">
          <cell r="B2653" t="str">
            <v>DD-J10B-55111-210-2</v>
          </cell>
          <cell r="D2653" t="str">
            <v>B</v>
          </cell>
          <cell r="E2653" t="str">
            <v>工序内容</v>
          </cell>
          <cell r="F2653" t="str">
            <v>0/领料</v>
          </cell>
          <cell r="G2653" t="str">
            <v>5/数车15</v>
          </cell>
          <cell r="H2653" t="str">
            <v>10/数车15</v>
          </cell>
          <cell r="I2653" t="str">
            <v>15/线切割</v>
          </cell>
          <cell r="J2653" t="str">
            <v>20/钳工</v>
          </cell>
          <cell r="K2653" t="str">
            <v>25/分光</v>
          </cell>
          <cell r="L2653" t="str">
            <v>30/钳工</v>
          </cell>
          <cell r="M2653" t="str">
            <v>35/清洗</v>
          </cell>
          <cell r="N2653" t="str">
            <v>40/成检</v>
          </cell>
        </row>
        <row r="2654">
          <cell r="B2654" t="str">
            <v>DD-J10B-55111-210-2</v>
          </cell>
          <cell r="D2654" t="str">
            <v>B</v>
          </cell>
          <cell r="E2654" t="str">
            <v>准备工时</v>
          </cell>
          <cell r="G2654">
            <v>60</v>
          </cell>
          <cell r="H2654">
            <v>60</v>
          </cell>
        </row>
        <row r="2655">
          <cell r="B2655" t="str">
            <v>DD-J10B-55111-210-2</v>
          </cell>
          <cell r="D2655" t="str">
            <v>B</v>
          </cell>
          <cell r="E2655" t="str">
            <v>装夹时间</v>
          </cell>
        </row>
        <row r="2656">
          <cell r="B2656" t="str">
            <v>DD-J10B-55111-210-2</v>
          </cell>
          <cell r="D2656" t="str">
            <v>B</v>
          </cell>
          <cell r="E2656" t="str">
            <v>程序时间</v>
          </cell>
          <cell r="G2656">
            <v>20</v>
          </cell>
          <cell r="H2656">
            <v>20</v>
          </cell>
          <cell r="I2656">
            <v>5</v>
          </cell>
          <cell r="J2656">
            <v>10</v>
          </cell>
          <cell r="L2656">
            <v>5</v>
          </cell>
        </row>
        <row r="2657">
          <cell r="B2657" t="str">
            <v>BC2292251-001-001</v>
          </cell>
          <cell r="D2657" t="str">
            <v>B</v>
          </cell>
          <cell r="E2657" t="str">
            <v>工序内容</v>
          </cell>
          <cell r="F2657">
            <v>0</v>
          </cell>
          <cell r="G2657" t="str">
            <v>05/钳工</v>
          </cell>
          <cell r="H2657" t="str">
            <v>10/数车 35</v>
          </cell>
          <cell r="I2657" t="str">
            <v>15/数车15</v>
          </cell>
          <cell r="J2657" t="str">
            <v>20/数铣20</v>
          </cell>
          <cell r="K2657" t="str">
            <v>25/数铣10</v>
          </cell>
          <cell r="L2657" t="str">
            <v>30/数铣35</v>
          </cell>
          <cell r="M2657" t="str">
            <v>35/钳工</v>
          </cell>
          <cell r="N2657" t="str">
            <v>40/清洁</v>
          </cell>
          <cell r="O2657" t="str">
            <v>45/成检</v>
          </cell>
        </row>
        <row r="2658">
          <cell r="B2658" t="str">
            <v>BC2292251-001-001</v>
          </cell>
          <cell r="D2658" t="str">
            <v>B</v>
          </cell>
          <cell r="E2658" t="str">
            <v>准备工时</v>
          </cell>
          <cell r="H2658">
            <v>60</v>
          </cell>
          <cell r="I2658">
            <v>60</v>
          </cell>
          <cell r="J2658">
            <v>60</v>
          </cell>
          <cell r="K2658">
            <v>60</v>
          </cell>
          <cell r="L2658">
            <v>60</v>
          </cell>
        </row>
        <row r="2659">
          <cell r="B2659" t="str">
            <v>BC2292251-001-001</v>
          </cell>
          <cell r="D2659" t="str">
            <v>B</v>
          </cell>
          <cell r="E2659" t="str">
            <v>装夹时间</v>
          </cell>
        </row>
        <row r="2660">
          <cell r="B2660" t="str">
            <v>BC2292251-001-001</v>
          </cell>
          <cell r="D2660" t="str">
            <v>B</v>
          </cell>
          <cell r="E2660" t="str">
            <v>程序时间</v>
          </cell>
          <cell r="G2660">
            <v>15</v>
          </cell>
          <cell r="H2660">
            <v>50</v>
          </cell>
          <cell r="I2660">
            <v>25</v>
          </cell>
          <cell r="J2660">
            <v>40</v>
          </cell>
          <cell r="K2660">
            <v>25</v>
          </cell>
          <cell r="L2660">
            <v>60</v>
          </cell>
          <cell r="M2660">
            <v>30</v>
          </cell>
        </row>
        <row r="2661">
          <cell r="B2661" t="str">
            <v>DD-J10B-94076-1391</v>
          </cell>
          <cell r="D2661" t="str">
            <v>C</v>
          </cell>
          <cell r="E2661" t="str">
            <v>工序内容</v>
          </cell>
          <cell r="F2661" t="str">
            <v>0/领料</v>
          </cell>
          <cell r="G2661" t="str">
            <v>5/数车30</v>
          </cell>
          <cell r="H2661" t="str">
            <v>10/数车30</v>
          </cell>
          <cell r="I2661" t="str">
            <v>15/分光</v>
          </cell>
          <cell r="J2661" t="str">
            <v>20/数车20</v>
          </cell>
          <cell r="K2661" t="str">
            <v>25/数车25</v>
          </cell>
          <cell r="L2661" t="str">
            <v>30/数铣30</v>
          </cell>
          <cell r="M2661" t="str">
            <v>35/钳工</v>
          </cell>
          <cell r="N2661" t="str">
            <v>40/清洗</v>
          </cell>
          <cell r="O2661" t="str">
            <v>45/成检</v>
          </cell>
        </row>
        <row r="2662">
          <cell r="B2662" t="str">
            <v>DD-J10B-94076-1391</v>
          </cell>
          <cell r="D2662" t="str">
            <v>C</v>
          </cell>
          <cell r="E2662" t="str">
            <v>准备工时</v>
          </cell>
          <cell r="G2662">
            <v>60</v>
          </cell>
          <cell r="H2662">
            <v>60</v>
          </cell>
          <cell r="J2662">
            <v>120</v>
          </cell>
          <cell r="K2662">
            <v>120</v>
          </cell>
          <cell r="L2662">
            <v>180</v>
          </cell>
        </row>
        <row r="2663">
          <cell r="B2663" t="str">
            <v>DD-J10B-94076-1391</v>
          </cell>
          <cell r="D2663" t="str">
            <v>C</v>
          </cell>
          <cell r="E2663" t="str">
            <v>装夹时间</v>
          </cell>
        </row>
        <row r="2664">
          <cell r="B2664" t="str">
            <v>DD-J10B-94076-1391</v>
          </cell>
          <cell r="D2664" t="str">
            <v>C</v>
          </cell>
          <cell r="E2664" t="str">
            <v>程序时间</v>
          </cell>
          <cell r="G2664">
            <v>60</v>
          </cell>
          <cell r="H2664">
            <v>15</v>
          </cell>
          <cell r="J2664">
            <v>60</v>
          </cell>
          <cell r="K2664">
            <v>60</v>
          </cell>
          <cell r="L2664">
            <v>70</v>
          </cell>
          <cell r="M2664">
            <v>60</v>
          </cell>
        </row>
        <row r="2665">
          <cell r="B2665" t="str">
            <v>LTCS-515030000-06N01</v>
          </cell>
          <cell r="D2665" t="str">
            <v>C</v>
          </cell>
          <cell r="E2665" t="str">
            <v>工序内容</v>
          </cell>
          <cell r="F2665" t="str">
            <v>0/领料</v>
          </cell>
          <cell r="G2665" t="str">
            <v>5/数铣</v>
          </cell>
          <cell r="H2665" t="str">
            <v>10/数铣20</v>
          </cell>
          <cell r="I2665" t="str">
            <v>15/数铣85</v>
          </cell>
          <cell r="J2665" t="str">
            <v>20/测量</v>
          </cell>
          <cell r="K2665" t="str">
            <v>25/钳工</v>
          </cell>
          <cell r="L2665" t="str">
            <v>30/数铣</v>
          </cell>
          <cell r="M2665" t="str">
            <v>35/清洁</v>
          </cell>
          <cell r="N2665" t="str">
            <v>40/成检</v>
          </cell>
        </row>
        <row r="2666">
          <cell r="B2666" t="str">
            <v>LTCS-515030000-06N01</v>
          </cell>
          <cell r="D2666" t="str">
            <v>C</v>
          </cell>
          <cell r="E2666" t="str">
            <v>准备工时</v>
          </cell>
          <cell r="G2666">
            <v>60</v>
          </cell>
          <cell r="H2666">
            <v>90</v>
          </cell>
          <cell r="I2666">
            <v>120</v>
          </cell>
        </row>
        <row r="2667">
          <cell r="B2667" t="str">
            <v>LTCS-515030000-06N01</v>
          </cell>
          <cell r="D2667" t="str">
            <v>C</v>
          </cell>
          <cell r="E2667" t="str">
            <v>装夹时间</v>
          </cell>
        </row>
        <row r="2668">
          <cell r="B2668" t="str">
            <v>LTCS-515030000-06N01</v>
          </cell>
          <cell r="D2668" t="str">
            <v>C</v>
          </cell>
          <cell r="E2668" t="str">
            <v>程序时间</v>
          </cell>
          <cell r="G2668">
            <v>40</v>
          </cell>
          <cell r="H2668">
            <v>60</v>
          </cell>
          <cell r="I2668">
            <v>180</v>
          </cell>
          <cell r="K2668">
            <v>120</v>
          </cell>
          <cell r="L2668">
            <v>20</v>
          </cell>
        </row>
        <row r="2669">
          <cell r="B2669" t="str">
            <v>DD-J10B-04501-10-1-Z</v>
          </cell>
          <cell r="D2669" t="str">
            <v>B</v>
          </cell>
          <cell r="E2669" t="str">
            <v>工序内容</v>
          </cell>
          <cell r="F2669" t="str">
            <v>0/领料</v>
          </cell>
          <cell r="G2669" t="str">
            <v>05/数铣</v>
          </cell>
          <cell r="H2669" t="str">
            <v>10/数铣150</v>
          </cell>
          <cell r="I2669" t="str">
            <v>15/数铣990</v>
          </cell>
          <cell r="J2669" t="str">
            <v>20/数铣520</v>
          </cell>
          <cell r="K2669" t="str">
            <v>25/失效</v>
          </cell>
          <cell r="L2669" t="str">
            <v>30/数铣</v>
          </cell>
          <cell r="M2669" t="str">
            <v>35/数铣450</v>
          </cell>
          <cell r="N2669" t="str">
            <v>40/五轴700</v>
          </cell>
          <cell r="O2669" t="str">
            <v>45/数铣240</v>
          </cell>
          <cell r="P2669" t="str">
            <v>50/五轴1260</v>
          </cell>
          <cell r="Q2669" t="str">
            <v>55/钳工</v>
          </cell>
          <cell r="R2669" t="str">
            <v>60/清洁</v>
          </cell>
          <cell r="S2669" t="str">
            <v>65/测量</v>
          </cell>
          <cell r="T2669" t="str">
            <v>70/成检</v>
          </cell>
        </row>
        <row r="2670">
          <cell r="B2670" t="str">
            <v>DD-J10B-04501-10-1-Z</v>
          </cell>
          <cell r="D2670" t="str">
            <v>B</v>
          </cell>
          <cell r="E2670" t="str">
            <v>准备工时</v>
          </cell>
          <cell r="G2670" t="str">
            <v>60</v>
          </cell>
          <cell r="H2670">
            <v>90</v>
          </cell>
          <cell r="I2670">
            <v>120</v>
          </cell>
          <cell r="J2670">
            <v>120</v>
          </cell>
          <cell r="L2670">
            <v>60</v>
          </cell>
          <cell r="M2670">
            <v>120</v>
          </cell>
          <cell r="N2670">
            <v>180</v>
          </cell>
          <cell r="O2670">
            <v>120</v>
          </cell>
          <cell r="P2670">
            <v>180</v>
          </cell>
        </row>
        <row r="2671">
          <cell r="B2671" t="str">
            <v>DD-J10B-04501-10-1-Z</v>
          </cell>
          <cell r="D2671" t="str">
            <v>B</v>
          </cell>
          <cell r="E2671" t="str">
            <v>装夹时间</v>
          </cell>
          <cell r="G2671" t="str">
            <v>90</v>
          </cell>
          <cell r="H2671">
            <v>90</v>
          </cell>
          <cell r="I2671">
            <v>120</v>
          </cell>
          <cell r="J2671">
            <v>120</v>
          </cell>
          <cell r="L2671">
            <v>120</v>
          </cell>
          <cell r="M2671">
            <v>120</v>
          </cell>
          <cell r="N2671">
            <v>120</v>
          </cell>
          <cell r="O2671">
            <v>120</v>
          </cell>
          <cell r="P2671">
            <v>120</v>
          </cell>
        </row>
        <row r="2672">
          <cell r="B2672" t="str">
            <v>DD-J10B-04501-10-1-Z</v>
          </cell>
          <cell r="D2672" t="str">
            <v>B</v>
          </cell>
          <cell r="E2672" t="str">
            <v>程序时间</v>
          </cell>
          <cell r="G2672" t="str">
            <v>240</v>
          </cell>
          <cell r="H2672">
            <v>180</v>
          </cell>
          <cell r="I2672">
            <v>1440</v>
          </cell>
          <cell r="J2672">
            <v>780</v>
          </cell>
          <cell r="L2672">
            <v>360</v>
          </cell>
          <cell r="M2672">
            <v>900</v>
          </cell>
          <cell r="N2672">
            <v>1500</v>
          </cell>
          <cell r="O2672">
            <v>360</v>
          </cell>
          <cell r="P2672">
            <v>1800</v>
          </cell>
          <cell r="Q2672">
            <v>1500</v>
          </cell>
        </row>
        <row r="2673">
          <cell r="B2673" t="str">
            <v>DD-J10B-04501-10-1-Y</v>
          </cell>
          <cell r="D2673" t="str">
            <v>B</v>
          </cell>
          <cell r="E2673" t="str">
            <v>工序内容</v>
          </cell>
          <cell r="F2673" t="str">
            <v>0/领料</v>
          </cell>
          <cell r="G2673" t="str">
            <v>05/数铣</v>
          </cell>
          <cell r="H2673" t="str">
            <v>10/数铣150</v>
          </cell>
          <cell r="I2673" t="str">
            <v>15/数铣990</v>
          </cell>
          <cell r="J2673" t="str">
            <v>20/数铣520</v>
          </cell>
          <cell r="K2673" t="str">
            <v>25/失效</v>
          </cell>
          <cell r="L2673" t="str">
            <v>30/数铣</v>
          </cell>
          <cell r="M2673" t="str">
            <v>35/数铣450</v>
          </cell>
          <cell r="N2673" t="str">
            <v>40/五轴700</v>
          </cell>
          <cell r="O2673" t="str">
            <v>45/数铣240</v>
          </cell>
          <cell r="P2673" t="str">
            <v>50/五轴1260</v>
          </cell>
          <cell r="Q2673" t="str">
            <v>55/钳工</v>
          </cell>
          <cell r="R2673" t="str">
            <v>60/清洁</v>
          </cell>
          <cell r="S2673" t="str">
            <v>65/测量</v>
          </cell>
          <cell r="T2673" t="str">
            <v>70/成检</v>
          </cell>
        </row>
        <row r="2674">
          <cell r="B2674" t="str">
            <v>DD-J10B-04501-10-1-Y</v>
          </cell>
          <cell r="D2674" t="str">
            <v>B</v>
          </cell>
          <cell r="E2674" t="str">
            <v>准备工时</v>
          </cell>
          <cell r="G2674" t="str">
            <v>60</v>
          </cell>
          <cell r="H2674">
            <v>90</v>
          </cell>
          <cell r="I2674">
            <v>120</v>
          </cell>
          <cell r="J2674">
            <v>120</v>
          </cell>
          <cell r="L2674">
            <v>60</v>
          </cell>
          <cell r="M2674">
            <v>120</v>
          </cell>
          <cell r="N2674">
            <v>180</v>
          </cell>
          <cell r="O2674">
            <v>120</v>
          </cell>
          <cell r="P2674">
            <v>180</v>
          </cell>
        </row>
        <row r="2675">
          <cell r="B2675" t="str">
            <v>DD-J10B-04501-10-1-Y</v>
          </cell>
          <cell r="D2675" t="str">
            <v>B</v>
          </cell>
          <cell r="E2675" t="str">
            <v>装夹时间</v>
          </cell>
          <cell r="G2675" t="str">
            <v>90</v>
          </cell>
          <cell r="H2675">
            <v>90</v>
          </cell>
          <cell r="I2675">
            <v>120</v>
          </cell>
          <cell r="J2675">
            <v>120</v>
          </cell>
          <cell r="L2675">
            <v>120</v>
          </cell>
          <cell r="M2675">
            <v>120</v>
          </cell>
          <cell r="N2675">
            <v>120</v>
          </cell>
          <cell r="O2675">
            <v>120</v>
          </cell>
          <cell r="P2675">
            <v>120</v>
          </cell>
        </row>
        <row r="2676">
          <cell r="B2676" t="str">
            <v>DD-J10B-04501-10-1-Y</v>
          </cell>
          <cell r="D2676" t="str">
            <v>B</v>
          </cell>
          <cell r="E2676" t="str">
            <v>程序时间</v>
          </cell>
          <cell r="G2676" t="str">
            <v>240</v>
          </cell>
          <cell r="H2676">
            <v>180</v>
          </cell>
          <cell r="I2676">
            <v>1440</v>
          </cell>
          <cell r="J2676">
            <v>780</v>
          </cell>
          <cell r="L2676">
            <v>360</v>
          </cell>
          <cell r="M2676">
            <v>900</v>
          </cell>
          <cell r="N2676">
            <v>1500</v>
          </cell>
          <cell r="O2676">
            <v>360</v>
          </cell>
          <cell r="P2676">
            <v>1800</v>
          </cell>
          <cell r="Q2676">
            <v>1500</v>
          </cell>
        </row>
        <row r="2677">
          <cell r="B2677" t="str">
            <v>DD-J10-04501-10-1-Z</v>
          </cell>
          <cell r="D2677" t="str">
            <v>A</v>
          </cell>
          <cell r="E2677" t="str">
            <v>工序内容</v>
          </cell>
          <cell r="F2677" t="str">
            <v>0/领料</v>
          </cell>
          <cell r="G2677" t="str">
            <v>5/飞面</v>
          </cell>
          <cell r="H2677" t="str">
            <v>10/孔150</v>
          </cell>
          <cell r="I2677" t="str">
            <v>15/铣720</v>
          </cell>
          <cell r="J2677" t="str">
            <v>20/铣830</v>
          </cell>
          <cell r="K2677" t="str">
            <v>25/时效</v>
          </cell>
          <cell r="L2677" t="str">
            <v>30/数铣</v>
          </cell>
          <cell r="M2677" t="str">
            <v>35/数铣800</v>
          </cell>
          <cell r="N2677" t="str">
            <v>40/五轴800</v>
          </cell>
          <cell r="O2677" t="str">
            <v>45/数铣300</v>
          </cell>
          <cell r="P2677" t="str">
            <v>50/五轴1100</v>
          </cell>
          <cell r="Q2677" t="str">
            <v>55/钳工</v>
          </cell>
          <cell r="R2677" t="str">
            <v>60/清洁</v>
          </cell>
          <cell r="S2677" t="str">
            <v>65/测量</v>
          </cell>
          <cell r="T2677" t="str">
            <v>70/成检</v>
          </cell>
        </row>
        <row r="2678">
          <cell r="B2678" t="str">
            <v>DD-J10-04501-10-1-Z</v>
          </cell>
          <cell r="D2678" t="str">
            <v>A</v>
          </cell>
          <cell r="E2678" t="str">
            <v>准备工时</v>
          </cell>
          <cell r="G2678">
            <v>60</v>
          </cell>
          <cell r="H2678">
            <v>90</v>
          </cell>
          <cell r="I2678">
            <v>120</v>
          </cell>
          <cell r="J2678">
            <v>120</v>
          </cell>
          <cell r="L2678">
            <v>60</v>
          </cell>
          <cell r="M2678">
            <v>120</v>
          </cell>
          <cell r="N2678">
            <v>180</v>
          </cell>
          <cell r="O2678">
            <v>120</v>
          </cell>
          <cell r="P2678">
            <v>180</v>
          </cell>
        </row>
        <row r="2679">
          <cell r="B2679" t="str">
            <v>DD-J10-04501-10-1-Z</v>
          </cell>
          <cell r="D2679" t="str">
            <v>A</v>
          </cell>
          <cell r="E2679" t="str">
            <v>装夹时间</v>
          </cell>
          <cell r="G2679">
            <v>90</v>
          </cell>
          <cell r="H2679">
            <v>90</v>
          </cell>
          <cell r="I2679">
            <v>120</v>
          </cell>
          <cell r="J2679">
            <v>120</v>
          </cell>
          <cell r="L2679">
            <v>120</v>
          </cell>
          <cell r="M2679">
            <v>120</v>
          </cell>
          <cell r="N2679">
            <v>120</v>
          </cell>
          <cell r="O2679">
            <v>120</v>
          </cell>
          <cell r="P2679">
            <v>120</v>
          </cell>
        </row>
        <row r="2680">
          <cell r="B2680" t="str">
            <v>DD-J10-04501-10-1-Z</v>
          </cell>
          <cell r="D2680" t="str">
            <v>A</v>
          </cell>
          <cell r="E2680" t="str">
            <v>程序时间</v>
          </cell>
          <cell r="G2680">
            <v>150</v>
          </cell>
          <cell r="H2680">
            <v>270</v>
          </cell>
          <cell r="I2680">
            <v>1200</v>
          </cell>
          <cell r="J2680">
            <v>1200</v>
          </cell>
          <cell r="L2680">
            <v>480</v>
          </cell>
          <cell r="M2680">
            <v>1200</v>
          </cell>
          <cell r="N2680">
            <v>1800</v>
          </cell>
          <cell r="O2680">
            <v>450</v>
          </cell>
          <cell r="P2680">
            <v>1920</v>
          </cell>
          <cell r="Q2680">
            <v>1500</v>
          </cell>
        </row>
        <row r="2681">
          <cell r="B2681" t="str">
            <v>DD-J10-04501-10-1-Y</v>
          </cell>
          <cell r="D2681" t="str">
            <v>A</v>
          </cell>
          <cell r="E2681" t="str">
            <v>工序内容</v>
          </cell>
          <cell r="F2681" t="str">
            <v>0/领料</v>
          </cell>
          <cell r="G2681" t="str">
            <v>5/飞面</v>
          </cell>
          <cell r="H2681" t="str">
            <v>10/孔150</v>
          </cell>
          <cell r="I2681" t="str">
            <v>15/铣720</v>
          </cell>
          <cell r="J2681" t="str">
            <v>20/铣830</v>
          </cell>
          <cell r="K2681" t="str">
            <v>25/时效</v>
          </cell>
          <cell r="L2681" t="str">
            <v>30/数铣</v>
          </cell>
          <cell r="M2681" t="str">
            <v>35/数铣800</v>
          </cell>
          <cell r="N2681" t="str">
            <v>40/五轴800</v>
          </cell>
          <cell r="O2681" t="str">
            <v>45/数铣300</v>
          </cell>
          <cell r="P2681" t="str">
            <v>50/五轴1100</v>
          </cell>
          <cell r="Q2681" t="str">
            <v>55/钳工</v>
          </cell>
          <cell r="R2681" t="str">
            <v>60/清洁</v>
          </cell>
          <cell r="S2681" t="str">
            <v>65/测量</v>
          </cell>
          <cell r="T2681" t="str">
            <v>70/成检</v>
          </cell>
        </row>
        <row r="2682">
          <cell r="B2682" t="str">
            <v>DD-J10-04501-10-1-Y</v>
          </cell>
          <cell r="D2682" t="str">
            <v>A</v>
          </cell>
          <cell r="E2682" t="str">
            <v>准备工时</v>
          </cell>
          <cell r="G2682">
            <v>60</v>
          </cell>
          <cell r="H2682">
            <v>90</v>
          </cell>
          <cell r="I2682">
            <v>120</v>
          </cell>
          <cell r="J2682">
            <v>120</v>
          </cell>
          <cell r="L2682">
            <v>60</v>
          </cell>
          <cell r="M2682">
            <v>120</v>
          </cell>
          <cell r="N2682">
            <v>180</v>
          </cell>
          <cell r="O2682">
            <v>120</v>
          </cell>
          <cell r="P2682">
            <v>180</v>
          </cell>
        </row>
        <row r="2683">
          <cell r="B2683" t="str">
            <v>DD-J10-04501-10-1-Y</v>
          </cell>
          <cell r="D2683" t="str">
            <v>A</v>
          </cell>
          <cell r="E2683" t="str">
            <v>装夹时间</v>
          </cell>
          <cell r="G2683">
            <v>90</v>
          </cell>
          <cell r="H2683">
            <v>90</v>
          </cell>
          <cell r="I2683">
            <v>120</v>
          </cell>
          <cell r="J2683">
            <v>120</v>
          </cell>
          <cell r="L2683">
            <v>120</v>
          </cell>
          <cell r="M2683">
            <v>120</v>
          </cell>
          <cell r="N2683">
            <v>120</v>
          </cell>
          <cell r="O2683">
            <v>120</v>
          </cell>
          <cell r="P2683">
            <v>120</v>
          </cell>
        </row>
        <row r="2684">
          <cell r="B2684" t="str">
            <v>DD-J10-04501-10-1-Y</v>
          </cell>
          <cell r="D2684" t="str">
            <v>A</v>
          </cell>
          <cell r="E2684" t="str">
            <v>程序时间</v>
          </cell>
          <cell r="G2684">
            <v>150</v>
          </cell>
          <cell r="H2684">
            <v>270</v>
          </cell>
          <cell r="I2684">
            <v>1200</v>
          </cell>
          <cell r="J2684">
            <v>1200</v>
          </cell>
          <cell r="L2684">
            <v>480</v>
          </cell>
          <cell r="M2684">
            <v>1200</v>
          </cell>
          <cell r="N2684">
            <v>1800</v>
          </cell>
          <cell r="O2684">
            <v>450</v>
          </cell>
          <cell r="P2684">
            <v>1920</v>
          </cell>
          <cell r="Q2684">
            <v>1500</v>
          </cell>
        </row>
        <row r="2685">
          <cell r="B2685" t="str">
            <v>DD-J10-04501-10-1-Z</v>
          </cell>
          <cell r="D2685" t="str">
            <v>B</v>
          </cell>
          <cell r="E2685" t="str">
            <v>工序内容</v>
          </cell>
          <cell r="F2685" t="str">
            <v>0/领料</v>
          </cell>
          <cell r="G2685" t="str">
            <v>5/飞面</v>
          </cell>
          <cell r="H2685" t="str">
            <v>10/孔150</v>
          </cell>
          <cell r="I2685" t="str">
            <v>15/铣720</v>
          </cell>
          <cell r="J2685" t="str">
            <v>20/铣830</v>
          </cell>
          <cell r="K2685" t="str">
            <v>25/时效</v>
          </cell>
          <cell r="L2685" t="str">
            <v>30/数铣</v>
          </cell>
          <cell r="M2685" t="str">
            <v>35/数铣800</v>
          </cell>
          <cell r="N2685" t="str">
            <v>40/五轴800</v>
          </cell>
          <cell r="O2685" t="str">
            <v>45/数铣300</v>
          </cell>
          <cell r="P2685" t="str">
            <v>50/五轴1100</v>
          </cell>
          <cell r="Q2685" t="str">
            <v>55/钳工</v>
          </cell>
          <cell r="R2685" t="str">
            <v>60/清洁</v>
          </cell>
          <cell r="S2685" t="str">
            <v>65/测量</v>
          </cell>
          <cell r="T2685" t="str">
            <v>70/成检</v>
          </cell>
        </row>
        <row r="2686">
          <cell r="B2686" t="str">
            <v>DD-J10-04501-10-1-Z</v>
          </cell>
          <cell r="D2686" t="str">
            <v>B</v>
          </cell>
          <cell r="E2686" t="str">
            <v>准备工时</v>
          </cell>
          <cell r="G2686">
            <v>60</v>
          </cell>
          <cell r="H2686">
            <v>90</v>
          </cell>
          <cell r="I2686">
            <v>120</v>
          </cell>
          <cell r="J2686">
            <v>120</v>
          </cell>
          <cell r="L2686">
            <v>60</v>
          </cell>
          <cell r="M2686">
            <v>120</v>
          </cell>
          <cell r="N2686">
            <v>180</v>
          </cell>
          <cell r="O2686">
            <v>120</v>
          </cell>
          <cell r="P2686">
            <v>180</v>
          </cell>
        </row>
        <row r="2687">
          <cell r="B2687" t="str">
            <v>DD-J10-04501-10-1-Z</v>
          </cell>
          <cell r="D2687" t="str">
            <v>B</v>
          </cell>
          <cell r="E2687" t="str">
            <v>装夹时间</v>
          </cell>
          <cell r="G2687">
            <v>90</v>
          </cell>
          <cell r="H2687">
            <v>90</v>
          </cell>
          <cell r="I2687">
            <v>120</v>
          </cell>
          <cell r="J2687">
            <v>120</v>
          </cell>
          <cell r="L2687">
            <v>120</v>
          </cell>
          <cell r="M2687">
            <v>120</v>
          </cell>
          <cell r="N2687">
            <v>120</v>
          </cell>
          <cell r="O2687">
            <v>120</v>
          </cell>
          <cell r="P2687">
            <v>120</v>
          </cell>
        </row>
        <row r="2688">
          <cell r="B2688" t="str">
            <v>DD-J10-04501-10-1-Z</v>
          </cell>
          <cell r="D2688" t="str">
            <v>B</v>
          </cell>
          <cell r="E2688" t="str">
            <v>程序时间</v>
          </cell>
          <cell r="G2688">
            <v>150</v>
          </cell>
          <cell r="H2688">
            <v>270</v>
          </cell>
          <cell r="I2688">
            <v>1200</v>
          </cell>
          <cell r="J2688">
            <v>1200</v>
          </cell>
          <cell r="L2688">
            <v>480</v>
          </cell>
          <cell r="M2688">
            <v>1200</v>
          </cell>
          <cell r="N2688">
            <v>1800</v>
          </cell>
          <cell r="O2688">
            <v>450</v>
          </cell>
          <cell r="P2688">
            <v>1920</v>
          </cell>
          <cell r="Q2688">
            <v>1500</v>
          </cell>
        </row>
        <row r="2689">
          <cell r="B2689" t="str">
            <v>DD-J10-04501-10-1-Y</v>
          </cell>
          <cell r="D2689" t="str">
            <v>B</v>
          </cell>
          <cell r="E2689" t="str">
            <v>工序内容</v>
          </cell>
          <cell r="F2689" t="str">
            <v>0/领料</v>
          </cell>
          <cell r="G2689" t="str">
            <v>5/飞面</v>
          </cell>
          <cell r="H2689" t="str">
            <v>10/孔150</v>
          </cell>
          <cell r="I2689" t="str">
            <v>15/铣720</v>
          </cell>
          <cell r="J2689" t="str">
            <v>20/铣830</v>
          </cell>
          <cell r="K2689" t="str">
            <v>25/时效</v>
          </cell>
          <cell r="L2689" t="str">
            <v>30/数铣</v>
          </cell>
          <cell r="M2689" t="str">
            <v>35/数铣800</v>
          </cell>
          <cell r="N2689" t="str">
            <v>40/五轴800</v>
          </cell>
          <cell r="O2689" t="str">
            <v>45/数铣300</v>
          </cell>
          <cell r="P2689" t="str">
            <v>50/五轴1100</v>
          </cell>
          <cell r="Q2689" t="str">
            <v>55/钳工</v>
          </cell>
          <cell r="R2689" t="str">
            <v>60/清洁</v>
          </cell>
          <cell r="S2689" t="str">
            <v>65/测量</v>
          </cell>
          <cell r="T2689" t="str">
            <v>70/成检</v>
          </cell>
        </row>
        <row r="2690">
          <cell r="B2690" t="str">
            <v>DD-J10-04501-10-1-Y</v>
          </cell>
          <cell r="D2690" t="str">
            <v>B</v>
          </cell>
          <cell r="E2690" t="str">
            <v>准备工时</v>
          </cell>
          <cell r="G2690">
            <v>60</v>
          </cell>
          <cell r="H2690">
            <v>90</v>
          </cell>
          <cell r="I2690">
            <v>120</v>
          </cell>
          <cell r="J2690">
            <v>120</v>
          </cell>
          <cell r="L2690">
            <v>60</v>
          </cell>
          <cell r="M2690">
            <v>120</v>
          </cell>
          <cell r="N2690">
            <v>180</v>
          </cell>
          <cell r="O2690">
            <v>120</v>
          </cell>
          <cell r="P2690">
            <v>180</v>
          </cell>
        </row>
        <row r="2691">
          <cell r="B2691" t="str">
            <v>DD-J10-04501-10-1-Y</v>
          </cell>
          <cell r="D2691" t="str">
            <v>B</v>
          </cell>
          <cell r="E2691" t="str">
            <v>装夹时间</v>
          </cell>
          <cell r="G2691">
            <v>90</v>
          </cell>
          <cell r="H2691">
            <v>90</v>
          </cell>
          <cell r="I2691">
            <v>120</v>
          </cell>
          <cell r="J2691">
            <v>120</v>
          </cell>
          <cell r="L2691">
            <v>120</v>
          </cell>
          <cell r="M2691">
            <v>120</v>
          </cell>
          <cell r="N2691">
            <v>120</v>
          </cell>
          <cell r="O2691">
            <v>120</v>
          </cell>
          <cell r="P2691">
            <v>120</v>
          </cell>
        </row>
        <row r="2692">
          <cell r="B2692" t="str">
            <v>DD-J10-04501-10-1-Y</v>
          </cell>
          <cell r="D2692" t="str">
            <v>B</v>
          </cell>
          <cell r="E2692" t="str">
            <v>程序时间</v>
          </cell>
          <cell r="G2692">
            <v>150</v>
          </cell>
          <cell r="H2692">
            <v>270</v>
          </cell>
          <cell r="I2692">
            <v>1200</v>
          </cell>
          <cell r="J2692">
            <v>1200</v>
          </cell>
          <cell r="L2692">
            <v>480</v>
          </cell>
          <cell r="M2692">
            <v>1200</v>
          </cell>
          <cell r="N2692">
            <v>1800</v>
          </cell>
          <cell r="O2692">
            <v>450</v>
          </cell>
          <cell r="P2692">
            <v>1920</v>
          </cell>
          <cell r="Q2692">
            <v>1500</v>
          </cell>
        </row>
        <row r="2693">
          <cell r="B2693" t="str">
            <v>C532210911-001L001</v>
          </cell>
          <cell r="D2693" t="str">
            <v>A</v>
          </cell>
          <cell r="E2693" t="str">
            <v>工序内容</v>
          </cell>
          <cell r="F2693" t="str">
            <v>0领料</v>
          </cell>
          <cell r="G2693" t="str">
            <v>5普铣</v>
          </cell>
          <cell r="H2693" t="str">
            <v>10/数铣130</v>
          </cell>
          <cell r="I2693" t="str">
            <v>15/数铣230</v>
          </cell>
          <cell r="J2693" t="str">
            <v>20/钳工</v>
          </cell>
          <cell r="K2693" t="str">
            <v>25超探</v>
          </cell>
          <cell r="L2693" t="str">
            <v>30检验</v>
          </cell>
          <cell r="M2693" t="str">
            <v>35/修面</v>
          </cell>
          <cell r="N2693" t="str">
            <v>40数铣45</v>
          </cell>
          <cell r="O2693" t="str">
            <v>45数铣20</v>
          </cell>
          <cell r="P2693" t="str">
            <v>50数铣700</v>
          </cell>
          <cell r="Q2693" t="str">
            <v>55时效</v>
          </cell>
          <cell r="R2693" t="str">
            <v>60数铣</v>
          </cell>
          <cell r="S2693" t="str">
            <v>65数铣150</v>
          </cell>
          <cell r="T2693" t="str">
            <v>70数铣500</v>
          </cell>
          <cell r="U2693" t="str">
            <v>75数铣10</v>
          </cell>
          <cell r="V2693" t="str">
            <v>80数铣30</v>
          </cell>
          <cell r="W2693" t="str">
            <v>85数铣15</v>
          </cell>
          <cell r="X2693" t="str">
            <v>90数铣10</v>
          </cell>
          <cell r="Y2693" t="str">
            <v>95测量</v>
          </cell>
          <cell r="Z2693" t="str">
            <v>100钳工</v>
          </cell>
          <cell r="AA2693" t="str">
            <v>103称重</v>
          </cell>
          <cell r="AB2693" t="str">
            <v>105清洁</v>
          </cell>
          <cell r="AC2693" t="str">
            <v>110成检</v>
          </cell>
        </row>
        <row r="2694">
          <cell r="B2694" t="str">
            <v>C532210911-001L001</v>
          </cell>
          <cell r="D2694" t="str">
            <v>A</v>
          </cell>
          <cell r="E2694" t="str">
            <v>准备工时</v>
          </cell>
          <cell r="G2694">
            <v>60</v>
          </cell>
          <cell r="H2694">
            <v>90</v>
          </cell>
          <cell r="I2694">
            <v>90</v>
          </cell>
          <cell r="M2694">
            <v>90</v>
          </cell>
          <cell r="N2694">
            <v>90</v>
          </cell>
          <cell r="O2694">
            <v>90</v>
          </cell>
          <cell r="P2694">
            <v>90</v>
          </cell>
          <cell r="R2694">
            <v>90</v>
          </cell>
          <cell r="S2694">
            <v>150</v>
          </cell>
          <cell r="T2694">
            <v>120</v>
          </cell>
          <cell r="U2694">
            <v>120</v>
          </cell>
          <cell r="V2694">
            <v>120</v>
          </cell>
          <cell r="W2694">
            <v>90</v>
          </cell>
          <cell r="X2694">
            <v>90</v>
          </cell>
        </row>
        <row r="2695">
          <cell r="B2695" t="str">
            <v>C532210911-001L001</v>
          </cell>
          <cell r="D2695" t="str">
            <v>A</v>
          </cell>
          <cell r="E2695" t="str">
            <v>装夹时间</v>
          </cell>
        </row>
        <row r="2696">
          <cell r="B2696" t="str">
            <v>C532210911-001L001</v>
          </cell>
          <cell r="D2696" t="str">
            <v>A</v>
          </cell>
          <cell r="E2696" t="str">
            <v>程序时间</v>
          </cell>
          <cell r="G2696">
            <v>900</v>
          </cell>
          <cell r="H2696">
            <v>480</v>
          </cell>
          <cell r="I2696">
            <v>720</v>
          </cell>
          <cell r="J2696">
            <v>150</v>
          </cell>
          <cell r="M2696">
            <v>480</v>
          </cell>
          <cell r="N2696">
            <v>180</v>
          </cell>
          <cell r="O2696">
            <v>120</v>
          </cell>
          <cell r="P2696">
            <v>1920</v>
          </cell>
          <cell r="R2696">
            <v>660</v>
          </cell>
          <cell r="S2696">
            <v>600</v>
          </cell>
          <cell r="T2696">
            <v>1320</v>
          </cell>
          <cell r="U2696">
            <v>300</v>
          </cell>
          <cell r="V2696">
            <v>360</v>
          </cell>
          <cell r="W2696">
            <v>240</v>
          </cell>
          <cell r="X2696">
            <v>240</v>
          </cell>
          <cell r="Z2696">
            <v>360</v>
          </cell>
          <cell r="AA2696">
            <v>90</v>
          </cell>
        </row>
        <row r="2697">
          <cell r="B2697" t="str">
            <v>C532210911-001R001</v>
          </cell>
          <cell r="D2697" t="str">
            <v>A</v>
          </cell>
          <cell r="E2697" t="str">
            <v>工序内容</v>
          </cell>
          <cell r="F2697" t="str">
            <v>0领料</v>
          </cell>
          <cell r="G2697" t="str">
            <v>5普铣</v>
          </cell>
          <cell r="H2697" t="str">
            <v>10/数铣130</v>
          </cell>
          <cell r="I2697" t="str">
            <v>15/数铣230</v>
          </cell>
          <cell r="J2697" t="str">
            <v>20/钳工</v>
          </cell>
          <cell r="K2697" t="str">
            <v>25超探</v>
          </cell>
          <cell r="L2697" t="str">
            <v>30检验</v>
          </cell>
          <cell r="M2697" t="str">
            <v>35/修面</v>
          </cell>
          <cell r="N2697" t="str">
            <v>40数铣45</v>
          </cell>
          <cell r="O2697" t="str">
            <v>45数铣20</v>
          </cell>
          <cell r="P2697" t="str">
            <v>50数铣700</v>
          </cell>
          <cell r="Q2697" t="str">
            <v>55时效</v>
          </cell>
          <cell r="R2697" t="str">
            <v>60数铣</v>
          </cell>
          <cell r="S2697" t="str">
            <v>65数铣150</v>
          </cell>
          <cell r="T2697" t="str">
            <v>70数铣500</v>
          </cell>
          <cell r="U2697" t="str">
            <v>75数铣10</v>
          </cell>
          <cell r="V2697" t="str">
            <v>80数铣30</v>
          </cell>
          <cell r="W2697" t="str">
            <v>85数铣15</v>
          </cell>
          <cell r="X2697" t="str">
            <v>90数铣10</v>
          </cell>
          <cell r="Y2697" t="str">
            <v>95测量</v>
          </cell>
          <cell r="Z2697" t="str">
            <v>100钳工</v>
          </cell>
          <cell r="AA2697" t="str">
            <v>103称重</v>
          </cell>
          <cell r="AB2697" t="str">
            <v>105清洁</v>
          </cell>
          <cell r="AC2697" t="str">
            <v>110成检</v>
          </cell>
        </row>
        <row r="2698">
          <cell r="B2698" t="str">
            <v>C532210911-001R001</v>
          </cell>
          <cell r="D2698" t="str">
            <v>A</v>
          </cell>
          <cell r="E2698" t="str">
            <v>准备工时</v>
          </cell>
          <cell r="G2698">
            <v>60</v>
          </cell>
          <cell r="H2698">
            <v>90</v>
          </cell>
          <cell r="I2698">
            <v>90</v>
          </cell>
          <cell r="M2698">
            <v>90</v>
          </cell>
          <cell r="N2698">
            <v>90</v>
          </cell>
          <cell r="O2698">
            <v>90</v>
          </cell>
          <cell r="P2698">
            <v>90</v>
          </cell>
          <cell r="R2698">
            <v>90</v>
          </cell>
          <cell r="S2698">
            <v>150</v>
          </cell>
          <cell r="T2698">
            <v>120</v>
          </cell>
          <cell r="U2698">
            <v>120</v>
          </cell>
          <cell r="V2698">
            <v>120</v>
          </cell>
          <cell r="W2698">
            <v>90</v>
          </cell>
          <cell r="X2698">
            <v>90</v>
          </cell>
        </row>
        <row r="2699">
          <cell r="B2699" t="str">
            <v>C532210911-001R001</v>
          </cell>
          <cell r="D2699" t="str">
            <v>A</v>
          </cell>
          <cell r="E2699" t="str">
            <v>装夹时间</v>
          </cell>
        </row>
        <row r="2700">
          <cell r="B2700" t="str">
            <v>C532210911-001R001</v>
          </cell>
          <cell r="D2700" t="str">
            <v>A</v>
          </cell>
          <cell r="E2700" t="str">
            <v>程序时间</v>
          </cell>
          <cell r="G2700">
            <v>900</v>
          </cell>
          <cell r="H2700">
            <v>480</v>
          </cell>
          <cell r="I2700">
            <v>720</v>
          </cell>
          <cell r="J2700">
            <v>150</v>
          </cell>
          <cell r="M2700">
            <v>480</v>
          </cell>
          <cell r="N2700">
            <v>180</v>
          </cell>
          <cell r="O2700">
            <v>120</v>
          </cell>
          <cell r="P2700">
            <v>1920</v>
          </cell>
          <cell r="R2700">
            <v>660</v>
          </cell>
          <cell r="S2700">
            <v>600</v>
          </cell>
          <cell r="T2700">
            <v>1320</v>
          </cell>
          <cell r="U2700">
            <v>300</v>
          </cell>
          <cell r="V2700">
            <v>360</v>
          </cell>
          <cell r="W2700">
            <v>240</v>
          </cell>
          <cell r="X2700">
            <v>240</v>
          </cell>
          <cell r="Z2700">
            <v>360</v>
          </cell>
          <cell r="AA2700">
            <v>90</v>
          </cell>
        </row>
        <row r="2701">
          <cell r="B2701" t="str">
            <v>C532210941-001L001</v>
          </cell>
          <cell r="D2701" t="str">
            <v>A</v>
          </cell>
          <cell r="E2701" t="str">
            <v>工序内容</v>
          </cell>
          <cell r="F2701" t="str">
            <v>0领料</v>
          </cell>
          <cell r="G2701" t="str">
            <v>5/线切割</v>
          </cell>
          <cell r="H2701" t="str">
            <v>10/数铣360</v>
          </cell>
          <cell r="I2701" t="str">
            <v>15/数铣180</v>
          </cell>
          <cell r="J2701" t="str">
            <v>20/钳工</v>
          </cell>
          <cell r="K2701" t="str">
            <v>25/超探</v>
          </cell>
          <cell r="L2701" t="str">
            <v>30/数铣240</v>
          </cell>
          <cell r="M2701" t="str">
            <v>35/数铣240</v>
          </cell>
          <cell r="N2701" t="str">
            <v>40/时效</v>
          </cell>
          <cell r="O2701" t="str">
            <v>45/数铣30</v>
          </cell>
          <cell r="P2701" t="str">
            <v>50/数铣35</v>
          </cell>
          <cell r="Q2701" t="str">
            <v>55/数铣35</v>
          </cell>
          <cell r="R2701" t="str">
            <v>60/数铣220</v>
          </cell>
          <cell r="S2701" t="str">
            <v>65/数铣180</v>
          </cell>
          <cell r="T2701" t="str">
            <v>70/数铣20</v>
          </cell>
          <cell r="U2701" t="str">
            <v>75/数铣35</v>
          </cell>
          <cell r="V2701" t="str">
            <v>80/数铣80</v>
          </cell>
          <cell r="W2701" t="str">
            <v>85/钳工</v>
          </cell>
          <cell r="X2701" t="str">
            <v>90/测量</v>
          </cell>
          <cell r="Y2701" t="str">
            <v>95/清洁</v>
          </cell>
          <cell r="Z2701" t="str">
            <v>100/成检</v>
          </cell>
          <cell r="AA2701" t="str">
            <v>95/清洁</v>
          </cell>
          <cell r="AB2701" t="str">
            <v>100/成检</v>
          </cell>
        </row>
        <row r="2702">
          <cell r="B2702" t="str">
            <v>C532210941-001L001</v>
          </cell>
          <cell r="D2702" t="str">
            <v>A</v>
          </cell>
          <cell r="E2702" t="str">
            <v>准备工时</v>
          </cell>
          <cell r="H2702">
            <v>90</v>
          </cell>
          <cell r="I2702">
            <v>90</v>
          </cell>
          <cell r="L2702">
            <v>120</v>
          </cell>
          <cell r="M2702">
            <v>90</v>
          </cell>
          <cell r="O2702">
            <v>120</v>
          </cell>
          <cell r="P2702">
            <v>90</v>
          </cell>
          <cell r="Q2702">
            <v>90</v>
          </cell>
          <cell r="R2702">
            <v>120</v>
          </cell>
          <cell r="S2702">
            <v>120</v>
          </cell>
          <cell r="T2702">
            <v>90</v>
          </cell>
          <cell r="U2702">
            <v>90</v>
          </cell>
          <cell r="V2702">
            <v>120</v>
          </cell>
        </row>
        <row r="2703">
          <cell r="B2703" t="str">
            <v>C532210941-001L001</v>
          </cell>
          <cell r="D2703" t="str">
            <v>A</v>
          </cell>
          <cell r="E2703" t="str">
            <v>装夹时间</v>
          </cell>
        </row>
        <row r="2704">
          <cell r="B2704" t="str">
            <v>C532210941-001L001</v>
          </cell>
          <cell r="D2704" t="str">
            <v>A</v>
          </cell>
          <cell r="E2704" t="str">
            <v>程序时间</v>
          </cell>
          <cell r="H2704">
            <v>960</v>
          </cell>
          <cell r="I2704">
            <v>600</v>
          </cell>
          <cell r="J2704">
            <v>120</v>
          </cell>
          <cell r="L2704">
            <v>840</v>
          </cell>
          <cell r="M2704">
            <v>840</v>
          </cell>
          <cell r="O2704">
            <v>240</v>
          </cell>
          <cell r="P2704">
            <v>120</v>
          </cell>
          <cell r="Q2704">
            <v>120</v>
          </cell>
          <cell r="R2704">
            <v>720</v>
          </cell>
          <cell r="S2704">
            <v>720</v>
          </cell>
          <cell r="T2704">
            <v>240</v>
          </cell>
          <cell r="U2704">
            <v>120</v>
          </cell>
          <cell r="V2704">
            <v>360</v>
          </cell>
          <cell r="W2704">
            <v>480</v>
          </cell>
        </row>
        <row r="2705">
          <cell r="B2705" t="str">
            <v>C532210941-001L001</v>
          </cell>
          <cell r="D2705" t="str">
            <v>B</v>
          </cell>
          <cell r="E2705" t="str">
            <v>工序内容</v>
          </cell>
          <cell r="F2705" t="str">
            <v>0领料</v>
          </cell>
          <cell r="G2705" t="str">
            <v>5/线切割</v>
          </cell>
          <cell r="H2705" t="str">
            <v>10/数铣360</v>
          </cell>
          <cell r="I2705" t="str">
            <v>15/数铣180</v>
          </cell>
          <cell r="J2705" t="str">
            <v>20/钳工</v>
          </cell>
          <cell r="K2705" t="str">
            <v>25/超探</v>
          </cell>
          <cell r="L2705" t="str">
            <v>30/数铣240</v>
          </cell>
          <cell r="M2705" t="str">
            <v>35/数铣240</v>
          </cell>
          <cell r="N2705" t="str">
            <v>40/时效</v>
          </cell>
          <cell r="O2705" t="str">
            <v>45/数铣30</v>
          </cell>
          <cell r="P2705" t="str">
            <v>50/数铣35</v>
          </cell>
          <cell r="Q2705" t="str">
            <v>55/数铣35</v>
          </cell>
          <cell r="R2705" t="str">
            <v>60/数铣220</v>
          </cell>
          <cell r="S2705" t="str">
            <v>65/数铣180</v>
          </cell>
          <cell r="T2705" t="str">
            <v>70/数铣20</v>
          </cell>
          <cell r="U2705" t="str">
            <v>75/数铣35</v>
          </cell>
          <cell r="V2705" t="str">
            <v>80/数铣80</v>
          </cell>
          <cell r="W2705" t="str">
            <v>85/钳工</v>
          </cell>
          <cell r="X2705" t="str">
            <v>90/测量</v>
          </cell>
          <cell r="Y2705" t="str">
            <v>95/清洁</v>
          </cell>
          <cell r="Z2705" t="str">
            <v>100/成检</v>
          </cell>
          <cell r="AA2705" t="str">
            <v>95/清洁</v>
          </cell>
          <cell r="AB2705" t="str">
            <v>100/成检</v>
          </cell>
        </row>
        <row r="2706">
          <cell r="B2706" t="str">
            <v>C532210941-001L001</v>
          </cell>
          <cell r="D2706" t="str">
            <v>B</v>
          </cell>
          <cell r="E2706" t="str">
            <v>准备工时</v>
          </cell>
          <cell r="H2706">
            <v>90</v>
          </cell>
          <cell r="I2706">
            <v>90</v>
          </cell>
          <cell r="L2706">
            <v>120</v>
          </cell>
          <cell r="M2706">
            <v>90</v>
          </cell>
          <cell r="O2706">
            <v>120</v>
          </cell>
          <cell r="P2706">
            <v>90</v>
          </cell>
          <cell r="Q2706">
            <v>90</v>
          </cell>
          <cell r="R2706">
            <v>120</v>
          </cell>
          <cell r="S2706">
            <v>120</v>
          </cell>
          <cell r="T2706">
            <v>90</v>
          </cell>
          <cell r="U2706">
            <v>90</v>
          </cell>
          <cell r="V2706">
            <v>120</v>
          </cell>
        </row>
        <row r="2707">
          <cell r="B2707" t="str">
            <v>C532210941-001L001</v>
          </cell>
          <cell r="D2707" t="str">
            <v>B</v>
          </cell>
          <cell r="E2707" t="str">
            <v>装夹时间</v>
          </cell>
        </row>
        <row r="2708">
          <cell r="B2708" t="str">
            <v>C532210941-001L001</v>
          </cell>
          <cell r="D2708" t="str">
            <v>B</v>
          </cell>
          <cell r="E2708" t="str">
            <v>程序时间</v>
          </cell>
          <cell r="H2708">
            <v>1000</v>
          </cell>
          <cell r="I2708">
            <v>600</v>
          </cell>
          <cell r="J2708">
            <v>120</v>
          </cell>
          <cell r="L2708">
            <v>1400</v>
          </cell>
          <cell r="M2708">
            <v>1400</v>
          </cell>
          <cell r="O2708">
            <v>240</v>
          </cell>
          <cell r="P2708">
            <v>120</v>
          </cell>
          <cell r="Q2708">
            <v>120</v>
          </cell>
          <cell r="R2708">
            <v>720</v>
          </cell>
          <cell r="S2708">
            <v>720</v>
          </cell>
          <cell r="T2708">
            <v>420</v>
          </cell>
          <cell r="U2708">
            <v>150</v>
          </cell>
          <cell r="V2708">
            <v>360</v>
          </cell>
          <cell r="W2708">
            <v>480</v>
          </cell>
        </row>
        <row r="2709">
          <cell r="B2709" t="str">
            <v>C532210932-001-001</v>
          </cell>
          <cell r="D2709" t="str">
            <v>B</v>
          </cell>
          <cell r="E2709" t="str">
            <v>工序内容</v>
          </cell>
          <cell r="F2709" t="str">
            <v>3/划线</v>
          </cell>
          <cell r="G2709" t="str">
            <v>5/普铣</v>
          </cell>
          <cell r="H2709" t="str">
            <v>10/数铣180</v>
          </cell>
          <cell r="I2709" t="str">
            <v>15/超探</v>
          </cell>
          <cell r="J2709" t="str">
            <v>20/数铣60</v>
          </cell>
          <cell r="K2709" t="str">
            <v>25/数铣320</v>
          </cell>
          <cell r="L2709" t="str">
            <v>30/数铣30</v>
          </cell>
          <cell r="M2709" t="str">
            <v>35/数铣120</v>
          </cell>
          <cell r="N2709" t="str">
            <v>40/数铣130</v>
          </cell>
          <cell r="O2709" t="str">
            <v>45/数铣150</v>
          </cell>
          <cell r="P2709" t="str">
            <v>50/数铣20</v>
          </cell>
          <cell r="Q2709" t="str">
            <v>55/数铣130</v>
          </cell>
          <cell r="R2709" t="str">
            <v>60/数铣70</v>
          </cell>
          <cell r="S2709" t="str">
            <v>65/数铣120</v>
          </cell>
          <cell r="T2709" t="str">
            <v>70/数铣140</v>
          </cell>
          <cell r="U2709" t="str">
            <v>75/钳工</v>
          </cell>
          <cell r="V2709" t="str">
            <v>78称重</v>
          </cell>
          <cell r="W2709" t="str">
            <v>80测量</v>
          </cell>
          <cell r="X2709" t="str">
            <v>85清洁</v>
          </cell>
          <cell r="Y2709" t="str">
            <v>90成检</v>
          </cell>
        </row>
        <row r="2710">
          <cell r="B2710" t="str">
            <v>C532210932-001-001</v>
          </cell>
          <cell r="D2710" t="str">
            <v>B</v>
          </cell>
          <cell r="E2710" t="str">
            <v>准备工时</v>
          </cell>
          <cell r="G2710">
            <v>60</v>
          </cell>
          <cell r="H2710">
            <v>90</v>
          </cell>
          <cell r="J2710">
            <v>90</v>
          </cell>
          <cell r="K2710">
            <v>90</v>
          </cell>
          <cell r="L2710">
            <v>120</v>
          </cell>
          <cell r="M2710">
            <v>90</v>
          </cell>
          <cell r="N2710">
            <v>120</v>
          </cell>
          <cell r="O2710">
            <v>90</v>
          </cell>
          <cell r="P2710">
            <v>90</v>
          </cell>
          <cell r="Q2710">
            <v>90</v>
          </cell>
          <cell r="R2710">
            <v>90</v>
          </cell>
          <cell r="S2710">
            <v>120</v>
          </cell>
          <cell r="T2710">
            <v>120</v>
          </cell>
        </row>
        <row r="2711">
          <cell r="B2711" t="str">
            <v>C532210932-001-001</v>
          </cell>
          <cell r="D2711" t="str">
            <v>B</v>
          </cell>
          <cell r="E2711" t="str">
            <v>装夹时间</v>
          </cell>
        </row>
        <row r="2712">
          <cell r="B2712" t="str">
            <v>C532210932-001-001</v>
          </cell>
          <cell r="D2712" t="str">
            <v>B</v>
          </cell>
          <cell r="E2712" t="str">
            <v>程序时间</v>
          </cell>
          <cell r="F2712">
            <v>240</v>
          </cell>
          <cell r="G2712">
            <v>600</v>
          </cell>
          <cell r="H2712">
            <v>600</v>
          </cell>
          <cell r="J2712">
            <v>180</v>
          </cell>
          <cell r="K2712">
            <v>720</v>
          </cell>
          <cell r="L2712">
            <v>180</v>
          </cell>
          <cell r="M2712">
            <v>360</v>
          </cell>
          <cell r="N2712">
            <v>360</v>
          </cell>
          <cell r="O2712">
            <v>420</v>
          </cell>
          <cell r="P2712">
            <v>240</v>
          </cell>
          <cell r="Q2712">
            <v>330</v>
          </cell>
          <cell r="R2712">
            <v>180</v>
          </cell>
          <cell r="S2712">
            <v>240</v>
          </cell>
          <cell r="T2712">
            <v>360</v>
          </cell>
          <cell r="U2712">
            <v>300</v>
          </cell>
          <cell r="V2712">
            <v>60</v>
          </cell>
        </row>
        <row r="2713">
          <cell r="B2713" t="str">
            <v>C532210941-001R001</v>
          </cell>
          <cell r="D2713" t="str">
            <v>A</v>
          </cell>
          <cell r="E2713" t="str">
            <v>工序内容</v>
          </cell>
          <cell r="F2713" t="str">
            <v>0领料</v>
          </cell>
          <cell r="G2713" t="str">
            <v>5/线切割</v>
          </cell>
          <cell r="H2713" t="str">
            <v>10/数铣360</v>
          </cell>
          <cell r="I2713" t="str">
            <v>15/数铣180</v>
          </cell>
          <cell r="J2713" t="str">
            <v>20/钳</v>
          </cell>
          <cell r="K2713" t="str">
            <v>25/超探</v>
          </cell>
          <cell r="L2713" t="str">
            <v>30/数铣240</v>
          </cell>
          <cell r="M2713" t="str">
            <v>35/数铣240</v>
          </cell>
          <cell r="N2713" t="str">
            <v>40/时效</v>
          </cell>
          <cell r="O2713" t="str">
            <v>45序数铣30</v>
          </cell>
          <cell r="P2713" t="str">
            <v>50/数铣35</v>
          </cell>
          <cell r="Q2713" t="str">
            <v>55/数铣35</v>
          </cell>
          <cell r="R2713" t="str">
            <v>60/数铣220</v>
          </cell>
          <cell r="S2713" t="str">
            <v>65/数铣180</v>
          </cell>
          <cell r="T2713" t="str">
            <v>70/数铣20</v>
          </cell>
          <cell r="U2713" t="str">
            <v>75/数铣35</v>
          </cell>
          <cell r="V2713" t="str">
            <v>78/数铣255</v>
          </cell>
          <cell r="W2713" t="str">
            <v>80/数铣80</v>
          </cell>
          <cell r="X2713" t="str">
            <v>85/钳工</v>
          </cell>
          <cell r="Y2713" t="str">
            <v>88/称重</v>
          </cell>
          <cell r="Z2713" t="str">
            <v>90/测量</v>
          </cell>
          <cell r="AA2713" t="str">
            <v>95/清洁</v>
          </cell>
          <cell r="AB2713" t="str">
            <v>100/成检</v>
          </cell>
        </row>
        <row r="2714">
          <cell r="B2714" t="str">
            <v>C532210941-001R001</v>
          </cell>
          <cell r="D2714" t="str">
            <v>A</v>
          </cell>
          <cell r="E2714" t="str">
            <v>准备工时</v>
          </cell>
          <cell r="H2714">
            <v>90</v>
          </cell>
          <cell r="I2714">
            <v>90</v>
          </cell>
          <cell r="L2714">
            <v>120</v>
          </cell>
          <cell r="M2714">
            <v>90</v>
          </cell>
          <cell r="O2714">
            <v>120</v>
          </cell>
          <cell r="P2714">
            <v>90</v>
          </cell>
          <cell r="Q2714">
            <v>90</v>
          </cell>
          <cell r="R2714">
            <v>120</v>
          </cell>
          <cell r="S2714">
            <v>120</v>
          </cell>
          <cell r="T2714">
            <v>90</v>
          </cell>
          <cell r="U2714">
            <v>90</v>
          </cell>
          <cell r="V2714">
            <v>90</v>
          </cell>
          <cell r="W2714">
            <v>120</v>
          </cell>
        </row>
        <row r="2715">
          <cell r="B2715" t="str">
            <v>C532210941-001R001</v>
          </cell>
          <cell r="D2715" t="str">
            <v>A</v>
          </cell>
          <cell r="E2715" t="str">
            <v>装夹时间</v>
          </cell>
        </row>
        <row r="2716">
          <cell r="B2716" t="str">
            <v>C532210941-001R001</v>
          </cell>
          <cell r="D2716" t="str">
            <v>A</v>
          </cell>
          <cell r="E2716" t="str">
            <v>程序时间</v>
          </cell>
          <cell r="H2716">
            <v>1000</v>
          </cell>
          <cell r="I2716">
            <v>600</v>
          </cell>
          <cell r="J2716">
            <v>120</v>
          </cell>
          <cell r="L2716">
            <v>840</v>
          </cell>
          <cell r="M2716">
            <v>840</v>
          </cell>
          <cell r="O2716">
            <v>240</v>
          </cell>
          <cell r="P2716">
            <v>120</v>
          </cell>
          <cell r="Q2716">
            <v>120</v>
          </cell>
          <cell r="R2716">
            <v>720</v>
          </cell>
          <cell r="S2716">
            <v>720</v>
          </cell>
          <cell r="T2716">
            <v>240</v>
          </cell>
          <cell r="U2716">
            <v>150</v>
          </cell>
          <cell r="V2716">
            <v>480</v>
          </cell>
          <cell r="W2716">
            <v>360</v>
          </cell>
          <cell r="X2716">
            <v>480</v>
          </cell>
          <cell r="Y2716">
            <v>60</v>
          </cell>
        </row>
        <row r="2717">
          <cell r="B2717" t="str">
            <v>C532210941-001R001</v>
          </cell>
          <cell r="D2717" t="str">
            <v>B</v>
          </cell>
          <cell r="E2717" t="str">
            <v>工序内容</v>
          </cell>
          <cell r="F2717" t="str">
            <v>0领料</v>
          </cell>
          <cell r="G2717" t="str">
            <v>5/线切割</v>
          </cell>
          <cell r="H2717" t="str">
            <v>10/数铣360</v>
          </cell>
          <cell r="I2717" t="str">
            <v>15/数铣180</v>
          </cell>
          <cell r="J2717" t="str">
            <v>20/钳</v>
          </cell>
          <cell r="K2717" t="str">
            <v>25/超探</v>
          </cell>
          <cell r="L2717" t="str">
            <v>30/数铣240</v>
          </cell>
          <cell r="M2717" t="str">
            <v>35/数铣240</v>
          </cell>
          <cell r="N2717" t="str">
            <v>40/时效</v>
          </cell>
          <cell r="O2717" t="str">
            <v>45序数铣30</v>
          </cell>
          <cell r="P2717" t="str">
            <v>50/数铣35</v>
          </cell>
          <cell r="Q2717" t="str">
            <v>55/数铣35</v>
          </cell>
          <cell r="R2717" t="str">
            <v>60/数铣220</v>
          </cell>
          <cell r="S2717" t="str">
            <v>65/数铣180</v>
          </cell>
          <cell r="T2717" t="str">
            <v>70/数铣20</v>
          </cell>
          <cell r="U2717" t="str">
            <v>75/数铣35</v>
          </cell>
          <cell r="V2717" t="str">
            <v>78/数铣255</v>
          </cell>
          <cell r="W2717" t="str">
            <v>80/数铣80</v>
          </cell>
          <cell r="X2717" t="str">
            <v>85/钳工</v>
          </cell>
          <cell r="Y2717" t="str">
            <v>88/称重</v>
          </cell>
          <cell r="Z2717" t="str">
            <v>90/测量</v>
          </cell>
          <cell r="AA2717" t="str">
            <v>95/清洁</v>
          </cell>
          <cell r="AB2717" t="str">
            <v>100/成检</v>
          </cell>
        </row>
        <row r="2718">
          <cell r="B2718" t="str">
            <v>C532210941-001R001</v>
          </cell>
          <cell r="D2718" t="str">
            <v>B</v>
          </cell>
          <cell r="E2718" t="str">
            <v>准备工时</v>
          </cell>
          <cell r="H2718">
            <v>90</v>
          </cell>
          <cell r="I2718">
            <v>90</v>
          </cell>
          <cell r="L2718">
            <v>120</v>
          </cell>
          <cell r="M2718">
            <v>90</v>
          </cell>
          <cell r="O2718">
            <v>120</v>
          </cell>
          <cell r="P2718">
            <v>90</v>
          </cell>
          <cell r="Q2718">
            <v>90</v>
          </cell>
          <cell r="R2718">
            <v>120</v>
          </cell>
          <cell r="S2718">
            <v>120</v>
          </cell>
          <cell r="T2718">
            <v>90</v>
          </cell>
          <cell r="U2718">
            <v>90</v>
          </cell>
          <cell r="V2718">
            <v>90</v>
          </cell>
          <cell r="W2718">
            <v>120</v>
          </cell>
        </row>
        <row r="2719">
          <cell r="B2719" t="str">
            <v>C532210941-001R001</v>
          </cell>
          <cell r="D2719" t="str">
            <v>B</v>
          </cell>
          <cell r="E2719" t="str">
            <v>装夹时间</v>
          </cell>
        </row>
        <row r="2720">
          <cell r="B2720" t="str">
            <v>C532210941-001R001</v>
          </cell>
          <cell r="D2720" t="str">
            <v>B</v>
          </cell>
          <cell r="E2720" t="str">
            <v>程序时间</v>
          </cell>
          <cell r="H2720">
            <v>960</v>
          </cell>
          <cell r="I2720">
            <v>600</v>
          </cell>
          <cell r="J2720">
            <v>120</v>
          </cell>
          <cell r="L2720">
            <v>1400</v>
          </cell>
          <cell r="M2720">
            <v>1400</v>
          </cell>
          <cell r="O2720">
            <v>240</v>
          </cell>
          <cell r="P2720">
            <v>120</v>
          </cell>
          <cell r="Q2720">
            <v>120</v>
          </cell>
          <cell r="R2720">
            <v>720</v>
          </cell>
          <cell r="S2720">
            <v>720</v>
          </cell>
          <cell r="T2720">
            <v>420</v>
          </cell>
          <cell r="U2720">
            <v>120</v>
          </cell>
          <cell r="V2720">
            <v>480</v>
          </cell>
          <cell r="W2720">
            <v>360</v>
          </cell>
          <cell r="X2720">
            <v>480</v>
          </cell>
          <cell r="Y2720">
            <v>90</v>
          </cell>
        </row>
        <row r="2721">
          <cell r="B2721" t="str">
            <v>C532210921-001L001</v>
          </cell>
          <cell r="D2721" t="str">
            <v>A</v>
          </cell>
          <cell r="E2721" t="str">
            <v>工序内容</v>
          </cell>
          <cell r="F2721" t="str">
            <v>0领料</v>
          </cell>
          <cell r="G2721" t="str">
            <v>5普铣</v>
          </cell>
          <cell r="H2721" t="str">
            <v>10/数铣150</v>
          </cell>
          <cell r="I2721" t="str">
            <v>15/数铣80</v>
          </cell>
          <cell r="J2721" t="str">
            <v>20/钳工</v>
          </cell>
          <cell r="K2721" t="str">
            <v>25/超探</v>
          </cell>
          <cell r="L2721" t="str">
            <v>30/检验</v>
          </cell>
          <cell r="M2721" t="str">
            <v>35/普铣</v>
          </cell>
          <cell r="N2721" t="str">
            <v>40/数铣40</v>
          </cell>
          <cell r="O2721" t="str">
            <v>45/数铣20</v>
          </cell>
          <cell r="P2721" t="str">
            <v>50/数铣680</v>
          </cell>
          <cell r="Q2721" t="str">
            <v>55/时效</v>
          </cell>
          <cell r="R2721" t="str">
            <v>60/数铣</v>
          </cell>
          <cell r="S2721" t="str">
            <v>65/数铣165</v>
          </cell>
          <cell r="T2721" t="str">
            <v>70/数铣450</v>
          </cell>
          <cell r="U2721" t="str">
            <v>75/数铣20</v>
          </cell>
          <cell r="V2721" t="str">
            <v>80数铣25</v>
          </cell>
          <cell r="W2721" t="str">
            <v>85/五轴15</v>
          </cell>
          <cell r="X2721" t="str">
            <v>90数铣10</v>
          </cell>
          <cell r="Y2721" t="str">
            <v>95测量</v>
          </cell>
          <cell r="Z2721" t="str">
            <v>100钳工</v>
          </cell>
          <cell r="AA2721" t="str">
            <v>103称重</v>
          </cell>
          <cell r="AB2721" t="str">
            <v>105清洁</v>
          </cell>
          <cell r="AC2721" t="str">
            <v>110成检</v>
          </cell>
        </row>
        <row r="2722">
          <cell r="B2722" t="str">
            <v>C532210921-001L001</v>
          </cell>
          <cell r="D2722" t="str">
            <v>A</v>
          </cell>
          <cell r="E2722" t="str">
            <v>准备工时</v>
          </cell>
          <cell r="G2722">
            <v>60</v>
          </cell>
          <cell r="H2722">
            <v>90</v>
          </cell>
          <cell r="I2722">
            <v>90</v>
          </cell>
          <cell r="M2722">
            <v>60</v>
          </cell>
          <cell r="N2722">
            <v>90</v>
          </cell>
          <cell r="O2722">
            <v>90</v>
          </cell>
          <cell r="P2722">
            <v>90</v>
          </cell>
          <cell r="R2722">
            <v>90</v>
          </cell>
          <cell r="S2722">
            <v>150</v>
          </cell>
          <cell r="T2722">
            <v>120</v>
          </cell>
          <cell r="U2722">
            <v>120</v>
          </cell>
          <cell r="V2722">
            <v>120</v>
          </cell>
          <cell r="W2722">
            <v>90</v>
          </cell>
          <cell r="X2722">
            <v>90</v>
          </cell>
        </row>
        <row r="2723">
          <cell r="B2723" t="str">
            <v>C532210921-001L001</v>
          </cell>
          <cell r="D2723" t="str">
            <v>A</v>
          </cell>
          <cell r="E2723" t="str">
            <v>装夹时间</v>
          </cell>
          <cell r="W2723">
            <v>60</v>
          </cell>
        </row>
        <row r="2724">
          <cell r="B2724" t="str">
            <v>C532210921-001L001</v>
          </cell>
          <cell r="D2724" t="str">
            <v>A</v>
          </cell>
          <cell r="E2724" t="str">
            <v>程序时间</v>
          </cell>
          <cell r="G2724">
            <v>900</v>
          </cell>
          <cell r="H2724">
            <v>480</v>
          </cell>
          <cell r="I2724">
            <v>720</v>
          </cell>
          <cell r="J2724">
            <v>150</v>
          </cell>
          <cell r="M2724">
            <v>480</v>
          </cell>
          <cell r="N2724">
            <v>180</v>
          </cell>
          <cell r="O2724">
            <v>120</v>
          </cell>
          <cell r="P2724">
            <v>1920</v>
          </cell>
          <cell r="R2724">
            <v>660</v>
          </cell>
          <cell r="S2724">
            <v>480</v>
          </cell>
          <cell r="T2724">
            <v>1320</v>
          </cell>
          <cell r="U2724">
            <v>180</v>
          </cell>
          <cell r="V2724">
            <v>360</v>
          </cell>
          <cell r="W2724">
            <v>240</v>
          </cell>
          <cell r="X2724">
            <v>240</v>
          </cell>
          <cell r="Z2724">
            <v>360</v>
          </cell>
          <cell r="AA2724">
            <v>90</v>
          </cell>
        </row>
        <row r="2725">
          <cell r="B2725" t="str">
            <v>C532210921-001R001</v>
          </cell>
          <cell r="D2725" t="str">
            <v>A</v>
          </cell>
          <cell r="E2725" t="str">
            <v>工序内容</v>
          </cell>
          <cell r="F2725" t="str">
            <v>0领料</v>
          </cell>
          <cell r="G2725" t="str">
            <v>5普铣</v>
          </cell>
          <cell r="H2725" t="str">
            <v>10/数铣150</v>
          </cell>
          <cell r="I2725" t="str">
            <v>15/数铣80</v>
          </cell>
          <cell r="J2725" t="str">
            <v>20/钳工</v>
          </cell>
          <cell r="K2725" t="str">
            <v>25/超探</v>
          </cell>
          <cell r="L2725" t="str">
            <v>30/检验</v>
          </cell>
          <cell r="M2725" t="str">
            <v>35/普铣</v>
          </cell>
          <cell r="N2725" t="str">
            <v>40/数铣40</v>
          </cell>
          <cell r="O2725" t="str">
            <v>45/数铣20</v>
          </cell>
          <cell r="P2725" t="str">
            <v>50/数铣680</v>
          </cell>
          <cell r="Q2725" t="str">
            <v>55/时效</v>
          </cell>
          <cell r="R2725" t="str">
            <v>60/数铣</v>
          </cell>
          <cell r="S2725" t="str">
            <v>65/数铣165</v>
          </cell>
          <cell r="T2725" t="str">
            <v>70/数铣450</v>
          </cell>
          <cell r="U2725" t="str">
            <v>75/数铣20</v>
          </cell>
          <cell r="V2725" t="str">
            <v>80数铣25</v>
          </cell>
          <cell r="W2725" t="str">
            <v>85/五轴15</v>
          </cell>
          <cell r="X2725" t="str">
            <v>90数铣10</v>
          </cell>
          <cell r="Y2725" t="str">
            <v>95测量</v>
          </cell>
          <cell r="Z2725" t="str">
            <v>100钳工</v>
          </cell>
          <cell r="AA2725" t="str">
            <v>103称重</v>
          </cell>
          <cell r="AB2725" t="str">
            <v>105清洁</v>
          </cell>
          <cell r="AC2725" t="str">
            <v>110成检</v>
          </cell>
        </row>
        <row r="2726">
          <cell r="B2726" t="str">
            <v>C532210921-001R001</v>
          </cell>
          <cell r="D2726" t="str">
            <v>A</v>
          </cell>
          <cell r="E2726" t="str">
            <v>准备工时</v>
          </cell>
          <cell r="G2726">
            <v>60</v>
          </cell>
          <cell r="H2726">
            <v>90</v>
          </cell>
          <cell r="I2726">
            <v>90</v>
          </cell>
          <cell r="M2726">
            <v>60</v>
          </cell>
          <cell r="N2726">
            <v>90</v>
          </cell>
          <cell r="O2726">
            <v>90</v>
          </cell>
          <cell r="P2726">
            <v>90</v>
          </cell>
          <cell r="R2726">
            <v>90</v>
          </cell>
          <cell r="S2726">
            <v>150</v>
          </cell>
          <cell r="T2726">
            <v>120</v>
          </cell>
          <cell r="U2726">
            <v>120</v>
          </cell>
          <cell r="V2726">
            <v>120</v>
          </cell>
          <cell r="W2726">
            <v>90</v>
          </cell>
          <cell r="X2726">
            <v>90</v>
          </cell>
        </row>
        <row r="2727">
          <cell r="B2727" t="str">
            <v>C532210921-001R001</v>
          </cell>
          <cell r="D2727" t="str">
            <v>A</v>
          </cell>
          <cell r="E2727" t="str">
            <v>装夹时间</v>
          </cell>
          <cell r="W2727">
            <v>60</v>
          </cell>
        </row>
        <row r="2728">
          <cell r="B2728" t="str">
            <v>C532210921-001R001</v>
          </cell>
          <cell r="D2728" t="str">
            <v>A</v>
          </cell>
          <cell r="E2728" t="str">
            <v>程序时间</v>
          </cell>
          <cell r="G2728">
            <v>900</v>
          </cell>
          <cell r="H2728">
            <v>480</v>
          </cell>
          <cell r="I2728">
            <v>720</v>
          </cell>
          <cell r="J2728">
            <v>150</v>
          </cell>
          <cell r="M2728">
            <v>480</v>
          </cell>
          <cell r="N2728">
            <v>180</v>
          </cell>
          <cell r="O2728">
            <v>120</v>
          </cell>
          <cell r="P2728">
            <v>1920</v>
          </cell>
          <cell r="R2728">
            <v>660</v>
          </cell>
          <cell r="S2728">
            <v>480</v>
          </cell>
          <cell r="T2728">
            <v>1320</v>
          </cell>
          <cell r="U2728">
            <v>180</v>
          </cell>
          <cell r="V2728">
            <v>360</v>
          </cell>
          <cell r="W2728">
            <v>240</v>
          </cell>
          <cell r="X2728">
            <v>240</v>
          </cell>
          <cell r="Z2728">
            <v>360</v>
          </cell>
          <cell r="AA2728">
            <v>90</v>
          </cell>
        </row>
        <row r="2729">
          <cell r="B2729" t="str">
            <v>DD-J10B-94076-802</v>
          </cell>
          <cell r="D2729" t="str">
            <v>E</v>
          </cell>
          <cell r="E2729" t="str">
            <v>工序内容</v>
          </cell>
          <cell r="F2729" t="str">
            <v>3数车15</v>
          </cell>
          <cell r="G2729" t="str">
            <v>5普铣</v>
          </cell>
          <cell r="H2729" t="str">
            <v>10线切割</v>
          </cell>
          <cell r="I2729" t="str">
            <v>15分光</v>
          </cell>
          <cell r="J2729" t="str">
            <v>20热处理</v>
          </cell>
          <cell r="K2729" t="str">
            <v>25检验</v>
          </cell>
          <cell r="L2729" t="str">
            <v>30/线切割</v>
          </cell>
          <cell r="M2729" t="str">
            <v>35/数铣35</v>
          </cell>
          <cell r="N2729" t="str">
            <v>40/线切割</v>
          </cell>
          <cell r="O2729" t="str">
            <v>45/数铣26</v>
          </cell>
          <cell r="P2729" t="str">
            <v>50/数铣40</v>
          </cell>
          <cell r="Q2729" t="str">
            <v>55/钳工</v>
          </cell>
          <cell r="R2729" t="str">
            <v>60/清洁</v>
          </cell>
          <cell r="S2729" t="str">
            <v>65/成检</v>
          </cell>
          <cell r="T2729" t="str">
            <v>65/成检</v>
          </cell>
        </row>
        <row r="2730">
          <cell r="B2730" t="str">
            <v>DD-J10B-94076-802</v>
          </cell>
          <cell r="D2730" t="str">
            <v>E</v>
          </cell>
          <cell r="E2730" t="str">
            <v>准备工时</v>
          </cell>
          <cell r="F2730">
            <v>60</v>
          </cell>
          <cell r="G2730">
            <v>60</v>
          </cell>
          <cell r="M2730" t="str">
            <v>90</v>
          </cell>
          <cell r="O2730" t="str">
            <v>90</v>
          </cell>
          <cell r="P2730">
            <v>90</v>
          </cell>
        </row>
        <row r="2731">
          <cell r="B2731" t="str">
            <v>DD-J10B-94076-802</v>
          </cell>
          <cell r="D2731" t="str">
            <v>E</v>
          </cell>
          <cell r="E2731" t="str">
            <v>装夹时间</v>
          </cell>
        </row>
        <row r="2732">
          <cell r="B2732" t="str">
            <v>DD-J10B-94076-802</v>
          </cell>
          <cell r="D2732" t="str">
            <v>E</v>
          </cell>
          <cell r="E2732" t="str">
            <v>程序时间</v>
          </cell>
          <cell r="F2732">
            <v>20</v>
          </cell>
          <cell r="G2732">
            <v>100</v>
          </cell>
          <cell r="M2732" t="str">
            <v>60</v>
          </cell>
          <cell r="N2732" t="str">
            <v>30</v>
          </cell>
          <cell r="O2732" t="str">
            <v>50</v>
          </cell>
          <cell r="P2732">
            <v>70</v>
          </cell>
          <cell r="Q2732">
            <v>60</v>
          </cell>
        </row>
        <row r="2733">
          <cell r="B2733" t="str">
            <v>DD-J10B-94076-803</v>
          </cell>
          <cell r="D2733" t="str">
            <v>G</v>
          </cell>
          <cell r="E2733" t="str">
            <v>工序内容</v>
          </cell>
          <cell r="F2733" t="str">
            <v>3数车15</v>
          </cell>
          <cell r="G2733" t="str">
            <v>5普铣</v>
          </cell>
          <cell r="H2733" t="str">
            <v>10线切割</v>
          </cell>
          <cell r="I2733" t="str">
            <v>15分光</v>
          </cell>
          <cell r="J2733" t="str">
            <v>20热处理</v>
          </cell>
          <cell r="K2733" t="str">
            <v>25线切割</v>
          </cell>
          <cell r="L2733" t="str">
            <v>30/数铣45</v>
          </cell>
          <cell r="M2733" t="str">
            <v>35线切割</v>
          </cell>
          <cell r="N2733" t="str">
            <v>40数铣25</v>
          </cell>
          <cell r="O2733" t="str">
            <v>45数铣40</v>
          </cell>
          <cell r="P2733" t="str">
            <v>50钳工</v>
          </cell>
          <cell r="Q2733" t="str">
            <v>55/清洁</v>
          </cell>
          <cell r="R2733" t="str">
            <v>60/成检</v>
          </cell>
          <cell r="S2733" t="str">
            <v>65/成检</v>
          </cell>
          <cell r="T2733" t="str">
            <v>65/成检</v>
          </cell>
        </row>
        <row r="2734">
          <cell r="B2734" t="str">
            <v>DD-J10B-94076-803</v>
          </cell>
          <cell r="D2734" t="str">
            <v>G</v>
          </cell>
          <cell r="E2734" t="str">
            <v>准备工时</v>
          </cell>
          <cell r="F2734">
            <v>60</v>
          </cell>
          <cell r="G2734">
            <v>60</v>
          </cell>
          <cell r="L2734" t="str">
            <v>90</v>
          </cell>
          <cell r="N2734" t="str">
            <v>90</v>
          </cell>
          <cell r="O2734">
            <v>90</v>
          </cell>
        </row>
        <row r="2735">
          <cell r="B2735" t="str">
            <v>DD-J10B-94076-803</v>
          </cell>
          <cell r="D2735" t="str">
            <v>G</v>
          </cell>
          <cell r="E2735" t="str">
            <v>装夹时间</v>
          </cell>
        </row>
        <row r="2736">
          <cell r="B2736" t="str">
            <v>DD-J10B-94076-803</v>
          </cell>
          <cell r="D2736" t="str">
            <v>G</v>
          </cell>
          <cell r="E2736" t="str">
            <v>程序时间</v>
          </cell>
          <cell r="F2736">
            <v>20</v>
          </cell>
          <cell r="G2736">
            <v>100</v>
          </cell>
          <cell r="L2736" t="str">
            <v>60</v>
          </cell>
          <cell r="M2736" t="str">
            <v>30</v>
          </cell>
          <cell r="N2736" t="str">
            <v>50</v>
          </cell>
          <cell r="O2736">
            <v>70</v>
          </cell>
          <cell r="P2736">
            <v>60</v>
          </cell>
        </row>
        <row r="2737">
          <cell r="B2737" t="str">
            <v>CB2284462-001-001</v>
          </cell>
          <cell r="D2737" t="str">
            <v>C</v>
          </cell>
          <cell r="E2737" t="str">
            <v>工序内容</v>
          </cell>
          <cell r="F2737" t="str">
            <v>0/领料</v>
          </cell>
          <cell r="G2737" t="str">
            <v>05/普车5</v>
          </cell>
          <cell r="H2737" t="str">
            <v>10/钳工</v>
          </cell>
          <cell r="I2737" t="str">
            <v>15/分光</v>
          </cell>
          <cell r="J2737" t="str">
            <v>20/车铣35</v>
          </cell>
          <cell r="K2737" t="str">
            <v>25数车15</v>
          </cell>
          <cell r="L2737" t="str">
            <v>30/钳工</v>
          </cell>
          <cell r="M2737" t="str">
            <v>35/清洁</v>
          </cell>
          <cell r="N2737" t="str">
            <v>40/成检</v>
          </cell>
        </row>
        <row r="2738">
          <cell r="B2738" t="str">
            <v>CB2284462-001-001</v>
          </cell>
          <cell r="D2738" t="str">
            <v>C</v>
          </cell>
          <cell r="E2738" t="str">
            <v>准备工时</v>
          </cell>
          <cell r="G2738">
            <v>60</v>
          </cell>
          <cell r="J2738">
            <v>120</v>
          </cell>
          <cell r="K2738">
            <v>120</v>
          </cell>
        </row>
        <row r="2739">
          <cell r="B2739" t="str">
            <v>CB2284462-001-001</v>
          </cell>
          <cell r="D2739" t="str">
            <v>C</v>
          </cell>
          <cell r="E2739" t="str">
            <v>装夹时间</v>
          </cell>
        </row>
        <row r="2740">
          <cell r="B2740" t="str">
            <v>CB2284462-001-001</v>
          </cell>
          <cell r="D2740" t="str">
            <v>C</v>
          </cell>
          <cell r="E2740" t="str">
            <v>程序时间</v>
          </cell>
          <cell r="G2740">
            <v>15</v>
          </cell>
          <cell r="H2740">
            <v>10</v>
          </cell>
          <cell r="J2740">
            <v>70</v>
          </cell>
          <cell r="K2740">
            <v>30</v>
          </cell>
          <cell r="L2740">
            <v>30</v>
          </cell>
        </row>
        <row r="2741">
          <cell r="B2741" t="str">
            <v>CB22843G7-002-001</v>
          </cell>
          <cell r="D2741" t="str">
            <v>B</v>
          </cell>
          <cell r="E2741" t="str">
            <v>工序内容</v>
          </cell>
          <cell r="F2741" t="str">
            <v>0/领料</v>
          </cell>
          <cell r="G2741" t="str">
            <v>05/下料</v>
          </cell>
          <cell r="H2741" t="str">
            <v>10/普车</v>
          </cell>
          <cell r="I2741" t="str">
            <v>15/线切割</v>
          </cell>
          <cell r="J2741" t="str">
            <v>20/数车35</v>
          </cell>
          <cell r="K2741" t="str">
            <v>25/钳工</v>
          </cell>
          <cell r="L2741" t="str">
            <v>30/分光</v>
          </cell>
          <cell r="M2741" t="str">
            <v>35/数车30</v>
          </cell>
          <cell r="N2741" t="str">
            <v>40/数铣30</v>
          </cell>
          <cell r="O2741" t="str">
            <v>45/数车30</v>
          </cell>
          <cell r="P2741" t="str">
            <v>50/数铣15</v>
          </cell>
          <cell r="Q2741" t="str">
            <v>55/钳工</v>
          </cell>
          <cell r="R2741" t="str">
            <v>60/清洁</v>
          </cell>
          <cell r="S2741" t="str">
            <v>65/成检</v>
          </cell>
        </row>
        <row r="2742">
          <cell r="B2742" t="str">
            <v>CB22843G7-002-001</v>
          </cell>
          <cell r="D2742" t="str">
            <v>B</v>
          </cell>
          <cell r="E2742" t="str">
            <v>准备工时</v>
          </cell>
          <cell r="H2742">
            <v>60</v>
          </cell>
          <cell r="J2742">
            <v>90</v>
          </cell>
          <cell r="M2742">
            <v>120</v>
          </cell>
          <cell r="N2742">
            <v>120</v>
          </cell>
          <cell r="O2742">
            <v>120</v>
          </cell>
          <cell r="P2742">
            <v>90</v>
          </cell>
        </row>
        <row r="2743">
          <cell r="B2743" t="str">
            <v>CB22843G7-002-001</v>
          </cell>
          <cell r="D2743" t="str">
            <v>B</v>
          </cell>
          <cell r="E2743" t="str">
            <v>装夹时间</v>
          </cell>
        </row>
        <row r="2744">
          <cell r="B2744" t="str">
            <v>CB22843G7-002-001</v>
          </cell>
          <cell r="D2744" t="str">
            <v>B</v>
          </cell>
          <cell r="E2744" t="str">
            <v>程序时间</v>
          </cell>
          <cell r="H2744">
            <v>30</v>
          </cell>
          <cell r="J2744">
            <v>55</v>
          </cell>
          <cell r="K2744">
            <v>20</v>
          </cell>
          <cell r="M2744">
            <v>50</v>
          </cell>
          <cell r="N2744">
            <v>50</v>
          </cell>
          <cell r="O2744">
            <v>50</v>
          </cell>
          <cell r="P2744">
            <v>40</v>
          </cell>
          <cell r="Q2744">
            <v>35</v>
          </cell>
        </row>
        <row r="2745">
          <cell r="B2745" t="str">
            <v>CB5811100-001-001</v>
          </cell>
          <cell r="D2745" t="str">
            <v>C</v>
          </cell>
          <cell r="E2745" t="str">
            <v>工序内容</v>
          </cell>
          <cell r="F2745" t="str">
            <v>0/领料</v>
          </cell>
          <cell r="G2745" t="str">
            <v>05/普车</v>
          </cell>
          <cell r="H2745" t="str">
            <v>10/钳工</v>
          </cell>
          <cell r="I2745" t="str">
            <v>15/分光</v>
          </cell>
          <cell r="J2745" t="str">
            <v>20/热处理</v>
          </cell>
          <cell r="K2745" t="str">
            <v>25/数车10</v>
          </cell>
          <cell r="L2745" t="str">
            <v>30/线切割</v>
          </cell>
          <cell r="M2745" t="str">
            <v>35/平磨</v>
          </cell>
          <cell r="N2745" t="str">
            <v>40/清洁</v>
          </cell>
          <cell r="O2745" t="str">
            <v>45/成检</v>
          </cell>
        </row>
        <row r="2746">
          <cell r="B2746" t="str">
            <v>CB5811100-001-001</v>
          </cell>
          <cell r="D2746" t="str">
            <v>C</v>
          </cell>
          <cell r="E2746" t="str">
            <v>准备工时</v>
          </cell>
          <cell r="G2746">
            <v>60</v>
          </cell>
          <cell r="K2746">
            <v>90</v>
          </cell>
        </row>
        <row r="2747">
          <cell r="B2747" t="str">
            <v>CB5811100-001-001</v>
          </cell>
          <cell r="D2747" t="str">
            <v>C</v>
          </cell>
          <cell r="E2747" t="str">
            <v>装夹时间</v>
          </cell>
        </row>
        <row r="2748">
          <cell r="B2748" t="str">
            <v>CB5811100-001-001</v>
          </cell>
          <cell r="D2748" t="str">
            <v>C</v>
          </cell>
          <cell r="E2748" t="str">
            <v>程序时间</v>
          </cell>
          <cell r="G2748" t="str">
            <v>30/根</v>
          </cell>
          <cell r="H2748">
            <v>15</v>
          </cell>
          <cell r="K2748">
            <v>20</v>
          </cell>
        </row>
        <row r="2749">
          <cell r="B2749" t="str">
            <v>CB2280231-004-001</v>
          </cell>
          <cell r="D2749" t="str">
            <v>C</v>
          </cell>
          <cell r="E2749" t="str">
            <v>工序内容</v>
          </cell>
          <cell r="F2749" t="str">
            <v>0/领料</v>
          </cell>
          <cell r="G2749" t="str">
            <v>5/数车10</v>
          </cell>
          <cell r="H2749" t="str">
            <v>10/数车3</v>
          </cell>
          <cell r="I2749" t="str">
            <v>15/钳工</v>
          </cell>
          <cell r="J2749" t="str">
            <v>20/分光</v>
          </cell>
          <cell r="K2749" t="str">
            <v>25/钳工</v>
          </cell>
          <cell r="L2749" t="str">
            <v>20/清洁</v>
          </cell>
          <cell r="M2749" t="str">
            <v>25/成检</v>
          </cell>
        </row>
        <row r="2750">
          <cell r="B2750" t="str">
            <v>CB2280231-004-001</v>
          </cell>
          <cell r="D2750" t="str">
            <v>C</v>
          </cell>
          <cell r="E2750" t="str">
            <v>准备工时</v>
          </cell>
          <cell r="G2750">
            <v>60</v>
          </cell>
          <cell r="H2750">
            <v>60</v>
          </cell>
        </row>
        <row r="2751">
          <cell r="B2751" t="str">
            <v>CB2280231-004-001</v>
          </cell>
          <cell r="D2751" t="str">
            <v>C</v>
          </cell>
          <cell r="E2751" t="str">
            <v>程序时间</v>
          </cell>
          <cell r="G2751">
            <v>15</v>
          </cell>
          <cell r="H2751">
            <v>10</v>
          </cell>
          <cell r="I2751">
            <v>10</v>
          </cell>
          <cell r="K2751">
            <v>5</v>
          </cell>
        </row>
        <row r="2752">
          <cell r="B2752" t="str">
            <v>DD-J10B-94061-1061/2</v>
          </cell>
          <cell r="D2752" t="str">
            <v>C</v>
          </cell>
          <cell r="E2752" t="str">
            <v>工序内容</v>
          </cell>
          <cell r="F2752" t="str">
            <v>0/领料</v>
          </cell>
          <cell r="G2752" t="str">
            <v>5/数车35</v>
          </cell>
          <cell r="H2752" t="str">
            <v>10/数车5</v>
          </cell>
          <cell r="I2752" t="str">
            <v>15/钳工</v>
          </cell>
          <cell r="J2752" t="str">
            <v>20/分光</v>
          </cell>
          <cell r="K2752" t="str">
            <v>25/数车10</v>
          </cell>
          <cell r="L2752" t="str">
            <v>30/数铣</v>
          </cell>
          <cell r="M2752" t="str">
            <v>35/线切割</v>
          </cell>
          <cell r="N2752" t="str">
            <v>40/钳工</v>
          </cell>
          <cell r="O2752" t="str">
            <v>45/清洁</v>
          </cell>
          <cell r="P2752" t="str">
            <v>50/成检</v>
          </cell>
        </row>
        <row r="2753">
          <cell r="B2753" t="str">
            <v>DD-J10B-94061-1061/2</v>
          </cell>
          <cell r="D2753" t="str">
            <v>C</v>
          </cell>
          <cell r="E2753" t="str">
            <v>准备工时</v>
          </cell>
          <cell r="G2753">
            <v>90</v>
          </cell>
          <cell r="H2753">
            <v>60</v>
          </cell>
          <cell r="K2753">
            <v>60</v>
          </cell>
          <cell r="L2753">
            <v>60</v>
          </cell>
        </row>
        <row r="2754">
          <cell r="B2754" t="str">
            <v>DD-J10B-94061-1061/2</v>
          </cell>
          <cell r="D2754" t="str">
            <v>C</v>
          </cell>
          <cell r="E2754" t="str">
            <v>程序时间</v>
          </cell>
          <cell r="G2754">
            <v>40</v>
          </cell>
          <cell r="H2754">
            <v>15</v>
          </cell>
          <cell r="I2754">
            <v>10</v>
          </cell>
          <cell r="K2754">
            <v>15</v>
          </cell>
          <cell r="L2754">
            <v>40</v>
          </cell>
          <cell r="N2754">
            <v>40</v>
          </cell>
        </row>
        <row r="2755">
          <cell r="B2755" t="str">
            <v>DD-J10B-94061-1061/3</v>
          </cell>
          <cell r="D2755" t="str">
            <v>C</v>
          </cell>
          <cell r="E2755" t="str">
            <v>工序内容</v>
          </cell>
          <cell r="F2755" t="str">
            <v>0/领料</v>
          </cell>
          <cell r="G2755" t="str">
            <v>5/数车</v>
          </cell>
          <cell r="H2755" t="str">
            <v>10/数车</v>
          </cell>
          <cell r="I2755" t="str">
            <v>15/分光</v>
          </cell>
          <cell r="J2755" t="str">
            <v>20/数车</v>
          </cell>
          <cell r="K2755" t="str">
            <v>25/数铣20</v>
          </cell>
          <cell r="L2755" t="str">
            <v>30/数铣5</v>
          </cell>
          <cell r="M2755" t="str">
            <v>35/钳工</v>
          </cell>
          <cell r="N2755" t="str">
            <v>40/清洁</v>
          </cell>
          <cell r="O2755" t="str">
            <v>45/成检</v>
          </cell>
        </row>
        <row r="2756">
          <cell r="B2756" t="str">
            <v>DD-J10B-94061-1061/3</v>
          </cell>
          <cell r="D2756" t="str">
            <v>C</v>
          </cell>
          <cell r="E2756" t="str">
            <v>准备工时</v>
          </cell>
          <cell r="G2756">
            <v>90</v>
          </cell>
          <cell r="H2756">
            <v>60</v>
          </cell>
          <cell r="J2756">
            <v>60</v>
          </cell>
          <cell r="K2756">
            <v>60</v>
          </cell>
          <cell r="L2756">
            <v>90</v>
          </cell>
        </row>
        <row r="2757">
          <cell r="B2757" t="str">
            <v>DD-J10B-94061-1061/3</v>
          </cell>
          <cell r="D2757" t="str">
            <v>C</v>
          </cell>
          <cell r="E2757" t="str">
            <v>装夹时间</v>
          </cell>
        </row>
        <row r="2758">
          <cell r="B2758" t="str">
            <v>DD-J10B-94061-1061/3</v>
          </cell>
          <cell r="D2758" t="str">
            <v>C</v>
          </cell>
          <cell r="E2758" t="str">
            <v>程序时间</v>
          </cell>
          <cell r="G2758">
            <v>40</v>
          </cell>
          <cell r="H2758">
            <v>15</v>
          </cell>
          <cell r="J2758">
            <v>15</v>
          </cell>
          <cell r="K2758">
            <v>40</v>
          </cell>
          <cell r="L2758">
            <v>20</v>
          </cell>
          <cell r="M2758">
            <v>30</v>
          </cell>
        </row>
        <row r="2759">
          <cell r="B2759" t="str">
            <v>DD-J10-55165-710-3</v>
          </cell>
          <cell r="D2759" t="str">
            <v>C</v>
          </cell>
          <cell r="E2759" t="str">
            <v>工序内容</v>
          </cell>
          <cell r="F2759" t="str">
            <v>0/领料</v>
          </cell>
          <cell r="G2759" t="str">
            <v>5/数车8</v>
          </cell>
          <cell r="H2759" t="str">
            <v>10/数车3</v>
          </cell>
          <cell r="I2759" t="str">
            <v>15/钳工</v>
          </cell>
          <cell r="J2759" t="str">
            <v>20/清洁</v>
          </cell>
          <cell r="K2759" t="str">
            <v>25/成检</v>
          </cell>
        </row>
        <row r="2760">
          <cell r="B2760" t="str">
            <v>DD-J10-55165-710-3</v>
          </cell>
          <cell r="D2760" t="str">
            <v>C</v>
          </cell>
          <cell r="E2760" t="str">
            <v>准备工时</v>
          </cell>
          <cell r="G2760">
            <v>60</v>
          </cell>
          <cell r="H2760">
            <v>60</v>
          </cell>
        </row>
        <row r="2761">
          <cell r="B2761" t="str">
            <v>DD-J10-55165-710-3</v>
          </cell>
          <cell r="D2761" t="str">
            <v>C</v>
          </cell>
          <cell r="E2761" t="str">
            <v>装夹时间</v>
          </cell>
        </row>
        <row r="2762">
          <cell r="B2762" t="str">
            <v>DD-J10-55165-710-3</v>
          </cell>
          <cell r="D2762" t="str">
            <v>C</v>
          </cell>
          <cell r="E2762" t="str">
            <v>程序时间</v>
          </cell>
          <cell r="G2762">
            <v>15</v>
          </cell>
          <cell r="H2762">
            <v>8</v>
          </cell>
          <cell r="I2762">
            <v>10</v>
          </cell>
        </row>
        <row r="2763">
          <cell r="B2763" t="str">
            <v>DD-J10B-61041-18</v>
          </cell>
          <cell r="D2763" t="str">
            <v>B</v>
          </cell>
          <cell r="E2763" t="str">
            <v>工序内容</v>
          </cell>
          <cell r="F2763" t="str">
            <v>0/领料</v>
          </cell>
          <cell r="G2763" t="str">
            <v>05/数车30</v>
          </cell>
          <cell r="H2763" t="str">
            <v>10/数车10</v>
          </cell>
          <cell r="I2763" t="str">
            <v>15/分光</v>
          </cell>
          <cell r="J2763" t="str">
            <v>20/硬度</v>
          </cell>
          <cell r="K2763" t="str">
            <v>25/车铣25</v>
          </cell>
          <cell r="L2763" t="str">
            <v>30/数车30</v>
          </cell>
          <cell r="M2763" t="str">
            <v>35/钳工</v>
          </cell>
          <cell r="N2763" t="str">
            <v>40/清洁</v>
          </cell>
          <cell r="O2763" t="str">
            <v>45/成检</v>
          </cell>
        </row>
        <row r="2764">
          <cell r="B2764" t="str">
            <v>DD-J10B-61041-18</v>
          </cell>
          <cell r="D2764" t="str">
            <v>B</v>
          </cell>
          <cell r="E2764" t="str">
            <v>准备工时</v>
          </cell>
          <cell r="G2764">
            <v>90</v>
          </cell>
          <cell r="H2764">
            <v>60</v>
          </cell>
          <cell r="K2764">
            <v>120</v>
          </cell>
          <cell r="L2764">
            <v>90</v>
          </cell>
        </row>
        <row r="2765">
          <cell r="B2765" t="str">
            <v>DD-J10B-61041-18</v>
          </cell>
          <cell r="D2765" t="str">
            <v>B</v>
          </cell>
          <cell r="E2765" t="str">
            <v>装夹时间</v>
          </cell>
        </row>
        <row r="2766">
          <cell r="B2766" t="str">
            <v>DD-J10B-61041-18</v>
          </cell>
          <cell r="D2766" t="str">
            <v>B</v>
          </cell>
          <cell r="E2766" t="str">
            <v>程序时间</v>
          </cell>
          <cell r="G2766">
            <v>50</v>
          </cell>
          <cell r="H2766">
            <v>15</v>
          </cell>
          <cell r="K2766">
            <v>40</v>
          </cell>
          <cell r="L2766">
            <v>50</v>
          </cell>
          <cell r="M2766">
            <v>30</v>
          </cell>
        </row>
        <row r="2767">
          <cell r="B2767" t="str">
            <v>DD-J10B-61041-18</v>
          </cell>
          <cell r="D2767" t="str">
            <v>C</v>
          </cell>
          <cell r="E2767" t="str">
            <v>工序内容</v>
          </cell>
          <cell r="F2767" t="str">
            <v>0/领料</v>
          </cell>
          <cell r="G2767" t="str">
            <v>05/数车30</v>
          </cell>
          <cell r="H2767" t="str">
            <v>10/数车10</v>
          </cell>
          <cell r="I2767" t="str">
            <v>15/分光</v>
          </cell>
          <cell r="J2767" t="str">
            <v>20/硬度</v>
          </cell>
          <cell r="K2767" t="str">
            <v>25/车铣25</v>
          </cell>
          <cell r="L2767" t="str">
            <v>30/数车30</v>
          </cell>
          <cell r="M2767" t="str">
            <v>35/钳工</v>
          </cell>
          <cell r="N2767" t="str">
            <v>40/清洁</v>
          </cell>
          <cell r="O2767" t="str">
            <v>45/成检</v>
          </cell>
        </row>
        <row r="2768">
          <cell r="B2768" t="str">
            <v>DD-J10B-61041-18</v>
          </cell>
          <cell r="D2768" t="str">
            <v>C</v>
          </cell>
          <cell r="E2768" t="str">
            <v>准备工时</v>
          </cell>
          <cell r="G2768">
            <v>90</v>
          </cell>
          <cell r="H2768">
            <v>60</v>
          </cell>
          <cell r="K2768">
            <v>120</v>
          </cell>
          <cell r="L2768">
            <v>90</v>
          </cell>
        </row>
        <row r="2769">
          <cell r="B2769" t="str">
            <v>DD-J10B-61041-18</v>
          </cell>
          <cell r="D2769" t="str">
            <v>C</v>
          </cell>
          <cell r="E2769" t="str">
            <v>程序时间</v>
          </cell>
          <cell r="G2769">
            <v>50</v>
          </cell>
          <cell r="H2769">
            <v>15</v>
          </cell>
          <cell r="K2769">
            <v>40</v>
          </cell>
          <cell r="L2769">
            <v>50</v>
          </cell>
          <cell r="M2769">
            <v>30</v>
          </cell>
        </row>
        <row r="2770">
          <cell r="B2770" t="str">
            <v>DD-J10B-64016-600G2-1G2</v>
          </cell>
          <cell r="D2770" t="str">
            <v>B</v>
          </cell>
          <cell r="E2770" t="str">
            <v>工序内容</v>
          </cell>
          <cell r="F2770" t="str">
            <v>0/领料</v>
          </cell>
          <cell r="G2770" t="str">
            <v>5/数车10</v>
          </cell>
          <cell r="H2770" t="str">
            <v>10/数车10</v>
          </cell>
          <cell r="I2770" t="str">
            <v>15/钳工</v>
          </cell>
          <cell r="J2770" t="str">
            <v>20/钳工</v>
          </cell>
          <cell r="K2770" t="str">
            <v>25/分光</v>
          </cell>
          <cell r="L2770" t="str">
            <v>30/数车10</v>
          </cell>
          <cell r="M2770" t="str">
            <v>35/数车10</v>
          </cell>
          <cell r="N2770" t="str">
            <v>40/钳工</v>
          </cell>
          <cell r="O2770" t="str">
            <v>45/清洁</v>
          </cell>
          <cell r="P2770" t="str">
            <v>50/成检</v>
          </cell>
        </row>
        <row r="2771">
          <cell r="B2771" t="str">
            <v>DD-J10B-64016-600G2-1G2</v>
          </cell>
          <cell r="D2771" t="str">
            <v>B</v>
          </cell>
          <cell r="E2771" t="str">
            <v>准备工时</v>
          </cell>
          <cell r="G2771">
            <v>90</v>
          </cell>
          <cell r="H2771">
            <v>90</v>
          </cell>
          <cell r="L2771">
            <v>90</v>
          </cell>
          <cell r="M2771">
            <v>90</v>
          </cell>
        </row>
        <row r="2772">
          <cell r="B2772" t="str">
            <v>DD-J10B-64016-600G2-1G2</v>
          </cell>
          <cell r="D2772" t="str">
            <v>B</v>
          </cell>
          <cell r="E2772" t="str">
            <v>装夹时间</v>
          </cell>
        </row>
        <row r="2773">
          <cell r="B2773" t="str">
            <v>DD-J10B-64016-600G2-1G2</v>
          </cell>
          <cell r="D2773" t="str">
            <v>B</v>
          </cell>
          <cell r="E2773" t="str">
            <v>程序时间</v>
          </cell>
          <cell r="G2773">
            <v>15</v>
          </cell>
          <cell r="H2773">
            <v>15</v>
          </cell>
          <cell r="I2773">
            <v>5</v>
          </cell>
          <cell r="J2773">
            <v>25</v>
          </cell>
          <cell r="L2773">
            <v>25</v>
          </cell>
          <cell r="M2773">
            <v>15</v>
          </cell>
          <cell r="N2773">
            <v>15</v>
          </cell>
        </row>
        <row r="2774">
          <cell r="B2774" t="str">
            <v>CB2747G90-003-002</v>
          </cell>
          <cell r="D2774" t="str">
            <v>A</v>
          </cell>
          <cell r="E2774" t="str">
            <v>工序内容</v>
          </cell>
          <cell r="F2774" t="str">
            <v>0/领料</v>
          </cell>
          <cell r="G2774" t="str">
            <v>05/下料</v>
          </cell>
          <cell r="H2774" t="str">
            <v>10/数车20</v>
          </cell>
          <cell r="I2774" t="str">
            <v>15/数车45</v>
          </cell>
          <cell r="J2774" t="str">
            <v>20/数车45</v>
          </cell>
          <cell r="K2774" t="str">
            <v>25/线切割</v>
          </cell>
          <cell r="L2774" t="str">
            <v>30/数铣25</v>
          </cell>
          <cell r="M2774" t="str">
            <v>35/数铣15</v>
          </cell>
          <cell r="N2774" t="str">
            <v>40/数铣20</v>
          </cell>
          <cell r="O2774" t="str">
            <v>45/钳工</v>
          </cell>
          <cell r="P2774" t="str">
            <v>50/分光</v>
          </cell>
          <cell r="Q2774" t="str">
            <v>55/数铣</v>
          </cell>
          <cell r="R2774" t="str">
            <v>60/钳工</v>
          </cell>
          <cell r="S2774" t="str">
            <v>65/清洁</v>
          </cell>
          <cell r="T2774" t="str">
            <v>70/成检</v>
          </cell>
        </row>
        <row r="2775">
          <cell r="B2775" t="str">
            <v>CB2747G90-003-002</v>
          </cell>
          <cell r="D2775" t="str">
            <v>A</v>
          </cell>
          <cell r="E2775" t="str">
            <v>准备工时</v>
          </cell>
          <cell r="H2775">
            <v>60</v>
          </cell>
          <cell r="I2775">
            <v>120</v>
          </cell>
          <cell r="J2775">
            <v>120</v>
          </cell>
          <cell r="L2775">
            <v>60</v>
          </cell>
          <cell r="M2775">
            <v>60</v>
          </cell>
          <cell r="N2775">
            <v>60</v>
          </cell>
          <cell r="Q2775">
            <v>60</v>
          </cell>
        </row>
        <row r="2776">
          <cell r="B2776" t="str">
            <v>CB2747G90-003-002</v>
          </cell>
          <cell r="D2776" t="str">
            <v>A</v>
          </cell>
          <cell r="E2776" t="str">
            <v>装夹时间</v>
          </cell>
        </row>
        <row r="2777">
          <cell r="B2777" t="str">
            <v>CB2747G90-003-002</v>
          </cell>
          <cell r="D2777" t="str">
            <v>A</v>
          </cell>
          <cell r="E2777" t="str">
            <v>程序时间</v>
          </cell>
          <cell r="G2777">
            <v>20</v>
          </cell>
          <cell r="H2777">
            <v>35</v>
          </cell>
          <cell r="I2777">
            <v>100</v>
          </cell>
          <cell r="J2777">
            <v>100</v>
          </cell>
          <cell r="L2777">
            <v>35</v>
          </cell>
          <cell r="M2777">
            <v>30</v>
          </cell>
          <cell r="N2777">
            <v>40</v>
          </cell>
          <cell r="O2777">
            <v>40</v>
          </cell>
          <cell r="Q2777">
            <v>30</v>
          </cell>
          <cell r="R2777">
            <v>40</v>
          </cell>
        </row>
        <row r="2778">
          <cell r="B2778" t="str">
            <v>BC221T2MF-002-001</v>
          </cell>
          <cell r="D2778" t="str">
            <v>C</v>
          </cell>
          <cell r="E2778" t="str">
            <v>工序内容</v>
          </cell>
          <cell r="F2778" t="str">
            <v>0/领料</v>
          </cell>
          <cell r="G2778" t="str">
            <v>5/下料</v>
          </cell>
          <cell r="H2778" t="str">
            <v>10/数车15</v>
          </cell>
          <cell r="I2778" t="str">
            <v>15/数铣45</v>
          </cell>
          <cell r="J2778" t="str">
            <v>20/数铣15</v>
          </cell>
          <cell r="K2778" t="str">
            <v>25/数铣35</v>
          </cell>
          <cell r="L2778" t="str">
            <v>30/数铣15</v>
          </cell>
          <cell r="M2778" t="str">
            <v>35/线切割</v>
          </cell>
          <cell r="N2778" t="str">
            <v>40/钳工</v>
          </cell>
          <cell r="O2778" t="str">
            <v>45/清洁</v>
          </cell>
          <cell r="P2778" t="str">
            <v>50/检验</v>
          </cell>
          <cell r="Q2778" t="str">
            <v>55/分光</v>
          </cell>
          <cell r="R2778" t="str">
            <v>60/标记</v>
          </cell>
          <cell r="S2778" t="str">
            <v>65/成检</v>
          </cell>
        </row>
        <row r="2779">
          <cell r="B2779" t="str">
            <v>BC221T2MF-002-001</v>
          </cell>
          <cell r="D2779" t="str">
            <v>C</v>
          </cell>
          <cell r="E2779" t="str">
            <v>准备工时</v>
          </cell>
          <cell r="H2779">
            <v>60</v>
          </cell>
          <cell r="I2779">
            <v>60</v>
          </cell>
          <cell r="J2779">
            <v>60</v>
          </cell>
          <cell r="K2779">
            <v>60</v>
          </cell>
          <cell r="L2779">
            <v>60</v>
          </cell>
        </row>
        <row r="2780">
          <cell r="B2780" t="str">
            <v>BC221T2MF-002-001</v>
          </cell>
          <cell r="D2780" t="str">
            <v>C</v>
          </cell>
          <cell r="E2780" t="str">
            <v>装夹时间</v>
          </cell>
        </row>
        <row r="2781">
          <cell r="B2781" t="str">
            <v>BC221T2MF-002-001</v>
          </cell>
          <cell r="D2781" t="str">
            <v>C</v>
          </cell>
          <cell r="E2781" t="str">
            <v>程序时间</v>
          </cell>
          <cell r="G2781">
            <v>20</v>
          </cell>
          <cell r="H2781">
            <v>20</v>
          </cell>
          <cell r="I2781">
            <v>120</v>
          </cell>
          <cell r="J2781">
            <v>25</v>
          </cell>
          <cell r="K2781">
            <v>45</v>
          </cell>
          <cell r="L2781">
            <v>25</v>
          </cell>
          <cell r="M2781">
            <v>20</v>
          </cell>
          <cell r="N2781">
            <v>30</v>
          </cell>
        </row>
        <row r="2782">
          <cell r="B2782" t="str">
            <v>BC3101242-013L001</v>
          </cell>
          <cell r="D2782" t="str">
            <v>A</v>
          </cell>
          <cell r="E2782" t="str">
            <v>准备工时</v>
          </cell>
          <cell r="F2782" t="str">
            <v>0/领料</v>
          </cell>
          <cell r="G2782" t="str">
            <v>05/普车</v>
          </cell>
          <cell r="H2782" t="str">
            <v>10/钳工</v>
          </cell>
          <cell r="I2782" t="str">
            <v>15/分光</v>
          </cell>
          <cell r="J2782" t="str">
            <v>20/热处理</v>
          </cell>
          <cell r="K2782" t="str">
            <v>25/数车45</v>
          </cell>
          <cell r="L2782" t="str">
            <v>30/数车60</v>
          </cell>
          <cell r="M2782" t="str">
            <v>33/磨工</v>
          </cell>
          <cell r="N2782" t="str">
            <v>35数铣15</v>
          </cell>
          <cell r="O2782" t="str">
            <v>40/钳工</v>
          </cell>
          <cell r="P2782" t="str">
            <v>45/测量</v>
          </cell>
          <cell r="Q2782" t="str">
            <v>50/热处理</v>
          </cell>
          <cell r="R2782" t="str">
            <v>55/表处</v>
          </cell>
          <cell r="S2782" t="str">
            <v>60/数车30</v>
          </cell>
          <cell r="T2782" t="str">
            <v>65/钳工</v>
          </cell>
          <cell r="U2782" t="str">
            <v>70/清洁</v>
          </cell>
          <cell r="V2782" t="str">
            <v>75/成检</v>
          </cell>
        </row>
        <row r="2783">
          <cell r="B2783" t="str">
            <v>BC3101242-013L001</v>
          </cell>
          <cell r="D2783" t="str">
            <v>A</v>
          </cell>
          <cell r="E2783" t="str">
            <v>装夹时间</v>
          </cell>
          <cell r="G2783">
            <v>60</v>
          </cell>
          <cell r="K2783">
            <v>90</v>
          </cell>
          <cell r="L2783">
            <v>90</v>
          </cell>
          <cell r="N2783">
            <v>90</v>
          </cell>
          <cell r="S2783">
            <v>120</v>
          </cell>
        </row>
        <row r="2784">
          <cell r="B2784" t="str">
            <v>BC3101242-013L001</v>
          </cell>
          <cell r="D2784" t="str">
            <v>A</v>
          </cell>
          <cell r="E2784" t="str">
            <v>程序时间</v>
          </cell>
        </row>
        <row r="2785">
          <cell r="B2785" t="str">
            <v>BC3101242-013L001</v>
          </cell>
          <cell r="D2785" t="str">
            <v>A</v>
          </cell>
          <cell r="E2785" t="str">
            <v>程序时间</v>
          </cell>
          <cell r="G2785" t="str">
            <v>35/根</v>
          </cell>
          <cell r="H2785" t="str">
            <v>15/根</v>
          </cell>
          <cell r="K2785">
            <v>50</v>
          </cell>
          <cell r="L2785">
            <v>60</v>
          </cell>
          <cell r="N2785">
            <v>30</v>
          </cell>
          <cell r="O2785">
            <v>20</v>
          </cell>
          <cell r="S2785">
            <v>45</v>
          </cell>
          <cell r="T2785">
            <v>30</v>
          </cell>
        </row>
        <row r="2786">
          <cell r="B2786" t="str">
            <v>BC3101242-013R001</v>
          </cell>
          <cell r="D2786" t="str">
            <v>A</v>
          </cell>
          <cell r="E2786" t="str">
            <v>准备工时</v>
          </cell>
          <cell r="F2786" t="str">
            <v>0/领料</v>
          </cell>
          <cell r="G2786" t="str">
            <v>05/普车</v>
          </cell>
          <cell r="H2786" t="str">
            <v>10/钳工</v>
          </cell>
          <cell r="I2786" t="str">
            <v>15/分光</v>
          </cell>
          <cell r="J2786" t="str">
            <v>20/热处理</v>
          </cell>
          <cell r="K2786" t="str">
            <v>25/数车45</v>
          </cell>
          <cell r="L2786" t="str">
            <v>30/数车60</v>
          </cell>
          <cell r="M2786" t="str">
            <v>33/磨工</v>
          </cell>
          <cell r="N2786" t="str">
            <v>35数铣15</v>
          </cell>
          <cell r="O2786" t="str">
            <v>40/钳工</v>
          </cell>
          <cell r="P2786" t="str">
            <v>45/测量</v>
          </cell>
          <cell r="Q2786" t="str">
            <v>50/热处理</v>
          </cell>
          <cell r="R2786" t="str">
            <v>55/表处</v>
          </cell>
          <cell r="S2786" t="str">
            <v>60/数车30</v>
          </cell>
          <cell r="T2786" t="str">
            <v>65/钳工</v>
          </cell>
          <cell r="U2786" t="str">
            <v>70/清洁</v>
          </cell>
          <cell r="V2786" t="str">
            <v>75/成检</v>
          </cell>
        </row>
        <row r="2787">
          <cell r="B2787" t="str">
            <v>BC3101242-013R001</v>
          </cell>
          <cell r="D2787" t="str">
            <v>A</v>
          </cell>
          <cell r="E2787" t="str">
            <v>装夹时间</v>
          </cell>
          <cell r="G2787">
            <v>60</v>
          </cell>
          <cell r="K2787">
            <v>90</v>
          </cell>
          <cell r="L2787">
            <v>90</v>
          </cell>
          <cell r="N2787">
            <v>90</v>
          </cell>
          <cell r="S2787">
            <v>120</v>
          </cell>
        </row>
        <row r="2788">
          <cell r="B2788" t="str">
            <v>BC3101242-013R001</v>
          </cell>
          <cell r="D2788" t="str">
            <v>A</v>
          </cell>
          <cell r="E2788" t="str">
            <v>程序时间</v>
          </cell>
        </row>
        <row r="2789">
          <cell r="B2789" t="str">
            <v>BC3101242-013R001</v>
          </cell>
          <cell r="D2789" t="str">
            <v>A</v>
          </cell>
          <cell r="E2789" t="str">
            <v>程序时间</v>
          </cell>
          <cell r="G2789" t="str">
            <v>35/根</v>
          </cell>
          <cell r="H2789" t="str">
            <v>15/根</v>
          </cell>
          <cell r="K2789">
            <v>50</v>
          </cell>
          <cell r="L2789">
            <v>60</v>
          </cell>
          <cell r="N2789">
            <v>30</v>
          </cell>
          <cell r="O2789">
            <v>20</v>
          </cell>
          <cell r="S2789">
            <v>45</v>
          </cell>
          <cell r="T2789">
            <v>30</v>
          </cell>
        </row>
        <row r="2790">
          <cell r="B2790" t="str">
            <v>DD-J10-55014-2131</v>
          </cell>
          <cell r="D2790" t="str">
            <v>B</v>
          </cell>
          <cell r="E2790" t="str">
            <v>工序内容</v>
          </cell>
          <cell r="F2790" t="str">
            <v>0/领料</v>
          </cell>
          <cell r="G2790" t="str">
            <v>05/钳工</v>
          </cell>
          <cell r="H2790" t="str">
            <v>10/数车20</v>
          </cell>
          <cell r="I2790" t="str">
            <v>15/数车30</v>
          </cell>
          <cell r="J2790" t="str">
            <v>20/数铣10</v>
          </cell>
          <cell r="K2790" t="str">
            <v>25/钳工</v>
          </cell>
          <cell r="L2790" t="str">
            <v>30/清洁</v>
          </cell>
          <cell r="M2790" t="str">
            <v>35/成检</v>
          </cell>
        </row>
        <row r="2791">
          <cell r="B2791" t="str">
            <v>DD-J10-55014-2131</v>
          </cell>
          <cell r="D2791" t="str">
            <v>B</v>
          </cell>
          <cell r="E2791" t="str">
            <v>准备工时</v>
          </cell>
          <cell r="H2791">
            <v>90</v>
          </cell>
          <cell r="I2791">
            <v>120</v>
          </cell>
          <cell r="J2791">
            <v>90</v>
          </cell>
        </row>
        <row r="2792">
          <cell r="B2792" t="str">
            <v>DD-J10-55014-2131</v>
          </cell>
          <cell r="D2792" t="str">
            <v>B</v>
          </cell>
          <cell r="E2792" t="str">
            <v>装夹时间</v>
          </cell>
        </row>
        <row r="2793">
          <cell r="B2793" t="str">
            <v>DD-J10-55014-2131</v>
          </cell>
          <cell r="D2793" t="str">
            <v>B</v>
          </cell>
          <cell r="E2793" t="str">
            <v>程序时间</v>
          </cell>
          <cell r="G2793">
            <v>15</v>
          </cell>
          <cell r="H2793">
            <v>30</v>
          </cell>
          <cell r="I2793">
            <v>50</v>
          </cell>
          <cell r="J2793">
            <v>20</v>
          </cell>
          <cell r="K2793">
            <v>30</v>
          </cell>
        </row>
        <row r="2794">
          <cell r="B2794" t="str">
            <v>DD-J10B-94086-1100-1</v>
          </cell>
          <cell r="D2794" t="str">
            <v>A</v>
          </cell>
          <cell r="E2794" t="str">
            <v>程序时间</v>
          </cell>
          <cell r="F2794" t="str">
            <v>0/领料</v>
          </cell>
          <cell r="G2794" t="str">
            <v>5/数车6</v>
          </cell>
          <cell r="H2794" t="str">
            <v>10/数车3</v>
          </cell>
          <cell r="I2794" t="str">
            <v>15/钳工</v>
          </cell>
          <cell r="J2794" t="str">
            <v>20/分光</v>
          </cell>
          <cell r="K2794" t="str">
            <v>25/钳工</v>
          </cell>
          <cell r="L2794" t="str">
            <v>30/清洗</v>
          </cell>
          <cell r="M2794" t="str">
            <v>35/成检</v>
          </cell>
        </row>
        <row r="2795">
          <cell r="B2795" t="str">
            <v>DD-J10B-94086-1100-1</v>
          </cell>
          <cell r="D2795" t="str">
            <v>A</v>
          </cell>
          <cell r="E2795" t="str">
            <v>准备工时</v>
          </cell>
          <cell r="G2795" t="str">
            <v>60</v>
          </cell>
          <cell r="H2795">
            <v>60</v>
          </cell>
        </row>
        <row r="2796">
          <cell r="B2796" t="str">
            <v>DD-J10B-94086-1100-1</v>
          </cell>
          <cell r="D2796" t="str">
            <v>A</v>
          </cell>
          <cell r="E2796" t="str">
            <v>装夹时间</v>
          </cell>
        </row>
        <row r="2797">
          <cell r="B2797" t="str">
            <v>DD-J10B-94086-1100-1</v>
          </cell>
          <cell r="D2797" t="str">
            <v>A</v>
          </cell>
          <cell r="E2797" t="str">
            <v>程序时间</v>
          </cell>
          <cell r="G2797" t="str">
            <v>10</v>
          </cell>
          <cell r="H2797" t="str">
            <v>5</v>
          </cell>
          <cell r="I2797" t="str">
            <v>10</v>
          </cell>
          <cell r="K2797" t="str">
            <v>5</v>
          </cell>
        </row>
        <row r="2798">
          <cell r="B2798" t="str">
            <v>DD-J10B-86051-2</v>
          </cell>
          <cell r="D2798" t="str">
            <v>A</v>
          </cell>
          <cell r="E2798" t="str">
            <v>程序时间</v>
          </cell>
          <cell r="F2798" t="str">
            <v>0/领料</v>
          </cell>
          <cell r="G2798" t="str">
            <v>5/下料</v>
          </cell>
          <cell r="H2798" t="str">
            <v>10/数车30</v>
          </cell>
          <cell r="I2798" t="str">
            <v>15/数车45</v>
          </cell>
          <cell r="J2798" t="str">
            <v>20/线切割</v>
          </cell>
          <cell r="K2798" t="str">
            <v>25/数铣5</v>
          </cell>
          <cell r="L2798" t="str">
            <v>30/数铣18</v>
          </cell>
          <cell r="M2798" t="str">
            <v>35/钳工</v>
          </cell>
          <cell r="N2798" t="str">
            <v>40/入厂复验</v>
          </cell>
          <cell r="O2798" t="str">
            <v>45/分光</v>
          </cell>
          <cell r="P2798" t="str">
            <v>50/热处理</v>
          </cell>
          <cell r="Q2798" t="str">
            <v>55/数车20</v>
          </cell>
          <cell r="R2798" t="str">
            <v>60/数铣5</v>
          </cell>
          <cell r="S2798" t="str">
            <v>65/钳工</v>
          </cell>
          <cell r="T2798" t="str">
            <v>70/清洁</v>
          </cell>
          <cell r="U2798" t="str">
            <v>75/成检</v>
          </cell>
        </row>
        <row r="2799">
          <cell r="B2799" t="str">
            <v>DD-J10B-86051-2</v>
          </cell>
          <cell r="D2799" t="str">
            <v>F</v>
          </cell>
          <cell r="E2799" t="str">
            <v>准备工时</v>
          </cell>
          <cell r="H2799">
            <v>120</v>
          </cell>
          <cell r="I2799">
            <v>60</v>
          </cell>
          <cell r="K2799">
            <v>90</v>
          </cell>
          <cell r="L2799">
            <v>120</v>
          </cell>
          <cell r="Q2799">
            <v>120</v>
          </cell>
          <cell r="R2799">
            <v>120</v>
          </cell>
        </row>
        <row r="2800">
          <cell r="B2800" t="str">
            <v>DD-J10B-86051-2</v>
          </cell>
          <cell r="D2800" t="str">
            <v>F</v>
          </cell>
          <cell r="E2800" t="str">
            <v>装夹时间</v>
          </cell>
        </row>
        <row r="2801">
          <cell r="B2801" t="str">
            <v>DD-J10B-86051-2</v>
          </cell>
          <cell r="D2801" t="str">
            <v>F</v>
          </cell>
          <cell r="E2801" t="str">
            <v>程序时间</v>
          </cell>
          <cell r="G2801">
            <v>60</v>
          </cell>
          <cell r="H2801">
            <v>40</v>
          </cell>
          <cell r="I2801">
            <v>50</v>
          </cell>
          <cell r="J2801">
            <v>40</v>
          </cell>
          <cell r="K2801">
            <v>20</v>
          </cell>
          <cell r="L2801">
            <v>40</v>
          </cell>
          <cell r="M2801">
            <v>40</v>
          </cell>
          <cell r="Q2801">
            <v>30</v>
          </cell>
          <cell r="R2801">
            <v>40</v>
          </cell>
          <cell r="S2801">
            <v>60</v>
          </cell>
        </row>
        <row r="2802">
          <cell r="B2802" t="str">
            <v>CB22847Y1-008-001</v>
          </cell>
          <cell r="D2802" t="str">
            <v>B</v>
          </cell>
          <cell r="E2802" t="str">
            <v>工序内容</v>
          </cell>
          <cell r="F2802" t="str">
            <v>0/领料</v>
          </cell>
          <cell r="G2802" t="str">
            <v>5/数车10</v>
          </cell>
          <cell r="H2802" t="str">
            <v>10/数车5</v>
          </cell>
          <cell r="I2802" t="str">
            <v>15/钳工</v>
          </cell>
          <cell r="J2802" t="str">
            <v>20/分光</v>
          </cell>
          <cell r="K2802" t="str">
            <v>25/钳工</v>
          </cell>
          <cell r="L2802" t="str">
            <v>30/清洁3</v>
          </cell>
          <cell r="M2802" t="str">
            <v>35/成检</v>
          </cell>
        </row>
        <row r="2803">
          <cell r="B2803" t="str">
            <v>CB22847Y1-008-001</v>
          </cell>
          <cell r="D2803" t="str">
            <v>B</v>
          </cell>
          <cell r="E2803" t="str">
            <v>准备工时</v>
          </cell>
          <cell r="G2803">
            <v>60</v>
          </cell>
          <cell r="H2803">
            <v>60</v>
          </cell>
        </row>
        <row r="2804">
          <cell r="B2804" t="str">
            <v>CB22847Y1-008-001</v>
          </cell>
          <cell r="D2804" t="str">
            <v>B</v>
          </cell>
          <cell r="E2804" t="str">
            <v>装夹时间</v>
          </cell>
        </row>
        <row r="2805">
          <cell r="B2805" t="str">
            <v>CB22847Y1-008-001</v>
          </cell>
          <cell r="D2805" t="str">
            <v>B</v>
          </cell>
          <cell r="E2805" t="str">
            <v>程序时间</v>
          </cell>
          <cell r="G2805">
            <v>25</v>
          </cell>
          <cell r="H2805">
            <v>10</v>
          </cell>
          <cell r="I2805">
            <v>10</v>
          </cell>
          <cell r="K2805">
            <v>5</v>
          </cell>
        </row>
        <row r="2806">
          <cell r="B2806" t="str">
            <v>BC22971B1-003-001</v>
          </cell>
          <cell r="D2806" t="str">
            <v>B</v>
          </cell>
          <cell r="E2806" t="str">
            <v>工序内容</v>
          </cell>
          <cell r="F2806" t="str">
            <v>0/领料</v>
          </cell>
          <cell r="G2806" t="str">
            <v>05/普车20</v>
          </cell>
          <cell r="H2806" t="str">
            <v>10/数车5</v>
          </cell>
          <cell r="I2806" t="str">
            <v>15/分光</v>
          </cell>
          <cell r="J2806" t="str">
            <v>20/数铣15</v>
          </cell>
          <cell r="K2806" t="str">
            <v>25/数铣20</v>
          </cell>
          <cell r="L2806" t="str">
            <v>30/穿孔</v>
          </cell>
          <cell r="M2806" t="str">
            <v>35/穿孔</v>
          </cell>
          <cell r="N2806" t="str">
            <v>40/钳工</v>
          </cell>
          <cell r="O2806" t="str">
            <v>45/热处理</v>
          </cell>
          <cell r="P2806" t="str">
            <v>50/标记</v>
          </cell>
          <cell r="Q2806" t="str">
            <v>55/钳工</v>
          </cell>
          <cell r="R2806" t="str">
            <v>60/中间检验</v>
          </cell>
          <cell r="S2806" t="str">
            <v>65/表处</v>
          </cell>
          <cell r="T2806" t="str">
            <v>70/清洗</v>
          </cell>
          <cell r="U2806" t="str">
            <v>75/磁粉</v>
          </cell>
          <cell r="V2806" t="str">
            <v>80/清洗</v>
          </cell>
          <cell r="W2806" t="str">
            <v>85/表处</v>
          </cell>
          <cell r="X2806" t="str">
            <v>90/表处</v>
          </cell>
          <cell r="Y2806" t="str">
            <v>95/表处</v>
          </cell>
          <cell r="Z2806" t="str">
            <v>100/数车20</v>
          </cell>
          <cell r="AA2806" t="str">
            <v>105/清洁</v>
          </cell>
          <cell r="AB2806" t="str">
            <v>110/成检</v>
          </cell>
        </row>
        <row r="2807">
          <cell r="B2807" t="str">
            <v>BC22971B1-003-001</v>
          </cell>
          <cell r="D2807" t="str">
            <v>B</v>
          </cell>
          <cell r="E2807" t="str">
            <v>准备工时</v>
          </cell>
          <cell r="G2807">
            <v>60</v>
          </cell>
          <cell r="H2807">
            <v>60</v>
          </cell>
          <cell r="J2807">
            <v>60</v>
          </cell>
          <cell r="K2807">
            <v>60</v>
          </cell>
          <cell r="Z2807">
            <v>60</v>
          </cell>
        </row>
        <row r="2808">
          <cell r="B2808" t="str">
            <v>BC22971B1-003-001</v>
          </cell>
          <cell r="D2808" t="str">
            <v>B</v>
          </cell>
          <cell r="E2808" t="str">
            <v>程序时间</v>
          </cell>
          <cell r="G2808">
            <v>45</v>
          </cell>
          <cell r="H2808">
            <v>10</v>
          </cell>
          <cell r="J2808">
            <v>25</v>
          </cell>
          <cell r="K2808">
            <v>30</v>
          </cell>
          <cell r="L2808">
            <v>20</v>
          </cell>
          <cell r="N2808">
            <v>25</v>
          </cell>
          <cell r="Q2808">
            <v>20</v>
          </cell>
          <cell r="Z2808">
            <v>30</v>
          </cell>
        </row>
        <row r="2809">
          <cell r="B2809" t="str">
            <v>DD-J10-54111-1200-1</v>
          </cell>
          <cell r="D2809" t="str">
            <v>B</v>
          </cell>
          <cell r="E2809" t="str">
            <v>工序内容</v>
          </cell>
          <cell r="F2809" t="str">
            <v>0/领料</v>
          </cell>
          <cell r="G2809" t="str">
            <v>5/数车</v>
          </cell>
          <cell r="H2809" t="str">
            <v>10/数车</v>
          </cell>
          <cell r="I2809" t="str">
            <v>15/钳工</v>
          </cell>
          <cell r="J2809" t="str">
            <v>20/清洁</v>
          </cell>
          <cell r="K2809" t="str">
            <v>25/成检</v>
          </cell>
        </row>
        <row r="2810">
          <cell r="B2810" t="str">
            <v>DD-J10-54111-1200-1</v>
          </cell>
          <cell r="D2810" t="str">
            <v>B</v>
          </cell>
          <cell r="E2810" t="str">
            <v>准备工时</v>
          </cell>
          <cell r="G2810">
            <v>60</v>
          </cell>
          <cell r="H2810">
            <v>60</v>
          </cell>
        </row>
        <row r="2811">
          <cell r="B2811" t="str">
            <v>DD-J10-54111-1200-1</v>
          </cell>
          <cell r="D2811" t="str">
            <v>B</v>
          </cell>
          <cell r="E2811" t="str">
            <v>程序时间</v>
          </cell>
          <cell r="G2811">
            <v>25</v>
          </cell>
          <cell r="H2811">
            <v>10</v>
          </cell>
          <cell r="I2811">
            <v>6</v>
          </cell>
        </row>
        <row r="2812">
          <cell r="B2812" t="str">
            <v>DD-J10-54101-2822</v>
          </cell>
          <cell r="D2812" t="str">
            <v>A</v>
          </cell>
          <cell r="E2812" t="str">
            <v>工序内容</v>
          </cell>
          <cell r="F2812" t="str">
            <v>0/领料</v>
          </cell>
          <cell r="G2812" t="str">
            <v>5/数车9</v>
          </cell>
          <cell r="H2812" t="str">
            <v>10/数车3</v>
          </cell>
          <cell r="I2812" t="str">
            <v>15/钳工</v>
          </cell>
          <cell r="J2812" t="str">
            <v>20/清洁</v>
          </cell>
          <cell r="K2812" t="str">
            <v>25/成检</v>
          </cell>
        </row>
        <row r="2813">
          <cell r="B2813" t="str">
            <v>DD-J10-54101-2822</v>
          </cell>
          <cell r="D2813" t="str">
            <v>A</v>
          </cell>
          <cell r="E2813" t="str">
            <v>准备工时</v>
          </cell>
          <cell r="G2813">
            <v>60</v>
          </cell>
          <cell r="H2813">
            <v>60</v>
          </cell>
        </row>
        <row r="2814">
          <cell r="B2814" t="str">
            <v>DD-J10-54101-2822</v>
          </cell>
          <cell r="D2814" t="str">
            <v>A</v>
          </cell>
          <cell r="E2814" t="str">
            <v>程序时间</v>
          </cell>
          <cell r="G2814">
            <v>15</v>
          </cell>
          <cell r="H2814">
            <v>8</v>
          </cell>
          <cell r="I2814">
            <v>6</v>
          </cell>
        </row>
        <row r="2815">
          <cell r="B2815" t="str">
            <v>DD-J10-63001-511</v>
          </cell>
          <cell r="D2815" t="str">
            <v>C</v>
          </cell>
          <cell r="E2815" t="str">
            <v>工序内容</v>
          </cell>
          <cell r="F2815" t="str">
            <v>0/领料</v>
          </cell>
          <cell r="G2815" t="str">
            <v>5/下料</v>
          </cell>
          <cell r="H2815" t="str">
            <v>10/普车</v>
          </cell>
          <cell r="I2815" t="str">
            <v>15/数车</v>
          </cell>
          <cell r="J2815" t="str">
            <v>20/数车</v>
          </cell>
          <cell r="K2815" t="str">
            <v>25/清洁</v>
          </cell>
          <cell r="L2815" t="str">
            <v>30/成检</v>
          </cell>
        </row>
        <row r="2816">
          <cell r="B2816" t="str">
            <v>DD-J10-63001-511</v>
          </cell>
          <cell r="D2816" t="str">
            <v>C</v>
          </cell>
          <cell r="E2816" t="str">
            <v>准备工时</v>
          </cell>
          <cell r="G2816">
            <v>30</v>
          </cell>
          <cell r="H2816">
            <v>60</v>
          </cell>
          <cell r="I2816">
            <v>60</v>
          </cell>
          <cell r="J2816">
            <v>60</v>
          </cell>
        </row>
        <row r="2817">
          <cell r="B2817" t="str">
            <v>DD-J10-63001-511</v>
          </cell>
          <cell r="D2817" t="str">
            <v>C</v>
          </cell>
          <cell r="E2817" t="str">
            <v>装夹时间</v>
          </cell>
        </row>
        <row r="2818">
          <cell r="B2818" t="str">
            <v>DD-J10-63001-511</v>
          </cell>
          <cell r="D2818" t="str">
            <v>C</v>
          </cell>
          <cell r="E2818" t="str">
            <v>程序时间</v>
          </cell>
          <cell r="G2818">
            <v>10</v>
          </cell>
          <cell r="H2818">
            <v>10</v>
          </cell>
          <cell r="I2818">
            <v>25</v>
          </cell>
          <cell r="J2818">
            <v>15</v>
          </cell>
        </row>
        <row r="2819">
          <cell r="B2819" t="str">
            <v>DD-J10B-68095-1710-3-Z</v>
          </cell>
          <cell r="D2819" t="str">
            <v>D</v>
          </cell>
          <cell r="E2819" t="str">
            <v>工序内容</v>
          </cell>
          <cell r="F2819" t="str">
            <v>0/领料</v>
          </cell>
          <cell r="G2819" t="str">
            <v>5/数车25</v>
          </cell>
          <cell r="H2819" t="str">
            <v>10/数车10</v>
          </cell>
          <cell r="I2819" t="str">
            <v>15/数车15</v>
          </cell>
          <cell r="J2819" t="str">
            <v>20/钳工</v>
          </cell>
          <cell r="K2819" t="str">
            <v>25/清洁</v>
          </cell>
          <cell r="L2819" t="str">
            <v>30/成检</v>
          </cell>
        </row>
        <row r="2820">
          <cell r="B2820" t="str">
            <v>DD-J10B-68095-1710-3-Z</v>
          </cell>
          <cell r="D2820" t="str">
            <v>D</v>
          </cell>
          <cell r="E2820" t="str">
            <v>准备工时</v>
          </cell>
          <cell r="G2820" t="str">
            <v>60</v>
          </cell>
          <cell r="H2820">
            <v>60</v>
          </cell>
          <cell r="I2820" t="str">
            <v>60</v>
          </cell>
        </row>
        <row r="2821">
          <cell r="B2821" t="str">
            <v>DD-J10B-68095-1710-3-Z</v>
          </cell>
          <cell r="D2821" t="str">
            <v>D</v>
          </cell>
          <cell r="E2821" t="str">
            <v>程序时间</v>
          </cell>
          <cell r="G2821" t="str">
            <v>25</v>
          </cell>
          <cell r="H2821" t="str">
            <v>15</v>
          </cell>
          <cell r="I2821" t="str">
            <v>20</v>
          </cell>
          <cell r="J2821" t="str">
            <v>10</v>
          </cell>
        </row>
        <row r="2822">
          <cell r="B2822" t="str">
            <v>DD-J10B-68095-1710-3-Y</v>
          </cell>
          <cell r="D2822" t="str">
            <v>D</v>
          </cell>
          <cell r="E2822" t="str">
            <v>工序内容</v>
          </cell>
          <cell r="F2822" t="str">
            <v>0/领料</v>
          </cell>
          <cell r="G2822" t="str">
            <v>5/数车25</v>
          </cell>
          <cell r="H2822" t="str">
            <v>10/数车10</v>
          </cell>
          <cell r="I2822" t="str">
            <v>15/数车15</v>
          </cell>
          <cell r="J2822" t="str">
            <v>20/钳工</v>
          </cell>
          <cell r="K2822" t="str">
            <v>25/清洁</v>
          </cell>
          <cell r="L2822" t="str">
            <v>30/成检</v>
          </cell>
        </row>
        <row r="2823">
          <cell r="B2823" t="str">
            <v>DD-J10B-68095-1710-3-Y</v>
          </cell>
          <cell r="D2823" t="str">
            <v>D</v>
          </cell>
          <cell r="E2823" t="str">
            <v>准备工时</v>
          </cell>
          <cell r="G2823" t="str">
            <v>60</v>
          </cell>
          <cell r="H2823">
            <v>60</v>
          </cell>
          <cell r="I2823" t="str">
            <v>60</v>
          </cell>
        </row>
        <row r="2824">
          <cell r="B2824" t="str">
            <v>DD-J10B-68095-1710-3-Y</v>
          </cell>
          <cell r="D2824" t="str">
            <v>D</v>
          </cell>
          <cell r="E2824" t="str">
            <v>程序时间</v>
          </cell>
          <cell r="G2824" t="str">
            <v>25</v>
          </cell>
          <cell r="H2824" t="str">
            <v>15</v>
          </cell>
          <cell r="I2824" t="str">
            <v>20</v>
          </cell>
          <cell r="J2824" t="str">
            <v>10</v>
          </cell>
        </row>
        <row r="2825">
          <cell r="B2825" t="str">
            <v>C533114600-008L001</v>
          </cell>
          <cell r="D2825" t="str">
            <v>A</v>
          </cell>
          <cell r="E2825" t="str">
            <v>工序内容</v>
          </cell>
          <cell r="F2825" t="str">
            <v>0领料</v>
          </cell>
          <cell r="G2825" t="str">
            <v>05数铣</v>
          </cell>
          <cell r="H2825" t="str">
            <v>10数铣20</v>
          </cell>
          <cell r="I2825" t="str">
            <v>15数铣150</v>
          </cell>
          <cell r="J2825" t="str">
            <v>20钳工</v>
          </cell>
          <cell r="K2825" t="str">
            <v>23测量</v>
          </cell>
          <cell r="L2825" t="str">
            <v>25清洁</v>
          </cell>
          <cell r="M2825" t="str">
            <v>30成检</v>
          </cell>
        </row>
        <row r="2826">
          <cell r="B2826" t="str">
            <v>C533114600-008L001</v>
          </cell>
          <cell r="D2826" t="str">
            <v>A</v>
          </cell>
          <cell r="E2826" t="str">
            <v>准备工时</v>
          </cell>
          <cell r="G2826">
            <v>60</v>
          </cell>
          <cell r="H2826">
            <v>90</v>
          </cell>
          <cell r="I2826">
            <v>90</v>
          </cell>
        </row>
        <row r="2827">
          <cell r="B2827" t="str">
            <v>C533114600-008L001</v>
          </cell>
          <cell r="D2827" t="str">
            <v>A</v>
          </cell>
          <cell r="E2827" t="str">
            <v>程序时间</v>
          </cell>
          <cell r="G2827">
            <v>40</v>
          </cell>
          <cell r="H2827">
            <v>50</v>
          </cell>
          <cell r="I2827">
            <v>240</v>
          </cell>
          <cell r="J2827">
            <v>30</v>
          </cell>
        </row>
        <row r="2828">
          <cell r="B2828" t="str">
            <v>C533114600-008R001</v>
          </cell>
          <cell r="D2828" t="str">
            <v>A</v>
          </cell>
          <cell r="E2828" t="str">
            <v>工序内容</v>
          </cell>
          <cell r="F2828" t="str">
            <v>0领料</v>
          </cell>
          <cell r="G2828" t="str">
            <v>05数铣</v>
          </cell>
          <cell r="H2828" t="str">
            <v>10数铣20</v>
          </cell>
          <cell r="I2828" t="str">
            <v>15数铣150</v>
          </cell>
          <cell r="J2828" t="str">
            <v>20钳工</v>
          </cell>
          <cell r="K2828" t="str">
            <v>23测量</v>
          </cell>
          <cell r="L2828" t="str">
            <v>25清洁</v>
          </cell>
          <cell r="M2828" t="str">
            <v>30成检</v>
          </cell>
        </row>
        <row r="2829">
          <cell r="B2829" t="str">
            <v>C533114600-008R001</v>
          </cell>
          <cell r="D2829" t="str">
            <v>A</v>
          </cell>
          <cell r="E2829" t="str">
            <v>准备工时</v>
          </cell>
          <cell r="G2829">
            <v>60</v>
          </cell>
          <cell r="H2829">
            <v>90</v>
          </cell>
          <cell r="I2829">
            <v>90</v>
          </cell>
        </row>
        <row r="2830">
          <cell r="B2830" t="str">
            <v>C533114600-008R001</v>
          </cell>
          <cell r="D2830" t="str">
            <v>A</v>
          </cell>
          <cell r="E2830" t="str">
            <v>程序时间</v>
          </cell>
          <cell r="G2830">
            <v>40</v>
          </cell>
          <cell r="H2830">
            <v>50</v>
          </cell>
          <cell r="I2830">
            <v>240</v>
          </cell>
          <cell r="J2830">
            <v>30</v>
          </cell>
        </row>
        <row r="2831">
          <cell r="B2831" t="str">
            <v>C571110300-003L001</v>
          </cell>
          <cell r="D2831" t="str">
            <v>A</v>
          </cell>
          <cell r="E2831" t="str">
            <v>工序内容</v>
          </cell>
          <cell r="F2831" t="str">
            <v>0领料</v>
          </cell>
          <cell r="G2831" t="str">
            <v>05数铣</v>
          </cell>
          <cell r="H2831" t="str">
            <v>10数铣20</v>
          </cell>
          <cell r="I2831" t="str">
            <v>15数铣130</v>
          </cell>
          <cell r="J2831" t="str">
            <v>20测量</v>
          </cell>
          <cell r="K2831" t="str">
            <v>25钳工</v>
          </cell>
          <cell r="L2831" t="str">
            <v>30清洁</v>
          </cell>
          <cell r="M2831" t="str">
            <v>35成检</v>
          </cell>
        </row>
        <row r="2832">
          <cell r="B2832" t="str">
            <v>C571110300-003L001</v>
          </cell>
          <cell r="D2832" t="str">
            <v>A</v>
          </cell>
          <cell r="E2832" t="str">
            <v>准备工时</v>
          </cell>
          <cell r="G2832">
            <v>60</v>
          </cell>
          <cell r="H2832">
            <v>60</v>
          </cell>
          <cell r="I2832">
            <v>60</v>
          </cell>
        </row>
        <row r="2833">
          <cell r="B2833" t="str">
            <v>C571110300-003L001</v>
          </cell>
          <cell r="D2833" t="str">
            <v>A</v>
          </cell>
          <cell r="E2833" t="str">
            <v>程序时间</v>
          </cell>
          <cell r="G2833">
            <v>40</v>
          </cell>
          <cell r="H2833">
            <v>50</v>
          </cell>
          <cell r="I2833">
            <v>180</v>
          </cell>
          <cell r="K2833">
            <v>90</v>
          </cell>
        </row>
        <row r="2834">
          <cell r="B2834" t="str">
            <v>C571110300-003R001</v>
          </cell>
          <cell r="D2834" t="str">
            <v>A</v>
          </cell>
          <cell r="E2834" t="str">
            <v>工序内容</v>
          </cell>
          <cell r="F2834" t="str">
            <v>0领料</v>
          </cell>
          <cell r="G2834" t="str">
            <v>05数铣</v>
          </cell>
          <cell r="H2834" t="str">
            <v>10数铣20</v>
          </cell>
          <cell r="I2834" t="str">
            <v>15数铣130</v>
          </cell>
          <cell r="J2834" t="str">
            <v>20测量</v>
          </cell>
          <cell r="K2834" t="str">
            <v>25钳工</v>
          </cell>
          <cell r="L2834" t="str">
            <v>30清洁</v>
          </cell>
          <cell r="M2834" t="str">
            <v>35成检</v>
          </cell>
        </row>
        <row r="2835">
          <cell r="B2835" t="str">
            <v>C571110300-003R001</v>
          </cell>
          <cell r="D2835" t="str">
            <v>A</v>
          </cell>
          <cell r="E2835" t="str">
            <v>准备工时</v>
          </cell>
          <cell r="G2835">
            <v>60</v>
          </cell>
          <cell r="H2835">
            <v>60</v>
          </cell>
          <cell r="I2835">
            <v>60</v>
          </cell>
        </row>
        <row r="2836">
          <cell r="B2836" t="str">
            <v>C571110300-003R001</v>
          </cell>
          <cell r="D2836" t="str">
            <v>A</v>
          </cell>
          <cell r="E2836" t="str">
            <v>程序时间</v>
          </cell>
          <cell r="G2836">
            <v>40</v>
          </cell>
          <cell r="H2836">
            <v>50</v>
          </cell>
          <cell r="I2836">
            <v>180</v>
          </cell>
          <cell r="K2836">
            <v>90</v>
          </cell>
        </row>
        <row r="2837">
          <cell r="B2837" t="str">
            <v>C571110300-004L001</v>
          </cell>
          <cell r="D2837" t="str">
            <v>A</v>
          </cell>
          <cell r="E2837" t="str">
            <v>工序内容</v>
          </cell>
          <cell r="F2837" t="str">
            <v>0领料</v>
          </cell>
          <cell r="G2837" t="str">
            <v>05数铣</v>
          </cell>
          <cell r="H2837" t="str">
            <v>10数铣20</v>
          </cell>
          <cell r="I2837" t="str">
            <v>15数铣130</v>
          </cell>
          <cell r="J2837" t="str">
            <v>20测量</v>
          </cell>
          <cell r="K2837" t="str">
            <v>25钳工</v>
          </cell>
          <cell r="L2837" t="str">
            <v>30清洁</v>
          </cell>
          <cell r="M2837" t="str">
            <v>35成检</v>
          </cell>
        </row>
        <row r="2838">
          <cell r="B2838" t="str">
            <v>C571110300-004L001</v>
          </cell>
          <cell r="D2838" t="str">
            <v>A</v>
          </cell>
          <cell r="E2838" t="str">
            <v>准备工时</v>
          </cell>
          <cell r="G2838">
            <v>60</v>
          </cell>
          <cell r="H2838">
            <v>60</v>
          </cell>
          <cell r="I2838">
            <v>60</v>
          </cell>
        </row>
        <row r="2839">
          <cell r="B2839" t="str">
            <v>C571110300-004L001</v>
          </cell>
          <cell r="D2839" t="str">
            <v>A</v>
          </cell>
          <cell r="E2839" t="str">
            <v>程序时间</v>
          </cell>
          <cell r="G2839">
            <v>40</v>
          </cell>
          <cell r="H2839">
            <v>50</v>
          </cell>
          <cell r="I2839">
            <v>180</v>
          </cell>
          <cell r="K2839">
            <v>90</v>
          </cell>
        </row>
        <row r="2840">
          <cell r="B2840" t="str">
            <v>C571110300-004R001</v>
          </cell>
          <cell r="D2840" t="str">
            <v>A</v>
          </cell>
          <cell r="E2840" t="str">
            <v>工序内容</v>
          </cell>
          <cell r="F2840" t="str">
            <v>0领料</v>
          </cell>
          <cell r="G2840" t="str">
            <v>05数铣</v>
          </cell>
          <cell r="H2840" t="str">
            <v>10数铣20</v>
          </cell>
          <cell r="I2840" t="str">
            <v>15数铣130</v>
          </cell>
          <cell r="J2840" t="str">
            <v>20测量</v>
          </cell>
          <cell r="K2840" t="str">
            <v>25钳工</v>
          </cell>
          <cell r="L2840" t="str">
            <v>30清洁</v>
          </cell>
          <cell r="M2840" t="str">
            <v>35成检</v>
          </cell>
        </row>
        <row r="2841">
          <cell r="B2841" t="str">
            <v>C571110300-004R001</v>
          </cell>
          <cell r="D2841" t="str">
            <v>A</v>
          </cell>
          <cell r="E2841" t="str">
            <v>准备工时</v>
          </cell>
          <cell r="G2841">
            <v>60</v>
          </cell>
          <cell r="H2841">
            <v>60</v>
          </cell>
          <cell r="I2841">
            <v>60</v>
          </cell>
        </row>
        <row r="2842">
          <cell r="B2842" t="str">
            <v>C571110300-004R001</v>
          </cell>
          <cell r="D2842" t="str">
            <v>A</v>
          </cell>
          <cell r="E2842" t="str">
            <v>程序时间</v>
          </cell>
          <cell r="G2842">
            <v>40</v>
          </cell>
          <cell r="H2842">
            <v>50</v>
          </cell>
          <cell r="I2842">
            <v>180</v>
          </cell>
          <cell r="K2842">
            <v>90</v>
          </cell>
        </row>
        <row r="2843">
          <cell r="B2843" t="str">
            <v>C571110400-003L001</v>
          </cell>
          <cell r="D2843" t="str">
            <v>A</v>
          </cell>
          <cell r="E2843" t="str">
            <v>工序内容</v>
          </cell>
          <cell r="F2843" t="str">
            <v>0领料</v>
          </cell>
          <cell r="G2843" t="str">
            <v>05数铣</v>
          </cell>
          <cell r="H2843" t="str">
            <v>10数铣20</v>
          </cell>
          <cell r="I2843" t="str">
            <v>15数铣130</v>
          </cell>
          <cell r="J2843" t="str">
            <v>20测量</v>
          </cell>
          <cell r="K2843" t="str">
            <v>25钳工</v>
          </cell>
          <cell r="L2843" t="str">
            <v>30清洁</v>
          </cell>
          <cell r="M2843" t="str">
            <v>35成检</v>
          </cell>
        </row>
        <row r="2844">
          <cell r="B2844" t="str">
            <v>C571110400-003L001</v>
          </cell>
          <cell r="D2844" t="str">
            <v>A</v>
          </cell>
          <cell r="E2844" t="str">
            <v>准备工时</v>
          </cell>
          <cell r="G2844">
            <v>60</v>
          </cell>
          <cell r="H2844">
            <v>60</v>
          </cell>
          <cell r="I2844">
            <v>60</v>
          </cell>
        </row>
        <row r="2845">
          <cell r="B2845" t="str">
            <v>C571110400-003L001</v>
          </cell>
          <cell r="D2845" t="str">
            <v>A</v>
          </cell>
          <cell r="E2845" t="str">
            <v>程序时间</v>
          </cell>
          <cell r="G2845">
            <v>40</v>
          </cell>
          <cell r="H2845">
            <v>50</v>
          </cell>
          <cell r="I2845">
            <v>180</v>
          </cell>
          <cell r="K2845">
            <v>90</v>
          </cell>
        </row>
        <row r="2846">
          <cell r="B2846" t="str">
            <v>C571110400-003R001</v>
          </cell>
          <cell r="D2846" t="str">
            <v>A</v>
          </cell>
          <cell r="E2846" t="str">
            <v>工序内容</v>
          </cell>
          <cell r="F2846" t="str">
            <v>0领料</v>
          </cell>
          <cell r="G2846" t="str">
            <v>05数铣</v>
          </cell>
          <cell r="H2846" t="str">
            <v>10数铣20</v>
          </cell>
          <cell r="I2846" t="str">
            <v>15数铣130</v>
          </cell>
          <cell r="J2846" t="str">
            <v>20测量</v>
          </cell>
          <cell r="K2846" t="str">
            <v>25钳工</v>
          </cell>
          <cell r="L2846" t="str">
            <v>30清洁</v>
          </cell>
          <cell r="M2846" t="str">
            <v>35成检</v>
          </cell>
        </row>
        <row r="2847">
          <cell r="B2847" t="str">
            <v>C571110400-003R001</v>
          </cell>
          <cell r="D2847" t="str">
            <v>A</v>
          </cell>
          <cell r="E2847" t="str">
            <v>准备工时</v>
          </cell>
          <cell r="G2847">
            <v>60</v>
          </cell>
          <cell r="H2847">
            <v>60</v>
          </cell>
          <cell r="I2847">
            <v>60</v>
          </cell>
        </row>
        <row r="2848">
          <cell r="B2848" t="str">
            <v>C571110400-003R001</v>
          </cell>
          <cell r="D2848" t="str">
            <v>A</v>
          </cell>
          <cell r="E2848" t="str">
            <v>程序时间</v>
          </cell>
          <cell r="G2848">
            <v>40</v>
          </cell>
          <cell r="H2848">
            <v>50</v>
          </cell>
          <cell r="I2848">
            <v>180</v>
          </cell>
          <cell r="K2848">
            <v>90</v>
          </cell>
        </row>
        <row r="2849">
          <cell r="B2849" t="str">
            <v>C571110400-004L001</v>
          </cell>
          <cell r="D2849" t="str">
            <v>A</v>
          </cell>
          <cell r="E2849" t="str">
            <v>工序内容</v>
          </cell>
          <cell r="F2849" t="str">
            <v>0领料</v>
          </cell>
          <cell r="G2849" t="str">
            <v>05数铣</v>
          </cell>
          <cell r="H2849" t="str">
            <v>10数铣20</v>
          </cell>
          <cell r="I2849" t="str">
            <v>15数铣130</v>
          </cell>
          <cell r="J2849" t="str">
            <v>20测量</v>
          </cell>
          <cell r="K2849" t="str">
            <v>25钳工</v>
          </cell>
          <cell r="L2849" t="str">
            <v>30清洁</v>
          </cell>
          <cell r="M2849" t="str">
            <v>35成检</v>
          </cell>
        </row>
        <row r="2850">
          <cell r="B2850" t="str">
            <v>C571110400-004L001</v>
          </cell>
          <cell r="D2850" t="str">
            <v>A</v>
          </cell>
          <cell r="E2850" t="str">
            <v>准备工时</v>
          </cell>
          <cell r="G2850">
            <v>60</v>
          </cell>
          <cell r="H2850">
            <v>60</v>
          </cell>
          <cell r="I2850">
            <v>60</v>
          </cell>
        </row>
        <row r="2851">
          <cell r="B2851" t="str">
            <v>C571110400-004L001</v>
          </cell>
          <cell r="D2851" t="str">
            <v>A</v>
          </cell>
          <cell r="E2851" t="str">
            <v>程序时间</v>
          </cell>
          <cell r="G2851">
            <v>40</v>
          </cell>
          <cell r="H2851">
            <v>50</v>
          </cell>
          <cell r="I2851">
            <v>180</v>
          </cell>
          <cell r="K2851">
            <v>90</v>
          </cell>
        </row>
        <row r="2852">
          <cell r="B2852" t="str">
            <v>C571110400-004R001</v>
          </cell>
          <cell r="D2852" t="str">
            <v>A</v>
          </cell>
          <cell r="E2852" t="str">
            <v>工序内容</v>
          </cell>
          <cell r="F2852" t="str">
            <v>0领料</v>
          </cell>
          <cell r="G2852" t="str">
            <v>05数铣</v>
          </cell>
          <cell r="H2852" t="str">
            <v>10数铣20</v>
          </cell>
          <cell r="I2852" t="str">
            <v>15数铣130</v>
          </cell>
          <cell r="J2852" t="str">
            <v>20测量</v>
          </cell>
          <cell r="K2852" t="str">
            <v>25钳工</v>
          </cell>
          <cell r="L2852" t="str">
            <v>30清洁</v>
          </cell>
          <cell r="M2852" t="str">
            <v>35成检</v>
          </cell>
        </row>
        <row r="2853">
          <cell r="B2853" t="str">
            <v>C571110400-004R001</v>
          </cell>
          <cell r="D2853" t="str">
            <v>A</v>
          </cell>
          <cell r="E2853" t="str">
            <v>准备工时</v>
          </cell>
          <cell r="G2853">
            <v>60</v>
          </cell>
          <cell r="H2853">
            <v>60</v>
          </cell>
          <cell r="I2853">
            <v>60</v>
          </cell>
        </row>
        <row r="2854">
          <cell r="B2854" t="str">
            <v>C571110400-004R001</v>
          </cell>
          <cell r="D2854" t="str">
            <v>A</v>
          </cell>
          <cell r="E2854" t="str">
            <v>程序时间</v>
          </cell>
          <cell r="G2854">
            <v>40</v>
          </cell>
          <cell r="H2854">
            <v>50</v>
          </cell>
          <cell r="I2854">
            <v>180</v>
          </cell>
          <cell r="K2854">
            <v>90</v>
          </cell>
        </row>
        <row r="2855">
          <cell r="B2855" t="str">
            <v>CB5314240-012-003</v>
          </cell>
          <cell r="D2855" t="str">
            <v>E</v>
          </cell>
          <cell r="E2855" t="str">
            <v>工序内容</v>
          </cell>
          <cell r="F2855" t="str">
            <v>3/钳工</v>
          </cell>
          <cell r="G2855" t="str">
            <v>5/数铣</v>
          </cell>
          <cell r="H2855" t="str">
            <v>10/数铣130</v>
          </cell>
          <cell r="I2855" t="str">
            <v>15/数铣250</v>
          </cell>
          <cell r="J2855" t="str">
            <v>20/数铣370</v>
          </cell>
          <cell r="K2855" t="str">
            <v>25/数铣修面</v>
          </cell>
          <cell r="L2855" t="str">
            <v>30/数铣900</v>
          </cell>
          <cell r="M2855" t="str">
            <v>35/五轴50</v>
          </cell>
          <cell r="N2855" t="str">
            <v>40/数铣1380</v>
          </cell>
          <cell r="O2855" t="str">
            <v>45/测量</v>
          </cell>
          <cell r="P2855" t="str">
            <v>50/钳工</v>
          </cell>
          <cell r="Q2855" t="str">
            <v>55/清洁</v>
          </cell>
          <cell r="R2855" t="str">
            <v>60/铣试块</v>
          </cell>
          <cell r="S2855" t="str">
            <v>65/成检</v>
          </cell>
        </row>
        <row r="2856">
          <cell r="B2856" t="str">
            <v>CB5314240-012-003</v>
          </cell>
          <cell r="D2856" t="str">
            <v>E</v>
          </cell>
          <cell r="E2856" t="str">
            <v>准备工时</v>
          </cell>
          <cell r="F2856">
            <v>60</v>
          </cell>
          <cell r="G2856">
            <v>60</v>
          </cell>
          <cell r="H2856">
            <v>90</v>
          </cell>
          <cell r="I2856">
            <v>90</v>
          </cell>
          <cell r="J2856">
            <v>90</v>
          </cell>
          <cell r="K2856">
            <v>60</v>
          </cell>
          <cell r="L2856">
            <v>120</v>
          </cell>
          <cell r="M2856">
            <v>120</v>
          </cell>
          <cell r="N2856">
            <v>120</v>
          </cell>
        </row>
        <row r="2857">
          <cell r="B2857" t="str">
            <v>CB5314240-012-003</v>
          </cell>
          <cell r="D2857" t="str">
            <v>E</v>
          </cell>
          <cell r="E2857" t="str">
            <v>装夹时间</v>
          </cell>
          <cell r="G2857">
            <v>60</v>
          </cell>
          <cell r="H2857">
            <v>60</v>
          </cell>
          <cell r="I2857">
            <v>60</v>
          </cell>
          <cell r="J2857">
            <v>60</v>
          </cell>
          <cell r="K2857">
            <v>60</v>
          </cell>
          <cell r="L2857">
            <v>120</v>
          </cell>
          <cell r="M2857">
            <v>90</v>
          </cell>
          <cell r="N2857">
            <v>90</v>
          </cell>
        </row>
        <row r="2858">
          <cell r="B2858" t="str">
            <v>CB5314240-012-003</v>
          </cell>
          <cell r="D2858" t="str">
            <v>E</v>
          </cell>
          <cell r="E2858" t="str">
            <v>程序时间</v>
          </cell>
          <cell r="F2858">
            <v>30</v>
          </cell>
          <cell r="G2858">
            <v>150</v>
          </cell>
          <cell r="H2858">
            <v>200</v>
          </cell>
          <cell r="I2858">
            <v>360</v>
          </cell>
          <cell r="J2858">
            <v>450</v>
          </cell>
          <cell r="K2858">
            <v>120</v>
          </cell>
          <cell r="L2858">
            <v>1080</v>
          </cell>
          <cell r="M2858">
            <v>150</v>
          </cell>
          <cell r="N2858">
            <v>1800</v>
          </cell>
          <cell r="P2858">
            <v>720</v>
          </cell>
          <cell r="R2858">
            <v>30</v>
          </cell>
        </row>
        <row r="2859">
          <cell r="B2859" t="str">
            <v>DD-J10B-24002-60G2-1G2-Z</v>
          </cell>
          <cell r="D2859" t="str">
            <v>B</v>
          </cell>
          <cell r="E2859" t="str">
            <v>工序内容</v>
          </cell>
          <cell r="F2859" t="str">
            <v>0/领料</v>
          </cell>
          <cell r="G2859" t="str">
            <v>5/下料</v>
          </cell>
          <cell r="H2859" t="str">
            <v>10/数铣</v>
          </cell>
          <cell r="I2859" t="str">
            <v>15/数铣67</v>
          </cell>
          <cell r="J2859" t="str">
            <v>20/数铣440</v>
          </cell>
          <cell r="K2859" t="str">
            <v>25/数铣185</v>
          </cell>
          <cell r="L2859" t="str">
            <v>30/数铣</v>
          </cell>
          <cell r="M2859" t="str">
            <v>35/数铣597</v>
          </cell>
          <cell r="N2859" t="str">
            <v>40/数铣453</v>
          </cell>
          <cell r="O2859" t="str">
            <v>45/五轴90</v>
          </cell>
          <cell r="P2859" t="str">
            <v>50</v>
          </cell>
          <cell r="Q2859" t="str">
            <v>55/钳工</v>
          </cell>
          <cell r="R2859" t="str">
            <v>60/数铣</v>
          </cell>
          <cell r="S2859" t="str">
            <v>65/测量</v>
          </cell>
          <cell r="T2859" t="str">
            <v>70/清洁</v>
          </cell>
          <cell r="U2859" t="str">
            <v>75/成检</v>
          </cell>
        </row>
        <row r="2860">
          <cell r="B2860" t="str">
            <v>DD-J10B-24002-60G2-1G2-Z</v>
          </cell>
          <cell r="D2860" t="str">
            <v>B</v>
          </cell>
          <cell r="E2860" t="str">
            <v>准备工时</v>
          </cell>
          <cell r="H2860">
            <v>60</v>
          </cell>
          <cell r="I2860">
            <v>90</v>
          </cell>
          <cell r="J2860">
            <v>90</v>
          </cell>
          <cell r="K2860">
            <v>60</v>
          </cell>
          <cell r="L2860">
            <v>90</v>
          </cell>
          <cell r="M2860">
            <v>90</v>
          </cell>
          <cell r="N2860">
            <v>90</v>
          </cell>
          <cell r="O2860">
            <v>120</v>
          </cell>
        </row>
        <row r="2861">
          <cell r="B2861" t="str">
            <v>DD-J10B-24002-60G2-1G2-Z</v>
          </cell>
          <cell r="D2861" t="str">
            <v>B</v>
          </cell>
          <cell r="E2861" t="str">
            <v>装夹时间</v>
          </cell>
          <cell r="H2861">
            <v>60</v>
          </cell>
          <cell r="I2861">
            <v>60</v>
          </cell>
          <cell r="J2861">
            <v>60</v>
          </cell>
          <cell r="K2861">
            <v>60</v>
          </cell>
          <cell r="L2861">
            <v>60</v>
          </cell>
          <cell r="M2861">
            <v>60</v>
          </cell>
          <cell r="N2861">
            <v>60</v>
          </cell>
          <cell r="O2861">
            <v>120</v>
          </cell>
        </row>
        <row r="2862">
          <cell r="B2862" t="str">
            <v>DD-J10B-24002-60G2-1G2-Z</v>
          </cell>
          <cell r="D2862" t="str">
            <v>B</v>
          </cell>
          <cell r="E2862" t="str">
            <v>程序时间</v>
          </cell>
          <cell r="H2862">
            <v>120</v>
          </cell>
          <cell r="I2862">
            <v>100</v>
          </cell>
          <cell r="J2862">
            <v>590</v>
          </cell>
          <cell r="K2862">
            <v>270</v>
          </cell>
          <cell r="L2862">
            <v>240</v>
          </cell>
          <cell r="M2862">
            <v>700</v>
          </cell>
          <cell r="N2862">
            <v>540</v>
          </cell>
          <cell r="O2862">
            <v>210</v>
          </cell>
          <cell r="Q2862">
            <v>420</v>
          </cell>
        </row>
        <row r="2863">
          <cell r="B2863" t="str">
            <v>DD-J10B-24002-60G2-1G2-Y</v>
          </cell>
          <cell r="D2863" t="str">
            <v>B</v>
          </cell>
          <cell r="E2863" t="str">
            <v>工序内容</v>
          </cell>
          <cell r="F2863" t="str">
            <v>0/领料</v>
          </cell>
          <cell r="G2863" t="str">
            <v>5/下料</v>
          </cell>
          <cell r="H2863" t="str">
            <v>10/数铣</v>
          </cell>
          <cell r="I2863" t="str">
            <v>15/数铣67</v>
          </cell>
          <cell r="J2863" t="str">
            <v>20/数铣440</v>
          </cell>
          <cell r="K2863" t="str">
            <v>25/数铣185</v>
          </cell>
          <cell r="L2863" t="str">
            <v>30/数铣</v>
          </cell>
          <cell r="M2863" t="str">
            <v>35/数铣597</v>
          </cell>
          <cell r="N2863" t="str">
            <v>40/数铣453</v>
          </cell>
          <cell r="O2863" t="str">
            <v>45/五轴90</v>
          </cell>
          <cell r="P2863" t="str">
            <v>50</v>
          </cell>
          <cell r="Q2863" t="str">
            <v>55/钳工</v>
          </cell>
          <cell r="R2863" t="str">
            <v>60/数铣</v>
          </cell>
          <cell r="S2863" t="str">
            <v>65/测量</v>
          </cell>
          <cell r="T2863" t="str">
            <v>70/清洁</v>
          </cell>
          <cell r="U2863" t="str">
            <v>75/成检</v>
          </cell>
        </row>
        <row r="2864">
          <cell r="B2864" t="str">
            <v>DD-J10B-24002-60G2-1G2-Y</v>
          </cell>
          <cell r="D2864" t="str">
            <v>B</v>
          </cell>
          <cell r="E2864" t="str">
            <v>准备工时</v>
          </cell>
          <cell r="H2864">
            <v>60</v>
          </cell>
          <cell r="I2864">
            <v>90</v>
          </cell>
          <cell r="J2864">
            <v>90</v>
          </cell>
          <cell r="K2864">
            <v>60</v>
          </cell>
          <cell r="L2864">
            <v>90</v>
          </cell>
          <cell r="M2864">
            <v>90</v>
          </cell>
          <cell r="N2864">
            <v>90</v>
          </cell>
          <cell r="O2864">
            <v>120</v>
          </cell>
        </row>
        <row r="2865">
          <cell r="B2865" t="str">
            <v>DD-J10B-24002-60G2-1G2-Y</v>
          </cell>
          <cell r="D2865" t="str">
            <v>B</v>
          </cell>
          <cell r="E2865" t="str">
            <v>装夹时间</v>
          </cell>
          <cell r="H2865">
            <v>60</v>
          </cell>
          <cell r="I2865">
            <v>60</v>
          </cell>
          <cell r="J2865">
            <v>60</v>
          </cell>
          <cell r="K2865">
            <v>60</v>
          </cell>
          <cell r="L2865">
            <v>60</v>
          </cell>
          <cell r="M2865">
            <v>60</v>
          </cell>
          <cell r="N2865">
            <v>60</v>
          </cell>
          <cell r="O2865">
            <v>120</v>
          </cell>
        </row>
        <row r="2866">
          <cell r="B2866" t="str">
            <v>DD-J10B-24002-60G2-1G2-Y</v>
          </cell>
          <cell r="D2866" t="str">
            <v>B</v>
          </cell>
          <cell r="E2866" t="str">
            <v>程序时间</v>
          </cell>
          <cell r="H2866">
            <v>120</v>
          </cell>
          <cell r="I2866">
            <v>100</v>
          </cell>
          <cell r="J2866">
            <v>590</v>
          </cell>
          <cell r="K2866">
            <v>270</v>
          </cell>
          <cell r="L2866">
            <v>240</v>
          </cell>
          <cell r="M2866">
            <v>700</v>
          </cell>
          <cell r="N2866">
            <v>540</v>
          </cell>
          <cell r="O2866">
            <v>210</v>
          </cell>
          <cell r="Q2866">
            <v>420</v>
          </cell>
        </row>
        <row r="2867">
          <cell r="B2867" t="str">
            <v>DD-J10B-24002-60G2-1G2-Z</v>
          </cell>
          <cell r="D2867" t="str">
            <v>C</v>
          </cell>
          <cell r="E2867" t="str">
            <v>工序内容</v>
          </cell>
          <cell r="F2867" t="str">
            <v>0/领料</v>
          </cell>
          <cell r="G2867" t="str">
            <v>5/下料</v>
          </cell>
          <cell r="H2867" t="str">
            <v>10/数铣</v>
          </cell>
          <cell r="I2867" t="str">
            <v>15/数铣67</v>
          </cell>
          <cell r="J2867" t="str">
            <v>20/数铣440</v>
          </cell>
          <cell r="K2867" t="str">
            <v>25/数铣185</v>
          </cell>
          <cell r="L2867" t="str">
            <v>30/数铣</v>
          </cell>
          <cell r="M2867" t="str">
            <v>35/数铣597</v>
          </cell>
          <cell r="N2867" t="str">
            <v>40/数铣453</v>
          </cell>
          <cell r="O2867" t="str">
            <v>45/五轴90</v>
          </cell>
          <cell r="P2867" t="str">
            <v>50</v>
          </cell>
          <cell r="Q2867" t="str">
            <v>55/钳工</v>
          </cell>
          <cell r="R2867" t="str">
            <v>60/测量</v>
          </cell>
          <cell r="S2867" t="str">
            <v>65/清洁</v>
          </cell>
          <cell r="T2867" t="str">
            <v>70/成检</v>
          </cell>
        </row>
        <row r="2868">
          <cell r="B2868" t="str">
            <v>DD-J10B-24002-60G2-1G2-Z</v>
          </cell>
          <cell r="D2868" t="str">
            <v>C</v>
          </cell>
          <cell r="E2868" t="str">
            <v>准备工时</v>
          </cell>
          <cell r="H2868">
            <v>60</v>
          </cell>
          <cell r="I2868">
            <v>90</v>
          </cell>
          <cell r="J2868">
            <v>90</v>
          </cell>
          <cell r="K2868">
            <v>60</v>
          </cell>
          <cell r="L2868">
            <v>90</v>
          </cell>
          <cell r="M2868">
            <v>90</v>
          </cell>
          <cell r="N2868">
            <v>90</v>
          </cell>
          <cell r="O2868">
            <v>120</v>
          </cell>
        </row>
        <row r="2869">
          <cell r="B2869" t="str">
            <v>DD-J10B-24002-60G2-1G2-Z</v>
          </cell>
          <cell r="D2869" t="str">
            <v>C</v>
          </cell>
          <cell r="E2869" t="str">
            <v>装夹时间</v>
          </cell>
          <cell r="H2869">
            <v>60</v>
          </cell>
          <cell r="I2869">
            <v>60</v>
          </cell>
          <cell r="J2869">
            <v>60</v>
          </cell>
          <cell r="K2869">
            <v>60</v>
          </cell>
          <cell r="L2869">
            <v>60</v>
          </cell>
          <cell r="M2869">
            <v>60</v>
          </cell>
          <cell r="N2869">
            <v>60</v>
          </cell>
          <cell r="O2869">
            <v>120</v>
          </cell>
        </row>
        <row r="2870">
          <cell r="B2870" t="str">
            <v>DD-J10B-24002-60G2-1G2-Z</v>
          </cell>
          <cell r="D2870" t="str">
            <v>C</v>
          </cell>
          <cell r="E2870" t="str">
            <v>程序时间</v>
          </cell>
          <cell r="H2870">
            <v>120</v>
          </cell>
          <cell r="I2870">
            <v>100</v>
          </cell>
          <cell r="J2870">
            <v>590</v>
          </cell>
          <cell r="K2870">
            <v>270</v>
          </cell>
          <cell r="L2870">
            <v>240</v>
          </cell>
          <cell r="M2870">
            <v>700</v>
          </cell>
          <cell r="N2870">
            <v>540</v>
          </cell>
          <cell r="O2870">
            <v>210</v>
          </cell>
          <cell r="Q2870">
            <v>420</v>
          </cell>
        </row>
        <row r="2871">
          <cell r="B2871" t="str">
            <v>DD-J10B-24002-60G2-1G2-Y</v>
          </cell>
          <cell r="D2871" t="str">
            <v>C</v>
          </cell>
          <cell r="E2871" t="str">
            <v>工序内容</v>
          </cell>
          <cell r="F2871" t="str">
            <v>0/领料</v>
          </cell>
          <cell r="G2871" t="str">
            <v>5/下料</v>
          </cell>
          <cell r="H2871" t="str">
            <v>10/数铣</v>
          </cell>
          <cell r="I2871" t="str">
            <v>15/数铣67</v>
          </cell>
          <cell r="J2871" t="str">
            <v>20/数铣440</v>
          </cell>
          <cell r="K2871" t="str">
            <v>25/数铣185</v>
          </cell>
          <cell r="L2871" t="str">
            <v>30/数铣</v>
          </cell>
          <cell r="M2871" t="str">
            <v>35/数铣597</v>
          </cell>
          <cell r="N2871" t="str">
            <v>40/数铣453</v>
          </cell>
          <cell r="O2871" t="str">
            <v>45/五轴90</v>
          </cell>
          <cell r="P2871" t="str">
            <v>50</v>
          </cell>
          <cell r="Q2871" t="str">
            <v>55/钳工</v>
          </cell>
          <cell r="R2871" t="str">
            <v>60/测量</v>
          </cell>
          <cell r="S2871" t="str">
            <v>65/清洁</v>
          </cell>
          <cell r="T2871" t="str">
            <v>70/成检</v>
          </cell>
        </row>
        <row r="2872">
          <cell r="B2872" t="str">
            <v>DD-J10B-24002-60G2-1G2-Y</v>
          </cell>
          <cell r="D2872" t="str">
            <v>C</v>
          </cell>
          <cell r="E2872" t="str">
            <v>准备工时</v>
          </cell>
          <cell r="H2872">
            <v>60</v>
          </cell>
          <cell r="I2872">
            <v>90</v>
          </cell>
          <cell r="J2872">
            <v>90</v>
          </cell>
          <cell r="K2872">
            <v>60</v>
          </cell>
          <cell r="L2872">
            <v>90</v>
          </cell>
          <cell r="M2872">
            <v>90</v>
          </cell>
          <cell r="N2872">
            <v>90</v>
          </cell>
          <cell r="O2872">
            <v>120</v>
          </cell>
        </row>
        <row r="2873">
          <cell r="B2873" t="str">
            <v>DD-J10B-24002-60G2-1G2-Y</v>
          </cell>
          <cell r="D2873" t="str">
            <v>C</v>
          </cell>
          <cell r="E2873" t="str">
            <v>装夹时间</v>
          </cell>
          <cell r="H2873">
            <v>60</v>
          </cell>
          <cell r="I2873">
            <v>60</v>
          </cell>
          <cell r="J2873">
            <v>60</v>
          </cell>
          <cell r="K2873">
            <v>60</v>
          </cell>
          <cell r="L2873">
            <v>60</v>
          </cell>
          <cell r="M2873">
            <v>60</v>
          </cell>
          <cell r="N2873">
            <v>60</v>
          </cell>
          <cell r="O2873">
            <v>120</v>
          </cell>
        </row>
        <row r="2874">
          <cell r="B2874" t="str">
            <v>DD-J10B-24002-60G2-1G2-Y</v>
          </cell>
          <cell r="D2874" t="str">
            <v>C</v>
          </cell>
          <cell r="E2874" t="str">
            <v>程序时间</v>
          </cell>
          <cell r="H2874">
            <v>120</v>
          </cell>
          <cell r="I2874">
            <v>100</v>
          </cell>
          <cell r="J2874">
            <v>590</v>
          </cell>
          <cell r="K2874">
            <v>270</v>
          </cell>
          <cell r="L2874">
            <v>240</v>
          </cell>
          <cell r="M2874">
            <v>700</v>
          </cell>
          <cell r="N2874">
            <v>540</v>
          </cell>
          <cell r="O2874">
            <v>210</v>
          </cell>
          <cell r="Q2874">
            <v>420</v>
          </cell>
        </row>
        <row r="2875">
          <cell r="B2875" t="str">
            <v>CB5327120-013L/R015</v>
          </cell>
          <cell r="D2875" t="str">
            <v>D</v>
          </cell>
          <cell r="E2875" t="str">
            <v>工序内容</v>
          </cell>
          <cell r="F2875" t="str">
            <v>0/领料</v>
          </cell>
          <cell r="G2875" t="str">
            <v>5/数铣</v>
          </cell>
          <cell r="H2875" t="str">
            <v>10/数铣150</v>
          </cell>
          <cell r="I2875" t="str">
            <v>15/数铣90</v>
          </cell>
          <cell r="J2875" t="str">
            <v>20/数铣220</v>
          </cell>
          <cell r="K2875" t="str">
            <v>25/数铣750</v>
          </cell>
          <cell r="L2875" t="str">
            <v>30/数铣540</v>
          </cell>
          <cell r="M2875" t="str">
            <v>35/五轴40</v>
          </cell>
          <cell r="N2875" t="str">
            <v>40/数铣120</v>
          </cell>
          <cell r="O2875" t="str">
            <v>45/数铣40</v>
          </cell>
          <cell r="P2875" t="str">
            <v>50/测量</v>
          </cell>
          <cell r="Q2875" t="str">
            <v>55/钳工</v>
          </cell>
          <cell r="R2875" t="str">
            <v>60/数铣</v>
          </cell>
          <cell r="S2875" t="str">
            <v>65/清洁</v>
          </cell>
          <cell r="T2875" t="str">
            <v>70/成检</v>
          </cell>
        </row>
        <row r="2876">
          <cell r="B2876" t="str">
            <v>CB5327120-013L/R015</v>
          </cell>
          <cell r="D2876" t="str">
            <v>D</v>
          </cell>
          <cell r="E2876" t="str">
            <v>准备工时</v>
          </cell>
          <cell r="G2876">
            <v>60</v>
          </cell>
          <cell r="H2876">
            <v>60</v>
          </cell>
          <cell r="I2876">
            <v>60</v>
          </cell>
          <cell r="J2876">
            <v>60</v>
          </cell>
          <cell r="K2876">
            <v>180</v>
          </cell>
          <cell r="L2876">
            <v>180</v>
          </cell>
          <cell r="M2876">
            <v>180</v>
          </cell>
          <cell r="N2876">
            <v>60</v>
          </cell>
          <cell r="O2876">
            <v>60</v>
          </cell>
        </row>
        <row r="2877">
          <cell r="B2877" t="str">
            <v>CB5327120-013L/R015</v>
          </cell>
          <cell r="D2877" t="str">
            <v>D</v>
          </cell>
          <cell r="E2877" t="str">
            <v>装夹时间</v>
          </cell>
          <cell r="G2877">
            <v>60</v>
          </cell>
          <cell r="H2877">
            <v>60</v>
          </cell>
          <cell r="I2877">
            <v>60</v>
          </cell>
          <cell r="J2877">
            <v>60</v>
          </cell>
          <cell r="K2877">
            <v>60</v>
          </cell>
          <cell r="L2877">
            <v>60</v>
          </cell>
          <cell r="M2877">
            <v>75</v>
          </cell>
          <cell r="N2877">
            <v>60</v>
          </cell>
          <cell r="O2877">
            <v>60</v>
          </cell>
        </row>
        <row r="2878">
          <cell r="B2878" t="str">
            <v>CB5327120-013L/R015</v>
          </cell>
          <cell r="D2878" t="str">
            <v>D</v>
          </cell>
          <cell r="E2878" t="str">
            <v>程序时间</v>
          </cell>
          <cell r="G2878">
            <v>180</v>
          </cell>
          <cell r="H2878">
            <v>180</v>
          </cell>
          <cell r="I2878">
            <v>120</v>
          </cell>
          <cell r="J2878">
            <v>300</v>
          </cell>
          <cell r="K2878">
            <v>1020</v>
          </cell>
          <cell r="L2878">
            <v>750</v>
          </cell>
          <cell r="M2878">
            <v>150</v>
          </cell>
          <cell r="N2878">
            <v>300</v>
          </cell>
          <cell r="O2878">
            <v>50</v>
          </cell>
          <cell r="Q2878">
            <v>480</v>
          </cell>
          <cell r="R2878">
            <v>20</v>
          </cell>
        </row>
        <row r="2879">
          <cell r="B2879" t="str">
            <v>DD-J10-21102-160-1-Z</v>
          </cell>
          <cell r="D2879" t="str">
            <v>D</v>
          </cell>
          <cell r="E2879" t="str">
            <v>工序内容</v>
          </cell>
          <cell r="F2879" t="str">
            <v>0/领料</v>
          </cell>
          <cell r="G2879" t="str">
            <v>5/数铣</v>
          </cell>
          <cell r="H2879" t="str">
            <v>10/数铣120</v>
          </cell>
          <cell r="I2879" t="str">
            <v>15/数铣194</v>
          </cell>
          <cell r="J2879" t="str">
            <v>20/数铣42</v>
          </cell>
          <cell r="K2879" t="str">
            <v>25/时效</v>
          </cell>
          <cell r="L2879" t="str">
            <v>30/数铣</v>
          </cell>
          <cell r="M2879" t="str">
            <v>35/数铣671</v>
          </cell>
          <cell r="N2879" t="str">
            <v>40/数铣990</v>
          </cell>
          <cell r="O2879" t="str">
            <v>45/</v>
          </cell>
          <cell r="P2879" t="str">
            <v>50/钳工</v>
          </cell>
          <cell r="Q2879" t="str">
            <v>55/铣试块</v>
          </cell>
          <cell r="R2879" t="str">
            <v>60/清洁</v>
          </cell>
          <cell r="S2879" t="str">
            <v>65/成检</v>
          </cell>
        </row>
        <row r="2880">
          <cell r="B2880" t="str">
            <v>DD-J10-21102-160-1-Z</v>
          </cell>
          <cell r="D2880" t="str">
            <v>D</v>
          </cell>
          <cell r="E2880" t="str">
            <v>准备工时</v>
          </cell>
          <cell r="G2880">
            <v>60</v>
          </cell>
          <cell r="H2880">
            <v>120</v>
          </cell>
          <cell r="I2880">
            <v>90</v>
          </cell>
          <cell r="J2880">
            <v>90</v>
          </cell>
          <cell r="L2880">
            <v>60</v>
          </cell>
          <cell r="M2880">
            <v>120</v>
          </cell>
          <cell r="N2880">
            <v>180</v>
          </cell>
        </row>
        <row r="2881">
          <cell r="B2881" t="str">
            <v>DD-J10-21102-160-1-Z</v>
          </cell>
          <cell r="D2881" t="str">
            <v>D</v>
          </cell>
          <cell r="E2881" t="str">
            <v>装夹时间</v>
          </cell>
          <cell r="G2881">
            <v>60</v>
          </cell>
          <cell r="H2881">
            <v>45</v>
          </cell>
          <cell r="I2881">
            <v>45</v>
          </cell>
          <cell r="J2881">
            <v>45</v>
          </cell>
          <cell r="L2881">
            <v>60</v>
          </cell>
          <cell r="M2881">
            <v>45</v>
          </cell>
          <cell r="N2881">
            <v>45</v>
          </cell>
        </row>
        <row r="2882">
          <cell r="B2882" t="str">
            <v>DD-J10-21102-160-1-Z</v>
          </cell>
          <cell r="D2882" t="str">
            <v>D</v>
          </cell>
          <cell r="E2882" t="str">
            <v>程序时间</v>
          </cell>
          <cell r="G2882">
            <v>90</v>
          </cell>
          <cell r="H2882">
            <v>144</v>
          </cell>
          <cell r="I2882">
            <v>228</v>
          </cell>
          <cell r="J2882">
            <v>90</v>
          </cell>
          <cell r="L2882">
            <v>120</v>
          </cell>
          <cell r="M2882">
            <v>760</v>
          </cell>
          <cell r="N2882">
            <v>1140</v>
          </cell>
          <cell r="P2882">
            <v>180</v>
          </cell>
          <cell r="Q2882">
            <v>20</v>
          </cell>
        </row>
        <row r="2883">
          <cell r="B2883" t="str">
            <v>DD-J10-21102-160-1-Y</v>
          </cell>
          <cell r="D2883" t="str">
            <v>D</v>
          </cell>
          <cell r="E2883" t="str">
            <v>工序内容</v>
          </cell>
          <cell r="F2883" t="str">
            <v>0/领料</v>
          </cell>
          <cell r="G2883" t="str">
            <v>5/数铣</v>
          </cell>
          <cell r="H2883" t="str">
            <v>10/数铣120</v>
          </cell>
          <cell r="I2883" t="str">
            <v>15/数铣194</v>
          </cell>
          <cell r="J2883" t="str">
            <v>20/数铣42</v>
          </cell>
          <cell r="K2883" t="str">
            <v>25/时效</v>
          </cell>
          <cell r="L2883" t="str">
            <v>30/数铣</v>
          </cell>
          <cell r="M2883" t="str">
            <v>35/数铣671</v>
          </cell>
          <cell r="N2883" t="str">
            <v>40/数铣990</v>
          </cell>
          <cell r="O2883" t="str">
            <v>45/</v>
          </cell>
          <cell r="P2883" t="str">
            <v>50/钳工</v>
          </cell>
          <cell r="Q2883" t="str">
            <v>55/铣试块</v>
          </cell>
          <cell r="R2883" t="str">
            <v>60/清洁</v>
          </cell>
          <cell r="S2883" t="str">
            <v>65/成检</v>
          </cell>
        </row>
        <row r="2884">
          <cell r="B2884" t="str">
            <v>DD-J10-21102-160-1-Y</v>
          </cell>
          <cell r="D2884" t="str">
            <v>D</v>
          </cell>
          <cell r="E2884" t="str">
            <v>准备工时</v>
          </cell>
          <cell r="G2884">
            <v>60</v>
          </cell>
          <cell r="H2884">
            <v>120</v>
          </cell>
          <cell r="I2884">
            <v>90</v>
          </cell>
          <cell r="J2884">
            <v>90</v>
          </cell>
          <cell r="L2884">
            <v>60</v>
          </cell>
          <cell r="M2884">
            <v>120</v>
          </cell>
          <cell r="N2884">
            <v>180</v>
          </cell>
        </row>
        <row r="2885">
          <cell r="B2885" t="str">
            <v>DD-J10-21102-160-1-Y</v>
          </cell>
          <cell r="D2885" t="str">
            <v>D</v>
          </cell>
          <cell r="E2885" t="str">
            <v>装夹时间</v>
          </cell>
          <cell r="G2885">
            <v>60</v>
          </cell>
          <cell r="H2885">
            <v>45</v>
          </cell>
          <cell r="I2885">
            <v>45</v>
          </cell>
          <cell r="J2885">
            <v>45</v>
          </cell>
          <cell r="L2885">
            <v>60</v>
          </cell>
          <cell r="M2885">
            <v>45</v>
          </cell>
          <cell r="N2885">
            <v>45</v>
          </cell>
        </row>
        <row r="2886">
          <cell r="B2886" t="str">
            <v>DD-J10-21102-160-1-Y</v>
          </cell>
          <cell r="D2886" t="str">
            <v>D</v>
          </cell>
          <cell r="E2886" t="str">
            <v>程序时间</v>
          </cell>
          <cell r="G2886">
            <v>90</v>
          </cell>
          <cell r="H2886">
            <v>144</v>
          </cell>
          <cell r="I2886">
            <v>228</v>
          </cell>
          <cell r="J2886">
            <v>90</v>
          </cell>
          <cell r="L2886">
            <v>120</v>
          </cell>
          <cell r="M2886">
            <v>760</v>
          </cell>
          <cell r="N2886">
            <v>1140</v>
          </cell>
          <cell r="P2886">
            <v>180</v>
          </cell>
          <cell r="Q2886">
            <v>20</v>
          </cell>
        </row>
        <row r="2887">
          <cell r="B2887" t="str">
            <v>CB5324413-004-002</v>
          </cell>
          <cell r="D2887" t="str">
            <v>B</v>
          </cell>
          <cell r="E2887" t="str">
            <v>工序内容</v>
          </cell>
          <cell r="F2887" t="str">
            <v>03/钳工</v>
          </cell>
          <cell r="G2887" t="str">
            <v>05/数洗</v>
          </cell>
          <cell r="H2887" t="str">
            <v>10/数洗</v>
          </cell>
          <cell r="I2887" t="str">
            <v>15/数洗</v>
          </cell>
          <cell r="J2887" t="str">
            <v>20/数洗30</v>
          </cell>
          <cell r="K2887" t="str">
            <v>25/数洗135</v>
          </cell>
          <cell r="L2887" t="str">
            <v>30/数洗165</v>
          </cell>
          <cell r="M2887" t="str">
            <v>35/失效</v>
          </cell>
          <cell r="N2887" t="str">
            <v>40/修面</v>
          </cell>
          <cell r="O2887" t="str">
            <v>45/数洗420</v>
          </cell>
          <cell r="P2887" t="str">
            <v>50/数洗320</v>
          </cell>
          <cell r="Q2887" t="str">
            <v>55/测量</v>
          </cell>
          <cell r="R2887" t="str">
            <v>60/钳工</v>
          </cell>
          <cell r="S2887" t="str">
            <v>65/数洗</v>
          </cell>
          <cell r="T2887" t="str">
            <v>70/清洁</v>
          </cell>
          <cell r="U2887" t="str">
            <v>75/成检</v>
          </cell>
        </row>
        <row r="2888">
          <cell r="B2888" t="str">
            <v>CB5324413-004-002</v>
          </cell>
          <cell r="D2888" t="str">
            <v>B</v>
          </cell>
          <cell r="E2888" t="str">
            <v>准备工时</v>
          </cell>
          <cell r="G2888">
            <v>90</v>
          </cell>
          <cell r="H2888">
            <v>90</v>
          </cell>
          <cell r="I2888">
            <v>90</v>
          </cell>
          <cell r="J2888">
            <v>120</v>
          </cell>
          <cell r="K2888">
            <v>120</v>
          </cell>
          <cell r="L2888">
            <v>120</v>
          </cell>
          <cell r="N2888">
            <v>60</v>
          </cell>
          <cell r="O2888">
            <v>120</v>
          </cell>
          <cell r="P2888">
            <v>120</v>
          </cell>
        </row>
        <row r="2889">
          <cell r="B2889" t="str">
            <v>CB5324413-004-002</v>
          </cell>
          <cell r="D2889" t="str">
            <v>B</v>
          </cell>
          <cell r="E2889" t="str">
            <v>程序时间</v>
          </cell>
          <cell r="F2889">
            <v>45</v>
          </cell>
          <cell r="G2889">
            <v>50</v>
          </cell>
          <cell r="H2889">
            <v>50</v>
          </cell>
          <cell r="I2889">
            <v>100</v>
          </cell>
          <cell r="J2889">
            <v>70</v>
          </cell>
          <cell r="K2889">
            <v>210</v>
          </cell>
          <cell r="L2889">
            <v>240</v>
          </cell>
          <cell r="N2889">
            <v>100</v>
          </cell>
          <cell r="O2889">
            <v>600</v>
          </cell>
          <cell r="P2889">
            <v>500</v>
          </cell>
          <cell r="R2889">
            <v>240</v>
          </cell>
          <cell r="S2889">
            <v>20</v>
          </cell>
        </row>
        <row r="2890">
          <cell r="B2890" t="str">
            <v>CB5714100-003L003</v>
          </cell>
          <cell r="D2890" t="str">
            <v>B</v>
          </cell>
          <cell r="E2890" t="str">
            <v>工序内容</v>
          </cell>
          <cell r="F2890" t="str">
            <v>0/领料</v>
          </cell>
          <cell r="G2890" t="str">
            <v>05/钳工</v>
          </cell>
          <cell r="H2890" t="str">
            <v>10/数铣</v>
          </cell>
          <cell r="I2890" t="str">
            <v>15/数铣</v>
          </cell>
          <cell r="J2890" t="str">
            <v>20/数铣</v>
          </cell>
          <cell r="K2890" t="str">
            <v>25/数铣45</v>
          </cell>
          <cell r="L2890" t="str">
            <v>30/数铣130</v>
          </cell>
          <cell r="M2890" t="str">
            <v>35/数铣300</v>
          </cell>
          <cell r="N2890" t="str">
            <v>40/自然失效</v>
          </cell>
          <cell r="O2890" t="str">
            <v>45/数铣</v>
          </cell>
          <cell r="P2890" t="str">
            <v>50/数铣470</v>
          </cell>
          <cell r="Q2890" t="str">
            <v>55/数铣630</v>
          </cell>
          <cell r="R2890" t="str">
            <v>60/五轴120</v>
          </cell>
          <cell r="S2890" t="str">
            <v>65/数铣50</v>
          </cell>
          <cell r="T2890" t="str">
            <v>70/钳工</v>
          </cell>
          <cell r="U2890" t="str">
            <v>75/测量</v>
          </cell>
          <cell r="V2890" t="str">
            <v>80/清洁</v>
          </cell>
          <cell r="W2890" t="str">
            <v>85/成检</v>
          </cell>
        </row>
        <row r="2891">
          <cell r="B2891" t="str">
            <v>CB5714100-003L003</v>
          </cell>
          <cell r="D2891" t="str">
            <v>B</v>
          </cell>
          <cell r="E2891" t="str">
            <v>准备工时</v>
          </cell>
          <cell r="G2891">
            <v>60</v>
          </cell>
          <cell r="H2891">
            <v>60</v>
          </cell>
          <cell r="I2891">
            <v>60</v>
          </cell>
          <cell r="J2891">
            <v>60</v>
          </cell>
          <cell r="K2891">
            <v>60</v>
          </cell>
          <cell r="L2891">
            <v>60</v>
          </cell>
          <cell r="M2891">
            <v>60</v>
          </cell>
          <cell r="O2891">
            <v>60</v>
          </cell>
          <cell r="P2891">
            <v>60</v>
          </cell>
          <cell r="Q2891">
            <v>60</v>
          </cell>
          <cell r="R2891">
            <v>180</v>
          </cell>
          <cell r="S2891">
            <v>60</v>
          </cell>
        </row>
        <row r="2892">
          <cell r="B2892" t="str">
            <v>CB5714100-003L003</v>
          </cell>
          <cell r="D2892" t="str">
            <v>B</v>
          </cell>
          <cell r="E2892" t="str">
            <v>装夹时间</v>
          </cell>
          <cell r="H2892">
            <v>60</v>
          </cell>
          <cell r="I2892">
            <v>60</v>
          </cell>
          <cell r="J2892">
            <v>60</v>
          </cell>
          <cell r="K2892">
            <v>60</v>
          </cell>
          <cell r="L2892">
            <v>60</v>
          </cell>
          <cell r="M2892">
            <v>60</v>
          </cell>
          <cell r="O2892">
            <v>60</v>
          </cell>
          <cell r="P2892">
            <v>60</v>
          </cell>
          <cell r="Q2892">
            <v>60</v>
          </cell>
          <cell r="R2892">
            <v>60</v>
          </cell>
          <cell r="S2892">
            <v>60</v>
          </cell>
        </row>
        <row r="2893">
          <cell r="B2893" t="str">
            <v>CB5714100-003L003</v>
          </cell>
          <cell r="D2893" t="str">
            <v>B</v>
          </cell>
          <cell r="E2893" t="str">
            <v>程序时间</v>
          </cell>
          <cell r="G2893">
            <v>30</v>
          </cell>
          <cell r="H2893">
            <v>60</v>
          </cell>
          <cell r="I2893">
            <v>60</v>
          </cell>
          <cell r="J2893">
            <v>80</v>
          </cell>
          <cell r="K2893">
            <v>70</v>
          </cell>
          <cell r="L2893">
            <v>180</v>
          </cell>
          <cell r="M2893">
            <v>500</v>
          </cell>
          <cell r="O2893">
            <v>150</v>
          </cell>
          <cell r="P2893">
            <v>660</v>
          </cell>
          <cell r="Q2893">
            <v>840</v>
          </cell>
          <cell r="R2893">
            <v>270</v>
          </cell>
          <cell r="S2893">
            <v>100</v>
          </cell>
          <cell r="T2893">
            <v>600</v>
          </cell>
        </row>
        <row r="2894">
          <cell r="B2894" t="str">
            <v>CB5714100-003R003</v>
          </cell>
          <cell r="D2894" t="str">
            <v>B</v>
          </cell>
          <cell r="E2894" t="str">
            <v>工序内容</v>
          </cell>
          <cell r="F2894" t="str">
            <v>0/领料</v>
          </cell>
          <cell r="G2894" t="str">
            <v>05/钳工</v>
          </cell>
          <cell r="H2894" t="str">
            <v>10/数铣</v>
          </cell>
          <cell r="I2894" t="str">
            <v>15/数铣</v>
          </cell>
          <cell r="J2894" t="str">
            <v>20/数铣</v>
          </cell>
          <cell r="K2894" t="str">
            <v>25/数铣45</v>
          </cell>
          <cell r="L2894" t="str">
            <v>30/数铣130</v>
          </cell>
          <cell r="M2894" t="str">
            <v>35/数铣300</v>
          </cell>
          <cell r="N2894" t="str">
            <v>40/自然失效</v>
          </cell>
          <cell r="O2894" t="str">
            <v>45/数铣</v>
          </cell>
          <cell r="P2894" t="str">
            <v>50/数铣470</v>
          </cell>
          <cell r="Q2894" t="str">
            <v>55/数铣630</v>
          </cell>
          <cell r="R2894" t="str">
            <v>60/五轴120</v>
          </cell>
          <cell r="S2894" t="str">
            <v>65/数铣50</v>
          </cell>
          <cell r="T2894" t="str">
            <v>70/钳工</v>
          </cell>
          <cell r="U2894" t="str">
            <v>75/测量</v>
          </cell>
          <cell r="V2894" t="str">
            <v>80/清洁</v>
          </cell>
          <cell r="W2894" t="str">
            <v>85/成检</v>
          </cell>
        </row>
        <row r="2895">
          <cell r="B2895" t="str">
            <v>CB5714100-003R003</v>
          </cell>
          <cell r="D2895" t="str">
            <v>B</v>
          </cell>
          <cell r="E2895" t="str">
            <v>准备工时</v>
          </cell>
          <cell r="G2895">
            <v>60</v>
          </cell>
          <cell r="H2895">
            <v>60</v>
          </cell>
          <cell r="I2895">
            <v>60</v>
          </cell>
          <cell r="J2895">
            <v>60</v>
          </cell>
          <cell r="K2895">
            <v>60</v>
          </cell>
          <cell r="L2895">
            <v>60</v>
          </cell>
          <cell r="M2895">
            <v>60</v>
          </cell>
          <cell r="O2895">
            <v>60</v>
          </cell>
          <cell r="P2895">
            <v>60</v>
          </cell>
          <cell r="Q2895">
            <v>60</v>
          </cell>
          <cell r="R2895">
            <v>180</v>
          </cell>
          <cell r="S2895">
            <v>60</v>
          </cell>
        </row>
        <row r="2896">
          <cell r="B2896" t="str">
            <v>CB5714100-003R003</v>
          </cell>
          <cell r="D2896" t="str">
            <v>B</v>
          </cell>
          <cell r="E2896" t="str">
            <v>装夹时间</v>
          </cell>
          <cell r="H2896">
            <v>60</v>
          </cell>
          <cell r="I2896">
            <v>60</v>
          </cell>
          <cell r="J2896">
            <v>60</v>
          </cell>
          <cell r="K2896">
            <v>60</v>
          </cell>
          <cell r="L2896">
            <v>60</v>
          </cell>
          <cell r="M2896">
            <v>60</v>
          </cell>
          <cell r="O2896">
            <v>60</v>
          </cell>
          <cell r="P2896">
            <v>60</v>
          </cell>
          <cell r="Q2896">
            <v>60</v>
          </cell>
          <cell r="R2896">
            <v>60</v>
          </cell>
          <cell r="S2896">
            <v>60</v>
          </cell>
        </row>
        <row r="2897">
          <cell r="B2897" t="str">
            <v>CB5714100-003R003</v>
          </cell>
          <cell r="D2897" t="str">
            <v>B</v>
          </cell>
          <cell r="E2897" t="str">
            <v>程序时间</v>
          </cell>
          <cell r="G2897">
            <v>30</v>
          </cell>
          <cell r="H2897">
            <v>60</v>
          </cell>
          <cell r="I2897">
            <v>60</v>
          </cell>
          <cell r="J2897">
            <v>80</v>
          </cell>
          <cell r="K2897">
            <v>70</v>
          </cell>
          <cell r="L2897">
            <v>180</v>
          </cell>
          <cell r="M2897">
            <v>500</v>
          </cell>
          <cell r="O2897">
            <v>150</v>
          </cell>
          <cell r="P2897">
            <v>660</v>
          </cell>
          <cell r="Q2897">
            <v>840</v>
          </cell>
          <cell r="R2897">
            <v>270</v>
          </cell>
          <cell r="S2897">
            <v>100</v>
          </cell>
          <cell r="T2897">
            <v>600</v>
          </cell>
        </row>
        <row r="2898">
          <cell r="B2898" t="str">
            <v>DD-J10-21102-410-1-Z</v>
          </cell>
          <cell r="D2898" t="str">
            <v>J</v>
          </cell>
          <cell r="E2898" t="str">
            <v>工序内容</v>
          </cell>
          <cell r="F2898" t="str">
            <v>3/钳工</v>
          </cell>
          <cell r="G2898" t="str">
            <v>5/飞面</v>
          </cell>
          <cell r="H2898" t="str">
            <v>10/孔50</v>
          </cell>
          <cell r="I2898" t="str">
            <v>15/数铣120</v>
          </cell>
          <cell r="J2898" t="str">
            <v>20/时效</v>
          </cell>
          <cell r="K2898" t="str">
            <v>25/数铣</v>
          </cell>
          <cell r="L2898" t="str">
            <v>30/数铣400</v>
          </cell>
          <cell r="M2898" t="str">
            <v>35/数铣480</v>
          </cell>
          <cell r="N2898" t="str">
            <v>40/测量</v>
          </cell>
          <cell r="O2898" t="str">
            <v>45/数铣210</v>
          </cell>
          <cell r="P2898" t="str">
            <v>50/数铣60</v>
          </cell>
          <cell r="Q2898" t="str">
            <v>55/数铣55</v>
          </cell>
          <cell r="R2898" t="str">
            <v>60/数铣55</v>
          </cell>
          <cell r="S2898" t="str">
            <v>65/测量</v>
          </cell>
          <cell r="T2898" t="str">
            <v>70/钳工</v>
          </cell>
          <cell r="U2898" t="str">
            <v>75/清洁</v>
          </cell>
          <cell r="V2898" t="str">
            <v>83/检验</v>
          </cell>
          <cell r="W2898" t="str">
            <v>85/硬检</v>
          </cell>
          <cell r="X2898" t="str">
            <v>90/分光</v>
          </cell>
          <cell r="Y2898" t="str">
            <v>95/钳工</v>
          </cell>
          <cell r="Z2898" t="str">
            <v>100/清洗</v>
          </cell>
          <cell r="AA2898" t="str">
            <v>105/成检</v>
          </cell>
        </row>
        <row r="2899">
          <cell r="B2899" t="str">
            <v>DD-J10-21102-410-1-Z</v>
          </cell>
          <cell r="D2899" t="str">
            <v>J</v>
          </cell>
          <cell r="E2899" t="str">
            <v>准备工时</v>
          </cell>
          <cell r="F2899">
            <v>60</v>
          </cell>
          <cell r="G2899">
            <v>60</v>
          </cell>
          <cell r="H2899">
            <v>60</v>
          </cell>
          <cell r="I2899">
            <v>60</v>
          </cell>
          <cell r="K2899">
            <v>60</v>
          </cell>
          <cell r="L2899">
            <v>120</v>
          </cell>
          <cell r="M2899">
            <v>120</v>
          </cell>
          <cell r="O2899">
            <v>60</v>
          </cell>
          <cell r="P2899">
            <v>60</v>
          </cell>
          <cell r="Q2899">
            <v>60</v>
          </cell>
          <cell r="R2899">
            <v>60</v>
          </cell>
        </row>
        <row r="2900">
          <cell r="B2900" t="str">
            <v>DD-J10-21102-410-1-Z</v>
          </cell>
          <cell r="D2900" t="str">
            <v>J</v>
          </cell>
          <cell r="E2900" t="str">
            <v>装夹时间</v>
          </cell>
          <cell r="G2900">
            <v>60</v>
          </cell>
          <cell r="H2900">
            <v>60</v>
          </cell>
          <cell r="I2900">
            <v>60</v>
          </cell>
          <cell r="K2900">
            <v>60</v>
          </cell>
          <cell r="L2900">
            <v>60</v>
          </cell>
          <cell r="M2900">
            <v>60</v>
          </cell>
          <cell r="O2900">
            <v>90</v>
          </cell>
          <cell r="P2900">
            <v>60</v>
          </cell>
          <cell r="Q2900">
            <v>60</v>
          </cell>
          <cell r="R2900">
            <v>60</v>
          </cell>
        </row>
        <row r="2901">
          <cell r="B2901" t="str">
            <v>DD-J10-21102-410-1-Z</v>
          </cell>
          <cell r="D2901" t="str">
            <v>J</v>
          </cell>
          <cell r="E2901" t="str">
            <v>程序时间</v>
          </cell>
          <cell r="F2901">
            <v>50</v>
          </cell>
          <cell r="G2901">
            <v>90</v>
          </cell>
          <cell r="H2901">
            <v>90</v>
          </cell>
          <cell r="I2901">
            <v>270</v>
          </cell>
          <cell r="K2901">
            <v>90</v>
          </cell>
          <cell r="L2901">
            <v>570</v>
          </cell>
          <cell r="M2901">
            <v>600</v>
          </cell>
          <cell r="O2901">
            <v>270</v>
          </cell>
          <cell r="P2901">
            <v>60</v>
          </cell>
          <cell r="Q2901">
            <v>90</v>
          </cell>
          <cell r="R2901">
            <v>70</v>
          </cell>
          <cell r="T2901">
            <v>440</v>
          </cell>
        </row>
        <row r="2902">
          <cell r="B2902" t="str">
            <v>DD-J10-21102-410-1-Y</v>
          </cell>
          <cell r="D2902" t="str">
            <v>J</v>
          </cell>
          <cell r="E2902" t="str">
            <v>工序内容</v>
          </cell>
          <cell r="F2902" t="str">
            <v>3/钳工</v>
          </cell>
          <cell r="G2902" t="str">
            <v>5/飞面</v>
          </cell>
          <cell r="H2902" t="str">
            <v>10/孔50</v>
          </cell>
          <cell r="I2902" t="str">
            <v>15/数铣120</v>
          </cell>
          <cell r="J2902" t="str">
            <v>20/时效</v>
          </cell>
          <cell r="K2902" t="str">
            <v>25/数铣</v>
          </cell>
          <cell r="L2902" t="str">
            <v>30/数铣400</v>
          </cell>
          <cell r="M2902" t="str">
            <v>35/数铣480</v>
          </cell>
          <cell r="N2902" t="str">
            <v>40/测量</v>
          </cell>
          <cell r="O2902" t="str">
            <v>45/数铣210</v>
          </cell>
          <cell r="P2902" t="str">
            <v>50/数铣60</v>
          </cell>
          <cell r="Q2902" t="str">
            <v>55/数铣55</v>
          </cell>
          <cell r="R2902" t="str">
            <v>60/数铣55</v>
          </cell>
          <cell r="S2902" t="str">
            <v>65/测量</v>
          </cell>
          <cell r="T2902" t="str">
            <v>70/钳工</v>
          </cell>
          <cell r="U2902" t="str">
            <v>75/清洁</v>
          </cell>
          <cell r="V2902" t="str">
            <v>83/检验</v>
          </cell>
          <cell r="W2902" t="str">
            <v>85/硬检</v>
          </cell>
          <cell r="X2902" t="str">
            <v>90/分光</v>
          </cell>
          <cell r="Y2902" t="str">
            <v>95/钳工</v>
          </cell>
          <cell r="Z2902" t="str">
            <v>100/清洗</v>
          </cell>
          <cell r="AA2902" t="str">
            <v>105/成检</v>
          </cell>
        </row>
        <row r="2903">
          <cell r="B2903" t="str">
            <v>DD-J10-21102-410-1-Y</v>
          </cell>
          <cell r="D2903" t="str">
            <v>J</v>
          </cell>
          <cell r="E2903" t="str">
            <v>准备工时</v>
          </cell>
          <cell r="F2903">
            <v>60</v>
          </cell>
          <cell r="G2903">
            <v>60</v>
          </cell>
          <cell r="H2903">
            <v>60</v>
          </cell>
          <cell r="I2903">
            <v>60</v>
          </cell>
          <cell r="K2903">
            <v>60</v>
          </cell>
          <cell r="L2903">
            <v>120</v>
          </cell>
          <cell r="M2903">
            <v>120</v>
          </cell>
          <cell r="O2903">
            <v>60</v>
          </cell>
          <cell r="P2903">
            <v>60</v>
          </cell>
          <cell r="Q2903">
            <v>60</v>
          </cell>
          <cell r="R2903">
            <v>60</v>
          </cell>
        </row>
        <row r="2904">
          <cell r="B2904" t="str">
            <v>DD-J10-21102-410-1-Y</v>
          </cell>
          <cell r="D2904" t="str">
            <v>J</v>
          </cell>
          <cell r="E2904" t="str">
            <v>装夹时间</v>
          </cell>
          <cell r="G2904">
            <v>60</v>
          </cell>
          <cell r="H2904">
            <v>60</v>
          </cell>
          <cell r="I2904">
            <v>60</v>
          </cell>
          <cell r="K2904">
            <v>60</v>
          </cell>
          <cell r="L2904">
            <v>60</v>
          </cell>
          <cell r="M2904">
            <v>60</v>
          </cell>
          <cell r="O2904">
            <v>90</v>
          </cell>
          <cell r="P2904">
            <v>60</v>
          </cell>
          <cell r="Q2904">
            <v>60</v>
          </cell>
          <cell r="R2904">
            <v>60</v>
          </cell>
        </row>
        <row r="2905">
          <cell r="B2905" t="str">
            <v>DD-J10-21102-410-1-Y</v>
          </cell>
          <cell r="D2905" t="str">
            <v>J</v>
          </cell>
          <cell r="E2905" t="str">
            <v>程序时间</v>
          </cell>
          <cell r="F2905">
            <v>50</v>
          </cell>
          <cell r="G2905">
            <v>90</v>
          </cell>
          <cell r="H2905">
            <v>90</v>
          </cell>
          <cell r="I2905">
            <v>270</v>
          </cell>
          <cell r="K2905">
            <v>90</v>
          </cell>
          <cell r="L2905">
            <v>570</v>
          </cell>
          <cell r="M2905">
            <v>600</v>
          </cell>
          <cell r="O2905">
            <v>270</v>
          </cell>
          <cell r="P2905">
            <v>60</v>
          </cell>
          <cell r="Q2905">
            <v>90</v>
          </cell>
          <cell r="R2905">
            <v>70</v>
          </cell>
          <cell r="T2905">
            <v>440</v>
          </cell>
        </row>
        <row r="2906">
          <cell r="B2906" t="str">
            <v>CB5713600-001L006</v>
          </cell>
          <cell r="D2906" t="str">
            <v>E</v>
          </cell>
          <cell r="E2906" t="str">
            <v>工序内容</v>
          </cell>
          <cell r="F2906" t="str">
            <v>0/领料</v>
          </cell>
          <cell r="G2906" t="str">
            <v>5/钳工</v>
          </cell>
          <cell r="H2906" t="str">
            <v>10/数铣900</v>
          </cell>
          <cell r="I2906" t="str">
            <v>15/数铣860</v>
          </cell>
          <cell r="J2906" t="str">
            <v>20/超探</v>
          </cell>
          <cell r="K2906" t="str">
            <v>25/数铣2950</v>
          </cell>
          <cell r="L2906" t="str">
            <v>30/数铣830</v>
          </cell>
          <cell r="M2906" t="str">
            <v>35/数铣850</v>
          </cell>
          <cell r="N2906" t="str">
            <v>40/钳工</v>
          </cell>
          <cell r="O2906" t="str">
            <v>45/清洁</v>
          </cell>
          <cell r="P2906" t="str">
            <v>50/测量</v>
          </cell>
          <cell r="Q2906" t="str">
            <v>55/成检</v>
          </cell>
        </row>
        <row r="2907">
          <cell r="B2907" t="str">
            <v>CB5713600-001L006</v>
          </cell>
          <cell r="D2907" t="str">
            <v>E</v>
          </cell>
          <cell r="E2907" t="str">
            <v>准备工时</v>
          </cell>
          <cell r="H2907">
            <v>240</v>
          </cell>
          <cell r="I2907">
            <v>180</v>
          </cell>
          <cell r="K2907">
            <v>180</v>
          </cell>
          <cell r="L2907">
            <v>180</v>
          </cell>
          <cell r="M2907">
            <v>180</v>
          </cell>
        </row>
        <row r="2908">
          <cell r="B2908" t="str">
            <v>CB5713600-001L006</v>
          </cell>
          <cell r="D2908" t="str">
            <v>E</v>
          </cell>
          <cell r="E2908" t="str">
            <v>装夹时间</v>
          </cell>
          <cell r="H2908">
            <v>240</v>
          </cell>
          <cell r="I2908">
            <v>180</v>
          </cell>
          <cell r="K2908">
            <v>180</v>
          </cell>
          <cell r="L2908">
            <v>180</v>
          </cell>
          <cell r="M2908">
            <v>150</v>
          </cell>
        </row>
        <row r="2909">
          <cell r="B2909" t="str">
            <v>CB5713600-001L006</v>
          </cell>
          <cell r="D2909" t="str">
            <v>E</v>
          </cell>
          <cell r="E2909" t="str">
            <v>程序时间</v>
          </cell>
          <cell r="G2909">
            <v>1200</v>
          </cell>
          <cell r="H2909">
            <v>1800</v>
          </cell>
          <cell r="I2909">
            <v>2150</v>
          </cell>
          <cell r="K2909">
            <v>4800</v>
          </cell>
          <cell r="L2909">
            <v>1500</v>
          </cell>
          <cell r="M2909">
            <v>1200</v>
          </cell>
          <cell r="N2909">
            <v>360</v>
          </cell>
        </row>
        <row r="2910">
          <cell r="B2910" t="str">
            <v>CB5713600-001R004</v>
          </cell>
          <cell r="D2910" t="str">
            <v>E</v>
          </cell>
          <cell r="E2910" t="str">
            <v>工序内容</v>
          </cell>
          <cell r="F2910" t="str">
            <v>0/领料</v>
          </cell>
          <cell r="G2910" t="str">
            <v>5/钳工</v>
          </cell>
          <cell r="H2910" t="str">
            <v>10/数铣900</v>
          </cell>
          <cell r="I2910" t="str">
            <v>15/数铣860</v>
          </cell>
          <cell r="J2910" t="str">
            <v>20/超探</v>
          </cell>
          <cell r="K2910" t="str">
            <v>25/数铣2950</v>
          </cell>
          <cell r="L2910" t="str">
            <v>30/数铣830</v>
          </cell>
          <cell r="M2910" t="str">
            <v>35/数铣850</v>
          </cell>
          <cell r="N2910" t="str">
            <v>40/钳工</v>
          </cell>
          <cell r="O2910" t="str">
            <v>45/清洁</v>
          </cell>
          <cell r="P2910" t="str">
            <v>50/测量</v>
          </cell>
          <cell r="Q2910" t="str">
            <v>55/成检</v>
          </cell>
        </row>
        <row r="2911">
          <cell r="B2911" t="str">
            <v>CB5713600-001R004</v>
          </cell>
          <cell r="D2911" t="str">
            <v>E</v>
          </cell>
          <cell r="E2911" t="str">
            <v>准备工时</v>
          </cell>
          <cell r="H2911">
            <v>240</v>
          </cell>
          <cell r="I2911">
            <v>180</v>
          </cell>
          <cell r="K2911">
            <v>180</v>
          </cell>
          <cell r="L2911">
            <v>180</v>
          </cell>
          <cell r="M2911">
            <v>180</v>
          </cell>
        </row>
        <row r="2912">
          <cell r="B2912" t="str">
            <v>CB5713600-001R004</v>
          </cell>
          <cell r="D2912" t="str">
            <v>E</v>
          </cell>
          <cell r="E2912" t="str">
            <v>装夹时间</v>
          </cell>
          <cell r="H2912">
            <v>240</v>
          </cell>
          <cell r="I2912">
            <v>180</v>
          </cell>
          <cell r="K2912">
            <v>180</v>
          </cell>
          <cell r="L2912">
            <v>180</v>
          </cell>
          <cell r="M2912">
            <v>150</v>
          </cell>
        </row>
        <row r="2913">
          <cell r="B2913" t="str">
            <v>CB5713600-001R004</v>
          </cell>
          <cell r="D2913" t="str">
            <v>E</v>
          </cell>
          <cell r="E2913" t="str">
            <v>程序时间</v>
          </cell>
          <cell r="G2913">
            <v>1200</v>
          </cell>
          <cell r="H2913">
            <v>1800</v>
          </cell>
          <cell r="I2913">
            <v>2150</v>
          </cell>
          <cell r="K2913">
            <v>4800</v>
          </cell>
          <cell r="L2913">
            <v>1500</v>
          </cell>
          <cell r="M2913">
            <v>1200</v>
          </cell>
          <cell r="N2913">
            <v>360</v>
          </cell>
        </row>
        <row r="2914">
          <cell r="B2914" t="str">
            <v>DD-J10-21102-31-Z</v>
          </cell>
          <cell r="D2914" t="str">
            <v>A</v>
          </cell>
          <cell r="E2914" t="str">
            <v>工序内容</v>
          </cell>
          <cell r="F2914" t="str">
            <v>3/数铣</v>
          </cell>
          <cell r="G2914" t="str">
            <v>5/数铣</v>
          </cell>
          <cell r="H2914" t="str">
            <v>10/数铣40</v>
          </cell>
          <cell r="I2914" t="str">
            <v>15/数铣515</v>
          </cell>
          <cell r="J2914" t="str">
            <v>20/数铣35</v>
          </cell>
          <cell r="K2914" t="str">
            <v>25/数铣960</v>
          </cell>
          <cell r="L2914" t="str">
            <v>30/测量</v>
          </cell>
          <cell r="M2914" t="str">
            <v>35/钳工</v>
          </cell>
          <cell r="N2914" t="str">
            <v>40/清洁</v>
          </cell>
          <cell r="O2914" t="str">
            <v>45/成检</v>
          </cell>
        </row>
        <row r="2915">
          <cell r="B2915" t="str">
            <v>DD-J10-21102-31-Z</v>
          </cell>
          <cell r="D2915" t="str">
            <v>A</v>
          </cell>
          <cell r="E2915" t="str">
            <v>准备工时</v>
          </cell>
          <cell r="F2915" t="str">
            <v>60</v>
          </cell>
          <cell r="G2915">
            <v>60</v>
          </cell>
          <cell r="H2915">
            <v>90</v>
          </cell>
          <cell r="I2915">
            <v>120</v>
          </cell>
          <cell r="J2915">
            <v>90</v>
          </cell>
          <cell r="K2915">
            <v>120</v>
          </cell>
        </row>
        <row r="2916">
          <cell r="B2916" t="str">
            <v>DD-J10-21102-31-Z</v>
          </cell>
          <cell r="D2916" t="str">
            <v>A</v>
          </cell>
          <cell r="E2916" t="str">
            <v>装夹时间</v>
          </cell>
          <cell r="J2916">
            <v>60</v>
          </cell>
        </row>
        <row r="2917">
          <cell r="B2917" t="str">
            <v>DD-J10-21102-31-Z</v>
          </cell>
          <cell r="D2917" t="str">
            <v>A</v>
          </cell>
          <cell r="E2917" t="str">
            <v>程序时间</v>
          </cell>
          <cell r="F2917" t="str">
            <v>30</v>
          </cell>
          <cell r="G2917">
            <v>30</v>
          </cell>
          <cell r="H2917">
            <v>70</v>
          </cell>
          <cell r="I2917">
            <v>580</v>
          </cell>
          <cell r="J2917">
            <v>80</v>
          </cell>
          <cell r="K2917">
            <v>900</v>
          </cell>
          <cell r="M2917">
            <v>300</v>
          </cell>
          <cell r="N2917">
            <v>15</v>
          </cell>
        </row>
        <row r="2918">
          <cell r="B2918" t="str">
            <v>DD-J10-54101-201</v>
          </cell>
          <cell r="D2918" t="str">
            <v>G</v>
          </cell>
          <cell r="E2918" t="str">
            <v>工序内容</v>
          </cell>
          <cell r="F2918" t="str">
            <v>0/领料</v>
          </cell>
          <cell r="G2918" t="str">
            <v>5/下料</v>
          </cell>
          <cell r="H2918" t="str">
            <v>10/数铣</v>
          </cell>
          <cell r="I2918" t="str">
            <v>15/数铣45</v>
          </cell>
          <cell r="J2918" t="str">
            <v>20/数铣25</v>
          </cell>
          <cell r="K2918" t="str">
            <v>25/数铣160</v>
          </cell>
          <cell r="L2918" t="str">
            <v>30/钳工</v>
          </cell>
          <cell r="M2918" t="str">
            <v>35/清洁</v>
          </cell>
          <cell r="N2918" t="str">
            <v>40/检验</v>
          </cell>
          <cell r="O2918" t="str">
            <v>45/复验</v>
          </cell>
          <cell r="P2918" t="str">
            <v>50/分光</v>
          </cell>
          <cell r="Q2918" t="str">
            <v>55/钳工</v>
          </cell>
          <cell r="R2918" t="str">
            <v>60/成检</v>
          </cell>
        </row>
        <row r="2919">
          <cell r="B2919" t="str">
            <v>DD-J10-54101-201</v>
          </cell>
          <cell r="D2919" t="str">
            <v>G</v>
          </cell>
          <cell r="E2919" t="str">
            <v>准备工时</v>
          </cell>
          <cell r="H2919">
            <v>60</v>
          </cell>
          <cell r="I2919">
            <v>90</v>
          </cell>
          <cell r="J2919">
            <v>90</v>
          </cell>
          <cell r="K2919">
            <v>60</v>
          </cell>
        </row>
        <row r="2920">
          <cell r="B2920" t="str">
            <v>DD-J10-54101-201</v>
          </cell>
          <cell r="D2920" t="str">
            <v>G</v>
          </cell>
          <cell r="E2920" t="str">
            <v>程序时间</v>
          </cell>
          <cell r="G2920">
            <v>40</v>
          </cell>
          <cell r="H2920">
            <v>180</v>
          </cell>
          <cell r="I2920">
            <v>65</v>
          </cell>
          <cell r="J2920">
            <v>45</v>
          </cell>
          <cell r="K2920">
            <v>180</v>
          </cell>
          <cell r="L2920" t="str">
            <v>90</v>
          </cell>
          <cell r="Q2920">
            <v>5</v>
          </cell>
        </row>
        <row r="2921">
          <cell r="B2921" t="str">
            <v>LTCS-515030000-04N01</v>
          </cell>
          <cell r="D2921" t="str">
            <v>E</v>
          </cell>
          <cell r="E2921" t="str">
            <v>工序内容</v>
          </cell>
          <cell r="F2921" t="str">
            <v>3/数铣</v>
          </cell>
          <cell r="G2921" t="str">
            <v>5/数铣</v>
          </cell>
          <cell r="H2921" t="str">
            <v>10/数铣20</v>
          </cell>
          <cell r="I2921" t="str">
            <v>15/数铣85</v>
          </cell>
          <cell r="J2921" t="str">
            <v>20/测量</v>
          </cell>
          <cell r="K2921" t="str">
            <v>25/钳工</v>
          </cell>
          <cell r="L2921" t="str">
            <v>30/清洁</v>
          </cell>
          <cell r="M2921" t="str">
            <v>35/成检</v>
          </cell>
        </row>
        <row r="2922">
          <cell r="B2922" t="str">
            <v>LTCS-515030000-04N01</v>
          </cell>
          <cell r="D2922" t="str">
            <v>E</v>
          </cell>
          <cell r="E2922" t="str">
            <v>准备工时</v>
          </cell>
          <cell r="F2922">
            <v>60</v>
          </cell>
          <cell r="G2922">
            <v>60</v>
          </cell>
          <cell r="H2922">
            <v>60</v>
          </cell>
          <cell r="I2922">
            <v>60</v>
          </cell>
        </row>
        <row r="2923">
          <cell r="B2923" t="str">
            <v>LTCS-515030000-04N01</v>
          </cell>
          <cell r="D2923" t="str">
            <v>E</v>
          </cell>
          <cell r="E2923" t="str">
            <v>装夹时间</v>
          </cell>
        </row>
        <row r="2924">
          <cell r="B2924" t="str">
            <v>LTCS-515030000-04N01</v>
          </cell>
          <cell r="D2924" t="str">
            <v>E</v>
          </cell>
          <cell r="E2924" t="str">
            <v>程序时间</v>
          </cell>
          <cell r="F2924">
            <v>40</v>
          </cell>
          <cell r="G2924">
            <v>40</v>
          </cell>
          <cell r="H2924">
            <v>30</v>
          </cell>
          <cell r="I2924">
            <v>140</v>
          </cell>
          <cell r="K2924">
            <v>140</v>
          </cell>
          <cell r="M2924" t="str">
            <v/>
          </cell>
        </row>
        <row r="2925">
          <cell r="B2925" t="str">
            <v>LTCS-541100400-02L01</v>
          </cell>
          <cell r="D2925" t="str">
            <v>A</v>
          </cell>
          <cell r="E2925" t="str">
            <v>工序内容</v>
          </cell>
          <cell r="F2925" t="str">
            <v>0/领料</v>
          </cell>
          <cell r="G2925" t="str">
            <v>5/下料</v>
          </cell>
          <cell r="H2925" t="str">
            <v>10/数铣</v>
          </cell>
          <cell r="I2925" t="str">
            <v>15/数铣</v>
          </cell>
          <cell r="J2925" t="str">
            <v>20/钳工</v>
          </cell>
          <cell r="K2925" t="str">
            <v>25/线切割</v>
          </cell>
          <cell r="L2925" t="str">
            <v>30/钳工</v>
          </cell>
          <cell r="M2925" t="str">
            <v>35/钳工</v>
          </cell>
          <cell r="N2925" t="str">
            <v>40/数铣</v>
          </cell>
          <cell r="O2925" t="str">
            <v>45/测量</v>
          </cell>
        </row>
        <row r="2926">
          <cell r="B2926" t="str">
            <v>LTCS-541100400-02L01</v>
          </cell>
          <cell r="D2926" t="str">
            <v>A</v>
          </cell>
          <cell r="E2926" t="str">
            <v>准备工时</v>
          </cell>
          <cell r="H2926">
            <v>60</v>
          </cell>
          <cell r="I2926">
            <v>120</v>
          </cell>
        </row>
        <row r="2927">
          <cell r="B2927" t="str">
            <v>LTCS-541100400-02L01</v>
          </cell>
          <cell r="D2927" t="str">
            <v>A</v>
          </cell>
          <cell r="E2927" t="str">
            <v>装夹时间</v>
          </cell>
        </row>
        <row r="2928">
          <cell r="B2928" t="str">
            <v>LTCS-541100400-02L01</v>
          </cell>
          <cell r="D2928" t="str">
            <v>A</v>
          </cell>
          <cell r="E2928" t="str">
            <v>程序时间</v>
          </cell>
          <cell r="G2928">
            <v>20</v>
          </cell>
          <cell r="H2928">
            <v>20</v>
          </cell>
          <cell r="I2928">
            <v>150</v>
          </cell>
          <cell r="J2928">
            <v>20</v>
          </cell>
          <cell r="K2928">
            <v>30</v>
          </cell>
          <cell r="L2928">
            <v>30</v>
          </cell>
          <cell r="M2928">
            <v>20</v>
          </cell>
          <cell r="N2928">
            <v>20</v>
          </cell>
          <cell r="O2928" t="str">
            <v/>
          </cell>
        </row>
        <row r="2929">
          <cell r="B2929" t="str">
            <v>LTCS-541100400-02R01</v>
          </cell>
          <cell r="D2929" t="str">
            <v>A</v>
          </cell>
          <cell r="E2929" t="str">
            <v>工序内容</v>
          </cell>
          <cell r="F2929" t="str">
            <v>0/领料</v>
          </cell>
          <cell r="G2929" t="str">
            <v>5/下料</v>
          </cell>
          <cell r="H2929" t="str">
            <v>10/数铣</v>
          </cell>
          <cell r="I2929" t="str">
            <v>15/数铣</v>
          </cell>
          <cell r="J2929" t="str">
            <v>20/钳工</v>
          </cell>
          <cell r="K2929" t="str">
            <v>25/线切割</v>
          </cell>
          <cell r="L2929" t="str">
            <v>30/钳工</v>
          </cell>
          <cell r="M2929" t="str">
            <v>35/钳工</v>
          </cell>
          <cell r="N2929" t="str">
            <v>40/数铣</v>
          </cell>
          <cell r="O2929" t="str">
            <v>45/测量</v>
          </cell>
        </row>
        <row r="2930">
          <cell r="B2930" t="str">
            <v>LTCS-541100400-02R01</v>
          </cell>
          <cell r="D2930" t="str">
            <v>A</v>
          </cell>
          <cell r="E2930" t="str">
            <v>准备工时</v>
          </cell>
          <cell r="H2930">
            <v>60</v>
          </cell>
          <cell r="I2930">
            <v>120</v>
          </cell>
        </row>
        <row r="2931">
          <cell r="B2931" t="str">
            <v>LTCS-541100400-02R01</v>
          </cell>
          <cell r="D2931" t="str">
            <v>A</v>
          </cell>
          <cell r="E2931" t="str">
            <v>装夹时间</v>
          </cell>
        </row>
        <row r="2932">
          <cell r="B2932" t="str">
            <v>LTCS-541100400-02R01</v>
          </cell>
          <cell r="D2932" t="str">
            <v>A</v>
          </cell>
          <cell r="E2932" t="str">
            <v>程序时间</v>
          </cell>
          <cell r="G2932">
            <v>20</v>
          </cell>
          <cell r="H2932">
            <v>20</v>
          </cell>
          <cell r="I2932">
            <v>150</v>
          </cell>
          <cell r="J2932">
            <v>20</v>
          </cell>
          <cell r="K2932">
            <v>30</v>
          </cell>
          <cell r="L2932">
            <v>30</v>
          </cell>
          <cell r="M2932">
            <v>20</v>
          </cell>
          <cell r="N2932">
            <v>20</v>
          </cell>
          <cell r="O2932" t="str">
            <v/>
          </cell>
        </row>
        <row r="2933">
          <cell r="B2933" t="str">
            <v>LTCS-541100400-03L01</v>
          </cell>
          <cell r="D2933" t="str">
            <v>A</v>
          </cell>
          <cell r="E2933" t="str">
            <v>工序内容</v>
          </cell>
          <cell r="F2933" t="str">
            <v>0/领料</v>
          </cell>
          <cell r="G2933" t="str">
            <v>5/下料</v>
          </cell>
          <cell r="H2933" t="str">
            <v>10/数铣</v>
          </cell>
          <cell r="I2933" t="str">
            <v>15/数铣</v>
          </cell>
          <cell r="J2933" t="str">
            <v>20/钳工</v>
          </cell>
          <cell r="K2933" t="str">
            <v>25/线切割</v>
          </cell>
          <cell r="L2933" t="str">
            <v>30/钳工</v>
          </cell>
          <cell r="M2933" t="str">
            <v>35/钳工</v>
          </cell>
          <cell r="N2933" t="str">
            <v>40/数铣</v>
          </cell>
          <cell r="O2933" t="str">
            <v>45/测量</v>
          </cell>
        </row>
        <row r="2934">
          <cell r="B2934" t="str">
            <v>LTCS-541100400-03L01</v>
          </cell>
          <cell r="D2934" t="str">
            <v>A</v>
          </cell>
          <cell r="E2934" t="str">
            <v>准备工时</v>
          </cell>
          <cell r="H2934">
            <v>60</v>
          </cell>
          <cell r="I2934">
            <v>120</v>
          </cell>
        </row>
        <row r="2935">
          <cell r="B2935" t="str">
            <v>LTCS-541100400-03L01</v>
          </cell>
          <cell r="D2935" t="str">
            <v>A</v>
          </cell>
          <cell r="E2935" t="str">
            <v>装夹时间</v>
          </cell>
        </row>
        <row r="2936">
          <cell r="B2936" t="str">
            <v>LTCS-541100400-03L01</v>
          </cell>
          <cell r="D2936" t="str">
            <v>A</v>
          </cell>
          <cell r="E2936" t="str">
            <v>程序时间</v>
          </cell>
          <cell r="G2936">
            <v>20</v>
          </cell>
          <cell r="H2936">
            <v>20</v>
          </cell>
          <cell r="I2936">
            <v>150</v>
          </cell>
          <cell r="J2936">
            <v>20</v>
          </cell>
          <cell r="K2936">
            <v>30</v>
          </cell>
          <cell r="L2936">
            <v>30</v>
          </cell>
          <cell r="M2936">
            <v>20</v>
          </cell>
          <cell r="N2936">
            <v>20</v>
          </cell>
          <cell r="O2936" t="str">
            <v/>
          </cell>
        </row>
        <row r="2937">
          <cell r="B2937" t="str">
            <v>LTCS-541100400-03R01</v>
          </cell>
          <cell r="D2937" t="str">
            <v>A</v>
          </cell>
          <cell r="E2937" t="str">
            <v>工序内容</v>
          </cell>
          <cell r="F2937" t="str">
            <v>0/领料</v>
          </cell>
          <cell r="G2937" t="str">
            <v>5/下料</v>
          </cell>
          <cell r="H2937" t="str">
            <v>10/数铣</v>
          </cell>
          <cell r="I2937" t="str">
            <v>15/数铣</v>
          </cell>
          <cell r="J2937" t="str">
            <v>20/钳工</v>
          </cell>
          <cell r="K2937" t="str">
            <v>25/线切割</v>
          </cell>
          <cell r="L2937" t="str">
            <v>30/钳工</v>
          </cell>
          <cell r="M2937" t="str">
            <v>35/钳工</v>
          </cell>
          <cell r="N2937" t="str">
            <v>40/数铣</v>
          </cell>
          <cell r="O2937" t="str">
            <v>45/测量</v>
          </cell>
        </row>
        <row r="2938">
          <cell r="B2938" t="str">
            <v>LTCS-541100400-03R01</v>
          </cell>
          <cell r="D2938" t="str">
            <v>A</v>
          </cell>
          <cell r="E2938" t="str">
            <v>准备工时</v>
          </cell>
          <cell r="H2938">
            <v>60</v>
          </cell>
          <cell r="I2938">
            <v>120</v>
          </cell>
        </row>
        <row r="2939">
          <cell r="B2939" t="str">
            <v>LTCS-541100400-03R01</v>
          </cell>
          <cell r="D2939" t="str">
            <v>A</v>
          </cell>
          <cell r="E2939" t="str">
            <v>装夹时间</v>
          </cell>
        </row>
        <row r="2940">
          <cell r="B2940" t="str">
            <v>LTCS-541100400-03R01</v>
          </cell>
          <cell r="D2940" t="str">
            <v>A</v>
          </cell>
          <cell r="E2940" t="str">
            <v>程序时间</v>
          </cell>
          <cell r="G2940">
            <v>20</v>
          </cell>
          <cell r="H2940">
            <v>20</v>
          </cell>
          <cell r="I2940">
            <v>150</v>
          </cell>
          <cell r="J2940">
            <v>20</v>
          </cell>
          <cell r="K2940">
            <v>30</v>
          </cell>
          <cell r="L2940">
            <v>30</v>
          </cell>
          <cell r="M2940">
            <v>20</v>
          </cell>
          <cell r="N2940">
            <v>20</v>
          </cell>
          <cell r="O2940" t="str">
            <v/>
          </cell>
        </row>
        <row r="2941">
          <cell r="B2941" t="str">
            <v>LTCS-551101400-06N02</v>
          </cell>
          <cell r="D2941" t="str">
            <v>A</v>
          </cell>
          <cell r="E2941" t="str">
            <v>工序内容</v>
          </cell>
          <cell r="F2941" t="str">
            <v>0/领料</v>
          </cell>
          <cell r="G2941" t="str">
            <v>5/数铣</v>
          </cell>
          <cell r="H2941" t="str">
            <v>10/数铣15</v>
          </cell>
          <cell r="I2941" t="str">
            <v>15/数铣60</v>
          </cell>
          <cell r="J2941" t="str">
            <v>20/数铣40</v>
          </cell>
          <cell r="K2941" t="str">
            <v>25/数铣15</v>
          </cell>
          <cell r="L2941" t="str">
            <v>30/测量</v>
          </cell>
          <cell r="M2941" t="str">
            <v>35/钳工</v>
          </cell>
          <cell r="N2941" t="str">
            <v>40/清洁</v>
          </cell>
          <cell r="O2941" t="str">
            <v>45/成检</v>
          </cell>
        </row>
        <row r="2942">
          <cell r="B2942" t="str">
            <v>LTCS-551101400-06N02</v>
          </cell>
          <cell r="D2942" t="str">
            <v>A</v>
          </cell>
          <cell r="E2942" t="str">
            <v>准备工时</v>
          </cell>
          <cell r="G2942">
            <v>60</v>
          </cell>
          <cell r="H2942">
            <v>90</v>
          </cell>
          <cell r="I2942">
            <v>120</v>
          </cell>
          <cell r="J2942">
            <v>90</v>
          </cell>
          <cell r="K2942">
            <v>60</v>
          </cell>
        </row>
        <row r="2943">
          <cell r="B2943" t="str">
            <v>LTCS-551101400-06N02</v>
          </cell>
          <cell r="D2943" t="str">
            <v>A</v>
          </cell>
          <cell r="E2943" t="str">
            <v>程序时间</v>
          </cell>
          <cell r="G2943">
            <v>60</v>
          </cell>
          <cell r="H2943">
            <v>30</v>
          </cell>
          <cell r="I2943">
            <v>120</v>
          </cell>
          <cell r="J2943">
            <v>50</v>
          </cell>
          <cell r="K2943">
            <v>40</v>
          </cell>
          <cell r="M2943">
            <v>50</v>
          </cell>
        </row>
        <row r="2944">
          <cell r="B2944" t="str">
            <v>CB2284752-004-001</v>
          </cell>
          <cell r="D2944" t="str">
            <v>D</v>
          </cell>
          <cell r="E2944" t="str">
            <v>工序内容</v>
          </cell>
          <cell r="F2944" t="str">
            <v>0/领料</v>
          </cell>
          <cell r="G2944" t="str">
            <v>05/普车15</v>
          </cell>
          <cell r="H2944" t="str">
            <v>10/钳工</v>
          </cell>
          <cell r="I2944" t="str">
            <v>15/分光</v>
          </cell>
          <cell r="J2944" t="str">
            <v>20/数车20</v>
          </cell>
          <cell r="K2944" t="str">
            <v>25/车铣35</v>
          </cell>
          <cell r="L2944" t="str">
            <v>30/钳工</v>
          </cell>
          <cell r="M2944" t="str">
            <v>35/清洁</v>
          </cell>
          <cell r="N2944" t="str">
            <v>40/成检</v>
          </cell>
        </row>
        <row r="2945">
          <cell r="B2945" t="str">
            <v>CB2284752-004-001</v>
          </cell>
          <cell r="D2945" t="str">
            <v>D</v>
          </cell>
          <cell r="E2945" t="str">
            <v>准备工时</v>
          </cell>
          <cell r="G2945">
            <v>60</v>
          </cell>
          <cell r="J2945">
            <v>90</v>
          </cell>
          <cell r="K2945">
            <v>120</v>
          </cell>
        </row>
        <row r="2946">
          <cell r="B2946" t="str">
            <v>CB2284752-004-001</v>
          </cell>
          <cell r="D2946" t="str">
            <v>D</v>
          </cell>
          <cell r="E2946" t="str">
            <v>程序时间</v>
          </cell>
          <cell r="G2946" t="str">
            <v>50/根</v>
          </cell>
          <cell r="H2946">
            <v>15</v>
          </cell>
          <cell r="J2946">
            <v>30</v>
          </cell>
          <cell r="K2946">
            <v>60</v>
          </cell>
          <cell r="L2946">
            <v>25</v>
          </cell>
        </row>
        <row r="2947">
          <cell r="B2947" t="str">
            <v>Y20-5315400053-001/002</v>
          </cell>
          <cell r="D2947" t="str">
            <v>C</v>
          </cell>
          <cell r="E2947" t="str">
            <v>工序内容</v>
          </cell>
          <cell r="F2947" t="str">
            <v>0/领料</v>
          </cell>
          <cell r="G2947" t="str">
            <v>05/数铣</v>
          </cell>
          <cell r="H2947" t="str">
            <v>10/数铣</v>
          </cell>
          <cell r="I2947" t="str">
            <v>15/数铣</v>
          </cell>
          <cell r="J2947" t="str">
            <v>20/数铣</v>
          </cell>
          <cell r="K2947" t="str">
            <v>25/五轴</v>
          </cell>
          <cell r="L2947" t="str">
            <v>30/数铣</v>
          </cell>
          <cell r="M2947" t="str">
            <v>35/测量</v>
          </cell>
          <cell r="N2947" t="str">
            <v>40/钳工</v>
          </cell>
          <cell r="O2947" t="str">
            <v>45/清洁</v>
          </cell>
          <cell r="P2947" t="str">
            <v>50/成检</v>
          </cell>
        </row>
        <row r="2948">
          <cell r="B2948" t="str">
            <v>Y20-5315400053-001/002</v>
          </cell>
          <cell r="D2948" t="str">
            <v>C</v>
          </cell>
          <cell r="E2948" t="str">
            <v>准备工时</v>
          </cell>
          <cell r="G2948">
            <v>60</v>
          </cell>
          <cell r="H2948">
            <v>60</v>
          </cell>
          <cell r="I2948">
            <v>60</v>
          </cell>
          <cell r="J2948">
            <v>60</v>
          </cell>
          <cell r="K2948">
            <v>120</v>
          </cell>
          <cell r="L2948">
            <v>60</v>
          </cell>
        </row>
        <row r="2949">
          <cell r="B2949" t="str">
            <v>Y20-5315400053-001/002</v>
          </cell>
          <cell r="D2949" t="str">
            <v>C</v>
          </cell>
          <cell r="E2949" t="str">
            <v>装夹时间</v>
          </cell>
          <cell r="K2949">
            <v>40</v>
          </cell>
        </row>
        <row r="2950">
          <cell r="B2950" t="str">
            <v>Y20-5315400053-001/002</v>
          </cell>
          <cell r="D2950" t="str">
            <v>C</v>
          </cell>
          <cell r="E2950" t="str">
            <v>程序时间</v>
          </cell>
          <cell r="G2950">
            <v>40</v>
          </cell>
          <cell r="H2950">
            <v>40</v>
          </cell>
          <cell r="I2950">
            <v>180</v>
          </cell>
          <cell r="J2950">
            <v>210</v>
          </cell>
          <cell r="K2950">
            <v>240</v>
          </cell>
          <cell r="L2950">
            <v>70</v>
          </cell>
          <cell r="N2950">
            <v>120</v>
          </cell>
        </row>
        <row r="2951">
          <cell r="B2951" t="str">
            <v>C532111100-001L001</v>
          </cell>
          <cell r="D2951" t="str">
            <v>A</v>
          </cell>
          <cell r="E2951" t="str">
            <v>工序内容</v>
          </cell>
          <cell r="F2951" t="str">
            <v>0领料</v>
          </cell>
          <cell r="G2951" t="str">
            <v>5/数铣</v>
          </cell>
          <cell r="H2951" t="str">
            <v>10/数铣</v>
          </cell>
          <cell r="I2951" t="str">
            <v>15/钳工</v>
          </cell>
          <cell r="J2951" t="str">
            <v>20/超探</v>
          </cell>
          <cell r="K2951" t="str">
            <v>25/数铣90</v>
          </cell>
          <cell r="L2951" t="str">
            <v>30/数铣350</v>
          </cell>
          <cell r="M2951" t="str">
            <v>35/钳工</v>
          </cell>
          <cell r="N2951" t="str">
            <v>40/超探</v>
          </cell>
          <cell r="O2951" t="str">
            <v>45/数铣180</v>
          </cell>
          <cell r="P2951" t="str">
            <v>50/数铣960</v>
          </cell>
          <cell r="Q2951" t="str">
            <v>55/数铣840</v>
          </cell>
          <cell r="R2951" t="str">
            <v>60/时效</v>
          </cell>
          <cell r="S2951" t="str">
            <v>65/数铣15</v>
          </cell>
          <cell r="T2951" t="str">
            <v>70/五轴900</v>
          </cell>
          <cell r="U2951" t="str">
            <v>75/数铣960</v>
          </cell>
          <cell r="V2951" t="str">
            <v>80/数铣85</v>
          </cell>
          <cell r="W2951" t="str">
            <v>85/五轴240</v>
          </cell>
          <cell r="X2951" t="str">
            <v>90/钳工</v>
          </cell>
          <cell r="Y2951" t="str">
            <v>95/清洁</v>
          </cell>
          <cell r="Z2951" t="str">
            <v>100/测量</v>
          </cell>
          <cell r="AA2951" t="str">
            <v>105成检</v>
          </cell>
        </row>
        <row r="2952">
          <cell r="B2952" t="str">
            <v>C532111100-001L001</v>
          </cell>
          <cell r="D2952" t="str">
            <v>A</v>
          </cell>
          <cell r="E2952" t="str">
            <v>准备工时</v>
          </cell>
          <cell r="G2952">
            <v>90</v>
          </cell>
          <cell r="H2952">
            <v>90</v>
          </cell>
          <cell r="K2952">
            <v>90</v>
          </cell>
          <cell r="L2952">
            <v>90</v>
          </cell>
          <cell r="O2952">
            <v>120</v>
          </cell>
          <cell r="P2952">
            <v>90</v>
          </cell>
          <cell r="Q2952">
            <v>90</v>
          </cell>
          <cell r="S2952">
            <v>90</v>
          </cell>
          <cell r="T2952">
            <v>180</v>
          </cell>
          <cell r="U2952">
            <v>90</v>
          </cell>
          <cell r="V2952">
            <v>90</v>
          </cell>
          <cell r="W2952">
            <v>180</v>
          </cell>
        </row>
        <row r="2953">
          <cell r="B2953" t="str">
            <v>C532111100-001L001</v>
          </cell>
          <cell r="D2953" t="str">
            <v>A</v>
          </cell>
          <cell r="E2953" t="str">
            <v>装夹时间</v>
          </cell>
          <cell r="G2953">
            <v>60</v>
          </cell>
          <cell r="H2953">
            <v>60</v>
          </cell>
          <cell r="K2953">
            <v>60</v>
          </cell>
          <cell r="L2953">
            <v>60</v>
          </cell>
          <cell r="O2953">
            <v>60</v>
          </cell>
          <cell r="P2953">
            <v>60</v>
          </cell>
          <cell r="Q2953">
            <v>60</v>
          </cell>
          <cell r="S2953">
            <v>60</v>
          </cell>
          <cell r="T2953">
            <v>60</v>
          </cell>
          <cell r="U2953">
            <v>60</v>
          </cell>
          <cell r="V2953">
            <v>60</v>
          </cell>
          <cell r="W2953">
            <v>60</v>
          </cell>
        </row>
        <row r="2954">
          <cell r="B2954" t="str">
            <v>C532111100-001L001</v>
          </cell>
          <cell r="D2954" t="str">
            <v>A</v>
          </cell>
          <cell r="E2954" t="str">
            <v>程序时间</v>
          </cell>
          <cell r="G2954">
            <v>640</v>
          </cell>
          <cell r="H2954">
            <v>720</v>
          </cell>
          <cell r="I2954">
            <v>150</v>
          </cell>
          <cell r="K2954">
            <v>360</v>
          </cell>
          <cell r="L2954">
            <v>720</v>
          </cell>
          <cell r="M2954">
            <v>150</v>
          </cell>
          <cell r="O2954">
            <v>420</v>
          </cell>
          <cell r="P2954">
            <v>1920</v>
          </cell>
          <cell r="Q2954">
            <v>1440</v>
          </cell>
          <cell r="S2954">
            <v>60</v>
          </cell>
          <cell r="T2954">
            <v>4800</v>
          </cell>
          <cell r="U2954">
            <v>2600</v>
          </cell>
          <cell r="V2954">
            <v>300</v>
          </cell>
          <cell r="W2954">
            <v>1050</v>
          </cell>
          <cell r="X2954">
            <v>420</v>
          </cell>
        </row>
        <row r="2955">
          <cell r="B2955" t="str">
            <v>C532111100-001R001</v>
          </cell>
          <cell r="D2955" t="str">
            <v>A</v>
          </cell>
          <cell r="E2955" t="str">
            <v>工序内容</v>
          </cell>
          <cell r="F2955" t="str">
            <v>0领料</v>
          </cell>
          <cell r="G2955" t="str">
            <v>5/数铣</v>
          </cell>
          <cell r="H2955" t="str">
            <v>10/数铣</v>
          </cell>
          <cell r="I2955" t="str">
            <v>15/钳工</v>
          </cell>
          <cell r="J2955" t="str">
            <v>20/超探</v>
          </cell>
          <cell r="K2955" t="str">
            <v>25/数铣90</v>
          </cell>
          <cell r="L2955" t="str">
            <v>30/数铣350</v>
          </cell>
          <cell r="M2955" t="str">
            <v>35/钳工</v>
          </cell>
          <cell r="N2955" t="str">
            <v>40/超探</v>
          </cell>
          <cell r="O2955" t="str">
            <v>45/数铣180</v>
          </cell>
          <cell r="P2955" t="str">
            <v>50/数铣960</v>
          </cell>
          <cell r="Q2955" t="str">
            <v>55/数铣840</v>
          </cell>
          <cell r="R2955" t="str">
            <v>60/时效</v>
          </cell>
          <cell r="S2955" t="str">
            <v>65/数铣15</v>
          </cell>
          <cell r="T2955" t="str">
            <v>70/五轴900</v>
          </cell>
          <cell r="U2955" t="str">
            <v>75/数铣960</v>
          </cell>
          <cell r="V2955" t="str">
            <v>80/数铣85</v>
          </cell>
          <cell r="W2955" t="str">
            <v>85/五轴240</v>
          </cell>
          <cell r="X2955" t="str">
            <v>90/钳工</v>
          </cell>
          <cell r="Y2955" t="str">
            <v>95/清洁</v>
          </cell>
          <cell r="Z2955" t="str">
            <v>100/测量</v>
          </cell>
          <cell r="AA2955" t="str">
            <v>105成检</v>
          </cell>
        </row>
        <row r="2956">
          <cell r="B2956" t="str">
            <v>C532111100-001R001</v>
          </cell>
          <cell r="D2956" t="str">
            <v>A</v>
          </cell>
          <cell r="E2956" t="str">
            <v>准备工时</v>
          </cell>
          <cell r="G2956">
            <v>90</v>
          </cell>
          <cell r="H2956">
            <v>90</v>
          </cell>
          <cell r="K2956">
            <v>90</v>
          </cell>
          <cell r="L2956">
            <v>90</v>
          </cell>
          <cell r="O2956">
            <v>120</v>
          </cell>
          <cell r="P2956">
            <v>90</v>
          </cell>
          <cell r="Q2956">
            <v>90</v>
          </cell>
          <cell r="S2956">
            <v>90</v>
          </cell>
          <cell r="T2956">
            <v>180</v>
          </cell>
          <cell r="U2956">
            <v>90</v>
          </cell>
          <cell r="V2956">
            <v>90</v>
          </cell>
          <cell r="W2956">
            <v>180</v>
          </cell>
        </row>
        <row r="2957">
          <cell r="B2957" t="str">
            <v>C532111100-001R001</v>
          </cell>
          <cell r="D2957" t="str">
            <v>A</v>
          </cell>
          <cell r="E2957" t="str">
            <v>装夹时间</v>
          </cell>
          <cell r="G2957">
            <v>60</v>
          </cell>
          <cell r="H2957">
            <v>60</v>
          </cell>
          <cell r="K2957">
            <v>60</v>
          </cell>
          <cell r="L2957">
            <v>60</v>
          </cell>
          <cell r="O2957">
            <v>60</v>
          </cell>
          <cell r="P2957">
            <v>60</v>
          </cell>
          <cell r="Q2957">
            <v>60</v>
          </cell>
          <cell r="S2957">
            <v>60</v>
          </cell>
          <cell r="T2957">
            <v>60</v>
          </cell>
          <cell r="U2957">
            <v>60</v>
          </cell>
          <cell r="V2957">
            <v>60</v>
          </cell>
          <cell r="W2957">
            <v>60</v>
          </cell>
        </row>
        <row r="2958">
          <cell r="B2958" t="str">
            <v>C532111100-001R001</v>
          </cell>
          <cell r="D2958" t="str">
            <v>A</v>
          </cell>
          <cell r="E2958" t="str">
            <v>程序时间</v>
          </cell>
          <cell r="G2958">
            <v>640</v>
          </cell>
          <cell r="H2958">
            <v>720</v>
          </cell>
          <cell r="I2958">
            <v>150</v>
          </cell>
          <cell r="K2958">
            <v>360</v>
          </cell>
          <cell r="L2958">
            <v>720</v>
          </cell>
          <cell r="M2958">
            <v>150</v>
          </cell>
          <cell r="O2958">
            <v>420</v>
          </cell>
          <cell r="P2958">
            <v>1920</v>
          </cell>
          <cell r="Q2958">
            <v>1440</v>
          </cell>
          <cell r="S2958">
            <v>60</v>
          </cell>
          <cell r="T2958">
            <v>4800</v>
          </cell>
          <cell r="U2958">
            <v>2600</v>
          </cell>
          <cell r="V2958">
            <v>300</v>
          </cell>
          <cell r="W2958">
            <v>1050</v>
          </cell>
          <cell r="X2958">
            <v>420</v>
          </cell>
        </row>
        <row r="2959">
          <cell r="B2959" t="str">
            <v>C532114400-135L001</v>
          </cell>
          <cell r="D2959" t="str">
            <v>A</v>
          </cell>
          <cell r="E2959" t="str">
            <v>工序内容</v>
          </cell>
          <cell r="F2959" t="str">
            <v>0领料</v>
          </cell>
          <cell r="G2959" t="str">
            <v>5/普铣</v>
          </cell>
          <cell r="H2959" t="str">
            <v>10/钳工</v>
          </cell>
          <cell r="I2959" t="str">
            <v>15/超探</v>
          </cell>
          <cell r="J2959" t="str">
            <v>20/数铣360</v>
          </cell>
          <cell r="K2959" t="str">
            <v>25/数铣360</v>
          </cell>
          <cell r="L2959" t="str">
            <v>30/数铣200</v>
          </cell>
          <cell r="M2959" t="str">
            <v>35/数铣45</v>
          </cell>
          <cell r="N2959" t="str">
            <v>40/数铣45</v>
          </cell>
          <cell r="O2959" t="str">
            <v>45/数铣35</v>
          </cell>
          <cell r="P2959" t="str">
            <v>50/数铣35</v>
          </cell>
          <cell r="Q2959" t="str">
            <v>55/时效</v>
          </cell>
          <cell r="R2959" t="str">
            <v>60/数铣20</v>
          </cell>
          <cell r="S2959" t="str">
            <v>65/数铣30</v>
          </cell>
          <cell r="T2959" t="str">
            <v>70/五轴1100</v>
          </cell>
          <cell r="U2959" t="str">
            <v>75/五轴1000</v>
          </cell>
          <cell r="V2959" t="str">
            <v>80/钳工</v>
          </cell>
          <cell r="W2959" t="str">
            <v>85/清洁</v>
          </cell>
          <cell r="X2959" t="str">
            <v>90/测量</v>
          </cell>
          <cell r="Y2959" t="str">
            <v>95成检</v>
          </cell>
        </row>
        <row r="2960">
          <cell r="B2960" t="str">
            <v>C532114400-135L001</v>
          </cell>
          <cell r="D2960" t="str">
            <v>A</v>
          </cell>
          <cell r="E2960" t="str">
            <v>准备工时</v>
          </cell>
          <cell r="G2960">
            <v>60</v>
          </cell>
          <cell r="J2960">
            <v>120</v>
          </cell>
          <cell r="K2960">
            <v>90</v>
          </cell>
          <cell r="L2960">
            <v>90</v>
          </cell>
          <cell r="M2960">
            <v>90</v>
          </cell>
          <cell r="N2960">
            <v>90</v>
          </cell>
          <cell r="O2960">
            <v>90</v>
          </cell>
          <cell r="P2960">
            <v>90</v>
          </cell>
          <cell r="R2960">
            <v>90</v>
          </cell>
          <cell r="S2960">
            <v>90</v>
          </cell>
          <cell r="T2960">
            <v>180</v>
          </cell>
          <cell r="U2960">
            <v>90</v>
          </cell>
        </row>
        <row r="2961">
          <cell r="B2961" t="str">
            <v>C532114400-135L001</v>
          </cell>
          <cell r="D2961" t="str">
            <v>A</v>
          </cell>
          <cell r="E2961" t="str">
            <v>装夹时间</v>
          </cell>
          <cell r="J2961">
            <v>60</v>
          </cell>
          <cell r="K2961">
            <v>60</v>
          </cell>
          <cell r="L2961">
            <v>60</v>
          </cell>
          <cell r="M2961">
            <v>60</v>
          </cell>
          <cell r="N2961">
            <v>60</v>
          </cell>
          <cell r="O2961">
            <v>60</v>
          </cell>
          <cell r="P2961">
            <v>60</v>
          </cell>
          <cell r="R2961">
            <v>60</v>
          </cell>
          <cell r="S2961">
            <v>60</v>
          </cell>
          <cell r="T2961">
            <v>60</v>
          </cell>
          <cell r="U2961">
            <v>60</v>
          </cell>
        </row>
        <row r="2962">
          <cell r="B2962" t="str">
            <v>C532114400-135L001</v>
          </cell>
          <cell r="D2962" t="str">
            <v>A</v>
          </cell>
          <cell r="E2962" t="str">
            <v>程序时间</v>
          </cell>
          <cell r="G2962">
            <v>480</v>
          </cell>
          <cell r="H2962">
            <v>150</v>
          </cell>
          <cell r="J2962">
            <v>1320</v>
          </cell>
          <cell r="K2962">
            <v>1260</v>
          </cell>
          <cell r="L2962">
            <v>660</v>
          </cell>
          <cell r="M2962">
            <v>180</v>
          </cell>
          <cell r="N2962">
            <v>180</v>
          </cell>
          <cell r="O2962">
            <v>150</v>
          </cell>
          <cell r="P2962">
            <v>150</v>
          </cell>
          <cell r="R2962">
            <v>240</v>
          </cell>
          <cell r="S2962">
            <v>120</v>
          </cell>
          <cell r="T2962">
            <v>5250</v>
          </cell>
          <cell r="U2962">
            <v>3750</v>
          </cell>
          <cell r="V2962">
            <v>420</v>
          </cell>
        </row>
        <row r="2963">
          <cell r="B2963" t="str">
            <v>C532111100-002L001</v>
          </cell>
          <cell r="D2963" t="str">
            <v>A</v>
          </cell>
          <cell r="E2963" t="str">
            <v>工序内容</v>
          </cell>
          <cell r="F2963" t="str">
            <v>0领料</v>
          </cell>
          <cell r="G2963" t="str">
            <v>05数铣</v>
          </cell>
          <cell r="H2963" t="str">
            <v>10数铣</v>
          </cell>
          <cell r="I2963" t="str">
            <v>15钳工</v>
          </cell>
          <cell r="J2963" t="str">
            <v>20超声波</v>
          </cell>
          <cell r="K2963" t="str">
            <v>25数铣</v>
          </cell>
          <cell r="L2963" t="str">
            <v>30数铣</v>
          </cell>
          <cell r="M2963" t="str">
            <v>35钳工</v>
          </cell>
          <cell r="N2963" t="str">
            <v>40超声波</v>
          </cell>
          <cell r="O2963" t="str">
            <v>45数铣</v>
          </cell>
          <cell r="P2963" t="str">
            <v>50数铣</v>
          </cell>
          <cell r="Q2963" t="str">
            <v>55数铣</v>
          </cell>
          <cell r="R2963" t="str">
            <v>60自然时效</v>
          </cell>
          <cell r="S2963" t="str">
            <v>65数铣</v>
          </cell>
          <cell r="T2963" t="str">
            <v>70五轴</v>
          </cell>
          <cell r="U2963" t="str">
            <v>75五轴</v>
          </cell>
          <cell r="V2963" t="str">
            <v>80数铣</v>
          </cell>
          <cell r="W2963" t="str">
            <v>85五轴</v>
          </cell>
          <cell r="X2963" t="str">
            <v>90钳工</v>
          </cell>
          <cell r="Y2963" t="str">
            <v>95清洁</v>
          </cell>
          <cell r="Z2963" t="str">
            <v>100测量</v>
          </cell>
          <cell r="AA2963" t="str">
            <v>105成检</v>
          </cell>
        </row>
        <row r="2964">
          <cell r="B2964" t="str">
            <v>C532111100-002L001</v>
          </cell>
          <cell r="D2964" t="str">
            <v>A</v>
          </cell>
          <cell r="E2964" t="str">
            <v>准备工时</v>
          </cell>
          <cell r="G2964">
            <v>90</v>
          </cell>
          <cell r="H2964">
            <v>90</v>
          </cell>
          <cell r="K2964">
            <v>90</v>
          </cell>
          <cell r="L2964">
            <v>90</v>
          </cell>
          <cell r="O2964">
            <v>120</v>
          </cell>
          <cell r="P2964">
            <v>90</v>
          </cell>
          <cell r="Q2964">
            <v>90</v>
          </cell>
          <cell r="S2964">
            <v>90</v>
          </cell>
          <cell r="T2964">
            <v>150</v>
          </cell>
          <cell r="U2964">
            <v>120</v>
          </cell>
          <cell r="V2964">
            <v>120</v>
          </cell>
          <cell r="W2964">
            <v>180</v>
          </cell>
        </row>
        <row r="2965">
          <cell r="B2965" t="str">
            <v>C532111100-002L001</v>
          </cell>
          <cell r="D2965" t="str">
            <v>A</v>
          </cell>
          <cell r="E2965" t="str">
            <v>装夹时间</v>
          </cell>
          <cell r="G2965">
            <v>60</v>
          </cell>
          <cell r="H2965">
            <v>60</v>
          </cell>
          <cell r="K2965">
            <v>60</v>
          </cell>
          <cell r="L2965">
            <v>60</v>
          </cell>
          <cell r="O2965">
            <v>60</v>
          </cell>
          <cell r="P2965">
            <v>60</v>
          </cell>
          <cell r="Q2965">
            <v>60</v>
          </cell>
          <cell r="S2965">
            <v>90</v>
          </cell>
          <cell r="T2965">
            <v>60</v>
          </cell>
          <cell r="U2965">
            <v>60</v>
          </cell>
          <cell r="V2965">
            <v>60</v>
          </cell>
          <cell r="W2965">
            <v>60</v>
          </cell>
        </row>
        <row r="2966">
          <cell r="B2966" t="str">
            <v>C532111100-002L001</v>
          </cell>
          <cell r="D2966" t="str">
            <v>A</v>
          </cell>
          <cell r="E2966" t="str">
            <v>程序时间</v>
          </cell>
          <cell r="G2966">
            <v>720</v>
          </cell>
          <cell r="H2966">
            <v>340</v>
          </cell>
          <cell r="I2966">
            <v>150</v>
          </cell>
          <cell r="K2966">
            <v>400</v>
          </cell>
          <cell r="L2966">
            <v>450</v>
          </cell>
          <cell r="M2966">
            <v>180</v>
          </cell>
          <cell r="O2966">
            <v>300</v>
          </cell>
          <cell r="P2966">
            <v>2920</v>
          </cell>
          <cell r="Q2966">
            <v>1800</v>
          </cell>
          <cell r="S2966">
            <v>60</v>
          </cell>
          <cell r="T2966">
            <v>3900</v>
          </cell>
          <cell r="U2966">
            <v>3300</v>
          </cell>
          <cell r="V2966">
            <v>400</v>
          </cell>
          <cell r="W2966">
            <v>780</v>
          </cell>
          <cell r="X2966">
            <v>480</v>
          </cell>
        </row>
        <row r="2967">
          <cell r="B2967" t="str">
            <v>C532111100-002R001</v>
          </cell>
          <cell r="D2967" t="str">
            <v>A</v>
          </cell>
          <cell r="E2967" t="str">
            <v>工序内容</v>
          </cell>
          <cell r="F2967" t="str">
            <v>0领料</v>
          </cell>
          <cell r="G2967" t="str">
            <v>05数铣</v>
          </cell>
          <cell r="H2967" t="str">
            <v>10数铣</v>
          </cell>
          <cell r="I2967" t="str">
            <v>15钳工</v>
          </cell>
          <cell r="J2967" t="str">
            <v>20超声波</v>
          </cell>
          <cell r="K2967" t="str">
            <v>25数铣</v>
          </cell>
          <cell r="L2967" t="str">
            <v>30数铣</v>
          </cell>
          <cell r="M2967" t="str">
            <v>35钳工</v>
          </cell>
          <cell r="N2967" t="str">
            <v>40超声波</v>
          </cell>
          <cell r="O2967" t="str">
            <v>45数铣</v>
          </cell>
          <cell r="P2967" t="str">
            <v>50数铣</v>
          </cell>
          <cell r="Q2967" t="str">
            <v>55数铣</v>
          </cell>
          <cell r="R2967" t="str">
            <v>60自然时效</v>
          </cell>
          <cell r="S2967" t="str">
            <v>65数铣</v>
          </cell>
          <cell r="T2967" t="str">
            <v>70五轴</v>
          </cell>
          <cell r="U2967" t="str">
            <v>75五轴</v>
          </cell>
          <cell r="V2967" t="str">
            <v>80数铣</v>
          </cell>
          <cell r="W2967" t="str">
            <v>85五轴</v>
          </cell>
          <cell r="X2967" t="str">
            <v>90钳工</v>
          </cell>
          <cell r="Y2967" t="str">
            <v>95清洁</v>
          </cell>
          <cell r="Z2967" t="str">
            <v>100测量</v>
          </cell>
          <cell r="AA2967" t="str">
            <v>105成检</v>
          </cell>
        </row>
        <row r="2968">
          <cell r="B2968" t="str">
            <v>C532111100-002R001</v>
          </cell>
          <cell r="D2968" t="str">
            <v>A</v>
          </cell>
          <cell r="E2968" t="str">
            <v>准备工时</v>
          </cell>
          <cell r="G2968">
            <v>90</v>
          </cell>
          <cell r="H2968">
            <v>90</v>
          </cell>
          <cell r="K2968">
            <v>90</v>
          </cell>
          <cell r="L2968">
            <v>90</v>
          </cell>
          <cell r="O2968">
            <v>120</v>
          </cell>
          <cell r="P2968">
            <v>90</v>
          </cell>
          <cell r="Q2968">
            <v>90</v>
          </cell>
          <cell r="S2968">
            <v>90</v>
          </cell>
          <cell r="T2968">
            <v>150</v>
          </cell>
          <cell r="U2968">
            <v>120</v>
          </cell>
          <cell r="V2968">
            <v>120</v>
          </cell>
          <cell r="W2968">
            <v>180</v>
          </cell>
        </row>
        <row r="2969">
          <cell r="B2969" t="str">
            <v>C532111100-002R001</v>
          </cell>
          <cell r="D2969" t="str">
            <v>A</v>
          </cell>
          <cell r="E2969" t="str">
            <v>装夹时间</v>
          </cell>
          <cell r="G2969">
            <v>60</v>
          </cell>
          <cell r="H2969">
            <v>60</v>
          </cell>
          <cell r="K2969">
            <v>60</v>
          </cell>
          <cell r="L2969">
            <v>60</v>
          </cell>
          <cell r="O2969">
            <v>60</v>
          </cell>
          <cell r="P2969">
            <v>60</v>
          </cell>
          <cell r="Q2969">
            <v>60</v>
          </cell>
          <cell r="S2969">
            <v>90</v>
          </cell>
          <cell r="T2969">
            <v>60</v>
          </cell>
          <cell r="U2969">
            <v>60</v>
          </cell>
          <cell r="V2969">
            <v>60</v>
          </cell>
          <cell r="W2969">
            <v>60</v>
          </cell>
        </row>
        <row r="2970">
          <cell r="B2970" t="str">
            <v>C532111100-002R001</v>
          </cell>
          <cell r="D2970" t="str">
            <v>A</v>
          </cell>
          <cell r="E2970" t="str">
            <v>程序时间</v>
          </cell>
          <cell r="G2970">
            <v>720</v>
          </cell>
          <cell r="H2970">
            <v>340</v>
          </cell>
          <cell r="I2970">
            <v>150</v>
          </cell>
          <cell r="K2970">
            <v>400</v>
          </cell>
          <cell r="L2970">
            <v>450</v>
          </cell>
          <cell r="M2970">
            <v>180</v>
          </cell>
          <cell r="O2970">
            <v>300</v>
          </cell>
          <cell r="P2970">
            <v>2920</v>
          </cell>
          <cell r="Q2970">
            <v>1800</v>
          </cell>
          <cell r="S2970">
            <v>60</v>
          </cell>
          <cell r="T2970">
            <v>3900</v>
          </cell>
          <cell r="U2970">
            <v>3300</v>
          </cell>
          <cell r="V2970">
            <v>400</v>
          </cell>
          <cell r="W2970">
            <v>780</v>
          </cell>
          <cell r="X2970">
            <v>480</v>
          </cell>
        </row>
        <row r="2971">
          <cell r="B2971" t="str">
            <v>C532111100-002L001</v>
          </cell>
          <cell r="D2971" t="str">
            <v>B</v>
          </cell>
          <cell r="E2971" t="str">
            <v>工序内容</v>
          </cell>
          <cell r="F2971" t="str">
            <v>0领料</v>
          </cell>
          <cell r="G2971" t="str">
            <v>05数铣</v>
          </cell>
          <cell r="H2971" t="str">
            <v>10数铣</v>
          </cell>
          <cell r="I2971" t="str">
            <v>15钳工</v>
          </cell>
          <cell r="J2971" t="str">
            <v>20超声波</v>
          </cell>
          <cell r="K2971" t="str">
            <v>25数铣</v>
          </cell>
          <cell r="L2971" t="str">
            <v>30数铣</v>
          </cell>
          <cell r="M2971" t="str">
            <v>35钳工</v>
          </cell>
          <cell r="N2971" t="str">
            <v>40超声波</v>
          </cell>
          <cell r="O2971" t="str">
            <v>45数铣</v>
          </cell>
          <cell r="P2971" t="str">
            <v>50数铣</v>
          </cell>
          <cell r="Q2971" t="str">
            <v>55数铣</v>
          </cell>
          <cell r="R2971" t="str">
            <v>60自然时效</v>
          </cell>
          <cell r="S2971" t="str">
            <v>65数铣</v>
          </cell>
          <cell r="T2971" t="str">
            <v>70五轴</v>
          </cell>
          <cell r="U2971" t="str">
            <v>75五轴</v>
          </cell>
          <cell r="V2971" t="str">
            <v>80数铣</v>
          </cell>
          <cell r="W2971" t="str">
            <v>85五轴</v>
          </cell>
          <cell r="X2971" t="str">
            <v>90钳工</v>
          </cell>
          <cell r="Y2971" t="str">
            <v>95清洁</v>
          </cell>
          <cell r="Z2971" t="str">
            <v>100测量</v>
          </cell>
          <cell r="AA2971" t="str">
            <v>105成检</v>
          </cell>
        </row>
        <row r="2972">
          <cell r="B2972" t="str">
            <v>C532111100-002L001</v>
          </cell>
          <cell r="D2972" t="str">
            <v>B</v>
          </cell>
          <cell r="E2972" t="str">
            <v>准备工时</v>
          </cell>
          <cell r="G2972">
            <v>90</v>
          </cell>
          <cell r="H2972">
            <v>90</v>
          </cell>
          <cell r="K2972">
            <v>90</v>
          </cell>
          <cell r="L2972">
            <v>90</v>
          </cell>
          <cell r="O2972">
            <v>120</v>
          </cell>
          <cell r="P2972">
            <v>90</v>
          </cell>
          <cell r="Q2972">
            <v>90</v>
          </cell>
          <cell r="S2972">
            <v>90</v>
          </cell>
          <cell r="T2972">
            <v>150</v>
          </cell>
          <cell r="U2972">
            <v>120</v>
          </cell>
          <cell r="V2972">
            <v>120</v>
          </cell>
          <cell r="W2972">
            <v>180</v>
          </cell>
        </row>
        <row r="2973">
          <cell r="B2973" t="str">
            <v>C532111100-002L001</v>
          </cell>
          <cell r="D2973" t="str">
            <v>B</v>
          </cell>
          <cell r="E2973" t="str">
            <v>装夹时间</v>
          </cell>
          <cell r="G2973">
            <v>60</v>
          </cell>
          <cell r="H2973">
            <v>60</v>
          </cell>
          <cell r="K2973">
            <v>60</v>
          </cell>
          <cell r="L2973">
            <v>60</v>
          </cell>
          <cell r="O2973">
            <v>60</v>
          </cell>
          <cell r="P2973">
            <v>60</v>
          </cell>
          <cell r="Q2973">
            <v>60</v>
          </cell>
          <cell r="S2973">
            <v>90</v>
          </cell>
          <cell r="T2973">
            <v>60</v>
          </cell>
          <cell r="U2973">
            <v>60</v>
          </cell>
          <cell r="V2973">
            <v>60</v>
          </cell>
          <cell r="W2973">
            <v>60</v>
          </cell>
        </row>
        <row r="2974">
          <cell r="B2974" t="str">
            <v>C532111100-002L001</v>
          </cell>
          <cell r="D2974" t="str">
            <v>B</v>
          </cell>
          <cell r="E2974" t="str">
            <v>程序时间</v>
          </cell>
          <cell r="G2974">
            <v>720</v>
          </cell>
          <cell r="H2974">
            <v>340</v>
          </cell>
          <cell r="I2974">
            <v>150</v>
          </cell>
          <cell r="K2974">
            <v>400</v>
          </cell>
          <cell r="L2974">
            <v>450</v>
          </cell>
          <cell r="M2974">
            <v>180</v>
          </cell>
          <cell r="O2974">
            <v>300</v>
          </cell>
          <cell r="P2974">
            <v>2920</v>
          </cell>
          <cell r="Q2974">
            <v>1800</v>
          </cell>
          <cell r="S2974">
            <v>60</v>
          </cell>
          <cell r="T2974">
            <v>3900</v>
          </cell>
          <cell r="U2974">
            <v>3300</v>
          </cell>
          <cell r="V2974">
            <v>400</v>
          </cell>
          <cell r="W2974">
            <v>780</v>
          </cell>
          <cell r="X2974">
            <v>480</v>
          </cell>
        </row>
        <row r="2975">
          <cell r="B2975" t="str">
            <v>C532111100-002R001</v>
          </cell>
          <cell r="D2975" t="str">
            <v>B</v>
          </cell>
          <cell r="E2975" t="str">
            <v>工序内容</v>
          </cell>
          <cell r="F2975" t="str">
            <v>0领料</v>
          </cell>
          <cell r="G2975" t="str">
            <v>05数铣</v>
          </cell>
          <cell r="H2975" t="str">
            <v>10数铣</v>
          </cell>
          <cell r="I2975" t="str">
            <v>15钳工</v>
          </cell>
          <cell r="J2975" t="str">
            <v>20超声波</v>
          </cell>
          <cell r="K2975" t="str">
            <v>25数铣</v>
          </cell>
          <cell r="L2975" t="str">
            <v>30数铣</v>
          </cell>
          <cell r="M2975" t="str">
            <v>35钳工</v>
          </cell>
          <cell r="N2975" t="str">
            <v>40超声波</v>
          </cell>
          <cell r="O2975" t="str">
            <v>45数铣</v>
          </cell>
          <cell r="P2975" t="str">
            <v>50数铣</v>
          </cell>
          <cell r="Q2975" t="str">
            <v>55数铣</v>
          </cell>
          <cell r="R2975" t="str">
            <v>60自然时效</v>
          </cell>
          <cell r="S2975" t="str">
            <v>65数铣</v>
          </cell>
          <cell r="T2975" t="str">
            <v>70五轴</v>
          </cell>
          <cell r="U2975" t="str">
            <v>75五轴</v>
          </cell>
          <cell r="V2975" t="str">
            <v>80数铣</v>
          </cell>
          <cell r="W2975" t="str">
            <v>85五轴</v>
          </cell>
          <cell r="X2975" t="str">
            <v>90钳工</v>
          </cell>
          <cell r="Y2975" t="str">
            <v>95清洁</v>
          </cell>
          <cell r="Z2975" t="str">
            <v>100测量</v>
          </cell>
          <cell r="AA2975" t="str">
            <v>105成检</v>
          </cell>
        </row>
        <row r="2976">
          <cell r="B2976" t="str">
            <v>C532111100-002R001</v>
          </cell>
          <cell r="D2976" t="str">
            <v>B</v>
          </cell>
          <cell r="E2976" t="str">
            <v>准备工时</v>
          </cell>
          <cell r="G2976">
            <v>90</v>
          </cell>
          <cell r="H2976">
            <v>90</v>
          </cell>
          <cell r="K2976">
            <v>90</v>
          </cell>
          <cell r="L2976">
            <v>90</v>
          </cell>
          <cell r="O2976">
            <v>120</v>
          </cell>
          <cell r="P2976">
            <v>90</v>
          </cell>
          <cell r="Q2976">
            <v>90</v>
          </cell>
          <cell r="S2976">
            <v>90</v>
          </cell>
          <cell r="T2976">
            <v>150</v>
          </cell>
          <cell r="U2976">
            <v>120</v>
          </cell>
          <cell r="V2976">
            <v>120</v>
          </cell>
          <cell r="W2976">
            <v>180</v>
          </cell>
        </row>
        <row r="2977">
          <cell r="B2977" t="str">
            <v>C532111100-002R001</v>
          </cell>
          <cell r="D2977" t="str">
            <v>B</v>
          </cell>
          <cell r="E2977" t="str">
            <v>装夹时间</v>
          </cell>
          <cell r="G2977">
            <v>60</v>
          </cell>
          <cell r="H2977">
            <v>60</v>
          </cell>
          <cell r="K2977">
            <v>60</v>
          </cell>
          <cell r="L2977">
            <v>60</v>
          </cell>
          <cell r="O2977">
            <v>60</v>
          </cell>
          <cell r="P2977">
            <v>60</v>
          </cell>
          <cell r="Q2977">
            <v>60</v>
          </cell>
          <cell r="S2977">
            <v>90</v>
          </cell>
          <cell r="T2977">
            <v>60</v>
          </cell>
          <cell r="U2977">
            <v>60</v>
          </cell>
          <cell r="V2977">
            <v>60</v>
          </cell>
          <cell r="W2977">
            <v>60</v>
          </cell>
        </row>
        <row r="2978">
          <cell r="B2978" t="str">
            <v>C532111100-002R001</v>
          </cell>
          <cell r="D2978" t="str">
            <v>B</v>
          </cell>
          <cell r="E2978" t="str">
            <v>程序时间</v>
          </cell>
          <cell r="G2978">
            <v>720</v>
          </cell>
          <cell r="H2978">
            <v>340</v>
          </cell>
          <cell r="I2978">
            <v>150</v>
          </cell>
          <cell r="K2978">
            <v>400</v>
          </cell>
          <cell r="L2978">
            <v>450</v>
          </cell>
          <cell r="M2978">
            <v>180</v>
          </cell>
          <cell r="O2978">
            <v>300</v>
          </cell>
          <cell r="P2978">
            <v>2920</v>
          </cell>
          <cell r="Q2978">
            <v>1800</v>
          </cell>
          <cell r="S2978">
            <v>60</v>
          </cell>
          <cell r="T2978">
            <v>3900</v>
          </cell>
          <cell r="U2978">
            <v>3300</v>
          </cell>
          <cell r="V2978">
            <v>400</v>
          </cell>
          <cell r="W2978">
            <v>780</v>
          </cell>
          <cell r="X2978">
            <v>480</v>
          </cell>
        </row>
        <row r="2979">
          <cell r="B2979" t="str">
            <v>LTCS-551100000-55L/R02</v>
          </cell>
          <cell r="D2979" t="str">
            <v>B</v>
          </cell>
          <cell r="E2979" t="str">
            <v>工序内容</v>
          </cell>
          <cell r="F2979" t="str">
            <v>0/领料</v>
          </cell>
          <cell r="G2979" t="str">
            <v>5/数铣</v>
          </cell>
          <cell r="H2979" t="str">
            <v>10/数铣</v>
          </cell>
          <cell r="I2979" t="str">
            <v>15/数铣</v>
          </cell>
          <cell r="J2979" t="str">
            <v>20/数铣</v>
          </cell>
          <cell r="K2979" t="str">
            <v>25/数铣</v>
          </cell>
          <cell r="L2979" t="str">
            <v>30/测量</v>
          </cell>
          <cell r="M2979" t="str">
            <v>35/钳工</v>
          </cell>
          <cell r="N2979" t="str">
            <v>40/数铣</v>
          </cell>
        </row>
        <row r="2980">
          <cell r="B2980" t="str">
            <v>LTCS-551100000-55L/R02</v>
          </cell>
          <cell r="D2980" t="str">
            <v>B</v>
          </cell>
          <cell r="E2980" t="str">
            <v>准备工时</v>
          </cell>
          <cell r="G2980">
            <v>60</v>
          </cell>
          <cell r="H2980">
            <v>90</v>
          </cell>
          <cell r="I2980">
            <v>120</v>
          </cell>
          <cell r="J2980">
            <v>120</v>
          </cell>
          <cell r="K2980">
            <v>120</v>
          </cell>
        </row>
        <row r="2981">
          <cell r="B2981" t="str">
            <v>LTCS-551100000-55L/R02</v>
          </cell>
          <cell r="D2981" t="str">
            <v>B</v>
          </cell>
          <cell r="E2981" t="str">
            <v>装夹时间</v>
          </cell>
        </row>
        <row r="2982">
          <cell r="B2982" t="str">
            <v>LTCS-551100000-55L/R02</v>
          </cell>
          <cell r="D2982" t="str">
            <v>B</v>
          </cell>
          <cell r="E2982" t="str">
            <v>程序时间</v>
          </cell>
          <cell r="G2982">
            <v>45</v>
          </cell>
          <cell r="H2982">
            <v>25</v>
          </cell>
          <cell r="I2982">
            <v>50</v>
          </cell>
          <cell r="J2982">
            <v>80</v>
          </cell>
          <cell r="K2982">
            <v>75</v>
          </cell>
          <cell r="M2982">
            <v>50</v>
          </cell>
          <cell r="N2982">
            <v>20</v>
          </cell>
        </row>
        <row r="2983">
          <cell r="B2983" t="str">
            <v>C532210931-001-001</v>
          </cell>
          <cell r="D2983" t="str">
            <v>A</v>
          </cell>
          <cell r="E2983" t="str">
            <v>工序内容</v>
          </cell>
          <cell r="F2983" t="str">
            <v>0/领料</v>
          </cell>
          <cell r="G2983" t="str">
            <v>5/普铣</v>
          </cell>
          <cell r="H2983" t="str">
            <v>10/数铣300</v>
          </cell>
          <cell r="I2983" t="str">
            <v>15/钳工</v>
          </cell>
          <cell r="J2983" t="str">
            <v>20/超探</v>
          </cell>
          <cell r="K2983" t="str">
            <v>25/数铣130</v>
          </cell>
          <cell r="L2983" t="str">
            <v>30/数铣500</v>
          </cell>
          <cell r="M2983" t="str">
            <v>35/数铣120</v>
          </cell>
          <cell r="N2983" t="str">
            <v>40/数铣120</v>
          </cell>
          <cell r="O2983" t="str">
            <v>45/数铣120</v>
          </cell>
          <cell r="P2983" t="str">
            <v>50/数铣150</v>
          </cell>
          <cell r="Q2983" t="str">
            <v>55数铣100</v>
          </cell>
          <cell r="R2983" t="str">
            <v>60/数铣300</v>
          </cell>
          <cell r="S2983" t="str">
            <v>65/测量</v>
          </cell>
          <cell r="T2983" t="str">
            <v>70/钳工</v>
          </cell>
          <cell r="U2983" t="str">
            <v>75/称重</v>
          </cell>
          <cell r="V2983" t="str">
            <v>80/清洁</v>
          </cell>
          <cell r="W2983" t="str">
            <v>85/成检</v>
          </cell>
        </row>
        <row r="2984">
          <cell r="B2984" t="str">
            <v>C532210931-001-001</v>
          </cell>
          <cell r="D2984" t="str">
            <v>A</v>
          </cell>
          <cell r="E2984" t="str">
            <v>准备工时</v>
          </cell>
          <cell r="G2984">
            <v>60</v>
          </cell>
          <cell r="H2984">
            <v>90</v>
          </cell>
          <cell r="K2984">
            <v>90</v>
          </cell>
          <cell r="L2984">
            <v>90</v>
          </cell>
          <cell r="M2984">
            <v>90</v>
          </cell>
          <cell r="N2984">
            <v>90</v>
          </cell>
          <cell r="O2984">
            <v>90</v>
          </cell>
          <cell r="P2984">
            <v>90</v>
          </cell>
          <cell r="Q2984">
            <v>90</v>
          </cell>
          <cell r="R2984">
            <v>90</v>
          </cell>
        </row>
        <row r="2985">
          <cell r="B2985" t="str">
            <v>C532210931-001-001</v>
          </cell>
          <cell r="D2985" t="str">
            <v>A</v>
          </cell>
          <cell r="E2985" t="str">
            <v>程序时间</v>
          </cell>
          <cell r="G2985">
            <v>480</v>
          </cell>
          <cell r="H2985">
            <v>1560</v>
          </cell>
          <cell r="I2985">
            <v>120</v>
          </cell>
          <cell r="K2985">
            <v>900</v>
          </cell>
          <cell r="L2985">
            <v>2200</v>
          </cell>
          <cell r="M2985">
            <v>360</v>
          </cell>
          <cell r="N2985">
            <v>360</v>
          </cell>
          <cell r="O2985">
            <v>360</v>
          </cell>
          <cell r="P2985">
            <v>480</v>
          </cell>
          <cell r="Q2985">
            <v>360</v>
          </cell>
          <cell r="R2985">
            <v>1000</v>
          </cell>
          <cell r="T2985">
            <v>360</v>
          </cell>
          <cell r="U2985">
            <v>60</v>
          </cell>
        </row>
        <row r="2986">
          <cell r="B2986" t="str">
            <v>CB5324310-003-099</v>
          </cell>
          <cell r="D2986" t="str">
            <v>B</v>
          </cell>
          <cell r="E2986" t="str">
            <v>工序内容</v>
          </cell>
          <cell r="F2986" t="str">
            <v>0/领料</v>
          </cell>
          <cell r="G2986" t="str">
            <v>05/数铣</v>
          </cell>
          <cell r="H2986" t="str">
            <v>10/数铣25</v>
          </cell>
          <cell r="I2986" t="str">
            <v>15/数铣120</v>
          </cell>
          <cell r="J2986" t="str">
            <v>20/数铣110</v>
          </cell>
          <cell r="K2986" t="str">
            <v>25/五轴100</v>
          </cell>
          <cell r="L2986" t="str">
            <v>30/测量</v>
          </cell>
          <cell r="M2986" t="str">
            <v>35/钳工</v>
          </cell>
          <cell r="N2986" t="str">
            <v>40/清洗</v>
          </cell>
          <cell r="O2986" t="str">
            <v>45/成检</v>
          </cell>
        </row>
        <row r="2987">
          <cell r="B2987" t="str">
            <v>CB5324310-003-099</v>
          </cell>
          <cell r="D2987" t="str">
            <v>B</v>
          </cell>
          <cell r="E2987" t="str">
            <v>准备工时</v>
          </cell>
          <cell r="G2987">
            <v>60</v>
          </cell>
          <cell r="H2987">
            <v>90</v>
          </cell>
          <cell r="I2987">
            <v>90</v>
          </cell>
          <cell r="J2987">
            <v>90</v>
          </cell>
          <cell r="K2987">
            <v>150</v>
          </cell>
        </row>
        <row r="2988">
          <cell r="B2988" t="str">
            <v>CB5324310-003-099</v>
          </cell>
          <cell r="D2988" t="str">
            <v>B</v>
          </cell>
          <cell r="E2988" t="str">
            <v>装夹时间</v>
          </cell>
          <cell r="K2988">
            <v>60</v>
          </cell>
        </row>
        <row r="2989">
          <cell r="B2989" t="str">
            <v>CB5324310-003-099</v>
          </cell>
          <cell r="D2989" t="str">
            <v>B</v>
          </cell>
          <cell r="E2989" t="str">
            <v>程序时间</v>
          </cell>
          <cell r="G2989">
            <v>50</v>
          </cell>
          <cell r="H2989">
            <v>40</v>
          </cell>
          <cell r="I2989">
            <v>220</v>
          </cell>
          <cell r="J2989">
            <v>260</v>
          </cell>
          <cell r="K2989">
            <v>240</v>
          </cell>
          <cell r="M2989">
            <v>50</v>
          </cell>
        </row>
        <row r="2990">
          <cell r="B2990" t="str">
            <v>C532222810-015-001</v>
          </cell>
          <cell r="D2990" t="str">
            <v>A</v>
          </cell>
          <cell r="E2990" t="str">
            <v>工序内容</v>
          </cell>
          <cell r="F2990" t="str">
            <v>0领料</v>
          </cell>
          <cell r="G2990" t="str">
            <v>05数铣25</v>
          </cell>
          <cell r="H2990" t="str">
            <v>10数铣85</v>
          </cell>
          <cell r="I2990" t="str">
            <v>15五轴140</v>
          </cell>
          <cell r="J2990" t="str">
            <v>20/钳工</v>
          </cell>
          <cell r="K2990" t="str">
            <v>25清洁</v>
          </cell>
          <cell r="L2990" t="str">
            <v>30成检</v>
          </cell>
        </row>
        <row r="2991">
          <cell r="B2991" t="str">
            <v>C532222810-015-001</v>
          </cell>
          <cell r="D2991" t="str">
            <v>A</v>
          </cell>
          <cell r="E2991" t="str">
            <v>准备工时</v>
          </cell>
          <cell r="G2991">
            <v>60</v>
          </cell>
          <cell r="H2991">
            <v>60</v>
          </cell>
          <cell r="I2991">
            <v>120</v>
          </cell>
        </row>
        <row r="2992">
          <cell r="B2992" t="str">
            <v>C532222810-015-001</v>
          </cell>
          <cell r="D2992" t="str">
            <v>A</v>
          </cell>
          <cell r="E2992" t="str">
            <v>程序时间</v>
          </cell>
          <cell r="I2992">
            <v>60</v>
          </cell>
        </row>
        <row r="2993">
          <cell r="B2993" t="str">
            <v>C532222810-015-001</v>
          </cell>
          <cell r="D2993" t="str">
            <v>A</v>
          </cell>
          <cell r="E2993" t="str">
            <v>程序时间</v>
          </cell>
          <cell r="G2993">
            <v>50</v>
          </cell>
          <cell r="H2993">
            <v>120</v>
          </cell>
          <cell r="I2993">
            <v>420</v>
          </cell>
          <cell r="J2993">
            <v>90</v>
          </cell>
        </row>
        <row r="2994">
          <cell r="B2994" t="str">
            <v>C571310200-019L001</v>
          </cell>
          <cell r="D2994" t="str">
            <v>A</v>
          </cell>
          <cell r="E2994" t="str">
            <v>工序内容</v>
          </cell>
          <cell r="F2994" t="str">
            <v>0领料</v>
          </cell>
          <cell r="G2994" t="str">
            <v>05下料</v>
          </cell>
          <cell r="H2994" t="str">
            <v>10数铣</v>
          </cell>
          <cell r="I2994" t="str">
            <v>15数铣25</v>
          </cell>
          <cell r="J2994" t="str">
            <v>20数铣65</v>
          </cell>
          <cell r="K2994" t="str">
            <v>25五轴20</v>
          </cell>
          <cell r="L2994" t="str">
            <v>30数铣65</v>
          </cell>
          <cell r="M2994" t="str">
            <v>35五轴50</v>
          </cell>
          <cell r="N2994" t="str">
            <v>40测量</v>
          </cell>
          <cell r="O2994" t="str">
            <v>45钳工</v>
          </cell>
          <cell r="P2994" t="str">
            <v>50清洁</v>
          </cell>
          <cell r="Q2994" t="str">
            <v>60成检</v>
          </cell>
        </row>
        <row r="2995">
          <cell r="B2995" t="str">
            <v>C571310200-019L001</v>
          </cell>
          <cell r="D2995" t="str">
            <v>A</v>
          </cell>
          <cell r="E2995" t="str">
            <v>准备工时</v>
          </cell>
          <cell r="H2995">
            <v>60</v>
          </cell>
          <cell r="I2995">
            <v>60</v>
          </cell>
          <cell r="J2995">
            <v>90</v>
          </cell>
          <cell r="K2995">
            <v>120</v>
          </cell>
          <cell r="L2995">
            <v>60</v>
          </cell>
          <cell r="M2995">
            <v>120</v>
          </cell>
        </row>
        <row r="2996">
          <cell r="B2996" t="str">
            <v>C571310200-019L001</v>
          </cell>
          <cell r="D2996" t="str">
            <v>A</v>
          </cell>
          <cell r="E2996" t="str">
            <v>装夹时间</v>
          </cell>
          <cell r="K2996">
            <v>60</v>
          </cell>
          <cell r="M2996">
            <v>60</v>
          </cell>
        </row>
        <row r="2997">
          <cell r="B2997" t="str">
            <v>C571310200-019L001</v>
          </cell>
          <cell r="D2997" t="str">
            <v>A</v>
          </cell>
          <cell r="E2997" t="str">
            <v>程序时间</v>
          </cell>
          <cell r="H2997">
            <v>60</v>
          </cell>
          <cell r="I2997">
            <v>50</v>
          </cell>
          <cell r="J2997">
            <v>150</v>
          </cell>
          <cell r="K2997">
            <v>90</v>
          </cell>
          <cell r="L2997">
            <v>130</v>
          </cell>
          <cell r="M2997">
            <v>210</v>
          </cell>
          <cell r="O2997">
            <v>90</v>
          </cell>
        </row>
        <row r="2998">
          <cell r="B2998" t="str">
            <v>C571310200-019R001</v>
          </cell>
          <cell r="D2998" t="str">
            <v>A</v>
          </cell>
          <cell r="E2998" t="str">
            <v>工序内容</v>
          </cell>
          <cell r="F2998" t="str">
            <v>0领料</v>
          </cell>
          <cell r="G2998" t="str">
            <v>05下料</v>
          </cell>
          <cell r="H2998" t="str">
            <v>10数铣</v>
          </cell>
          <cell r="I2998" t="str">
            <v>15数铣25</v>
          </cell>
          <cell r="J2998" t="str">
            <v>20数铣65</v>
          </cell>
          <cell r="K2998" t="str">
            <v>25五轴20</v>
          </cell>
          <cell r="L2998" t="str">
            <v>30数铣65</v>
          </cell>
          <cell r="M2998" t="str">
            <v>35五轴50</v>
          </cell>
          <cell r="N2998" t="str">
            <v>40测量</v>
          </cell>
          <cell r="O2998" t="str">
            <v>45钳工</v>
          </cell>
          <cell r="P2998" t="str">
            <v>50清洁</v>
          </cell>
          <cell r="Q2998" t="str">
            <v>60成检</v>
          </cell>
        </row>
        <row r="2999">
          <cell r="B2999" t="str">
            <v>C571310200-019R001</v>
          </cell>
          <cell r="D2999" t="str">
            <v>A</v>
          </cell>
          <cell r="E2999" t="str">
            <v>准备工时</v>
          </cell>
          <cell r="H2999">
            <v>60</v>
          </cell>
          <cell r="I2999">
            <v>60</v>
          </cell>
          <cell r="J2999">
            <v>90</v>
          </cell>
          <cell r="K2999">
            <v>120</v>
          </cell>
          <cell r="L2999">
            <v>60</v>
          </cell>
          <cell r="M2999">
            <v>120</v>
          </cell>
        </row>
        <row r="3000">
          <cell r="B3000" t="str">
            <v>C571310200-019R001</v>
          </cell>
          <cell r="D3000" t="str">
            <v>A</v>
          </cell>
          <cell r="E3000" t="str">
            <v>装夹时间</v>
          </cell>
          <cell r="K3000">
            <v>60</v>
          </cell>
          <cell r="M3000">
            <v>60</v>
          </cell>
        </row>
        <row r="3001">
          <cell r="B3001" t="str">
            <v>C571310200-019R001</v>
          </cell>
          <cell r="D3001" t="str">
            <v>A</v>
          </cell>
          <cell r="E3001" t="str">
            <v>程序时间</v>
          </cell>
          <cell r="H3001">
            <v>60</v>
          </cell>
          <cell r="I3001">
            <v>50</v>
          </cell>
          <cell r="J3001">
            <v>150</v>
          </cell>
          <cell r="K3001">
            <v>90</v>
          </cell>
          <cell r="L3001">
            <v>130</v>
          </cell>
          <cell r="M3001">
            <v>210</v>
          </cell>
          <cell r="O3001">
            <v>90</v>
          </cell>
        </row>
        <row r="3002">
          <cell r="B3002" t="str">
            <v>C571310200-019L001</v>
          </cell>
          <cell r="D3002" t="str">
            <v>B</v>
          </cell>
          <cell r="E3002" t="str">
            <v>工序内容</v>
          </cell>
          <cell r="F3002" t="str">
            <v>0领料</v>
          </cell>
          <cell r="G3002" t="str">
            <v>05下料</v>
          </cell>
          <cell r="H3002" t="str">
            <v>10数铣</v>
          </cell>
          <cell r="I3002" t="str">
            <v>15数铣25</v>
          </cell>
          <cell r="J3002" t="str">
            <v>20数铣65</v>
          </cell>
          <cell r="K3002" t="str">
            <v>25五轴20</v>
          </cell>
          <cell r="L3002" t="str">
            <v>30数铣65</v>
          </cell>
          <cell r="M3002" t="str">
            <v>35五轴50</v>
          </cell>
          <cell r="N3002" t="str">
            <v>40测量</v>
          </cell>
          <cell r="O3002" t="str">
            <v>45钳工</v>
          </cell>
          <cell r="P3002" t="str">
            <v>50清洁</v>
          </cell>
          <cell r="Q3002" t="str">
            <v>60成检</v>
          </cell>
        </row>
        <row r="3003">
          <cell r="B3003" t="str">
            <v>C571310200-019L001</v>
          </cell>
          <cell r="D3003" t="str">
            <v>B</v>
          </cell>
          <cell r="E3003" t="str">
            <v>准备工时</v>
          </cell>
          <cell r="H3003">
            <v>60</v>
          </cell>
          <cell r="I3003">
            <v>60</v>
          </cell>
          <cell r="J3003">
            <v>90</v>
          </cell>
          <cell r="K3003">
            <v>120</v>
          </cell>
          <cell r="L3003">
            <v>60</v>
          </cell>
          <cell r="M3003">
            <v>120</v>
          </cell>
        </row>
        <row r="3004">
          <cell r="B3004" t="str">
            <v>C571310200-019L001</v>
          </cell>
          <cell r="D3004" t="str">
            <v>B</v>
          </cell>
          <cell r="E3004" t="str">
            <v>装夹时间</v>
          </cell>
          <cell r="K3004">
            <v>60</v>
          </cell>
          <cell r="M3004">
            <v>60</v>
          </cell>
        </row>
        <row r="3005">
          <cell r="B3005" t="str">
            <v>C571310200-019L001</v>
          </cell>
          <cell r="D3005" t="str">
            <v>B</v>
          </cell>
          <cell r="E3005" t="str">
            <v>程序时间</v>
          </cell>
          <cell r="H3005">
            <v>60</v>
          </cell>
          <cell r="I3005">
            <v>50</v>
          </cell>
          <cell r="J3005">
            <v>150</v>
          </cell>
          <cell r="K3005">
            <v>90</v>
          </cell>
          <cell r="L3005">
            <v>130</v>
          </cell>
          <cell r="M3005">
            <v>210</v>
          </cell>
          <cell r="O3005">
            <v>90</v>
          </cell>
        </row>
        <row r="3006">
          <cell r="B3006" t="str">
            <v>C571310200-019R001</v>
          </cell>
          <cell r="D3006" t="str">
            <v>B</v>
          </cell>
          <cell r="E3006" t="str">
            <v>工序内容</v>
          </cell>
          <cell r="F3006" t="str">
            <v>0领料</v>
          </cell>
          <cell r="G3006" t="str">
            <v>05下料</v>
          </cell>
          <cell r="H3006" t="str">
            <v>10数铣</v>
          </cell>
          <cell r="I3006" t="str">
            <v>15数铣25</v>
          </cell>
          <cell r="J3006" t="str">
            <v>20数铣65</v>
          </cell>
          <cell r="K3006" t="str">
            <v>25五轴20</v>
          </cell>
          <cell r="L3006" t="str">
            <v>30数铣65</v>
          </cell>
          <cell r="M3006" t="str">
            <v>35五轴50</v>
          </cell>
          <cell r="N3006" t="str">
            <v>40测量</v>
          </cell>
          <cell r="O3006" t="str">
            <v>45钳工</v>
          </cell>
          <cell r="P3006" t="str">
            <v>50清洁</v>
          </cell>
          <cell r="Q3006" t="str">
            <v>60成检</v>
          </cell>
        </row>
        <row r="3007">
          <cell r="B3007" t="str">
            <v>C571310200-019R001</v>
          </cell>
          <cell r="D3007" t="str">
            <v>B</v>
          </cell>
          <cell r="E3007" t="str">
            <v>准备工时</v>
          </cell>
          <cell r="H3007">
            <v>60</v>
          </cell>
          <cell r="I3007">
            <v>60</v>
          </cell>
          <cell r="J3007">
            <v>90</v>
          </cell>
          <cell r="K3007">
            <v>120</v>
          </cell>
          <cell r="L3007">
            <v>60</v>
          </cell>
          <cell r="M3007">
            <v>120</v>
          </cell>
        </row>
        <row r="3008">
          <cell r="B3008" t="str">
            <v>C571310200-019R001</v>
          </cell>
          <cell r="D3008" t="str">
            <v>B</v>
          </cell>
          <cell r="E3008" t="str">
            <v>装夹时间</v>
          </cell>
          <cell r="K3008">
            <v>60</v>
          </cell>
          <cell r="M3008">
            <v>60</v>
          </cell>
        </row>
        <row r="3009">
          <cell r="B3009" t="str">
            <v>C571310200-019R001</v>
          </cell>
          <cell r="D3009" t="str">
            <v>B</v>
          </cell>
          <cell r="E3009" t="str">
            <v>程序时间</v>
          </cell>
          <cell r="H3009">
            <v>60</v>
          </cell>
          <cell r="I3009">
            <v>50</v>
          </cell>
          <cell r="J3009">
            <v>150</v>
          </cell>
          <cell r="K3009">
            <v>90</v>
          </cell>
          <cell r="L3009">
            <v>130</v>
          </cell>
          <cell r="M3009">
            <v>210</v>
          </cell>
          <cell r="O3009">
            <v>90</v>
          </cell>
        </row>
        <row r="3010">
          <cell r="B3010" t="str">
            <v>C532210932-001-001</v>
          </cell>
          <cell r="D3010" t="str">
            <v>A</v>
          </cell>
          <cell r="E3010" t="str">
            <v>工序内容</v>
          </cell>
          <cell r="F3010" t="str">
            <v>3划线</v>
          </cell>
          <cell r="G3010" t="str">
            <v>05铣床</v>
          </cell>
          <cell r="H3010" t="str">
            <v>10数铣180</v>
          </cell>
          <cell r="I3010" t="str">
            <v>15超声波</v>
          </cell>
          <cell r="J3010" t="str">
            <v>20数铣45</v>
          </cell>
          <cell r="K3010" t="str">
            <v>25数铣315</v>
          </cell>
          <cell r="L3010" t="str">
            <v>30数铣30</v>
          </cell>
          <cell r="M3010" t="str">
            <v>35数铣120</v>
          </cell>
          <cell r="N3010" t="str">
            <v>40数铣130</v>
          </cell>
          <cell r="O3010" t="str">
            <v>45数铣145</v>
          </cell>
          <cell r="P3010" t="str">
            <v>50数铣20</v>
          </cell>
          <cell r="Q3010" t="str">
            <v>55数铣140</v>
          </cell>
          <cell r="R3010" t="str">
            <v>60数铣70</v>
          </cell>
          <cell r="S3010" t="str">
            <v>65数铣40</v>
          </cell>
          <cell r="T3010" t="str">
            <v>70数铣120</v>
          </cell>
          <cell r="U3010" t="str">
            <v>75钳工</v>
          </cell>
          <cell r="V3010" t="str">
            <v>78称重</v>
          </cell>
          <cell r="W3010" t="str">
            <v>80测量</v>
          </cell>
          <cell r="X3010" t="str">
            <v>85清洁</v>
          </cell>
          <cell r="Y3010" t="str">
            <v>90成检</v>
          </cell>
        </row>
        <row r="3011">
          <cell r="B3011" t="str">
            <v>C532210932-001-001</v>
          </cell>
          <cell r="D3011" t="str">
            <v>A</v>
          </cell>
          <cell r="E3011" t="str">
            <v>准备工时</v>
          </cell>
          <cell r="G3011">
            <v>90</v>
          </cell>
          <cell r="H3011">
            <v>90</v>
          </cell>
          <cell r="J3011">
            <v>90</v>
          </cell>
          <cell r="K3011">
            <v>90</v>
          </cell>
          <cell r="L3011">
            <v>90</v>
          </cell>
          <cell r="M3011">
            <v>90</v>
          </cell>
          <cell r="N3011">
            <v>120</v>
          </cell>
          <cell r="O3011">
            <v>90</v>
          </cell>
          <cell r="P3011">
            <v>90</v>
          </cell>
          <cell r="Q3011">
            <v>90</v>
          </cell>
          <cell r="R3011">
            <v>90</v>
          </cell>
          <cell r="S3011">
            <v>90</v>
          </cell>
          <cell r="T3011">
            <v>120</v>
          </cell>
        </row>
        <row r="3012">
          <cell r="B3012" t="str">
            <v>C532210932-001-001</v>
          </cell>
          <cell r="D3012" t="str">
            <v>A</v>
          </cell>
          <cell r="E3012" t="str">
            <v>程序时间</v>
          </cell>
          <cell r="F3012">
            <v>240</v>
          </cell>
          <cell r="G3012">
            <v>540</v>
          </cell>
          <cell r="H3012">
            <v>600</v>
          </cell>
          <cell r="J3012">
            <v>120</v>
          </cell>
          <cell r="K3012">
            <v>720</v>
          </cell>
          <cell r="L3012">
            <v>180</v>
          </cell>
          <cell r="M3012">
            <v>360</v>
          </cell>
          <cell r="N3012">
            <v>360</v>
          </cell>
          <cell r="O3012">
            <v>420</v>
          </cell>
          <cell r="P3012">
            <v>240</v>
          </cell>
          <cell r="Q3012">
            <v>330</v>
          </cell>
          <cell r="R3012">
            <v>180</v>
          </cell>
          <cell r="S3012">
            <v>240</v>
          </cell>
          <cell r="T3012">
            <v>360</v>
          </cell>
          <cell r="U3012">
            <v>360</v>
          </cell>
          <cell r="V3012">
            <v>90</v>
          </cell>
        </row>
        <row r="3013">
          <cell r="B3013" t="str">
            <v>C532210932-001-001</v>
          </cell>
          <cell r="D3013" t="str">
            <v>A</v>
          </cell>
          <cell r="E3013" t="str">
            <v>工序内容</v>
          </cell>
          <cell r="F3013" t="str">
            <v>3划线</v>
          </cell>
          <cell r="G3013" t="str">
            <v>05铣床</v>
          </cell>
          <cell r="H3013" t="str">
            <v>10数铣180</v>
          </cell>
          <cell r="I3013" t="str">
            <v>15超声波</v>
          </cell>
          <cell r="J3013" t="str">
            <v>20数铣60</v>
          </cell>
          <cell r="K3013" t="str">
            <v>25数铣320</v>
          </cell>
          <cell r="L3013" t="str">
            <v>30数铣30</v>
          </cell>
          <cell r="M3013" t="str">
            <v>35数铣120</v>
          </cell>
          <cell r="N3013" t="str">
            <v>40数铣130</v>
          </cell>
          <cell r="O3013" t="str">
            <v>45数铣150</v>
          </cell>
          <cell r="P3013" t="str">
            <v>50数铣20</v>
          </cell>
          <cell r="Q3013" t="str">
            <v>55数铣130</v>
          </cell>
          <cell r="R3013" t="str">
            <v>60数铣70</v>
          </cell>
          <cell r="S3013" t="str">
            <v>65数铣120</v>
          </cell>
          <cell r="T3013" t="str">
            <v>70数铣140</v>
          </cell>
          <cell r="U3013" t="str">
            <v>75钳工</v>
          </cell>
          <cell r="V3013" t="str">
            <v>78称重</v>
          </cell>
          <cell r="W3013" t="str">
            <v>80测量</v>
          </cell>
          <cell r="X3013" t="str">
            <v>85清洁</v>
          </cell>
          <cell r="Y3013" t="str">
            <v>90成检</v>
          </cell>
        </row>
        <row r="3014">
          <cell r="B3014" t="str">
            <v>C532210932-001-001</v>
          </cell>
          <cell r="D3014" t="str">
            <v>A</v>
          </cell>
          <cell r="E3014" t="str">
            <v>准备工时</v>
          </cell>
          <cell r="G3014">
            <v>90</v>
          </cell>
          <cell r="H3014">
            <v>90</v>
          </cell>
          <cell r="J3014">
            <v>90</v>
          </cell>
          <cell r="K3014">
            <v>90</v>
          </cell>
          <cell r="L3014">
            <v>90</v>
          </cell>
          <cell r="M3014">
            <v>90</v>
          </cell>
          <cell r="N3014">
            <v>120</v>
          </cell>
          <cell r="O3014">
            <v>90</v>
          </cell>
          <cell r="P3014">
            <v>90</v>
          </cell>
          <cell r="Q3014">
            <v>90</v>
          </cell>
          <cell r="R3014">
            <v>90</v>
          </cell>
          <cell r="S3014">
            <v>90</v>
          </cell>
          <cell r="T3014">
            <v>120</v>
          </cell>
        </row>
        <row r="3015">
          <cell r="B3015" t="str">
            <v>C532210932-001-001</v>
          </cell>
          <cell r="D3015" t="str">
            <v>A</v>
          </cell>
          <cell r="E3015" t="str">
            <v>程序时间</v>
          </cell>
          <cell r="F3015">
            <v>240</v>
          </cell>
          <cell r="G3015">
            <v>540</v>
          </cell>
          <cell r="H3015">
            <v>600</v>
          </cell>
          <cell r="J3015">
            <v>120</v>
          </cell>
          <cell r="K3015">
            <v>720</v>
          </cell>
          <cell r="L3015">
            <v>180</v>
          </cell>
          <cell r="M3015">
            <v>360</v>
          </cell>
          <cell r="N3015">
            <v>360</v>
          </cell>
          <cell r="O3015">
            <v>420</v>
          </cell>
          <cell r="P3015">
            <v>240</v>
          </cell>
          <cell r="Q3015">
            <v>330</v>
          </cell>
          <cell r="R3015">
            <v>180</v>
          </cell>
          <cell r="S3015">
            <v>240</v>
          </cell>
          <cell r="T3015">
            <v>360</v>
          </cell>
          <cell r="U3015">
            <v>360</v>
          </cell>
          <cell r="V3015">
            <v>90</v>
          </cell>
        </row>
        <row r="3016">
          <cell r="B3016" t="str">
            <v>C571310200-020L001</v>
          </cell>
          <cell r="D3016" t="str">
            <v>B</v>
          </cell>
          <cell r="E3016" t="str">
            <v>工序内容</v>
          </cell>
          <cell r="F3016" t="str">
            <v>0领料</v>
          </cell>
          <cell r="G3016" t="str">
            <v>05下料</v>
          </cell>
          <cell r="H3016" t="str">
            <v>10数铣</v>
          </cell>
          <cell r="I3016" t="str">
            <v>15数铣22</v>
          </cell>
          <cell r="J3016" t="str">
            <v>20数铣60</v>
          </cell>
          <cell r="K3016" t="str">
            <v>25五轴15</v>
          </cell>
          <cell r="L3016" t="str">
            <v>30数铣65</v>
          </cell>
          <cell r="M3016" t="str">
            <v>35五轴45</v>
          </cell>
          <cell r="N3016" t="str">
            <v>40测量</v>
          </cell>
          <cell r="O3016" t="str">
            <v>45钳工</v>
          </cell>
          <cell r="P3016" t="str">
            <v>50清洁</v>
          </cell>
          <cell r="Q3016" t="str">
            <v>60成检</v>
          </cell>
        </row>
        <row r="3017">
          <cell r="B3017" t="str">
            <v>C571310200-020L001</v>
          </cell>
          <cell r="D3017" t="str">
            <v>B</v>
          </cell>
          <cell r="E3017" t="str">
            <v>准备工时</v>
          </cell>
          <cell r="H3017">
            <v>60</v>
          </cell>
          <cell r="I3017">
            <v>60</v>
          </cell>
          <cell r="J3017">
            <v>90</v>
          </cell>
          <cell r="K3017">
            <v>120</v>
          </cell>
          <cell r="L3017">
            <v>60</v>
          </cell>
          <cell r="M3017">
            <v>120</v>
          </cell>
        </row>
        <row r="3018">
          <cell r="B3018" t="str">
            <v>C571310200-020L001</v>
          </cell>
          <cell r="D3018" t="str">
            <v>B</v>
          </cell>
          <cell r="E3018" t="str">
            <v>装夹时间</v>
          </cell>
          <cell r="K3018">
            <v>60</v>
          </cell>
          <cell r="M3018">
            <v>60</v>
          </cell>
        </row>
        <row r="3019">
          <cell r="B3019" t="str">
            <v>C571310200-020L001</v>
          </cell>
          <cell r="D3019" t="str">
            <v>B</v>
          </cell>
          <cell r="E3019" t="str">
            <v>程序时间</v>
          </cell>
          <cell r="H3019">
            <v>60</v>
          </cell>
          <cell r="I3019">
            <v>50</v>
          </cell>
          <cell r="J3019">
            <v>150</v>
          </cell>
          <cell r="K3019">
            <v>90</v>
          </cell>
          <cell r="L3019">
            <v>130</v>
          </cell>
          <cell r="M3019">
            <v>180</v>
          </cell>
          <cell r="O3019">
            <v>90</v>
          </cell>
        </row>
        <row r="3020">
          <cell r="B3020" t="str">
            <v>C571310200-020R001</v>
          </cell>
          <cell r="D3020" t="str">
            <v>B</v>
          </cell>
          <cell r="E3020" t="str">
            <v>工序内容</v>
          </cell>
          <cell r="F3020" t="str">
            <v>0领料</v>
          </cell>
          <cell r="G3020" t="str">
            <v>05下料</v>
          </cell>
          <cell r="H3020" t="str">
            <v>10数铣</v>
          </cell>
          <cell r="I3020" t="str">
            <v>15数铣22</v>
          </cell>
          <cell r="J3020" t="str">
            <v>20数铣60</v>
          </cell>
          <cell r="K3020" t="str">
            <v>25五轴15</v>
          </cell>
          <cell r="L3020" t="str">
            <v>30数铣65</v>
          </cell>
          <cell r="M3020" t="str">
            <v>35五轴45</v>
          </cell>
          <cell r="N3020" t="str">
            <v>40测量</v>
          </cell>
          <cell r="O3020" t="str">
            <v>45钳工</v>
          </cell>
          <cell r="P3020" t="str">
            <v>50清洁</v>
          </cell>
          <cell r="Q3020" t="str">
            <v>60成检</v>
          </cell>
        </row>
        <row r="3021">
          <cell r="B3021" t="str">
            <v>C571310200-020R001</v>
          </cell>
          <cell r="D3021" t="str">
            <v>B</v>
          </cell>
          <cell r="E3021" t="str">
            <v>准备工时</v>
          </cell>
          <cell r="H3021">
            <v>60</v>
          </cell>
          <cell r="I3021">
            <v>60</v>
          </cell>
          <cell r="J3021">
            <v>90</v>
          </cell>
          <cell r="K3021">
            <v>120</v>
          </cell>
          <cell r="L3021">
            <v>60</v>
          </cell>
          <cell r="M3021">
            <v>120</v>
          </cell>
        </row>
        <row r="3022">
          <cell r="B3022" t="str">
            <v>C571310200-020R001</v>
          </cell>
          <cell r="D3022" t="str">
            <v>B</v>
          </cell>
          <cell r="E3022" t="str">
            <v>装夹时间</v>
          </cell>
          <cell r="K3022">
            <v>60</v>
          </cell>
          <cell r="M3022">
            <v>60</v>
          </cell>
        </row>
        <row r="3023">
          <cell r="B3023" t="str">
            <v>C571310200-020R001</v>
          </cell>
          <cell r="D3023" t="str">
            <v>A</v>
          </cell>
          <cell r="E3023" t="str">
            <v>程序时间</v>
          </cell>
          <cell r="H3023">
            <v>60</v>
          </cell>
          <cell r="I3023">
            <v>50</v>
          </cell>
          <cell r="J3023">
            <v>150</v>
          </cell>
          <cell r="K3023">
            <v>90</v>
          </cell>
          <cell r="L3023">
            <v>130</v>
          </cell>
          <cell r="M3023">
            <v>180</v>
          </cell>
          <cell r="O3023">
            <v>90</v>
          </cell>
        </row>
        <row r="3024">
          <cell r="B3024" t="str">
            <v>C571310300-022L001</v>
          </cell>
          <cell r="D3024" t="str">
            <v>A</v>
          </cell>
          <cell r="E3024" t="str">
            <v>工序内容</v>
          </cell>
          <cell r="F3024" t="str">
            <v>0领料</v>
          </cell>
          <cell r="G3024" t="str">
            <v>05下料</v>
          </cell>
          <cell r="H3024" t="str">
            <v>10数铣</v>
          </cell>
          <cell r="I3024" t="str">
            <v>15数铣22</v>
          </cell>
          <cell r="J3024" t="str">
            <v>20数铣75</v>
          </cell>
          <cell r="K3024" t="str">
            <v>25五轴50</v>
          </cell>
          <cell r="L3024" t="str">
            <v>30数铣50</v>
          </cell>
          <cell r="M3024" t="str">
            <v>35五轴25</v>
          </cell>
          <cell r="N3024" t="str">
            <v>40测量</v>
          </cell>
          <cell r="O3024" t="str">
            <v>45钳工</v>
          </cell>
          <cell r="P3024" t="str">
            <v>50清洁</v>
          </cell>
          <cell r="Q3024" t="str">
            <v>60成检</v>
          </cell>
        </row>
        <row r="3025">
          <cell r="B3025" t="str">
            <v>C571310300-022L001</v>
          </cell>
          <cell r="D3025" t="str">
            <v>A</v>
          </cell>
          <cell r="E3025" t="str">
            <v>准备工时</v>
          </cell>
          <cell r="H3025">
            <v>60</v>
          </cell>
          <cell r="I3025">
            <v>60</v>
          </cell>
          <cell r="J3025">
            <v>90</v>
          </cell>
          <cell r="K3025">
            <v>120</v>
          </cell>
          <cell r="L3025">
            <v>60</v>
          </cell>
          <cell r="M3025">
            <v>120</v>
          </cell>
        </row>
        <row r="3026">
          <cell r="B3026" t="str">
            <v>C571310300-022L001</v>
          </cell>
          <cell r="D3026" t="str">
            <v>A</v>
          </cell>
          <cell r="E3026" t="str">
            <v>装夹时间</v>
          </cell>
          <cell r="K3026">
            <v>60</v>
          </cell>
          <cell r="M3026">
            <v>60</v>
          </cell>
        </row>
        <row r="3027">
          <cell r="B3027" t="str">
            <v>C571310300-022L001</v>
          </cell>
          <cell r="D3027" t="str">
            <v>A</v>
          </cell>
          <cell r="E3027" t="str">
            <v>程序时间</v>
          </cell>
          <cell r="H3027">
            <v>60</v>
          </cell>
          <cell r="I3027">
            <v>50</v>
          </cell>
          <cell r="J3027">
            <v>150</v>
          </cell>
          <cell r="K3027">
            <v>150</v>
          </cell>
          <cell r="L3027">
            <v>130</v>
          </cell>
          <cell r="M3027">
            <v>90</v>
          </cell>
          <cell r="O3027">
            <v>90</v>
          </cell>
        </row>
        <row r="3028">
          <cell r="B3028" t="str">
            <v>C571310300-022R001</v>
          </cell>
          <cell r="D3028" t="str">
            <v>A</v>
          </cell>
          <cell r="E3028" t="str">
            <v>工序内容</v>
          </cell>
          <cell r="F3028" t="str">
            <v>0领料</v>
          </cell>
          <cell r="G3028" t="str">
            <v>05下料</v>
          </cell>
          <cell r="H3028" t="str">
            <v>10数铣</v>
          </cell>
          <cell r="I3028" t="str">
            <v>15数铣22</v>
          </cell>
          <cell r="J3028" t="str">
            <v>20数铣75</v>
          </cell>
          <cell r="K3028" t="str">
            <v>25五轴50</v>
          </cell>
          <cell r="L3028" t="str">
            <v>30数铣50</v>
          </cell>
          <cell r="M3028" t="str">
            <v>35五轴25</v>
          </cell>
          <cell r="N3028" t="str">
            <v>40测量</v>
          </cell>
          <cell r="O3028" t="str">
            <v>45钳工</v>
          </cell>
          <cell r="P3028" t="str">
            <v>50清洁</v>
          </cell>
          <cell r="Q3028" t="str">
            <v>60成检</v>
          </cell>
        </row>
        <row r="3029">
          <cell r="B3029" t="str">
            <v>C571310300-022R001</v>
          </cell>
          <cell r="D3029" t="str">
            <v>A</v>
          </cell>
          <cell r="E3029" t="str">
            <v>准备工时</v>
          </cell>
          <cell r="H3029">
            <v>60</v>
          </cell>
          <cell r="I3029">
            <v>60</v>
          </cell>
          <cell r="J3029">
            <v>90</v>
          </cell>
          <cell r="K3029">
            <v>120</v>
          </cell>
          <cell r="L3029">
            <v>60</v>
          </cell>
          <cell r="M3029">
            <v>120</v>
          </cell>
        </row>
        <row r="3030">
          <cell r="B3030" t="str">
            <v>C571310300-022R001</v>
          </cell>
          <cell r="D3030" t="str">
            <v>A</v>
          </cell>
          <cell r="E3030" t="str">
            <v>装夹时间</v>
          </cell>
          <cell r="K3030">
            <v>60</v>
          </cell>
          <cell r="M3030">
            <v>60</v>
          </cell>
        </row>
        <row r="3031">
          <cell r="B3031" t="str">
            <v>C571310300-022R001</v>
          </cell>
          <cell r="D3031" t="str">
            <v>A</v>
          </cell>
          <cell r="E3031" t="str">
            <v>程序时间</v>
          </cell>
          <cell r="H3031">
            <v>60</v>
          </cell>
          <cell r="I3031">
            <v>50</v>
          </cell>
          <cell r="J3031">
            <v>150</v>
          </cell>
          <cell r="K3031">
            <v>150</v>
          </cell>
          <cell r="L3031">
            <v>130</v>
          </cell>
          <cell r="M3031">
            <v>90</v>
          </cell>
          <cell r="O3031">
            <v>90</v>
          </cell>
        </row>
        <row r="3032">
          <cell r="B3032" t="str">
            <v>C571310300-022L001</v>
          </cell>
          <cell r="D3032" t="str">
            <v>B</v>
          </cell>
          <cell r="E3032" t="str">
            <v>工序内容</v>
          </cell>
          <cell r="F3032" t="str">
            <v>0领料</v>
          </cell>
          <cell r="G3032" t="str">
            <v>05下料</v>
          </cell>
          <cell r="H3032" t="str">
            <v>10数铣</v>
          </cell>
          <cell r="I3032" t="str">
            <v>15数铣22</v>
          </cell>
          <cell r="J3032" t="str">
            <v>20数铣75</v>
          </cell>
          <cell r="K3032" t="str">
            <v>25五轴50</v>
          </cell>
          <cell r="L3032" t="str">
            <v>30数铣50</v>
          </cell>
          <cell r="M3032" t="str">
            <v>35五轴25</v>
          </cell>
          <cell r="N3032" t="str">
            <v>40测量</v>
          </cell>
          <cell r="O3032" t="str">
            <v>45钳工</v>
          </cell>
          <cell r="P3032" t="str">
            <v>50清洁</v>
          </cell>
          <cell r="Q3032" t="str">
            <v>60成检</v>
          </cell>
        </row>
        <row r="3033">
          <cell r="B3033" t="str">
            <v>C571310300-022L001</v>
          </cell>
          <cell r="D3033" t="str">
            <v>B</v>
          </cell>
          <cell r="E3033" t="str">
            <v>准备工时</v>
          </cell>
          <cell r="H3033">
            <v>60</v>
          </cell>
          <cell r="I3033">
            <v>60</v>
          </cell>
          <cell r="J3033">
            <v>90</v>
          </cell>
          <cell r="K3033">
            <v>120</v>
          </cell>
          <cell r="L3033">
            <v>60</v>
          </cell>
          <cell r="M3033">
            <v>120</v>
          </cell>
        </row>
        <row r="3034">
          <cell r="B3034" t="str">
            <v>C571310300-022L001</v>
          </cell>
          <cell r="D3034" t="str">
            <v>B</v>
          </cell>
          <cell r="E3034" t="str">
            <v>装夹时间</v>
          </cell>
          <cell r="K3034">
            <v>60</v>
          </cell>
          <cell r="M3034">
            <v>60</v>
          </cell>
        </row>
        <row r="3035">
          <cell r="B3035" t="str">
            <v>C571310300-022L001</v>
          </cell>
          <cell r="D3035" t="str">
            <v>B</v>
          </cell>
          <cell r="E3035" t="str">
            <v>程序时间</v>
          </cell>
          <cell r="H3035">
            <v>60</v>
          </cell>
          <cell r="I3035">
            <v>50</v>
          </cell>
          <cell r="J3035">
            <v>150</v>
          </cell>
          <cell r="K3035">
            <v>150</v>
          </cell>
          <cell r="L3035">
            <v>130</v>
          </cell>
          <cell r="M3035">
            <v>90</v>
          </cell>
          <cell r="O3035">
            <v>90</v>
          </cell>
        </row>
        <row r="3036">
          <cell r="B3036" t="str">
            <v>C571310300-022R001</v>
          </cell>
          <cell r="D3036" t="str">
            <v>B</v>
          </cell>
          <cell r="E3036" t="str">
            <v>工序内容</v>
          </cell>
          <cell r="F3036" t="str">
            <v>0领料</v>
          </cell>
          <cell r="G3036" t="str">
            <v>05下料</v>
          </cell>
          <cell r="H3036" t="str">
            <v>10数铣</v>
          </cell>
          <cell r="I3036" t="str">
            <v>15数铣22</v>
          </cell>
          <cell r="J3036" t="str">
            <v>20数铣75</v>
          </cell>
          <cell r="K3036" t="str">
            <v>25五轴50</v>
          </cell>
          <cell r="L3036" t="str">
            <v>30数铣50</v>
          </cell>
          <cell r="M3036" t="str">
            <v>35五轴25</v>
          </cell>
          <cell r="N3036" t="str">
            <v>40测量</v>
          </cell>
          <cell r="O3036" t="str">
            <v>45钳工</v>
          </cell>
          <cell r="P3036" t="str">
            <v>50清洁</v>
          </cell>
          <cell r="Q3036" t="str">
            <v>60成检</v>
          </cell>
        </row>
        <row r="3037">
          <cell r="B3037" t="str">
            <v>C571310300-022R001</v>
          </cell>
          <cell r="D3037" t="str">
            <v>B</v>
          </cell>
          <cell r="E3037" t="str">
            <v>准备工时</v>
          </cell>
          <cell r="H3037">
            <v>60</v>
          </cell>
          <cell r="I3037">
            <v>60</v>
          </cell>
          <cell r="J3037">
            <v>90</v>
          </cell>
          <cell r="K3037">
            <v>120</v>
          </cell>
          <cell r="L3037">
            <v>60</v>
          </cell>
          <cell r="M3037">
            <v>120</v>
          </cell>
        </row>
        <row r="3038">
          <cell r="B3038" t="str">
            <v>C571310300-022R001</v>
          </cell>
          <cell r="D3038" t="str">
            <v>B</v>
          </cell>
          <cell r="E3038" t="str">
            <v>装夹时间</v>
          </cell>
          <cell r="K3038">
            <v>60</v>
          </cell>
          <cell r="M3038">
            <v>60</v>
          </cell>
        </row>
        <row r="3039">
          <cell r="B3039" t="str">
            <v>C571310300-022R001</v>
          </cell>
          <cell r="D3039" t="str">
            <v>B</v>
          </cell>
          <cell r="E3039" t="str">
            <v>程序时间</v>
          </cell>
          <cell r="H3039">
            <v>60</v>
          </cell>
          <cell r="I3039">
            <v>50</v>
          </cell>
          <cell r="J3039">
            <v>150</v>
          </cell>
          <cell r="K3039">
            <v>150</v>
          </cell>
          <cell r="L3039">
            <v>130</v>
          </cell>
          <cell r="M3039">
            <v>90</v>
          </cell>
          <cell r="O3039">
            <v>90</v>
          </cell>
        </row>
        <row r="3040">
          <cell r="B3040" t="str">
            <v>C571310200-020L001</v>
          </cell>
          <cell r="D3040" t="str">
            <v>A</v>
          </cell>
          <cell r="E3040" t="str">
            <v>工序内容</v>
          </cell>
          <cell r="F3040" t="str">
            <v>0领料</v>
          </cell>
          <cell r="G3040" t="str">
            <v>05下料</v>
          </cell>
          <cell r="H3040" t="str">
            <v>10数铣</v>
          </cell>
          <cell r="I3040" t="str">
            <v>15数铣22</v>
          </cell>
          <cell r="J3040" t="str">
            <v>20数铣60</v>
          </cell>
          <cell r="K3040" t="str">
            <v>25五轴15</v>
          </cell>
          <cell r="L3040" t="str">
            <v>30数铣65</v>
          </cell>
          <cell r="M3040" t="str">
            <v>35五轴45</v>
          </cell>
          <cell r="N3040" t="str">
            <v>40测量</v>
          </cell>
          <cell r="O3040" t="str">
            <v>45钳工</v>
          </cell>
          <cell r="P3040" t="str">
            <v>50清洁</v>
          </cell>
          <cell r="Q3040" t="str">
            <v>60成检</v>
          </cell>
        </row>
        <row r="3041">
          <cell r="B3041" t="str">
            <v>C571310200-020L001</v>
          </cell>
          <cell r="D3041" t="str">
            <v>A</v>
          </cell>
          <cell r="E3041" t="str">
            <v>准备工时</v>
          </cell>
          <cell r="H3041">
            <v>60</v>
          </cell>
          <cell r="I3041">
            <v>60</v>
          </cell>
          <cell r="J3041">
            <v>90</v>
          </cell>
          <cell r="K3041">
            <v>120</v>
          </cell>
          <cell r="L3041">
            <v>60</v>
          </cell>
          <cell r="M3041">
            <v>120</v>
          </cell>
        </row>
        <row r="3042">
          <cell r="B3042" t="str">
            <v>C571310200-020L001</v>
          </cell>
          <cell r="D3042" t="str">
            <v>A</v>
          </cell>
          <cell r="E3042" t="str">
            <v>装夹时间</v>
          </cell>
          <cell r="K3042">
            <v>60</v>
          </cell>
          <cell r="M3042">
            <v>60</v>
          </cell>
        </row>
        <row r="3043">
          <cell r="B3043" t="str">
            <v>C571310200-020L001</v>
          </cell>
          <cell r="D3043" t="str">
            <v>A</v>
          </cell>
          <cell r="E3043" t="str">
            <v>程序时间</v>
          </cell>
          <cell r="H3043">
            <v>60</v>
          </cell>
          <cell r="I3043">
            <v>50</v>
          </cell>
          <cell r="J3043">
            <v>150</v>
          </cell>
          <cell r="K3043">
            <v>90</v>
          </cell>
          <cell r="L3043">
            <v>130</v>
          </cell>
          <cell r="M3043">
            <v>180</v>
          </cell>
          <cell r="O3043">
            <v>90</v>
          </cell>
        </row>
        <row r="3044">
          <cell r="B3044" t="str">
            <v>C571310200-020R001</v>
          </cell>
          <cell r="D3044" t="str">
            <v>A</v>
          </cell>
          <cell r="E3044" t="str">
            <v>工序内容</v>
          </cell>
          <cell r="F3044" t="str">
            <v>0领料</v>
          </cell>
          <cell r="G3044" t="str">
            <v>05下料</v>
          </cell>
          <cell r="H3044" t="str">
            <v>10数铣</v>
          </cell>
          <cell r="I3044" t="str">
            <v>15数铣22</v>
          </cell>
          <cell r="J3044" t="str">
            <v>20数铣60</v>
          </cell>
          <cell r="K3044" t="str">
            <v>25五轴15</v>
          </cell>
          <cell r="L3044" t="str">
            <v>30数铣65</v>
          </cell>
          <cell r="M3044" t="str">
            <v>35五轴45</v>
          </cell>
          <cell r="N3044" t="str">
            <v>40测量</v>
          </cell>
          <cell r="O3044" t="str">
            <v>45钳工</v>
          </cell>
          <cell r="P3044" t="str">
            <v>50清洁</v>
          </cell>
          <cell r="Q3044" t="str">
            <v>60成检</v>
          </cell>
        </row>
        <row r="3045">
          <cell r="B3045" t="str">
            <v>C571310200-020R001</v>
          </cell>
          <cell r="D3045" t="str">
            <v>A</v>
          </cell>
          <cell r="E3045" t="str">
            <v>准备工时</v>
          </cell>
          <cell r="H3045">
            <v>60</v>
          </cell>
          <cell r="I3045">
            <v>60</v>
          </cell>
          <cell r="J3045">
            <v>90</v>
          </cell>
          <cell r="K3045">
            <v>120</v>
          </cell>
          <cell r="L3045">
            <v>60</v>
          </cell>
          <cell r="M3045">
            <v>120</v>
          </cell>
        </row>
        <row r="3046">
          <cell r="B3046" t="str">
            <v>C571310200-020R001</v>
          </cell>
          <cell r="D3046" t="str">
            <v>A</v>
          </cell>
          <cell r="E3046" t="str">
            <v>装夹时间</v>
          </cell>
          <cell r="K3046">
            <v>60</v>
          </cell>
          <cell r="M3046">
            <v>60</v>
          </cell>
        </row>
        <row r="3047">
          <cell r="B3047" t="str">
            <v>C571310200-020R001</v>
          </cell>
          <cell r="D3047" t="str">
            <v>A</v>
          </cell>
          <cell r="E3047" t="str">
            <v>程序时间</v>
          </cell>
          <cell r="H3047">
            <v>60</v>
          </cell>
          <cell r="I3047">
            <v>50</v>
          </cell>
          <cell r="J3047">
            <v>150</v>
          </cell>
          <cell r="K3047">
            <v>90</v>
          </cell>
          <cell r="L3047">
            <v>130</v>
          </cell>
          <cell r="M3047">
            <v>180</v>
          </cell>
          <cell r="O3047">
            <v>90</v>
          </cell>
        </row>
        <row r="3048">
          <cell r="B3048" t="str">
            <v>DD-J10-21102-554-Z</v>
          </cell>
          <cell r="D3048" t="str">
            <v>A</v>
          </cell>
          <cell r="E3048" t="str">
            <v>工序内容</v>
          </cell>
          <cell r="F3048" t="str">
            <v>0/领料</v>
          </cell>
          <cell r="G3048" t="str">
            <v>5/数铣</v>
          </cell>
          <cell r="H3048" t="str">
            <v>10/数铣70</v>
          </cell>
          <cell r="I3048" t="str">
            <v>15/数铣200</v>
          </cell>
          <cell r="J3048" t="str">
            <v>20/测量</v>
          </cell>
          <cell r="K3048" t="str">
            <v>25/数铣20</v>
          </cell>
          <cell r="L3048" t="str">
            <v>30/钳工</v>
          </cell>
          <cell r="M3048" t="str">
            <v>35/数铣</v>
          </cell>
          <cell r="N3048" t="str">
            <v>40/清洁</v>
          </cell>
          <cell r="O3048" t="str">
            <v>45/成检</v>
          </cell>
        </row>
        <row r="3049">
          <cell r="B3049" t="str">
            <v>DD-J10-21102-554-Z</v>
          </cell>
          <cell r="D3049" t="str">
            <v>A</v>
          </cell>
          <cell r="E3049" t="str">
            <v>准备工时</v>
          </cell>
          <cell r="G3049">
            <v>60</v>
          </cell>
          <cell r="H3049">
            <v>60</v>
          </cell>
          <cell r="I3049">
            <v>90</v>
          </cell>
          <cell r="K3049">
            <v>60</v>
          </cell>
        </row>
        <row r="3050">
          <cell r="B3050" t="str">
            <v>DD-J10-21102-554-Z</v>
          </cell>
          <cell r="D3050" t="str">
            <v>A</v>
          </cell>
          <cell r="E3050" t="str">
            <v>程序时间</v>
          </cell>
          <cell r="G3050">
            <v>90</v>
          </cell>
          <cell r="H3050">
            <v>100</v>
          </cell>
          <cell r="I3050">
            <v>240</v>
          </cell>
          <cell r="K3050">
            <v>40</v>
          </cell>
          <cell r="L3050">
            <v>90</v>
          </cell>
          <cell r="M3050">
            <v>20</v>
          </cell>
        </row>
        <row r="3051">
          <cell r="B3051" t="str">
            <v>DD-J10-21102-554-Y</v>
          </cell>
          <cell r="D3051" t="str">
            <v>A</v>
          </cell>
          <cell r="E3051" t="str">
            <v>工序内容</v>
          </cell>
          <cell r="F3051" t="str">
            <v>0/领料</v>
          </cell>
          <cell r="G3051" t="str">
            <v>5/数铣</v>
          </cell>
          <cell r="H3051" t="str">
            <v>10/数铣70</v>
          </cell>
          <cell r="I3051" t="str">
            <v>15/数铣200</v>
          </cell>
          <cell r="J3051" t="str">
            <v>20/测量</v>
          </cell>
          <cell r="K3051" t="str">
            <v>25/数铣20</v>
          </cell>
          <cell r="L3051" t="str">
            <v>30/钳工</v>
          </cell>
          <cell r="M3051" t="str">
            <v>35/数铣</v>
          </cell>
          <cell r="N3051" t="str">
            <v>40/清洁</v>
          </cell>
          <cell r="O3051" t="str">
            <v>45/成检</v>
          </cell>
        </row>
        <row r="3052">
          <cell r="B3052" t="str">
            <v>DD-J10-21102-554-Y</v>
          </cell>
          <cell r="D3052" t="str">
            <v>A</v>
          </cell>
          <cell r="E3052" t="str">
            <v>准备工时</v>
          </cell>
          <cell r="G3052">
            <v>60</v>
          </cell>
          <cell r="H3052">
            <v>60</v>
          </cell>
          <cell r="I3052">
            <v>90</v>
          </cell>
          <cell r="K3052">
            <v>60</v>
          </cell>
        </row>
        <row r="3053">
          <cell r="B3053" t="str">
            <v>DD-J10-21102-554-Y</v>
          </cell>
          <cell r="D3053" t="str">
            <v>A</v>
          </cell>
          <cell r="E3053" t="str">
            <v>程序时间</v>
          </cell>
          <cell r="G3053">
            <v>90</v>
          </cell>
          <cell r="H3053">
            <v>100</v>
          </cell>
          <cell r="I3053">
            <v>240</v>
          </cell>
          <cell r="K3053">
            <v>40</v>
          </cell>
          <cell r="L3053">
            <v>90</v>
          </cell>
          <cell r="M3053">
            <v>20</v>
          </cell>
        </row>
        <row r="3054">
          <cell r="B3054" t="str">
            <v>CB2248145-001-006</v>
          </cell>
          <cell r="D3054" t="str">
            <v>B</v>
          </cell>
          <cell r="E3054" t="str">
            <v>工序内容</v>
          </cell>
          <cell r="F3054" t="str">
            <v>0/领料</v>
          </cell>
          <cell r="G3054" t="str">
            <v>5/数铣</v>
          </cell>
          <cell r="H3054" t="str">
            <v>10/数铣120</v>
          </cell>
          <cell r="I3054" t="str">
            <v>15/分光</v>
          </cell>
          <cell r="J3054" t="str">
            <v>20/硬度</v>
          </cell>
          <cell r="K3054" t="str">
            <v>25/线切割</v>
          </cell>
          <cell r="L3054" t="str">
            <v>30/数铣</v>
          </cell>
          <cell r="M3054" t="str">
            <v>35/钳工</v>
          </cell>
          <cell r="N3054" t="str">
            <v>40/清洁</v>
          </cell>
          <cell r="O3054" t="str">
            <v>45/成检</v>
          </cell>
        </row>
        <row r="3055">
          <cell r="B3055" t="str">
            <v>CB2248145-001-006</v>
          </cell>
          <cell r="D3055" t="str">
            <v>B</v>
          </cell>
          <cell r="E3055" t="str">
            <v>准备工时</v>
          </cell>
          <cell r="G3055">
            <v>60</v>
          </cell>
          <cell r="H3055">
            <v>60</v>
          </cell>
          <cell r="L3055">
            <v>60</v>
          </cell>
        </row>
        <row r="3056">
          <cell r="B3056" t="str">
            <v>CB2248145-001-006</v>
          </cell>
          <cell r="D3056" t="str">
            <v>B</v>
          </cell>
          <cell r="E3056" t="str">
            <v>程序时间</v>
          </cell>
          <cell r="G3056">
            <v>15</v>
          </cell>
          <cell r="H3056">
            <v>180</v>
          </cell>
          <cell r="L3056">
            <v>30</v>
          </cell>
          <cell r="M3056">
            <v>30</v>
          </cell>
        </row>
        <row r="3057">
          <cell r="B3057" t="str">
            <v>Y20-5319400017-001</v>
          </cell>
          <cell r="D3057" t="str">
            <v>C</v>
          </cell>
          <cell r="E3057" t="str">
            <v>工序内容</v>
          </cell>
          <cell r="F3057" t="str">
            <v>0/领料</v>
          </cell>
          <cell r="G3057" t="str">
            <v>5/下料</v>
          </cell>
          <cell r="H3057" t="str">
            <v>10/数铣</v>
          </cell>
          <cell r="I3057" t="str">
            <v>15/数铣15</v>
          </cell>
          <cell r="J3057" t="str">
            <v>20/数铣</v>
          </cell>
          <cell r="K3057" t="str">
            <v>25/数铣40</v>
          </cell>
          <cell r="L3057" t="str">
            <v>30/数铣20</v>
          </cell>
          <cell r="M3057" t="str">
            <v>35/线切割</v>
          </cell>
          <cell r="N3057" t="str">
            <v>40/测量</v>
          </cell>
          <cell r="O3057" t="str">
            <v>45/钳工</v>
          </cell>
          <cell r="P3057" t="str">
            <v>50/清洁</v>
          </cell>
          <cell r="Q3057" t="str">
            <v>55/检验</v>
          </cell>
          <cell r="R3057" t="str">
            <v>60/分光</v>
          </cell>
          <cell r="S3057" t="str">
            <v>65/钳工</v>
          </cell>
          <cell r="T3057" t="str">
            <v>70/清洁</v>
          </cell>
          <cell r="U3057" t="str">
            <v>75/成检</v>
          </cell>
        </row>
        <row r="3058">
          <cell r="B3058" t="str">
            <v>Y20-5319400017-001</v>
          </cell>
          <cell r="D3058" t="str">
            <v>C</v>
          </cell>
          <cell r="E3058" t="str">
            <v>准备工时</v>
          </cell>
          <cell r="H3058">
            <v>60</v>
          </cell>
          <cell r="I3058">
            <v>60</v>
          </cell>
          <cell r="J3058">
            <v>60</v>
          </cell>
          <cell r="K3058">
            <v>90</v>
          </cell>
          <cell r="L3058" t="str">
            <v>60</v>
          </cell>
        </row>
        <row r="3059">
          <cell r="B3059" t="str">
            <v>Y20-5319400017-001</v>
          </cell>
          <cell r="D3059" t="str">
            <v>C</v>
          </cell>
          <cell r="E3059" t="str">
            <v>程序时间</v>
          </cell>
          <cell r="H3059">
            <v>20</v>
          </cell>
          <cell r="I3059">
            <v>45</v>
          </cell>
          <cell r="J3059">
            <v>20</v>
          </cell>
          <cell r="K3059">
            <v>70</v>
          </cell>
          <cell r="L3059" t="str">
            <v>35</v>
          </cell>
          <cell r="O3059" t="str">
            <v>50</v>
          </cell>
          <cell r="S3059">
            <v>5</v>
          </cell>
        </row>
        <row r="3060">
          <cell r="B3060" t="str">
            <v>Y20-5319400018-001</v>
          </cell>
          <cell r="D3060" t="str">
            <v>C</v>
          </cell>
          <cell r="E3060" t="str">
            <v>工序内容</v>
          </cell>
          <cell r="F3060" t="str">
            <v>0/领料</v>
          </cell>
          <cell r="G3060" t="str">
            <v>5/下料</v>
          </cell>
          <cell r="H3060" t="str">
            <v>10/数铣</v>
          </cell>
          <cell r="I3060" t="str">
            <v>15/数铣15</v>
          </cell>
          <cell r="J3060" t="str">
            <v>20/数铣52</v>
          </cell>
          <cell r="K3060" t="str">
            <v>25/数铣27</v>
          </cell>
          <cell r="L3060" t="str">
            <v>30/钳工</v>
          </cell>
          <cell r="M3060" t="str">
            <v>35/测量</v>
          </cell>
          <cell r="N3060" t="str">
            <v>40/清洁</v>
          </cell>
          <cell r="O3060" t="str">
            <v>45/检验</v>
          </cell>
          <cell r="P3060" t="str">
            <v>50/分光</v>
          </cell>
          <cell r="Q3060" t="str">
            <v>55/钳工</v>
          </cell>
          <cell r="R3060" t="str">
            <v>60/清洁</v>
          </cell>
          <cell r="S3060" t="str">
            <v>65/成检</v>
          </cell>
        </row>
        <row r="3061">
          <cell r="B3061" t="str">
            <v>Y20-5319400018-001</v>
          </cell>
          <cell r="D3061" t="str">
            <v>C</v>
          </cell>
          <cell r="E3061" t="str">
            <v>准备工时</v>
          </cell>
          <cell r="H3061">
            <v>60</v>
          </cell>
          <cell r="I3061">
            <v>60</v>
          </cell>
          <cell r="J3061">
            <v>90</v>
          </cell>
          <cell r="K3061">
            <v>90</v>
          </cell>
        </row>
        <row r="3062">
          <cell r="B3062" t="str">
            <v>Y20-5319400018-001</v>
          </cell>
          <cell r="D3062" t="str">
            <v>C</v>
          </cell>
          <cell r="E3062" t="str">
            <v>程序时间</v>
          </cell>
          <cell r="H3062">
            <v>45</v>
          </cell>
          <cell r="I3062">
            <v>45</v>
          </cell>
          <cell r="J3062">
            <v>90</v>
          </cell>
          <cell r="K3062">
            <v>50</v>
          </cell>
          <cell r="L3062" t="str">
            <v>50</v>
          </cell>
          <cell r="Q3062">
            <v>5</v>
          </cell>
        </row>
        <row r="3063">
          <cell r="B3063" t="str">
            <v>DD-J10B-54601-10-1</v>
          </cell>
          <cell r="D3063" t="str">
            <v>F</v>
          </cell>
          <cell r="E3063" t="str">
            <v>工序内容</v>
          </cell>
          <cell r="F3063" t="str">
            <v>0/领料</v>
          </cell>
          <cell r="G3063" t="str">
            <v>5/下料</v>
          </cell>
          <cell r="H3063" t="str">
            <v>10/钳工</v>
          </cell>
          <cell r="I3063" t="str">
            <v>15/数铣</v>
          </cell>
          <cell r="J3063" t="str">
            <v>20/钳工</v>
          </cell>
          <cell r="K3063" t="str">
            <v>25/分光</v>
          </cell>
          <cell r="L3063" t="str">
            <v>30/清洗</v>
          </cell>
          <cell r="M3063" t="str">
            <v>35/热处理</v>
          </cell>
          <cell r="N3063" t="str">
            <v>40/数铣5</v>
          </cell>
          <cell r="O3063" t="str">
            <v>45/硬度</v>
          </cell>
          <cell r="P3063" t="str">
            <v>50/数铣</v>
          </cell>
          <cell r="Q3063" t="str">
            <v>55/数铣60</v>
          </cell>
          <cell r="R3063" t="str">
            <v>60/钳工</v>
          </cell>
          <cell r="S3063" t="str">
            <v>65/清洁</v>
          </cell>
          <cell r="T3063" t="str">
            <v>70/成检</v>
          </cell>
        </row>
        <row r="3064">
          <cell r="B3064" t="str">
            <v>DD-J10B-54601-10-1</v>
          </cell>
          <cell r="D3064" t="str">
            <v>F</v>
          </cell>
          <cell r="E3064" t="str">
            <v>准备工时</v>
          </cell>
          <cell r="I3064">
            <v>30</v>
          </cell>
          <cell r="N3064" t="str">
            <v>30</v>
          </cell>
          <cell r="P3064" t="str">
            <v>60</v>
          </cell>
          <cell r="Q3064" t="str">
            <v>90</v>
          </cell>
        </row>
        <row r="3065">
          <cell r="B3065" t="str">
            <v>DD-J10B-54601-10-1</v>
          </cell>
          <cell r="D3065" t="str">
            <v>F</v>
          </cell>
          <cell r="E3065" t="str">
            <v>程序时间</v>
          </cell>
          <cell r="H3065">
            <v>20</v>
          </cell>
          <cell r="I3065">
            <v>40</v>
          </cell>
          <cell r="J3065">
            <v>20</v>
          </cell>
          <cell r="N3065" t="str">
            <v>10</v>
          </cell>
          <cell r="P3065" t="str">
            <v>60</v>
          </cell>
          <cell r="Q3065" t="str">
            <v>80</v>
          </cell>
          <cell r="R3065" t="str">
            <v>40</v>
          </cell>
        </row>
        <row r="3066">
          <cell r="B3066" t="str">
            <v>DD-J10B-54601-10-1</v>
          </cell>
          <cell r="D3066" t="str">
            <v>G</v>
          </cell>
          <cell r="E3066" t="str">
            <v>工序内容</v>
          </cell>
          <cell r="F3066" t="str">
            <v>0/领料</v>
          </cell>
          <cell r="G3066" t="str">
            <v>5/下料</v>
          </cell>
          <cell r="H3066" t="str">
            <v>10/钳工</v>
          </cell>
          <cell r="I3066" t="str">
            <v>15/数铣</v>
          </cell>
          <cell r="J3066" t="str">
            <v>20/钳工</v>
          </cell>
          <cell r="K3066" t="str">
            <v>25/分光</v>
          </cell>
          <cell r="L3066" t="str">
            <v>30/清洗</v>
          </cell>
          <cell r="M3066" t="str">
            <v>35/热处理</v>
          </cell>
          <cell r="N3066" t="str">
            <v>40/数铣5</v>
          </cell>
          <cell r="O3066" t="str">
            <v>45/硬度</v>
          </cell>
          <cell r="P3066" t="str">
            <v>50/数铣</v>
          </cell>
          <cell r="Q3066" t="str">
            <v>55/数铣60</v>
          </cell>
          <cell r="R3066" t="str">
            <v>60/钳工</v>
          </cell>
          <cell r="S3066" t="str">
            <v>65/清洁</v>
          </cell>
          <cell r="T3066" t="str">
            <v>70/成检</v>
          </cell>
        </row>
        <row r="3067">
          <cell r="B3067" t="str">
            <v>DD-J10B-54601-10-1</v>
          </cell>
          <cell r="D3067" t="str">
            <v>G</v>
          </cell>
          <cell r="E3067" t="str">
            <v>准备工时</v>
          </cell>
          <cell r="I3067">
            <v>30</v>
          </cell>
          <cell r="N3067" t="str">
            <v>30</v>
          </cell>
          <cell r="P3067" t="str">
            <v>60</v>
          </cell>
          <cell r="Q3067" t="str">
            <v>90</v>
          </cell>
        </row>
        <row r="3068">
          <cell r="B3068" t="str">
            <v>DD-J10B-54601-10-1</v>
          </cell>
          <cell r="D3068" t="str">
            <v>G</v>
          </cell>
          <cell r="E3068" t="str">
            <v>程序时间</v>
          </cell>
          <cell r="H3068">
            <v>20</v>
          </cell>
          <cell r="I3068">
            <v>40</v>
          </cell>
          <cell r="J3068">
            <v>20</v>
          </cell>
          <cell r="N3068" t="str">
            <v>10</v>
          </cell>
          <cell r="P3068" t="str">
            <v>60</v>
          </cell>
          <cell r="Q3068" t="str">
            <v>80</v>
          </cell>
          <cell r="R3068" t="str">
            <v>40</v>
          </cell>
        </row>
        <row r="3069">
          <cell r="B3069" t="str">
            <v>Y20-5312143001-001</v>
          </cell>
          <cell r="D3069" t="str">
            <v>C</v>
          </cell>
          <cell r="E3069" t="str">
            <v>工序内容</v>
          </cell>
          <cell r="F3069" t="str">
            <v>0/领料</v>
          </cell>
          <cell r="G3069" t="str">
            <v>05/数车25</v>
          </cell>
          <cell r="H3069" t="str">
            <v>10/数车10</v>
          </cell>
          <cell r="I3069" t="str">
            <v>15/无</v>
          </cell>
          <cell r="J3069" t="str">
            <v>20/无</v>
          </cell>
          <cell r="K3069" t="str">
            <v>25/数铣20</v>
          </cell>
          <cell r="L3069" t="str">
            <v>30/数铣20</v>
          </cell>
          <cell r="M3069" t="str">
            <v>35/钳工</v>
          </cell>
          <cell r="N3069" t="str">
            <v>40/分光</v>
          </cell>
          <cell r="O3069" t="str">
            <v>45/车工</v>
          </cell>
          <cell r="P3069" t="str">
            <v>50/清洁</v>
          </cell>
          <cell r="Q3069" t="str">
            <v>55/成检</v>
          </cell>
        </row>
        <row r="3070">
          <cell r="B3070" t="str">
            <v>Y20-5312143001-001</v>
          </cell>
          <cell r="D3070" t="str">
            <v>C</v>
          </cell>
          <cell r="E3070" t="str">
            <v>准备工时</v>
          </cell>
          <cell r="G3070">
            <v>120</v>
          </cell>
          <cell r="H3070">
            <v>90</v>
          </cell>
          <cell r="K3070">
            <v>60</v>
          </cell>
          <cell r="L3070">
            <v>60</v>
          </cell>
          <cell r="O3070" t="str">
            <v>90</v>
          </cell>
        </row>
        <row r="3071">
          <cell r="B3071" t="str">
            <v>Y20-5312143001-001</v>
          </cell>
          <cell r="D3071" t="str">
            <v>C</v>
          </cell>
          <cell r="E3071" t="str">
            <v>程序时间</v>
          </cell>
          <cell r="G3071">
            <v>40</v>
          </cell>
          <cell r="H3071">
            <v>25</v>
          </cell>
          <cell r="K3071">
            <v>40</v>
          </cell>
          <cell r="L3071">
            <v>35</v>
          </cell>
          <cell r="M3071">
            <v>30</v>
          </cell>
          <cell r="O3071" t="str">
            <v>10</v>
          </cell>
        </row>
        <row r="3072">
          <cell r="B3072" t="str">
            <v>CB5814000-003-001</v>
          </cell>
          <cell r="D3072" t="str">
            <v>D</v>
          </cell>
          <cell r="E3072" t="str">
            <v>工序内容</v>
          </cell>
          <cell r="F3072" t="str">
            <v>0/领料</v>
          </cell>
          <cell r="G3072" t="str">
            <v>05/数铣</v>
          </cell>
          <cell r="H3072" t="str">
            <v>10/数铣30</v>
          </cell>
          <cell r="I3072" t="str">
            <v>15/数铣100</v>
          </cell>
          <cell r="J3072" t="str">
            <v>20/数铣45</v>
          </cell>
          <cell r="K3072" t="str">
            <v>25/数铣35</v>
          </cell>
          <cell r="L3072" t="str">
            <v>30/数铣10</v>
          </cell>
          <cell r="M3072" t="str">
            <v>35/测量</v>
          </cell>
          <cell r="N3072" t="str">
            <v>40/钳工</v>
          </cell>
          <cell r="O3072" t="str">
            <v>45/清洁</v>
          </cell>
          <cell r="P3072" t="str">
            <v>50/检验</v>
          </cell>
          <cell r="Q3072" t="str">
            <v>55/硬度</v>
          </cell>
          <cell r="R3072" t="str">
            <v>60/分光</v>
          </cell>
          <cell r="S3072" t="str">
            <v>65/钳返厂</v>
          </cell>
          <cell r="T3072" t="str">
            <v>70/钳工</v>
          </cell>
          <cell r="U3072" t="str">
            <v>75/清洁</v>
          </cell>
          <cell r="V3072" t="str">
            <v>80/成检</v>
          </cell>
        </row>
        <row r="3073">
          <cell r="B3073" t="str">
            <v>CB5814000-003-001</v>
          </cell>
          <cell r="D3073" t="str">
            <v>D</v>
          </cell>
          <cell r="E3073" t="str">
            <v>准备工时</v>
          </cell>
          <cell r="G3073">
            <v>60</v>
          </cell>
          <cell r="H3073">
            <v>60</v>
          </cell>
          <cell r="I3073">
            <v>60</v>
          </cell>
          <cell r="J3073">
            <v>60</v>
          </cell>
          <cell r="K3073">
            <v>60</v>
          </cell>
          <cell r="L3073">
            <v>60</v>
          </cell>
        </row>
        <row r="3074">
          <cell r="B3074" t="str">
            <v>CB5814000-003-001</v>
          </cell>
          <cell r="D3074" t="str">
            <v>D</v>
          </cell>
          <cell r="E3074" t="str">
            <v>程序时间</v>
          </cell>
          <cell r="G3074">
            <v>30</v>
          </cell>
          <cell r="H3074">
            <v>50</v>
          </cell>
          <cell r="I3074">
            <v>180</v>
          </cell>
          <cell r="J3074">
            <v>110</v>
          </cell>
          <cell r="K3074">
            <v>60</v>
          </cell>
          <cell r="L3074">
            <v>50</v>
          </cell>
          <cell r="N3074">
            <v>20</v>
          </cell>
          <cell r="T3074">
            <v>20</v>
          </cell>
        </row>
        <row r="3075">
          <cell r="B3075" t="str">
            <v>CB5324500-004L004</v>
          </cell>
          <cell r="D3075" t="str">
            <v>F</v>
          </cell>
          <cell r="E3075" t="str">
            <v>工序内容</v>
          </cell>
          <cell r="F3075" t="str">
            <v>0/领料</v>
          </cell>
          <cell r="G3075" t="str">
            <v>5/钳工</v>
          </cell>
          <cell r="H3075" t="str">
            <v>10/数铣</v>
          </cell>
          <cell r="I3075" t="str">
            <v>15/数铣150</v>
          </cell>
          <cell r="J3075" t="str">
            <v>20/数铣280</v>
          </cell>
          <cell r="K3075" t="str">
            <v>25/数铣420</v>
          </cell>
          <cell r="L3075" t="str">
            <v>30/数铣180</v>
          </cell>
          <cell r="M3075" t="str">
            <v>35/时效</v>
          </cell>
          <cell r="N3075" t="str">
            <v>40/数铣</v>
          </cell>
          <cell r="O3075" t="str">
            <v>45/数铣660</v>
          </cell>
          <cell r="P3075" t="str">
            <v>50数铣/160</v>
          </cell>
          <cell r="Q3075" t="str">
            <v>55/数铣910</v>
          </cell>
          <cell r="R3075" t="str">
            <v>60/钳工</v>
          </cell>
          <cell r="S3075" t="str">
            <v>65/清洁</v>
          </cell>
          <cell r="T3075" t="str">
            <v>70/测量</v>
          </cell>
          <cell r="U3075" t="str">
            <v>75/检验</v>
          </cell>
          <cell r="V3075" t="str">
            <v>80/硬检</v>
          </cell>
          <cell r="W3075" t="str">
            <v>85/分光</v>
          </cell>
          <cell r="X3075" t="str">
            <v>85/硬检</v>
          </cell>
          <cell r="Y3075" t="str">
            <v>90/钳工</v>
          </cell>
          <cell r="Z3075" t="str">
            <v>95/清洁</v>
          </cell>
          <cell r="AA3075" t="str">
            <v>100/成检</v>
          </cell>
        </row>
        <row r="3076">
          <cell r="B3076" t="str">
            <v>CB5324500-004L004</v>
          </cell>
          <cell r="D3076" t="str">
            <v>F</v>
          </cell>
          <cell r="E3076" t="str">
            <v>准备工时</v>
          </cell>
          <cell r="G3076">
            <v>60</v>
          </cell>
          <cell r="H3076">
            <v>60</v>
          </cell>
          <cell r="I3076">
            <v>60</v>
          </cell>
          <cell r="J3076">
            <v>60</v>
          </cell>
          <cell r="K3076">
            <v>60</v>
          </cell>
          <cell r="L3076">
            <v>60</v>
          </cell>
          <cell r="N3076">
            <v>60</v>
          </cell>
          <cell r="O3076">
            <v>60</v>
          </cell>
          <cell r="P3076">
            <v>180</v>
          </cell>
          <cell r="Q3076">
            <v>60</v>
          </cell>
        </row>
        <row r="3077">
          <cell r="B3077" t="str">
            <v>CB5324500-004L004</v>
          </cell>
          <cell r="D3077" t="str">
            <v>F</v>
          </cell>
          <cell r="E3077" t="str">
            <v>装夹时间</v>
          </cell>
          <cell r="H3077">
            <v>60</v>
          </cell>
          <cell r="I3077">
            <v>90</v>
          </cell>
          <cell r="J3077">
            <v>90</v>
          </cell>
          <cell r="K3077">
            <v>90</v>
          </cell>
          <cell r="L3077">
            <v>90</v>
          </cell>
          <cell r="N3077">
            <v>90</v>
          </cell>
          <cell r="O3077">
            <v>90</v>
          </cell>
          <cell r="P3077">
            <v>90</v>
          </cell>
          <cell r="Q3077">
            <v>90</v>
          </cell>
        </row>
        <row r="3078">
          <cell r="B3078" t="str">
            <v>CB5324500-004L004</v>
          </cell>
          <cell r="D3078" t="str">
            <v>F</v>
          </cell>
          <cell r="E3078" t="str">
            <v>程序时间</v>
          </cell>
          <cell r="G3078">
            <v>60</v>
          </cell>
          <cell r="H3078">
            <v>180</v>
          </cell>
          <cell r="I3078">
            <v>190</v>
          </cell>
          <cell r="J3078">
            <v>360</v>
          </cell>
          <cell r="K3078">
            <v>540</v>
          </cell>
          <cell r="L3078">
            <v>210</v>
          </cell>
          <cell r="N3078">
            <v>90</v>
          </cell>
          <cell r="O3078">
            <v>1000</v>
          </cell>
          <cell r="P3078">
            <v>240</v>
          </cell>
          <cell r="Q3078">
            <v>1260</v>
          </cell>
          <cell r="R3078">
            <v>420</v>
          </cell>
          <cell r="Y3078">
            <v>5</v>
          </cell>
        </row>
        <row r="3079">
          <cell r="B3079" t="str">
            <v>CB5324500-004R004</v>
          </cell>
          <cell r="D3079" t="str">
            <v>F</v>
          </cell>
          <cell r="E3079" t="str">
            <v>工序内容</v>
          </cell>
          <cell r="F3079" t="str">
            <v>0/领料</v>
          </cell>
          <cell r="G3079" t="str">
            <v>5/钳工</v>
          </cell>
          <cell r="H3079" t="str">
            <v>10/数铣</v>
          </cell>
          <cell r="I3079" t="str">
            <v>15/数铣150</v>
          </cell>
          <cell r="J3079" t="str">
            <v>20/数铣280</v>
          </cell>
          <cell r="K3079" t="str">
            <v>25/数铣420</v>
          </cell>
          <cell r="L3079" t="str">
            <v>30/数铣180</v>
          </cell>
          <cell r="M3079" t="str">
            <v>35/时效</v>
          </cell>
          <cell r="N3079" t="str">
            <v>40/数铣</v>
          </cell>
          <cell r="O3079" t="str">
            <v>45/数铣660</v>
          </cell>
          <cell r="P3079" t="str">
            <v>50数铣/160</v>
          </cell>
          <cell r="Q3079" t="str">
            <v>55/数铣910</v>
          </cell>
          <cell r="R3079" t="str">
            <v>60/钳工</v>
          </cell>
          <cell r="S3079" t="str">
            <v>65/清洁</v>
          </cell>
          <cell r="T3079" t="str">
            <v>70/测量</v>
          </cell>
          <cell r="U3079" t="str">
            <v>75/检验</v>
          </cell>
          <cell r="V3079" t="str">
            <v>80/硬检</v>
          </cell>
          <cell r="W3079" t="str">
            <v>85/分光</v>
          </cell>
          <cell r="X3079" t="str">
            <v>85/硬检</v>
          </cell>
          <cell r="Y3079" t="str">
            <v>90/钳工</v>
          </cell>
          <cell r="Z3079" t="str">
            <v>95/清洁</v>
          </cell>
          <cell r="AA3079" t="str">
            <v>100/成检</v>
          </cell>
        </row>
        <row r="3080">
          <cell r="B3080" t="str">
            <v>CB5324500-004R004</v>
          </cell>
          <cell r="D3080" t="str">
            <v>F</v>
          </cell>
          <cell r="E3080" t="str">
            <v>准备工时</v>
          </cell>
          <cell r="G3080">
            <v>60</v>
          </cell>
          <cell r="H3080">
            <v>60</v>
          </cell>
          <cell r="I3080">
            <v>60</v>
          </cell>
          <cell r="J3080">
            <v>60</v>
          </cell>
          <cell r="K3080">
            <v>60</v>
          </cell>
          <cell r="L3080">
            <v>60</v>
          </cell>
          <cell r="N3080">
            <v>60</v>
          </cell>
          <cell r="O3080">
            <v>60</v>
          </cell>
          <cell r="P3080">
            <v>180</v>
          </cell>
          <cell r="Q3080">
            <v>60</v>
          </cell>
        </row>
        <row r="3081">
          <cell r="B3081" t="str">
            <v>CB5324500-004R004</v>
          </cell>
          <cell r="D3081" t="str">
            <v>F</v>
          </cell>
          <cell r="E3081" t="str">
            <v>装夹时间</v>
          </cell>
          <cell r="H3081">
            <v>60</v>
          </cell>
          <cell r="I3081">
            <v>90</v>
          </cell>
          <cell r="J3081">
            <v>90</v>
          </cell>
          <cell r="K3081">
            <v>90</v>
          </cell>
          <cell r="L3081">
            <v>90</v>
          </cell>
          <cell r="N3081">
            <v>90</v>
          </cell>
          <cell r="O3081">
            <v>90</v>
          </cell>
          <cell r="P3081">
            <v>90</v>
          </cell>
          <cell r="Q3081">
            <v>90</v>
          </cell>
        </row>
        <row r="3082">
          <cell r="B3082" t="str">
            <v>CB5324500-004R004</v>
          </cell>
          <cell r="D3082" t="str">
            <v>F</v>
          </cell>
          <cell r="E3082" t="str">
            <v>程序时间</v>
          </cell>
          <cell r="G3082">
            <v>60</v>
          </cell>
          <cell r="H3082">
            <v>180</v>
          </cell>
          <cell r="I3082">
            <v>190</v>
          </cell>
          <cell r="J3082">
            <v>360</v>
          </cell>
          <cell r="K3082">
            <v>540</v>
          </cell>
          <cell r="L3082">
            <v>210</v>
          </cell>
          <cell r="N3082">
            <v>90</v>
          </cell>
          <cell r="O3082">
            <v>1000</v>
          </cell>
          <cell r="P3082">
            <v>240</v>
          </cell>
          <cell r="Q3082">
            <v>1260</v>
          </cell>
          <cell r="R3082">
            <v>420</v>
          </cell>
          <cell r="Y3082">
            <v>5</v>
          </cell>
        </row>
        <row r="3083">
          <cell r="B3083" t="str">
            <v>CB5326200-133L/R002</v>
          </cell>
          <cell r="D3083" t="str">
            <v>F</v>
          </cell>
          <cell r="E3083" t="str">
            <v>工序内容</v>
          </cell>
          <cell r="F3083" t="str">
            <v>0/领料</v>
          </cell>
          <cell r="G3083" t="str">
            <v>5/数铣</v>
          </cell>
          <cell r="H3083" t="str">
            <v>10/数铣110</v>
          </cell>
          <cell r="I3083" t="str">
            <v>15/数铣240</v>
          </cell>
          <cell r="J3083" t="str">
            <v>20/数铣660</v>
          </cell>
          <cell r="K3083" t="str">
            <v>25/五轴330</v>
          </cell>
          <cell r="L3083" t="str">
            <v>30/数铣310</v>
          </cell>
          <cell r="M3083" t="str">
            <v>35/测量</v>
          </cell>
          <cell r="N3083" t="str">
            <v>40/钳工</v>
          </cell>
          <cell r="O3083" t="str">
            <v>45/清洁</v>
          </cell>
          <cell r="P3083" t="str">
            <v>50/成检</v>
          </cell>
        </row>
        <row r="3084">
          <cell r="B3084" t="str">
            <v>CB5326200-133L/R002</v>
          </cell>
          <cell r="D3084" t="str">
            <v>F</v>
          </cell>
          <cell r="E3084" t="str">
            <v>准备工时</v>
          </cell>
          <cell r="G3084">
            <v>60</v>
          </cell>
          <cell r="H3084">
            <v>60</v>
          </cell>
          <cell r="I3084">
            <v>60</v>
          </cell>
          <cell r="J3084">
            <v>60</v>
          </cell>
          <cell r="K3084">
            <v>180</v>
          </cell>
          <cell r="L3084">
            <v>60</v>
          </cell>
        </row>
        <row r="3085">
          <cell r="B3085" t="str">
            <v>CB5326200-133L/R002</v>
          </cell>
          <cell r="D3085" t="str">
            <v>F</v>
          </cell>
          <cell r="E3085" t="str">
            <v>装夹时间</v>
          </cell>
          <cell r="G3085">
            <v>60</v>
          </cell>
          <cell r="H3085">
            <v>90</v>
          </cell>
          <cell r="I3085">
            <v>90</v>
          </cell>
          <cell r="J3085">
            <v>90</v>
          </cell>
          <cell r="K3085">
            <v>90</v>
          </cell>
          <cell r="L3085">
            <v>60</v>
          </cell>
        </row>
        <row r="3086">
          <cell r="B3086" t="str">
            <v>CB5326200-133L/R002</v>
          </cell>
          <cell r="D3086" t="str">
            <v>F</v>
          </cell>
          <cell r="E3086" t="str">
            <v>程序时间</v>
          </cell>
          <cell r="G3086">
            <v>90</v>
          </cell>
          <cell r="H3086">
            <v>150</v>
          </cell>
          <cell r="I3086">
            <v>210</v>
          </cell>
          <cell r="J3086">
            <v>720</v>
          </cell>
          <cell r="K3086">
            <v>630</v>
          </cell>
          <cell r="L3086">
            <v>420</v>
          </cell>
          <cell r="N3086">
            <v>480</v>
          </cell>
        </row>
        <row r="3087">
          <cell r="B3087" t="str">
            <v>CB5326200-133L002</v>
          </cell>
          <cell r="D3087" t="str">
            <v>F</v>
          </cell>
          <cell r="E3087" t="str">
            <v>工序内容</v>
          </cell>
          <cell r="F3087" t="str">
            <v>0/领料</v>
          </cell>
          <cell r="G3087" t="str">
            <v>5/数铣</v>
          </cell>
          <cell r="H3087" t="str">
            <v>10/数铣110</v>
          </cell>
          <cell r="I3087" t="str">
            <v>15/数铣240</v>
          </cell>
          <cell r="J3087" t="str">
            <v>20/数铣660</v>
          </cell>
          <cell r="K3087" t="str">
            <v>25/五轴330</v>
          </cell>
          <cell r="L3087" t="str">
            <v>30/数铣310</v>
          </cell>
          <cell r="M3087" t="str">
            <v>35/测量</v>
          </cell>
          <cell r="N3087" t="str">
            <v>40/钳工</v>
          </cell>
          <cell r="O3087" t="str">
            <v>45/清洁</v>
          </cell>
          <cell r="P3087" t="str">
            <v>50/成检</v>
          </cell>
        </row>
        <row r="3088">
          <cell r="B3088" t="str">
            <v>CB5326200-133L002</v>
          </cell>
          <cell r="D3088" t="str">
            <v>F</v>
          </cell>
          <cell r="E3088" t="str">
            <v>准备工时</v>
          </cell>
          <cell r="G3088">
            <v>60</v>
          </cell>
          <cell r="H3088">
            <v>60</v>
          </cell>
          <cell r="I3088">
            <v>60</v>
          </cell>
          <cell r="J3088">
            <v>60</v>
          </cell>
          <cell r="K3088">
            <v>180</v>
          </cell>
          <cell r="L3088">
            <v>60</v>
          </cell>
        </row>
        <row r="3089">
          <cell r="B3089" t="str">
            <v>CB5326200-133L002</v>
          </cell>
          <cell r="D3089" t="str">
            <v>F</v>
          </cell>
          <cell r="E3089" t="str">
            <v>装夹时间</v>
          </cell>
          <cell r="G3089">
            <v>60</v>
          </cell>
          <cell r="H3089">
            <v>90</v>
          </cell>
          <cell r="I3089">
            <v>90</v>
          </cell>
          <cell r="J3089">
            <v>90</v>
          </cell>
          <cell r="K3089">
            <v>90</v>
          </cell>
          <cell r="L3089">
            <v>60</v>
          </cell>
        </row>
        <row r="3090">
          <cell r="B3090" t="str">
            <v>CB5326200-133L002</v>
          </cell>
          <cell r="D3090" t="str">
            <v>F</v>
          </cell>
          <cell r="E3090" t="str">
            <v>程序时间</v>
          </cell>
          <cell r="G3090">
            <v>90</v>
          </cell>
          <cell r="H3090">
            <v>150</v>
          </cell>
          <cell r="I3090">
            <v>210</v>
          </cell>
          <cell r="J3090">
            <v>720</v>
          </cell>
          <cell r="K3090">
            <v>630</v>
          </cell>
          <cell r="L3090">
            <v>420</v>
          </cell>
          <cell r="N3090">
            <v>480</v>
          </cell>
        </row>
        <row r="3091">
          <cell r="B3091" t="str">
            <v>CB5326200-133R002</v>
          </cell>
          <cell r="D3091" t="str">
            <v>F</v>
          </cell>
          <cell r="E3091" t="str">
            <v>工序内容</v>
          </cell>
          <cell r="F3091" t="str">
            <v>0/领料</v>
          </cell>
          <cell r="G3091" t="str">
            <v>5/数铣</v>
          </cell>
          <cell r="H3091" t="str">
            <v>10/数铣110</v>
          </cell>
          <cell r="I3091" t="str">
            <v>15/数铣240</v>
          </cell>
          <cell r="J3091" t="str">
            <v>20/数铣660</v>
          </cell>
          <cell r="K3091" t="str">
            <v>25/五轴330</v>
          </cell>
          <cell r="L3091" t="str">
            <v>30/数铣310</v>
          </cell>
          <cell r="M3091" t="str">
            <v>35/测量</v>
          </cell>
          <cell r="N3091" t="str">
            <v>40/钳工</v>
          </cell>
          <cell r="O3091" t="str">
            <v>45/清洁</v>
          </cell>
          <cell r="P3091" t="str">
            <v>50/成检</v>
          </cell>
        </row>
        <row r="3092">
          <cell r="B3092" t="str">
            <v>CB5326200-133R002</v>
          </cell>
          <cell r="D3092" t="str">
            <v>F</v>
          </cell>
          <cell r="E3092" t="str">
            <v>准备工时</v>
          </cell>
          <cell r="G3092">
            <v>60</v>
          </cell>
          <cell r="H3092">
            <v>60</v>
          </cell>
          <cell r="I3092">
            <v>60</v>
          </cell>
          <cell r="J3092">
            <v>60</v>
          </cell>
          <cell r="K3092">
            <v>180</v>
          </cell>
          <cell r="L3092">
            <v>60</v>
          </cell>
        </row>
        <row r="3093">
          <cell r="B3093" t="str">
            <v>CB5326200-133R002</v>
          </cell>
          <cell r="D3093" t="str">
            <v>F</v>
          </cell>
          <cell r="E3093" t="str">
            <v>装夹时间</v>
          </cell>
          <cell r="G3093">
            <v>60</v>
          </cell>
          <cell r="H3093">
            <v>90</v>
          </cell>
          <cell r="I3093">
            <v>90</v>
          </cell>
          <cell r="J3093">
            <v>90</v>
          </cell>
          <cell r="K3093">
            <v>90</v>
          </cell>
          <cell r="L3093">
            <v>60</v>
          </cell>
        </row>
        <row r="3094">
          <cell r="B3094" t="str">
            <v>CB5326200-133R002</v>
          </cell>
          <cell r="D3094" t="str">
            <v>F</v>
          </cell>
          <cell r="E3094" t="str">
            <v>程序时间</v>
          </cell>
          <cell r="G3094">
            <v>90</v>
          </cell>
          <cell r="H3094">
            <v>150</v>
          </cell>
          <cell r="I3094">
            <v>210</v>
          </cell>
          <cell r="J3094">
            <v>720</v>
          </cell>
          <cell r="K3094">
            <v>630</v>
          </cell>
          <cell r="L3094">
            <v>420</v>
          </cell>
          <cell r="N3094">
            <v>480</v>
          </cell>
        </row>
        <row r="3095">
          <cell r="B3095" t="str">
            <v>Y20-5312225701-001/002</v>
          </cell>
          <cell r="D3095" t="str">
            <v>C</v>
          </cell>
          <cell r="E3095" t="str">
            <v>工序内容</v>
          </cell>
          <cell r="F3095" t="str">
            <v>0/领料</v>
          </cell>
          <cell r="G3095" t="str">
            <v>5/下料</v>
          </cell>
          <cell r="H3095" t="str">
            <v>10/数铣</v>
          </cell>
          <cell r="I3095" t="str">
            <v>15/数铣90</v>
          </cell>
          <cell r="J3095" t="str">
            <v>20/数铣320</v>
          </cell>
          <cell r="K3095" t="str">
            <v>25/数铣700</v>
          </cell>
          <cell r="L3095" t="str">
            <v>30/时效</v>
          </cell>
          <cell r="M3095" t="str">
            <v>35/数铣</v>
          </cell>
          <cell r="N3095" t="str">
            <v>40/数铣420</v>
          </cell>
          <cell r="O3095" t="str">
            <v>45/数铣350</v>
          </cell>
          <cell r="P3095" t="str">
            <v>50/五轴350</v>
          </cell>
          <cell r="Q3095" t="str">
            <v>55测量</v>
          </cell>
          <cell r="R3095" t="str">
            <v>60/钳工</v>
          </cell>
          <cell r="S3095" t="str">
            <v>65/清洁</v>
          </cell>
          <cell r="T3095" t="str">
            <v>70/成检</v>
          </cell>
        </row>
        <row r="3096">
          <cell r="B3096" t="str">
            <v>Y20-5312225701-001/002</v>
          </cell>
          <cell r="D3096" t="str">
            <v>C</v>
          </cell>
          <cell r="E3096" t="str">
            <v>准备工时</v>
          </cell>
          <cell r="H3096">
            <v>60</v>
          </cell>
          <cell r="I3096">
            <v>60</v>
          </cell>
          <cell r="J3096">
            <v>60</v>
          </cell>
          <cell r="K3096">
            <v>60</v>
          </cell>
          <cell r="M3096">
            <v>60</v>
          </cell>
          <cell r="N3096">
            <v>60</v>
          </cell>
          <cell r="O3096">
            <v>60</v>
          </cell>
          <cell r="P3096">
            <v>120</v>
          </cell>
        </row>
        <row r="3097">
          <cell r="B3097" t="str">
            <v>Y20-5312225701-001/002</v>
          </cell>
          <cell r="D3097" t="str">
            <v>C</v>
          </cell>
          <cell r="E3097" t="str">
            <v>装夹时间</v>
          </cell>
          <cell r="H3097">
            <v>60</v>
          </cell>
          <cell r="I3097">
            <v>60</v>
          </cell>
          <cell r="J3097">
            <v>60</v>
          </cell>
          <cell r="K3097">
            <v>60</v>
          </cell>
          <cell r="M3097">
            <v>60</v>
          </cell>
          <cell r="N3097">
            <v>60</v>
          </cell>
          <cell r="O3097">
            <v>60</v>
          </cell>
          <cell r="P3097">
            <v>60</v>
          </cell>
        </row>
        <row r="3098">
          <cell r="B3098" t="str">
            <v>Y20-5312225701-001/002</v>
          </cell>
          <cell r="D3098" t="str">
            <v>C</v>
          </cell>
          <cell r="E3098" t="str">
            <v>程序时间</v>
          </cell>
          <cell r="G3098">
            <v>40</v>
          </cell>
          <cell r="H3098">
            <v>200</v>
          </cell>
          <cell r="I3098">
            <v>130</v>
          </cell>
          <cell r="J3098">
            <v>380</v>
          </cell>
          <cell r="K3098">
            <v>770</v>
          </cell>
          <cell r="M3098">
            <v>60</v>
          </cell>
          <cell r="N3098">
            <v>500</v>
          </cell>
          <cell r="O3098">
            <v>420</v>
          </cell>
          <cell r="P3098">
            <v>660</v>
          </cell>
          <cell r="R3098">
            <v>360</v>
          </cell>
        </row>
        <row r="3099">
          <cell r="B3099" t="str">
            <v>Y20-5312225701-001</v>
          </cell>
          <cell r="D3099" t="str">
            <v>C</v>
          </cell>
          <cell r="E3099" t="str">
            <v>工序内容</v>
          </cell>
          <cell r="F3099" t="str">
            <v>0/领料</v>
          </cell>
          <cell r="G3099" t="str">
            <v>5/下料</v>
          </cell>
          <cell r="H3099" t="str">
            <v>10/数铣</v>
          </cell>
          <cell r="I3099" t="str">
            <v>15/数铣90</v>
          </cell>
          <cell r="J3099" t="str">
            <v>20/数铣320</v>
          </cell>
          <cell r="K3099" t="str">
            <v>25/数铣700</v>
          </cell>
          <cell r="L3099" t="str">
            <v>30/时效</v>
          </cell>
          <cell r="M3099" t="str">
            <v>35/数铣</v>
          </cell>
          <cell r="N3099" t="str">
            <v>40/数铣420</v>
          </cell>
          <cell r="O3099" t="str">
            <v>45/数铣350</v>
          </cell>
          <cell r="P3099" t="str">
            <v>50/五轴350</v>
          </cell>
          <cell r="Q3099" t="str">
            <v>55测量</v>
          </cell>
          <cell r="R3099" t="str">
            <v>60/钳工</v>
          </cell>
          <cell r="S3099" t="str">
            <v>65/清洁</v>
          </cell>
          <cell r="T3099" t="str">
            <v>70/成检</v>
          </cell>
        </row>
        <row r="3100">
          <cell r="B3100" t="str">
            <v>Y20-5312225701-001</v>
          </cell>
          <cell r="D3100" t="str">
            <v>C</v>
          </cell>
          <cell r="E3100" t="str">
            <v>准备工时</v>
          </cell>
          <cell r="H3100">
            <v>60</v>
          </cell>
          <cell r="I3100">
            <v>60</v>
          </cell>
          <cell r="J3100">
            <v>60</v>
          </cell>
          <cell r="K3100">
            <v>60</v>
          </cell>
          <cell r="M3100">
            <v>60</v>
          </cell>
          <cell r="N3100">
            <v>60</v>
          </cell>
          <cell r="O3100">
            <v>60</v>
          </cell>
          <cell r="P3100">
            <v>120</v>
          </cell>
        </row>
        <row r="3101">
          <cell r="B3101" t="str">
            <v>Y20-5312225701-001</v>
          </cell>
          <cell r="D3101" t="str">
            <v>C</v>
          </cell>
          <cell r="E3101" t="str">
            <v>装夹时间</v>
          </cell>
          <cell r="H3101">
            <v>60</v>
          </cell>
          <cell r="I3101">
            <v>60</v>
          </cell>
          <cell r="J3101">
            <v>60</v>
          </cell>
          <cell r="K3101">
            <v>60</v>
          </cell>
          <cell r="M3101">
            <v>60</v>
          </cell>
          <cell r="N3101">
            <v>60</v>
          </cell>
          <cell r="O3101">
            <v>60</v>
          </cell>
          <cell r="P3101">
            <v>60</v>
          </cell>
        </row>
        <row r="3102">
          <cell r="B3102" t="str">
            <v>Y20-5312225701-001</v>
          </cell>
          <cell r="D3102" t="str">
            <v>C</v>
          </cell>
          <cell r="E3102" t="str">
            <v>程序时间</v>
          </cell>
          <cell r="G3102">
            <v>40</v>
          </cell>
          <cell r="H3102">
            <v>200</v>
          </cell>
          <cell r="I3102">
            <v>130</v>
          </cell>
          <cell r="J3102">
            <v>380</v>
          </cell>
          <cell r="K3102">
            <v>770</v>
          </cell>
          <cell r="M3102">
            <v>60</v>
          </cell>
          <cell r="N3102">
            <v>500</v>
          </cell>
          <cell r="O3102">
            <v>420</v>
          </cell>
          <cell r="P3102">
            <v>660</v>
          </cell>
          <cell r="R3102">
            <v>360</v>
          </cell>
        </row>
        <row r="3103">
          <cell r="B3103" t="str">
            <v>Y20-5312225701-002</v>
          </cell>
          <cell r="D3103" t="str">
            <v>C</v>
          </cell>
          <cell r="E3103" t="str">
            <v>工序内容</v>
          </cell>
          <cell r="F3103" t="str">
            <v>0/领料</v>
          </cell>
          <cell r="G3103" t="str">
            <v>5/下料</v>
          </cell>
          <cell r="H3103" t="str">
            <v>10/数铣</v>
          </cell>
          <cell r="I3103" t="str">
            <v>15/数铣90</v>
          </cell>
          <cell r="J3103" t="str">
            <v>20/数铣320</v>
          </cell>
          <cell r="K3103" t="str">
            <v>25/数铣700</v>
          </cell>
          <cell r="L3103" t="str">
            <v>30/时效</v>
          </cell>
          <cell r="M3103" t="str">
            <v>35/数铣</v>
          </cell>
          <cell r="N3103" t="str">
            <v>40/数铣420</v>
          </cell>
          <cell r="O3103" t="str">
            <v>45/数铣350</v>
          </cell>
          <cell r="P3103" t="str">
            <v>50/五轴350</v>
          </cell>
          <cell r="Q3103" t="str">
            <v>55测量</v>
          </cell>
          <cell r="R3103" t="str">
            <v>60/钳工</v>
          </cell>
          <cell r="S3103" t="str">
            <v>65/清洁</v>
          </cell>
          <cell r="T3103" t="str">
            <v>70/成检</v>
          </cell>
        </row>
        <row r="3104">
          <cell r="B3104" t="str">
            <v>Y20-5312225701-002</v>
          </cell>
          <cell r="D3104" t="str">
            <v>C</v>
          </cell>
          <cell r="E3104" t="str">
            <v>准备工时</v>
          </cell>
          <cell r="H3104">
            <v>60</v>
          </cell>
          <cell r="I3104">
            <v>60</v>
          </cell>
          <cell r="J3104">
            <v>60</v>
          </cell>
          <cell r="K3104">
            <v>60</v>
          </cell>
          <cell r="M3104">
            <v>60</v>
          </cell>
          <cell r="N3104">
            <v>60</v>
          </cell>
          <cell r="O3104">
            <v>60</v>
          </cell>
          <cell r="P3104">
            <v>120</v>
          </cell>
        </row>
        <row r="3105">
          <cell r="B3105" t="str">
            <v>Y20-5312225701-002</v>
          </cell>
          <cell r="D3105" t="str">
            <v>C</v>
          </cell>
          <cell r="E3105" t="str">
            <v>装夹时间</v>
          </cell>
          <cell r="H3105">
            <v>60</v>
          </cell>
          <cell r="I3105">
            <v>60</v>
          </cell>
          <cell r="J3105">
            <v>60</v>
          </cell>
          <cell r="K3105">
            <v>60</v>
          </cell>
          <cell r="M3105">
            <v>60</v>
          </cell>
          <cell r="N3105">
            <v>60</v>
          </cell>
          <cell r="O3105">
            <v>60</v>
          </cell>
          <cell r="P3105">
            <v>60</v>
          </cell>
        </row>
        <row r="3106">
          <cell r="B3106" t="str">
            <v>Y20-5312225701-002</v>
          </cell>
          <cell r="D3106" t="str">
            <v>C</v>
          </cell>
          <cell r="E3106" t="str">
            <v>程序时间</v>
          </cell>
          <cell r="G3106">
            <v>40</v>
          </cell>
          <cell r="H3106">
            <v>200</v>
          </cell>
          <cell r="I3106">
            <v>130</v>
          </cell>
          <cell r="J3106">
            <v>380</v>
          </cell>
          <cell r="K3106">
            <v>770</v>
          </cell>
          <cell r="M3106">
            <v>180</v>
          </cell>
          <cell r="N3106">
            <v>500</v>
          </cell>
          <cell r="O3106">
            <v>420</v>
          </cell>
          <cell r="P3106">
            <v>840</v>
          </cell>
          <cell r="R3106">
            <v>360</v>
          </cell>
        </row>
        <row r="3107">
          <cell r="B3107" t="str">
            <v>CB5327120-010L/R015</v>
          </cell>
          <cell r="D3107" t="str">
            <v>D</v>
          </cell>
          <cell r="E3107" t="str">
            <v>工序内容</v>
          </cell>
          <cell r="F3107" t="str">
            <v>0/领料</v>
          </cell>
          <cell r="G3107" t="str">
            <v>5/数铣130</v>
          </cell>
          <cell r="H3107" t="str">
            <v>10/数铣136</v>
          </cell>
          <cell r="I3107" t="str">
            <v>15/数铣64</v>
          </cell>
          <cell r="J3107" t="str">
            <v>20/数铣260</v>
          </cell>
          <cell r="K3107" t="str">
            <v>25/数铣780</v>
          </cell>
          <cell r="L3107" t="str">
            <v>30/数铣625</v>
          </cell>
          <cell r="M3107" t="str">
            <v>35/五轴</v>
          </cell>
          <cell r="N3107" t="str">
            <v>40/数铣284</v>
          </cell>
          <cell r="O3107" t="str">
            <v>45/数铣91</v>
          </cell>
          <cell r="P3107" t="str">
            <v>55/钳工</v>
          </cell>
          <cell r="Q3107" t="str">
            <v>45/数铣91</v>
          </cell>
          <cell r="R3107" t="str">
            <v>55/钳工</v>
          </cell>
        </row>
        <row r="3108">
          <cell r="B3108" t="str">
            <v>CB5327120-010L/R015</v>
          </cell>
          <cell r="D3108" t="str">
            <v>D</v>
          </cell>
          <cell r="E3108" t="str">
            <v>准备工时</v>
          </cell>
          <cell r="G3108">
            <v>60</v>
          </cell>
          <cell r="H3108">
            <v>60</v>
          </cell>
          <cell r="I3108">
            <v>60</v>
          </cell>
          <cell r="J3108">
            <v>120</v>
          </cell>
          <cell r="K3108">
            <v>180</v>
          </cell>
          <cell r="L3108">
            <v>120</v>
          </cell>
          <cell r="M3108">
            <v>180</v>
          </cell>
          <cell r="N3108">
            <v>120</v>
          </cell>
          <cell r="O3108">
            <v>120</v>
          </cell>
          <cell r="Q3108">
            <v>120</v>
          </cell>
        </row>
        <row r="3109">
          <cell r="B3109" t="str">
            <v>CB5327120-010L/R015</v>
          </cell>
          <cell r="D3109" t="str">
            <v>D</v>
          </cell>
          <cell r="E3109" t="str">
            <v>装夹时间</v>
          </cell>
          <cell r="G3109">
            <v>180</v>
          </cell>
          <cell r="H3109">
            <v>180</v>
          </cell>
          <cell r="I3109">
            <v>120</v>
          </cell>
          <cell r="J3109">
            <v>330</v>
          </cell>
          <cell r="K3109">
            <v>900</v>
          </cell>
          <cell r="L3109">
            <v>700</v>
          </cell>
          <cell r="M3109">
            <v>60</v>
          </cell>
          <cell r="N3109">
            <v>330</v>
          </cell>
          <cell r="O3109">
            <v>120</v>
          </cell>
          <cell r="Q3109">
            <v>120</v>
          </cell>
        </row>
        <row r="3110">
          <cell r="B3110" t="str">
            <v>CB5327120-010L/R015</v>
          </cell>
          <cell r="D3110" t="str">
            <v>D</v>
          </cell>
          <cell r="E3110" t="str">
            <v>程序时间</v>
          </cell>
          <cell r="G3110">
            <v>60</v>
          </cell>
          <cell r="H3110">
            <v>60</v>
          </cell>
          <cell r="I3110">
            <v>60</v>
          </cell>
          <cell r="J3110">
            <v>60</v>
          </cell>
          <cell r="K3110">
            <v>60</v>
          </cell>
          <cell r="L3110">
            <v>60</v>
          </cell>
          <cell r="M3110">
            <v>60</v>
          </cell>
          <cell r="N3110">
            <v>60</v>
          </cell>
          <cell r="O3110">
            <v>60</v>
          </cell>
          <cell r="P3110">
            <v>480</v>
          </cell>
          <cell r="Q3110">
            <v>60</v>
          </cell>
          <cell r="R3110">
            <v>480</v>
          </cell>
        </row>
        <row r="3111">
          <cell r="B3111" t="str">
            <v>CB5714100-004L002</v>
          </cell>
          <cell r="D3111" t="str">
            <v>D</v>
          </cell>
          <cell r="E3111" t="str">
            <v>工序内容</v>
          </cell>
          <cell r="F3111" t="str">
            <v>0/领料</v>
          </cell>
          <cell r="G3111" t="str">
            <v>5/钳工</v>
          </cell>
          <cell r="H3111" t="str">
            <v>10/数铣</v>
          </cell>
          <cell r="I3111" t="str">
            <v>15/数铣</v>
          </cell>
          <cell r="J3111" t="str">
            <v>20/数铣</v>
          </cell>
          <cell r="K3111" t="str">
            <v>25/数55</v>
          </cell>
          <cell r="L3111" t="str">
            <v>30/数铣130</v>
          </cell>
          <cell r="M3111" t="str">
            <v>35/数铣220</v>
          </cell>
          <cell r="N3111" t="str">
            <v>40/时效</v>
          </cell>
          <cell r="O3111" t="str">
            <v>45/数铣</v>
          </cell>
          <cell r="P3111" t="str">
            <v>50/数铣380</v>
          </cell>
          <cell r="Q3111" t="str">
            <v>55/数铣10</v>
          </cell>
          <cell r="R3111" t="str">
            <v>60/数铣430</v>
          </cell>
          <cell r="S3111" t="str">
            <v>65/数铣10</v>
          </cell>
          <cell r="T3111" t="str">
            <v>70/数铣10</v>
          </cell>
          <cell r="U3111" t="str">
            <v>75/五轴30</v>
          </cell>
          <cell r="V3111" t="str">
            <v>80/五轴</v>
          </cell>
          <cell r="W3111" t="str">
            <v>85/钳工</v>
          </cell>
          <cell r="X3111" t="str">
            <v>90/测量</v>
          </cell>
          <cell r="Y3111" t="str">
            <v>95/清洁</v>
          </cell>
          <cell r="Z3111" t="str">
            <v>100/中检</v>
          </cell>
        </row>
        <row r="3112">
          <cell r="B3112" t="str">
            <v>CB5714100-004L002</v>
          </cell>
          <cell r="D3112" t="str">
            <v>D</v>
          </cell>
          <cell r="E3112" t="str">
            <v>准备工时</v>
          </cell>
          <cell r="G3112">
            <v>60</v>
          </cell>
          <cell r="H3112">
            <v>60</v>
          </cell>
          <cell r="I3112">
            <v>60</v>
          </cell>
          <cell r="J3112">
            <v>60</v>
          </cell>
          <cell r="K3112">
            <v>60</v>
          </cell>
          <cell r="L3112">
            <v>60</v>
          </cell>
          <cell r="M3112">
            <v>60</v>
          </cell>
          <cell r="O3112">
            <v>60</v>
          </cell>
          <cell r="P3112">
            <v>90</v>
          </cell>
          <cell r="Q3112">
            <v>60</v>
          </cell>
          <cell r="R3112">
            <v>60</v>
          </cell>
          <cell r="S3112">
            <v>60</v>
          </cell>
          <cell r="T3112">
            <v>90</v>
          </cell>
          <cell r="U3112">
            <v>150</v>
          </cell>
          <cell r="V3112">
            <v>150</v>
          </cell>
        </row>
        <row r="3113">
          <cell r="B3113" t="str">
            <v>CB5714100-004L002</v>
          </cell>
          <cell r="D3113" t="str">
            <v>D</v>
          </cell>
          <cell r="E3113" t="str">
            <v>装夹时间</v>
          </cell>
          <cell r="H3113">
            <v>60</v>
          </cell>
          <cell r="I3113">
            <v>60</v>
          </cell>
          <cell r="J3113">
            <v>60</v>
          </cell>
          <cell r="K3113">
            <v>60</v>
          </cell>
          <cell r="L3113">
            <v>60</v>
          </cell>
          <cell r="M3113">
            <v>60</v>
          </cell>
          <cell r="O3113">
            <v>60</v>
          </cell>
          <cell r="P3113">
            <v>60</v>
          </cell>
          <cell r="Q3113">
            <v>60</v>
          </cell>
          <cell r="R3113">
            <v>60</v>
          </cell>
          <cell r="S3113">
            <v>60</v>
          </cell>
          <cell r="T3113">
            <v>60</v>
          </cell>
          <cell r="U3113">
            <v>60</v>
          </cell>
          <cell r="V3113">
            <v>60</v>
          </cell>
        </row>
        <row r="3114">
          <cell r="B3114" t="str">
            <v>CB5714100-004L002</v>
          </cell>
          <cell r="D3114" t="str">
            <v>D</v>
          </cell>
          <cell r="E3114" t="str">
            <v>程序时间</v>
          </cell>
          <cell r="G3114">
            <v>30</v>
          </cell>
          <cell r="H3114">
            <v>30</v>
          </cell>
          <cell r="I3114">
            <v>30</v>
          </cell>
          <cell r="J3114">
            <v>60</v>
          </cell>
          <cell r="K3114">
            <v>90</v>
          </cell>
          <cell r="L3114">
            <v>270</v>
          </cell>
          <cell r="M3114">
            <v>370</v>
          </cell>
          <cell r="O3114">
            <v>60</v>
          </cell>
          <cell r="P3114">
            <v>420</v>
          </cell>
          <cell r="Q3114">
            <v>60</v>
          </cell>
          <cell r="R3114">
            <v>570</v>
          </cell>
          <cell r="S3114">
            <v>60</v>
          </cell>
          <cell r="T3114">
            <v>90</v>
          </cell>
          <cell r="U3114">
            <v>120</v>
          </cell>
          <cell r="V3114">
            <v>120</v>
          </cell>
          <cell r="W3114">
            <v>360</v>
          </cell>
        </row>
        <row r="3115">
          <cell r="B3115" t="str">
            <v>CB5714100-004R002</v>
          </cell>
          <cell r="D3115" t="str">
            <v>D</v>
          </cell>
          <cell r="E3115" t="str">
            <v>工序内容</v>
          </cell>
          <cell r="F3115" t="str">
            <v>0/领料</v>
          </cell>
          <cell r="G3115" t="str">
            <v>5/钳工</v>
          </cell>
          <cell r="H3115" t="str">
            <v>10/数铣</v>
          </cell>
          <cell r="I3115" t="str">
            <v>15/数铣</v>
          </cell>
          <cell r="J3115" t="str">
            <v>20/数铣</v>
          </cell>
          <cell r="K3115" t="str">
            <v>25/数55</v>
          </cell>
          <cell r="L3115" t="str">
            <v>30/数铣130</v>
          </cell>
          <cell r="M3115" t="str">
            <v>35/数铣220</v>
          </cell>
          <cell r="N3115" t="str">
            <v>40/时效</v>
          </cell>
          <cell r="O3115" t="str">
            <v>45/数铣</v>
          </cell>
          <cell r="P3115" t="str">
            <v>50/数铣380</v>
          </cell>
          <cell r="Q3115" t="str">
            <v>55/数铣10</v>
          </cell>
          <cell r="R3115" t="str">
            <v>60/数铣430</v>
          </cell>
          <cell r="S3115" t="str">
            <v>65/数铣10</v>
          </cell>
          <cell r="T3115" t="str">
            <v>70/数铣10</v>
          </cell>
          <cell r="U3115" t="str">
            <v>75/五轴30</v>
          </cell>
          <cell r="V3115" t="str">
            <v>80/五轴</v>
          </cell>
          <cell r="W3115" t="str">
            <v>85/钳工</v>
          </cell>
          <cell r="X3115" t="str">
            <v>90/测量</v>
          </cell>
          <cell r="Y3115" t="str">
            <v>95/清洁</v>
          </cell>
          <cell r="Z3115" t="str">
            <v>100/中检</v>
          </cell>
        </row>
        <row r="3116">
          <cell r="B3116" t="str">
            <v>CB5714100-004R002</v>
          </cell>
          <cell r="D3116" t="str">
            <v>D</v>
          </cell>
          <cell r="E3116" t="str">
            <v>准备工时</v>
          </cell>
          <cell r="G3116">
            <v>60</v>
          </cell>
          <cell r="H3116">
            <v>60</v>
          </cell>
          <cell r="I3116">
            <v>60</v>
          </cell>
          <cell r="J3116">
            <v>60</v>
          </cell>
          <cell r="K3116">
            <v>60</v>
          </cell>
          <cell r="L3116">
            <v>60</v>
          </cell>
          <cell r="M3116">
            <v>60</v>
          </cell>
          <cell r="O3116">
            <v>60</v>
          </cell>
          <cell r="P3116">
            <v>90</v>
          </cell>
          <cell r="Q3116">
            <v>60</v>
          </cell>
          <cell r="R3116">
            <v>60</v>
          </cell>
          <cell r="S3116">
            <v>60</v>
          </cell>
          <cell r="T3116">
            <v>90</v>
          </cell>
          <cell r="U3116">
            <v>150</v>
          </cell>
          <cell r="V3116">
            <v>150</v>
          </cell>
        </row>
        <row r="3117">
          <cell r="B3117" t="str">
            <v>CB5714100-004R002</v>
          </cell>
          <cell r="D3117" t="str">
            <v>D</v>
          </cell>
          <cell r="E3117" t="str">
            <v>装夹时间</v>
          </cell>
          <cell r="H3117">
            <v>60</v>
          </cell>
          <cell r="I3117">
            <v>60</v>
          </cell>
          <cell r="J3117">
            <v>60</v>
          </cell>
          <cell r="K3117">
            <v>60</v>
          </cell>
          <cell r="L3117">
            <v>60</v>
          </cell>
          <cell r="M3117">
            <v>60</v>
          </cell>
          <cell r="O3117">
            <v>60</v>
          </cell>
          <cell r="P3117">
            <v>60</v>
          </cell>
          <cell r="Q3117">
            <v>60</v>
          </cell>
          <cell r="R3117">
            <v>60</v>
          </cell>
          <cell r="S3117">
            <v>60</v>
          </cell>
          <cell r="T3117">
            <v>60</v>
          </cell>
          <cell r="U3117">
            <v>60</v>
          </cell>
          <cell r="V3117">
            <v>60</v>
          </cell>
        </row>
        <row r="3118">
          <cell r="B3118" t="str">
            <v>CB5714100-004R002</v>
          </cell>
          <cell r="D3118" t="str">
            <v>D</v>
          </cell>
          <cell r="E3118" t="str">
            <v>程序时间</v>
          </cell>
          <cell r="G3118">
            <v>30</v>
          </cell>
          <cell r="H3118">
            <v>30</v>
          </cell>
          <cell r="I3118">
            <v>30</v>
          </cell>
          <cell r="J3118">
            <v>60</v>
          </cell>
          <cell r="K3118">
            <v>90</v>
          </cell>
          <cell r="L3118">
            <v>270</v>
          </cell>
          <cell r="M3118">
            <v>370</v>
          </cell>
          <cell r="O3118">
            <v>60</v>
          </cell>
          <cell r="P3118">
            <v>420</v>
          </cell>
          <cell r="Q3118">
            <v>60</v>
          </cell>
          <cell r="R3118">
            <v>570</v>
          </cell>
          <cell r="S3118">
            <v>60</v>
          </cell>
          <cell r="T3118">
            <v>90</v>
          </cell>
          <cell r="U3118">
            <v>120</v>
          </cell>
          <cell r="V3118">
            <v>120</v>
          </cell>
          <cell r="W3118">
            <v>360</v>
          </cell>
        </row>
        <row r="3119">
          <cell r="B3119" t="str">
            <v>CB5326200-125L/R002</v>
          </cell>
          <cell r="D3119" t="str">
            <v>D</v>
          </cell>
          <cell r="E3119" t="str">
            <v>工序内容</v>
          </cell>
          <cell r="F3119" t="str">
            <v>0/领料</v>
          </cell>
          <cell r="G3119" t="str">
            <v>5/数铣</v>
          </cell>
          <cell r="H3119" t="str">
            <v>10/数铣</v>
          </cell>
          <cell r="I3119" t="str">
            <v>15/数铣95</v>
          </cell>
          <cell r="J3119" t="str">
            <v>20/数铣280</v>
          </cell>
          <cell r="K3119" t="str">
            <v>25/数铣240</v>
          </cell>
          <cell r="L3119" t="str">
            <v>30/数铣550</v>
          </cell>
          <cell r="M3119" t="str">
            <v>35/五轴300</v>
          </cell>
          <cell r="N3119" t="str">
            <v>40/数铣680</v>
          </cell>
          <cell r="O3119" t="str">
            <v>45/测量</v>
          </cell>
          <cell r="P3119" t="str">
            <v>50/钳工</v>
          </cell>
          <cell r="Q3119" t="str">
            <v>55/数铣</v>
          </cell>
          <cell r="R3119" t="str">
            <v>60/清洁</v>
          </cell>
          <cell r="S3119" t="str">
            <v>65/成检</v>
          </cell>
          <cell r="T3119" t="str">
            <v>65/成检</v>
          </cell>
        </row>
        <row r="3120">
          <cell r="B3120" t="str">
            <v>CB5326200-125L/R002</v>
          </cell>
          <cell r="D3120" t="str">
            <v>D</v>
          </cell>
          <cell r="E3120" t="str">
            <v>准备工时</v>
          </cell>
          <cell r="G3120">
            <v>60</v>
          </cell>
          <cell r="H3120">
            <v>60</v>
          </cell>
          <cell r="I3120">
            <v>60</v>
          </cell>
          <cell r="J3120">
            <v>60</v>
          </cell>
          <cell r="K3120">
            <v>60</v>
          </cell>
          <cell r="L3120">
            <v>60</v>
          </cell>
          <cell r="M3120">
            <v>180</v>
          </cell>
          <cell r="N3120">
            <v>180</v>
          </cell>
        </row>
        <row r="3121">
          <cell r="B3121" t="str">
            <v>CB5326200-125L/R002</v>
          </cell>
          <cell r="D3121" t="str">
            <v>D</v>
          </cell>
          <cell r="E3121" t="str">
            <v>装夹时间</v>
          </cell>
          <cell r="G3121">
            <v>60</v>
          </cell>
          <cell r="H3121">
            <v>60</v>
          </cell>
          <cell r="I3121">
            <v>60</v>
          </cell>
          <cell r="J3121">
            <v>90</v>
          </cell>
          <cell r="K3121">
            <v>90</v>
          </cell>
          <cell r="L3121">
            <v>90</v>
          </cell>
          <cell r="M3121">
            <v>90</v>
          </cell>
          <cell r="N3121">
            <v>90</v>
          </cell>
        </row>
        <row r="3122">
          <cell r="B3122" t="str">
            <v>CB5326200-125L/R002</v>
          </cell>
          <cell r="D3122" t="str">
            <v>D</v>
          </cell>
          <cell r="E3122" t="str">
            <v>程序时间</v>
          </cell>
          <cell r="G3122">
            <v>60</v>
          </cell>
          <cell r="H3122">
            <v>120</v>
          </cell>
          <cell r="I3122">
            <v>150</v>
          </cell>
          <cell r="J3122">
            <v>450</v>
          </cell>
          <cell r="K3122">
            <v>360</v>
          </cell>
          <cell r="L3122">
            <v>650</v>
          </cell>
          <cell r="M3122">
            <v>960</v>
          </cell>
          <cell r="N3122">
            <v>1020</v>
          </cell>
          <cell r="P3122">
            <v>480</v>
          </cell>
          <cell r="Q3122">
            <v>20</v>
          </cell>
        </row>
        <row r="3123">
          <cell r="B3123" t="str">
            <v>DD-J10-21102-150-1-Z</v>
          </cell>
          <cell r="D3123" t="str">
            <v>F</v>
          </cell>
          <cell r="E3123" t="str">
            <v>工序内容</v>
          </cell>
          <cell r="F3123" t="str">
            <v>0/领料</v>
          </cell>
          <cell r="G3123" t="str">
            <v>5/数铣</v>
          </cell>
          <cell r="H3123" t="str">
            <v>10/数铣56</v>
          </cell>
          <cell r="I3123" t="str">
            <v>15/数铣240</v>
          </cell>
          <cell r="J3123" t="str">
            <v>20/数铣141</v>
          </cell>
          <cell r="K3123" t="str">
            <v>25/时效</v>
          </cell>
          <cell r="L3123" t="str">
            <v>30/数铣</v>
          </cell>
          <cell r="M3123" t="str">
            <v>35/数铣450</v>
          </cell>
          <cell r="N3123" t="str">
            <v>40/数铣603</v>
          </cell>
          <cell r="O3123" t="str">
            <v>45/数铣18</v>
          </cell>
          <cell r="P3123" t="str">
            <v>50/数铣18</v>
          </cell>
          <cell r="Q3123" t="str">
            <v>55/无</v>
          </cell>
          <cell r="R3123" t="str">
            <v>60/测量</v>
          </cell>
          <cell r="S3123" t="str">
            <v>65/数铣49</v>
          </cell>
          <cell r="T3123" t="str">
            <v>70/钳工</v>
          </cell>
          <cell r="U3123" t="str">
            <v>70/钳工校形</v>
          </cell>
          <cell r="V3123" t="str">
            <v>75/数铣</v>
          </cell>
        </row>
        <row r="3124">
          <cell r="B3124" t="str">
            <v>DD-J10-21102-150-1-Z</v>
          </cell>
          <cell r="D3124" t="str">
            <v>F</v>
          </cell>
          <cell r="E3124" t="str">
            <v>准备工时</v>
          </cell>
          <cell r="G3124">
            <v>60</v>
          </cell>
          <cell r="H3124">
            <v>90</v>
          </cell>
          <cell r="I3124">
            <v>60</v>
          </cell>
          <cell r="J3124">
            <v>60</v>
          </cell>
          <cell r="L3124">
            <v>60</v>
          </cell>
          <cell r="M3124">
            <v>150</v>
          </cell>
          <cell r="N3124">
            <v>150</v>
          </cell>
          <cell r="O3124">
            <v>60</v>
          </cell>
          <cell r="P3124">
            <v>60</v>
          </cell>
          <cell r="S3124">
            <v>60</v>
          </cell>
        </row>
        <row r="3125">
          <cell r="B3125" t="str">
            <v>DD-J10-21102-150-1-Z</v>
          </cell>
          <cell r="D3125" t="str">
            <v>F</v>
          </cell>
          <cell r="E3125" t="str">
            <v>装夹时间</v>
          </cell>
          <cell r="G3125">
            <v>40</v>
          </cell>
          <cell r="H3125">
            <v>50</v>
          </cell>
          <cell r="I3125">
            <v>50</v>
          </cell>
          <cell r="J3125">
            <v>50</v>
          </cell>
          <cell r="L3125">
            <v>50</v>
          </cell>
          <cell r="M3125">
            <v>50</v>
          </cell>
          <cell r="N3125">
            <v>50</v>
          </cell>
          <cell r="O3125">
            <v>50</v>
          </cell>
          <cell r="P3125">
            <v>50</v>
          </cell>
          <cell r="S3125">
            <v>50</v>
          </cell>
          <cell r="T3125">
            <v>120</v>
          </cell>
          <cell r="U3125">
            <v>240</v>
          </cell>
          <cell r="V3125">
            <v>20</v>
          </cell>
        </row>
        <row r="3126">
          <cell r="B3126" t="str">
            <v>DD-J10-21102-150-1-Z</v>
          </cell>
          <cell r="D3126" t="str">
            <v>F</v>
          </cell>
          <cell r="E3126" t="str">
            <v>程序时间</v>
          </cell>
          <cell r="G3126">
            <v>90</v>
          </cell>
          <cell r="H3126">
            <v>100</v>
          </cell>
          <cell r="I3126">
            <v>288</v>
          </cell>
          <cell r="J3126">
            <v>240</v>
          </cell>
          <cell r="L3126">
            <v>120</v>
          </cell>
          <cell r="M3126">
            <v>510</v>
          </cell>
          <cell r="N3126">
            <v>720</v>
          </cell>
          <cell r="O3126">
            <v>30</v>
          </cell>
          <cell r="P3126">
            <v>30</v>
          </cell>
          <cell r="S3126">
            <v>60</v>
          </cell>
        </row>
        <row r="3127">
          <cell r="B3127" t="str">
            <v>DD-J10-21102-150-1-Y</v>
          </cell>
          <cell r="D3127" t="str">
            <v>F</v>
          </cell>
          <cell r="E3127" t="str">
            <v>工序内容</v>
          </cell>
          <cell r="F3127" t="str">
            <v>0/领料</v>
          </cell>
          <cell r="G3127" t="str">
            <v>5/数铣</v>
          </cell>
          <cell r="H3127" t="str">
            <v>10/数铣56</v>
          </cell>
          <cell r="I3127" t="str">
            <v>15/数铣240</v>
          </cell>
          <cell r="J3127" t="str">
            <v>20/数铣141</v>
          </cell>
          <cell r="K3127" t="str">
            <v>25/时效</v>
          </cell>
          <cell r="L3127" t="str">
            <v>30/数铣</v>
          </cell>
          <cell r="M3127" t="str">
            <v>35/数铣450</v>
          </cell>
          <cell r="N3127" t="str">
            <v>40/数铣603</v>
          </cell>
          <cell r="O3127" t="str">
            <v>45/数铣18</v>
          </cell>
          <cell r="P3127" t="str">
            <v>50/数铣18</v>
          </cell>
          <cell r="Q3127" t="str">
            <v>55/无</v>
          </cell>
          <cell r="R3127" t="str">
            <v>60/测量</v>
          </cell>
          <cell r="S3127" t="str">
            <v>65/数铣49</v>
          </cell>
          <cell r="T3127" t="str">
            <v>70/钳工</v>
          </cell>
          <cell r="U3127" t="str">
            <v>70/钳工校形</v>
          </cell>
          <cell r="V3127" t="str">
            <v>75/数铣</v>
          </cell>
        </row>
        <row r="3128">
          <cell r="B3128" t="str">
            <v>DD-J10-21102-150-1-Y</v>
          </cell>
          <cell r="D3128" t="str">
            <v>F</v>
          </cell>
          <cell r="E3128" t="str">
            <v>准备工时</v>
          </cell>
          <cell r="G3128">
            <v>60</v>
          </cell>
          <cell r="H3128">
            <v>90</v>
          </cell>
          <cell r="I3128">
            <v>60</v>
          </cell>
          <cell r="J3128">
            <v>60</v>
          </cell>
          <cell r="L3128">
            <v>60</v>
          </cell>
          <cell r="M3128">
            <v>150</v>
          </cell>
          <cell r="N3128">
            <v>150</v>
          </cell>
          <cell r="O3128">
            <v>60</v>
          </cell>
          <cell r="P3128">
            <v>60</v>
          </cell>
          <cell r="S3128">
            <v>60</v>
          </cell>
        </row>
        <row r="3129">
          <cell r="B3129" t="str">
            <v>DD-J10-21102-150-1-Y</v>
          </cell>
          <cell r="D3129" t="str">
            <v>F</v>
          </cell>
          <cell r="E3129" t="str">
            <v>装夹时间</v>
          </cell>
          <cell r="G3129">
            <v>40</v>
          </cell>
          <cell r="H3129">
            <v>50</v>
          </cell>
          <cell r="I3129">
            <v>50</v>
          </cell>
          <cell r="J3129">
            <v>50</v>
          </cell>
          <cell r="L3129">
            <v>50</v>
          </cell>
          <cell r="M3129">
            <v>50</v>
          </cell>
          <cell r="N3129">
            <v>50</v>
          </cell>
          <cell r="O3129">
            <v>50</v>
          </cell>
          <cell r="P3129">
            <v>50</v>
          </cell>
          <cell r="S3129">
            <v>50</v>
          </cell>
          <cell r="T3129">
            <v>120</v>
          </cell>
          <cell r="U3129">
            <v>240</v>
          </cell>
          <cell r="V3129">
            <v>20</v>
          </cell>
        </row>
        <row r="3130">
          <cell r="B3130" t="str">
            <v>DD-J10-21102-150-1-Y</v>
          </cell>
          <cell r="D3130" t="str">
            <v>F</v>
          </cell>
          <cell r="E3130" t="str">
            <v>程序时间</v>
          </cell>
          <cell r="G3130">
            <v>90</v>
          </cell>
          <cell r="H3130">
            <v>100</v>
          </cell>
          <cell r="I3130">
            <v>288</v>
          </cell>
          <cell r="J3130">
            <v>240</v>
          </cell>
          <cell r="L3130">
            <v>120</v>
          </cell>
          <cell r="M3130">
            <v>510</v>
          </cell>
          <cell r="N3130">
            <v>720</v>
          </cell>
          <cell r="O3130">
            <v>30</v>
          </cell>
          <cell r="P3130">
            <v>30</v>
          </cell>
          <cell r="S3130">
            <v>60</v>
          </cell>
        </row>
        <row r="3131">
          <cell r="B3131" t="str">
            <v>Y20-5316100416-001/002</v>
          </cell>
          <cell r="D3131" t="str">
            <v>B</v>
          </cell>
          <cell r="E3131" t="str">
            <v>工序内容</v>
          </cell>
          <cell r="F3131" t="str">
            <v>0/领料</v>
          </cell>
          <cell r="G3131" t="str">
            <v>05/下料</v>
          </cell>
          <cell r="H3131" t="str">
            <v>10/数铣</v>
          </cell>
          <cell r="I3131" t="str">
            <v>15/数铣18</v>
          </cell>
          <cell r="J3131" t="str">
            <v>20/数铣28</v>
          </cell>
          <cell r="K3131" t="str">
            <v>25/数铣40</v>
          </cell>
          <cell r="L3131" t="str">
            <v>30/钳工</v>
          </cell>
          <cell r="M3131" t="str">
            <v>35/测量</v>
          </cell>
          <cell r="N3131" t="str">
            <v>40/清洁</v>
          </cell>
          <cell r="O3131" t="str">
            <v>45/成检</v>
          </cell>
          <cell r="P3131" t="str">
            <v>50/分光</v>
          </cell>
          <cell r="Q3131" t="str">
            <v>55/钳工</v>
          </cell>
          <cell r="R3131" t="str">
            <v>60/清洁</v>
          </cell>
          <cell r="S3131" t="str">
            <v>65/成检</v>
          </cell>
        </row>
        <row r="3132">
          <cell r="B3132" t="str">
            <v>Y20-5316100416-001/002</v>
          </cell>
          <cell r="D3132" t="str">
            <v>B</v>
          </cell>
          <cell r="E3132" t="str">
            <v>准备工时</v>
          </cell>
          <cell r="H3132">
            <v>60</v>
          </cell>
          <cell r="I3132">
            <v>60</v>
          </cell>
          <cell r="J3132">
            <v>90</v>
          </cell>
          <cell r="K3132">
            <v>90</v>
          </cell>
        </row>
        <row r="3133">
          <cell r="B3133" t="str">
            <v>Y20-5316100416-001/002</v>
          </cell>
          <cell r="D3133" t="str">
            <v>B</v>
          </cell>
          <cell r="E3133" t="str">
            <v>程序时间</v>
          </cell>
          <cell r="H3133">
            <v>30</v>
          </cell>
          <cell r="I3133">
            <v>25</v>
          </cell>
          <cell r="J3133">
            <v>30</v>
          </cell>
          <cell r="K3133">
            <v>35</v>
          </cell>
          <cell r="L3133" t="str">
            <v>35</v>
          </cell>
          <cell r="Q3133">
            <v>5</v>
          </cell>
        </row>
        <row r="3134">
          <cell r="B3134" t="str">
            <v>Y20-5312224004-001</v>
          </cell>
          <cell r="D3134" t="str">
            <v>C</v>
          </cell>
          <cell r="E3134" t="str">
            <v>工序内容</v>
          </cell>
          <cell r="F3134" t="str">
            <v>0/领料</v>
          </cell>
          <cell r="G3134" t="str">
            <v>5/钳工</v>
          </cell>
          <cell r="H3134" t="str">
            <v>10/数铣</v>
          </cell>
          <cell r="I3134" t="str">
            <v>15/数铣70</v>
          </cell>
          <cell r="J3134" t="str">
            <v>20/数铣</v>
          </cell>
          <cell r="K3134" t="str">
            <v>25/数铣35</v>
          </cell>
          <cell r="L3134" t="str">
            <v>30/数铣65</v>
          </cell>
          <cell r="M3134" t="str">
            <v>35/数铣100</v>
          </cell>
          <cell r="N3134" t="str">
            <v>40/时效</v>
          </cell>
          <cell r="O3134" t="str">
            <v>45/数铣</v>
          </cell>
          <cell r="P3134" t="str">
            <v>50/数铣160</v>
          </cell>
          <cell r="Q3134" t="str">
            <v>55数铣/220</v>
          </cell>
          <cell r="R3134" t="str">
            <v>60/测量</v>
          </cell>
          <cell r="S3134" t="str">
            <v>65/钳工</v>
          </cell>
          <cell r="T3134" t="str">
            <v>70/清洁</v>
          </cell>
          <cell r="U3134" t="str">
            <v>75/成检</v>
          </cell>
        </row>
        <row r="3135">
          <cell r="B3135" t="str">
            <v>Y20-5312224004-001</v>
          </cell>
          <cell r="D3135" t="str">
            <v>C</v>
          </cell>
          <cell r="E3135" t="str">
            <v>准备工时</v>
          </cell>
          <cell r="H3135">
            <v>60</v>
          </cell>
          <cell r="I3135">
            <v>60</v>
          </cell>
          <cell r="J3135">
            <v>60</v>
          </cell>
          <cell r="K3135">
            <v>60</v>
          </cell>
          <cell r="L3135">
            <v>60</v>
          </cell>
          <cell r="M3135">
            <v>60</v>
          </cell>
          <cell r="O3135">
            <v>60</v>
          </cell>
          <cell r="P3135">
            <v>60</v>
          </cell>
          <cell r="Q3135">
            <v>60</v>
          </cell>
        </row>
        <row r="3136">
          <cell r="B3136" t="str">
            <v>Y20-5312224004-001</v>
          </cell>
          <cell r="D3136" t="str">
            <v>C</v>
          </cell>
          <cell r="E3136" t="str">
            <v>装夹时间</v>
          </cell>
          <cell r="H3136">
            <v>60</v>
          </cell>
          <cell r="I3136">
            <v>60</v>
          </cell>
          <cell r="J3136">
            <v>60</v>
          </cell>
          <cell r="K3136">
            <v>60</v>
          </cell>
          <cell r="L3136">
            <v>60</v>
          </cell>
          <cell r="M3136">
            <v>60</v>
          </cell>
          <cell r="O3136">
            <v>60</v>
          </cell>
          <cell r="P3136">
            <v>60</v>
          </cell>
          <cell r="Q3136">
            <v>60</v>
          </cell>
        </row>
        <row r="3137">
          <cell r="B3137" t="str">
            <v>Y20-5312224004-001</v>
          </cell>
          <cell r="D3137" t="str">
            <v>C</v>
          </cell>
          <cell r="E3137" t="str">
            <v>程序时间</v>
          </cell>
          <cell r="G3137">
            <v>80</v>
          </cell>
          <cell r="H3137">
            <v>60</v>
          </cell>
          <cell r="I3137">
            <v>100</v>
          </cell>
          <cell r="J3137">
            <v>60</v>
          </cell>
          <cell r="K3137">
            <v>70</v>
          </cell>
          <cell r="L3137">
            <v>100</v>
          </cell>
          <cell r="M3137">
            <v>130</v>
          </cell>
          <cell r="O3137">
            <v>200</v>
          </cell>
          <cell r="P3137">
            <v>220</v>
          </cell>
          <cell r="Q3137">
            <v>280</v>
          </cell>
          <cell r="S3137">
            <v>390</v>
          </cell>
        </row>
        <row r="3138">
          <cell r="B3138" t="str">
            <v>Y20-5312224004-002</v>
          </cell>
          <cell r="D3138" t="str">
            <v>C</v>
          </cell>
          <cell r="E3138" t="str">
            <v>工序内容</v>
          </cell>
          <cell r="F3138" t="str">
            <v>0/领料</v>
          </cell>
          <cell r="G3138" t="str">
            <v>5/钳工</v>
          </cell>
          <cell r="H3138" t="str">
            <v>10/数铣</v>
          </cell>
          <cell r="I3138" t="str">
            <v>15/数铣70</v>
          </cell>
          <cell r="J3138" t="str">
            <v>20/数铣</v>
          </cell>
          <cell r="K3138" t="str">
            <v>25/数铣35</v>
          </cell>
          <cell r="L3138" t="str">
            <v>30/数铣65</v>
          </cell>
          <cell r="M3138" t="str">
            <v>35/数铣100</v>
          </cell>
          <cell r="N3138" t="str">
            <v>40/时效</v>
          </cell>
          <cell r="O3138" t="str">
            <v>45/数铣</v>
          </cell>
          <cell r="P3138" t="str">
            <v>50/数铣160</v>
          </cell>
          <cell r="Q3138" t="str">
            <v>55数铣/220</v>
          </cell>
          <cell r="R3138" t="str">
            <v>60/测量</v>
          </cell>
          <cell r="S3138" t="str">
            <v>65/钳工</v>
          </cell>
          <cell r="T3138" t="str">
            <v>70/清洁</v>
          </cell>
          <cell r="U3138" t="str">
            <v>75/成检</v>
          </cell>
        </row>
        <row r="3139">
          <cell r="B3139" t="str">
            <v>Y20-5312224004-002</v>
          </cell>
          <cell r="D3139" t="str">
            <v>C</v>
          </cell>
          <cell r="E3139" t="str">
            <v>准备工时</v>
          </cell>
          <cell r="H3139">
            <v>60</v>
          </cell>
          <cell r="I3139">
            <v>60</v>
          </cell>
          <cell r="J3139">
            <v>60</v>
          </cell>
          <cell r="K3139">
            <v>60</v>
          </cell>
          <cell r="L3139">
            <v>60</v>
          </cell>
          <cell r="M3139">
            <v>60</v>
          </cell>
          <cell r="O3139">
            <v>60</v>
          </cell>
          <cell r="P3139">
            <v>60</v>
          </cell>
          <cell r="Q3139">
            <v>60</v>
          </cell>
        </row>
        <row r="3140">
          <cell r="B3140" t="str">
            <v>Y20-5312224004-002</v>
          </cell>
          <cell r="D3140" t="str">
            <v>C</v>
          </cell>
          <cell r="E3140" t="str">
            <v>装夹时间</v>
          </cell>
          <cell r="H3140">
            <v>60</v>
          </cell>
          <cell r="I3140">
            <v>60</v>
          </cell>
          <cell r="J3140">
            <v>60</v>
          </cell>
          <cell r="K3140">
            <v>60</v>
          </cell>
          <cell r="L3140">
            <v>60</v>
          </cell>
          <cell r="M3140">
            <v>60</v>
          </cell>
          <cell r="O3140">
            <v>60</v>
          </cell>
          <cell r="P3140">
            <v>60</v>
          </cell>
          <cell r="Q3140">
            <v>60</v>
          </cell>
        </row>
        <row r="3141">
          <cell r="B3141" t="str">
            <v>Y20-5312224004-002</v>
          </cell>
          <cell r="D3141" t="str">
            <v>C</v>
          </cell>
          <cell r="E3141" t="str">
            <v>程序时间</v>
          </cell>
          <cell r="G3141">
            <v>80</v>
          </cell>
          <cell r="H3141">
            <v>60</v>
          </cell>
          <cell r="I3141">
            <v>100</v>
          </cell>
          <cell r="J3141">
            <v>60</v>
          </cell>
          <cell r="K3141">
            <v>70</v>
          </cell>
          <cell r="L3141">
            <v>100</v>
          </cell>
          <cell r="M3141">
            <v>130</v>
          </cell>
          <cell r="O3141">
            <v>200</v>
          </cell>
          <cell r="P3141">
            <v>220</v>
          </cell>
          <cell r="Q3141">
            <v>280</v>
          </cell>
          <cell r="S3141">
            <v>390</v>
          </cell>
        </row>
        <row r="3142">
          <cell r="B3142" t="str">
            <v>LTCS-533020000-04N01</v>
          </cell>
          <cell r="D3142" t="str">
            <v>B</v>
          </cell>
          <cell r="E3142" t="str">
            <v>工序内容</v>
          </cell>
          <cell r="F3142" t="str">
            <v>0/领料</v>
          </cell>
          <cell r="G3142" t="str">
            <v>5/数铣10</v>
          </cell>
          <cell r="H3142" t="str">
            <v>10/数铣25</v>
          </cell>
          <cell r="I3142" t="str">
            <v>15/数铣70</v>
          </cell>
          <cell r="J3142" t="str">
            <v>20/数铣45</v>
          </cell>
          <cell r="K3142" t="str">
            <v>25/测量</v>
          </cell>
          <cell r="L3142" t="str">
            <v>30/数铣7</v>
          </cell>
          <cell r="M3142" t="str">
            <v>35/钳工</v>
          </cell>
          <cell r="N3142" t="str">
            <v>40/清洁</v>
          </cell>
          <cell r="O3142" t="str">
            <v>45/成检</v>
          </cell>
        </row>
        <row r="3143">
          <cell r="B3143" t="str">
            <v>LTCS-533020000-04N01</v>
          </cell>
          <cell r="D3143" t="str">
            <v>B</v>
          </cell>
          <cell r="E3143" t="str">
            <v>准备工时</v>
          </cell>
          <cell r="G3143">
            <v>60</v>
          </cell>
          <cell r="H3143">
            <v>120</v>
          </cell>
          <cell r="I3143">
            <v>120</v>
          </cell>
          <cell r="J3143">
            <v>90</v>
          </cell>
          <cell r="L3143">
            <v>120</v>
          </cell>
        </row>
        <row r="3144">
          <cell r="B3144" t="str">
            <v>LTCS-533020000-04N01</v>
          </cell>
          <cell r="D3144" t="str">
            <v>B</v>
          </cell>
          <cell r="E3144" t="str">
            <v>装夹时间</v>
          </cell>
        </row>
        <row r="3145">
          <cell r="B3145" t="str">
            <v>LTCS-533020000-04N01</v>
          </cell>
          <cell r="D3145" t="str">
            <v>B</v>
          </cell>
          <cell r="E3145" t="str">
            <v>程序时间</v>
          </cell>
          <cell r="G3145">
            <v>10</v>
          </cell>
          <cell r="H3145">
            <v>40</v>
          </cell>
          <cell r="I3145">
            <v>90</v>
          </cell>
          <cell r="J3145">
            <v>60</v>
          </cell>
          <cell r="L3145">
            <v>20</v>
          </cell>
          <cell r="M3145">
            <v>120</v>
          </cell>
          <cell r="O3145" t="str">
            <v/>
          </cell>
        </row>
        <row r="3146">
          <cell r="B3146" t="str">
            <v>LTCS-551100000-56/57L/R02</v>
          </cell>
          <cell r="D3146" t="str">
            <v>B</v>
          </cell>
          <cell r="E3146" t="str">
            <v>工序内容</v>
          </cell>
          <cell r="F3146" t="str">
            <v>0/领料</v>
          </cell>
          <cell r="G3146" t="str">
            <v>5/下料</v>
          </cell>
          <cell r="H3146" t="str">
            <v>10/数铣</v>
          </cell>
          <cell r="I3146" t="str">
            <v>15/数铣200</v>
          </cell>
          <cell r="J3146" t="str">
            <v>20/数铣130</v>
          </cell>
          <cell r="K3146" t="str">
            <v>25/测量</v>
          </cell>
          <cell r="L3146" t="str">
            <v>30/钳工</v>
          </cell>
          <cell r="M3146" t="str">
            <v>35/称重</v>
          </cell>
          <cell r="N3146" t="str">
            <v>40/清洁</v>
          </cell>
          <cell r="O3146" t="str">
            <v>45/成检</v>
          </cell>
        </row>
        <row r="3147">
          <cell r="B3147" t="str">
            <v>LTCS-551100000-56/57L/R02</v>
          </cell>
          <cell r="D3147" t="str">
            <v>B</v>
          </cell>
          <cell r="E3147" t="str">
            <v>准备工时</v>
          </cell>
          <cell r="G3147">
            <v>60</v>
          </cell>
          <cell r="H3147">
            <v>90</v>
          </cell>
          <cell r="I3147">
            <v>120</v>
          </cell>
          <cell r="J3147">
            <v>90</v>
          </cell>
        </row>
        <row r="3148">
          <cell r="B3148" t="str">
            <v>LTCS-551100000-56/57L/R02</v>
          </cell>
          <cell r="D3148" t="str">
            <v>B</v>
          </cell>
          <cell r="E3148" t="str">
            <v>装夹时间</v>
          </cell>
        </row>
        <row r="3149">
          <cell r="B3149" t="str">
            <v>LTCS-551100000-56/57L/R02</v>
          </cell>
          <cell r="D3149" t="str">
            <v>B</v>
          </cell>
          <cell r="E3149" t="str">
            <v>程序时间</v>
          </cell>
          <cell r="G3149">
            <v>30</v>
          </cell>
          <cell r="H3149">
            <v>60</v>
          </cell>
          <cell r="I3149">
            <v>230</v>
          </cell>
          <cell r="J3149">
            <v>160</v>
          </cell>
          <cell r="L3149">
            <v>60</v>
          </cell>
          <cell r="M3149">
            <v>20</v>
          </cell>
          <cell r="O3149" t="str">
            <v/>
          </cell>
        </row>
        <row r="3150">
          <cell r="B3150" t="str">
            <v>LTCS-551100000-52L/R02</v>
          </cell>
          <cell r="D3150" t="str">
            <v>A</v>
          </cell>
          <cell r="E3150" t="str">
            <v>工序内容</v>
          </cell>
          <cell r="F3150" t="str">
            <v>0/领料</v>
          </cell>
          <cell r="G3150" t="str">
            <v>5/数铣</v>
          </cell>
          <cell r="H3150" t="str">
            <v>10/数铣10</v>
          </cell>
          <cell r="I3150" t="str">
            <v>15/数铣20</v>
          </cell>
          <cell r="J3150" t="str">
            <v>20/数铣40</v>
          </cell>
          <cell r="K3150" t="str">
            <v>25/数铣30</v>
          </cell>
          <cell r="L3150" t="str">
            <v>30/测量</v>
          </cell>
          <cell r="M3150" t="str">
            <v>35/钳工</v>
          </cell>
          <cell r="N3150" t="str">
            <v>40/铣试块</v>
          </cell>
          <cell r="O3150" t="str">
            <v>45/清洁</v>
          </cell>
          <cell r="P3150" t="str">
            <v>50/成检</v>
          </cell>
        </row>
        <row r="3151">
          <cell r="B3151" t="str">
            <v>LTCS-551100000-52L/R02</v>
          </cell>
          <cell r="D3151" t="str">
            <v>A</v>
          </cell>
          <cell r="E3151" t="str">
            <v>准备工时</v>
          </cell>
          <cell r="G3151">
            <v>60</v>
          </cell>
          <cell r="H3151">
            <v>90</v>
          </cell>
          <cell r="I3151">
            <v>60</v>
          </cell>
          <cell r="J3151">
            <v>90</v>
          </cell>
          <cell r="K3151">
            <v>60</v>
          </cell>
        </row>
        <row r="3152">
          <cell r="B3152" t="str">
            <v>LTCS-551100000-52L/R02</v>
          </cell>
          <cell r="D3152" t="str">
            <v>A</v>
          </cell>
          <cell r="E3152" t="str">
            <v>装夹时间</v>
          </cell>
        </row>
        <row r="3153">
          <cell r="B3153" t="str">
            <v>LTCS-551100000-52L/R02</v>
          </cell>
          <cell r="D3153" t="str">
            <v>A</v>
          </cell>
          <cell r="E3153" t="str">
            <v>程序时间</v>
          </cell>
          <cell r="G3153">
            <v>20</v>
          </cell>
          <cell r="H3153">
            <v>25</v>
          </cell>
          <cell r="I3153">
            <v>50</v>
          </cell>
          <cell r="J3153">
            <v>100</v>
          </cell>
          <cell r="K3153">
            <v>75</v>
          </cell>
          <cell r="M3153">
            <v>60</v>
          </cell>
          <cell r="N3153">
            <v>20</v>
          </cell>
          <cell r="P3153" t="str">
            <v/>
          </cell>
        </row>
        <row r="3154">
          <cell r="B3154" t="str">
            <v>DD-J10B-04051-1</v>
          </cell>
          <cell r="D3154" t="str">
            <v>G</v>
          </cell>
          <cell r="E3154" t="str">
            <v>工序内容</v>
          </cell>
          <cell r="F3154" t="str">
            <v>0/领料</v>
          </cell>
          <cell r="G3154" t="str">
            <v>5/数铣180</v>
          </cell>
          <cell r="H3154" t="str">
            <v>10/数铣320</v>
          </cell>
          <cell r="I3154" t="str">
            <v>15/数铣210</v>
          </cell>
          <cell r="J3154" t="str">
            <v>20/探伤</v>
          </cell>
          <cell r="K3154" t="str">
            <v>25/数铣255</v>
          </cell>
          <cell r="L3154" t="str">
            <v>30/数铣280</v>
          </cell>
          <cell r="M3154" t="str">
            <v>35/数铣575</v>
          </cell>
          <cell r="N3154" t="str">
            <v>40/数铣570</v>
          </cell>
          <cell r="O3154" t="str">
            <v>45/钳工</v>
          </cell>
          <cell r="P3154" t="str">
            <v>50/测量</v>
          </cell>
          <cell r="Q3154" t="str">
            <v>55/成检</v>
          </cell>
        </row>
        <row r="3155">
          <cell r="B3155" t="str">
            <v>DD-J10B-04051-1</v>
          </cell>
          <cell r="D3155" t="str">
            <v>G</v>
          </cell>
          <cell r="E3155" t="str">
            <v>准备工时</v>
          </cell>
          <cell r="G3155">
            <v>180</v>
          </cell>
          <cell r="H3155">
            <v>180</v>
          </cell>
          <cell r="I3155">
            <v>180</v>
          </cell>
          <cell r="J3155" t="str">
            <v>/</v>
          </cell>
          <cell r="K3155">
            <v>180</v>
          </cell>
          <cell r="L3155">
            <v>180</v>
          </cell>
          <cell r="M3155">
            <v>180</v>
          </cell>
          <cell r="N3155">
            <v>180</v>
          </cell>
        </row>
        <row r="3156">
          <cell r="B3156" t="str">
            <v>DD-J10B-04051-1</v>
          </cell>
          <cell r="D3156" t="str">
            <v>G</v>
          </cell>
          <cell r="E3156" t="str">
            <v>装夹时间</v>
          </cell>
          <cell r="G3156">
            <v>120</v>
          </cell>
          <cell r="H3156">
            <v>120</v>
          </cell>
          <cell r="I3156">
            <v>120</v>
          </cell>
          <cell r="J3156" t="str">
            <v>/</v>
          </cell>
          <cell r="K3156">
            <v>120</v>
          </cell>
          <cell r="L3156">
            <v>120</v>
          </cell>
          <cell r="M3156">
            <v>120</v>
          </cell>
          <cell r="N3156">
            <v>120</v>
          </cell>
        </row>
        <row r="3157">
          <cell r="B3157" t="str">
            <v>DD-J10B-04051-1</v>
          </cell>
          <cell r="D3157" t="str">
            <v>G</v>
          </cell>
          <cell r="E3157" t="str">
            <v>程序时间</v>
          </cell>
          <cell r="G3157">
            <v>630</v>
          </cell>
          <cell r="H3157">
            <v>480</v>
          </cell>
          <cell r="I3157">
            <v>360</v>
          </cell>
          <cell r="J3157" t="str">
            <v>/</v>
          </cell>
          <cell r="K3157">
            <v>480</v>
          </cell>
          <cell r="L3157">
            <v>330</v>
          </cell>
          <cell r="M3157">
            <v>840</v>
          </cell>
          <cell r="N3157">
            <v>750</v>
          </cell>
          <cell r="O3157">
            <v>360</v>
          </cell>
        </row>
        <row r="3158">
          <cell r="B3158" t="str">
            <v>Y20-5318100171/2-001</v>
          </cell>
          <cell r="D3158" t="str">
            <v>B</v>
          </cell>
          <cell r="E3158" t="str">
            <v>工序内容</v>
          </cell>
          <cell r="F3158" t="str">
            <v>0/领料</v>
          </cell>
          <cell r="G3158" t="str">
            <v>05/下料</v>
          </cell>
          <cell r="H3158" t="str">
            <v>10/数铣</v>
          </cell>
          <cell r="I3158" t="str">
            <v>15/数铣20</v>
          </cell>
          <cell r="J3158" t="str">
            <v>20/数铣80</v>
          </cell>
          <cell r="K3158" t="str">
            <v>25/数铣35</v>
          </cell>
          <cell r="L3158" t="str">
            <v>30/测量</v>
          </cell>
          <cell r="M3158" t="str">
            <v>35/钳工</v>
          </cell>
          <cell r="N3158" t="str">
            <v>40/清洁</v>
          </cell>
          <cell r="O3158" t="str">
            <v>45/检验</v>
          </cell>
          <cell r="P3158" t="str">
            <v>50/分光</v>
          </cell>
          <cell r="Q3158" t="str">
            <v>55/钳工</v>
          </cell>
          <cell r="R3158" t="str">
            <v>60/清洁</v>
          </cell>
          <cell r="S3158" t="str">
            <v>65/成检</v>
          </cell>
        </row>
        <row r="3159">
          <cell r="B3159" t="str">
            <v>Y20-5318100171/2-001</v>
          </cell>
          <cell r="D3159" t="str">
            <v>B</v>
          </cell>
          <cell r="E3159" t="str">
            <v>准备工时</v>
          </cell>
          <cell r="H3159">
            <v>60</v>
          </cell>
          <cell r="I3159">
            <v>60</v>
          </cell>
          <cell r="J3159">
            <v>90</v>
          </cell>
          <cell r="K3159">
            <v>60</v>
          </cell>
        </row>
        <row r="3160">
          <cell r="B3160" t="str">
            <v>Y20-5318100171/2-001</v>
          </cell>
          <cell r="D3160" t="str">
            <v>B</v>
          </cell>
          <cell r="E3160" t="str">
            <v>程序时间</v>
          </cell>
          <cell r="H3160">
            <v>20</v>
          </cell>
          <cell r="I3160">
            <v>40</v>
          </cell>
          <cell r="J3160">
            <v>120</v>
          </cell>
          <cell r="K3160">
            <v>60</v>
          </cell>
          <cell r="M3160" t="str">
            <v>50</v>
          </cell>
          <cell r="Q3160">
            <v>5</v>
          </cell>
        </row>
        <row r="3161">
          <cell r="B3161" t="str">
            <v>Y20-5318100171-001</v>
          </cell>
          <cell r="D3161" t="str">
            <v>B</v>
          </cell>
          <cell r="E3161" t="str">
            <v>工序内容</v>
          </cell>
          <cell r="F3161" t="str">
            <v>0/领料</v>
          </cell>
          <cell r="G3161" t="str">
            <v>05/下料</v>
          </cell>
          <cell r="H3161" t="str">
            <v>10/数铣</v>
          </cell>
          <cell r="I3161" t="str">
            <v>15/数铣20</v>
          </cell>
          <cell r="J3161" t="str">
            <v>20/数铣80</v>
          </cell>
          <cell r="K3161" t="str">
            <v>25/数铣35</v>
          </cell>
          <cell r="L3161" t="str">
            <v>30/测量</v>
          </cell>
          <cell r="M3161" t="str">
            <v>35/钳工</v>
          </cell>
          <cell r="N3161" t="str">
            <v>40/清洁</v>
          </cell>
          <cell r="O3161" t="str">
            <v>45/检验</v>
          </cell>
          <cell r="P3161" t="str">
            <v>50/分光</v>
          </cell>
          <cell r="Q3161" t="str">
            <v>55/钳工</v>
          </cell>
          <cell r="R3161" t="str">
            <v>60/清洁</v>
          </cell>
          <cell r="S3161" t="str">
            <v>65/成检</v>
          </cell>
        </row>
        <row r="3162">
          <cell r="B3162" t="str">
            <v>Y20-5318100171-001</v>
          </cell>
          <cell r="D3162" t="str">
            <v>B</v>
          </cell>
          <cell r="E3162" t="str">
            <v>准备工时</v>
          </cell>
          <cell r="H3162">
            <v>60</v>
          </cell>
          <cell r="I3162">
            <v>60</v>
          </cell>
          <cell r="J3162">
            <v>90</v>
          </cell>
          <cell r="K3162">
            <v>60</v>
          </cell>
        </row>
        <row r="3163">
          <cell r="B3163" t="str">
            <v>Y20-5318100171-001</v>
          </cell>
          <cell r="D3163" t="str">
            <v>B</v>
          </cell>
          <cell r="E3163" t="str">
            <v>程序时间</v>
          </cell>
          <cell r="H3163">
            <v>20</v>
          </cell>
          <cell r="I3163">
            <v>40</v>
          </cell>
          <cell r="J3163">
            <v>120</v>
          </cell>
          <cell r="K3163">
            <v>60</v>
          </cell>
          <cell r="M3163" t="str">
            <v>50</v>
          </cell>
          <cell r="Q3163">
            <v>5</v>
          </cell>
        </row>
        <row r="3164">
          <cell r="B3164" t="str">
            <v>Y20-5318100172-001</v>
          </cell>
          <cell r="D3164" t="str">
            <v>B</v>
          </cell>
          <cell r="E3164" t="str">
            <v>工序内容</v>
          </cell>
          <cell r="F3164" t="str">
            <v>0/领料</v>
          </cell>
          <cell r="G3164" t="str">
            <v>05/下料</v>
          </cell>
          <cell r="H3164" t="str">
            <v>10/数铣</v>
          </cell>
          <cell r="I3164" t="str">
            <v>15/数铣20</v>
          </cell>
          <cell r="J3164" t="str">
            <v>20/数铣80</v>
          </cell>
          <cell r="K3164" t="str">
            <v>25/数铣35</v>
          </cell>
          <cell r="L3164" t="str">
            <v>30/测量</v>
          </cell>
          <cell r="M3164" t="str">
            <v>35/钳工</v>
          </cell>
          <cell r="N3164" t="str">
            <v>40/清洁</v>
          </cell>
          <cell r="O3164" t="str">
            <v>45/检验</v>
          </cell>
          <cell r="P3164" t="str">
            <v>50/分光</v>
          </cell>
          <cell r="Q3164" t="str">
            <v>55/钳工</v>
          </cell>
          <cell r="R3164" t="str">
            <v>60/清洁</v>
          </cell>
          <cell r="S3164" t="str">
            <v>65/成检</v>
          </cell>
        </row>
        <row r="3165">
          <cell r="B3165" t="str">
            <v>Y20-5318100172-001</v>
          </cell>
          <cell r="D3165" t="str">
            <v>B</v>
          </cell>
          <cell r="E3165" t="str">
            <v>准备工时</v>
          </cell>
          <cell r="H3165">
            <v>60</v>
          </cell>
          <cell r="I3165">
            <v>60</v>
          </cell>
          <cell r="J3165">
            <v>90</v>
          </cell>
          <cell r="K3165">
            <v>60</v>
          </cell>
        </row>
        <row r="3166">
          <cell r="B3166" t="str">
            <v>Y20-5318100172-001</v>
          </cell>
          <cell r="D3166" t="str">
            <v>B</v>
          </cell>
          <cell r="E3166" t="str">
            <v>程序时间</v>
          </cell>
          <cell r="H3166">
            <v>20</v>
          </cell>
          <cell r="I3166">
            <v>40</v>
          </cell>
          <cell r="J3166">
            <v>120</v>
          </cell>
          <cell r="K3166">
            <v>60</v>
          </cell>
          <cell r="M3166" t="str">
            <v>50</v>
          </cell>
          <cell r="Q3166">
            <v>5</v>
          </cell>
        </row>
        <row r="3167">
          <cell r="B3167" t="str">
            <v>DD-J10-05076-20-1-Z/Y</v>
          </cell>
          <cell r="D3167" t="str">
            <v>C</v>
          </cell>
          <cell r="E3167" t="str">
            <v>工序内容</v>
          </cell>
          <cell r="F3167" t="str">
            <v>0/领料</v>
          </cell>
          <cell r="G3167" t="str">
            <v>05/数铣</v>
          </cell>
          <cell r="H3167" t="str">
            <v>10/数铣20</v>
          </cell>
          <cell r="I3167" t="str">
            <v>15/数铣307</v>
          </cell>
          <cell r="J3167" t="str">
            <v>20/数铣450</v>
          </cell>
          <cell r="K3167" t="str">
            <v>25/钳工</v>
          </cell>
          <cell r="L3167" t="str">
            <v>30/测量</v>
          </cell>
          <cell r="M3167" t="str">
            <v>35/</v>
          </cell>
          <cell r="N3167" t="str">
            <v>40/数铣5</v>
          </cell>
          <cell r="O3167" t="str">
            <v>45/数铣5</v>
          </cell>
          <cell r="P3167" t="str">
            <v>50/数铣5</v>
          </cell>
          <cell r="Q3167" t="str">
            <v>55/数铣5</v>
          </cell>
          <cell r="R3167" t="str">
            <v>60/数铣5</v>
          </cell>
          <cell r="S3167" t="str">
            <v>65/数铣5</v>
          </cell>
          <cell r="T3167" t="str">
            <v>70/数铣5</v>
          </cell>
          <cell r="U3167" t="str">
            <v>75/数铣5</v>
          </cell>
          <cell r="V3167" t="str">
            <v>80/数铣5</v>
          </cell>
          <cell r="W3167" t="str">
            <v>85/数铣5</v>
          </cell>
          <cell r="X3167" t="str">
            <v>90/数铣5</v>
          </cell>
          <cell r="Y3167" t="str">
            <v>95/数铣5</v>
          </cell>
          <cell r="Z3167" t="str">
            <v>100/数铣5</v>
          </cell>
          <cell r="AA3167" t="str">
            <v>105/数铣5</v>
          </cell>
          <cell r="AB3167" t="str">
            <v>110/数铣5</v>
          </cell>
          <cell r="AC3167" t="str">
            <v>115/数铣5</v>
          </cell>
          <cell r="AD3167" t="str">
            <v>120/数铣5</v>
          </cell>
          <cell r="AE3167" t="str">
            <v>125/数铣5</v>
          </cell>
          <cell r="AF3167" t="str">
            <v>130/数铣5</v>
          </cell>
        </row>
        <row r="3168">
          <cell r="B3168" t="str">
            <v>DD-J10-05076-20-1-Z/Y</v>
          </cell>
          <cell r="D3168" t="str">
            <v>C</v>
          </cell>
          <cell r="E3168" t="str">
            <v>准备工时</v>
          </cell>
          <cell r="G3168">
            <v>60</v>
          </cell>
          <cell r="H3168">
            <v>60</v>
          </cell>
          <cell r="I3168">
            <v>60</v>
          </cell>
          <cell r="J3168">
            <v>60</v>
          </cell>
          <cell r="N3168">
            <v>60</v>
          </cell>
          <cell r="O3168">
            <v>60</v>
          </cell>
          <cell r="P3168">
            <v>60</v>
          </cell>
          <cell r="Q3168">
            <v>60</v>
          </cell>
          <cell r="R3168">
            <v>60</v>
          </cell>
          <cell r="S3168">
            <v>60</v>
          </cell>
          <cell r="T3168">
            <v>60</v>
          </cell>
          <cell r="U3168">
            <v>60</v>
          </cell>
          <cell r="V3168">
            <v>60</v>
          </cell>
          <cell r="W3168">
            <v>60</v>
          </cell>
          <cell r="X3168">
            <v>60</v>
          </cell>
          <cell r="Y3168">
            <v>60</v>
          </cell>
          <cell r="Z3168">
            <v>60</v>
          </cell>
          <cell r="AA3168">
            <v>60</v>
          </cell>
          <cell r="AB3168">
            <v>60</v>
          </cell>
          <cell r="AC3168">
            <v>60</v>
          </cell>
          <cell r="AD3168">
            <v>60</v>
          </cell>
          <cell r="AE3168">
            <v>60</v>
          </cell>
          <cell r="AF3168">
            <v>60</v>
          </cell>
        </row>
        <row r="3169">
          <cell r="B3169" t="str">
            <v>DD-J10-05076-20-1-Z/Y</v>
          </cell>
          <cell r="D3169" t="str">
            <v>C</v>
          </cell>
          <cell r="E3169" t="str">
            <v>程序时间</v>
          </cell>
          <cell r="G3169">
            <v>120</v>
          </cell>
          <cell r="H3169">
            <v>70</v>
          </cell>
          <cell r="I3169">
            <v>500</v>
          </cell>
          <cell r="J3169">
            <v>700</v>
          </cell>
          <cell r="K3169">
            <v>60</v>
          </cell>
          <cell r="N3169">
            <v>20</v>
          </cell>
          <cell r="O3169">
            <v>20</v>
          </cell>
          <cell r="P3169">
            <v>20</v>
          </cell>
          <cell r="Q3169">
            <v>20</v>
          </cell>
          <cell r="R3169">
            <v>20</v>
          </cell>
          <cell r="S3169">
            <v>20</v>
          </cell>
          <cell r="T3169">
            <v>20</v>
          </cell>
          <cell r="U3169">
            <v>20</v>
          </cell>
          <cell r="V3169">
            <v>20</v>
          </cell>
          <cell r="W3169">
            <v>20</v>
          </cell>
          <cell r="X3169">
            <v>20</v>
          </cell>
          <cell r="Y3169">
            <v>20</v>
          </cell>
          <cell r="Z3169">
            <v>20</v>
          </cell>
          <cell r="AA3169">
            <v>20</v>
          </cell>
          <cell r="AB3169">
            <v>20</v>
          </cell>
          <cell r="AC3169">
            <v>20</v>
          </cell>
          <cell r="AD3169">
            <v>20</v>
          </cell>
          <cell r="AE3169">
            <v>20</v>
          </cell>
          <cell r="AF3169">
            <v>20</v>
          </cell>
        </row>
        <row r="3170">
          <cell r="B3170" t="str">
            <v>DD-J10-05076-20-1-Z</v>
          </cell>
          <cell r="D3170" t="str">
            <v>C</v>
          </cell>
          <cell r="E3170" t="str">
            <v>工序内容</v>
          </cell>
          <cell r="F3170" t="str">
            <v>0/领料</v>
          </cell>
          <cell r="G3170" t="str">
            <v>05/数铣</v>
          </cell>
          <cell r="H3170" t="str">
            <v>10/数铣20</v>
          </cell>
          <cell r="I3170" t="str">
            <v>15/数铣307</v>
          </cell>
          <cell r="J3170" t="str">
            <v>20/数铣450</v>
          </cell>
          <cell r="K3170" t="str">
            <v>25/钳工</v>
          </cell>
          <cell r="L3170" t="str">
            <v>30/测量</v>
          </cell>
          <cell r="M3170" t="str">
            <v>35/</v>
          </cell>
          <cell r="N3170" t="str">
            <v>40/数铣5</v>
          </cell>
          <cell r="O3170" t="str">
            <v>45/数铣5</v>
          </cell>
          <cell r="P3170" t="str">
            <v>50/数铣5</v>
          </cell>
          <cell r="Q3170" t="str">
            <v>55/数铣5</v>
          </cell>
          <cell r="R3170" t="str">
            <v>60/数铣5</v>
          </cell>
          <cell r="S3170" t="str">
            <v>65/数铣5</v>
          </cell>
          <cell r="T3170" t="str">
            <v>70/数铣5</v>
          </cell>
          <cell r="U3170" t="str">
            <v>75/数铣5</v>
          </cell>
          <cell r="V3170" t="str">
            <v>80/数铣5</v>
          </cell>
          <cell r="W3170" t="str">
            <v>85/数铣5</v>
          </cell>
          <cell r="X3170" t="str">
            <v>90/数铣5</v>
          </cell>
          <cell r="Y3170" t="str">
            <v>95/数铣5</v>
          </cell>
          <cell r="Z3170" t="str">
            <v>100/数铣5</v>
          </cell>
          <cell r="AA3170" t="str">
            <v>105/数铣5</v>
          </cell>
          <cell r="AB3170" t="str">
            <v>110/数铣5</v>
          </cell>
          <cell r="AC3170" t="str">
            <v>115/数铣5</v>
          </cell>
          <cell r="AD3170" t="str">
            <v>120/数铣5</v>
          </cell>
          <cell r="AE3170" t="str">
            <v>125/数铣5</v>
          </cell>
          <cell r="AF3170" t="str">
            <v>130/数铣5</v>
          </cell>
        </row>
        <row r="3171">
          <cell r="B3171" t="str">
            <v>DD-J10-05076-20-1-Z</v>
          </cell>
          <cell r="D3171" t="str">
            <v>C</v>
          </cell>
          <cell r="E3171" t="str">
            <v>准备工时</v>
          </cell>
          <cell r="G3171">
            <v>60</v>
          </cell>
          <cell r="H3171">
            <v>60</v>
          </cell>
          <cell r="I3171">
            <v>60</v>
          </cell>
          <cell r="J3171">
            <v>60</v>
          </cell>
          <cell r="N3171">
            <v>60</v>
          </cell>
          <cell r="O3171">
            <v>60</v>
          </cell>
          <cell r="P3171">
            <v>60</v>
          </cell>
          <cell r="Q3171">
            <v>60</v>
          </cell>
          <cell r="R3171">
            <v>60</v>
          </cell>
          <cell r="S3171">
            <v>60</v>
          </cell>
          <cell r="T3171">
            <v>60</v>
          </cell>
          <cell r="U3171">
            <v>60</v>
          </cell>
          <cell r="V3171">
            <v>60</v>
          </cell>
          <cell r="W3171">
            <v>60</v>
          </cell>
          <cell r="X3171">
            <v>60</v>
          </cell>
          <cell r="Y3171">
            <v>60</v>
          </cell>
          <cell r="Z3171">
            <v>60</v>
          </cell>
          <cell r="AA3171">
            <v>60</v>
          </cell>
          <cell r="AB3171">
            <v>60</v>
          </cell>
          <cell r="AC3171">
            <v>60</v>
          </cell>
          <cell r="AD3171">
            <v>60</v>
          </cell>
          <cell r="AE3171">
            <v>60</v>
          </cell>
          <cell r="AF3171">
            <v>60</v>
          </cell>
        </row>
        <row r="3172">
          <cell r="B3172" t="str">
            <v>DD-J10-05076-20-1-Z</v>
          </cell>
          <cell r="D3172" t="str">
            <v>C</v>
          </cell>
          <cell r="E3172" t="str">
            <v>程序时间</v>
          </cell>
          <cell r="G3172">
            <v>120</v>
          </cell>
          <cell r="H3172">
            <v>70</v>
          </cell>
          <cell r="I3172">
            <v>500</v>
          </cell>
          <cell r="J3172">
            <v>700</v>
          </cell>
          <cell r="K3172">
            <v>60</v>
          </cell>
          <cell r="N3172">
            <v>20</v>
          </cell>
          <cell r="O3172">
            <v>20</v>
          </cell>
          <cell r="P3172">
            <v>20</v>
          </cell>
          <cell r="Q3172">
            <v>20</v>
          </cell>
          <cell r="R3172">
            <v>20</v>
          </cell>
          <cell r="S3172">
            <v>20</v>
          </cell>
          <cell r="T3172">
            <v>20</v>
          </cell>
          <cell r="U3172">
            <v>20</v>
          </cell>
          <cell r="V3172">
            <v>20</v>
          </cell>
          <cell r="W3172">
            <v>20</v>
          </cell>
          <cell r="X3172">
            <v>20</v>
          </cell>
          <cell r="Y3172">
            <v>20</v>
          </cell>
          <cell r="Z3172">
            <v>20</v>
          </cell>
          <cell r="AA3172">
            <v>20</v>
          </cell>
          <cell r="AB3172">
            <v>20</v>
          </cell>
          <cell r="AC3172">
            <v>20</v>
          </cell>
          <cell r="AD3172">
            <v>20</v>
          </cell>
          <cell r="AE3172">
            <v>20</v>
          </cell>
          <cell r="AF3172">
            <v>20</v>
          </cell>
        </row>
        <row r="3173">
          <cell r="B3173" t="str">
            <v>DD-J10-05076-20-1-Y</v>
          </cell>
          <cell r="D3173" t="str">
            <v>C</v>
          </cell>
          <cell r="E3173" t="str">
            <v>工序内容</v>
          </cell>
          <cell r="F3173" t="str">
            <v>0/领料</v>
          </cell>
          <cell r="G3173" t="str">
            <v>05/数铣</v>
          </cell>
          <cell r="H3173" t="str">
            <v>10/数铣20</v>
          </cell>
          <cell r="I3173" t="str">
            <v>15/数铣307</v>
          </cell>
          <cell r="J3173" t="str">
            <v>20/数铣450</v>
          </cell>
          <cell r="K3173" t="str">
            <v>25/钳工</v>
          </cell>
          <cell r="L3173" t="str">
            <v>30/测量</v>
          </cell>
          <cell r="M3173" t="str">
            <v>35/</v>
          </cell>
          <cell r="N3173" t="str">
            <v>40/数铣5</v>
          </cell>
          <cell r="O3173" t="str">
            <v>45/数铣5</v>
          </cell>
          <cell r="P3173" t="str">
            <v>50/数铣5</v>
          </cell>
          <cell r="Q3173" t="str">
            <v>55/数铣5</v>
          </cell>
          <cell r="R3173" t="str">
            <v>60/数铣5</v>
          </cell>
          <cell r="S3173" t="str">
            <v>65/数铣5</v>
          </cell>
          <cell r="T3173" t="str">
            <v>70/数铣5</v>
          </cell>
          <cell r="U3173" t="str">
            <v>75/数铣5</v>
          </cell>
          <cell r="V3173" t="str">
            <v>80/数铣5</v>
          </cell>
          <cell r="W3173" t="str">
            <v>85/数铣5</v>
          </cell>
          <cell r="X3173" t="str">
            <v>90/数铣5</v>
          </cell>
          <cell r="Y3173" t="str">
            <v>95/数铣5</v>
          </cell>
          <cell r="Z3173" t="str">
            <v>100/数铣5</v>
          </cell>
          <cell r="AA3173" t="str">
            <v>105/数铣5</v>
          </cell>
          <cell r="AB3173" t="str">
            <v>110/数铣5</v>
          </cell>
          <cell r="AC3173" t="str">
            <v>115/数铣5</v>
          </cell>
          <cell r="AD3173" t="str">
            <v>120/数铣5</v>
          </cell>
          <cell r="AE3173" t="str">
            <v>125/数铣5</v>
          </cell>
          <cell r="AF3173" t="str">
            <v>130/数铣5</v>
          </cell>
        </row>
        <row r="3174">
          <cell r="B3174" t="str">
            <v>DD-J10-05076-20-1-Y</v>
          </cell>
          <cell r="D3174" t="str">
            <v>C</v>
          </cell>
          <cell r="E3174" t="str">
            <v>准备工时</v>
          </cell>
          <cell r="G3174">
            <v>60</v>
          </cell>
          <cell r="H3174">
            <v>60</v>
          </cell>
          <cell r="I3174">
            <v>60</v>
          </cell>
          <cell r="J3174">
            <v>60</v>
          </cell>
          <cell r="N3174">
            <v>60</v>
          </cell>
          <cell r="O3174">
            <v>60</v>
          </cell>
          <cell r="P3174">
            <v>60</v>
          </cell>
          <cell r="Q3174">
            <v>60</v>
          </cell>
          <cell r="R3174">
            <v>60</v>
          </cell>
          <cell r="S3174">
            <v>60</v>
          </cell>
          <cell r="T3174">
            <v>60</v>
          </cell>
          <cell r="U3174">
            <v>60</v>
          </cell>
          <cell r="V3174">
            <v>60</v>
          </cell>
          <cell r="W3174">
            <v>60</v>
          </cell>
          <cell r="X3174">
            <v>60</v>
          </cell>
          <cell r="Y3174">
            <v>60</v>
          </cell>
          <cell r="Z3174">
            <v>60</v>
          </cell>
          <cell r="AA3174">
            <v>60</v>
          </cell>
          <cell r="AB3174">
            <v>60</v>
          </cell>
          <cell r="AC3174">
            <v>60</v>
          </cell>
          <cell r="AD3174">
            <v>60</v>
          </cell>
          <cell r="AE3174">
            <v>60</v>
          </cell>
          <cell r="AF3174">
            <v>60</v>
          </cell>
        </row>
        <row r="3175">
          <cell r="B3175" t="str">
            <v>DD-J10-05076-20-1-Y</v>
          </cell>
          <cell r="D3175" t="str">
            <v>C</v>
          </cell>
          <cell r="E3175" t="str">
            <v>程序时间</v>
          </cell>
          <cell r="G3175">
            <v>120</v>
          </cell>
          <cell r="H3175">
            <v>70</v>
          </cell>
          <cell r="I3175">
            <v>500</v>
          </cell>
          <cell r="J3175">
            <v>700</v>
          </cell>
          <cell r="K3175">
            <v>60</v>
          </cell>
          <cell r="N3175">
            <v>20</v>
          </cell>
          <cell r="O3175">
            <v>20</v>
          </cell>
          <cell r="P3175">
            <v>20</v>
          </cell>
          <cell r="Q3175">
            <v>20</v>
          </cell>
          <cell r="R3175">
            <v>20</v>
          </cell>
          <cell r="S3175">
            <v>20</v>
          </cell>
          <cell r="T3175">
            <v>20</v>
          </cell>
          <cell r="U3175">
            <v>20</v>
          </cell>
          <cell r="V3175">
            <v>20</v>
          </cell>
          <cell r="W3175">
            <v>20</v>
          </cell>
          <cell r="X3175">
            <v>20</v>
          </cell>
          <cell r="Y3175">
            <v>20</v>
          </cell>
          <cell r="Z3175">
            <v>20</v>
          </cell>
          <cell r="AA3175">
            <v>20</v>
          </cell>
          <cell r="AB3175">
            <v>20</v>
          </cell>
          <cell r="AC3175">
            <v>20</v>
          </cell>
          <cell r="AD3175">
            <v>20</v>
          </cell>
          <cell r="AE3175">
            <v>20</v>
          </cell>
          <cell r="AF3175">
            <v>20</v>
          </cell>
        </row>
        <row r="3176">
          <cell r="B3176" t="str">
            <v>DD-J10-05076-30-1-Z/Y</v>
          </cell>
          <cell r="D3176" t="str">
            <v>C</v>
          </cell>
          <cell r="E3176" t="str">
            <v>工序内容</v>
          </cell>
          <cell r="F3176" t="str">
            <v>0/领料</v>
          </cell>
          <cell r="G3176" t="str">
            <v>05/数铣</v>
          </cell>
          <cell r="H3176" t="str">
            <v>10/数铣20</v>
          </cell>
          <cell r="I3176" t="str">
            <v>15/数铣307</v>
          </cell>
          <cell r="J3176" t="str">
            <v>20/数铣450</v>
          </cell>
          <cell r="K3176" t="str">
            <v>25/钳工</v>
          </cell>
          <cell r="L3176" t="str">
            <v>30/测量</v>
          </cell>
          <cell r="M3176" t="str">
            <v>35/</v>
          </cell>
          <cell r="N3176" t="str">
            <v>40/数铣5</v>
          </cell>
          <cell r="O3176" t="str">
            <v>45/数铣5</v>
          </cell>
          <cell r="P3176" t="str">
            <v>50/数铣5</v>
          </cell>
          <cell r="Q3176" t="str">
            <v>55/数铣5</v>
          </cell>
          <cell r="R3176" t="str">
            <v>60/数铣5</v>
          </cell>
          <cell r="S3176" t="str">
            <v>65/数铣5</v>
          </cell>
          <cell r="T3176" t="str">
            <v>70/数铣5</v>
          </cell>
          <cell r="U3176" t="str">
            <v>75/数铣5</v>
          </cell>
          <cell r="V3176" t="str">
            <v>80/数铣5</v>
          </cell>
          <cell r="W3176" t="str">
            <v>85/数铣5</v>
          </cell>
          <cell r="X3176" t="str">
            <v>90/数铣5</v>
          </cell>
          <cell r="Y3176" t="str">
            <v>95/数铣5</v>
          </cell>
          <cell r="Z3176" t="str">
            <v>100/数铣5</v>
          </cell>
          <cell r="AA3176" t="str">
            <v>105/数铣5</v>
          </cell>
          <cell r="AB3176" t="str">
            <v>110/数铣5</v>
          </cell>
          <cell r="AC3176" t="str">
            <v>115/数铣5</v>
          </cell>
          <cell r="AD3176" t="str">
            <v>120/数铣5</v>
          </cell>
          <cell r="AE3176" t="str">
            <v>125/数铣5</v>
          </cell>
          <cell r="AF3176" t="str">
            <v>130/数铣5</v>
          </cell>
        </row>
        <row r="3177">
          <cell r="B3177" t="str">
            <v>DD-J10-05076-30-1-Z/Y</v>
          </cell>
          <cell r="D3177" t="str">
            <v>C</v>
          </cell>
          <cell r="E3177" t="str">
            <v>准备工时</v>
          </cell>
          <cell r="G3177">
            <v>60</v>
          </cell>
          <cell r="H3177">
            <v>60</v>
          </cell>
          <cell r="I3177">
            <v>60</v>
          </cell>
          <cell r="J3177">
            <v>60</v>
          </cell>
          <cell r="N3177">
            <v>60</v>
          </cell>
          <cell r="O3177">
            <v>60</v>
          </cell>
          <cell r="P3177">
            <v>60</v>
          </cell>
          <cell r="Q3177">
            <v>60</v>
          </cell>
          <cell r="R3177">
            <v>60</v>
          </cell>
          <cell r="S3177">
            <v>60</v>
          </cell>
          <cell r="T3177">
            <v>60</v>
          </cell>
          <cell r="U3177">
            <v>60</v>
          </cell>
          <cell r="V3177">
            <v>60</v>
          </cell>
          <cell r="W3177">
            <v>60</v>
          </cell>
          <cell r="X3177">
            <v>60</v>
          </cell>
          <cell r="Y3177">
            <v>60</v>
          </cell>
          <cell r="Z3177">
            <v>60</v>
          </cell>
          <cell r="AA3177">
            <v>60</v>
          </cell>
          <cell r="AB3177">
            <v>60</v>
          </cell>
          <cell r="AC3177">
            <v>60</v>
          </cell>
          <cell r="AD3177">
            <v>60</v>
          </cell>
          <cell r="AE3177">
            <v>60</v>
          </cell>
          <cell r="AF3177">
            <v>60</v>
          </cell>
        </row>
        <row r="3178">
          <cell r="B3178" t="str">
            <v>DD-J10-05076-30-1-Z/Y</v>
          </cell>
          <cell r="D3178" t="str">
            <v>C</v>
          </cell>
          <cell r="E3178" t="str">
            <v>程序时间</v>
          </cell>
          <cell r="G3178">
            <v>120</v>
          </cell>
          <cell r="H3178">
            <v>70</v>
          </cell>
          <cell r="I3178">
            <v>500</v>
          </cell>
          <cell r="J3178">
            <v>700</v>
          </cell>
          <cell r="K3178">
            <v>60</v>
          </cell>
          <cell r="N3178">
            <v>20</v>
          </cell>
          <cell r="O3178">
            <v>20</v>
          </cell>
          <cell r="P3178">
            <v>20</v>
          </cell>
          <cell r="Q3178">
            <v>20</v>
          </cell>
          <cell r="R3178">
            <v>20</v>
          </cell>
          <cell r="S3178">
            <v>20</v>
          </cell>
          <cell r="T3178">
            <v>20</v>
          </cell>
          <cell r="U3178">
            <v>20</v>
          </cell>
          <cell r="V3178">
            <v>20</v>
          </cell>
          <cell r="W3178">
            <v>20</v>
          </cell>
          <cell r="X3178">
            <v>20</v>
          </cell>
          <cell r="Y3178">
            <v>20</v>
          </cell>
          <cell r="Z3178">
            <v>20</v>
          </cell>
          <cell r="AA3178">
            <v>20</v>
          </cell>
          <cell r="AB3178">
            <v>20</v>
          </cell>
          <cell r="AC3178">
            <v>20</v>
          </cell>
          <cell r="AD3178">
            <v>20</v>
          </cell>
          <cell r="AE3178">
            <v>20</v>
          </cell>
          <cell r="AF3178">
            <v>20</v>
          </cell>
        </row>
        <row r="3179">
          <cell r="B3179" t="str">
            <v>DD-J10-05076-30-1-Z</v>
          </cell>
          <cell r="D3179" t="str">
            <v>C</v>
          </cell>
          <cell r="E3179" t="str">
            <v>工序内容</v>
          </cell>
          <cell r="F3179" t="str">
            <v>0/领料</v>
          </cell>
          <cell r="G3179" t="str">
            <v>05/数铣</v>
          </cell>
          <cell r="H3179" t="str">
            <v>10/数铣20</v>
          </cell>
          <cell r="I3179" t="str">
            <v>15/数铣307</v>
          </cell>
          <cell r="J3179" t="str">
            <v>20/数铣450</v>
          </cell>
          <cell r="K3179" t="str">
            <v>25/钳工</v>
          </cell>
          <cell r="L3179" t="str">
            <v>30/测量</v>
          </cell>
          <cell r="M3179" t="str">
            <v>35/</v>
          </cell>
          <cell r="N3179" t="str">
            <v>40/数铣5</v>
          </cell>
          <cell r="O3179" t="str">
            <v>45/数铣5</v>
          </cell>
          <cell r="P3179" t="str">
            <v>50/数铣5</v>
          </cell>
          <cell r="Q3179" t="str">
            <v>55/数铣5</v>
          </cell>
          <cell r="R3179" t="str">
            <v>60/数铣5</v>
          </cell>
          <cell r="S3179" t="str">
            <v>65/数铣5</v>
          </cell>
          <cell r="T3179" t="str">
            <v>70/数铣5</v>
          </cell>
          <cell r="U3179" t="str">
            <v>75/数铣5</v>
          </cell>
          <cell r="V3179" t="str">
            <v>80/数铣5</v>
          </cell>
          <cell r="W3179" t="str">
            <v>85/数铣5</v>
          </cell>
          <cell r="X3179" t="str">
            <v>90/数铣5</v>
          </cell>
          <cell r="Y3179" t="str">
            <v>95/数铣5</v>
          </cell>
          <cell r="Z3179" t="str">
            <v>100/数铣5</v>
          </cell>
          <cell r="AA3179" t="str">
            <v>105/数铣5</v>
          </cell>
          <cell r="AB3179" t="str">
            <v>110/数铣5</v>
          </cell>
          <cell r="AC3179" t="str">
            <v>115/数铣5</v>
          </cell>
          <cell r="AD3179" t="str">
            <v>120/数铣5</v>
          </cell>
          <cell r="AE3179" t="str">
            <v>125/数铣5</v>
          </cell>
          <cell r="AF3179" t="str">
            <v>130/数铣5</v>
          </cell>
        </row>
        <row r="3180">
          <cell r="B3180" t="str">
            <v>DD-J10-05076-30-1-Z</v>
          </cell>
          <cell r="D3180" t="str">
            <v>C</v>
          </cell>
          <cell r="E3180" t="str">
            <v>准备工时</v>
          </cell>
          <cell r="N3180">
            <v>60</v>
          </cell>
          <cell r="O3180">
            <v>60</v>
          </cell>
          <cell r="P3180">
            <v>60</v>
          </cell>
          <cell r="Q3180">
            <v>60</v>
          </cell>
          <cell r="R3180">
            <v>60</v>
          </cell>
          <cell r="S3180">
            <v>60</v>
          </cell>
          <cell r="T3180">
            <v>60</v>
          </cell>
          <cell r="U3180">
            <v>60</v>
          </cell>
          <cell r="V3180">
            <v>60</v>
          </cell>
          <cell r="W3180">
            <v>60</v>
          </cell>
          <cell r="X3180">
            <v>60</v>
          </cell>
          <cell r="Y3180">
            <v>60</v>
          </cell>
          <cell r="Z3180">
            <v>60</v>
          </cell>
          <cell r="AA3180">
            <v>60</v>
          </cell>
          <cell r="AB3180">
            <v>60</v>
          </cell>
          <cell r="AC3180">
            <v>60</v>
          </cell>
          <cell r="AD3180">
            <v>60</v>
          </cell>
          <cell r="AE3180">
            <v>60</v>
          </cell>
          <cell r="AF3180">
            <v>60</v>
          </cell>
        </row>
        <row r="3181">
          <cell r="B3181" t="str">
            <v>DD-J10-05076-30-1-Z</v>
          </cell>
          <cell r="D3181" t="str">
            <v>C</v>
          </cell>
          <cell r="E3181" t="str">
            <v>程序时间</v>
          </cell>
          <cell r="K3181">
            <v>60</v>
          </cell>
          <cell r="N3181">
            <v>20</v>
          </cell>
          <cell r="O3181">
            <v>20</v>
          </cell>
          <cell r="P3181">
            <v>20</v>
          </cell>
          <cell r="Q3181">
            <v>20</v>
          </cell>
          <cell r="R3181">
            <v>20</v>
          </cell>
          <cell r="S3181">
            <v>20</v>
          </cell>
          <cell r="T3181">
            <v>20</v>
          </cell>
          <cell r="U3181">
            <v>20</v>
          </cell>
          <cell r="V3181">
            <v>20</v>
          </cell>
          <cell r="W3181">
            <v>20</v>
          </cell>
          <cell r="X3181">
            <v>20</v>
          </cell>
          <cell r="Y3181">
            <v>20</v>
          </cell>
          <cell r="Z3181">
            <v>20</v>
          </cell>
          <cell r="AA3181">
            <v>20</v>
          </cell>
          <cell r="AB3181">
            <v>20</v>
          </cell>
          <cell r="AC3181">
            <v>20</v>
          </cell>
          <cell r="AD3181">
            <v>20</v>
          </cell>
          <cell r="AE3181">
            <v>20</v>
          </cell>
          <cell r="AF3181">
            <v>20</v>
          </cell>
        </row>
        <row r="3182">
          <cell r="B3182" t="str">
            <v>DD-J10-05076-30-1-Y</v>
          </cell>
          <cell r="D3182" t="str">
            <v>C</v>
          </cell>
          <cell r="E3182" t="str">
            <v>工序内容</v>
          </cell>
          <cell r="F3182" t="str">
            <v>0/领料</v>
          </cell>
          <cell r="G3182" t="str">
            <v>05/数铣</v>
          </cell>
          <cell r="H3182" t="str">
            <v>10/数铣20</v>
          </cell>
          <cell r="I3182" t="str">
            <v>15/数铣307</v>
          </cell>
          <cell r="J3182" t="str">
            <v>20/数铣450</v>
          </cell>
          <cell r="K3182" t="str">
            <v>25/钳工</v>
          </cell>
          <cell r="L3182" t="str">
            <v>30/测量</v>
          </cell>
          <cell r="M3182" t="str">
            <v>35/</v>
          </cell>
          <cell r="N3182" t="str">
            <v>40/数铣5</v>
          </cell>
          <cell r="O3182" t="str">
            <v>45/数铣5</v>
          </cell>
          <cell r="P3182" t="str">
            <v>50/数铣5</v>
          </cell>
          <cell r="Q3182" t="str">
            <v>55/数铣5</v>
          </cell>
          <cell r="R3182" t="str">
            <v>60/数铣5</v>
          </cell>
          <cell r="S3182" t="str">
            <v>65/数铣5</v>
          </cell>
          <cell r="T3182" t="str">
            <v>70/数铣5</v>
          </cell>
          <cell r="U3182" t="str">
            <v>75/数铣5</v>
          </cell>
          <cell r="V3182" t="str">
            <v>80/数铣5</v>
          </cell>
          <cell r="W3182" t="str">
            <v>85/数铣5</v>
          </cell>
          <cell r="X3182" t="str">
            <v>90/数铣5</v>
          </cell>
          <cell r="Y3182" t="str">
            <v>95/数铣5</v>
          </cell>
          <cell r="Z3182" t="str">
            <v>100/数铣5</v>
          </cell>
          <cell r="AA3182" t="str">
            <v>105/数铣5</v>
          </cell>
          <cell r="AB3182" t="str">
            <v>110/数铣5</v>
          </cell>
          <cell r="AC3182" t="str">
            <v>115/数铣5</v>
          </cell>
          <cell r="AD3182" t="str">
            <v>120/数铣5</v>
          </cell>
          <cell r="AE3182" t="str">
            <v>125/数铣5</v>
          </cell>
          <cell r="AF3182" t="str">
            <v>130/数铣5</v>
          </cell>
        </row>
        <row r="3183">
          <cell r="B3183" t="str">
            <v>DD-J10-05076-30-1-Y</v>
          </cell>
          <cell r="D3183" t="str">
            <v>C</v>
          </cell>
          <cell r="E3183" t="str">
            <v>准备工时</v>
          </cell>
          <cell r="N3183">
            <v>60</v>
          </cell>
          <cell r="O3183">
            <v>60</v>
          </cell>
          <cell r="P3183">
            <v>60</v>
          </cell>
          <cell r="Q3183">
            <v>60</v>
          </cell>
          <cell r="R3183">
            <v>60</v>
          </cell>
          <cell r="S3183">
            <v>60</v>
          </cell>
          <cell r="T3183">
            <v>60</v>
          </cell>
          <cell r="U3183">
            <v>60</v>
          </cell>
          <cell r="V3183">
            <v>60</v>
          </cell>
          <cell r="W3183">
            <v>60</v>
          </cell>
          <cell r="X3183">
            <v>60</v>
          </cell>
          <cell r="Y3183">
            <v>60</v>
          </cell>
          <cell r="Z3183">
            <v>60</v>
          </cell>
          <cell r="AA3183">
            <v>60</v>
          </cell>
          <cell r="AB3183">
            <v>60</v>
          </cell>
          <cell r="AC3183">
            <v>60</v>
          </cell>
          <cell r="AD3183">
            <v>60</v>
          </cell>
          <cell r="AE3183">
            <v>60</v>
          </cell>
          <cell r="AF3183">
            <v>60</v>
          </cell>
        </row>
        <row r="3184">
          <cell r="B3184" t="str">
            <v>DD-J10-05076-30-1-Y</v>
          </cell>
          <cell r="D3184" t="str">
            <v>C</v>
          </cell>
          <cell r="E3184" t="str">
            <v>程序时间</v>
          </cell>
          <cell r="K3184">
            <v>60</v>
          </cell>
          <cell r="N3184">
            <v>20</v>
          </cell>
          <cell r="O3184">
            <v>20</v>
          </cell>
          <cell r="P3184">
            <v>20</v>
          </cell>
          <cell r="Q3184">
            <v>20</v>
          </cell>
          <cell r="R3184">
            <v>20</v>
          </cell>
          <cell r="S3184">
            <v>20</v>
          </cell>
          <cell r="T3184">
            <v>20</v>
          </cell>
          <cell r="U3184">
            <v>20</v>
          </cell>
          <cell r="V3184">
            <v>20</v>
          </cell>
          <cell r="W3184">
            <v>20</v>
          </cell>
          <cell r="X3184">
            <v>20</v>
          </cell>
          <cell r="Y3184">
            <v>20</v>
          </cell>
          <cell r="Z3184">
            <v>20</v>
          </cell>
          <cell r="AA3184">
            <v>20</v>
          </cell>
          <cell r="AB3184">
            <v>20</v>
          </cell>
          <cell r="AC3184">
            <v>20</v>
          </cell>
          <cell r="AD3184">
            <v>20</v>
          </cell>
          <cell r="AE3184">
            <v>20</v>
          </cell>
          <cell r="AF3184">
            <v>20</v>
          </cell>
        </row>
        <row r="3185">
          <cell r="B3185" t="str">
            <v>DD-J10-05086-20-1-Z/Y</v>
          </cell>
          <cell r="D3185" t="str">
            <v>C</v>
          </cell>
          <cell r="E3185" t="str">
            <v>工序内容</v>
          </cell>
          <cell r="F3185" t="str">
            <v>0/领料</v>
          </cell>
          <cell r="G3185" t="str">
            <v>05/数铣</v>
          </cell>
          <cell r="H3185" t="str">
            <v>10/数铣20</v>
          </cell>
          <cell r="I3185" t="str">
            <v>15/数铣307</v>
          </cell>
          <cell r="J3185" t="str">
            <v>20/数铣450</v>
          </cell>
          <cell r="K3185" t="str">
            <v>25/钳工</v>
          </cell>
          <cell r="L3185" t="str">
            <v>30/测量</v>
          </cell>
          <cell r="M3185" t="str">
            <v>35/</v>
          </cell>
          <cell r="N3185" t="str">
            <v>40/数铣5</v>
          </cell>
          <cell r="O3185" t="str">
            <v>45/数铣5</v>
          </cell>
          <cell r="P3185" t="str">
            <v>50/数铣5</v>
          </cell>
          <cell r="Q3185" t="str">
            <v>55/数铣5</v>
          </cell>
          <cell r="R3185" t="str">
            <v>60/数铣5</v>
          </cell>
          <cell r="S3185" t="str">
            <v>65/数铣5</v>
          </cell>
          <cell r="T3185" t="str">
            <v>70/数铣5</v>
          </cell>
          <cell r="U3185" t="str">
            <v>75/数铣5</v>
          </cell>
          <cell r="V3185" t="str">
            <v>80/数铣5</v>
          </cell>
          <cell r="W3185" t="str">
            <v>85/数铣5</v>
          </cell>
          <cell r="X3185" t="str">
            <v>90/数铣5</v>
          </cell>
          <cell r="Y3185" t="str">
            <v>95/数铣5</v>
          </cell>
          <cell r="Z3185" t="str">
            <v>100/数铣5</v>
          </cell>
          <cell r="AA3185" t="str">
            <v>105/数铣5</v>
          </cell>
          <cell r="AB3185" t="str">
            <v>110/数铣5</v>
          </cell>
          <cell r="AC3185" t="str">
            <v>115/数铣5</v>
          </cell>
          <cell r="AD3185" t="str">
            <v>120/数铣5</v>
          </cell>
          <cell r="AE3185" t="str">
            <v>125/数铣5</v>
          </cell>
          <cell r="AF3185" t="str">
            <v>130/数铣5</v>
          </cell>
        </row>
        <row r="3186">
          <cell r="B3186" t="str">
            <v>DD-J10-05086-20-1-Z/Y</v>
          </cell>
          <cell r="D3186" t="str">
            <v>C</v>
          </cell>
          <cell r="E3186" t="str">
            <v>准备工时</v>
          </cell>
          <cell r="G3186">
            <v>60</v>
          </cell>
          <cell r="H3186">
            <v>60</v>
          </cell>
          <cell r="I3186">
            <v>60</v>
          </cell>
          <cell r="J3186">
            <v>60</v>
          </cell>
          <cell r="N3186">
            <v>60</v>
          </cell>
          <cell r="O3186">
            <v>60</v>
          </cell>
          <cell r="P3186">
            <v>60</v>
          </cell>
          <cell r="Q3186">
            <v>60</v>
          </cell>
          <cell r="R3186">
            <v>60</v>
          </cell>
          <cell r="S3186">
            <v>60</v>
          </cell>
          <cell r="T3186">
            <v>60</v>
          </cell>
          <cell r="U3186">
            <v>60</v>
          </cell>
          <cell r="V3186">
            <v>60</v>
          </cell>
          <cell r="W3186">
            <v>60</v>
          </cell>
          <cell r="X3186">
            <v>60</v>
          </cell>
          <cell r="Y3186">
            <v>60</v>
          </cell>
          <cell r="Z3186">
            <v>60</v>
          </cell>
          <cell r="AA3186">
            <v>60</v>
          </cell>
          <cell r="AB3186">
            <v>60</v>
          </cell>
          <cell r="AC3186">
            <v>60</v>
          </cell>
          <cell r="AD3186">
            <v>60</v>
          </cell>
          <cell r="AE3186">
            <v>60</v>
          </cell>
          <cell r="AF3186">
            <v>60</v>
          </cell>
        </row>
        <row r="3187">
          <cell r="B3187" t="str">
            <v>DD-J10-05086-20-1-Z/Y</v>
          </cell>
          <cell r="D3187" t="str">
            <v>C</v>
          </cell>
          <cell r="E3187" t="str">
            <v>程序时间</v>
          </cell>
          <cell r="G3187">
            <v>120</v>
          </cell>
          <cell r="H3187">
            <v>70</v>
          </cell>
          <cell r="I3187">
            <v>500</v>
          </cell>
          <cell r="J3187">
            <v>700</v>
          </cell>
          <cell r="K3187">
            <v>60</v>
          </cell>
          <cell r="N3187">
            <v>20</v>
          </cell>
          <cell r="O3187">
            <v>20</v>
          </cell>
          <cell r="P3187">
            <v>20</v>
          </cell>
          <cell r="Q3187">
            <v>20</v>
          </cell>
          <cell r="R3187">
            <v>20</v>
          </cell>
          <cell r="S3187">
            <v>20</v>
          </cell>
          <cell r="T3187">
            <v>20</v>
          </cell>
          <cell r="U3187">
            <v>20</v>
          </cell>
          <cell r="V3187">
            <v>20</v>
          </cell>
          <cell r="W3187">
            <v>20</v>
          </cell>
          <cell r="X3187">
            <v>20</v>
          </cell>
          <cell r="Y3187">
            <v>20</v>
          </cell>
          <cell r="Z3187">
            <v>20</v>
          </cell>
          <cell r="AA3187">
            <v>20</v>
          </cell>
          <cell r="AB3187">
            <v>20</v>
          </cell>
          <cell r="AC3187">
            <v>20</v>
          </cell>
          <cell r="AD3187">
            <v>20</v>
          </cell>
          <cell r="AE3187">
            <v>20</v>
          </cell>
          <cell r="AF3187">
            <v>20</v>
          </cell>
        </row>
        <row r="3188">
          <cell r="B3188" t="str">
            <v>DD-J10-05086-20-1-Z</v>
          </cell>
          <cell r="D3188" t="str">
            <v>C</v>
          </cell>
          <cell r="E3188" t="str">
            <v>工序内容</v>
          </cell>
          <cell r="F3188" t="str">
            <v>0/领料</v>
          </cell>
          <cell r="G3188" t="str">
            <v>05/数铣</v>
          </cell>
          <cell r="H3188" t="str">
            <v>10/数铣20</v>
          </cell>
          <cell r="I3188" t="str">
            <v>15/数铣307</v>
          </cell>
          <cell r="J3188" t="str">
            <v>20/数铣450</v>
          </cell>
          <cell r="K3188" t="str">
            <v>25/钳工</v>
          </cell>
          <cell r="L3188" t="str">
            <v>30/测量</v>
          </cell>
          <cell r="M3188" t="str">
            <v>35/</v>
          </cell>
          <cell r="N3188" t="str">
            <v>40/数铣5</v>
          </cell>
          <cell r="O3188" t="str">
            <v>45/数铣5</v>
          </cell>
          <cell r="P3188" t="str">
            <v>50/数铣5</v>
          </cell>
          <cell r="Q3188" t="str">
            <v>55/数铣5</v>
          </cell>
          <cell r="R3188" t="str">
            <v>60/数铣5</v>
          </cell>
          <cell r="S3188" t="str">
            <v>65/数铣5</v>
          </cell>
          <cell r="T3188" t="str">
            <v>70/数铣5</v>
          </cell>
          <cell r="U3188" t="str">
            <v>75/数铣5</v>
          </cell>
          <cell r="V3188" t="str">
            <v>80/数铣5</v>
          </cell>
          <cell r="W3188" t="str">
            <v>85/数铣5</v>
          </cell>
          <cell r="X3188" t="str">
            <v>90/数铣5</v>
          </cell>
          <cell r="Y3188" t="str">
            <v>95/数铣5</v>
          </cell>
          <cell r="Z3188" t="str">
            <v>100/数铣5</v>
          </cell>
          <cell r="AA3188" t="str">
            <v>105/数铣5</v>
          </cell>
          <cell r="AB3188" t="str">
            <v>110/数铣5</v>
          </cell>
          <cell r="AC3188" t="str">
            <v>115/数铣5</v>
          </cell>
          <cell r="AD3188" t="str">
            <v>120/数铣5</v>
          </cell>
          <cell r="AE3188" t="str">
            <v>125/数铣5</v>
          </cell>
          <cell r="AF3188" t="str">
            <v>130/数铣5</v>
          </cell>
        </row>
        <row r="3189">
          <cell r="B3189" t="str">
            <v>DD-J10-05086-20-1-Z</v>
          </cell>
          <cell r="D3189" t="str">
            <v>C</v>
          </cell>
          <cell r="E3189" t="str">
            <v>准备工时</v>
          </cell>
          <cell r="N3189">
            <v>60</v>
          </cell>
          <cell r="O3189">
            <v>60</v>
          </cell>
          <cell r="P3189">
            <v>60</v>
          </cell>
          <cell r="Q3189">
            <v>60</v>
          </cell>
          <cell r="R3189">
            <v>60</v>
          </cell>
          <cell r="S3189">
            <v>60</v>
          </cell>
          <cell r="T3189">
            <v>60</v>
          </cell>
          <cell r="U3189">
            <v>60</v>
          </cell>
          <cell r="V3189">
            <v>60</v>
          </cell>
          <cell r="W3189">
            <v>60</v>
          </cell>
          <cell r="X3189">
            <v>60</v>
          </cell>
          <cell r="Y3189">
            <v>60</v>
          </cell>
          <cell r="Z3189">
            <v>60</v>
          </cell>
          <cell r="AA3189">
            <v>60</v>
          </cell>
          <cell r="AB3189">
            <v>60</v>
          </cell>
          <cell r="AC3189">
            <v>60</v>
          </cell>
          <cell r="AD3189">
            <v>60</v>
          </cell>
          <cell r="AE3189">
            <v>60</v>
          </cell>
          <cell r="AF3189">
            <v>60</v>
          </cell>
        </row>
        <row r="3190">
          <cell r="B3190" t="str">
            <v>DD-J10-05086-20-1-Z</v>
          </cell>
          <cell r="D3190" t="str">
            <v>C</v>
          </cell>
          <cell r="E3190" t="str">
            <v>程序时间</v>
          </cell>
          <cell r="K3190">
            <v>60</v>
          </cell>
          <cell r="N3190">
            <v>20</v>
          </cell>
          <cell r="O3190">
            <v>20</v>
          </cell>
          <cell r="P3190">
            <v>20</v>
          </cell>
          <cell r="Q3190">
            <v>20</v>
          </cell>
          <cell r="R3190">
            <v>20</v>
          </cell>
          <cell r="S3190">
            <v>20</v>
          </cell>
          <cell r="T3190">
            <v>20</v>
          </cell>
          <cell r="U3190">
            <v>20</v>
          </cell>
          <cell r="V3190">
            <v>20</v>
          </cell>
          <cell r="W3190">
            <v>20</v>
          </cell>
          <cell r="X3190">
            <v>20</v>
          </cell>
          <cell r="Y3190">
            <v>20</v>
          </cell>
          <cell r="Z3190">
            <v>20</v>
          </cell>
          <cell r="AA3190">
            <v>20</v>
          </cell>
          <cell r="AB3190">
            <v>20</v>
          </cell>
          <cell r="AC3190">
            <v>20</v>
          </cell>
          <cell r="AD3190">
            <v>20</v>
          </cell>
          <cell r="AE3190">
            <v>20</v>
          </cell>
          <cell r="AF3190">
            <v>20</v>
          </cell>
        </row>
        <row r="3191">
          <cell r="B3191" t="str">
            <v>DD-J10-05086-20-1-Y</v>
          </cell>
          <cell r="D3191" t="str">
            <v>C</v>
          </cell>
          <cell r="E3191" t="str">
            <v>工序内容</v>
          </cell>
          <cell r="F3191" t="str">
            <v>0/领料</v>
          </cell>
          <cell r="G3191" t="str">
            <v>05/数铣</v>
          </cell>
          <cell r="H3191" t="str">
            <v>10/数铣20</v>
          </cell>
          <cell r="I3191" t="str">
            <v>15/数铣307</v>
          </cell>
          <cell r="J3191" t="str">
            <v>20/数铣450</v>
          </cell>
          <cell r="K3191" t="str">
            <v>25/钳工</v>
          </cell>
          <cell r="L3191" t="str">
            <v>30/测量</v>
          </cell>
          <cell r="M3191" t="str">
            <v>35/</v>
          </cell>
          <cell r="N3191" t="str">
            <v>40/数铣5</v>
          </cell>
          <cell r="O3191" t="str">
            <v>45/数铣5</v>
          </cell>
          <cell r="P3191" t="str">
            <v>50/数铣5</v>
          </cell>
          <cell r="Q3191" t="str">
            <v>55/数铣5</v>
          </cell>
          <cell r="R3191" t="str">
            <v>60/数铣5</v>
          </cell>
          <cell r="S3191" t="str">
            <v>65/数铣5</v>
          </cell>
          <cell r="T3191" t="str">
            <v>70/数铣5</v>
          </cell>
          <cell r="U3191" t="str">
            <v>75/数铣5</v>
          </cell>
          <cell r="V3191" t="str">
            <v>80/数铣5</v>
          </cell>
          <cell r="W3191" t="str">
            <v>85/数铣5</v>
          </cell>
          <cell r="X3191" t="str">
            <v>90/数铣5</v>
          </cell>
          <cell r="Y3191" t="str">
            <v>95/数铣5</v>
          </cell>
          <cell r="Z3191" t="str">
            <v>100/数铣5</v>
          </cell>
          <cell r="AA3191" t="str">
            <v>105/数铣5</v>
          </cell>
          <cell r="AB3191" t="str">
            <v>110/数铣5</v>
          </cell>
          <cell r="AC3191" t="str">
            <v>115/数铣5</v>
          </cell>
          <cell r="AD3191" t="str">
            <v>120/数铣5</v>
          </cell>
          <cell r="AE3191" t="str">
            <v>125/数铣5</v>
          </cell>
          <cell r="AF3191" t="str">
            <v>130/数铣5</v>
          </cell>
        </row>
        <row r="3192">
          <cell r="B3192" t="str">
            <v>DD-J10-05086-20-1-Y</v>
          </cell>
          <cell r="D3192" t="str">
            <v>C</v>
          </cell>
          <cell r="E3192" t="str">
            <v>准备工时</v>
          </cell>
          <cell r="N3192">
            <v>60</v>
          </cell>
          <cell r="O3192">
            <v>60</v>
          </cell>
          <cell r="P3192">
            <v>60</v>
          </cell>
          <cell r="Q3192">
            <v>60</v>
          </cell>
          <cell r="R3192">
            <v>60</v>
          </cell>
          <cell r="S3192">
            <v>60</v>
          </cell>
          <cell r="T3192">
            <v>60</v>
          </cell>
          <cell r="U3192">
            <v>60</v>
          </cell>
          <cell r="V3192">
            <v>60</v>
          </cell>
          <cell r="W3192">
            <v>60</v>
          </cell>
          <cell r="X3192">
            <v>60</v>
          </cell>
          <cell r="Y3192">
            <v>60</v>
          </cell>
          <cell r="Z3192">
            <v>60</v>
          </cell>
          <cell r="AA3192">
            <v>60</v>
          </cell>
          <cell r="AB3192">
            <v>60</v>
          </cell>
          <cell r="AC3192">
            <v>60</v>
          </cell>
          <cell r="AD3192">
            <v>60</v>
          </cell>
          <cell r="AE3192">
            <v>60</v>
          </cell>
          <cell r="AF3192">
            <v>60</v>
          </cell>
        </row>
        <row r="3193">
          <cell r="B3193" t="str">
            <v>DD-J10-05086-20-1-Y</v>
          </cell>
          <cell r="D3193" t="str">
            <v>C</v>
          </cell>
          <cell r="E3193" t="str">
            <v>程序时间</v>
          </cell>
          <cell r="K3193">
            <v>60</v>
          </cell>
          <cell r="N3193">
            <v>20</v>
          </cell>
          <cell r="O3193">
            <v>20</v>
          </cell>
          <cell r="P3193">
            <v>20</v>
          </cell>
          <cell r="Q3193">
            <v>20</v>
          </cell>
          <cell r="R3193">
            <v>20</v>
          </cell>
          <cell r="S3193">
            <v>20</v>
          </cell>
          <cell r="T3193">
            <v>20</v>
          </cell>
          <cell r="U3193">
            <v>20</v>
          </cell>
          <cell r="V3193">
            <v>20</v>
          </cell>
          <cell r="W3193">
            <v>20</v>
          </cell>
          <cell r="X3193">
            <v>20</v>
          </cell>
          <cell r="Y3193">
            <v>20</v>
          </cell>
          <cell r="Z3193">
            <v>20</v>
          </cell>
          <cell r="AA3193">
            <v>20</v>
          </cell>
          <cell r="AB3193">
            <v>20</v>
          </cell>
          <cell r="AC3193">
            <v>20</v>
          </cell>
          <cell r="AD3193">
            <v>20</v>
          </cell>
          <cell r="AE3193">
            <v>20</v>
          </cell>
          <cell r="AF3193">
            <v>20</v>
          </cell>
        </row>
        <row r="3194">
          <cell r="B3194" t="str">
            <v>DD-J10-05086-30-1-Z/Y</v>
          </cell>
          <cell r="D3194" t="str">
            <v>C</v>
          </cell>
          <cell r="E3194" t="str">
            <v>工序内容</v>
          </cell>
          <cell r="F3194" t="str">
            <v>0/领料</v>
          </cell>
          <cell r="G3194" t="str">
            <v>05/数铣</v>
          </cell>
          <cell r="H3194" t="str">
            <v>10/数铣20</v>
          </cell>
          <cell r="I3194" t="str">
            <v>15/数铣307</v>
          </cell>
          <cell r="J3194" t="str">
            <v>20/数铣450</v>
          </cell>
          <cell r="K3194" t="str">
            <v>25/钳工</v>
          </cell>
          <cell r="L3194" t="str">
            <v>30/测量</v>
          </cell>
          <cell r="M3194" t="str">
            <v>35/</v>
          </cell>
          <cell r="N3194" t="str">
            <v>40/数铣5</v>
          </cell>
          <cell r="O3194" t="str">
            <v>45/数铣5</v>
          </cell>
          <cell r="P3194" t="str">
            <v>50/数铣5</v>
          </cell>
          <cell r="Q3194" t="str">
            <v>55/数铣5</v>
          </cell>
          <cell r="R3194" t="str">
            <v>60/数铣5</v>
          </cell>
          <cell r="S3194" t="str">
            <v>65/数铣5</v>
          </cell>
          <cell r="T3194" t="str">
            <v>70/数铣5</v>
          </cell>
          <cell r="U3194" t="str">
            <v>75/数铣5</v>
          </cell>
          <cell r="V3194" t="str">
            <v>80/数铣5</v>
          </cell>
          <cell r="W3194" t="str">
            <v>85/数铣5</v>
          </cell>
          <cell r="X3194" t="str">
            <v>90/数铣5</v>
          </cell>
          <cell r="Y3194" t="str">
            <v>95/数铣5</v>
          </cell>
          <cell r="Z3194" t="str">
            <v>100/数铣5</v>
          </cell>
          <cell r="AA3194" t="str">
            <v>105/数铣5</v>
          </cell>
          <cell r="AB3194" t="str">
            <v>110/数铣5</v>
          </cell>
          <cell r="AC3194" t="str">
            <v>115/数铣5</v>
          </cell>
          <cell r="AD3194" t="str">
            <v>120/数铣5</v>
          </cell>
          <cell r="AE3194" t="str">
            <v>125/数铣5</v>
          </cell>
          <cell r="AF3194" t="str">
            <v>130/数铣5</v>
          </cell>
        </row>
        <row r="3195">
          <cell r="B3195" t="str">
            <v>DD-J10-05086-30-1-Z/Y</v>
          </cell>
          <cell r="D3195" t="str">
            <v>C</v>
          </cell>
          <cell r="E3195" t="str">
            <v>准备工时</v>
          </cell>
          <cell r="G3195">
            <v>60</v>
          </cell>
          <cell r="H3195">
            <v>60</v>
          </cell>
          <cell r="I3195">
            <v>60</v>
          </cell>
          <cell r="J3195">
            <v>60</v>
          </cell>
          <cell r="N3195">
            <v>60</v>
          </cell>
          <cell r="O3195">
            <v>60</v>
          </cell>
          <cell r="P3195">
            <v>60</v>
          </cell>
          <cell r="Q3195">
            <v>60</v>
          </cell>
          <cell r="R3195">
            <v>60</v>
          </cell>
          <cell r="S3195">
            <v>60</v>
          </cell>
          <cell r="T3195">
            <v>60</v>
          </cell>
          <cell r="U3195">
            <v>60</v>
          </cell>
          <cell r="V3195">
            <v>60</v>
          </cell>
          <cell r="W3195">
            <v>60</v>
          </cell>
          <cell r="X3195">
            <v>60</v>
          </cell>
          <cell r="Y3195">
            <v>60</v>
          </cell>
          <cell r="Z3195">
            <v>60</v>
          </cell>
          <cell r="AA3195">
            <v>60</v>
          </cell>
          <cell r="AB3195">
            <v>60</v>
          </cell>
          <cell r="AC3195">
            <v>60</v>
          </cell>
          <cell r="AD3195">
            <v>60</v>
          </cell>
          <cell r="AE3195">
            <v>60</v>
          </cell>
          <cell r="AF3195">
            <v>60</v>
          </cell>
        </row>
        <row r="3196">
          <cell r="B3196" t="str">
            <v>DD-J10-05086-30-1-Z/Y</v>
          </cell>
          <cell r="D3196" t="str">
            <v>C</v>
          </cell>
          <cell r="E3196" t="str">
            <v>程序时间</v>
          </cell>
          <cell r="G3196">
            <v>120</v>
          </cell>
          <cell r="H3196">
            <v>70</v>
          </cell>
          <cell r="I3196">
            <v>500</v>
          </cell>
          <cell r="J3196">
            <v>700</v>
          </cell>
          <cell r="K3196">
            <v>60</v>
          </cell>
          <cell r="N3196">
            <v>20</v>
          </cell>
          <cell r="O3196">
            <v>20</v>
          </cell>
          <cell r="P3196">
            <v>20</v>
          </cell>
          <cell r="Q3196">
            <v>20</v>
          </cell>
          <cell r="R3196">
            <v>20</v>
          </cell>
          <cell r="S3196">
            <v>20</v>
          </cell>
          <cell r="T3196">
            <v>20</v>
          </cell>
          <cell r="U3196">
            <v>20</v>
          </cell>
          <cell r="V3196">
            <v>20</v>
          </cell>
          <cell r="W3196">
            <v>20</v>
          </cell>
          <cell r="X3196">
            <v>20</v>
          </cell>
          <cell r="Y3196">
            <v>20</v>
          </cell>
          <cell r="Z3196">
            <v>20</v>
          </cell>
          <cell r="AA3196">
            <v>20</v>
          </cell>
          <cell r="AB3196">
            <v>20</v>
          </cell>
          <cell r="AC3196">
            <v>20</v>
          </cell>
          <cell r="AD3196">
            <v>20</v>
          </cell>
          <cell r="AE3196">
            <v>20</v>
          </cell>
          <cell r="AF3196">
            <v>20</v>
          </cell>
        </row>
        <row r="3197">
          <cell r="B3197" t="str">
            <v>DD-J10-05086-30-1-Z</v>
          </cell>
          <cell r="D3197" t="str">
            <v>C</v>
          </cell>
          <cell r="E3197" t="str">
            <v>工序内容</v>
          </cell>
          <cell r="F3197" t="str">
            <v>0/领料</v>
          </cell>
          <cell r="G3197" t="str">
            <v>05/数铣</v>
          </cell>
          <cell r="H3197" t="str">
            <v>10/数铣20</v>
          </cell>
          <cell r="I3197" t="str">
            <v>15/数铣307</v>
          </cell>
          <cell r="J3197" t="str">
            <v>20/数铣450</v>
          </cell>
          <cell r="K3197" t="str">
            <v>25/钳工</v>
          </cell>
          <cell r="L3197" t="str">
            <v>30/测量</v>
          </cell>
          <cell r="M3197" t="str">
            <v>35/</v>
          </cell>
          <cell r="N3197" t="str">
            <v>40/数铣5</v>
          </cell>
          <cell r="O3197" t="str">
            <v>45/数铣5</v>
          </cell>
          <cell r="P3197" t="str">
            <v>50/数铣5</v>
          </cell>
          <cell r="Q3197" t="str">
            <v>55/数铣5</v>
          </cell>
          <cell r="R3197" t="str">
            <v>60/数铣5</v>
          </cell>
          <cell r="S3197" t="str">
            <v>65/数铣5</v>
          </cell>
          <cell r="T3197" t="str">
            <v>70/数铣5</v>
          </cell>
          <cell r="U3197" t="str">
            <v>75/数铣5</v>
          </cell>
          <cell r="V3197" t="str">
            <v>80/数铣5</v>
          </cell>
          <cell r="W3197" t="str">
            <v>85/数铣5</v>
          </cell>
          <cell r="X3197" t="str">
            <v>90/数铣5</v>
          </cell>
          <cell r="Y3197" t="str">
            <v>95/数铣5</v>
          </cell>
          <cell r="Z3197" t="str">
            <v>100/数铣5</v>
          </cell>
          <cell r="AA3197" t="str">
            <v>105/数铣5</v>
          </cell>
          <cell r="AB3197" t="str">
            <v>110/数铣5</v>
          </cell>
          <cell r="AC3197" t="str">
            <v>115/数铣5</v>
          </cell>
          <cell r="AD3197" t="str">
            <v>120/数铣5</v>
          </cell>
          <cell r="AE3197" t="str">
            <v>125/数铣5</v>
          </cell>
          <cell r="AF3197" t="str">
            <v>130/数铣5</v>
          </cell>
        </row>
        <row r="3198">
          <cell r="B3198" t="str">
            <v>DD-J10-05086-30-1-Z</v>
          </cell>
          <cell r="D3198" t="str">
            <v>C</v>
          </cell>
          <cell r="E3198" t="str">
            <v>准备工时</v>
          </cell>
          <cell r="N3198">
            <v>60</v>
          </cell>
          <cell r="O3198">
            <v>60</v>
          </cell>
          <cell r="P3198">
            <v>60</v>
          </cell>
          <cell r="Q3198">
            <v>60</v>
          </cell>
          <cell r="R3198">
            <v>60</v>
          </cell>
          <cell r="S3198">
            <v>60</v>
          </cell>
          <cell r="T3198">
            <v>60</v>
          </cell>
          <cell r="U3198">
            <v>60</v>
          </cell>
          <cell r="V3198">
            <v>60</v>
          </cell>
          <cell r="W3198">
            <v>60</v>
          </cell>
          <cell r="X3198">
            <v>60</v>
          </cell>
          <cell r="Y3198">
            <v>60</v>
          </cell>
          <cell r="Z3198">
            <v>60</v>
          </cell>
          <cell r="AA3198">
            <v>60</v>
          </cell>
          <cell r="AB3198">
            <v>60</v>
          </cell>
          <cell r="AC3198">
            <v>60</v>
          </cell>
          <cell r="AD3198">
            <v>60</v>
          </cell>
          <cell r="AE3198">
            <v>60</v>
          </cell>
          <cell r="AF3198">
            <v>60</v>
          </cell>
        </row>
        <row r="3199">
          <cell r="B3199" t="str">
            <v>DD-J10-05086-30-1-Z</v>
          </cell>
          <cell r="D3199" t="str">
            <v>C</v>
          </cell>
          <cell r="E3199" t="str">
            <v>程序时间</v>
          </cell>
          <cell r="K3199">
            <v>60</v>
          </cell>
          <cell r="N3199">
            <v>20</v>
          </cell>
          <cell r="O3199">
            <v>20</v>
          </cell>
          <cell r="P3199">
            <v>20</v>
          </cell>
          <cell r="Q3199">
            <v>20</v>
          </cell>
          <cell r="R3199">
            <v>20</v>
          </cell>
          <cell r="S3199">
            <v>20</v>
          </cell>
          <cell r="T3199">
            <v>20</v>
          </cell>
          <cell r="U3199">
            <v>20</v>
          </cell>
          <cell r="V3199">
            <v>20</v>
          </cell>
          <cell r="W3199">
            <v>20</v>
          </cell>
          <cell r="X3199">
            <v>20</v>
          </cell>
          <cell r="Y3199">
            <v>20</v>
          </cell>
          <cell r="Z3199">
            <v>20</v>
          </cell>
          <cell r="AA3199">
            <v>20</v>
          </cell>
          <cell r="AB3199">
            <v>20</v>
          </cell>
          <cell r="AC3199">
            <v>20</v>
          </cell>
          <cell r="AD3199">
            <v>20</v>
          </cell>
          <cell r="AE3199">
            <v>20</v>
          </cell>
          <cell r="AF3199">
            <v>20</v>
          </cell>
        </row>
        <row r="3200">
          <cell r="B3200" t="str">
            <v>DD-J10-05086-30-1-Y</v>
          </cell>
          <cell r="D3200" t="str">
            <v>C</v>
          </cell>
          <cell r="E3200" t="str">
            <v>工序内容</v>
          </cell>
          <cell r="F3200" t="str">
            <v>0/领料</v>
          </cell>
          <cell r="G3200" t="str">
            <v>05/数铣</v>
          </cell>
          <cell r="H3200" t="str">
            <v>10/数铣20</v>
          </cell>
          <cell r="I3200" t="str">
            <v>15/数铣307</v>
          </cell>
          <cell r="J3200" t="str">
            <v>20/数铣450</v>
          </cell>
          <cell r="K3200" t="str">
            <v>25/钳工</v>
          </cell>
          <cell r="L3200" t="str">
            <v>30/测量</v>
          </cell>
          <cell r="M3200" t="str">
            <v>35/</v>
          </cell>
          <cell r="N3200" t="str">
            <v>40/数铣5</v>
          </cell>
          <cell r="O3200" t="str">
            <v>45/数铣5</v>
          </cell>
          <cell r="P3200" t="str">
            <v>50/数铣5</v>
          </cell>
          <cell r="Q3200" t="str">
            <v>55/数铣5</v>
          </cell>
          <cell r="R3200" t="str">
            <v>60/数铣5</v>
          </cell>
          <cell r="S3200" t="str">
            <v>65/数铣5</v>
          </cell>
          <cell r="T3200" t="str">
            <v>70/数铣5</v>
          </cell>
          <cell r="U3200" t="str">
            <v>75/数铣5</v>
          </cell>
          <cell r="V3200" t="str">
            <v>80/数铣5</v>
          </cell>
          <cell r="W3200" t="str">
            <v>85/数铣5</v>
          </cell>
          <cell r="X3200" t="str">
            <v>90/数铣5</v>
          </cell>
          <cell r="Y3200" t="str">
            <v>95/数铣5</v>
          </cell>
          <cell r="Z3200" t="str">
            <v>100/数铣5</v>
          </cell>
          <cell r="AA3200" t="str">
            <v>105/数铣5</v>
          </cell>
          <cell r="AB3200" t="str">
            <v>110/数铣5</v>
          </cell>
          <cell r="AC3200" t="str">
            <v>115/数铣5</v>
          </cell>
          <cell r="AD3200" t="str">
            <v>120/数铣5</v>
          </cell>
          <cell r="AE3200" t="str">
            <v>125/数铣5</v>
          </cell>
          <cell r="AF3200" t="str">
            <v>130/数铣5</v>
          </cell>
        </row>
        <row r="3201">
          <cell r="B3201" t="str">
            <v>DD-J10-05086-30-1-Y</v>
          </cell>
          <cell r="D3201" t="str">
            <v>C</v>
          </cell>
          <cell r="E3201" t="str">
            <v>准备工时</v>
          </cell>
          <cell r="N3201">
            <v>60</v>
          </cell>
          <cell r="O3201">
            <v>60</v>
          </cell>
          <cell r="P3201">
            <v>60</v>
          </cell>
          <cell r="Q3201">
            <v>60</v>
          </cell>
          <cell r="R3201">
            <v>60</v>
          </cell>
          <cell r="S3201">
            <v>60</v>
          </cell>
          <cell r="T3201">
            <v>60</v>
          </cell>
          <cell r="U3201">
            <v>60</v>
          </cell>
          <cell r="V3201">
            <v>60</v>
          </cell>
          <cell r="W3201">
            <v>60</v>
          </cell>
          <cell r="X3201">
            <v>60</v>
          </cell>
          <cell r="Y3201">
            <v>60</v>
          </cell>
          <cell r="Z3201">
            <v>60</v>
          </cell>
          <cell r="AA3201">
            <v>60</v>
          </cell>
          <cell r="AB3201">
            <v>60</v>
          </cell>
          <cell r="AC3201">
            <v>60</v>
          </cell>
          <cell r="AD3201">
            <v>60</v>
          </cell>
          <cell r="AE3201">
            <v>60</v>
          </cell>
          <cell r="AF3201">
            <v>60</v>
          </cell>
        </row>
        <row r="3202">
          <cell r="B3202" t="str">
            <v>DD-J10-05086-30-1-Y</v>
          </cell>
          <cell r="D3202" t="str">
            <v>C</v>
          </cell>
          <cell r="E3202" t="str">
            <v>程序时间</v>
          </cell>
          <cell r="K3202">
            <v>60</v>
          </cell>
          <cell r="N3202">
            <v>20</v>
          </cell>
          <cell r="O3202">
            <v>20</v>
          </cell>
          <cell r="P3202">
            <v>20</v>
          </cell>
          <cell r="Q3202">
            <v>20</v>
          </cell>
          <cell r="R3202">
            <v>20</v>
          </cell>
          <cell r="S3202">
            <v>20</v>
          </cell>
          <cell r="T3202">
            <v>20</v>
          </cell>
          <cell r="U3202">
            <v>20</v>
          </cell>
          <cell r="V3202">
            <v>20</v>
          </cell>
          <cell r="W3202">
            <v>20</v>
          </cell>
          <cell r="X3202">
            <v>20</v>
          </cell>
          <cell r="Y3202">
            <v>20</v>
          </cell>
          <cell r="Z3202">
            <v>20</v>
          </cell>
          <cell r="AA3202">
            <v>20</v>
          </cell>
          <cell r="AB3202">
            <v>20</v>
          </cell>
          <cell r="AC3202">
            <v>20</v>
          </cell>
          <cell r="AD3202">
            <v>20</v>
          </cell>
          <cell r="AE3202">
            <v>20</v>
          </cell>
          <cell r="AF3202">
            <v>20</v>
          </cell>
        </row>
        <row r="3203">
          <cell r="B3203" t="str">
            <v>BC228163B-002-003</v>
          </cell>
          <cell r="D3203" t="str">
            <v>B</v>
          </cell>
          <cell r="E3203" t="str">
            <v>工序内容</v>
          </cell>
          <cell r="F3203" t="str">
            <v>0/领料</v>
          </cell>
          <cell r="G3203" t="str">
            <v>5/下料</v>
          </cell>
          <cell r="H3203" t="str">
            <v>10/数车25</v>
          </cell>
          <cell r="I3203" t="str">
            <v>15/数车25</v>
          </cell>
          <cell r="J3203" t="str">
            <v>20/数铣30</v>
          </cell>
          <cell r="K3203" t="str">
            <v>25/钳工</v>
          </cell>
          <cell r="L3203" t="str">
            <v>30/分光</v>
          </cell>
          <cell r="M3203" t="str">
            <v>35/钳工</v>
          </cell>
          <cell r="N3203" t="str">
            <v>40/清洁</v>
          </cell>
          <cell r="O3203" t="str">
            <v>45/成检</v>
          </cell>
        </row>
        <row r="3204">
          <cell r="B3204" t="str">
            <v>BC228163B-002-003</v>
          </cell>
          <cell r="D3204" t="str">
            <v>B</v>
          </cell>
          <cell r="E3204" t="str">
            <v>准备工时</v>
          </cell>
          <cell r="H3204">
            <v>60</v>
          </cell>
          <cell r="I3204">
            <v>60</v>
          </cell>
          <cell r="J3204">
            <v>90</v>
          </cell>
        </row>
        <row r="3205">
          <cell r="B3205" t="str">
            <v>BC228163B-002-003</v>
          </cell>
          <cell r="D3205" t="str">
            <v>B</v>
          </cell>
          <cell r="E3205" t="str">
            <v>程序时间</v>
          </cell>
          <cell r="G3205">
            <v>20</v>
          </cell>
          <cell r="H3205">
            <v>30</v>
          </cell>
          <cell r="I3205">
            <v>30</v>
          </cell>
          <cell r="J3205">
            <v>45</v>
          </cell>
          <cell r="K3205">
            <v>30</v>
          </cell>
          <cell r="M3205">
            <v>5</v>
          </cell>
        </row>
        <row r="3206">
          <cell r="B3206" t="str">
            <v>BC22311D1-003-001</v>
          </cell>
          <cell r="D3206" t="str">
            <v>B</v>
          </cell>
          <cell r="E3206" t="str">
            <v>工序内容</v>
          </cell>
          <cell r="F3206" t="str">
            <v>0/领料</v>
          </cell>
          <cell r="G3206" t="str">
            <v>05/数车</v>
          </cell>
          <cell r="H3206" t="str">
            <v>10/数车20</v>
          </cell>
          <cell r="I3206" t="str">
            <v>15/数铣10</v>
          </cell>
          <cell r="J3206" t="str">
            <v>20/线切割</v>
          </cell>
          <cell r="K3206" t="str">
            <v>25/分光</v>
          </cell>
          <cell r="L3206" t="str">
            <v>30/热处理</v>
          </cell>
          <cell r="M3206" t="str">
            <v>35/线切割</v>
          </cell>
          <cell r="N3206" t="str">
            <v>40/钳工</v>
          </cell>
          <cell r="O3206" t="str">
            <v>45/清洁</v>
          </cell>
          <cell r="P3206" t="str">
            <v>50/成检</v>
          </cell>
        </row>
        <row r="3207">
          <cell r="B3207" t="str">
            <v>BC22311D1-003-001</v>
          </cell>
          <cell r="D3207" t="str">
            <v>B</v>
          </cell>
          <cell r="E3207" t="str">
            <v>准备工时</v>
          </cell>
          <cell r="G3207">
            <v>60</v>
          </cell>
          <cell r="H3207">
            <v>60</v>
          </cell>
          <cell r="I3207">
            <v>90</v>
          </cell>
        </row>
        <row r="3208">
          <cell r="B3208" t="str">
            <v>BC22311D1-003-001</v>
          </cell>
          <cell r="D3208" t="str">
            <v>B</v>
          </cell>
          <cell r="E3208" t="str">
            <v>程序时间</v>
          </cell>
          <cell r="G3208">
            <v>15</v>
          </cell>
          <cell r="H3208">
            <v>20</v>
          </cell>
          <cell r="I3208">
            <v>25</v>
          </cell>
          <cell r="N3208">
            <v>30</v>
          </cell>
        </row>
        <row r="3209">
          <cell r="B3209" t="str">
            <v>BC3012110-006-001</v>
          </cell>
          <cell r="D3209" t="str">
            <v>B</v>
          </cell>
          <cell r="E3209" t="str">
            <v>工序内容</v>
          </cell>
          <cell r="F3209" t="str">
            <v>0/领料</v>
          </cell>
          <cell r="G3209" t="str">
            <v>5/下料</v>
          </cell>
          <cell r="H3209" t="str">
            <v>10/数铣</v>
          </cell>
          <cell r="I3209" t="str">
            <v>15/数铣19</v>
          </cell>
          <cell r="J3209" t="str">
            <v>20/数铣50</v>
          </cell>
          <cell r="K3209" t="str">
            <v>25/数铣23</v>
          </cell>
          <cell r="L3209" t="str">
            <v>30/数铣10</v>
          </cell>
          <cell r="M3209" t="str">
            <v>35/数铣10</v>
          </cell>
          <cell r="N3209" t="str">
            <v>40/数铣95</v>
          </cell>
          <cell r="O3209" t="str">
            <v>45/钳工</v>
          </cell>
          <cell r="P3209" t="str">
            <v>50/数铣</v>
          </cell>
          <cell r="Q3209" t="str">
            <v>55/清洁</v>
          </cell>
          <cell r="R3209" t="str">
            <v>60/检验</v>
          </cell>
          <cell r="S3209" t="str">
            <v>65/分光</v>
          </cell>
          <cell r="T3209" t="str">
            <v>70/硬检</v>
          </cell>
          <cell r="U3209" t="str">
            <v>75/清洗</v>
          </cell>
          <cell r="V3209" t="str">
            <v>80/渗透</v>
          </cell>
          <cell r="W3209" t="str">
            <v>85/表处</v>
          </cell>
          <cell r="X3209" t="str">
            <v>90/表处</v>
          </cell>
          <cell r="Y3209" t="str">
            <v>95/标记</v>
          </cell>
          <cell r="Z3209" t="str">
            <v>100/成检</v>
          </cell>
        </row>
        <row r="3210">
          <cell r="B3210" t="str">
            <v>BC3012110-006-001</v>
          </cell>
          <cell r="D3210" t="str">
            <v>B</v>
          </cell>
          <cell r="E3210" t="str">
            <v>准备工时</v>
          </cell>
          <cell r="H3210">
            <v>60</v>
          </cell>
          <cell r="I3210">
            <v>60</v>
          </cell>
          <cell r="J3210">
            <v>60</v>
          </cell>
          <cell r="K3210">
            <v>90</v>
          </cell>
          <cell r="L3210">
            <v>60</v>
          </cell>
          <cell r="M3210">
            <v>60</v>
          </cell>
          <cell r="N3210">
            <v>120</v>
          </cell>
        </row>
        <row r="3211">
          <cell r="B3211" t="str">
            <v>BC3012110-006-001</v>
          </cell>
          <cell r="D3211" t="str">
            <v>B</v>
          </cell>
          <cell r="E3211" t="str">
            <v>程序时间</v>
          </cell>
          <cell r="G3211">
            <v>20</v>
          </cell>
          <cell r="H3211">
            <v>30</v>
          </cell>
          <cell r="I3211">
            <v>35</v>
          </cell>
          <cell r="J3211">
            <v>70</v>
          </cell>
          <cell r="K3211">
            <v>35</v>
          </cell>
          <cell r="L3211">
            <v>25</v>
          </cell>
          <cell r="M3211">
            <v>25</v>
          </cell>
          <cell r="N3211">
            <v>130</v>
          </cell>
          <cell r="O3211">
            <v>60</v>
          </cell>
          <cell r="P3211">
            <v>20</v>
          </cell>
        </row>
        <row r="3212">
          <cell r="B3212" t="str">
            <v>LTCS-551100000-53L/R02</v>
          </cell>
          <cell r="D3212" t="str">
            <v>B</v>
          </cell>
          <cell r="E3212" t="str">
            <v>工序内容</v>
          </cell>
          <cell r="F3212" t="str">
            <v>0/领料</v>
          </cell>
          <cell r="G3212" t="str">
            <v>5/数铣</v>
          </cell>
          <cell r="H3212" t="str">
            <v>10/数铣25</v>
          </cell>
          <cell r="I3212" t="str">
            <v>15/数铣120</v>
          </cell>
          <cell r="J3212" t="str">
            <v>20/数铣10</v>
          </cell>
          <cell r="K3212" t="str">
            <v>25/测量</v>
          </cell>
          <cell r="L3212" t="str">
            <v>30/钳工</v>
          </cell>
          <cell r="M3212" t="str">
            <v>35/称重</v>
          </cell>
          <cell r="N3212" t="str">
            <v>40/清洁</v>
          </cell>
          <cell r="O3212" t="str">
            <v>45/成检</v>
          </cell>
        </row>
        <row r="3213">
          <cell r="B3213" t="str">
            <v>LTCS-551100000-53L/R02</v>
          </cell>
          <cell r="D3213" t="str">
            <v>B</v>
          </cell>
          <cell r="E3213" t="str">
            <v>准备工时</v>
          </cell>
          <cell r="G3213">
            <v>60</v>
          </cell>
          <cell r="H3213">
            <v>90</v>
          </cell>
          <cell r="I3213">
            <v>90</v>
          </cell>
          <cell r="J3213">
            <v>60</v>
          </cell>
        </row>
        <row r="3214">
          <cell r="B3214" t="str">
            <v>LTCS-551100000-53L/R02</v>
          </cell>
          <cell r="D3214" t="str">
            <v>B</v>
          </cell>
          <cell r="E3214" t="str">
            <v>程序时间</v>
          </cell>
          <cell r="G3214">
            <v>20</v>
          </cell>
          <cell r="H3214">
            <v>40</v>
          </cell>
          <cell r="I3214">
            <v>180</v>
          </cell>
          <cell r="J3214">
            <v>25</v>
          </cell>
          <cell r="L3214">
            <v>50</v>
          </cell>
          <cell r="M3214">
            <v>20</v>
          </cell>
          <cell r="P3214" t="str">
            <v/>
          </cell>
        </row>
        <row r="3215">
          <cell r="B3215" t="str">
            <v>C571310300-023L001</v>
          </cell>
          <cell r="D3215" t="str">
            <v>A</v>
          </cell>
          <cell r="E3215" t="str">
            <v>工序内容</v>
          </cell>
          <cell r="F3215" t="str">
            <v>0领料</v>
          </cell>
          <cell r="G3215" t="str">
            <v>05下料</v>
          </cell>
          <cell r="H3215" t="str">
            <v>10数铣</v>
          </cell>
          <cell r="I3215" t="str">
            <v>15数铣22</v>
          </cell>
          <cell r="J3215" t="str">
            <v>20数铣80</v>
          </cell>
          <cell r="K3215" t="str">
            <v>25五轴45</v>
          </cell>
          <cell r="L3215" t="str">
            <v>30数铣50</v>
          </cell>
          <cell r="M3215" t="str">
            <v>35五轴25</v>
          </cell>
          <cell r="N3215" t="str">
            <v>40测量</v>
          </cell>
          <cell r="O3215" t="str">
            <v>45钳工</v>
          </cell>
          <cell r="P3215" t="str">
            <v>50清洁</v>
          </cell>
          <cell r="Q3215" t="str">
            <v>60成检</v>
          </cell>
        </row>
        <row r="3216">
          <cell r="B3216" t="str">
            <v>C571310300-023L001</v>
          </cell>
          <cell r="D3216" t="str">
            <v>A</v>
          </cell>
          <cell r="E3216" t="str">
            <v>准备工时</v>
          </cell>
          <cell r="H3216">
            <v>60</v>
          </cell>
          <cell r="I3216">
            <v>60</v>
          </cell>
          <cell r="J3216">
            <v>90</v>
          </cell>
          <cell r="K3216">
            <v>120</v>
          </cell>
          <cell r="L3216">
            <v>60</v>
          </cell>
          <cell r="M3216">
            <v>120</v>
          </cell>
        </row>
        <row r="3217">
          <cell r="B3217" t="str">
            <v>C571310300-023L001</v>
          </cell>
          <cell r="D3217" t="str">
            <v>A</v>
          </cell>
          <cell r="E3217" t="str">
            <v>装夹时间</v>
          </cell>
          <cell r="K3217">
            <v>60</v>
          </cell>
          <cell r="M3217">
            <v>60</v>
          </cell>
        </row>
        <row r="3218">
          <cell r="B3218" t="str">
            <v>C571310300-023L001</v>
          </cell>
          <cell r="D3218" t="str">
            <v>A</v>
          </cell>
          <cell r="E3218" t="str">
            <v>程序时间</v>
          </cell>
          <cell r="H3218">
            <v>60</v>
          </cell>
          <cell r="I3218">
            <v>50</v>
          </cell>
          <cell r="J3218">
            <v>160</v>
          </cell>
          <cell r="K3218">
            <v>180</v>
          </cell>
          <cell r="L3218">
            <v>100</v>
          </cell>
          <cell r="M3218">
            <v>90</v>
          </cell>
          <cell r="O3218">
            <v>90</v>
          </cell>
        </row>
        <row r="3219">
          <cell r="B3219" t="str">
            <v>C571310300-023R001</v>
          </cell>
          <cell r="D3219" t="str">
            <v>A</v>
          </cell>
          <cell r="E3219" t="str">
            <v>工序内容</v>
          </cell>
          <cell r="F3219" t="str">
            <v>0领料</v>
          </cell>
          <cell r="G3219" t="str">
            <v>05下料</v>
          </cell>
          <cell r="H3219" t="str">
            <v>10数铣</v>
          </cell>
          <cell r="I3219" t="str">
            <v>15数铣22</v>
          </cell>
          <cell r="J3219" t="str">
            <v>20数铣80</v>
          </cell>
          <cell r="K3219" t="str">
            <v>25五轴45</v>
          </cell>
          <cell r="L3219" t="str">
            <v>30数铣50</v>
          </cell>
          <cell r="M3219" t="str">
            <v>35五轴25</v>
          </cell>
          <cell r="N3219" t="str">
            <v>40测量</v>
          </cell>
          <cell r="O3219" t="str">
            <v>45钳工</v>
          </cell>
          <cell r="P3219" t="str">
            <v>50清洁</v>
          </cell>
          <cell r="Q3219" t="str">
            <v>60成检</v>
          </cell>
        </row>
        <row r="3220">
          <cell r="B3220" t="str">
            <v>C571310300-023R001</v>
          </cell>
          <cell r="D3220" t="str">
            <v>A</v>
          </cell>
          <cell r="E3220" t="str">
            <v>准备工时</v>
          </cell>
          <cell r="H3220">
            <v>60</v>
          </cell>
          <cell r="I3220">
            <v>60</v>
          </cell>
          <cell r="J3220">
            <v>90</v>
          </cell>
          <cell r="K3220">
            <v>120</v>
          </cell>
          <cell r="L3220">
            <v>60</v>
          </cell>
          <cell r="M3220">
            <v>120</v>
          </cell>
        </row>
        <row r="3221">
          <cell r="B3221" t="str">
            <v>C571310300-023R001</v>
          </cell>
          <cell r="D3221" t="str">
            <v>A</v>
          </cell>
          <cell r="E3221" t="str">
            <v>装夹时间</v>
          </cell>
          <cell r="K3221">
            <v>60</v>
          </cell>
          <cell r="M3221">
            <v>60</v>
          </cell>
        </row>
        <row r="3222">
          <cell r="B3222" t="str">
            <v>C571310300-023R001</v>
          </cell>
          <cell r="D3222" t="str">
            <v>A</v>
          </cell>
          <cell r="E3222" t="str">
            <v>程序时间</v>
          </cell>
          <cell r="H3222">
            <v>60</v>
          </cell>
          <cell r="I3222">
            <v>50</v>
          </cell>
          <cell r="J3222">
            <v>160</v>
          </cell>
          <cell r="K3222">
            <v>180</v>
          </cell>
          <cell r="L3222">
            <v>100</v>
          </cell>
          <cell r="M3222">
            <v>90</v>
          </cell>
          <cell r="O3222">
            <v>90</v>
          </cell>
        </row>
        <row r="3223">
          <cell r="B3223" t="str">
            <v>C571310300-023L001</v>
          </cell>
          <cell r="D3223" t="str">
            <v>B</v>
          </cell>
          <cell r="E3223" t="str">
            <v>工序内容</v>
          </cell>
          <cell r="F3223" t="str">
            <v>0领料</v>
          </cell>
          <cell r="G3223" t="str">
            <v>05下料</v>
          </cell>
          <cell r="H3223" t="str">
            <v>10数铣</v>
          </cell>
          <cell r="I3223" t="str">
            <v>15数铣22</v>
          </cell>
          <cell r="J3223" t="str">
            <v>20数铣80</v>
          </cell>
          <cell r="K3223" t="str">
            <v>25五轴45</v>
          </cell>
          <cell r="L3223" t="str">
            <v>30数铣50</v>
          </cell>
          <cell r="M3223" t="str">
            <v>35五轴25</v>
          </cell>
          <cell r="N3223" t="str">
            <v>40测量</v>
          </cell>
          <cell r="O3223" t="str">
            <v>45钳工</v>
          </cell>
          <cell r="P3223" t="str">
            <v>50清洁</v>
          </cell>
          <cell r="Q3223" t="str">
            <v>60成检</v>
          </cell>
        </row>
        <row r="3224">
          <cell r="B3224" t="str">
            <v>C571310300-023L001</v>
          </cell>
          <cell r="D3224" t="str">
            <v>B</v>
          </cell>
          <cell r="E3224" t="str">
            <v>准备工时</v>
          </cell>
          <cell r="H3224">
            <v>60</v>
          </cell>
          <cell r="I3224">
            <v>60</v>
          </cell>
          <cell r="J3224">
            <v>90</v>
          </cell>
          <cell r="K3224">
            <v>120</v>
          </cell>
          <cell r="L3224">
            <v>60</v>
          </cell>
          <cell r="M3224">
            <v>120</v>
          </cell>
        </row>
        <row r="3225">
          <cell r="B3225" t="str">
            <v>C571310300-023L001</v>
          </cell>
          <cell r="D3225" t="str">
            <v>B</v>
          </cell>
          <cell r="E3225" t="str">
            <v>装夹时间</v>
          </cell>
          <cell r="K3225">
            <v>60</v>
          </cell>
          <cell r="M3225">
            <v>60</v>
          </cell>
        </row>
        <row r="3226">
          <cell r="B3226" t="str">
            <v>C571310300-023L001</v>
          </cell>
          <cell r="D3226" t="str">
            <v>B</v>
          </cell>
          <cell r="E3226" t="str">
            <v>程序时间</v>
          </cell>
          <cell r="H3226">
            <v>60</v>
          </cell>
          <cell r="I3226">
            <v>50</v>
          </cell>
          <cell r="J3226">
            <v>160</v>
          </cell>
          <cell r="K3226">
            <v>180</v>
          </cell>
          <cell r="L3226">
            <v>100</v>
          </cell>
          <cell r="M3226">
            <v>90</v>
          </cell>
          <cell r="O3226">
            <v>90</v>
          </cell>
        </row>
        <row r="3227">
          <cell r="B3227" t="str">
            <v>C571310300-023R001</v>
          </cell>
          <cell r="D3227" t="str">
            <v>B</v>
          </cell>
          <cell r="E3227" t="str">
            <v>工序内容</v>
          </cell>
          <cell r="F3227" t="str">
            <v>0领料</v>
          </cell>
          <cell r="G3227" t="str">
            <v>05下料</v>
          </cell>
          <cell r="H3227" t="str">
            <v>10数铣</v>
          </cell>
          <cell r="I3227" t="str">
            <v>15数铣22</v>
          </cell>
          <cell r="J3227" t="str">
            <v>20数铣80</v>
          </cell>
          <cell r="K3227" t="str">
            <v>25五轴45</v>
          </cell>
          <cell r="L3227" t="str">
            <v>30数铣50</v>
          </cell>
          <cell r="M3227" t="str">
            <v>35五轴25</v>
          </cell>
          <cell r="N3227" t="str">
            <v>40测量</v>
          </cell>
          <cell r="O3227" t="str">
            <v>45钳工</v>
          </cell>
          <cell r="P3227" t="str">
            <v>50清洁</v>
          </cell>
          <cell r="Q3227" t="str">
            <v>60成检</v>
          </cell>
        </row>
        <row r="3228">
          <cell r="B3228" t="str">
            <v>C571310300-023R001</v>
          </cell>
          <cell r="D3228" t="str">
            <v>B</v>
          </cell>
          <cell r="E3228" t="str">
            <v>准备工时</v>
          </cell>
          <cell r="H3228">
            <v>60</v>
          </cell>
          <cell r="I3228">
            <v>60</v>
          </cell>
          <cell r="J3228">
            <v>90</v>
          </cell>
          <cell r="K3228">
            <v>120</v>
          </cell>
          <cell r="L3228">
            <v>60</v>
          </cell>
          <cell r="M3228">
            <v>120</v>
          </cell>
        </row>
        <row r="3229">
          <cell r="B3229" t="str">
            <v>C571310300-023R001</v>
          </cell>
          <cell r="D3229" t="str">
            <v>B</v>
          </cell>
          <cell r="E3229" t="str">
            <v>装夹时间</v>
          </cell>
          <cell r="K3229">
            <v>60</v>
          </cell>
          <cell r="M3229">
            <v>60</v>
          </cell>
        </row>
        <row r="3230">
          <cell r="B3230" t="str">
            <v>C571310300-023R001</v>
          </cell>
          <cell r="D3230" t="str">
            <v>B</v>
          </cell>
          <cell r="E3230" t="str">
            <v>程序时间</v>
          </cell>
          <cell r="H3230">
            <v>60</v>
          </cell>
          <cell r="I3230">
            <v>50</v>
          </cell>
          <cell r="J3230">
            <v>160</v>
          </cell>
          <cell r="K3230">
            <v>180</v>
          </cell>
          <cell r="L3230">
            <v>100</v>
          </cell>
          <cell r="M3230">
            <v>90</v>
          </cell>
          <cell r="O3230">
            <v>90</v>
          </cell>
        </row>
        <row r="3231">
          <cell r="B3231" t="str">
            <v>DD-J10-06051-24</v>
          </cell>
          <cell r="D3231" t="str">
            <v>C</v>
          </cell>
          <cell r="E3231" t="str">
            <v>工序内容</v>
          </cell>
          <cell r="F3231" t="str">
            <v>0/领料</v>
          </cell>
          <cell r="G3231" t="str">
            <v>5/数铣</v>
          </cell>
          <cell r="H3231" t="str">
            <v>10/分光</v>
          </cell>
          <cell r="I3231" t="str">
            <v>15/清洗</v>
          </cell>
          <cell r="J3231" t="str">
            <v>20无</v>
          </cell>
          <cell r="K3231" t="str">
            <v>25/热处理</v>
          </cell>
          <cell r="L3231" t="str">
            <v>30/硬检</v>
          </cell>
          <cell r="M3231" t="str">
            <v>35/数车20</v>
          </cell>
          <cell r="N3231" t="str">
            <v>40/数铣7</v>
          </cell>
          <cell r="O3231" t="str">
            <v>45/数铣5</v>
          </cell>
          <cell r="P3231" t="str">
            <v>50/数车20</v>
          </cell>
          <cell r="Q3231" t="str">
            <v>55/数车60</v>
          </cell>
          <cell r="R3231" t="str">
            <v>60/数车60</v>
          </cell>
          <cell r="S3231" t="str">
            <v>65/数铣16</v>
          </cell>
          <cell r="T3231" t="str">
            <v>70/数铣12</v>
          </cell>
          <cell r="U3231" t="str">
            <v>75/钳工</v>
          </cell>
          <cell r="V3231" t="str">
            <v>80/清洁</v>
          </cell>
          <cell r="W3231" t="str">
            <v>85/成检</v>
          </cell>
        </row>
        <row r="3232">
          <cell r="B3232" t="str">
            <v>DD-J10-06051-24</v>
          </cell>
          <cell r="D3232" t="str">
            <v>C</v>
          </cell>
          <cell r="E3232" t="str">
            <v>准备工时</v>
          </cell>
          <cell r="G3232">
            <v>60</v>
          </cell>
          <cell r="M3232" t="str">
            <v>90</v>
          </cell>
          <cell r="N3232" t="str">
            <v>60</v>
          </cell>
          <cell r="O3232" t="str">
            <v>60</v>
          </cell>
          <cell r="P3232">
            <v>90</v>
          </cell>
          <cell r="Q3232">
            <v>120</v>
          </cell>
          <cell r="R3232">
            <v>120</v>
          </cell>
          <cell r="S3232">
            <v>90</v>
          </cell>
          <cell r="T3232">
            <v>60</v>
          </cell>
        </row>
        <row r="3233">
          <cell r="B3233" t="str">
            <v>DD-J10-06051-24</v>
          </cell>
          <cell r="D3233" t="str">
            <v>C</v>
          </cell>
          <cell r="E3233" t="str">
            <v>程序时间</v>
          </cell>
          <cell r="G3233">
            <v>40</v>
          </cell>
          <cell r="M3233">
            <v>30</v>
          </cell>
          <cell r="N3233">
            <v>25</v>
          </cell>
          <cell r="O3233">
            <v>20</v>
          </cell>
          <cell r="P3233">
            <v>30</v>
          </cell>
          <cell r="Q3233">
            <v>80</v>
          </cell>
          <cell r="R3233">
            <v>80</v>
          </cell>
          <cell r="S3233">
            <v>30</v>
          </cell>
          <cell r="T3233">
            <v>25</v>
          </cell>
          <cell r="U3233">
            <v>30</v>
          </cell>
        </row>
        <row r="3234">
          <cell r="B3234" t="str">
            <v>DD-J10-06051-24</v>
          </cell>
          <cell r="D3234" t="str">
            <v>G</v>
          </cell>
          <cell r="E3234" t="str">
            <v>工序内容</v>
          </cell>
          <cell r="F3234" t="str">
            <v>0/领料</v>
          </cell>
          <cell r="G3234" t="str">
            <v>5/数铣</v>
          </cell>
          <cell r="H3234" t="str">
            <v>8/数铣</v>
          </cell>
          <cell r="I3234" t="str">
            <v>10/分光</v>
          </cell>
          <cell r="J3234" t="str">
            <v>15/清洗</v>
          </cell>
          <cell r="K3234" t="str">
            <v>25/热处理</v>
          </cell>
          <cell r="L3234" t="str">
            <v>30/硬检</v>
          </cell>
          <cell r="M3234" t="str">
            <v>35/数车10</v>
          </cell>
          <cell r="N3234" t="str">
            <v>40/数车5</v>
          </cell>
          <cell r="O3234" t="str">
            <v>45/数车10</v>
          </cell>
          <cell r="P3234" t="str">
            <v>50/数车20</v>
          </cell>
          <cell r="Q3234" t="str">
            <v>55/数车60</v>
          </cell>
          <cell r="R3234" t="str">
            <v>60/数车60</v>
          </cell>
          <cell r="S3234" t="str">
            <v>65/数铣15</v>
          </cell>
          <cell r="T3234" t="str">
            <v>70/数铣15</v>
          </cell>
          <cell r="U3234" t="str">
            <v>75/钳工</v>
          </cell>
          <cell r="V3234" t="str">
            <v>80/清洁</v>
          </cell>
          <cell r="W3234" t="str">
            <v>85/成检</v>
          </cell>
        </row>
        <row r="3235">
          <cell r="B3235" t="str">
            <v>DD-J10-06051-24</v>
          </cell>
          <cell r="D3235" t="str">
            <v>G</v>
          </cell>
          <cell r="E3235" t="str">
            <v>准备工时</v>
          </cell>
          <cell r="G3235">
            <v>60</v>
          </cell>
          <cell r="H3235">
            <v>60</v>
          </cell>
          <cell r="M3235" t="str">
            <v>60</v>
          </cell>
          <cell r="N3235" t="str">
            <v>60</v>
          </cell>
          <cell r="O3235" t="str">
            <v>60</v>
          </cell>
          <cell r="P3235">
            <v>90</v>
          </cell>
          <cell r="Q3235">
            <v>120</v>
          </cell>
          <cell r="R3235">
            <v>120</v>
          </cell>
          <cell r="S3235">
            <v>90</v>
          </cell>
          <cell r="T3235">
            <v>60</v>
          </cell>
        </row>
        <row r="3236">
          <cell r="B3236" t="str">
            <v>DD-J10-06051-24</v>
          </cell>
          <cell r="D3236" t="str">
            <v>G</v>
          </cell>
          <cell r="E3236" t="str">
            <v>程序时间</v>
          </cell>
          <cell r="G3236">
            <v>40</v>
          </cell>
          <cell r="H3236">
            <v>15</v>
          </cell>
          <cell r="M3236">
            <v>30</v>
          </cell>
          <cell r="N3236">
            <v>25</v>
          </cell>
          <cell r="O3236">
            <v>30</v>
          </cell>
          <cell r="P3236">
            <v>30</v>
          </cell>
          <cell r="Q3236">
            <v>80</v>
          </cell>
          <cell r="R3236">
            <v>80</v>
          </cell>
          <cell r="S3236">
            <v>40</v>
          </cell>
          <cell r="T3236">
            <v>30</v>
          </cell>
          <cell r="U3236">
            <v>30</v>
          </cell>
        </row>
        <row r="3237">
          <cell r="B3237" t="str">
            <v>BC2712311-004-005</v>
          </cell>
          <cell r="D3237" t="str">
            <v>A</v>
          </cell>
          <cell r="E3237" t="str">
            <v>工序内容</v>
          </cell>
          <cell r="F3237" t="str">
            <v>0/领料</v>
          </cell>
          <cell r="G3237" t="str">
            <v>5/下料</v>
          </cell>
          <cell r="H3237" t="str">
            <v>10数铣</v>
          </cell>
          <cell r="I3237" t="str">
            <v>15数铣90</v>
          </cell>
          <cell r="J3237" t="str">
            <v>20数铣120</v>
          </cell>
          <cell r="K3237" t="str">
            <v>25测量</v>
          </cell>
          <cell r="L3237" t="str">
            <v>30钳工</v>
          </cell>
          <cell r="M3237" t="str">
            <v>35分光</v>
          </cell>
          <cell r="N3237" t="str">
            <v>40硬度</v>
          </cell>
          <cell r="O3237" t="str">
            <v>45钳工</v>
          </cell>
          <cell r="P3237" t="str">
            <v>50清洁</v>
          </cell>
          <cell r="Q3237" t="str">
            <v>55成检</v>
          </cell>
        </row>
        <row r="3238">
          <cell r="B3238" t="str">
            <v>BC2712311-004-005</v>
          </cell>
          <cell r="D3238" t="str">
            <v>A</v>
          </cell>
          <cell r="E3238" t="str">
            <v>准备工时</v>
          </cell>
          <cell r="H3238">
            <v>60</v>
          </cell>
          <cell r="I3238">
            <v>120</v>
          </cell>
          <cell r="J3238">
            <v>90</v>
          </cell>
        </row>
        <row r="3239">
          <cell r="B3239" t="str">
            <v>BC2712311-004-005</v>
          </cell>
          <cell r="D3239" t="str">
            <v>A</v>
          </cell>
          <cell r="E3239" t="str">
            <v>程序时间</v>
          </cell>
          <cell r="H3239">
            <v>40</v>
          </cell>
          <cell r="I3239">
            <v>150</v>
          </cell>
          <cell r="J3239">
            <v>210</v>
          </cell>
          <cell r="L3239">
            <v>50</v>
          </cell>
          <cell r="O3239">
            <v>5</v>
          </cell>
        </row>
        <row r="3240">
          <cell r="B3240" t="str">
            <v>CB22931L1-001-003</v>
          </cell>
          <cell r="D3240" t="str">
            <v>B</v>
          </cell>
          <cell r="E3240" t="str">
            <v>工序内容</v>
          </cell>
          <cell r="F3240" t="str">
            <v>0/领料</v>
          </cell>
          <cell r="G3240" t="str">
            <v>5/下料</v>
          </cell>
          <cell r="H3240" t="str">
            <v>10/数铣</v>
          </cell>
          <cell r="I3240" t="str">
            <v>15/数铣20</v>
          </cell>
          <cell r="J3240" t="str">
            <v>20/数铣5</v>
          </cell>
          <cell r="K3240" t="str">
            <v>25/数铣15</v>
          </cell>
          <cell r="L3240" t="str">
            <v>30/数铣15</v>
          </cell>
          <cell r="M3240" t="str">
            <v>35/数铣60</v>
          </cell>
          <cell r="N3240" t="str">
            <v>40/数铣12</v>
          </cell>
          <cell r="O3240" t="str">
            <v>45/数铣55</v>
          </cell>
          <cell r="P3240" t="str">
            <v>50/钳工</v>
          </cell>
          <cell r="Q3240" t="str">
            <v>55/数铣</v>
          </cell>
          <cell r="R3240" t="str">
            <v>60/测量</v>
          </cell>
          <cell r="S3240" t="str">
            <v>65/清洁</v>
          </cell>
          <cell r="T3240" t="str">
            <v>70/检验</v>
          </cell>
          <cell r="U3240" t="str">
            <v>75/硬检</v>
          </cell>
          <cell r="V3240" t="str">
            <v>80/分光</v>
          </cell>
          <cell r="W3240" t="str">
            <v>85/钳工</v>
          </cell>
          <cell r="X3240" t="str">
            <v>90/成检</v>
          </cell>
        </row>
        <row r="3241">
          <cell r="B3241" t="str">
            <v>CB22931L1-001-003</v>
          </cell>
          <cell r="D3241" t="str">
            <v>B</v>
          </cell>
          <cell r="E3241" t="str">
            <v>准备工时</v>
          </cell>
          <cell r="H3241">
            <v>60</v>
          </cell>
          <cell r="I3241">
            <v>90</v>
          </cell>
          <cell r="J3241">
            <v>60</v>
          </cell>
          <cell r="K3241">
            <v>90</v>
          </cell>
          <cell r="L3241">
            <v>60</v>
          </cell>
          <cell r="M3241">
            <v>60</v>
          </cell>
          <cell r="N3241">
            <v>60</v>
          </cell>
          <cell r="O3241">
            <v>60</v>
          </cell>
        </row>
        <row r="3242">
          <cell r="B3242" t="str">
            <v>CB22931L1-001-003</v>
          </cell>
          <cell r="D3242" t="str">
            <v>B</v>
          </cell>
          <cell r="E3242" t="str">
            <v>程序时间</v>
          </cell>
          <cell r="G3242">
            <v>20</v>
          </cell>
          <cell r="H3242">
            <v>20</v>
          </cell>
          <cell r="I3242">
            <v>40</v>
          </cell>
          <cell r="J3242">
            <v>15</v>
          </cell>
          <cell r="K3242">
            <v>35</v>
          </cell>
          <cell r="L3242">
            <v>30</v>
          </cell>
          <cell r="M3242">
            <v>180</v>
          </cell>
          <cell r="N3242">
            <v>40</v>
          </cell>
          <cell r="O3242">
            <v>180</v>
          </cell>
          <cell r="P3242">
            <v>40</v>
          </cell>
          <cell r="Q3242">
            <v>20</v>
          </cell>
          <cell r="W3242">
            <v>5</v>
          </cell>
        </row>
        <row r="3243">
          <cell r="B3243" t="str">
            <v>Y20-5226300010-001</v>
          </cell>
          <cell r="D3243" t="str">
            <v>B</v>
          </cell>
          <cell r="E3243" t="str">
            <v>工序内容</v>
          </cell>
          <cell r="F3243" t="str">
            <v>0/领料</v>
          </cell>
          <cell r="G3243" t="str">
            <v>5/线切割</v>
          </cell>
          <cell r="H3243" t="str">
            <v>10/数铣</v>
          </cell>
          <cell r="I3243" t="str">
            <v>15/数铣45</v>
          </cell>
          <cell r="J3243" t="str">
            <v>20/测量</v>
          </cell>
          <cell r="K3243" t="str">
            <v>25/钳工</v>
          </cell>
          <cell r="L3243" t="str">
            <v>30/清洁</v>
          </cell>
          <cell r="M3243" t="str">
            <v>35/成检</v>
          </cell>
        </row>
        <row r="3244">
          <cell r="B3244" t="str">
            <v>Y20-5226300010-001</v>
          </cell>
          <cell r="D3244" t="str">
            <v>B</v>
          </cell>
          <cell r="E3244" t="str">
            <v>准备工时</v>
          </cell>
          <cell r="H3244">
            <v>60</v>
          </cell>
          <cell r="I3244">
            <v>60</v>
          </cell>
        </row>
        <row r="3245">
          <cell r="B3245" t="str">
            <v>Y20-5226300010-001</v>
          </cell>
          <cell r="D3245" t="str">
            <v>B</v>
          </cell>
          <cell r="E3245" t="str">
            <v>程序时间</v>
          </cell>
          <cell r="H3245">
            <v>25</v>
          </cell>
          <cell r="I3245">
            <v>70</v>
          </cell>
          <cell r="K3245">
            <v>35</v>
          </cell>
        </row>
        <row r="3246">
          <cell r="B3246" t="str">
            <v>DD-J10-55155-120-1</v>
          </cell>
          <cell r="D3246" t="str">
            <v>B</v>
          </cell>
          <cell r="E3246" t="str">
            <v>工序内容</v>
          </cell>
          <cell r="F3246" t="str">
            <v>0/领料</v>
          </cell>
          <cell r="G3246" t="str">
            <v>5/数铣</v>
          </cell>
          <cell r="H3246" t="str">
            <v>10/分光</v>
          </cell>
          <cell r="I3246" t="str">
            <v>15/清洗</v>
          </cell>
          <cell r="J3246" t="str">
            <v>20/热处理</v>
          </cell>
          <cell r="K3246" t="str">
            <v>25/硬度</v>
          </cell>
          <cell r="L3246" t="str">
            <v>30/数铣</v>
          </cell>
          <cell r="M3246" t="str">
            <v>35/数铣10</v>
          </cell>
          <cell r="N3246" t="str">
            <v>40/数铣5</v>
          </cell>
          <cell r="O3246" t="str">
            <v>45/数铣5</v>
          </cell>
          <cell r="P3246" t="str">
            <v>50/线切割</v>
          </cell>
          <cell r="Q3246" t="str">
            <v>55/数铣</v>
          </cell>
          <cell r="R3246" t="str">
            <v>60/数铣5</v>
          </cell>
          <cell r="S3246" t="str">
            <v>65/数铣10</v>
          </cell>
          <cell r="T3246" t="str">
            <v>70/钳工</v>
          </cell>
          <cell r="U3246" t="str">
            <v>75/清洁</v>
          </cell>
          <cell r="V3246" t="str">
            <v>80/成检</v>
          </cell>
        </row>
        <row r="3247">
          <cell r="B3247" t="str">
            <v>DD-J10-55155-120-1</v>
          </cell>
          <cell r="D3247" t="str">
            <v>B</v>
          </cell>
          <cell r="E3247" t="str">
            <v>准备工时</v>
          </cell>
          <cell r="G3247">
            <v>60</v>
          </cell>
          <cell r="L3247" t="str">
            <v>60</v>
          </cell>
          <cell r="M3247" t="str">
            <v>60</v>
          </cell>
          <cell r="N3247">
            <v>60</v>
          </cell>
          <cell r="O3247">
            <v>60</v>
          </cell>
          <cell r="Q3247">
            <v>60</v>
          </cell>
          <cell r="R3247">
            <v>60</v>
          </cell>
          <cell r="S3247">
            <v>60</v>
          </cell>
        </row>
        <row r="3248">
          <cell r="B3248" t="str">
            <v>DD-J10-55155-120-1</v>
          </cell>
          <cell r="D3248" t="str">
            <v>B</v>
          </cell>
          <cell r="E3248" t="str">
            <v>程序时间</v>
          </cell>
          <cell r="G3248">
            <v>30</v>
          </cell>
          <cell r="L3248" t="str">
            <v>45</v>
          </cell>
          <cell r="M3248" t="str">
            <v>25</v>
          </cell>
          <cell r="N3248">
            <v>20</v>
          </cell>
          <cell r="O3248">
            <v>20</v>
          </cell>
          <cell r="Q3248">
            <v>20</v>
          </cell>
          <cell r="R3248">
            <v>20</v>
          </cell>
          <cell r="S3248">
            <v>25</v>
          </cell>
          <cell r="T3248">
            <v>15</v>
          </cell>
        </row>
        <row r="3249">
          <cell r="B3249" t="str">
            <v>DD-J10-55155-120-2</v>
          </cell>
          <cell r="D3249" t="str">
            <v>A</v>
          </cell>
          <cell r="E3249" t="str">
            <v>工序内容</v>
          </cell>
          <cell r="F3249" t="str">
            <v>0/领料</v>
          </cell>
          <cell r="G3249" t="str">
            <v>5/数铣</v>
          </cell>
          <cell r="H3249" t="str">
            <v>10/分光</v>
          </cell>
          <cell r="I3249" t="str">
            <v>15/清洗</v>
          </cell>
          <cell r="J3249" t="str">
            <v>20/热处理</v>
          </cell>
          <cell r="K3249" t="str">
            <v>25/硬度</v>
          </cell>
          <cell r="L3249" t="str">
            <v>30/数铣</v>
          </cell>
          <cell r="M3249" t="str">
            <v>35/数铣10</v>
          </cell>
          <cell r="N3249" t="str">
            <v>40/数铣5</v>
          </cell>
          <cell r="O3249" t="str">
            <v>45/数铣5</v>
          </cell>
          <cell r="P3249" t="str">
            <v>50/线切割</v>
          </cell>
          <cell r="Q3249" t="str">
            <v>55/数铣</v>
          </cell>
          <cell r="R3249" t="str">
            <v>60/数铣5</v>
          </cell>
          <cell r="S3249" t="str">
            <v>65/数铣10</v>
          </cell>
          <cell r="T3249" t="str">
            <v>70/钳工</v>
          </cell>
          <cell r="U3249" t="str">
            <v>75/清洁</v>
          </cell>
          <cell r="V3249" t="str">
            <v>80/成检</v>
          </cell>
        </row>
        <row r="3250">
          <cell r="B3250" t="str">
            <v>DD-J10-55155-120-2</v>
          </cell>
          <cell r="D3250" t="str">
            <v>A</v>
          </cell>
          <cell r="E3250" t="str">
            <v>准备工时</v>
          </cell>
          <cell r="G3250">
            <v>60</v>
          </cell>
          <cell r="L3250" t="str">
            <v>60</v>
          </cell>
          <cell r="M3250" t="str">
            <v>60</v>
          </cell>
          <cell r="N3250">
            <v>60</v>
          </cell>
          <cell r="O3250">
            <v>60</v>
          </cell>
          <cell r="Q3250">
            <v>60</v>
          </cell>
          <cell r="R3250">
            <v>60</v>
          </cell>
          <cell r="S3250">
            <v>60</v>
          </cell>
        </row>
        <row r="3251">
          <cell r="B3251" t="str">
            <v>DD-J10-55155-120-2</v>
          </cell>
          <cell r="D3251" t="str">
            <v>A</v>
          </cell>
          <cell r="E3251" t="str">
            <v>程序时间</v>
          </cell>
          <cell r="G3251">
            <v>30</v>
          </cell>
          <cell r="L3251" t="str">
            <v>45</v>
          </cell>
          <cell r="M3251" t="str">
            <v>25</v>
          </cell>
          <cell r="N3251">
            <v>20</v>
          </cell>
          <cell r="O3251">
            <v>20</v>
          </cell>
          <cell r="Q3251">
            <v>20</v>
          </cell>
          <cell r="R3251">
            <v>20</v>
          </cell>
          <cell r="S3251">
            <v>25</v>
          </cell>
          <cell r="T3251">
            <v>15</v>
          </cell>
        </row>
        <row r="3252">
          <cell r="B3252" t="str">
            <v>CB22837G0-002-002</v>
          </cell>
          <cell r="D3252" t="str">
            <v>B</v>
          </cell>
          <cell r="E3252" t="str">
            <v>工序内容</v>
          </cell>
          <cell r="F3252" t="str">
            <v>0/领料</v>
          </cell>
          <cell r="G3252" t="str">
            <v>05/数车45</v>
          </cell>
          <cell r="H3252" t="str">
            <v>10/车铣10</v>
          </cell>
          <cell r="I3252" t="str">
            <v>15/分光</v>
          </cell>
          <cell r="J3252" t="str">
            <v>20/硬度</v>
          </cell>
          <cell r="K3252" t="str">
            <v>25/数车15</v>
          </cell>
          <cell r="L3252" t="str">
            <v>30/数铣30</v>
          </cell>
          <cell r="M3252" t="str">
            <v>35数车15</v>
          </cell>
          <cell r="N3252" t="str">
            <v>40/钳工</v>
          </cell>
          <cell r="O3252" t="str">
            <v>45/测量</v>
          </cell>
          <cell r="P3252" t="str">
            <v>50/清洁</v>
          </cell>
          <cell r="Q3252" t="str">
            <v>55/成检</v>
          </cell>
        </row>
        <row r="3253">
          <cell r="B3253" t="str">
            <v>CB22837G0-002-002</v>
          </cell>
          <cell r="D3253" t="str">
            <v>B</v>
          </cell>
          <cell r="E3253" t="str">
            <v>准备工时</v>
          </cell>
          <cell r="G3253">
            <v>90</v>
          </cell>
          <cell r="H3253">
            <v>90</v>
          </cell>
          <cell r="K3253">
            <v>90</v>
          </cell>
          <cell r="L3253">
            <v>90</v>
          </cell>
          <cell r="M3253">
            <v>90</v>
          </cell>
        </row>
        <row r="3254">
          <cell r="B3254" t="str">
            <v>CB22837G0-002-002</v>
          </cell>
          <cell r="D3254" t="str">
            <v>B</v>
          </cell>
          <cell r="E3254" t="str">
            <v>程序时间</v>
          </cell>
          <cell r="G3254">
            <v>40</v>
          </cell>
          <cell r="H3254">
            <v>25</v>
          </cell>
          <cell r="K3254">
            <v>30</v>
          </cell>
          <cell r="L3254">
            <v>50</v>
          </cell>
          <cell r="M3254">
            <v>25</v>
          </cell>
          <cell r="N3254">
            <v>25</v>
          </cell>
        </row>
        <row r="3255">
          <cell r="B3255" t="str">
            <v>DD-J10B-55141-101</v>
          </cell>
          <cell r="D3255" t="str">
            <v>F</v>
          </cell>
          <cell r="E3255" t="str">
            <v>工序内容</v>
          </cell>
          <cell r="F3255" t="str">
            <v>0/领料</v>
          </cell>
          <cell r="G3255" t="str">
            <v>5/钳工</v>
          </cell>
          <cell r="H3255" t="str">
            <v>10/数车10</v>
          </cell>
          <cell r="I3255" t="str">
            <v>15/数车10</v>
          </cell>
          <cell r="J3255" t="str">
            <v>20/数车20</v>
          </cell>
          <cell r="K3255" t="str">
            <v>25/数车10</v>
          </cell>
          <cell r="L3255" t="str">
            <v>30/钳工</v>
          </cell>
          <cell r="M3255" t="str">
            <v>35/热处理</v>
          </cell>
          <cell r="N3255" t="str">
            <v>40/数铣20</v>
          </cell>
          <cell r="O3255" t="str">
            <v>45/钳工</v>
          </cell>
          <cell r="P3255" t="str">
            <v>50/入厂复检</v>
          </cell>
          <cell r="Q3255" t="str">
            <v>55/清洗</v>
          </cell>
          <cell r="R3255" t="str">
            <v>60/热处理</v>
          </cell>
          <cell r="S3255" t="str">
            <v>65/表处</v>
          </cell>
          <cell r="T3255" t="str">
            <v>70/数车10</v>
          </cell>
          <cell r="U3255" t="str">
            <v>75/数车10</v>
          </cell>
          <cell r="V3255" t="str">
            <v>80/清洁</v>
          </cell>
          <cell r="W3255" t="str">
            <v>85/成检</v>
          </cell>
        </row>
        <row r="3256">
          <cell r="B3256" t="str">
            <v>DD-J10B-55141-101</v>
          </cell>
          <cell r="D3256" t="str">
            <v>F</v>
          </cell>
          <cell r="E3256" t="str">
            <v>准备工时</v>
          </cell>
          <cell r="H3256">
            <v>90</v>
          </cell>
          <cell r="I3256">
            <v>120</v>
          </cell>
          <cell r="J3256">
            <v>120</v>
          </cell>
          <cell r="K3256">
            <v>120</v>
          </cell>
          <cell r="N3256" t="str">
            <v>120</v>
          </cell>
          <cell r="T3256">
            <v>120</v>
          </cell>
          <cell r="U3256">
            <v>120</v>
          </cell>
        </row>
        <row r="3257">
          <cell r="B3257" t="str">
            <v>DD-J10B-55141-101</v>
          </cell>
          <cell r="D3257" t="str">
            <v>F</v>
          </cell>
          <cell r="E3257" t="str">
            <v>程序时间</v>
          </cell>
          <cell r="G3257">
            <v>10</v>
          </cell>
          <cell r="H3257">
            <v>20</v>
          </cell>
          <cell r="I3257">
            <v>20</v>
          </cell>
          <cell r="J3257">
            <v>40</v>
          </cell>
          <cell r="K3257">
            <v>35</v>
          </cell>
          <cell r="L3257">
            <v>30</v>
          </cell>
          <cell r="N3257" t="str">
            <v>35</v>
          </cell>
          <cell r="O3257">
            <v>20</v>
          </cell>
          <cell r="T3257">
            <v>20</v>
          </cell>
          <cell r="U3257">
            <v>20</v>
          </cell>
        </row>
        <row r="3258">
          <cell r="B3258" t="str">
            <v>DD-J10-77101-40-1</v>
          </cell>
          <cell r="D3258" t="str">
            <v>A</v>
          </cell>
          <cell r="E3258" t="str">
            <v>工序内容</v>
          </cell>
          <cell r="F3258" t="str">
            <v>0领料</v>
          </cell>
          <cell r="G3258" t="str">
            <v>05数铣</v>
          </cell>
          <cell r="H3258" t="str">
            <v>10钳工</v>
          </cell>
          <cell r="I3258" t="str">
            <v>15分光</v>
          </cell>
          <cell r="J3258" t="str">
            <v>20清洁</v>
          </cell>
          <cell r="K3258" t="str">
            <v>25热处理</v>
          </cell>
          <cell r="L3258" t="str">
            <v>30硬度</v>
          </cell>
          <cell r="M3258" t="str">
            <v>35检验</v>
          </cell>
          <cell r="N3258" t="str">
            <v>40下料</v>
          </cell>
          <cell r="O3258" t="str">
            <v>45数铣</v>
          </cell>
          <cell r="P3258" t="str">
            <v>50数铣5</v>
          </cell>
          <cell r="Q3258" t="str">
            <v>55数铣10</v>
          </cell>
          <cell r="R3258" t="str">
            <v>60线切割</v>
          </cell>
          <cell r="S3258" t="str">
            <v>65数铣</v>
          </cell>
          <cell r="T3258" t="str">
            <v>70钳工</v>
          </cell>
          <cell r="U3258" t="str">
            <v>75清洁</v>
          </cell>
          <cell r="V3258" t="str">
            <v>80成检</v>
          </cell>
          <cell r="W3258" t="str">
            <v>80成检</v>
          </cell>
        </row>
        <row r="3259">
          <cell r="B3259" t="str">
            <v>DD-J10-77101-40-1</v>
          </cell>
          <cell r="D3259" t="str">
            <v>A</v>
          </cell>
          <cell r="E3259" t="str">
            <v>准备工时</v>
          </cell>
          <cell r="G3259">
            <v>60</v>
          </cell>
          <cell r="O3259" t="str">
            <v>60</v>
          </cell>
          <cell r="P3259">
            <v>60</v>
          </cell>
          <cell r="Q3259">
            <v>60</v>
          </cell>
          <cell r="S3259">
            <v>60</v>
          </cell>
        </row>
        <row r="3260">
          <cell r="B3260" t="str">
            <v>DD-J10-77101-40-1</v>
          </cell>
          <cell r="D3260" t="str">
            <v>A</v>
          </cell>
          <cell r="E3260" t="str">
            <v>程序时间</v>
          </cell>
          <cell r="G3260">
            <v>30</v>
          </cell>
          <cell r="H3260">
            <v>15</v>
          </cell>
          <cell r="O3260" t="str">
            <v>25</v>
          </cell>
          <cell r="P3260">
            <v>15</v>
          </cell>
          <cell r="Q3260">
            <v>35</v>
          </cell>
          <cell r="S3260">
            <v>20</v>
          </cell>
          <cell r="T3260">
            <v>15</v>
          </cell>
        </row>
        <row r="3261">
          <cell r="B3261" t="str">
            <v>DD-J10-77101-40-2</v>
          </cell>
          <cell r="D3261" t="str">
            <v>A</v>
          </cell>
          <cell r="E3261" t="str">
            <v>工序内容</v>
          </cell>
          <cell r="F3261" t="str">
            <v>0领料</v>
          </cell>
          <cell r="G3261" t="str">
            <v>05数铣</v>
          </cell>
          <cell r="H3261" t="str">
            <v>10钳工</v>
          </cell>
          <cell r="I3261" t="str">
            <v>15分光</v>
          </cell>
          <cell r="J3261" t="str">
            <v>20清洁</v>
          </cell>
          <cell r="K3261" t="str">
            <v>25热处理</v>
          </cell>
          <cell r="L3261" t="str">
            <v>30硬度</v>
          </cell>
          <cell r="M3261" t="str">
            <v>35检验</v>
          </cell>
          <cell r="N3261" t="str">
            <v>40下料</v>
          </cell>
          <cell r="O3261" t="str">
            <v>45数铣</v>
          </cell>
          <cell r="P3261" t="str">
            <v>50数铣5</v>
          </cell>
          <cell r="Q3261" t="str">
            <v>55数铣10</v>
          </cell>
          <cell r="R3261" t="str">
            <v>60线切割</v>
          </cell>
          <cell r="S3261" t="str">
            <v>65数铣</v>
          </cell>
          <cell r="T3261" t="str">
            <v>70钳工</v>
          </cell>
          <cell r="U3261" t="str">
            <v>75清洁</v>
          </cell>
          <cell r="V3261" t="str">
            <v>80成检</v>
          </cell>
          <cell r="W3261" t="str">
            <v>80成检</v>
          </cell>
        </row>
        <row r="3262">
          <cell r="B3262" t="str">
            <v>DD-J10-77101-40-2</v>
          </cell>
          <cell r="D3262" t="str">
            <v>A</v>
          </cell>
          <cell r="E3262" t="str">
            <v>准备工时</v>
          </cell>
          <cell r="G3262">
            <v>60</v>
          </cell>
          <cell r="O3262" t="str">
            <v>60</v>
          </cell>
          <cell r="P3262">
            <v>60</v>
          </cell>
          <cell r="Q3262">
            <v>60</v>
          </cell>
          <cell r="S3262">
            <v>60</v>
          </cell>
        </row>
        <row r="3263">
          <cell r="B3263" t="str">
            <v>DD-J10-77101-40-2</v>
          </cell>
          <cell r="D3263" t="str">
            <v>A</v>
          </cell>
          <cell r="E3263" t="str">
            <v>程序时间</v>
          </cell>
          <cell r="G3263">
            <v>30</v>
          </cell>
          <cell r="H3263">
            <v>15</v>
          </cell>
          <cell r="O3263" t="str">
            <v>25</v>
          </cell>
          <cell r="P3263">
            <v>15</v>
          </cell>
          <cell r="Q3263">
            <v>35</v>
          </cell>
          <cell r="S3263">
            <v>20</v>
          </cell>
          <cell r="T3263">
            <v>15</v>
          </cell>
        </row>
        <row r="3264">
          <cell r="B3264" t="str">
            <v>CB5315191-012L003</v>
          </cell>
          <cell r="D3264" t="str">
            <v>F</v>
          </cell>
          <cell r="E3264" t="str">
            <v>工序内容</v>
          </cell>
          <cell r="F3264" t="str">
            <v>0/领料</v>
          </cell>
          <cell r="G3264" t="str">
            <v>5/数铣</v>
          </cell>
          <cell r="H3264" t="str">
            <v>10/数铣40</v>
          </cell>
          <cell r="I3264" t="str">
            <v>15/数铣10</v>
          </cell>
          <cell r="J3264" t="str">
            <v>20/数铣70</v>
          </cell>
          <cell r="K3264" t="str">
            <v>25/数铣30</v>
          </cell>
          <cell r="L3264" t="str">
            <v>30/数铣70</v>
          </cell>
          <cell r="M3264" t="str">
            <v>35/五轴130</v>
          </cell>
          <cell r="N3264" t="str">
            <v>40/测量</v>
          </cell>
          <cell r="O3264" t="str">
            <v>45/钳工</v>
          </cell>
          <cell r="P3264" t="str">
            <v>50/清洁</v>
          </cell>
          <cell r="Q3264" t="str">
            <v>55/硬检</v>
          </cell>
          <cell r="R3264" t="str">
            <v>60/分光</v>
          </cell>
          <cell r="S3264" t="str">
            <v>65/检验</v>
          </cell>
          <cell r="T3264" t="str">
            <v>70/钳工</v>
          </cell>
          <cell r="U3264" t="str">
            <v>75/清洁</v>
          </cell>
          <cell r="V3264" t="str">
            <v>80/成检</v>
          </cell>
        </row>
        <row r="3265">
          <cell r="B3265" t="str">
            <v>CB5315191-012L003</v>
          </cell>
          <cell r="D3265" t="str">
            <v>F</v>
          </cell>
          <cell r="E3265" t="str">
            <v>准备工时</v>
          </cell>
          <cell r="G3265">
            <v>60</v>
          </cell>
          <cell r="H3265">
            <v>90</v>
          </cell>
          <cell r="I3265">
            <v>60</v>
          </cell>
          <cell r="J3265">
            <v>90</v>
          </cell>
          <cell r="K3265">
            <v>60</v>
          </cell>
          <cell r="L3265">
            <v>90</v>
          </cell>
          <cell r="M3265">
            <v>120</v>
          </cell>
        </row>
        <row r="3266">
          <cell r="B3266" t="str">
            <v>CB5315191-012L003</v>
          </cell>
          <cell r="D3266" t="str">
            <v>F</v>
          </cell>
          <cell r="E3266" t="str">
            <v>装夹时间</v>
          </cell>
          <cell r="J3266">
            <v>30</v>
          </cell>
          <cell r="M3266">
            <v>60</v>
          </cell>
        </row>
        <row r="3267">
          <cell r="B3267" t="str">
            <v>CB5315191-012L003</v>
          </cell>
          <cell r="D3267" t="str">
            <v>F</v>
          </cell>
          <cell r="E3267" t="str">
            <v>程序时间</v>
          </cell>
          <cell r="G3267">
            <v>120</v>
          </cell>
          <cell r="H3267">
            <v>80</v>
          </cell>
          <cell r="I3267">
            <v>40</v>
          </cell>
          <cell r="J3267">
            <v>120</v>
          </cell>
          <cell r="K3267">
            <v>50</v>
          </cell>
          <cell r="L3267">
            <v>120</v>
          </cell>
          <cell r="M3267">
            <v>360</v>
          </cell>
          <cell r="O3267">
            <v>120</v>
          </cell>
          <cell r="T3267">
            <v>10</v>
          </cell>
        </row>
        <row r="3268">
          <cell r="B3268" t="str">
            <v>CB22921L3-001-003</v>
          </cell>
          <cell r="D3268" t="str">
            <v>B</v>
          </cell>
          <cell r="E3268" t="str">
            <v>工序内容</v>
          </cell>
          <cell r="F3268" t="str">
            <v>0/领料</v>
          </cell>
          <cell r="G3268" t="str">
            <v>5/下料</v>
          </cell>
          <cell r="H3268" t="str">
            <v>10/数铣</v>
          </cell>
          <cell r="I3268" t="str">
            <v>15/数铣51</v>
          </cell>
          <cell r="J3268" t="str">
            <v>20/数铣22</v>
          </cell>
          <cell r="K3268" t="str">
            <v>25/数铣27</v>
          </cell>
          <cell r="L3268" t="str">
            <v>30/数铣21</v>
          </cell>
          <cell r="M3268" t="str">
            <v>35/数铣86</v>
          </cell>
          <cell r="N3268" t="str">
            <v>40/数铣26</v>
          </cell>
          <cell r="O3268" t="str">
            <v>45/数铣91</v>
          </cell>
          <cell r="P3268" t="str">
            <v>50/钳工</v>
          </cell>
          <cell r="Q3268" t="str">
            <v>55/铣试块</v>
          </cell>
          <cell r="R3268" t="str">
            <v>60/测量</v>
          </cell>
          <cell r="S3268" t="str">
            <v>65/清洁</v>
          </cell>
          <cell r="T3268" t="str">
            <v>70/检验</v>
          </cell>
          <cell r="U3268" t="str">
            <v>75/硬检</v>
          </cell>
          <cell r="V3268" t="str">
            <v>80/分光</v>
          </cell>
          <cell r="W3268" t="str">
            <v>85/钳工</v>
          </cell>
          <cell r="X3268" t="str">
            <v>90/清洁</v>
          </cell>
          <cell r="Y3268" t="str">
            <v>95/成检</v>
          </cell>
        </row>
        <row r="3269">
          <cell r="B3269" t="str">
            <v>CB22921L3-001-003</v>
          </cell>
          <cell r="D3269" t="str">
            <v>B</v>
          </cell>
          <cell r="E3269" t="str">
            <v>准备工时</v>
          </cell>
          <cell r="H3269">
            <v>60</v>
          </cell>
          <cell r="I3269">
            <v>90</v>
          </cell>
          <cell r="J3269">
            <v>60</v>
          </cell>
          <cell r="K3269">
            <v>90</v>
          </cell>
          <cell r="L3269">
            <v>60</v>
          </cell>
          <cell r="M3269">
            <v>90</v>
          </cell>
          <cell r="N3269">
            <v>60</v>
          </cell>
          <cell r="O3269">
            <v>90</v>
          </cell>
        </row>
        <row r="3270">
          <cell r="B3270" t="str">
            <v>CB22921L3-001-003</v>
          </cell>
          <cell r="D3270" t="str">
            <v>B</v>
          </cell>
          <cell r="E3270" t="str">
            <v>程序时间</v>
          </cell>
          <cell r="H3270">
            <v>30</v>
          </cell>
          <cell r="I3270">
            <v>80</v>
          </cell>
          <cell r="J3270">
            <v>35</v>
          </cell>
          <cell r="K3270">
            <v>50</v>
          </cell>
          <cell r="L3270">
            <v>30</v>
          </cell>
          <cell r="M3270">
            <v>180</v>
          </cell>
          <cell r="N3270">
            <v>45</v>
          </cell>
          <cell r="O3270">
            <v>140</v>
          </cell>
          <cell r="P3270">
            <v>60</v>
          </cell>
          <cell r="Q3270">
            <v>10</v>
          </cell>
          <cell r="W3270">
            <v>5</v>
          </cell>
        </row>
        <row r="3271">
          <cell r="B3271" t="str">
            <v>DD-J10B-71031-110-1</v>
          </cell>
          <cell r="D3271" t="str">
            <v>B</v>
          </cell>
          <cell r="E3271" t="str">
            <v>工序内容</v>
          </cell>
          <cell r="F3271" t="str">
            <v>0/领料</v>
          </cell>
          <cell r="G3271" t="str">
            <v>5/数铣</v>
          </cell>
          <cell r="H3271" t="str">
            <v>10/数铣15</v>
          </cell>
          <cell r="I3271" t="str">
            <v>15/数铣75</v>
          </cell>
          <cell r="J3271" t="str">
            <v>20/数铣90</v>
          </cell>
          <cell r="K3271" t="str">
            <v>25/时效</v>
          </cell>
          <cell r="L3271" t="str">
            <v>30/修面</v>
          </cell>
          <cell r="M3271" t="str">
            <v>35/数铣90</v>
          </cell>
          <cell r="N3271" t="str">
            <v>40/五轴45</v>
          </cell>
          <cell r="O3271" t="str">
            <v>45/数铣120</v>
          </cell>
          <cell r="P3271" t="str">
            <v>50/五轴40</v>
          </cell>
          <cell r="Q3271" t="str">
            <v>55测量</v>
          </cell>
          <cell r="R3271" t="str">
            <v>60/钳工</v>
          </cell>
          <cell r="S3271" t="str">
            <v>65/数铣</v>
          </cell>
          <cell r="T3271" t="str">
            <v>70/清洁</v>
          </cell>
          <cell r="U3271" t="str">
            <v>75成检</v>
          </cell>
        </row>
        <row r="3272">
          <cell r="B3272" t="str">
            <v>DD-J10B-71031-110-1</v>
          </cell>
          <cell r="D3272" t="str">
            <v>B</v>
          </cell>
          <cell r="E3272" t="str">
            <v>准备工时</v>
          </cell>
          <cell r="G3272">
            <v>60</v>
          </cell>
          <cell r="H3272">
            <v>60</v>
          </cell>
          <cell r="I3272">
            <v>60</v>
          </cell>
          <cell r="J3272">
            <v>60</v>
          </cell>
          <cell r="L3272">
            <v>60</v>
          </cell>
          <cell r="M3272">
            <v>90</v>
          </cell>
          <cell r="N3272">
            <v>120</v>
          </cell>
          <cell r="O3272">
            <v>60</v>
          </cell>
          <cell r="P3272">
            <v>120</v>
          </cell>
        </row>
        <row r="3273">
          <cell r="B3273" t="str">
            <v>DD-J10B-71031-110-1</v>
          </cell>
          <cell r="D3273" t="str">
            <v>B</v>
          </cell>
          <cell r="E3273" t="str">
            <v>装夹时间</v>
          </cell>
          <cell r="N3273">
            <v>60</v>
          </cell>
          <cell r="P3273">
            <v>60</v>
          </cell>
        </row>
        <row r="3274">
          <cell r="B3274" t="str">
            <v>DD-J10B-71031-110-1</v>
          </cell>
          <cell r="D3274" t="str">
            <v>B</v>
          </cell>
          <cell r="E3274" t="str">
            <v>程序时间</v>
          </cell>
          <cell r="G3274">
            <v>80</v>
          </cell>
          <cell r="H3274">
            <v>45</v>
          </cell>
          <cell r="I3274">
            <v>110</v>
          </cell>
          <cell r="J3274">
            <v>130</v>
          </cell>
          <cell r="L3274">
            <v>150</v>
          </cell>
          <cell r="M3274">
            <v>160</v>
          </cell>
          <cell r="N3274">
            <v>150</v>
          </cell>
          <cell r="O3274">
            <v>200</v>
          </cell>
          <cell r="P3274">
            <v>135</v>
          </cell>
          <cell r="R3274">
            <v>240</v>
          </cell>
          <cell r="S3274">
            <v>20</v>
          </cell>
        </row>
        <row r="3275">
          <cell r="B3275" t="str">
            <v>CB5714200-001L001</v>
          </cell>
          <cell r="D3275" t="str">
            <v>D</v>
          </cell>
          <cell r="E3275" t="str">
            <v>工序内容</v>
          </cell>
          <cell r="F3275" t="str">
            <v>0/领料</v>
          </cell>
          <cell r="G3275" t="str">
            <v>5/钳工</v>
          </cell>
          <cell r="H3275" t="str">
            <v>10/数铣</v>
          </cell>
          <cell r="I3275" t="str">
            <v>15/数铣</v>
          </cell>
          <cell r="J3275" t="str">
            <v>20/数铣30</v>
          </cell>
          <cell r="K3275" t="str">
            <v>25/数270</v>
          </cell>
          <cell r="L3275" t="str">
            <v>30/数铣35</v>
          </cell>
          <cell r="M3275" t="str">
            <v>35/数铣35</v>
          </cell>
          <cell r="N3275" t="str">
            <v>40/数铣310</v>
          </cell>
          <cell r="O3275" t="str">
            <v>45/五轴20</v>
          </cell>
          <cell r="P3275" t="str">
            <v>50/数铣10</v>
          </cell>
          <cell r="Q3275" t="str">
            <v>55/测量</v>
          </cell>
          <cell r="R3275" t="str">
            <v>60/钳工</v>
          </cell>
          <cell r="S3275" t="str">
            <v>65/数铣</v>
          </cell>
          <cell r="T3275" t="str">
            <v>70/清洁</v>
          </cell>
          <cell r="U3275" t="str">
            <v>75/中检</v>
          </cell>
          <cell r="V3275" t="str">
            <v>80/返厂</v>
          </cell>
          <cell r="W3275" t="str">
            <v>85/检验</v>
          </cell>
          <cell r="X3275" t="str">
            <v>90/硬检</v>
          </cell>
          <cell r="Y3275" t="str">
            <v>95/分光</v>
          </cell>
          <cell r="Z3275" t="str">
            <v>100/钳工</v>
          </cell>
          <cell r="AA3275" t="str">
            <v>105/清洁</v>
          </cell>
          <cell r="AB3275" t="str">
            <v>110/成检</v>
          </cell>
        </row>
        <row r="3276">
          <cell r="B3276" t="str">
            <v>CB5714200-001L001</v>
          </cell>
          <cell r="D3276" t="str">
            <v>D</v>
          </cell>
          <cell r="E3276" t="str">
            <v>准备工时</v>
          </cell>
          <cell r="G3276">
            <v>60</v>
          </cell>
          <cell r="H3276">
            <v>60</v>
          </cell>
          <cell r="I3276">
            <v>90</v>
          </cell>
          <cell r="J3276">
            <v>90</v>
          </cell>
          <cell r="K3276">
            <v>90</v>
          </cell>
          <cell r="L3276">
            <v>90</v>
          </cell>
          <cell r="M3276">
            <v>90</v>
          </cell>
          <cell r="N3276">
            <v>90</v>
          </cell>
          <cell r="O3276">
            <v>120</v>
          </cell>
          <cell r="P3276">
            <v>90</v>
          </cell>
        </row>
        <row r="3277">
          <cell r="B3277" t="str">
            <v>CB5714200-001L001</v>
          </cell>
          <cell r="D3277" t="str">
            <v>D</v>
          </cell>
          <cell r="E3277" t="str">
            <v>装夹时间</v>
          </cell>
          <cell r="O3277">
            <v>60</v>
          </cell>
        </row>
        <row r="3278">
          <cell r="B3278" t="str">
            <v>CB5714200-001L001</v>
          </cell>
          <cell r="D3278" t="str">
            <v>D</v>
          </cell>
          <cell r="E3278" t="str">
            <v>程序时间</v>
          </cell>
          <cell r="G3278">
            <v>40</v>
          </cell>
          <cell r="H3278">
            <v>60</v>
          </cell>
          <cell r="I3278">
            <v>120</v>
          </cell>
          <cell r="J3278">
            <v>65</v>
          </cell>
          <cell r="K3278">
            <v>380</v>
          </cell>
          <cell r="L3278">
            <v>80</v>
          </cell>
          <cell r="M3278">
            <v>80</v>
          </cell>
          <cell r="N3278">
            <v>430</v>
          </cell>
          <cell r="O3278">
            <v>60</v>
          </cell>
          <cell r="P3278">
            <v>50</v>
          </cell>
          <cell r="R3278">
            <v>120</v>
          </cell>
          <cell r="S3278">
            <v>20</v>
          </cell>
          <cell r="Z3278">
            <v>5</v>
          </cell>
        </row>
        <row r="3279">
          <cell r="B3279" t="str">
            <v>CB5714200-001R001</v>
          </cell>
          <cell r="D3279" t="str">
            <v>D</v>
          </cell>
          <cell r="E3279" t="str">
            <v>工序内容</v>
          </cell>
          <cell r="F3279" t="str">
            <v>0/领料</v>
          </cell>
          <cell r="G3279" t="str">
            <v>5/钳工</v>
          </cell>
          <cell r="H3279" t="str">
            <v>10/数铣</v>
          </cell>
          <cell r="I3279" t="str">
            <v>15/数铣</v>
          </cell>
          <cell r="J3279" t="str">
            <v>20/数铣30</v>
          </cell>
          <cell r="K3279" t="str">
            <v>25/数270</v>
          </cell>
          <cell r="L3279" t="str">
            <v>30/数铣35</v>
          </cell>
          <cell r="M3279" t="str">
            <v>35/数铣35</v>
          </cell>
          <cell r="N3279" t="str">
            <v>40/数铣310</v>
          </cell>
          <cell r="O3279" t="str">
            <v>45/五轴20</v>
          </cell>
          <cell r="P3279" t="str">
            <v>50/数铣10</v>
          </cell>
          <cell r="Q3279" t="str">
            <v>55/测量</v>
          </cell>
          <cell r="R3279" t="str">
            <v>60/钳工</v>
          </cell>
          <cell r="S3279" t="str">
            <v>65/数铣</v>
          </cell>
          <cell r="T3279" t="str">
            <v>70/清洁</v>
          </cell>
          <cell r="U3279" t="str">
            <v>75/中检</v>
          </cell>
          <cell r="V3279" t="str">
            <v>80/返厂</v>
          </cell>
          <cell r="W3279" t="str">
            <v>85/检验</v>
          </cell>
          <cell r="X3279" t="str">
            <v>90/硬检</v>
          </cell>
          <cell r="Y3279" t="str">
            <v>95/分光</v>
          </cell>
          <cell r="Z3279" t="str">
            <v>100/钳工</v>
          </cell>
          <cell r="AA3279" t="str">
            <v>105/清洁</v>
          </cell>
          <cell r="AB3279" t="str">
            <v>110/成检</v>
          </cell>
        </row>
        <row r="3280">
          <cell r="B3280" t="str">
            <v>CB5714200-001R001</v>
          </cell>
          <cell r="D3280" t="str">
            <v>D</v>
          </cell>
          <cell r="E3280" t="str">
            <v>准备工时</v>
          </cell>
          <cell r="G3280">
            <v>60</v>
          </cell>
          <cell r="H3280">
            <v>60</v>
          </cell>
          <cell r="I3280">
            <v>90</v>
          </cell>
          <cell r="J3280">
            <v>90</v>
          </cell>
          <cell r="K3280">
            <v>90</v>
          </cell>
          <cell r="L3280">
            <v>90</v>
          </cell>
          <cell r="M3280">
            <v>90</v>
          </cell>
          <cell r="N3280">
            <v>90</v>
          </cell>
          <cell r="O3280">
            <v>120</v>
          </cell>
          <cell r="P3280">
            <v>90</v>
          </cell>
        </row>
        <row r="3281">
          <cell r="B3281" t="str">
            <v>CB5714200-001R001</v>
          </cell>
          <cell r="D3281" t="str">
            <v>D</v>
          </cell>
          <cell r="E3281" t="str">
            <v>装夹时间</v>
          </cell>
          <cell r="O3281">
            <v>60</v>
          </cell>
        </row>
        <row r="3282">
          <cell r="B3282" t="str">
            <v>CB5714200-001R001</v>
          </cell>
          <cell r="D3282" t="str">
            <v>D</v>
          </cell>
          <cell r="E3282" t="str">
            <v>程序时间</v>
          </cell>
          <cell r="G3282">
            <v>40</v>
          </cell>
          <cell r="H3282">
            <v>60</v>
          </cell>
          <cell r="I3282">
            <v>120</v>
          </cell>
          <cell r="J3282">
            <v>65</v>
          </cell>
          <cell r="K3282">
            <v>380</v>
          </cell>
          <cell r="L3282">
            <v>80</v>
          </cell>
          <cell r="M3282">
            <v>80</v>
          </cell>
          <cell r="N3282">
            <v>430</v>
          </cell>
          <cell r="O3282">
            <v>60</v>
          </cell>
          <cell r="P3282">
            <v>50</v>
          </cell>
          <cell r="R3282">
            <v>120</v>
          </cell>
          <cell r="S3282">
            <v>20</v>
          </cell>
          <cell r="Z3282">
            <v>5</v>
          </cell>
        </row>
        <row r="3283">
          <cell r="B3283" t="str">
            <v>CB221T1LD-003-001</v>
          </cell>
          <cell r="D3283" t="str">
            <v>B</v>
          </cell>
          <cell r="E3283" t="str">
            <v>工序内容</v>
          </cell>
          <cell r="F3283" t="str">
            <v>0/领料</v>
          </cell>
          <cell r="G3283" t="str">
            <v>05/线切割</v>
          </cell>
          <cell r="H3283" t="str">
            <v>10/普车10</v>
          </cell>
          <cell r="I3283" t="str">
            <v>15/分光</v>
          </cell>
          <cell r="J3283" t="str">
            <v>20/热处理</v>
          </cell>
          <cell r="K3283" t="str">
            <v>25/车铣</v>
          </cell>
          <cell r="L3283" t="str">
            <v>30/数车25</v>
          </cell>
          <cell r="M3283" t="str">
            <v>35/线切割</v>
          </cell>
          <cell r="N3283" t="str">
            <v>40/穿孔</v>
          </cell>
          <cell r="O3283" t="str">
            <v>45/钳工</v>
          </cell>
          <cell r="P3283" t="str">
            <v>50/清洁</v>
          </cell>
          <cell r="Q3283" t="str">
            <v>55/成检</v>
          </cell>
        </row>
        <row r="3284">
          <cell r="B3284" t="str">
            <v>CB221T1LD-003-001</v>
          </cell>
          <cell r="D3284" t="str">
            <v>B</v>
          </cell>
          <cell r="E3284" t="str">
            <v>准备工时</v>
          </cell>
          <cell r="H3284">
            <v>60</v>
          </cell>
          <cell r="K3284">
            <v>60</v>
          </cell>
          <cell r="L3284">
            <v>120</v>
          </cell>
        </row>
        <row r="3285">
          <cell r="B3285" t="str">
            <v>CB221T1LD-003-001</v>
          </cell>
          <cell r="D3285" t="str">
            <v>B</v>
          </cell>
          <cell r="E3285" t="str">
            <v>程序时间</v>
          </cell>
          <cell r="H3285">
            <v>15</v>
          </cell>
          <cell r="K3285">
            <v>25</v>
          </cell>
          <cell r="L3285">
            <v>40</v>
          </cell>
          <cell r="O3285">
            <v>30</v>
          </cell>
        </row>
        <row r="3286">
          <cell r="B3286" t="str">
            <v>CB5811300-001-001</v>
          </cell>
          <cell r="D3286" t="str">
            <v>B</v>
          </cell>
          <cell r="E3286" t="str">
            <v>工序内容</v>
          </cell>
          <cell r="F3286" t="str">
            <v>0/领料</v>
          </cell>
          <cell r="G3286" t="str">
            <v>05/数车30</v>
          </cell>
          <cell r="H3286" t="str">
            <v>10/数车5</v>
          </cell>
          <cell r="I3286" t="str">
            <v>15/数铣10</v>
          </cell>
          <cell r="J3286" t="str">
            <v>20/钳工</v>
          </cell>
          <cell r="K3286" t="str">
            <v>25/分光</v>
          </cell>
          <cell r="L3286" t="str">
            <v>30/热处理</v>
          </cell>
          <cell r="M3286" t="str">
            <v>35/数铣10</v>
          </cell>
          <cell r="N3286" t="str">
            <v>40/数铣10</v>
          </cell>
          <cell r="O3286" t="str">
            <v>45/数车30</v>
          </cell>
          <cell r="P3286" t="str">
            <v>50/数车15</v>
          </cell>
          <cell r="Q3286" t="str">
            <v>55/钳工</v>
          </cell>
          <cell r="R3286" t="str">
            <v>60/清洁</v>
          </cell>
          <cell r="S3286" t="str">
            <v>65/成检</v>
          </cell>
        </row>
        <row r="3287">
          <cell r="B3287" t="str">
            <v>CB5811300-001-001</v>
          </cell>
          <cell r="D3287" t="str">
            <v>B</v>
          </cell>
          <cell r="E3287" t="str">
            <v>准备工时</v>
          </cell>
          <cell r="G3287">
            <v>90</v>
          </cell>
          <cell r="H3287">
            <v>90</v>
          </cell>
          <cell r="I3287">
            <v>60</v>
          </cell>
          <cell r="M3287">
            <v>90</v>
          </cell>
          <cell r="N3287">
            <v>90</v>
          </cell>
          <cell r="O3287">
            <v>90</v>
          </cell>
          <cell r="P3287">
            <v>90</v>
          </cell>
        </row>
        <row r="3288">
          <cell r="B3288" t="str">
            <v>CB5811300-001-001</v>
          </cell>
          <cell r="D3288" t="str">
            <v>B</v>
          </cell>
          <cell r="E3288" t="str">
            <v>程序时间</v>
          </cell>
          <cell r="G3288">
            <v>45</v>
          </cell>
          <cell r="H3288">
            <v>15</v>
          </cell>
          <cell r="I3288">
            <v>25</v>
          </cell>
          <cell r="J3288">
            <v>20</v>
          </cell>
          <cell r="M3288">
            <v>30</v>
          </cell>
          <cell r="N3288">
            <v>40</v>
          </cell>
          <cell r="O3288">
            <v>50</v>
          </cell>
          <cell r="P3288">
            <v>25</v>
          </cell>
          <cell r="Q3288">
            <v>25</v>
          </cell>
        </row>
        <row r="3289">
          <cell r="B3289" t="str">
            <v>CB5811100-005-001</v>
          </cell>
          <cell r="D3289" t="str">
            <v>C</v>
          </cell>
          <cell r="E3289" t="str">
            <v>工序内容</v>
          </cell>
          <cell r="F3289" t="str">
            <v>0/领料</v>
          </cell>
          <cell r="G3289" t="str">
            <v>05/下料</v>
          </cell>
          <cell r="H3289" t="str">
            <v>10/线切割</v>
          </cell>
          <cell r="I3289" t="str">
            <v>15/数车60</v>
          </cell>
          <cell r="J3289" t="str">
            <v>20/数车25</v>
          </cell>
          <cell r="K3289" t="str">
            <v>25/数车35</v>
          </cell>
          <cell r="L3289" t="str">
            <v>30/数车30</v>
          </cell>
          <cell r="M3289" t="str">
            <v>35/数铣30</v>
          </cell>
          <cell r="N3289" t="str">
            <v>40/数铣15</v>
          </cell>
          <cell r="O3289" t="str">
            <v>45/钳工</v>
          </cell>
          <cell r="P3289" t="str">
            <v>50/分光</v>
          </cell>
          <cell r="Q3289" t="str">
            <v>55/热处理</v>
          </cell>
          <cell r="R3289" t="str">
            <v>60/数车35</v>
          </cell>
          <cell r="S3289" t="str">
            <v>65/数车10</v>
          </cell>
          <cell r="T3289" t="str">
            <v>70/钳工</v>
          </cell>
          <cell r="U3289" t="str">
            <v>75/清洁</v>
          </cell>
          <cell r="V3289" t="str">
            <v>80/成检</v>
          </cell>
        </row>
        <row r="3290">
          <cell r="B3290" t="str">
            <v>CB5811100-005-001</v>
          </cell>
          <cell r="D3290" t="str">
            <v>C</v>
          </cell>
          <cell r="E3290" t="str">
            <v>准备工时</v>
          </cell>
          <cell r="I3290">
            <v>60</v>
          </cell>
          <cell r="J3290">
            <v>90</v>
          </cell>
          <cell r="K3290">
            <v>90</v>
          </cell>
          <cell r="L3290">
            <v>120</v>
          </cell>
          <cell r="M3290">
            <v>60</v>
          </cell>
          <cell r="N3290">
            <v>60</v>
          </cell>
          <cell r="R3290">
            <v>90</v>
          </cell>
          <cell r="S3290">
            <v>90</v>
          </cell>
        </row>
        <row r="3291">
          <cell r="B3291" t="str">
            <v>CB5811100-005-001</v>
          </cell>
          <cell r="D3291" t="str">
            <v>C</v>
          </cell>
          <cell r="E3291" t="str">
            <v>程序时间</v>
          </cell>
          <cell r="G3291">
            <v>30</v>
          </cell>
          <cell r="I3291">
            <v>60</v>
          </cell>
          <cell r="J3291">
            <v>25</v>
          </cell>
          <cell r="K3291">
            <v>35</v>
          </cell>
          <cell r="L3291">
            <v>45</v>
          </cell>
          <cell r="M3291">
            <v>50</v>
          </cell>
          <cell r="N3291">
            <v>30</v>
          </cell>
          <cell r="O3291">
            <v>30</v>
          </cell>
          <cell r="R3291">
            <v>50</v>
          </cell>
          <cell r="S3291">
            <v>25</v>
          </cell>
          <cell r="T3291">
            <v>10</v>
          </cell>
        </row>
        <row r="3292">
          <cell r="B3292" t="str">
            <v>CB2747G10-002-002</v>
          </cell>
          <cell r="D3292" t="str">
            <v>B</v>
          </cell>
          <cell r="E3292" t="str">
            <v>工序内容</v>
          </cell>
          <cell r="F3292" t="str">
            <v>0/领料</v>
          </cell>
          <cell r="G3292" t="str">
            <v>05/普车30</v>
          </cell>
          <cell r="H3292" t="str">
            <v>10/数车45</v>
          </cell>
          <cell r="I3292" t="str">
            <v>15/数车15</v>
          </cell>
          <cell r="J3292" t="str">
            <v>20/数铣10</v>
          </cell>
          <cell r="K3292" t="str">
            <v>25/分光</v>
          </cell>
          <cell r="L3292" t="str">
            <v>30/数车15</v>
          </cell>
          <cell r="M3292" t="str">
            <v>35/穿孔</v>
          </cell>
          <cell r="N3292" t="str">
            <v>40/钳工</v>
          </cell>
          <cell r="O3292" t="str">
            <v>45/清洁</v>
          </cell>
          <cell r="P3292" t="str">
            <v>50/成检</v>
          </cell>
          <cell r="Q3292" t="str">
            <v>50测量</v>
          </cell>
        </row>
        <row r="3293">
          <cell r="B3293" t="str">
            <v>CB2747G10-002-002</v>
          </cell>
          <cell r="D3293" t="str">
            <v>B</v>
          </cell>
          <cell r="E3293" t="str">
            <v>准备工时</v>
          </cell>
          <cell r="G3293">
            <v>60</v>
          </cell>
          <cell r="H3293">
            <v>90</v>
          </cell>
          <cell r="I3293">
            <v>90</v>
          </cell>
          <cell r="J3293">
            <v>60</v>
          </cell>
          <cell r="L3293">
            <v>90</v>
          </cell>
        </row>
        <row r="3294">
          <cell r="B3294" t="str">
            <v>CB2747G10-002-002</v>
          </cell>
          <cell r="D3294" t="str">
            <v>B</v>
          </cell>
          <cell r="E3294" t="str">
            <v>程序时间</v>
          </cell>
          <cell r="G3294">
            <v>30</v>
          </cell>
          <cell r="H3294">
            <v>60</v>
          </cell>
          <cell r="I3294">
            <v>25</v>
          </cell>
          <cell r="J3294">
            <v>30</v>
          </cell>
          <cell r="L3294">
            <v>25</v>
          </cell>
          <cell r="N3294">
            <v>30</v>
          </cell>
        </row>
        <row r="3295">
          <cell r="B3295" t="str">
            <v>CB5327220-002L/R002</v>
          </cell>
          <cell r="D3295" t="str">
            <v>A</v>
          </cell>
          <cell r="E3295" t="str">
            <v>工序内容</v>
          </cell>
          <cell r="F3295" t="str">
            <v>0/领料</v>
          </cell>
          <cell r="G3295" t="str">
            <v>5/下料</v>
          </cell>
          <cell r="H3295" t="str">
            <v>10/数铣</v>
          </cell>
          <cell r="I3295" t="str">
            <v>15/数铣35</v>
          </cell>
          <cell r="J3295" t="str">
            <v>20/数铣60</v>
          </cell>
          <cell r="K3295" t="str">
            <v>25/数铣230</v>
          </cell>
          <cell r="L3295" t="str">
            <v>30/钳工</v>
          </cell>
          <cell r="M3295" t="str">
            <v>35/测量</v>
          </cell>
          <cell r="N3295" t="str">
            <v>40/清洁</v>
          </cell>
          <cell r="O3295" t="str">
            <v>45/检验</v>
          </cell>
        </row>
        <row r="3296">
          <cell r="B3296" t="str">
            <v>CB5327220-002L/R002</v>
          </cell>
          <cell r="D3296" t="str">
            <v>A</v>
          </cell>
          <cell r="E3296" t="str">
            <v>准备工时</v>
          </cell>
          <cell r="H3296">
            <v>60</v>
          </cell>
          <cell r="I3296">
            <v>60</v>
          </cell>
          <cell r="J3296">
            <v>60</v>
          </cell>
          <cell r="K3296">
            <v>90</v>
          </cell>
        </row>
        <row r="3297">
          <cell r="B3297" t="str">
            <v>CB5327220-002L/R002</v>
          </cell>
          <cell r="D3297" t="str">
            <v>A</v>
          </cell>
          <cell r="E3297" t="str">
            <v>装夹时间</v>
          </cell>
          <cell r="H3297">
            <v>90</v>
          </cell>
          <cell r="I3297">
            <v>60</v>
          </cell>
          <cell r="J3297">
            <v>120</v>
          </cell>
          <cell r="K3297">
            <v>120</v>
          </cell>
        </row>
        <row r="3298">
          <cell r="B3298" t="str">
            <v>CB5327220-002L/R002</v>
          </cell>
          <cell r="D3298" t="str">
            <v>A</v>
          </cell>
          <cell r="E3298" t="str">
            <v>程序时间</v>
          </cell>
          <cell r="H3298">
            <v>90</v>
          </cell>
          <cell r="I3298">
            <v>80</v>
          </cell>
          <cell r="J3298">
            <v>90</v>
          </cell>
          <cell r="K3298">
            <v>400</v>
          </cell>
          <cell r="L3298">
            <v>100</v>
          </cell>
        </row>
        <row r="3299">
          <cell r="B3299" t="str">
            <v>CB5714200-005L002</v>
          </cell>
          <cell r="D3299" t="str">
            <v>D</v>
          </cell>
          <cell r="E3299" t="str">
            <v>工序内容</v>
          </cell>
          <cell r="F3299" t="str">
            <v>0/领料</v>
          </cell>
          <cell r="G3299" t="str">
            <v>5/钳工</v>
          </cell>
          <cell r="H3299" t="str">
            <v>10/数铣</v>
          </cell>
          <cell r="I3299" t="str">
            <v>15/数铣</v>
          </cell>
          <cell r="J3299" t="str">
            <v>20/数铣40</v>
          </cell>
          <cell r="K3299" t="str">
            <v>25/数铣520</v>
          </cell>
          <cell r="L3299" t="str">
            <v>30/数铣480</v>
          </cell>
          <cell r="M3299" t="str">
            <v>35/五轴20</v>
          </cell>
          <cell r="N3299" t="str">
            <v>40/数铣20</v>
          </cell>
          <cell r="O3299" t="str">
            <v>45/测量</v>
          </cell>
          <cell r="P3299" t="str">
            <v>50/钳工</v>
          </cell>
          <cell r="Q3299" t="str">
            <v>55/清洁</v>
          </cell>
          <cell r="R3299" t="str">
            <v>60/中检</v>
          </cell>
          <cell r="S3299" t="str">
            <v>65/返厂</v>
          </cell>
          <cell r="T3299" t="str">
            <v>70/返厂</v>
          </cell>
          <cell r="U3299" t="str">
            <v>75/钳工</v>
          </cell>
          <cell r="V3299" t="str">
            <v>80/成检</v>
          </cell>
          <cell r="W3299" t="str">
            <v>80/成检</v>
          </cell>
        </row>
        <row r="3300">
          <cell r="B3300" t="str">
            <v>CB5714200-005L002</v>
          </cell>
          <cell r="D3300" t="str">
            <v>D</v>
          </cell>
          <cell r="E3300" t="str">
            <v>准备工时</v>
          </cell>
          <cell r="H3300">
            <v>60</v>
          </cell>
          <cell r="I3300">
            <v>60</v>
          </cell>
          <cell r="J3300">
            <v>60</v>
          </cell>
          <cell r="K3300">
            <v>90</v>
          </cell>
          <cell r="L3300">
            <v>60</v>
          </cell>
          <cell r="M3300">
            <v>60</v>
          </cell>
          <cell r="N3300">
            <v>60</v>
          </cell>
        </row>
        <row r="3301">
          <cell r="B3301" t="str">
            <v>CB5714200-005L002</v>
          </cell>
          <cell r="D3301" t="str">
            <v>D</v>
          </cell>
          <cell r="E3301" t="str">
            <v>装夹时间</v>
          </cell>
          <cell r="G3301">
            <v>60</v>
          </cell>
          <cell r="H3301">
            <v>60</v>
          </cell>
          <cell r="I3301">
            <v>60</v>
          </cell>
          <cell r="J3301">
            <v>60</v>
          </cell>
          <cell r="K3301">
            <v>60</v>
          </cell>
          <cell r="L3301">
            <v>60</v>
          </cell>
          <cell r="M3301">
            <v>60</v>
          </cell>
          <cell r="N3301">
            <v>60</v>
          </cell>
        </row>
        <row r="3302">
          <cell r="B3302" t="str">
            <v>CB5714200-005L002</v>
          </cell>
          <cell r="D3302" t="str">
            <v>D</v>
          </cell>
          <cell r="E3302" t="str">
            <v>程序时间</v>
          </cell>
          <cell r="G3302">
            <v>40</v>
          </cell>
          <cell r="H3302">
            <v>60</v>
          </cell>
          <cell r="I3302">
            <v>60</v>
          </cell>
          <cell r="J3302">
            <v>60</v>
          </cell>
          <cell r="K3302">
            <v>780</v>
          </cell>
          <cell r="L3302">
            <v>720</v>
          </cell>
          <cell r="M3302">
            <v>60</v>
          </cell>
          <cell r="N3302">
            <v>30</v>
          </cell>
          <cell r="P3302">
            <v>240</v>
          </cell>
          <cell r="U3302">
            <v>5</v>
          </cell>
        </row>
        <row r="3303">
          <cell r="B3303" t="str">
            <v>DD-J10B-04041-1</v>
          </cell>
          <cell r="D3303" t="str">
            <v>A</v>
          </cell>
          <cell r="E3303" t="str">
            <v>工序内容</v>
          </cell>
          <cell r="F3303" t="str">
            <v>0/领料</v>
          </cell>
          <cell r="G3303" t="str">
            <v>5/钳工</v>
          </cell>
          <cell r="H3303" t="str">
            <v>10/检验</v>
          </cell>
          <cell r="I3303" t="str">
            <v>15/数铣200</v>
          </cell>
          <cell r="J3303" t="str">
            <v>20/数铣170</v>
          </cell>
          <cell r="K3303" t="str">
            <v>25/数铣210</v>
          </cell>
          <cell r="L3303" t="str">
            <v>30/数铣240</v>
          </cell>
          <cell r="M3303" t="str">
            <v>35/检验</v>
          </cell>
          <cell r="N3303" t="str">
            <v>40/超声波</v>
          </cell>
          <cell r="O3303" t="str">
            <v>45/数铣250</v>
          </cell>
          <cell r="P3303" t="str">
            <v>50/数铣320</v>
          </cell>
          <cell r="Q3303" t="str">
            <v>55/数铣540</v>
          </cell>
          <cell r="R3303" t="str">
            <v>60/数铣380</v>
          </cell>
          <cell r="S3303" t="str">
            <v>65/钳工</v>
          </cell>
          <cell r="T3303" t="str">
            <v>70/清洁</v>
          </cell>
          <cell r="U3303" t="str">
            <v>75/测量</v>
          </cell>
          <cell r="V3303" t="str">
            <v>80/清洗</v>
          </cell>
          <cell r="W3303" t="str">
            <v>85/成检</v>
          </cell>
        </row>
        <row r="3304">
          <cell r="B3304" t="str">
            <v>DD-J10B-04041-1</v>
          </cell>
          <cell r="D3304" t="str">
            <v>A</v>
          </cell>
          <cell r="E3304" t="str">
            <v>准备工时</v>
          </cell>
          <cell r="I3304">
            <v>180</v>
          </cell>
          <cell r="J3304">
            <v>180</v>
          </cell>
          <cell r="K3304">
            <v>180</v>
          </cell>
          <cell r="L3304">
            <v>180</v>
          </cell>
          <cell r="O3304">
            <v>180</v>
          </cell>
          <cell r="P3304">
            <v>180</v>
          </cell>
          <cell r="Q3304">
            <v>180</v>
          </cell>
          <cell r="R3304">
            <v>180</v>
          </cell>
        </row>
        <row r="3305">
          <cell r="B3305" t="str">
            <v>DD-J10B-04041-1</v>
          </cell>
          <cell r="D3305" t="str">
            <v>A</v>
          </cell>
          <cell r="E3305" t="str">
            <v>装夹时间</v>
          </cell>
          <cell r="I3305">
            <v>120</v>
          </cell>
          <cell r="J3305">
            <v>120</v>
          </cell>
          <cell r="K3305">
            <v>120</v>
          </cell>
          <cell r="L3305">
            <v>120</v>
          </cell>
          <cell r="O3305">
            <v>120</v>
          </cell>
          <cell r="P3305">
            <v>120</v>
          </cell>
          <cell r="Q3305">
            <v>120</v>
          </cell>
          <cell r="R3305">
            <v>120</v>
          </cell>
        </row>
        <row r="3306">
          <cell r="B3306" t="str">
            <v>DD-J10B-04041-1</v>
          </cell>
          <cell r="D3306" t="str">
            <v>A</v>
          </cell>
          <cell r="E3306" t="str">
            <v>程序时间</v>
          </cell>
          <cell r="I3306">
            <v>600</v>
          </cell>
          <cell r="J3306">
            <v>330</v>
          </cell>
          <cell r="K3306">
            <v>420</v>
          </cell>
          <cell r="L3306">
            <v>420</v>
          </cell>
          <cell r="O3306">
            <v>480</v>
          </cell>
          <cell r="P3306">
            <v>510</v>
          </cell>
          <cell r="Q3306">
            <v>720</v>
          </cell>
          <cell r="R3306">
            <v>660</v>
          </cell>
          <cell r="S3306">
            <v>360</v>
          </cell>
        </row>
        <row r="3307">
          <cell r="B3307" t="str">
            <v>C571110200-002L001</v>
          </cell>
          <cell r="D3307" t="str">
            <v>A</v>
          </cell>
          <cell r="E3307" t="str">
            <v>工序内容</v>
          </cell>
          <cell r="F3307" t="str">
            <v>0领料</v>
          </cell>
          <cell r="G3307" t="str">
            <v>05数铣</v>
          </cell>
          <cell r="H3307" t="str">
            <v>10数铣12</v>
          </cell>
          <cell r="I3307" t="str">
            <v>15数铣160</v>
          </cell>
          <cell r="J3307" t="str">
            <v>20测量</v>
          </cell>
          <cell r="K3307" t="str">
            <v>25钳工</v>
          </cell>
          <cell r="L3307" t="str">
            <v>30清洁</v>
          </cell>
          <cell r="M3307" t="str">
            <v>35成检</v>
          </cell>
        </row>
        <row r="3308">
          <cell r="B3308" t="str">
            <v>C571110200-002L001</v>
          </cell>
          <cell r="D3308" t="str">
            <v>A</v>
          </cell>
          <cell r="E3308" t="str">
            <v>准备工时</v>
          </cell>
          <cell r="G3308">
            <v>60</v>
          </cell>
          <cell r="H3308">
            <v>60</v>
          </cell>
          <cell r="I3308">
            <v>90</v>
          </cell>
        </row>
        <row r="3309">
          <cell r="B3309" t="str">
            <v>C571110200-002L001</v>
          </cell>
          <cell r="D3309" t="str">
            <v>A</v>
          </cell>
          <cell r="E3309" t="str">
            <v>程序时间</v>
          </cell>
          <cell r="G3309">
            <v>40</v>
          </cell>
          <cell r="H3309">
            <v>50</v>
          </cell>
          <cell r="I3309">
            <v>230</v>
          </cell>
          <cell r="K3309">
            <v>80</v>
          </cell>
        </row>
        <row r="3310">
          <cell r="B3310" t="str">
            <v>C571110200-002R001</v>
          </cell>
          <cell r="D3310" t="str">
            <v>A</v>
          </cell>
          <cell r="E3310" t="str">
            <v>工序内容</v>
          </cell>
          <cell r="F3310" t="str">
            <v>0领料</v>
          </cell>
          <cell r="G3310" t="str">
            <v>05数铣</v>
          </cell>
          <cell r="H3310" t="str">
            <v>10数铣12</v>
          </cell>
          <cell r="I3310" t="str">
            <v>15数铣160</v>
          </cell>
          <cell r="J3310" t="str">
            <v>20测量</v>
          </cell>
          <cell r="K3310" t="str">
            <v>25钳工</v>
          </cell>
          <cell r="L3310" t="str">
            <v>30清洁</v>
          </cell>
          <cell r="M3310" t="str">
            <v>35成检</v>
          </cell>
        </row>
        <row r="3311">
          <cell r="B3311" t="str">
            <v>C571110200-002R001</v>
          </cell>
          <cell r="D3311" t="str">
            <v>A</v>
          </cell>
          <cell r="E3311" t="str">
            <v>准备工时</v>
          </cell>
          <cell r="G3311">
            <v>60</v>
          </cell>
          <cell r="H3311">
            <v>60</v>
          </cell>
          <cell r="I3311">
            <v>90</v>
          </cell>
        </row>
        <row r="3312">
          <cell r="B3312" t="str">
            <v>C571110200-002R001</v>
          </cell>
          <cell r="D3312" t="str">
            <v>A</v>
          </cell>
          <cell r="E3312" t="str">
            <v>程序时间</v>
          </cell>
          <cell r="G3312">
            <v>40</v>
          </cell>
          <cell r="H3312">
            <v>50</v>
          </cell>
          <cell r="I3312">
            <v>230</v>
          </cell>
          <cell r="K3312">
            <v>80</v>
          </cell>
        </row>
        <row r="3313">
          <cell r="B3313" t="str">
            <v>C571110200-003L001</v>
          </cell>
          <cell r="D3313" t="str">
            <v>A</v>
          </cell>
          <cell r="E3313" t="str">
            <v>工序内容</v>
          </cell>
          <cell r="F3313" t="str">
            <v>0领料</v>
          </cell>
          <cell r="G3313" t="str">
            <v>05数铣</v>
          </cell>
          <cell r="H3313" t="str">
            <v>10数铣12</v>
          </cell>
          <cell r="I3313" t="str">
            <v>15数铣160</v>
          </cell>
          <cell r="J3313" t="str">
            <v>20测量</v>
          </cell>
          <cell r="K3313" t="str">
            <v>25钳工</v>
          </cell>
          <cell r="L3313" t="str">
            <v>30清洁</v>
          </cell>
          <cell r="M3313" t="str">
            <v>35成检</v>
          </cell>
        </row>
        <row r="3314">
          <cell r="B3314" t="str">
            <v>C571110200-003L001</v>
          </cell>
          <cell r="D3314" t="str">
            <v>A</v>
          </cell>
          <cell r="E3314" t="str">
            <v>准备工时</v>
          </cell>
          <cell r="G3314">
            <v>60</v>
          </cell>
          <cell r="H3314">
            <v>60</v>
          </cell>
          <cell r="I3314">
            <v>90</v>
          </cell>
        </row>
        <row r="3315">
          <cell r="B3315" t="str">
            <v>C571110200-003L001</v>
          </cell>
          <cell r="D3315" t="str">
            <v>A</v>
          </cell>
          <cell r="E3315" t="str">
            <v>程序时间</v>
          </cell>
          <cell r="G3315">
            <v>40</v>
          </cell>
          <cell r="H3315">
            <v>50</v>
          </cell>
          <cell r="I3315">
            <v>230</v>
          </cell>
          <cell r="K3315">
            <v>80</v>
          </cell>
        </row>
        <row r="3316">
          <cell r="B3316" t="str">
            <v>C571110200-003R001</v>
          </cell>
          <cell r="D3316" t="str">
            <v>A</v>
          </cell>
          <cell r="E3316" t="str">
            <v>工序内容</v>
          </cell>
          <cell r="F3316" t="str">
            <v>0领料</v>
          </cell>
          <cell r="G3316" t="str">
            <v>05数铣</v>
          </cell>
          <cell r="H3316" t="str">
            <v>10数铣12</v>
          </cell>
          <cell r="I3316" t="str">
            <v>15数铣160</v>
          </cell>
          <cell r="J3316" t="str">
            <v>20测量</v>
          </cell>
          <cell r="K3316" t="str">
            <v>25钳工</v>
          </cell>
          <cell r="L3316" t="str">
            <v>30清洁</v>
          </cell>
          <cell r="M3316" t="str">
            <v>35成检</v>
          </cell>
        </row>
        <row r="3317">
          <cell r="B3317" t="str">
            <v>C571110200-003R001</v>
          </cell>
          <cell r="D3317" t="str">
            <v>A</v>
          </cell>
          <cell r="E3317" t="str">
            <v>准备工时</v>
          </cell>
          <cell r="G3317">
            <v>60</v>
          </cell>
          <cell r="H3317">
            <v>60</v>
          </cell>
          <cell r="I3317">
            <v>90</v>
          </cell>
        </row>
        <row r="3318">
          <cell r="B3318" t="str">
            <v>C571110200-003R001</v>
          </cell>
          <cell r="D3318" t="str">
            <v>A</v>
          </cell>
          <cell r="E3318" t="str">
            <v>程序时间</v>
          </cell>
          <cell r="G3318">
            <v>40</v>
          </cell>
          <cell r="H3318">
            <v>50</v>
          </cell>
          <cell r="I3318">
            <v>230</v>
          </cell>
          <cell r="K3318">
            <v>80</v>
          </cell>
        </row>
        <row r="3319">
          <cell r="B3319" t="str">
            <v>LTCS-551101400-06N02</v>
          </cell>
          <cell r="D3319" t="str">
            <v>B</v>
          </cell>
          <cell r="E3319" t="str">
            <v>工序内容</v>
          </cell>
          <cell r="F3319" t="str">
            <v>0/领料</v>
          </cell>
          <cell r="G3319" t="str">
            <v>5/数铣</v>
          </cell>
          <cell r="H3319" t="str">
            <v>10/数铣15</v>
          </cell>
          <cell r="I3319" t="str">
            <v>15/数铣80</v>
          </cell>
          <cell r="J3319" t="str">
            <v>20/数铣40</v>
          </cell>
          <cell r="K3319" t="str">
            <v>25/数铣15</v>
          </cell>
          <cell r="L3319" t="str">
            <v>30/测量</v>
          </cell>
          <cell r="M3319" t="str">
            <v>35/钳工</v>
          </cell>
          <cell r="N3319" t="str">
            <v>40/清洁</v>
          </cell>
          <cell r="O3319" t="str">
            <v>45/成检</v>
          </cell>
        </row>
        <row r="3320">
          <cell r="B3320" t="str">
            <v>LTCS-551101400-06N02</v>
          </cell>
          <cell r="D3320" t="str">
            <v>B</v>
          </cell>
          <cell r="E3320" t="str">
            <v>准备工时</v>
          </cell>
          <cell r="G3320">
            <v>60</v>
          </cell>
          <cell r="H3320">
            <v>90</v>
          </cell>
          <cell r="I3320">
            <v>120</v>
          </cell>
          <cell r="J3320">
            <v>90</v>
          </cell>
          <cell r="K3320">
            <v>60</v>
          </cell>
        </row>
        <row r="3321">
          <cell r="B3321" t="str">
            <v>LTCS-551101400-06N02</v>
          </cell>
          <cell r="D3321" t="str">
            <v>B</v>
          </cell>
          <cell r="E3321" t="str">
            <v>程序时间</v>
          </cell>
          <cell r="G3321">
            <v>60</v>
          </cell>
          <cell r="H3321">
            <v>45</v>
          </cell>
          <cell r="I3321">
            <v>60</v>
          </cell>
          <cell r="J3321">
            <v>180</v>
          </cell>
          <cell r="K3321">
            <v>30</v>
          </cell>
          <cell r="M3321">
            <v>50</v>
          </cell>
        </row>
        <row r="3322">
          <cell r="B3322" t="str">
            <v>DD-J10-91001-1</v>
          </cell>
          <cell r="D3322" t="str">
            <v>F</v>
          </cell>
          <cell r="E3322" t="str">
            <v>工序内容</v>
          </cell>
          <cell r="F3322" t="str">
            <v>0/领料</v>
          </cell>
          <cell r="G3322" t="str">
            <v>05/数铣</v>
          </cell>
          <cell r="H3322" t="str">
            <v>10/数铣30</v>
          </cell>
          <cell r="I3322" t="str">
            <v>15/数铣120</v>
          </cell>
          <cell r="J3322" t="str">
            <v>20/数铣5</v>
          </cell>
          <cell r="K3322" t="str">
            <v>25/钳工</v>
          </cell>
          <cell r="L3322" t="str">
            <v>30/检验</v>
          </cell>
          <cell r="M3322" t="str">
            <v>35/热处理</v>
          </cell>
          <cell r="N3322" t="str">
            <v>40/钳工</v>
          </cell>
          <cell r="O3322" t="str">
            <v>45/数铣5</v>
          </cell>
          <cell r="P3322" t="str">
            <v>50/钳工</v>
          </cell>
          <cell r="Q3322" t="str">
            <v>55/清洁</v>
          </cell>
          <cell r="R3322" t="str">
            <v>60/成检</v>
          </cell>
        </row>
        <row r="3323">
          <cell r="B3323" t="str">
            <v>DD-J10-91001-1</v>
          </cell>
          <cell r="D3323" t="str">
            <v>F</v>
          </cell>
          <cell r="E3323" t="str">
            <v>准备工时</v>
          </cell>
          <cell r="G3323">
            <v>60</v>
          </cell>
          <cell r="H3323">
            <v>60</v>
          </cell>
          <cell r="I3323">
            <v>60</v>
          </cell>
          <cell r="J3323">
            <v>90</v>
          </cell>
          <cell r="O3323">
            <v>90</v>
          </cell>
        </row>
        <row r="3324">
          <cell r="B3324" t="str">
            <v>DD-J10-91001-1</v>
          </cell>
          <cell r="D3324" t="str">
            <v>F</v>
          </cell>
          <cell r="E3324" t="str">
            <v>程序时间</v>
          </cell>
          <cell r="G3324">
            <v>60</v>
          </cell>
          <cell r="H3324">
            <v>50</v>
          </cell>
          <cell r="I3324">
            <v>190</v>
          </cell>
          <cell r="J3324">
            <v>20</v>
          </cell>
          <cell r="K3324">
            <v>30</v>
          </cell>
          <cell r="N3324">
            <v>30</v>
          </cell>
          <cell r="O3324">
            <v>30</v>
          </cell>
          <cell r="P3324">
            <v>50</v>
          </cell>
        </row>
        <row r="3325">
          <cell r="B3325" t="str">
            <v>C532222810-015-001</v>
          </cell>
          <cell r="D3325" t="str">
            <v>A</v>
          </cell>
          <cell r="E3325" t="str">
            <v>工序内容</v>
          </cell>
          <cell r="F3325" t="str">
            <v>0领料</v>
          </cell>
          <cell r="G3325" t="str">
            <v>02数铣</v>
          </cell>
          <cell r="H3325" t="str">
            <v>5数铣25</v>
          </cell>
          <cell r="I3325" t="str">
            <v>10数铣85</v>
          </cell>
          <cell r="J3325" t="str">
            <v>15五轴140</v>
          </cell>
          <cell r="K3325" t="str">
            <v>20钳工</v>
          </cell>
          <cell r="L3325" t="str">
            <v>23测量</v>
          </cell>
          <cell r="M3325" t="str">
            <v>30清洁</v>
          </cell>
          <cell r="N3325" t="str">
            <v>35成检</v>
          </cell>
        </row>
        <row r="3326">
          <cell r="B3326" t="str">
            <v>C532222810-015-001</v>
          </cell>
          <cell r="D3326" t="str">
            <v>A</v>
          </cell>
          <cell r="E3326" t="str">
            <v>准备工时</v>
          </cell>
          <cell r="G3326">
            <v>60</v>
          </cell>
          <cell r="H3326">
            <v>90</v>
          </cell>
          <cell r="I3326">
            <v>90</v>
          </cell>
          <cell r="J3326">
            <v>120</v>
          </cell>
        </row>
        <row r="3327">
          <cell r="B3327" t="str">
            <v>C532222810-015-001</v>
          </cell>
          <cell r="D3327" t="str">
            <v>A</v>
          </cell>
          <cell r="E3327" t="str">
            <v>装夹时间</v>
          </cell>
          <cell r="J3327">
            <v>60</v>
          </cell>
        </row>
        <row r="3328">
          <cell r="B3328" t="str">
            <v>C532222810-015-001</v>
          </cell>
          <cell r="D3328" t="str">
            <v>A</v>
          </cell>
          <cell r="E3328" t="str">
            <v>程序时间</v>
          </cell>
          <cell r="G3328">
            <v>40</v>
          </cell>
          <cell r="H3328">
            <v>50</v>
          </cell>
          <cell r="I3328">
            <v>150</v>
          </cell>
          <cell r="J3328">
            <v>420</v>
          </cell>
          <cell r="K3328">
            <v>80</v>
          </cell>
        </row>
        <row r="3329">
          <cell r="B3329" t="str">
            <v>C532222810-015-001</v>
          </cell>
          <cell r="D3329" t="str">
            <v>B</v>
          </cell>
          <cell r="E3329" t="str">
            <v>工序内容</v>
          </cell>
          <cell r="F3329" t="str">
            <v>0领料</v>
          </cell>
          <cell r="G3329" t="str">
            <v>05数铣</v>
          </cell>
          <cell r="H3329" t="str">
            <v>10数铣25</v>
          </cell>
          <cell r="I3329" t="str">
            <v>15数铣85</v>
          </cell>
          <cell r="J3329" t="str">
            <v>20五轴140</v>
          </cell>
          <cell r="K3329" t="str">
            <v>25钳工</v>
          </cell>
          <cell r="L3329" t="str">
            <v>30称重</v>
          </cell>
          <cell r="M3329" t="str">
            <v>35测量</v>
          </cell>
          <cell r="N3329" t="str">
            <v>40清洁</v>
          </cell>
          <cell r="O3329" t="str">
            <v>45成检</v>
          </cell>
        </row>
        <row r="3330">
          <cell r="B3330" t="str">
            <v>C532222810-015-001</v>
          </cell>
          <cell r="D3330" t="str">
            <v>B</v>
          </cell>
          <cell r="E3330" t="str">
            <v>准备工时</v>
          </cell>
          <cell r="G3330">
            <v>60</v>
          </cell>
          <cell r="H3330">
            <v>90</v>
          </cell>
          <cell r="I3330">
            <v>90</v>
          </cell>
          <cell r="J3330">
            <v>120</v>
          </cell>
        </row>
        <row r="3331">
          <cell r="B3331" t="str">
            <v>C532222810-015-001</v>
          </cell>
          <cell r="D3331" t="str">
            <v>B</v>
          </cell>
          <cell r="E3331" t="str">
            <v>装夹时间</v>
          </cell>
          <cell r="J3331">
            <v>60</v>
          </cell>
        </row>
        <row r="3332">
          <cell r="B3332" t="str">
            <v>C532222810-015-001</v>
          </cell>
          <cell r="D3332" t="str">
            <v>B</v>
          </cell>
          <cell r="E3332" t="str">
            <v>程序时间</v>
          </cell>
          <cell r="G3332">
            <v>40</v>
          </cell>
          <cell r="H3332">
            <v>50</v>
          </cell>
          <cell r="I3332">
            <v>150</v>
          </cell>
          <cell r="J3332">
            <v>420</v>
          </cell>
          <cell r="K3332">
            <v>80</v>
          </cell>
          <cell r="L3332">
            <v>15</v>
          </cell>
        </row>
        <row r="3333">
          <cell r="B3333" t="str">
            <v>C533114600-008L/R001</v>
          </cell>
          <cell r="D3333" t="str">
            <v>B</v>
          </cell>
          <cell r="E3333" t="str">
            <v>工序内容</v>
          </cell>
          <cell r="F3333" t="str">
            <v>0领料</v>
          </cell>
          <cell r="G3333" t="str">
            <v>05数铣</v>
          </cell>
          <cell r="H3333" t="str">
            <v>10数铣20</v>
          </cell>
          <cell r="I3333" t="str">
            <v>15数铣150</v>
          </cell>
          <cell r="J3333" t="str">
            <v>20钳工</v>
          </cell>
          <cell r="K3333" t="str">
            <v>25称重</v>
          </cell>
          <cell r="L3333" t="str">
            <v>30测量</v>
          </cell>
          <cell r="M3333" t="str">
            <v>35清洁</v>
          </cell>
          <cell r="N3333" t="str">
            <v>40成检</v>
          </cell>
        </row>
        <row r="3334">
          <cell r="B3334" t="str">
            <v>C533114600-008L/R001</v>
          </cell>
          <cell r="D3334" t="str">
            <v>B</v>
          </cell>
          <cell r="E3334" t="str">
            <v>准备工时</v>
          </cell>
          <cell r="G3334">
            <v>60</v>
          </cell>
          <cell r="H3334">
            <v>90</v>
          </cell>
          <cell r="I3334">
            <v>90</v>
          </cell>
        </row>
        <row r="3335">
          <cell r="B3335" t="str">
            <v>C533114600-008L/R001</v>
          </cell>
          <cell r="D3335" t="str">
            <v>B</v>
          </cell>
          <cell r="E3335" t="str">
            <v>程序时间</v>
          </cell>
          <cell r="G3335" t="str">
            <v>25</v>
          </cell>
          <cell r="H3335">
            <v>50</v>
          </cell>
          <cell r="I3335">
            <v>240</v>
          </cell>
          <cell r="J3335">
            <v>60</v>
          </cell>
          <cell r="K3335">
            <v>15</v>
          </cell>
        </row>
        <row r="3336">
          <cell r="B3336" t="str">
            <v>C533114600-004L001</v>
          </cell>
          <cell r="D3336" t="str">
            <v>B</v>
          </cell>
          <cell r="E3336" t="str">
            <v>工序内容</v>
          </cell>
          <cell r="F3336" t="str">
            <v>0领料</v>
          </cell>
          <cell r="G3336" t="str">
            <v>05数铣</v>
          </cell>
          <cell r="H3336" t="str">
            <v>10数铣30</v>
          </cell>
          <cell r="I3336" t="str">
            <v>15数铣180</v>
          </cell>
          <cell r="J3336" t="str">
            <v>20数铣120</v>
          </cell>
          <cell r="K3336" t="str">
            <v>25/数铣270</v>
          </cell>
          <cell r="L3336" t="str">
            <v>30五轴300</v>
          </cell>
          <cell r="M3336" t="str">
            <v>35钳工</v>
          </cell>
          <cell r="N3336" t="str">
            <v>40称重</v>
          </cell>
          <cell r="O3336" t="str">
            <v>45测量</v>
          </cell>
          <cell r="P3336" t="str">
            <v>50清洁</v>
          </cell>
          <cell r="Q3336" t="str">
            <v>55成检</v>
          </cell>
        </row>
        <row r="3337">
          <cell r="B3337" t="str">
            <v>C533114600-004L001</v>
          </cell>
          <cell r="D3337" t="str">
            <v>B</v>
          </cell>
          <cell r="E3337" t="str">
            <v>准备工时</v>
          </cell>
          <cell r="G3337">
            <v>60</v>
          </cell>
          <cell r="H3337">
            <v>90</v>
          </cell>
          <cell r="I3337">
            <v>90</v>
          </cell>
          <cell r="J3337">
            <v>120</v>
          </cell>
          <cell r="K3337">
            <v>60</v>
          </cell>
          <cell r="L3337">
            <v>120</v>
          </cell>
        </row>
        <row r="3338">
          <cell r="B3338" t="str">
            <v>C533114600-004L001</v>
          </cell>
          <cell r="D3338" t="str">
            <v>B</v>
          </cell>
          <cell r="E3338" t="str">
            <v>装夹时间</v>
          </cell>
          <cell r="L3338">
            <v>60</v>
          </cell>
        </row>
        <row r="3339">
          <cell r="B3339" t="str">
            <v>C533114600-004L001</v>
          </cell>
          <cell r="D3339" t="str">
            <v>B</v>
          </cell>
          <cell r="E3339" t="str">
            <v>程序时间</v>
          </cell>
          <cell r="G3339">
            <v>90</v>
          </cell>
          <cell r="H3339">
            <v>70</v>
          </cell>
          <cell r="I3339">
            <v>240</v>
          </cell>
          <cell r="J3339">
            <v>240</v>
          </cell>
          <cell r="K3339">
            <v>360</v>
          </cell>
          <cell r="L3339">
            <v>660</v>
          </cell>
          <cell r="M3339">
            <v>150</v>
          </cell>
          <cell r="N3339">
            <v>15</v>
          </cell>
        </row>
        <row r="3340">
          <cell r="B3340" t="str">
            <v>C533114600-004R001</v>
          </cell>
          <cell r="D3340" t="str">
            <v>B</v>
          </cell>
          <cell r="E3340" t="str">
            <v>工序内容</v>
          </cell>
          <cell r="F3340" t="str">
            <v>0领料</v>
          </cell>
          <cell r="G3340" t="str">
            <v>05数铣</v>
          </cell>
          <cell r="H3340" t="str">
            <v>10数铣30</v>
          </cell>
          <cell r="I3340" t="str">
            <v>15数铣180</v>
          </cell>
          <cell r="J3340" t="str">
            <v>20数铣120</v>
          </cell>
          <cell r="K3340" t="str">
            <v>25/数铣270</v>
          </cell>
          <cell r="L3340" t="str">
            <v>30五轴300</v>
          </cell>
          <cell r="M3340" t="str">
            <v>35钳工</v>
          </cell>
          <cell r="N3340" t="str">
            <v>40称重</v>
          </cell>
          <cell r="O3340" t="str">
            <v>45测量</v>
          </cell>
          <cell r="P3340" t="str">
            <v>50清洁</v>
          </cell>
          <cell r="Q3340" t="str">
            <v>55成检</v>
          </cell>
        </row>
        <row r="3341">
          <cell r="B3341" t="str">
            <v>C533114600-004R001</v>
          </cell>
          <cell r="D3341" t="str">
            <v>B</v>
          </cell>
          <cell r="E3341" t="str">
            <v>准备工时</v>
          </cell>
          <cell r="G3341">
            <v>60</v>
          </cell>
          <cell r="H3341">
            <v>90</v>
          </cell>
          <cell r="I3341">
            <v>90</v>
          </cell>
          <cell r="J3341">
            <v>120</v>
          </cell>
          <cell r="K3341">
            <v>60</v>
          </cell>
          <cell r="L3341">
            <v>120</v>
          </cell>
        </row>
        <row r="3342">
          <cell r="B3342" t="str">
            <v>C533114600-004R001</v>
          </cell>
          <cell r="D3342" t="str">
            <v>B</v>
          </cell>
          <cell r="E3342" t="str">
            <v>装夹时间</v>
          </cell>
          <cell r="L3342">
            <v>60</v>
          </cell>
        </row>
        <row r="3343">
          <cell r="B3343" t="str">
            <v>C533114600-004R001</v>
          </cell>
          <cell r="D3343" t="str">
            <v>B</v>
          </cell>
          <cell r="E3343" t="str">
            <v>程序时间</v>
          </cell>
          <cell r="G3343">
            <v>90</v>
          </cell>
          <cell r="H3343">
            <v>70</v>
          </cell>
          <cell r="I3343">
            <v>240</v>
          </cell>
          <cell r="J3343">
            <v>240</v>
          </cell>
          <cell r="K3343">
            <v>360</v>
          </cell>
          <cell r="L3343">
            <v>660</v>
          </cell>
          <cell r="M3343">
            <v>150</v>
          </cell>
          <cell r="N3343">
            <v>15</v>
          </cell>
        </row>
        <row r="3344">
          <cell r="B3344" t="str">
            <v>C533114600-005L001</v>
          </cell>
          <cell r="D3344" t="str">
            <v>B</v>
          </cell>
          <cell r="E3344" t="str">
            <v>工序内容</v>
          </cell>
          <cell r="F3344" t="str">
            <v>0领料</v>
          </cell>
          <cell r="G3344" t="str">
            <v>05数铣</v>
          </cell>
          <cell r="H3344" t="str">
            <v>10数铣30</v>
          </cell>
          <cell r="I3344" t="str">
            <v>15数铣180</v>
          </cell>
          <cell r="J3344" t="str">
            <v>20数铣120</v>
          </cell>
          <cell r="K3344" t="str">
            <v>25/数铣270</v>
          </cell>
          <cell r="L3344" t="str">
            <v>30五轴250</v>
          </cell>
          <cell r="M3344" t="str">
            <v>35钳工</v>
          </cell>
          <cell r="N3344" t="str">
            <v>40称重</v>
          </cell>
          <cell r="O3344" t="str">
            <v>45测量</v>
          </cell>
          <cell r="P3344" t="str">
            <v>50清洁</v>
          </cell>
          <cell r="Q3344" t="str">
            <v>55成检</v>
          </cell>
        </row>
        <row r="3345">
          <cell r="B3345" t="str">
            <v>C533114600-005L001</v>
          </cell>
          <cell r="D3345" t="str">
            <v>B</v>
          </cell>
          <cell r="E3345" t="str">
            <v>准备工时</v>
          </cell>
          <cell r="G3345">
            <v>60</v>
          </cell>
          <cell r="H3345">
            <v>90</v>
          </cell>
          <cell r="I3345">
            <v>90</v>
          </cell>
          <cell r="J3345">
            <v>120</v>
          </cell>
          <cell r="K3345">
            <v>60</v>
          </cell>
          <cell r="L3345">
            <v>120</v>
          </cell>
        </row>
        <row r="3346">
          <cell r="B3346" t="str">
            <v>C533114600-005L001</v>
          </cell>
          <cell r="D3346" t="str">
            <v>B</v>
          </cell>
          <cell r="E3346" t="str">
            <v>装夹时间</v>
          </cell>
          <cell r="L3346">
            <v>60</v>
          </cell>
        </row>
        <row r="3347">
          <cell r="B3347" t="str">
            <v>C533114600-005L001</v>
          </cell>
          <cell r="D3347" t="str">
            <v>B</v>
          </cell>
          <cell r="E3347" t="str">
            <v>程序时间</v>
          </cell>
          <cell r="G3347">
            <v>90</v>
          </cell>
          <cell r="H3347">
            <v>70</v>
          </cell>
          <cell r="I3347">
            <v>240</v>
          </cell>
          <cell r="J3347">
            <v>240</v>
          </cell>
          <cell r="K3347">
            <v>360</v>
          </cell>
          <cell r="L3347">
            <v>600</v>
          </cell>
          <cell r="M3347">
            <v>150</v>
          </cell>
          <cell r="N3347">
            <v>15</v>
          </cell>
        </row>
        <row r="3348">
          <cell r="B3348" t="str">
            <v>C533114600-005R001</v>
          </cell>
          <cell r="D3348" t="str">
            <v>B</v>
          </cell>
          <cell r="E3348" t="str">
            <v>工序内容</v>
          </cell>
          <cell r="F3348" t="str">
            <v>0领料</v>
          </cell>
          <cell r="G3348" t="str">
            <v>05数铣</v>
          </cell>
          <cell r="H3348" t="str">
            <v>10数铣30</v>
          </cell>
          <cell r="I3348" t="str">
            <v>15数铣180</v>
          </cell>
          <cell r="J3348" t="str">
            <v>20数铣120</v>
          </cell>
          <cell r="K3348" t="str">
            <v>25/数铣270</v>
          </cell>
          <cell r="L3348" t="str">
            <v>30五轴250</v>
          </cell>
          <cell r="M3348" t="str">
            <v>35钳工</v>
          </cell>
          <cell r="N3348" t="str">
            <v>40称重</v>
          </cell>
          <cell r="O3348" t="str">
            <v>45测量</v>
          </cell>
          <cell r="P3348" t="str">
            <v>50清洁</v>
          </cell>
          <cell r="Q3348" t="str">
            <v>55成检</v>
          </cell>
        </row>
        <row r="3349">
          <cell r="B3349" t="str">
            <v>C533114600-005R001</v>
          </cell>
          <cell r="D3349" t="str">
            <v>B</v>
          </cell>
          <cell r="E3349" t="str">
            <v>准备工时</v>
          </cell>
          <cell r="G3349">
            <v>60</v>
          </cell>
          <cell r="H3349">
            <v>90</v>
          </cell>
          <cell r="I3349">
            <v>90</v>
          </cell>
          <cell r="J3349">
            <v>120</v>
          </cell>
          <cell r="K3349">
            <v>60</v>
          </cell>
          <cell r="L3349">
            <v>120</v>
          </cell>
        </row>
        <row r="3350">
          <cell r="B3350" t="str">
            <v>C533114600-005R001</v>
          </cell>
          <cell r="D3350" t="str">
            <v>B</v>
          </cell>
          <cell r="E3350" t="str">
            <v>装夹时间</v>
          </cell>
          <cell r="L3350">
            <v>60</v>
          </cell>
        </row>
        <row r="3351">
          <cell r="B3351" t="str">
            <v>C533114600-005R001</v>
          </cell>
          <cell r="D3351" t="str">
            <v>B</v>
          </cell>
          <cell r="E3351" t="str">
            <v>程序时间</v>
          </cell>
          <cell r="G3351">
            <v>90</v>
          </cell>
          <cell r="H3351">
            <v>70</v>
          </cell>
          <cell r="I3351">
            <v>240</v>
          </cell>
          <cell r="J3351">
            <v>240</v>
          </cell>
          <cell r="K3351">
            <v>360</v>
          </cell>
          <cell r="L3351">
            <v>600</v>
          </cell>
          <cell r="M3351">
            <v>150</v>
          </cell>
          <cell r="N3351">
            <v>15</v>
          </cell>
        </row>
        <row r="3352">
          <cell r="B3352" t="str">
            <v>DD-J10-78140-2110-1</v>
          </cell>
          <cell r="D3352" t="str">
            <v>B</v>
          </cell>
          <cell r="E3352" t="str">
            <v>工序内容</v>
          </cell>
          <cell r="F3352" t="str">
            <v>0/领料</v>
          </cell>
          <cell r="G3352" t="str">
            <v>5/数铣</v>
          </cell>
          <cell r="H3352" t="str">
            <v>10/钳工</v>
          </cell>
          <cell r="I3352" t="str">
            <v>15/分光</v>
          </cell>
          <cell r="J3352" t="str">
            <v>20/清洗</v>
          </cell>
          <cell r="K3352" t="str">
            <v>25/热处理</v>
          </cell>
          <cell r="L3352" t="str">
            <v>30/硬度</v>
          </cell>
          <cell r="M3352" t="str">
            <v>35/检验</v>
          </cell>
          <cell r="N3352" t="str">
            <v>40/数铣15</v>
          </cell>
          <cell r="O3352" t="str">
            <v>45/数铣</v>
          </cell>
          <cell r="P3352" t="str">
            <v>50/数铣5</v>
          </cell>
          <cell r="Q3352" t="str">
            <v>55/数铣5</v>
          </cell>
          <cell r="R3352" t="str">
            <v>60/钳工</v>
          </cell>
          <cell r="S3352" t="str">
            <v>65/清洁</v>
          </cell>
          <cell r="T3352" t="str">
            <v>70/成检</v>
          </cell>
        </row>
        <row r="3353">
          <cell r="B3353" t="str">
            <v>DD-J10-78140-2110-1</v>
          </cell>
          <cell r="D3353" t="str">
            <v>B</v>
          </cell>
          <cell r="E3353" t="str">
            <v>准备工时</v>
          </cell>
          <cell r="G3353">
            <v>60</v>
          </cell>
          <cell r="N3353">
            <v>60</v>
          </cell>
          <cell r="O3353">
            <v>60</v>
          </cell>
          <cell r="P3353">
            <v>60</v>
          </cell>
          <cell r="Q3353">
            <v>60</v>
          </cell>
        </row>
        <row r="3354">
          <cell r="B3354" t="str">
            <v>DD-J10-78140-2110-1</v>
          </cell>
          <cell r="D3354" t="str">
            <v>B</v>
          </cell>
          <cell r="E3354" t="str">
            <v>程序时间</v>
          </cell>
          <cell r="G3354">
            <v>30</v>
          </cell>
          <cell r="H3354">
            <v>10</v>
          </cell>
          <cell r="N3354">
            <v>35</v>
          </cell>
          <cell r="O3354">
            <v>15</v>
          </cell>
          <cell r="P3354">
            <v>35</v>
          </cell>
          <cell r="Q3354">
            <v>20</v>
          </cell>
          <cell r="R3354">
            <v>20</v>
          </cell>
        </row>
        <row r="3355">
          <cell r="B3355" t="str">
            <v>DD-J10-64011-421</v>
          </cell>
          <cell r="D3355" t="str">
            <v>D</v>
          </cell>
          <cell r="E3355" t="str">
            <v>工序内容</v>
          </cell>
          <cell r="F3355" t="str">
            <v>0领料</v>
          </cell>
          <cell r="G3355" t="str">
            <v>05数车15</v>
          </cell>
          <cell r="H3355" t="str">
            <v>10车铣30</v>
          </cell>
          <cell r="I3355" t="str">
            <v>15数车20</v>
          </cell>
          <cell r="J3355" t="str">
            <v>20穿孔</v>
          </cell>
          <cell r="K3355" t="str">
            <v>25钳工</v>
          </cell>
          <cell r="L3355" t="str">
            <v>30复检</v>
          </cell>
          <cell r="M3355" t="str">
            <v>35分光</v>
          </cell>
          <cell r="N3355" t="str">
            <v>40硬检</v>
          </cell>
          <cell r="O3355" t="str">
            <v>45钳工</v>
          </cell>
          <cell r="P3355" t="str">
            <v>50清洁</v>
          </cell>
          <cell r="Q3355" t="str">
            <v>55成检</v>
          </cell>
        </row>
        <row r="3356">
          <cell r="B3356" t="str">
            <v>DD-J10-64011-421</v>
          </cell>
          <cell r="D3356" t="str">
            <v>D</v>
          </cell>
          <cell r="E3356" t="str">
            <v>准备工时</v>
          </cell>
          <cell r="G3356">
            <v>60</v>
          </cell>
          <cell r="H3356">
            <v>120</v>
          </cell>
          <cell r="I3356" t="str">
            <v>90</v>
          </cell>
        </row>
        <row r="3357">
          <cell r="B3357" t="str">
            <v>DD-J10-64011-421</v>
          </cell>
          <cell r="D3357" t="str">
            <v>D</v>
          </cell>
          <cell r="E3357" t="str">
            <v>程序时间</v>
          </cell>
          <cell r="G3357">
            <v>15</v>
          </cell>
          <cell r="H3357">
            <v>40</v>
          </cell>
          <cell r="I3357" t="str">
            <v>30</v>
          </cell>
          <cell r="K3357" t="str">
            <v>25</v>
          </cell>
          <cell r="O3357" t="str">
            <v>5</v>
          </cell>
        </row>
        <row r="3358">
          <cell r="B3358" t="str">
            <v>DD-J10-55181-13</v>
          </cell>
          <cell r="D3358" t="str">
            <v>D</v>
          </cell>
          <cell r="E3358" t="str">
            <v>工序内容</v>
          </cell>
          <cell r="F3358" t="str">
            <v>0/领料</v>
          </cell>
          <cell r="G3358" t="str">
            <v>5/硬检</v>
          </cell>
          <cell r="H3358" t="str">
            <v>10/钳工</v>
          </cell>
          <cell r="I3358" t="str">
            <v>15/数车10</v>
          </cell>
          <cell r="J3358" t="str">
            <v>20/数车20</v>
          </cell>
          <cell r="K3358" t="str">
            <v>25/数车20</v>
          </cell>
          <cell r="L3358" t="str">
            <v>30/数车20</v>
          </cell>
          <cell r="M3358" t="str">
            <v>35/钳工</v>
          </cell>
          <cell r="N3358" t="str">
            <v>40/清洁</v>
          </cell>
          <cell r="O3358" t="str">
            <v>45/成检</v>
          </cell>
        </row>
        <row r="3359">
          <cell r="B3359" t="str">
            <v>DD-J10-55181-13</v>
          </cell>
          <cell r="D3359" t="str">
            <v>D</v>
          </cell>
          <cell r="E3359" t="str">
            <v>准备工时</v>
          </cell>
          <cell r="I3359">
            <v>150</v>
          </cell>
          <cell r="J3359">
            <v>180</v>
          </cell>
          <cell r="K3359">
            <v>180</v>
          </cell>
          <cell r="L3359" t="str">
            <v>180</v>
          </cell>
        </row>
        <row r="3360">
          <cell r="B3360" t="str">
            <v>DD-J10-55181-13</v>
          </cell>
          <cell r="D3360" t="str">
            <v>D</v>
          </cell>
          <cell r="E3360" t="str">
            <v>程序时间</v>
          </cell>
          <cell r="H3360">
            <v>20</v>
          </cell>
          <cell r="I3360">
            <v>15</v>
          </cell>
          <cell r="J3360">
            <v>35</v>
          </cell>
          <cell r="K3360">
            <v>30</v>
          </cell>
          <cell r="L3360" t="str">
            <v>35</v>
          </cell>
          <cell r="M3360" t="str">
            <v>30</v>
          </cell>
        </row>
        <row r="3361">
          <cell r="B3361" t="str">
            <v>DD-J10B-68074-1720-3</v>
          </cell>
          <cell r="D3361" t="str">
            <v>C</v>
          </cell>
          <cell r="E3361" t="str">
            <v>工序内容</v>
          </cell>
          <cell r="F3361" t="str">
            <v>0/领料</v>
          </cell>
          <cell r="G3361" t="str">
            <v>05/分光</v>
          </cell>
          <cell r="H3361" t="str">
            <v>10/数车10</v>
          </cell>
          <cell r="I3361" t="str">
            <v>15/数车15</v>
          </cell>
          <cell r="J3361" t="str">
            <v>20/钳工</v>
          </cell>
          <cell r="K3361" t="str">
            <v>25/清洁</v>
          </cell>
          <cell r="L3361" t="str">
            <v>30/成检</v>
          </cell>
        </row>
        <row r="3362">
          <cell r="B3362" t="str">
            <v>DD-J10B-68074-1720-3</v>
          </cell>
          <cell r="D3362" t="str">
            <v>C</v>
          </cell>
          <cell r="E3362" t="str">
            <v>准备工时</v>
          </cell>
          <cell r="H3362">
            <v>60</v>
          </cell>
          <cell r="I3362" t="str">
            <v>60</v>
          </cell>
        </row>
        <row r="3363">
          <cell r="B3363" t="str">
            <v>DD-J10B-68074-1720-3</v>
          </cell>
          <cell r="D3363" t="str">
            <v>C</v>
          </cell>
          <cell r="E3363" t="str">
            <v>程序时间</v>
          </cell>
          <cell r="H3363">
            <v>15</v>
          </cell>
          <cell r="I3363" t="str">
            <v>20</v>
          </cell>
          <cell r="J3363" t="str">
            <v>10</v>
          </cell>
        </row>
        <row r="3364">
          <cell r="B3364" t="str">
            <v>CB2716663-003-002</v>
          </cell>
          <cell r="D3364" t="str">
            <v>B</v>
          </cell>
          <cell r="E3364" t="str">
            <v>工序内容</v>
          </cell>
          <cell r="F3364" t="str">
            <v>0/领料</v>
          </cell>
          <cell r="G3364" t="str">
            <v>05/下料</v>
          </cell>
          <cell r="H3364" t="str">
            <v>10/铣六方</v>
          </cell>
          <cell r="I3364" t="str">
            <v>15/线切割</v>
          </cell>
          <cell r="J3364" t="str">
            <v>20/钳工</v>
          </cell>
          <cell r="K3364" t="str">
            <v>25/分光</v>
          </cell>
          <cell r="L3364" t="str">
            <v>30/数铣10</v>
          </cell>
          <cell r="M3364" t="str">
            <v>35/数铣10</v>
          </cell>
          <cell r="N3364" t="str">
            <v>40/数车15</v>
          </cell>
          <cell r="O3364" t="str">
            <v>45/数车25</v>
          </cell>
          <cell r="P3364" t="str">
            <v>50/数车25</v>
          </cell>
          <cell r="Q3364" t="str">
            <v>55/钳工</v>
          </cell>
          <cell r="R3364" t="str">
            <v>60/清洁</v>
          </cell>
          <cell r="S3364" t="str">
            <v>65/成检</v>
          </cell>
        </row>
        <row r="3365">
          <cell r="B3365" t="str">
            <v>CB2716663-003-002</v>
          </cell>
          <cell r="D3365" t="str">
            <v>B</v>
          </cell>
          <cell r="E3365" t="str">
            <v>准备工时</v>
          </cell>
          <cell r="H3365">
            <v>60</v>
          </cell>
          <cell r="L3365">
            <v>60</v>
          </cell>
          <cell r="M3365">
            <v>60</v>
          </cell>
          <cell r="N3365">
            <v>60</v>
          </cell>
          <cell r="O3365">
            <v>120</v>
          </cell>
          <cell r="P3365">
            <v>120</v>
          </cell>
        </row>
        <row r="3366">
          <cell r="B3366" t="str">
            <v>CB2716663-003-002</v>
          </cell>
          <cell r="D3366" t="str">
            <v>B</v>
          </cell>
          <cell r="E3366" t="str">
            <v>程序时间</v>
          </cell>
          <cell r="H3366">
            <v>60</v>
          </cell>
          <cell r="J3366">
            <v>10</v>
          </cell>
          <cell r="L3366">
            <v>20</v>
          </cell>
          <cell r="M3366">
            <v>20</v>
          </cell>
          <cell r="N3366">
            <v>25</v>
          </cell>
          <cell r="O3366">
            <v>40</v>
          </cell>
          <cell r="P3366">
            <v>50</v>
          </cell>
          <cell r="Q3366">
            <v>30</v>
          </cell>
        </row>
        <row r="3367">
          <cell r="B3367" t="str">
            <v>CB2285673-002-001</v>
          </cell>
          <cell r="D3367" t="str">
            <v>C</v>
          </cell>
          <cell r="E3367" t="str">
            <v>工序内容</v>
          </cell>
          <cell r="F3367" t="str">
            <v>0/领料</v>
          </cell>
          <cell r="G3367" t="str">
            <v>05/普车15</v>
          </cell>
          <cell r="H3367" t="str">
            <v>10/钳工</v>
          </cell>
          <cell r="I3367" t="str">
            <v>15/分光</v>
          </cell>
          <cell r="J3367" t="str">
            <v>20/车铣35</v>
          </cell>
          <cell r="K3367" t="str">
            <v>25/数车25</v>
          </cell>
          <cell r="L3367" t="str">
            <v>30/钳工</v>
          </cell>
          <cell r="M3367" t="str">
            <v>35/清洗</v>
          </cell>
          <cell r="N3367" t="str">
            <v>40/成检</v>
          </cell>
        </row>
        <row r="3368">
          <cell r="B3368" t="str">
            <v>CB2285673-002-001</v>
          </cell>
          <cell r="D3368" t="str">
            <v>C</v>
          </cell>
          <cell r="E3368" t="str">
            <v>准备工时</v>
          </cell>
          <cell r="G3368">
            <v>60</v>
          </cell>
          <cell r="J3368">
            <v>120</v>
          </cell>
          <cell r="K3368">
            <v>90</v>
          </cell>
        </row>
        <row r="3369">
          <cell r="B3369" t="str">
            <v>CB2285673-002-001</v>
          </cell>
          <cell r="D3369" t="str">
            <v>C</v>
          </cell>
          <cell r="E3369" t="str">
            <v>程序时间</v>
          </cell>
          <cell r="G3369">
            <v>30</v>
          </cell>
          <cell r="H3369">
            <v>15</v>
          </cell>
          <cell r="J3369">
            <v>50</v>
          </cell>
          <cell r="K3369">
            <v>35</v>
          </cell>
          <cell r="L3369">
            <v>25</v>
          </cell>
        </row>
        <row r="3370">
          <cell r="B3370" t="str">
            <v>CB2283750-001-002</v>
          </cell>
          <cell r="D3370" t="str">
            <v>B</v>
          </cell>
          <cell r="E3370" t="str">
            <v>工序内容</v>
          </cell>
          <cell r="F3370" t="str">
            <v>0/领料</v>
          </cell>
          <cell r="G3370" t="str">
            <v>05/普车</v>
          </cell>
          <cell r="H3370" t="str">
            <v>10/钳工</v>
          </cell>
          <cell r="I3370" t="str">
            <v>15分光</v>
          </cell>
          <cell r="J3370" t="str">
            <v>20硬度</v>
          </cell>
          <cell r="K3370" t="str">
            <v>25数车25</v>
          </cell>
          <cell r="L3370" t="str">
            <v>30车铣20</v>
          </cell>
          <cell r="M3370" t="str">
            <v>35钳工</v>
          </cell>
          <cell r="N3370" t="str">
            <v>40清洁</v>
          </cell>
          <cell r="O3370" t="str">
            <v>45成检</v>
          </cell>
        </row>
        <row r="3371">
          <cell r="B3371" t="str">
            <v>CB2283750-001-002</v>
          </cell>
          <cell r="D3371" t="str">
            <v>B</v>
          </cell>
          <cell r="E3371" t="str">
            <v>准备工时</v>
          </cell>
          <cell r="G3371">
            <v>60</v>
          </cell>
          <cell r="K3371">
            <v>90</v>
          </cell>
          <cell r="L3371">
            <v>150</v>
          </cell>
        </row>
        <row r="3372">
          <cell r="B3372" t="str">
            <v>CB2283750-001-002</v>
          </cell>
          <cell r="D3372" t="str">
            <v>B</v>
          </cell>
          <cell r="E3372" t="str">
            <v>程序时间</v>
          </cell>
          <cell r="G3372">
            <v>10</v>
          </cell>
          <cell r="H3372">
            <v>10</v>
          </cell>
          <cell r="K3372">
            <v>40</v>
          </cell>
          <cell r="L3372">
            <v>50</v>
          </cell>
          <cell r="M3372">
            <v>30</v>
          </cell>
        </row>
        <row r="3373">
          <cell r="B3373" t="str">
            <v>CB228455A-001-004</v>
          </cell>
          <cell r="D3373" t="str">
            <v>C</v>
          </cell>
          <cell r="E3373" t="str">
            <v>工序内容</v>
          </cell>
          <cell r="F3373" t="str">
            <v>0/领料</v>
          </cell>
          <cell r="G3373" t="str">
            <v>05/普车</v>
          </cell>
          <cell r="H3373" t="str">
            <v>10钳工</v>
          </cell>
          <cell r="I3373" t="str">
            <v>15/分光</v>
          </cell>
          <cell r="J3373" t="str">
            <v>20/数车</v>
          </cell>
          <cell r="K3373" t="str">
            <v>25/数车20</v>
          </cell>
          <cell r="L3373" t="str">
            <v>30/车铣</v>
          </cell>
          <cell r="M3373" t="str">
            <v>35/数铣</v>
          </cell>
          <cell r="N3373" t="str">
            <v>40/数铣</v>
          </cell>
          <cell r="O3373" t="str">
            <v>45/数车</v>
          </cell>
          <cell r="P3373" t="str">
            <v>50/钳工</v>
          </cell>
          <cell r="Q3373" t="str">
            <v>55/清洁</v>
          </cell>
          <cell r="R3373" t="str">
            <v>60/成检</v>
          </cell>
        </row>
        <row r="3374">
          <cell r="B3374" t="str">
            <v>CB228455A-001-004</v>
          </cell>
          <cell r="D3374" t="str">
            <v>C</v>
          </cell>
          <cell r="E3374" t="str">
            <v>准备工时</v>
          </cell>
          <cell r="G3374">
            <v>60</v>
          </cell>
          <cell r="J3374">
            <v>60</v>
          </cell>
          <cell r="K3374">
            <v>60</v>
          </cell>
          <cell r="L3374">
            <v>60</v>
          </cell>
          <cell r="M3374">
            <v>60</v>
          </cell>
          <cell r="N3374">
            <v>60</v>
          </cell>
          <cell r="O3374">
            <v>60</v>
          </cell>
        </row>
        <row r="3375">
          <cell r="B3375" t="str">
            <v>CB228455A-001-004</v>
          </cell>
          <cell r="D3375" t="str">
            <v>C</v>
          </cell>
          <cell r="E3375" t="str">
            <v>程序时间</v>
          </cell>
          <cell r="G3375">
            <v>35</v>
          </cell>
          <cell r="H3375">
            <v>10</v>
          </cell>
          <cell r="J3375">
            <v>60</v>
          </cell>
          <cell r="K3375">
            <v>45</v>
          </cell>
          <cell r="L3375">
            <v>30</v>
          </cell>
          <cell r="M3375">
            <v>25</v>
          </cell>
          <cell r="N3375">
            <v>30</v>
          </cell>
          <cell r="O3375">
            <v>30</v>
          </cell>
          <cell r="P3375">
            <v>25</v>
          </cell>
        </row>
        <row r="3376">
          <cell r="B3376" t="str">
            <v>CB2283651-002-001</v>
          </cell>
          <cell r="D3376" t="str">
            <v>C</v>
          </cell>
          <cell r="E3376" t="str">
            <v>工序内容</v>
          </cell>
          <cell r="F3376" t="str">
            <v>0/领料</v>
          </cell>
          <cell r="G3376" t="str">
            <v>05/普车15</v>
          </cell>
          <cell r="H3376" t="str">
            <v>10钳工</v>
          </cell>
          <cell r="I3376" t="str">
            <v>15/分光</v>
          </cell>
          <cell r="J3376" t="str">
            <v>20/数车20</v>
          </cell>
          <cell r="K3376" t="str">
            <v>25/车铣45</v>
          </cell>
          <cell r="L3376" t="str">
            <v>30/数车25</v>
          </cell>
          <cell r="N3376" t="str">
            <v>40/钳工</v>
          </cell>
          <cell r="O3376" t="str">
            <v>45/清洁</v>
          </cell>
          <cell r="P3376" t="str">
            <v>50/成检</v>
          </cell>
        </row>
        <row r="3377">
          <cell r="B3377" t="str">
            <v>CB2283651-002-001</v>
          </cell>
          <cell r="D3377" t="str">
            <v>C</v>
          </cell>
          <cell r="E3377" t="str">
            <v>准备工时</v>
          </cell>
          <cell r="G3377">
            <v>60</v>
          </cell>
          <cell r="J3377">
            <v>60</v>
          </cell>
          <cell r="K3377">
            <v>120</v>
          </cell>
          <cell r="L3377">
            <v>90</v>
          </cell>
        </row>
        <row r="3378">
          <cell r="B3378" t="str">
            <v>CB2283651-002-001</v>
          </cell>
          <cell r="D3378" t="str">
            <v>C</v>
          </cell>
          <cell r="E3378" t="str">
            <v>程序时间</v>
          </cell>
          <cell r="G3378">
            <v>30</v>
          </cell>
          <cell r="H3378">
            <v>10</v>
          </cell>
          <cell r="J3378">
            <v>20</v>
          </cell>
          <cell r="K3378">
            <v>60</v>
          </cell>
          <cell r="L3378">
            <v>35</v>
          </cell>
          <cell r="N3378">
            <v>25</v>
          </cell>
        </row>
        <row r="3379">
          <cell r="B3379" t="str">
            <v>CB22844A0-001-001</v>
          </cell>
          <cell r="D3379" t="str">
            <v>B</v>
          </cell>
          <cell r="E3379" t="str">
            <v>工序内容</v>
          </cell>
          <cell r="F3379" t="str">
            <v>0/领料</v>
          </cell>
          <cell r="G3379" t="str">
            <v>05/普铣</v>
          </cell>
          <cell r="H3379" t="str">
            <v>10/钳工</v>
          </cell>
          <cell r="I3379" t="str">
            <v>15/分光</v>
          </cell>
          <cell r="J3379" t="str">
            <v>20/硬度</v>
          </cell>
          <cell r="K3379" t="str">
            <v>25/线切割</v>
          </cell>
          <cell r="L3379" t="str">
            <v>30/数车20</v>
          </cell>
          <cell r="M3379" t="str">
            <v>35/数车20</v>
          </cell>
          <cell r="N3379" t="str">
            <v>40/数铣10</v>
          </cell>
          <cell r="O3379" t="str">
            <v>45/数车20</v>
          </cell>
          <cell r="P3379" t="str">
            <v>50/数车5</v>
          </cell>
          <cell r="Q3379" t="str">
            <v>55/钻孔</v>
          </cell>
          <cell r="R3379" t="str">
            <v>60/钳工</v>
          </cell>
          <cell r="S3379" t="str">
            <v>65/清洁</v>
          </cell>
          <cell r="T3379" t="str">
            <v>70/成检</v>
          </cell>
        </row>
        <row r="3380">
          <cell r="B3380" t="str">
            <v>CB22844A0-001-001</v>
          </cell>
          <cell r="D3380" t="str">
            <v>B</v>
          </cell>
          <cell r="E3380" t="str">
            <v>准备工时</v>
          </cell>
          <cell r="G3380">
            <v>60</v>
          </cell>
          <cell r="L3380">
            <v>180</v>
          </cell>
          <cell r="M3380">
            <v>180</v>
          </cell>
          <cell r="N3380">
            <v>90</v>
          </cell>
          <cell r="O3380">
            <v>180</v>
          </cell>
          <cell r="P3380">
            <v>120</v>
          </cell>
          <cell r="Q3380">
            <v>90</v>
          </cell>
        </row>
        <row r="3381">
          <cell r="B3381" t="str">
            <v>CB22844A0-001-001</v>
          </cell>
          <cell r="D3381" t="str">
            <v>B</v>
          </cell>
          <cell r="E3381" t="str">
            <v>程序时间</v>
          </cell>
          <cell r="G3381">
            <v>30</v>
          </cell>
          <cell r="H3381">
            <v>15</v>
          </cell>
          <cell r="L3381">
            <v>30</v>
          </cell>
          <cell r="M3381">
            <v>45</v>
          </cell>
          <cell r="N3381">
            <v>40</v>
          </cell>
          <cell r="O3381">
            <v>35</v>
          </cell>
          <cell r="P3381">
            <v>15</v>
          </cell>
          <cell r="Q3381">
            <v>30</v>
          </cell>
          <cell r="R3381">
            <v>35</v>
          </cell>
        </row>
        <row r="3382">
          <cell r="B3382" t="str">
            <v>CB2280211-004-001</v>
          </cell>
          <cell r="D3382" t="str">
            <v>C</v>
          </cell>
          <cell r="E3382" t="str">
            <v>工序内容</v>
          </cell>
          <cell r="F3382" t="str">
            <v>0/领料</v>
          </cell>
          <cell r="G3382" t="str">
            <v>05/数车5</v>
          </cell>
          <cell r="H3382" t="str">
            <v>10/数车15</v>
          </cell>
          <cell r="I3382" t="str">
            <v>15/分光</v>
          </cell>
          <cell r="J3382" t="str">
            <v>20/硬度</v>
          </cell>
          <cell r="K3382" t="str">
            <v>25/车铣10</v>
          </cell>
          <cell r="L3382" t="str">
            <v>30/数铣15</v>
          </cell>
          <cell r="M3382" t="str">
            <v>35/钳工</v>
          </cell>
          <cell r="N3382" t="str">
            <v>40/清洁</v>
          </cell>
          <cell r="O3382" t="str">
            <v>45/成检</v>
          </cell>
        </row>
        <row r="3383">
          <cell r="B3383" t="str">
            <v>CB2280211-004-001</v>
          </cell>
          <cell r="D3383" t="str">
            <v>C</v>
          </cell>
          <cell r="E3383" t="str">
            <v>准备工时</v>
          </cell>
          <cell r="G3383">
            <v>90</v>
          </cell>
          <cell r="H3383">
            <v>90</v>
          </cell>
          <cell r="K3383">
            <v>120</v>
          </cell>
          <cell r="L3383">
            <v>90</v>
          </cell>
        </row>
        <row r="3384">
          <cell r="B3384" t="str">
            <v>CB2280211-004-001</v>
          </cell>
          <cell r="D3384" t="str">
            <v>C</v>
          </cell>
          <cell r="E3384" t="str">
            <v>程序时间</v>
          </cell>
          <cell r="G3384">
            <v>15</v>
          </cell>
          <cell r="H3384">
            <v>35</v>
          </cell>
          <cell r="K3384">
            <v>40</v>
          </cell>
          <cell r="L3384">
            <v>30</v>
          </cell>
          <cell r="M3384">
            <v>30</v>
          </cell>
        </row>
        <row r="3385">
          <cell r="B3385" t="str">
            <v>DD-J10B-61001-1</v>
          </cell>
          <cell r="D3385" t="str">
            <v>C</v>
          </cell>
          <cell r="E3385" t="str">
            <v>工序内容</v>
          </cell>
          <cell r="F3385" t="str">
            <v>0/领料</v>
          </cell>
          <cell r="G3385" t="str">
            <v>05/数车</v>
          </cell>
          <cell r="H3385" t="str">
            <v>10/硬度</v>
          </cell>
          <cell r="I3385" t="str">
            <v>15/分光</v>
          </cell>
          <cell r="J3385" t="str">
            <v>20/数车</v>
          </cell>
          <cell r="K3385" t="str">
            <v>25/车铣</v>
          </cell>
          <cell r="L3385" t="str">
            <v>30/数车45</v>
          </cell>
          <cell r="M3385" t="str">
            <v>35/穿孔</v>
          </cell>
          <cell r="N3385" t="str">
            <v>45/钳工</v>
          </cell>
          <cell r="O3385" t="str">
            <v>50/清洁</v>
          </cell>
          <cell r="P3385" t="str">
            <v>55/成检</v>
          </cell>
        </row>
        <row r="3386">
          <cell r="B3386" t="str">
            <v>DD-J10B-61001-1</v>
          </cell>
          <cell r="D3386" t="str">
            <v>C</v>
          </cell>
          <cell r="E3386" t="str">
            <v>准备工时</v>
          </cell>
          <cell r="G3386">
            <v>60</v>
          </cell>
          <cell r="J3386">
            <v>90</v>
          </cell>
          <cell r="K3386">
            <v>120</v>
          </cell>
          <cell r="L3386">
            <v>120</v>
          </cell>
        </row>
        <row r="3387">
          <cell r="B3387" t="str">
            <v>DD-J10B-61001-1</v>
          </cell>
          <cell r="D3387" t="str">
            <v>C</v>
          </cell>
          <cell r="E3387" t="str">
            <v>程序时间</v>
          </cell>
          <cell r="G3387">
            <v>100</v>
          </cell>
          <cell r="J3387">
            <v>90</v>
          </cell>
          <cell r="K3387">
            <v>45</v>
          </cell>
          <cell r="L3387">
            <v>70</v>
          </cell>
          <cell r="N3387" t="str">
            <v>35</v>
          </cell>
        </row>
        <row r="3388">
          <cell r="B3388" t="str">
            <v>BC3012410-003-001</v>
          </cell>
          <cell r="D3388" t="str">
            <v>C</v>
          </cell>
          <cell r="E3388" t="str">
            <v>工序内容</v>
          </cell>
          <cell r="F3388" t="str">
            <v>0/领料</v>
          </cell>
          <cell r="G3388" t="str">
            <v>5/数铣</v>
          </cell>
          <cell r="H3388" t="str">
            <v>10/数铣20</v>
          </cell>
          <cell r="I3388" t="str">
            <v>15/数铣25</v>
          </cell>
          <cell r="J3388" t="str">
            <v>20/数铣90</v>
          </cell>
          <cell r="K3388" t="str">
            <v>25/数铣10</v>
          </cell>
          <cell r="L3388" t="str">
            <v>30/数铣10</v>
          </cell>
          <cell r="M3388" t="str">
            <v>35/数铣20</v>
          </cell>
          <cell r="N3388" t="str">
            <v>40/钳工</v>
          </cell>
          <cell r="O3388" t="str">
            <v>45/数铣</v>
          </cell>
          <cell r="P3388" t="str">
            <v>50/清洁</v>
          </cell>
          <cell r="Q3388" t="str">
            <v>55/检验</v>
          </cell>
          <cell r="R3388" t="str">
            <v>60/分光</v>
          </cell>
          <cell r="S3388" t="str">
            <v>65/硬检</v>
          </cell>
          <cell r="T3388" t="str">
            <v>70/清洗</v>
          </cell>
          <cell r="U3388" t="str">
            <v>75/渗透</v>
          </cell>
          <cell r="V3388" t="str">
            <v>80/表处</v>
          </cell>
          <cell r="W3388" t="str">
            <v>85/表处</v>
          </cell>
          <cell r="X3388" t="str">
            <v>90/标记</v>
          </cell>
          <cell r="Y3388" t="str">
            <v>95/成检</v>
          </cell>
          <cell r="Z3388" t="str">
            <v>95/成检</v>
          </cell>
        </row>
        <row r="3389">
          <cell r="B3389" t="str">
            <v>BC3012410-003-001</v>
          </cell>
          <cell r="D3389" t="str">
            <v>C</v>
          </cell>
          <cell r="E3389" t="str">
            <v>准备工时</v>
          </cell>
          <cell r="G3389">
            <v>60</v>
          </cell>
          <cell r="H3389">
            <v>60</v>
          </cell>
          <cell r="I3389">
            <v>60</v>
          </cell>
          <cell r="J3389">
            <v>60</v>
          </cell>
          <cell r="K3389">
            <v>60</v>
          </cell>
          <cell r="L3389">
            <v>60</v>
          </cell>
          <cell r="M3389">
            <v>60</v>
          </cell>
        </row>
        <row r="3390">
          <cell r="B3390" t="str">
            <v>BC3012410-003-001</v>
          </cell>
          <cell r="D3390" t="str">
            <v>C</v>
          </cell>
          <cell r="E3390" t="str">
            <v>程序时间</v>
          </cell>
          <cell r="G3390">
            <v>40</v>
          </cell>
          <cell r="H3390">
            <v>30</v>
          </cell>
          <cell r="I3390">
            <v>40</v>
          </cell>
          <cell r="J3390">
            <v>110</v>
          </cell>
          <cell r="K3390">
            <v>20</v>
          </cell>
          <cell r="L3390">
            <v>20</v>
          </cell>
          <cell r="M3390">
            <v>30</v>
          </cell>
          <cell r="N3390">
            <v>30</v>
          </cell>
          <cell r="O3390">
            <v>20</v>
          </cell>
        </row>
        <row r="3391">
          <cell r="B3391" t="str">
            <v>LTCS-541100400-02L02</v>
          </cell>
          <cell r="D3391" t="str">
            <v>A</v>
          </cell>
          <cell r="E3391" t="str">
            <v>工序内容</v>
          </cell>
          <cell r="F3391" t="str">
            <v>0/领料</v>
          </cell>
          <cell r="G3391" t="str">
            <v>5/下料</v>
          </cell>
          <cell r="H3391" t="str">
            <v>10/数铣</v>
          </cell>
          <cell r="I3391" t="str">
            <v>15/数铣130</v>
          </cell>
          <cell r="J3391" t="str">
            <v>20/钳工</v>
          </cell>
          <cell r="K3391" t="str">
            <v>25/线切割</v>
          </cell>
          <cell r="L3391" t="str">
            <v>30/钳工</v>
          </cell>
          <cell r="M3391" t="str">
            <v>35/钳试块</v>
          </cell>
          <cell r="N3391" t="str">
            <v>40/无</v>
          </cell>
          <cell r="O3391" t="str">
            <v>45/测量</v>
          </cell>
          <cell r="P3391" t="str">
            <v>50/清洁</v>
          </cell>
          <cell r="Q3391" t="str">
            <v>55/成检</v>
          </cell>
        </row>
        <row r="3392">
          <cell r="B3392" t="str">
            <v>LTCS-541100400-02L02</v>
          </cell>
          <cell r="D3392" t="str">
            <v>A</v>
          </cell>
          <cell r="E3392" t="str">
            <v>准备工时</v>
          </cell>
          <cell r="H3392">
            <v>60</v>
          </cell>
          <cell r="I3392">
            <v>120</v>
          </cell>
        </row>
        <row r="3393">
          <cell r="B3393" t="str">
            <v>LTCS-541100400-02L02</v>
          </cell>
          <cell r="D3393" t="str">
            <v>A</v>
          </cell>
          <cell r="E3393" t="str">
            <v>装夹时间</v>
          </cell>
        </row>
        <row r="3394">
          <cell r="B3394" t="str">
            <v>LTCS-541100400-02L02</v>
          </cell>
          <cell r="D3394" t="str">
            <v>A</v>
          </cell>
          <cell r="E3394" t="str">
            <v>程序时间</v>
          </cell>
          <cell r="G3394">
            <v>20</v>
          </cell>
          <cell r="H3394">
            <v>20</v>
          </cell>
          <cell r="I3394">
            <v>180</v>
          </cell>
          <cell r="J3394">
            <v>20</v>
          </cell>
          <cell r="K3394">
            <v>30</v>
          </cell>
          <cell r="L3394">
            <v>30</v>
          </cell>
          <cell r="M3394">
            <v>20</v>
          </cell>
          <cell r="O3394" t="str">
            <v/>
          </cell>
        </row>
        <row r="3395">
          <cell r="B3395" t="str">
            <v>LTCS-541100400-02R02</v>
          </cell>
          <cell r="D3395" t="str">
            <v>A</v>
          </cell>
          <cell r="E3395" t="str">
            <v>工序内容</v>
          </cell>
          <cell r="F3395" t="str">
            <v>0/领料</v>
          </cell>
          <cell r="G3395" t="str">
            <v>5/下料</v>
          </cell>
          <cell r="H3395" t="str">
            <v>10/数铣</v>
          </cell>
          <cell r="I3395" t="str">
            <v>15/数铣130</v>
          </cell>
          <cell r="J3395" t="str">
            <v>20/钳工</v>
          </cell>
          <cell r="K3395" t="str">
            <v>25/线切割</v>
          </cell>
          <cell r="L3395" t="str">
            <v>30/钳工</v>
          </cell>
          <cell r="M3395" t="str">
            <v>35/钳试块</v>
          </cell>
          <cell r="N3395" t="str">
            <v>40/无</v>
          </cell>
          <cell r="O3395" t="str">
            <v>45/测量</v>
          </cell>
          <cell r="P3395" t="str">
            <v>50/清洁</v>
          </cell>
          <cell r="Q3395" t="str">
            <v>55/成检</v>
          </cell>
        </row>
        <row r="3396">
          <cell r="B3396" t="str">
            <v>LTCS-541100400-02R02</v>
          </cell>
          <cell r="D3396" t="str">
            <v>A</v>
          </cell>
          <cell r="E3396" t="str">
            <v>准备工时</v>
          </cell>
          <cell r="H3396">
            <v>60</v>
          </cell>
          <cell r="I3396">
            <v>120</v>
          </cell>
        </row>
        <row r="3397">
          <cell r="B3397" t="str">
            <v>LTCS-541100400-02R02</v>
          </cell>
          <cell r="D3397" t="str">
            <v>A</v>
          </cell>
          <cell r="E3397" t="str">
            <v>装夹时间</v>
          </cell>
        </row>
        <row r="3398">
          <cell r="B3398" t="str">
            <v>LTCS-541100400-02R02</v>
          </cell>
          <cell r="D3398" t="str">
            <v>A</v>
          </cell>
          <cell r="E3398" t="str">
            <v>程序时间</v>
          </cell>
          <cell r="G3398">
            <v>20</v>
          </cell>
          <cell r="H3398">
            <v>20</v>
          </cell>
          <cell r="I3398">
            <v>180</v>
          </cell>
          <cell r="J3398">
            <v>20</v>
          </cell>
          <cell r="K3398">
            <v>30</v>
          </cell>
          <cell r="L3398">
            <v>30</v>
          </cell>
          <cell r="M3398">
            <v>20</v>
          </cell>
          <cell r="O3398" t="str">
            <v/>
          </cell>
        </row>
        <row r="3399">
          <cell r="B3399" t="str">
            <v>LTCS-541100400-03L02</v>
          </cell>
          <cell r="D3399" t="str">
            <v>A</v>
          </cell>
          <cell r="E3399" t="str">
            <v>工序内容</v>
          </cell>
          <cell r="F3399" t="str">
            <v>0/领料</v>
          </cell>
          <cell r="G3399" t="str">
            <v>5/下料</v>
          </cell>
          <cell r="H3399" t="str">
            <v>10/数铣</v>
          </cell>
          <cell r="I3399" t="str">
            <v>15/数铣130</v>
          </cell>
          <cell r="J3399" t="str">
            <v>20/钳工</v>
          </cell>
          <cell r="K3399" t="str">
            <v>25/线切割</v>
          </cell>
          <cell r="L3399" t="str">
            <v>30/钳工</v>
          </cell>
          <cell r="M3399" t="str">
            <v>35/钳试块</v>
          </cell>
          <cell r="N3399" t="str">
            <v>40/无</v>
          </cell>
          <cell r="O3399" t="str">
            <v>45/测量</v>
          </cell>
          <cell r="P3399" t="str">
            <v>50/清洁</v>
          </cell>
          <cell r="Q3399" t="str">
            <v>55/成检</v>
          </cell>
        </row>
        <row r="3400">
          <cell r="B3400" t="str">
            <v>LTCS-541100400-03L02</v>
          </cell>
          <cell r="D3400" t="str">
            <v>A</v>
          </cell>
          <cell r="E3400" t="str">
            <v>准备工时</v>
          </cell>
          <cell r="H3400">
            <v>60</v>
          </cell>
          <cell r="I3400">
            <v>120</v>
          </cell>
        </row>
        <row r="3401">
          <cell r="B3401" t="str">
            <v>LTCS-541100400-03L02</v>
          </cell>
          <cell r="D3401" t="str">
            <v>A</v>
          </cell>
          <cell r="E3401" t="str">
            <v>装夹时间</v>
          </cell>
        </row>
        <row r="3402">
          <cell r="B3402" t="str">
            <v>LTCS-541100400-03L02</v>
          </cell>
          <cell r="D3402" t="str">
            <v>A</v>
          </cell>
          <cell r="E3402" t="str">
            <v>程序时间</v>
          </cell>
          <cell r="G3402">
            <v>20</v>
          </cell>
          <cell r="H3402">
            <v>20</v>
          </cell>
          <cell r="I3402">
            <v>180</v>
          </cell>
          <cell r="J3402">
            <v>20</v>
          </cell>
          <cell r="K3402">
            <v>30</v>
          </cell>
          <cell r="L3402">
            <v>30</v>
          </cell>
          <cell r="M3402">
            <v>20</v>
          </cell>
          <cell r="O3402" t="str">
            <v/>
          </cell>
        </row>
        <row r="3403">
          <cell r="B3403" t="str">
            <v>LTCS-541100400-03R02</v>
          </cell>
          <cell r="D3403" t="str">
            <v>A</v>
          </cell>
          <cell r="E3403" t="str">
            <v>工序内容</v>
          </cell>
          <cell r="F3403" t="str">
            <v>0/领料</v>
          </cell>
          <cell r="G3403" t="str">
            <v>5/下料</v>
          </cell>
          <cell r="H3403" t="str">
            <v>10/数铣</v>
          </cell>
          <cell r="I3403" t="str">
            <v>15/数铣130</v>
          </cell>
          <cell r="J3403" t="str">
            <v>20/钳工</v>
          </cell>
          <cell r="K3403" t="str">
            <v>25/线切割</v>
          </cell>
          <cell r="L3403" t="str">
            <v>30/钳工</v>
          </cell>
          <cell r="M3403" t="str">
            <v>35/钳试块</v>
          </cell>
          <cell r="N3403" t="str">
            <v>40/无</v>
          </cell>
          <cell r="O3403" t="str">
            <v>45/测量</v>
          </cell>
          <cell r="P3403" t="str">
            <v>50/清洁</v>
          </cell>
          <cell r="Q3403" t="str">
            <v>55/成检</v>
          </cell>
        </row>
        <row r="3404">
          <cell r="B3404" t="str">
            <v>LTCS-541100400-03R02</v>
          </cell>
          <cell r="D3404" t="str">
            <v>A</v>
          </cell>
          <cell r="E3404" t="str">
            <v>准备工时</v>
          </cell>
          <cell r="H3404">
            <v>60</v>
          </cell>
          <cell r="I3404">
            <v>120</v>
          </cell>
        </row>
        <row r="3405">
          <cell r="B3405" t="str">
            <v>LTCS-541100400-03R02</v>
          </cell>
          <cell r="D3405" t="str">
            <v>A</v>
          </cell>
          <cell r="E3405" t="str">
            <v>装夹时间</v>
          </cell>
        </row>
        <row r="3406">
          <cell r="B3406" t="str">
            <v>LTCS-541100400-03R02</v>
          </cell>
          <cell r="D3406" t="str">
            <v>A</v>
          </cell>
          <cell r="E3406" t="str">
            <v>程序时间</v>
          </cell>
          <cell r="G3406">
            <v>20</v>
          </cell>
          <cell r="H3406">
            <v>20</v>
          </cell>
          <cell r="I3406">
            <v>180</v>
          </cell>
          <cell r="J3406">
            <v>20</v>
          </cell>
          <cell r="K3406">
            <v>30</v>
          </cell>
          <cell r="L3406">
            <v>30</v>
          </cell>
          <cell r="M3406">
            <v>20</v>
          </cell>
          <cell r="O3406" t="str">
            <v/>
          </cell>
        </row>
        <row r="3407">
          <cell r="B3407" t="str">
            <v>CB5811200-003-001</v>
          </cell>
          <cell r="D3407" t="str">
            <v>C</v>
          </cell>
          <cell r="E3407" t="str">
            <v>工序内容</v>
          </cell>
          <cell r="F3407" t="str">
            <v>0/领料</v>
          </cell>
          <cell r="G3407" t="str">
            <v>05/数车20</v>
          </cell>
          <cell r="H3407" t="str">
            <v>10/车铣15</v>
          </cell>
          <cell r="I3407">
            <v>15</v>
          </cell>
          <cell r="J3407" t="str">
            <v>20/数铣10</v>
          </cell>
          <cell r="K3407" t="str">
            <v>25/数车20</v>
          </cell>
          <cell r="L3407" t="str">
            <v>30/钳工</v>
          </cell>
          <cell r="M3407" t="str">
            <v>35/钳吊牌</v>
          </cell>
          <cell r="N3407" t="str">
            <v>40/分光</v>
          </cell>
          <cell r="O3407" t="str">
            <v>45/热处理</v>
          </cell>
          <cell r="P3407" t="str">
            <v>50/数车10</v>
          </cell>
          <cell r="Q3407" t="str">
            <v>55/钳工</v>
          </cell>
          <cell r="R3407" t="str">
            <v>60/中间检验</v>
          </cell>
          <cell r="T3407" t="str">
            <v>70/钳工</v>
          </cell>
          <cell r="U3407" t="str">
            <v>75/去应力回火</v>
          </cell>
          <cell r="Z3407" t="str">
            <v>100/外圆磨</v>
          </cell>
          <cell r="AA3407" t="str">
            <v>105/数车</v>
          </cell>
          <cell r="AB3407" t="str">
            <v>110/钳工</v>
          </cell>
          <cell r="AC3407" t="str">
            <v>115/清洁</v>
          </cell>
          <cell r="AD3407" t="str">
            <v>120/成检</v>
          </cell>
        </row>
        <row r="3408">
          <cell r="B3408" t="str">
            <v>CB5811200-003-001</v>
          </cell>
          <cell r="D3408" t="str">
            <v>C</v>
          </cell>
          <cell r="E3408" t="str">
            <v>准备工时</v>
          </cell>
          <cell r="G3408">
            <v>90</v>
          </cell>
          <cell r="H3408">
            <v>120</v>
          </cell>
          <cell r="J3408">
            <v>60</v>
          </cell>
          <cell r="K3408">
            <v>120</v>
          </cell>
          <cell r="P3408">
            <v>90</v>
          </cell>
          <cell r="AA3408">
            <v>60</v>
          </cell>
        </row>
        <row r="3409">
          <cell r="B3409" t="str">
            <v>CB5811200-003-001</v>
          </cell>
          <cell r="D3409" t="str">
            <v>C</v>
          </cell>
          <cell r="E3409" t="str">
            <v>程序时间</v>
          </cell>
          <cell r="G3409">
            <v>35</v>
          </cell>
          <cell r="H3409">
            <v>25</v>
          </cell>
          <cell r="J3409">
            <v>25</v>
          </cell>
          <cell r="K3409">
            <v>35</v>
          </cell>
          <cell r="L3409">
            <v>20</v>
          </cell>
          <cell r="M3409">
            <v>10</v>
          </cell>
          <cell r="P3409">
            <v>30</v>
          </cell>
          <cell r="Q3409">
            <v>10</v>
          </cell>
          <cell r="T3409">
            <v>15</v>
          </cell>
          <cell r="AA3409">
            <v>15</v>
          </cell>
          <cell r="AB3409">
            <v>30</v>
          </cell>
        </row>
        <row r="3410">
          <cell r="B3410" t="str">
            <v>CB5350500-010L006</v>
          </cell>
          <cell r="D3410" t="str">
            <v>B</v>
          </cell>
          <cell r="E3410" t="str">
            <v>工序内容</v>
          </cell>
          <cell r="F3410" t="str">
            <v>0/领料</v>
          </cell>
          <cell r="G3410" t="str">
            <v>05/数铣</v>
          </cell>
          <cell r="H3410" t="str">
            <v>10/数铣8</v>
          </cell>
          <cell r="I3410" t="str">
            <v>15/数铣35</v>
          </cell>
          <cell r="J3410" t="str">
            <v>20/数铣10</v>
          </cell>
          <cell r="K3410" t="str">
            <v>25/五轴25</v>
          </cell>
          <cell r="L3410" t="str">
            <v>30/测量</v>
          </cell>
          <cell r="M3410" t="str">
            <v>35/钳工</v>
          </cell>
          <cell r="N3410" t="str">
            <v>40/清洁</v>
          </cell>
          <cell r="O3410" t="str">
            <v>45/分光</v>
          </cell>
          <cell r="P3410" t="str">
            <v>50/硬度</v>
          </cell>
          <cell r="Q3410" t="str">
            <v>55/检验</v>
          </cell>
          <cell r="R3410" t="str">
            <v>60/钳工</v>
          </cell>
          <cell r="S3410" t="str">
            <v>65/清洗</v>
          </cell>
          <cell r="T3410" t="str">
            <v>70/成检</v>
          </cell>
        </row>
        <row r="3411">
          <cell r="B3411" t="str">
            <v>CB5350500-010L006</v>
          </cell>
          <cell r="D3411" t="str">
            <v>B</v>
          </cell>
          <cell r="E3411" t="str">
            <v>准备工时</v>
          </cell>
          <cell r="G3411">
            <v>60</v>
          </cell>
          <cell r="H3411">
            <v>60</v>
          </cell>
          <cell r="I3411">
            <v>90</v>
          </cell>
          <cell r="J3411">
            <v>60</v>
          </cell>
          <cell r="K3411">
            <v>120</v>
          </cell>
        </row>
        <row r="3412">
          <cell r="B3412" t="str">
            <v>CB5350500-010L006</v>
          </cell>
          <cell r="D3412" t="str">
            <v>B</v>
          </cell>
          <cell r="E3412" t="str">
            <v>装夹时间</v>
          </cell>
          <cell r="K3412">
            <v>60</v>
          </cell>
        </row>
        <row r="3413">
          <cell r="B3413" t="str">
            <v>CB5350500-010L006</v>
          </cell>
          <cell r="D3413" t="str">
            <v>B</v>
          </cell>
          <cell r="E3413" t="str">
            <v>程序时间</v>
          </cell>
          <cell r="G3413">
            <v>30</v>
          </cell>
          <cell r="H3413">
            <v>25</v>
          </cell>
          <cell r="I3413">
            <v>60</v>
          </cell>
          <cell r="J3413">
            <v>25</v>
          </cell>
          <cell r="K3413">
            <v>60</v>
          </cell>
          <cell r="M3413">
            <v>45</v>
          </cell>
          <cell r="R3413">
            <v>5</v>
          </cell>
        </row>
        <row r="3414">
          <cell r="B3414" t="str">
            <v>CB5350500-010R006</v>
          </cell>
          <cell r="D3414" t="str">
            <v>B</v>
          </cell>
          <cell r="E3414" t="str">
            <v>工序内容</v>
          </cell>
          <cell r="F3414" t="str">
            <v>0/领料</v>
          </cell>
          <cell r="G3414" t="str">
            <v>05/数铣</v>
          </cell>
          <cell r="H3414" t="str">
            <v>10/数铣8</v>
          </cell>
          <cell r="I3414" t="str">
            <v>15/数铣35</v>
          </cell>
          <cell r="J3414" t="str">
            <v>20/数铣10</v>
          </cell>
          <cell r="K3414" t="str">
            <v>25/五轴25</v>
          </cell>
          <cell r="L3414" t="str">
            <v>30/测量</v>
          </cell>
          <cell r="M3414" t="str">
            <v>35/钳工</v>
          </cell>
          <cell r="N3414" t="str">
            <v>40/清洁</v>
          </cell>
          <cell r="O3414" t="str">
            <v>45/分光</v>
          </cell>
          <cell r="P3414" t="str">
            <v>50/硬度</v>
          </cell>
          <cell r="Q3414" t="str">
            <v>55/检验</v>
          </cell>
          <cell r="R3414" t="str">
            <v>60/钳工</v>
          </cell>
          <cell r="S3414" t="str">
            <v>65/清洗</v>
          </cell>
          <cell r="T3414" t="str">
            <v>70/成检</v>
          </cell>
        </row>
        <row r="3415">
          <cell r="B3415" t="str">
            <v>CB5350500-010R006</v>
          </cell>
          <cell r="D3415" t="str">
            <v>B</v>
          </cell>
          <cell r="E3415" t="str">
            <v>准备工时</v>
          </cell>
          <cell r="G3415">
            <v>60</v>
          </cell>
          <cell r="H3415">
            <v>60</v>
          </cell>
          <cell r="I3415">
            <v>90</v>
          </cell>
          <cell r="J3415">
            <v>60</v>
          </cell>
          <cell r="K3415">
            <v>120</v>
          </cell>
        </row>
        <row r="3416">
          <cell r="B3416" t="str">
            <v>CB5350500-010R006</v>
          </cell>
          <cell r="D3416" t="str">
            <v>B</v>
          </cell>
          <cell r="E3416" t="str">
            <v>装夹时间</v>
          </cell>
          <cell r="K3416">
            <v>60</v>
          </cell>
        </row>
        <row r="3417">
          <cell r="B3417" t="str">
            <v>CB5350500-010R006</v>
          </cell>
          <cell r="D3417" t="str">
            <v>B</v>
          </cell>
          <cell r="E3417" t="str">
            <v>程序时间</v>
          </cell>
          <cell r="G3417">
            <v>30</v>
          </cell>
          <cell r="H3417">
            <v>25</v>
          </cell>
          <cell r="I3417">
            <v>60</v>
          </cell>
          <cell r="J3417">
            <v>25</v>
          </cell>
          <cell r="K3417">
            <v>60</v>
          </cell>
          <cell r="M3417">
            <v>45</v>
          </cell>
          <cell r="R3417">
            <v>5</v>
          </cell>
        </row>
        <row r="3418">
          <cell r="B3418" t="str">
            <v>CB5324320-007L009</v>
          </cell>
          <cell r="D3418" t="str">
            <v>G</v>
          </cell>
          <cell r="E3418" t="str">
            <v>工序内容</v>
          </cell>
          <cell r="F3418" t="str">
            <v>0/领料</v>
          </cell>
          <cell r="G3418" t="str">
            <v>5/钳工</v>
          </cell>
          <cell r="H3418" t="str">
            <v>10/数铣</v>
          </cell>
          <cell r="I3418" t="str">
            <v>15/数铣45</v>
          </cell>
          <cell r="J3418" t="str">
            <v>20/数铣200</v>
          </cell>
          <cell r="K3418" t="str">
            <v>25/数铣120</v>
          </cell>
          <cell r="L3418">
            <v>30</v>
          </cell>
          <cell r="M3418" t="str">
            <v>35/时效</v>
          </cell>
          <cell r="N3418" t="str">
            <v>40/数铣</v>
          </cell>
          <cell r="O3418" t="str">
            <v>45/数铣220</v>
          </cell>
          <cell r="P3418" t="str">
            <v>50/五轴40</v>
          </cell>
          <cell r="Q3418" t="str">
            <v>55/数铣165</v>
          </cell>
          <cell r="R3418" t="str">
            <v>60/数铣95</v>
          </cell>
          <cell r="S3418" t="str">
            <v>65/数铣20</v>
          </cell>
          <cell r="T3418" t="str">
            <v>70/测量</v>
          </cell>
          <cell r="U3418" t="str">
            <v>75/钳工</v>
          </cell>
          <cell r="V3418" t="str">
            <v>80/清洁</v>
          </cell>
          <cell r="W3418" t="str">
            <v>85/检验</v>
          </cell>
          <cell r="X3418" t="str">
            <v>90/硬检</v>
          </cell>
          <cell r="Y3418" t="str">
            <v>95/分光</v>
          </cell>
          <cell r="Z3418" t="str">
            <v>100/钳工</v>
          </cell>
          <cell r="AA3418" t="str">
            <v>105/清洁</v>
          </cell>
          <cell r="AB3418" t="str">
            <v>110/成检</v>
          </cell>
        </row>
        <row r="3419">
          <cell r="B3419" t="str">
            <v>CB5324320-007L009</v>
          </cell>
          <cell r="D3419" t="str">
            <v>G</v>
          </cell>
          <cell r="E3419" t="str">
            <v>准备工时</v>
          </cell>
          <cell r="G3419">
            <v>60</v>
          </cell>
          <cell r="H3419">
            <v>60</v>
          </cell>
          <cell r="I3419">
            <v>90</v>
          </cell>
          <cell r="J3419">
            <v>90</v>
          </cell>
          <cell r="K3419">
            <v>60</v>
          </cell>
          <cell r="N3419">
            <v>90</v>
          </cell>
          <cell r="O3419">
            <v>90</v>
          </cell>
          <cell r="P3419">
            <v>150</v>
          </cell>
          <cell r="Q3419">
            <v>90</v>
          </cell>
          <cell r="R3419">
            <v>90</v>
          </cell>
          <cell r="S3419">
            <v>60</v>
          </cell>
        </row>
        <row r="3420">
          <cell r="B3420" t="str">
            <v>CB5324320-007L009</v>
          </cell>
          <cell r="D3420" t="str">
            <v>G</v>
          </cell>
          <cell r="E3420" t="str">
            <v>装夹时间</v>
          </cell>
          <cell r="P3420">
            <v>60</v>
          </cell>
        </row>
        <row r="3421">
          <cell r="B3421" t="str">
            <v>CB5324320-007L009</v>
          </cell>
          <cell r="D3421" t="str">
            <v>G</v>
          </cell>
          <cell r="E3421" t="str">
            <v>程序时间</v>
          </cell>
          <cell r="G3421">
            <v>30</v>
          </cell>
          <cell r="H3421">
            <v>60</v>
          </cell>
          <cell r="I3421">
            <v>90</v>
          </cell>
          <cell r="J3421">
            <v>300</v>
          </cell>
          <cell r="K3421">
            <v>210</v>
          </cell>
          <cell r="N3421">
            <v>150</v>
          </cell>
          <cell r="O3421">
            <v>420</v>
          </cell>
          <cell r="P3421">
            <v>180</v>
          </cell>
          <cell r="Q3421">
            <v>270</v>
          </cell>
          <cell r="R3421">
            <v>180</v>
          </cell>
          <cell r="S3421">
            <v>45</v>
          </cell>
          <cell r="U3421">
            <v>300</v>
          </cell>
          <cell r="Z3421">
            <v>5</v>
          </cell>
        </row>
        <row r="3422">
          <cell r="B3422" t="str">
            <v>CB5324320-007R009</v>
          </cell>
          <cell r="D3422" t="str">
            <v>G</v>
          </cell>
          <cell r="E3422" t="str">
            <v>工序内容</v>
          </cell>
          <cell r="F3422" t="str">
            <v>0/领料</v>
          </cell>
          <cell r="G3422" t="str">
            <v>5/钳工</v>
          </cell>
          <cell r="H3422" t="str">
            <v>10/数铣</v>
          </cell>
          <cell r="I3422" t="str">
            <v>15/数铣45</v>
          </cell>
          <cell r="J3422" t="str">
            <v>20/数铣200</v>
          </cell>
          <cell r="K3422" t="str">
            <v>25/数铣120</v>
          </cell>
          <cell r="L3422">
            <v>30</v>
          </cell>
          <cell r="M3422" t="str">
            <v>35/时效</v>
          </cell>
          <cell r="N3422" t="str">
            <v>40/数铣</v>
          </cell>
          <cell r="O3422" t="str">
            <v>45/数铣220</v>
          </cell>
          <cell r="P3422" t="str">
            <v>50/五轴40</v>
          </cell>
          <cell r="Q3422" t="str">
            <v>55/数铣165</v>
          </cell>
          <cell r="R3422" t="str">
            <v>60/数铣95</v>
          </cell>
          <cell r="S3422" t="str">
            <v>65/数铣20</v>
          </cell>
          <cell r="T3422" t="str">
            <v>70/测量</v>
          </cell>
          <cell r="U3422" t="str">
            <v>75/钳工</v>
          </cell>
          <cell r="V3422" t="str">
            <v>80/清洁</v>
          </cell>
          <cell r="W3422" t="str">
            <v>85/检验</v>
          </cell>
          <cell r="X3422" t="str">
            <v>90/硬检</v>
          </cell>
          <cell r="Y3422" t="str">
            <v>95/分光</v>
          </cell>
          <cell r="Z3422" t="str">
            <v>100/钳工</v>
          </cell>
          <cell r="AA3422" t="str">
            <v>105/清洁</v>
          </cell>
          <cell r="AB3422" t="str">
            <v>110/成检</v>
          </cell>
        </row>
        <row r="3423">
          <cell r="B3423" t="str">
            <v>CB5324320-007R009</v>
          </cell>
          <cell r="D3423" t="str">
            <v>G</v>
          </cell>
          <cell r="E3423" t="str">
            <v>准备工时</v>
          </cell>
          <cell r="G3423">
            <v>60</v>
          </cell>
          <cell r="H3423">
            <v>60</v>
          </cell>
          <cell r="I3423">
            <v>90</v>
          </cell>
          <cell r="J3423">
            <v>90</v>
          </cell>
          <cell r="K3423">
            <v>60</v>
          </cell>
          <cell r="N3423">
            <v>90</v>
          </cell>
          <cell r="O3423">
            <v>90</v>
          </cell>
          <cell r="P3423">
            <v>150</v>
          </cell>
          <cell r="Q3423">
            <v>90</v>
          </cell>
          <cell r="R3423">
            <v>90</v>
          </cell>
          <cell r="S3423">
            <v>60</v>
          </cell>
        </row>
        <row r="3424">
          <cell r="B3424" t="str">
            <v>CB5324320-007R009</v>
          </cell>
          <cell r="D3424" t="str">
            <v>G</v>
          </cell>
          <cell r="E3424" t="str">
            <v>装夹时间</v>
          </cell>
          <cell r="P3424">
            <v>60</v>
          </cell>
        </row>
        <row r="3425">
          <cell r="B3425" t="str">
            <v>CB5324320-007R009</v>
          </cell>
          <cell r="D3425" t="str">
            <v>G</v>
          </cell>
          <cell r="E3425" t="str">
            <v>程序时间</v>
          </cell>
          <cell r="G3425">
            <v>30</v>
          </cell>
          <cell r="H3425">
            <v>60</v>
          </cell>
          <cell r="I3425">
            <v>90</v>
          </cell>
          <cell r="J3425">
            <v>300</v>
          </cell>
          <cell r="K3425">
            <v>210</v>
          </cell>
          <cell r="N3425">
            <v>150</v>
          </cell>
          <cell r="O3425">
            <v>420</v>
          </cell>
          <cell r="P3425">
            <v>180</v>
          </cell>
          <cell r="Q3425">
            <v>270</v>
          </cell>
          <cell r="R3425">
            <v>180</v>
          </cell>
          <cell r="S3425">
            <v>45</v>
          </cell>
          <cell r="U3425">
            <v>300</v>
          </cell>
          <cell r="Z3425">
            <v>5</v>
          </cell>
        </row>
        <row r="3426">
          <cell r="B3426" t="str">
            <v>Y20-5316200033-501</v>
          </cell>
          <cell r="D3426" t="str">
            <v>B</v>
          </cell>
          <cell r="E3426" t="str">
            <v>工序内容</v>
          </cell>
          <cell r="F3426" t="str">
            <v>0/领料</v>
          </cell>
          <cell r="G3426" t="str">
            <v>5/数铣</v>
          </cell>
          <cell r="H3426" t="str">
            <v>10/数铣20</v>
          </cell>
          <cell r="I3426" t="str">
            <v>15/数铣20</v>
          </cell>
          <cell r="J3426" t="str">
            <v>20/数铣50</v>
          </cell>
          <cell r="K3426" t="str">
            <v>25/数铣</v>
          </cell>
          <cell r="L3426" t="str">
            <v>30/数铣10</v>
          </cell>
          <cell r="M3426" t="str">
            <v>35/数铣20</v>
          </cell>
          <cell r="N3426" t="str">
            <v>40/数铣120</v>
          </cell>
          <cell r="O3426" t="str">
            <v>45/钳工</v>
          </cell>
          <cell r="P3426" t="str">
            <v>50/测量</v>
          </cell>
          <cell r="Q3426" t="str">
            <v>55/清洁</v>
          </cell>
          <cell r="R3426" t="str">
            <v>60/成检</v>
          </cell>
        </row>
        <row r="3427">
          <cell r="B3427" t="str">
            <v>Y20-5316200033-501</v>
          </cell>
          <cell r="D3427" t="str">
            <v>B</v>
          </cell>
          <cell r="E3427" t="str">
            <v>准备工时</v>
          </cell>
          <cell r="G3427">
            <v>60</v>
          </cell>
          <cell r="H3427">
            <v>90</v>
          </cell>
          <cell r="I3427">
            <v>90</v>
          </cell>
          <cell r="J3427">
            <v>90</v>
          </cell>
          <cell r="K3427">
            <v>60</v>
          </cell>
          <cell r="L3427">
            <v>90</v>
          </cell>
          <cell r="M3427">
            <v>90</v>
          </cell>
          <cell r="N3427">
            <v>120</v>
          </cell>
        </row>
        <row r="3428">
          <cell r="B3428" t="str">
            <v>Y20-5316200033-501</v>
          </cell>
          <cell r="D3428" t="str">
            <v>B</v>
          </cell>
          <cell r="E3428" t="str">
            <v>程序时间</v>
          </cell>
          <cell r="G3428">
            <v>90</v>
          </cell>
          <cell r="H3428">
            <v>60</v>
          </cell>
          <cell r="I3428">
            <v>60</v>
          </cell>
          <cell r="J3428">
            <v>120</v>
          </cell>
          <cell r="K3428">
            <v>150</v>
          </cell>
          <cell r="L3428">
            <v>30</v>
          </cell>
          <cell r="M3428">
            <v>40</v>
          </cell>
          <cell r="N3428">
            <v>300</v>
          </cell>
          <cell r="O3428">
            <v>80</v>
          </cell>
        </row>
        <row r="3429">
          <cell r="B3429" t="str">
            <v>Y20-5316200033-502</v>
          </cell>
          <cell r="D3429" t="str">
            <v>B</v>
          </cell>
          <cell r="E3429" t="str">
            <v>工序内容</v>
          </cell>
          <cell r="F3429" t="str">
            <v>0/领料</v>
          </cell>
          <cell r="G3429" t="str">
            <v>5/数铣</v>
          </cell>
          <cell r="H3429" t="str">
            <v>10/数铣20</v>
          </cell>
          <cell r="I3429" t="str">
            <v>15/数铣20</v>
          </cell>
          <cell r="J3429" t="str">
            <v>20/数铣50</v>
          </cell>
          <cell r="K3429" t="str">
            <v>25/数铣</v>
          </cell>
          <cell r="L3429" t="str">
            <v>30/数铣10</v>
          </cell>
          <cell r="M3429" t="str">
            <v>35/数铣20</v>
          </cell>
          <cell r="N3429" t="str">
            <v>40/数铣120</v>
          </cell>
          <cell r="O3429" t="str">
            <v>45/钳工</v>
          </cell>
          <cell r="P3429" t="str">
            <v>50/测量</v>
          </cell>
          <cell r="Q3429" t="str">
            <v>55/清洁</v>
          </cell>
          <cell r="R3429" t="str">
            <v>60/成检</v>
          </cell>
        </row>
        <row r="3430">
          <cell r="B3430" t="str">
            <v>Y20-5316200033-502</v>
          </cell>
          <cell r="D3430" t="str">
            <v>B</v>
          </cell>
          <cell r="E3430" t="str">
            <v>准备工时</v>
          </cell>
          <cell r="G3430">
            <v>60</v>
          </cell>
          <cell r="H3430">
            <v>90</v>
          </cell>
          <cell r="I3430">
            <v>90</v>
          </cell>
          <cell r="J3430">
            <v>90</v>
          </cell>
          <cell r="K3430">
            <v>60</v>
          </cell>
          <cell r="L3430">
            <v>90</v>
          </cell>
          <cell r="M3430">
            <v>90</v>
          </cell>
          <cell r="N3430">
            <v>120</v>
          </cell>
        </row>
        <row r="3431">
          <cell r="B3431" t="str">
            <v>Y20-5316200033-502</v>
          </cell>
          <cell r="D3431" t="str">
            <v>B</v>
          </cell>
          <cell r="E3431" t="str">
            <v>程序时间</v>
          </cell>
          <cell r="G3431">
            <v>90</v>
          </cell>
          <cell r="H3431">
            <v>60</v>
          </cell>
          <cell r="I3431">
            <v>60</v>
          </cell>
          <cell r="J3431">
            <v>120</v>
          </cell>
          <cell r="K3431">
            <v>150</v>
          </cell>
          <cell r="L3431">
            <v>30</v>
          </cell>
          <cell r="M3431">
            <v>40</v>
          </cell>
          <cell r="N3431">
            <v>300</v>
          </cell>
          <cell r="O3431">
            <v>80</v>
          </cell>
        </row>
        <row r="3432">
          <cell r="B3432" t="str">
            <v>C532111100-001L001</v>
          </cell>
          <cell r="D3432" t="str">
            <v>B</v>
          </cell>
          <cell r="E3432" t="str">
            <v>工序内容</v>
          </cell>
          <cell r="F3432" t="str">
            <v>0领料</v>
          </cell>
          <cell r="G3432" t="str">
            <v>5/数铣</v>
          </cell>
          <cell r="H3432" t="str">
            <v>10/数铣</v>
          </cell>
          <cell r="I3432" t="str">
            <v>15/钳工</v>
          </cell>
          <cell r="J3432" t="str">
            <v>20/超探</v>
          </cell>
          <cell r="K3432" t="str">
            <v>25/数铣90</v>
          </cell>
          <cell r="L3432" t="str">
            <v>30/数铣350</v>
          </cell>
          <cell r="M3432" t="str">
            <v>35/钳工</v>
          </cell>
          <cell r="N3432" t="str">
            <v>40/超探</v>
          </cell>
          <cell r="O3432" t="str">
            <v>45/数铣180</v>
          </cell>
          <cell r="P3432" t="str">
            <v>50/数铣960</v>
          </cell>
          <cell r="Q3432" t="str">
            <v>55/数铣840</v>
          </cell>
          <cell r="R3432" t="str">
            <v>60/时效</v>
          </cell>
          <cell r="S3432" t="str">
            <v>65/数铣15</v>
          </cell>
          <cell r="T3432" t="str">
            <v>70/五轴900</v>
          </cell>
          <cell r="U3432" t="str">
            <v>75/数铣960</v>
          </cell>
          <cell r="V3432" t="str">
            <v>80/数铣85</v>
          </cell>
          <cell r="W3432" t="str">
            <v>85/五轴240</v>
          </cell>
          <cell r="X3432" t="str">
            <v>90/钳工</v>
          </cell>
          <cell r="Y3432" t="str">
            <v>95/称重</v>
          </cell>
          <cell r="Z3432" t="str">
            <v>100/清洁</v>
          </cell>
          <cell r="AA3432" t="str">
            <v>105/测量</v>
          </cell>
          <cell r="AB3432" t="str">
            <v>110成检</v>
          </cell>
        </row>
        <row r="3433">
          <cell r="B3433" t="str">
            <v>C532111100-001L001</v>
          </cell>
          <cell r="D3433" t="str">
            <v>B</v>
          </cell>
          <cell r="E3433" t="str">
            <v>准备工时</v>
          </cell>
          <cell r="G3433">
            <v>90</v>
          </cell>
          <cell r="H3433">
            <v>90</v>
          </cell>
          <cell r="K3433">
            <v>90</v>
          </cell>
          <cell r="L3433">
            <v>90</v>
          </cell>
          <cell r="O3433">
            <v>120</v>
          </cell>
          <cell r="P3433">
            <v>90</v>
          </cell>
          <cell r="Q3433">
            <v>90</v>
          </cell>
          <cell r="S3433">
            <v>90</v>
          </cell>
          <cell r="T3433">
            <v>180</v>
          </cell>
          <cell r="U3433">
            <v>90</v>
          </cell>
          <cell r="V3433">
            <v>90</v>
          </cell>
          <cell r="W3433">
            <v>180</v>
          </cell>
        </row>
        <row r="3434">
          <cell r="B3434" t="str">
            <v>C532111100-001L001</v>
          </cell>
          <cell r="D3434" t="str">
            <v>B</v>
          </cell>
          <cell r="E3434" t="str">
            <v>装夹时间</v>
          </cell>
          <cell r="G3434">
            <v>60</v>
          </cell>
          <cell r="H3434">
            <v>60</v>
          </cell>
          <cell r="K3434">
            <v>60</v>
          </cell>
          <cell r="L3434">
            <v>60</v>
          </cell>
          <cell r="O3434">
            <v>60</v>
          </cell>
          <cell r="P3434">
            <v>60</v>
          </cell>
          <cell r="Q3434">
            <v>60</v>
          </cell>
          <cell r="S3434">
            <v>60</v>
          </cell>
          <cell r="T3434">
            <v>60</v>
          </cell>
          <cell r="U3434">
            <v>60</v>
          </cell>
          <cell r="V3434">
            <v>60</v>
          </cell>
          <cell r="W3434">
            <v>60</v>
          </cell>
        </row>
        <row r="3435">
          <cell r="B3435" t="str">
            <v>C532111100-001L001</v>
          </cell>
          <cell r="D3435" t="str">
            <v>B</v>
          </cell>
          <cell r="E3435" t="str">
            <v>程序时间</v>
          </cell>
          <cell r="G3435">
            <v>660</v>
          </cell>
          <cell r="H3435">
            <v>720</v>
          </cell>
          <cell r="I3435">
            <v>150</v>
          </cell>
          <cell r="K3435">
            <v>360</v>
          </cell>
          <cell r="L3435">
            <v>720</v>
          </cell>
          <cell r="M3435">
            <v>150</v>
          </cell>
          <cell r="O3435">
            <v>420</v>
          </cell>
          <cell r="P3435">
            <v>1920</v>
          </cell>
          <cell r="Q3435">
            <v>1440</v>
          </cell>
          <cell r="S3435">
            <v>90</v>
          </cell>
          <cell r="T3435">
            <v>4800</v>
          </cell>
          <cell r="U3435">
            <v>2600</v>
          </cell>
          <cell r="V3435">
            <v>600</v>
          </cell>
          <cell r="W3435">
            <v>1200</v>
          </cell>
          <cell r="X3435">
            <v>420</v>
          </cell>
          <cell r="Y3435">
            <v>60</v>
          </cell>
        </row>
        <row r="3436">
          <cell r="B3436" t="str">
            <v>C532111100-001R001</v>
          </cell>
          <cell r="D3436" t="str">
            <v>B</v>
          </cell>
          <cell r="E3436" t="str">
            <v>工序内容</v>
          </cell>
          <cell r="F3436" t="str">
            <v>0领料</v>
          </cell>
          <cell r="G3436" t="str">
            <v>5/数铣</v>
          </cell>
          <cell r="H3436" t="str">
            <v>10/数铣</v>
          </cell>
          <cell r="I3436" t="str">
            <v>15/钳工</v>
          </cell>
          <cell r="J3436" t="str">
            <v>20/超探</v>
          </cell>
          <cell r="K3436" t="str">
            <v>25/数铣90</v>
          </cell>
          <cell r="L3436" t="str">
            <v>30/数铣350</v>
          </cell>
          <cell r="M3436" t="str">
            <v>35/钳工</v>
          </cell>
          <cell r="N3436" t="str">
            <v>40/超探</v>
          </cell>
          <cell r="O3436" t="str">
            <v>45/数铣180</v>
          </cell>
          <cell r="P3436" t="str">
            <v>50/数铣960</v>
          </cell>
          <cell r="Q3436" t="str">
            <v>55/数铣840</v>
          </cell>
          <cell r="R3436" t="str">
            <v>60/时效</v>
          </cell>
          <cell r="S3436" t="str">
            <v>65/数铣15</v>
          </cell>
          <cell r="T3436" t="str">
            <v>70/五轴900</v>
          </cell>
          <cell r="U3436" t="str">
            <v>75/数铣960</v>
          </cell>
          <cell r="V3436" t="str">
            <v>80/数铣85</v>
          </cell>
          <cell r="W3436" t="str">
            <v>85/五轴240</v>
          </cell>
          <cell r="X3436" t="str">
            <v>90/钳工</v>
          </cell>
          <cell r="Y3436" t="str">
            <v>95/称重</v>
          </cell>
          <cell r="Z3436" t="str">
            <v>100/清洁</v>
          </cell>
          <cell r="AA3436" t="str">
            <v>105/测量</v>
          </cell>
          <cell r="AB3436" t="str">
            <v>110成检</v>
          </cell>
        </row>
        <row r="3437">
          <cell r="B3437" t="str">
            <v>C532111100-001R001</v>
          </cell>
          <cell r="D3437" t="str">
            <v>B</v>
          </cell>
          <cell r="E3437" t="str">
            <v>准备工时</v>
          </cell>
          <cell r="G3437">
            <v>90</v>
          </cell>
          <cell r="H3437">
            <v>90</v>
          </cell>
          <cell r="K3437">
            <v>90</v>
          </cell>
          <cell r="L3437">
            <v>90</v>
          </cell>
          <cell r="O3437">
            <v>120</v>
          </cell>
          <cell r="P3437">
            <v>90</v>
          </cell>
          <cell r="Q3437">
            <v>90</v>
          </cell>
          <cell r="S3437">
            <v>90</v>
          </cell>
          <cell r="T3437">
            <v>180</v>
          </cell>
          <cell r="U3437">
            <v>90</v>
          </cell>
          <cell r="V3437">
            <v>90</v>
          </cell>
          <cell r="W3437">
            <v>180</v>
          </cell>
        </row>
        <row r="3438">
          <cell r="B3438" t="str">
            <v>C532111100-001R001</v>
          </cell>
          <cell r="D3438" t="str">
            <v>B</v>
          </cell>
          <cell r="E3438" t="str">
            <v>装夹时间</v>
          </cell>
          <cell r="G3438">
            <v>60</v>
          </cell>
          <cell r="H3438">
            <v>60</v>
          </cell>
          <cell r="K3438">
            <v>60</v>
          </cell>
          <cell r="L3438">
            <v>60</v>
          </cell>
          <cell r="O3438">
            <v>60</v>
          </cell>
          <cell r="P3438">
            <v>60</v>
          </cell>
          <cell r="Q3438">
            <v>60</v>
          </cell>
          <cell r="S3438">
            <v>60</v>
          </cell>
          <cell r="T3438">
            <v>60</v>
          </cell>
          <cell r="U3438">
            <v>60</v>
          </cell>
          <cell r="V3438">
            <v>60</v>
          </cell>
          <cell r="W3438">
            <v>60</v>
          </cell>
        </row>
        <row r="3439">
          <cell r="B3439" t="str">
            <v>C532111100-001R001</v>
          </cell>
          <cell r="D3439" t="str">
            <v>B</v>
          </cell>
          <cell r="E3439" t="str">
            <v>程序时间</v>
          </cell>
          <cell r="G3439">
            <v>660</v>
          </cell>
          <cell r="H3439">
            <v>720</v>
          </cell>
          <cell r="I3439">
            <v>150</v>
          </cell>
          <cell r="K3439">
            <v>360</v>
          </cell>
          <cell r="L3439">
            <v>720</v>
          </cell>
          <cell r="M3439">
            <v>150</v>
          </cell>
          <cell r="O3439">
            <v>420</v>
          </cell>
          <cell r="P3439">
            <v>1920</v>
          </cell>
          <cell r="Q3439">
            <v>1440</v>
          </cell>
          <cell r="S3439">
            <v>90</v>
          </cell>
          <cell r="T3439">
            <v>4800</v>
          </cell>
          <cell r="U3439">
            <v>2600</v>
          </cell>
          <cell r="V3439">
            <v>600</v>
          </cell>
          <cell r="W3439">
            <v>1200</v>
          </cell>
          <cell r="X3439">
            <v>420</v>
          </cell>
          <cell r="Y3439">
            <v>60</v>
          </cell>
        </row>
        <row r="3440">
          <cell r="B3440" t="str">
            <v>Y20-5315400053-001/002</v>
          </cell>
          <cell r="D3440" t="str">
            <v>C</v>
          </cell>
          <cell r="E3440" t="str">
            <v>工序内容</v>
          </cell>
          <cell r="F3440" t="str">
            <v>0/领料</v>
          </cell>
          <cell r="G3440" t="str">
            <v>05/数铣</v>
          </cell>
          <cell r="H3440" t="str">
            <v>10/数铣</v>
          </cell>
          <cell r="I3440" t="str">
            <v>15/数铣</v>
          </cell>
          <cell r="J3440" t="str">
            <v>20/数铣</v>
          </cell>
          <cell r="K3440" t="str">
            <v>25/五轴</v>
          </cell>
          <cell r="L3440" t="str">
            <v>30/数铣</v>
          </cell>
          <cell r="M3440" t="str">
            <v>35/测量</v>
          </cell>
          <cell r="N3440" t="str">
            <v>40/钳工</v>
          </cell>
          <cell r="O3440" t="str">
            <v>45/清洁</v>
          </cell>
          <cell r="P3440" t="str">
            <v>50/成检</v>
          </cell>
        </row>
        <row r="3441">
          <cell r="B3441" t="str">
            <v>Y20-5315400053-001/002</v>
          </cell>
          <cell r="D3441" t="str">
            <v>C</v>
          </cell>
          <cell r="E3441" t="str">
            <v>准备工时</v>
          </cell>
          <cell r="G3441">
            <v>60</v>
          </cell>
          <cell r="H3441">
            <v>60</v>
          </cell>
          <cell r="I3441">
            <v>60</v>
          </cell>
          <cell r="J3441">
            <v>60</v>
          </cell>
          <cell r="K3441">
            <v>120</v>
          </cell>
          <cell r="L3441">
            <v>60</v>
          </cell>
        </row>
        <row r="3442">
          <cell r="B3442" t="str">
            <v>Y20-5315400053-001/002</v>
          </cell>
          <cell r="D3442" t="str">
            <v>C</v>
          </cell>
          <cell r="E3442" t="str">
            <v>装夹时间</v>
          </cell>
          <cell r="K3442">
            <v>40</v>
          </cell>
        </row>
        <row r="3443">
          <cell r="B3443" t="str">
            <v>Y20-5315400053-001/002</v>
          </cell>
          <cell r="D3443" t="str">
            <v>C</v>
          </cell>
          <cell r="E3443" t="str">
            <v>程序时间</v>
          </cell>
          <cell r="G3443">
            <v>40</v>
          </cell>
          <cell r="H3443">
            <v>40</v>
          </cell>
          <cell r="I3443">
            <v>180</v>
          </cell>
          <cell r="J3443">
            <v>210</v>
          </cell>
          <cell r="K3443">
            <v>240</v>
          </cell>
          <cell r="L3443">
            <v>70</v>
          </cell>
          <cell r="N3443">
            <v>120</v>
          </cell>
        </row>
        <row r="3444">
          <cell r="B3444" t="str">
            <v>CB22983U0-002-001</v>
          </cell>
          <cell r="D3444" t="str">
            <v>B</v>
          </cell>
          <cell r="E3444" t="str">
            <v>工序内容</v>
          </cell>
          <cell r="F3444" t="str">
            <v>0领料</v>
          </cell>
          <cell r="G3444" t="str">
            <v>05下料</v>
          </cell>
          <cell r="H3444" t="str">
            <v>10数车</v>
          </cell>
          <cell r="I3444" t="str">
            <v>15数铣10</v>
          </cell>
          <cell r="J3444" t="str">
            <v>20数铣</v>
          </cell>
          <cell r="K3444" t="str">
            <v>25数铣10</v>
          </cell>
          <cell r="L3444" t="str">
            <v>30数铣15</v>
          </cell>
          <cell r="M3444" t="str">
            <v>35线切割</v>
          </cell>
          <cell r="N3444" t="str">
            <v>40数铣</v>
          </cell>
          <cell r="O3444" t="str">
            <v>45钳工</v>
          </cell>
          <cell r="P3444" t="str">
            <v>50清洁</v>
          </cell>
          <cell r="Q3444" t="str">
            <v>55成检</v>
          </cell>
        </row>
        <row r="3445">
          <cell r="B3445" t="str">
            <v>CB22983U0-002-001</v>
          </cell>
          <cell r="D3445" t="str">
            <v>B</v>
          </cell>
          <cell r="E3445" t="str">
            <v>准备工时</v>
          </cell>
          <cell r="H3445">
            <v>60</v>
          </cell>
          <cell r="I3445">
            <v>60</v>
          </cell>
          <cell r="J3445">
            <v>60</v>
          </cell>
          <cell r="K3445">
            <v>60</v>
          </cell>
          <cell r="L3445">
            <v>60</v>
          </cell>
        </row>
        <row r="3446">
          <cell r="B3446" t="str">
            <v>CB22983U0-002-001</v>
          </cell>
          <cell r="D3446" t="str">
            <v>B</v>
          </cell>
          <cell r="E3446" t="str">
            <v>程序时间</v>
          </cell>
          <cell r="H3446">
            <v>10</v>
          </cell>
          <cell r="I3446">
            <v>25</v>
          </cell>
          <cell r="J3446">
            <v>15</v>
          </cell>
          <cell r="K3446">
            <v>25</v>
          </cell>
          <cell r="L3446">
            <v>35</v>
          </cell>
          <cell r="N3446">
            <v>20</v>
          </cell>
          <cell r="O3446">
            <v>30</v>
          </cell>
        </row>
        <row r="3447">
          <cell r="B3447" t="str">
            <v>Y20-5316100416-501</v>
          </cell>
          <cell r="D3447" t="str">
            <v>B</v>
          </cell>
          <cell r="E3447" t="str">
            <v>工序内容</v>
          </cell>
          <cell r="F3447" t="str">
            <v>0/领料</v>
          </cell>
          <cell r="G3447" t="str">
            <v>5/数铣</v>
          </cell>
          <cell r="H3447" t="str">
            <v>10/数铣30</v>
          </cell>
          <cell r="I3447" t="str">
            <v>15/数铣90</v>
          </cell>
          <cell r="J3447" t="str">
            <v>20/数铣90</v>
          </cell>
          <cell r="K3447" t="str">
            <v>25/数铣100</v>
          </cell>
          <cell r="L3447" t="str">
            <v>30/钳工</v>
          </cell>
          <cell r="M3447" t="str">
            <v>35/数铣10</v>
          </cell>
          <cell r="N3447" t="str">
            <v>40/数铣10</v>
          </cell>
          <cell r="O3447" t="str">
            <v>45/数铣10</v>
          </cell>
          <cell r="P3447" t="str">
            <v>50/钳工</v>
          </cell>
          <cell r="Q3447" t="str">
            <v>55/测量</v>
          </cell>
          <cell r="R3447" t="str">
            <v>60/清洁</v>
          </cell>
          <cell r="S3447" t="str">
            <v>65/成检</v>
          </cell>
        </row>
        <row r="3448">
          <cell r="B3448" t="str">
            <v>Y20-5316100416-501</v>
          </cell>
          <cell r="D3448" t="str">
            <v>B</v>
          </cell>
          <cell r="E3448" t="str">
            <v>准备工时</v>
          </cell>
          <cell r="G3448">
            <v>60</v>
          </cell>
          <cell r="H3448">
            <v>60</v>
          </cell>
          <cell r="I3448">
            <v>60</v>
          </cell>
          <cell r="J3448">
            <v>90</v>
          </cell>
          <cell r="K3448">
            <v>90</v>
          </cell>
          <cell r="M3448">
            <v>90</v>
          </cell>
          <cell r="N3448">
            <v>90</v>
          </cell>
          <cell r="O3448">
            <v>90</v>
          </cell>
        </row>
        <row r="3449">
          <cell r="B3449" t="str">
            <v>Y20-5316100416-501</v>
          </cell>
          <cell r="D3449" t="str">
            <v>B</v>
          </cell>
          <cell r="E3449" t="str">
            <v>程序时间</v>
          </cell>
          <cell r="G3449">
            <v>90</v>
          </cell>
          <cell r="H3449">
            <v>65</v>
          </cell>
          <cell r="I3449">
            <v>140</v>
          </cell>
          <cell r="J3449">
            <v>140</v>
          </cell>
          <cell r="K3449">
            <v>150</v>
          </cell>
          <cell r="L3449">
            <v>120</v>
          </cell>
          <cell r="M3449">
            <v>30</v>
          </cell>
          <cell r="N3449">
            <v>30</v>
          </cell>
          <cell r="O3449">
            <v>30</v>
          </cell>
          <cell r="P3449">
            <v>60</v>
          </cell>
        </row>
        <row r="3450">
          <cell r="B3450" t="str">
            <v>Y20-5316100416-502</v>
          </cell>
          <cell r="D3450" t="str">
            <v>B</v>
          </cell>
          <cell r="E3450" t="str">
            <v>工序内容</v>
          </cell>
          <cell r="F3450" t="str">
            <v>0/领料</v>
          </cell>
          <cell r="G3450" t="str">
            <v>5/数铣</v>
          </cell>
          <cell r="H3450" t="str">
            <v>10/数铣30</v>
          </cell>
          <cell r="I3450" t="str">
            <v>15/数铣90</v>
          </cell>
          <cell r="J3450" t="str">
            <v>20/数铣90</v>
          </cell>
          <cell r="K3450" t="str">
            <v>25/数铣100</v>
          </cell>
          <cell r="L3450" t="str">
            <v>30/钳工</v>
          </cell>
          <cell r="M3450" t="str">
            <v>35/数铣10</v>
          </cell>
          <cell r="N3450" t="str">
            <v>40/数铣10</v>
          </cell>
          <cell r="O3450" t="str">
            <v>45/数铣10</v>
          </cell>
          <cell r="P3450" t="str">
            <v>50/钳工</v>
          </cell>
          <cell r="Q3450" t="str">
            <v>55/测量</v>
          </cell>
          <cell r="R3450" t="str">
            <v>60/清洁</v>
          </cell>
          <cell r="S3450" t="str">
            <v>65/成检</v>
          </cell>
        </row>
        <row r="3451">
          <cell r="B3451" t="str">
            <v>Y20-5316100416-502</v>
          </cell>
          <cell r="D3451" t="str">
            <v>B</v>
          </cell>
          <cell r="E3451" t="str">
            <v>准备工时</v>
          </cell>
          <cell r="G3451">
            <v>60</v>
          </cell>
          <cell r="H3451">
            <v>60</v>
          </cell>
          <cell r="I3451">
            <v>60</v>
          </cell>
          <cell r="J3451">
            <v>90</v>
          </cell>
          <cell r="K3451">
            <v>90</v>
          </cell>
          <cell r="M3451">
            <v>90</v>
          </cell>
          <cell r="N3451">
            <v>90</v>
          </cell>
          <cell r="O3451">
            <v>90</v>
          </cell>
        </row>
        <row r="3452">
          <cell r="B3452" t="str">
            <v>Y20-5316100416-502</v>
          </cell>
          <cell r="D3452" t="str">
            <v>B</v>
          </cell>
          <cell r="E3452" t="str">
            <v>程序时间</v>
          </cell>
          <cell r="G3452">
            <v>90</v>
          </cell>
          <cell r="H3452">
            <v>65</v>
          </cell>
          <cell r="I3452">
            <v>140</v>
          </cell>
          <cell r="J3452">
            <v>140</v>
          </cell>
          <cell r="K3452">
            <v>150</v>
          </cell>
          <cell r="L3452">
            <v>120</v>
          </cell>
          <cell r="M3452">
            <v>30</v>
          </cell>
          <cell r="N3452">
            <v>30</v>
          </cell>
          <cell r="O3452">
            <v>30</v>
          </cell>
          <cell r="P3452">
            <v>60</v>
          </cell>
        </row>
        <row r="3453">
          <cell r="B3453" t="str">
            <v>DD-J10-21102-271</v>
          </cell>
          <cell r="D3453" t="str">
            <v>B</v>
          </cell>
          <cell r="E3453" t="str">
            <v>工序内容</v>
          </cell>
          <cell r="F3453" t="str">
            <v>0/领料</v>
          </cell>
          <cell r="G3453" t="str">
            <v>5/线切割</v>
          </cell>
          <cell r="H3453" t="str">
            <v>10/数铣</v>
          </cell>
          <cell r="I3453" t="str">
            <v>15/数铣60</v>
          </cell>
          <cell r="J3453" t="str">
            <v>20/钳工</v>
          </cell>
          <cell r="K3453" t="str">
            <v>25/清洁</v>
          </cell>
          <cell r="L3453" t="str">
            <v>30/成检</v>
          </cell>
        </row>
        <row r="3454">
          <cell r="B3454" t="str">
            <v>DD-J10-21102-271</v>
          </cell>
          <cell r="D3454" t="str">
            <v>B</v>
          </cell>
          <cell r="E3454" t="str">
            <v>准备工时</v>
          </cell>
          <cell r="H3454">
            <v>60</v>
          </cell>
          <cell r="I3454">
            <v>90</v>
          </cell>
        </row>
        <row r="3455">
          <cell r="B3455" t="str">
            <v>DD-J10-21102-271</v>
          </cell>
          <cell r="D3455" t="str">
            <v>B</v>
          </cell>
          <cell r="E3455" t="str">
            <v>程序时间</v>
          </cell>
          <cell r="G3455">
            <v>10</v>
          </cell>
          <cell r="H3455">
            <v>30</v>
          </cell>
          <cell r="I3455">
            <v>90</v>
          </cell>
          <cell r="J3455">
            <v>20</v>
          </cell>
        </row>
        <row r="3456">
          <cell r="B3456" t="str">
            <v>DD-J10-21102-273</v>
          </cell>
          <cell r="D3456" t="str">
            <v>B</v>
          </cell>
          <cell r="E3456" t="str">
            <v>工序内容</v>
          </cell>
          <cell r="F3456" t="str">
            <v>0/领料</v>
          </cell>
          <cell r="G3456" t="str">
            <v>5/线切割</v>
          </cell>
          <cell r="H3456" t="str">
            <v>10/数铣</v>
          </cell>
          <cell r="I3456" t="str">
            <v>15/数铣60</v>
          </cell>
          <cell r="J3456" t="str">
            <v>20/钳工</v>
          </cell>
          <cell r="K3456" t="str">
            <v>25/清洁</v>
          </cell>
          <cell r="L3456" t="str">
            <v>30/成检</v>
          </cell>
        </row>
        <row r="3457">
          <cell r="B3457" t="str">
            <v>DD-J10-21102-273</v>
          </cell>
          <cell r="D3457" t="str">
            <v>B</v>
          </cell>
          <cell r="E3457" t="str">
            <v>准备工时</v>
          </cell>
          <cell r="H3457">
            <v>60</v>
          </cell>
          <cell r="I3457">
            <v>90</v>
          </cell>
        </row>
        <row r="3458">
          <cell r="B3458" t="str">
            <v>DD-J10-21102-273</v>
          </cell>
          <cell r="D3458" t="str">
            <v>B</v>
          </cell>
          <cell r="E3458" t="str">
            <v>程序时间</v>
          </cell>
          <cell r="G3458">
            <v>10</v>
          </cell>
          <cell r="H3458">
            <v>30</v>
          </cell>
          <cell r="I3458">
            <v>90</v>
          </cell>
          <cell r="J3458">
            <v>20</v>
          </cell>
        </row>
        <row r="3459">
          <cell r="B3459" t="str">
            <v>DD-J10-21102-274</v>
          </cell>
          <cell r="D3459" t="str">
            <v>B</v>
          </cell>
          <cell r="E3459" t="str">
            <v>工序内容</v>
          </cell>
          <cell r="F3459" t="str">
            <v>0/领料</v>
          </cell>
          <cell r="G3459" t="str">
            <v>5/线切割</v>
          </cell>
          <cell r="H3459" t="str">
            <v>10/数铣</v>
          </cell>
          <cell r="I3459" t="str">
            <v>15/数铣60</v>
          </cell>
          <cell r="J3459" t="str">
            <v>20/钳工</v>
          </cell>
          <cell r="K3459" t="str">
            <v>25/清洁</v>
          </cell>
          <cell r="L3459" t="str">
            <v>30/成检</v>
          </cell>
        </row>
        <row r="3460">
          <cell r="B3460" t="str">
            <v>DD-J10-21102-274</v>
          </cell>
          <cell r="D3460" t="str">
            <v>B</v>
          </cell>
          <cell r="E3460" t="str">
            <v>准备工时</v>
          </cell>
          <cell r="H3460">
            <v>60</v>
          </cell>
          <cell r="I3460">
            <v>90</v>
          </cell>
        </row>
        <row r="3461">
          <cell r="B3461" t="str">
            <v>DD-J10-21102-274</v>
          </cell>
          <cell r="D3461" t="str">
            <v>B</v>
          </cell>
          <cell r="E3461" t="str">
            <v>程序时间</v>
          </cell>
          <cell r="G3461">
            <v>10</v>
          </cell>
          <cell r="H3461">
            <v>30</v>
          </cell>
          <cell r="I3461">
            <v>90</v>
          </cell>
          <cell r="J3461">
            <v>20</v>
          </cell>
        </row>
        <row r="3462">
          <cell r="B3462" t="str">
            <v>DD-J10B-02041-202G2</v>
          </cell>
          <cell r="D3462" t="str">
            <v>E</v>
          </cell>
          <cell r="E3462" t="str">
            <v>工序内容</v>
          </cell>
          <cell r="F3462" t="str">
            <v>00/领料</v>
          </cell>
          <cell r="G3462" t="str">
            <v>5/数铣</v>
          </cell>
          <cell r="H3462" t="str">
            <v>10/数铣40</v>
          </cell>
          <cell r="I3462" t="str">
            <v>15/数铣200</v>
          </cell>
          <cell r="J3462" t="str">
            <v>20/自然时效</v>
          </cell>
          <cell r="K3462" t="str">
            <v>25/精飞</v>
          </cell>
          <cell r="L3462" t="str">
            <v>30/数铣60</v>
          </cell>
          <cell r="M3462" t="str">
            <v>35/钳工钻孔</v>
          </cell>
          <cell r="N3462" t="str">
            <v>40/数铣380</v>
          </cell>
          <cell r="O3462" t="str">
            <v>45/钳工</v>
          </cell>
          <cell r="P3462" t="str">
            <v>50/测量</v>
          </cell>
          <cell r="Q3462" t="str">
            <v>55/清洁</v>
          </cell>
          <cell r="R3462" t="str">
            <v>60/成检</v>
          </cell>
        </row>
        <row r="3463">
          <cell r="B3463" t="str">
            <v>DD-J10B-02041-202G2</v>
          </cell>
          <cell r="D3463" t="str">
            <v>E</v>
          </cell>
          <cell r="E3463" t="str">
            <v>准备工时</v>
          </cell>
          <cell r="G3463">
            <v>60</v>
          </cell>
          <cell r="H3463">
            <v>90</v>
          </cell>
          <cell r="I3463">
            <v>60</v>
          </cell>
          <cell r="K3463">
            <v>60</v>
          </cell>
          <cell r="L3463">
            <v>60</v>
          </cell>
          <cell r="N3463">
            <v>120</v>
          </cell>
        </row>
        <row r="3464">
          <cell r="B3464" t="str">
            <v>DD-J10B-02041-202G2</v>
          </cell>
          <cell r="D3464" t="str">
            <v>E</v>
          </cell>
          <cell r="E3464" t="str">
            <v>程序时间</v>
          </cell>
          <cell r="G3464">
            <v>120</v>
          </cell>
          <cell r="H3464">
            <v>100</v>
          </cell>
          <cell r="I3464">
            <v>340</v>
          </cell>
          <cell r="K3464">
            <v>180</v>
          </cell>
          <cell r="L3464">
            <v>110</v>
          </cell>
          <cell r="M3464">
            <v>90</v>
          </cell>
          <cell r="N3464">
            <v>680</v>
          </cell>
          <cell r="O3464">
            <v>120</v>
          </cell>
        </row>
        <row r="3465">
          <cell r="B3465" t="str">
            <v>BC2332H01-008-001</v>
          </cell>
          <cell r="D3465" t="str">
            <v>B</v>
          </cell>
          <cell r="E3465" t="str">
            <v>工序内容</v>
          </cell>
          <cell r="F3465" t="str">
            <v>0/领料</v>
          </cell>
          <cell r="G3465" t="str">
            <v>05/钳工</v>
          </cell>
          <cell r="H3465" t="str">
            <v>10/分光</v>
          </cell>
          <cell r="I3465" t="str">
            <v>15/数车10</v>
          </cell>
          <cell r="J3465" t="str">
            <v>20/数车5</v>
          </cell>
          <cell r="K3465" t="str">
            <v>25/数车5</v>
          </cell>
          <cell r="L3465" t="str">
            <v>30/清洁</v>
          </cell>
          <cell r="M3465" t="str">
            <v>35/成检</v>
          </cell>
        </row>
        <row r="3466">
          <cell r="B3466" t="str">
            <v>BC2332H01-008-001</v>
          </cell>
          <cell r="D3466" t="str">
            <v>B</v>
          </cell>
          <cell r="E3466" t="str">
            <v>准备工时</v>
          </cell>
          <cell r="I3466">
            <v>60</v>
          </cell>
          <cell r="J3466">
            <v>60</v>
          </cell>
          <cell r="K3466">
            <v>60</v>
          </cell>
        </row>
        <row r="3467">
          <cell r="B3467" t="str">
            <v>BC2332H01-008-001</v>
          </cell>
          <cell r="D3467" t="str">
            <v>B</v>
          </cell>
          <cell r="E3467" t="str">
            <v>程序时间</v>
          </cell>
          <cell r="G3467">
            <v>10</v>
          </cell>
          <cell r="I3467">
            <v>15</v>
          </cell>
          <cell r="J3467">
            <v>10</v>
          </cell>
          <cell r="K3467">
            <v>10</v>
          </cell>
        </row>
        <row r="3468">
          <cell r="B3468" t="str">
            <v>CB22984M0-002-002</v>
          </cell>
          <cell r="D3468" t="str">
            <v>B</v>
          </cell>
          <cell r="E3468" t="str">
            <v>工序内容</v>
          </cell>
          <cell r="F3468" t="str">
            <v>0/领料</v>
          </cell>
          <cell r="G3468" t="str">
            <v>05/下料</v>
          </cell>
          <cell r="H3468" t="str">
            <v>10数铣</v>
          </cell>
          <cell r="I3468" t="str">
            <v>15数铣18</v>
          </cell>
          <cell r="J3468" t="str">
            <v>20数铣5</v>
          </cell>
          <cell r="K3468" t="str">
            <v>25数铣12</v>
          </cell>
          <cell r="L3468" t="str">
            <v>30数铣8</v>
          </cell>
          <cell r="M3468" t="str">
            <v>35线切割</v>
          </cell>
          <cell r="N3468" t="str">
            <v>40数铣5</v>
          </cell>
          <cell r="O3468" t="str">
            <v>45数铣10</v>
          </cell>
          <cell r="P3468" t="str">
            <v>50钳工</v>
          </cell>
          <cell r="Q3468" t="str">
            <v>55分光</v>
          </cell>
          <cell r="R3468" t="str">
            <v>60硬检</v>
          </cell>
          <cell r="S3468" t="str">
            <v>65钳工</v>
          </cell>
          <cell r="T3468" t="str">
            <v>70清洁</v>
          </cell>
          <cell r="U3468" t="str">
            <v>75成检</v>
          </cell>
        </row>
        <row r="3469">
          <cell r="B3469" t="str">
            <v>CB22984M0-002-002</v>
          </cell>
          <cell r="D3469" t="str">
            <v>B</v>
          </cell>
          <cell r="E3469" t="str">
            <v>准备工时</v>
          </cell>
          <cell r="H3469">
            <v>60</v>
          </cell>
          <cell r="I3469">
            <v>60</v>
          </cell>
          <cell r="J3469">
            <v>60</v>
          </cell>
          <cell r="K3469">
            <v>60</v>
          </cell>
          <cell r="L3469">
            <v>60</v>
          </cell>
          <cell r="N3469">
            <v>60</v>
          </cell>
          <cell r="O3469">
            <v>60</v>
          </cell>
        </row>
        <row r="3470">
          <cell r="B3470" t="str">
            <v>CB22984M0-002-002</v>
          </cell>
          <cell r="D3470" t="str">
            <v>B</v>
          </cell>
          <cell r="E3470" t="str">
            <v>程序时间</v>
          </cell>
          <cell r="H3470">
            <v>60</v>
          </cell>
          <cell r="I3470">
            <v>35</v>
          </cell>
          <cell r="J3470">
            <v>15</v>
          </cell>
          <cell r="K3470">
            <v>30</v>
          </cell>
          <cell r="L3470">
            <v>20</v>
          </cell>
          <cell r="N3470">
            <v>15</v>
          </cell>
          <cell r="O3470">
            <v>25</v>
          </cell>
          <cell r="P3470">
            <v>40</v>
          </cell>
          <cell r="S3470">
            <v>15</v>
          </cell>
        </row>
        <row r="3471">
          <cell r="B3471" t="str">
            <v>DD-J10-54231-2-Z</v>
          </cell>
          <cell r="D3471" t="str">
            <v>B</v>
          </cell>
          <cell r="E3471" t="str">
            <v>工序内容</v>
          </cell>
          <cell r="F3471" t="str">
            <v>0/领料</v>
          </cell>
          <cell r="G3471" t="str">
            <v>05钳工</v>
          </cell>
          <cell r="H3471" t="str">
            <v>10普铣</v>
          </cell>
          <cell r="I3471" t="str">
            <v>15钳工</v>
          </cell>
          <cell r="J3471" t="str">
            <v>20普铣</v>
          </cell>
          <cell r="K3471" t="str">
            <v>25数铣130</v>
          </cell>
          <cell r="L3471" t="str">
            <v>30数铣120</v>
          </cell>
          <cell r="M3471" t="str">
            <v>35数铣60</v>
          </cell>
          <cell r="N3471" t="str">
            <v>40数铣25</v>
          </cell>
          <cell r="O3471" t="str">
            <v>45钳工</v>
          </cell>
          <cell r="P3471" t="str">
            <v>50热处理</v>
          </cell>
          <cell r="Q3471" t="str">
            <v>55数铣</v>
          </cell>
          <cell r="R3471" t="str">
            <v>60钳工</v>
          </cell>
          <cell r="S3471" t="str">
            <v>65数铣</v>
          </cell>
          <cell r="T3471" t="str">
            <v>70数铣120</v>
          </cell>
          <cell r="U3471" t="str">
            <v>75数铣35</v>
          </cell>
          <cell r="V3471" t="str">
            <v>80数铣180</v>
          </cell>
          <cell r="W3471" t="str">
            <v>85数铣180</v>
          </cell>
          <cell r="X3471" t="str">
            <v>90数铣300</v>
          </cell>
          <cell r="Y3471" t="str">
            <v>95数铣10</v>
          </cell>
          <cell r="Z3471" t="str">
            <v>100钳工</v>
          </cell>
          <cell r="AA3471" t="str">
            <v>105数铣35</v>
          </cell>
          <cell r="AB3471" t="str">
            <v>110钳工</v>
          </cell>
          <cell r="AC3471" t="str">
            <v>115清洁</v>
          </cell>
          <cell r="AD3471" t="str">
            <v>120测量</v>
          </cell>
          <cell r="AE3471" t="str">
            <v>125中间检验</v>
          </cell>
          <cell r="AF3471" t="str">
            <v>130热处理</v>
          </cell>
        </row>
        <row r="3472">
          <cell r="B3472" t="str">
            <v>DD-J10-54231-2-Z</v>
          </cell>
          <cell r="D3472" t="str">
            <v>B</v>
          </cell>
          <cell r="E3472" t="str">
            <v>准备工时</v>
          </cell>
          <cell r="H3472">
            <v>60</v>
          </cell>
          <cell r="J3472" t="str">
            <v>60</v>
          </cell>
          <cell r="K3472" t="str">
            <v>60</v>
          </cell>
          <cell r="L3472" t="str">
            <v>60</v>
          </cell>
          <cell r="M3472" t="str">
            <v>60</v>
          </cell>
          <cell r="N3472" t="str">
            <v>60</v>
          </cell>
          <cell r="Q3472">
            <v>90</v>
          </cell>
          <cell r="S3472">
            <v>60</v>
          </cell>
          <cell r="T3472">
            <v>60</v>
          </cell>
          <cell r="U3472">
            <v>60</v>
          </cell>
          <cell r="V3472">
            <v>60</v>
          </cell>
          <cell r="W3472">
            <v>60</v>
          </cell>
          <cell r="X3472">
            <v>90</v>
          </cell>
          <cell r="Y3472">
            <v>90</v>
          </cell>
          <cell r="AA3472">
            <v>90</v>
          </cell>
        </row>
        <row r="3473">
          <cell r="B3473" t="str">
            <v>DD-J10-54231-2-Z</v>
          </cell>
          <cell r="D3473" t="str">
            <v>B</v>
          </cell>
          <cell r="E3473" t="str">
            <v>程序时间</v>
          </cell>
          <cell r="G3473">
            <v>90</v>
          </cell>
          <cell r="H3473">
            <v>120</v>
          </cell>
          <cell r="I3473" t="str">
            <v>60</v>
          </cell>
          <cell r="J3473" t="str">
            <v>90</v>
          </cell>
          <cell r="K3473" t="str">
            <v>200</v>
          </cell>
          <cell r="L3473" t="str">
            <v>180</v>
          </cell>
          <cell r="M3473" t="str">
            <v>100</v>
          </cell>
          <cell r="N3473" t="str">
            <v>60</v>
          </cell>
          <cell r="O3473" t="str">
            <v>40</v>
          </cell>
          <cell r="Q3473">
            <v>90</v>
          </cell>
          <cell r="R3473">
            <v>30</v>
          </cell>
          <cell r="S3473">
            <v>70</v>
          </cell>
          <cell r="T3473">
            <v>170</v>
          </cell>
          <cell r="U3473">
            <v>60</v>
          </cell>
          <cell r="V3473">
            <v>240</v>
          </cell>
          <cell r="W3473">
            <v>240</v>
          </cell>
          <cell r="X3473">
            <v>480</v>
          </cell>
          <cell r="Y3473">
            <v>30</v>
          </cell>
          <cell r="Z3473">
            <v>10</v>
          </cell>
          <cell r="AA3473">
            <v>50</v>
          </cell>
          <cell r="AB3473">
            <v>40</v>
          </cell>
        </row>
        <row r="3474">
          <cell r="B3474" t="str">
            <v>DD-J10-54231-2-Y</v>
          </cell>
          <cell r="D3474" t="str">
            <v>B</v>
          </cell>
          <cell r="E3474" t="str">
            <v>工序内容</v>
          </cell>
          <cell r="F3474" t="str">
            <v>0/领料</v>
          </cell>
          <cell r="G3474" t="str">
            <v>05钳工</v>
          </cell>
          <cell r="H3474" t="str">
            <v>10普铣</v>
          </cell>
          <cell r="I3474" t="str">
            <v>15钳工</v>
          </cell>
          <cell r="J3474" t="str">
            <v>20普铣</v>
          </cell>
          <cell r="K3474" t="str">
            <v>25数铣130</v>
          </cell>
          <cell r="L3474" t="str">
            <v>30数铣120</v>
          </cell>
          <cell r="M3474" t="str">
            <v>35数铣60</v>
          </cell>
          <cell r="N3474" t="str">
            <v>40数铣25</v>
          </cell>
          <cell r="O3474" t="str">
            <v>45钳工</v>
          </cell>
          <cell r="P3474" t="str">
            <v>50热处理</v>
          </cell>
          <cell r="Q3474" t="str">
            <v>55数铣</v>
          </cell>
          <cell r="R3474" t="str">
            <v>60钳工</v>
          </cell>
          <cell r="S3474" t="str">
            <v>65数铣</v>
          </cell>
          <cell r="T3474" t="str">
            <v>70数铣120</v>
          </cell>
          <cell r="U3474" t="str">
            <v>75数铣35</v>
          </cell>
          <cell r="V3474" t="str">
            <v>80数铣180</v>
          </cell>
          <cell r="W3474" t="str">
            <v>85数铣180</v>
          </cell>
          <cell r="X3474" t="str">
            <v>90数铣300</v>
          </cell>
          <cell r="Y3474" t="str">
            <v>95数铣10</v>
          </cell>
          <cell r="Z3474" t="str">
            <v>100钳工</v>
          </cell>
          <cell r="AA3474" t="str">
            <v>105数铣35</v>
          </cell>
          <cell r="AB3474" t="str">
            <v>110钳工</v>
          </cell>
          <cell r="AC3474" t="str">
            <v>115清洁</v>
          </cell>
          <cell r="AD3474" t="str">
            <v>120测量</v>
          </cell>
          <cell r="AE3474" t="str">
            <v>125中间检验</v>
          </cell>
          <cell r="AF3474" t="str">
            <v>130热处理</v>
          </cell>
        </row>
        <row r="3475">
          <cell r="B3475" t="str">
            <v>DD-J10-54231-2-Y</v>
          </cell>
          <cell r="D3475" t="str">
            <v>B</v>
          </cell>
          <cell r="E3475" t="str">
            <v>准备工时</v>
          </cell>
          <cell r="H3475">
            <v>60</v>
          </cell>
          <cell r="J3475" t="str">
            <v>60</v>
          </cell>
          <cell r="K3475" t="str">
            <v>60</v>
          </cell>
          <cell r="L3475" t="str">
            <v>60</v>
          </cell>
          <cell r="M3475" t="str">
            <v>60</v>
          </cell>
          <cell r="N3475" t="str">
            <v>60</v>
          </cell>
          <cell r="Q3475">
            <v>90</v>
          </cell>
          <cell r="S3475">
            <v>60</v>
          </cell>
          <cell r="T3475">
            <v>60</v>
          </cell>
          <cell r="U3475">
            <v>60</v>
          </cell>
          <cell r="V3475">
            <v>60</v>
          </cell>
          <cell r="W3475">
            <v>60</v>
          </cell>
          <cell r="X3475">
            <v>90</v>
          </cell>
          <cell r="Y3475">
            <v>90</v>
          </cell>
          <cell r="AA3475">
            <v>90</v>
          </cell>
        </row>
        <row r="3476">
          <cell r="B3476" t="str">
            <v>DD-J10-54231-2-Y</v>
          </cell>
          <cell r="D3476" t="str">
            <v>B</v>
          </cell>
          <cell r="E3476" t="str">
            <v>程序时间</v>
          </cell>
          <cell r="G3476">
            <v>90</v>
          </cell>
          <cell r="H3476">
            <v>120</v>
          </cell>
          <cell r="I3476" t="str">
            <v>60</v>
          </cell>
          <cell r="J3476" t="str">
            <v>90</v>
          </cell>
          <cell r="K3476" t="str">
            <v>200</v>
          </cell>
          <cell r="L3476" t="str">
            <v>180</v>
          </cell>
          <cell r="M3476" t="str">
            <v>100</v>
          </cell>
          <cell r="N3476" t="str">
            <v>60</v>
          </cell>
          <cell r="O3476" t="str">
            <v>40</v>
          </cell>
          <cell r="Q3476">
            <v>90</v>
          </cell>
          <cell r="R3476">
            <v>30</v>
          </cell>
          <cell r="S3476">
            <v>70</v>
          </cell>
          <cell r="T3476">
            <v>170</v>
          </cell>
          <cell r="U3476">
            <v>60</v>
          </cell>
          <cell r="V3476">
            <v>240</v>
          </cell>
          <cell r="W3476">
            <v>240</v>
          </cell>
          <cell r="X3476">
            <v>480</v>
          </cell>
          <cell r="Y3476">
            <v>30</v>
          </cell>
          <cell r="Z3476">
            <v>10</v>
          </cell>
          <cell r="AA3476">
            <v>50</v>
          </cell>
          <cell r="AB3476">
            <v>40</v>
          </cell>
        </row>
        <row r="3477">
          <cell r="B3477" t="str">
            <v>CB2298818-001-001</v>
          </cell>
          <cell r="D3477" t="str">
            <v>A</v>
          </cell>
          <cell r="E3477" t="str">
            <v>工序内容</v>
          </cell>
          <cell r="F3477" t="str">
            <v>0/领料</v>
          </cell>
          <cell r="G3477" t="str">
            <v>05/数车5</v>
          </cell>
          <cell r="H3477" t="str">
            <v>10/分光</v>
          </cell>
          <cell r="I3477" t="str">
            <v>15/硬度</v>
          </cell>
          <cell r="J3477" t="str">
            <v>20/检验</v>
          </cell>
          <cell r="K3477" t="str">
            <v>25/数铣15</v>
          </cell>
          <cell r="L3477" t="str">
            <v>30/数铣5</v>
          </cell>
          <cell r="M3477" t="str">
            <v>35/数铣5</v>
          </cell>
          <cell r="N3477" t="str">
            <v>40/数铣13</v>
          </cell>
          <cell r="O3477" t="str">
            <v>45/数铣10</v>
          </cell>
          <cell r="P3477" t="str">
            <v>50/钳工</v>
          </cell>
          <cell r="Q3477" t="str">
            <v>55/清洁</v>
          </cell>
          <cell r="R3477" t="str">
            <v>60/成检</v>
          </cell>
        </row>
        <row r="3478">
          <cell r="B3478" t="str">
            <v>CB2298818-001-001</v>
          </cell>
          <cell r="D3478" t="str">
            <v>A</v>
          </cell>
          <cell r="E3478" t="str">
            <v>准备工时</v>
          </cell>
          <cell r="G3478">
            <v>60</v>
          </cell>
          <cell r="K3478">
            <v>60</v>
          </cell>
          <cell r="L3478">
            <v>60</v>
          </cell>
          <cell r="M3478">
            <v>60</v>
          </cell>
          <cell r="N3478">
            <v>60</v>
          </cell>
          <cell r="O3478">
            <v>60</v>
          </cell>
        </row>
        <row r="3479">
          <cell r="B3479" t="str">
            <v>CB2298818-001-001</v>
          </cell>
          <cell r="D3479" t="str">
            <v>A</v>
          </cell>
          <cell r="E3479" t="str">
            <v>程序时间</v>
          </cell>
          <cell r="G3479">
            <v>10</v>
          </cell>
          <cell r="K3479">
            <v>40</v>
          </cell>
          <cell r="L3479">
            <v>15</v>
          </cell>
          <cell r="M3479">
            <v>20</v>
          </cell>
          <cell r="N3479">
            <v>30</v>
          </cell>
          <cell r="O3479">
            <v>25</v>
          </cell>
          <cell r="P3479">
            <v>20</v>
          </cell>
        </row>
        <row r="3480">
          <cell r="B3480" t="str">
            <v>DD-J10S-96011-90-1</v>
          </cell>
          <cell r="D3480" t="str">
            <v>A</v>
          </cell>
          <cell r="E3480" t="str">
            <v>工序内容</v>
          </cell>
          <cell r="F3480" t="str">
            <v>0/领料</v>
          </cell>
          <cell r="G3480" t="str">
            <v>5/数铣</v>
          </cell>
          <cell r="H3480" t="str">
            <v>10/钳标记</v>
          </cell>
          <cell r="I3480" t="str">
            <v>15/分光</v>
          </cell>
          <cell r="J3480" t="str">
            <v>20/清洗</v>
          </cell>
          <cell r="K3480" t="str">
            <v>25/热处理</v>
          </cell>
          <cell r="L3480" t="str">
            <v>30/硬度</v>
          </cell>
          <cell r="M3480" t="str">
            <v>35/检验</v>
          </cell>
          <cell r="N3480" t="str">
            <v>40/数铣</v>
          </cell>
          <cell r="O3480" t="str">
            <v>45/数铣8</v>
          </cell>
          <cell r="P3480" t="str">
            <v>50/数铣2</v>
          </cell>
          <cell r="Q3480" t="str">
            <v>55/数铣5</v>
          </cell>
          <cell r="R3480" t="str">
            <v>60/数铣4</v>
          </cell>
          <cell r="S3480" t="str">
            <v>65/线切割</v>
          </cell>
          <cell r="T3480" t="str">
            <v>70/数铣</v>
          </cell>
          <cell r="U3480" t="str">
            <v>75/钳工</v>
          </cell>
          <cell r="V3480" t="str">
            <v>80/清洁</v>
          </cell>
          <cell r="W3480" t="str">
            <v>85/成检</v>
          </cell>
        </row>
        <row r="3481">
          <cell r="B3481" t="str">
            <v>DD-J10S-96011-90-1</v>
          </cell>
          <cell r="D3481" t="str">
            <v>A</v>
          </cell>
          <cell r="E3481" t="str">
            <v>准备工时</v>
          </cell>
          <cell r="G3481">
            <v>60</v>
          </cell>
          <cell r="N3481">
            <v>60</v>
          </cell>
          <cell r="O3481">
            <v>60</v>
          </cell>
          <cell r="P3481">
            <v>60</v>
          </cell>
          <cell r="Q3481">
            <v>60</v>
          </cell>
          <cell r="R3481">
            <v>60</v>
          </cell>
          <cell r="T3481">
            <v>60</v>
          </cell>
        </row>
        <row r="3482">
          <cell r="B3482" t="str">
            <v>DD-J10S-96011-90-1</v>
          </cell>
          <cell r="D3482" t="str">
            <v>A</v>
          </cell>
          <cell r="E3482" t="str">
            <v>程序时间</v>
          </cell>
          <cell r="G3482">
            <v>30</v>
          </cell>
          <cell r="H3482">
            <v>15</v>
          </cell>
          <cell r="N3482">
            <v>30</v>
          </cell>
          <cell r="O3482">
            <v>25</v>
          </cell>
          <cell r="P3482">
            <v>15</v>
          </cell>
          <cell r="Q3482">
            <v>20</v>
          </cell>
          <cell r="R3482">
            <v>20</v>
          </cell>
          <cell r="T3482">
            <v>20</v>
          </cell>
          <cell r="U3482">
            <v>30</v>
          </cell>
        </row>
        <row r="3483">
          <cell r="B3483" t="str">
            <v>DD-J10S-96011-90-2</v>
          </cell>
          <cell r="D3483" t="str">
            <v>A</v>
          </cell>
          <cell r="E3483" t="str">
            <v>工序内容</v>
          </cell>
          <cell r="F3483" t="str">
            <v>0/领料</v>
          </cell>
          <cell r="G3483" t="str">
            <v>5/数铣</v>
          </cell>
          <cell r="H3483" t="str">
            <v>10/钳标记</v>
          </cell>
          <cell r="I3483" t="str">
            <v>15/分光</v>
          </cell>
          <cell r="J3483" t="str">
            <v>20/清洗</v>
          </cell>
          <cell r="K3483" t="str">
            <v>25/热处理</v>
          </cell>
          <cell r="L3483" t="str">
            <v>30/硬度</v>
          </cell>
          <cell r="M3483" t="str">
            <v>35/检验</v>
          </cell>
          <cell r="N3483" t="str">
            <v>40/数铣</v>
          </cell>
          <cell r="O3483" t="str">
            <v>45/数铣8</v>
          </cell>
          <cell r="P3483" t="str">
            <v>50/数铣2</v>
          </cell>
          <cell r="Q3483" t="str">
            <v>55/数铣5</v>
          </cell>
          <cell r="R3483" t="str">
            <v>60/数铣4</v>
          </cell>
          <cell r="S3483" t="str">
            <v>65/线切割</v>
          </cell>
          <cell r="T3483" t="str">
            <v>70/数铣</v>
          </cell>
          <cell r="U3483" t="str">
            <v>75/钳工</v>
          </cell>
          <cell r="V3483" t="str">
            <v>80/清洁</v>
          </cell>
          <cell r="W3483" t="str">
            <v>85/成检</v>
          </cell>
        </row>
        <row r="3484">
          <cell r="B3484" t="str">
            <v>DD-J10S-96011-90-2</v>
          </cell>
          <cell r="D3484" t="str">
            <v>A</v>
          </cell>
          <cell r="E3484" t="str">
            <v>准备工时</v>
          </cell>
          <cell r="G3484">
            <v>60</v>
          </cell>
          <cell r="N3484">
            <v>60</v>
          </cell>
          <cell r="O3484">
            <v>60</v>
          </cell>
          <cell r="P3484">
            <v>60</v>
          </cell>
          <cell r="Q3484">
            <v>60</v>
          </cell>
          <cell r="R3484">
            <v>60</v>
          </cell>
          <cell r="T3484">
            <v>60</v>
          </cell>
        </row>
        <row r="3485">
          <cell r="B3485" t="str">
            <v>DD-J10S-96011-90-3</v>
          </cell>
          <cell r="D3485" t="str">
            <v>A</v>
          </cell>
          <cell r="E3485" t="str">
            <v>程序时间</v>
          </cell>
          <cell r="G3485">
            <v>30</v>
          </cell>
          <cell r="H3485">
            <v>15</v>
          </cell>
          <cell r="N3485">
            <v>30</v>
          </cell>
          <cell r="O3485">
            <v>25</v>
          </cell>
          <cell r="P3485">
            <v>15</v>
          </cell>
          <cell r="Q3485">
            <v>20</v>
          </cell>
          <cell r="R3485">
            <v>20</v>
          </cell>
          <cell r="T3485">
            <v>20</v>
          </cell>
          <cell r="U3485">
            <v>30</v>
          </cell>
        </row>
        <row r="3486">
          <cell r="B3486" t="str">
            <v>BC2292193-006-001</v>
          </cell>
          <cell r="D3486" t="str">
            <v>B</v>
          </cell>
          <cell r="E3486" t="str">
            <v>工序内容</v>
          </cell>
          <cell r="F3486" t="str">
            <v>0/领料</v>
          </cell>
          <cell r="G3486" t="str">
            <v>05/数车30</v>
          </cell>
          <cell r="H3486" t="str">
            <v>10/数车 10</v>
          </cell>
          <cell r="I3486" t="str">
            <v>15/分光</v>
          </cell>
          <cell r="J3486" t="str">
            <v>20/线切割</v>
          </cell>
          <cell r="K3486" t="str">
            <v>25/钳工</v>
          </cell>
          <cell r="L3486" t="str">
            <v>30/清洁</v>
          </cell>
          <cell r="M3486" t="str">
            <v>35/成检</v>
          </cell>
        </row>
        <row r="3487">
          <cell r="B3487" t="str">
            <v>BC2292193-006-001</v>
          </cell>
          <cell r="D3487" t="str">
            <v>B</v>
          </cell>
          <cell r="E3487" t="str">
            <v>准备工时</v>
          </cell>
          <cell r="G3487">
            <v>90</v>
          </cell>
          <cell r="H3487">
            <v>60</v>
          </cell>
        </row>
        <row r="3488">
          <cell r="B3488" t="str">
            <v>BC2292193-006-001</v>
          </cell>
          <cell r="D3488" t="str">
            <v>B</v>
          </cell>
          <cell r="E3488" t="str">
            <v>程序时间</v>
          </cell>
          <cell r="G3488">
            <v>40</v>
          </cell>
          <cell r="H3488">
            <v>15</v>
          </cell>
          <cell r="K3488">
            <v>20</v>
          </cell>
        </row>
        <row r="3489">
          <cell r="B3489" t="str">
            <v>J7-0603-241</v>
          </cell>
          <cell r="D3489" t="str">
            <v>A</v>
          </cell>
          <cell r="E3489" t="str">
            <v>工序内容</v>
          </cell>
          <cell r="F3489" t="str">
            <v>0领料</v>
          </cell>
          <cell r="G3489" t="str">
            <v>5数车20</v>
          </cell>
          <cell r="H3489" t="str">
            <v>10数车5</v>
          </cell>
          <cell r="I3489" t="str">
            <v>15数铣4</v>
          </cell>
          <cell r="J3489" t="str">
            <v>20钳工</v>
          </cell>
          <cell r="K3489" t="str">
            <v>25清洁</v>
          </cell>
          <cell r="L3489" t="str">
            <v>30成检</v>
          </cell>
        </row>
        <row r="3490">
          <cell r="B3490" t="str">
            <v>J7-0603-241</v>
          </cell>
          <cell r="D3490" t="str">
            <v>A</v>
          </cell>
          <cell r="E3490" t="str">
            <v>准备工时</v>
          </cell>
          <cell r="G3490">
            <v>90</v>
          </cell>
          <cell r="H3490">
            <v>60</v>
          </cell>
          <cell r="I3490">
            <v>60</v>
          </cell>
        </row>
        <row r="3491">
          <cell r="B3491" t="str">
            <v>J7-0603-241</v>
          </cell>
          <cell r="D3491" t="str">
            <v>A</v>
          </cell>
          <cell r="E3491" t="str">
            <v>程序时间</v>
          </cell>
          <cell r="G3491">
            <v>30</v>
          </cell>
          <cell r="H3491">
            <v>10</v>
          </cell>
          <cell r="I3491">
            <v>20</v>
          </cell>
          <cell r="J3491">
            <v>10</v>
          </cell>
        </row>
        <row r="3492">
          <cell r="B3492" t="str">
            <v>C532114400-135L001</v>
          </cell>
          <cell r="D3492" t="str">
            <v>B</v>
          </cell>
          <cell r="E3492" t="str">
            <v>工序内容</v>
          </cell>
          <cell r="F3492" t="str">
            <v>0领料</v>
          </cell>
          <cell r="G3492" t="str">
            <v>5普铣</v>
          </cell>
          <cell r="H3492" t="str">
            <v>10钳工</v>
          </cell>
          <cell r="I3492" t="str">
            <v>15超探</v>
          </cell>
          <cell r="J3492" t="str">
            <v>20数铣360</v>
          </cell>
          <cell r="K3492" t="str">
            <v>25数铣360</v>
          </cell>
          <cell r="L3492" t="str">
            <v>30数铣200</v>
          </cell>
          <cell r="M3492" t="str">
            <v>35数铣45</v>
          </cell>
          <cell r="N3492" t="str">
            <v>40数铣45</v>
          </cell>
          <cell r="O3492" t="str">
            <v>45数铣35</v>
          </cell>
          <cell r="P3492" t="str">
            <v>50数铣35</v>
          </cell>
          <cell r="Q3492" t="str">
            <v>55时效</v>
          </cell>
          <cell r="R3492" t="str">
            <v>60数铣20</v>
          </cell>
          <cell r="S3492" t="str">
            <v>65数铣30</v>
          </cell>
          <cell r="T3492" t="str">
            <v>70五轴1100</v>
          </cell>
          <cell r="U3492" t="str">
            <v>75数铣720</v>
          </cell>
          <cell r="V3492" t="str">
            <v>80五轴170</v>
          </cell>
          <cell r="W3492" t="str">
            <v>85钳工</v>
          </cell>
          <cell r="X3492" t="str">
            <v>90称重</v>
          </cell>
          <cell r="Y3492" t="str">
            <v>95测量</v>
          </cell>
          <cell r="Z3492" t="str">
            <v>100成检</v>
          </cell>
        </row>
        <row r="3493">
          <cell r="B3493" t="str">
            <v>C532114400-135L001</v>
          </cell>
          <cell r="D3493" t="str">
            <v>B</v>
          </cell>
          <cell r="E3493" t="str">
            <v>准备工时</v>
          </cell>
          <cell r="G3493">
            <v>60</v>
          </cell>
          <cell r="J3493">
            <v>120</v>
          </cell>
          <cell r="K3493">
            <v>90</v>
          </cell>
          <cell r="L3493">
            <v>90</v>
          </cell>
          <cell r="M3493">
            <v>90</v>
          </cell>
          <cell r="N3493">
            <v>90</v>
          </cell>
          <cell r="O3493">
            <v>90</v>
          </cell>
          <cell r="P3493">
            <v>90</v>
          </cell>
          <cell r="R3493">
            <v>90</v>
          </cell>
          <cell r="S3493">
            <v>90</v>
          </cell>
          <cell r="T3493">
            <v>180</v>
          </cell>
          <cell r="U3493">
            <v>90</v>
          </cell>
          <cell r="V3493">
            <v>120</v>
          </cell>
        </row>
        <row r="3494">
          <cell r="B3494" t="str">
            <v>C532114400-135L001</v>
          </cell>
          <cell r="D3494" t="str">
            <v>B</v>
          </cell>
          <cell r="E3494" t="str">
            <v>装夹时间</v>
          </cell>
          <cell r="J3494">
            <v>60</v>
          </cell>
          <cell r="K3494">
            <v>60</v>
          </cell>
          <cell r="L3494">
            <v>60</v>
          </cell>
          <cell r="M3494">
            <v>60</v>
          </cell>
          <cell r="N3494">
            <v>60</v>
          </cell>
          <cell r="O3494">
            <v>60</v>
          </cell>
          <cell r="P3494">
            <v>60</v>
          </cell>
          <cell r="R3494">
            <v>60</v>
          </cell>
          <cell r="S3494">
            <v>60</v>
          </cell>
          <cell r="T3494">
            <v>60</v>
          </cell>
          <cell r="U3494">
            <v>60</v>
          </cell>
          <cell r="V3494">
            <v>60</v>
          </cell>
        </row>
        <row r="3495">
          <cell r="B3495" t="str">
            <v>C532114400-135L001</v>
          </cell>
          <cell r="D3495" t="str">
            <v>B</v>
          </cell>
          <cell r="E3495" t="str">
            <v>程序时间</v>
          </cell>
          <cell r="G3495">
            <v>480</v>
          </cell>
          <cell r="H3495">
            <v>150</v>
          </cell>
          <cell r="J3495">
            <v>1320</v>
          </cell>
          <cell r="K3495">
            <v>1260</v>
          </cell>
          <cell r="L3495">
            <v>660</v>
          </cell>
          <cell r="M3495">
            <v>180</v>
          </cell>
          <cell r="N3495">
            <v>180</v>
          </cell>
          <cell r="O3495">
            <v>150</v>
          </cell>
          <cell r="P3495">
            <v>150</v>
          </cell>
          <cell r="R3495">
            <v>240</v>
          </cell>
          <cell r="S3495">
            <v>120</v>
          </cell>
          <cell r="T3495">
            <v>5250</v>
          </cell>
          <cell r="U3495">
            <v>1800</v>
          </cell>
          <cell r="V3495">
            <v>720</v>
          </cell>
          <cell r="W3495">
            <v>420</v>
          </cell>
          <cell r="X3495">
            <v>60</v>
          </cell>
        </row>
        <row r="3496">
          <cell r="B3496" t="str">
            <v>DD-J10-71211-326</v>
          </cell>
          <cell r="D3496" t="str">
            <v>A</v>
          </cell>
          <cell r="E3496" t="str">
            <v>工序内容</v>
          </cell>
          <cell r="F3496" t="str">
            <v>0领料</v>
          </cell>
          <cell r="G3496" t="str">
            <v>05下料</v>
          </cell>
          <cell r="H3496" t="str">
            <v>10数铣</v>
          </cell>
          <cell r="I3496" t="str">
            <v>15分光</v>
          </cell>
          <cell r="J3496" t="str">
            <v>20线切割</v>
          </cell>
          <cell r="K3496" t="str">
            <v>25数铣</v>
          </cell>
          <cell r="L3496" t="str">
            <v>30钳工</v>
          </cell>
          <cell r="M3496" t="str">
            <v>35清洁</v>
          </cell>
          <cell r="N3496" t="str">
            <v>40成检</v>
          </cell>
        </row>
        <row r="3497">
          <cell r="B3497" t="str">
            <v>DD-J10-71211-326</v>
          </cell>
          <cell r="D3497" t="str">
            <v>A</v>
          </cell>
          <cell r="E3497" t="str">
            <v>准备工时</v>
          </cell>
          <cell r="H3497">
            <v>60</v>
          </cell>
          <cell r="K3497" t="str">
            <v>90</v>
          </cell>
        </row>
        <row r="3498">
          <cell r="B3498" t="str">
            <v>DD-J10-71211-326</v>
          </cell>
          <cell r="D3498" t="str">
            <v>A</v>
          </cell>
          <cell r="E3498" t="str">
            <v>程序时间</v>
          </cell>
          <cell r="H3498">
            <v>60</v>
          </cell>
          <cell r="K3498" t="str">
            <v>20</v>
          </cell>
          <cell r="L3498" t="str">
            <v>10</v>
          </cell>
        </row>
        <row r="3499">
          <cell r="B3499" t="str">
            <v>Y20-5316100314-501</v>
          </cell>
          <cell r="D3499" t="str">
            <v>B</v>
          </cell>
          <cell r="E3499" t="str">
            <v>工序内容</v>
          </cell>
          <cell r="F3499" t="str">
            <v>0/领料</v>
          </cell>
          <cell r="G3499" t="str">
            <v>5/数铣</v>
          </cell>
          <cell r="H3499" t="str">
            <v>10/数铣35</v>
          </cell>
          <cell r="I3499" t="str">
            <v>15/数铣80</v>
          </cell>
          <cell r="J3499" t="str">
            <v>20/数铣120</v>
          </cell>
          <cell r="K3499" t="str">
            <v>25/数铣110</v>
          </cell>
          <cell r="L3499" t="str">
            <v>30/钳工</v>
          </cell>
          <cell r="M3499" t="str">
            <v>35/测量</v>
          </cell>
          <cell r="N3499" t="str">
            <v>40/清洁</v>
          </cell>
          <cell r="O3499" t="str">
            <v>45/成检</v>
          </cell>
        </row>
        <row r="3500">
          <cell r="B3500" t="str">
            <v>Y20-5316100314-501</v>
          </cell>
          <cell r="D3500" t="str">
            <v>B</v>
          </cell>
          <cell r="E3500" t="str">
            <v>准备工时</v>
          </cell>
          <cell r="G3500">
            <v>60</v>
          </cell>
          <cell r="H3500">
            <v>90</v>
          </cell>
          <cell r="I3500">
            <v>60</v>
          </cell>
          <cell r="J3500">
            <v>90</v>
          </cell>
          <cell r="K3500">
            <v>90</v>
          </cell>
        </row>
        <row r="3501">
          <cell r="B3501" t="str">
            <v>Y20-5316100314-501</v>
          </cell>
          <cell r="D3501" t="str">
            <v>B</v>
          </cell>
          <cell r="E3501" t="str">
            <v>程序时间</v>
          </cell>
          <cell r="G3501">
            <v>90</v>
          </cell>
          <cell r="H3501">
            <v>60</v>
          </cell>
          <cell r="I3501">
            <v>110</v>
          </cell>
          <cell r="J3501">
            <v>150</v>
          </cell>
          <cell r="K3501">
            <v>180</v>
          </cell>
          <cell r="L3501">
            <v>120</v>
          </cell>
        </row>
        <row r="3502">
          <cell r="B3502" t="str">
            <v>Y20-5316100314-502</v>
          </cell>
          <cell r="D3502" t="str">
            <v>B</v>
          </cell>
          <cell r="E3502" t="str">
            <v>工序内容</v>
          </cell>
          <cell r="F3502" t="str">
            <v>0/领料</v>
          </cell>
          <cell r="G3502" t="str">
            <v>5/数铣</v>
          </cell>
          <cell r="H3502" t="str">
            <v>10/数铣35</v>
          </cell>
          <cell r="I3502" t="str">
            <v>15/数铣80</v>
          </cell>
          <cell r="J3502" t="str">
            <v>20/数铣120</v>
          </cell>
          <cell r="K3502" t="str">
            <v>25/数铣110</v>
          </cell>
          <cell r="L3502" t="str">
            <v>30/钳工</v>
          </cell>
          <cell r="M3502" t="str">
            <v>35/测量</v>
          </cell>
          <cell r="N3502" t="str">
            <v>40/清洁</v>
          </cell>
          <cell r="O3502" t="str">
            <v>45/成检</v>
          </cell>
        </row>
        <row r="3503">
          <cell r="B3503" t="str">
            <v>Y20-5316100314-502</v>
          </cell>
          <cell r="D3503" t="str">
            <v>B</v>
          </cell>
          <cell r="E3503" t="str">
            <v>准备工时</v>
          </cell>
          <cell r="G3503">
            <v>60</v>
          </cell>
          <cell r="H3503">
            <v>90</v>
          </cell>
          <cell r="I3503">
            <v>60</v>
          </cell>
          <cell r="J3503">
            <v>90</v>
          </cell>
          <cell r="K3503">
            <v>90</v>
          </cell>
        </row>
        <row r="3504">
          <cell r="B3504" t="str">
            <v>Y20-5316100314-502</v>
          </cell>
          <cell r="D3504" t="str">
            <v>B</v>
          </cell>
          <cell r="E3504" t="str">
            <v>程序时间</v>
          </cell>
          <cell r="G3504">
            <v>90</v>
          </cell>
          <cell r="H3504">
            <v>60</v>
          </cell>
          <cell r="I3504">
            <v>110</v>
          </cell>
          <cell r="J3504">
            <v>150</v>
          </cell>
          <cell r="K3504">
            <v>180</v>
          </cell>
          <cell r="L3504">
            <v>120</v>
          </cell>
        </row>
        <row r="3505">
          <cell r="B3505" t="str">
            <v>BC5746000-003-002</v>
          </cell>
          <cell r="D3505" t="str">
            <v>A</v>
          </cell>
          <cell r="E3505" t="str">
            <v>工序内容</v>
          </cell>
          <cell r="F3505" t="str">
            <v>0/领料</v>
          </cell>
          <cell r="G3505" t="str">
            <v>05/分光</v>
          </cell>
          <cell r="H3505" t="str">
            <v>10/钳工</v>
          </cell>
          <cell r="I3505" t="str">
            <v>15/热处理</v>
          </cell>
          <cell r="J3505" t="str">
            <v>20/数车45</v>
          </cell>
          <cell r="K3505" t="str">
            <v>25/数车15</v>
          </cell>
          <cell r="L3505" t="str">
            <v>30/数铣15</v>
          </cell>
          <cell r="M3505" t="str">
            <v>35/数车20</v>
          </cell>
          <cell r="N3505" t="str">
            <v>40/磨</v>
          </cell>
          <cell r="O3505" t="str">
            <v>45/数车10</v>
          </cell>
          <cell r="P3505" t="str">
            <v>50/数车10</v>
          </cell>
          <cell r="Q3505" t="str">
            <v>55/钳工</v>
          </cell>
          <cell r="R3505" t="str">
            <v>60/清洁</v>
          </cell>
          <cell r="S3505" t="str">
            <v>65/成检</v>
          </cell>
        </row>
        <row r="3506">
          <cell r="B3506" t="str">
            <v>BC5746000-003-002</v>
          </cell>
          <cell r="D3506" t="str">
            <v>A</v>
          </cell>
          <cell r="E3506" t="str">
            <v>准备工时</v>
          </cell>
          <cell r="J3506">
            <v>60</v>
          </cell>
          <cell r="K3506">
            <v>60</v>
          </cell>
          <cell r="L3506">
            <v>120</v>
          </cell>
          <cell r="M3506">
            <v>60</v>
          </cell>
          <cell r="O3506">
            <v>60</v>
          </cell>
          <cell r="P3506">
            <v>60</v>
          </cell>
        </row>
        <row r="3507">
          <cell r="B3507" t="str">
            <v>BC5746000-003-002</v>
          </cell>
          <cell r="D3507" t="str">
            <v>A</v>
          </cell>
          <cell r="E3507" t="str">
            <v>程序时间</v>
          </cell>
          <cell r="J3507">
            <v>45</v>
          </cell>
          <cell r="K3507">
            <v>20</v>
          </cell>
          <cell r="L3507">
            <v>40</v>
          </cell>
          <cell r="M3507">
            <v>20</v>
          </cell>
          <cell r="O3507">
            <v>15</v>
          </cell>
          <cell r="P3507">
            <v>15</v>
          </cell>
          <cell r="Q3507">
            <v>20</v>
          </cell>
        </row>
        <row r="3508">
          <cell r="B3508" t="str">
            <v>CB22877J9-003-001</v>
          </cell>
          <cell r="D3508" t="str">
            <v>B</v>
          </cell>
          <cell r="E3508" t="str">
            <v>工序内容</v>
          </cell>
          <cell r="F3508" t="str">
            <v>0/领料</v>
          </cell>
          <cell r="G3508" t="str">
            <v>05/下料</v>
          </cell>
          <cell r="H3508" t="str">
            <v>10/数铣</v>
          </cell>
          <cell r="I3508" t="str">
            <v>15/数铣10</v>
          </cell>
          <cell r="J3508" t="str">
            <v>20/钳工</v>
          </cell>
          <cell r="K3508" t="str">
            <v>25/分光</v>
          </cell>
          <cell r="L3508" t="str">
            <v>30/数铣10</v>
          </cell>
          <cell r="M3508" t="str">
            <v>35/数车30</v>
          </cell>
          <cell r="N3508" t="str">
            <v>40/数铣15</v>
          </cell>
          <cell r="O3508" t="str">
            <v>45/数车20</v>
          </cell>
          <cell r="P3508" t="str">
            <v>50/数车25</v>
          </cell>
          <cell r="Q3508" t="str">
            <v>55/数车15</v>
          </cell>
          <cell r="R3508" t="str">
            <v>60/穿空</v>
          </cell>
          <cell r="S3508" t="str">
            <v>65/钳工</v>
          </cell>
          <cell r="T3508" t="str">
            <v>70/清洁</v>
          </cell>
          <cell r="U3508" t="str">
            <v>75/成检</v>
          </cell>
        </row>
        <row r="3509">
          <cell r="B3509" t="str">
            <v>CB22877J9-003-001</v>
          </cell>
          <cell r="D3509" t="str">
            <v>B</v>
          </cell>
          <cell r="E3509" t="str">
            <v>准备工时</v>
          </cell>
          <cell r="H3509">
            <v>60</v>
          </cell>
          <cell r="I3509">
            <v>60</v>
          </cell>
          <cell r="L3509">
            <v>60</v>
          </cell>
          <cell r="M3509">
            <v>120</v>
          </cell>
          <cell r="N3509">
            <v>60</v>
          </cell>
          <cell r="O3509">
            <v>120</v>
          </cell>
          <cell r="P3509">
            <v>120</v>
          </cell>
          <cell r="Q3509">
            <v>120</v>
          </cell>
        </row>
        <row r="3510">
          <cell r="B3510" t="str">
            <v>CB22877J9-003-001</v>
          </cell>
          <cell r="D3510" t="str">
            <v>B</v>
          </cell>
          <cell r="E3510" t="str">
            <v>程序时间</v>
          </cell>
          <cell r="H3510">
            <v>40</v>
          </cell>
          <cell r="I3510">
            <v>20</v>
          </cell>
          <cell r="J3510">
            <v>10</v>
          </cell>
          <cell r="L3510">
            <v>20</v>
          </cell>
          <cell r="M3510">
            <v>45</v>
          </cell>
          <cell r="N3510">
            <v>35</v>
          </cell>
          <cell r="O3510">
            <v>35</v>
          </cell>
          <cell r="P3510">
            <v>40</v>
          </cell>
          <cell r="Q3510">
            <v>25</v>
          </cell>
          <cell r="S3510">
            <v>35</v>
          </cell>
        </row>
        <row r="3511">
          <cell r="B3511" t="str">
            <v>DD-J10B-64016-501</v>
          </cell>
          <cell r="D3511" t="str">
            <v>B</v>
          </cell>
          <cell r="E3511" t="str">
            <v>工序内容</v>
          </cell>
          <cell r="F3511" t="str">
            <v>0/领料</v>
          </cell>
          <cell r="G3511" t="str">
            <v>05数车20</v>
          </cell>
          <cell r="H3511" t="str">
            <v>10数车10</v>
          </cell>
          <cell r="I3511" t="str">
            <v>15分光</v>
          </cell>
          <cell r="J3511" t="str">
            <v>20数车5</v>
          </cell>
          <cell r="K3511" t="str">
            <v>25线切割</v>
          </cell>
          <cell r="L3511" t="str">
            <v>30钳工</v>
          </cell>
          <cell r="M3511" t="str">
            <v>35清洁</v>
          </cell>
          <cell r="N3511" t="str">
            <v>40成检</v>
          </cell>
        </row>
        <row r="3512">
          <cell r="B3512" t="str">
            <v>DD-J10B-64016-501</v>
          </cell>
          <cell r="D3512" t="str">
            <v>B</v>
          </cell>
          <cell r="E3512" t="str">
            <v>准备工时</v>
          </cell>
          <cell r="G3512">
            <v>90</v>
          </cell>
          <cell r="H3512">
            <v>90</v>
          </cell>
          <cell r="J3512" t="str">
            <v>90</v>
          </cell>
        </row>
        <row r="3513">
          <cell r="B3513" t="str">
            <v>DD-J10B-64016-501</v>
          </cell>
          <cell r="D3513" t="str">
            <v>B</v>
          </cell>
          <cell r="E3513" t="str">
            <v>程序时间</v>
          </cell>
          <cell r="G3513">
            <v>30</v>
          </cell>
          <cell r="H3513">
            <v>20</v>
          </cell>
          <cell r="J3513" t="str">
            <v>15</v>
          </cell>
          <cell r="L3513" t="str">
            <v>25</v>
          </cell>
        </row>
        <row r="3514">
          <cell r="B3514" t="str">
            <v>CB2298816-001-001</v>
          </cell>
          <cell r="D3514" t="str">
            <v>B</v>
          </cell>
          <cell r="E3514" t="str">
            <v>工序内容</v>
          </cell>
          <cell r="F3514" t="str">
            <v>0/领料</v>
          </cell>
          <cell r="G3514" t="str">
            <v>5/数车5</v>
          </cell>
          <cell r="H3514" t="str">
            <v>10/分光</v>
          </cell>
          <cell r="I3514" t="str">
            <v>15/硬检</v>
          </cell>
          <cell r="J3514" t="str">
            <v>20/检验</v>
          </cell>
          <cell r="K3514" t="str">
            <v>25/数铣15</v>
          </cell>
          <cell r="L3514" t="str">
            <v>30/数铣5</v>
          </cell>
          <cell r="M3514" t="str">
            <v>35/数铣5</v>
          </cell>
          <cell r="N3514" t="str">
            <v>40/数铣13</v>
          </cell>
          <cell r="O3514" t="str">
            <v>45/数铣10</v>
          </cell>
          <cell r="P3514" t="str">
            <v>50/钳工</v>
          </cell>
          <cell r="Q3514" t="str">
            <v>55/清洁</v>
          </cell>
          <cell r="R3514" t="str">
            <v>60/成检</v>
          </cell>
        </row>
        <row r="3515">
          <cell r="B3515" t="str">
            <v>CB2298816-001-001</v>
          </cell>
          <cell r="D3515" t="str">
            <v>B</v>
          </cell>
          <cell r="E3515" t="str">
            <v>准备工时</v>
          </cell>
          <cell r="G3515">
            <v>60</v>
          </cell>
          <cell r="K3515">
            <v>60</v>
          </cell>
          <cell r="L3515">
            <v>60</v>
          </cell>
          <cell r="M3515">
            <v>60</v>
          </cell>
          <cell r="N3515">
            <v>60</v>
          </cell>
          <cell r="O3515">
            <v>60</v>
          </cell>
        </row>
        <row r="3516">
          <cell r="B3516" t="str">
            <v>CB2298816-001-001</v>
          </cell>
          <cell r="D3516" t="str">
            <v>B</v>
          </cell>
          <cell r="E3516" t="str">
            <v>程序时间</v>
          </cell>
          <cell r="G3516">
            <v>15</v>
          </cell>
          <cell r="K3516">
            <v>30</v>
          </cell>
          <cell r="L3516">
            <v>20</v>
          </cell>
          <cell r="M3516">
            <v>25</v>
          </cell>
          <cell r="N3516">
            <v>30</v>
          </cell>
          <cell r="O3516">
            <v>30</v>
          </cell>
          <cell r="P3516">
            <v>30</v>
          </cell>
        </row>
        <row r="3517">
          <cell r="B3517" t="str">
            <v>CB22857G1-004-001</v>
          </cell>
          <cell r="D3517" t="str">
            <v>C</v>
          </cell>
          <cell r="E3517" t="str">
            <v>工序内容</v>
          </cell>
          <cell r="F3517" t="str">
            <v>0领料</v>
          </cell>
          <cell r="G3517" t="str">
            <v>05普车10</v>
          </cell>
          <cell r="H3517" t="str">
            <v>10钳工</v>
          </cell>
          <cell r="I3517" t="str">
            <v>15分光</v>
          </cell>
          <cell r="J3517" t="str">
            <v>20车铣40</v>
          </cell>
          <cell r="K3517" t="str">
            <v>25数车10</v>
          </cell>
          <cell r="L3517" t="str">
            <v>30钳工</v>
          </cell>
          <cell r="M3517" t="str">
            <v>35清洁</v>
          </cell>
          <cell r="N3517" t="str">
            <v>40成检</v>
          </cell>
        </row>
        <row r="3518">
          <cell r="B3518" t="str">
            <v>CB22857G1-004-001</v>
          </cell>
          <cell r="D3518" t="str">
            <v>C</v>
          </cell>
          <cell r="E3518" t="str">
            <v>准备工时</v>
          </cell>
          <cell r="G3518">
            <v>60</v>
          </cell>
          <cell r="J3518">
            <v>120</v>
          </cell>
          <cell r="K3518">
            <v>90</v>
          </cell>
        </row>
        <row r="3519">
          <cell r="B3519" t="str">
            <v>CB22857G1-004-001</v>
          </cell>
          <cell r="D3519" t="str">
            <v>C</v>
          </cell>
          <cell r="E3519" t="str">
            <v>程序时间</v>
          </cell>
          <cell r="G3519">
            <v>15</v>
          </cell>
          <cell r="H3519">
            <v>10</v>
          </cell>
          <cell r="J3519">
            <v>60</v>
          </cell>
          <cell r="K3519">
            <v>20</v>
          </cell>
          <cell r="L3519">
            <v>20</v>
          </cell>
        </row>
        <row r="3520">
          <cell r="B3520" t="str">
            <v>CB22984M0-002-001</v>
          </cell>
          <cell r="D3520" t="str">
            <v>B</v>
          </cell>
          <cell r="E3520" t="str">
            <v>工序内容</v>
          </cell>
          <cell r="F3520" t="str">
            <v>0/领料</v>
          </cell>
          <cell r="G3520" t="str">
            <v>05/下料</v>
          </cell>
          <cell r="H3520" t="str">
            <v>10/钳工</v>
          </cell>
          <cell r="I3520" t="str">
            <v>15/分光</v>
          </cell>
          <cell r="J3520" t="str">
            <v>20/硬度</v>
          </cell>
          <cell r="K3520" t="str">
            <v>25/数铣</v>
          </cell>
          <cell r="L3520" t="str">
            <v>30/数铣18</v>
          </cell>
          <cell r="M3520" t="str">
            <v>35/数铣5</v>
          </cell>
          <cell r="N3520" t="str">
            <v>40/数铣12</v>
          </cell>
          <cell r="O3520" t="str">
            <v>45/线切割</v>
          </cell>
          <cell r="P3520" t="str">
            <v>50/数铣5</v>
          </cell>
          <cell r="Q3520" t="str">
            <v>55/数铣30</v>
          </cell>
          <cell r="R3520" t="str">
            <v>60/钳工</v>
          </cell>
          <cell r="S3520" t="str">
            <v>65/清洁</v>
          </cell>
          <cell r="T3520" t="str">
            <v>70/成检</v>
          </cell>
        </row>
        <row r="3521">
          <cell r="B3521" t="str">
            <v>CB22984M0-002-001</v>
          </cell>
          <cell r="D3521" t="str">
            <v>B</v>
          </cell>
          <cell r="E3521" t="str">
            <v>准备工时</v>
          </cell>
          <cell r="K3521">
            <v>60</v>
          </cell>
          <cell r="L3521">
            <v>60</v>
          </cell>
          <cell r="M3521">
            <v>60</v>
          </cell>
          <cell r="N3521">
            <v>60</v>
          </cell>
          <cell r="P3521">
            <v>60</v>
          </cell>
          <cell r="Q3521">
            <v>60</v>
          </cell>
        </row>
        <row r="3522">
          <cell r="B3522" t="str">
            <v>CB22984M0-002-001</v>
          </cell>
          <cell r="D3522" t="str">
            <v>B</v>
          </cell>
          <cell r="E3522" t="str">
            <v>程序时间</v>
          </cell>
          <cell r="K3522">
            <v>50</v>
          </cell>
          <cell r="L3522">
            <v>35</v>
          </cell>
          <cell r="M3522">
            <v>15</v>
          </cell>
          <cell r="N3522">
            <v>25</v>
          </cell>
          <cell r="P3522">
            <v>15</v>
          </cell>
          <cell r="Q3522">
            <v>30</v>
          </cell>
          <cell r="R3522">
            <v>30</v>
          </cell>
        </row>
        <row r="3523">
          <cell r="B3523" t="str">
            <v>CB5327500-003-001</v>
          </cell>
          <cell r="D3523" t="str">
            <v>C</v>
          </cell>
          <cell r="E3523" t="str">
            <v>工序内容</v>
          </cell>
          <cell r="F3523" t="str">
            <v>0/领料</v>
          </cell>
          <cell r="G3523" t="str">
            <v>05/钳工</v>
          </cell>
          <cell r="H3523" t="str">
            <v>10/分光</v>
          </cell>
          <cell r="I3523" t="str">
            <v>15/钳吊牌</v>
          </cell>
          <cell r="J3523" t="str">
            <v>20/热处理</v>
          </cell>
          <cell r="K3523" t="str">
            <v>25/车铣35</v>
          </cell>
          <cell r="L3523" t="str">
            <v>30/数车5</v>
          </cell>
          <cell r="M3523" t="str">
            <v>35/数车30</v>
          </cell>
          <cell r="N3523" t="str">
            <v>40/数车5</v>
          </cell>
          <cell r="O3523" t="str">
            <v>45/钳工</v>
          </cell>
          <cell r="P3523" t="str">
            <v>50/清洁</v>
          </cell>
          <cell r="Q3523" t="str">
            <v>55/成检</v>
          </cell>
        </row>
        <row r="3524">
          <cell r="B3524" t="str">
            <v>CB5327500-003-001</v>
          </cell>
          <cell r="D3524" t="str">
            <v>C</v>
          </cell>
          <cell r="E3524" t="str">
            <v>准备工时</v>
          </cell>
          <cell r="K3524">
            <v>60</v>
          </cell>
          <cell r="L3524">
            <v>60</v>
          </cell>
          <cell r="M3524">
            <v>60</v>
          </cell>
          <cell r="N3524">
            <v>60</v>
          </cell>
        </row>
        <row r="3525">
          <cell r="B3525" t="str">
            <v>CB5327500-003-001</v>
          </cell>
          <cell r="D3525" t="str">
            <v>C</v>
          </cell>
          <cell r="E3525" t="str">
            <v>程序时间</v>
          </cell>
          <cell r="G3525" t="str">
            <v>10分钟/根</v>
          </cell>
          <cell r="K3525">
            <v>50</v>
          </cell>
          <cell r="L3525">
            <v>10</v>
          </cell>
          <cell r="M3525">
            <v>40</v>
          </cell>
          <cell r="N3525">
            <v>15</v>
          </cell>
          <cell r="O3525">
            <v>20</v>
          </cell>
        </row>
        <row r="3526">
          <cell r="B3526" t="str">
            <v>DD-J10-55165-331</v>
          </cell>
          <cell r="D3526" t="str">
            <v>B</v>
          </cell>
          <cell r="E3526" t="str">
            <v>工序内容</v>
          </cell>
          <cell r="F3526" t="str">
            <v>0/领料</v>
          </cell>
          <cell r="G3526" t="str">
            <v>5/钳工</v>
          </cell>
          <cell r="H3526" t="str">
            <v>10/数车15</v>
          </cell>
          <cell r="I3526" t="str">
            <v>15/数车25</v>
          </cell>
          <cell r="J3526" t="str">
            <v>20/数车25</v>
          </cell>
          <cell r="K3526" t="str">
            <v>25/数车25</v>
          </cell>
          <cell r="L3526" t="str">
            <v>30/钳工</v>
          </cell>
          <cell r="M3526" t="str">
            <v>35/热处理</v>
          </cell>
          <cell r="N3526" t="str">
            <v>40/钳工</v>
          </cell>
          <cell r="O3526" t="str">
            <v>45/复验</v>
          </cell>
          <cell r="P3526" t="str">
            <v>50/清洗</v>
          </cell>
          <cell r="Q3526" t="str">
            <v>55/磁粉</v>
          </cell>
          <cell r="R3526" t="str">
            <v>60/清洗</v>
          </cell>
          <cell r="S3526" t="str">
            <v>65/表处</v>
          </cell>
          <cell r="T3526" t="str">
            <v>70/数车10</v>
          </cell>
          <cell r="U3526" t="str">
            <v>75/数车20</v>
          </cell>
          <cell r="V3526" t="str">
            <v>80/清洁</v>
          </cell>
          <cell r="W3526" t="str">
            <v>85/成检</v>
          </cell>
        </row>
        <row r="3527">
          <cell r="B3527" t="str">
            <v>DD-J10-55165-331</v>
          </cell>
          <cell r="D3527" t="str">
            <v>B</v>
          </cell>
          <cell r="E3527" t="str">
            <v>准备工时</v>
          </cell>
          <cell r="H3527">
            <v>90</v>
          </cell>
          <cell r="I3527">
            <v>180</v>
          </cell>
          <cell r="J3527">
            <v>180</v>
          </cell>
          <cell r="K3527">
            <v>180</v>
          </cell>
          <cell r="T3527">
            <v>120</v>
          </cell>
          <cell r="U3527">
            <v>120</v>
          </cell>
        </row>
        <row r="3528">
          <cell r="B3528" t="str">
            <v>DD-J10-55165-331</v>
          </cell>
          <cell r="D3528" t="str">
            <v>B</v>
          </cell>
          <cell r="E3528" t="str">
            <v>程序时间</v>
          </cell>
          <cell r="G3528">
            <v>20</v>
          </cell>
          <cell r="H3528">
            <v>30</v>
          </cell>
          <cell r="I3528">
            <v>40</v>
          </cell>
          <cell r="J3528">
            <v>40</v>
          </cell>
          <cell r="K3528">
            <v>40</v>
          </cell>
          <cell r="L3528" t="str">
            <v>30</v>
          </cell>
          <cell r="N3528" t="str">
            <v>10</v>
          </cell>
          <cell r="T3528">
            <v>20</v>
          </cell>
          <cell r="U3528">
            <v>35</v>
          </cell>
        </row>
        <row r="3529">
          <cell r="B3529" t="str">
            <v>DD-J10-55014-2143</v>
          </cell>
          <cell r="D3529" t="str">
            <v>B</v>
          </cell>
          <cell r="E3529" t="str">
            <v>工序内容</v>
          </cell>
          <cell r="F3529" t="str">
            <v>0/领料</v>
          </cell>
          <cell r="G3529" t="str">
            <v>5/钳工</v>
          </cell>
          <cell r="H3529" t="str">
            <v>10/数车10</v>
          </cell>
          <cell r="I3529" t="str">
            <v>15/数车15</v>
          </cell>
          <cell r="J3529" t="str">
            <v>20/数车15</v>
          </cell>
          <cell r="K3529" t="str">
            <v>25/数车10</v>
          </cell>
          <cell r="L3529" t="str">
            <v>30/数车5</v>
          </cell>
          <cell r="M3529" t="str">
            <v>35/线切割</v>
          </cell>
          <cell r="N3529" t="str">
            <v>40/钳工</v>
          </cell>
          <cell r="O3529" t="str">
            <v>45/清洁</v>
          </cell>
          <cell r="P3529" t="str">
            <v>50/成检</v>
          </cell>
        </row>
        <row r="3530">
          <cell r="B3530" t="str">
            <v>DD-J10-55014-2143</v>
          </cell>
          <cell r="D3530" t="str">
            <v>B</v>
          </cell>
          <cell r="E3530" t="str">
            <v>准备工时</v>
          </cell>
          <cell r="H3530">
            <v>90</v>
          </cell>
          <cell r="I3530">
            <v>150</v>
          </cell>
          <cell r="J3530">
            <v>150</v>
          </cell>
          <cell r="K3530">
            <v>150</v>
          </cell>
          <cell r="L3530" t="str">
            <v>150</v>
          </cell>
        </row>
        <row r="3531">
          <cell r="B3531" t="str">
            <v>DD-J10-55014-2143</v>
          </cell>
          <cell r="D3531" t="str">
            <v>B</v>
          </cell>
          <cell r="E3531" t="str">
            <v>程序时间</v>
          </cell>
          <cell r="G3531">
            <v>20</v>
          </cell>
          <cell r="H3531">
            <v>20</v>
          </cell>
          <cell r="I3531">
            <v>25</v>
          </cell>
          <cell r="J3531">
            <v>25</v>
          </cell>
          <cell r="K3531">
            <v>20</v>
          </cell>
          <cell r="L3531" t="str">
            <v>15</v>
          </cell>
          <cell r="N3531" t="str">
            <v>35</v>
          </cell>
        </row>
        <row r="3532">
          <cell r="B3532" t="str">
            <v>BC2292193-005-001</v>
          </cell>
          <cell r="D3532" t="str">
            <v>B</v>
          </cell>
          <cell r="E3532" t="str">
            <v>工序内容</v>
          </cell>
          <cell r="F3532" t="str">
            <v>0/领料</v>
          </cell>
          <cell r="G3532" t="str">
            <v>05/车铣30</v>
          </cell>
          <cell r="H3532" t="str">
            <v>10/数车 10</v>
          </cell>
          <cell r="I3532" t="str">
            <v>15/分光</v>
          </cell>
          <cell r="J3532" t="str">
            <v>20/线切割</v>
          </cell>
          <cell r="K3532" t="str">
            <v>25/钳工</v>
          </cell>
          <cell r="L3532" t="str">
            <v>30/清洁</v>
          </cell>
          <cell r="M3532" t="str">
            <v>35/成检</v>
          </cell>
        </row>
        <row r="3533">
          <cell r="B3533" t="str">
            <v>BC2292193-005-001</v>
          </cell>
          <cell r="D3533" t="str">
            <v>B</v>
          </cell>
          <cell r="E3533" t="str">
            <v>准备工时</v>
          </cell>
          <cell r="G3533">
            <v>120</v>
          </cell>
          <cell r="H3533">
            <v>90</v>
          </cell>
        </row>
        <row r="3534">
          <cell r="B3534" t="str">
            <v>BC2292193-005-001</v>
          </cell>
          <cell r="D3534" t="str">
            <v>B</v>
          </cell>
          <cell r="E3534" t="str">
            <v>程序时间</v>
          </cell>
          <cell r="G3534">
            <v>45</v>
          </cell>
          <cell r="H3534">
            <v>15</v>
          </cell>
          <cell r="K3534">
            <v>20</v>
          </cell>
        </row>
        <row r="3535">
          <cell r="B3535" t="str">
            <v>DD-J10-94061-401</v>
          </cell>
          <cell r="D3535" t="str">
            <v>D</v>
          </cell>
          <cell r="E3535" t="str">
            <v>工序内容</v>
          </cell>
          <cell r="F3535" t="str">
            <v>0领料</v>
          </cell>
          <cell r="G3535" t="str">
            <v>5数铣</v>
          </cell>
          <cell r="H3535" t="str">
            <v>10数铣35</v>
          </cell>
          <cell r="I3535" t="str">
            <v>15数铣100</v>
          </cell>
          <cell r="J3535" t="str">
            <v>20数铣80</v>
          </cell>
          <cell r="K3535" t="str">
            <v>25钳工</v>
          </cell>
          <cell r="L3535" t="str">
            <v>30清洁</v>
          </cell>
          <cell r="M3535" t="str">
            <v>35硬度</v>
          </cell>
          <cell r="N3535" t="str">
            <v>40分光</v>
          </cell>
          <cell r="O3535" t="str">
            <v>45钳工</v>
          </cell>
          <cell r="P3535" t="str">
            <v>50清洁</v>
          </cell>
          <cell r="Q3535" t="str">
            <v>55成检</v>
          </cell>
        </row>
        <row r="3536">
          <cell r="B3536" t="str">
            <v>DD-J10-94061-401</v>
          </cell>
          <cell r="D3536" t="str">
            <v>D</v>
          </cell>
          <cell r="E3536" t="str">
            <v>准备工时</v>
          </cell>
          <cell r="G3536">
            <v>60</v>
          </cell>
          <cell r="H3536">
            <v>90</v>
          </cell>
          <cell r="I3536">
            <v>120</v>
          </cell>
          <cell r="J3536">
            <v>90</v>
          </cell>
        </row>
        <row r="3537">
          <cell r="B3537" t="str">
            <v>DD-J10-94061-401</v>
          </cell>
          <cell r="D3537" t="str">
            <v>D</v>
          </cell>
          <cell r="E3537" t="str">
            <v>程序时间</v>
          </cell>
          <cell r="G3537">
            <v>25</v>
          </cell>
          <cell r="H3537">
            <v>60</v>
          </cell>
          <cell r="I3537">
            <v>150</v>
          </cell>
          <cell r="J3537">
            <v>130</v>
          </cell>
          <cell r="K3537">
            <v>90</v>
          </cell>
          <cell r="O3537" t="str">
            <v>5</v>
          </cell>
        </row>
        <row r="3538">
          <cell r="B3538" t="str">
            <v>C532210931-001-001</v>
          </cell>
          <cell r="D3538" t="str">
            <v>B</v>
          </cell>
          <cell r="E3538" t="str">
            <v>工序内容</v>
          </cell>
          <cell r="F3538" t="str">
            <v>0领料</v>
          </cell>
          <cell r="G3538" t="str">
            <v>5/普铣</v>
          </cell>
          <cell r="H3538" t="str">
            <v>10/数铣400</v>
          </cell>
          <cell r="I3538" t="str">
            <v>15/钳工</v>
          </cell>
          <cell r="J3538" t="str">
            <v>20/超探</v>
          </cell>
          <cell r="K3538" t="str">
            <v>25/数铣130</v>
          </cell>
          <cell r="L3538" t="str">
            <v>30/数铣500</v>
          </cell>
          <cell r="M3538" t="str">
            <v>35/数铣120</v>
          </cell>
          <cell r="N3538" t="str">
            <v>40/数铣120</v>
          </cell>
          <cell r="O3538" t="str">
            <v>45/数铣120</v>
          </cell>
          <cell r="P3538" t="str">
            <v>50/数铣150</v>
          </cell>
          <cell r="Q3538" t="str">
            <v>55数铣100</v>
          </cell>
          <cell r="R3538" t="str">
            <v>60/数铣300</v>
          </cell>
          <cell r="S3538" t="str">
            <v>65/测量</v>
          </cell>
          <cell r="T3538" t="str">
            <v>70/钳工</v>
          </cell>
          <cell r="U3538" t="str">
            <v>75/称重</v>
          </cell>
          <cell r="V3538" t="str">
            <v>80/清洁</v>
          </cell>
          <cell r="W3538" t="str">
            <v>85/成检</v>
          </cell>
        </row>
        <row r="3539">
          <cell r="B3539" t="str">
            <v>C532210931-001-001</v>
          </cell>
          <cell r="D3539" t="str">
            <v>B</v>
          </cell>
          <cell r="E3539" t="str">
            <v>准备工时</v>
          </cell>
          <cell r="G3539">
            <v>60</v>
          </cell>
          <cell r="H3539">
            <v>90</v>
          </cell>
          <cell r="K3539">
            <v>90</v>
          </cell>
          <cell r="L3539">
            <v>90</v>
          </cell>
          <cell r="M3539">
            <v>90</v>
          </cell>
          <cell r="N3539">
            <v>90</v>
          </cell>
          <cell r="O3539">
            <v>90</v>
          </cell>
          <cell r="P3539">
            <v>90</v>
          </cell>
          <cell r="Q3539">
            <v>90</v>
          </cell>
          <cell r="R3539">
            <v>90</v>
          </cell>
        </row>
        <row r="3540">
          <cell r="B3540" t="str">
            <v>C532210931-001-001</v>
          </cell>
          <cell r="D3540" t="str">
            <v>B</v>
          </cell>
          <cell r="E3540" t="str">
            <v>程序时间</v>
          </cell>
          <cell r="G3540">
            <v>480</v>
          </cell>
          <cell r="H3540">
            <v>600</v>
          </cell>
          <cell r="I3540">
            <v>120</v>
          </cell>
          <cell r="K3540">
            <v>360</v>
          </cell>
          <cell r="L3540">
            <v>2200</v>
          </cell>
          <cell r="M3540">
            <v>360</v>
          </cell>
          <cell r="N3540">
            <v>360</v>
          </cell>
          <cell r="O3540">
            <v>360</v>
          </cell>
          <cell r="P3540">
            <v>480</v>
          </cell>
          <cell r="Q3540">
            <v>360</v>
          </cell>
          <cell r="R3540">
            <v>1000</v>
          </cell>
          <cell r="T3540">
            <v>360</v>
          </cell>
          <cell r="U3540">
            <v>60</v>
          </cell>
        </row>
        <row r="3541">
          <cell r="B3541" t="str">
            <v>DD-J10-55222-3106</v>
          </cell>
          <cell r="D3541" t="str">
            <v>B</v>
          </cell>
          <cell r="E3541" t="str">
            <v>工序内容</v>
          </cell>
          <cell r="F3541" t="str">
            <v>0/领料</v>
          </cell>
          <cell r="G3541" t="str">
            <v>05/钳工</v>
          </cell>
          <cell r="H3541" t="str">
            <v>10/数车15</v>
          </cell>
          <cell r="I3541">
            <v>15</v>
          </cell>
          <cell r="J3541" t="str">
            <v>20/数车15</v>
          </cell>
          <cell r="K3541" t="str">
            <v>25/热处理</v>
          </cell>
          <cell r="L3541" t="str">
            <v>30/数车30</v>
          </cell>
          <cell r="M3541" t="str">
            <v>35/数车30</v>
          </cell>
          <cell r="N3541" t="str">
            <v>40/钳工</v>
          </cell>
          <cell r="O3541" t="str">
            <v>45中检</v>
          </cell>
          <cell r="P3541" t="str">
            <v>50复检</v>
          </cell>
          <cell r="Q3541" t="str">
            <v>55/表处</v>
          </cell>
          <cell r="R3541" t="str">
            <v>60/表处</v>
          </cell>
          <cell r="S3541" t="str">
            <v>65/数车10</v>
          </cell>
          <cell r="T3541" t="str">
            <v>70/数车10</v>
          </cell>
          <cell r="U3541" t="str">
            <v>75/清洁</v>
          </cell>
          <cell r="V3541" t="str">
            <v>80/成检</v>
          </cell>
        </row>
        <row r="3542">
          <cell r="B3542" t="str">
            <v>DD-J10-55222-3106</v>
          </cell>
          <cell r="D3542" t="str">
            <v>B</v>
          </cell>
          <cell r="E3542" t="str">
            <v>准备工时</v>
          </cell>
          <cell r="H3542">
            <v>120</v>
          </cell>
          <cell r="J3542">
            <v>120</v>
          </cell>
          <cell r="L3542">
            <v>180</v>
          </cell>
          <cell r="M3542">
            <v>180</v>
          </cell>
          <cell r="S3542">
            <v>120</v>
          </cell>
          <cell r="T3542">
            <v>120</v>
          </cell>
        </row>
        <row r="3543">
          <cell r="B3543" t="str">
            <v>DD-J10-55222-3106</v>
          </cell>
          <cell r="D3543" t="str">
            <v>B</v>
          </cell>
          <cell r="E3543" t="str">
            <v>程序时间</v>
          </cell>
          <cell r="G3543">
            <v>15</v>
          </cell>
          <cell r="H3543">
            <v>30</v>
          </cell>
          <cell r="J3543">
            <v>20</v>
          </cell>
          <cell r="L3543">
            <v>35</v>
          </cell>
          <cell r="M3543">
            <v>35</v>
          </cell>
          <cell r="N3543">
            <v>30</v>
          </cell>
          <cell r="S3543">
            <v>20</v>
          </cell>
          <cell r="T3543">
            <v>20</v>
          </cell>
        </row>
        <row r="3544">
          <cell r="B3544" t="str">
            <v>DD-J10-55181-6431</v>
          </cell>
          <cell r="D3544" t="str">
            <v>B</v>
          </cell>
          <cell r="E3544" t="str">
            <v>工序内容</v>
          </cell>
          <cell r="F3544" t="str">
            <v>0/领料</v>
          </cell>
          <cell r="G3544" t="str">
            <v>5钳工</v>
          </cell>
          <cell r="H3544" t="str">
            <v>10数车15</v>
          </cell>
          <cell r="I3544" t="str">
            <v>15数车15</v>
          </cell>
          <cell r="J3544" t="str">
            <v>20数车25</v>
          </cell>
          <cell r="K3544" t="str">
            <v>25数车30</v>
          </cell>
          <cell r="L3544" t="str">
            <v>30钳工</v>
          </cell>
          <cell r="M3544" t="str">
            <v>35热处理</v>
          </cell>
          <cell r="N3544" t="str">
            <v>40钳工</v>
          </cell>
          <cell r="O3544" t="str">
            <v>45数车30</v>
          </cell>
          <cell r="P3544" t="str">
            <v>50钳工</v>
          </cell>
          <cell r="Q3544" t="str">
            <v>55/中检</v>
          </cell>
          <cell r="R3544" t="str">
            <v>60复检</v>
          </cell>
          <cell r="S3544" t="str">
            <v>65清洗</v>
          </cell>
          <cell r="T3544" t="str">
            <v>70表处</v>
          </cell>
          <cell r="U3544" t="str">
            <v>75复检</v>
          </cell>
          <cell r="V3544" t="str">
            <v>80数车20</v>
          </cell>
          <cell r="W3544" t="str">
            <v>85数车10</v>
          </cell>
          <cell r="X3544" t="str">
            <v>90清洁</v>
          </cell>
          <cell r="Y3544" t="str">
            <v>95成检</v>
          </cell>
        </row>
        <row r="3545">
          <cell r="B3545" t="str">
            <v>DD-J10-55181-6431</v>
          </cell>
          <cell r="D3545" t="str">
            <v>B</v>
          </cell>
          <cell r="E3545" t="str">
            <v>准备工时</v>
          </cell>
          <cell r="H3545">
            <v>120</v>
          </cell>
          <cell r="I3545">
            <v>120</v>
          </cell>
          <cell r="J3545">
            <v>120</v>
          </cell>
          <cell r="K3545">
            <v>120</v>
          </cell>
          <cell r="O3545" t="str">
            <v>120</v>
          </cell>
          <cell r="V3545">
            <v>120</v>
          </cell>
          <cell r="W3545">
            <v>120</v>
          </cell>
        </row>
        <row r="3546">
          <cell r="B3546" t="str">
            <v>DD-J10-55181-6431</v>
          </cell>
          <cell r="D3546" t="str">
            <v>B</v>
          </cell>
          <cell r="E3546" t="str">
            <v>程序时间</v>
          </cell>
          <cell r="G3546">
            <v>15</v>
          </cell>
          <cell r="H3546">
            <v>30</v>
          </cell>
          <cell r="I3546">
            <v>30</v>
          </cell>
          <cell r="J3546">
            <v>50</v>
          </cell>
          <cell r="K3546">
            <v>60</v>
          </cell>
          <cell r="L3546">
            <v>35</v>
          </cell>
          <cell r="N3546" t="str">
            <v>10</v>
          </cell>
          <cell r="O3546" t="str">
            <v>60</v>
          </cell>
          <cell r="P3546" t="str">
            <v>20</v>
          </cell>
          <cell r="V3546">
            <v>40</v>
          </cell>
          <cell r="W3546">
            <v>25</v>
          </cell>
        </row>
        <row r="3547">
          <cell r="B3547" t="str">
            <v>CB22984L0-002-001</v>
          </cell>
          <cell r="D3547" t="str">
            <v>B</v>
          </cell>
          <cell r="E3547" t="str">
            <v>工序内容</v>
          </cell>
          <cell r="F3547" t="str">
            <v>0/领料</v>
          </cell>
          <cell r="G3547" t="str">
            <v>05/数车</v>
          </cell>
          <cell r="H3547" t="str">
            <v>10/分光</v>
          </cell>
          <cell r="I3547" t="str">
            <v>15/硬度</v>
          </cell>
          <cell r="J3547" t="str">
            <v>20/检验</v>
          </cell>
          <cell r="K3547" t="str">
            <v>25/数铣</v>
          </cell>
          <cell r="L3547" t="str">
            <v>30/数铣</v>
          </cell>
          <cell r="M3547" t="str">
            <v>35/数铣</v>
          </cell>
          <cell r="N3547" t="str">
            <v>40/数铣</v>
          </cell>
          <cell r="O3547" t="str">
            <v>45/数铣</v>
          </cell>
          <cell r="P3547" t="str">
            <v>50/数铣</v>
          </cell>
          <cell r="Q3547" t="str">
            <v>55/钳工</v>
          </cell>
          <cell r="R3547" t="str">
            <v>60/清洁</v>
          </cell>
          <cell r="S3547" t="str">
            <v>65/成检</v>
          </cell>
        </row>
        <row r="3548">
          <cell r="B3548" t="str">
            <v>CB22984L0-002-001</v>
          </cell>
          <cell r="D3548" t="str">
            <v>B</v>
          </cell>
          <cell r="E3548" t="str">
            <v>准备工时</v>
          </cell>
          <cell r="G3548">
            <v>60</v>
          </cell>
          <cell r="K3548">
            <v>60</v>
          </cell>
          <cell r="L3548">
            <v>60</v>
          </cell>
          <cell r="M3548">
            <v>60</v>
          </cell>
          <cell r="N3548">
            <v>60</v>
          </cell>
          <cell r="O3548">
            <v>60</v>
          </cell>
          <cell r="P3548">
            <v>60</v>
          </cell>
        </row>
        <row r="3549">
          <cell r="B3549" t="str">
            <v>CB22984L0-002-001</v>
          </cell>
          <cell r="D3549" t="str">
            <v>B</v>
          </cell>
          <cell r="E3549" t="str">
            <v>程序时间</v>
          </cell>
          <cell r="G3549">
            <v>12</v>
          </cell>
          <cell r="K3549">
            <v>30</v>
          </cell>
          <cell r="L3549">
            <v>10</v>
          </cell>
          <cell r="M3549">
            <v>15</v>
          </cell>
          <cell r="N3549">
            <v>10</v>
          </cell>
          <cell r="O3549">
            <v>20</v>
          </cell>
          <cell r="P3549">
            <v>25</v>
          </cell>
          <cell r="Q3549">
            <v>30</v>
          </cell>
        </row>
        <row r="3550">
          <cell r="B3550" t="str">
            <v>DD-J10-21102-554-Z</v>
          </cell>
          <cell r="D3550" t="str">
            <v>C</v>
          </cell>
          <cell r="E3550" t="str">
            <v>工序内容</v>
          </cell>
          <cell r="F3550" t="str">
            <v>0领料</v>
          </cell>
          <cell r="G3550" t="str">
            <v>5数铣</v>
          </cell>
          <cell r="H3550" t="str">
            <v>10数铣60</v>
          </cell>
          <cell r="I3550" t="str">
            <v>15数铣220</v>
          </cell>
          <cell r="J3550" t="str">
            <v>20测量</v>
          </cell>
          <cell r="K3550" t="str">
            <v>25数铣15</v>
          </cell>
          <cell r="L3550" t="str">
            <v>30钳工</v>
          </cell>
          <cell r="M3550" t="str">
            <v>35清洁</v>
          </cell>
          <cell r="N3550" t="str">
            <v>40成检</v>
          </cell>
        </row>
        <row r="3551">
          <cell r="B3551" t="str">
            <v>DD-J10-21102-554-Z</v>
          </cell>
          <cell r="D3551" t="str">
            <v>C</v>
          </cell>
          <cell r="E3551" t="str">
            <v>准备工时</v>
          </cell>
          <cell r="G3551">
            <v>60</v>
          </cell>
          <cell r="H3551">
            <v>60</v>
          </cell>
          <cell r="I3551">
            <v>90</v>
          </cell>
          <cell r="K3551">
            <v>60</v>
          </cell>
        </row>
        <row r="3552">
          <cell r="B3552" t="str">
            <v>DD-J10-21102-554-Z</v>
          </cell>
          <cell r="D3552" t="str">
            <v>C</v>
          </cell>
          <cell r="E3552" t="str">
            <v>程序时间</v>
          </cell>
          <cell r="G3552">
            <v>90</v>
          </cell>
          <cell r="H3552">
            <v>100</v>
          </cell>
          <cell r="I3552">
            <v>240</v>
          </cell>
          <cell r="K3552">
            <v>40</v>
          </cell>
          <cell r="L3552">
            <v>90</v>
          </cell>
        </row>
        <row r="3553">
          <cell r="B3553" t="str">
            <v>DD-J10-21102-554-Y</v>
          </cell>
          <cell r="D3553" t="str">
            <v>C</v>
          </cell>
          <cell r="E3553" t="str">
            <v>工序内容</v>
          </cell>
          <cell r="F3553" t="str">
            <v>0领料</v>
          </cell>
          <cell r="G3553" t="str">
            <v>5数铣</v>
          </cell>
          <cell r="H3553" t="str">
            <v>10数铣60</v>
          </cell>
          <cell r="I3553" t="str">
            <v>15数铣220</v>
          </cell>
          <cell r="J3553" t="str">
            <v>20测量</v>
          </cell>
          <cell r="K3553" t="str">
            <v>25数铣15</v>
          </cell>
          <cell r="L3553" t="str">
            <v>30钳工</v>
          </cell>
          <cell r="M3553" t="str">
            <v>35清洁</v>
          </cell>
          <cell r="N3553" t="str">
            <v>40成检</v>
          </cell>
        </row>
        <row r="3554">
          <cell r="B3554" t="str">
            <v>DD-J10-21102-554-Y</v>
          </cell>
          <cell r="D3554" t="str">
            <v>C</v>
          </cell>
          <cell r="E3554" t="str">
            <v>准备工时</v>
          </cell>
          <cell r="G3554">
            <v>60</v>
          </cell>
          <cell r="H3554">
            <v>60</v>
          </cell>
          <cell r="I3554">
            <v>90</v>
          </cell>
          <cell r="K3554">
            <v>60</v>
          </cell>
        </row>
        <row r="3555">
          <cell r="B3555" t="str">
            <v>DD-J10-21102-554-Y</v>
          </cell>
          <cell r="D3555" t="str">
            <v>C</v>
          </cell>
          <cell r="E3555" t="str">
            <v>程序时间</v>
          </cell>
          <cell r="G3555">
            <v>90</v>
          </cell>
          <cell r="H3555">
            <v>100</v>
          </cell>
          <cell r="I3555">
            <v>240</v>
          </cell>
          <cell r="K3555">
            <v>40</v>
          </cell>
          <cell r="L3555">
            <v>90</v>
          </cell>
        </row>
        <row r="3556">
          <cell r="B3556" t="str">
            <v>LTCS-551100000-55L02</v>
          </cell>
          <cell r="D3556" t="str">
            <v>B</v>
          </cell>
          <cell r="E3556" t="str">
            <v>工序内容</v>
          </cell>
          <cell r="F3556" t="str">
            <v>0领料</v>
          </cell>
          <cell r="G3556" t="str">
            <v>5数铣</v>
          </cell>
          <cell r="H3556" t="str">
            <v>10数铣10</v>
          </cell>
          <cell r="I3556" t="str">
            <v>15数铣35</v>
          </cell>
          <cell r="J3556" t="str">
            <v>20数铣70</v>
          </cell>
          <cell r="K3556" t="str">
            <v>25数铣70</v>
          </cell>
          <cell r="L3556" t="str">
            <v>30测量</v>
          </cell>
          <cell r="M3556" t="str">
            <v>35钳工</v>
          </cell>
          <cell r="N3556" t="str">
            <v>40数铣</v>
          </cell>
          <cell r="O3556" t="str">
            <v>45清洁</v>
          </cell>
          <cell r="P3556" t="str">
            <v>50成检</v>
          </cell>
        </row>
        <row r="3557">
          <cell r="B3557" t="str">
            <v>LTCS-551100000-55L02</v>
          </cell>
          <cell r="D3557" t="str">
            <v>B</v>
          </cell>
          <cell r="E3557" t="str">
            <v>准备工时</v>
          </cell>
          <cell r="G3557">
            <v>60</v>
          </cell>
          <cell r="H3557">
            <v>90</v>
          </cell>
          <cell r="I3557">
            <v>60</v>
          </cell>
          <cell r="J3557">
            <v>90</v>
          </cell>
          <cell r="K3557">
            <v>90</v>
          </cell>
        </row>
        <row r="3558">
          <cell r="B3558" t="str">
            <v>LTCS-551100000-55L02</v>
          </cell>
          <cell r="D3558" t="str">
            <v>B</v>
          </cell>
          <cell r="E3558" t="str">
            <v>程序时间</v>
          </cell>
          <cell r="G3558">
            <v>45</v>
          </cell>
          <cell r="H3558">
            <v>30</v>
          </cell>
          <cell r="I3558">
            <v>60</v>
          </cell>
          <cell r="J3558">
            <v>100</v>
          </cell>
          <cell r="K3558">
            <v>100</v>
          </cell>
          <cell r="M3558">
            <v>50</v>
          </cell>
          <cell r="N3558">
            <v>20</v>
          </cell>
          <cell r="P3558" t="str">
            <v/>
          </cell>
        </row>
        <row r="3559">
          <cell r="B3559" t="str">
            <v>LTCS-551100000-55R02</v>
          </cell>
          <cell r="D3559" t="str">
            <v>B</v>
          </cell>
          <cell r="E3559" t="str">
            <v>工序内容</v>
          </cell>
          <cell r="F3559" t="str">
            <v>0领料</v>
          </cell>
          <cell r="G3559" t="str">
            <v>5数铣</v>
          </cell>
          <cell r="H3559" t="str">
            <v>10数铣10</v>
          </cell>
          <cell r="I3559" t="str">
            <v>15数铣35</v>
          </cell>
          <cell r="J3559" t="str">
            <v>20数铣70</v>
          </cell>
          <cell r="K3559" t="str">
            <v>25数铣70</v>
          </cell>
          <cell r="L3559" t="str">
            <v>30测量</v>
          </cell>
          <cell r="M3559" t="str">
            <v>35钳工</v>
          </cell>
          <cell r="N3559" t="str">
            <v>40数铣</v>
          </cell>
          <cell r="O3559" t="str">
            <v>45清洁</v>
          </cell>
          <cell r="P3559" t="str">
            <v>50成检</v>
          </cell>
        </row>
        <row r="3560">
          <cell r="B3560" t="str">
            <v>LTCS-551100000-55R02</v>
          </cell>
          <cell r="D3560" t="str">
            <v>B</v>
          </cell>
          <cell r="E3560" t="str">
            <v>准备工时</v>
          </cell>
          <cell r="G3560">
            <v>60</v>
          </cell>
          <cell r="H3560">
            <v>90</v>
          </cell>
          <cell r="I3560">
            <v>60</v>
          </cell>
          <cell r="J3560">
            <v>90</v>
          </cell>
          <cell r="K3560">
            <v>90</v>
          </cell>
        </row>
        <row r="3561">
          <cell r="B3561" t="str">
            <v>LTCS-551100000-55R02</v>
          </cell>
          <cell r="D3561" t="str">
            <v>B</v>
          </cell>
          <cell r="E3561" t="str">
            <v>程序时间</v>
          </cell>
          <cell r="G3561">
            <v>45</v>
          </cell>
          <cell r="H3561">
            <v>30</v>
          </cell>
          <cell r="I3561">
            <v>60</v>
          </cell>
          <cell r="J3561">
            <v>100</v>
          </cell>
          <cell r="K3561">
            <v>100</v>
          </cell>
          <cell r="M3561">
            <v>50</v>
          </cell>
          <cell r="N3561">
            <v>20</v>
          </cell>
          <cell r="P3561" t="str">
            <v/>
          </cell>
        </row>
        <row r="3562">
          <cell r="B3562" t="str">
            <v>CB22983Q0-002-001</v>
          </cell>
          <cell r="D3562" t="str">
            <v>B</v>
          </cell>
          <cell r="E3562" t="str">
            <v>工序内容</v>
          </cell>
          <cell r="F3562" t="str">
            <v>0/领料</v>
          </cell>
          <cell r="G3562" t="str">
            <v>05/下料</v>
          </cell>
          <cell r="H3562" t="str">
            <v>10/数车</v>
          </cell>
          <cell r="I3562" t="str">
            <v>15数铣10</v>
          </cell>
          <cell r="J3562" t="str">
            <v>20/数铣</v>
          </cell>
          <cell r="K3562" t="str">
            <v>25数铣10</v>
          </cell>
          <cell r="L3562" t="str">
            <v>30数铣15</v>
          </cell>
          <cell r="M3562" t="str">
            <v>35线切割</v>
          </cell>
          <cell r="N3562" t="str">
            <v>40钳工</v>
          </cell>
          <cell r="O3562" t="str">
            <v>45清洁</v>
          </cell>
          <cell r="P3562" t="str">
            <v>50成检</v>
          </cell>
        </row>
        <row r="3563">
          <cell r="B3563" t="str">
            <v>CB22983Q0-002-001</v>
          </cell>
          <cell r="D3563" t="str">
            <v>B</v>
          </cell>
          <cell r="E3563" t="str">
            <v>准备工时</v>
          </cell>
          <cell r="H3563">
            <v>60</v>
          </cell>
          <cell r="I3563">
            <v>60</v>
          </cell>
          <cell r="J3563">
            <v>60</v>
          </cell>
          <cell r="K3563">
            <v>60</v>
          </cell>
          <cell r="L3563">
            <v>60</v>
          </cell>
        </row>
        <row r="3564">
          <cell r="B3564" t="str">
            <v>CB22983Q0-002-001</v>
          </cell>
          <cell r="D3564" t="str">
            <v>B</v>
          </cell>
          <cell r="E3564" t="str">
            <v>程序时间</v>
          </cell>
          <cell r="H3564">
            <v>15</v>
          </cell>
          <cell r="I3564">
            <v>25</v>
          </cell>
          <cell r="J3564">
            <v>15</v>
          </cell>
          <cell r="K3564">
            <v>15</v>
          </cell>
          <cell r="L3564">
            <v>20</v>
          </cell>
          <cell r="N3564">
            <v>30</v>
          </cell>
        </row>
        <row r="3565">
          <cell r="B3565" t="str">
            <v>DD-J10-21102-250-1-Z</v>
          </cell>
          <cell r="D3565" t="str">
            <v>K</v>
          </cell>
          <cell r="E3565" t="str">
            <v>工序内容</v>
          </cell>
          <cell r="F3565" t="str">
            <v>0/领料</v>
          </cell>
          <cell r="G3565" t="str">
            <v>5/数铣30</v>
          </cell>
          <cell r="H3565" t="str">
            <v>10/数铣200</v>
          </cell>
          <cell r="I3565" t="str">
            <v>15/时效</v>
          </cell>
          <cell r="J3565" t="str">
            <v>20/数铣</v>
          </cell>
          <cell r="K3565" t="str">
            <v>25/数铣75</v>
          </cell>
          <cell r="L3565" t="str">
            <v>30/时效</v>
          </cell>
          <cell r="M3565" t="str">
            <v>35/数铣</v>
          </cell>
          <cell r="N3565" t="str">
            <v>40/数铣45</v>
          </cell>
          <cell r="O3565" t="str">
            <v>45/数铣780</v>
          </cell>
          <cell r="P3565" t="str">
            <v>50/五轴60</v>
          </cell>
          <cell r="Q3565" t="str">
            <v>55/数铣20</v>
          </cell>
          <cell r="R3565" t="str">
            <v>60/测量</v>
          </cell>
          <cell r="S3565" t="str">
            <v>65/数铣15</v>
          </cell>
          <cell r="T3565" t="str">
            <v>70/钳工</v>
          </cell>
          <cell r="U3565" t="str">
            <v>75/清洁</v>
          </cell>
          <cell r="V3565" t="str">
            <v>80/测量</v>
          </cell>
          <cell r="W3565" t="str">
            <v>85/成检</v>
          </cell>
        </row>
        <row r="3566">
          <cell r="B3566" t="str">
            <v>DD-J10-21102-250-1-Z</v>
          </cell>
          <cell r="D3566" t="str">
            <v>K</v>
          </cell>
          <cell r="E3566" t="str">
            <v>准备工时</v>
          </cell>
          <cell r="G3566">
            <v>60</v>
          </cell>
          <cell r="H3566">
            <v>60</v>
          </cell>
          <cell r="J3566">
            <v>60</v>
          </cell>
          <cell r="K3566">
            <v>60</v>
          </cell>
          <cell r="M3566">
            <v>60</v>
          </cell>
          <cell r="N3566">
            <v>120</v>
          </cell>
          <cell r="O3566">
            <v>150</v>
          </cell>
          <cell r="P3566">
            <v>180</v>
          </cell>
          <cell r="Q3566">
            <v>120</v>
          </cell>
          <cell r="S3566">
            <v>90</v>
          </cell>
        </row>
        <row r="3567">
          <cell r="B3567" t="str">
            <v>DD-J10-21102-250-1-Z</v>
          </cell>
          <cell r="D3567" t="str">
            <v>K</v>
          </cell>
          <cell r="E3567" t="str">
            <v>装夹时间</v>
          </cell>
          <cell r="G3567">
            <v>60</v>
          </cell>
          <cell r="H3567">
            <v>60</v>
          </cell>
          <cell r="J3567">
            <v>60</v>
          </cell>
          <cell r="K3567">
            <v>60</v>
          </cell>
          <cell r="M3567">
            <v>60</v>
          </cell>
          <cell r="N3567">
            <v>60</v>
          </cell>
          <cell r="O3567">
            <v>60</v>
          </cell>
          <cell r="P3567">
            <v>75</v>
          </cell>
          <cell r="Q3567">
            <v>60</v>
          </cell>
          <cell r="S3567">
            <v>60</v>
          </cell>
        </row>
        <row r="3568">
          <cell r="B3568" t="str">
            <v>DD-J10-21102-250-1-Z</v>
          </cell>
          <cell r="D3568" t="str">
            <v>K</v>
          </cell>
          <cell r="E3568" t="str">
            <v>程序时间</v>
          </cell>
          <cell r="G3568">
            <v>60</v>
          </cell>
          <cell r="H3568">
            <v>220</v>
          </cell>
          <cell r="J3568">
            <v>150</v>
          </cell>
          <cell r="K3568">
            <v>125</v>
          </cell>
          <cell r="M3568">
            <v>150</v>
          </cell>
          <cell r="N3568">
            <v>90</v>
          </cell>
          <cell r="O3568">
            <v>1080</v>
          </cell>
          <cell r="P3568">
            <v>150</v>
          </cell>
          <cell r="Q3568">
            <v>120</v>
          </cell>
          <cell r="S3568">
            <v>30</v>
          </cell>
          <cell r="T3568">
            <v>240</v>
          </cell>
        </row>
        <row r="3569">
          <cell r="B3569" t="str">
            <v>DD-J10-21102-250-1-Y</v>
          </cell>
          <cell r="D3569" t="str">
            <v>K</v>
          </cell>
          <cell r="E3569" t="str">
            <v>工序内容</v>
          </cell>
          <cell r="F3569" t="str">
            <v>0/领料</v>
          </cell>
          <cell r="G3569" t="str">
            <v>5/数铣30</v>
          </cell>
          <cell r="H3569" t="str">
            <v>10/数铣200</v>
          </cell>
          <cell r="I3569" t="str">
            <v>15/时效</v>
          </cell>
          <cell r="J3569" t="str">
            <v>20/数铣</v>
          </cell>
          <cell r="K3569" t="str">
            <v>25/数铣75</v>
          </cell>
          <cell r="L3569" t="str">
            <v>30/时效</v>
          </cell>
          <cell r="M3569" t="str">
            <v>35/数铣</v>
          </cell>
          <cell r="N3569" t="str">
            <v>40/数铣45</v>
          </cell>
          <cell r="O3569" t="str">
            <v>45/数铣780</v>
          </cell>
          <cell r="P3569" t="str">
            <v>50/五轴60</v>
          </cell>
          <cell r="Q3569" t="str">
            <v>55/数铣20</v>
          </cell>
          <cell r="R3569" t="str">
            <v>60/测量</v>
          </cell>
          <cell r="S3569" t="str">
            <v>65/数铣15</v>
          </cell>
          <cell r="T3569" t="str">
            <v>70/钳工</v>
          </cell>
          <cell r="U3569" t="str">
            <v>75/清洁</v>
          </cell>
          <cell r="V3569" t="str">
            <v>80/测量</v>
          </cell>
          <cell r="W3569" t="str">
            <v>85/成检</v>
          </cell>
        </row>
        <row r="3570">
          <cell r="B3570" t="str">
            <v>DD-J10-21102-250-1-Y</v>
          </cell>
          <cell r="D3570" t="str">
            <v>K</v>
          </cell>
          <cell r="E3570" t="str">
            <v>准备工时</v>
          </cell>
          <cell r="G3570">
            <v>60</v>
          </cell>
          <cell r="H3570">
            <v>60</v>
          </cell>
          <cell r="J3570">
            <v>60</v>
          </cell>
          <cell r="K3570">
            <v>60</v>
          </cell>
          <cell r="M3570">
            <v>60</v>
          </cell>
          <cell r="N3570">
            <v>120</v>
          </cell>
          <cell r="O3570">
            <v>150</v>
          </cell>
          <cell r="P3570">
            <v>180</v>
          </cell>
          <cell r="Q3570">
            <v>120</v>
          </cell>
          <cell r="S3570">
            <v>90</v>
          </cell>
        </row>
        <row r="3571">
          <cell r="B3571" t="str">
            <v>DD-J10-21102-250-1-Y</v>
          </cell>
          <cell r="D3571" t="str">
            <v>K</v>
          </cell>
          <cell r="E3571" t="str">
            <v>装夹时间</v>
          </cell>
          <cell r="G3571">
            <v>60</v>
          </cell>
          <cell r="H3571">
            <v>60</v>
          </cell>
          <cell r="J3571">
            <v>60</v>
          </cell>
          <cell r="K3571">
            <v>60</v>
          </cell>
          <cell r="M3571">
            <v>60</v>
          </cell>
          <cell r="N3571">
            <v>60</v>
          </cell>
          <cell r="O3571">
            <v>60</v>
          </cell>
          <cell r="P3571">
            <v>75</v>
          </cell>
          <cell r="Q3571">
            <v>60</v>
          </cell>
          <cell r="S3571">
            <v>60</v>
          </cell>
        </row>
        <row r="3572">
          <cell r="B3572" t="str">
            <v>DD-J10-21102-250-1-Y</v>
          </cell>
          <cell r="D3572" t="str">
            <v>K</v>
          </cell>
          <cell r="E3572" t="str">
            <v>程序时间</v>
          </cell>
          <cell r="G3572">
            <v>60</v>
          </cell>
          <cell r="H3572">
            <v>220</v>
          </cell>
          <cell r="J3572">
            <v>150</v>
          </cell>
          <cell r="K3572">
            <v>125</v>
          </cell>
          <cell r="M3572">
            <v>150</v>
          </cell>
          <cell r="N3572">
            <v>90</v>
          </cell>
          <cell r="O3572">
            <v>1080</v>
          </cell>
          <cell r="P3572">
            <v>150</v>
          </cell>
          <cell r="Q3572">
            <v>120</v>
          </cell>
          <cell r="S3572">
            <v>30</v>
          </cell>
          <cell r="T3572">
            <v>240</v>
          </cell>
        </row>
        <row r="3573">
          <cell r="B3573" t="str">
            <v>DD-J10-55014-3101</v>
          </cell>
          <cell r="D3573" t="str">
            <v>B</v>
          </cell>
          <cell r="E3573" t="str">
            <v>工序内容</v>
          </cell>
          <cell r="F3573" t="str">
            <v>0/领料</v>
          </cell>
          <cell r="G3573" t="str">
            <v>05/钳工</v>
          </cell>
          <cell r="H3573" t="str">
            <v>10/数车15</v>
          </cell>
          <cell r="I3573" t="str">
            <v>15/数车10</v>
          </cell>
          <cell r="J3573" t="str">
            <v>20/数车20</v>
          </cell>
          <cell r="K3573" t="str">
            <v>25/线切割</v>
          </cell>
          <cell r="L3573" t="str">
            <v>30/钳工</v>
          </cell>
          <cell r="M3573" t="str">
            <v>35/清洁</v>
          </cell>
          <cell r="N3573" t="str">
            <v>40/成检</v>
          </cell>
        </row>
        <row r="3574">
          <cell r="B3574" t="str">
            <v>DD-J10-55014-3101</v>
          </cell>
          <cell r="D3574" t="str">
            <v>B</v>
          </cell>
          <cell r="E3574" t="str">
            <v>准备工时</v>
          </cell>
          <cell r="H3574">
            <v>120</v>
          </cell>
          <cell r="I3574">
            <v>120</v>
          </cell>
          <cell r="J3574">
            <v>120</v>
          </cell>
        </row>
        <row r="3575">
          <cell r="B3575" t="str">
            <v>DD-J10-55014-3101</v>
          </cell>
          <cell r="D3575" t="str">
            <v>B</v>
          </cell>
          <cell r="E3575" t="str">
            <v>程序时间</v>
          </cell>
          <cell r="G3575">
            <v>15</v>
          </cell>
          <cell r="H3575">
            <v>20</v>
          </cell>
          <cell r="I3575">
            <v>30</v>
          </cell>
          <cell r="J3575">
            <v>25</v>
          </cell>
          <cell r="L3575">
            <v>40</v>
          </cell>
        </row>
        <row r="3576">
          <cell r="B3576" t="str">
            <v>J7Ⅱ-4801-123</v>
          </cell>
          <cell r="D3576" t="str">
            <v>A</v>
          </cell>
          <cell r="E3576" t="str">
            <v>工序内容</v>
          </cell>
          <cell r="F3576" t="str">
            <v>0领料</v>
          </cell>
          <cell r="G3576" t="str">
            <v>5数车15</v>
          </cell>
          <cell r="H3576" t="str">
            <v>10数车5</v>
          </cell>
          <cell r="I3576" t="str">
            <v>15钳工</v>
          </cell>
          <cell r="J3576" t="str">
            <v>20热处理</v>
          </cell>
          <cell r="K3576" t="str">
            <v>25磨床</v>
          </cell>
          <cell r="L3576" t="str">
            <v>30钳工</v>
          </cell>
          <cell r="M3576" t="str">
            <v>35清洁</v>
          </cell>
          <cell r="N3576" t="str">
            <v>40成检</v>
          </cell>
        </row>
        <row r="3577">
          <cell r="B3577" t="str">
            <v>J7Ⅱ-4801-123</v>
          </cell>
          <cell r="D3577" t="str">
            <v>A</v>
          </cell>
          <cell r="E3577" t="str">
            <v>准备工时</v>
          </cell>
          <cell r="G3577">
            <v>90</v>
          </cell>
          <cell r="H3577">
            <v>60</v>
          </cell>
        </row>
        <row r="3578">
          <cell r="B3578" t="str">
            <v>J7Ⅱ-4801-123</v>
          </cell>
          <cell r="D3578" t="str">
            <v>A</v>
          </cell>
          <cell r="E3578" t="str">
            <v>程序时间</v>
          </cell>
          <cell r="G3578">
            <v>25</v>
          </cell>
          <cell r="H3578">
            <v>10</v>
          </cell>
          <cell r="I3578">
            <v>10</v>
          </cell>
          <cell r="L3578">
            <v>5</v>
          </cell>
        </row>
        <row r="3579">
          <cell r="B3579" t="str">
            <v>J7-0603-615</v>
          </cell>
          <cell r="D3579" t="str">
            <v>A</v>
          </cell>
          <cell r="E3579" t="str">
            <v>工序内容</v>
          </cell>
          <cell r="F3579" t="str">
            <v>0领料</v>
          </cell>
          <cell r="G3579" t="str">
            <v>5数车25</v>
          </cell>
          <cell r="H3579" t="str">
            <v>10数车10</v>
          </cell>
          <cell r="I3579" t="str">
            <v>15线切割</v>
          </cell>
          <cell r="J3579" t="str">
            <v>20钳工</v>
          </cell>
          <cell r="K3579" t="str">
            <v>25清洁</v>
          </cell>
          <cell r="L3579" t="str">
            <v>30成检</v>
          </cell>
        </row>
        <row r="3580">
          <cell r="B3580" t="str">
            <v>J7-0603-615</v>
          </cell>
          <cell r="D3580" t="str">
            <v>A</v>
          </cell>
          <cell r="E3580" t="str">
            <v>准备工时</v>
          </cell>
          <cell r="G3580">
            <v>120</v>
          </cell>
          <cell r="H3580">
            <v>90</v>
          </cell>
        </row>
        <row r="3581">
          <cell r="B3581" t="str">
            <v>J7-0603-615</v>
          </cell>
          <cell r="D3581" t="str">
            <v>A</v>
          </cell>
          <cell r="E3581" t="str">
            <v>程序时间</v>
          </cell>
          <cell r="G3581">
            <v>30</v>
          </cell>
          <cell r="H3581">
            <v>15</v>
          </cell>
          <cell r="J3581">
            <v>20</v>
          </cell>
        </row>
        <row r="3582">
          <cell r="B3582" t="str">
            <v>J10B-94076-811</v>
          </cell>
          <cell r="D3582" t="str">
            <v>D</v>
          </cell>
          <cell r="E3582" t="str">
            <v>工序内容</v>
          </cell>
          <cell r="F3582" t="str">
            <v>0/领料</v>
          </cell>
          <cell r="G3582" t="str">
            <v>5/数铣5</v>
          </cell>
          <cell r="H3582" t="str">
            <v>10/线切割</v>
          </cell>
          <cell r="I3582" t="str">
            <v>15/数铣40</v>
          </cell>
          <cell r="J3582" t="str">
            <v>20/钳工</v>
          </cell>
          <cell r="K3582" t="str">
            <v>25/分光</v>
          </cell>
          <cell r="L3582" t="str">
            <v>30/钳工</v>
          </cell>
          <cell r="M3582" t="str">
            <v>35/清洁</v>
          </cell>
          <cell r="N3582" t="str">
            <v>40/成检</v>
          </cell>
        </row>
        <row r="3583">
          <cell r="B3583" t="str">
            <v>J10B-94076-811</v>
          </cell>
          <cell r="D3583" t="str">
            <v>D</v>
          </cell>
          <cell r="E3583" t="str">
            <v>准备工时</v>
          </cell>
          <cell r="G3583" t="str">
            <v>60</v>
          </cell>
          <cell r="I3583" t="str">
            <v>60</v>
          </cell>
        </row>
        <row r="3584">
          <cell r="B3584" t="str">
            <v>J10B-94076-811</v>
          </cell>
          <cell r="D3584" t="str">
            <v>D</v>
          </cell>
          <cell r="E3584" t="str">
            <v>程序时间</v>
          </cell>
          <cell r="G3584" t="str">
            <v>10</v>
          </cell>
          <cell r="H3584" t="str">
            <v>30</v>
          </cell>
          <cell r="I3584" t="str">
            <v>60</v>
          </cell>
          <cell r="J3584" t="str">
            <v>30</v>
          </cell>
          <cell r="L3584">
            <v>5</v>
          </cell>
        </row>
        <row r="3585">
          <cell r="B3585" t="str">
            <v>C552103000-026L001</v>
          </cell>
          <cell r="D3585" t="str">
            <v>A</v>
          </cell>
          <cell r="E3585" t="str">
            <v>工序内容</v>
          </cell>
          <cell r="F3585" t="str">
            <v>0领料</v>
          </cell>
          <cell r="G3585" t="str">
            <v>5数铣</v>
          </cell>
          <cell r="H3585" t="str">
            <v>10数铣95</v>
          </cell>
          <cell r="I3585" t="str">
            <v>15数铣370</v>
          </cell>
          <cell r="J3585" t="str">
            <v>20五轴180</v>
          </cell>
          <cell r="K3585" t="str">
            <v>25数铣100</v>
          </cell>
          <cell r="L3585" t="str">
            <v>30数铣300</v>
          </cell>
          <cell r="M3585" t="str">
            <v>35测量</v>
          </cell>
          <cell r="N3585" t="str">
            <v>40钳工</v>
          </cell>
          <cell r="O3585" t="str">
            <v>45清洁</v>
          </cell>
          <cell r="P3585" t="str">
            <v>50成检</v>
          </cell>
        </row>
        <row r="3586">
          <cell r="B3586" t="str">
            <v>C552103000-026L001</v>
          </cell>
          <cell r="D3586" t="str">
            <v>A</v>
          </cell>
          <cell r="E3586" t="str">
            <v>准备工时</v>
          </cell>
          <cell r="G3586">
            <v>60</v>
          </cell>
          <cell r="H3586">
            <v>90</v>
          </cell>
          <cell r="I3586">
            <v>120</v>
          </cell>
          <cell r="J3586">
            <v>120</v>
          </cell>
          <cell r="K3586">
            <v>90</v>
          </cell>
          <cell r="L3586">
            <v>120</v>
          </cell>
        </row>
        <row r="3587">
          <cell r="B3587" t="str">
            <v>C552103000-026L001</v>
          </cell>
          <cell r="D3587" t="str">
            <v>A</v>
          </cell>
          <cell r="E3587" t="str">
            <v>装夹时间</v>
          </cell>
          <cell r="J3587">
            <v>60</v>
          </cell>
        </row>
        <row r="3588">
          <cell r="B3588" t="str">
            <v>C552103000-026L001</v>
          </cell>
          <cell r="D3588" t="str">
            <v>A</v>
          </cell>
          <cell r="E3588" t="str">
            <v>程序时间</v>
          </cell>
          <cell r="G3588">
            <v>150</v>
          </cell>
          <cell r="H3588">
            <v>150</v>
          </cell>
          <cell r="I3588">
            <v>510</v>
          </cell>
          <cell r="J3588">
            <v>600</v>
          </cell>
          <cell r="K3588">
            <v>210</v>
          </cell>
          <cell r="L3588">
            <v>450</v>
          </cell>
          <cell r="N3588">
            <v>100</v>
          </cell>
        </row>
        <row r="3589">
          <cell r="B3589" t="str">
            <v>C552103000-026R001</v>
          </cell>
          <cell r="D3589" t="str">
            <v>A</v>
          </cell>
          <cell r="E3589" t="str">
            <v>工序内容</v>
          </cell>
          <cell r="F3589" t="str">
            <v>0领料</v>
          </cell>
          <cell r="G3589" t="str">
            <v>5数铣</v>
          </cell>
          <cell r="H3589" t="str">
            <v>10数铣95</v>
          </cell>
          <cell r="I3589" t="str">
            <v>15数铣370</v>
          </cell>
          <cell r="J3589" t="str">
            <v>20五轴180</v>
          </cell>
          <cell r="K3589" t="str">
            <v>25数铣100</v>
          </cell>
          <cell r="L3589" t="str">
            <v>30数铣300</v>
          </cell>
          <cell r="M3589" t="str">
            <v>35测量</v>
          </cell>
          <cell r="N3589" t="str">
            <v>40钳工</v>
          </cell>
          <cell r="O3589" t="str">
            <v>45清洁</v>
          </cell>
          <cell r="P3589" t="str">
            <v>50成检</v>
          </cell>
        </row>
        <row r="3590">
          <cell r="B3590" t="str">
            <v>C552103000-026R001</v>
          </cell>
          <cell r="D3590" t="str">
            <v>A</v>
          </cell>
          <cell r="E3590" t="str">
            <v>准备工时</v>
          </cell>
          <cell r="G3590">
            <v>60</v>
          </cell>
          <cell r="H3590">
            <v>90</v>
          </cell>
          <cell r="I3590">
            <v>120</v>
          </cell>
          <cell r="J3590">
            <v>120</v>
          </cell>
          <cell r="K3590">
            <v>90</v>
          </cell>
          <cell r="L3590">
            <v>120</v>
          </cell>
        </row>
        <row r="3591">
          <cell r="B3591" t="str">
            <v>C552103000-026R001</v>
          </cell>
          <cell r="D3591" t="str">
            <v>A</v>
          </cell>
          <cell r="E3591" t="str">
            <v>装夹时间</v>
          </cell>
          <cell r="J3591">
            <v>60</v>
          </cell>
        </row>
        <row r="3592">
          <cell r="B3592" t="str">
            <v>C552103000-026R001</v>
          </cell>
          <cell r="D3592" t="str">
            <v>A</v>
          </cell>
          <cell r="E3592" t="str">
            <v>程序时间</v>
          </cell>
          <cell r="G3592">
            <v>150</v>
          </cell>
          <cell r="H3592">
            <v>150</v>
          </cell>
          <cell r="I3592">
            <v>510</v>
          </cell>
          <cell r="J3592">
            <v>600</v>
          </cell>
          <cell r="K3592">
            <v>210</v>
          </cell>
          <cell r="L3592">
            <v>450</v>
          </cell>
          <cell r="N3592">
            <v>100</v>
          </cell>
        </row>
        <row r="3593">
          <cell r="B3593" t="str">
            <v>C552103000-026L001</v>
          </cell>
          <cell r="D3593" t="str">
            <v>B</v>
          </cell>
          <cell r="E3593" t="str">
            <v>工序内容</v>
          </cell>
          <cell r="F3593" t="str">
            <v>0领料</v>
          </cell>
          <cell r="G3593" t="str">
            <v>05数铣</v>
          </cell>
          <cell r="H3593" t="str">
            <v>10数铣100</v>
          </cell>
          <cell r="I3593" t="str">
            <v>15数铣385</v>
          </cell>
          <cell r="J3593" t="str">
            <v>20五轴265</v>
          </cell>
          <cell r="K3593" t="str">
            <v>25数铣220</v>
          </cell>
          <cell r="L3593" t="str">
            <v>30数铣300</v>
          </cell>
          <cell r="M3593" t="str">
            <v>35测量</v>
          </cell>
          <cell r="N3593" t="str">
            <v>40钳工</v>
          </cell>
          <cell r="O3593" t="str">
            <v>45称重</v>
          </cell>
          <cell r="P3593" t="str">
            <v>50清洁</v>
          </cell>
          <cell r="Q3593" t="str">
            <v>55成检</v>
          </cell>
        </row>
        <row r="3594">
          <cell r="B3594" t="str">
            <v>C552103000-026L001</v>
          </cell>
          <cell r="D3594" t="str">
            <v>B</v>
          </cell>
          <cell r="E3594" t="str">
            <v>准备工时</v>
          </cell>
          <cell r="G3594">
            <v>60</v>
          </cell>
          <cell r="H3594">
            <v>90</v>
          </cell>
          <cell r="I3594">
            <v>120</v>
          </cell>
          <cell r="J3594">
            <v>120</v>
          </cell>
          <cell r="K3594">
            <v>60</v>
          </cell>
          <cell r="L3594">
            <v>120</v>
          </cell>
        </row>
        <row r="3595">
          <cell r="B3595" t="str">
            <v>C552103000-026L001</v>
          </cell>
          <cell r="D3595" t="str">
            <v>B</v>
          </cell>
          <cell r="E3595" t="str">
            <v>装夹时间</v>
          </cell>
          <cell r="J3595">
            <v>60</v>
          </cell>
        </row>
        <row r="3596">
          <cell r="B3596" t="str">
            <v>C552103000-026L001</v>
          </cell>
          <cell r="D3596" t="str">
            <v>B</v>
          </cell>
          <cell r="E3596" t="str">
            <v>程序时间</v>
          </cell>
          <cell r="G3596">
            <v>330</v>
          </cell>
          <cell r="H3596">
            <v>140</v>
          </cell>
          <cell r="I3596">
            <v>630</v>
          </cell>
          <cell r="J3596">
            <v>600</v>
          </cell>
          <cell r="K3596">
            <v>330</v>
          </cell>
          <cell r="L3596">
            <v>500</v>
          </cell>
          <cell r="N3596">
            <v>180</v>
          </cell>
          <cell r="O3596">
            <v>20</v>
          </cell>
        </row>
        <row r="3597">
          <cell r="B3597" t="str">
            <v>C552103000-026R001</v>
          </cell>
          <cell r="D3597" t="str">
            <v>B</v>
          </cell>
          <cell r="E3597" t="str">
            <v>工序内容</v>
          </cell>
          <cell r="F3597" t="str">
            <v>0领料</v>
          </cell>
          <cell r="G3597" t="str">
            <v>05数铣</v>
          </cell>
          <cell r="H3597" t="str">
            <v>10数铣100</v>
          </cell>
          <cell r="I3597" t="str">
            <v>15数铣385</v>
          </cell>
          <cell r="J3597" t="str">
            <v>20五轴265</v>
          </cell>
          <cell r="K3597" t="str">
            <v>25数铣220</v>
          </cell>
          <cell r="L3597" t="str">
            <v>30数铣300</v>
          </cell>
          <cell r="M3597" t="str">
            <v>35测量</v>
          </cell>
          <cell r="N3597" t="str">
            <v>40钳工</v>
          </cell>
          <cell r="O3597" t="str">
            <v>45称重</v>
          </cell>
          <cell r="P3597" t="str">
            <v>50清洁</v>
          </cell>
          <cell r="Q3597" t="str">
            <v>55成检</v>
          </cell>
        </row>
        <row r="3598">
          <cell r="B3598" t="str">
            <v>C552103000-026R001</v>
          </cell>
          <cell r="D3598" t="str">
            <v>B</v>
          </cell>
          <cell r="E3598" t="str">
            <v>准备工时</v>
          </cell>
          <cell r="G3598">
            <v>60</v>
          </cell>
          <cell r="H3598">
            <v>90</v>
          </cell>
          <cell r="I3598">
            <v>120</v>
          </cell>
          <cell r="J3598">
            <v>120</v>
          </cell>
          <cell r="K3598">
            <v>60</v>
          </cell>
          <cell r="L3598">
            <v>120</v>
          </cell>
        </row>
        <row r="3599">
          <cell r="B3599" t="str">
            <v>C552103000-026R001</v>
          </cell>
          <cell r="D3599" t="str">
            <v>B</v>
          </cell>
          <cell r="E3599" t="str">
            <v>装夹时间</v>
          </cell>
          <cell r="J3599">
            <v>60</v>
          </cell>
        </row>
        <row r="3600">
          <cell r="B3600" t="str">
            <v>C552103000-026R001</v>
          </cell>
          <cell r="D3600" t="str">
            <v>B</v>
          </cell>
          <cell r="E3600" t="str">
            <v>程序时间</v>
          </cell>
          <cell r="G3600">
            <v>330</v>
          </cell>
          <cell r="H3600">
            <v>140</v>
          </cell>
          <cell r="I3600">
            <v>630</v>
          </cell>
          <cell r="J3600">
            <v>600</v>
          </cell>
          <cell r="K3600">
            <v>330</v>
          </cell>
          <cell r="L3600">
            <v>500</v>
          </cell>
          <cell r="N3600">
            <v>180</v>
          </cell>
          <cell r="O3600">
            <v>20</v>
          </cell>
        </row>
        <row r="3601">
          <cell r="B3601" t="str">
            <v>BC3012410-002-001</v>
          </cell>
          <cell r="D3601" t="str">
            <v>D</v>
          </cell>
          <cell r="E3601" t="str">
            <v>工序内容</v>
          </cell>
          <cell r="F3601" t="str">
            <v>0/领料</v>
          </cell>
          <cell r="G3601" t="str">
            <v>5/下料</v>
          </cell>
          <cell r="H3601" t="str">
            <v>10/数铣</v>
          </cell>
          <cell r="I3601" t="str">
            <v>15/数铣12</v>
          </cell>
          <cell r="J3601" t="str">
            <v>20/数铣54</v>
          </cell>
          <cell r="K3601" t="str">
            <v>25/数铣35</v>
          </cell>
          <cell r="L3601" t="str">
            <v>30/数铣5</v>
          </cell>
          <cell r="M3601" t="str">
            <v>35/数铣5</v>
          </cell>
          <cell r="N3601" t="str">
            <v>40/数铣85</v>
          </cell>
          <cell r="O3601" t="str">
            <v>45/钳工</v>
          </cell>
          <cell r="P3601" t="str">
            <v>50/清洁</v>
          </cell>
          <cell r="Q3601" t="str">
            <v>55/检验</v>
          </cell>
          <cell r="R3601" t="str">
            <v>60/分光</v>
          </cell>
          <cell r="S3601" t="str">
            <v>65/硬检</v>
          </cell>
          <cell r="T3601" t="str">
            <v>70/清洗</v>
          </cell>
          <cell r="U3601" t="str">
            <v>75/渗透</v>
          </cell>
          <cell r="V3601" t="str">
            <v>80/表处</v>
          </cell>
          <cell r="W3601" t="str">
            <v>85/表处</v>
          </cell>
          <cell r="X3601" t="str">
            <v>90/标记</v>
          </cell>
          <cell r="Y3601" t="str">
            <v>95/成检</v>
          </cell>
        </row>
        <row r="3602">
          <cell r="B3602" t="str">
            <v>BC3012410-002-001</v>
          </cell>
          <cell r="D3602" t="str">
            <v>D</v>
          </cell>
          <cell r="E3602" t="str">
            <v>准备工时</v>
          </cell>
          <cell r="H3602">
            <v>60</v>
          </cell>
          <cell r="I3602">
            <v>60</v>
          </cell>
          <cell r="J3602">
            <v>90</v>
          </cell>
          <cell r="K3602">
            <v>60</v>
          </cell>
          <cell r="L3602">
            <v>60</v>
          </cell>
          <cell r="M3602">
            <v>60</v>
          </cell>
          <cell r="N3602">
            <v>90</v>
          </cell>
        </row>
        <row r="3603">
          <cell r="B3603" t="str">
            <v>BC3012410-002-001</v>
          </cell>
          <cell r="D3603" t="str">
            <v>D</v>
          </cell>
          <cell r="E3603" t="str">
            <v>程序时间</v>
          </cell>
          <cell r="G3603">
            <v>20</v>
          </cell>
          <cell r="H3603">
            <v>40</v>
          </cell>
          <cell r="I3603">
            <v>30</v>
          </cell>
          <cell r="J3603">
            <v>75</v>
          </cell>
          <cell r="K3603">
            <v>50</v>
          </cell>
          <cell r="L3603">
            <v>20</v>
          </cell>
          <cell r="M3603">
            <v>20</v>
          </cell>
          <cell r="N3603">
            <v>110</v>
          </cell>
          <cell r="O3603">
            <v>60</v>
          </cell>
        </row>
        <row r="3604">
          <cell r="B3604" t="str">
            <v>CB2297012-001-001</v>
          </cell>
          <cell r="D3604" t="str">
            <v>D</v>
          </cell>
          <cell r="E3604" t="str">
            <v>工序内容</v>
          </cell>
          <cell r="F3604" t="str">
            <v>0/领料</v>
          </cell>
          <cell r="G3604" t="str">
            <v>5/下料</v>
          </cell>
          <cell r="H3604" t="str">
            <v>10/数铣10</v>
          </cell>
          <cell r="I3604" t="str">
            <v>15/数铣10</v>
          </cell>
          <cell r="J3604" t="str">
            <v>20/数铣10</v>
          </cell>
          <cell r="K3604" t="str">
            <v>25/数铣20</v>
          </cell>
          <cell r="L3604" t="str">
            <v>30数铣30</v>
          </cell>
          <cell r="M3604" t="str">
            <v>35/线切割</v>
          </cell>
          <cell r="N3604" t="str">
            <v>40/数铣</v>
          </cell>
          <cell r="O3604" t="str">
            <v>45/钳工</v>
          </cell>
          <cell r="P3604" t="str">
            <v>50/测量</v>
          </cell>
          <cell r="Q3604" t="str">
            <v>55/铣试片</v>
          </cell>
          <cell r="R3604" t="str">
            <v>60/清洁</v>
          </cell>
          <cell r="S3604" t="str">
            <v>63/检验</v>
          </cell>
          <cell r="T3604" t="str">
            <v>65硬度</v>
          </cell>
          <cell r="U3604" t="str">
            <v>75/分光</v>
          </cell>
          <cell r="V3604" t="str">
            <v>80钳工</v>
          </cell>
          <cell r="W3604" t="str">
            <v>85/清洁</v>
          </cell>
          <cell r="X3604" t="str">
            <v>90/成检</v>
          </cell>
          <cell r="Y3604" t="str">
            <v>90/成检</v>
          </cell>
        </row>
        <row r="3605">
          <cell r="B3605" t="str">
            <v>CB2297012-001-001</v>
          </cell>
          <cell r="D3605" t="str">
            <v>D</v>
          </cell>
          <cell r="E3605" t="str">
            <v>准备工时</v>
          </cell>
          <cell r="H3605">
            <v>90</v>
          </cell>
          <cell r="I3605">
            <v>90</v>
          </cell>
          <cell r="J3605">
            <v>90</v>
          </cell>
          <cell r="K3605">
            <v>90</v>
          </cell>
          <cell r="L3605">
            <v>60</v>
          </cell>
          <cell r="N3605">
            <v>60</v>
          </cell>
        </row>
        <row r="3606">
          <cell r="B3606" t="str">
            <v>CB2297012-001-001</v>
          </cell>
          <cell r="D3606" t="str">
            <v>D</v>
          </cell>
          <cell r="E3606" t="str">
            <v>程序时间</v>
          </cell>
          <cell r="H3606">
            <v>20</v>
          </cell>
          <cell r="I3606">
            <v>20</v>
          </cell>
          <cell r="J3606">
            <v>40</v>
          </cell>
          <cell r="K3606">
            <v>45</v>
          </cell>
          <cell r="L3606">
            <v>50</v>
          </cell>
          <cell r="N3606">
            <v>20</v>
          </cell>
          <cell r="O3606">
            <v>40</v>
          </cell>
          <cell r="Q3606">
            <v>20</v>
          </cell>
          <cell r="V3606">
            <v>5</v>
          </cell>
        </row>
        <row r="3607">
          <cell r="B3607" t="str">
            <v>DD-J10-41173-141</v>
          </cell>
          <cell r="D3607" t="str">
            <v>J</v>
          </cell>
          <cell r="E3607" t="str">
            <v>工序内容</v>
          </cell>
          <cell r="F3607" t="str">
            <v>0/领料</v>
          </cell>
          <cell r="G3607" t="str">
            <v>5/数铣</v>
          </cell>
          <cell r="H3607" t="str">
            <v>10/数铣10</v>
          </cell>
          <cell r="I3607" t="str">
            <v>15/数铣20</v>
          </cell>
          <cell r="J3607" t="str">
            <v>20/数铣10</v>
          </cell>
          <cell r="K3607" t="str">
            <v>25/数铣20</v>
          </cell>
          <cell r="L3607" t="str">
            <v>30/检验</v>
          </cell>
          <cell r="M3607" t="str">
            <v>35/入厂复验</v>
          </cell>
          <cell r="N3607" t="str">
            <v>40/热处理</v>
          </cell>
          <cell r="O3607" t="str">
            <v>45/平磨</v>
          </cell>
          <cell r="P3607" t="str">
            <v>50/数铣15</v>
          </cell>
          <cell r="Q3607" t="str">
            <v>55/数铣5</v>
          </cell>
          <cell r="R3607" t="str">
            <v>60/数铣15</v>
          </cell>
          <cell r="S3607" t="str">
            <v>65/钳工</v>
          </cell>
          <cell r="T3607" t="str">
            <v>70/清洁</v>
          </cell>
          <cell r="U3607" t="str">
            <v>75/成检</v>
          </cell>
        </row>
        <row r="3608">
          <cell r="B3608" t="str">
            <v>DD-J10-41173-141</v>
          </cell>
          <cell r="D3608" t="str">
            <v>J</v>
          </cell>
          <cell r="E3608" t="str">
            <v>准备工时</v>
          </cell>
          <cell r="G3608">
            <v>60</v>
          </cell>
          <cell r="H3608">
            <v>60</v>
          </cell>
          <cell r="I3608">
            <v>120</v>
          </cell>
          <cell r="J3608">
            <v>90</v>
          </cell>
          <cell r="K3608">
            <v>90</v>
          </cell>
          <cell r="P3608">
            <v>120</v>
          </cell>
          <cell r="Q3608">
            <v>120</v>
          </cell>
          <cell r="R3608">
            <v>120</v>
          </cell>
        </row>
        <row r="3609">
          <cell r="B3609" t="str">
            <v>DD-J10-41173-141</v>
          </cell>
          <cell r="D3609" t="str">
            <v>J</v>
          </cell>
          <cell r="E3609" t="str">
            <v>程序时间</v>
          </cell>
          <cell r="G3609">
            <v>20</v>
          </cell>
          <cell r="H3609">
            <v>25</v>
          </cell>
          <cell r="I3609">
            <v>50</v>
          </cell>
          <cell r="J3609">
            <v>25</v>
          </cell>
          <cell r="K3609">
            <v>40</v>
          </cell>
          <cell r="P3609">
            <v>60</v>
          </cell>
          <cell r="Q3609">
            <v>30</v>
          </cell>
          <cell r="R3609">
            <v>20</v>
          </cell>
          <cell r="S3609">
            <v>30</v>
          </cell>
        </row>
        <row r="3610">
          <cell r="B3610" t="str">
            <v>DD-J10-41173-147</v>
          </cell>
          <cell r="D3610" t="str">
            <v>H</v>
          </cell>
          <cell r="E3610" t="str">
            <v>工序内容</v>
          </cell>
          <cell r="F3610" t="str">
            <v>0/领料</v>
          </cell>
          <cell r="G3610" t="str">
            <v>5/数铣</v>
          </cell>
          <cell r="H3610" t="str">
            <v>10/数铣</v>
          </cell>
          <cell r="I3610" t="str">
            <v>15/数铣25</v>
          </cell>
          <cell r="J3610" t="str">
            <v>20/数铣55</v>
          </cell>
          <cell r="K3610" t="str">
            <v>25/数铣35</v>
          </cell>
          <cell r="L3610" t="str">
            <v>30/数铣42</v>
          </cell>
          <cell r="M3610" t="str">
            <v>35/热处理</v>
          </cell>
          <cell r="N3610" t="str">
            <v>40/平磨</v>
          </cell>
          <cell r="O3610" t="str">
            <v>45/数铣30</v>
          </cell>
          <cell r="P3610" t="str">
            <v>50/数铣30</v>
          </cell>
          <cell r="Q3610" t="str">
            <v>55/钳工</v>
          </cell>
          <cell r="R3610" t="str">
            <v>60/清洁</v>
          </cell>
          <cell r="S3610" t="str">
            <v>65/成检</v>
          </cell>
        </row>
        <row r="3611">
          <cell r="B3611" t="str">
            <v>DD-J10-41173-147</v>
          </cell>
          <cell r="D3611" t="str">
            <v>H</v>
          </cell>
          <cell r="E3611" t="str">
            <v>准备工时</v>
          </cell>
          <cell r="G3611">
            <v>90</v>
          </cell>
          <cell r="H3611">
            <v>90</v>
          </cell>
          <cell r="I3611">
            <v>120</v>
          </cell>
          <cell r="J3611">
            <v>100</v>
          </cell>
          <cell r="K3611">
            <v>90</v>
          </cell>
          <cell r="L3611" t="str">
            <v>120</v>
          </cell>
          <cell r="O3611">
            <v>120</v>
          </cell>
          <cell r="P3611">
            <v>120</v>
          </cell>
        </row>
        <row r="3612">
          <cell r="B3612" t="str">
            <v>DD-J10-41173-147</v>
          </cell>
          <cell r="D3612" t="str">
            <v>H</v>
          </cell>
          <cell r="E3612" t="str">
            <v>程序时间</v>
          </cell>
          <cell r="G3612">
            <v>50</v>
          </cell>
          <cell r="H3612">
            <v>30</v>
          </cell>
          <cell r="I3612">
            <v>30</v>
          </cell>
          <cell r="J3612">
            <v>100</v>
          </cell>
          <cell r="K3612">
            <v>50</v>
          </cell>
          <cell r="L3612" t="str">
            <v>60</v>
          </cell>
          <cell r="O3612">
            <v>60</v>
          </cell>
          <cell r="P3612">
            <v>30</v>
          </cell>
          <cell r="Q3612">
            <v>30</v>
          </cell>
        </row>
        <row r="3613">
          <cell r="B3613" t="str">
            <v>DD-J10-67096-50-1</v>
          </cell>
          <cell r="D3613" t="str">
            <v>F</v>
          </cell>
          <cell r="E3613" t="str">
            <v>工序内容</v>
          </cell>
          <cell r="F3613" t="str">
            <v>0/领料</v>
          </cell>
          <cell r="G3613" t="str">
            <v>5/下料</v>
          </cell>
          <cell r="H3613" t="str">
            <v>10/数铣</v>
          </cell>
          <cell r="I3613" t="str">
            <v>15/数铣5</v>
          </cell>
          <cell r="J3613" t="str">
            <v>20/数铣3</v>
          </cell>
          <cell r="K3613" t="str">
            <v>25/钳工</v>
          </cell>
          <cell r="L3613" t="str">
            <v>30/分光</v>
          </cell>
          <cell r="M3613" t="str">
            <v>35/复验</v>
          </cell>
          <cell r="N3613" t="str">
            <v>40/钳工</v>
          </cell>
        </row>
        <row r="3614">
          <cell r="B3614" t="str">
            <v>DD-J10-67096-50-1</v>
          </cell>
          <cell r="D3614" t="str">
            <v>F</v>
          </cell>
          <cell r="E3614" t="str">
            <v>准备工时</v>
          </cell>
          <cell r="H3614">
            <v>60</v>
          </cell>
          <cell r="I3614">
            <v>90</v>
          </cell>
          <cell r="J3614">
            <v>90</v>
          </cell>
        </row>
        <row r="3615">
          <cell r="B3615" t="str">
            <v>DD-J10-67096-50-1</v>
          </cell>
          <cell r="D3615" t="str">
            <v>F</v>
          </cell>
          <cell r="E3615" t="str">
            <v>程序时间</v>
          </cell>
          <cell r="G3615">
            <v>20</v>
          </cell>
          <cell r="H3615">
            <v>30</v>
          </cell>
          <cell r="I3615">
            <v>25</v>
          </cell>
          <cell r="J3615">
            <v>20</v>
          </cell>
          <cell r="K3615">
            <v>20</v>
          </cell>
          <cell r="N3615" t="str">
            <v>10</v>
          </cell>
        </row>
        <row r="3616">
          <cell r="B3616" t="str">
            <v>DD-J10B-65000-1810G2-1</v>
          </cell>
          <cell r="D3616" t="str">
            <v>F</v>
          </cell>
          <cell r="E3616" t="str">
            <v>工序内容</v>
          </cell>
          <cell r="F3616" t="str">
            <v>0/领料</v>
          </cell>
          <cell r="G3616" t="str">
            <v>5/数铣</v>
          </cell>
          <cell r="H3616" t="str">
            <v>10/数铣40</v>
          </cell>
          <cell r="I3616" t="str">
            <v>15/数铣160</v>
          </cell>
          <cell r="J3616" t="str">
            <v>20/钳工</v>
          </cell>
          <cell r="K3616" t="str">
            <v>25/清洁</v>
          </cell>
          <cell r="L3616" t="str">
            <v>30/硬度</v>
          </cell>
          <cell r="M3616" t="str">
            <v>35/分光</v>
          </cell>
          <cell r="N3616" t="str">
            <v>40/检验</v>
          </cell>
          <cell r="O3616" t="str">
            <v>45/钳工</v>
          </cell>
          <cell r="P3616" t="str">
            <v>50/清洁</v>
          </cell>
          <cell r="Q3616" t="str">
            <v>55/成检</v>
          </cell>
        </row>
        <row r="3617">
          <cell r="B3617" t="str">
            <v>DD-J10B-65000-1810G2-1</v>
          </cell>
          <cell r="D3617" t="str">
            <v>F</v>
          </cell>
          <cell r="E3617" t="str">
            <v>准备工时</v>
          </cell>
          <cell r="G3617">
            <v>60</v>
          </cell>
          <cell r="H3617">
            <v>180</v>
          </cell>
          <cell r="I3617">
            <v>180</v>
          </cell>
        </row>
        <row r="3618">
          <cell r="B3618" t="str">
            <v>DD-J10B-65000-1810G2-1</v>
          </cell>
          <cell r="D3618" t="str">
            <v>F</v>
          </cell>
          <cell r="E3618" t="str">
            <v>程序时间</v>
          </cell>
          <cell r="G3618">
            <v>45</v>
          </cell>
          <cell r="H3618">
            <v>80</v>
          </cell>
          <cell r="I3618">
            <v>300</v>
          </cell>
          <cell r="J3618">
            <v>90</v>
          </cell>
          <cell r="O3618" t="str">
            <v>5</v>
          </cell>
        </row>
        <row r="3619">
          <cell r="B3619" t="str">
            <v>DD-J10-41153-140-1</v>
          </cell>
          <cell r="D3619" t="str">
            <v>H</v>
          </cell>
          <cell r="E3619" t="str">
            <v>工序内容</v>
          </cell>
          <cell r="F3619" t="str">
            <v>0/领料</v>
          </cell>
          <cell r="G3619" t="str">
            <v>5/数铣</v>
          </cell>
          <cell r="H3619" t="str">
            <v>10/数铣</v>
          </cell>
          <cell r="I3619" t="str">
            <v>15/数铣12</v>
          </cell>
          <cell r="J3619" t="str">
            <v>20/数铣5</v>
          </cell>
          <cell r="K3619" t="str">
            <v>25/数铣120</v>
          </cell>
          <cell r="L3619" t="str">
            <v>30/数铣25</v>
          </cell>
          <cell r="M3619" t="str">
            <v>35/数铣60</v>
          </cell>
          <cell r="N3619" t="str">
            <v>40/钳工</v>
          </cell>
          <cell r="O3619" t="str">
            <v>45/清洁</v>
          </cell>
          <cell r="P3619" t="str">
            <v>50/成检</v>
          </cell>
        </row>
        <row r="3620">
          <cell r="B3620" t="str">
            <v>DD-J10-41153-140-1</v>
          </cell>
          <cell r="D3620" t="str">
            <v>H</v>
          </cell>
          <cell r="E3620" t="str">
            <v>准备工时</v>
          </cell>
          <cell r="G3620">
            <v>60</v>
          </cell>
          <cell r="H3620">
            <v>120</v>
          </cell>
          <cell r="I3620">
            <v>120</v>
          </cell>
          <cell r="J3620">
            <v>120</v>
          </cell>
          <cell r="K3620">
            <v>240</v>
          </cell>
          <cell r="L3620">
            <v>180</v>
          </cell>
          <cell r="M3620" t="str">
            <v>180</v>
          </cell>
        </row>
        <row r="3621">
          <cell r="B3621" t="str">
            <v>DD-J10-41153-140-1</v>
          </cell>
          <cell r="D3621" t="str">
            <v>H</v>
          </cell>
          <cell r="E3621" t="str">
            <v>程序时间</v>
          </cell>
          <cell r="G3621">
            <v>20</v>
          </cell>
          <cell r="H3621">
            <v>20</v>
          </cell>
          <cell r="I3621">
            <v>30</v>
          </cell>
          <cell r="J3621">
            <v>30</v>
          </cell>
          <cell r="K3621">
            <v>180</v>
          </cell>
          <cell r="L3621">
            <v>60</v>
          </cell>
          <cell r="M3621" t="str">
            <v>120</v>
          </cell>
          <cell r="N3621" t="str">
            <v>30</v>
          </cell>
        </row>
        <row r="3622">
          <cell r="B3622" t="str">
            <v>BC5337100-108L/R001</v>
          </cell>
          <cell r="D3622" t="str">
            <v>B</v>
          </cell>
          <cell r="E3622" t="str">
            <v>工序内容</v>
          </cell>
          <cell r="F3622" t="str">
            <v>0/领料</v>
          </cell>
          <cell r="G3622" t="str">
            <v>5/数铣</v>
          </cell>
          <cell r="H3622" t="str">
            <v>10/超探</v>
          </cell>
          <cell r="I3622" t="str">
            <v>15/数铣</v>
          </cell>
          <cell r="J3622" t="str">
            <v>20/数铣30</v>
          </cell>
          <cell r="K3622" t="str">
            <v>25/数铣210</v>
          </cell>
          <cell r="L3622" t="str">
            <v>30/数铣10</v>
          </cell>
          <cell r="M3622" t="str">
            <v>35/数铣165</v>
          </cell>
          <cell r="N3622" t="str">
            <v>40/测量</v>
          </cell>
          <cell r="O3622" t="str">
            <v>45/钳工</v>
          </cell>
          <cell r="P3622" t="str">
            <v>50/清洁</v>
          </cell>
          <cell r="Q3622" t="str">
            <v>55/成检</v>
          </cell>
        </row>
        <row r="3623">
          <cell r="B3623" t="str">
            <v>BC5337100-108L/R001</v>
          </cell>
          <cell r="D3623" t="str">
            <v>B</v>
          </cell>
          <cell r="E3623" t="str">
            <v>准备工时</v>
          </cell>
          <cell r="G3623" t="str">
            <v>60</v>
          </cell>
          <cell r="I3623">
            <v>60</v>
          </cell>
          <cell r="J3623">
            <v>60</v>
          </cell>
          <cell r="K3623">
            <v>90</v>
          </cell>
          <cell r="L3623">
            <v>60</v>
          </cell>
          <cell r="M3623">
            <v>60</v>
          </cell>
        </row>
        <row r="3624">
          <cell r="B3624" t="str">
            <v>BC5337100-108L/R001</v>
          </cell>
          <cell r="D3624" t="str">
            <v>B</v>
          </cell>
          <cell r="E3624" t="str">
            <v>装夹时间</v>
          </cell>
          <cell r="L3624">
            <v>60</v>
          </cell>
        </row>
        <row r="3625">
          <cell r="B3625" t="str">
            <v>BC5337100-108L/R001</v>
          </cell>
          <cell r="D3625" t="str">
            <v>B</v>
          </cell>
          <cell r="E3625" t="str">
            <v>程序时间</v>
          </cell>
          <cell r="G3625" t="str">
            <v>650</v>
          </cell>
          <cell r="I3625">
            <v>360</v>
          </cell>
          <cell r="J3625">
            <v>100</v>
          </cell>
          <cell r="K3625">
            <v>450</v>
          </cell>
          <cell r="L3625">
            <v>30</v>
          </cell>
          <cell r="M3625">
            <v>400</v>
          </cell>
          <cell r="O3625">
            <v>120</v>
          </cell>
        </row>
        <row r="3626">
          <cell r="B3626" t="str">
            <v>DD-J10B-94061-401</v>
          </cell>
          <cell r="D3626" t="str">
            <v>F</v>
          </cell>
          <cell r="E3626" t="str">
            <v>工序内容</v>
          </cell>
          <cell r="F3626" t="str">
            <v>0/领料</v>
          </cell>
          <cell r="G3626" t="str">
            <v>5/下料</v>
          </cell>
          <cell r="H3626" t="str">
            <v>10/数铣</v>
          </cell>
          <cell r="I3626" t="str">
            <v>15/数铣25</v>
          </cell>
          <cell r="J3626" t="str">
            <v>20/数铣200</v>
          </cell>
          <cell r="K3626" t="str">
            <v>25/钳工</v>
          </cell>
          <cell r="L3626" t="str">
            <v>30/数铣2</v>
          </cell>
          <cell r="M3626" t="str">
            <v>35/钳工</v>
          </cell>
          <cell r="N3626" t="str">
            <v>40/清洁</v>
          </cell>
          <cell r="O3626" t="str">
            <v>45/检验</v>
          </cell>
          <cell r="P3626" t="str">
            <v>50/复验</v>
          </cell>
          <cell r="Q3626" t="str">
            <v>55/分光</v>
          </cell>
          <cell r="R3626" t="str">
            <v>60/钳工</v>
          </cell>
          <cell r="S3626" t="str">
            <v>65/清洁</v>
          </cell>
          <cell r="T3626" t="str">
            <v>70/成检</v>
          </cell>
        </row>
        <row r="3627">
          <cell r="B3627" t="str">
            <v>DD-J10B-94061-401</v>
          </cell>
          <cell r="D3627" t="str">
            <v>F</v>
          </cell>
          <cell r="E3627" t="str">
            <v>准备工时</v>
          </cell>
          <cell r="H3627">
            <v>60</v>
          </cell>
          <cell r="I3627">
            <v>60</v>
          </cell>
          <cell r="J3627">
            <v>60</v>
          </cell>
          <cell r="L3627">
            <v>60</v>
          </cell>
        </row>
        <row r="3628">
          <cell r="B3628" t="str">
            <v>DD-J10B-94061-401</v>
          </cell>
          <cell r="D3628" t="str">
            <v>F</v>
          </cell>
          <cell r="E3628" t="str">
            <v>程序时间</v>
          </cell>
          <cell r="H3628">
            <v>60</v>
          </cell>
          <cell r="I3628">
            <v>40</v>
          </cell>
          <cell r="J3628">
            <v>360</v>
          </cell>
          <cell r="K3628">
            <v>90</v>
          </cell>
          <cell r="L3628">
            <v>30</v>
          </cell>
          <cell r="M3628" t="str">
            <v>30</v>
          </cell>
          <cell r="R3628">
            <v>5</v>
          </cell>
        </row>
        <row r="3629">
          <cell r="B3629" t="str">
            <v>531A5100-124-501/502</v>
          </cell>
          <cell r="D3629" t="str">
            <v>B</v>
          </cell>
          <cell r="E3629" t="str">
            <v>工序内容</v>
          </cell>
          <cell r="F3629" t="str">
            <v>0/领料</v>
          </cell>
          <cell r="G3629" t="str">
            <v>05/数铣</v>
          </cell>
          <cell r="H3629" t="str">
            <v>10/数铣20</v>
          </cell>
          <cell r="I3629" t="str">
            <v>15/数铣190</v>
          </cell>
          <cell r="J3629" t="str">
            <v>20/数铣240</v>
          </cell>
          <cell r="K3629" t="str">
            <v>25/自然失效</v>
          </cell>
          <cell r="L3629" t="str">
            <v>30/数铣</v>
          </cell>
          <cell r="M3629" t="str">
            <v>35/数铣180</v>
          </cell>
          <cell r="N3629" t="str">
            <v>40/数铣420</v>
          </cell>
          <cell r="O3629" t="str">
            <v>45/数铣110</v>
          </cell>
          <cell r="P3629" t="str">
            <v>50/测量</v>
          </cell>
          <cell r="Q3629" t="str">
            <v>55/钳工</v>
          </cell>
          <cell r="R3629" t="str">
            <v>60/清洁</v>
          </cell>
          <cell r="S3629" t="str">
            <v>65/成检</v>
          </cell>
        </row>
        <row r="3630">
          <cell r="B3630" t="str">
            <v>531A5100-124-501/502</v>
          </cell>
          <cell r="D3630" t="str">
            <v>B</v>
          </cell>
          <cell r="E3630" t="str">
            <v>准备工时</v>
          </cell>
          <cell r="G3630">
            <v>60</v>
          </cell>
          <cell r="H3630">
            <v>60</v>
          </cell>
          <cell r="I3630">
            <v>60</v>
          </cell>
          <cell r="J3630">
            <v>60</v>
          </cell>
          <cell r="L3630">
            <v>60</v>
          </cell>
          <cell r="M3630">
            <v>120</v>
          </cell>
          <cell r="N3630">
            <v>60</v>
          </cell>
          <cell r="O3630">
            <v>90</v>
          </cell>
        </row>
        <row r="3631">
          <cell r="B3631" t="str">
            <v>531A5100-124-501/502</v>
          </cell>
          <cell r="D3631" t="str">
            <v>B</v>
          </cell>
          <cell r="E3631" t="str">
            <v>装夹时间</v>
          </cell>
          <cell r="G3631">
            <v>30</v>
          </cell>
          <cell r="H3631">
            <v>30</v>
          </cell>
          <cell r="I3631">
            <v>60</v>
          </cell>
          <cell r="J3631">
            <v>30</v>
          </cell>
          <cell r="L3631">
            <v>30</v>
          </cell>
          <cell r="M3631">
            <v>30</v>
          </cell>
          <cell r="N3631">
            <v>30</v>
          </cell>
          <cell r="O3631">
            <v>60</v>
          </cell>
        </row>
        <row r="3632">
          <cell r="B3632" t="str">
            <v>531A5100-124-501/502</v>
          </cell>
          <cell r="D3632" t="str">
            <v>B</v>
          </cell>
          <cell r="E3632" t="str">
            <v>程序时间</v>
          </cell>
          <cell r="G3632">
            <v>120</v>
          </cell>
          <cell r="H3632">
            <v>50</v>
          </cell>
          <cell r="I3632">
            <v>250</v>
          </cell>
          <cell r="J3632">
            <v>290</v>
          </cell>
          <cell r="L3632">
            <v>120</v>
          </cell>
          <cell r="M3632">
            <v>250</v>
          </cell>
          <cell r="N3632">
            <v>550</v>
          </cell>
          <cell r="O3632">
            <v>440</v>
          </cell>
          <cell r="Q3632">
            <v>300</v>
          </cell>
        </row>
        <row r="3633">
          <cell r="B3633" t="str">
            <v>531A5100-124-501</v>
          </cell>
          <cell r="D3633" t="str">
            <v>B</v>
          </cell>
          <cell r="E3633" t="str">
            <v>工序内容</v>
          </cell>
          <cell r="F3633" t="str">
            <v>0/领料</v>
          </cell>
          <cell r="G3633" t="str">
            <v>05/数铣</v>
          </cell>
          <cell r="H3633" t="str">
            <v>10/数铣20</v>
          </cell>
          <cell r="I3633" t="str">
            <v>15/数铣190</v>
          </cell>
          <cell r="J3633" t="str">
            <v>20/数铣240</v>
          </cell>
          <cell r="K3633" t="str">
            <v>25/自然失效</v>
          </cell>
          <cell r="L3633" t="str">
            <v>30/数铣</v>
          </cell>
          <cell r="M3633" t="str">
            <v>35/数铣180</v>
          </cell>
          <cell r="N3633" t="str">
            <v>40/数铣420</v>
          </cell>
          <cell r="O3633" t="str">
            <v>45/数铣110</v>
          </cell>
          <cell r="P3633" t="str">
            <v>50/测量</v>
          </cell>
          <cell r="Q3633" t="str">
            <v>55/钳工</v>
          </cell>
          <cell r="R3633" t="str">
            <v>60/清洁</v>
          </cell>
          <cell r="S3633" t="str">
            <v>65/成检</v>
          </cell>
        </row>
        <row r="3634">
          <cell r="B3634" t="str">
            <v>531A5100-124-501</v>
          </cell>
          <cell r="D3634" t="str">
            <v>B</v>
          </cell>
          <cell r="E3634" t="str">
            <v>准备工时</v>
          </cell>
        </row>
        <row r="3635">
          <cell r="B3635" t="str">
            <v>531A5100-124-501</v>
          </cell>
          <cell r="D3635" t="str">
            <v>B</v>
          </cell>
          <cell r="E3635" t="str">
            <v>装夹时间</v>
          </cell>
        </row>
        <row r="3636">
          <cell r="B3636" t="str">
            <v>531A5100-124-501</v>
          </cell>
          <cell r="D3636" t="str">
            <v>B</v>
          </cell>
          <cell r="E3636" t="str">
            <v>程序时间</v>
          </cell>
          <cell r="Q3636">
            <v>300</v>
          </cell>
        </row>
        <row r="3637">
          <cell r="B3637" t="str">
            <v>531A5100-124-502</v>
          </cell>
          <cell r="D3637" t="str">
            <v>B</v>
          </cell>
          <cell r="E3637" t="str">
            <v>工序内容</v>
          </cell>
          <cell r="F3637" t="str">
            <v>0/领料</v>
          </cell>
          <cell r="G3637" t="str">
            <v>05/数铣</v>
          </cell>
          <cell r="H3637" t="str">
            <v>10/数铣20</v>
          </cell>
          <cell r="I3637" t="str">
            <v>15/数铣190</v>
          </cell>
          <cell r="J3637" t="str">
            <v>20/数铣240</v>
          </cell>
          <cell r="K3637" t="str">
            <v>25/自然失效</v>
          </cell>
          <cell r="L3637" t="str">
            <v>30/数铣</v>
          </cell>
          <cell r="M3637" t="str">
            <v>35/数铣180</v>
          </cell>
          <cell r="N3637" t="str">
            <v>40/数铣420</v>
          </cell>
          <cell r="O3637" t="str">
            <v>45/数铣110</v>
          </cell>
          <cell r="P3637" t="str">
            <v>50/测量</v>
          </cell>
          <cell r="Q3637" t="str">
            <v>55/钳工</v>
          </cell>
          <cell r="R3637" t="str">
            <v>60/清洁</v>
          </cell>
          <cell r="S3637" t="str">
            <v>65/成检</v>
          </cell>
        </row>
        <row r="3638">
          <cell r="B3638" t="str">
            <v>531A5100-124-502</v>
          </cell>
          <cell r="D3638" t="str">
            <v>B</v>
          </cell>
          <cell r="E3638" t="str">
            <v>准备工时</v>
          </cell>
        </row>
        <row r="3639">
          <cell r="B3639" t="str">
            <v>531A5100-124-502</v>
          </cell>
          <cell r="D3639" t="str">
            <v>B</v>
          </cell>
          <cell r="E3639" t="str">
            <v>装夹时间</v>
          </cell>
        </row>
        <row r="3640">
          <cell r="B3640" t="str">
            <v>531A5100-124-502</v>
          </cell>
          <cell r="D3640" t="str">
            <v>B</v>
          </cell>
          <cell r="E3640" t="str">
            <v>程序时间</v>
          </cell>
          <cell r="Q3640">
            <v>300</v>
          </cell>
        </row>
        <row r="3641">
          <cell r="B3641" t="str">
            <v>DD-J10B-42074-140-1</v>
          </cell>
          <cell r="D3641" t="str">
            <v>C</v>
          </cell>
          <cell r="E3641" t="str">
            <v>工序内容</v>
          </cell>
          <cell r="F3641" t="str">
            <v>0/领料</v>
          </cell>
          <cell r="G3641" t="str">
            <v>5/下料</v>
          </cell>
          <cell r="H3641" t="str">
            <v>10/数车30</v>
          </cell>
          <cell r="I3641" t="str">
            <v>15/数车20</v>
          </cell>
          <cell r="J3641" t="str">
            <v>20/数铣20</v>
          </cell>
          <cell r="K3641" t="str">
            <v>25数铣25</v>
          </cell>
          <cell r="L3641" t="str">
            <v>30/钳工</v>
          </cell>
          <cell r="M3641" t="str">
            <v>35/清洁</v>
          </cell>
          <cell r="N3641" t="str">
            <v>40/成检</v>
          </cell>
        </row>
        <row r="3642">
          <cell r="B3642" t="str">
            <v>DD-J10B-42074-140-1</v>
          </cell>
          <cell r="D3642" t="str">
            <v>C</v>
          </cell>
          <cell r="E3642" t="str">
            <v>准备工时</v>
          </cell>
          <cell r="H3642">
            <v>90</v>
          </cell>
          <cell r="I3642" t="str">
            <v>60</v>
          </cell>
          <cell r="J3642" t="str">
            <v>90</v>
          </cell>
          <cell r="K3642" t="str">
            <v>60</v>
          </cell>
        </row>
        <row r="3643">
          <cell r="B3643" t="str">
            <v>DD-J10B-42074-140-1</v>
          </cell>
          <cell r="D3643" t="str">
            <v>C</v>
          </cell>
          <cell r="E3643" t="str">
            <v>程序时间</v>
          </cell>
          <cell r="G3643" t="str">
            <v>20</v>
          </cell>
          <cell r="H3643" t="str">
            <v>45</v>
          </cell>
          <cell r="I3643" t="str">
            <v>30</v>
          </cell>
          <cell r="J3643" t="str">
            <v>30</v>
          </cell>
          <cell r="K3643" t="str">
            <v>30</v>
          </cell>
          <cell r="L3643" t="str">
            <v>30</v>
          </cell>
        </row>
        <row r="3644">
          <cell r="B3644" t="str">
            <v>BC552B300-002-001</v>
          </cell>
          <cell r="D3644" t="str">
            <v>B</v>
          </cell>
          <cell r="E3644" t="str">
            <v>工序内容</v>
          </cell>
          <cell r="F3644" t="str">
            <v>0/领料</v>
          </cell>
          <cell r="G3644" t="str">
            <v>5/下料</v>
          </cell>
          <cell r="H3644" t="str">
            <v>10/数铣</v>
          </cell>
          <cell r="I3644" t="str">
            <v>15/数铣15</v>
          </cell>
          <cell r="J3644" t="str">
            <v>20/数铣10</v>
          </cell>
          <cell r="K3644" t="str">
            <v>25/数铣5</v>
          </cell>
          <cell r="L3644" t="str">
            <v>30/数铣75</v>
          </cell>
          <cell r="M3644" t="str">
            <v>35/测量</v>
          </cell>
          <cell r="N3644" t="str">
            <v>40/钳工</v>
          </cell>
          <cell r="O3644" t="str">
            <v>45/数铣</v>
          </cell>
          <cell r="P3644" t="str">
            <v>50/清洁</v>
          </cell>
          <cell r="Q3644" t="str">
            <v>55/成检</v>
          </cell>
        </row>
        <row r="3645">
          <cell r="B3645" t="str">
            <v>BC552B300-002-001</v>
          </cell>
          <cell r="D3645" t="str">
            <v>B</v>
          </cell>
          <cell r="E3645" t="str">
            <v>准备工时</v>
          </cell>
          <cell r="H3645">
            <v>60</v>
          </cell>
          <cell r="I3645">
            <v>60</v>
          </cell>
          <cell r="J3645">
            <v>60</v>
          </cell>
          <cell r="K3645">
            <v>90</v>
          </cell>
          <cell r="L3645">
            <v>90</v>
          </cell>
        </row>
        <row r="3646">
          <cell r="B3646" t="str">
            <v>BC552B300-002-001</v>
          </cell>
          <cell r="D3646" t="str">
            <v>B</v>
          </cell>
          <cell r="E3646" t="str">
            <v>装夹时间</v>
          </cell>
        </row>
        <row r="3647">
          <cell r="B3647" t="str">
            <v>BC552B300-002-001</v>
          </cell>
          <cell r="D3647" t="str">
            <v>B</v>
          </cell>
          <cell r="E3647" t="str">
            <v>程序时间</v>
          </cell>
          <cell r="H3647">
            <v>60</v>
          </cell>
          <cell r="I3647">
            <v>40</v>
          </cell>
          <cell r="J3647">
            <v>30</v>
          </cell>
          <cell r="K3647">
            <v>15</v>
          </cell>
          <cell r="L3647">
            <v>100</v>
          </cell>
          <cell r="N3647">
            <v>50</v>
          </cell>
          <cell r="O3647">
            <v>20</v>
          </cell>
        </row>
        <row r="3648">
          <cell r="B3648" t="str">
            <v>DD-J10B-65000-1820G2-1</v>
          </cell>
          <cell r="D3648" t="str">
            <v>F</v>
          </cell>
          <cell r="E3648" t="str">
            <v>工序内容</v>
          </cell>
          <cell r="F3648" t="str">
            <v>0/领料</v>
          </cell>
          <cell r="G3648" t="str">
            <v>5/数铣</v>
          </cell>
          <cell r="H3648" t="str">
            <v>10/数铣15</v>
          </cell>
          <cell r="I3648" t="str">
            <v>15/数铣120</v>
          </cell>
          <cell r="J3648" t="str">
            <v>20/数铣120</v>
          </cell>
          <cell r="K3648" t="str">
            <v>25/数铣8</v>
          </cell>
          <cell r="L3648" t="str">
            <v>30/数铣8</v>
          </cell>
          <cell r="M3648" t="str">
            <v>35/数铣25</v>
          </cell>
          <cell r="N3648" t="str">
            <v>40/钳工</v>
          </cell>
          <cell r="O3648" t="str">
            <v>45/清洁</v>
          </cell>
          <cell r="P3648" t="str">
            <v>50/检验</v>
          </cell>
          <cell r="Q3648" t="str">
            <v>55/复验</v>
          </cell>
          <cell r="R3648" t="str">
            <v>60/分光</v>
          </cell>
          <cell r="S3648" t="str">
            <v>65/硬检</v>
          </cell>
          <cell r="T3648" t="str">
            <v>70/钳工</v>
          </cell>
          <cell r="U3648" t="str">
            <v>75/清洁</v>
          </cell>
          <cell r="V3648" t="str">
            <v>80/成检</v>
          </cell>
        </row>
        <row r="3649">
          <cell r="B3649" t="str">
            <v>DD-J10B-65000-1820G2-1</v>
          </cell>
          <cell r="D3649" t="str">
            <v>F</v>
          </cell>
          <cell r="E3649" t="str">
            <v>准备工时</v>
          </cell>
          <cell r="G3649">
            <v>60</v>
          </cell>
          <cell r="H3649">
            <v>90</v>
          </cell>
          <cell r="I3649">
            <v>120</v>
          </cell>
          <cell r="J3649">
            <v>90</v>
          </cell>
          <cell r="K3649">
            <v>90</v>
          </cell>
          <cell r="L3649">
            <v>90</v>
          </cell>
          <cell r="M3649">
            <v>60</v>
          </cell>
        </row>
        <row r="3650">
          <cell r="B3650" t="str">
            <v>DD-J10B-65000-1820G2-1</v>
          </cell>
          <cell r="D3650" t="str">
            <v>F</v>
          </cell>
          <cell r="E3650" t="str">
            <v>程序时间</v>
          </cell>
          <cell r="G3650">
            <v>60</v>
          </cell>
          <cell r="H3650">
            <v>30</v>
          </cell>
          <cell r="I3650">
            <v>220</v>
          </cell>
          <cell r="J3650">
            <v>150</v>
          </cell>
          <cell r="K3650">
            <v>180</v>
          </cell>
          <cell r="L3650">
            <v>90</v>
          </cell>
          <cell r="M3650">
            <v>40</v>
          </cell>
          <cell r="N3650">
            <v>40</v>
          </cell>
          <cell r="T3650">
            <v>10</v>
          </cell>
        </row>
        <row r="3651">
          <cell r="B3651" t="str">
            <v>DD-J10B-26002-100G2-1G2-Z</v>
          </cell>
          <cell r="D3651" t="str">
            <v>F</v>
          </cell>
          <cell r="E3651" t="str">
            <v>工序内容</v>
          </cell>
          <cell r="F3651" t="str">
            <v>0/领料</v>
          </cell>
          <cell r="G3651" t="str">
            <v>5/数铣18</v>
          </cell>
          <cell r="H3651" t="str">
            <v>10/数铣45</v>
          </cell>
          <cell r="I3651" t="str">
            <v>15/数铣60</v>
          </cell>
          <cell r="J3651" t="str">
            <v>20/数铣15</v>
          </cell>
          <cell r="K3651" t="str">
            <v>25/数铣15</v>
          </cell>
          <cell r="L3651" t="str">
            <v>30/钳工</v>
          </cell>
          <cell r="M3651" t="str">
            <v>35/数铣</v>
          </cell>
          <cell r="N3651" t="str">
            <v>40/硬检</v>
          </cell>
          <cell r="O3651" t="str">
            <v>45/分光</v>
          </cell>
          <cell r="P3651" t="str">
            <v>50/钳工</v>
          </cell>
          <cell r="Q3651" t="str">
            <v>55/测量</v>
          </cell>
          <cell r="R3651" t="str">
            <v>60/清洁</v>
          </cell>
          <cell r="S3651" t="str">
            <v>65/成检</v>
          </cell>
        </row>
        <row r="3652">
          <cell r="B3652" t="str">
            <v>DD-J10B-26002-100G2-1G2-Z</v>
          </cell>
          <cell r="D3652" t="str">
            <v>F</v>
          </cell>
          <cell r="E3652" t="str">
            <v>准备工时</v>
          </cell>
          <cell r="G3652">
            <v>90</v>
          </cell>
          <cell r="H3652">
            <v>90</v>
          </cell>
          <cell r="I3652">
            <v>90</v>
          </cell>
          <cell r="J3652">
            <v>120</v>
          </cell>
          <cell r="K3652">
            <v>60</v>
          </cell>
        </row>
        <row r="3653">
          <cell r="B3653" t="str">
            <v>DD-J10B-26002-100G2-1G2-Z</v>
          </cell>
          <cell r="D3653" t="str">
            <v>F</v>
          </cell>
          <cell r="E3653" t="str">
            <v>程序时间</v>
          </cell>
          <cell r="G3653">
            <v>30</v>
          </cell>
          <cell r="H3653">
            <v>100</v>
          </cell>
          <cell r="I3653">
            <v>140</v>
          </cell>
          <cell r="J3653">
            <v>60</v>
          </cell>
          <cell r="K3653">
            <v>40</v>
          </cell>
          <cell r="L3653">
            <v>30</v>
          </cell>
          <cell r="M3653">
            <v>20</v>
          </cell>
          <cell r="P3653">
            <v>5</v>
          </cell>
        </row>
        <row r="3654">
          <cell r="B3654" t="str">
            <v>DD-J10B-26002-100G2-1G2-Y</v>
          </cell>
          <cell r="D3654" t="str">
            <v>F</v>
          </cell>
          <cell r="E3654" t="str">
            <v>工序内容</v>
          </cell>
          <cell r="F3654" t="str">
            <v>0/领料</v>
          </cell>
          <cell r="G3654" t="str">
            <v>5/数铣18</v>
          </cell>
          <cell r="H3654" t="str">
            <v>10/数铣45</v>
          </cell>
          <cell r="I3654" t="str">
            <v>15/数铣60</v>
          </cell>
          <cell r="J3654" t="str">
            <v>20/数铣15</v>
          </cell>
          <cell r="K3654" t="str">
            <v>25/数铣15</v>
          </cell>
          <cell r="L3654" t="str">
            <v>30/钳工</v>
          </cell>
          <cell r="M3654" t="str">
            <v>35/数铣</v>
          </cell>
          <cell r="N3654" t="str">
            <v>40/硬检</v>
          </cell>
          <cell r="O3654" t="str">
            <v>45/分光</v>
          </cell>
          <cell r="P3654" t="str">
            <v>50/钳工</v>
          </cell>
          <cell r="Q3654" t="str">
            <v>55/测量</v>
          </cell>
          <cell r="R3654" t="str">
            <v>60/清洁</v>
          </cell>
          <cell r="S3654" t="str">
            <v>65/成检</v>
          </cell>
        </row>
        <row r="3655">
          <cell r="B3655" t="str">
            <v>DD-J10B-26002-100G2-1G2-Y</v>
          </cell>
          <cell r="D3655" t="str">
            <v>F</v>
          </cell>
          <cell r="E3655" t="str">
            <v>准备工时</v>
          </cell>
          <cell r="G3655">
            <v>90</v>
          </cell>
          <cell r="H3655">
            <v>90</v>
          </cell>
          <cell r="I3655">
            <v>90</v>
          </cell>
          <cell r="J3655">
            <v>120</v>
          </cell>
          <cell r="K3655">
            <v>60</v>
          </cell>
        </row>
        <row r="3656">
          <cell r="B3656" t="str">
            <v>DD-J10B-26002-100G2-1G2-Y</v>
          </cell>
          <cell r="D3656" t="str">
            <v>F</v>
          </cell>
          <cell r="E3656" t="str">
            <v>程序时间</v>
          </cell>
          <cell r="G3656">
            <v>30</v>
          </cell>
          <cell r="H3656">
            <v>100</v>
          </cell>
          <cell r="I3656">
            <v>140</v>
          </cell>
          <cell r="J3656">
            <v>60</v>
          </cell>
          <cell r="K3656">
            <v>40</v>
          </cell>
          <cell r="L3656">
            <v>30</v>
          </cell>
          <cell r="M3656">
            <v>20</v>
          </cell>
          <cell r="P3656">
            <v>5</v>
          </cell>
        </row>
        <row r="3657">
          <cell r="B3657" t="str">
            <v>BC552B300-004-001</v>
          </cell>
          <cell r="D3657" t="str">
            <v>B</v>
          </cell>
          <cell r="E3657" t="str">
            <v>工序内容</v>
          </cell>
          <cell r="F3657" t="str">
            <v>0/领料</v>
          </cell>
          <cell r="G3657" t="str">
            <v>5/下料</v>
          </cell>
          <cell r="H3657" t="str">
            <v>10/数铣</v>
          </cell>
          <cell r="I3657" t="str">
            <v>15/数铣15</v>
          </cell>
          <cell r="J3657" t="str">
            <v>20/数铣10</v>
          </cell>
          <cell r="K3657" t="str">
            <v>25/数铣75</v>
          </cell>
          <cell r="L3657" t="str">
            <v>30/数铣5</v>
          </cell>
          <cell r="M3657" t="str">
            <v>35/测量</v>
          </cell>
          <cell r="N3657" t="str">
            <v>40/钳工</v>
          </cell>
          <cell r="O3657" t="str">
            <v>45/清洁</v>
          </cell>
          <cell r="P3657" t="str">
            <v>50/成检</v>
          </cell>
        </row>
        <row r="3658">
          <cell r="B3658" t="str">
            <v>BC552B300-004-001</v>
          </cell>
          <cell r="D3658" t="str">
            <v>B</v>
          </cell>
          <cell r="E3658" t="str">
            <v>准备工时</v>
          </cell>
          <cell r="H3658">
            <v>60</v>
          </cell>
          <cell r="I3658">
            <v>60</v>
          </cell>
          <cell r="J3658">
            <v>60</v>
          </cell>
          <cell r="K3658">
            <v>90</v>
          </cell>
          <cell r="L3658">
            <v>90</v>
          </cell>
        </row>
        <row r="3659">
          <cell r="B3659" t="str">
            <v>BC552B300-004-001</v>
          </cell>
          <cell r="D3659" t="str">
            <v>B</v>
          </cell>
          <cell r="E3659" t="str">
            <v>程序时间</v>
          </cell>
          <cell r="H3659">
            <v>60</v>
          </cell>
          <cell r="I3659">
            <v>25</v>
          </cell>
          <cell r="J3659">
            <v>30</v>
          </cell>
          <cell r="K3659">
            <v>120</v>
          </cell>
          <cell r="L3659">
            <v>30</v>
          </cell>
          <cell r="N3659">
            <v>40</v>
          </cell>
        </row>
        <row r="3660">
          <cell r="B3660" t="str">
            <v>BC552B300-004-001</v>
          </cell>
          <cell r="D3660" t="str">
            <v>C</v>
          </cell>
          <cell r="E3660" t="str">
            <v>工序内容</v>
          </cell>
          <cell r="F3660" t="str">
            <v>0/领料</v>
          </cell>
          <cell r="G3660" t="str">
            <v>5/下料</v>
          </cell>
          <cell r="H3660" t="str">
            <v>10/数铣</v>
          </cell>
          <cell r="I3660" t="str">
            <v>15/数铣15</v>
          </cell>
          <cell r="J3660" t="str">
            <v>20/数铣10</v>
          </cell>
          <cell r="K3660" t="str">
            <v>25/数铣75</v>
          </cell>
          <cell r="L3660" t="str">
            <v>30/数铣5</v>
          </cell>
          <cell r="M3660" t="str">
            <v>35/测量</v>
          </cell>
          <cell r="N3660" t="str">
            <v>40/钳工</v>
          </cell>
          <cell r="O3660" t="str">
            <v>45/清洁</v>
          </cell>
          <cell r="P3660" t="str">
            <v>50/成检</v>
          </cell>
        </row>
        <row r="3661">
          <cell r="B3661" t="str">
            <v>BC552B300-004-001</v>
          </cell>
          <cell r="D3661" t="str">
            <v>C</v>
          </cell>
          <cell r="E3661" t="str">
            <v>准备工时</v>
          </cell>
          <cell r="H3661">
            <v>60</v>
          </cell>
          <cell r="I3661">
            <v>60</v>
          </cell>
          <cell r="J3661">
            <v>60</v>
          </cell>
          <cell r="K3661">
            <v>90</v>
          </cell>
          <cell r="L3661">
            <v>90</v>
          </cell>
        </row>
        <row r="3662">
          <cell r="B3662" t="str">
            <v>BC552B300-004-001</v>
          </cell>
          <cell r="D3662" t="str">
            <v>C</v>
          </cell>
          <cell r="E3662" t="str">
            <v>程序时间</v>
          </cell>
          <cell r="H3662">
            <v>60</v>
          </cell>
          <cell r="I3662">
            <v>25</v>
          </cell>
          <cell r="J3662">
            <v>30</v>
          </cell>
          <cell r="K3662">
            <v>120</v>
          </cell>
          <cell r="L3662">
            <v>30</v>
          </cell>
          <cell r="N3662">
            <v>40</v>
          </cell>
        </row>
        <row r="3663">
          <cell r="B3663" t="str">
            <v>GU5715020-008R001</v>
          </cell>
          <cell r="D3663" t="str">
            <v>C</v>
          </cell>
          <cell r="E3663" t="str">
            <v>工序内容</v>
          </cell>
          <cell r="F3663" t="str">
            <v>3/下料</v>
          </cell>
          <cell r="G3663" t="str">
            <v>5/数铣</v>
          </cell>
          <cell r="H3663" t="str">
            <v>10/数铣</v>
          </cell>
          <cell r="I3663" t="str">
            <v>15/数铣30</v>
          </cell>
          <cell r="J3663" t="str">
            <v>20/数铣100</v>
          </cell>
          <cell r="K3663" t="str">
            <v>25/数铣140</v>
          </cell>
          <cell r="L3663" t="str">
            <v>30/测量</v>
          </cell>
          <cell r="M3663" t="str">
            <v>35/钳工</v>
          </cell>
          <cell r="N3663" t="str">
            <v>40/清洁</v>
          </cell>
          <cell r="O3663" t="str">
            <v>45/成检</v>
          </cell>
        </row>
        <row r="3664">
          <cell r="B3664" t="str">
            <v>GU5715020-008R001</v>
          </cell>
          <cell r="D3664" t="str">
            <v>C</v>
          </cell>
          <cell r="E3664" t="str">
            <v>准备工时</v>
          </cell>
          <cell r="G3664">
            <v>60</v>
          </cell>
          <cell r="H3664">
            <v>60</v>
          </cell>
          <cell r="I3664">
            <v>90</v>
          </cell>
          <cell r="J3664">
            <v>90</v>
          </cell>
          <cell r="K3664">
            <v>90</v>
          </cell>
        </row>
        <row r="3665">
          <cell r="B3665" t="str">
            <v>GU5715020-008R001</v>
          </cell>
          <cell r="D3665" t="str">
            <v>C</v>
          </cell>
          <cell r="E3665" t="str">
            <v>程序时间</v>
          </cell>
          <cell r="F3665">
            <v>20</v>
          </cell>
          <cell r="G3665">
            <v>40</v>
          </cell>
          <cell r="H3665">
            <v>40</v>
          </cell>
          <cell r="I3665">
            <v>60</v>
          </cell>
          <cell r="J3665">
            <v>140</v>
          </cell>
          <cell r="K3665">
            <v>180</v>
          </cell>
          <cell r="M3665">
            <v>60</v>
          </cell>
          <cell r="N3665">
            <v>20</v>
          </cell>
        </row>
        <row r="3666">
          <cell r="B3666" t="str">
            <v>BC2712542-001-001</v>
          </cell>
          <cell r="D3666" t="str">
            <v>A</v>
          </cell>
          <cell r="E3666" t="str">
            <v>工序内容</v>
          </cell>
          <cell r="F3666" t="str">
            <v>0/领料</v>
          </cell>
          <cell r="G3666" t="str">
            <v>05/普车</v>
          </cell>
          <cell r="H3666" t="str">
            <v>10/分光</v>
          </cell>
          <cell r="I3666" t="str">
            <v>15/热处理</v>
          </cell>
          <cell r="J3666" t="str">
            <v>20/数车35</v>
          </cell>
          <cell r="K3666" t="str">
            <v>25/数车10</v>
          </cell>
          <cell r="L3666" t="str">
            <v>30/普车5</v>
          </cell>
          <cell r="M3666" t="str">
            <v>35/线切割</v>
          </cell>
          <cell r="N3666" t="str">
            <v>40/数铣10</v>
          </cell>
          <cell r="O3666" t="str">
            <v>45/钳工</v>
          </cell>
          <cell r="P3666" t="str">
            <v>50/中检</v>
          </cell>
          <cell r="Q3666" t="str">
            <v>55/热处理</v>
          </cell>
          <cell r="R3666" t="str">
            <v>60/表处</v>
          </cell>
          <cell r="S3666" t="str">
            <v>65/数车20</v>
          </cell>
          <cell r="T3666" t="str">
            <v>70/清洁</v>
          </cell>
          <cell r="U3666" t="str">
            <v>75/成检</v>
          </cell>
        </row>
        <row r="3667">
          <cell r="B3667" t="str">
            <v>BC2712542-001-001</v>
          </cell>
          <cell r="D3667" t="str">
            <v>A</v>
          </cell>
          <cell r="E3667" t="str">
            <v>准备工时</v>
          </cell>
          <cell r="G3667">
            <v>60</v>
          </cell>
          <cell r="J3667">
            <v>150</v>
          </cell>
          <cell r="K3667">
            <v>150</v>
          </cell>
          <cell r="L3667">
            <v>60</v>
          </cell>
          <cell r="N3667">
            <v>90</v>
          </cell>
          <cell r="S3667">
            <v>150</v>
          </cell>
        </row>
        <row r="3668">
          <cell r="B3668" t="str">
            <v>BC2712542-001-001</v>
          </cell>
          <cell r="D3668" t="str">
            <v>A</v>
          </cell>
          <cell r="E3668" t="str">
            <v>程序时间</v>
          </cell>
          <cell r="G3668">
            <v>25</v>
          </cell>
          <cell r="J3668">
            <v>70</v>
          </cell>
          <cell r="K3668">
            <v>25</v>
          </cell>
          <cell r="L3668">
            <v>20</v>
          </cell>
          <cell r="N3668">
            <v>35</v>
          </cell>
          <cell r="O3668">
            <v>40</v>
          </cell>
          <cell r="S3668">
            <v>40</v>
          </cell>
        </row>
        <row r="3669">
          <cell r="B3669" t="str">
            <v>CB22956R0-001L001</v>
          </cell>
          <cell r="D3669" t="str">
            <v>E</v>
          </cell>
          <cell r="E3669" t="str">
            <v>工序内容</v>
          </cell>
          <cell r="F3669" t="str">
            <v>0/领料</v>
          </cell>
          <cell r="G3669" t="str">
            <v>5/数铣</v>
          </cell>
          <cell r="H3669" t="str">
            <v>10/数铣20</v>
          </cell>
          <cell r="I3669" t="str">
            <v>15/数铣6</v>
          </cell>
          <cell r="J3669" t="str">
            <v>20/数铣45</v>
          </cell>
          <cell r="K3669" t="str">
            <v>25/数铣40</v>
          </cell>
          <cell r="L3669" t="str">
            <v>30/数铣25</v>
          </cell>
          <cell r="M3669" t="str">
            <v>35/数铣20</v>
          </cell>
          <cell r="N3669" t="str">
            <v>40/数铣15</v>
          </cell>
          <cell r="O3669" t="str">
            <v>45/数铣10</v>
          </cell>
          <cell r="P3669" t="str">
            <v>50/钳工</v>
          </cell>
          <cell r="Q3669" t="str">
            <v>55/测量</v>
          </cell>
          <cell r="R3669" t="str">
            <v>60/清洁</v>
          </cell>
          <cell r="S3669" t="str">
            <v>65/检验</v>
          </cell>
          <cell r="T3669" t="str">
            <v>70/分光</v>
          </cell>
          <cell r="U3669" t="str">
            <v>75/钳工</v>
          </cell>
          <cell r="V3669" t="str">
            <v>80/清洁</v>
          </cell>
          <cell r="W3669" t="str">
            <v>85/成检</v>
          </cell>
        </row>
        <row r="3670">
          <cell r="B3670" t="str">
            <v>CB22956R0-001L001</v>
          </cell>
          <cell r="D3670" t="str">
            <v>E</v>
          </cell>
          <cell r="E3670" t="str">
            <v>准备工时</v>
          </cell>
          <cell r="G3670">
            <v>60</v>
          </cell>
          <cell r="H3670">
            <v>60</v>
          </cell>
          <cell r="I3670">
            <v>60</v>
          </cell>
          <cell r="J3670">
            <v>90</v>
          </cell>
          <cell r="K3670">
            <v>90</v>
          </cell>
          <cell r="L3670">
            <v>60</v>
          </cell>
          <cell r="M3670">
            <v>90</v>
          </cell>
          <cell r="N3670">
            <v>90</v>
          </cell>
          <cell r="O3670">
            <v>60</v>
          </cell>
        </row>
        <row r="3671">
          <cell r="B3671" t="str">
            <v>CB22956R0-001L001</v>
          </cell>
          <cell r="D3671" t="str">
            <v>E</v>
          </cell>
          <cell r="E3671" t="str">
            <v>程序时间</v>
          </cell>
          <cell r="G3671">
            <v>35</v>
          </cell>
          <cell r="H3671">
            <v>30</v>
          </cell>
          <cell r="I3671">
            <v>15</v>
          </cell>
          <cell r="J3671">
            <v>70</v>
          </cell>
          <cell r="K3671">
            <v>60</v>
          </cell>
          <cell r="L3671">
            <v>50</v>
          </cell>
          <cell r="M3671">
            <v>60</v>
          </cell>
          <cell r="N3671">
            <v>30</v>
          </cell>
          <cell r="O3671">
            <v>20</v>
          </cell>
          <cell r="P3671">
            <v>60</v>
          </cell>
          <cell r="U3671">
            <v>5</v>
          </cell>
        </row>
        <row r="3672">
          <cell r="B3672" t="str">
            <v>CB22956R0-001R001</v>
          </cell>
          <cell r="D3672" t="str">
            <v>E</v>
          </cell>
          <cell r="E3672" t="str">
            <v>工序内容</v>
          </cell>
          <cell r="F3672" t="str">
            <v>0/领料</v>
          </cell>
          <cell r="G3672" t="str">
            <v>5/数铣</v>
          </cell>
          <cell r="H3672" t="str">
            <v>10/数铣20</v>
          </cell>
          <cell r="I3672" t="str">
            <v>15/数铣6</v>
          </cell>
          <cell r="J3672" t="str">
            <v>20/数铣45</v>
          </cell>
          <cell r="K3672" t="str">
            <v>25/数铣40</v>
          </cell>
          <cell r="L3672" t="str">
            <v>30/数铣25</v>
          </cell>
          <cell r="M3672" t="str">
            <v>35/数铣20</v>
          </cell>
          <cell r="N3672" t="str">
            <v>40/数铣15</v>
          </cell>
          <cell r="O3672" t="str">
            <v>45/数铣10</v>
          </cell>
          <cell r="P3672" t="str">
            <v>50/钳工</v>
          </cell>
          <cell r="Q3672" t="str">
            <v>55/测量</v>
          </cell>
          <cell r="R3672" t="str">
            <v>60/清洁</v>
          </cell>
          <cell r="S3672" t="str">
            <v>65/检验</v>
          </cell>
          <cell r="T3672" t="str">
            <v>70/分光</v>
          </cell>
          <cell r="U3672" t="str">
            <v>75/钳工</v>
          </cell>
          <cell r="V3672" t="str">
            <v>80/清洁</v>
          </cell>
          <cell r="W3672" t="str">
            <v>85/成检</v>
          </cell>
        </row>
        <row r="3673">
          <cell r="B3673" t="str">
            <v>CB22956R0-001R001</v>
          </cell>
          <cell r="D3673" t="str">
            <v>E</v>
          </cell>
          <cell r="E3673" t="str">
            <v>准备工时</v>
          </cell>
          <cell r="G3673">
            <v>60</v>
          </cell>
          <cell r="H3673">
            <v>60</v>
          </cell>
          <cell r="I3673">
            <v>60</v>
          </cell>
          <cell r="J3673">
            <v>90</v>
          </cell>
          <cell r="K3673">
            <v>90</v>
          </cell>
          <cell r="L3673">
            <v>60</v>
          </cell>
          <cell r="M3673">
            <v>90</v>
          </cell>
          <cell r="N3673">
            <v>90</v>
          </cell>
          <cell r="O3673">
            <v>60</v>
          </cell>
        </row>
        <row r="3674">
          <cell r="B3674" t="str">
            <v>CB22956R0-001R001</v>
          </cell>
          <cell r="D3674" t="str">
            <v>E</v>
          </cell>
          <cell r="E3674" t="str">
            <v>程序时间</v>
          </cell>
          <cell r="G3674">
            <v>35</v>
          </cell>
          <cell r="H3674">
            <v>30</v>
          </cell>
          <cell r="I3674">
            <v>15</v>
          </cell>
          <cell r="J3674">
            <v>70</v>
          </cell>
          <cell r="K3674">
            <v>60</v>
          </cell>
          <cell r="L3674">
            <v>50</v>
          </cell>
          <cell r="M3674">
            <v>60</v>
          </cell>
          <cell r="N3674">
            <v>30</v>
          </cell>
          <cell r="O3674">
            <v>20</v>
          </cell>
          <cell r="P3674">
            <v>60</v>
          </cell>
          <cell r="U3674">
            <v>5</v>
          </cell>
        </row>
        <row r="3675">
          <cell r="B3675" t="str">
            <v>CB22956R0-001L001</v>
          </cell>
          <cell r="D3675" t="str">
            <v>F</v>
          </cell>
          <cell r="E3675" t="str">
            <v>工序内容</v>
          </cell>
          <cell r="F3675" t="str">
            <v>0/领料</v>
          </cell>
          <cell r="G3675" t="str">
            <v>5/数铣</v>
          </cell>
          <cell r="H3675" t="str">
            <v>10/数铣20</v>
          </cell>
          <cell r="I3675" t="str">
            <v>15/数铣6</v>
          </cell>
          <cell r="J3675" t="str">
            <v>20/数铣45</v>
          </cell>
          <cell r="K3675" t="str">
            <v>25/数铣40</v>
          </cell>
          <cell r="L3675" t="str">
            <v>30/数铣25</v>
          </cell>
          <cell r="M3675" t="str">
            <v>35/数铣20</v>
          </cell>
          <cell r="N3675" t="str">
            <v>40/数铣15</v>
          </cell>
          <cell r="O3675" t="str">
            <v>45/数铣10</v>
          </cell>
          <cell r="P3675" t="str">
            <v>50/钳工</v>
          </cell>
          <cell r="Q3675" t="str">
            <v>55/测量</v>
          </cell>
          <cell r="R3675" t="str">
            <v>60/清洁</v>
          </cell>
          <cell r="S3675" t="str">
            <v>65/检验</v>
          </cell>
          <cell r="T3675" t="str">
            <v>70/分光</v>
          </cell>
          <cell r="U3675" t="str">
            <v>75/钳工</v>
          </cell>
          <cell r="V3675" t="str">
            <v>80/清洁</v>
          </cell>
          <cell r="W3675" t="str">
            <v>85/成检</v>
          </cell>
        </row>
        <row r="3676">
          <cell r="B3676" t="str">
            <v>CB22956R0-001L001</v>
          </cell>
          <cell r="D3676" t="str">
            <v>F</v>
          </cell>
          <cell r="E3676" t="str">
            <v>准备工时</v>
          </cell>
          <cell r="G3676">
            <v>60</v>
          </cell>
          <cell r="H3676">
            <v>60</v>
          </cell>
          <cell r="I3676">
            <v>60</v>
          </cell>
          <cell r="J3676">
            <v>90</v>
          </cell>
          <cell r="K3676">
            <v>90</v>
          </cell>
          <cell r="L3676">
            <v>60</v>
          </cell>
          <cell r="M3676">
            <v>90</v>
          </cell>
          <cell r="N3676">
            <v>90</v>
          </cell>
          <cell r="O3676">
            <v>60</v>
          </cell>
        </row>
        <row r="3677">
          <cell r="B3677" t="str">
            <v>CB22956R0-001L001</v>
          </cell>
          <cell r="D3677" t="str">
            <v>F</v>
          </cell>
          <cell r="E3677" t="str">
            <v>程序时间</v>
          </cell>
          <cell r="G3677">
            <v>35</v>
          </cell>
          <cell r="H3677">
            <v>30</v>
          </cell>
          <cell r="I3677">
            <v>15</v>
          </cell>
          <cell r="J3677">
            <v>70</v>
          </cell>
          <cell r="K3677">
            <v>60</v>
          </cell>
          <cell r="L3677">
            <v>50</v>
          </cell>
          <cell r="M3677">
            <v>60</v>
          </cell>
          <cell r="N3677">
            <v>30</v>
          </cell>
          <cell r="O3677">
            <v>20</v>
          </cell>
          <cell r="P3677">
            <v>60</v>
          </cell>
          <cell r="U3677">
            <v>5</v>
          </cell>
        </row>
        <row r="3678">
          <cell r="B3678" t="str">
            <v>CB22956R0-001R001</v>
          </cell>
          <cell r="D3678" t="str">
            <v>F</v>
          </cell>
          <cell r="E3678" t="str">
            <v>工序内容</v>
          </cell>
          <cell r="F3678" t="str">
            <v>0/领料</v>
          </cell>
          <cell r="G3678" t="str">
            <v>5/数铣</v>
          </cell>
          <cell r="H3678" t="str">
            <v>10/数铣20</v>
          </cell>
          <cell r="I3678" t="str">
            <v>15/数铣6</v>
          </cell>
          <cell r="J3678" t="str">
            <v>20/数铣45</v>
          </cell>
          <cell r="K3678" t="str">
            <v>25/数铣40</v>
          </cell>
          <cell r="L3678" t="str">
            <v>30/数铣25</v>
          </cell>
          <cell r="M3678" t="str">
            <v>35/数铣20</v>
          </cell>
          <cell r="N3678" t="str">
            <v>40/数铣15</v>
          </cell>
          <cell r="O3678" t="str">
            <v>45/数铣10</v>
          </cell>
          <cell r="P3678" t="str">
            <v>50/钳工</v>
          </cell>
          <cell r="Q3678" t="str">
            <v>55/测量</v>
          </cell>
          <cell r="R3678" t="str">
            <v>60/清洁</v>
          </cell>
          <cell r="S3678" t="str">
            <v>65/检验</v>
          </cell>
          <cell r="T3678" t="str">
            <v>70/分光</v>
          </cell>
          <cell r="U3678" t="str">
            <v>75/钳工</v>
          </cell>
          <cell r="V3678" t="str">
            <v>80/清洁</v>
          </cell>
          <cell r="W3678" t="str">
            <v>85/成检</v>
          </cell>
        </row>
        <row r="3679">
          <cell r="B3679" t="str">
            <v>CB22956R0-001R001</v>
          </cell>
          <cell r="D3679" t="str">
            <v>F</v>
          </cell>
          <cell r="E3679" t="str">
            <v>准备工时</v>
          </cell>
          <cell r="G3679">
            <v>60</v>
          </cell>
          <cell r="H3679">
            <v>60</v>
          </cell>
          <cell r="I3679">
            <v>60</v>
          </cell>
          <cell r="J3679">
            <v>90</v>
          </cell>
          <cell r="K3679">
            <v>90</v>
          </cell>
          <cell r="L3679">
            <v>60</v>
          </cell>
          <cell r="M3679">
            <v>90</v>
          </cell>
          <cell r="N3679">
            <v>90</v>
          </cell>
          <cell r="O3679">
            <v>60</v>
          </cell>
        </row>
        <row r="3680">
          <cell r="B3680" t="str">
            <v>CB22956R0-001R001</v>
          </cell>
          <cell r="D3680" t="str">
            <v>F</v>
          </cell>
          <cell r="E3680" t="str">
            <v>程序时间</v>
          </cell>
          <cell r="G3680">
            <v>35</v>
          </cell>
          <cell r="H3680">
            <v>30</v>
          </cell>
          <cell r="I3680">
            <v>15</v>
          </cell>
          <cell r="J3680">
            <v>70</v>
          </cell>
          <cell r="K3680">
            <v>60</v>
          </cell>
          <cell r="L3680">
            <v>50</v>
          </cell>
          <cell r="M3680">
            <v>60</v>
          </cell>
          <cell r="N3680">
            <v>30</v>
          </cell>
          <cell r="O3680">
            <v>20</v>
          </cell>
          <cell r="P3680">
            <v>60</v>
          </cell>
          <cell r="U3680">
            <v>5</v>
          </cell>
        </row>
        <row r="3681">
          <cell r="B3681" t="str">
            <v>CB229C050-002-003</v>
          </cell>
          <cell r="D3681" t="str">
            <v>F</v>
          </cell>
          <cell r="E3681" t="str">
            <v>工序内容</v>
          </cell>
          <cell r="F3681" t="str">
            <v>0/领料</v>
          </cell>
          <cell r="G3681" t="str">
            <v>5/数铣</v>
          </cell>
          <cell r="H3681" t="str">
            <v>10/装夹</v>
          </cell>
          <cell r="I3681" t="str">
            <v>15/数铣15</v>
          </cell>
          <cell r="J3681" t="str">
            <v>20/数铣5</v>
          </cell>
          <cell r="K3681" t="str">
            <v>25/线切割</v>
          </cell>
          <cell r="L3681" t="str">
            <v>30/线切割</v>
          </cell>
          <cell r="M3681" t="str">
            <v>35/线切割</v>
          </cell>
          <cell r="N3681" t="str">
            <v>40/钳工</v>
          </cell>
          <cell r="O3681" t="str">
            <v>45/清洁</v>
          </cell>
          <cell r="P3681" t="str">
            <v>50/检验</v>
          </cell>
          <cell r="Q3681" t="str">
            <v>55/分光</v>
          </cell>
          <cell r="R3681" t="str">
            <v>60/线切割</v>
          </cell>
          <cell r="S3681" t="str">
            <v>65/钳工</v>
          </cell>
          <cell r="T3681" t="str">
            <v>70/清洁</v>
          </cell>
          <cell r="U3681" t="str">
            <v>75/成检</v>
          </cell>
        </row>
        <row r="3682">
          <cell r="B3682" t="str">
            <v>CB229C050-002-003</v>
          </cell>
          <cell r="D3682" t="str">
            <v>F</v>
          </cell>
          <cell r="E3682" t="str">
            <v>准备工时</v>
          </cell>
          <cell r="G3682">
            <v>60</v>
          </cell>
          <cell r="I3682">
            <v>90</v>
          </cell>
          <cell r="J3682">
            <v>60</v>
          </cell>
        </row>
        <row r="3683">
          <cell r="B3683" t="str">
            <v>CB229C050-002-003</v>
          </cell>
          <cell r="D3683" t="str">
            <v>F</v>
          </cell>
          <cell r="E3683" t="str">
            <v>程序时间</v>
          </cell>
          <cell r="G3683">
            <v>30</v>
          </cell>
          <cell r="H3683">
            <v>15</v>
          </cell>
          <cell r="I3683">
            <v>50</v>
          </cell>
          <cell r="J3683">
            <v>20</v>
          </cell>
          <cell r="N3683">
            <v>120</v>
          </cell>
          <cell r="S3683">
            <v>10</v>
          </cell>
        </row>
        <row r="3684">
          <cell r="B3684" t="str">
            <v>DD-J10B-73010-310G2-1</v>
          </cell>
          <cell r="D3684" t="str">
            <v>E</v>
          </cell>
          <cell r="E3684" t="str">
            <v>工序内容</v>
          </cell>
          <cell r="F3684" t="str">
            <v>0/领料</v>
          </cell>
          <cell r="G3684" t="str">
            <v>5/数铣5</v>
          </cell>
          <cell r="H3684" t="str">
            <v>10/数铣40</v>
          </cell>
          <cell r="I3684" t="str">
            <v>15/数铣</v>
          </cell>
          <cell r="J3684" t="str">
            <v>20/数铣32</v>
          </cell>
          <cell r="K3684" t="str">
            <v>25/数铣44</v>
          </cell>
          <cell r="L3684" t="str">
            <v>30/钳工</v>
          </cell>
          <cell r="M3684" t="str">
            <v>35/检验</v>
          </cell>
          <cell r="N3684" t="str">
            <v>40/分光</v>
          </cell>
          <cell r="O3684" t="str">
            <v>45/钳工</v>
          </cell>
          <cell r="P3684" t="str">
            <v>50/成检</v>
          </cell>
        </row>
        <row r="3685">
          <cell r="B3685" t="str">
            <v>DD-J10B-73010-310G2-1</v>
          </cell>
          <cell r="D3685" t="str">
            <v>E</v>
          </cell>
          <cell r="E3685" t="str">
            <v>准备工时</v>
          </cell>
          <cell r="G3685">
            <v>60</v>
          </cell>
          <cell r="H3685">
            <v>90</v>
          </cell>
          <cell r="I3685">
            <v>60</v>
          </cell>
          <cell r="J3685">
            <v>90</v>
          </cell>
          <cell r="K3685">
            <v>90</v>
          </cell>
        </row>
        <row r="3686">
          <cell r="B3686" t="str">
            <v>DD-J10B-73010-310G2-1</v>
          </cell>
          <cell r="D3686" t="str">
            <v>E</v>
          </cell>
          <cell r="E3686" t="str">
            <v>程序时间</v>
          </cell>
          <cell r="G3686">
            <v>15</v>
          </cell>
          <cell r="H3686">
            <v>60</v>
          </cell>
          <cell r="I3686">
            <v>70</v>
          </cell>
          <cell r="J3686">
            <v>50</v>
          </cell>
          <cell r="K3686">
            <v>65</v>
          </cell>
          <cell r="L3686">
            <v>35</v>
          </cell>
          <cell r="O3686" t="str">
            <v>5</v>
          </cell>
        </row>
        <row r="3687">
          <cell r="B3687" t="str">
            <v>DD-J10-05216-32</v>
          </cell>
          <cell r="D3687" t="str">
            <v>D</v>
          </cell>
          <cell r="E3687" t="str">
            <v>工序内容</v>
          </cell>
          <cell r="F3687" t="str">
            <v>0/领料</v>
          </cell>
          <cell r="G3687" t="str">
            <v>5/数车</v>
          </cell>
          <cell r="H3687" t="str">
            <v>10/数车</v>
          </cell>
          <cell r="I3687" t="str">
            <v>15/数铣</v>
          </cell>
          <cell r="J3687" t="str">
            <v>20/钳工</v>
          </cell>
          <cell r="K3687" t="str">
            <v>25/清洁</v>
          </cell>
          <cell r="L3687" t="str">
            <v>30/成检</v>
          </cell>
        </row>
        <row r="3688">
          <cell r="B3688" t="str">
            <v>DD-J10-05216-32</v>
          </cell>
          <cell r="D3688" t="str">
            <v>D</v>
          </cell>
          <cell r="E3688" t="str">
            <v>准备工时</v>
          </cell>
          <cell r="G3688">
            <v>90</v>
          </cell>
          <cell r="H3688">
            <v>120</v>
          </cell>
          <cell r="I3688">
            <v>90</v>
          </cell>
        </row>
        <row r="3689">
          <cell r="B3689" t="str">
            <v>DD-J10-05216-32</v>
          </cell>
          <cell r="D3689" t="str">
            <v>D</v>
          </cell>
          <cell r="E3689" t="str">
            <v>程序时间</v>
          </cell>
          <cell r="G3689">
            <v>20</v>
          </cell>
          <cell r="H3689">
            <v>30</v>
          </cell>
          <cell r="I3689">
            <v>20</v>
          </cell>
          <cell r="J3689">
            <v>20</v>
          </cell>
        </row>
        <row r="3690">
          <cell r="B3690" t="str">
            <v>CB2298611-001-001</v>
          </cell>
          <cell r="D3690" t="str">
            <v>B</v>
          </cell>
          <cell r="E3690" t="str">
            <v>工序内容</v>
          </cell>
          <cell r="F3690" t="str">
            <v>0/领料</v>
          </cell>
          <cell r="G3690" t="str">
            <v>5/下料</v>
          </cell>
          <cell r="H3690" t="str">
            <v>10/数铣</v>
          </cell>
          <cell r="I3690" t="str">
            <v>15/数铣</v>
          </cell>
          <cell r="J3690" t="str">
            <v>20/数铣5</v>
          </cell>
          <cell r="K3690" t="str">
            <v>25/数铣20</v>
          </cell>
          <cell r="L3690" t="str">
            <v>30/钳工</v>
          </cell>
          <cell r="M3690" t="str">
            <v>35/硬检</v>
          </cell>
          <cell r="N3690" t="str">
            <v>40/分光</v>
          </cell>
          <cell r="O3690" t="str">
            <v>45/线切割</v>
          </cell>
          <cell r="P3690" t="str">
            <v>50/钳工</v>
          </cell>
        </row>
        <row r="3691">
          <cell r="B3691" t="str">
            <v>CB2298611-001-001</v>
          </cell>
          <cell r="D3691" t="str">
            <v>B</v>
          </cell>
          <cell r="E3691" t="str">
            <v>准备工时</v>
          </cell>
          <cell r="H3691">
            <v>60</v>
          </cell>
          <cell r="I3691">
            <v>60</v>
          </cell>
          <cell r="J3691">
            <v>60</v>
          </cell>
          <cell r="K3691">
            <v>60</v>
          </cell>
          <cell r="O3691">
            <v>30</v>
          </cell>
        </row>
        <row r="3692">
          <cell r="B3692" t="str">
            <v>CB2298611-001-001</v>
          </cell>
          <cell r="D3692" t="str">
            <v>B</v>
          </cell>
          <cell r="E3692" t="str">
            <v>程序时间</v>
          </cell>
          <cell r="H3692">
            <v>60</v>
          </cell>
          <cell r="I3692">
            <v>60</v>
          </cell>
          <cell r="J3692">
            <v>20</v>
          </cell>
          <cell r="K3692">
            <v>30</v>
          </cell>
          <cell r="L3692">
            <v>10</v>
          </cell>
          <cell r="O3692">
            <v>50</v>
          </cell>
          <cell r="P3692">
            <v>40</v>
          </cell>
        </row>
        <row r="3693">
          <cell r="B3693" t="str">
            <v>BC2281245-002-001</v>
          </cell>
          <cell r="D3693" t="str">
            <v>B</v>
          </cell>
          <cell r="E3693" t="str">
            <v>工序内容</v>
          </cell>
          <cell r="F3693" t="str">
            <v>0/领料</v>
          </cell>
          <cell r="G3693" t="str">
            <v>05/钳工</v>
          </cell>
          <cell r="H3693" t="str">
            <v>10/分光</v>
          </cell>
          <cell r="I3693" t="str">
            <v>15/检验</v>
          </cell>
          <cell r="J3693" t="str">
            <v>20/数车</v>
          </cell>
          <cell r="K3693" t="str">
            <v>25/数车</v>
          </cell>
          <cell r="L3693" t="str">
            <v>30/数铣</v>
          </cell>
          <cell r="M3693" t="str">
            <v>35/钳工</v>
          </cell>
          <cell r="N3693" t="str">
            <v>40/清洁</v>
          </cell>
          <cell r="O3693" t="str">
            <v>45/成检</v>
          </cell>
        </row>
        <row r="3694">
          <cell r="B3694" t="str">
            <v>BC2281245-002-001</v>
          </cell>
          <cell r="D3694" t="str">
            <v>B</v>
          </cell>
          <cell r="E3694" t="str">
            <v>准备工时</v>
          </cell>
          <cell r="J3694">
            <v>60</v>
          </cell>
          <cell r="K3694">
            <v>60</v>
          </cell>
          <cell r="L3694">
            <v>90</v>
          </cell>
        </row>
        <row r="3695">
          <cell r="B3695" t="str">
            <v>BC2281245-002-001</v>
          </cell>
          <cell r="D3695" t="str">
            <v>B</v>
          </cell>
          <cell r="E3695" t="str">
            <v>程序时间</v>
          </cell>
          <cell r="G3695">
            <v>5</v>
          </cell>
          <cell r="J3695">
            <v>25</v>
          </cell>
          <cell r="K3695">
            <v>15</v>
          </cell>
          <cell r="L3695">
            <v>40</v>
          </cell>
          <cell r="M3695">
            <v>25</v>
          </cell>
        </row>
        <row r="3696">
          <cell r="B3696" t="str">
            <v>DD-J10B-02181-6-Z</v>
          </cell>
          <cell r="D3696" t="str">
            <v>G</v>
          </cell>
          <cell r="E3696" t="str">
            <v>工序内容</v>
          </cell>
          <cell r="F3696" t="str">
            <v>0/领料</v>
          </cell>
          <cell r="G3696" t="str">
            <v>5/数铣</v>
          </cell>
          <cell r="H3696" t="str">
            <v>10/数铣35</v>
          </cell>
          <cell r="I3696" t="str">
            <v>15/线切割</v>
          </cell>
          <cell r="J3696" t="str">
            <v>20/数铣</v>
          </cell>
          <cell r="K3696" t="str">
            <v>25/铣试块</v>
          </cell>
          <cell r="L3696" t="str">
            <v>30/钳工</v>
          </cell>
          <cell r="M3696" t="str">
            <v>35/清洁</v>
          </cell>
          <cell r="N3696" t="str">
            <v>40/硬度</v>
          </cell>
          <cell r="O3696" t="str">
            <v>45/分光</v>
          </cell>
          <cell r="P3696" t="str">
            <v>50检验</v>
          </cell>
          <cell r="Q3696" t="str">
            <v>55/钳工</v>
          </cell>
          <cell r="R3696" t="str">
            <v>60/清洁</v>
          </cell>
          <cell r="S3696" t="str">
            <v>65成检</v>
          </cell>
        </row>
        <row r="3697">
          <cell r="B3697" t="str">
            <v>DD-J10B-02181-6-Z</v>
          </cell>
          <cell r="D3697" t="str">
            <v>G</v>
          </cell>
          <cell r="E3697" t="str">
            <v>准备工时</v>
          </cell>
          <cell r="G3697">
            <v>60</v>
          </cell>
          <cell r="H3697">
            <v>90</v>
          </cell>
          <cell r="J3697">
            <v>30</v>
          </cell>
        </row>
        <row r="3698">
          <cell r="B3698" t="str">
            <v>DD-J10B-02181-6-Z</v>
          </cell>
          <cell r="D3698" t="str">
            <v>G</v>
          </cell>
          <cell r="E3698" t="str">
            <v>程序时间</v>
          </cell>
          <cell r="G3698">
            <v>15</v>
          </cell>
          <cell r="H3698">
            <v>70</v>
          </cell>
          <cell r="J3698">
            <v>30</v>
          </cell>
          <cell r="K3698">
            <v>10</v>
          </cell>
          <cell r="L3698">
            <v>60</v>
          </cell>
        </row>
        <row r="3699">
          <cell r="B3699" t="str">
            <v>DD-J10B-02181-6-Y</v>
          </cell>
          <cell r="D3699" t="str">
            <v>G</v>
          </cell>
          <cell r="E3699" t="str">
            <v>工序内容</v>
          </cell>
          <cell r="F3699" t="str">
            <v>0/领料</v>
          </cell>
          <cell r="G3699" t="str">
            <v>5/数铣</v>
          </cell>
          <cell r="H3699" t="str">
            <v>10/数铣35</v>
          </cell>
          <cell r="I3699" t="str">
            <v>15/线切割</v>
          </cell>
          <cell r="J3699" t="str">
            <v>20/数铣</v>
          </cell>
          <cell r="K3699" t="str">
            <v>25/铣试块</v>
          </cell>
          <cell r="L3699" t="str">
            <v>30/钳工</v>
          </cell>
          <cell r="M3699" t="str">
            <v>35/清洁</v>
          </cell>
          <cell r="N3699" t="str">
            <v>40/硬度</v>
          </cell>
          <cell r="O3699" t="str">
            <v>45/分光</v>
          </cell>
          <cell r="P3699" t="str">
            <v>50检验</v>
          </cell>
          <cell r="Q3699" t="str">
            <v>55/钳工</v>
          </cell>
          <cell r="R3699" t="str">
            <v>60/清洁</v>
          </cell>
          <cell r="S3699" t="str">
            <v>65成检</v>
          </cell>
        </row>
        <row r="3700">
          <cell r="B3700" t="str">
            <v>DD-J10B-02181-6-Y</v>
          </cell>
          <cell r="D3700" t="str">
            <v>G</v>
          </cell>
          <cell r="E3700" t="str">
            <v>准备工时</v>
          </cell>
          <cell r="G3700">
            <v>60</v>
          </cell>
          <cell r="H3700">
            <v>90</v>
          </cell>
          <cell r="J3700">
            <v>30</v>
          </cell>
        </row>
        <row r="3701">
          <cell r="B3701" t="str">
            <v>DD-J10B-02181-6-Y</v>
          </cell>
          <cell r="D3701" t="str">
            <v>G</v>
          </cell>
          <cell r="E3701" t="str">
            <v>程序时间</v>
          </cell>
          <cell r="G3701">
            <v>15</v>
          </cell>
          <cell r="H3701">
            <v>70</v>
          </cell>
          <cell r="J3701">
            <v>30</v>
          </cell>
          <cell r="K3701">
            <v>10</v>
          </cell>
          <cell r="L3701">
            <v>60</v>
          </cell>
        </row>
        <row r="3702">
          <cell r="B3702" t="str">
            <v>DD-J10B-55165-1480-1</v>
          </cell>
          <cell r="D3702" t="str">
            <v>B</v>
          </cell>
          <cell r="E3702" t="str">
            <v>工序内容</v>
          </cell>
          <cell r="F3702" t="str">
            <v>0/领料</v>
          </cell>
          <cell r="G3702" t="str">
            <v>5/数车15</v>
          </cell>
          <cell r="H3702" t="str">
            <v>10/数车15</v>
          </cell>
          <cell r="I3702" t="str">
            <v>15/数铣(5)</v>
          </cell>
          <cell r="J3702" t="str">
            <v>20/钳工</v>
          </cell>
          <cell r="K3702" t="str">
            <v>25/清洁</v>
          </cell>
          <cell r="L3702" t="str">
            <v>30/成检</v>
          </cell>
        </row>
        <row r="3703">
          <cell r="B3703" t="str">
            <v>DD-J10B-55165-1480-1</v>
          </cell>
          <cell r="D3703" t="str">
            <v>B</v>
          </cell>
          <cell r="E3703" t="str">
            <v>准备工时</v>
          </cell>
          <cell r="G3703">
            <v>60</v>
          </cell>
          <cell r="H3703">
            <v>90</v>
          </cell>
          <cell r="I3703">
            <v>60</v>
          </cell>
        </row>
        <row r="3704">
          <cell r="B3704" t="str">
            <v>DD-J10B-55165-1480-1</v>
          </cell>
          <cell r="D3704" t="str">
            <v>B</v>
          </cell>
          <cell r="E3704" t="str">
            <v>程序时间</v>
          </cell>
          <cell r="G3704">
            <v>25</v>
          </cell>
          <cell r="H3704">
            <v>25</v>
          </cell>
          <cell r="I3704">
            <v>20</v>
          </cell>
          <cell r="J3704">
            <v>20</v>
          </cell>
        </row>
        <row r="3705">
          <cell r="B3705" t="str">
            <v>DD-J10B-67011-6103</v>
          </cell>
          <cell r="D3705" t="str">
            <v>C</v>
          </cell>
          <cell r="E3705" t="str">
            <v>工序内容</v>
          </cell>
          <cell r="F3705" t="str">
            <v>0/领料</v>
          </cell>
          <cell r="G3705" t="str">
            <v>5/下料</v>
          </cell>
          <cell r="H3705" t="str">
            <v>10/数铣</v>
          </cell>
          <cell r="I3705" t="str">
            <v>15/分光</v>
          </cell>
          <cell r="J3705" t="str">
            <v>20/热处理</v>
          </cell>
          <cell r="K3705" t="str">
            <v>25/硬检</v>
          </cell>
          <cell r="L3705" t="str">
            <v>30/数铣30</v>
          </cell>
          <cell r="M3705" t="str">
            <v>35/数铣12</v>
          </cell>
          <cell r="N3705" t="str">
            <v>40/数铣</v>
          </cell>
          <cell r="O3705" t="str">
            <v>45/数铣15</v>
          </cell>
          <cell r="P3705" t="str">
            <v>50/数铣30</v>
          </cell>
          <cell r="Q3705" t="str">
            <v>50/钳工</v>
          </cell>
          <cell r="R3705" t="str">
            <v>55/清洁</v>
          </cell>
          <cell r="S3705" t="str">
            <v>60/成检</v>
          </cell>
        </row>
        <row r="3706">
          <cell r="B3706" t="str">
            <v>DD-J10B-67011-6103</v>
          </cell>
          <cell r="D3706" t="str">
            <v>C</v>
          </cell>
          <cell r="E3706" t="str">
            <v>准备工时</v>
          </cell>
          <cell r="H3706">
            <v>60</v>
          </cell>
          <cell r="L3706">
            <v>60</v>
          </cell>
          <cell r="M3706">
            <v>60</v>
          </cell>
          <cell r="N3706">
            <v>60</v>
          </cell>
          <cell r="O3706">
            <v>60</v>
          </cell>
          <cell r="P3706">
            <v>60</v>
          </cell>
        </row>
        <row r="3707">
          <cell r="B3707" t="str">
            <v>DD-J10B-67011-6103</v>
          </cell>
          <cell r="D3707" t="str">
            <v>C</v>
          </cell>
          <cell r="E3707" t="str">
            <v>程序时间</v>
          </cell>
          <cell r="G3707">
            <v>20</v>
          </cell>
          <cell r="H3707">
            <v>40</v>
          </cell>
          <cell r="L3707">
            <v>60</v>
          </cell>
          <cell r="M3707">
            <v>35</v>
          </cell>
          <cell r="N3707">
            <v>90</v>
          </cell>
          <cell r="O3707">
            <v>45</v>
          </cell>
          <cell r="P3707">
            <v>100</v>
          </cell>
          <cell r="Q3707">
            <v>25</v>
          </cell>
        </row>
        <row r="3708">
          <cell r="B3708" t="str">
            <v>531A3430-000-035</v>
          </cell>
          <cell r="D3708" t="str">
            <v>B</v>
          </cell>
          <cell r="E3708" t="str">
            <v>工序内容</v>
          </cell>
          <cell r="F3708" t="str">
            <v>00领料</v>
          </cell>
          <cell r="G3708" t="str">
            <v>05/数铣</v>
          </cell>
          <cell r="H3708" t="str">
            <v>10/数铣25</v>
          </cell>
          <cell r="I3708" t="str">
            <v>15/数铣45</v>
          </cell>
          <cell r="J3708" t="str">
            <v>20/数铣5</v>
          </cell>
          <cell r="K3708" t="str">
            <v>25/数铣5</v>
          </cell>
          <cell r="L3708" t="str">
            <v>30/数铣60</v>
          </cell>
          <cell r="M3708" t="str">
            <v>35/测量</v>
          </cell>
          <cell r="N3708" t="str">
            <v>40/钳工</v>
          </cell>
          <cell r="O3708" t="str">
            <v>45/清洁</v>
          </cell>
          <cell r="P3708" t="str">
            <v>50/成检</v>
          </cell>
        </row>
        <row r="3709">
          <cell r="B3709" t="str">
            <v>531A3430-000-035</v>
          </cell>
          <cell r="D3709" t="str">
            <v>B</v>
          </cell>
          <cell r="E3709" t="str">
            <v>准备工时</v>
          </cell>
          <cell r="G3709">
            <v>60</v>
          </cell>
          <cell r="H3709">
            <v>60</v>
          </cell>
          <cell r="I3709">
            <v>60</v>
          </cell>
          <cell r="J3709">
            <v>60</v>
          </cell>
          <cell r="K3709">
            <v>60</v>
          </cell>
          <cell r="L3709">
            <v>60</v>
          </cell>
        </row>
        <row r="3710">
          <cell r="B3710" t="str">
            <v>531A3430-000-035</v>
          </cell>
          <cell r="D3710" t="str">
            <v>B</v>
          </cell>
          <cell r="E3710" t="str">
            <v>程序时间</v>
          </cell>
          <cell r="G3710">
            <v>30</v>
          </cell>
          <cell r="H3710">
            <v>45</v>
          </cell>
          <cell r="I3710">
            <v>75</v>
          </cell>
          <cell r="J3710">
            <v>20</v>
          </cell>
          <cell r="K3710">
            <v>20</v>
          </cell>
          <cell r="L3710">
            <v>90</v>
          </cell>
          <cell r="N3710">
            <v>40</v>
          </cell>
        </row>
        <row r="3711">
          <cell r="B3711" t="str">
            <v>Y20-5316100329-501</v>
          </cell>
          <cell r="D3711" t="str">
            <v>B</v>
          </cell>
          <cell r="E3711" t="str">
            <v>工序内容</v>
          </cell>
          <cell r="F3711" t="str">
            <v>0/领料</v>
          </cell>
          <cell r="G3711" t="str">
            <v>5/下料</v>
          </cell>
          <cell r="H3711" t="str">
            <v>10/数铣</v>
          </cell>
          <cell r="I3711" t="str">
            <v>15/数铣22</v>
          </cell>
          <cell r="J3711" t="str">
            <v>20/数铣60</v>
          </cell>
          <cell r="K3711" t="str">
            <v>25/数铣62</v>
          </cell>
          <cell r="L3711" t="str">
            <v>30/数铣57</v>
          </cell>
          <cell r="M3711" t="str">
            <v>35/钳工</v>
          </cell>
          <cell r="N3711" t="str">
            <v>40/数铣</v>
          </cell>
          <cell r="O3711" t="str">
            <v>45/清洁</v>
          </cell>
          <cell r="P3711" t="str">
            <v>50/成检</v>
          </cell>
        </row>
        <row r="3712">
          <cell r="B3712" t="str">
            <v>Y20-5316100329-501</v>
          </cell>
          <cell r="D3712" t="str">
            <v>B</v>
          </cell>
          <cell r="E3712" t="str">
            <v>准备工时</v>
          </cell>
          <cell r="H3712">
            <v>90</v>
          </cell>
          <cell r="I3712">
            <v>90</v>
          </cell>
          <cell r="J3712">
            <v>90</v>
          </cell>
          <cell r="K3712">
            <v>90</v>
          </cell>
          <cell r="L3712">
            <v>90</v>
          </cell>
        </row>
        <row r="3713">
          <cell r="B3713" t="str">
            <v>Y20-5316100329-501</v>
          </cell>
          <cell r="D3713" t="str">
            <v>B</v>
          </cell>
          <cell r="E3713" t="str">
            <v>程序时间</v>
          </cell>
          <cell r="G3713">
            <v>30</v>
          </cell>
          <cell r="H3713">
            <v>60</v>
          </cell>
          <cell r="I3713">
            <v>50</v>
          </cell>
          <cell r="J3713">
            <v>90</v>
          </cell>
          <cell r="K3713">
            <v>90</v>
          </cell>
          <cell r="L3713">
            <v>85</v>
          </cell>
          <cell r="M3713">
            <v>60</v>
          </cell>
          <cell r="N3713">
            <v>20</v>
          </cell>
        </row>
        <row r="3714">
          <cell r="B3714" t="str">
            <v>Y20-5316100329-502</v>
          </cell>
          <cell r="D3714" t="str">
            <v>B</v>
          </cell>
          <cell r="E3714" t="str">
            <v>工序内容</v>
          </cell>
          <cell r="F3714" t="str">
            <v>0/领料</v>
          </cell>
          <cell r="G3714" t="str">
            <v>5/下料</v>
          </cell>
          <cell r="H3714" t="str">
            <v>10/数铣</v>
          </cell>
          <cell r="I3714" t="str">
            <v>15/数铣22</v>
          </cell>
          <cell r="J3714" t="str">
            <v>20/数铣60</v>
          </cell>
          <cell r="K3714" t="str">
            <v>25/数铣62</v>
          </cell>
          <cell r="L3714" t="str">
            <v>30/数铣57</v>
          </cell>
          <cell r="M3714" t="str">
            <v>35/钳工</v>
          </cell>
          <cell r="N3714" t="str">
            <v>40/数铣</v>
          </cell>
          <cell r="O3714" t="str">
            <v>45/清洁</v>
          </cell>
          <cell r="P3714" t="str">
            <v>50/成检</v>
          </cell>
        </row>
        <row r="3715">
          <cell r="B3715" t="str">
            <v>Y20-5316100329-502</v>
          </cell>
          <cell r="D3715" t="str">
            <v>B</v>
          </cell>
          <cell r="E3715" t="str">
            <v>准备工时</v>
          </cell>
          <cell r="H3715">
            <v>90</v>
          </cell>
          <cell r="I3715">
            <v>90</v>
          </cell>
          <cell r="J3715">
            <v>90</v>
          </cell>
          <cell r="K3715">
            <v>90</v>
          </cell>
          <cell r="L3715">
            <v>90</v>
          </cell>
        </row>
        <row r="3716">
          <cell r="B3716" t="str">
            <v>Y20-5316100329-502</v>
          </cell>
          <cell r="D3716" t="str">
            <v>B</v>
          </cell>
          <cell r="E3716" t="str">
            <v>程序时间</v>
          </cell>
          <cell r="G3716">
            <v>30</v>
          </cell>
          <cell r="H3716">
            <v>60</v>
          </cell>
          <cell r="I3716">
            <v>50</v>
          </cell>
          <cell r="J3716">
            <v>90</v>
          </cell>
          <cell r="K3716">
            <v>90</v>
          </cell>
          <cell r="L3716">
            <v>85</v>
          </cell>
          <cell r="M3716">
            <v>60</v>
          </cell>
          <cell r="N3716">
            <v>20</v>
          </cell>
        </row>
        <row r="3717">
          <cell r="B3717" t="str">
            <v>DD-J10B-34303-4</v>
          </cell>
          <cell r="D3717" t="str">
            <v>B</v>
          </cell>
          <cell r="E3717" t="str">
            <v>工序内容</v>
          </cell>
          <cell r="F3717" t="str">
            <v>0/领料</v>
          </cell>
          <cell r="G3717" t="str">
            <v>5/数铣</v>
          </cell>
          <cell r="H3717" t="str">
            <v>10/数铣15</v>
          </cell>
          <cell r="I3717" t="str">
            <v>15/线切割</v>
          </cell>
          <cell r="J3717" t="str">
            <v>20/数铣6</v>
          </cell>
          <cell r="K3717" t="str">
            <v>25/数铣10</v>
          </cell>
          <cell r="L3717" t="str">
            <v>30/数铣20</v>
          </cell>
          <cell r="M3717" t="str">
            <v>35/铣试块</v>
          </cell>
          <cell r="N3717" t="str">
            <v>40/钳工</v>
          </cell>
          <cell r="O3717" t="str">
            <v>45/清洁</v>
          </cell>
          <cell r="P3717" t="str">
            <v>50/成检</v>
          </cell>
        </row>
        <row r="3718">
          <cell r="B3718" t="str">
            <v>DD-J10B-34303-4</v>
          </cell>
          <cell r="D3718" t="str">
            <v>B</v>
          </cell>
          <cell r="E3718" t="str">
            <v>准备工时</v>
          </cell>
          <cell r="G3718">
            <v>60</v>
          </cell>
          <cell r="H3718">
            <v>60</v>
          </cell>
          <cell r="J3718">
            <v>60</v>
          </cell>
          <cell r="K3718">
            <v>60</v>
          </cell>
          <cell r="L3718">
            <v>60</v>
          </cell>
        </row>
        <row r="3719">
          <cell r="B3719" t="str">
            <v>DD-J10B-34303-4</v>
          </cell>
          <cell r="D3719" t="str">
            <v>B</v>
          </cell>
          <cell r="E3719" t="str">
            <v>程序时间</v>
          </cell>
          <cell r="G3719">
            <v>20</v>
          </cell>
          <cell r="H3719">
            <v>35</v>
          </cell>
          <cell r="I3719">
            <v>30</v>
          </cell>
          <cell r="J3719">
            <v>20</v>
          </cell>
          <cell r="K3719">
            <v>25</v>
          </cell>
          <cell r="L3719">
            <v>35</v>
          </cell>
          <cell r="M3719">
            <v>15</v>
          </cell>
          <cell r="N3719">
            <v>30</v>
          </cell>
        </row>
        <row r="3720">
          <cell r="B3720" t="str">
            <v>DD-J10-54231-2-Z</v>
          </cell>
          <cell r="D3720" t="str">
            <v>A</v>
          </cell>
          <cell r="E3720" t="str">
            <v>工序内容</v>
          </cell>
          <cell r="F3720" t="str">
            <v>0/领料</v>
          </cell>
          <cell r="G3720" t="str">
            <v>05钳工</v>
          </cell>
          <cell r="H3720" t="str">
            <v>10普铣</v>
          </cell>
          <cell r="I3720" t="str">
            <v>15钳工</v>
          </cell>
          <cell r="J3720" t="str">
            <v>20普铣</v>
          </cell>
          <cell r="K3720" t="str">
            <v>25数铣130</v>
          </cell>
          <cell r="L3720" t="str">
            <v>30数铣120</v>
          </cell>
          <cell r="M3720" t="str">
            <v>35数铣60</v>
          </cell>
          <cell r="N3720" t="str">
            <v>40数铣25</v>
          </cell>
          <cell r="O3720" t="str">
            <v>45钳工</v>
          </cell>
          <cell r="P3720" t="str">
            <v>50热处理</v>
          </cell>
          <cell r="Q3720" t="str">
            <v>55数铣</v>
          </cell>
          <cell r="R3720" t="str">
            <v>60钳工</v>
          </cell>
          <cell r="S3720" t="str">
            <v>65数铣</v>
          </cell>
          <cell r="T3720" t="str">
            <v>70数铣120</v>
          </cell>
          <cell r="U3720" t="str">
            <v>75数铣35</v>
          </cell>
          <cell r="V3720" t="str">
            <v>80数铣180</v>
          </cell>
          <cell r="W3720" t="str">
            <v>85数铣180</v>
          </cell>
          <cell r="X3720" t="str">
            <v>90数铣300</v>
          </cell>
          <cell r="Y3720" t="str">
            <v>95数铣10</v>
          </cell>
          <cell r="Z3720" t="str">
            <v>100钳工</v>
          </cell>
          <cell r="AA3720" t="str">
            <v>105数铣35</v>
          </cell>
          <cell r="AB3720" t="str">
            <v>110钳工</v>
          </cell>
          <cell r="AC3720" t="str">
            <v>115清洁</v>
          </cell>
          <cell r="AD3720" t="str">
            <v>120测量</v>
          </cell>
          <cell r="AE3720" t="str">
            <v>125中间检验</v>
          </cell>
          <cell r="AF3720" t="str">
            <v>130热处理</v>
          </cell>
        </row>
        <row r="3721">
          <cell r="B3721" t="str">
            <v>DD-J10-54231-2-Z</v>
          </cell>
          <cell r="D3721" t="str">
            <v>A</v>
          </cell>
          <cell r="E3721" t="str">
            <v>准备工时</v>
          </cell>
          <cell r="H3721">
            <v>60</v>
          </cell>
          <cell r="J3721" t="str">
            <v>60</v>
          </cell>
          <cell r="K3721" t="str">
            <v>60</v>
          </cell>
          <cell r="L3721" t="str">
            <v>60</v>
          </cell>
          <cell r="M3721" t="str">
            <v>60</v>
          </cell>
          <cell r="N3721" t="str">
            <v>60</v>
          </cell>
          <cell r="Q3721">
            <v>90</v>
          </cell>
          <cell r="S3721">
            <v>60</v>
          </cell>
          <cell r="T3721">
            <v>60</v>
          </cell>
          <cell r="U3721">
            <v>60</v>
          </cell>
          <cell r="V3721">
            <v>60</v>
          </cell>
          <cell r="W3721">
            <v>60</v>
          </cell>
          <cell r="X3721">
            <v>90</v>
          </cell>
          <cell r="Y3721">
            <v>90</v>
          </cell>
          <cell r="AA3721">
            <v>90</v>
          </cell>
        </row>
        <row r="3722">
          <cell r="B3722" t="str">
            <v>DD-J10-54231-2-Z</v>
          </cell>
          <cell r="D3722" t="str">
            <v>A</v>
          </cell>
          <cell r="E3722" t="str">
            <v>程序时间</v>
          </cell>
          <cell r="G3722">
            <v>90</v>
          </cell>
          <cell r="H3722">
            <v>120</v>
          </cell>
          <cell r="I3722" t="str">
            <v>60</v>
          </cell>
          <cell r="J3722" t="str">
            <v>90</v>
          </cell>
          <cell r="K3722" t="str">
            <v>200</v>
          </cell>
          <cell r="L3722" t="str">
            <v>180</v>
          </cell>
          <cell r="M3722" t="str">
            <v>100</v>
          </cell>
          <cell r="N3722" t="str">
            <v>60</v>
          </cell>
          <cell r="O3722" t="str">
            <v>40</v>
          </cell>
          <cell r="Q3722">
            <v>90</v>
          </cell>
          <cell r="R3722">
            <v>30</v>
          </cell>
          <cell r="S3722">
            <v>70</v>
          </cell>
          <cell r="T3722">
            <v>170</v>
          </cell>
          <cell r="U3722">
            <v>60</v>
          </cell>
          <cell r="V3722">
            <v>240</v>
          </cell>
          <cell r="W3722">
            <v>240</v>
          </cell>
          <cell r="X3722">
            <v>480</v>
          </cell>
          <cell r="Y3722">
            <v>30</v>
          </cell>
          <cell r="Z3722">
            <v>10</v>
          </cell>
          <cell r="AA3722">
            <v>50</v>
          </cell>
          <cell r="AB3722">
            <v>40</v>
          </cell>
        </row>
        <row r="3723">
          <cell r="B3723" t="str">
            <v>DD-J10-54231-2-Y</v>
          </cell>
          <cell r="D3723" t="str">
            <v>A</v>
          </cell>
          <cell r="E3723" t="str">
            <v>工序内容</v>
          </cell>
          <cell r="F3723" t="str">
            <v>0/领料</v>
          </cell>
          <cell r="G3723" t="str">
            <v>05钳工</v>
          </cell>
          <cell r="H3723" t="str">
            <v>10普铣</v>
          </cell>
          <cell r="I3723" t="str">
            <v>15钳工</v>
          </cell>
          <cell r="J3723" t="str">
            <v>20普铣</v>
          </cell>
          <cell r="K3723" t="str">
            <v>25数铣130</v>
          </cell>
          <cell r="L3723" t="str">
            <v>30数铣120</v>
          </cell>
          <cell r="M3723" t="str">
            <v>35数铣60</v>
          </cell>
          <cell r="N3723" t="str">
            <v>40数铣25</v>
          </cell>
          <cell r="O3723" t="str">
            <v>45钳工</v>
          </cell>
          <cell r="P3723" t="str">
            <v>50热处理</v>
          </cell>
          <cell r="Q3723" t="str">
            <v>55数铣</v>
          </cell>
          <cell r="R3723" t="str">
            <v>60钳工</v>
          </cell>
          <cell r="S3723" t="str">
            <v>65数铣</v>
          </cell>
          <cell r="T3723" t="str">
            <v>70数铣120</v>
          </cell>
          <cell r="U3723" t="str">
            <v>75数铣35</v>
          </cell>
          <cell r="V3723" t="str">
            <v>80数铣180</v>
          </cell>
          <cell r="W3723" t="str">
            <v>85数铣180</v>
          </cell>
          <cell r="X3723" t="str">
            <v>90数铣300</v>
          </cell>
          <cell r="Y3723" t="str">
            <v>95数铣10</v>
          </cell>
          <cell r="Z3723" t="str">
            <v>100钳工</v>
          </cell>
          <cell r="AA3723" t="str">
            <v>105数铣35</v>
          </cell>
          <cell r="AB3723" t="str">
            <v>110钳工</v>
          </cell>
          <cell r="AC3723" t="str">
            <v>115清洁</v>
          </cell>
          <cell r="AD3723" t="str">
            <v>120测量</v>
          </cell>
          <cell r="AE3723" t="str">
            <v>125中间检验</v>
          </cell>
          <cell r="AF3723" t="str">
            <v>130热处理</v>
          </cell>
        </row>
        <row r="3724">
          <cell r="B3724" t="str">
            <v>DD-J10-54231-2-Y</v>
          </cell>
          <cell r="D3724" t="str">
            <v>A</v>
          </cell>
          <cell r="E3724" t="str">
            <v>准备工时</v>
          </cell>
          <cell r="H3724">
            <v>60</v>
          </cell>
          <cell r="J3724" t="str">
            <v>60</v>
          </cell>
          <cell r="K3724" t="str">
            <v>60</v>
          </cell>
          <cell r="L3724" t="str">
            <v>60</v>
          </cell>
          <cell r="M3724" t="str">
            <v>60</v>
          </cell>
          <cell r="N3724" t="str">
            <v>60</v>
          </cell>
          <cell r="Q3724">
            <v>90</v>
          </cell>
          <cell r="S3724">
            <v>60</v>
          </cell>
          <cell r="T3724">
            <v>60</v>
          </cell>
          <cell r="U3724">
            <v>60</v>
          </cell>
          <cell r="V3724">
            <v>60</v>
          </cell>
          <cell r="W3724">
            <v>60</v>
          </cell>
          <cell r="X3724">
            <v>90</v>
          </cell>
          <cell r="Y3724">
            <v>90</v>
          </cell>
          <cell r="AA3724">
            <v>90</v>
          </cell>
        </row>
        <row r="3725">
          <cell r="B3725" t="str">
            <v>DD-J10-54231-2-Y</v>
          </cell>
          <cell r="D3725" t="str">
            <v>A</v>
          </cell>
          <cell r="E3725" t="str">
            <v>程序时间</v>
          </cell>
          <cell r="G3725">
            <v>90</v>
          </cell>
          <cell r="H3725">
            <v>120</v>
          </cell>
          <cell r="I3725" t="str">
            <v>60</v>
          </cell>
          <cell r="J3725" t="str">
            <v>90</v>
          </cell>
          <cell r="K3725" t="str">
            <v>200</v>
          </cell>
          <cell r="L3725" t="str">
            <v>180</v>
          </cell>
          <cell r="M3725" t="str">
            <v>100</v>
          </cell>
          <cell r="N3725" t="str">
            <v>60</v>
          </cell>
          <cell r="O3725" t="str">
            <v>40</v>
          </cell>
          <cell r="Q3725">
            <v>90</v>
          </cell>
          <cell r="R3725">
            <v>30</v>
          </cell>
          <cell r="S3725">
            <v>70</v>
          </cell>
          <cell r="T3725">
            <v>170</v>
          </cell>
          <cell r="U3725">
            <v>60</v>
          </cell>
          <cell r="V3725">
            <v>240</v>
          </cell>
          <cell r="W3725">
            <v>240</v>
          </cell>
          <cell r="X3725">
            <v>480</v>
          </cell>
          <cell r="Y3725">
            <v>30</v>
          </cell>
          <cell r="Z3725">
            <v>10</v>
          </cell>
          <cell r="AA3725">
            <v>50</v>
          </cell>
          <cell r="AB3725">
            <v>40</v>
          </cell>
        </row>
        <row r="3726">
          <cell r="B3726" t="str">
            <v>DD-J10S-04031-1</v>
          </cell>
          <cell r="D3726" t="str">
            <v>A</v>
          </cell>
          <cell r="E3726" t="str">
            <v>工序内容</v>
          </cell>
          <cell r="F3726" t="str">
            <v>0/领料</v>
          </cell>
          <cell r="G3726" t="str">
            <v>5/数铣</v>
          </cell>
          <cell r="H3726" t="str">
            <v>10/数铣125</v>
          </cell>
          <cell r="I3726" t="str">
            <v>15/数铣35</v>
          </cell>
          <cell r="J3726" t="str">
            <v>20/数铣460</v>
          </cell>
          <cell r="K3726" t="str">
            <v>25/数铣460</v>
          </cell>
          <cell r="L3726" t="str">
            <v>30/时效</v>
          </cell>
          <cell r="M3726" t="str">
            <v>35/修面</v>
          </cell>
          <cell r="N3726" t="str">
            <v>40/数铣510</v>
          </cell>
          <cell r="O3726" t="str">
            <v>45五轴1800</v>
          </cell>
          <cell r="P3726" t="str">
            <v>50五轴2000</v>
          </cell>
          <cell r="Q3726" t="str">
            <v>55五轴120</v>
          </cell>
          <cell r="R3726" t="str">
            <v>60/测量</v>
          </cell>
          <cell r="S3726" t="str">
            <v>65/钳工</v>
          </cell>
          <cell r="T3726" t="str">
            <v>70清洁</v>
          </cell>
          <cell r="U3726" t="str">
            <v>75/成检</v>
          </cell>
        </row>
        <row r="3727">
          <cell r="B3727" t="str">
            <v>DD-J10S-04031-1</v>
          </cell>
          <cell r="D3727" t="str">
            <v>A</v>
          </cell>
          <cell r="E3727" t="str">
            <v>准备工时</v>
          </cell>
          <cell r="G3727">
            <v>90</v>
          </cell>
          <cell r="H3727">
            <v>120</v>
          </cell>
          <cell r="I3727">
            <v>90</v>
          </cell>
          <cell r="J3727">
            <v>60</v>
          </cell>
          <cell r="K3727">
            <v>60</v>
          </cell>
          <cell r="M3727">
            <v>90</v>
          </cell>
          <cell r="N3727">
            <v>90</v>
          </cell>
          <cell r="O3727">
            <v>240</v>
          </cell>
          <cell r="P3727">
            <v>240</v>
          </cell>
          <cell r="Q3727">
            <v>180</v>
          </cell>
        </row>
        <row r="3728">
          <cell r="B3728" t="str">
            <v>DD-J10S-04031-1</v>
          </cell>
          <cell r="D3728" t="str">
            <v>A</v>
          </cell>
          <cell r="E3728" t="str">
            <v>装夹时间</v>
          </cell>
          <cell r="G3728">
            <v>90</v>
          </cell>
          <cell r="H3728">
            <v>90</v>
          </cell>
          <cell r="I3728">
            <v>60</v>
          </cell>
          <cell r="J3728">
            <v>120</v>
          </cell>
          <cell r="K3728">
            <v>120</v>
          </cell>
          <cell r="M3728">
            <v>90</v>
          </cell>
          <cell r="N3728">
            <v>120</v>
          </cell>
          <cell r="O3728">
            <v>120</v>
          </cell>
          <cell r="P3728">
            <v>120</v>
          </cell>
          <cell r="Q3728">
            <v>120</v>
          </cell>
        </row>
        <row r="3729">
          <cell r="B3729" t="str">
            <v>DD-J10S-04031-1</v>
          </cell>
          <cell r="D3729" t="str">
            <v>A</v>
          </cell>
          <cell r="E3729" t="str">
            <v>程序时间</v>
          </cell>
          <cell r="G3729">
            <v>600</v>
          </cell>
          <cell r="H3729">
            <v>300</v>
          </cell>
          <cell r="I3729">
            <v>120</v>
          </cell>
          <cell r="J3729">
            <v>960</v>
          </cell>
          <cell r="K3729">
            <v>960</v>
          </cell>
          <cell r="M3729">
            <v>480</v>
          </cell>
          <cell r="N3729">
            <v>960</v>
          </cell>
          <cell r="O3729">
            <v>4500</v>
          </cell>
          <cell r="P3729">
            <v>6000</v>
          </cell>
          <cell r="Q3729">
            <v>480</v>
          </cell>
          <cell r="S3729">
            <v>2400</v>
          </cell>
        </row>
        <row r="3730">
          <cell r="B3730" t="str">
            <v>CB22924J0-001-001</v>
          </cell>
          <cell r="D3730" t="str">
            <v>D</v>
          </cell>
          <cell r="E3730" t="str">
            <v>工序内容</v>
          </cell>
          <cell r="F3730" t="str">
            <v>0/领料</v>
          </cell>
          <cell r="G3730" t="str">
            <v>5/下料</v>
          </cell>
          <cell r="H3730" t="str">
            <v>10/数铣</v>
          </cell>
          <cell r="I3730" t="str">
            <v>15/数铣10</v>
          </cell>
          <cell r="J3730" t="str">
            <v>20/数铣50</v>
          </cell>
          <cell r="K3730" t="str">
            <v>25/钳工</v>
          </cell>
          <cell r="L3730" t="str">
            <v>30/复验</v>
          </cell>
          <cell r="M3730" t="str">
            <v>35/分光</v>
          </cell>
          <cell r="N3730" t="str">
            <v>40/硬检</v>
          </cell>
          <cell r="O3730" t="str">
            <v>45/钳工</v>
          </cell>
          <cell r="P3730" t="str">
            <v>50/成检</v>
          </cell>
        </row>
        <row r="3731">
          <cell r="B3731" t="str">
            <v>CB22924J0-001-001</v>
          </cell>
          <cell r="D3731" t="str">
            <v>D</v>
          </cell>
          <cell r="E3731" t="str">
            <v>准备工时</v>
          </cell>
          <cell r="H3731">
            <v>60</v>
          </cell>
          <cell r="I3731">
            <v>60</v>
          </cell>
          <cell r="J3731">
            <v>60</v>
          </cell>
        </row>
        <row r="3732">
          <cell r="B3732" t="str">
            <v>CB22924J0-001-001</v>
          </cell>
          <cell r="D3732" t="str">
            <v>D</v>
          </cell>
          <cell r="E3732" t="str">
            <v>程序时间</v>
          </cell>
          <cell r="G3732">
            <v>10</v>
          </cell>
          <cell r="H3732">
            <v>60</v>
          </cell>
          <cell r="I3732">
            <v>25</v>
          </cell>
          <cell r="J3732">
            <v>85</v>
          </cell>
          <cell r="K3732">
            <v>30</v>
          </cell>
          <cell r="O3732">
            <v>5</v>
          </cell>
        </row>
        <row r="3733">
          <cell r="B3733" t="str">
            <v>Y20-5316100500-501</v>
          </cell>
          <cell r="D3733" t="str">
            <v>B</v>
          </cell>
          <cell r="E3733" t="str">
            <v>工序内容</v>
          </cell>
          <cell r="F3733" t="str">
            <v>0/领料</v>
          </cell>
          <cell r="G3733" t="str">
            <v>5/数铣</v>
          </cell>
          <cell r="H3733" t="str">
            <v>10/数铣30</v>
          </cell>
          <cell r="I3733" t="str">
            <v>15/数铣30</v>
          </cell>
          <cell r="J3733" t="str">
            <v>20/数铣5</v>
          </cell>
          <cell r="K3733" t="str">
            <v>25/数铣70</v>
          </cell>
          <cell r="L3733" t="str">
            <v>30/钳工</v>
          </cell>
          <cell r="M3733" t="str">
            <v>35/清洁</v>
          </cell>
          <cell r="N3733" t="str">
            <v>40/测量</v>
          </cell>
          <cell r="O3733" t="str">
            <v>45/成检</v>
          </cell>
        </row>
        <row r="3734">
          <cell r="B3734" t="str">
            <v>Y20-5316100500-501</v>
          </cell>
          <cell r="D3734" t="str">
            <v>B</v>
          </cell>
          <cell r="E3734" t="str">
            <v>准备工时</v>
          </cell>
          <cell r="G3734">
            <v>60</v>
          </cell>
          <cell r="H3734">
            <v>90</v>
          </cell>
          <cell r="I3734">
            <v>90</v>
          </cell>
          <cell r="J3734">
            <v>90</v>
          </cell>
          <cell r="K3734">
            <v>90</v>
          </cell>
        </row>
        <row r="3735">
          <cell r="B3735" t="str">
            <v>Y20-5316100500-501</v>
          </cell>
          <cell r="D3735" t="str">
            <v>B</v>
          </cell>
          <cell r="E3735" t="str">
            <v>程序时间</v>
          </cell>
          <cell r="G3735">
            <v>40</v>
          </cell>
          <cell r="H3735">
            <v>80</v>
          </cell>
          <cell r="I3735">
            <v>80</v>
          </cell>
          <cell r="J3735">
            <v>30</v>
          </cell>
          <cell r="K3735">
            <v>120</v>
          </cell>
          <cell r="L3735">
            <v>50</v>
          </cell>
        </row>
        <row r="3736">
          <cell r="B3736" t="str">
            <v>Y20-5316100500-502</v>
          </cell>
          <cell r="D3736" t="str">
            <v>B</v>
          </cell>
          <cell r="E3736" t="str">
            <v>工序内容</v>
          </cell>
          <cell r="F3736" t="str">
            <v>0/领料</v>
          </cell>
          <cell r="G3736" t="str">
            <v>5/数铣</v>
          </cell>
          <cell r="H3736" t="str">
            <v>10/数铣30</v>
          </cell>
          <cell r="I3736" t="str">
            <v>15/数铣30</v>
          </cell>
          <cell r="J3736" t="str">
            <v>20/数铣5</v>
          </cell>
          <cell r="K3736" t="str">
            <v>25/数铣70</v>
          </cell>
          <cell r="L3736" t="str">
            <v>30/钳工</v>
          </cell>
          <cell r="M3736" t="str">
            <v>35/清洁</v>
          </cell>
          <cell r="N3736" t="str">
            <v>40/测量</v>
          </cell>
          <cell r="O3736" t="str">
            <v>45/成检</v>
          </cell>
        </row>
        <row r="3737">
          <cell r="B3737" t="str">
            <v>Y20-5316100500-502</v>
          </cell>
          <cell r="D3737" t="str">
            <v>B</v>
          </cell>
          <cell r="E3737" t="str">
            <v>准备工时</v>
          </cell>
          <cell r="G3737">
            <v>60</v>
          </cell>
          <cell r="H3737">
            <v>90</v>
          </cell>
          <cell r="I3737">
            <v>90</v>
          </cell>
          <cell r="J3737">
            <v>90</v>
          </cell>
          <cell r="K3737">
            <v>90</v>
          </cell>
        </row>
        <row r="3738">
          <cell r="B3738" t="str">
            <v>Y20-5316100500-502</v>
          </cell>
          <cell r="D3738" t="str">
            <v>B</v>
          </cell>
          <cell r="E3738" t="str">
            <v>程序时间</v>
          </cell>
          <cell r="G3738">
            <v>40</v>
          </cell>
          <cell r="H3738">
            <v>80</v>
          </cell>
          <cell r="I3738">
            <v>80</v>
          </cell>
          <cell r="J3738">
            <v>30</v>
          </cell>
          <cell r="K3738">
            <v>120</v>
          </cell>
          <cell r="L3738">
            <v>50</v>
          </cell>
        </row>
        <row r="3739">
          <cell r="B3739" t="str">
            <v>531A3430-000-035</v>
          </cell>
          <cell r="D3739" t="str">
            <v>C</v>
          </cell>
          <cell r="E3739" t="str">
            <v>工序内容</v>
          </cell>
          <cell r="F3739" t="str">
            <v>00领料</v>
          </cell>
          <cell r="G3739" t="str">
            <v>05/数铣</v>
          </cell>
          <cell r="H3739" t="str">
            <v>10/数铣25</v>
          </cell>
          <cell r="I3739" t="str">
            <v>15/数铣45</v>
          </cell>
          <cell r="J3739" t="str">
            <v>20/数铣5</v>
          </cell>
          <cell r="K3739" t="str">
            <v>25/数铣5</v>
          </cell>
          <cell r="L3739" t="str">
            <v>30/数铣60</v>
          </cell>
          <cell r="M3739" t="str">
            <v>35/测量</v>
          </cell>
          <cell r="N3739" t="str">
            <v>40/钳工</v>
          </cell>
          <cell r="O3739" t="str">
            <v>45/清洁</v>
          </cell>
          <cell r="P3739" t="str">
            <v>50/成检</v>
          </cell>
        </row>
        <row r="3740">
          <cell r="B3740" t="str">
            <v>531A3430-000-035</v>
          </cell>
          <cell r="D3740" t="str">
            <v>C</v>
          </cell>
          <cell r="E3740" t="str">
            <v>准备工时</v>
          </cell>
          <cell r="G3740">
            <v>60</v>
          </cell>
          <cell r="H3740">
            <v>60</v>
          </cell>
          <cell r="I3740">
            <v>60</v>
          </cell>
          <cell r="J3740">
            <v>60</v>
          </cell>
          <cell r="K3740">
            <v>60</v>
          </cell>
          <cell r="L3740">
            <v>60</v>
          </cell>
        </row>
        <row r="3741">
          <cell r="B3741" t="str">
            <v>531A3430-000-035</v>
          </cell>
          <cell r="D3741" t="str">
            <v>C</v>
          </cell>
          <cell r="E3741" t="str">
            <v>程序时间</v>
          </cell>
          <cell r="G3741">
            <v>30</v>
          </cell>
          <cell r="H3741">
            <v>45</v>
          </cell>
          <cell r="I3741">
            <v>75</v>
          </cell>
          <cell r="J3741">
            <v>20</v>
          </cell>
          <cell r="K3741">
            <v>20</v>
          </cell>
          <cell r="L3741">
            <v>90</v>
          </cell>
          <cell r="N3741">
            <v>40</v>
          </cell>
        </row>
        <row r="3742">
          <cell r="B3742" t="str">
            <v>DD-J10-42074-90-1-Z</v>
          </cell>
          <cell r="D3742" t="str">
            <v>D</v>
          </cell>
          <cell r="E3742" t="str">
            <v>工序内容</v>
          </cell>
          <cell r="F3742" t="str">
            <v>0/领料</v>
          </cell>
          <cell r="G3742" t="str">
            <v>05/线切割</v>
          </cell>
          <cell r="H3742" t="str">
            <v>10/数铣</v>
          </cell>
          <cell r="I3742" t="str">
            <v>15/数铣30</v>
          </cell>
          <cell r="J3742" t="str">
            <v>20/装配</v>
          </cell>
          <cell r="K3742" t="str">
            <v>25/数铣80</v>
          </cell>
          <cell r="L3742" t="str">
            <v>30/数铣40</v>
          </cell>
          <cell r="M3742" t="str">
            <v>35/数铣40</v>
          </cell>
          <cell r="N3742" t="str">
            <v>40/数铣20</v>
          </cell>
          <cell r="O3742" t="str">
            <v>45/数洗20</v>
          </cell>
          <cell r="P3742" t="str">
            <v>50/数铣10</v>
          </cell>
          <cell r="Q3742" t="str">
            <v>55/数铣15</v>
          </cell>
          <cell r="R3742" t="str">
            <v>60/钳工</v>
          </cell>
          <cell r="S3742" t="str">
            <v>65/清洁</v>
          </cell>
          <cell r="T3742" t="str">
            <v>70/中检</v>
          </cell>
          <cell r="U3742" t="str">
            <v>75/分光</v>
          </cell>
          <cell r="V3742" t="str">
            <v>80/硬度</v>
          </cell>
          <cell r="W3742" t="str">
            <v>85/数铣</v>
          </cell>
          <cell r="X3742" t="str">
            <v>90/钳工</v>
          </cell>
          <cell r="Y3742" t="str">
            <v>95/成检</v>
          </cell>
        </row>
        <row r="3743">
          <cell r="B3743" t="str">
            <v>DD-J10-42074-90-1-Z</v>
          </cell>
          <cell r="D3743" t="str">
            <v>D</v>
          </cell>
          <cell r="E3743" t="str">
            <v>准备工时</v>
          </cell>
          <cell r="H3743">
            <v>60</v>
          </cell>
          <cell r="I3743">
            <v>60</v>
          </cell>
          <cell r="K3743">
            <v>60</v>
          </cell>
          <cell r="L3743">
            <v>60</v>
          </cell>
          <cell r="M3743">
            <v>60</v>
          </cell>
          <cell r="N3743" t="str">
            <v>60</v>
          </cell>
          <cell r="O3743" t="str">
            <v>60</v>
          </cell>
          <cell r="P3743">
            <v>60</v>
          </cell>
          <cell r="Q3743">
            <v>60</v>
          </cell>
          <cell r="W3743">
            <v>60</v>
          </cell>
        </row>
        <row r="3744">
          <cell r="B3744" t="str">
            <v>DD-J10-42074-90-1-Z</v>
          </cell>
          <cell r="D3744" t="str">
            <v>D</v>
          </cell>
          <cell r="E3744" t="str">
            <v>程序时间</v>
          </cell>
          <cell r="H3744">
            <v>25</v>
          </cell>
          <cell r="I3744">
            <v>45</v>
          </cell>
          <cell r="J3744">
            <v>10</v>
          </cell>
          <cell r="K3744">
            <v>150</v>
          </cell>
          <cell r="L3744">
            <v>70</v>
          </cell>
          <cell r="M3744">
            <v>70</v>
          </cell>
          <cell r="N3744" t="str">
            <v>35</v>
          </cell>
          <cell r="O3744" t="str">
            <v>35</v>
          </cell>
          <cell r="P3744">
            <v>40</v>
          </cell>
          <cell r="Q3744">
            <v>50</v>
          </cell>
          <cell r="R3744">
            <v>120</v>
          </cell>
          <cell r="W3744">
            <v>20</v>
          </cell>
          <cell r="X3744">
            <v>20</v>
          </cell>
        </row>
        <row r="3745">
          <cell r="B3745" t="str">
            <v>DD-J10-42074-90-1-Y</v>
          </cell>
          <cell r="D3745" t="str">
            <v>D</v>
          </cell>
          <cell r="E3745" t="str">
            <v>工序内容</v>
          </cell>
          <cell r="F3745" t="str">
            <v>0/领料</v>
          </cell>
          <cell r="G3745" t="str">
            <v>05/线切割</v>
          </cell>
          <cell r="H3745" t="str">
            <v>10/数铣</v>
          </cell>
          <cell r="I3745" t="str">
            <v>15/数铣30</v>
          </cell>
          <cell r="J3745" t="str">
            <v>20/装配</v>
          </cell>
          <cell r="K3745" t="str">
            <v>25/数铣80</v>
          </cell>
          <cell r="L3745" t="str">
            <v>30/数铣40</v>
          </cell>
          <cell r="M3745" t="str">
            <v>35/数铣40</v>
          </cell>
          <cell r="N3745" t="str">
            <v>40/数铣20</v>
          </cell>
          <cell r="O3745" t="str">
            <v>45/数洗20</v>
          </cell>
          <cell r="P3745" t="str">
            <v>50/数铣10</v>
          </cell>
          <cell r="Q3745" t="str">
            <v>55/数铣15</v>
          </cell>
          <cell r="R3745" t="str">
            <v>60/钳工</v>
          </cell>
          <cell r="S3745" t="str">
            <v>65/清洁</v>
          </cell>
          <cell r="T3745" t="str">
            <v>70/中检</v>
          </cell>
          <cell r="U3745" t="str">
            <v>75/分光</v>
          </cell>
          <cell r="V3745" t="str">
            <v>80/硬度</v>
          </cell>
          <cell r="W3745" t="str">
            <v>85/数铣</v>
          </cell>
          <cell r="X3745" t="str">
            <v>90/钳工</v>
          </cell>
          <cell r="Y3745" t="str">
            <v>95/成检</v>
          </cell>
        </row>
        <row r="3746">
          <cell r="B3746" t="str">
            <v>DD-J10-42074-90-1-Y</v>
          </cell>
          <cell r="D3746" t="str">
            <v>D</v>
          </cell>
          <cell r="E3746" t="str">
            <v>准备工时</v>
          </cell>
          <cell r="H3746">
            <v>60</v>
          </cell>
          <cell r="I3746">
            <v>60</v>
          </cell>
          <cell r="K3746">
            <v>60</v>
          </cell>
          <cell r="L3746">
            <v>60</v>
          </cell>
          <cell r="M3746">
            <v>60</v>
          </cell>
          <cell r="N3746" t="str">
            <v>60</v>
          </cell>
          <cell r="O3746" t="str">
            <v>60</v>
          </cell>
          <cell r="P3746">
            <v>60</v>
          </cell>
          <cell r="Q3746">
            <v>60</v>
          </cell>
          <cell r="W3746">
            <v>60</v>
          </cell>
        </row>
        <row r="3747">
          <cell r="B3747" t="str">
            <v>DD-J10-42074-90-1-Y</v>
          </cell>
          <cell r="D3747" t="str">
            <v>D</v>
          </cell>
          <cell r="E3747" t="str">
            <v>程序时间</v>
          </cell>
          <cell r="H3747">
            <v>25</v>
          </cell>
          <cell r="I3747">
            <v>45</v>
          </cell>
          <cell r="J3747">
            <v>10</v>
          </cell>
          <cell r="K3747">
            <v>150</v>
          </cell>
          <cell r="L3747">
            <v>70</v>
          </cell>
          <cell r="M3747">
            <v>70</v>
          </cell>
          <cell r="N3747" t="str">
            <v>35</v>
          </cell>
          <cell r="O3747" t="str">
            <v>35</v>
          </cell>
          <cell r="P3747">
            <v>40</v>
          </cell>
          <cell r="Q3747">
            <v>50</v>
          </cell>
          <cell r="R3747">
            <v>120</v>
          </cell>
          <cell r="W3747">
            <v>20</v>
          </cell>
          <cell r="X3747">
            <v>20</v>
          </cell>
        </row>
        <row r="3748">
          <cell r="B3748" t="str">
            <v>DD-J10-42074-90-1-Y</v>
          </cell>
          <cell r="D3748" t="str">
            <v>C</v>
          </cell>
          <cell r="E3748" t="str">
            <v>工序内容</v>
          </cell>
          <cell r="F3748" t="str">
            <v>0/领料</v>
          </cell>
          <cell r="G3748" t="str">
            <v>05/线切割</v>
          </cell>
          <cell r="H3748" t="str">
            <v>10/数铣</v>
          </cell>
          <cell r="I3748" t="str">
            <v>15/数铣30</v>
          </cell>
          <cell r="J3748" t="str">
            <v>20/装配</v>
          </cell>
          <cell r="K3748" t="str">
            <v>25/数铣80</v>
          </cell>
          <cell r="L3748" t="str">
            <v>30/数铣40</v>
          </cell>
          <cell r="M3748" t="str">
            <v>35/数铣40</v>
          </cell>
          <cell r="N3748" t="str">
            <v>40/数铣20</v>
          </cell>
          <cell r="O3748" t="str">
            <v>45/数洗20</v>
          </cell>
          <cell r="P3748" t="str">
            <v>50/数铣10</v>
          </cell>
          <cell r="Q3748" t="str">
            <v>55/数铣15</v>
          </cell>
          <cell r="R3748" t="str">
            <v>60/钳工</v>
          </cell>
          <cell r="S3748" t="str">
            <v>65/清洁</v>
          </cell>
          <cell r="T3748" t="str">
            <v>70/中检</v>
          </cell>
          <cell r="U3748" t="str">
            <v>75/分光</v>
          </cell>
          <cell r="V3748" t="str">
            <v>80/硬度</v>
          </cell>
          <cell r="W3748" t="str">
            <v>85/数铣</v>
          </cell>
          <cell r="X3748" t="str">
            <v>90/钳工</v>
          </cell>
          <cell r="Y3748" t="str">
            <v>95/成检</v>
          </cell>
        </row>
        <row r="3749">
          <cell r="B3749" t="str">
            <v>DD-J10-42074-90-1-Y</v>
          </cell>
          <cell r="D3749" t="str">
            <v>C</v>
          </cell>
          <cell r="E3749" t="str">
            <v>准备工时</v>
          </cell>
          <cell r="H3749">
            <v>60</v>
          </cell>
          <cell r="I3749">
            <v>60</v>
          </cell>
          <cell r="K3749">
            <v>60</v>
          </cell>
          <cell r="L3749">
            <v>60</v>
          </cell>
          <cell r="M3749">
            <v>60</v>
          </cell>
          <cell r="N3749" t="str">
            <v>60</v>
          </cell>
          <cell r="O3749" t="str">
            <v>60</v>
          </cell>
          <cell r="P3749">
            <v>60</v>
          </cell>
          <cell r="Q3749">
            <v>60</v>
          </cell>
          <cell r="W3749">
            <v>60</v>
          </cell>
        </row>
        <row r="3750">
          <cell r="B3750" t="str">
            <v>DD-J10-42074-90-1-Y</v>
          </cell>
          <cell r="D3750" t="str">
            <v>C</v>
          </cell>
          <cell r="E3750" t="str">
            <v>程序时间</v>
          </cell>
          <cell r="H3750">
            <v>25</v>
          </cell>
          <cell r="I3750">
            <v>45</v>
          </cell>
          <cell r="J3750">
            <v>10</v>
          </cell>
          <cell r="K3750">
            <v>150</v>
          </cell>
          <cell r="L3750">
            <v>70</v>
          </cell>
          <cell r="M3750">
            <v>70</v>
          </cell>
          <cell r="N3750" t="str">
            <v>35</v>
          </cell>
          <cell r="O3750" t="str">
            <v>35</v>
          </cell>
          <cell r="P3750">
            <v>40</v>
          </cell>
          <cell r="Q3750">
            <v>50</v>
          </cell>
          <cell r="R3750">
            <v>60</v>
          </cell>
          <cell r="W3750">
            <v>20</v>
          </cell>
          <cell r="X3750">
            <v>20</v>
          </cell>
        </row>
        <row r="3751">
          <cell r="B3751" t="str">
            <v>Y20-5316200018-501</v>
          </cell>
          <cell r="D3751" t="str">
            <v>A</v>
          </cell>
          <cell r="E3751" t="str">
            <v>工序内容</v>
          </cell>
          <cell r="F3751" t="str">
            <v>0/领料</v>
          </cell>
          <cell r="G3751" t="str">
            <v>5/数铣</v>
          </cell>
          <cell r="H3751" t="str">
            <v>10/数铣20</v>
          </cell>
          <cell r="I3751" t="str">
            <v>15/数铣20</v>
          </cell>
          <cell r="J3751" t="str">
            <v>20/数铣50</v>
          </cell>
          <cell r="K3751" t="str">
            <v>25/数铣</v>
          </cell>
          <cell r="L3751" t="str">
            <v>30/数铣10</v>
          </cell>
          <cell r="M3751" t="str">
            <v>35/数铣20</v>
          </cell>
          <cell r="N3751" t="str">
            <v>40/数铣120</v>
          </cell>
          <cell r="O3751" t="str">
            <v>45/测量</v>
          </cell>
          <cell r="P3751" t="str">
            <v>50/钳工</v>
          </cell>
          <cell r="R3751" t="str">
            <v>60/数铣</v>
          </cell>
          <cell r="S3751" t="str">
            <v>65/清洁</v>
          </cell>
          <cell r="T3751" t="str">
            <v>70/成检</v>
          </cell>
        </row>
        <row r="3752">
          <cell r="B3752" t="str">
            <v>Y20-5316200018-501</v>
          </cell>
          <cell r="D3752" t="str">
            <v>A</v>
          </cell>
          <cell r="E3752" t="str">
            <v>准备工时</v>
          </cell>
          <cell r="G3752">
            <v>60</v>
          </cell>
          <cell r="H3752">
            <v>90</v>
          </cell>
          <cell r="I3752">
            <v>90</v>
          </cell>
          <cell r="J3752">
            <v>90</v>
          </cell>
          <cell r="K3752">
            <v>60</v>
          </cell>
          <cell r="L3752">
            <v>90</v>
          </cell>
          <cell r="M3752">
            <v>90</v>
          </cell>
          <cell r="N3752">
            <v>120</v>
          </cell>
        </row>
        <row r="3753">
          <cell r="B3753" t="str">
            <v>Y20-5316200018-501</v>
          </cell>
          <cell r="D3753" t="str">
            <v>A</v>
          </cell>
          <cell r="E3753" t="str">
            <v>程序时间</v>
          </cell>
          <cell r="G3753">
            <v>90</v>
          </cell>
          <cell r="H3753">
            <v>60</v>
          </cell>
          <cell r="I3753">
            <v>60</v>
          </cell>
          <cell r="J3753">
            <v>80</v>
          </cell>
          <cell r="K3753">
            <v>150</v>
          </cell>
          <cell r="L3753">
            <v>30</v>
          </cell>
          <cell r="M3753">
            <v>40</v>
          </cell>
          <cell r="N3753">
            <v>180</v>
          </cell>
          <cell r="P3753">
            <v>80</v>
          </cell>
          <cell r="R3753">
            <v>20</v>
          </cell>
        </row>
        <row r="3754">
          <cell r="B3754" t="str">
            <v>CB22827C3-002-007</v>
          </cell>
          <cell r="D3754" t="str">
            <v>B</v>
          </cell>
          <cell r="E3754" t="str">
            <v>工序内容</v>
          </cell>
          <cell r="F3754" t="str">
            <v>0领料</v>
          </cell>
          <cell r="G3754" t="str">
            <v>05线切割</v>
          </cell>
          <cell r="H3754" t="str">
            <v>10数铣</v>
          </cell>
          <cell r="I3754" t="str">
            <v>15数铣10</v>
          </cell>
          <cell r="J3754" t="str">
            <v>20数铣20</v>
          </cell>
          <cell r="K3754" t="str">
            <v>25数铣10</v>
          </cell>
          <cell r="L3754" t="str">
            <v>30线切割</v>
          </cell>
          <cell r="M3754" t="str">
            <v>35数车15</v>
          </cell>
          <cell r="N3754" t="str">
            <v>40钳工</v>
          </cell>
          <cell r="O3754" t="str">
            <v>45分光</v>
          </cell>
          <cell r="P3754" t="str">
            <v>50数车15</v>
          </cell>
          <cell r="Q3754" t="str">
            <v>55穿孔机</v>
          </cell>
          <cell r="R3754" t="str">
            <v>60钳工</v>
          </cell>
          <cell r="S3754" t="str">
            <v>65清洁</v>
          </cell>
          <cell r="T3754" t="str">
            <v>70成检</v>
          </cell>
        </row>
        <row r="3755">
          <cell r="B3755" t="str">
            <v>CB22827C3-002-007</v>
          </cell>
          <cell r="D3755" t="str">
            <v>B</v>
          </cell>
          <cell r="E3755" t="str">
            <v>准备工时</v>
          </cell>
          <cell r="H3755">
            <v>60</v>
          </cell>
          <cell r="I3755">
            <v>90</v>
          </cell>
          <cell r="J3755">
            <v>90</v>
          </cell>
          <cell r="K3755">
            <v>60</v>
          </cell>
          <cell r="M3755">
            <v>150</v>
          </cell>
          <cell r="P3755">
            <v>180</v>
          </cell>
        </row>
        <row r="3756">
          <cell r="B3756" t="str">
            <v>CB22827C3-002-007</v>
          </cell>
          <cell r="D3756" t="str">
            <v>B</v>
          </cell>
          <cell r="E3756" t="str">
            <v>程序时间</v>
          </cell>
          <cell r="H3756">
            <v>40</v>
          </cell>
          <cell r="I3756">
            <v>40</v>
          </cell>
          <cell r="J3756">
            <v>40</v>
          </cell>
          <cell r="K3756">
            <v>30</v>
          </cell>
          <cell r="M3756">
            <v>35</v>
          </cell>
          <cell r="N3756">
            <v>35</v>
          </cell>
          <cell r="P3756">
            <v>45</v>
          </cell>
          <cell r="R3756">
            <v>30</v>
          </cell>
        </row>
        <row r="3757">
          <cell r="B3757" t="str">
            <v>DD-J10B-21302-40G2-1-Z</v>
          </cell>
          <cell r="D3757" t="str">
            <v>G</v>
          </cell>
          <cell r="E3757" t="str">
            <v>工序内容</v>
          </cell>
          <cell r="F3757" t="str">
            <v>0/领料</v>
          </cell>
          <cell r="G3757" t="str">
            <v>5/数铣</v>
          </cell>
          <cell r="H3757" t="str">
            <v>10/数铣40</v>
          </cell>
          <cell r="I3757" t="str">
            <v>15/数铣76</v>
          </cell>
          <cell r="J3757" t="str">
            <v>20/数铣50</v>
          </cell>
          <cell r="K3757" t="str">
            <v>25/数铣45</v>
          </cell>
          <cell r="L3757" t="str">
            <v>30/数铣25</v>
          </cell>
          <cell r="M3757" t="str">
            <v>35/数铣25</v>
          </cell>
          <cell r="N3757" t="str">
            <v>40/五轴153</v>
          </cell>
          <cell r="O3757" t="str">
            <v>45/数铣15</v>
          </cell>
          <cell r="P3757" t="str">
            <v>50/钳工</v>
          </cell>
          <cell r="Q3757" t="str">
            <v>55/测量</v>
          </cell>
          <cell r="R3757" t="str">
            <v>60/清洁</v>
          </cell>
          <cell r="S3757" t="str">
            <v>65/硬度</v>
          </cell>
          <cell r="T3757" t="str">
            <v>70/分光</v>
          </cell>
          <cell r="U3757" t="str">
            <v>75/检验</v>
          </cell>
          <cell r="V3757" t="str">
            <v>80/钳工</v>
          </cell>
          <cell r="W3757" t="str">
            <v>85/清洁</v>
          </cell>
          <cell r="X3757" t="str">
            <v>90/成检</v>
          </cell>
        </row>
        <row r="3758">
          <cell r="B3758" t="str">
            <v>DD-J10B-21302-40G2-1-Z</v>
          </cell>
          <cell r="D3758" t="str">
            <v>G</v>
          </cell>
          <cell r="E3758" t="str">
            <v>准备工时</v>
          </cell>
          <cell r="G3758">
            <v>60</v>
          </cell>
          <cell r="H3758">
            <v>100</v>
          </cell>
          <cell r="I3758">
            <v>100</v>
          </cell>
          <cell r="J3758">
            <v>100</v>
          </cell>
          <cell r="K3758">
            <v>120</v>
          </cell>
          <cell r="L3758">
            <v>60</v>
          </cell>
          <cell r="M3758">
            <v>60</v>
          </cell>
          <cell r="N3758">
            <v>120</v>
          </cell>
          <cell r="O3758">
            <v>90</v>
          </cell>
        </row>
        <row r="3759">
          <cell r="B3759" t="str">
            <v>DD-J10B-21302-40G2-1-Z</v>
          </cell>
          <cell r="D3759" t="str">
            <v>G</v>
          </cell>
          <cell r="E3759" t="str">
            <v>装夹时间</v>
          </cell>
          <cell r="L3759">
            <v>30</v>
          </cell>
          <cell r="M3759">
            <v>30</v>
          </cell>
          <cell r="N3759">
            <v>30</v>
          </cell>
        </row>
        <row r="3760">
          <cell r="B3760" t="str">
            <v>DD-J10B-21302-40G2-1-Z</v>
          </cell>
          <cell r="D3760" t="str">
            <v>G</v>
          </cell>
          <cell r="E3760" t="str">
            <v>程序时间</v>
          </cell>
          <cell r="G3760">
            <v>60</v>
          </cell>
          <cell r="H3760">
            <v>60</v>
          </cell>
          <cell r="I3760">
            <v>150</v>
          </cell>
          <cell r="J3760">
            <v>90</v>
          </cell>
          <cell r="K3760">
            <v>85</v>
          </cell>
          <cell r="L3760">
            <v>50</v>
          </cell>
          <cell r="M3760">
            <v>50</v>
          </cell>
          <cell r="N3760">
            <v>360</v>
          </cell>
          <cell r="O3760">
            <v>60</v>
          </cell>
          <cell r="P3760">
            <v>180</v>
          </cell>
        </row>
        <row r="3761">
          <cell r="B3761" t="str">
            <v>DD-J10B-21302-40G2-1-Y</v>
          </cell>
          <cell r="D3761" t="str">
            <v>G</v>
          </cell>
          <cell r="E3761" t="str">
            <v>工序内容</v>
          </cell>
          <cell r="F3761" t="str">
            <v>0/领料</v>
          </cell>
          <cell r="G3761" t="str">
            <v>5/数铣</v>
          </cell>
          <cell r="H3761" t="str">
            <v>10/数铣40</v>
          </cell>
          <cell r="I3761" t="str">
            <v>15/数铣76</v>
          </cell>
          <cell r="J3761" t="str">
            <v>20/数铣50</v>
          </cell>
          <cell r="K3761" t="str">
            <v>25/数铣45</v>
          </cell>
          <cell r="L3761" t="str">
            <v>30/数铣25</v>
          </cell>
          <cell r="M3761" t="str">
            <v>35/数铣25</v>
          </cell>
          <cell r="N3761" t="str">
            <v>40/五轴153</v>
          </cell>
          <cell r="O3761" t="str">
            <v>45/数铣15</v>
          </cell>
          <cell r="P3761" t="str">
            <v>50/钳工</v>
          </cell>
          <cell r="Q3761" t="str">
            <v>55/测量</v>
          </cell>
          <cell r="R3761" t="str">
            <v>60/清洁</v>
          </cell>
          <cell r="S3761" t="str">
            <v>65/硬度</v>
          </cell>
          <cell r="T3761" t="str">
            <v>70/分光</v>
          </cell>
          <cell r="U3761" t="str">
            <v>75/检验</v>
          </cell>
          <cell r="V3761" t="str">
            <v>80/钳工</v>
          </cell>
          <cell r="W3761" t="str">
            <v>85/清洁</v>
          </cell>
          <cell r="X3761" t="str">
            <v>90/成检</v>
          </cell>
        </row>
        <row r="3762">
          <cell r="B3762" t="str">
            <v>DD-J10B-21302-40G2-1-Y</v>
          </cell>
          <cell r="D3762" t="str">
            <v>G</v>
          </cell>
          <cell r="E3762" t="str">
            <v>准备工时</v>
          </cell>
          <cell r="G3762">
            <v>60</v>
          </cell>
          <cell r="H3762">
            <v>100</v>
          </cell>
          <cell r="I3762">
            <v>100</v>
          </cell>
          <cell r="J3762">
            <v>100</v>
          </cell>
          <cell r="K3762">
            <v>120</v>
          </cell>
          <cell r="L3762">
            <v>60</v>
          </cell>
          <cell r="M3762">
            <v>60</v>
          </cell>
          <cell r="N3762">
            <v>120</v>
          </cell>
          <cell r="O3762">
            <v>90</v>
          </cell>
        </row>
        <row r="3763">
          <cell r="B3763" t="str">
            <v>DD-J10B-21302-40G2-1-Y</v>
          </cell>
          <cell r="D3763" t="str">
            <v>G</v>
          </cell>
          <cell r="E3763" t="str">
            <v>装夹时间</v>
          </cell>
          <cell r="L3763">
            <v>30</v>
          </cell>
          <cell r="M3763">
            <v>30</v>
          </cell>
          <cell r="N3763">
            <v>30</v>
          </cell>
        </row>
        <row r="3764">
          <cell r="B3764" t="str">
            <v>DD-J10B-21302-40G2-1-Y</v>
          </cell>
          <cell r="D3764" t="str">
            <v>G</v>
          </cell>
          <cell r="E3764" t="str">
            <v>程序时间</v>
          </cell>
          <cell r="G3764">
            <v>60</v>
          </cell>
          <cell r="H3764">
            <v>60</v>
          </cell>
          <cell r="I3764">
            <v>150</v>
          </cell>
          <cell r="J3764">
            <v>90</v>
          </cell>
          <cell r="K3764">
            <v>85</v>
          </cell>
          <cell r="L3764">
            <v>50</v>
          </cell>
          <cell r="M3764">
            <v>50</v>
          </cell>
          <cell r="N3764">
            <v>360</v>
          </cell>
          <cell r="O3764">
            <v>60</v>
          </cell>
          <cell r="P3764">
            <v>180</v>
          </cell>
        </row>
        <row r="3765">
          <cell r="B3765" t="str">
            <v>CB2298611-001-001</v>
          </cell>
          <cell r="D3765" t="str">
            <v>F</v>
          </cell>
          <cell r="E3765" t="str">
            <v>工序内容</v>
          </cell>
          <cell r="F3765" t="str">
            <v>0/领料</v>
          </cell>
          <cell r="G3765" t="str">
            <v>5/下料</v>
          </cell>
          <cell r="H3765" t="str">
            <v>10/钳工</v>
          </cell>
          <cell r="I3765" t="str">
            <v>15/数铣</v>
          </cell>
          <cell r="J3765" t="str">
            <v>20/数铣10</v>
          </cell>
          <cell r="K3765" t="str">
            <v>25/数铣30</v>
          </cell>
          <cell r="L3765" t="str">
            <v>30/钳工</v>
          </cell>
          <cell r="M3765" t="str">
            <v>35/硬检</v>
          </cell>
          <cell r="N3765" t="str">
            <v>40/分光</v>
          </cell>
          <cell r="O3765" t="str">
            <v>45/线切割</v>
          </cell>
          <cell r="P3765" t="str">
            <v>50/钳工</v>
          </cell>
          <cell r="Q3765" t="str">
            <v>55/清洁</v>
          </cell>
          <cell r="R3765" t="str">
            <v>60/成检</v>
          </cell>
        </row>
        <row r="3766">
          <cell r="B3766" t="str">
            <v>CB2298611-001-001</v>
          </cell>
          <cell r="D3766" t="str">
            <v>F</v>
          </cell>
          <cell r="E3766" t="str">
            <v>准备工时</v>
          </cell>
          <cell r="I3766">
            <v>60</v>
          </cell>
          <cell r="J3766">
            <v>60</v>
          </cell>
          <cell r="K3766">
            <v>60</v>
          </cell>
        </row>
        <row r="3767">
          <cell r="B3767" t="str">
            <v>CB2298611-001-001</v>
          </cell>
          <cell r="D3767" t="str">
            <v>F</v>
          </cell>
          <cell r="E3767" t="str">
            <v>程序时间</v>
          </cell>
          <cell r="I3767">
            <v>40</v>
          </cell>
          <cell r="J3767">
            <v>20</v>
          </cell>
          <cell r="K3767">
            <v>30</v>
          </cell>
          <cell r="L3767">
            <v>20</v>
          </cell>
          <cell r="P3767">
            <v>20</v>
          </cell>
        </row>
        <row r="3768">
          <cell r="B3768" t="str">
            <v>Y20-5315200122-501</v>
          </cell>
          <cell r="D3768" t="str">
            <v>B</v>
          </cell>
          <cell r="E3768" t="str">
            <v>工序内容</v>
          </cell>
          <cell r="F3768" t="str">
            <v>0/领料</v>
          </cell>
          <cell r="G3768" t="str">
            <v>5/数铣</v>
          </cell>
          <cell r="H3768" t="str">
            <v>10/数铣40</v>
          </cell>
          <cell r="I3768" t="str">
            <v>15/数铣50</v>
          </cell>
          <cell r="J3768" t="str">
            <v>20/数铣60</v>
          </cell>
          <cell r="K3768" t="str">
            <v>25/数铣40</v>
          </cell>
          <cell r="L3768" t="str">
            <v>30/数铣40</v>
          </cell>
          <cell r="M3768" t="str">
            <v>35/数铣40</v>
          </cell>
          <cell r="N3768" t="str">
            <v>40/数铣10</v>
          </cell>
          <cell r="O3768" t="str">
            <v>45/测量</v>
          </cell>
          <cell r="P3768" t="str">
            <v>50/钳工</v>
          </cell>
          <cell r="Q3768" t="str">
            <v>55清洁</v>
          </cell>
          <cell r="R3768" t="str">
            <v>60成检</v>
          </cell>
        </row>
        <row r="3769">
          <cell r="B3769" t="str">
            <v>Y20-5315200122-501</v>
          </cell>
          <cell r="D3769" t="str">
            <v>B</v>
          </cell>
          <cell r="E3769" t="str">
            <v>准备工时</v>
          </cell>
          <cell r="G3769">
            <v>60</v>
          </cell>
          <cell r="H3769">
            <v>90</v>
          </cell>
          <cell r="I3769">
            <v>60</v>
          </cell>
          <cell r="J3769">
            <v>90</v>
          </cell>
          <cell r="K3769">
            <v>60</v>
          </cell>
          <cell r="L3769">
            <v>60</v>
          </cell>
          <cell r="M3769">
            <v>60</v>
          </cell>
          <cell r="N3769">
            <v>60</v>
          </cell>
        </row>
        <row r="3770">
          <cell r="B3770" t="str">
            <v>Y20-5315200122-501</v>
          </cell>
          <cell r="D3770" t="str">
            <v>B</v>
          </cell>
          <cell r="E3770" t="str">
            <v>程序时间</v>
          </cell>
          <cell r="G3770">
            <v>90</v>
          </cell>
          <cell r="H3770">
            <v>60</v>
          </cell>
          <cell r="I3770">
            <v>80</v>
          </cell>
          <cell r="J3770">
            <v>90</v>
          </cell>
          <cell r="K3770">
            <v>60</v>
          </cell>
          <cell r="L3770">
            <v>60</v>
          </cell>
          <cell r="M3770">
            <v>60</v>
          </cell>
          <cell r="N3770">
            <v>30</v>
          </cell>
          <cell r="P3770">
            <v>120</v>
          </cell>
        </row>
        <row r="3771">
          <cell r="B3771" t="str">
            <v>Y20-5315200122-502</v>
          </cell>
          <cell r="D3771" t="str">
            <v>B</v>
          </cell>
          <cell r="E3771" t="str">
            <v>工序内容</v>
          </cell>
          <cell r="F3771" t="str">
            <v>0/领料</v>
          </cell>
          <cell r="G3771" t="str">
            <v>5/数铣</v>
          </cell>
          <cell r="H3771" t="str">
            <v>10/数铣40</v>
          </cell>
          <cell r="I3771" t="str">
            <v>15/数铣50</v>
          </cell>
          <cell r="J3771" t="str">
            <v>20/数铣60</v>
          </cell>
          <cell r="K3771" t="str">
            <v>25/数铣40</v>
          </cell>
          <cell r="L3771" t="str">
            <v>30/数铣40</v>
          </cell>
          <cell r="M3771" t="str">
            <v>35/数铣40</v>
          </cell>
          <cell r="N3771" t="str">
            <v>40/数铣10</v>
          </cell>
          <cell r="O3771" t="str">
            <v>45/测量</v>
          </cell>
          <cell r="P3771" t="str">
            <v>50/钳工</v>
          </cell>
          <cell r="Q3771" t="str">
            <v>55清洁</v>
          </cell>
          <cell r="R3771" t="str">
            <v>60成检</v>
          </cell>
        </row>
        <row r="3772">
          <cell r="B3772" t="str">
            <v>Y20-5315200122-502</v>
          </cell>
          <cell r="D3772" t="str">
            <v>B</v>
          </cell>
          <cell r="E3772" t="str">
            <v>准备工时</v>
          </cell>
          <cell r="G3772">
            <v>60</v>
          </cell>
          <cell r="H3772">
            <v>90</v>
          </cell>
          <cell r="I3772">
            <v>60</v>
          </cell>
          <cell r="J3772">
            <v>90</v>
          </cell>
          <cell r="K3772">
            <v>60</v>
          </cell>
          <cell r="L3772">
            <v>60</v>
          </cell>
          <cell r="M3772">
            <v>60</v>
          </cell>
          <cell r="N3772">
            <v>60</v>
          </cell>
        </row>
        <row r="3773">
          <cell r="B3773" t="str">
            <v>Y20-5315200122-502</v>
          </cell>
          <cell r="D3773" t="str">
            <v>B</v>
          </cell>
          <cell r="E3773" t="str">
            <v>程序时间</v>
          </cell>
          <cell r="G3773">
            <v>90</v>
          </cell>
          <cell r="H3773">
            <v>60</v>
          </cell>
          <cell r="I3773">
            <v>80</v>
          </cell>
          <cell r="J3773">
            <v>90</v>
          </cell>
          <cell r="K3773">
            <v>60</v>
          </cell>
          <cell r="L3773">
            <v>60</v>
          </cell>
          <cell r="M3773">
            <v>60</v>
          </cell>
          <cell r="N3773">
            <v>30</v>
          </cell>
          <cell r="P3773">
            <v>120</v>
          </cell>
        </row>
        <row r="3774">
          <cell r="B3774" t="str">
            <v>CB5327120-002L033</v>
          </cell>
          <cell r="D3774" t="str">
            <v>D</v>
          </cell>
          <cell r="E3774" t="str">
            <v>工序内容</v>
          </cell>
          <cell r="F3774" t="str">
            <v>0/领料</v>
          </cell>
          <cell r="G3774" t="str">
            <v>5/钳工</v>
          </cell>
          <cell r="H3774" t="str">
            <v>10/数铣</v>
          </cell>
          <cell r="I3774" t="str">
            <v>15/数铣40</v>
          </cell>
          <cell r="J3774" t="str">
            <v>20/数铣20</v>
          </cell>
          <cell r="K3774" t="str">
            <v>25/数铣150</v>
          </cell>
          <cell r="L3774" t="str">
            <v>30/数铣250</v>
          </cell>
          <cell r="M3774" t="str">
            <v>35/五轴35</v>
          </cell>
          <cell r="N3774" t="str">
            <v>40/数铣160</v>
          </cell>
          <cell r="O3774" t="str">
            <v>45/钳工</v>
          </cell>
          <cell r="P3774" t="str">
            <v>50/测量</v>
          </cell>
          <cell r="Q3774" t="str">
            <v>55/钳工</v>
          </cell>
          <cell r="R3774" t="str">
            <v>60/无</v>
          </cell>
          <cell r="S3774" t="str">
            <v>65/五轴25</v>
          </cell>
          <cell r="T3774" t="str">
            <v>70/钳工减重</v>
          </cell>
          <cell r="U3774" t="str">
            <v>75/返厂</v>
          </cell>
          <cell r="V3774" t="str">
            <v>80/返厂</v>
          </cell>
          <cell r="W3774" t="str">
            <v>85/返厂</v>
          </cell>
          <cell r="X3774" t="str">
            <v>90/钳工</v>
          </cell>
          <cell r="Y3774" t="str">
            <v>95/成检</v>
          </cell>
        </row>
        <row r="3775">
          <cell r="B3775" t="str">
            <v>CB5327120-002L033</v>
          </cell>
          <cell r="D3775" t="str">
            <v>D</v>
          </cell>
          <cell r="E3775" t="str">
            <v>准备工时</v>
          </cell>
          <cell r="H3775">
            <v>60</v>
          </cell>
          <cell r="I3775">
            <v>60</v>
          </cell>
          <cell r="J3775">
            <v>60</v>
          </cell>
          <cell r="K3775">
            <v>90</v>
          </cell>
          <cell r="L3775">
            <v>60</v>
          </cell>
          <cell r="M3775">
            <v>120</v>
          </cell>
          <cell r="N3775">
            <v>90</v>
          </cell>
          <cell r="S3775">
            <v>120</v>
          </cell>
        </row>
        <row r="3776">
          <cell r="B3776" t="str">
            <v>CB5327120-002L033</v>
          </cell>
          <cell r="D3776" t="str">
            <v>D</v>
          </cell>
          <cell r="E3776" t="str">
            <v>装夹时间</v>
          </cell>
          <cell r="H3776">
            <v>60</v>
          </cell>
          <cell r="I3776">
            <v>60</v>
          </cell>
          <cell r="J3776">
            <v>60</v>
          </cell>
          <cell r="K3776">
            <v>60</v>
          </cell>
          <cell r="L3776">
            <v>60</v>
          </cell>
          <cell r="M3776">
            <v>60</v>
          </cell>
          <cell r="N3776">
            <v>60</v>
          </cell>
          <cell r="O3776">
            <v>60</v>
          </cell>
          <cell r="S3776">
            <v>60</v>
          </cell>
        </row>
        <row r="3777">
          <cell r="B3777" t="str">
            <v>CB5327120-002L033</v>
          </cell>
          <cell r="D3777" t="str">
            <v>D</v>
          </cell>
          <cell r="E3777" t="str">
            <v>程序时间</v>
          </cell>
          <cell r="G3777">
            <v>60</v>
          </cell>
          <cell r="H3777">
            <v>90</v>
          </cell>
          <cell r="I3777">
            <v>60</v>
          </cell>
          <cell r="J3777">
            <v>30</v>
          </cell>
          <cell r="K3777">
            <v>260</v>
          </cell>
          <cell r="L3777">
            <v>380</v>
          </cell>
          <cell r="M3777">
            <v>120</v>
          </cell>
          <cell r="N3777">
            <v>250</v>
          </cell>
          <cell r="O3777">
            <v>30</v>
          </cell>
          <cell r="Q3777">
            <v>180</v>
          </cell>
          <cell r="S3777">
            <v>90</v>
          </cell>
          <cell r="T3777">
            <v>45</v>
          </cell>
          <cell r="X3777">
            <v>5</v>
          </cell>
        </row>
        <row r="3778">
          <cell r="B3778" t="str">
            <v>CB5327120-002R033</v>
          </cell>
          <cell r="D3778" t="str">
            <v>D</v>
          </cell>
          <cell r="E3778" t="str">
            <v>工序内容</v>
          </cell>
          <cell r="F3778" t="str">
            <v>0/领料</v>
          </cell>
          <cell r="G3778" t="str">
            <v>5/钳工</v>
          </cell>
          <cell r="H3778" t="str">
            <v>10/数铣</v>
          </cell>
          <cell r="I3778" t="str">
            <v>15/数铣40</v>
          </cell>
          <cell r="J3778" t="str">
            <v>20/数铣20</v>
          </cell>
          <cell r="K3778" t="str">
            <v>25/数铣150</v>
          </cell>
          <cell r="L3778" t="str">
            <v>30/数铣250</v>
          </cell>
          <cell r="M3778" t="str">
            <v>35/五轴35</v>
          </cell>
          <cell r="N3778" t="str">
            <v>40/数铣160</v>
          </cell>
          <cell r="O3778" t="str">
            <v>45/钳工</v>
          </cell>
          <cell r="P3778" t="str">
            <v>50/测量</v>
          </cell>
          <cell r="Q3778" t="str">
            <v>55/钳工</v>
          </cell>
          <cell r="R3778" t="str">
            <v>60/无</v>
          </cell>
          <cell r="S3778" t="str">
            <v>65/五轴25</v>
          </cell>
          <cell r="T3778" t="str">
            <v>70/钳工减重</v>
          </cell>
          <cell r="U3778" t="str">
            <v>75/返厂</v>
          </cell>
          <cell r="V3778" t="str">
            <v>80/返厂</v>
          </cell>
          <cell r="W3778" t="str">
            <v>85/返厂</v>
          </cell>
          <cell r="X3778" t="str">
            <v>90/钳工</v>
          </cell>
          <cell r="Y3778" t="str">
            <v>95/成检</v>
          </cell>
        </row>
        <row r="3779">
          <cell r="B3779" t="str">
            <v>CB5327120-002R033</v>
          </cell>
          <cell r="D3779" t="str">
            <v>D</v>
          </cell>
          <cell r="E3779" t="str">
            <v>准备工时</v>
          </cell>
          <cell r="H3779">
            <v>60</v>
          </cell>
          <cell r="I3779">
            <v>60</v>
          </cell>
          <cell r="J3779">
            <v>60</v>
          </cell>
          <cell r="K3779">
            <v>90</v>
          </cell>
          <cell r="L3779">
            <v>60</v>
          </cell>
          <cell r="M3779">
            <v>120</v>
          </cell>
          <cell r="N3779">
            <v>90</v>
          </cell>
          <cell r="S3779">
            <v>120</v>
          </cell>
        </row>
        <row r="3780">
          <cell r="B3780" t="str">
            <v>CB5327120-002R033</v>
          </cell>
          <cell r="D3780" t="str">
            <v>D</v>
          </cell>
          <cell r="E3780" t="str">
            <v>装夹时间</v>
          </cell>
          <cell r="H3780">
            <v>60</v>
          </cell>
          <cell r="I3780">
            <v>60</v>
          </cell>
          <cell r="J3780">
            <v>60</v>
          </cell>
          <cell r="K3780">
            <v>60</v>
          </cell>
          <cell r="L3780">
            <v>60</v>
          </cell>
          <cell r="M3780">
            <v>60</v>
          </cell>
          <cell r="N3780">
            <v>60</v>
          </cell>
          <cell r="O3780">
            <v>60</v>
          </cell>
          <cell r="S3780">
            <v>60</v>
          </cell>
        </row>
        <row r="3781">
          <cell r="B3781" t="str">
            <v>CB5327120-002R033</v>
          </cell>
          <cell r="D3781" t="str">
            <v>D</v>
          </cell>
          <cell r="E3781" t="str">
            <v>程序时间</v>
          </cell>
          <cell r="G3781">
            <v>60</v>
          </cell>
          <cell r="H3781">
            <v>90</v>
          </cell>
          <cell r="I3781">
            <v>60</v>
          </cell>
          <cell r="J3781">
            <v>30</v>
          </cell>
          <cell r="K3781">
            <v>260</v>
          </cell>
          <cell r="L3781">
            <v>380</v>
          </cell>
          <cell r="M3781">
            <v>120</v>
          </cell>
          <cell r="N3781">
            <v>250</v>
          </cell>
          <cell r="O3781">
            <v>30</v>
          </cell>
          <cell r="Q3781">
            <v>180</v>
          </cell>
          <cell r="S3781">
            <v>90</v>
          </cell>
          <cell r="T3781">
            <v>45</v>
          </cell>
          <cell r="X3781">
            <v>5</v>
          </cell>
        </row>
        <row r="3782">
          <cell r="B3782" t="str">
            <v>DD-J10B-94011-701</v>
          </cell>
          <cell r="D3782" t="str">
            <v>B</v>
          </cell>
          <cell r="E3782" t="str">
            <v>工序内容</v>
          </cell>
          <cell r="F3782" t="str">
            <v>0/领料</v>
          </cell>
          <cell r="G3782" t="str">
            <v>05/数铣</v>
          </cell>
          <cell r="H3782" t="str">
            <v>10/数铣30</v>
          </cell>
          <cell r="I3782" t="str">
            <v>15/数铣10</v>
          </cell>
          <cell r="J3782" t="str">
            <v>20/数铣10</v>
          </cell>
          <cell r="K3782" t="str">
            <v>25/数铣20</v>
          </cell>
          <cell r="L3782" t="str">
            <v>30/钳工</v>
          </cell>
          <cell r="M3782" t="str">
            <v>35/分光</v>
          </cell>
          <cell r="N3782" t="str">
            <v>40/硬度</v>
          </cell>
          <cell r="O3782" t="str">
            <v>45/钳工</v>
          </cell>
          <cell r="P3782" t="str">
            <v>50/清洁</v>
          </cell>
          <cell r="Q3782" t="str">
            <v>55/成检</v>
          </cell>
        </row>
        <row r="3783">
          <cell r="B3783" t="str">
            <v>DD-J10B-94011-701</v>
          </cell>
          <cell r="D3783" t="str">
            <v>B</v>
          </cell>
          <cell r="E3783" t="str">
            <v>准备工时</v>
          </cell>
          <cell r="G3783">
            <v>60</v>
          </cell>
          <cell r="H3783">
            <v>120</v>
          </cell>
          <cell r="I3783">
            <v>90</v>
          </cell>
          <cell r="J3783">
            <v>90</v>
          </cell>
          <cell r="K3783">
            <v>60</v>
          </cell>
        </row>
        <row r="3784">
          <cell r="B3784" t="str">
            <v>DD-J10B-94011-701</v>
          </cell>
          <cell r="D3784" t="str">
            <v>B</v>
          </cell>
          <cell r="E3784" t="str">
            <v>程序时间</v>
          </cell>
          <cell r="G3784">
            <v>20</v>
          </cell>
          <cell r="H3784">
            <v>60</v>
          </cell>
          <cell r="I3784">
            <v>30</v>
          </cell>
          <cell r="J3784">
            <v>30</v>
          </cell>
          <cell r="K3784">
            <v>40</v>
          </cell>
          <cell r="L3784">
            <v>35</v>
          </cell>
          <cell r="O3784">
            <v>10</v>
          </cell>
        </row>
        <row r="3785">
          <cell r="B3785" t="str">
            <v>Y20-5316100500-501/502</v>
          </cell>
          <cell r="D3785" t="str">
            <v>B</v>
          </cell>
          <cell r="E3785" t="str">
            <v>工序内容</v>
          </cell>
          <cell r="F3785" t="str">
            <v>0/领料</v>
          </cell>
          <cell r="G3785" t="str">
            <v>5/数铣</v>
          </cell>
          <cell r="H3785" t="str">
            <v>10/数铣30</v>
          </cell>
          <cell r="I3785" t="str">
            <v>15/数铣30</v>
          </cell>
          <cell r="J3785" t="str">
            <v>20/数铣5</v>
          </cell>
          <cell r="K3785" t="str">
            <v>25/数铣70</v>
          </cell>
          <cell r="L3785" t="str">
            <v>30/钳工</v>
          </cell>
          <cell r="M3785" t="str">
            <v>35/清洁</v>
          </cell>
          <cell r="N3785" t="str">
            <v>40/测量</v>
          </cell>
          <cell r="O3785" t="str">
            <v>45/成检</v>
          </cell>
        </row>
        <row r="3786">
          <cell r="B3786" t="str">
            <v>Y20-5316100500-501/502</v>
          </cell>
          <cell r="D3786" t="str">
            <v>B</v>
          </cell>
          <cell r="E3786" t="str">
            <v>准备工时</v>
          </cell>
          <cell r="G3786">
            <v>60</v>
          </cell>
          <cell r="H3786">
            <v>90</v>
          </cell>
          <cell r="I3786">
            <v>90</v>
          </cell>
          <cell r="J3786">
            <v>90</v>
          </cell>
          <cell r="K3786">
            <v>90</v>
          </cell>
        </row>
        <row r="3787">
          <cell r="B3787" t="str">
            <v>Y20-5316100500-501/502</v>
          </cell>
          <cell r="D3787" t="str">
            <v>B</v>
          </cell>
          <cell r="E3787" t="str">
            <v>程序时间</v>
          </cell>
          <cell r="G3787">
            <v>40</v>
          </cell>
          <cell r="H3787">
            <v>80</v>
          </cell>
          <cell r="I3787">
            <v>80</v>
          </cell>
          <cell r="J3787">
            <v>30</v>
          </cell>
          <cell r="K3787">
            <v>120</v>
          </cell>
          <cell r="L3787">
            <v>50</v>
          </cell>
        </row>
        <row r="3788">
          <cell r="B3788" t="str">
            <v>BC2712311-004-003</v>
          </cell>
          <cell r="D3788" t="str">
            <v>E</v>
          </cell>
          <cell r="E3788" t="str">
            <v>工序内容</v>
          </cell>
          <cell r="F3788" t="str">
            <v>0/领料</v>
          </cell>
          <cell r="G3788" t="str">
            <v>5/下料</v>
          </cell>
          <cell r="H3788" t="str">
            <v>8/数铣</v>
          </cell>
          <cell r="I3788" t="str">
            <v>10/数铣20</v>
          </cell>
          <cell r="J3788" t="str">
            <v>15/数铣55</v>
          </cell>
          <cell r="K3788" t="str">
            <v>20/数铣45</v>
          </cell>
          <cell r="L3788" t="str">
            <v>25/钳工</v>
          </cell>
          <cell r="M3788" t="str">
            <v>30/测量</v>
          </cell>
          <cell r="N3788" t="str">
            <v>35/清洁</v>
          </cell>
          <cell r="O3788" t="str">
            <v>40/分光</v>
          </cell>
          <cell r="P3788" t="str">
            <v>45/硬检</v>
          </cell>
          <cell r="Q3788" t="str">
            <v>50/钳工</v>
          </cell>
          <cell r="R3788" t="str">
            <v>55/清洁</v>
          </cell>
          <cell r="S3788" t="str">
            <v>60/成检</v>
          </cell>
        </row>
        <row r="3789">
          <cell r="B3789" t="str">
            <v>BC2712311-004-003</v>
          </cell>
          <cell r="D3789" t="str">
            <v>E</v>
          </cell>
          <cell r="E3789" t="str">
            <v>准备工时</v>
          </cell>
          <cell r="H3789">
            <v>60</v>
          </cell>
          <cell r="I3789">
            <v>60</v>
          </cell>
          <cell r="J3789">
            <v>90</v>
          </cell>
          <cell r="K3789">
            <v>90</v>
          </cell>
        </row>
        <row r="3790">
          <cell r="B3790" t="str">
            <v>BC2712311-004-003</v>
          </cell>
          <cell r="D3790" t="str">
            <v>E</v>
          </cell>
          <cell r="E3790" t="str">
            <v>程序时间</v>
          </cell>
          <cell r="H3790">
            <v>30</v>
          </cell>
          <cell r="I3790">
            <v>40</v>
          </cell>
          <cell r="J3790">
            <v>90</v>
          </cell>
          <cell r="K3790">
            <v>75</v>
          </cell>
          <cell r="L3790">
            <v>30</v>
          </cell>
          <cell r="Q3790">
            <v>5</v>
          </cell>
        </row>
        <row r="3791">
          <cell r="B3791" t="str">
            <v>CB2747C30-012-001</v>
          </cell>
          <cell r="D3791" t="str">
            <v>B</v>
          </cell>
          <cell r="E3791" t="str">
            <v>工序内容</v>
          </cell>
          <cell r="F3791" t="str">
            <v>0/领料</v>
          </cell>
          <cell r="G3791" t="str">
            <v>05/数车</v>
          </cell>
          <cell r="H3791" t="str">
            <v>10/数车</v>
          </cell>
          <cell r="I3791" t="str">
            <v>15/</v>
          </cell>
          <cell r="J3791" t="str">
            <v>20/数铣</v>
          </cell>
          <cell r="K3791" t="str">
            <v>25/穿孔</v>
          </cell>
          <cell r="L3791" t="str">
            <v>30/钳工</v>
          </cell>
          <cell r="M3791" t="str">
            <v>35/测量</v>
          </cell>
          <cell r="N3791" t="str">
            <v>40/清洁</v>
          </cell>
          <cell r="O3791" t="str">
            <v>45/成检</v>
          </cell>
        </row>
        <row r="3792">
          <cell r="B3792" t="str">
            <v>CB2747C30-012-001</v>
          </cell>
          <cell r="D3792" t="str">
            <v>B</v>
          </cell>
          <cell r="E3792" t="str">
            <v>准备工时</v>
          </cell>
          <cell r="G3792">
            <v>90</v>
          </cell>
          <cell r="H3792">
            <v>90</v>
          </cell>
          <cell r="J3792">
            <v>60</v>
          </cell>
        </row>
        <row r="3793">
          <cell r="B3793" t="str">
            <v>CB2747C30-012-001</v>
          </cell>
          <cell r="D3793" t="str">
            <v>B</v>
          </cell>
          <cell r="E3793" t="str">
            <v>程序时间</v>
          </cell>
          <cell r="G3793">
            <v>60</v>
          </cell>
          <cell r="H3793">
            <v>40</v>
          </cell>
          <cell r="J3793">
            <v>25</v>
          </cell>
          <cell r="L3793">
            <v>25</v>
          </cell>
        </row>
        <row r="3794">
          <cell r="B3794" t="str">
            <v>DD-J10B-42074-130-1</v>
          </cell>
          <cell r="D3794" t="str">
            <v>B</v>
          </cell>
          <cell r="E3794" t="str">
            <v>工序内容</v>
          </cell>
          <cell r="F3794" t="str">
            <v>0/领料</v>
          </cell>
          <cell r="G3794" t="str">
            <v>5/下料</v>
          </cell>
          <cell r="H3794" t="str">
            <v>10/数车15</v>
          </cell>
          <cell r="I3794" t="str">
            <v>15/数车15</v>
          </cell>
          <cell r="J3794" t="str">
            <v>20/数铣5</v>
          </cell>
          <cell r="K3794" t="str">
            <v>23/数铣</v>
          </cell>
          <cell r="L3794" t="str">
            <v>25/钳工</v>
          </cell>
          <cell r="M3794" t="str">
            <v>30/清洁</v>
          </cell>
          <cell r="N3794" t="str">
            <v>35/成检</v>
          </cell>
        </row>
        <row r="3795">
          <cell r="B3795" t="str">
            <v>DD-J10B-42074-130-1</v>
          </cell>
          <cell r="D3795" t="str">
            <v>B</v>
          </cell>
          <cell r="E3795" t="str">
            <v>准备工时</v>
          </cell>
          <cell r="H3795">
            <v>60</v>
          </cell>
          <cell r="I3795">
            <v>60</v>
          </cell>
          <cell r="J3795">
            <v>90</v>
          </cell>
          <cell r="K3795">
            <v>60</v>
          </cell>
        </row>
        <row r="3796">
          <cell r="B3796" t="str">
            <v>DD-J10B-42074-130-1</v>
          </cell>
          <cell r="D3796" t="str">
            <v>B</v>
          </cell>
          <cell r="E3796" t="str">
            <v>程序时间</v>
          </cell>
          <cell r="G3796">
            <v>10</v>
          </cell>
          <cell r="H3796">
            <v>25</v>
          </cell>
          <cell r="I3796">
            <v>25</v>
          </cell>
          <cell r="J3796">
            <v>15</v>
          </cell>
          <cell r="K3796">
            <v>15</v>
          </cell>
          <cell r="L3796">
            <v>30</v>
          </cell>
        </row>
        <row r="3797">
          <cell r="B3797" t="str">
            <v>CB2747G90-003-002</v>
          </cell>
          <cell r="D3797" t="str">
            <v>A</v>
          </cell>
          <cell r="E3797" t="str">
            <v>工序内容</v>
          </cell>
          <cell r="F3797" t="str">
            <v>0/领料</v>
          </cell>
          <cell r="G3797" t="str">
            <v>05/下料</v>
          </cell>
          <cell r="H3797" t="str">
            <v>10/数车20</v>
          </cell>
          <cell r="I3797" t="str">
            <v>15/数车45</v>
          </cell>
          <cell r="J3797" t="str">
            <v>20/数车45</v>
          </cell>
          <cell r="K3797" t="str">
            <v>25/线切割</v>
          </cell>
          <cell r="L3797" t="str">
            <v>30/数铣25</v>
          </cell>
          <cell r="M3797" t="str">
            <v>35/数铣15</v>
          </cell>
          <cell r="N3797" t="str">
            <v>40/数铣20</v>
          </cell>
          <cell r="O3797" t="str">
            <v>45/钳工</v>
          </cell>
          <cell r="P3797" t="str">
            <v>50/分光</v>
          </cell>
          <cell r="Q3797" t="str">
            <v>55/数铣</v>
          </cell>
          <cell r="R3797" t="str">
            <v>60/钳工</v>
          </cell>
          <cell r="S3797" t="str">
            <v>65/清洁</v>
          </cell>
          <cell r="T3797" t="str">
            <v>70/成检</v>
          </cell>
        </row>
        <row r="3798">
          <cell r="B3798" t="str">
            <v>CB2747G90-003-002</v>
          </cell>
          <cell r="D3798" t="str">
            <v>A</v>
          </cell>
          <cell r="E3798" t="str">
            <v>准备工时</v>
          </cell>
          <cell r="H3798">
            <v>60</v>
          </cell>
          <cell r="I3798">
            <v>120</v>
          </cell>
          <cell r="J3798">
            <v>120</v>
          </cell>
          <cell r="L3798">
            <v>60</v>
          </cell>
          <cell r="M3798">
            <v>60</v>
          </cell>
          <cell r="N3798">
            <v>60</v>
          </cell>
          <cell r="Q3798">
            <v>60</v>
          </cell>
        </row>
        <row r="3799">
          <cell r="B3799" t="str">
            <v>CB2747G90-003-002</v>
          </cell>
          <cell r="D3799" t="str">
            <v>A</v>
          </cell>
          <cell r="E3799" t="str">
            <v>程序时间</v>
          </cell>
          <cell r="G3799">
            <v>20</v>
          </cell>
          <cell r="H3799">
            <v>35</v>
          </cell>
          <cell r="I3799">
            <v>100</v>
          </cell>
          <cell r="J3799">
            <v>100</v>
          </cell>
          <cell r="L3799">
            <v>35</v>
          </cell>
          <cell r="M3799">
            <v>30</v>
          </cell>
          <cell r="N3799">
            <v>40</v>
          </cell>
          <cell r="O3799">
            <v>40</v>
          </cell>
          <cell r="Q3799">
            <v>30</v>
          </cell>
          <cell r="R3799">
            <v>40</v>
          </cell>
        </row>
        <row r="3800">
          <cell r="B3800" t="str">
            <v>Y20-4354233101-001</v>
          </cell>
          <cell r="D3800" t="str">
            <v>F</v>
          </cell>
          <cell r="E3800" t="str">
            <v>工序内容</v>
          </cell>
          <cell r="F3800" t="str">
            <v>3/钳工</v>
          </cell>
          <cell r="G3800" t="str">
            <v>5/数铣</v>
          </cell>
          <cell r="H3800" t="str">
            <v>10/数铣135</v>
          </cell>
          <cell r="I3800" t="str">
            <v>15/数铣65</v>
          </cell>
          <cell r="J3800" t="str">
            <v>20/数铣125</v>
          </cell>
          <cell r="K3800" t="str">
            <v>25/数铣105</v>
          </cell>
          <cell r="L3800" t="str">
            <v>30/数铣</v>
          </cell>
          <cell r="M3800" t="str">
            <v>35/数铣300</v>
          </cell>
          <cell r="N3800" t="str">
            <v>40/数铣260</v>
          </cell>
          <cell r="O3800" t="str">
            <v>45/数铣40</v>
          </cell>
          <cell r="P3800" t="str">
            <v>50/钳工</v>
          </cell>
          <cell r="Q3800" t="str">
            <v>55/清洁</v>
          </cell>
          <cell r="R3800" t="str">
            <v>60/成检</v>
          </cell>
        </row>
        <row r="3801">
          <cell r="B3801" t="str">
            <v>Y20-4354233101-001</v>
          </cell>
          <cell r="D3801" t="str">
            <v>F</v>
          </cell>
          <cell r="E3801" t="str">
            <v>准备工时</v>
          </cell>
          <cell r="G3801">
            <v>60</v>
          </cell>
          <cell r="H3801">
            <v>120</v>
          </cell>
          <cell r="I3801">
            <v>120</v>
          </cell>
          <cell r="J3801">
            <v>120</v>
          </cell>
          <cell r="K3801">
            <v>120</v>
          </cell>
          <cell r="L3801">
            <v>120</v>
          </cell>
          <cell r="M3801">
            <v>120</v>
          </cell>
          <cell r="N3801">
            <v>120</v>
          </cell>
          <cell r="O3801">
            <v>120</v>
          </cell>
        </row>
        <row r="3802">
          <cell r="B3802" t="str">
            <v>Y20-4354233101-001</v>
          </cell>
          <cell r="D3802" t="str">
            <v>F</v>
          </cell>
          <cell r="E3802" t="str">
            <v>装夹时间</v>
          </cell>
          <cell r="H3802">
            <v>60</v>
          </cell>
          <cell r="I3802">
            <v>60</v>
          </cell>
          <cell r="J3802">
            <v>60</v>
          </cell>
          <cell r="K3802">
            <v>60</v>
          </cell>
          <cell r="L3802">
            <v>60</v>
          </cell>
          <cell r="M3802">
            <v>60</v>
          </cell>
          <cell r="N3802">
            <v>60</v>
          </cell>
          <cell r="O3802">
            <v>60</v>
          </cell>
        </row>
        <row r="3803">
          <cell r="B3803" t="str">
            <v>Y20-4354233101-001</v>
          </cell>
          <cell r="D3803" t="str">
            <v>F</v>
          </cell>
          <cell r="E3803" t="str">
            <v>程序时间</v>
          </cell>
          <cell r="F3803">
            <v>100</v>
          </cell>
          <cell r="G3803">
            <v>120</v>
          </cell>
          <cell r="H3803">
            <v>200</v>
          </cell>
          <cell r="I3803">
            <v>110</v>
          </cell>
          <cell r="J3803">
            <v>270</v>
          </cell>
          <cell r="K3803">
            <v>240</v>
          </cell>
          <cell r="L3803">
            <v>150</v>
          </cell>
          <cell r="M3803">
            <v>480</v>
          </cell>
          <cell r="N3803">
            <v>390</v>
          </cell>
          <cell r="O3803">
            <v>60</v>
          </cell>
          <cell r="P3803">
            <v>600</v>
          </cell>
        </row>
        <row r="3804">
          <cell r="B3804" t="str">
            <v>Y20-5312225701-001</v>
          </cell>
          <cell r="D3804" t="str">
            <v>D</v>
          </cell>
          <cell r="E3804" t="str">
            <v>工序内容</v>
          </cell>
          <cell r="F3804" t="str">
            <v>0/领料</v>
          </cell>
          <cell r="G3804" t="str">
            <v>5/下料</v>
          </cell>
          <cell r="H3804" t="str">
            <v>10/数铣</v>
          </cell>
          <cell r="I3804" t="str">
            <v>15/数铣90</v>
          </cell>
          <cell r="J3804" t="str">
            <v>20/数铣320</v>
          </cell>
          <cell r="K3804" t="str">
            <v>25/数铣700</v>
          </cell>
          <cell r="L3804" t="str">
            <v>30/时效</v>
          </cell>
          <cell r="M3804" t="str">
            <v>35/数铣</v>
          </cell>
          <cell r="N3804" t="str">
            <v>40/数铣420</v>
          </cell>
          <cell r="O3804" t="str">
            <v>45/数铣350</v>
          </cell>
          <cell r="P3804" t="str">
            <v>50/五轴350</v>
          </cell>
          <cell r="Q3804" t="str">
            <v>55测量</v>
          </cell>
          <cell r="R3804" t="str">
            <v>60/钳工</v>
          </cell>
          <cell r="S3804" t="str">
            <v>65/清洁</v>
          </cell>
          <cell r="T3804" t="str">
            <v>70/成检</v>
          </cell>
        </row>
        <row r="3805">
          <cell r="B3805" t="str">
            <v>Y20-5312225701-001</v>
          </cell>
          <cell r="D3805" t="str">
            <v>D</v>
          </cell>
          <cell r="E3805" t="str">
            <v>准备工时</v>
          </cell>
          <cell r="H3805">
            <v>60</v>
          </cell>
          <cell r="I3805">
            <v>60</v>
          </cell>
          <cell r="J3805">
            <v>60</v>
          </cell>
          <cell r="K3805">
            <v>60</v>
          </cell>
          <cell r="M3805">
            <v>60</v>
          </cell>
          <cell r="N3805">
            <v>60</v>
          </cell>
          <cell r="O3805">
            <v>60</v>
          </cell>
          <cell r="P3805">
            <v>120</v>
          </cell>
        </row>
        <row r="3806">
          <cell r="B3806" t="str">
            <v>Y20-5312225701-001</v>
          </cell>
          <cell r="D3806" t="str">
            <v>D</v>
          </cell>
          <cell r="E3806" t="str">
            <v>装夹时间</v>
          </cell>
          <cell r="H3806">
            <v>60</v>
          </cell>
          <cell r="I3806">
            <v>60</v>
          </cell>
          <cell r="J3806">
            <v>60</v>
          </cell>
          <cell r="K3806">
            <v>60</v>
          </cell>
          <cell r="M3806">
            <v>60</v>
          </cell>
          <cell r="N3806">
            <v>60</v>
          </cell>
          <cell r="O3806">
            <v>60</v>
          </cell>
          <cell r="P3806">
            <v>60</v>
          </cell>
        </row>
        <row r="3807">
          <cell r="B3807" t="str">
            <v>Y20-5312225701-001</v>
          </cell>
          <cell r="D3807" t="str">
            <v>D</v>
          </cell>
          <cell r="E3807" t="str">
            <v>程序时间</v>
          </cell>
          <cell r="G3807">
            <v>40</v>
          </cell>
          <cell r="H3807">
            <v>200</v>
          </cell>
          <cell r="I3807">
            <v>130</v>
          </cell>
          <cell r="J3807">
            <v>380</v>
          </cell>
          <cell r="K3807">
            <v>770</v>
          </cell>
          <cell r="M3807">
            <v>60</v>
          </cell>
          <cell r="N3807">
            <v>500</v>
          </cell>
          <cell r="O3807">
            <v>420</v>
          </cell>
          <cell r="P3807">
            <v>660</v>
          </cell>
          <cell r="R3807">
            <v>360</v>
          </cell>
        </row>
        <row r="3808">
          <cell r="B3808" t="str">
            <v>Y20-5312225701-002</v>
          </cell>
          <cell r="D3808" t="str">
            <v>D</v>
          </cell>
          <cell r="E3808" t="str">
            <v>工序内容</v>
          </cell>
          <cell r="F3808" t="str">
            <v>0/领料</v>
          </cell>
          <cell r="G3808" t="str">
            <v>5/下料</v>
          </cell>
          <cell r="H3808" t="str">
            <v>10/数铣</v>
          </cell>
          <cell r="I3808" t="str">
            <v>15/数铣90</v>
          </cell>
          <cell r="J3808" t="str">
            <v>20/数铣320</v>
          </cell>
          <cell r="K3808" t="str">
            <v>25/数铣700</v>
          </cell>
          <cell r="L3808" t="str">
            <v>30/时效</v>
          </cell>
          <cell r="M3808" t="str">
            <v>35/数铣</v>
          </cell>
          <cell r="N3808" t="str">
            <v>40/数铣420</v>
          </cell>
          <cell r="O3808" t="str">
            <v>45/数铣350</v>
          </cell>
          <cell r="P3808" t="str">
            <v>50/五轴350</v>
          </cell>
          <cell r="Q3808" t="str">
            <v>55测量</v>
          </cell>
          <cell r="R3808" t="str">
            <v>60/钳工</v>
          </cell>
          <cell r="S3808" t="str">
            <v>65/清洁</v>
          </cell>
          <cell r="T3808" t="str">
            <v>70/成检</v>
          </cell>
        </row>
        <row r="3809">
          <cell r="B3809" t="str">
            <v>Y20-5312225701-002</v>
          </cell>
          <cell r="D3809" t="str">
            <v>D</v>
          </cell>
          <cell r="E3809" t="str">
            <v>准备工时</v>
          </cell>
          <cell r="H3809">
            <v>60</v>
          </cell>
          <cell r="I3809">
            <v>60</v>
          </cell>
          <cell r="J3809">
            <v>60</v>
          </cell>
          <cell r="K3809">
            <v>60</v>
          </cell>
          <cell r="M3809">
            <v>60</v>
          </cell>
          <cell r="N3809">
            <v>60</v>
          </cell>
          <cell r="O3809">
            <v>60</v>
          </cell>
          <cell r="P3809">
            <v>120</v>
          </cell>
        </row>
        <row r="3810">
          <cell r="B3810" t="str">
            <v>Y20-5312225701-002</v>
          </cell>
          <cell r="D3810" t="str">
            <v>D</v>
          </cell>
          <cell r="E3810" t="str">
            <v>装夹时间</v>
          </cell>
          <cell r="H3810">
            <v>60</v>
          </cell>
          <cell r="I3810">
            <v>60</v>
          </cell>
          <cell r="J3810">
            <v>60</v>
          </cell>
          <cell r="K3810">
            <v>60</v>
          </cell>
          <cell r="M3810">
            <v>60</v>
          </cell>
          <cell r="N3810">
            <v>60</v>
          </cell>
          <cell r="O3810">
            <v>60</v>
          </cell>
          <cell r="P3810">
            <v>60</v>
          </cell>
        </row>
        <row r="3811">
          <cell r="B3811" t="str">
            <v>Y20-5312225701-002</v>
          </cell>
          <cell r="D3811" t="str">
            <v>D</v>
          </cell>
          <cell r="E3811" t="str">
            <v>程序时间</v>
          </cell>
          <cell r="G3811">
            <v>40</v>
          </cell>
          <cell r="H3811">
            <v>200</v>
          </cell>
          <cell r="I3811">
            <v>130</v>
          </cell>
          <cell r="J3811">
            <v>380</v>
          </cell>
          <cell r="K3811">
            <v>770</v>
          </cell>
          <cell r="M3811">
            <v>60</v>
          </cell>
          <cell r="N3811">
            <v>500</v>
          </cell>
          <cell r="O3811">
            <v>420</v>
          </cell>
          <cell r="P3811">
            <v>660</v>
          </cell>
          <cell r="R3811">
            <v>360</v>
          </cell>
        </row>
        <row r="3812">
          <cell r="B3812" t="str">
            <v>DD-J10S-06021-107</v>
          </cell>
          <cell r="D3812" t="str">
            <v>D</v>
          </cell>
          <cell r="E3812" t="str">
            <v>工序内容</v>
          </cell>
          <cell r="F3812" t="str">
            <v>0/领料</v>
          </cell>
          <cell r="G3812" t="str">
            <v>5/钳工</v>
          </cell>
          <cell r="H3812" t="str">
            <v>10/数铣</v>
          </cell>
          <cell r="I3812" t="str">
            <v>15/数铣35</v>
          </cell>
          <cell r="J3812" t="str">
            <v>20/数铣245</v>
          </cell>
          <cell r="K3812" t="str">
            <v>25/数铣190</v>
          </cell>
          <cell r="L3812" t="str">
            <v>30/时效</v>
          </cell>
          <cell r="M3812" t="str">
            <v>35/数铣</v>
          </cell>
          <cell r="N3812" t="str">
            <v>40/数铣600</v>
          </cell>
          <cell r="O3812" t="str">
            <v>45/钳钻孔</v>
          </cell>
          <cell r="P3812" t="str">
            <v>50/数铣30</v>
          </cell>
          <cell r="Q3812" t="str">
            <v>55/数铣420</v>
          </cell>
          <cell r="R3812" t="str">
            <v>60五轴360</v>
          </cell>
          <cell r="S3812" t="str">
            <v>65/钳铰孔</v>
          </cell>
          <cell r="T3812" t="str">
            <v>70/测量</v>
          </cell>
          <cell r="U3812" t="str">
            <v>75/钳工</v>
          </cell>
          <cell r="V3812" t="str">
            <v>80/清洁</v>
          </cell>
          <cell r="W3812" t="str">
            <v>85/成检</v>
          </cell>
        </row>
        <row r="3813">
          <cell r="B3813" t="str">
            <v>DD-J10S-06021-107</v>
          </cell>
          <cell r="D3813" t="str">
            <v>D</v>
          </cell>
          <cell r="E3813" t="str">
            <v>准备工时</v>
          </cell>
          <cell r="H3813">
            <v>60</v>
          </cell>
          <cell r="I3813">
            <v>90</v>
          </cell>
          <cell r="J3813">
            <v>90</v>
          </cell>
          <cell r="K3813">
            <v>90</v>
          </cell>
          <cell r="M3813">
            <v>60</v>
          </cell>
          <cell r="N3813">
            <v>120</v>
          </cell>
          <cell r="P3813">
            <v>60</v>
          </cell>
          <cell r="Q3813">
            <v>90</v>
          </cell>
          <cell r="R3813">
            <v>180</v>
          </cell>
        </row>
        <row r="3814">
          <cell r="B3814" t="str">
            <v>DD-J10S-06021-107</v>
          </cell>
          <cell r="D3814" t="str">
            <v>D</v>
          </cell>
          <cell r="E3814" t="str">
            <v>装夹时间</v>
          </cell>
          <cell r="H3814">
            <v>60</v>
          </cell>
          <cell r="I3814">
            <v>60</v>
          </cell>
          <cell r="J3814">
            <v>90</v>
          </cell>
          <cell r="K3814">
            <v>60</v>
          </cell>
          <cell r="M3814">
            <v>60</v>
          </cell>
          <cell r="N3814">
            <v>60</v>
          </cell>
          <cell r="P3814">
            <v>60</v>
          </cell>
          <cell r="Q3814">
            <v>60</v>
          </cell>
          <cell r="R3814">
            <v>90</v>
          </cell>
        </row>
        <row r="3815">
          <cell r="B3815" t="str">
            <v>DD-J10S-06021-107</v>
          </cell>
          <cell r="D3815" t="str">
            <v>D</v>
          </cell>
          <cell r="E3815" t="str">
            <v>程序时间</v>
          </cell>
          <cell r="H3815">
            <v>120</v>
          </cell>
          <cell r="I3815">
            <v>80</v>
          </cell>
          <cell r="J3815">
            <v>330</v>
          </cell>
          <cell r="K3815">
            <v>270</v>
          </cell>
          <cell r="M3815">
            <v>90</v>
          </cell>
          <cell r="N3815">
            <v>840</v>
          </cell>
          <cell r="O3815">
            <v>120</v>
          </cell>
          <cell r="P3815">
            <v>60</v>
          </cell>
          <cell r="Q3815">
            <v>600</v>
          </cell>
          <cell r="R3815">
            <v>900</v>
          </cell>
          <cell r="S3815">
            <v>180</v>
          </cell>
          <cell r="U3815">
            <v>420</v>
          </cell>
        </row>
        <row r="3816">
          <cell r="B3816" t="str">
            <v>DD-J10S-06021-107</v>
          </cell>
          <cell r="D3816" t="str">
            <v>A-1</v>
          </cell>
          <cell r="E3816" t="str">
            <v>工序内容</v>
          </cell>
          <cell r="F3816" t="str">
            <v>0/领料</v>
          </cell>
          <cell r="G3816" t="str">
            <v>5/钳工</v>
          </cell>
          <cell r="H3816" t="str">
            <v>10/数铣</v>
          </cell>
          <cell r="I3816" t="str">
            <v>15/数铣35</v>
          </cell>
          <cell r="J3816" t="str">
            <v>20/数铣245</v>
          </cell>
          <cell r="K3816" t="str">
            <v>25/数铣190</v>
          </cell>
          <cell r="L3816" t="str">
            <v>30/时效</v>
          </cell>
          <cell r="M3816" t="str">
            <v>35/数铣</v>
          </cell>
          <cell r="N3816" t="str">
            <v>40/数铣600</v>
          </cell>
          <cell r="O3816" t="str">
            <v>45/钳钻孔</v>
          </cell>
          <cell r="P3816" t="str">
            <v>50/数铣30</v>
          </cell>
          <cell r="Q3816" t="str">
            <v>55/数铣420</v>
          </cell>
          <cell r="R3816" t="str">
            <v>60五轴360</v>
          </cell>
          <cell r="S3816" t="str">
            <v>65/钳铰孔</v>
          </cell>
          <cell r="T3816" t="str">
            <v>70/测量</v>
          </cell>
          <cell r="U3816" t="str">
            <v>75/钳工</v>
          </cell>
          <cell r="V3816" t="str">
            <v>80/清洁</v>
          </cell>
          <cell r="W3816" t="str">
            <v>85/成检</v>
          </cell>
        </row>
        <row r="3817">
          <cell r="B3817" t="str">
            <v>DD-J10S-06021-107</v>
          </cell>
          <cell r="D3817" t="str">
            <v>A-1</v>
          </cell>
          <cell r="E3817" t="str">
            <v>准备工时</v>
          </cell>
          <cell r="H3817">
            <v>60</v>
          </cell>
          <cell r="I3817">
            <v>90</v>
          </cell>
          <cell r="J3817">
            <v>90</v>
          </cell>
          <cell r="K3817">
            <v>90</v>
          </cell>
          <cell r="M3817">
            <v>60</v>
          </cell>
          <cell r="N3817">
            <v>120</v>
          </cell>
          <cell r="P3817">
            <v>60</v>
          </cell>
          <cell r="Q3817">
            <v>90</v>
          </cell>
          <cell r="R3817">
            <v>180</v>
          </cell>
        </row>
        <row r="3818">
          <cell r="B3818" t="str">
            <v>DD-J10S-06021-107</v>
          </cell>
          <cell r="D3818" t="str">
            <v>A-1</v>
          </cell>
          <cell r="E3818" t="str">
            <v>装夹时间</v>
          </cell>
          <cell r="H3818">
            <v>60</v>
          </cell>
          <cell r="I3818">
            <v>60</v>
          </cell>
          <cell r="J3818">
            <v>90</v>
          </cell>
          <cell r="K3818">
            <v>60</v>
          </cell>
          <cell r="M3818">
            <v>60</v>
          </cell>
          <cell r="N3818">
            <v>60</v>
          </cell>
          <cell r="P3818">
            <v>60</v>
          </cell>
          <cell r="Q3818">
            <v>60</v>
          </cell>
          <cell r="R3818">
            <v>90</v>
          </cell>
        </row>
        <row r="3819">
          <cell r="B3819" t="str">
            <v>DD-J10S-06021-107</v>
          </cell>
          <cell r="D3819" t="str">
            <v>A-1</v>
          </cell>
          <cell r="E3819" t="str">
            <v>程序时间</v>
          </cell>
          <cell r="H3819">
            <v>120</v>
          </cell>
          <cell r="I3819">
            <v>80</v>
          </cell>
          <cell r="J3819">
            <v>330</v>
          </cell>
          <cell r="K3819">
            <v>270</v>
          </cell>
          <cell r="M3819">
            <v>90</v>
          </cell>
          <cell r="N3819">
            <v>840</v>
          </cell>
          <cell r="O3819">
            <v>120</v>
          </cell>
          <cell r="P3819">
            <v>60</v>
          </cell>
          <cell r="Q3819">
            <v>600</v>
          </cell>
          <cell r="R3819">
            <v>900</v>
          </cell>
          <cell r="S3819">
            <v>180</v>
          </cell>
          <cell r="U3819">
            <v>420</v>
          </cell>
        </row>
        <row r="3820">
          <cell r="B3820" t="str">
            <v>BC5337100-104L001</v>
          </cell>
          <cell r="D3820" t="str">
            <v>E</v>
          </cell>
          <cell r="E3820" t="str">
            <v>工序内容</v>
          </cell>
          <cell r="F3820" t="str">
            <v>0/领料</v>
          </cell>
          <cell r="G3820" t="str">
            <v>5/数铣</v>
          </cell>
          <cell r="H3820" t="str">
            <v>10/超探</v>
          </cell>
          <cell r="I3820" t="str">
            <v>15/数铣60</v>
          </cell>
          <cell r="J3820" t="str">
            <v>20/数铣150</v>
          </cell>
          <cell r="K3820" t="str">
            <v>25/数铣440</v>
          </cell>
          <cell r="L3820" t="str">
            <v>30/无</v>
          </cell>
          <cell r="M3820" t="str">
            <v>35/数铣80</v>
          </cell>
          <cell r="N3820" t="str">
            <v>40/五轴30</v>
          </cell>
          <cell r="O3820" t="str">
            <v>45/钳工</v>
          </cell>
          <cell r="P3820" t="str">
            <v>50/测量</v>
          </cell>
          <cell r="Q3820" t="str">
            <v>55/清洁</v>
          </cell>
          <cell r="R3820" t="str">
            <v>60/成检</v>
          </cell>
        </row>
        <row r="3821">
          <cell r="B3821" t="str">
            <v>BC5337100-104L001</v>
          </cell>
          <cell r="D3821" t="str">
            <v>E</v>
          </cell>
          <cell r="E3821" t="str">
            <v>准备工时</v>
          </cell>
          <cell r="G3821" t="str">
            <v>120</v>
          </cell>
          <cell r="I3821">
            <v>120</v>
          </cell>
          <cell r="J3821">
            <v>120</v>
          </cell>
          <cell r="K3821">
            <v>120</v>
          </cell>
          <cell r="M3821">
            <v>120</v>
          </cell>
          <cell r="N3821">
            <v>150</v>
          </cell>
        </row>
        <row r="3822">
          <cell r="B3822" t="str">
            <v>BC5337100-104L001</v>
          </cell>
          <cell r="D3822" t="str">
            <v>E</v>
          </cell>
          <cell r="E3822" t="str">
            <v>装夹时间</v>
          </cell>
          <cell r="N3822">
            <v>60</v>
          </cell>
        </row>
        <row r="3823">
          <cell r="B3823" t="str">
            <v>BC5337100-104L001</v>
          </cell>
          <cell r="D3823" t="str">
            <v>E</v>
          </cell>
          <cell r="E3823" t="str">
            <v>程序时间</v>
          </cell>
          <cell r="G3823" t="str">
            <v>420</v>
          </cell>
          <cell r="I3823">
            <v>120</v>
          </cell>
          <cell r="J3823">
            <v>240</v>
          </cell>
          <cell r="K3823">
            <v>800</v>
          </cell>
          <cell r="M3823">
            <v>150</v>
          </cell>
          <cell r="N3823">
            <v>90</v>
          </cell>
          <cell r="O3823">
            <v>120</v>
          </cell>
        </row>
        <row r="3824">
          <cell r="B3824" t="str">
            <v>BC5337100-105L001</v>
          </cell>
          <cell r="D3824" t="str">
            <v>E</v>
          </cell>
          <cell r="E3824" t="str">
            <v>工序内容</v>
          </cell>
          <cell r="F3824" t="str">
            <v>0/领料</v>
          </cell>
          <cell r="G3824" t="str">
            <v>5/数铣</v>
          </cell>
          <cell r="H3824" t="str">
            <v>10/超探</v>
          </cell>
          <cell r="I3824" t="str">
            <v>15/数铣60</v>
          </cell>
          <cell r="J3824" t="str">
            <v>20/数铣150</v>
          </cell>
          <cell r="K3824" t="str">
            <v>25/数铣440</v>
          </cell>
          <cell r="L3824" t="str">
            <v>30/无</v>
          </cell>
          <cell r="M3824" t="str">
            <v>35/数铣80</v>
          </cell>
          <cell r="N3824" t="str">
            <v>40/五轴30</v>
          </cell>
          <cell r="O3824" t="str">
            <v>45/钳工</v>
          </cell>
          <cell r="P3824" t="str">
            <v>50/测量</v>
          </cell>
          <cell r="Q3824" t="str">
            <v>55/清洁</v>
          </cell>
          <cell r="R3824" t="str">
            <v>60/成检</v>
          </cell>
        </row>
        <row r="3825">
          <cell r="B3825" t="str">
            <v>BC5337100-105L001</v>
          </cell>
          <cell r="D3825" t="str">
            <v>E</v>
          </cell>
          <cell r="E3825" t="str">
            <v>准备工时</v>
          </cell>
          <cell r="G3825" t="str">
            <v>120</v>
          </cell>
          <cell r="I3825">
            <v>120</v>
          </cell>
          <cell r="J3825">
            <v>120</v>
          </cell>
          <cell r="K3825">
            <v>120</v>
          </cell>
          <cell r="M3825">
            <v>120</v>
          </cell>
          <cell r="N3825">
            <v>150</v>
          </cell>
        </row>
        <row r="3826">
          <cell r="B3826" t="str">
            <v>BC5337100-105L001</v>
          </cell>
          <cell r="D3826" t="str">
            <v>E</v>
          </cell>
          <cell r="E3826" t="str">
            <v>装夹时间</v>
          </cell>
          <cell r="N3826">
            <v>60</v>
          </cell>
        </row>
        <row r="3827">
          <cell r="B3827" t="str">
            <v>BC5337100-105L001</v>
          </cell>
          <cell r="D3827" t="str">
            <v>E</v>
          </cell>
          <cell r="E3827" t="str">
            <v>程序时间</v>
          </cell>
          <cell r="G3827" t="str">
            <v>420</v>
          </cell>
          <cell r="I3827">
            <v>120</v>
          </cell>
          <cell r="J3827">
            <v>240</v>
          </cell>
          <cell r="K3827">
            <v>800</v>
          </cell>
          <cell r="M3827">
            <v>150</v>
          </cell>
          <cell r="N3827">
            <v>90</v>
          </cell>
          <cell r="O3827">
            <v>120</v>
          </cell>
        </row>
        <row r="3828">
          <cell r="B3828" t="str">
            <v>BC5337100-106L001</v>
          </cell>
          <cell r="D3828" t="str">
            <v>E</v>
          </cell>
          <cell r="E3828" t="str">
            <v>工序内容</v>
          </cell>
          <cell r="F3828" t="str">
            <v>0/领料</v>
          </cell>
          <cell r="G3828" t="str">
            <v>5/数铣</v>
          </cell>
          <cell r="H3828" t="str">
            <v>10/超探</v>
          </cell>
          <cell r="I3828" t="str">
            <v>15/数铣60</v>
          </cell>
          <cell r="J3828" t="str">
            <v>20/数铣150</v>
          </cell>
          <cell r="K3828" t="str">
            <v>25/数铣440</v>
          </cell>
          <cell r="L3828" t="str">
            <v>30/无</v>
          </cell>
          <cell r="M3828" t="str">
            <v>35/数铣80</v>
          </cell>
          <cell r="N3828" t="str">
            <v>40/五轴30</v>
          </cell>
          <cell r="O3828" t="str">
            <v>45/钳工</v>
          </cell>
          <cell r="P3828" t="str">
            <v>50/测量</v>
          </cell>
          <cell r="Q3828" t="str">
            <v>55/清洁</v>
          </cell>
          <cell r="R3828" t="str">
            <v>60/成检</v>
          </cell>
        </row>
        <row r="3829">
          <cell r="B3829" t="str">
            <v>BC5337100-106L001</v>
          </cell>
          <cell r="D3829" t="str">
            <v>E</v>
          </cell>
          <cell r="E3829" t="str">
            <v>准备工时</v>
          </cell>
          <cell r="G3829" t="str">
            <v>120</v>
          </cell>
          <cell r="I3829">
            <v>120</v>
          </cell>
          <cell r="J3829">
            <v>120</v>
          </cell>
          <cell r="K3829">
            <v>120</v>
          </cell>
          <cell r="M3829">
            <v>120</v>
          </cell>
          <cell r="N3829">
            <v>150</v>
          </cell>
        </row>
        <row r="3830">
          <cell r="B3830" t="str">
            <v>BC5337100-106L001</v>
          </cell>
          <cell r="D3830" t="str">
            <v>E</v>
          </cell>
          <cell r="E3830" t="str">
            <v>装夹时间</v>
          </cell>
          <cell r="N3830">
            <v>60</v>
          </cell>
        </row>
        <row r="3831">
          <cell r="B3831" t="str">
            <v>BC5337100-106L001</v>
          </cell>
          <cell r="D3831" t="str">
            <v>E</v>
          </cell>
          <cell r="E3831" t="str">
            <v>程序时间</v>
          </cell>
          <cell r="G3831" t="str">
            <v>420</v>
          </cell>
          <cell r="I3831">
            <v>120</v>
          </cell>
          <cell r="J3831">
            <v>240</v>
          </cell>
          <cell r="K3831">
            <v>800</v>
          </cell>
          <cell r="M3831">
            <v>150</v>
          </cell>
          <cell r="N3831">
            <v>90</v>
          </cell>
          <cell r="O3831">
            <v>120</v>
          </cell>
        </row>
        <row r="3832">
          <cell r="B3832" t="str">
            <v>BC5337100-104R001</v>
          </cell>
          <cell r="D3832" t="str">
            <v>E</v>
          </cell>
          <cell r="E3832" t="str">
            <v>工序内容</v>
          </cell>
          <cell r="F3832" t="str">
            <v>0/领料</v>
          </cell>
          <cell r="G3832" t="str">
            <v>5/数铣</v>
          </cell>
          <cell r="H3832" t="str">
            <v>10/超探</v>
          </cell>
          <cell r="I3832" t="str">
            <v>15/数铣60</v>
          </cell>
          <cell r="J3832" t="str">
            <v>20/数铣150</v>
          </cell>
          <cell r="K3832" t="str">
            <v>25/数铣440</v>
          </cell>
          <cell r="L3832" t="str">
            <v>30/无</v>
          </cell>
          <cell r="M3832" t="str">
            <v>35/数铣80</v>
          </cell>
          <cell r="N3832" t="str">
            <v>40/五轴30</v>
          </cell>
          <cell r="O3832" t="str">
            <v>45/钳工</v>
          </cell>
          <cell r="P3832" t="str">
            <v>50/测量</v>
          </cell>
          <cell r="Q3832" t="str">
            <v>55/清洁</v>
          </cell>
          <cell r="R3832" t="str">
            <v>60/成检</v>
          </cell>
        </row>
        <row r="3833">
          <cell r="B3833" t="str">
            <v>BC5337100-104R001</v>
          </cell>
          <cell r="D3833" t="str">
            <v>E</v>
          </cell>
          <cell r="E3833" t="str">
            <v>准备工时</v>
          </cell>
          <cell r="G3833" t="str">
            <v>120</v>
          </cell>
          <cell r="I3833">
            <v>120</v>
          </cell>
          <cell r="J3833">
            <v>120</v>
          </cell>
          <cell r="K3833">
            <v>120</v>
          </cell>
          <cell r="M3833">
            <v>120</v>
          </cell>
          <cell r="N3833">
            <v>150</v>
          </cell>
        </row>
        <row r="3834">
          <cell r="B3834" t="str">
            <v>BC5337100-104R001</v>
          </cell>
          <cell r="D3834" t="str">
            <v>E</v>
          </cell>
          <cell r="E3834" t="str">
            <v>装夹时间</v>
          </cell>
          <cell r="N3834">
            <v>60</v>
          </cell>
        </row>
        <row r="3835">
          <cell r="B3835" t="str">
            <v>BC5337100-104R001</v>
          </cell>
          <cell r="D3835" t="str">
            <v>E</v>
          </cell>
          <cell r="E3835" t="str">
            <v>程序时间</v>
          </cell>
          <cell r="G3835" t="str">
            <v>420</v>
          </cell>
          <cell r="I3835">
            <v>120</v>
          </cell>
          <cell r="J3835">
            <v>240</v>
          </cell>
          <cell r="K3835">
            <v>800</v>
          </cell>
          <cell r="M3835">
            <v>150</v>
          </cell>
          <cell r="N3835">
            <v>90</v>
          </cell>
          <cell r="O3835">
            <v>120</v>
          </cell>
        </row>
        <row r="3836">
          <cell r="B3836" t="str">
            <v>BC5337100-105R001</v>
          </cell>
          <cell r="D3836" t="str">
            <v>E</v>
          </cell>
          <cell r="E3836" t="str">
            <v>工序内容</v>
          </cell>
          <cell r="F3836" t="str">
            <v>0/领料</v>
          </cell>
          <cell r="G3836" t="str">
            <v>5/数铣</v>
          </cell>
          <cell r="H3836" t="str">
            <v>10/超探</v>
          </cell>
          <cell r="I3836" t="str">
            <v>15/数铣60</v>
          </cell>
          <cell r="J3836" t="str">
            <v>20/数铣150</v>
          </cell>
          <cell r="K3836" t="str">
            <v>25/数铣440</v>
          </cell>
          <cell r="L3836" t="str">
            <v>30/无</v>
          </cell>
          <cell r="M3836" t="str">
            <v>35/数铣80</v>
          </cell>
          <cell r="N3836" t="str">
            <v>40/五轴30</v>
          </cell>
          <cell r="O3836" t="str">
            <v>45/钳工</v>
          </cell>
          <cell r="P3836" t="str">
            <v>50/测量</v>
          </cell>
          <cell r="Q3836" t="str">
            <v>55/清洁</v>
          </cell>
          <cell r="R3836" t="str">
            <v>60/成检</v>
          </cell>
        </row>
        <row r="3837">
          <cell r="B3837" t="str">
            <v>BC5337100-105R001</v>
          </cell>
          <cell r="D3837" t="str">
            <v>E</v>
          </cell>
          <cell r="E3837" t="str">
            <v>准备工时</v>
          </cell>
          <cell r="G3837" t="str">
            <v>120</v>
          </cell>
          <cell r="I3837">
            <v>120</v>
          </cell>
          <cell r="J3837">
            <v>120</v>
          </cell>
          <cell r="K3837">
            <v>120</v>
          </cell>
          <cell r="M3837">
            <v>120</v>
          </cell>
          <cell r="N3837">
            <v>150</v>
          </cell>
        </row>
        <row r="3838">
          <cell r="B3838" t="str">
            <v>BC5337100-105R001</v>
          </cell>
          <cell r="D3838" t="str">
            <v>E</v>
          </cell>
          <cell r="E3838" t="str">
            <v>装夹时间</v>
          </cell>
          <cell r="N3838">
            <v>60</v>
          </cell>
        </row>
        <row r="3839">
          <cell r="B3839" t="str">
            <v>BC5337100-105R001</v>
          </cell>
          <cell r="D3839" t="str">
            <v>E</v>
          </cell>
          <cell r="E3839" t="str">
            <v>程序时间</v>
          </cell>
          <cell r="G3839" t="str">
            <v>420</v>
          </cell>
          <cell r="I3839">
            <v>120</v>
          </cell>
          <cell r="J3839">
            <v>240</v>
          </cell>
          <cell r="K3839">
            <v>800</v>
          </cell>
          <cell r="M3839">
            <v>150</v>
          </cell>
          <cell r="N3839">
            <v>90</v>
          </cell>
          <cell r="O3839">
            <v>120</v>
          </cell>
        </row>
        <row r="3840">
          <cell r="B3840" t="str">
            <v>BC5337100-106R001</v>
          </cell>
          <cell r="D3840" t="str">
            <v>E</v>
          </cell>
          <cell r="E3840" t="str">
            <v>工序内容</v>
          </cell>
          <cell r="F3840" t="str">
            <v>0/领料</v>
          </cell>
          <cell r="G3840" t="str">
            <v>5/数铣</v>
          </cell>
          <cell r="H3840" t="str">
            <v>10/超探</v>
          </cell>
          <cell r="I3840" t="str">
            <v>15/数铣60</v>
          </cell>
          <cell r="J3840" t="str">
            <v>20/数铣150</v>
          </cell>
          <cell r="K3840" t="str">
            <v>25/数铣440</v>
          </cell>
          <cell r="L3840" t="str">
            <v>30/无</v>
          </cell>
          <cell r="M3840" t="str">
            <v>35/数铣80</v>
          </cell>
          <cell r="N3840" t="str">
            <v>40/五轴30</v>
          </cell>
          <cell r="O3840" t="str">
            <v>45/钳工</v>
          </cell>
          <cell r="P3840" t="str">
            <v>50/测量</v>
          </cell>
          <cell r="Q3840" t="str">
            <v>55/清洁</v>
          </cell>
          <cell r="R3840" t="str">
            <v>60/成检</v>
          </cell>
        </row>
        <row r="3841">
          <cell r="B3841" t="str">
            <v>BC5337100-106R001</v>
          </cell>
          <cell r="D3841" t="str">
            <v>E</v>
          </cell>
          <cell r="E3841" t="str">
            <v>准备工时</v>
          </cell>
          <cell r="G3841" t="str">
            <v>120</v>
          </cell>
          <cell r="I3841">
            <v>120</v>
          </cell>
          <cell r="J3841">
            <v>120</v>
          </cell>
          <cell r="K3841">
            <v>120</v>
          </cell>
          <cell r="M3841">
            <v>120</v>
          </cell>
          <cell r="N3841">
            <v>150</v>
          </cell>
        </row>
        <row r="3842">
          <cell r="B3842" t="str">
            <v>BC5337100-106R001</v>
          </cell>
          <cell r="D3842" t="str">
            <v>E</v>
          </cell>
          <cell r="E3842" t="str">
            <v>装夹时间</v>
          </cell>
          <cell r="N3842">
            <v>60</v>
          </cell>
        </row>
        <row r="3843">
          <cell r="B3843" t="str">
            <v>BC5337100-106R001</v>
          </cell>
          <cell r="D3843" t="str">
            <v>E</v>
          </cell>
          <cell r="E3843" t="str">
            <v>程序时间</v>
          </cell>
          <cell r="G3843" t="str">
            <v>420</v>
          </cell>
          <cell r="I3843">
            <v>120</v>
          </cell>
          <cell r="J3843">
            <v>240</v>
          </cell>
          <cell r="K3843">
            <v>800</v>
          </cell>
          <cell r="M3843">
            <v>150</v>
          </cell>
          <cell r="N3843">
            <v>90</v>
          </cell>
          <cell r="O3843">
            <v>120</v>
          </cell>
        </row>
        <row r="3844">
          <cell r="B3844" t="str">
            <v>CB229C071-001L001</v>
          </cell>
          <cell r="D3844" t="str">
            <v>D</v>
          </cell>
          <cell r="E3844" t="str">
            <v>工序内容</v>
          </cell>
          <cell r="F3844" t="str">
            <v>0/领料</v>
          </cell>
          <cell r="G3844" t="str">
            <v>5/下料</v>
          </cell>
          <cell r="H3844" t="str">
            <v>10/数铣</v>
          </cell>
          <cell r="I3844" t="str">
            <v>15/数铣30</v>
          </cell>
          <cell r="J3844" t="str">
            <v>20/数铣30</v>
          </cell>
          <cell r="K3844" t="str">
            <v>25/数铣75</v>
          </cell>
          <cell r="L3844" t="str">
            <v>30/钳工</v>
          </cell>
          <cell r="M3844" t="str">
            <v>35/硬检</v>
          </cell>
          <cell r="N3844" t="str">
            <v>40/分光</v>
          </cell>
          <cell r="O3844" t="str">
            <v>45/线切割</v>
          </cell>
          <cell r="P3844" t="str">
            <v>50/数铣60</v>
          </cell>
          <cell r="Q3844" t="str">
            <v>55/钳工</v>
          </cell>
          <cell r="R3844" t="str">
            <v>60/清洁</v>
          </cell>
          <cell r="S3844" t="str">
            <v>65/成检</v>
          </cell>
        </row>
        <row r="3845">
          <cell r="B3845" t="str">
            <v>CB229C071-001L001</v>
          </cell>
          <cell r="D3845" t="str">
            <v>D</v>
          </cell>
          <cell r="E3845" t="str">
            <v>准备工时</v>
          </cell>
          <cell r="H3845">
            <v>60</v>
          </cell>
          <cell r="I3845">
            <v>90</v>
          </cell>
          <cell r="J3845">
            <v>60</v>
          </cell>
          <cell r="K3845">
            <v>90</v>
          </cell>
          <cell r="P3845">
            <v>60</v>
          </cell>
        </row>
        <row r="3846">
          <cell r="B3846" t="str">
            <v>CB229C071-001L001</v>
          </cell>
          <cell r="D3846" t="str">
            <v>D</v>
          </cell>
          <cell r="E3846" t="str">
            <v>程序时间</v>
          </cell>
          <cell r="H3846">
            <v>40</v>
          </cell>
          <cell r="I3846">
            <v>20</v>
          </cell>
          <cell r="J3846">
            <v>20</v>
          </cell>
          <cell r="K3846">
            <v>80</v>
          </cell>
          <cell r="L3846">
            <v>30</v>
          </cell>
          <cell r="P3846">
            <v>60</v>
          </cell>
          <cell r="Q3846">
            <v>15</v>
          </cell>
        </row>
        <row r="3847">
          <cell r="B3847" t="str">
            <v>CB229C071-001R001</v>
          </cell>
          <cell r="D3847" t="str">
            <v>D</v>
          </cell>
          <cell r="E3847" t="str">
            <v>工序内容</v>
          </cell>
          <cell r="F3847" t="str">
            <v>0/领料</v>
          </cell>
          <cell r="G3847" t="str">
            <v>5/下料</v>
          </cell>
          <cell r="H3847" t="str">
            <v>10/数铣</v>
          </cell>
          <cell r="I3847" t="str">
            <v>15/数铣30</v>
          </cell>
          <cell r="J3847" t="str">
            <v>20/数铣30</v>
          </cell>
          <cell r="K3847" t="str">
            <v>25/数铣75</v>
          </cell>
          <cell r="L3847" t="str">
            <v>30/钳工</v>
          </cell>
          <cell r="M3847" t="str">
            <v>35/硬检</v>
          </cell>
          <cell r="N3847" t="str">
            <v>40/分光</v>
          </cell>
          <cell r="O3847" t="str">
            <v>45/线切割</v>
          </cell>
          <cell r="P3847" t="str">
            <v>50/数铣60</v>
          </cell>
          <cell r="Q3847" t="str">
            <v>55/钳工</v>
          </cell>
          <cell r="R3847" t="str">
            <v>60/清洁</v>
          </cell>
          <cell r="S3847" t="str">
            <v>65/成检</v>
          </cell>
        </row>
        <row r="3848">
          <cell r="B3848" t="str">
            <v>CB229C071-001R001</v>
          </cell>
          <cell r="D3848" t="str">
            <v>D</v>
          </cell>
          <cell r="E3848" t="str">
            <v>准备工时</v>
          </cell>
          <cell r="H3848">
            <v>60</v>
          </cell>
          <cell r="I3848">
            <v>90</v>
          </cell>
          <cell r="J3848">
            <v>60</v>
          </cell>
          <cell r="K3848">
            <v>90</v>
          </cell>
          <cell r="P3848">
            <v>60</v>
          </cell>
        </row>
        <row r="3849">
          <cell r="B3849" t="str">
            <v>CB229C071-001R001</v>
          </cell>
          <cell r="D3849" t="str">
            <v>D</v>
          </cell>
          <cell r="E3849" t="str">
            <v>程序时间</v>
          </cell>
          <cell r="H3849">
            <v>40</v>
          </cell>
          <cell r="I3849">
            <v>20</v>
          </cell>
          <cell r="J3849">
            <v>20</v>
          </cell>
          <cell r="K3849">
            <v>80</v>
          </cell>
          <cell r="L3849">
            <v>30</v>
          </cell>
          <cell r="P3849">
            <v>60</v>
          </cell>
          <cell r="Q3849">
            <v>15</v>
          </cell>
        </row>
        <row r="3850">
          <cell r="B3850" t="str">
            <v>CB2280211-006-001</v>
          </cell>
          <cell r="D3850" t="str">
            <v>C</v>
          </cell>
          <cell r="E3850" t="str">
            <v>工序内容</v>
          </cell>
          <cell r="F3850" t="str">
            <v>0/领料</v>
          </cell>
          <cell r="G3850" t="str">
            <v>05/数车10</v>
          </cell>
          <cell r="H3850" t="str">
            <v>10/数车20</v>
          </cell>
          <cell r="I3850" t="str">
            <v>15/分光</v>
          </cell>
          <cell r="J3850" t="str">
            <v>20/硬度</v>
          </cell>
          <cell r="K3850" t="str">
            <v>25/车铣25</v>
          </cell>
          <cell r="L3850" t="str">
            <v>30/钳工</v>
          </cell>
          <cell r="M3850" t="str">
            <v>35/清洁</v>
          </cell>
          <cell r="N3850" t="str">
            <v>40/成检</v>
          </cell>
        </row>
        <row r="3851">
          <cell r="B3851" t="str">
            <v>CB2280211-006-001</v>
          </cell>
          <cell r="D3851" t="str">
            <v>C</v>
          </cell>
          <cell r="E3851" t="str">
            <v>准备工时</v>
          </cell>
          <cell r="G3851">
            <v>60</v>
          </cell>
          <cell r="H3851">
            <v>90</v>
          </cell>
          <cell r="K3851">
            <v>120</v>
          </cell>
        </row>
        <row r="3852">
          <cell r="B3852" t="str">
            <v>CB2280211-006-001</v>
          </cell>
          <cell r="D3852" t="str">
            <v>C</v>
          </cell>
          <cell r="E3852" t="str">
            <v>程序时间</v>
          </cell>
          <cell r="G3852">
            <v>15</v>
          </cell>
          <cell r="H3852">
            <v>25</v>
          </cell>
          <cell r="K3852">
            <v>40</v>
          </cell>
          <cell r="L3852">
            <v>30</v>
          </cell>
        </row>
        <row r="3853">
          <cell r="B3853" t="str">
            <v>CB22837F0-001-001</v>
          </cell>
          <cell r="D3853" t="str">
            <v>B</v>
          </cell>
          <cell r="E3853" t="str">
            <v>工序内容</v>
          </cell>
          <cell r="F3853" t="str">
            <v>0/领料</v>
          </cell>
          <cell r="G3853" t="str">
            <v>05/数车35</v>
          </cell>
          <cell r="H3853" t="str">
            <v>10/车铣15</v>
          </cell>
          <cell r="I3853" t="str">
            <v>15/分光</v>
          </cell>
          <cell r="J3853" t="str">
            <v>20/硬度</v>
          </cell>
          <cell r="K3853" t="str">
            <v>25/数车5</v>
          </cell>
          <cell r="L3853" t="str">
            <v>30/钳工</v>
          </cell>
          <cell r="M3853" t="str">
            <v>35/清洗</v>
          </cell>
          <cell r="N3853" t="str">
            <v>40/成检</v>
          </cell>
        </row>
        <row r="3854">
          <cell r="B3854" t="str">
            <v>CB22837F0-001-001</v>
          </cell>
          <cell r="D3854" t="str">
            <v>B</v>
          </cell>
          <cell r="E3854" t="str">
            <v>准备工时</v>
          </cell>
          <cell r="G3854">
            <v>90</v>
          </cell>
          <cell r="H3854">
            <v>120</v>
          </cell>
          <cell r="K3854">
            <v>60</v>
          </cell>
        </row>
        <row r="3855">
          <cell r="B3855" t="str">
            <v>CB22837F0-001-001</v>
          </cell>
          <cell r="D3855" t="str">
            <v>B</v>
          </cell>
          <cell r="E3855" t="str">
            <v>程序时间</v>
          </cell>
          <cell r="G3855">
            <v>30</v>
          </cell>
          <cell r="H3855">
            <v>30</v>
          </cell>
          <cell r="K3855">
            <v>10</v>
          </cell>
          <cell r="L3855">
            <v>30</v>
          </cell>
        </row>
        <row r="3856">
          <cell r="B3856" t="str">
            <v>CB5811100-006-001</v>
          </cell>
          <cell r="D3856" t="str">
            <v>C</v>
          </cell>
          <cell r="E3856" t="str">
            <v>工序内容</v>
          </cell>
          <cell r="F3856" t="str">
            <v>0/领料</v>
          </cell>
          <cell r="G3856" t="str">
            <v>05/普车15</v>
          </cell>
          <cell r="H3856" t="str">
            <v>10/钳工</v>
          </cell>
          <cell r="I3856" t="str">
            <v>15/分光</v>
          </cell>
          <cell r="J3856" t="str">
            <v>20/热处理</v>
          </cell>
          <cell r="K3856" t="str">
            <v>25/数车20</v>
          </cell>
          <cell r="L3856" t="str">
            <v>30/数车5</v>
          </cell>
          <cell r="M3856" t="str">
            <v>35/清洁</v>
          </cell>
          <cell r="N3856" t="str">
            <v>40/成检</v>
          </cell>
        </row>
        <row r="3857">
          <cell r="B3857" t="str">
            <v>CB5811100-006-001</v>
          </cell>
          <cell r="D3857" t="str">
            <v>C</v>
          </cell>
          <cell r="E3857" t="str">
            <v>准备工时</v>
          </cell>
          <cell r="G3857">
            <v>60</v>
          </cell>
          <cell r="K3857">
            <v>120</v>
          </cell>
          <cell r="L3857">
            <v>60</v>
          </cell>
        </row>
        <row r="3858">
          <cell r="B3858" t="str">
            <v>CB5811100-006-001</v>
          </cell>
          <cell r="D3858" t="str">
            <v>C</v>
          </cell>
          <cell r="E3858" t="str">
            <v>程序时间</v>
          </cell>
          <cell r="G3858">
            <v>30</v>
          </cell>
          <cell r="H3858">
            <v>10</v>
          </cell>
          <cell r="K3858">
            <v>30</v>
          </cell>
          <cell r="L3858">
            <v>10</v>
          </cell>
        </row>
        <row r="3859">
          <cell r="B3859" t="str">
            <v>J7II-5606-30-2</v>
          </cell>
          <cell r="D3859" t="str">
            <v>A</v>
          </cell>
          <cell r="E3859" t="str">
            <v>工序内容</v>
          </cell>
          <cell r="F3859" t="str">
            <v>0领料</v>
          </cell>
          <cell r="G3859" t="str">
            <v>5数车10</v>
          </cell>
          <cell r="H3859" t="str">
            <v>10数车5</v>
          </cell>
          <cell r="I3859" t="str">
            <v>15钳工</v>
          </cell>
          <cell r="J3859" t="str">
            <v>20分光</v>
          </cell>
          <cell r="K3859" t="str">
            <v>25钳工</v>
          </cell>
          <cell r="L3859" t="str">
            <v>30清洁</v>
          </cell>
          <cell r="M3859" t="str">
            <v>35成检</v>
          </cell>
        </row>
        <row r="3860">
          <cell r="B3860" t="str">
            <v>J7II-5606-30-2</v>
          </cell>
          <cell r="D3860" t="str">
            <v>A</v>
          </cell>
          <cell r="E3860" t="str">
            <v>准备工时</v>
          </cell>
          <cell r="G3860">
            <v>60</v>
          </cell>
          <cell r="H3860">
            <v>60</v>
          </cell>
        </row>
        <row r="3861">
          <cell r="B3861" t="str">
            <v>J7II-5606-30-2</v>
          </cell>
          <cell r="D3861" t="str">
            <v>A</v>
          </cell>
          <cell r="E3861" t="str">
            <v>程序时间</v>
          </cell>
          <cell r="G3861">
            <v>10</v>
          </cell>
          <cell r="H3861">
            <v>10</v>
          </cell>
          <cell r="I3861">
            <v>8</v>
          </cell>
          <cell r="K3861">
            <v>5</v>
          </cell>
        </row>
        <row r="3862">
          <cell r="B3862" t="str">
            <v>CB2747G90-006-001</v>
          </cell>
          <cell r="D3862" t="str">
            <v>B</v>
          </cell>
          <cell r="E3862" t="str">
            <v>工序内容</v>
          </cell>
          <cell r="F3862" t="str">
            <v>0/领料</v>
          </cell>
          <cell r="G3862" t="str">
            <v>5车铣45</v>
          </cell>
          <cell r="H3862" t="str">
            <v>数车15</v>
          </cell>
          <cell r="J3862" t="str">
            <v>20分光</v>
          </cell>
          <cell r="K3862" t="str">
            <v>25数车5</v>
          </cell>
          <cell r="L3862" t="str">
            <v>30穿孔</v>
          </cell>
          <cell r="M3862" t="str">
            <v>35钳工</v>
          </cell>
          <cell r="N3862" t="str">
            <v>40清洁</v>
          </cell>
          <cell r="O3862" t="str">
            <v>45成检</v>
          </cell>
        </row>
        <row r="3863">
          <cell r="B3863" t="str">
            <v>CB2747G90-006-001</v>
          </cell>
          <cell r="D3863" t="str">
            <v>B</v>
          </cell>
          <cell r="E3863" t="str">
            <v>准备工时</v>
          </cell>
          <cell r="G3863">
            <v>120</v>
          </cell>
          <cell r="H3863">
            <v>90</v>
          </cell>
          <cell r="K3863">
            <v>60</v>
          </cell>
        </row>
        <row r="3864">
          <cell r="B3864" t="str">
            <v>CB2747G90-006-001</v>
          </cell>
          <cell r="D3864" t="str">
            <v>B</v>
          </cell>
          <cell r="E3864" t="str">
            <v>程序时间</v>
          </cell>
          <cell r="G3864">
            <v>60</v>
          </cell>
          <cell r="H3864">
            <v>20</v>
          </cell>
          <cell r="K3864">
            <v>15</v>
          </cell>
          <cell r="M3864">
            <v>30</v>
          </cell>
        </row>
        <row r="3865">
          <cell r="B3865" t="str">
            <v>DD-J10-61052-172</v>
          </cell>
          <cell r="D3865" t="str">
            <v>A</v>
          </cell>
          <cell r="E3865" t="str">
            <v>工序内容</v>
          </cell>
          <cell r="F3865" t="str">
            <v>0/领料</v>
          </cell>
          <cell r="G3865" t="str">
            <v>05/数车30</v>
          </cell>
          <cell r="H3865" t="str">
            <v>10/数车5</v>
          </cell>
          <cell r="I3865" t="str">
            <v>15/分光</v>
          </cell>
          <cell r="J3865" t="str">
            <v>20/车铣20</v>
          </cell>
          <cell r="K3865" t="str">
            <v>25/穿孔</v>
          </cell>
          <cell r="L3865" t="str">
            <v>30/钳工</v>
          </cell>
          <cell r="M3865" t="str">
            <v>35/清洁</v>
          </cell>
          <cell r="N3865" t="str">
            <v>40/成检</v>
          </cell>
        </row>
        <row r="3866">
          <cell r="B3866" t="str">
            <v>DD-J10-61052-172</v>
          </cell>
          <cell r="D3866" t="str">
            <v>A</v>
          </cell>
          <cell r="E3866" t="str">
            <v>准备工时</v>
          </cell>
          <cell r="G3866">
            <v>90</v>
          </cell>
          <cell r="H3866">
            <v>60</v>
          </cell>
          <cell r="J3866">
            <v>120</v>
          </cell>
        </row>
        <row r="3867">
          <cell r="B3867" t="str">
            <v>DD-J10-61052-172</v>
          </cell>
          <cell r="D3867" t="str">
            <v>A</v>
          </cell>
          <cell r="E3867" t="str">
            <v>程序时间</v>
          </cell>
          <cell r="G3867">
            <v>30</v>
          </cell>
          <cell r="H3867">
            <v>10</v>
          </cell>
          <cell r="J3867">
            <v>35</v>
          </cell>
          <cell r="L3867">
            <v>25</v>
          </cell>
        </row>
        <row r="3868">
          <cell r="B3868" t="str">
            <v>CB5327220-002L/R001</v>
          </cell>
          <cell r="D3868" t="str">
            <v>C</v>
          </cell>
          <cell r="E3868" t="str">
            <v>工序内容</v>
          </cell>
          <cell r="F3868" t="str">
            <v>0/领料</v>
          </cell>
          <cell r="G3868" t="str">
            <v>5/下料</v>
          </cell>
          <cell r="H3868" t="str">
            <v>10/数铣</v>
          </cell>
          <cell r="I3868" t="str">
            <v>15/数铣35</v>
          </cell>
          <cell r="J3868" t="str">
            <v>20/数铣60</v>
          </cell>
          <cell r="K3868" t="str">
            <v>25/数铣248</v>
          </cell>
          <cell r="L3868" t="str">
            <v>30/测量</v>
          </cell>
          <cell r="M3868" t="str">
            <v>35/钳工</v>
          </cell>
          <cell r="N3868" t="str">
            <v>40/清洁</v>
          </cell>
          <cell r="O3868" t="str">
            <v>45/成检</v>
          </cell>
        </row>
        <row r="3869">
          <cell r="B3869" t="str">
            <v>CB5327220-002L/R001</v>
          </cell>
          <cell r="D3869" t="str">
            <v>C</v>
          </cell>
          <cell r="E3869" t="str">
            <v>准备工时</v>
          </cell>
          <cell r="H3869">
            <v>60</v>
          </cell>
          <cell r="I3869">
            <v>60</v>
          </cell>
          <cell r="J3869">
            <v>60</v>
          </cell>
          <cell r="K3869">
            <v>90</v>
          </cell>
        </row>
        <row r="3870">
          <cell r="B3870" t="str">
            <v>CB5327220-002L/R001</v>
          </cell>
          <cell r="D3870" t="str">
            <v>C</v>
          </cell>
          <cell r="E3870" t="str">
            <v>装夹时间</v>
          </cell>
          <cell r="H3870">
            <v>90</v>
          </cell>
          <cell r="I3870">
            <v>60</v>
          </cell>
          <cell r="J3870">
            <v>120</v>
          </cell>
          <cell r="K3870">
            <v>120</v>
          </cell>
        </row>
        <row r="3871">
          <cell r="B3871" t="str">
            <v>CB5327220-002L/R001</v>
          </cell>
          <cell r="D3871" t="str">
            <v>C</v>
          </cell>
          <cell r="E3871" t="str">
            <v>程序时间</v>
          </cell>
          <cell r="H3871">
            <v>90</v>
          </cell>
          <cell r="I3871">
            <v>80</v>
          </cell>
          <cell r="J3871">
            <v>90</v>
          </cell>
          <cell r="K3871">
            <v>480</v>
          </cell>
          <cell r="M3871">
            <v>100</v>
          </cell>
        </row>
        <row r="3872">
          <cell r="B3872" t="str">
            <v>CB5327220-002L001</v>
          </cell>
          <cell r="D3872" t="str">
            <v>C</v>
          </cell>
          <cell r="E3872" t="str">
            <v>工序内容</v>
          </cell>
          <cell r="F3872" t="str">
            <v>0/领料</v>
          </cell>
          <cell r="G3872" t="str">
            <v>5/下料</v>
          </cell>
          <cell r="H3872" t="str">
            <v>10/数铣</v>
          </cell>
          <cell r="I3872" t="str">
            <v>15/数铣35</v>
          </cell>
          <cell r="J3872" t="str">
            <v>20/数铣60</v>
          </cell>
          <cell r="K3872" t="str">
            <v>25/数铣248</v>
          </cell>
          <cell r="L3872" t="str">
            <v>30/测量</v>
          </cell>
          <cell r="M3872" t="str">
            <v>35/钳工</v>
          </cell>
          <cell r="N3872" t="str">
            <v>40/清洁</v>
          </cell>
          <cell r="O3872" t="str">
            <v>45/成检</v>
          </cell>
        </row>
        <row r="3873">
          <cell r="B3873" t="str">
            <v>CB5327220-002L001</v>
          </cell>
          <cell r="D3873" t="str">
            <v>C</v>
          </cell>
          <cell r="E3873" t="str">
            <v>准备工时</v>
          </cell>
          <cell r="H3873">
            <v>60</v>
          </cell>
          <cell r="I3873">
            <v>60</v>
          </cell>
          <cell r="J3873">
            <v>60</v>
          </cell>
          <cell r="K3873">
            <v>90</v>
          </cell>
        </row>
        <row r="3874">
          <cell r="B3874" t="str">
            <v>CB5327220-002L001</v>
          </cell>
          <cell r="D3874" t="str">
            <v>C</v>
          </cell>
          <cell r="E3874" t="str">
            <v>装夹时间</v>
          </cell>
          <cell r="H3874">
            <v>90</v>
          </cell>
          <cell r="I3874">
            <v>60</v>
          </cell>
          <cell r="J3874">
            <v>120</v>
          </cell>
          <cell r="K3874">
            <v>120</v>
          </cell>
        </row>
        <row r="3875">
          <cell r="B3875" t="str">
            <v>CB5327220-002L001</v>
          </cell>
          <cell r="D3875" t="str">
            <v>C</v>
          </cell>
          <cell r="E3875" t="str">
            <v>程序时间</v>
          </cell>
          <cell r="H3875">
            <v>90</v>
          </cell>
          <cell r="I3875">
            <v>80</v>
          </cell>
          <cell r="J3875">
            <v>90</v>
          </cell>
          <cell r="K3875">
            <v>480</v>
          </cell>
          <cell r="M3875">
            <v>100</v>
          </cell>
        </row>
        <row r="3876">
          <cell r="B3876" t="str">
            <v>CB5327220-002R001</v>
          </cell>
          <cell r="D3876" t="str">
            <v>C</v>
          </cell>
          <cell r="E3876" t="str">
            <v>工序内容</v>
          </cell>
          <cell r="F3876" t="str">
            <v>0/领料</v>
          </cell>
          <cell r="G3876" t="str">
            <v>5/下料</v>
          </cell>
          <cell r="H3876" t="str">
            <v>10/数铣</v>
          </cell>
          <cell r="I3876" t="str">
            <v>15/数铣35</v>
          </cell>
          <cell r="J3876" t="str">
            <v>20/数铣60</v>
          </cell>
          <cell r="K3876" t="str">
            <v>25/数铣248</v>
          </cell>
          <cell r="L3876" t="str">
            <v>30/测量</v>
          </cell>
          <cell r="M3876" t="str">
            <v>35/钳工</v>
          </cell>
          <cell r="N3876" t="str">
            <v>40/清洁</v>
          </cell>
          <cell r="O3876" t="str">
            <v>45/成检</v>
          </cell>
        </row>
        <row r="3877">
          <cell r="B3877" t="str">
            <v>CB5327220-002R001</v>
          </cell>
          <cell r="D3877" t="str">
            <v>C</v>
          </cell>
          <cell r="E3877" t="str">
            <v>准备工时</v>
          </cell>
          <cell r="H3877">
            <v>60</v>
          </cell>
          <cell r="I3877">
            <v>60</v>
          </cell>
          <cell r="J3877">
            <v>60</v>
          </cell>
          <cell r="K3877">
            <v>90</v>
          </cell>
        </row>
        <row r="3878">
          <cell r="B3878" t="str">
            <v>CB5327220-002R001</v>
          </cell>
          <cell r="D3878" t="str">
            <v>C</v>
          </cell>
          <cell r="E3878" t="str">
            <v>装夹时间</v>
          </cell>
          <cell r="H3878">
            <v>90</v>
          </cell>
          <cell r="I3878">
            <v>60</v>
          </cell>
          <cell r="J3878">
            <v>120</v>
          </cell>
          <cell r="K3878">
            <v>120</v>
          </cell>
        </row>
        <row r="3879">
          <cell r="B3879" t="str">
            <v>CB5327220-002R001</v>
          </cell>
          <cell r="D3879" t="str">
            <v>C</v>
          </cell>
          <cell r="E3879" t="str">
            <v>程序时间</v>
          </cell>
          <cell r="H3879">
            <v>90</v>
          </cell>
          <cell r="I3879">
            <v>80</v>
          </cell>
          <cell r="J3879">
            <v>90</v>
          </cell>
          <cell r="K3879">
            <v>480</v>
          </cell>
          <cell r="M3879">
            <v>100</v>
          </cell>
        </row>
        <row r="3880">
          <cell r="B3880" t="str">
            <v>CB2263280-001-002</v>
          </cell>
          <cell r="D3880" t="str">
            <v>A</v>
          </cell>
          <cell r="E3880" t="str">
            <v>工序内容</v>
          </cell>
          <cell r="F3880" t="str">
            <v>0/领料</v>
          </cell>
          <cell r="G3880" t="str">
            <v>05/数车10</v>
          </cell>
          <cell r="H3880" t="str">
            <v>10/数车25</v>
          </cell>
          <cell r="I3880" t="str">
            <v>15/分光</v>
          </cell>
          <cell r="J3880" t="str">
            <v>20/数车20</v>
          </cell>
          <cell r="K3880" t="str">
            <v>25/数铣15</v>
          </cell>
          <cell r="L3880" t="str">
            <v>30/电火花</v>
          </cell>
          <cell r="M3880" t="str">
            <v>35/数铣15</v>
          </cell>
          <cell r="N3880" t="str">
            <v>40/穿孔</v>
          </cell>
          <cell r="O3880" t="str">
            <v>45/钳工</v>
          </cell>
          <cell r="P3880" t="str">
            <v>50/清洁</v>
          </cell>
          <cell r="Q3880" t="str">
            <v>55/成检</v>
          </cell>
        </row>
        <row r="3881">
          <cell r="B3881" t="str">
            <v>CB2263280-001-002</v>
          </cell>
          <cell r="D3881" t="str">
            <v>A</v>
          </cell>
          <cell r="E3881" t="str">
            <v>准备工时</v>
          </cell>
          <cell r="G3881">
            <v>90</v>
          </cell>
          <cell r="H3881">
            <v>60</v>
          </cell>
          <cell r="J3881">
            <v>90</v>
          </cell>
          <cell r="K3881">
            <v>60</v>
          </cell>
          <cell r="M3881">
            <v>90</v>
          </cell>
        </row>
        <row r="3882">
          <cell r="B3882" t="str">
            <v>CB2263280-001-002</v>
          </cell>
          <cell r="D3882" t="str">
            <v>A</v>
          </cell>
          <cell r="E3882" t="str">
            <v>程序时间</v>
          </cell>
          <cell r="G3882">
            <v>20</v>
          </cell>
          <cell r="H3882">
            <v>50</v>
          </cell>
          <cell r="J3882">
            <v>40</v>
          </cell>
          <cell r="K3882">
            <v>30</v>
          </cell>
          <cell r="M3882">
            <v>60</v>
          </cell>
          <cell r="O3882">
            <v>35</v>
          </cell>
        </row>
        <row r="3883">
          <cell r="B3883" t="str">
            <v>CB22109MN-001-003</v>
          </cell>
          <cell r="D3883" t="str">
            <v>B</v>
          </cell>
          <cell r="E3883" t="str">
            <v>工序内容</v>
          </cell>
          <cell r="F3883" t="str">
            <v>0/领料</v>
          </cell>
          <cell r="G3883" t="str">
            <v>5/钳工</v>
          </cell>
          <cell r="H3883" t="str">
            <v>10/数车15</v>
          </cell>
          <cell r="I3883" t="str">
            <v>15/数车15</v>
          </cell>
          <cell r="J3883" t="str">
            <v>20/硬度</v>
          </cell>
          <cell r="K3883" t="str">
            <v>25/数车30</v>
          </cell>
          <cell r="L3883" t="str">
            <v>30/数车</v>
          </cell>
          <cell r="M3883" t="str">
            <v>35/钳工</v>
          </cell>
          <cell r="N3883" t="str">
            <v>40/清洁</v>
          </cell>
          <cell r="O3883" t="str">
            <v>45/成检</v>
          </cell>
        </row>
        <row r="3884">
          <cell r="B3884" t="str">
            <v>CB22109MN-001-003</v>
          </cell>
          <cell r="D3884" t="str">
            <v>B</v>
          </cell>
          <cell r="E3884" t="str">
            <v>准备工时</v>
          </cell>
          <cell r="H3884">
            <v>90</v>
          </cell>
          <cell r="I3884">
            <v>90</v>
          </cell>
          <cell r="K3884">
            <v>120</v>
          </cell>
          <cell r="L3884">
            <v>120</v>
          </cell>
        </row>
        <row r="3885">
          <cell r="B3885" t="str">
            <v>CB22109MN-001-003</v>
          </cell>
          <cell r="D3885" t="str">
            <v>B</v>
          </cell>
          <cell r="E3885" t="str">
            <v>程序时间</v>
          </cell>
          <cell r="G3885">
            <v>10</v>
          </cell>
          <cell r="H3885">
            <v>20</v>
          </cell>
          <cell r="I3885">
            <v>20</v>
          </cell>
          <cell r="K3885">
            <v>40</v>
          </cell>
          <cell r="L3885">
            <v>40</v>
          </cell>
          <cell r="M3885">
            <v>30</v>
          </cell>
        </row>
        <row r="3886">
          <cell r="B3886" t="str">
            <v>DD-J10-55015-6100-1</v>
          </cell>
          <cell r="D3886" t="str">
            <v>B</v>
          </cell>
          <cell r="E3886" t="str">
            <v>工序内容</v>
          </cell>
          <cell r="F3886" t="str">
            <v>0/领料</v>
          </cell>
          <cell r="G3886" t="str">
            <v>05/钳工</v>
          </cell>
          <cell r="H3886" t="str">
            <v>10/数车5</v>
          </cell>
          <cell r="I3886" t="str">
            <v>15/数车10</v>
          </cell>
          <cell r="J3886" t="str">
            <v>20/数铣10</v>
          </cell>
          <cell r="K3886" t="str">
            <v>25/热处理</v>
          </cell>
          <cell r="L3886" t="str">
            <v>30/线切割</v>
          </cell>
          <cell r="M3886" t="str">
            <v>35/数铣10</v>
          </cell>
          <cell r="N3886" t="str">
            <v>40/数车15</v>
          </cell>
          <cell r="O3886" t="str">
            <v>45/数车15</v>
          </cell>
          <cell r="P3886" t="str">
            <v>50/数铣15</v>
          </cell>
          <cell r="Q3886" t="str">
            <v>55/数铣15</v>
          </cell>
          <cell r="R3886" t="str">
            <v>60/数车20</v>
          </cell>
          <cell r="S3886" t="str">
            <v>65/钳工</v>
          </cell>
          <cell r="T3886" t="str">
            <v>70/消除应力</v>
          </cell>
          <cell r="U3886" t="str">
            <v>75/入厂复检</v>
          </cell>
          <cell r="V3886" t="str">
            <v>80/表处</v>
          </cell>
          <cell r="W3886" t="str">
            <v>85/表处</v>
          </cell>
          <cell r="X3886" t="str">
            <v>90/清洗</v>
          </cell>
          <cell r="Y3886" t="str">
            <v>95/磁粉</v>
          </cell>
          <cell r="Z3886" t="str">
            <v>100/清洗</v>
          </cell>
          <cell r="AA3886" t="str">
            <v>105/表处</v>
          </cell>
          <cell r="AB3886" t="str">
            <v>110/表处</v>
          </cell>
          <cell r="AC3886" t="str">
            <v>115/数车10</v>
          </cell>
          <cell r="AD3886" t="str">
            <v>120/清洁</v>
          </cell>
          <cell r="AE3886" t="str">
            <v>125/成检</v>
          </cell>
        </row>
        <row r="3887">
          <cell r="B3887" t="str">
            <v>DD-J10-55015-6100-0</v>
          </cell>
          <cell r="D3887" t="str">
            <v>B</v>
          </cell>
          <cell r="E3887" t="str">
            <v>准备工时</v>
          </cell>
          <cell r="H3887">
            <v>120</v>
          </cell>
          <cell r="I3887">
            <v>120</v>
          </cell>
          <cell r="J3887">
            <v>120</v>
          </cell>
          <cell r="M3887">
            <v>60</v>
          </cell>
          <cell r="N3887">
            <v>120</v>
          </cell>
          <cell r="O3887">
            <v>120</v>
          </cell>
          <cell r="P3887">
            <v>60</v>
          </cell>
          <cell r="Q3887">
            <v>60</v>
          </cell>
          <cell r="R3887">
            <v>120</v>
          </cell>
          <cell r="AC3887">
            <v>120</v>
          </cell>
        </row>
        <row r="3888">
          <cell r="B3888" t="str">
            <v>DD-J10-55015-6100-1</v>
          </cell>
          <cell r="D3888" t="str">
            <v>B</v>
          </cell>
          <cell r="E3888" t="str">
            <v>程序时间</v>
          </cell>
          <cell r="G3888">
            <v>10</v>
          </cell>
          <cell r="H3888">
            <v>10</v>
          </cell>
          <cell r="I3888">
            <v>20</v>
          </cell>
          <cell r="J3888">
            <v>20</v>
          </cell>
          <cell r="M3888">
            <v>30</v>
          </cell>
          <cell r="N3888">
            <v>30</v>
          </cell>
          <cell r="O3888">
            <v>30</v>
          </cell>
          <cell r="P3888">
            <v>35</v>
          </cell>
          <cell r="Q3888">
            <v>35</v>
          </cell>
          <cell r="R3888">
            <v>30</v>
          </cell>
          <cell r="S3888">
            <v>30</v>
          </cell>
          <cell r="AC3888">
            <v>20</v>
          </cell>
        </row>
        <row r="3889">
          <cell r="B3889" t="str">
            <v>DD-J10S-96011-1201</v>
          </cell>
          <cell r="D3889" t="str">
            <v>B</v>
          </cell>
          <cell r="E3889" t="str">
            <v>工序内容</v>
          </cell>
          <cell r="F3889" t="str">
            <v>0/领料</v>
          </cell>
          <cell r="G3889" t="str">
            <v>05/钳工</v>
          </cell>
          <cell r="H3889" t="str">
            <v>10/数车25</v>
          </cell>
          <cell r="I3889" t="str">
            <v>15/数车20</v>
          </cell>
          <cell r="J3889" t="str">
            <v>20/数车20</v>
          </cell>
          <cell r="K3889" t="str">
            <v>25/钳工</v>
          </cell>
          <cell r="L3889" t="str">
            <v>30/清洗</v>
          </cell>
          <cell r="M3889" t="str">
            <v>35/热处理</v>
          </cell>
          <cell r="N3889" t="str">
            <v>40/钳工</v>
          </cell>
          <cell r="O3889" t="str">
            <v>45/清洁</v>
          </cell>
          <cell r="P3889" t="str">
            <v>50/成检</v>
          </cell>
        </row>
        <row r="3890">
          <cell r="B3890" t="str">
            <v>DD-J10S-96011-1201</v>
          </cell>
          <cell r="D3890" t="str">
            <v>B</v>
          </cell>
          <cell r="E3890" t="str">
            <v>准备工时</v>
          </cell>
          <cell r="H3890">
            <v>90</v>
          </cell>
          <cell r="I3890">
            <v>90</v>
          </cell>
          <cell r="J3890">
            <v>90</v>
          </cell>
        </row>
        <row r="3891">
          <cell r="B3891" t="str">
            <v>DD-J10S-96011-1201</v>
          </cell>
          <cell r="D3891" t="str">
            <v>B</v>
          </cell>
          <cell r="E3891" t="str">
            <v>程序时间</v>
          </cell>
          <cell r="G3891">
            <v>15</v>
          </cell>
          <cell r="H3891">
            <v>40</v>
          </cell>
          <cell r="I3891">
            <v>30</v>
          </cell>
          <cell r="J3891">
            <v>30</v>
          </cell>
          <cell r="K3891">
            <v>30</v>
          </cell>
          <cell r="N3891">
            <v>25</v>
          </cell>
        </row>
        <row r="3892">
          <cell r="B3892" t="str">
            <v>DD-J10B-94091-26G2</v>
          </cell>
          <cell r="D3892" t="str">
            <v>B</v>
          </cell>
          <cell r="E3892" t="str">
            <v>工序内容</v>
          </cell>
          <cell r="F3892" t="str">
            <v>0/领料</v>
          </cell>
          <cell r="G3892" t="str">
            <v>05/钳工</v>
          </cell>
          <cell r="H3892" t="str">
            <v>10/数车10</v>
          </cell>
          <cell r="I3892" t="str">
            <v>15/数车25</v>
          </cell>
          <cell r="J3892" t="str">
            <v>20/数车20</v>
          </cell>
          <cell r="K3892" t="str">
            <v>25/数车20</v>
          </cell>
          <cell r="L3892" t="str">
            <v>30/数车15</v>
          </cell>
          <cell r="M3892" t="str">
            <v>35/钳工</v>
          </cell>
          <cell r="N3892" t="str">
            <v>40/清洁</v>
          </cell>
          <cell r="O3892" t="str">
            <v>45/成检</v>
          </cell>
        </row>
        <row r="3893">
          <cell r="B3893" t="str">
            <v>DD-J10B-94091-26G2</v>
          </cell>
          <cell r="D3893" t="str">
            <v>B</v>
          </cell>
          <cell r="E3893" t="str">
            <v>准备工时</v>
          </cell>
          <cell r="H3893">
            <v>120</v>
          </cell>
          <cell r="I3893">
            <v>150</v>
          </cell>
          <cell r="J3893">
            <v>150</v>
          </cell>
          <cell r="K3893">
            <v>150</v>
          </cell>
          <cell r="L3893">
            <v>150</v>
          </cell>
        </row>
        <row r="3894">
          <cell r="B3894" t="str">
            <v>DD-J10B-94091-26G2</v>
          </cell>
          <cell r="D3894" t="str">
            <v>B</v>
          </cell>
          <cell r="E3894" t="str">
            <v>程序时间</v>
          </cell>
          <cell r="G3894">
            <v>20</v>
          </cell>
          <cell r="H3894">
            <v>15</v>
          </cell>
          <cell r="I3894">
            <v>35</v>
          </cell>
          <cell r="J3894">
            <v>30</v>
          </cell>
          <cell r="K3894">
            <v>30</v>
          </cell>
          <cell r="L3894">
            <v>25</v>
          </cell>
          <cell r="M3894" t="str">
            <v>45</v>
          </cell>
        </row>
        <row r="3895">
          <cell r="B3895" t="str">
            <v>CB2210982-001-002</v>
          </cell>
          <cell r="D3895" t="str">
            <v>A</v>
          </cell>
          <cell r="E3895" t="str">
            <v>工序内容</v>
          </cell>
          <cell r="F3895" t="str">
            <v>领料</v>
          </cell>
          <cell r="G3895" t="str">
            <v>钳工</v>
          </cell>
          <cell r="H3895" t="str">
            <v>数车</v>
          </cell>
          <cell r="I3895" t="str">
            <v>数车</v>
          </cell>
          <cell r="J3895" t="str">
            <v>数车</v>
          </cell>
          <cell r="K3895" t="str">
            <v>硬度检查</v>
          </cell>
          <cell r="L3895" t="str">
            <v>数车</v>
          </cell>
          <cell r="M3895" t="str">
            <v>钳工</v>
          </cell>
          <cell r="N3895" t="str">
            <v>清洁</v>
          </cell>
          <cell r="O3895" t="str">
            <v>成检</v>
          </cell>
        </row>
        <row r="3896">
          <cell r="B3896" t="str">
            <v>CB2210982-001-002</v>
          </cell>
          <cell r="D3896" t="str">
            <v>A</v>
          </cell>
          <cell r="E3896" t="str">
            <v>准备工时</v>
          </cell>
          <cell r="H3896">
            <v>75</v>
          </cell>
          <cell r="I3896">
            <v>75</v>
          </cell>
          <cell r="J3896">
            <v>75</v>
          </cell>
          <cell r="K3896">
            <v>0</v>
          </cell>
          <cell r="L3896">
            <v>75</v>
          </cell>
        </row>
        <row r="3897">
          <cell r="B3897" t="str">
            <v>CB2210982-001-002</v>
          </cell>
          <cell r="D3897" t="str">
            <v>A</v>
          </cell>
          <cell r="E3897" t="str">
            <v>程序时间</v>
          </cell>
          <cell r="G3897">
            <v>8</v>
          </cell>
          <cell r="H3897">
            <v>25</v>
          </cell>
          <cell r="I3897">
            <v>25</v>
          </cell>
          <cell r="J3897">
            <v>45</v>
          </cell>
          <cell r="K3897">
            <v>0</v>
          </cell>
          <cell r="L3897">
            <v>45</v>
          </cell>
          <cell r="M3897">
            <v>20</v>
          </cell>
        </row>
        <row r="3898">
          <cell r="B3898" t="str">
            <v>DD-J10-55222-3105</v>
          </cell>
          <cell r="D3898" t="str">
            <v>B</v>
          </cell>
          <cell r="E3898" t="str">
            <v>工序内容</v>
          </cell>
          <cell r="F3898" t="str">
            <v>0领料</v>
          </cell>
          <cell r="G3898" t="str">
            <v>05钳工</v>
          </cell>
          <cell r="H3898" t="str">
            <v>10数车20</v>
          </cell>
          <cell r="I3898" t="str">
            <v>15数车15</v>
          </cell>
          <cell r="J3898" t="str">
            <v>20热处理</v>
          </cell>
          <cell r="K3898" t="str">
            <v>25数车25</v>
          </cell>
          <cell r="L3898" t="str">
            <v>30数车20</v>
          </cell>
          <cell r="M3898" t="str">
            <v>35钳</v>
          </cell>
          <cell r="N3898" t="str">
            <v>40中检</v>
          </cell>
          <cell r="O3898" t="str">
            <v>45复检</v>
          </cell>
          <cell r="P3898" t="str">
            <v>50表处</v>
          </cell>
          <cell r="Q3898" t="str">
            <v>55表处</v>
          </cell>
          <cell r="R3898" t="str">
            <v>60数车10</v>
          </cell>
          <cell r="S3898" t="str">
            <v>65数车10</v>
          </cell>
          <cell r="T3898" t="str">
            <v>70清洁</v>
          </cell>
          <cell r="U3898" t="str">
            <v>75成检</v>
          </cell>
        </row>
        <row r="3899">
          <cell r="B3899" t="str">
            <v>DD-J10-55222-3105</v>
          </cell>
          <cell r="D3899" t="str">
            <v>B</v>
          </cell>
          <cell r="E3899" t="str">
            <v>准备工时</v>
          </cell>
          <cell r="H3899">
            <v>90</v>
          </cell>
          <cell r="I3899">
            <v>120</v>
          </cell>
          <cell r="K3899">
            <v>180</v>
          </cell>
          <cell r="L3899">
            <v>180</v>
          </cell>
          <cell r="R3899">
            <v>120</v>
          </cell>
          <cell r="S3899">
            <v>120</v>
          </cell>
        </row>
        <row r="3900">
          <cell r="B3900" t="str">
            <v>DD-J10-55222-3105</v>
          </cell>
          <cell r="D3900" t="str">
            <v>B</v>
          </cell>
          <cell r="E3900" t="str">
            <v>程序时间</v>
          </cell>
          <cell r="G3900">
            <v>10</v>
          </cell>
          <cell r="H3900">
            <v>30</v>
          </cell>
          <cell r="I3900">
            <v>25</v>
          </cell>
          <cell r="K3900">
            <v>30</v>
          </cell>
          <cell r="L3900">
            <v>30</v>
          </cell>
          <cell r="M3900">
            <v>30</v>
          </cell>
          <cell r="R3900">
            <v>15</v>
          </cell>
          <cell r="S3900">
            <v>15</v>
          </cell>
        </row>
        <row r="3901">
          <cell r="B3901" t="str">
            <v>CB5324310-009L/009R006</v>
          </cell>
          <cell r="D3901" t="str">
            <v>D</v>
          </cell>
          <cell r="E3901" t="str">
            <v>工序内容</v>
          </cell>
          <cell r="F3901" t="str">
            <v>0/领料</v>
          </cell>
          <cell r="G3901" t="str">
            <v>5/数铣</v>
          </cell>
          <cell r="H3901" t="str">
            <v>10/数铣15</v>
          </cell>
          <cell r="I3901" t="str">
            <v>15/数铣70</v>
          </cell>
          <cell r="J3901" t="str">
            <v>20/数铣75</v>
          </cell>
          <cell r="K3901" t="str">
            <v>25/数铣30</v>
          </cell>
          <cell r="L3901" t="str">
            <v>30/测量</v>
          </cell>
          <cell r="M3901" t="str">
            <v>35/钳工</v>
          </cell>
          <cell r="N3901" t="str">
            <v>40/数铣</v>
          </cell>
          <cell r="O3901" t="str">
            <v>45/清洁</v>
          </cell>
          <cell r="P3901" t="str">
            <v>50/成检</v>
          </cell>
        </row>
        <row r="3902">
          <cell r="B3902" t="str">
            <v>CB5324310-009L/009R006</v>
          </cell>
          <cell r="D3902" t="str">
            <v>D</v>
          </cell>
          <cell r="E3902" t="str">
            <v>准备工时</v>
          </cell>
          <cell r="G3902">
            <v>60</v>
          </cell>
          <cell r="H3902">
            <v>60</v>
          </cell>
          <cell r="I3902">
            <v>60</v>
          </cell>
          <cell r="J3902">
            <v>60</v>
          </cell>
          <cell r="K3902">
            <v>60</v>
          </cell>
        </row>
        <row r="3903">
          <cell r="B3903" t="str">
            <v>CB5324310-009L/009R006</v>
          </cell>
          <cell r="D3903" t="str">
            <v>D</v>
          </cell>
          <cell r="E3903" t="str">
            <v>装夹时间</v>
          </cell>
        </row>
        <row r="3904">
          <cell r="B3904" t="str">
            <v>CB5324310-009L/009R006</v>
          </cell>
          <cell r="D3904" t="str">
            <v>D</v>
          </cell>
          <cell r="E3904" t="str">
            <v>程序时间</v>
          </cell>
          <cell r="G3904">
            <v>60</v>
          </cell>
          <cell r="H3904">
            <v>30</v>
          </cell>
          <cell r="I3904">
            <v>130</v>
          </cell>
          <cell r="J3904">
            <v>110</v>
          </cell>
          <cell r="K3904">
            <v>60</v>
          </cell>
          <cell r="M3904">
            <v>30</v>
          </cell>
          <cell r="N3904">
            <v>20</v>
          </cell>
        </row>
        <row r="3905">
          <cell r="B3905" t="str">
            <v>CB22877HD-001-001</v>
          </cell>
          <cell r="D3905" t="str">
            <v>C</v>
          </cell>
          <cell r="E3905" t="str">
            <v>工序内容</v>
          </cell>
          <cell r="F3905" t="str">
            <v>0/领料</v>
          </cell>
          <cell r="G3905" t="str">
            <v>5/数车20</v>
          </cell>
          <cell r="H3905" t="str">
            <v>10/分光</v>
          </cell>
          <cell r="I3905" t="str">
            <v>15/硬度</v>
          </cell>
          <cell r="J3905" t="str">
            <v>20/车铣10</v>
          </cell>
          <cell r="K3905" t="str">
            <v>25/数车30</v>
          </cell>
          <cell r="L3905" t="str">
            <v>30/</v>
          </cell>
          <cell r="M3905" t="str">
            <v>35/穿孔</v>
          </cell>
          <cell r="N3905" t="str">
            <v>40/钳工</v>
          </cell>
          <cell r="O3905" t="str">
            <v>45/清洁</v>
          </cell>
          <cell r="P3905" t="str">
            <v>50/成检</v>
          </cell>
        </row>
        <row r="3906">
          <cell r="B3906" t="str">
            <v>CB22877HD-001-001</v>
          </cell>
          <cell r="D3906" t="str">
            <v>C</v>
          </cell>
          <cell r="E3906" t="str">
            <v>准备工时</v>
          </cell>
          <cell r="G3906">
            <v>90</v>
          </cell>
          <cell r="J3906">
            <v>90</v>
          </cell>
          <cell r="K3906">
            <v>90</v>
          </cell>
        </row>
        <row r="3907">
          <cell r="B3907" t="str">
            <v>CB22877HD-001-001</v>
          </cell>
          <cell r="D3907" t="str">
            <v>C</v>
          </cell>
          <cell r="E3907" t="str">
            <v>程序时间</v>
          </cell>
          <cell r="G3907">
            <v>30</v>
          </cell>
          <cell r="J3907">
            <v>20</v>
          </cell>
          <cell r="K3907">
            <v>35</v>
          </cell>
          <cell r="M3907">
            <v>20</v>
          </cell>
          <cell r="N3907">
            <v>25</v>
          </cell>
        </row>
        <row r="3908">
          <cell r="B3908" t="str">
            <v>DD-J10-55121-1</v>
          </cell>
          <cell r="D3908" t="str">
            <v>D</v>
          </cell>
          <cell r="E3908" t="str">
            <v>工序内容</v>
          </cell>
          <cell r="F3908" t="str">
            <v>0/领料</v>
          </cell>
          <cell r="G3908" t="str">
            <v>5/钳工</v>
          </cell>
          <cell r="H3908" t="str">
            <v>10/数车30</v>
          </cell>
          <cell r="I3908" t="str">
            <v>15/数车15</v>
          </cell>
          <cell r="J3908" t="str">
            <v>20/数车30</v>
          </cell>
          <cell r="K3908" t="str">
            <v>25/数车30</v>
          </cell>
          <cell r="L3908" t="str">
            <v>30/数铣10</v>
          </cell>
          <cell r="M3908" t="str">
            <v>35/钳工</v>
          </cell>
          <cell r="N3908" t="str">
            <v>40/热处理</v>
          </cell>
          <cell r="O3908" t="str">
            <v>45/热处理</v>
          </cell>
          <cell r="P3908" t="str">
            <v>50/钳工</v>
          </cell>
          <cell r="Q3908" t="str">
            <v>55/中检</v>
          </cell>
          <cell r="R3908" t="str">
            <v>60/入厂复检</v>
          </cell>
          <cell r="S3908" t="str">
            <v>65/表处</v>
          </cell>
          <cell r="T3908" t="str">
            <v>70/表处</v>
          </cell>
          <cell r="U3908" t="str">
            <v>75/入厂检验</v>
          </cell>
          <cell r="V3908" t="str">
            <v>80/数车10</v>
          </cell>
          <cell r="W3908" t="str">
            <v>85/数车10</v>
          </cell>
          <cell r="X3908" t="str">
            <v>90/数车10</v>
          </cell>
          <cell r="Y3908" t="str">
            <v>95/清洁</v>
          </cell>
          <cell r="Z3908" t="str">
            <v>100/成检</v>
          </cell>
        </row>
        <row r="3909">
          <cell r="B3909" t="str">
            <v>DD-J10-55121-1</v>
          </cell>
          <cell r="D3909" t="str">
            <v>D</v>
          </cell>
          <cell r="E3909" t="str">
            <v>准备工时</v>
          </cell>
          <cell r="H3909">
            <v>90</v>
          </cell>
          <cell r="I3909">
            <v>90</v>
          </cell>
          <cell r="J3909">
            <v>90</v>
          </cell>
          <cell r="K3909">
            <v>90</v>
          </cell>
          <cell r="L3909" t="str">
            <v>60</v>
          </cell>
          <cell r="V3909">
            <v>90</v>
          </cell>
          <cell r="W3909">
            <v>90</v>
          </cell>
          <cell r="X3909">
            <v>90</v>
          </cell>
        </row>
        <row r="3910">
          <cell r="B3910" t="str">
            <v>DD-J10-55121-1</v>
          </cell>
          <cell r="D3910" t="str">
            <v>D</v>
          </cell>
          <cell r="E3910" t="str">
            <v>程序时间</v>
          </cell>
          <cell r="G3910">
            <v>15</v>
          </cell>
          <cell r="H3910">
            <v>45</v>
          </cell>
          <cell r="I3910">
            <v>25</v>
          </cell>
          <cell r="J3910">
            <v>45</v>
          </cell>
          <cell r="K3910">
            <v>45</v>
          </cell>
          <cell r="L3910" t="str">
            <v>40</v>
          </cell>
          <cell r="M3910" t="str">
            <v>35</v>
          </cell>
          <cell r="P3910">
            <v>15</v>
          </cell>
          <cell r="V3910">
            <v>25</v>
          </cell>
          <cell r="W3910">
            <v>25</v>
          </cell>
          <cell r="X3910">
            <v>25</v>
          </cell>
        </row>
        <row r="3911">
          <cell r="B3911" t="str">
            <v>DD-J10-55181-6</v>
          </cell>
          <cell r="D3911" t="str">
            <v>D</v>
          </cell>
          <cell r="E3911" t="str">
            <v>工序内容</v>
          </cell>
          <cell r="F3911" t="str">
            <v>0/领料</v>
          </cell>
          <cell r="G3911" t="str">
            <v>5/硬检</v>
          </cell>
          <cell r="H3911" t="str">
            <v>10/钳工</v>
          </cell>
          <cell r="I3911" t="str">
            <v>15/数车10</v>
          </cell>
          <cell r="J3911" t="str">
            <v>20/数车20</v>
          </cell>
          <cell r="K3911" t="str">
            <v>25/数车15</v>
          </cell>
          <cell r="L3911" t="str">
            <v>30/数车20</v>
          </cell>
          <cell r="M3911" t="str">
            <v>35/钳工</v>
          </cell>
          <cell r="N3911" t="str">
            <v>40/清洁</v>
          </cell>
          <cell r="O3911" t="str">
            <v>45/成检</v>
          </cell>
        </row>
        <row r="3912">
          <cell r="B3912" t="str">
            <v>DD-J10-55181-6</v>
          </cell>
          <cell r="D3912" t="str">
            <v>D</v>
          </cell>
          <cell r="E3912" t="str">
            <v>准备工时</v>
          </cell>
          <cell r="I3912">
            <v>150</v>
          </cell>
          <cell r="J3912">
            <v>180</v>
          </cell>
          <cell r="K3912">
            <v>180</v>
          </cell>
          <cell r="L3912" t="str">
            <v>180</v>
          </cell>
        </row>
        <row r="3913">
          <cell r="B3913" t="str">
            <v>DD-J10-55181-6</v>
          </cell>
          <cell r="D3913" t="str">
            <v>D</v>
          </cell>
          <cell r="E3913" t="str">
            <v>程序时间</v>
          </cell>
          <cell r="H3913">
            <v>20</v>
          </cell>
          <cell r="I3913">
            <v>15</v>
          </cell>
          <cell r="J3913">
            <v>30</v>
          </cell>
          <cell r="K3913">
            <v>25</v>
          </cell>
          <cell r="L3913" t="str">
            <v>30</v>
          </cell>
          <cell r="M3913" t="str">
            <v>30</v>
          </cell>
        </row>
        <row r="3914">
          <cell r="B3914" t="str">
            <v>CB2284450-001-001</v>
          </cell>
          <cell r="D3914" t="str">
            <v>B</v>
          </cell>
          <cell r="E3914" t="str">
            <v>工序内容</v>
          </cell>
          <cell r="F3914" t="str">
            <v>0/领料</v>
          </cell>
          <cell r="G3914" t="str">
            <v>05/下料</v>
          </cell>
          <cell r="H3914" t="str">
            <v>10/数车15</v>
          </cell>
          <cell r="I3914" t="str">
            <v>15/数车50</v>
          </cell>
          <cell r="J3914" t="str">
            <v>20/分光</v>
          </cell>
          <cell r="K3914" t="str">
            <v>25/硬度</v>
          </cell>
          <cell r="L3914" t="str">
            <v>30/数车25</v>
          </cell>
          <cell r="M3914" t="str">
            <v>35/钳工</v>
          </cell>
          <cell r="N3914" t="str">
            <v>40/清洁</v>
          </cell>
          <cell r="O3914" t="str">
            <v>45/成检</v>
          </cell>
        </row>
        <row r="3915">
          <cell r="B3915" t="str">
            <v>CB2284450-001-001</v>
          </cell>
          <cell r="D3915" t="str">
            <v>B</v>
          </cell>
          <cell r="E3915" t="str">
            <v>准备工时</v>
          </cell>
          <cell r="H3915">
            <v>90</v>
          </cell>
          <cell r="I3915">
            <v>90</v>
          </cell>
          <cell r="L3915">
            <v>90</v>
          </cell>
        </row>
        <row r="3916">
          <cell r="B3916" t="str">
            <v>CB2284450-001-001</v>
          </cell>
          <cell r="D3916" t="str">
            <v>B</v>
          </cell>
          <cell r="E3916" t="str">
            <v>程序时间</v>
          </cell>
          <cell r="G3916">
            <v>15</v>
          </cell>
          <cell r="H3916">
            <v>25</v>
          </cell>
          <cell r="I3916">
            <v>75</v>
          </cell>
          <cell r="L3916">
            <v>40</v>
          </cell>
          <cell r="M3916">
            <v>25</v>
          </cell>
        </row>
        <row r="3917">
          <cell r="B3917" t="str">
            <v>CB2298814-001-001</v>
          </cell>
          <cell r="D3917" t="str">
            <v>C</v>
          </cell>
          <cell r="E3917" t="str">
            <v>工序内容</v>
          </cell>
          <cell r="F3917" t="str">
            <v>0/领料</v>
          </cell>
          <cell r="G3917" t="str">
            <v>05/数车</v>
          </cell>
          <cell r="H3917" t="str">
            <v>10/分光</v>
          </cell>
          <cell r="I3917" t="str">
            <v>15/硬度</v>
          </cell>
          <cell r="J3917" t="str">
            <v>20/检验</v>
          </cell>
          <cell r="K3917" t="str">
            <v>25/数铣</v>
          </cell>
          <cell r="L3917" t="str">
            <v>30/数铣</v>
          </cell>
          <cell r="M3917" t="str">
            <v>35/数铣</v>
          </cell>
          <cell r="N3917" t="str">
            <v>40/线切割</v>
          </cell>
          <cell r="O3917" t="str">
            <v>45/数铣</v>
          </cell>
          <cell r="P3917" t="str">
            <v>50/钳工</v>
          </cell>
          <cell r="Q3917" t="str">
            <v>55/清洁</v>
          </cell>
          <cell r="R3917" t="str">
            <v>60/成检</v>
          </cell>
        </row>
        <row r="3918">
          <cell r="B3918" t="str">
            <v>CB2298814-001-001</v>
          </cell>
          <cell r="D3918" t="str">
            <v>C</v>
          </cell>
          <cell r="E3918" t="str">
            <v>准备工时</v>
          </cell>
          <cell r="G3918">
            <v>60</v>
          </cell>
          <cell r="K3918">
            <v>60</v>
          </cell>
          <cell r="L3918">
            <v>60</v>
          </cell>
          <cell r="M3918">
            <v>60</v>
          </cell>
          <cell r="O3918">
            <v>60</v>
          </cell>
        </row>
        <row r="3919">
          <cell r="B3919" t="str">
            <v>CB2298814-001-001</v>
          </cell>
          <cell r="D3919" t="str">
            <v>C</v>
          </cell>
          <cell r="E3919" t="str">
            <v>程序时间</v>
          </cell>
          <cell r="G3919">
            <v>15</v>
          </cell>
          <cell r="K3919">
            <v>30</v>
          </cell>
          <cell r="L3919">
            <v>15</v>
          </cell>
          <cell r="M3919">
            <v>20</v>
          </cell>
          <cell r="O3919">
            <v>20</v>
          </cell>
          <cell r="P3919">
            <v>35</v>
          </cell>
        </row>
        <row r="3920">
          <cell r="B3920" t="str">
            <v>CB5814000-003-001</v>
          </cell>
          <cell r="D3920" t="str">
            <v>C</v>
          </cell>
          <cell r="E3920" t="str">
            <v>工序内容</v>
          </cell>
          <cell r="F3920" t="str">
            <v>0/领料</v>
          </cell>
          <cell r="G3920" t="str">
            <v>05/数铣</v>
          </cell>
          <cell r="H3920" t="str">
            <v>10/数铣30</v>
          </cell>
          <cell r="I3920" t="str">
            <v>15/数铣100</v>
          </cell>
          <cell r="J3920" t="str">
            <v>20/数铣45</v>
          </cell>
          <cell r="K3920" t="str">
            <v>25/数铣35</v>
          </cell>
          <cell r="L3920" t="str">
            <v>30/数铣10</v>
          </cell>
          <cell r="M3920" t="str">
            <v>35/测量</v>
          </cell>
          <cell r="N3920" t="str">
            <v>40/钳工</v>
          </cell>
          <cell r="O3920" t="str">
            <v>45/清洁</v>
          </cell>
          <cell r="P3920" t="str">
            <v>50/检验</v>
          </cell>
          <cell r="Q3920" t="str">
            <v>55/硬度</v>
          </cell>
          <cell r="R3920" t="str">
            <v>60/分光</v>
          </cell>
          <cell r="S3920" t="str">
            <v>65/钳返厂</v>
          </cell>
          <cell r="T3920" t="str">
            <v>70/钳工</v>
          </cell>
          <cell r="U3920" t="str">
            <v>75/清洁</v>
          </cell>
          <cell r="V3920" t="str">
            <v>80/成检</v>
          </cell>
        </row>
        <row r="3921">
          <cell r="B3921" t="str">
            <v>CB5814000-003-001</v>
          </cell>
          <cell r="D3921" t="str">
            <v>C</v>
          </cell>
          <cell r="E3921" t="str">
            <v>准备工时</v>
          </cell>
          <cell r="G3921">
            <v>60</v>
          </cell>
          <cell r="H3921">
            <v>60</v>
          </cell>
          <cell r="I3921">
            <v>60</v>
          </cell>
          <cell r="J3921">
            <v>60</v>
          </cell>
          <cell r="K3921">
            <v>60</v>
          </cell>
          <cell r="L3921">
            <v>60</v>
          </cell>
        </row>
        <row r="3922">
          <cell r="B3922" t="str">
            <v>CB5814000-003-001</v>
          </cell>
          <cell r="D3922" t="str">
            <v>C</v>
          </cell>
          <cell r="E3922" t="str">
            <v>程序时间</v>
          </cell>
          <cell r="G3922">
            <v>30</v>
          </cell>
          <cell r="H3922">
            <v>50</v>
          </cell>
          <cell r="I3922">
            <v>180</v>
          </cell>
          <cell r="J3922">
            <v>75</v>
          </cell>
          <cell r="K3922">
            <v>60</v>
          </cell>
          <cell r="L3922">
            <v>20</v>
          </cell>
          <cell r="N3922">
            <v>20</v>
          </cell>
          <cell r="T3922">
            <v>20</v>
          </cell>
        </row>
        <row r="3923">
          <cell r="B3923" t="str">
            <v>CB5313231-001-006</v>
          </cell>
          <cell r="D3923" t="str">
            <v>B</v>
          </cell>
          <cell r="E3923" t="str">
            <v>工序内容</v>
          </cell>
          <cell r="F3923" t="str">
            <v>0/领料</v>
          </cell>
          <cell r="G3923" t="str">
            <v>05/下料</v>
          </cell>
          <cell r="H3923" t="str">
            <v>10/普车15</v>
          </cell>
          <cell r="I3923" t="str">
            <v>15/分光</v>
          </cell>
          <cell r="J3923" t="str">
            <v>20/硬度</v>
          </cell>
          <cell r="K3923" t="str">
            <v>25/车铣35</v>
          </cell>
          <cell r="L3923" t="str">
            <v>30/数车10</v>
          </cell>
          <cell r="M3923" t="str">
            <v>35/钳工</v>
          </cell>
          <cell r="N3923" t="str">
            <v>40/清洁</v>
          </cell>
          <cell r="O3923" t="str">
            <v>45/成检</v>
          </cell>
        </row>
        <row r="3924">
          <cell r="B3924" t="str">
            <v>CB5313231-001-006</v>
          </cell>
          <cell r="D3924" t="str">
            <v>B</v>
          </cell>
          <cell r="E3924" t="str">
            <v>准备工时</v>
          </cell>
          <cell r="H3924">
            <v>60</v>
          </cell>
          <cell r="K3924">
            <v>120</v>
          </cell>
          <cell r="L3924">
            <v>90</v>
          </cell>
        </row>
        <row r="3925">
          <cell r="B3925" t="str">
            <v>CB5313231-001-006</v>
          </cell>
          <cell r="D3925" t="str">
            <v>B</v>
          </cell>
          <cell r="E3925" t="str">
            <v>程序时间</v>
          </cell>
          <cell r="H3925">
            <v>20</v>
          </cell>
          <cell r="K3925">
            <v>50</v>
          </cell>
          <cell r="L3925">
            <v>15</v>
          </cell>
          <cell r="M3925">
            <v>25</v>
          </cell>
        </row>
        <row r="3926">
          <cell r="B3926" t="str">
            <v>CB5812000-028-001</v>
          </cell>
          <cell r="D3926" t="str">
            <v>C</v>
          </cell>
          <cell r="E3926" t="str">
            <v>工序内容</v>
          </cell>
          <cell r="F3926" t="str">
            <v>0/领料</v>
          </cell>
          <cell r="G3926" t="str">
            <v>05/数车15</v>
          </cell>
          <cell r="H3926" t="str">
            <v>10/车铣15</v>
          </cell>
          <cell r="I3926" t="str">
            <v>无</v>
          </cell>
          <cell r="J3926" t="str">
            <v>20/钳工</v>
          </cell>
          <cell r="K3926" t="str">
            <v>25/分光</v>
          </cell>
          <cell r="L3926" t="str">
            <v>30/热处理</v>
          </cell>
          <cell r="M3926" t="str">
            <v>35/数铣5</v>
          </cell>
          <cell r="N3926" t="str">
            <v>40/数车20</v>
          </cell>
          <cell r="O3926" t="str">
            <v>45/数车15</v>
          </cell>
          <cell r="P3926" t="str">
            <v>50/钳工</v>
          </cell>
          <cell r="Q3926" t="str">
            <v>55/清洁</v>
          </cell>
          <cell r="R3926" t="str">
            <v>60/成检</v>
          </cell>
        </row>
        <row r="3927">
          <cell r="B3927" t="str">
            <v>CB5812000-028-001</v>
          </cell>
          <cell r="D3927" t="str">
            <v>C</v>
          </cell>
          <cell r="E3927" t="str">
            <v>准备工时</v>
          </cell>
          <cell r="G3927">
            <v>90</v>
          </cell>
          <cell r="H3927">
            <v>120</v>
          </cell>
          <cell r="M3927">
            <v>60</v>
          </cell>
          <cell r="N3927">
            <v>90</v>
          </cell>
          <cell r="O3927">
            <v>90</v>
          </cell>
        </row>
        <row r="3928">
          <cell r="B3928" t="str">
            <v>CB5812000-028-001</v>
          </cell>
          <cell r="D3928" t="str">
            <v>C</v>
          </cell>
          <cell r="E3928" t="str">
            <v>程序时间</v>
          </cell>
          <cell r="G3928">
            <v>25</v>
          </cell>
          <cell r="H3928">
            <v>40</v>
          </cell>
          <cell r="J3928">
            <v>10</v>
          </cell>
          <cell r="M3928">
            <v>15</v>
          </cell>
          <cell r="N3928">
            <v>40</v>
          </cell>
          <cell r="O3928">
            <v>25</v>
          </cell>
          <cell r="P3928">
            <v>20</v>
          </cell>
        </row>
        <row r="3929">
          <cell r="B3929" t="str">
            <v>DD-J10B-64016-700-1</v>
          </cell>
          <cell r="D3929" t="str">
            <v>C</v>
          </cell>
          <cell r="E3929" t="str">
            <v>工序内容</v>
          </cell>
          <cell r="F3929" t="str">
            <v>0/领料</v>
          </cell>
          <cell r="G3929" t="str">
            <v>5/数车10</v>
          </cell>
          <cell r="H3929" t="str">
            <v>10/数车10</v>
          </cell>
          <cell r="I3929" t="str">
            <v>15/钳工</v>
          </cell>
          <cell r="J3929" t="str">
            <v>20/钳工</v>
          </cell>
          <cell r="K3929" t="str">
            <v>25/分光</v>
          </cell>
          <cell r="L3929" t="str">
            <v>30/数车10</v>
          </cell>
          <cell r="M3929" t="str">
            <v>35/数车10</v>
          </cell>
          <cell r="N3929" t="str">
            <v>40/清洁</v>
          </cell>
          <cell r="O3929" t="str">
            <v>45/成检</v>
          </cell>
        </row>
        <row r="3930">
          <cell r="B3930" t="str">
            <v>DD-J10B-64016-700-1</v>
          </cell>
          <cell r="D3930" t="str">
            <v>C</v>
          </cell>
          <cell r="E3930" t="str">
            <v>准备工时</v>
          </cell>
          <cell r="G3930">
            <v>60</v>
          </cell>
          <cell r="H3930">
            <v>60</v>
          </cell>
          <cell r="L3930">
            <v>60</v>
          </cell>
          <cell r="M3930">
            <v>60</v>
          </cell>
        </row>
        <row r="3931">
          <cell r="B3931" t="str">
            <v>DD-J10B-64016-700-1</v>
          </cell>
          <cell r="D3931" t="str">
            <v>C</v>
          </cell>
          <cell r="E3931" t="str">
            <v>程序时间</v>
          </cell>
          <cell r="G3931">
            <v>10</v>
          </cell>
          <cell r="H3931">
            <v>10</v>
          </cell>
          <cell r="I3931">
            <v>4</v>
          </cell>
          <cell r="J3931">
            <v>25</v>
          </cell>
          <cell r="L3931">
            <v>10</v>
          </cell>
          <cell r="M3931">
            <v>10</v>
          </cell>
        </row>
        <row r="3932">
          <cell r="B3932" t="str">
            <v>DD-J10-62021-40-1</v>
          </cell>
          <cell r="D3932" t="str">
            <v>C</v>
          </cell>
          <cell r="E3932" t="str">
            <v>工序内容</v>
          </cell>
          <cell r="F3932" t="str">
            <v>0/领料</v>
          </cell>
          <cell r="G3932" t="str">
            <v>5/数车6</v>
          </cell>
          <cell r="H3932" t="str">
            <v>10/数车3</v>
          </cell>
          <cell r="I3932" t="str">
            <v>15/钳工</v>
          </cell>
          <cell r="J3932" t="str">
            <v>20/分光</v>
          </cell>
          <cell r="K3932" t="str">
            <v>25/数车15</v>
          </cell>
          <cell r="L3932" t="str">
            <v>30/数车15</v>
          </cell>
          <cell r="M3932" t="str">
            <v>35/清洁</v>
          </cell>
          <cell r="N3932" t="str">
            <v>40/成检</v>
          </cell>
        </row>
        <row r="3933">
          <cell r="B3933" t="str">
            <v>DD-J10-62021-40-1</v>
          </cell>
          <cell r="D3933" t="str">
            <v>C</v>
          </cell>
          <cell r="E3933" t="str">
            <v>准备工时</v>
          </cell>
          <cell r="G3933">
            <v>60</v>
          </cell>
          <cell r="H3933">
            <v>60</v>
          </cell>
          <cell r="K3933">
            <v>60</v>
          </cell>
          <cell r="L3933">
            <v>60</v>
          </cell>
        </row>
        <row r="3934">
          <cell r="B3934" t="str">
            <v>DD-J10-62021-40-1</v>
          </cell>
          <cell r="D3934" t="str">
            <v>C</v>
          </cell>
          <cell r="E3934" t="str">
            <v>程序时间</v>
          </cell>
          <cell r="G3934">
            <v>15</v>
          </cell>
          <cell r="H3934">
            <v>10</v>
          </cell>
          <cell r="I3934">
            <v>25</v>
          </cell>
          <cell r="K3934">
            <v>30</v>
          </cell>
          <cell r="L3934">
            <v>30</v>
          </cell>
        </row>
        <row r="3935">
          <cell r="B3935" t="str">
            <v>BC5711304-001L002</v>
          </cell>
          <cell r="D3935" t="str">
            <v>B</v>
          </cell>
          <cell r="E3935" t="str">
            <v>工序内容</v>
          </cell>
          <cell r="F3935" t="str">
            <v>0/领料</v>
          </cell>
          <cell r="G3935" t="str">
            <v>05/下料</v>
          </cell>
          <cell r="H3935" t="str">
            <v>10/数铣</v>
          </cell>
          <cell r="I3935" t="str">
            <v>15/数铣30</v>
          </cell>
          <cell r="J3935" t="str">
            <v>20/数铣100</v>
          </cell>
          <cell r="K3935" t="str">
            <v>25/数铣90</v>
          </cell>
          <cell r="L3935" t="str">
            <v>30/失效</v>
          </cell>
          <cell r="M3935" t="str">
            <v>35/数铣</v>
          </cell>
          <cell r="N3935" t="str">
            <v>40/数铣270</v>
          </cell>
          <cell r="O3935" t="str">
            <v>45/数铣360</v>
          </cell>
          <cell r="P3935" t="str">
            <v>50/五轴75</v>
          </cell>
          <cell r="Q3935" t="str">
            <v>55/测量</v>
          </cell>
          <cell r="R3935" t="str">
            <v>60/钳工</v>
          </cell>
          <cell r="S3935" t="str">
            <v>65</v>
          </cell>
          <cell r="T3935" t="str">
            <v>70/清洁</v>
          </cell>
          <cell r="U3935" t="str">
            <v>75/成检</v>
          </cell>
        </row>
        <row r="3936">
          <cell r="B3936" t="str">
            <v>BC5711304-001L002</v>
          </cell>
          <cell r="D3936" t="str">
            <v>B</v>
          </cell>
          <cell r="E3936" t="str">
            <v>准备工时</v>
          </cell>
          <cell r="H3936">
            <v>60</v>
          </cell>
          <cell r="I3936">
            <v>60</v>
          </cell>
          <cell r="J3936">
            <v>60</v>
          </cell>
          <cell r="K3936">
            <v>60</v>
          </cell>
          <cell r="M3936">
            <v>60</v>
          </cell>
          <cell r="N3936">
            <v>60</v>
          </cell>
          <cell r="O3936">
            <v>60</v>
          </cell>
          <cell r="P3936">
            <v>120</v>
          </cell>
        </row>
        <row r="3937">
          <cell r="B3937" t="str">
            <v>BC5711304-001L002</v>
          </cell>
          <cell r="D3937" t="str">
            <v>B</v>
          </cell>
          <cell r="E3937" t="str">
            <v>装夹时间</v>
          </cell>
          <cell r="P3937">
            <v>60</v>
          </cell>
        </row>
        <row r="3938">
          <cell r="B3938" t="str">
            <v>BC5711304-001L002</v>
          </cell>
          <cell r="D3938" t="str">
            <v>B</v>
          </cell>
          <cell r="E3938" t="str">
            <v>程序时间</v>
          </cell>
          <cell r="G3938">
            <v>60</v>
          </cell>
          <cell r="H3938">
            <v>150</v>
          </cell>
          <cell r="I3938">
            <v>70</v>
          </cell>
          <cell r="J3938">
            <v>150</v>
          </cell>
          <cell r="K3938">
            <v>100</v>
          </cell>
          <cell r="M3938">
            <v>150</v>
          </cell>
          <cell r="N3938">
            <v>390</v>
          </cell>
          <cell r="O3938">
            <v>510</v>
          </cell>
          <cell r="P3938">
            <v>240</v>
          </cell>
          <cell r="R3938">
            <v>150</v>
          </cell>
        </row>
        <row r="3939">
          <cell r="B3939" t="str">
            <v>BC5711304-001R002</v>
          </cell>
          <cell r="D3939" t="str">
            <v>B</v>
          </cell>
          <cell r="E3939" t="str">
            <v>工序内容</v>
          </cell>
          <cell r="F3939" t="str">
            <v>0/领料</v>
          </cell>
          <cell r="G3939" t="str">
            <v>05/下料</v>
          </cell>
          <cell r="H3939" t="str">
            <v>10/数铣</v>
          </cell>
          <cell r="I3939" t="str">
            <v>15/数铣30</v>
          </cell>
          <cell r="J3939" t="str">
            <v>20/数铣100</v>
          </cell>
          <cell r="K3939" t="str">
            <v>25/数铣90</v>
          </cell>
          <cell r="L3939" t="str">
            <v>30/失效</v>
          </cell>
          <cell r="M3939" t="str">
            <v>35/数铣</v>
          </cell>
          <cell r="N3939" t="str">
            <v>40/数铣270</v>
          </cell>
          <cell r="O3939" t="str">
            <v>45/数铣360</v>
          </cell>
          <cell r="P3939" t="str">
            <v>50/五轴75</v>
          </cell>
          <cell r="Q3939" t="str">
            <v>55/测量</v>
          </cell>
          <cell r="R3939" t="str">
            <v>60/钳工</v>
          </cell>
          <cell r="S3939" t="str">
            <v>65</v>
          </cell>
          <cell r="T3939" t="str">
            <v>70/清洁</v>
          </cell>
          <cell r="U3939" t="str">
            <v>75/成检</v>
          </cell>
        </row>
        <row r="3940">
          <cell r="B3940" t="str">
            <v>BC5711304-001R002</v>
          </cell>
          <cell r="D3940" t="str">
            <v>B</v>
          </cell>
          <cell r="E3940" t="str">
            <v>准备工时</v>
          </cell>
          <cell r="H3940">
            <v>60</v>
          </cell>
          <cell r="I3940">
            <v>60</v>
          </cell>
          <cell r="J3940">
            <v>60</v>
          </cell>
          <cell r="K3940">
            <v>60</v>
          </cell>
          <cell r="M3940">
            <v>60</v>
          </cell>
          <cell r="N3940">
            <v>60</v>
          </cell>
          <cell r="O3940">
            <v>60</v>
          </cell>
          <cell r="P3940">
            <v>120</v>
          </cell>
        </row>
        <row r="3941">
          <cell r="B3941" t="str">
            <v>BC5711304-001R002</v>
          </cell>
          <cell r="D3941" t="str">
            <v>B</v>
          </cell>
          <cell r="E3941" t="str">
            <v>装夹时间</v>
          </cell>
          <cell r="P3941">
            <v>60</v>
          </cell>
        </row>
        <row r="3942">
          <cell r="B3942" t="str">
            <v>BC5711304-001R002</v>
          </cell>
          <cell r="D3942" t="str">
            <v>B</v>
          </cell>
          <cell r="E3942" t="str">
            <v>程序时间</v>
          </cell>
          <cell r="G3942">
            <v>60</v>
          </cell>
          <cell r="H3942">
            <v>150</v>
          </cell>
          <cell r="I3942">
            <v>70</v>
          </cell>
          <cell r="J3942">
            <v>150</v>
          </cell>
          <cell r="K3942">
            <v>100</v>
          </cell>
          <cell r="M3942">
            <v>150</v>
          </cell>
          <cell r="N3942">
            <v>390</v>
          </cell>
          <cell r="O3942">
            <v>510</v>
          </cell>
          <cell r="P3942">
            <v>240</v>
          </cell>
          <cell r="R3942">
            <v>150</v>
          </cell>
        </row>
        <row r="3943">
          <cell r="B3943" t="str">
            <v>BC22924P0-001-001</v>
          </cell>
          <cell r="D3943" t="str">
            <v>A</v>
          </cell>
          <cell r="E3943" t="str">
            <v>工序内容</v>
          </cell>
          <cell r="F3943" t="str">
            <v>0/领料</v>
          </cell>
          <cell r="G3943" t="str">
            <v>05/下料</v>
          </cell>
          <cell r="H3943" t="str">
            <v>10/数铣</v>
          </cell>
          <cell r="I3943" t="str">
            <v>15/分光</v>
          </cell>
          <cell r="J3943" t="str">
            <v>20/检验</v>
          </cell>
          <cell r="K3943" t="str">
            <v>25/数铣</v>
          </cell>
          <cell r="L3943" t="str">
            <v>30/数铣</v>
          </cell>
          <cell r="M3943" t="str">
            <v>35/数铣</v>
          </cell>
          <cell r="N3943" t="str">
            <v>40/数铣</v>
          </cell>
          <cell r="O3943" t="str">
            <v>45/钳工</v>
          </cell>
          <cell r="P3943" t="str">
            <v>50/数铣</v>
          </cell>
          <cell r="Q3943" t="str">
            <v>55/清洁</v>
          </cell>
          <cell r="R3943" t="str">
            <v>60/成检</v>
          </cell>
        </row>
        <row r="3944">
          <cell r="B3944" t="str">
            <v>BC22924P0-001-001</v>
          </cell>
          <cell r="D3944" t="str">
            <v>A</v>
          </cell>
          <cell r="E3944" t="str">
            <v>准备工时</v>
          </cell>
          <cell r="H3944">
            <v>60</v>
          </cell>
          <cell r="K3944">
            <v>60</v>
          </cell>
          <cell r="L3944">
            <v>60</v>
          </cell>
          <cell r="M3944">
            <v>60</v>
          </cell>
          <cell r="N3944">
            <v>60</v>
          </cell>
        </row>
        <row r="3945">
          <cell r="B3945" t="str">
            <v>BC22924P0-001-001</v>
          </cell>
          <cell r="D3945" t="str">
            <v>A</v>
          </cell>
          <cell r="E3945" t="str">
            <v>程序时间</v>
          </cell>
          <cell r="G3945">
            <v>15</v>
          </cell>
          <cell r="H3945">
            <v>30</v>
          </cell>
          <cell r="K3945">
            <v>20</v>
          </cell>
          <cell r="L3945">
            <v>15</v>
          </cell>
          <cell r="M3945">
            <v>15</v>
          </cell>
          <cell r="N3945">
            <v>10</v>
          </cell>
          <cell r="O3945">
            <v>15</v>
          </cell>
          <cell r="P3945">
            <v>20</v>
          </cell>
        </row>
        <row r="3946">
          <cell r="B3946" t="str">
            <v>DD-J10B-02161-0G2-201G2</v>
          </cell>
          <cell r="D3946" t="str">
            <v>B</v>
          </cell>
          <cell r="E3946" t="str">
            <v>工序内容</v>
          </cell>
          <cell r="F3946" t="str">
            <v>0/领料</v>
          </cell>
          <cell r="G3946" t="str">
            <v>5/数铣</v>
          </cell>
          <cell r="H3946" t="str">
            <v>10/数铣10</v>
          </cell>
          <cell r="I3946" t="str">
            <v>15/数铣15</v>
          </cell>
          <cell r="J3946" t="str">
            <v>20/数铣105</v>
          </cell>
          <cell r="K3946" t="str">
            <v>25/钳工</v>
          </cell>
          <cell r="L3946" t="str">
            <v>30/数铣</v>
          </cell>
          <cell r="M3946" t="str">
            <v>35/清洁</v>
          </cell>
          <cell r="N3946" t="str">
            <v>40/成检</v>
          </cell>
        </row>
        <row r="3947">
          <cell r="B3947" t="str">
            <v>DD-J10B-02161-0G2-201G2</v>
          </cell>
          <cell r="D3947" t="str">
            <v>B</v>
          </cell>
          <cell r="E3947" t="str">
            <v>准备工时</v>
          </cell>
          <cell r="G3947">
            <v>60</v>
          </cell>
          <cell r="H3947">
            <v>60</v>
          </cell>
          <cell r="I3947">
            <v>60</v>
          </cell>
          <cell r="J3947">
            <v>60</v>
          </cell>
        </row>
        <row r="3948">
          <cell r="B3948" t="str">
            <v>DD-J10B-02161-0G2-201G2</v>
          </cell>
          <cell r="D3948" t="str">
            <v>B</v>
          </cell>
          <cell r="E3948" t="str">
            <v>程序时间</v>
          </cell>
          <cell r="G3948">
            <v>90</v>
          </cell>
          <cell r="H3948">
            <v>20</v>
          </cell>
          <cell r="I3948">
            <v>45</v>
          </cell>
          <cell r="J3948">
            <v>170</v>
          </cell>
          <cell r="K3948">
            <v>30</v>
          </cell>
          <cell r="L3948">
            <v>20</v>
          </cell>
        </row>
        <row r="3949">
          <cell r="B3949" t="str">
            <v>DD-J10B-34303-7G2</v>
          </cell>
          <cell r="D3949" t="str">
            <v>B</v>
          </cell>
          <cell r="E3949" t="str">
            <v>工序内容</v>
          </cell>
          <cell r="F3949" t="str">
            <v>0/领料</v>
          </cell>
          <cell r="G3949" t="str">
            <v>5/数铣</v>
          </cell>
          <cell r="H3949" t="str">
            <v>10/数铣30</v>
          </cell>
          <cell r="I3949" t="str">
            <v>15/数铣150</v>
          </cell>
          <cell r="J3949" t="str">
            <v>20/数铣150</v>
          </cell>
          <cell r="K3949" t="str">
            <v>25/数铣660</v>
          </cell>
          <cell r="L3949" t="str">
            <v>30/测量</v>
          </cell>
          <cell r="M3949" t="str">
            <v>35/钳工</v>
          </cell>
          <cell r="N3949" t="str">
            <v>40/数铣</v>
          </cell>
          <cell r="O3949" t="str">
            <v>45/清洁</v>
          </cell>
          <cell r="P3949" t="str">
            <v>50/成检</v>
          </cell>
        </row>
        <row r="3950">
          <cell r="B3950" t="str">
            <v>DD-J10B-34303-7G2</v>
          </cell>
          <cell r="D3950" t="str">
            <v>B</v>
          </cell>
          <cell r="E3950" t="str">
            <v>准备工时</v>
          </cell>
          <cell r="G3950">
            <v>60</v>
          </cell>
          <cell r="H3950">
            <v>60</v>
          </cell>
          <cell r="I3950">
            <v>90</v>
          </cell>
          <cell r="J3950">
            <v>90</v>
          </cell>
          <cell r="K3950">
            <v>90</v>
          </cell>
        </row>
        <row r="3951">
          <cell r="B3951" t="str">
            <v>DD-J10B-34303-7G2</v>
          </cell>
          <cell r="D3951" t="str">
            <v>B</v>
          </cell>
          <cell r="E3951" t="str">
            <v>程序时间</v>
          </cell>
          <cell r="G3951">
            <v>90</v>
          </cell>
          <cell r="H3951">
            <v>60</v>
          </cell>
          <cell r="I3951">
            <v>180</v>
          </cell>
          <cell r="J3951">
            <v>180</v>
          </cell>
          <cell r="K3951">
            <v>780</v>
          </cell>
          <cell r="M3951">
            <v>120</v>
          </cell>
          <cell r="N3951">
            <v>20</v>
          </cell>
        </row>
        <row r="3952">
          <cell r="B3952" t="str">
            <v>C552004000-001L001</v>
          </cell>
          <cell r="D3952" t="str">
            <v>A</v>
          </cell>
          <cell r="E3952" t="str">
            <v>工序内容</v>
          </cell>
          <cell r="F3952" t="str">
            <v>0/领料</v>
          </cell>
          <cell r="G3952" t="str">
            <v>5/钳工</v>
          </cell>
          <cell r="H3952" t="str">
            <v>10/铣工</v>
          </cell>
          <cell r="I3952" t="str">
            <v>15/数铣230</v>
          </cell>
          <cell r="J3952" t="str">
            <v>20/数铣210</v>
          </cell>
          <cell r="K3952" t="str">
            <v>25/钳工</v>
          </cell>
          <cell r="L3952" t="str">
            <v>30/超探</v>
          </cell>
          <cell r="M3952" t="str">
            <v>35/数铣60</v>
          </cell>
          <cell r="N3952" t="str">
            <v>40/数铣190</v>
          </cell>
          <cell r="O3952" t="str">
            <v>45钳工</v>
          </cell>
          <cell r="P3952" t="str">
            <v>50超探</v>
          </cell>
          <cell r="Q3952" t="str">
            <v>55数铣230</v>
          </cell>
          <cell r="R3952" t="str">
            <v>60/数铣20</v>
          </cell>
          <cell r="S3952" t="str">
            <v>65/数铣210</v>
          </cell>
          <cell r="T3952" t="str">
            <v>70数铣170</v>
          </cell>
          <cell r="U3952" t="str">
            <v>75/数铣80</v>
          </cell>
          <cell r="V3952" t="str">
            <v>80/数铣70</v>
          </cell>
          <cell r="W3952" t="str">
            <v>85/数铣350</v>
          </cell>
          <cell r="X3952" t="str">
            <v>90数铣330</v>
          </cell>
          <cell r="Y3952" t="str">
            <v>95/数铣230</v>
          </cell>
          <cell r="Z3952" t="str">
            <v>100/数铣240</v>
          </cell>
          <cell r="AA3952" t="str">
            <v>105/数铣35</v>
          </cell>
          <cell r="AB3952" t="str">
            <v>110/钳工</v>
          </cell>
          <cell r="AC3952" t="str">
            <v>115/清洁</v>
          </cell>
          <cell r="AD3952" t="str">
            <v>120/测量</v>
          </cell>
          <cell r="AE3952" t="str">
            <v>125/成检</v>
          </cell>
        </row>
        <row r="3953">
          <cell r="B3953" t="str">
            <v>C552004000-001L001</v>
          </cell>
          <cell r="D3953" t="str">
            <v>A</v>
          </cell>
          <cell r="E3953" t="str">
            <v>准备工时</v>
          </cell>
          <cell r="H3953">
            <v>120</v>
          </cell>
          <cell r="I3953">
            <v>120</v>
          </cell>
          <cell r="J3953">
            <v>120</v>
          </cell>
          <cell r="M3953" t="str">
            <v>120</v>
          </cell>
          <cell r="N3953" t="str">
            <v>120</v>
          </cell>
          <cell r="Q3953" t="str">
            <v>120</v>
          </cell>
          <cell r="R3953">
            <v>120</v>
          </cell>
          <cell r="S3953">
            <v>120</v>
          </cell>
          <cell r="T3953">
            <v>120</v>
          </cell>
          <cell r="U3953">
            <v>120</v>
          </cell>
          <cell r="V3953">
            <v>120</v>
          </cell>
          <cell r="W3953">
            <v>120</v>
          </cell>
          <cell r="X3953">
            <v>120</v>
          </cell>
          <cell r="Y3953">
            <v>120</v>
          </cell>
          <cell r="Z3953">
            <v>120</v>
          </cell>
          <cell r="AA3953">
            <v>120</v>
          </cell>
        </row>
        <row r="3954">
          <cell r="B3954" t="str">
            <v>C552004000-001L001</v>
          </cell>
          <cell r="D3954" t="str">
            <v>A</v>
          </cell>
          <cell r="E3954" t="str">
            <v>装夹时间</v>
          </cell>
          <cell r="H3954">
            <v>60</v>
          </cell>
          <cell r="I3954">
            <v>60</v>
          </cell>
          <cell r="J3954">
            <v>60</v>
          </cell>
          <cell r="M3954" t="str">
            <v>60</v>
          </cell>
          <cell r="N3954" t="str">
            <v>60</v>
          </cell>
          <cell r="Q3954" t="str">
            <v>60</v>
          </cell>
          <cell r="R3954">
            <v>60</v>
          </cell>
          <cell r="S3954">
            <v>60</v>
          </cell>
          <cell r="T3954">
            <v>60</v>
          </cell>
          <cell r="U3954">
            <v>60</v>
          </cell>
          <cell r="V3954">
            <v>60</v>
          </cell>
          <cell r="W3954">
            <v>60</v>
          </cell>
          <cell r="X3954">
            <v>60</v>
          </cell>
          <cell r="Y3954">
            <v>60</v>
          </cell>
          <cell r="Z3954">
            <v>60</v>
          </cell>
          <cell r="AA3954">
            <v>60</v>
          </cell>
        </row>
        <row r="3955">
          <cell r="B3955" t="str">
            <v>C552004000-001L001</v>
          </cell>
          <cell r="D3955" t="str">
            <v>A</v>
          </cell>
          <cell r="E3955" t="str">
            <v>程序时间</v>
          </cell>
          <cell r="G3955">
            <v>240</v>
          </cell>
          <cell r="H3955">
            <v>240</v>
          </cell>
          <cell r="I3955">
            <v>690</v>
          </cell>
          <cell r="J3955">
            <v>630</v>
          </cell>
          <cell r="K3955" t="str">
            <v>90</v>
          </cell>
          <cell r="M3955" t="str">
            <v>240</v>
          </cell>
          <cell r="N3955" t="str">
            <v>600</v>
          </cell>
          <cell r="O3955">
            <v>90</v>
          </cell>
          <cell r="Q3955" t="str">
            <v>700</v>
          </cell>
          <cell r="R3955">
            <v>100</v>
          </cell>
          <cell r="S3955">
            <v>660</v>
          </cell>
          <cell r="T3955">
            <v>540</v>
          </cell>
          <cell r="U3955">
            <v>240</v>
          </cell>
          <cell r="V3955">
            <v>210</v>
          </cell>
          <cell r="W3955">
            <v>1020</v>
          </cell>
          <cell r="X3955">
            <v>960</v>
          </cell>
          <cell r="Y3955">
            <v>700</v>
          </cell>
          <cell r="Z3955">
            <v>720</v>
          </cell>
          <cell r="AA3955">
            <v>150</v>
          </cell>
          <cell r="AB3955">
            <v>480</v>
          </cell>
        </row>
        <row r="3956">
          <cell r="B3956" t="str">
            <v>C552004000-001R001</v>
          </cell>
          <cell r="D3956" t="str">
            <v>A</v>
          </cell>
          <cell r="E3956" t="str">
            <v>工序内容</v>
          </cell>
          <cell r="F3956" t="str">
            <v>0/领料</v>
          </cell>
          <cell r="G3956" t="str">
            <v>5/钳工</v>
          </cell>
          <cell r="H3956" t="str">
            <v>10/铣工</v>
          </cell>
          <cell r="I3956" t="str">
            <v>15/数铣230</v>
          </cell>
          <cell r="J3956" t="str">
            <v>20/数铣210</v>
          </cell>
          <cell r="K3956" t="str">
            <v>25/钳工</v>
          </cell>
          <cell r="L3956" t="str">
            <v>30/超探</v>
          </cell>
          <cell r="M3956" t="str">
            <v>35/数铣60</v>
          </cell>
          <cell r="N3956" t="str">
            <v>40/数铣190</v>
          </cell>
          <cell r="O3956" t="str">
            <v>45钳工</v>
          </cell>
          <cell r="P3956" t="str">
            <v>50超探</v>
          </cell>
          <cell r="Q3956" t="str">
            <v>55数铣230</v>
          </cell>
          <cell r="R3956" t="str">
            <v>60/数铣20</v>
          </cell>
          <cell r="S3956" t="str">
            <v>65/数铣210</v>
          </cell>
          <cell r="T3956" t="str">
            <v>70数铣170</v>
          </cell>
          <cell r="U3956" t="str">
            <v>75/数铣80</v>
          </cell>
          <cell r="V3956" t="str">
            <v>80/数铣70</v>
          </cell>
          <cell r="W3956" t="str">
            <v>85/数铣350</v>
          </cell>
          <cell r="X3956" t="str">
            <v>90数铣330</v>
          </cell>
          <cell r="Y3956" t="str">
            <v>95/数铣230</v>
          </cell>
          <cell r="Z3956" t="str">
            <v>100/数铣240</v>
          </cell>
          <cell r="AA3956" t="str">
            <v>105/数铣35</v>
          </cell>
          <cell r="AB3956" t="str">
            <v>110/钳工</v>
          </cell>
          <cell r="AC3956" t="str">
            <v>115/清洁</v>
          </cell>
          <cell r="AD3956" t="str">
            <v>120/测量</v>
          </cell>
          <cell r="AE3956" t="str">
            <v>125/成检</v>
          </cell>
        </row>
        <row r="3957">
          <cell r="B3957" t="str">
            <v>C552004000-001R001</v>
          </cell>
          <cell r="D3957" t="str">
            <v>A</v>
          </cell>
          <cell r="E3957" t="str">
            <v>准备工时</v>
          </cell>
          <cell r="H3957">
            <v>120</v>
          </cell>
          <cell r="I3957">
            <v>120</v>
          </cell>
          <cell r="J3957">
            <v>120</v>
          </cell>
          <cell r="M3957" t="str">
            <v>120</v>
          </cell>
          <cell r="N3957" t="str">
            <v>120</v>
          </cell>
          <cell r="Q3957" t="str">
            <v>120</v>
          </cell>
          <cell r="R3957">
            <v>120</v>
          </cell>
          <cell r="S3957">
            <v>120</v>
          </cell>
          <cell r="T3957">
            <v>120</v>
          </cell>
          <cell r="U3957">
            <v>120</v>
          </cell>
          <cell r="V3957">
            <v>120</v>
          </cell>
          <cell r="W3957">
            <v>120</v>
          </cell>
          <cell r="X3957">
            <v>120</v>
          </cell>
          <cell r="Y3957">
            <v>120</v>
          </cell>
          <cell r="Z3957">
            <v>120</v>
          </cell>
          <cell r="AA3957">
            <v>120</v>
          </cell>
        </row>
        <row r="3958">
          <cell r="B3958" t="str">
            <v>C552004000-001R001</v>
          </cell>
          <cell r="D3958" t="str">
            <v>A</v>
          </cell>
          <cell r="E3958" t="str">
            <v>装夹时间</v>
          </cell>
          <cell r="H3958">
            <v>60</v>
          </cell>
          <cell r="I3958">
            <v>60</v>
          </cell>
          <cell r="J3958">
            <v>60</v>
          </cell>
          <cell r="M3958" t="str">
            <v>60</v>
          </cell>
          <cell r="N3958" t="str">
            <v>60</v>
          </cell>
          <cell r="Q3958" t="str">
            <v>60</v>
          </cell>
          <cell r="R3958">
            <v>60</v>
          </cell>
          <cell r="S3958">
            <v>60</v>
          </cell>
          <cell r="T3958">
            <v>60</v>
          </cell>
          <cell r="U3958">
            <v>60</v>
          </cell>
          <cell r="V3958">
            <v>60</v>
          </cell>
          <cell r="W3958">
            <v>60</v>
          </cell>
          <cell r="X3958">
            <v>60</v>
          </cell>
          <cell r="Y3958">
            <v>60</v>
          </cell>
          <cell r="Z3958">
            <v>60</v>
          </cell>
          <cell r="AA3958">
            <v>60</v>
          </cell>
        </row>
        <row r="3959">
          <cell r="B3959" t="str">
            <v>C552004000-001R001</v>
          </cell>
          <cell r="D3959" t="str">
            <v>A</v>
          </cell>
          <cell r="E3959" t="str">
            <v>程序时间</v>
          </cell>
          <cell r="G3959">
            <v>240</v>
          </cell>
          <cell r="H3959">
            <v>240</v>
          </cell>
          <cell r="I3959">
            <v>690</v>
          </cell>
          <cell r="J3959">
            <v>630</v>
          </cell>
          <cell r="K3959" t="str">
            <v>90</v>
          </cell>
          <cell r="M3959" t="str">
            <v>240</v>
          </cell>
          <cell r="N3959" t="str">
            <v>600</v>
          </cell>
          <cell r="O3959">
            <v>90</v>
          </cell>
          <cell r="Q3959" t="str">
            <v>700</v>
          </cell>
          <cell r="R3959">
            <v>100</v>
          </cell>
          <cell r="S3959">
            <v>660</v>
          </cell>
          <cell r="T3959">
            <v>540</v>
          </cell>
          <cell r="U3959">
            <v>240</v>
          </cell>
          <cell r="V3959">
            <v>210</v>
          </cell>
          <cell r="W3959">
            <v>1020</v>
          </cell>
          <cell r="X3959">
            <v>960</v>
          </cell>
          <cell r="Y3959">
            <v>700</v>
          </cell>
          <cell r="Z3959">
            <v>720</v>
          </cell>
          <cell r="AA3959">
            <v>150</v>
          </cell>
          <cell r="AB3959">
            <v>480</v>
          </cell>
        </row>
        <row r="3960">
          <cell r="B3960" t="str">
            <v>C551005000-002L001</v>
          </cell>
          <cell r="D3960" t="str">
            <v>A</v>
          </cell>
          <cell r="E3960" t="str">
            <v>工序内容</v>
          </cell>
          <cell r="F3960" t="str">
            <v>0/领料</v>
          </cell>
          <cell r="G3960" t="str">
            <v>5/钳工</v>
          </cell>
          <cell r="H3960" t="str">
            <v>10/铣工</v>
          </cell>
          <cell r="I3960" t="str">
            <v>15/数铣230</v>
          </cell>
          <cell r="J3960" t="str">
            <v>20/数铣210</v>
          </cell>
          <cell r="K3960" t="str">
            <v>25/钳工</v>
          </cell>
          <cell r="L3960" t="str">
            <v>30/超探</v>
          </cell>
          <cell r="M3960" t="str">
            <v>35/数铣60</v>
          </cell>
          <cell r="N3960" t="str">
            <v>40/数铣190</v>
          </cell>
          <cell r="O3960" t="str">
            <v>45数铣230</v>
          </cell>
          <cell r="P3960" t="str">
            <v>50钳工</v>
          </cell>
          <cell r="Q3960" t="str">
            <v>55超探</v>
          </cell>
          <cell r="R3960" t="str">
            <v>60/数铣20</v>
          </cell>
          <cell r="S3960" t="str">
            <v>65/数铣210</v>
          </cell>
          <cell r="T3960" t="str">
            <v>70数铣170</v>
          </cell>
          <cell r="U3960" t="str">
            <v>75/数铣80</v>
          </cell>
          <cell r="V3960" t="str">
            <v>80/数铣70</v>
          </cell>
          <cell r="W3960" t="str">
            <v>85/数铣350</v>
          </cell>
          <cell r="X3960" t="str">
            <v>90数铣330</v>
          </cell>
          <cell r="Y3960" t="str">
            <v>95/数铣230</v>
          </cell>
          <cell r="Z3960" t="str">
            <v>100/数铣240</v>
          </cell>
          <cell r="AA3960" t="str">
            <v>105/数铣35</v>
          </cell>
          <cell r="AB3960" t="str">
            <v>110/钳工</v>
          </cell>
          <cell r="AC3960" t="str">
            <v>115/清洁</v>
          </cell>
          <cell r="AD3960" t="str">
            <v>120/测量</v>
          </cell>
          <cell r="AE3960" t="str">
            <v>125/成检</v>
          </cell>
        </row>
        <row r="3961">
          <cell r="B3961" t="str">
            <v>C551005000-002L001</v>
          </cell>
          <cell r="D3961" t="str">
            <v>A</v>
          </cell>
          <cell r="E3961" t="str">
            <v>准备工时</v>
          </cell>
          <cell r="H3961">
            <v>120</v>
          </cell>
          <cell r="I3961">
            <v>120</v>
          </cell>
          <cell r="J3961">
            <v>120</v>
          </cell>
          <cell r="M3961" t="str">
            <v>120</v>
          </cell>
          <cell r="N3961" t="str">
            <v>120</v>
          </cell>
          <cell r="O3961" t="str">
            <v>120</v>
          </cell>
          <cell r="R3961">
            <v>120</v>
          </cell>
          <cell r="S3961">
            <v>120</v>
          </cell>
          <cell r="T3961">
            <v>120</v>
          </cell>
          <cell r="U3961">
            <v>120</v>
          </cell>
          <cell r="V3961">
            <v>120</v>
          </cell>
          <cell r="W3961">
            <v>120</v>
          </cell>
          <cell r="X3961">
            <v>120</v>
          </cell>
          <cell r="Y3961">
            <v>120</v>
          </cell>
          <cell r="Z3961">
            <v>120</v>
          </cell>
          <cell r="AA3961">
            <v>120</v>
          </cell>
        </row>
        <row r="3962">
          <cell r="B3962" t="str">
            <v>C551005000-002L001</v>
          </cell>
          <cell r="D3962" t="str">
            <v>A</v>
          </cell>
          <cell r="E3962" t="str">
            <v>装夹时间</v>
          </cell>
          <cell r="H3962">
            <v>60</v>
          </cell>
          <cell r="I3962">
            <v>60</v>
          </cell>
          <cell r="J3962">
            <v>60</v>
          </cell>
          <cell r="M3962" t="str">
            <v>60</v>
          </cell>
          <cell r="N3962" t="str">
            <v>60</v>
          </cell>
          <cell r="O3962" t="str">
            <v>60</v>
          </cell>
          <cell r="R3962">
            <v>60</v>
          </cell>
          <cell r="S3962">
            <v>60</v>
          </cell>
          <cell r="T3962">
            <v>60</v>
          </cell>
          <cell r="U3962">
            <v>60</v>
          </cell>
          <cell r="V3962">
            <v>60</v>
          </cell>
          <cell r="W3962">
            <v>60</v>
          </cell>
          <cell r="X3962">
            <v>60</v>
          </cell>
          <cell r="Y3962">
            <v>60</v>
          </cell>
          <cell r="Z3962">
            <v>60</v>
          </cell>
          <cell r="AA3962">
            <v>60</v>
          </cell>
        </row>
        <row r="3963">
          <cell r="B3963" t="str">
            <v>C551005000-002L001</v>
          </cell>
          <cell r="D3963" t="str">
            <v>A</v>
          </cell>
          <cell r="E3963" t="str">
            <v>程序时间</v>
          </cell>
          <cell r="G3963">
            <v>240</v>
          </cell>
          <cell r="H3963">
            <v>240</v>
          </cell>
          <cell r="I3963">
            <v>690</v>
          </cell>
          <cell r="J3963">
            <v>630</v>
          </cell>
          <cell r="K3963" t="str">
            <v>90</v>
          </cell>
          <cell r="M3963" t="str">
            <v>240</v>
          </cell>
          <cell r="N3963" t="str">
            <v>600</v>
          </cell>
          <cell r="O3963" t="str">
            <v>700</v>
          </cell>
          <cell r="P3963">
            <v>90</v>
          </cell>
          <cell r="R3963">
            <v>100</v>
          </cell>
          <cell r="S3963">
            <v>660</v>
          </cell>
          <cell r="T3963">
            <v>540</v>
          </cell>
          <cell r="U3963">
            <v>240</v>
          </cell>
          <cell r="V3963">
            <v>210</v>
          </cell>
          <cell r="W3963">
            <v>1020</v>
          </cell>
          <cell r="X3963">
            <v>960</v>
          </cell>
          <cell r="Y3963">
            <v>700</v>
          </cell>
          <cell r="Z3963">
            <v>720</v>
          </cell>
          <cell r="AA3963">
            <v>150</v>
          </cell>
          <cell r="AB3963">
            <v>480</v>
          </cell>
        </row>
        <row r="3964">
          <cell r="B3964" t="str">
            <v>C551005000-002R001</v>
          </cell>
          <cell r="D3964" t="str">
            <v>A</v>
          </cell>
          <cell r="E3964" t="str">
            <v>工序内容</v>
          </cell>
          <cell r="F3964" t="str">
            <v>0/领料</v>
          </cell>
          <cell r="G3964" t="str">
            <v>5/钳工</v>
          </cell>
          <cell r="H3964" t="str">
            <v>10/铣工</v>
          </cell>
          <cell r="I3964" t="str">
            <v>15/数铣230</v>
          </cell>
          <cell r="J3964" t="str">
            <v>20/数铣210</v>
          </cell>
          <cell r="K3964" t="str">
            <v>25/钳工</v>
          </cell>
          <cell r="L3964" t="str">
            <v>30/超探</v>
          </cell>
          <cell r="M3964" t="str">
            <v>35/数铣60</v>
          </cell>
          <cell r="N3964" t="str">
            <v>40/数铣190</v>
          </cell>
          <cell r="O3964" t="str">
            <v>45数铣230</v>
          </cell>
          <cell r="P3964" t="str">
            <v>50钳工</v>
          </cell>
          <cell r="Q3964" t="str">
            <v>55超探</v>
          </cell>
          <cell r="R3964" t="str">
            <v>60/数铣20</v>
          </cell>
          <cell r="S3964" t="str">
            <v>65/数铣210</v>
          </cell>
          <cell r="T3964" t="str">
            <v>70数铣170</v>
          </cell>
          <cell r="U3964" t="str">
            <v>75/数铣80</v>
          </cell>
          <cell r="V3964" t="str">
            <v>80/数铣70</v>
          </cell>
          <cell r="W3964" t="str">
            <v>85/数铣350</v>
          </cell>
          <cell r="X3964" t="str">
            <v>90数铣330</v>
          </cell>
          <cell r="Y3964" t="str">
            <v>95/数铣230</v>
          </cell>
          <cell r="Z3964" t="str">
            <v>100/数铣240</v>
          </cell>
          <cell r="AA3964" t="str">
            <v>105/数铣35</v>
          </cell>
          <cell r="AB3964" t="str">
            <v>110/钳工</v>
          </cell>
          <cell r="AC3964" t="str">
            <v>115/清洁</v>
          </cell>
          <cell r="AD3964" t="str">
            <v>120/测量</v>
          </cell>
          <cell r="AE3964" t="str">
            <v>125/成检</v>
          </cell>
        </row>
        <row r="3965">
          <cell r="B3965" t="str">
            <v>C551005000-002R001</v>
          </cell>
          <cell r="D3965" t="str">
            <v>A</v>
          </cell>
          <cell r="E3965" t="str">
            <v>准备工时</v>
          </cell>
          <cell r="H3965">
            <v>120</v>
          </cell>
          <cell r="I3965">
            <v>120</v>
          </cell>
          <cell r="J3965">
            <v>120</v>
          </cell>
          <cell r="M3965" t="str">
            <v>120</v>
          </cell>
          <cell r="N3965" t="str">
            <v>120</v>
          </cell>
          <cell r="O3965" t="str">
            <v>120</v>
          </cell>
          <cell r="R3965">
            <v>120</v>
          </cell>
          <cell r="S3965">
            <v>120</v>
          </cell>
          <cell r="T3965">
            <v>120</v>
          </cell>
          <cell r="U3965">
            <v>120</v>
          </cell>
          <cell r="V3965">
            <v>120</v>
          </cell>
          <cell r="W3965">
            <v>120</v>
          </cell>
          <cell r="X3965">
            <v>120</v>
          </cell>
          <cell r="Y3965">
            <v>120</v>
          </cell>
          <cell r="Z3965">
            <v>120</v>
          </cell>
          <cell r="AA3965">
            <v>120</v>
          </cell>
        </row>
        <row r="3966">
          <cell r="B3966" t="str">
            <v>C551005000-002R001</v>
          </cell>
          <cell r="D3966" t="str">
            <v>A</v>
          </cell>
          <cell r="E3966" t="str">
            <v>装夹时间</v>
          </cell>
          <cell r="H3966">
            <v>60</v>
          </cell>
          <cell r="I3966">
            <v>60</v>
          </cell>
          <cell r="J3966">
            <v>60</v>
          </cell>
          <cell r="M3966" t="str">
            <v>60</v>
          </cell>
          <cell r="N3966" t="str">
            <v>60</v>
          </cell>
          <cell r="O3966" t="str">
            <v>60</v>
          </cell>
          <cell r="R3966">
            <v>60</v>
          </cell>
          <cell r="S3966">
            <v>60</v>
          </cell>
          <cell r="T3966">
            <v>60</v>
          </cell>
          <cell r="U3966">
            <v>60</v>
          </cell>
          <cell r="V3966">
            <v>60</v>
          </cell>
          <cell r="W3966">
            <v>60</v>
          </cell>
          <cell r="X3966">
            <v>60</v>
          </cell>
          <cell r="Y3966">
            <v>60</v>
          </cell>
          <cell r="Z3966">
            <v>60</v>
          </cell>
          <cell r="AA3966">
            <v>60</v>
          </cell>
        </row>
        <row r="3967">
          <cell r="B3967" t="str">
            <v>C551005000-002R001</v>
          </cell>
          <cell r="D3967" t="str">
            <v>A</v>
          </cell>
          <cell r="E3967" t="str">
            <v>程序时间</v>
          </cell>
          <cell r="G3967">
            <v>240</v>
          </cell>
          <cell r="H3967">
            <v>240</v>
          </cell>
          <cell r="I3967">
            <v>690</v>
          </cell>
          <cell r="J3967">
            <v>630</v>
          </cell>
          <cell r="K3967" t="str">
            <v>90</v>
          </cell>
          <cell r="M3967" t="str">
            <v>240</v>
          </cell>
          <cell r="N3967" t="str">
            <v>600</v>
          </cell>
          <cell r="O3967" t="str">
            <v>700</v>
          </cell>
          <cell r="P3967">
            <v>90</v>
          </cell>
          <cell r="R3967">
            <v>100</v>
          </cell>
          <cell r="S3967">
            <v>660</v>
          </cell>
          <cell r="T3967">
            <v>540</v>
          </cell>
          <cell r="U3967">
            <v>240</v>
          </cell>
          <cell r="V3967">
            <v>210</v>
          </cell>
          <cell r="W3967">
            <v>1020</v>
          </cell>
          <cell r="X3967">
            <v>960</v>
          </cell>
          <cell r="Y3967">
            <v>700</v>
          </cell>
          <cell r="Z3967">
            <v>720</v>
          </cell>
          <cell r="AA3967">
            <v>150</v>
          </cell>
          <cell r="AB3967">
            <v>480</v>
          </cell>
        </row>
        <row r="3968">
          <cell r="B3968" t="str">
            <v>DD-J10-04401-103</v>
          </cell>
          <cell r="D3968" t="str">
            <v>J</v>
          </cell>
          <cell r="E3968" t="str">
            <v>工序内容</v>
          </cell>
          <cell r="F3968" t="str">
            <v>0/领料</v>
          </cell>
          <cell r="G3968" t="str">
            <v>5/钳工</v>
          </cell>
          <cell r="H3968" t="str">
            <v>10/数铣</v>
          </cell>
          <cell r="I3968" t="str">
            <v>15/数铣10</v>
          </cell>
          <cell r="J3968" t="str">
            <v>20/数铣15</v>
          </cell>
          <cell r="K3968" t="str">
            <v>25/数铣15</v>
          </cell>
          <cell r="L3968" t="str">
            <v>30/钳工</v>
          </cell>
          <cell r="M3968" t="str">
            <v>35/</v>
          </cell>
          <cell r="N3968" t="str">
            <v>40/清洁</v>
          </cell>
          <cell r="O3968" t="str">
            <v>45/检验</v>
          </cell>
          <cell r="P3968" t="str">
            <v>50/硬检</v>
          </cell>
          <cell r="Q3968" t="str">
            <v>55/分光</v>
          </cell>
          <cell r="R3968" t="str">
            <v>60/钳工</v>
          </cell>
          <cell r="S3968" t="str">
            <v>65/成检</v>
          </cell>
        </row>
        <row r="3969">
          <cell r="B3969" t="str">
            <v>DD-J10-04401-103</v>
          </cell>
          <cell r="D3969" t="str">
            <v>J</v>
          </cell>
          <cell r="E3969" t="str">
            <v>准备工时</v>
          </cell>
          <cell r="H3969">
            <v>90</v>
          </cell>
          <cell r="I3969">
            <v>90</v>
          </cell>
          <cell r="J3969">
            <v>90</v>
          </cell>
          <cell r="K3969">
            <v>90</v>
          </cell>
        </row>
        <row r="3970">
          <cell r="B3970" t="str">
            <v>DD-J10-04401-103</v>
          </cell>
          <cell r="D3970" t="str">
            <v>J</v>
          </cell>
          <cell r="E3970" t="str">
            <v>程序时间</v>
          </cell>
          <cell r="G3970">
            <v>20</v>
          </cell>
          <cell r="H3970">
            <v>30</v>
          </cell>
          <cell r="I3970">
            <v>20</v>
          </cell>
          <cell r="J3970">
            <v>35</v>
          </cell>
          <cell r="K3970">
            <v>40</v>
          </cell>
          <cell r="L3970">
            <v>30</v>
          </cell>
          <cell r="R3970">
            <v>5</v>
          </cell>
        </row>
        <row r="3971">
          <cell r="B3971" t="str">
            <v>DD-J10-04401-104</v>
          </cell>
          <cell r="D3971" t="str">
            <v>J</v>
          </cell>
          <cell r="E3971" t="str">
            <v>工序内容</v>
          </cell>
          <cell r="F3971" t="str">
            <v>0/领料</v>
          </cell>
          <cell r="G3971" t="str">
            <v>5/钳工</v>
          </cell>
          <cell r="H3971" t="str">
            <v>10/数铣</v>
          </cell>
          <cell r="I3971" t="str">
            <v>15/数铣10</v>
          </cell>
          <cell r="J3971" t="str">
            <v>20/数铣15</v>
          </cell>
          <cell r="K3971" t="str">
            <v>25/数铣15</v>
          </cell>
          <cell r="L3971" t="str">
            <v>30/钳工</v>
          </cell>
          <cell r="M3971" t="str">
            <v>35/</v>
          </cell>
          <cell r="N3971" t="str">
            <v>40/清洁</v>
          </cell>
          <cell r="O3971" t="str">
            <v>45/检验</v>
          </cell>
          <cell r="P3971" t="str">
            <v>50/硬检</v>
          </cell>
          <cell r="Q3971" t="str">
            <v>55/分光</v>
          </cell>
          <cell r="R3971" t="str">
            <v>60/钳工</v>
          </cell>
          <cell r="S3971" t="str">
            <v>65/成检</v>
          </cell>
        </row>
        <row r="3972">
          <cell r="B3972" t="str">
            <v>DD-J10-04401-104</v>
          </cell>
          <cell r="D3972" t="str">
            <v>J</v>
          </cell>
          <cell r="E3972" t="str">
            <v>准备工时</v>
          </cell>
          <cell r="H3972">
            <v>90</v>
          </cell>
          <cell r="I3972">
            <v>90</v>
          </cell>
          <cell r="J3972">
            <v>90</v>
          </cell>
          <cell r="K3972">
            <v>90</v>
          </cell>
        </row>
        <row r="3973">
          <cell r="B3973" t="str">
            <v>DD-J10-04401-104</v>
          </cell>
          <cell r="D3973" t="str">
            <v>J</v>
          </cell>
          <cell r="E3973" t="str">
            <v>程序时间</v>
          </cell>
          <cell r="G3973">
            <v>20</v>
          </cell>
          <cell r="H3973">
            <v>30</v>
          </cell>
          <cell r="I3973">
            <v>20</v>
          </cell>
          <cell r="J3973">
            <v>35</v>
          </cell>
          <cell r="K3973">
            <v>40</v>
          </cell>
          <cell r="L3973">
            <v>30</v>
          </cell>
          <cell r="R3973">
            <v>5</v>
          </cell>
        </row>
        <row r="3974">
          <cell r="B3974" t="str">
            <v>GU5715030-003L001</v>
          </cell>
          <cell r="D3974" t="str">
            <v>D</v>
          </cell>
          <cell r="E3974" t="str">
            <v>工序内容</v>
          </cell>
          <cell r="F3974" t="str">
            <v>0/领料</v>
          </cell>
          <cell r="G3974" t="str">
            <v>5/数铣</v>
          </cell>
          <cell r="H3974" t="str">
            <v>8/数铣</v>
          </cell>
          <cell r="I3974" t="str">
            <v>10/数铣15</v>
          </cell>
          <cell r="J3974" t="str">
            <v>15/数铣50</v>
          </cell>
          <cell r="K3974" t="str">
            <v>20/数铣75</v>
          </cell>
          <cell r="L3974" t="str">
            <v>25/数铣40</v>
          </cell>
          <cell r="M3974" t="str">
            <v>30/测量</v>
          </cell>
          <cell r="N3974" t="str">
            <v>35/钳工</v>
          </cell>
          <cell r="O3974" t="str">
            <v>40/数铣</v>
          </cell>
          <cell r="P3974" t="str">
            <v>45/清洁</v>
          </cell>
          <cell r="Q3974" t="str">
            <v>50/成检</v>
          </cell>
        </row>
        <row r="3975">
          <cell r="B3975" t="str">
            <v>GU5715030-003L001</v>
          </cell>
          <cell r="D3975" t="str">
            <v>D</v>
          </cell>
          <cell r="E3975" t="str">
            <v>准备工时</v>
          </cell>
          <cell r="G3975">
            <v>60</v>
          </cell>
          <cell r="H3975">
            <v>60</v>
          </cell>
          <cell r="I3975">
            <v>90</v>
          </cell>
          <cell r="J3975">
            <v>60</v>
          </cell>
          <cell r="K3975">
            <v>60</v>
          </cell>
          <cell r="L3975">
            <v>60</v>
          </cell>
        </row>
        <row r="3976">
          <cell r="B3976" t="str">
            <v>GU5715030-003L001</v>
          </cell>
          <cell r="D3976" t="str">
            <v>D</v>
          </cell>
          <cell r="E3976" t="str">
            <v>程序时间</v>
          </cell>
          <cell r="G3976">
            <v>30</v>
          </cell>
          <cell r="H3976">
            <v>40</v>
          </cell>
          <cell r="I3976">
            <v>35</v>
          </cell>
          <cell r="J3976">
            <v>80</v>
          </cell>
          <cell r="K3976">
            <v>110</v>
          </cell>
          <cell r="L3976">
            <v>60</v>
          </cell>
          <cell r="N3976">
            <v>60</v>
          </cell>
          <cell r="O3976">
            <v>20</v>
          </cell>
          <cell r="Q3976" t="str">
            <v/>
          </cell>
        </row>
        <row r="3977">
          <cell r="B3977" t="str">
            <v>GU5715030-003R001</v>
          </cell>
          <cell r="D3977" t="str">
            <v>D</v>
          </cell>
          <cell r="E3977" t="str">
            <v>工序内容</v>
          </cell>
          <cell r="F3977" t="str">
            <v>0/领料</v>
          </cell>
          <cell r="G3977" t="str">
            <v>5/数铣</v>
          </cell>
          <cell r="H3977" t="str">
            <v>8/数铣</v>
          </cell>
          <cell r="I3977" t="str">
            <v>10/数铣15</v>
          </cell>
          <cell r="J3977" t="str">
            <v>15/数铣50</v>
          </cell>
          <cell r="K3977" t="str">
            <v>20/数铣75</v>
          </cell>
          <cell r="L3977" t="str">
            <v>25/数铣40</v>
          </cell>
          <cell r="M3977" t="str">
            <v>30/测量</v>
          </cell>
          <cell r="N3977" t="str">
            <v>35/钳工</v>
          </cell>
          <cell r="O3977" t="str">
            <v>40/数铣</v>
          </cell>
          <cell r="P3977" t="str">
            <v>45/清洁</v>
          </cell>
          <cell r="Q3977" t="str">
            <v>50/成检</v>
          </cell>
        </row>
        <row r="3978">
          <cell r="B3978" t="str">
            <v>GU5715030-003R001</v>
          </cell>
          <cell r="D3978" t="str">
            <v>D</v>
          </cell>
          <cell r="E3978" t="str">
            <v>准备工时</v>
          </cell>
          <cell r="G3978">
            <v>60</v>
          </cell>
          <cell r="H3978">
            <v>60</v>
          </cell>
          <cell r="I3978">
            <v>90</v>
          </cell>
          <cell r="J3978">
            <v>60</v>
          </cell>
          <cell r="K3978">
            <v>60</v>
          </cell>
          <cell r="L3978">
            <v>60</v>
          </cell>
        </row>
        <row r="3979">
          <cell r="B3979" t="str">
            <v>GU5715030-003R001</v>
          </cell>
          <cell r="D3979" t="str">
            <v>D</v>
          </cell>
          <cell r="E3979" t="str">
            <v>程序时间</v>
          </cell>
          <cell r="G3979">
            <v>30</v>
          </cell>
          <cell r="H3979">
            <v>40</v>
          </cell>
          <cell r="I3979">
            <v>35</v>
          </cell>
          <cell r="J3979">
            <v>80</v>
          </cell>
          <cell r="K3979">
            <v>110</v>
          </cell>
          <cell r="L3979">
            <v>60</v>
          </cell>
          <cell r="N3979">
            <v>60</v>
          </cell>
          <cell r="O3979">
            <v>20</v>
          </cell>
          <cell r="Q3979" t="str">
            <v/>
          </cell>
        </row>
        <row r="3980">
          <cell r="B3980" t="str">
            <v>561A3310-007-501</v>
          </cell>
          <cell r="D3980" t="str">
            <v>B</v>
          </cell>
          <cell r="E3980" t="str">
            <v>工序内容</v>
          </cell>
          <cell r="F3980" t="str">
            <v>0/领料</v>
          </cell>
          <cell r="G3980" t="str">
            <v>05/普车</v>
          </cell>
          <cell r="H3980" t="str">
            <v>10热处理</v>
          </cell>
          <cell r="I3980" t="str">
            <v>15/热处理</v>
          </cell>
          <cell r="J3980" t="str">
            <v>20/硬度</v>
          </cell>
          <cell r="K3980" t="str">
            <v>25/数车30</v>
          </cell>
          <cell r="L3980" t="str">
            <v>30/数车5</v>
          </cell>
          <cell r="M3980" t="str">
            <v>35/清洁</v>
          </cell>
          <cell r="N3980" t="str">
            <v>40/成检</v>
          </cell>
        </row>
        <row r="3981">
          <cell r="B3981" t="str">
            <v>561A3310-007-501</v>
          </cell>
          <cell r="D3981" t="str">
            <v>B</v>
          </cell>
          <cell r="E3981" t="str">
            <v>准备工时</v>
          </cell>
          <cell r="G3981">
            <v>60</v>
          </cell>
          <cell r="K3981">
            <v>90</v>
          </cell>
          <cell r="L3981">
            <v>60</v>
          </cell>
        </row>
        <row r="3982">
          <cell r="B3982" t="str">
            <v>561A3310-007-501</v>
          </cell>
          <cell r="D3982" t="str">
            <v>B</v>
          </cell>
          <cell r="E3982" t="str">
            <v>程序时间</v>
          </cell>
          <cell r="G3982" t="str">
            <v>40/根</v>
          </cell>
          <cell r="K3982">
            <v>45</v>
          </cell>
          <cell r="L3982">
            <v>15</v>
          </cell>
        </row>
        <row r="3983">
          <cell r="B3983" t="str">
            <v>DD-J10B-04011-1</v>
          </cell>
          <cell r="D3983" t="str">
            <v>G</v>
          </cell>
          <cell r="E3983" t="str">
            <v>工序内容</v>
          </cell>
          <cell r="F3983" t="str">
            <v>0/领料</v>
          </cell>
          <cell r="G3983" t="str">
            <v>5/数铣</v>
          </cell>
          <cell r="H3983" t="str">
            <v>10数铣120</v>
          </cell>
          <cell r="I3983" t="str">
            <v>15/数铣70</v>
          </cell>
          <cell r="J3983" t="str">
            <v>20/数铣900</v>
          </cell>
          <cell r="K3983" t="str">
            <v>25/数铣800</v>
          </cell>
          <cell r="L3983" t="str">
            <v>30/测量</v>
          </cell>
          <cell r="M3983" t="str">
            <v>35/钳工</v>
          </cell>
          <cell r="N3983" t="str">
            <v>40/清洁</v>
          </cell>
          <cell r="O3983" t="str">
            <v>45/成检</v>
          </cell>
        </row>
        <row r="3984">
          <cell r="B3984" t="str">
            <v>DD-J10B-04011-1</v>
          </cell>
          <cell r="D3984" t="str">
            <v>G</v>
          </cell>
          <cell r="E3984" t="str">
            <v>准备工时</v>
          </cell>
          <cell r="G3984">
            <v>60</v>
          </cell>
          <cell r="H3984">
            <v>150</v>
          </cell>
          <cell r="I3984">
            <v>120</v>
          </cell>
          <cell r="J3984">
            <v>120</v>
          </cell>
          <cell r="K3984">
            <v>120</v>
          </cell>
        </row>
        <row r="3985">
          <cell r="B3985" t="str">
            <v>DD-J10B-04011-1</v>
          </cell>
          <cell r="D3985" t="str">
            <v>G</v>
          </cell>
          <cell r="E3985" t="str">
            <v>装夹时间</v>
          </cell>
          <cell r="G3985">
            <v>60</v>
          </cell>
          <cell r="H3985">
            <v>120</v>
          </cell>
          <cell r="I3985">
            <v>120</v>
          </cell>
          <cell r="J3985">
            <v>120</v>
          </cell>
          <cell r="K3985">
            <v>120</v>
          </cell>
        </row>
        <row r="3986">
          <cell r="B3986" t="str">
            <v>DD-J10B-04011-1</v>
          </cell>
          <cell r="D3986" t="str">
            <v>G</v>
          </cell>
          <cell r="E3986" t="str">
            <v>程序时间</v>
          </cell>
          <cell r="G3986">
            <v>420</v>
          </cell>
          <cell r="H3986">
            <v>180</v>
          </cell>
          <cell r="I3986">
            <v>120</v>
          </cell>
          <cell r="J3986">
            <v>1320</v>
          </cell>
          <cell r="K3986">
            <v>1100</v>
          </cell>
          <cell r="M3986">
            <v>360</v>
          </cell>
        </row>
        <row r="3987">
          <cell r="B3987" t="str">
            <v>CB229C050-007-003</v>
          </cell>
          <cell r="D3987" t="str">
            <v>D</v>
          </cell>
          <cell r="E3987" t="str">
            <v>工序内容</v>
          </cell>
          <cell r="F3987" t="str">
            <v>00/领料</v>
          </cell>
          <cell r="G3987" t="str">
            <v>5/数车15</v>
          </cell>
          <cell r="H3987" t="str">
            <v>10/数车5</v>
          </cell>
          <cell r="I3987" t="str">
            <v>15/普铣</v>
          </cell>
          <cell r="J3987" t="str">
            <v>20/数铣60</v>
          </cell>
          <cell r="K3987" t="str">
            <v>25/线切割</v>
          </cell>
          <cell r="L3987" t="str">
            <v>30/数铣20</v>
          </cell>
          <cell r="M3987" t="str">
            <v>35/数车30</v>
          </cell>
          <cell r="N3987" t="str">
            <v>40/钳工</v>
          </cell>
          <cell r="O3987" t="str">
            <v>45/清洁</v>
          </cell>
          <cell r="P3987" t="str">
            <v>50/成检</v>
          </cell>
        </row>
        <row r="3988">
          <cell r="B3988" t="str">
            <v>CB229C050-007-003</v>
          </cell>
          <cell r="D3988" t="str">
            <v>D</v>
          </cell>
          <cell r="E3988" t="str">
            <v>准备工时</v>
          </cell>
          <cell r="G3988">
            <v>60</v>
          </cell>
          <cell r="H3988">
            <v>60</v>
          </cell>
          <cell r="I3988">
            <v>60</v>
          </cell>
          <cell r="J3988">
            <v>120</v>
          </cell>
          <cell r="K3988">
            <v>60</v>
          </cell>
          <cell r="L3988">
            <v>120</v>
          </cell>
          <cell r="M3988">
            <v>120</v>
          </cell>
        </row>
        <row r="3989">
          <cell r="B3989" t="str">
            <v>CB229C050-007-003</v>
          </cell>
          <cell r="D3989" t="str">
            <v>D</v>
          </cell>
          <cell r="E3989" t="str">
            <v>程序时间</v>
          </cell>
          <cell r="G3989">
            <v>20</v>
          </cell>
          <cell r="H3989">
            <v>10</v>
          </cell>
          <cell r="I3989">
            <v>30</v>
          </cell>
          <cell r="J3989">
            <v>120</v>
          </cell>
          <cell r="K3989">
            <v>30</v>
          </cell>
          <cell r="L3989">
            <v>50</v>
          </cell>
          <cell r="M3989">
            <v>50</v>
          </cell>
          <cell r="N3989">
            <v>25</v>
          </cell>
        </row>
        <row r="3990">
          <cell r="B3990" t="str">
            <v>DD-J10-33003-4</v>
          </cell>
          <cell r="D3990" t="str">
            <v>C</v>
          </cell>
          <cell r="E3990" t="str">
            <v>工序内容</v>
          </cell>
          <cell r="F3990" t="str">
            <v>0/领料</v>
          </cell>
          <cell r="G3990" t="str">
            <v>5/钳工</v>
          </cell>
          <cell r="H3990" t="str">
            <v>10/数铣</v>
          </cell>
          <cell r="I3990" t="str">
            <v>15/数铣60</v>
          </cell>
          <cell r="J3990" t="str">
            <v>20/数铣200</v>
          </cell>
          <cell r="K3990" t="str">
            <v>25/数铣330</v>
          </cell>
          <cell r="L3990" t="str">
            <v>30/时效</v>
          </cell>
          <cell r="M3990" t="str">
            <v>35/数铣</v>
          </cell>
          <cell r="N3990" t="str">
            <v>40/数铣340</v>
          </cell>
          <cell r="O3990" t="str">
            <v>45/数铣830</v>
          </cell>
          <cell r="P3990" t="str">
            <v>50/测量</v>
          </cell>
          <cell r="Q3990" t="str">
            <v>55/钳工</v>
          </cell>
          <cell r="R3990" t="str">
            <v>60/数铣</v>
          </cell>
          <cell r="S3990" t="str">
            <v>65/清洁</v>
          </cell>
          <cell r="T3990" t="str">
            <v>70/成检</v>
          </cell>
        </row>
        <row r="3991">
          <cell r="B3991" t="str">
            <v>DD-J10-33003-4</v>
          </cell>
          <cell r="D3991" t="str">
            <v>C</v>
          </cell>
          <cell r="E3991" t="str">
            <v>准备工时</v>
          </cell>
          <cell r="G3991">
            <v>60</v>
          </cell>
          <cell r="H3991">
            <v>60</v>
          </cell>
          <cell r="I3991">
            <v>60</v>
          </cell>
          <cell r="J3991">
            <v>60</v>
          </cell>
          <cell r="K3991">
            <v>60</v>
          </cell>
          <cell r="M3991">
            <v>60</v>
          </cell>
          <cell r="N3991">
            <v>90</v>
          </cell>
          <cell r="O3991">
            <v>120</v>
          </cell>
        </row>
        <row r="3992">
          <cell r="B3992" t="str">
            <v>DD-J10-33003-4</v>
          </cell>
          <cell r="D3992" t="str">
            <v>C</v>
          </cell>
          <cell r="E3992" t="str">
            <v>装夹时间</v>
          </cell>
          <cell r="H3992">
            <v>60</v>
          </cell>
          <cell r="I3992">
            <v>60</v>
          </cell>
          <cell r="J3992">
            <v>90</v>
          </cell>
          <cell r="K3992">
            <v>90</v>
          </cell>
          <cell r="M3992">
            <v>90</v>
          </cell>
          <cell r="N3992">
            <v>90</v>
          </cell>
          <cell r="O3992">
            <v>90</v>
          </cell>
        </row>
        <row r="3993">
          <cell r="B3993" t="str">
            <v>DD-J10-33003-4</v>
          </cell>
          <cell r="D3993" t="str">
            <v>C</v>
          </cell>
          <cell r="E3993" t="str">
            <v>程序时间</v>
          </cell>
          <cell r="G3993">
            <v>40</v>
          </cell>
          <cell r="H3993">
            <v>180</v>
          </cell>
          <cell r="I3993">
            <v>140</v>
          </cell>
          <cell r="J3993">
            <v>390</v>
          </cell>
          <cell r="K3993">
            <v>540</v>
          </cell>
          <cell r="M3993">
            <v>150</v>
          </cell>
          <cell r="N3993">
            <v>570</v>
          </cell>
          <cell r="O3993">
            <v>1450</v>
          </cell>
          <cell r="Q3993">
            <v>330</v>
          </cell>
          <cell r="R3993">
            <v>20</v>
          </cell>
        </row>
        <row r="3994">
          <cell r="B3994" t="str">
            <v>C533114600-008L001</v>
          </cell>
          <cell r="D3994" t="str">
            <v>B</v>
          </cell>
          <cell r="E3994" t="str">
            <v>工序内容</v>
          </cell>
          <cell r="F3994" t="str">
            <v>0领料</v>
          </cell>
          <cell r="G3994" t="str">
            <v>05数铣</v>
          </cell>
          <cell r="H3994" t="str">
            <v>10数铣20</v>
          </cell>
          <cell r="I3994" t="str">
            <v>15数铣150</v>
          </cell>
          <cell r="J3994" t="str">
            <v>20钳工</v>
          </cell>
          <cell r="K3994" t="str">
            <v>25称重</v>
          </cell>
          <cell r="L3994" t="str">
            <v>30测量</v>
          </cell>
          <cell r="M3994" t="str">
            <v>35清洁</v>
          </cell>
          <cell r="N3994" t="str">
            <v>40成检</v>
          </cell>
        </row>
        <row r="3995">
          <cell r="B3995" t="str">
            <v>C533114600-008L001</v>
          </cell>
          <cell r="D3995" t="str">
            <v>B</v>
          </cell>
          <cell r="E3995" t="str">
            <v>准备工时</v>
          </cell>
          <cell r="G3995">
            <v>60</v>
          </cell>
          <cell r="H3995">
            <v>90</v>
          </cell>
          <cell r="I3995">
            <v>90</v>
          </cell>
        </row>
        <row r="3996">
          <cell r="B3996" t="str">
            <v>C533114600-008L001</v>
          </cell>
          <cell r="D3996" t="str">
            <v>B</v>
          </cell>
          <cell r="E3996" t="str">
            <v>程序时间</v>
          </cell>
          <cell r="G3996" t="str">
            <v>25</v>
          </cell>
          <cell r="H3996">
            <v>50</v>
          </cell>
          <cell r="I3996">
            <v>240</v>
          </cell>
          <cell r="J3996">
            <v>60</v>
          </cell>
          <cell r="K3996">
            <v>15</v>
          </cell>
        </row>
        <row r="3997">
          <cell r="B3997" t="str">
            <v>C533114600-008R001</v>
          </cell>
          <cell r="D3997" t="str">
            <v>B</v>
          </cell>
          <cell r="E3997" t="str">
            <v>工序内容</v>
          </cell>
          <cell r="F3997" t="str">
            <v>0领料</v>
          </cell>
          <cell r="G3997" t="str">
            <v>05数铣</v>
          </cell>
          <cell r="H3997" t="str">
            <v>10数铣20</v>
          </cell>
          <cell r="I3997" t="str">
            <v>15数铣150</v>
          </cell>
          <cell r="J3997" t="str">
            <v>20钳工</v>
          </cell>
          <cell r="K3997" t="str">
            <v>25称重</v>
          </cell>
          <cell r="L3997" t="str">
            <v>30测量</v>
          </cell>
          <cell r="M3997" t="str">
            <v>35清洁</v>
          </cell>
          <cell r="N3997" t="str">
            <v>40成检</v>
          </cell>
        </row>
        <row r="3998">
          <cell r="B3998" t="str">
            <v>C533114600-008R001</v>
          </cell>
          <cell r="D3998" t="str">
            <v>B</v>
          </cell>
          <cell r="E3998" t="str">
            <v>准备工时</v>
          </cell>
          <cell r="G3998">
            <v>60</v>
          </cell>
          <cell r="H3998">
            <v>90</v>
          </cell>
          <cell r="I3998">
            <v>90</v>
          </cell>
        </row>
        <row r="3999">
          <cell r="B3999" t="str">
            <v>C533114600-008R001</v>
          </cell>
          <cell r="D3999" t="str">
            <v>B</v>
          </cell>
          <cell r="E3999" t="str">
            <v>程序时间</v>
          </cell>
          <cell r="G3999" t="str">
            <v>25</v>
          </cell>
          <cell r="H3999">
            <v>50</v>
          </cell>
          <cell r="I3999">
            <v>240</v>
          </cell>
          <cell r="J3999">
            <v>60</v>
          </cell>
          <cell r="K3999">
            <v>15</v>
          </cell>
        </row>
        <row r="4000">
          <cell r="B4000" t="str">
            <v>Y20-5315200048-501</v>
          </cell>
          <cell r="D4000" t="str">
            <v>C</v>
          </cell>
          <cell r="E4000" t="str">
            <v>工序内容</v>
          </cell>
          <cell r="F4000" t="str">
            <v>0/领料</v>
          </cell>
          <cell r="G4000" t="str">
            <v>5/下料</v>
          </cell>
          <cell r="H4000" t="str">
            <v>10/数铣</v>
          </cell>
          <cell r="I4000" t="str">
            <v>15/数铣20</v>
          </cell>
          <cell r="J4000" t="str">
            <v>20/数铣10</v>
          </cell>
          <cell r="K4000" t="str">
            <v>25/数铣120</v>
          </cell>
          <cell r="L4000" t="str">
            <v>30/数铣130</v>
          </cell>
          <cell r="M4000" t="str">
            <v>35/五轴80</v>
          </cell>
          <cell r="N4000" t="str">
            <v>40/测量</v>
          </cell>
          <cell r="O4000" t="str">
            <v>45/钳工</v>
          </cell>
          <cell r="P4000" t="str">
            <v>50/清洁</v>
          </cell>
          <cell r="Q4000" t="str">
            <v>55/成检</v>
          </cell>
        </row>
        <row r="4001">
          <cell r="B4001" t="str">
            <v>Y20-5315200048-501</v>
          </cell>
          <cell r="D4001" t="str">
            <v>C</v>
          </cell>
          <cell r="E4001" t="str">
            <v>准备工时</v>
          </cell>
          <cell r="H4001">
            <v>60</v>
          </cell>
          <cell r="I4001">
            <v>60</v>
          </cell>
          <cell r="J4001">
            <v>60</v>
          </cell>
          <cell r="K4001">
            <v>90</v>
          </cell>
          <cell r="L4001">
            <v>60</v>
          </cell>
          <cell r="M4001">
            <v>120</v>
          </cell>
        </row>
        <row r="4002">
          <cell r="B4002" t="str">
            <v>Y20-5315200048-501</v>
          </cell>
          <cell r="D4002" t="str">
            <v>C</v>
          </cell>
          <cell r="E4002" t="str">
            <v>装夹时间</v>
          </cell>
          <cell r="M4002">
            <v>60</v>
          </cell>
        </row>
        <row r="4003">
          <cell r="B4003" t="str">
            <v>Y20-5315200048-501</v>
          </cell>
          <cell r="D4003" t="str">
            <v>C</v>
          </cell>
          <cell r="E4003" t="str">
            <v>程序时间</v>
          </cell>
          <cell r="G4003">
            <v>30</v>
          </cell>
          <cell r="H4003">
            <v>60</v>
          </cell>
          <cell r="I4003">
            <v>30</v>
          </cell>
          <cell r="J4003">
            <v>20</v>
          </cell>
          <cell r="K4003">
            <v>210</v>
          </cell>
          <cell r="L4003">
            <v>160</v>
          </cell>
          <cell r="M4003">
            <v>240</v>
          </cell>
          <cell r="O4003">
            <v>90</v>
          </cell>
        </row>
        <row r="4004">
          <cell r="B4004" t="str">
            <v>Y20-5315200048-502</v>
          </cell>
          <cell r="D4004" t="str">
            <v>C</v>
          </cell>
          <cell r="E4004" t="str">
            <v>工序内容</v>
          </cell>
          <cell r="F4004" t="str">
            <v>0/领料</v>
          </cell>
          <cell r="G4004" t="str">
            <v>5/下料</v>
          </cell>
          <cell r="H4004" t="str">
            <v>10/数铣</v>
          </cell>
          <cell r="I4004" t="str">
            <v>15/数铣20</v>
          </cell>
          <cell r="J4004" t="str">
            <v>20/数铣10</v>
          </cell>
          <cell r="K4004" t="str">
            <v>25/数铣120</v>
          </cell>
          <cell r="L4004" t="str">
            <v>30/数铣130</v>
          </cell>
          <cell r="M4004" t="str">
            <v>35/五轴80</v>
          </cell>
          <cell r="N4004" t="str">
            <v>40/测量</v>
          </cell>
          <cell r="O4004" t="str">
            <v>45/钳工</v>
          </cell>
          <cell r="P4004" t="str">
            <v>50/清洁</v>
          </cell>
          <cell r="Q4004" t="str">
            <v>55/成检</v>
          </cell>
        </row>
        <row r="4005">
          <cell r="B4005" t="str">
            <v>Y20-5315200048-502</v>
          </cell>
          <cell r="D4005" t="str">
            <v>C</v>
          </cell>
          <cell r="E4005" t="str">
            <v>准备工时</v>
          </cell>
          <cell r="H4005">
            <v>60</v>
          </cell>
          <cell r="I4005">
            <v>60</v>
          </cell>
          <cell r="J4005">
            <v>60</v>
          </cell>
          <cell r="K4005">
            <v>90</v>
          </cell>
          <cell r="L4005">
            <v>60</v>
          </cell>
          <cell r="M4005">
            <v>120</v>
          </cell>
        </row>
        <row r="4006">
          <cell r="B4006" t="str">
            <v>Y20-5315200048-502</v>
          </cell>
          <cell r="D4006" t="str">
            <v>C</v>
          </cell>
          <cell r="E4006" t="str">
            <v>装夹时间</v>
          </cell>
          <cell r="M4006">
            <v>60</v>
          </cell>
        </row>
        <row r="4007">
          <cell r="B4007" t="str">
            <v>Y20-5315200048-502</v>
          </cell>
          <cell r="D4007" t="str">
            <v>C</v>
          </cell>
          <cell r="E4007" t="str">
            <v>程序时间</v>
          </cell>
          <cell r="G4007">
            <v>30</v>
          </cell>
          <cell r="H4007">
            <v>60</v>
          </cell>
          <cell r="I4007">
            <v>30</v>
          </cell>
          <cell r="J4007">
            <v>20</v>
          </cell>
          <cell r="K4007">
            <v>210</v>
          </cell>
          <cell r="L4007">
            <v>160</v>
          </cell>
          <cell r="M4007">
            <v>240</v>
          </cell>
          <cell r="O4007">
            <v>90</v>
          </cell>
        </row>
        <row r="4008">
          <cell r="B4008" t="str">
            <v>Y20-5315200048-501</v>
          </cell>
          <cell r="D4008" t="str">
            <v>D</v>
          </cell>
          <cell r="E4008" t="str">
            <v>工序内容</v>
          </cell>
          <cell r="F4008" t="str">
            <v>0/领料</v>
          </cell>
          <cell r="G4008" t="str">
            <v>5/下料</v>
          </cell>
          <cell r="H4008" t="str">
            <v>10/数铣</v>
          </cell>
          <cell r="I4008" t="str">
            <v>15/数铣20</v>
          </cell>
          <cell r="J4008" t="str">
            <v>20/数铣10</v>
          </cell>
          <cell r="K4008" t="str">
            <v>25/数铣120</v>
          </cell>
          <cell r="L4008" t="str">
            <v>30/数铣130</v>
          </cell>
          <cell r="M4008" t="str">
            <v>35/五轴80</v>
          </cell>
          <cell r="N4008" t="str">
            <v>40/测量</v>
          </cell>
          <cell r="O4008" t="str">
            <v>45/钳工</v>
          </cell>
          <cell r="P4008" t="str">
            <v>50/清洁</v>
          </cell>
          <cell r="Q4008" t="str">
            <v>55/成检</v>
          </cell>
        </row>
        <row r="4009">
          <cell r="B4009" t="str">
            <v>Y20-5315200048-501</v>
          </cell>
          <cell r="D4009" t="str">
            <v>D</v>
          </cell>
          <cell r="E4009" t="str">
            <v>准备工时</v>
          </cell>
          <cell r="H4009">
            <v>60</v>
          </cell>
          <cell r="I4009">
            <v>60</v>
          </cell>
          <cell r="J4009">
            <v>60</v>
          </cell>
          <cell r="K4009">
            <v>90</v>
          </cell>
          <cell r="L4009">
            <v>60</v>
          </cell>
          <cell r="M4009">
            <v>120</v>
          </cell>
        </row>
        <row r="4010">
          <cell r="B4010" t="str">
            <v>Y20-5315200048-501</v>
          </cell>
          <cell r="D4010" t="str">
            <v>D</v>
          </cell>
          <cell r="E4010" t="str">
            <v>装夹时间</v>
          </cell>
          <cell r="M4010">
            <v>60</v>
          </cell>
        </row>
        <row r="4011">
          <cell r="B4011" t="str">
            <v>Y20-5315200048-501</v>
          </cell>
          <cell r="D4011" t="str">
            <v>D</v>
          </cell>
          <cell r="E4011" t="str">
            <v>程序时间</v>
          </cell>
          <cell r="G4011">
            <v>30</v>
          </cell>
          <cell r="H4011">
            <v>60</v>
          </cell>
          <cell r="I4011">
            <v>30</v>
          </cell>
          <cell r="J4011">
            <v>20</v>
          </cell>
          <cell r="K4011">
            <v>210</v>
          </cell>
          <cell r="L4011">
            <v>220</v>
          </cell>
          <cell r="M4011">
            <v>300</v>
          </cell>
          <cell r="O4011">
            <v>90</v>
          </cell>
        </row>
        <row r="4012">
          <cell r="B4012" t="str">
            <v>Y20-5315200048-502</v>
          </cell>
          <cell r="D4012" t="str">
            <v>D</v>
          </cell>
          <cell r="E4012" t="str">
            <v>工序内容</v>
          </cell>
          <cell r="F4012" t="str">
            <v>0/领料</v>
          </cell>
          <cell r="G4012" t="str">
            <v>5/下料</v>
          </cell>
          <cell r="H4012" t="str">
            <v>10/数铣</v>
          </cell>
          <cell r="I4012" t="str">
            <v>15/数铣20</v>
          </cell>
          <cell r="J4012" t="str">
            <v>20/数铣10</v>
          </cell>
          <cell r="K4012" t="str">
            <v>25/数铣120</v>
          </cell>
          <cell r="L4012" t="str">
            <v>30/数铣130</v>
          </cell>
          <cell r="M4012" t="str">
            <v>35/五轴80</v>
          </cell>
          <cell r="N4012" t="str">
            <v>40/测量</v>
          </cell>
          <cell r="O4012" t="str">
            <v>45/钳工</v>
          </cell>
          <cell r="P4012" t="str">
            <v>50/清洁</v>
          </cell>
          <cell r="Q4012" t="str">
            <v>55/成检</v>
          </cell>
        </row>
        <row r="4013">
          <cell r="B4013" t="str">
            <v>Y20-5315200048-502</v>
          </cell>
          <cell r="D4013" t="str">
            <v>D</v>
          </cell>
          <cell r="E4013" t="str">
            <v>准备工时</v>
          </cell>
          <cell r="H4013">
            <v>60</v>
          </cell>
          <cell r="I4013">
            <v>60</v>
          </cell>
          <cell r="J4013">
            <v>60</v>
          </cell>
          <cell r="K4013">
            <v>90</v>
          </cell>
          <cell r="L4013">
            <v>60</v>
          </cell>
          <cell r="M4013">
            <v>120</v>
          </cell>
        </row>
        <row r="4014">
          <cell r="B4014" t="str">
            <v>Y20-5315200048-502</v>
          </cell>
          <cell r="D4014" t="str">
            <v>D</v>
          </cell>
          <cell r="E4014" t="str">
            <v>装夹时间</v>
          </cell>
          <cell r="M4014">
            <v>60</v>
          </cell>
        </row>
        <row r="4015">
          <cell r="B4015" t="str">
            <v>Y20-5315200048-502</v>
          </cell>
          <cell r="D4015" t="str">
            <v>D</v>
          </cell>
          <cell r="E4015" t="str">
            <v>程序时间</v>
          </cell>
          <cell r="G4015">
            <v>30</v>
          </cell>
          <cell r="H4015">
            <v>60</v>
          </cell>
          <cell r="I4015">
            <v>30</v>
          </cell>
          <cell r="J4015">
            <v>20</v>
          </cell>
          <cell r="K4015">
            <v>210</v>
          </cell>
          <cell r="L4015">
            <v>220</v>
          </cell>
          <cell r="M4015">
            <v>300</v>
          </cell>
          <cell r="O4015">
            <v>90</v>
          </cell>
        </row>
        <row r="4016">
          <cell r="B4016" t="str">
            <v>BC3101123-021-001</v>
          </cell>
          <cell r="D4016" t="str">
            <v>A</v>
          </cell>
          <cell r="E4016" t="str">
            <v>工序内容</v>
          </cell>
          <cell r="F4016" t="str">
            <v>0/领料</v>
          </cell>
          <cell r="G4016" t="str">
            <v>05普车 60</v>
          </cell>
          <cell r="H4016" t="str">
            <v>10数车30</v>
          </cell>
          <cell r="I4016" t="str">
            <v>15数车20</v>
          </cell>
          <cell r="J4016" t="str">
            <v>20数铣20</v>
          </cell>
          <cell r="K4016" t="str">
            <v>25数铣15</v>
          </cell>
          <cell r="L4016" t="str">
            <v>30电火花</v>
          </cell>
          <cell r="M4016" t="str">
            <v>35钳工</v>
          </cell>
          <cell r="N4016" t="str">
            <v>40热处理</v>
          </cell>
          <cell r="O4016" t="str">
            <v>45数车30</v>
          </cell>
          <cell r="P4016" t="str">
            <v>50钳工</v>
          </cell>
          <cell r="Q4016" t="str">
            <v>55清洁</v>
          </cell>
          <cell r="R4016" t="str">
            <v>60成检</v>
          </cell>
        </row>
        <row r="4017">
          <cell r="B4017" t="str">
            <v>BC3101123-021-001</v>
          </cell>
          <cell r="D4017" t="str">
            <v>A</v>
          </cell>
          <cell r="E4017" t="str">
            <v>准备工时</v>
          </cell>
          <cell r="G4017">
            <v>60</v>
          </cell>
          <cell r="H4017">
            <v>90</v>
          </cell>
          <cell r="I4017">
            <v>90</v>
          </cell>
          <cell r="J4017">
            <v>60</v>
          </cell>
          <cell r="K4017">
            <v>60</v>
          </cell>
          <cell r="O4017">
            <v>90</v>
          </cell>
        </row>
        <row r="4018">
          <cell r="B4018" t="str">
            <v>BC3101123-021-001</v>
          </cell>
          <cell r="D4018" t="str">
            <v>A</v>
          </cell>
          <cell r="E4018" t="str">
            <v>程序时间</v>
          </cell>
          <cell r="G4018">
            <v>75</v>
          </cell>
          <cell r="H4018">
            <v>50</v>
          </cell>
          <cell r="I4018">
            <v>35</v>
          </cell>
          <cell r="J4018">
            <v>40</v>
          </cell>
          <cell r="K4018">
            <v>25</v>
          </cell>
          <cell r="M4018">
            <v>25</v>
          </cell>
          <cell r="O4018">
            <v>50</v>
          </cell>
          <cell r="P4018">
            <v>10</v>
          </cell>
        </row>
        <row r="4019">
          <cell r="B4019" t="str">
            <v>DD-J10B-41045-8</v>
          </cell>
          <cell r="D4019" t="str">
            <v>B</v>
          </cell>
          <cell r="E4019" t="str">
            <v>工序内容</v>
          </cell>
          <cell r="F4019" t="str">
            <v>0/领料</v>
          </cell>
          <cell r="G4019" t="str">
            <v>05车铣30</v>
          </cell>
          <cell r="H4019" t="str">
            <v>10数车15</v>
          </cell>
          <cell r="I4019" t="str">
            <v>15数车10</v>
          </cell>
          <cell r="J4019" t="str">
            <v>20钳毛刺</v>
          </cell>
          <cell r="K4019" t="str">
            <v>25分光</v>
          </cell>
          <cell r="L4019" t="str">
            <v>30热处理</v>
          </cell>
          <cell r="M4019" t="str">
            <v>35磨床</v>
          </cell>
          <cell r="N4019" t="str">
            <v>40数车15</v>
          </cell>
          <cell r="O4019" t="str">
            <v>45钳工</v>
          </cell>
          <cell r="P4019" t="str">
            <v>50清洁</v>
          </cell>
          <cell r="Q4019" t="str">
            <v>55成检</v>
          </cell>
        </row>
        <row r="4020">
          <cell r="B4020" t="str">
            <v>DD-J10B-41045-8</v>
          </cell>
          <cell r="D4020" t="str">
            <v>B</v>
          </cell>
          <cell r="E4020" t="str">
            <v>准备工时</v>
          </cell>
          <cell r="G4020">
            <v>120</v>
          </cell>
          <cell r="H4020">
            <v>90</v>
          </cell>
          <cell r="I4020" t="str">
            <v>60</v>
          </cell>
          <cell r="N4020" t="str">
            <v>90</v>
          </cell>
        </row>
        <row r="4021">
          <cell r="B4021" t="str">
            <v>DD-J10B-41045-8</v>
          </cell>
          <cell r="D4021" t="str">
            <v>B</v>
          </cell>
          <cell r="E4021" t="str">
            <v>程序时间</v>
          </cell>
          <cell r="G4021">
            <v>60</v>
          </cell>
          <cell r="H4021">
            <v>25</v>
          </cell>
          <cell r="I4021" t="str">
            <v>20</v>
          </cell>
          <cell r="J4021" t="str">
            <v>10</v>
          </cell>
          <cell r="N4021" t="str">
            <v>25</v>
          </cell>
          <cell r="O4021" t="str">
            <v>15</v>
          </cell>
        </row>
        <row r="4022">
          <cell r="B4022" t="str">
            <v>CB2280211-028-001</v>
          </cell>
          <cell r="D4022" t="str">
            <v>B</v>
          </cell>
          <cell r="E4022" t="str">
            <v>工序内容</v>
          </cell>
          <cell r="F4022" t="str">
            <v>0/领料</v>
          </cell>
          <cell r="G4022" t="str">
            <v>05/下料</v>
          </cell>
          <cell r="H4022" t="str">
            <v>10/数车15</v>
          </cell>
          <cell r="I4022" t="str">
            <v>15/数车30</v>
          </cell>
          <cell r="J4022" t="str">
            <v>20/分光</v>
          </cell>
          <cell r="K4022" t="str">
            <v>25/硬度</v>
          </cell>
          <cell r="L4022" t="str">
            <v>30/车铣45</v>
          </cell>
          <cell r="M4022" t="str">
            <v>35/钳工</v>
          </cell>
          <cell r="N4022" t="str">
            <v>40/清洁</v>
          </cell>
          <cell r="O4022" t="str">
            <v>45/成检</v>
          </cell>
        </row>
        <row r="4023">
          <cell r="B4023" t="str">
            <v>CB2280211-028-001</v>
          </cell>
          <cell r="D4023" t="str">
            <v>B</v>
          </cell>
          <cell r="E4023" t="str">
            <v>准备工时</v>
          </cell>
          <cell r="H4023">
            <v>60</v>
          </cell>
          <cell r="I4023">
            <v>90</v>
          </cell>
          <cell r="L4023">
            <v>120</v>
          </cell>
        </row>
        <row r="4024">
          <cell r="B4024" t="str">
            <v>CB2280211-028-001</v>
          </cell>
          <cell r="D4024" t="str">
            <v>B</v>
          </cell>
          <cell r="E4024" t="str">
            <v>程序时间</v>
          </cell>
          <cell r="G4024">
            <v>10</v>
          </cell>
          <cell r="H4024">
            <v>15</v>
          </cell>
          <cell r="I4024">
            <v>35</v>
          </cell>
          <cell r="L4024">
            <v>45</v>
          </cell>
          <cell r="M4024">
            <v>30</v>
          </cell>
        </row>
        <row r="4025">
          <cell r="B4025" t="str">
            <v>CB2285662-002-001</v>
          </cell>
          <cell r="D4025" t="str">
            <v>D</v>
          </cell>
          <cell r="E4025" t="str">
            <v>工序内容</v>
          </cell>
          <cell r="F4025" t="str">
            <v>0/领料</v>
          </cell>
          <cell r="G4025" t="str">
            <v>05/数车15</v>
          </cell>
          <cell r="H4025" t="str">
            <v>10/车铣45</v>
          </cell>
          <cell r="I4025" t="str">
            <v>15/分光</v>
          </cell>
          <cell r="J4025" t="str">
            <v>20/数车20</v>
          </cell>
          <cell r="K4025" t="str">
            <v>25/钳工</v>
          </cell>
          <cell r="L4025" t="str">
            <v>30/清洁</v>
          </cell>
          <cell r="M4025" t="str">
            <v>35/成检</v>
          </cell>
        </row>
        <row r="4026">
          <cell r="B4026" t="str">
            <v>CB2285662-002-001</v>
          </cell>
          <cell r="D4026" t="str">
            <v>D</v>
          </cell>
          <cell r="E4026" t="str">
            <v>准备工时</v>
          </cell>
          <cell r="G4026">
            <v>60</v>
          </cell>
          <cell r="H4026">
            <v>120</v>
          </cell>
          <cell r="J4026">
            <v>60</v>
          </cell>
        </row>
        <row r="4027">
          <cell r="B4027" t="str">
            <v>CB2285662-002-001</v>
          </cell>
          <cell r="D4027" t="str">
            <v>D</v>
          </cell>
          <cell r="E4027" t="str">
            <v>程序时间</v>
          </cell>
          <cell r="G4027">
            <v>20</v>
          </cell>
          <cell r="H4027">
            <v>60</v>
          </cell>
          <cell r="J4027">
            <v>20</v>
          </cell>
          <cell r="K4027">
            <v>30</v>
          </cell>
        </row>
        <row r="4028">
          <cell r="B4028" t="str">
            <v>CB5811100-005-001</v>
          </cell>
          <cell r="D4028" t="str">
            <v>C</v>
          </cell>
          <cell r="E4028" t="str">
            <v>工序内容</v>
          </cell>
          <cell r="F4028" t="str">
            <v>0/领料</v>
          </cell>
          <cell r="G4028" t="str">
            <v>05/下料</v>
          </cell>
          <cell r="H4028" t="str">
            <v>10/线切割</v>
          </cell>
          <cell r="I4028" t="str">
            <v>15/数车60</v>
          </cell>
          <cell r="J4028" t="str">
            <v>20/数车25</v>
          </cell>
          <cell r="K4028" t="str">
            <v>25/数车35</v>
          </cell>
          <cell r="L4028" t="str">
            <v>30/数车30</v>
          </cell>
          <cell r="M4028" t="str">
            <v>35/数铣30</v>
          </cell>
          <cell r="N4028" t="str">
            <v>40/数铣15</v>
          </cell>
          <cell r="O4028" t="str">
            <v>45/钳工</v>
          </cell>
          <cell r="P4028" t="str">
            <v>50/分光</v>
          </cell>
          <cell r="Q4028" t="str">
            <v>55/热处理</v>
          </cell>
          <cell r="R4028" t="str">
            <v>60/数车35</v>
          </cell>
          <cell r="S4028" t="str">
            <v>65/数车10</v>
          </cell>
          <cell r="T4028" t="str">
            <v>70/钳工</v>
          </cell>
          <cell r="U4028" t="str">
            <v>75/清洁</v>
          </cell>
          <cell r="V4028" t="str">
            <v>80/成检</v>
          </cell>
        </row>
        <row r="4029">
          <cell r="B4029" t="str">
            <v>CB5811100-005-001</v>
          </cell>
          <cell r="D4029" t="str">
            <v>C</v>
          </cell>
          <cell r="E4029" t="str">
            <v>准备工时</v>
          </cell>
          <cell r="I4029">
            <v>60</v>
          </cell>
          <cell r="J4029">
            <v>90</v>
          </cell>
          <cell r="K4029">
            <v>90</v>
          </cell>
          <cell r="L4029">
            <v>120</v>
          </cell>
          <cell r="M4029">
            <v>60</v>
          </cell>
          <cell r="N4029">
            <v>60</v>
          </cell>
          <cell r="R4029">
            <v>90</v>
          </cell>
          <cell r="S4029">
            <v>90</v>
          </cell>
        </row>
        <row r="4030">
          <cell r="B4030" t="str">
            <v>CB5811100-005-001</v>
          </cell>
          <cell r="D4030" t="str">
            <v>C</v>
          </cell>
          <cell r="E4030" t="str">
            <v>程序时间</v>
          </cell>
          <cell r="G4030">
            <v>30</v>
          </cell>
          <cell r="I4030">
            <v>60</v>
          </cell>
          <cell r="J4030">
            <v>25</v>
          </cell>
          <cell r="K4030">
            <v>35</v>
          </cell>
          <cell r="L4030">
            <v>45</v>
          </cell>
          <cell r="M4030">
            <v>50</v>
          </cell>
          <cell r="N4030">
            <v>30</v>
          </cell>
          <cell r="O4030">
            <v>30</v>
          </cell>
          <cell r="R4030">
            <v>50</v>
          </cell>
          <cell r="S4030">
            <v>25</v>
          </cell>
          <cell r="T4030">
            <v>10</v>
          </cell>
        </row>
        <row r="4031">
          <cell r="B4031" t="str">
            <v>CB22985H0-002-001</v>
          </cell>
          <cell r="D4031" t="str">
            <v>B</v>
          </cell>
          <cell r="E4031" t="str">
            <v>工序内容</v>
          </cell>
          <cell r="F4031" t="str">
            <v>0/领料</v>
          </cell>
          <cell r="G4031" t="str">
            <v>10/下料</v>
          </cell>
          <cell r="I4031" t="str">
            <v>15/数铣20</v>
          </cell>
          <cell r="J4031" t="str">
            <v>20/数铣</v>
          </cell>
          <cell r="K4031" t="str">
            <v>25/数铣10</v>
          </cell>
          <cell r="L4031" t="str">
            <v>30/数铣20</v>
          </cell>
          <cell r="M4031" t="str">
            <v>35/分光</v>
          </cell>
          <cell r="N4031" t="str">
            <v>40/硬度</v>
          </cell>
          <cell r="O4031" t="str">
            <v>45/线切割</v>
          </cell>
          <cell r="P4031" t="str">
            <v>50/钳工</v>
          </cell>
          <cell r="Q4031" t="str">
            <v>55/清洁</v>
          </cell>
          <cell r="R4031" t="str">
            <v>60/成检</v>
          </cell>
        </row>
        <row r="4032">
          <cell r="B4032" t="str">
            <v>CB22985H0-002-001</v>
          </cell>
          <cell r="D4032" t="str">
            <v>B</v>
          </cell>
          <cell r="E4032" t="str">
            <v>准备工时</v>
          </cell>
          <cell r="I4032">
            <v>60</v>
          </cell>
          <cell r="J4032">
            <v>60</v>
          </cell>
          <cell r="K4032">
            <v>60</v>
          </cell>
          <cell r="L4032">
            <v>60</v>
          </cell>
        </row>
        <row r="4033">
          <cell r="B4033" t="str">
            <v>CB22985H0-002-001</v>
          </cell>
          <cell r="D4033" t="str">
            <v>B</v>
          </cell>
          <cell r="E4033" t="str">
            <v>程序时间</v>
          </cell>
          <cell r="I4033">
            <v>35</v>
          </cell>
          <cell r="J4033">
            <v>20</v>
          </cell>
          <cell r="K4033">
            <v>15</v>
          </cell>
          <cell r="L4033">
            <v>30</v>
          </cell>
          <cell r="P4033">
            <v>40</v>
          </cell>
        </row>
        <row r="4034">
          <cell r="B4034" t="str">
            <v>CB2284762-002-002</v>
          </cell>
          <cell r="D4034" t="str">
            <v>C</v>
          </cell>
          <cell r="E4034" t="str">
            <v>工序内容</v>
          </cell>
          <cell r="F4034" t="str">
            <v>领料</v>
          </cell>
          <cell r="G4034" t="str">
            <v>普车</v>
          </cell>
          <cell r="H4034" t="str">
            <v>钳工</v>
          </cell>
          <cell r="I4034" t="str">
            <v>分光</v>
          </cell>
          <cell r="J4034" t="str">
            <v>数车</v>
          </cell>
          <cell r="K4034" t="str">
            <v>车铣</v>
          </cell>
          <cell r="L4034" t="str">
            <v>钳工</v>
          </cell>
          <cell r="M4034" t="str">
            <v>清洁</v>
          </cell>
          <cell r="N4034" t="str">
            <v>成检</v>
          </cell>
        </row>
        <row r="4035">
          <cell r="B4035" t="str">
            <v>CB2284762-002-002</v>
          </cell>
          <cell r="D4035" t="str">
            <v>C</v>
          </cell>
          <cell r="E4035" t="str">
            <v>准备时间</v>
          </cell>
          <cell r="J4035">
            <v>60</v>
          </cell>
          <cell r="K4035">
            <v>90</v>
          </cell>
        </row>
        <row r="4036">
          <cell r="B4036" t="str">
            <v>CB2284762-002-002</v>
          </cell>
          <cell r="D4036" t="str">
            <v>C</v>
          </cell>
          <cell r="E4036" t="str">
            <v>程序时间</v>
          </cell>
          <cell r="G4036">
            <v>35</v>
          </cell>
          <cell r="H4036">
            <v>10</v>
          </cell>
          <cell r="J4036">
            <v>50</v>
          </cell>
          <cell r="K4036">
            <v>50</v>
          </cell>
          <cell r="L4036">
            <v>20</v>
          </cell>
        </row>
        <row r="4037">
          <cell r="B4037" t="str">
            <v>CB5325125-404L001</v>
          </cell>
          <cell r="D4037" t="str">
            <v>B</v>
          </cell>
          <cell r="E4037" t="str">
            <v>工序内容</v>
          </cell>
          <cell r="F4037" t="str">
            <v>0/领料</v>
          </cell>
          <cell r="G4037" t="str">
            <v>5/下料</v>
          </cell>
          <cell r="H4037" t="str">
            <v>10/数铣</v>
          </cell>
          <cell r="I4037" t="str">
            <v>15/数铣20</v>
          </cell>
          <cell r="J4037" t="str">
            <v>20/数铣50</v>
          </cell>
          <cell r="K4037" t="str">
            <v>25/数铣105</v>
          </cell>
          <cell r="L4037" t="str">
            <v>30/数铣25</v>
          </cell>
          <cell r="M4037" t="str">
            <v>35/数铣25</v>
          </cell>
          <cell r="N4037" t="str">
            <v>40/测量</v>
          </cell>
          <cell r="O4037" t="str">
            <v>45/钳工</v>
          </cell>
          <cell r="Q4037" t="str">
            <v>55/清洁</v>
          </cell>
          <cell r="R4037" t="str">
            <v>60/检验</v>
          </cell>
          <cell r="S4037" t="str">
            <v>65/硬检</v>
          </cell>
          <cell r="T4037" t="str">
            <v>70分光</v>
          </cell>
          <cell r="U4037" t="str">
            <v>75钳工</v>
          </cell>
          <cell r="V4037" t="str">
            <v>80成检</v>
          </cell>
        </row>
        <row r="4038">
          <cell r="B4038" t="str">
            <v>CB5325125-404L001</v>
          </cell>
          <cell r="D4038" t="str">
            <v>B</v>
          </cell>
          <cell r="E4038" t="str">
            <v>准备工时</v>
          </cell>
          <cell r="H4038">
            <v>60</v>
          </cell>
          <cell r="I4038">
            <v>60</v>
          </cell>
          <cell r="J4038">
            <v>60</v>
          </cell>
          <cell r="K4038">
            <v>60</v>
          </cell>
          <cell r="L4038">
            <v>90</v>
          </cell>
          <cell r="M4038">
            <v>90</v>
          </cell>
        </row>
        <row r="4039">
          <cell r="B4039" t="str">
            <v>CB5325125-404L001</v>
          </cell>
          <cell r="D4039" t="str">
            <v>B</v>
          </cell>
          <cell r="E4039" t="str">
            <v>程序时间</v>
          </cell>
          <cell r="G4039">
            <v>30</v>
          </cell>
          <cell r="H4039">
            <v>45</v>
          </cell>
          <cell r="I4039">
            <v>30</v>
          </cell>
          <cell r="J4039">
            <v>90</v>
          </cell>
          <cell r="K4039">
            <v>220</v>
          </cell>
          <cell r="L4039">
            <v>60</v>
          </cell>
          <cell r="M4039">
            <v>60</v>
          </cell>
          <cell r="O4039">
            <v>90</v>
          </cell>
          <cell r="U4039">
            <v>5</v>
          </cell>
        </row>
        <row r="4040">
          <cell r="B4040" t="str">
            <v>CB5325125-404R001</v>
          </cell>
          <cell r="D4040" t="str">
            <v>B</v>
          </cell>
          <cell r="E4040" t="str">
            <v>工序内容</v>
          </cell>
          <cell r="F4040" t="str">
            <v>0/领料</v>
          </cell>
          <cell r="G4040" t="str">
            <v>5/下料</v>
          </cell>
          <cell r="H4040" t="str">
            <v>10/数铣</v>
          </cell>
          <cell r="I4040" t="str">
            <v>15/数铣20</v>
          </cell>
          <cell r="J4040" t="str">
            <v>20/数铣50</v>
          </cell>
          <cell r="K4040" t="str">
            <v>25/数铣105</v>
          </cell>
          <cell r="L4040" t="str">
            <v>30/数铣25</v>
          </cell>
          <cell r="M4040" t="str">
            <v>35/数铣25</v>
          </cell>
          <cell r="N4040" t="str">
            <v>40/测量</v>
          </cell>
          <cell r="O4040" t="str">
            <v>45/钳工</v>
          </cell>
          <cell r="Q4040" t="str">
            <v>55/清洁</v>
          </cell>
          <cell r="R4040" t="str">
            <v>60/检验</v>
          </cell>
          <cell r="S4040" t="str">
            <v>65/硬检</v>
          </cell>
          <cell r="T4040" t="str">
            <v>70分光</v>
          </cell>
          <cell r="U4040" t="str">
            <v>75钳工</v>
          </cell>
          <cell r="V4040" t="str">
            <v>80成检</v>
          </cell>
        </row>
        <row r="4041">
          <cell r="B4041" t="str">
            <v>CB5325125-404R001</v>
          </cell>
          <cell r="D4041" t="str">
            <v>B</v>
          </cell>
          <cell r="E4041" t="str">
            <v>准备工时</v>
          </cell>
          <cell r="H4041">
            <v>60</v>
          </cell>
          <cell r="I4041">
            <v>60</v>
          </cell>
          <cell r="J4041">
            <v>60</v>
          </cell>
          <cell r="K4041">
            <v>60</v>
          </cell>
          <cell r="L4041">
            <v>90</v>
          </cell>
          <cell r="M4041">
            <v>90</v>
          </cell>
        </row>
        <row r="4042">
          <cell r="B4042" t="str">
            <v>CB5325125-404R001</v>
          </cell>
          <cell r="D4042" t="str">
            <v>B</v>
          </cell>
          <cell r="E4042" t="str">
            <v>程序时间</v>
          </cell>
          <cell r="G4042">
            <v>30</v>
          </cell>
          <cell r="H4042">
            <v>45</v>
          </cell>
          <cell r="I4042">
            <v>30</v>
          </cell>
          <cell r="J4042">
            <v>90</v>
          </cell>
          <cell r="K4042">
            <v>220</v>
          </cell>
          <cell r="L4042">
            <v>60</v>
          </cell>
          <cell r="M4042">
            <v>60</v>
          </cell>
          <cell r="O4042">
            <v>90</v>
          </cell>
          <cell r="U4042">
            <v>5</v>
          </cell>
        </row>
        <row r="4043">
          <cell r="B4043" t="str">
            <v>DD-J10-55025-703</v>
          </cell>
          <cell r="D4043" t="str">
            <v>B</v>
          </cell>
          <cell r="E4043" t="str">
            <v>工序内容</v>
          </cell>
          <cell r="F4043" t="str">
            <v>0/领料</v>
          </cell>
          <cell r="G4043" t="str">
            <v>5/数车18</v>
          </cell>
          <cell r="H4043" t="str">
            <v>10/数车12</v>
          </cell>
          <cell r="I4043" t="str">
            <v>15/穿孔</v>
          </cell>
          <cell r="J4043" t="str">
            <v>20/钳工</v>
          </cell>
          <cell r="K4043" t="str">
            <v>25/清洁</v>
          </cell>
          <cell r="L4043" t="str">
            <v>30/成检</v>
          </cell>
        </row>
        <row r="4044">
          <cell r="B4044" t="str">
            <v>DD-J10-55025-703</v>
          </cell>
          <cell r="D4044" t="str">
            <v>B</v>
          </cell>
          <cell r="E4044" t="str">
            <v>准备工时</v>
          </cell>
          <cell r="G4044">
            <v>60</v>
          </cell>
          <cell r="H4044">
            <v>60</v>
          </cell>
        </row>
        <row r="4045">
          <cell r="B4045" t="str">
            <v>DD-J10-55025-703</v>
          </cell>
          <cell r="D4045" t="str">
            <v>B</v>
          </cell>
          <cell r="E4045" t="str">
            <v>程序时间</v>
          </cell>
          <cell r="G4045">
            <v>20</v>
          </cell>
          <cell r="H4045">
            <v>15</v>
          </cell>
          <cell r="J4045">
            <v>15</v>
          </cell>
        </row>
        <row r="4046">
          <cell r="B4046" t="str">
            <v>CB221T2LN-001-001</v>
          </cell>
          <cell r="D4046" t="str">
            <v>B</v>
          </cell>
          <cell r="E4046" t="str">
            <v>工序内容</v>
          </cell>
          <cell r="F4046" t="str">
            <v>0/领料</v>
          </cell>
          <cell r="G4046" t="str">
            <v>05/普车</v>
          </cell>
          <cell r="H4046" t="str">
            <v>10/数车</v>
          </cell>
          <cell r="I4046" t="str">
            <v>15/数车</v>
          </cell>
          <cell r="J4046" t="str">
            <v>20分光</v>
          </cell>
          <cell r="K4046" t="str">
            <v>25/中检</v>
          </cell>
          <cell r="L4046" t="str">
            <v>30/数车</v>
          </cell>
          <cell r="M4046" t="str">
            <v>35/钳工</v>
          </cell>
          <cell r="N4046" t="str">
            <v>40/清洁</v>
          </cell>
          <cell r="O4046" t="str">
            <v>45/成检</v>
          </cell>
        </row>
        <row r="4047">
          <cell r="B4047" t="str">
            <v>CB221T2LN-001-001</v>
          </cell>
          <cell r="D4047" t="str">
            <v>B</v>
          </cell>
          <cell r="E4047" t="str">
            <v>准备工时</v>
          </cell>
          <cell r="G4047">
            <v>60</v>
          </cell>
          <cell r="H4047">
            <v>120</v>
          </cell>
          <cell r="I4047">
            <v>90</v>
          </cell>
          <cell r="L4047">
            <v>120</v>
          </cell>
        </row>
        <row r="4048">
          <cell r="B4048" t="str">
            <v>CB221T2LN-001-001</v>
          </cell>
          <cell r="D4048" t="str">
            <v>B</v>
          </cell>
          <cell r="E4048" t="str">
            <v>程序时间</v>
          </cell>
          <cell r="G4048" t="str">
            <v>40/根</v>
          </cell>
          <cell r="H4048">
            <v>50</v>
          </cell>
          <cell r="I4048">
            <v>25</v>
          </cell>
          <cell r="L4048">
            <v>45</v>
          </cell>
          <cell r="M4048">
            <v>15</v>
          </cell>
        </row>
        <row r="4049">
          <cell r="B4049" t="str">
            <v>521A4260-000-003</v>
          </cell>
          <cell r="D4049" t="str">
            <v>B</v>
          </cell>
          <cell r="E4049" t="str">
            <v>工序内容</v>
          </cell>
          <cell r="F4049" t="str">
            <v>00/领料</v>
          </cell>
          <cell r="G4049" t="str">
            <v>05/数车10</v>
          </cell>
          <cell r="H4049" t="str">
            <v>10/数车45</v>
          </cell>
          <cell r="I4049" t="str">
            <v>15/线切割</v>
          </cell>
          <cell r="J4049" t="str">
            <v>20/数车30</v>
          </cell>
          <cell r="K4049" t="str">
            <v>25/钳工</v>
          </cell>
          <cell r="L4049" t="str">
            <v>30/热处理</v>
          </cell>
          <cell r="M4049" t="str">
            <v>35/热处理</v>
          </cell>
          <cell r="N4049" t="str">
            <v>40/硬度</v>
          </cell>
          <cell r="O4049" t="str">
            <v>45/钳工</v>
          </cell>
          <cell r="P4049" t="str">
            <v>50/清洁</v>
          </cell>
          <cell r="Q4049" t="str">
            <v>55/成检</v>
          </cell>
        </row>
        <row r="4050">
          <cell r="B4050" t="str">
            <v>521A4260-000-003</v>
          </cell>
          <cell r="D4050" t="str">
            <v>B</v>
          </cell>
          <cell r="E4050" t="str">
            <v>准备工时</v>
          </cell>
          <cell r="G4050">
            <v>60</v>
          </cell>
          <cell r="H4050">
            <v>60</v>
          </cell>
          <cell r="J4050">
            <v>60</v>
          </cell>
        </row>
        <row r="4051">
          <cell r="B4051" t="str">
            <v>521A4260-000-003</v>
          </cell>
          <cell r="D4051" t="str">
            <v>B</v>
          </cell>
          <cell r="E4051" t="str">
            <v>程序时间</v>
          </cell>
          <cell r="G4051">
            <v>10</v>
          </cell>
          <cell r="H4051">
            <v>50</v>
          </cell>
          <cell r="J4051">
            <v>30</v>
          </cell>
          <cell r="K4051">
            <v>35</v>
          </cell>
          <cell r="O4051">
            <v>20</v>
          </cell>
        </row>
        <row r="4052">
          <cell r="B4052" t="str">
            <v>CB229861B-001-001</v>
          </cell>
          <cell r="D4052" t="str">
            <v>B</v>
          </cell>
          <cell r="E4052" t="str">
            <v>工序内容</v>
          </cell>
          <cell r="F4052" t="str">
            <v>0/领料</v>
          </cell>
          <cell r="G4052" t="str">
            <v>05/下料</v>
          </cell>
          <cell r="H4052" t="str">
            <v>10数车</v>
          </cell>
          <cell r="I4052" t="str">
            <v>15数铣10</v>
          </cell>
          <cell r="J4052" t="str">
            <v>20数铣</v>
          </cell>
          <cell r="K4052" t="str">
            <v>25数铣10</v>
          </cell>
          <cell r="L4052" t="str">
            <v>30数铣15</v>
          </cell>
          <cell r="M4052" t="str">
            <v>35线切割</v>
          </cell>
          <cell r="N4052" t="str">
            <v>40钳工</v>
          </cell>
          <cell r="O4052" t="str">
            <v>45清洁</v>
          </cell>
          <cell r="P4052" t="str">
            <v>50成检</v>
          </cell>
        </row>
        <row r="4053">
          <cell r="B4053" t="str">
            <v>CB229861B-001-001</v>
          </cell>
          <cell r="D4053" t="str">
            <v>B</v>
          </cell>
          <cell r="E4053" t="str">
            <v>准备工时</v>
          </cell>
          <cell r="H4053">
            <v>60</v>
          </cell>
          <cell r="I4053">
            <v>60</v>
          </cell>
          <cell r="J4053">
            <v>60</v>
          </cell>
          <cell r="K4053">
            <v>60</v>
          </cell>
          <cell r="L4053">
            <v>60</v>
          </cell>
        </row>
        <row r="4054">
          <cell r="B4054" t="str">
            <v>CB229861B-001-001</v>
          </cell>
          <cell r="D4054" t="str">
            <v>B</v>
          </cell>
          <cell r="E4054" t="str">
            <v>程序时间</v>
          </cell>
          <cell r="G4054">
            <v>15</v>
          </cell>
          <cell r="H4054">
            <v>10</v>
          </cell>
          <cell r="I4054">
            <v>35</v>
          </cell>
          <cell r="J4054">
            <v>15</v>
          </cell>
          <cell r="K4054">
            <v>15</v>
          </cell>
          <cell r="L4054">
            <v>25</v>
          </cell>
          <cell r="N4054">
            <v>25</v>
          </cell>
        </row>
        <row r="4055">
          <cell r="B4055" t="str">
            <v>CB22985H0-002-002</v>
          </cell>
          <cell r="D4055" t="str">
            <v>B</v>
          </cell>
          <cell r="E4055" t="str">
            <v>工序内容</v>
          </cell>
          <cell r="F4055" t="str">
            <v>0/领料</v>
          </cell>
          <cell r="G4055" t="str">
            <v>05/下料</v>
          </cell>
          <cell r="H4055" t="str">
            <v>10数铣</v>
          </cell>
          <cell r="I4055" t="str">
            <v>15数铣20</v>
          </cell>
          <cell r="J4055" t="str">
            <v>20数铣</v>
          </cell>
          <cell r="K4055" t="str">
            <v>25数铣10</v>
          </cell>
          <cell r="L4055" t="str">
            <v>30数铣20</v>
          </cell>
          <cell r="M4055" t="str">
            <v>35/分光</v>
          </cell>
          <cell r="N4055" t="str">
            <v>40硬度</v>
          </cell>
          <cell r="O4055" t="str">
            <v>45数铣7</v>
          </cell>
          <cell r="P4055" t="str">
            <v>50/线切割</v>
          </cell>
          <cell r="Q4055" t="str">
            <v>55/数铣</v>
          </cell>
          <cell r="R4055" t="str">
            <v>60/数铣</v>
          </cell>
          <cell r="S4055" t="str">
            <v>65/数铣</v>
          </cell>
          <cell r="T4055" t="str">
            <v>70/钳工</v>
          </cell>
          <cell r="U4055" t="str">
            <v>75/清洁</v>
          </cell>
          <cell r="V4055" t="str">
            <v>80/成检</v>
          </cell>
        </row>
        <row r="4056">
          <cell r="B4056" t="str">
            <v>CB22985H0-002-002</v>
          </cell>
          <cell r="D4056" t="str">
            <v>B</v>
          </cell>
          <cell r="E4056" t="str">
            <v>准备工时</v>
          </cell>
          <cell r="H4056">
            <v>60</v>
          </cell>
          <cell r="I4056">
            <v>60</v>
          </cell>
          <cell r="J4056">
            <v>60</v>
          </cell>
          <cell r="K4056">
            <v>60</v>
          </cell>
          <cell r="L4056">
            <v>60</v>
          </cell>
          <cell r="O4056">
            <v>60</v>
          </cell>
          <cell r="Q4056">
            <v>60</v>
          </cell>
          <cell r="R4056">
            <v>60</v>
          </cell>
          <cell r="S4056">
            <v>60</v>
          </cell>
        </row>
        <row r="4057">
          <cell r="B4057" t="str">
            <v>CB22985H0-002-002</v>
          </cell>
          <cell r="D4057" t="str">
            <v>B</v>
          </cell>
          <cell r="E4057" t="str">
            <v>程序时间</v>
          </cell>
          <cell r="H4057">
            <v>30</v>
          </cell>
          <cell r="I4057">
            <v>35</v>
          </cell>
          <cell r="J4057">
            <v>15</v>
          </cell>
          <cell r="K4057">
            <v>25</v>
          </cell>
          <cell r="L4057">
            <v>35</v>
          </cell>
          <cell r="O4057">
            <v>15</v>
          </cell>
          <cell r="Q4057">
            <v>15</v>
          </cell>
          <cell r="R4057">
            <v>15</v>
          </cell>
          <cell r="S4057">
            <v>25</v>
          </cell>
          <cell r="T4057">
            <v>40</v>
          </cell>
        </row>
        <row r="4058">
          <cell r="B4058" t="str">
            <v>DD-J10-55181-2540-1</v>
          </cell>
          <cell r="D4058" t="str">
            <v>E</v>
          </cell>
          <cell r="E4058" t="str">
            <v>工序内容</v>
          </cell>
          <cell r="F4058" t="str">
            <v>0/领料</v>
          </cell>
          <cell r="G4058" t="str">
            <v>5/数车60</v>
          </cell>
          <cell r="H4058" t="str">
            <v>10/数车60</v>
          </cell>
          <cell r="I4058" t="str">
            <v>15/数车5</v>
          </cell>
          <cell r="J4058" t="str">
            <v>20/数车20</v>
          </cell>
          <cell r="K4058" t="str">
            <v>25/数车5</v>
          </cell>
          <cell r="L4058" t="str">
            <v>30/钳工</v>
          </cell>
          <cell r="M4058" t="str">
            <v>35/钳工</v>
          </cell>
          <cell r="N4058" t="str">
            <v>40/清洁</v>
          </cell>
          <cell r="O4058" t="str">
            <v>45/成检</v>
          </cell>
        </row>
        <row r="4059">
          <cell r="B4059" t="str">
            <v>DD-J10-55181-2540-1</v>
          </cell>
          <cell r="D4059" t="str">
            <v>E</v>
          </cell>
          <cell r="E4059" t="str">
            <v>准备工时</v>
          </cell>
          <cell r="G4059">
            <v>90</v>
          </cell>
          <cell r="H4059">
            <v>90</v>
          </cell>
          <cell r="I4059">
            <v>90</v>
          </cell>
          <cell r="J4059">
            <v>90</v>
          </cell>
          <cell r="K4059">
            <v>60</v>
          </cell>
        </row>
        <row r="4060">
          <cell r="B4060" t="str">
            <v>DD-J10-55181-2540-1</v>
          </cell>
          <cell r="D4060" t="str">
            <v>E</v>
          </cell>
          <cell r="E4060" t="str">
            <v>程序时间</v>
          </cell>
          <cell r="G4060">
            <v>75</v>
          </cell>
          <cell r="H4060">
            <v>75</v>
          </cell>
          <cell r="I4060">
            <v>10</v>
          </cell>
          <cell r="J4060">
            <v>35</v>
          </cell>
          <cell r="K4060">
            <v>15</v>
          </cell>
          <cell r="L4060">
            <v>35</v>
          </cell>
          <cell r="M4060">
            <v>15</v>
          </cell>
        </row>
        <row r="4061">
          <cell r="B4061" t="str">
            <v>C533114600-004L001</v>
          </cell>
          <cell r="D4061" t="str">
            <v>A</v>
          </cell>
          <cell r="E4061" t="str">
            <v>工序内容</v>
          </cell>
          <cell r="F4061" t="str">
            <v>0领料</v>
          </cell>
          <cell r="G4061" t="str">
            <v>05数铣</v>
          </cell>
          <cell r="H4061" t="str">
            <v>10数铣30</v>
          </cell>
          <cell r="I4061" t="str">
            <v>15数铣120</v>
          </cell>
          <cell r="J4061" t="str">
            <v>20数铣100</v>
          </cell>
          <cell r="K4061" t="str">
            <v>25五轴320</v>
          </cell>
          <cell r="L4061" t="str">
            <v>30钳工</v>
          </cell>
          <cell r="M4061" t="str">
            <v>32测量</v>
          </cell>
          <cell r="N4061" t="str">
            <v>35清洁</v>
          </cell>
          <cell r="O4061" t="str">
            <v>40成检</v>
          </cell>
        </row>
        <row r="4062">
          <cell r="B4062" t="str">
            <v>C533114600-004L001</v>
          </cell>
          <cell r="D4062" t="str">
            <v>A</v>
          </cell>
          <cell r="E4062" t="str">
            <v>准备工时</v>
          </cell>
          <cell r="G4062">
            <v>60</v>
          </cell>
          <cell r="H4062">
            <v>60</v>
          </cell>
          <cell r="I4062">
            <v>60</v>
          </cell>
          <cell r="J4062">
            <v>120</v>
          </cell>
          <cell r="K4062">
            <v>120</v>
          </cell>
        </row>
        <row r="4063">
          <cell r="B4063" t="str">
            <v>C533114600-004L001</v>
          </cell>
          <cell r="D4063" t="str">
            <v>A</v>
          </cell>
          <cell r="E4063" t="str">
            <v>装夹时间</v>
          </cell>
          <cell r="K4063">
            <v>60</v>
          </cell>
        </row>
        <row r="4064">
          <cell r="B4064" t="str">
            <v>C533114600-004L001</v>
          </cell>
          <cell r="D4064" t="str">
            <v>A</v>
          </cell>
          <cell r="E4064" t="str">
            <v>程序时间</v>
          </cell>
          <cell r="G4064">
            <v>50</v>
          </cell>
          <cell r="H4064">
            <v>70</v>
          </cell>
          <cell r="I4064">
            <v>180</v>
          </cell>
          <cell r="J4064">
            <v>150</v>
          </cell>
          <cell r="K4064">
            <v>660</v>
          </cell>
          <cell r="L4064">
            <v>150</v>
          </cell>
        </row>
        <row r="4065">
          <cell r="B4065" t="str">
            <v>C533114600-004R001</v>
          </cell>
          <cell r="D4065" t="str">
            <v>A</v>
          </cell>
          <cell r="E4065" t="str">
            <v>工序内容</v>
          </cell>
          <cell r="F4065" t="str">
            <v>0领料</v>
          </cell>
          <cell r="G4065" t="str">
            <v>05数铣</v>
          </cell>
          <cell r="H4065" t="str">
            <v>10数铣30</v>
          </cell>
          <cell r="I4065" t="str">
            <v>15数铣120</v>
          </cell>
          <cell r="J4065" t="str">
            <v>20数铣100</v>
          </cell>
          <cell r="K4065" t="str">
            <v>25五轴320</v>
          </cell>
          <cell r="L4065" t="str">
            <v>30钳工</v>
          </cell>
          <cell r="M4065" t="str">
            <v>32测量</v>
          </cell>
          <cell r="N4065" t="str">
            <v>35清洁</v>
          </cell>
          <cell r="O4065" t="str">
            <v>40成检</v>
          </cell>
        </row>
        <row r="4066">
          <cell r="B4066" t="str">
            <v>C533114600-004R001</v>
          </cell>
          <cell r="D4066" t="str">
            <v>A</v>
          </cell>
          <cell r="E4066" t="str">
            <v>准备工时</v>
          </cell>
          <cell r="G4066">
            <v>60</v>
          </cell>
          <cell r="H4066">
            <v>60</v>
          </cell>
          <cell r="I4066">
            <v>60</v>
          </cell>
          <cell r="J4066">
            <v>120</v>
          </cell>
          <cell r="K4066">
            <v>120</v>
          </cell>
        </row>
        <row r="4067">
          <cell r="B4067" t="str">
            <v>C533114600-004R001</v>
          </cell>
          <cell r="D4067" t="str">
            <v>A</v>
          </cell>
          <cell r="E4067" t="str">
            <v>装夹时间</v>
          </cell>
          <cell r="K4067">
            <v>60</v>
          </cell>
        </row>
        <row r="4068">
          <cell r="B4068" t="str">
            <v>C533114600-004R001</v>
          </cell>
          <cell r="D4068" t="str">
            <v>A</v>
          </cell>
          <cell r="E4068" t="str">
            <v>程序时间</v>
          </cell>
          <cell r="G4068">
            <v>50</v>
          </cell>
          <cell r="H4068">
            <v>70</v>
          </cell>
          <cell r="I4068">
            <v>180</v>
          </cell>
          <cell r="J4068">
            <v>150</v>
          </cell>
          <cell r="K4068">
            <v>660</v>
          </cell>
          <cell r="L4068">
            <v>150</v>
          </cell>
        </row>
        <row r="4069">
          <cell r="B4069" t="str">
            <v>CB2280211-010-001</v>
          </cell>
          <cell r="D4069" t="str">
            <v>B</v>
          </cell>
          <cell r="E4069" t="str">
            <v>工序内容</v>
          </cell>
          <cell r="F4069" t="str">
            <v>0/领料</v>
          </cell>
          <cell r="G4069" t="str">
            <v>5/下料</v>
          </cell>
          <cell r="H4069" t="str">
            <v>10/数车15</v>
          </cell>
          <cell r="I4069" t="str">
            <v>15/数车30</v>
          </cell>
          <cell r="J4069" t="str">
            <v>20/分光</v>
          </cell>
          <cell r="K4069" t="str">
            <v>25硬度</v>
          </cell>
          <cell r="L4069" t="str">
            <v>30/车铣40</v>
          </cell>
          <cell r="M4069" t="str">
            <v>35/钳工</v>
          </cell>
          <cell r="N4069" t="str">
            <v>40/清洁</v>
          </cell>
          <cell r="O4069" t="str">
            <v>45/成检</v>
          </cell>
        </row>
        <row r="4070">
          <cell r="B4070" t="str">
            <v>CB2280211-010-001</v>
          </cell>
          <cell r="D4070" t="str">
            <v>B</v>
          </cell>
          <cell r="E4070" t="str">
            <v>准备工时</v>
          </cell>
          <cell r="H4070">
            <v>90</v>
          </cell>
          <cell r="I4070">
            <v>90</v>
          </cell>
          <cell r="L4070">
            <v>120</v>
          </cell>
        </row>
        <row r="4071">
          <cell r="B4071" t="str">
            <v>CB2280211-010-001</v>
          </cell>
          <cell r="D4071" t="str">
            <v>B</v>
          </cell>
          <cell r="E4071" t="str">
            <v>程序时间</v>
          </cell>
          <cell r="H4071">
            <v>25</v>
          </cell>
          <cell r="I4071">
            <v>40</v>
          </cell>
          <cell r="L4071">
            <v>45</v>
          </cell>
          <cell r="M4071">
            <v>30</v>
          </cell>
        </row>
        <row r="4072">
          <cell r="B4072" t="str">
            <v>CB5327500-003-001</v>
          </cell>
          <cell r="D4072" t="str">
            <v>D</v>
          </cell>
          <cell r="E4072" t="str">
            <v>工序内容</v>
          </cell>
          <cell r="F4072" t="str">
            <v>0/领料</v>
          </cell>
          <cell r="G4072" t="str">
            <v>05/钳工</v>
          </cell>
          <cell r="H4072" t="str">
            <v>10/分光</v>
          </cell>
          <cell r="I4072" t="str">
            <v>15/钳吊牌</v>
          </cell>
          <cell r="J4072" t="str">
            <v>20/热处理</v>
          </cell>
          <cell r="K4072" t="str">
            <v>25/车铣45</v>
          </cell>
          <cell r="L4072" t="str">
            <v>30/数车5</v>
          </cell>
          <cell r="M4072" t="str">
            <v>35/数车30</v>
          </cell>
          <cell r="N4072" t="str">
            <v>40无</v>
          </cell>
          <cell r="O4072" t="str">
            <v>45/钳工</v>
          </cell>
          <cell r="P4072" t="str">
            <v>50/清洁</v>
          </cell>
          <cell r="Q4072" t="str">
            <v>55/成检</v>
          </cell>
        </row>
        <row r="4073">
          <cell r="B4073" t="str">
            <v>CB5327500-003-001</v>
          </cell>
          <cell r="D4073" t="str">
            <v>D</v>
          </cell>
          <cell r="E4073" t="str">
            <v>准备工时</v>
          </cell>
          <cell r="K4073">
            <v>120</v>
          </cell>
          <cell r="L4073">
            <v>60</v>
          </cell>
          <cell r="M4073">
            <v>90</v>
          </cell>
        </row>
        <row r="4074">
          <cell r="B4074" t="str">
            <v>CB5327500-003-001</v>
          </cell>
          <cell r="D4074" t="str">
            <v>D</v>
          </cell>
          <cell r="E4074" t="str">
            <v>程序时间</v>
          </cell>
          <cell r="G4074" t="str">
            <v>10分钟/根</v>
          </cell>
          <cell r="I4074">
            <v>4</v>
          </cell>
          <cell r="K4074">
            <v>60</v>
          </cell>
          <cell r="L4074">
            <v>10</v>
          </cell>
          <cell r="M4074">
            <v>40</v>
          </cell>
          <cell r="O4074">
            <v>20</v>
          </cell>
        </row>
        <row r="4075">
          <cell r="B4075" t="str">
            <v>Y20-5318210003-001</v>
          </cell>
          <cell r="D4075" t="str">
            <v>C</v>
          </cell>
          <cell r="E4075" t="str">
            <v>工序内容</v>
          </cell>
          <cell r="F4075" t="str">
            <v>0/领料</v>
          </cell>
          <cell r="G4075" t="str">
            <v>5/数车60</v>
          </cell>
          <cell r="H4075" t="str">
            <v>10/数车10</v>
          </cell>
          <cell r="I4075" t="str">
            <v>15/钳工</v>
          </cell>
          <cell r="J4075" t="str">
            <v>20/清洁</v>
          </cell>
          <cell r="K4075" t="str">
            <v>25/成检</v>
          </cell>
        </row>
        <row r="4076">
          <cell r="B4076" t="str">
            <v>Y20-5318210003-001</v>
          </cell>
          <cell r="D4076" t="str">
            <v>C</v>
          </cell>
          <cell r="E4076" t="str">
            <v>准备工时</v>
          </cell>
          <cell r="G4076">
            <v>120</v>
          </cell>
          <cell r="H4076">
            <v>60</v>
          </cell>
        </row>
        <row r="4077">
          <cell r="B4077" t="str">
            <v>Y20-5318210003-001</v>
          </cell>
          <cell r="D4077" t="str">
            <v>C</v>
          </cell>
          <cell r="E4077" t="str">
            <v>程序时间</v>
          </cell>
          <cell r="G4077">
            <v>180</v>
          </cell>
          <cell r="H4077">
            <v>20</v>
          </cell>
          <cell r="I4077">
            <v>40</v>
          </cell>
        </row>
        <row r="4078">
          <cell r="B4078" t="str">
            <v>Y20-5318210003-002</v>
          </cell>
          <cell r="D4078" t="str">
            <v>C</v>
          </cell>
          <cell r="E4078" t="str">
            <v>工序内容</v>
          </cell>
          <cell r="F4078" t="str">
            <v>0/领料</v>
          </cell>
          <cell r="G4078" t="str">
            <v>5/数车60</v>
          </cell>
          <cell r="H4078" t="str">
            <v>10/数车10</v>
          </cell>
          <cell r="I4078" t="str">
            <v>15/钳工</v>
          </cell>
          <cell r="J4078" t="str">
            <v>20/清洁</v>
          </cell>
          <cell r="K4078" t="str">
            <v>25/成检</v>
          </cell>
        </row>
        <row r="4079">
          <cell r="B4079" t="str">
            <v>Y20-5318210003-002</v>
          </cell>
          <cell r="D4079" t="str">
            <v>C</v>
          </cell>
          <cell r="E4079" t="str">
            <v>准备工时</v>
          </cell>
          <cell r="G4079">
            <v>120</v>
          </cell>
          <cell r="H4079">
            <v>60</v>
          </cell>
        </row>
        <row r="4080">
          <cell r="B4080" t="str">
            <v>Y20-5318210003-002</v>
          </cell>
          <cell r="D4080" t="str">
            <v>C</v>
          </cell>
          <cell r="E4080" t="str">
            <v>程序时间</v>
          </cell>
          <cell r="G4080">
            <v>180</v>
          </cell>
          <cell r="H4080">
            <v>20</v>
          </cell>
          <cell r="I4080">
            <v>40</v>
          </cell>
        </row>
        <row r="4081">
          <cell r="B4081" t="str">
            <v>Y20-5318200003-001</v>
          </cell>
          <cell r="D4081" t="str">
            <v>C</v>
          </cell>
          <cell r="E4081" t="str">
            <v>工序内容</v>
          </cell>
          <cell r="F4081" t="str">
            <v>0/领料</v>
          </cell>
          <cell r="G4081" t="str">
            <v>5/数车55</v>
          </cell>
          <cell r="H4081" t="str">
            <v>10/数车5</v>
          </cell>
          <cell r="I4081" t="str">
            <v>15/钳工</v>
          </cell>
          <cell r="J4081" t="str">
            <v>20/清洁</v>
          </cell>
          <cell r="K4081" t="str">
            <v>25/成检</v>
          </cell>
        </row>
        <row r="4082">
          <cell r="B4082" t="str">
            <v>Y20-5318200003-001</v>
          </cell>
          <cell r="D4082" t="str">
            <v>C</v>
          </cell>
          <cell r="E4082" t="str">
            <v>准备工时</v>
          </cell>
          <cell r="G4082">
            <v>120</v>
          </cell>
          <cell r="H4082">
            <v>60</v>
          </cell>
        </row>
        <row r="4083">
          <cell r="B4083" t="str">
            <v>Y20-5318200003-001</v>
          </cell>
          <cell r="D4083" t="str">
            <v>C</v>
          </cell>
          <cell r="E4083" t="str">
            <v>程序时间</v>
          </cell>
          <cell r="G4083">
            <v>180</v>
          </cell>
          <cell r="H4083">
            <v>20</v>
          </cell>
          <cell r="I4083">
            <v>40</v>
          </cell>
        </row>
        <row r="4084">
          <cell r="B4084" t="str">
            <v>Y20-5318200003-001</v>
          </cell>
          <cell r="D4084" t="str">
            <v>C</v>
          </cell>
          <cell r="E4084" t="str">
            <v>工序内容</v>
          </cell>
          <cell r="F4084" t="str">
            <v>0/领料</v>
          </cell>
          <cell r="G4084" t="str">
            <v>5/数车55</v>
          </cell>
          <cell r="H4084" t="str">
            <v>10/数车5</v>
          </cell>
          <cell r="I4084" t="str">
            <v>15/钳工</v>
          </cell>
          <cell r="J4084" t="str">
            <v>20/清洁</v>
          </cell>
          <cell r="K4084" t="str">
            <v>25/成检</v>
          </cell>
        </row>
        <row r="4085">
          <cell r="B4085" t="str">
            <v>Y20-5318200003-001</v>
          </cell>
          <cell r="D4085" t="str">
            <v>C</v>
          </cell>
          <cell r="E4085" t="str">
            <v>准备工时</v>
          </cell>
          <cell r="G4085">
            <v>120</v>
          </cell>
          <cell r="H4085">
            <v>60</v>
          </cell>
        </row>
        <row r="4086">
          <cell r="B4086" t="str">
            <v>Y20-5318200003-001</v>
          </cell>
          <cell r="D4086" t="str">
            <v>C</v>
          </cell>
          <cell r="E4086" t="str">
            <v>程序时间</v>
          </cell>
          <cell r="G4086">
            <v>180</v>
          </cell>
          <cell r="H4086">
            <v>20</v>
          </cell>
          <cell r="I4086">
            <v>40</v>
          </cell>
        </row>
        <row r="4087">
          <cell r="B4087" t="str">
            <v>DD-J10B-02041-304</v>
          </cell>
          <cell r="D4087" t="str">
            <v>A</v>
          </cell>
          <cell r="E4087" t="str">
            <v>工序内容</v>
          </cell>
          <cell r="F4087" t="str">
            <v>0/领料</v>
          </cell>
          <cell r="G4087" t="str">
            <v>5/下料</v>
          </cell>
          <cell r="H4087" t="str">
            <v>10/数铣15</v>
          </cell>
          <cell r="I4087" t="str">
            <v>15/数铣20</v>
          </cell>
          <cell r="J4087" t="str">
            <v>20/数铣35</v>
          </cell>
          <cell r="K4087" t="str">
            <v>25/数铣30</v>
          </cell>
          <cell r="L4087" t="str">
            <v>30/数铣</v>
          </cell>
          <cell r="M4087" t="str">
            <v>35/钳工</v>
          </cell>
          <cell r="N4087" t="str">
            <v>40/测量</v>
          </cell>
          <cell r="O4087" t="str">
            <v>45/清洁</v>
          </cell>
          <cell r="P4087" t="str">
            <v>50/成检</v>
          </cell>
        </row>
        <row r="4088">
          <cell r="B4088" t="str">
            <v>DD-J10B-02041-304</v>
          </cell>
          <cell r="D4088" t="str">
            <v>A</v>
          </cell>
          <cell r="E4088" t="str">
            <v>准备工时</v>
          </cell>
          <cell r="H4088">
            <v>90</v>
          </cell>
          <cell r="I4088">
            <v>60</v>
          </cell>
          <cell r="J4088">
            <v>60</v>
          </cell>
          <cell r="K4088">
            <v>60</v>
          </cell>
          <cell r="L4088">
            <v>60</v>
          </cell>
        </row>
        <row r="4089">
          <cell r="B4089" t="str">
            <v>DD-J10B-02041-304</v>
          </cell>
          <cell r="D4089" t="str">
            <v>A</v>
          </cell>
          <cell r="E4089" t="str">
            <v>程序时间</v>
          </cell>
          <cell r="G4089">
            <v>15</v>
          </cell>
          <cell r="H4089">
            <v>30</v>
          </cell>
          <cell r="I4089">
            <v>40</v>
          </cell>
          <cell r="J4089">
            <v>55</v>
          </cell>
          <cell r="K4089">
            <v>55</v>
          </cell>
          <cell r="L4089">
            <v>30</v>
          </cell>
          <cell r="M4089">
            <v>40</v>
          </cell>
        </row>
        <row r="4090">
          <cell r="B4090" t="str">
            <v>DD-J10-91001-1</v>
          </cell>
          <cell r="D4090" t="str">
            <v>G</v>
          </cell>
          <cell r="E4090" t="str">
            <v>工序内容</v>
          </cell>
          <cell r="F4090" t="str">
            <v>0/领料</v>
          </cell>
          <cell r="G4090" t="str">
            <v>05/数铣</v>
          </cell>
          <cell r="H4090" t="str">
            <v>10/数铣70</v>
          </cell>
          <cell r="I4090" t="str">
            <v>15/数铣20</v>
          </cell>
          <cell r="J4090" t="str">
            <v>20/数铣2</v>
          </cell>
          <cell r="K4090" t="str">
            <v>25/线切割</v>
          </cell>
          <cell r="L4090" t="str">
            <v>30/钳工</v>
          </cell>
          <cell r="M4090" t="str">
            <v>35/热处理</v>
          </cell>
          <cell r="N4090" t="str">
            <v>40/检验</v>
          </cell>
          <cell r="O4090" t="str">
            <v>45/钳校形</v>
          </cell>
          <cell r="P4090" t="str">
            <v>50/数铣5</v>
          </cell>
          <cell r="Q4090" t="str">
            <v>55/钳工</v>
          </cell>
          <cell r="R4090" t="str">
            <v>60/清洁</v>
          </cell>
          <cell r="S4090" t="str">
            <v>65/成检</v>
          </cell>
        </row>
        <row r="4091">
          <cell r="B4091" t="str">
            <v>DD-J10-91001-1</v>
          </cell>
          <cell r="D4091" t="str">
            <v>G</v>
          </cell>
          <cell r="E4091" t="str">
            <v>准备工时</v>
          </cell>
          <cell r="G4091">
            <v>60</v>
          </cell>
          <cell r="H4091">
            <v>60</v>
          </cell>
          <cell r="I4091">
            <v>60</v>
          </cell>
          <cell r="J4091">
            <v>90</v>
          </cell>
          <cell r="P4091">
            <v>90</v>
          </cell>
        </row>
        <row r="4092">
          <cell r="B4092" t="str">
            <v>DD-J10-91001-1</v>
          </cell>
          <cell r="D4092" t="str">
            <v>G</v>
          </cell>
          <cell r="E4092" t="str">
            <v>程序时间</v>
          </cell>
          <cell r="G4092">
            <v>60</v>
          </cell>
          <cell r="H4092">
            <v>120</v>
          </cell>
          <cell r="I4092">
            <v>50</v>
          </cell>
          <cell r="J4092">
            <v>20</v>
          </cell>
          <cell r="L4092">
            <v>30</v>
          </cell>
          <cell r="O4092">
            <v>30</v>
          </cell>
          <cell r="P4092">
            <v>30</v>
          </cell>
          <cell r="Q4092">
            <v>50</v>
          </cell>
        </row>
        <row r="4093">
          <cell r="B4093" t="str">
            <v>CB5350500-016L006</v>
          </cell>
          <cell r="D4093" t="str">
            <v>C</v>
          </cell>
          <cell r="E4093" t="str">
            <v>工序内容</v>
          </cell>
          <cell r="F4093" t="str">
            <v>0/领料</v>
          </cell>
          <cell r="G4093" t="str">
            <v>05/数铣</v>
          </cell>
          <cell r="H4093" t="str">
            <v>10/数铣30</v>
          </cell>
          <cell r="I4093" t="str">
            <v>15/数铣10</v>
          </cell>
          <cell r="J4093" t="str">
            <v>20/数铣100</v>
          </cell>
          <cell r="K4093" t="str">
            <v>25/数铣60</v>
          </cell>
          <cell r="L4093" t="str">
            <v>30/钳工</v>
          </cell>
          <cell r="M4093" t="str">
            <v>35/清洁</v>
          </cell>
          <cell r="N4093" t="str">
            <v>40/检验</v>
          </cell>
          <cell r="O4093" t="str">
            <v>45/分光</v>
          </cell>
          <cell r="P4093" t="str">
            <v>50/硬度</v>
          </cell>
          <cell r="Q4093" t="str">
            <v>55/钳工</v>
          </cell>
          <cell r="R4093" t="str">
            <v>60/清洁</v>
          </cell>
          <cell r="S4093" t="str">
            <v>65/成检</v>
          </cell>
        </row>
        <row r="4094">
          <cell r="B4094" t="str">
            <v>CB5350500-016L006</v>
          </cell>
          <cell r="D4094" t="str">
            <v>C</v>
          </cell>
          <cell r="E4094" t="str">
            <v>准备工时</v>
          </cell>
          <cell r="G4094">
            <v>60</v>
          </cell>
          <cell r="H4094">
            <v>60</v>
          </cell>
          <cell r="I4094">
            <v>90</v>
          </cell>
          <cell r="J4094">
            <v>60</v>
          </cell>
          <cell r="K4094">
            <v>60</v>
          </cell>
        </row>
        <row r="4095">
          <cell r="B4095" t="str">
            <v>CB5350500-016L006</v>
          </cell>
          <cell r="D4095" t="str">
            <v>C</v>
          </cell>
          <cell r="E4095" t="str">
            <v>程序时间</v>
          </cell>
          <cell r="G4095">
            <v>40</v>
          </cell>
          <cell r="H4095">
            <v>50</v>
          </cell>
          <cell r="I4095">
            <v>25</v>
          </cell>
          <cell r="J4095">
            <v>150</v>
          </cell>
          <cell r="K4095">
            <v>100</v>
          </cell>
          <cell r="L4095">
            <v>50</v>
          </cell>
          <cell r="Q4095">
            <v>10</v>
          </cell>
        </row>
        <row r="4096">
          <cell r="B4096" t="str">
            <v>CB5350500-016R006</v>
          </cell>
          <cell r="D4096" t="str">
            <v>C</v>
          </cell>
          <cell r="E4096" t="str">
            <v>工序内容</v>
          </cell>
          <cell r="F4096" t="str">
            <v>0/领料</v>
          </cell>
          <cell r="G4096" t="str">
            <v>05/数铣</v>
          </cell>
          <cell r="H4096" t="str">
            <v>10/数铣30</v>
          </cell>
          <cell r="I4096" t="str">
            <v>15/数铣10</v>
          </cell>
          <cell r="J4096" t="str">
            <v>20/数铣100</v>
          </cell>
          <cell r="K4096" t="str">
            <v>25/数铣60</v>
          </cell>
          <cell r="L4096" t="str">
            <v>30/钳工</v>
          </cell>
          <cell r="M4096" t="str">
            <v>35/清洁</v>
          </cell>
          <cell r="N4096" t="str">
            <v>40/检验</v>
          </cell>
          <cell r="O4096" t="str">
            <v>45/分光</v>
          </cell>
          <cell r="P4096" t="str">
            <v>50/硬度</v>
          </cell>
          <cell r="Q4096" t="str">
            <v>55/钳工</v>
          </cell>
          <cell r="R4096" t="str">
            <v>60/清洁</v>
          </cell>
          <cell r="S4096" t="str">
            <v>65/成检</v>
          </cell>
        </row>
        <row r="4097">
          <cell r="B4097" t="str">
            <v>CB5350500-016R006</v>
          </cell>
          <cell r="D4097" t="str">
            <v>C</v>
          </cell>
          <cell r="E4097" t="str">
            <v>准备工时</v>
          </cell>
          <cell r="G4097">
            <v>60</v>
          </cell>
          <cell r="H4097">
            <v>60</v>
          </cell>
          <cell r="I4097">
            <v>90</v>
          </cell>
          <cell r="J4097">
            <v>60</v>
          </cell>
          <cell r="K4097">
            <v>60</v>
          </cell>
        </row>
        <row r="4098">
          <cell r="B4098" t="str">
            <v>CB5350500-016R006</v>
          </cell>
          <cell r="D4098" t="str">
            <v>C</v>
          </cell>
          <cell r="E4098" t="str">
            <v>程序时间</v>
          </cell>
          <cell r="G4098">
            <v>40</v>
          </cell>
          <cell r="H4098">
            <v>50</v>
          </cell>
          <cell r="I4098">
            <v>25</v>
          </cell>
          <cell r="J4098">
            <v>150</v>
          </cell>
          <cell r="K4098">
            <v>100</v>
          </cell>
          <cell r="L4098">
            <v>50</v>
          </cell>
          <cell r="Q4098">
            <v>10</v>
          </cell>
        </row>
        <row r="4099">
          <cell r="B4099" t="str">
            <v>CB5323120-001L002</v>
          </cell>
          <cell r="D4099" t="str">
            <v>E</v>
          </cell>
          <cell r="E4099" t="str">
            <v>工序内容</v>
          </cell>
          <cell r="F4099" t="str">
            <v>0/领料</v>
          </cell>
          <cell r="G4099" t="str">
            <v>5/数铣</v>
          </cell>
          <cell r="H4099" t="str">
            <v>10/数铣70</v>
          </cell>
          <cell r="I4099" t="str">
            <v>15/数铣30</v>
          </cell>
          <cell r="J4099" t="str">
            <v>20/数铣180</v>
          </cell>
          <cell r="K4099" t="str">
            <v>25/数铣600</v>
          </cell>
          <cell r="L4099" t="str">
            <v>30/数铣520</v>
          </cell>
          <cell r="M4099" t="str">
            <v>35/数铣520</v>
          </cell>
          <cell r="N4099" t="str">
            <v>40/五轴170</v>
          </cell>
          <cell r="O4099" t="str">
            <v>45/五轴75</v>
          </cell>
          <cell r="P4099" t="str">
            <v>50/测量</v>
          </cell>
          <cell r="Q4099" t="str">
            <v>55/钳工</v>
          </cell>
          <cell r="R4099" t="str">
            <v>60/清洁</v>
          </cell>
          <cell r="S4099" t="str">
            <v>65/检验</v>
          </cell>
          <cell r="T4099" t="str">
            <v>70/返厂</v>
          </cell>
          <cell r="U4099" t="str">
            <v>75/钳工</v>
          </cell>
          <cell r="V4099" t="str">
            <v>80/成检</v>
          </cell>
          <cell r="Y4099" t="str">
            <v>80/成检</v>
          </cell>
        </row>
        <row r="4100">
          <cell r="B4100" t="str">
            <v>CB5323120-001L002</v>
          </cell>
          <cell r="D4100" t="str">
            <v>E</v>
          </cell>
          <cell r="E4100" t="str">
            <v>准备工时</v>
          </cell>
          <cell r="G4100">
            <v>60</v>
          </cell>
          <cell r="H4100">
            <v>90</v>
          </cell>
          <cell r="I4100">
            <v>90</v>
          </cell>
          <cell r="J4100">
            <v>90</v>
          </cell>
          <cell r="K4100">
            <v>120</v>
          </cell>
          <cell r="L4100">
            <v>120</v>
          </cell>
          <cell r="M4100">
            <v>90</v>
          </cell>
          <cell r="N4100">
            <v>150</v>
          </cell>
          <cell r="O4100">
            <v>150</v>
          </cell>
        </row>
        <row r="4101">
          <cell r="B4101" t="str">
            <v>CB5323120-001L002</v>
          </cell>
          <cell r="D4101" t="str">
            <v>E</v>
          </cell>
          <cell r="E4101" t="str">
            <v>装夹时间</v>
          </cell>
          <cell r="N4101">
            <v>60</v>
          </cell>
          <cell r="O4101">
            <v>60</v>
          </cell>
        </row>
        <row r="4102">
          <cell r="B4102" t="str">
            <v>CB5323120-001L002</v>
          </cell>
          <cell r="D4102" t="str">
            <v>E</v>
          </cell>
          <cell r="E4102" t="str">
            <v>程序时间</v>
          </cell>
          <cell r="G4102">
            <v>80</v>
          </cell>
          <cell r="H4102">
            <v>100</v>
          </cell>
          <cell r="I4102">
            <v>75</v>
          </cell>
          <cell r="J4102">
            <v>220</v>
          </cell>
          <cell r="K4102">
            <v>900</v>
          </cell>
          <cell r="L4102">
            <v>490</v>
          </cell>
          <cell r="M4102">
            <v>750</v>
          </cell>
          <cell r="N4102">
            <v>540</v>
          </cell>
          <cell r="O4102">
            <v>180</v>
          </cell>
          <cell r="Q4102">
            <v>180</v>
          </cell>
          <cell r="U4102">
            <v>5</v>
          </cell>
        </row>
        <row r="4103">
          <cell r="B4103" t="str">
            <v>CB5323120-001R005</v>
          </cell>
          <cell r="D4103" t="str">
            <v>E</v>
          </cell>
          <cell r="E4103" t="str">
            <v>工序内容</v>
          </cell>
          <cell r="F4103" t="str">
            <v>0/领料</v>
          </cell>
          <cell r="G4103" t="str">
            <v>5/数铣</v>
          </cell>
          <cell r="H4103" t="str">
            <v>10/数铣70</v>
          </cell>
          <cell r="I4103" t="str">
            <v>15/数铣30</v>
          </cell>
          <cell r="J4103" t="str">
            <v>20/数铣180</v>
          </cell>
          <cell r="K4103" t="str">
            <v>25/数铣600</v>
          </cell>
          <cell r="L4103" t="str">
            <v>30/数铣520</v>
          </cell>
          <cell r="M4103" t="str">
            <v>35/数铣520</v>
          </cell>
          <cell r="N4103" t="str">
            <v>40/五轴170</v>
          </cell>
          <cell r="O4103" t="str">
            <v>45/五轴75</v>
          </cell>
          <cell r="P4103" t="str">
            <v>50/测量</v>
          </cell>
          <cell r="Q4103" t="str">
            <v>55/钳工</v>
          </cell>
          <cell r="R4103" t="str">
            <v>60/清洁</v>
          </cell>
          <cell r="S4103" t="str">
            <v>65/检验</v>
          </cell>
          <cell r="T4103" t="str">
            <v>70/返厂</v>
          </cell>
          <cell r="U4103" t="str">
            <v>75/钳工</v>
          </cell>
          <cell r="V4103" t="str">
            <v>80/成检</v>
          </cell>
          <cell r="Y4103" t="str">
            <v>80/成检</v>
          </cell>
        </row>
        <row r="4104">
          <cell r="B4104" t="str">
            <v>CB5323120-001R005</v>
          </cell>
          <cell r="D4104" t="str">
            <v>E</v>
          </cell>
          <cell r="E4104" t="str">
            <v>准备工时</v>
          </cell>
          <cell r="G4104">
            <v>60</v>
          </cell>
          <cell r="H4104">
            <v>90</v>
          </cell>
          <cell r="I4104">
            <v>90</v>
          </cell>
          <cell r="J4104">
            <v>90</v>
          </cell>
          <cell r="K4104">
            <v>120</v>
          </cell>
          <cell r="L4104">
            <v>120</v>
          </cell>
          <cell r="M4104">
            <v>90</v>
          </cell>
          <cell r="N4104">
            <v>150</v>
          </cell>
          <cell r="O4104">
            <v>150</v>
          </cell>
        </row>
        <row r="4105">
          <cell r="B4105" t="str">
            <v>CB5323120-001R005</v>
          </cell>
          <cell r="D4105" t="str">
            <v>E</v>
          </cell>
          <cell r="E4105" t="str">
            <v>装夹时间</v>
          </cell>
          <cell r="N4105">
            <v>60</v>
          </cell>
          <cell r="O4105">
            <v>60</v>
          </cell>
        </row>
        <row r="4106">
          <cell r="B4106" t="str">
            <v>CB5323120-001R005</v>
          </cell>
          <cell r="D4106" t="str">
            <v>E</v>
          </cell>
          <cell r="E4106" t="str">
            <v>程序时间</v>
          </cell>
          <cell r="G4106">
            <v>80</v>
          </cell>
          <cell r="H4106">
            <v>100</v>
          </cell>
          <cell r="I4106">
            <v>75</v>
          </cell>
          <cell r="J4106">
            <v>220</v>
          </cell>
          <cell r="K4106">
            <v>900</v>
          </cell>
          <cell r="L4106">
            <v>490</v>
          </cell>
          <cell r="M4106">
            <v>750</v>
          </cell>
          <cell r="N4106">
            <v>540</v>
          </cell>
          <cell r="O4106">
            <v>180</v>
          </cell>
          <cell r="Q4106">
            <v>180</v>
          </cell>
          <cell r="U4106">
            <v>5</v>
          </cell>
        </row>
        <row r="4107">
          <cell r="B4107" t="str">
            <v>CB5324320-007L/R006</v>
          </cell>
          <cell r="E4107" t="str">
            <v>G版</v>
          </cell>
          <cell r="F4107" t="str">
            <v>0/领料</v>
          </cell>
          <cell r="G4107" t="str">
            <v>5/钳工</v>
          </cell>
          <cell r="H4107" t="str">
            <v>10/数铣</v>
          </cell>
          <cell r="I4107" t="str">
            <v>15/数铣45</v>
          </cell>
          <cell r="J4107" t="str">
            <v>20/数铣200</v>
          </cell>
          <cell r="K4107" t="str">
            <v>25/数铣120</v>
          </cell>
          <cell r="L4107" t="str">
            <v>35/时效</v>
          </cell>
          <cell r="M4107" t="str">
            <v>40/数铣</v>
          </cell>
          <cell r="N4107" t="str">
            <v>45/数铣220</v>
          </cell>
          <cell r="O4107" t="str">
            <v>50/五轴40</v>
          </cell>
          <cell r="P4107" t="str">
            <v>55/数铣165</v>
          </cell>
          <cell r="Q4107" t="str">
            <v>60/数铣95</v>
          </cell>
          <cell r="R4107" t="str">
            <v>65/数铣20</v>
          </cell>
          <cell r="S4107" t="str">
            <v>70/测量</v>
          </cell>
          <cell r="T4107" t="str">
            <v>75/钳工</v>
          </cell>
          <cell r="U4107" t="str">
            <v>80/清洁</v>
          </cell>
          <cell r="V4107" t="str">
            <v>85/检验</v>
          </cell>
          <cell r="W4107" t="str">
            <v>90/硬检</v>
          </cell>
          <cell r="X4107" t="str">
            <v>95/分光</v>
          </cell>
          <cell r="Y4107" t="str">
            <v>100/钳工</v>
          </cell>
          <cell r="Z4107" t="str">
            <v>105/清洁</v>
          </cell>
          <cell r="AA4107" t="str">
            <v>110/成检</v>
          </cell>
        </row>
        <row r="4108">
          <cell r="B4108" t="str">
            <v>CB5324320-007L/R007</v>
          </cell>
          <cell r="D4108" t="str">
            <v>准备</v>
          </cell>
          <cell r="G4108">
            <v>60</v>
          </cell>
          <cell r="H4108">
            <v>60</v>
          </cell>
          <cell r="I4108">
            <v>90</v>
          </cell>
          <cell r="J4108">
            <v>90</v>
          </cell>
          <cell r="K4108">
            <v>60</v>
          </cell>
          <cell r="M4108">
            <v>90</v>
          </cell>
          <cell r="N4108">
            <v>90</v>
          </cell>
          <cell r="O4108">
            <v>150</v>
          </cell>
          <cell r="P4108">
            <v>90</v>
          </cell>
          <cell r="Q4108">
            <v>90</v>
          </cell>
          <cell r="R4108">
            <v>60</v>
          </cell>
        </row>
        <row r="4109">
          <cell r="B4109" t="str">
            <v>CB5324320-007L/R008</v>
          </cell>
          <cell r="D4109" t="str">
            <v>装夹</v>
          </cell>
          <cell r="O4109">
            <v>60</v>
          </cell>
        </row>
        <row r="4110">
          <cell r="B4110" t="str">
            <v>CB5324320-007L/R009</v>
          </cell>
          <cell r="D4110" t="str">
            <v>程序</v>
          </cell>
          <cell r="G4110">
            <v>30</v>
          </cell>
          <cell r="H4110">
            <v>60</v>
          </cell>
          <cell r="I4110">
            <v>90</v>
          </cell>
          <cell r="J4110">
            <v>300</v>
          </cell>
          <cell r="K4110">
            <v>210</v>
          </cell>
          <cell r="M4110">
            <v>150</v>
          </cell>
          <cell r="N4110">
            <v>420</v>
          </cell>
          <cell r="O4110">
            <v>210</v>
          </cell>
          <cell r="P4110">
            <v>270</v>
          </cell>
          <cell r="Q4110">
            <v>180</v>
          </cell>
          <cell r="R4110">
            <v>45</v>
          </cell>
          <cell r="T4110">
            <v>300</v>
          </cell>
          <cell r="Y4110">
            <v>5</v>
          </cell>
        </row>
        <row r="4111">
          <cell r="B4111" t="str">
            <v>BC5822100-002L001</v>
          </cell>
          <cell r="D4111" t="str">
            <v>C</v>
          </cell>
          <cell r="E4111" t="str">
            <v>工序内容</v>
          </cell>
          <cell r="F4111" t="str">
            <v>0/领料</v>
          </cell>
          <cell r="G4111" t="str">
            <v>05/钳划线</v>
          </cell>
          <cell r="H4111" t="str">
            <v>10/数铣20</v>
          </cell>
          <cell r="I4111" t="str">
            <v>15/数铣30</v>
          </cell>
          <cell r="J4111" t="str">
            <v>20/数铣30</v>
          </cell>
          <cell r="K4111" t="str">
            <v>25/数铣40</v>
          </cell>
          <cell r="L4111" t="str">
            <v>30/数铣30</v>
          </cell>
          <cell r="M4111" t="str">
            <v>35/线切割</v>
          </cell>
          <cell r="N4111" t="str">
            <v>40/数车30</v>
          </cell>
          <cell r="O4111" t="str">
            <v>45/数车30</v>
          </cell>
          <cell r="P4111" t="str">
            <v>50/钳工</v>
          </cell>
          <cell r="Q4111" t="str">
            <v>55/清洁</v>
          </cell>
          <cell r="R4111" t="str">
            <v>60/成检</v>
          </cell>
        </row>
        <row r="4112">
          <cell r="B4112" t="str">
            <v>BC5822100-002L001</v>
          </cell>
          <cell r="D4112" t="str">
            <v>C</v>
          </cell>
          <cell r="E4112" t="str">
            <v>准备工时</v>
          </cell>
          <cell r="H4112">
            <v>90</v>
          </cell>
          <cell r="I4112">
            <v>90</v>
          </cell>
          <cell r="J4112">
            <v>90</v>
          </cell>
          <cell r="K4112">
            <v>90</v>
          </cell>
          <cell r="L4112">
            <v>90</v>
          </cell>
          <cell r="N4112">
            <v>120</v>
          </cell>
          <cell r="O4112">
            <v>120</v>
          </cell>
        </row>
        <row r="4113">
          <cell r="B4113" t="str">
            <v>BC5822100-002L001</v>
          </cell>
          <cell r="D4113" t="str">
            <v>C</v>
          </cell>
          <cell r="E4113" t="str">
            <v>程序时间</v>
          </cell>
          <cell r="G4113">
            <v>20</v>
          </cell>
          <cell r="H4113">
            <v>40</v>
          </cell>
          <cell r="I4113">
            <v>50</v>
          </cell>
          <cell r="J4113">
            <v>60</v>
          </cell>
          <cell r="K4113">
            <v>70</v>
          </cell>
          <cell r="L4113">
            <v>45</v>
          </cell>
          <cell r="N4113">
            <v>35</v>
          </cell>
          <cell r="O4113">
            <v>20</v>
          </cell>
          <cell r="P4113">
            <v>20</v>
          </cell>
        </row>
        <row r="4114">
          <cell r="B4114" t="str">
            <v>BC5822100-002R001</v>
          </cell>
          <cell r="D4114" t="str">
            <v>C</v>
          </cell>
          <cell r="E4114" t="str">
            <v>工序内容</v>
          </cell>
          <cell r="F4114" t="str">
            <v>0/领料</v>
          </cell>
          <cell r="G4114" t="str">
            <v>05/钳划线</v>
          </cell>
          <cell r="H4114" t="str">
            <v>10/数铣20</v>
          </cell>
          <cell r="I4114" t="str">
            <v>15/数铣30</v>
          </cell>
          <cell r="J4114" t="str">
            <v>20/数铣30</v>
          </cell>
          <cell r="K4114" t="str">
            <v>25/数铣40</v>
          </cell>
          <cell r="L4114" t="str">
            <v>30/数铣30</v>
          </cell>
          <cell r="M4114" t="str">
            <v>35/线切割</v>
          </cell>
          <cell r="N4114" t="str">
            <v>40/数车30</v>
          </cell>
          <cell r="O4114" t="str">
            <v>45/数车30</v>
          </cell>
          <cell r="P4114" t="str">
            <v>50/钳工</v>
          </cell>
          <cell r="Q4114" t="str">
            <v>55/清洁</v>
          </cell>
          <cell r="R4114" t="str">
            <v>60/成检</v>
          </cell>
        </row>
        <row r="4115">
          <cell r="B4115" t="str">
            <v>BC5822100-002R001</v>
          </cell>
          <cell r="D4115" t="str">
            <v>C</v>
          </cell>
          <cell r="E4115" t="str">
            <v>准备工时</v>
          </cell>
          <cell r="H4115">
            <v>90</v>
          </cell>
          <cell r="I4115">
            <v>90</v>
          </cell>
          <cell r="J4115">
            <v>90</v>
          </cell>
          <cell r="K4115">
            <v>90</v>
          </cell>
          <cell r="L4115">
            <v>90</v>
          </cell>
          <cell r="N4115">
            <v>120</v>
          </cell>
          <cell r="O4115">
            <v>120</v>
          </cell>
        </row>
        <row r="4116">
          <cell r="B4116" t="str">
            <v>BC5822100-002R001</v>
          </cell>
          <cell r="D4116" t="str">
            <v>C</v>
          </cell>
          <cell r="E4116" t="str">
            <v>程序时间</v>
          </cell>
          <cell r="G4116">
            <v>20</v>
          </cell>
          <cell r="H4116">
            <v>40</v>
          </cell>
          <cell r="I4116">
            <v>50</v>
          </cell>
          <cell r="J4116">
            <v>60</v>
          </cell>
          <cell r="K4116">
            <v>70</v>
          </cell>
          <cell r="L4116">
            <v>45</v>
          </cell>
          <cell r="N4116">
            <v>35</v>
          </cell>
          <cell r="O4116">
            <v>20</v>
          </cell>
          <cell r="P4116">
            <v>20</v>
          </cell>
        </row>
        <row r="4117">
          <cell r="B4117" t="str">
            <v>DD-J10-64026-122</v>
          </cell>
          <cell r="D4117" t="str">
            <v>B</v>
          </cell>
          <cell r="E4117" t="str">
            <v>工序内容</v>
          </cell>
          <cell r="F4117" t="str">
            <v>05/下料</v>
          </cell>
          <cell r="G4117" t="str">
            <v>10/数车60</v>
          </cell>
          <cell r="H4117" t="str">
            <v>15/数车20</v>
          </cell>
          <cell r="I4117" t="str">
            <v>20/数车30</v>
          </cell>
          <cell r="J4117" t="str">
            <v>25/数车20</v>
          </cell>
          <cell r="K4117" t="str">
            <v>30/钳工</v>
          </cell>
          <cell r="L4117" t="str">
            <v>35/清洁</v>
          </cell>
          <cell r="M4117" t="str">
            <v>40/成检</v>
          </cell>
        </row>
        <row r="4118">
          <cell r="B4118" t="str">
            <v>DD-J10-64026-122</v>
          </cell>
          <cell r="D4118" t="str">
            <v>B</v>
          </cell>
          <cell r="E4118" t="str">
            <v>准备工时</v>
          </cell>
          <cell r="G4118">
            <v>90</v>
          </cell>
          <cell r="H4118">
            <v>60</v>
          </cell>
          <cell r="I4118">
            <v>120</v>
          </cell>
          <cell r="J4118">
            <v>120</v>
          </cell>
        </row>
        <row r="4119">
          <cell r="B4119" t="str">
            <v>DD-J10-64026-122</v>
          </cell>
          <cell r="D4119" t="str">
            <v>B</v>
          </cell>
          <cell r="E4119" t="str">
            <v>程序时间</v>
          </cell>
          <cell r="F4119">
            <v>20</v>
          </cell>
          <cell r="G4119">
            <v>60</v>
          </cell>
          <cell r="H4119">
            <v>20</v>
          </cell>
          <cell r="I4119">
            <v>30</v>
          </cell>
          <cell r="J4119">
            <v>20</v>
          </cell>
          <cell r="K4119">
            <v>20</v>
          </cell>
        </row>
        <row r="4120">
          <cell r="B4120" t="str">
            <v>CB5326200-134L/R002</v>
          </cell>
          <cell r="D4120" t="str">
            <v>E</v>
          </cell>
          <cell r="E4120" t="str">
            <v>工序内容</v>
          </cell>
          <cell r="F4120" t="str">
            <v>0/领料</v>
          </cell>
          <cell r="G4120" t="str">
            <v>5/钳工</v>
          </cell>
          <cell r="H4120" t="str">
            <v>10/数铣</v>
          </cell>
          <cell r="I4120" t="str">
            <v>15/数铣50</v>
          </cell>
          <cell r="J4120" t="str">
            <v>20/数铣20</v>
          </cell>
          <cell r="K4120" t="str">
            <v>25/数铣180</v>
          </cell>
          <cell r="L4120" t="str">
            <v>30/数铣420</v>
          </cell>
          <cell r="M4120" t="str">
            <v>35/五轴100</v>
          </cell>
          <cell r="N4120" t="str">
            <v>40/数铣280</v>
          </cell>
          <cell r="O4120" t="str">
            <v>45/测量</v>
          </cell>
          <cell r="P4120" t="str">
            <v>50/钳工</v>
          </cell>
          <cell r="Q4120" t="str">
            <v>55/清洁</v>
          </cell>
          <cell r="R4120" t="str">
            <v>60/成检</v>
          </cell>
        </row>
        <row r="4121">
          <cell r="B4121" t="str">
            <v>CB5326200-134L/R002</v>
          </cell>
          <cell r="D4121" t="str">
            <v>E</v>
          </cell>
          <cell r="E4121" t="str">
            <v>准备工时</v>
          </cell>
          <cell r="H4121">
            <v>60</v>
          </cell>
          <cell r="I4121">
            <v>90</v>
          </cell>
          <cell r="J4121">
            <v>60</v>
          </cell>
          <cell r="K4121">
            <v>60</v>
          </cell>
          <cell r="L4121">
            <v>90</v>
          </cell>
          <cell r="M4121">
            <v>180</v>
          </cell>
          <cell r="N4121">
            <v>180</v>
          </cell>
        </row>
        <row r="4122">
          <cell r="B4122" t="str">
            <v>CB5326200-134L/R002</v>
          </cell>
          <cell r="D4122" t="str">
            <v>E</v>
          </cell>
          <cell r="E4122" t="str">
            <v>装夹时间</v>
          </cell>
          <cell r="G4122">
            <v>60</v>
          </cell>
          <cell r="H4122">
            <v>90</v>
          </cell>
          <cell r="I4122">
            <v>90</v>
          </cell>
          <cell r="J4122">
            <v>90</v>
          </cell>
          <cell r="K4122">
            <v>90</v>
          </cell>
          <cell r="L4122">
            <v>90</v>
          </cell>
          <cell r="M4122">
            <v>90</v>
          </cell>
          <cell r="N4122">
            <v>90</v>
          </cell>
        </row>
        <row r="4123">
          <cell r="B4123" t="str">
            <v>CB5326200-134L/R002</v>
          </cell>
          <cell r="D4123" t="str">
            <v>E</v>
          </cell>
          <cell r="E4123" t="str">
            <v>程序时间</v>
          </cell>
          <cell r="G4123">
            <v>80</v>
          </cell>
          <cell r="H4123">
            <v>60</v>
          </cell>
          <cell r="I4123">
            <v>80</v>
          </cell>
          <cell r="J4123">
            <v>60</v>
          </cell>
          <cell r="K4123">
            <v>370</v>
          </cell>
          <cell r="L4123">
            <v>630</v>
          </cell>
          <cell r="M4123">
            <v>240</v>
          </cell>
          <cell r="N4123">
            <v>420</v>
          </cell>
          <cell r="P4123">
            <v>420</v>
          </cell>
        </row>
        <row r="4124">
          <cell r="B4124" t="str">
            <v>CB5326200-134L002</v>
          </cell>
          <cell r="D4124" t="str">
            <v>E</v>
          </cell>
          <cell r="E4124" t="str">
            <v>工序内容</v>
          </cell>
          <cell r="F4124" t="str">
            <v>0/领料</v>
          </cell>
          <cell r="G4124" t="str">
            <v>5/钳工</v>
          </cell>
          <cell r="H4124" t="str">
            <v>10/数铣</v>
          </cell>
          <cell r="I4124" t="str">
            <v>15/数铣50</v>
          </cell>
          <cell r="J4124" t="str">
            <v>20/数铣20</v>
          </cell>
          <cell r="K4124" t="str">
            <v>25/数铣180</v>
          </cell>
          <cell r="L4124" t="str">
            <v>30/数铣420</v>
          </cell>
          <cell r="M4124" t="str">
            <v>35/五轴100</v>
          </cell>
          <cell r="N4124" t="str">
            <v>40/数铣280</v>
          </cell>
          <cell r="O4124" t="str">
            <v>45/测量</v>
          </cell>
          <cell r="P4124" t="str">
            <v>50/钳工</v>
          </cell>
          <cell r="Q4124" t="str">
            <v>55/清洁</v>
          </cell>
          <cell r="R4124" t="str">
            <v>60/成检</v>
          </cell>
        </row>
        <row r="4125">
          <cell r="B4125" t="str">
            <v>CB5326200-134L002</v>
          </cell>
          <cell r="D4125" t="str">
            <v>E</v>
          </cell>
          <cell r="E4125" t="str">
            <v>准备工时</v>
          </cell>
          <cell r="H4125">
            <v>60</v>
          </cell>
          <cell r="I4125">
            <v>90</v>
          </cell>
          <cell r="J4125">
            <v>60</v>
          </cell>
          <cell r="K4125">
            <v>60</v>
          </cell>
          <cell r="L4125">
            <v>90</v>
          </cell>
          <cell r="M4125">
            <v>180</v>
          </cell>
          <cell r="N4125">
            <v>180</v>
          </cell>
        </row>
        <row r="4126">
          <cell r="B4126" t="str">
            <v>CB5326200-134L002</v>
          </cell>
          <cell r="D4126" t="str">
            <v>E</v>
          </cell>
          <cell r="E4126" t="str">
            <v>装夹时间</v>
          </cell>
          <cell r="G4126">
            <v>60</v>
          </cell>
          <cell r="H4126">
            <v>90</v>
          </cell>
          <cell r="I4126">
            <v>90</v>
          </cell>
          <cell r="J4126">
            <v>90</v>
          </cell>
          <cell r="K4126">
            <v>90</v>
          </cell>
          <cell r="L4126">
            <v>90</v>
          </cell>
          <cell r="M4126">
            <v>90</v>
          </cell>
          <cell r="N4126">
            <v>90</v>
          </cell>
        </row>
        <row r="4127">
          <cell r="B4127" t="str">
            <v>CB5326200-134L002</v>
          </cell>
          <cell r="D4127" t="str">
            <v>E</v>
          </cell>
          <cell r="E4127" t="str">
            <v>程序时间</v>
          </cell>
          <cell r="G4127">
            <v>80</v>
          </cell>
          <cell r="H4127">
            <v>60</v>
          </cell>
          <cell r="I4127">
            <v>80</v>
          </cell>
          <cell r="J4127">
            <v>60</v>
          </cell>
          <cell r="K4127">
            <v>370</v>
          </cell>
          <cell r="L4127">
            <v>630</v>
          </cell>
          <cell r="M4127">
            <v>240</v>
          </cell>
          <cell r="N4127">
            <v>420</v>
          </cell>
          <cell r="P4127">
            <v>420</v>
          </cell>
        </row>
        <row r="4128">
          <cell r="B4128" t="str">
            <v>CB5326200-134R002</v>
          </cell>
          <cell r="D4128" t="str">
            <v>E</v>
          </cell>
          <cell r="E4128" t="str">
            <v>工序内容</v>
          </cell>
          <cell r="F4128" t="str">
            <v>0/领料</v>
          </cell>
          <cell r="G4128" t="str">
            <v>5/钳工</v>
          </cell>
          <cell r="H4128" t="str">
            <v>10/数铣</v>
          </cell>
          <cell r="I4128" t="str">
            <v>15/数铣50</v>
          </cell>
          <cell r="J4128" t="str">
            <v>20/数铣20</v>
          </cell>
          <cell r="K4128" t="str">
            <v>25/数铣180</v>
          </cell>
          <cell r="L4128" t="str">
            <v>30/数铣420</v>
          </cell>
          <cell r="M4128" t="str">
            <v>35/五轴100</v>
          </cell>
          <cell r="N4128" t="str">
            <v>40/数铣280</v>
          </cell>
          <cell r="O4128" t="str">
            <v>45/测量</v>
          </cell>
          <cell r="P4128" t="str">
            <v>50/钳工</v>
          </cell>
          <cell r="Q4128" t="str">
            <v>55/清洁</v>
          </cell>
          <cell r="R4128" t="str">
            <v>60/成检</v>
          </cell>
        </row>
        <row r="4129">
          <cell r="B4129" t="str">
            <v>CB5326200-134R002</v>
          </cell>
          <cell r="D4129" t="str">
            <v>E</v>
          </cell>
          <cell r="E4129" t="str">
            <v>准备工时</v>
          </cell>
          <cell r="H4129">
            <v>60</v>
          </cell>
          <cell r="I4129">
            <v>90</v>
          </cell>
          <cell r="J4129">
            <v>60</v>
          </cell>
          <cell r="K4129">
            <v>60</v>
          </cell>
          <cell r="L4129">
            <v>90</v>
          </cell>
          <cell r="M4129">
            <v>180</v>
          </cell>
          <cell r="N4129">
            <v>180</v>
          </cell>
        </row>
        <row r="4130">
          <cell r="B4130" t="str">
            <v>CB5326200-134R002</v>
          </cell>
          <cell r="D4130" t="str">
            <v>E</v>
          </cell>
          <cell r="E4130" t="str">
            <v>装夹时间</v>
          </cell>
          <cell r="G4130">
            <v>60</v>
          </cell>
          <cell r="H4130">
            <v>90</v>
          </cell>
          <cell r="I4130">
            <v>90</v>
          </cell>
          <cell r="J4130">
            <v>90</v>
          </cell>
          <cell r="K4130">
            <v>90</v>
          </cell>
          <cell r="L4130">
            <v>90</v>
          </cell>
          <cell r="M4130">
            <v>90</v>
          </cell>
          <cell r="N4130">
            <v>90</v>
          </cell>
        </row>
        <row r="4131">
          <cell r="B4131" t="str">
            <v>CB5326200-134R002</v>
          </cell>
          <cell r="D4131" t="str">
            <v>E</v>
          </cell>
          <cell r="E4131" t="str">
            <v>程序时间</v>
          </cell>
          <cell r="G4131">
            <v>80</v>
          </cell>
          <cell r="H4131">
            <v>60</v>
          </cell>
          <cell r="I4131">
            <v>80</v>
          </cell>
          <cell r="J4131">
            <v>60</v>
          </cell>
          <cell r="K4131">
            <v>370</v>
          </cell>
          <cell r="L4131">
            <v>630</v>
          </cell>
          <cell r="M4131">
            <v>240</v>
          </cell>
          <cell r="N4131">
            <v>420</v>
          </cell>
          <cell r="P4131">
            <v>420</v>
          </cell>
        </row>
        <row r="4132">
          <cell r="B4132" t="str">
            <v>Y20-5316100314-502</v>
          </cell>
          <cell r="D4132" t="str">
            <v>B</v>
          </cell>
          <cell r="E4132" t="str">
            <v>工序内容</v>
          </cell>
          <cell r="F4132" t="str">
            <v>0/领料</v>
          </cell>
          <cell r="G4132" t="str">
            <v>5/数铣</v>
          </cell>
          <cell r="H4132" t="str">
            <v>10/数铣35</v>
          </cell>
          <cell r="I4132" t="str">
            <v>15/数铣80</v>
          </cell>
          <cell r="J4132" t="str">
            <v>20/数铣120</v>
          </cell>
          <cell r="K4132" t="str">
            <v>25/数铣110</v>
          </cell>
          <cell r="L4132" t="str">
            <v>30/钳工</v>
          </cell>
          <cell r="M4132" t="str">
            <v>35/测量</v>
          </cell>
          <cell r="N4132" t="str">
            <v>40/清洁</v>
          </cell>
          <cell r="O4132" t="str">
            <v>45/成检</v>
          </cell>
        </row>
        <row r="4133">
          <cell r="B4133" t="str">
            <v>Y20-5316100314-502</v>
          </cell>
          <cell r="D4133" t="str">
            <v>B</v>
          </cell>
          <cell r="E4133" t="str">
            <v>准备工时</v>
          </cell>
          <cell r="G4133">
            <v>60</v>
          </cell>
          <cell r="H4133">
            <v>90</v>
          </cell>
          <cell r="I4133">
            <v>60</v>
          </cell>
          <cell r="J4133">
            <v>90</v>
          </cell>
          <cell r="K4133">
            <v>90</v>
          </cell>
        </row>
        <row r="4134">
          <cell r="B4134" t="str">
            <v>Y20-5316100314-502</v>
          </cell>
          <cell r="D4134" t="str">
            <v>B</v>
          </cell>
          <cell r="E4134" t="str">
            <v>程序时间</v>
          </cell>
          <cell r="G4134">
            <v>60</v>
          </cell>
          <cell r="H4134">
            <v>60</v>
          </cell>
          <cell r="I4134">
            <v>110</v>
          </cell>
          <cell r="J4134">
            <v>150</v>
          </cell>
          <cell r="K4134">
            <v>140</v>
          </cell>
          <cell r="L4134">
            <v>100</v>
          </cell>
        </row>
        <row r="4135">
          <cell r="B4135" t="str">
            <v>CB2263270-001-001</v>
          </cell>
          <cell r="D4135" t="str">
            <v>B</v>
          </cell>
          <cell r="E4135" t="str">
            <v>工序内容</v>
          </cell>
          <cell r="F4135" t="str">
            <v>0/领料</v>
          </cell>
          <cell r="G4135" t="str">
            <v>05/下料</v>
          </cell>
          <cell r="H4135" t="str">
            <v>10/普车</v>
          </cell>
          <cell r="I4135" t="str">
            <v>15/数车</v>
          </cell>
          <cell r="J4135" t="str">
            <v>20/数铣20</v>
          </cell>
          <cell r="K4135" t="str">
            <v>25/分光</v>
          </cell>
          <cell r="L4135" t="str">
            <v>30/数车</v>
          </cell>
          <cell r="M4135" t="str">
            <v>35/数铣36</v>
          </cell>
          <cell r="N4135" t="str">
            <v>40/穿孔</v>
          </cell>
          <cell r="O4135" t="str">
            <v>45/钳工</v>
          </cell>
          <cell r="P4135" t="str">
            <v>50/清洁</v>
          </cell>
          <cell r="Q4135" t="str">
            <v>55/成检</v>
          </cell>
        </row>
        <row r="4136">
          <cell r="B4136" t="str">
            <v>CB2263270-001-001</v>
          </cell>
          <cell r="D4136" t="str">
            <v>B</v>
          </cell>
          <cell r="E4136" t="str">
            <v>准备工时</v>
          </cell>
          <cell r="H4136">
            <v>60</v>
          </cell>
          <cell r="I4136">
            <v>60</v>
          </cell>
          <cell r="J4136">
            <v>60</v>
          </cell>
          <cell r="L4136">
            <v>60</v>
          </cell>
          <cell r="M4136">
            <v>90</v>
          </cell>
        </row>
        <row r="4137">
          <cell r="B4137" t="str">
            <v>CB2263270-001-001</v>
          </cell>
          <cell r="D4137" t="str">
            <v>B</v>
          </cell>
          <cell r="E4137" t="str">
            <v>程序时间</v>
          </cell>
          <cell r="H4137">
            <v>20</v>
          </cell>
          <cell r="I4137">
            <v>45</v>
          </cell>
          <cell r="J4137">
            <v>30</v>
          </cell>
          <cell r="L4137">
            <v>12</v>
          </cell>
          <cell r="M4137">
            <v>70</v>
          </cell>
          <cell r="N4137">
            <v>20</v>
          </cell>
          <cell r="O4137">
            <v>25</v>
          </cell>
        </row>
        <row r="4138">
          <cell r="B4138" t="str">
            <v>529A1000-006-001</v>
          </cell>
          <cell r="D4138" t="str">
            <v>B</v>
          </cell>
          <cell r="E4138" t="str">
            <v>工序内容</v>
          </cell>
          <cell r="F4138" t="str">
            <v>00/领料</v>
          </cell>
          <cell r="G4138" t="str">
            <v>05钳工</v>
          </cell>
          <cell r="H4138" t="str">
            <v>10热处理</v>
          </cell>
          <cell r="I4138" t="str">
            <v>15热处理</v>
          </cell>
          <cell r="J4138" t="str">
            <v>20硬度检查</v>
          </cell>
          <cell r="K4138" t="str">
            <v>25数车30</v>
          </cell>
          <cell r="L4138" t="str">
            <v>30数车20</v>
          </cell>
          <cell r="M4138" t="str">
            <v>35数车90</v>
          </cell>
          <cell r="N4138" t="str">
            <v>40数车60</v>
          </cell>
          <cell r="O4138" t="str">
            <v>45数铣10</v>
          </cell>
          <cell r="P4138" t="str">
            <v>50数铣15</v>
          </cell>
          <cell r="Q4138" t="str">
            <v>55数铣15</v>
          </cell>
          <cell r="R4138" t="str">
            <v>60数车45</v>
          </cell>
          <cell r="S4138" t="str">
            <v>65数车15</v>
          </cell>
          <cell r="T4138" t="str">
            <v>70钳工</v>
          </cell>
          <cell r="U4138" t="str">
            <v>75清洁</v>
          </cell>
          <cell r="V4138" t="str">
            <v>80成检</v>
          </cell>
        </row>
        <row r="4139">
          <cell r="B4139" t="str">
            <v>529A1000-006-001</v>
          </cell>
          <cell r="D4139" t="str">
            <v>B</v>
          </cell>
          <cell r="E4139" t="str">
            <v>准备工时</v>
          </cell>
          <cell r="K4139">
            <v>90</v>
          </cell>
          <cell r="L4139">
            <v>60</v>
          </cell>
          <cell r="M4139">
            <v>120</v>
          </cell>
          <cell r="N4139">
            <v>120</v>
          </cell>
          <cell r="O4139">
            <v>60</v>
          </cell>
          <cell r="P4139">
            <v>90</v>
          </cell>
          <cell r="Q4139">
            <v>90</v>
          </cell>
          <cell r="R4139">
            <v>90</v>
          </cell>
          <cell r="S4139">
            <v>60</v>
          </cell>
        </row>
        <row r="4140">
          <cell r="B4140" t="str">
            <v>529A1000-006-001</v>
          </cell>
          <cell r="D4140" t="str">
            <v>B</v>
          </cell>
          <cell r="E4140" t="str">
            <v>程序时间</v>
          </cell>
          <cell r="G4140">
            <v>15</v>
          </cell>
          <cell r="K4140">
            <v>30</v>
          </cell>
          <cell r="L4140">
            <v>20</v>
          </cell>
          <cell r="M4140">
            <v>90</v>
          </cell>
          <cell r="N4140">
            <v>60</v>
          </cell>
          <cell r="O4140">
            <v>30</v>
          </cell>
          <cell r="P4140">
            <v>30</v>
          </cell>
          <cell r="Q4140">
            <v>30</v>
          </cell>
          <cell r="R4140">
            <v>45</v>
          </cell>
          <cell r="S4140">
            <v>20</v>
          </cell>
          <cell r="T4140">
            <v>15</v>
          </cell>
        </row>
        <row r="4141">
          <cell r="B4141" t="str">
            <v>BC5333100-007-001</v>
          </cell>
          <cell r="D4141" t="str">
            <v>B</v>
          </cell>
          <cell r="E4141" t="str">
            <v>工序内容</v>
          </cell>
          <cell r="F4141" t="str">
            <v>0/领料</v>
          </cell>
          <cell r="G4141" t="str">
            <v>05/数铣</v>
          </cell>
          <cell r="H4141" t="str">
            <v>10/数铣</v>
          </cell>
          <cell r="I4141" t="str">
            <v>15/数铣</v>
          </cell>
          <cell r="J4141" t="str">
            <v>20/数铣80</v>
          </cell>
          <cell r="K4141" t="str">
            <v>25/数铣240</v>
          </cell>
          <cell r="L4141" t="str">
            <v>30/数铣180</v>
          </cell>
          <cell r="M4141" t="str">
            <v>35/五轴260</v>
          </cell>
          <cell r="N4141" t="str">
            <v>40/五轴240</v>
          </cell>
          <cell r="O4141" t="str">
            <v>45/测量</v>
          </cell>
          <cell r="P4141" t="str">
            <v>47/数铣</v>
          </cell>
          <cell r="Q4141" t="str">
            <v>50/钳工</v>
          </cell>
          <cell r="R4141" t="str">
            <v>55/数铣</v>
          </cell>
          <cell r="S4141" t="str">
            <v>60/清洁</v>
          </cell>
          <cell r="T4141" t="str">
            <v>65/成检</v>
          </cell>
        </row>
        <row r="4142">
          <cell r="B4142" t="str">
            <v>BC5333100-007-001</v>
          </cell>
          <cell r="D4142" t="str">
            <v>B</v>
          </cell>
          <cell r="E4142" t="str">
            <v>准备工时</v>
          </cell>
          <cell r="G4142" t="str">
            <v>60</v>
          </cell>
          <cell r="H4142" t="str">
            <v>60</v>
          </cell>
          <cell r="I4142">
            <v>60</v>
          </cell>
          <cell r="J4142">
            <v>60</v>
          </cell>
          <cell r="K4142">
            <v>60</v>
          </cell>
          <cell r="L4142">
            <v>60</v>
          </cell>
          <cell r="M4142">
            <v>120</v>
          </cell>
          <cell r="N4142">
            <v>120</v>
          </cell>
        </row>
        <row r="4143">
          <cell r="B4143" t="str">
            <v>BC5333100-007-001</v>
          </cell>
          <cell r="D4143" t="str">
            <v>B</v>
          </cell>
          <cell r="E4143" t="str">
            <v>装夹时间</v>
          </cell>
          <cell r="G4143" t="str">
            <v>30</v>
          </cell>
          <cell r="H4143" t="str">
            <v>30</v>
          </cell>
          <cell r="I4143" t="str">
            <v>30</v>
          </cell>
          <cell r="J4143" t="str">
            <v>30</v>
          </cell>
          <cell r="K4143" t="str">
            <v>30</v>
          </cell>
          <cell r="L4143" t="str">
            <v>30</v>
          </cell>
          <cell r="M4143" t="str">
            <v>60</v>
          </cell>
          <cell r="N4143" t="str">
            <v>60</v>
          </cell>
          <cell r="P4143" t="str">
            <v>30</v>
          </cell>
        </row>
        <row r="4144">
          <cell r="B4144" t="str">
            <v>BC5333100-007-001</v>
          </cell>
          <cell r="D4144" t="str">
            <v>B</v>
          </cell>
          <cell r="E4144" t="str">
            <v>程序时间</v>
          </cell>
          <cell r="G4144" t="str">
            <v>30</v>
          </cell>
          <cell r="H4144" t="str">
            <v>30</v>
          </cell>
          <cell r="I4144">
            <v>80</v>
          </cell>
          <cell r="J4144">
            <v>140</v>
          </cell>
          <cell r="K4144">
            <v>300</v>
          </cell>
          <cell r="L4144">
            <v>240</v>
          </cell>
          <cell r="M4144">
            <v>600</v>
          </cell>
          <cell r="N4144">
            <v>600</v>
          </cell>
          <cell r="P4144">
            <v>30</v>
          </cell>
          <cell r="Q4144">
            <v>180</v>
          </cell>
          <cell r="R4144">
            <v>20</v>
          </cell>
        </row>
        <row r="4145">
          <cell r="B4145" t="str">
            <v>DD-J10B-21002-2-Z</v>
          </cell>
          <cell r="D4145" t="str">
            <v>D</v>
          </cell>
          <cell r="E4145" t="str">
            <v>工序内容</v>
          </cell>
          <cell r="F4145" t="str">
            <v>00/领料</v>
          </cell>
          <cell r="G4145" t="str">
            <v>5/数铣</v>
          </cell>
          <cell r="H4145" t="str">
            <v>10/数铣20</v>
          </cell>
          <cell r="I4145" t="str">
            <v>15/数铣60</v>
          </cell>
          <cell r="J4145" t="str">
            <v>20钳工</v>
          </cell>
          <cell r="K4145" t="str">
            <v>25清洁</v>
          </cell>
          <cell r="L4145" t="str">
            <v>30成检</v>
          </cell>
        </row>
        <row r="4146">
          <cell r="B4146" t="str">
            <v>DD-J10B-21002-2-Z</v>
          </cell>
          <cell r="D4146" t="str">
            <v>D</v>
          </cell>
          <cell r="E4146" t="str">
            <v>准备工时</v>
          </cell>
          <cell r="G4146">
            <v>60</v>
          </cell>
          <cell r="H4146">
            <v>120</v>
          </cell>
          <cell r="I4146">
            <v>120</v>
          </cell>
        </row>
        <row r="4147">
          <cell r="B4147" t="str">
            <v>DD-J10B-21002-2-Z</v>
          </cell>
          <cell r="D4147" t="str">
            <v>D</v>
          </cell>
          <cell r="E4147" t="str">
            <v>装夹时间</v>
          </cell>
          <cell r="G4147">
            <v>60</v>
          </cell>
          <cell r="H4147">
            <v>90</v>
          </cell>
          <cell r="I4147">
            <v>90</v>
          </cell>
        </row>
        <row r="4148">
          <cell r="B4148" t="str">
            <v>DD-J10B-21002-2-Z</v>
          </cell>
          <cell r="D4148" t="str">
            <v>D</v>
          </cell>
          <cell r="E4148" t="str">
            <v>程序时间</v>
          </cell>
          <cell r="G4148">
            <v>180</v>
          </cell>
          <cell r="H4148">
            <v>90</v>
          </cell>
          <cell r="I4148">
            <v>120</v>
          </cell>
          <cell r="J4148">
            <v>120</v>
          </cell>
        </row>
        <row r="4149">
          <cell r="B4149" t="str">
            <v>DD-J10B-21002-2-Y</v>
          </cell>
          <cell r="D4149" t="str">
            <v>D</v>
          </cell>
          <cell r="E4149" t="str">
            <v>工序内容</v>
          </cell>
          <cell r="F4149" t="str">
            <v>00/领料</v>
          </cell>
          <cell r="G4149" t="str">
            <v>5/数铣</v>
          </cell>
          <cell r="H4149" t="str">
            <v>10/数铣20</v>
          </cell>
          <cell r="I4149" t="str">
            <v>15/数铣60</v>
          </cell>
          <cell r="J4149" t="str">
            <v>20钳工</v>
          </cell>
          <cell r="K4149" t="str">
            <v>25清洁</v>
          </cell>
          <cell r="L4149" t="str">
            <v>30成检</v>
          </cell>
        </row>
        <row r="4150">
          <cell r="B4150" t="str">
            <v>DD-J10B-21002-2-Y</v>
          </cell>
          <cell r="D4150" t="str">
            <v>D</v>
          </cell>
          <cell r="E4150" t="str">
            <v>准备工时</v>
          </cell>
          <cell r="G4150">
            <v>60</v>
          </cell>
          <cell r="H4150">
            <v>120</v>
          </cell>
          <cell r="I4150">
            <v>120</v>
          </cell>
        </row>
        <row r="4151">
          <cell r="B4151" t="str">
            <v>DD-J10B-21002-2-Y</v>
          </cell>
          <cell r="D4151" t="str">
            <v>D</v>
          </cell>
          <cell r="E4151" t="str">
            <v>装夹时间</v>
          </cell>
          <cell r="G4151">
            <v>60</v>
          </cell>
          <cell r="H4151">
            <v>90</v>
          </cell>
          <cell r="I4151">
            <v>90</v>
          </cell>
        </row>
        <row r="4152">
          <cell r="B4152" t="str">
            <v>DD-J10B-21002-2-Y</v>
          </cell>
          <cell r="D4152" t="str">
            <v>D</v>
          </cell>
          <cell r="E4152" t="str">
            <v>程序时间</v>
          </cell>
          <cell r="G4152">
            <v>180</v>
          </cell>
          <cell r="H4152">
            <v>90</v>
          </cell>
          <cell r="I4152">
            <v>120</v>
          </cell>
          <cell r="J4152">
            <v>120</v>
          </cell>
        </row>
        <row r="4153">
          <cell r="B4153" t="str">
            <v>BC2711322-002-001</v>
          </cell>
          <cell r="D4153" t="str">
            <v>C</v>
          </cell>
          <cell r="E4153" t="str">
            <v>工序内容</v>
          </cell>
          <cell r="F4153" t="str">
            <v>0/领料</v>
          </cell>
          <cell r="G4153" t="str">
            <v>05/普车30</v>
          </cell>
          <cell r="H4153" t="str">
            <v>10/钳工</v>
          </cell>
          <cell r="I4153" t="str">
            <v>15/分光</v>
          </cell>
          <cell r="J4153" t="str">
            <v>20/数车30</v>
          </cell>
          <cell r="K4153" t="str">
            <v>25/数车20</v>
          </cell>
          <cell r="L4153" t="str">
            <v>30/清洁</v>
          </cell>
          <cell r="M4153" t="str">
            <v>40/成检</v>
          </cell>
        </row>
        <row r="4154">
          <cell r="B4154" t="str">
            <v>BC2711322-002-001</v>
          </cell>
          <cell r="D4154" t="str">
            <v>C</v>
          </cell>
          <cell r="E4154" t="str">
            <v>准备工时</v>
          </cell>
          <cell r="G4154">
            <v>60</v>
          </cell>
          <cell r="J4154">
            <v>90</v>
          </cell>
          <cell r="K4154">
            <v>60</v>
          </cell>
        </row>
        <row r="4155">
          <cell r="B4155" t="str">
            <v>BC2711322-002-001</v>
          </cell>
          <cell r="D4155" t="str">
            <v>C</v>
          </cell>
          <cell r="E4155" t="str">
            <v>程序时间</v>
          </cell>
          <cell r="G4155">
            <v>45</v>
          </cell>
          <cell r="H4155">
            <v>10</v>
          </cell>
          <cell r="J4155">
            <v>35</v>
          </cell>
          <cell r="K4155">
            <v>25</v>
          </cell>
        </row>
        <row r="4156">
          <cell r="B4156" t="str">
            <v>BC5324360-002-001</v>
          </cell>
          <cell r="D4156" t="str">
            <v>C</v>
          </cell>
          <cell r="E4156" t="str">
            <v>工序内容</v>
          </cell>
          <cell r="F4156" t="str">
            <v>0/领料</v>
          </cell>
          <cell r="G4156" t="str">
            <v>05/数车30</v>
          </cell>
          <cell r="H4156" t="str">
            <v>10/数车5</v>
          </cell>
          <cell r="I4156" t="str">
            <v>15分光</v>
          </cell>
          <cell r="J4156" t="str">
            <v>20/硬度</v>
          </cell>
          <cell r="K4156" t="str">
            <v>25/车铣30</v>
          </cell>
          <cell r="L4156" t="str">
            <v>30/钳工</v>
          </cell>
          <cell r="M4156" t="str">
            <v>35/清洁</v>
          </cell>
          <cell r="N4156" t="str">
            <v>40/成检</v>
          </cell>
        </row>
        <row r="4157">
          <cell r="B4157" t="str">
            <v>BC5324360-002-001</v>
          </cell>
          <cell r="D4157" t="str">
            <v>C</v>
          </cell>
          <cell r="E4157" t="str">
            <v>准备工时</v>
          </cell>
          <cell r="G4157">
            <v>120</v>
          </cell>
          <cell r="H4157">
            <v>60</v>
          </cell>
          <cell r="K4157">
            <v>120</v>
          </cell>
        </row>
        <row r="4158">
          <cell r="B4158" t="str">
            <v>BC5324360-002-001</v>
          </cell>
          <cell r="D4158" t="str">
            <v>C</v>
          </cell>
          <cell r="E4158" t="str">
            <v>程序时间</v>
          </cell>
          <cell r="G4158">
            <v>40</v>
          </cell>
          <cell r="H4158">
            <v>15</v>
          </cell>
          <cell r="K4158">
            <v>40</v>
          </cell>
          <cell r="L4158">
            <v>20</v>
          </cell>
        </row>
        <row r="4159">
          <cell r="B4159" t="str">
            <v>DD-FC-86011-3210-1</v>
          </cell>
          <cell r="D4159" t="str">
            <v>A</v>
          </cell>
          <cell r="E4159" t="str">
            <v>工序内容</v>
          </cell>
          <cell r="F4159" t="str">
            <v>0/领料</v>
          </cell>
          <cell r="G4159" t="str">
            <v>5/下料</v>
          </cell>
          <cell r="H4159" t="str">
            <v>10/数车10</v>
          </cell>
          <cell r="I4159" t="str">
            <v>15/数车25</v>
          </cell>
          <cell r="J4159" t="str">
            <v>20/数车20</v>
          </cell>
          <cell r="K4159" t="str">
            <v>25/钳工</v>
          </cell>
          <cell r="L4159" t="str">
            <v>30/分光</v>
          </cell>
          <cell r="M4159" t="str">
            <v>35/钳工</v>
          </cell>
          <cell r="N4159" t="str">
            <v>40/清洁</v>
          </cell>
          <cell r="O4159" t="str">
            <v>45/成检</v>
          </cell>
        </row>
        <row r="4160">
          <cell r="B4160" t="str">
            <v>DD-FC-86011-3210-1</v>
          </cell>
          <cell r="D4160" t="str">
            <v>A</v>
          </cell>
          <cell r="E4160" t="str">
            <v>准备工时</v>
          </cell>
          <cell r="H4160">
            <v>60</v>
          </cell>
          <cell r="I4160">
            <v>60</v>
          </cell>
          <cell r="J4160">
            <v>60</v>
          </cell>
        </row>
        <row r="4161">
          <cell r="B4161" t="str">
            <v>DD-FC-86011-3210-1</v>
          </cell>
          <cell r="D4161" t="str">
            <v>A</v>
          </cell>
          <cell r="E4161" t="str">
            <v>程序时间</v>
          </cell>
          <cell r="H4161">
            <v>10</v>
          </cell>
          <cell r="I4161">
            <v>25</v>
          </cell>
          <cell r="J4161">
            <v>20</v>
          </cell>
          <cell r="K4161">
            <v>4</v>
          </cell>
          <cell r="M4161" t="str">
            <v>5</v>
          </cell>
        </row>
        <row r="4162">
          <cell r="B4162" t="str">
            <v>DD-J10S-65001-4010-1</v>
          </cell>
          <cell r="D4162" t="str">
            <v>B</v>
          </cell>
          <cell r="E4162" t="str">
            <v>工序内容</v>
          </cell>
          <cell r="F4162" t="str">
            <v>0/领料</v>
          </cell>
          <cell r="G4162" t="str">
            <v>5/数车10</v>
          </cell>
          <cell r="H4162" t="str">
            <v>10/数车25</v>
          </cell>
          <cell r="I4162" t="str">
            <v>15/数车15</v>
          </cell>
          <cell r="J4162" t="str">
            <v>20/分光</v>
          </cell>
          <cell r="K4162" t="str">
            <v>25线切割</v>
          </cell>
          <cell r="L4162" t="str">
            <v>30/钳工</v>
          </cell>
          <cell r="M4162" t="str">
            <v>35清洁</v>
          </cell>
          <cell r="N4162" t="str">
            <v>40/成检</v>
          </cell>
        </row>
        <row r="4163">
          <cell r="B4163" t="str">
            <v>DD-J10S-65001-4010-1</v>
          </cell>
          <cell r="D4163" t="str">
            <v>B</v>
          </cell>
          <cell r="E4163" t="str">
            <v>准备工时</v>
          </cell>
          <cell r="G4163">
            <v>60</v>
          </cell>
          <cell r="H4163">
            <v>60</v>
          </cell>
          <cell r="I4163">
            <v>60</v>
          </cell>
        </row>
        <row r="4164">
          <cell r="B4164" t="str">
            <v>DD-J10S-65001-4010-1</v>
          </cell>
          <cell r="D4164" t="str">
            <v>B</v>
          </cell>
          <cell r="E4164" t="str">
            <v>程序时间</v>
          </cell>
          <cell r="G4164">
            <v>10</v>
          </cell>
          <cell r="H4164">
            <v>25</v>
          </cell>
          <cell r="I4164">
            <v>20</v>
          </cell>
          <cell r="L4164">
            <v>35</v>
          </cell>
        </row>
        <row r="4165">
          <cell r="B4165" t="str">
            <v>DD-J10B-02081-61-Z</v>
          </cell>
          <cell r="D4165" t="str">
            <v>B</v>
          </cell>
          <cell r="E4165" t="str">
            <v>工序内容</v>
          </cell>
          <cell r="F4165" t="str">
            <v>0/领料</v>
          </cell>
          <cell r="G4165" t="str">
            <v>5/线切割</v>
          </cell>
          <cell r="H4165" t="str">
            <v>10/数铣10</v>
          </cell>
          <cell r="I4165" t="str">
            <v>15/钳工</v>
          </cell>
          <cell r="J4165" t="str">
            <v>20/清洁</v>
          </cell>
          <cell r="K4165" t="str">
            <v>25/成检</v>
          </cell>
        </row>
        <row r="4166">
          <cell r="B4166" t="str">
            <v>DD-J10B-02081-61-Z</v>
          </cell>
          <cell r="D4166" t="str">
            <v>B</v>
          </cell>
          <cell r="E4166" t="str">
            <v>准备工时</v>
          </cell>
          <cell r="H4166">
            <v>60</v>
          </cell>
        </row>
        <row r="4167">
          <cell r="B4167" t="str">
            <v>DD-J10B-02081-61-Z</v>
          </cell>
          <cell r="D4167" t="str">
            <v>B</v>
          </cell>
          <cell r="E4167" t="str">
            <v>程序时间</v>
          </cell>
          <cell r="G4167">
            <v>30</v>
          </cell>
          <cell r="H4167">
            <v>30</v>
          </cell>
          <cell r="I4167">
            <v>20</v>
          </cell>
        </row>
        <row r="4168">
          <cell r="B4168" t="str">
            <v>DD-J10B-02081-61-Y</v>
          </cell>
          <cell r="D4168" t="str">
            <v>B</v>
          </cell>
          <cell r="E4168" t="str">
            <v>工序内容</v>
          </cell>
          <cell r="F4168" t="str">
            <v>0/领料</v>
          </cell>
          <cell r="G4168" t="str">
            <v>5/线切割</v>
          </cell>
          <cell r="H4168" t="str">
            <v>10/数铣10</v>
          </cell>
          <cell r="I4168" t="str">
            <v>15/钳工</v>
          </cell>
          <cell r="J4168" t="str">
            <v>20/清洁</v>
          </cell>
          <cell r="K4168" t="str">
            <v>25/成检</v>
          </cell>
        </row>
        <row r="4169">
          <cell r="B4169" t="str">
            <v>DD-J10B-02081-61-Y</v>
          </cell>
          <cell r="D4169" t="str">
            <v>B</v>
          </cell>
          <cell r="E4169" t="str">
            <v>准备工时</v>
          </cell>
          <cell r="H4169">
            <v>60</v>
          </cell>
        </row>
        <row r="4170">
          <cell r="B4170" t="str">
            <v>DD-J10B-02081-61-Y</v>
          </cell>
          <cell r="D4170" t="str">
            <v>B</v>
          </cell>
          <cell r="E4170" t="str">
            <v>程序时间</v>
          </cell>
          <cell r="G4170">
            <v>30</v>
          </cell>
          <cell r="H4170">
            <v>30</v>
          </cell>
          <cell r="I4170">
            <v>20</v>
          </cell>
        </row>
        <row r="4171">
          <cell r="B4171" t="str">
            <v>DD-J10B-04501-10-1-Z</v>
          </cell>
          <cell r="D4171" t="str">
            <v>F</v>
          </cell>
          <cell r="E4171" t="str">
            <v>工序内容</v>
          </cell>
          <cell r="F4171" t="str">
            <v>0/领料</v>
          </cell>
          <cell r="G4171" t="str">
            <v>05/数铣</v>
          </cell>
          <cell r="H4171" t="str">
            <v>10/数铣150</v>
          </cell>
          <cell r="I4171" t="str">
            <v>15/数铣990</v>
          </cell>
          <cell r="J4171" t="str">
            <v>20/数铣520</v>
          </cell>
          <cell r="K4171" t="str">
            <v>25/钳工</v>
          </cell>
          <cell r="L4171" t="str">
            <v>30/钳工</v>
          </cell>
          <cell r="M4171" t="str">
            <v>35时效</v>
          </cell>
          <cell r="N4171" t="str">
            <v>40/清洁</v>
          </cell>
          <cell r="O4171" t="str">
            <v>45/成检</v>
          </cell>
        </row>
        <row r="4172">
          <cell r="B4172" t="str">
            <v>DD-J10B-04501-10-1-Z</v>
          </cell>
          <cell r="D4172" t="str">
            <v>F</v>
          </cell>
          <cell r="E4172" t="str">
            <v>准备工时</v>
          </cell>
          <cell r="G4172" t="str">
            <v>60</v>
          </cell>
          <cell r="H4172">
            <v>60</v>
          </cell>
          <cell r="I4172">
            <v>90</v>
          </cell>
          <cell r="J4172">
            <v>60</v>
          </cell>
        </row>
        <row r="4173">
          <cell r="B4173" t="str">
            <v>DD-J10B-04501-10-1-Z</v>
          </cell>
          <cell r="D4173" t="str">
            <v>F</v>
          </cell>
          <cell r="E4173" t="str">
            <v>装夹时间</v>
          </cell>
          <cell r="G4173" t="str">
            <v>60</v>
          </cell>
          <cell r="H4173">
            <v>60</v>
          </cell>
          <cell r="I4173">
            <v>90</v>
          </cell>
          <cell r="J4173">
            <v>90</v>
          </cell>
        </row>
        <row r="4174">
          <cell r="B4174" t="str">
            <v>DD-J10B-04501-10-1-Z</v>
          </cell>
          <cell r="D4174" t="str">
            <v>F</v>
          </cell>
          <cell r="E4174" t="str">
            <v>程序时间</v>
          </cell>
          <cell r="G4174" t="str">
            <v>240</v>
          </cell>
          <cell r="H4174">
            <v>180</v>
          </cell>
          <cell r="I4174">
            <v>1440</v>
          </cell>
          <cell r="J4174">
            <v>780</v>
          </cell>
          <cell r="L4174">
            <v>360</v>
          </cell>
        </row>
        <row r="4175">
          <cell r="B4175" t="str">
            <v>DD-J10B-04501-10-1-Y</v>
          </cell>
          <cell r="D4175" t="str">
            <v>F</v>
          </cell>
          <cell r="E4175" t="str">
            <v>工序内容</v>
          </cell>
          <cell r="F4175" t="str">
            <v>0/领料</v>
          </cell>
          <cell r="G4175" t="str">
            <v>05/数铣</v>
          </cell>
          <cell r="H4175" t="str">
            <v>10/数铣150</v>
          </cell>
          <cell r="I4175" t="str">
            <v>15/数铣990</v>
          </cell>
          <cell r="J4175" t="str">
            <v>20/数铣520</v>
          </cell>
          <cell r="K4175" t="str">
            <v>25/钳工</v>
          </cell>
          <cell r="L4175" t="str">
            <v>30/钳工</v>
          </cell>
          <cell r="M4175" t="str">
            <v>35时效</v>
          </cell>
          <cell r="N4175" t="str">
            <v>40/清洁</v>
          </cell>
          <cell r="O4175" t="str">
            <v>45/成检</v>
          </cell>
        </row>
        <row r="4176">
          <cell r="B4176" t="str">
            <v>DD-J10B-04501-10-1-Y</v>
          </cell>
          <cell r="D4176" t="str">
            <v>F</v>
          </cell>
          <cell r="E4176" t="str">
            <v>准备工时</v>
          </cell>
          <cell r="G4176" t="str">
            <v>60</v>
          </cell>
          <cell r="H4176">
            <v>60</v>
          </cell>
          <cell r="I4176">
            <v>90</v>
          </cell>
          <cell r="J4176">
            <v>60</v>
          </cell>
        </row>
        <row r="4177">
          <cell r="B4177" t="str">
            <v>DD-J10B-04501-10-1-Y</v>
          </cell>
          <cell r="D4177" t="str">
            <v>F</v>
          </cell>
          <cell r="E4177" t="str">
            <v>装夹时间</v>
          </cell>
          <cell r="G4177" t="str">
            <v>60</v>
          </cell>
          <cell r="H4177">
            <v>60</v>
          </cell>
          <cell r="I4177">
            <v>90</v>
          </cell>
          <cell r="J4177">
            <v>90</v>
          </cell>
        </row>
        <row r="4178">
          <cell r="B4178" t="str">
            <v>DD-J10B-04501-10-1-Y</v>
          </cell>
          <cell r="D4178" t="str">
            <v>F</v>
          </cell>
          <cell r="E4178" t="str">
            <v>程序时间</v>
          </cell>
          <cell r="G4178" t="str">
            <v>240</v>
          </cell>
          <cell r="H4178">
            <v>180</v>
          </cell>
          <cell r="I4178">
            <v>1440</v>
          </cell>
          <cell r="J4178">
            <v>780</v>
          </cell>
          <cell r="L4178">
            <v>360</v>
          </cell>
        </row>
        <row r="4179">
          <cell r="B4179" t="str">
            <v>DD-J10-55181-6</v>
          </cell>
          <cell r="D4179" t="str">
            <v>D</v>
          </cell>
          <cell r="E4179" t="str">
            <v>工序内容</v>
          </cell>
          <cell r="F4179" t="str">
            <v>0/领料</v>
          </cell>
          <cell r="G4179" t="str">
            <v>5/硬检</v>
          </cell>
          <cell r="H4179" t="str">
            <v>10/钳工</v>
          </cell>
          <cell r="I4179" t="str">
            <v>15/数车10</v>
          </cell>
          <cell r="J4179" t="str">
            <v>20/数车20</v>
          </cell>
          <cell r="K4179" t="str">
            <v>25/数车15</v>
          </cell>
          <cell r="L4179" t="str">
            <v>30/数车20</v>
          </cell>
          <cell r="M4179" t="str">
            <v>35/钳工</v>
          </cell>
          <cell r="N4179" t="str">
            <v>40/清洁</v>
          </cell>
          <cell r="O4179" t="str">
            <v>45/成检</v>
          </cell>
        </row>
        <row r="4180">
          <cell r="B4180" t="str">
            <v>DD-J10-55181-6</v>
          </cell>
          <cell r="D4180" t="str">
            <v>D</v>
          </cell>
          <cell r="E4180" t="str">
            <v>准备工时</v>
          </cell>
          <cell r="I4180">
            <v>150</v>
          </cell>
          <cell r="J4180">
            <v>180</v>
          </cell>
          <cell r="K4180">
            <v>180</v>
          </cell>
          <cell r="L4180" t="str">
            <v>180</v>
          </cell>
        </row>
        <row r="4181">
          <cell r="B4181" t="str">
            <v>DD-J10-55181-6</v>
          </cell>
          <cell r="D4181" t="str">
            <v>D</v>
          </cell>
          <cell r="E4181" t="str">
            <v>程序时间</v>
          </cell>
          <cell r="H4181">
            <v>20</v>
          </cell>
          <cell r="I4181">
            <v>15</v>
          </cell>
          <cell r="J4181">
            <v>30</v>
          </cell>
          <cell r="K4181">
            <v>25</v>
          </cell>
          <cell r="L4181" t="str">
            <v>30</v>
          </cell>
          <cell r="M4181" t="str">
            <v>35</v>
          </cell>
        </row>
        <row r="4182">
          <cell r="B4182" t="str">
            <v>DD-J10B-86031-510-4</v>
          </cell>
          <cell r="D4182" t="str">
            <v>B</v>
          </cell>
          <cell r="E4182" t="str">
            <v>工序内容</v>
          </cell>
          <cell r="F4182" t="str">
            <v>0/领料</v>
          </cell>
          <cell r="G4182" t="str">
            <v>5/数车12</v>
          </cell>
          <cell r="H4182" t="str">
            <v>10/数车3</v>
          </cell>
          <cell r="I4182" t="str">
            <v>15/数车12</v>
          </cell>
          <cell r="J4182" t="str">
            <v>20/数车3</v>
          </cell>
          <cell r="K4182" t="str">
            <v>25/钳工</v>
          </cell>
          <cell r="L4182" t="str">
            <v>40/清洁</v>
          </cell>
          <cell r="M4182" t="str">
            <v>45/成检</v>
          </cell>
        </row>
        <row r="4183">
          <cell r="B4183" t="str">
            <v>DD-J10B-86031-510-4</v>
          </cell>
          <cell r="D4183" t="str">
            <v>B</v>
          </cell>
          <cell r="E4183" t="str">
            <v>准备工时</v>
          </cell>
          <cell r="G4183">
            <v>60</v>
          </cell>
          <cell r="H4183">
            <v>60</v>
          </cell>
          <cell r="I4183">
            <v>60</v>
          </cell>
          <cell r="J4183">
            <v>60</v>
          </cell>
        </row>
        <row r="4184">
          <cell r="B4184" t="str">
            <v>DD-J10B-86031-510-4</v>
          </cell>
          <cell r="D4184" t="str">
            <v>B</v>
          </cell>
          <cell r="E4184" t="str">
            <v>程序时间</v>
          </cell>
          <cell r="G4184">
            <v>20</v>
          </cell>
          <cell r="H4184">
            <v>10</v>
          </cell>
          <cell r="I4184">
            <v>20</v>
          </cell>
          <cell r="J4184">
            <v>10</v>
          </cell>
          <cell r="K4184">
            <v>10</v>
          </cell>
        </row>
        <row r="4185">
          <cell r="B4185" t="str">
            <v>DD-J10-96031-121</v>
          </cell>
          <cell r="D4185" t="str">
            <v>C</v>
          </cell>
          <cell r="E4185" t="str">
            <v>工序内容</v>
          </cell>
          <cell r="F4185" t="str">
            <v>0/领料</v>
          </cell>
          <cell r="G4185" t="str">
            <v>5/数车</v>
          </cell>
          <cell r="H4185" t="str">
            <v>10/钳工</v>
          </cell>
          <cell r="I4185" t="str">
            <v>15/热处理</v>
          </cell>
          <cell r="J4185" t="str">
            <v>20/数车</v>
          </cell>
          <cell r="K4185" t="str">
            <v>25/数车</v>
          </cell>
          <cell r="L4185" t="str">
            <v>30/钳工</v>
          </cell>
          <cell r="M4185" t="str">
            <v>35/清洁</v>
          </cell>
          <cell r="N4185" t="str">
            <v>40/成检</v>
          </cell>
        </row>
        <row r="4186">
          <cell r="B4186" t="str">
            <v>DD-J10-96031-121</v>
          </cell>
          <cell r="D4186" t="str">
            <v>C</v>
          </cell>
          <cell r="E4186" t="str">
            <v>准备工时</v>
          </cell>
          <cell r="G4186">
            <v>60</v>
          </cell>
          <cell r="J4186">
            <v>60</v>
          </cell>
          <cell r="K4186">
            <v>90</v>
          </cell>
        </row>
        <row r="4187">
          <cell r="B4187" t="str">
            <v>DD-J10-96031-121</v>
          </cell>
          <cell r="D4187" t="str">
            <v>C</v>
          </cell>
          <cell r="E4187" t="str">
            <v>程序时间</v>
          </cell>
          <cell r="G4187" t="str">
            <v>60/根</v>
          </cell>
          <cell r="H4187">
            <v>15</v>
          </cell>
          <cell r="J4187">
            <v>35</v>
          </cell>
          <cell r="K4187">
            <v>15</v>
          </cell>
          <cell r="L4187">
            <v>25</v>
          </cell>
        </row>
        <row r="4188">
          <cell r="B4188" t="str">
            <v>DD-J10-41143-110-2</v>
          </cell>
          <cell r="D4188" t="str">
            <v>C</v>
          </cell>
          <cell r="E4188" t="str">
            <v>工序内容</v>
          </cell>
          <cell r="F4188" t="str">
            <v>0/领料</v>
          </cell>
          <cell r="G4188" t="str">
            <v>05/数车10</v>
          </cell>
          <cell r="H4188" t="str">
            <v>10/数车5</v>
          </cell>
          <cell r="I4188" t="str">
            <v>15/数铣3</v>
          </cell>
          <cell r="J4188" t="str">
            <v>20/数铣3</v>
          </cell>
          <cell r="K4188" t="str">
            <v>25/钳工</v>
          </cell>
          <cell r="L4188" t="str">
            <v>30/分光</v>
          </cell>
          <cell r="M4188" t="str">
            <v>35/钳工</v>
          </cell>
          <cell r="N4188" t="str">
            <v>40/清洁</v>
          </cell>
          <cell r="O4188" t="str">
            <v>45/成检</v>
          </cell>
        </row>
        <row r="4189">
          <cell r="B4189" t="str">
            <v>DD-J10-41143-110-2</v>
          </cell>
          <cell r="D4189" t="str">
            <v>C</v>
          </cell>
          <cell r="E4189" t="str">
            <v>准备工时</v>
          </cell>
          <cell r="G4189">
            <v>60</v>
          </cell>
          <cell r="H4189">
            <v>60</v>
          </cell>
          <cell r="I4189">
            <v>60</v>
          </cell>
          <cell r="J4189">
            <v>60</v>
          </cell>
        </row>
        <row r="4190">
          <cell r="B4190" t="str">
            <v>DD-J10-41143-110-2</v>
          </cell>
          <cell r="D4190" t="str">
            <v>C</v>
          </cell>
          <cell r="E4190" t="str">
            <v>程序时间</v>
          </cell>
          <cell r="G4190">
            <v>15</v>
          </cell>
          <cell r="H4190">
            <v>10</v>
          </cell>
          <cell r="I4190">
            <v>15</v>
          </cell>
          <cell r="J4190">
            <v>15</v>
          </cell>
          <cell r="K4190">
            <v>10</v>
          </cell>
          <cell r="M4190">
            <v>5</v>
          </cell>
        </row>
        <row r="4191">
          <cell r="B4191" t="str">
            <v>DD-J10-55165-1460-3</v>
          </cell>
          <cell r="D4191" t="str">
            <v>B</v>
          </cell>
          <cell r="E4191" t="str">
            <v>工序内容</v>
          </cell>
          <cell r="F4191" t="str">
            <v>0/领料</v>
          </cell>
          <cell r="G4191" t="str">
            <v>5/数车15</v>
          </cell>
          <cell r="H4191" t="str">
            <v>10/数车5</v>
          </cell>
          <cell r="I4191" t="str">
            <v>15/钳工</v>
          </cell>
          <cell r="J4191" t="str">
            <v>20/清洁</v>
          </cell>
          <cell r="K4191" t="str">
            <v>25/成检</v>
          </cell>
        </row>
        <row r="4192">
          <cell r="B4192" t="str">
            <v>DD-J10-55165-1460-3</v>
          </cell>
          <cell r="D4192" t="str">
            <v>B</v>
          </cell>
          <cell r="E4192" t="str">
            <v>准备工时</v>
          </cell>
          <cell r="G4192">
            <v>60</v>
          </cell>
          <cell r="H4192">
            <v>60</v>
          </cell>
        </row>
        <row r="4193">
          <cell r="B4193" t="str">
            <v>DD-J10-55165-1460-3</v>
          </cell>
          <cell r="D4193" t="str">
            <v>B</v>
          </cell>
          <cell r="E4193" t="str">
            <v>程序时间</v>
          </cell>
          <cell r="G4193">
            <v>25</v>
          </cell>
          <cell r="H4193">
            <v>10</v>
          </cell>
          <cell r="I4193">
            <v>6</v>
          </cell>
        </row>
        <row r="4194">
          <cell r="B4194" t="str">
            <v>DD-J10-55165-1460-3</v>
          </cell>
          <cell r="D4194" t="str">
            <v>C</v>
          </cell>
          <cell r="E4194" t="str">
            <v>工序内容</v>
          </cell>
          <cell r="F4194" t="str">
            <v>0/领料</v>
          </cell>
          <cell r="G4194" t="str">
            <v>5/数车15</v>
          </cell>
          <cell r="H4194" t="str">
            <v>10/数车5</v>
          </cell>
          <cell r="I4194" t="str">
            <v>15/钳工</v>
          </cell>
          <cell r="J4194" t="str">
            <v>20/清洁</v>
          </cell>
          <cell r="K4194" t="str">
            <v>25/成检</v>
          </cell>
        </row>
        <row r="4195">
          <cell r="B4195" t="str">
            <v>DD-J10-55165-1460-3</v>
          </cell>
          <cell r="D4195" t="str">
            <v>C</v>
          </cell>
          <cell r="E4195" t="str">
            <v>准备工时</v>
          </cell>
          <cell r="G4195">
            <v>60</v>
          </cell>
          <cell r="H4195">
            <v>60</v>
          </cell>
        </row>
        <row r="4196">
          <cell r="B4196" t="str">
            <v>DD-J10-55165-1460-3</v>
          </cell>
          <cell r="D4196" t="str">
            <v>C</v>
          </cell>
          <cell r="E4196" t="str">
            <v>程序时间</v>
          </cell>
          <cell r="G4196">
            <v>25</v>
          </cell>
          <cell r="H4196">
            <v>10</v>
          </cell>
          <cell r="I4196">
            <v>6</v>
          </cell>
        </row>
        <row r="4197">
          <cell r="B4197" t="str">
            <v>DD-J10-96031-111</v>
          </cell>
          <cell r="D4197" t="str">
            <v>D</v>
          </cell>
          <cell r="E4197" t="str">
            <v>工序内容</v>
          </cell>
          <cell r="F4197" t="str">
            <v>0/领料</v>
          </cell>
          <cell r="G4197" t="str">
            <v>5/数车5</v>
          </cell>
          <cell r="H4197" t="str">
            <v>10/滚花</v>
          </cell>
          <cell r="I4197" t="str">
            <v>15/数车12</v>
          </cell>
          <cell r="J4197" t="str">
            <v>20/数车3</v>
          </cell>
          <cell r="K4197" t="str">
            <v>25/钳工</v>
          </cell>
          <cell r="L4197" t="str">
            <v>30/清洁</v>
          </cell>
          <cell r="M4197" t="str">
            <v>35/成检</v>
          </cell>
        </row>
        <row r="4198">
          <cell r="B4198" t="str">
            <v>DD-J10-96031-111</v>
          </cell>
          <cell r="D4198" t="str">
            <v>D</v>
          </cell>
          <cell r="E4198" t="str">
            <v>准备工时</v>
          </cell>
          <cell r="G4198">
            <v>60</v>
          </cell>
          <cell r="H4198">
            <v>60</v>
          </cell>
          <cell r="I4198">
            <v>60</v>
          </cell>
          <cell r="J4198">
            <v>60</v>
          </cell>
        </row>
        <row r="4199">
          <cell r="B4199" t="str">
            <v>DD-J10-96031-111</v>
          </cell>
          <cell r="D4199" t="str">
            <v>D</v>
          </cell>
          <cell r="E4199" t="str">
            <v>程序时间</v>
          </cell>
          <cell r="G4199">
            <v>15</v>
          </cell>
          <cell r="H4199">
            <v>15</v>
          </cell>
          <cell r="I4199">
            <v>20</v>
          </cell>
          <cell r="J4199">
            <v>10</v>
          </cell>
          <cell r="K4199">
            <v>10</v>
          </cell>
        </row>
        <row r="4200">
          <cell r="B4200" t="str">
            <v>DD-J10B-41163-30-1</v>
          </cell>
          <cell r="D4200" t="str">
            <v>B</v>
          </cell>
          <cell r="E4200" t="str">
            <v>工序内容</v>
          </cell>
          <cell r="F4200" t="str">
            <v>0/领料</v>
          </cell>
          <cell r="G4200" t="str">
            <v>5/数车6</v>
          </cell>
          <cell r="H4200" t="str">
            <v>10/数车9</v>
          </cell>
          <cell r="I4200" t="str">
            <v>15/钳工</v>
          </cell>
          <cell r="J4200" t="str">
            <v>20/清洁</v>
          </cell>
          <cell r="K4200" t="str">
            <v>25/成检</v>
          </cell>
        </row>
        <row r="4201">
          <cell r="B4201" t="str">
            <v>DD-J10B-41163-30-1</v>
          </cell>
          <cell r="D4201" t="str">
            <v>B</v>
          </cell>
          <cell r="E4201" t="str">
            <v>准备工时</v>
          </cell>
          <cell r="G4201">
            <v>60</v>
          </cell>
          <cell r="H4201">
            <v>60</v>
          </cell>
        </row>
        <row r="4202">
          <cell r="B4202" t="str">
            <v>DD-J10B-41163-30-1</v>
          </cell>
          <cell r="D4202" t="str">
            <v>B</v>
          </cell>
          <cell r="E4202" t="str">
            <v>程序时间</v>
          </cell>
          <cell r="G4202">
            <v>15</v>
          </cell>
          <cell r="H4202">
            <v>20</v>
          </cell>
          <cell r="I4202">
            <v>4</v>
          </cell>
        </row>
        <row r="4203">
          <cell r="B4203" t="str">
            <v>DD-J10-61052-172</v>
          </cell>
          <cell r="D4203" t="str">
            <v>B</v>
          </cell>
          <cell r="E4203" t="str">
            <v>工序内容</v>
          </cell>
          <cell r="F4203" t="str">
            <v>0/领料</v>
          </cell>
          <cell r="G4203" t="str">
            <v>05/数车30</v>
          </cell>
          <cell r="H4203" t="str">
            <v>10/数车5</v>
          </cell>
          <cell r="I4203" t="str">
            <v>15/分光</v>
          </cell>
          <cell r="J4203" t="str">
            <v>20/车铣20</v>
          </cell>
          <cell r="K4203" t="str">
            <v>25/穿孔</v>
          </cell>
          <cell r="L4203" t="str">
            <v>30/钳工</v>
          </cell>
          <cell r="M4203" t="str">
            <v>35/清洁</v>
          </cell>
          <cell r="N4203" t="str">
            <v>40/成检</v>
          </cell>
        </row>
        <row r="4204">
          <cell r="B4204" t="str">
            <v>DD-J10-61052-172</v>
          </cell>
          <cell r="D4204" t="str">
            <v>B</v>
          </cell>
          <cell r="E4204" t="str">
            <v>准备工时</v>
          </cell>
          <cell r="G4204">
            <v>90</v>
          </cell>
          <cell r="H4204">
            <v>60</v>
          </cell>
          <cell r="J4204">
            <v>120</v>
          </cell>
        </row>
        <row r="4205">
          <cell r="B4205" t="str">
            <v>DD-J10-61052-172</v>
          </cell>
          <cell r="D4205" t="str">
            <v>B</v>
          </cell>
          <cell r="E4205" t="str">
            <v>程序时间</v>
          </cell>
          <cell r="G4205">
            <v>30</v>
          </cell>
          <cell r="H4205">
            <v>10</v>
          </cell>
          <cell r="J4205">
            <v>35</v>
          </cell>
          <cell r="K4205">
            <v>15</v>
          </cell>
          <cell r="L4205">
            <v>25</v>
          </cell>
        </row>
        <row r="4206">
          <cell r="B4206" t="str">
            <v>DD-J10-61031-44</v>
          </cell>
          <cell r="D4206" t="str">
            <v>C</v>
          </cell>
          <cell r="E4206" t="str">
            <v>工序内容</v>
          </cell>
          <cell r="F4206" t="str">
            <v>0/领料</v>
          </cell>
          <cell r="G4206" t="str">
            <v>05/线切割</v>
          </cell>
          <cell r="H4206" t="str">
            <v>10/数铣</v>
          </cell>
          <cell r="I4206" t="str">
            <v>15/数铣40</v>
          </cell>
          <cell r="J4206" t="str">
            <v>20/数铣5</v>
          </cell>
          <cell r="K4206" t="str">
            <v>25/数铣5</v>
          </cell>
          <cell r="L4206" t="str">
            <v>30/数铣5</v>
          </cell>
          <cell r="M4206" t="str">
            <v>35/钳工</v>
          </cell>
          <cell r="N4206" t="str">
            <v>40/清洁</v>
          </cell>
          <cell r="O4206" t="str">
            <v>45/成检</v>
          </cell>
        </row>
        <row r="4207">
          <cell r="B4207" t="str">
            <v>DD-J10-61031-44</v>
          </cell>
          <cell r="D4207" t="str">
            <v>C</v>
          </cell>
          <cell r="E4207" t="str">
            <v>准备工时</v>
          </cell>
          <cell r="H4207">
            <v>60</v>
          </cell>
          <cell r="I4207">
            <v>90</v>
          </cell>
          <cell r="J4207">
            <v>60</v>
          </cell>
          <cell r="K4207">
            <v>60</v>
          </cell>
          <cell r="L4207">
            <v>60</v>
          </cell>
        </row>
        <row r="4208">
          <cell r="B4208" t="str">
            <v>DD-J10-61031-44</v>
          </cell>
          <cell r="D4208" t="str">
            <v>C</v>
          </cell>
          <cell r="E4208" t="str">
            <v>程序时间</v>
          </cell>
          <cell r="H4208">
            <v>20</v>
          </cell>
          <cell r="I4208">
            <v>60</v>
          </cell>
          <cell r="J4208">
            <v>30</v>
          </cell>
          <cell r="K4208">
            <v>25</v>
          </cell>
          <cell r="L4208">
            <v>25</v>
          </cell>
          <cell r="M4208">
            <v>30</v>
          </cell>
        </row>
        <row r="4209">
          <cell r="B4209" t="str">
            <v>CB229C071-001L001</v>
          </cell>
          <cell r="D4209" t="str">
            <v>D</v>
          </cell>
          <cell r="E4209" t="str">
            <v>工序内容</v>
          </cell>
          <cell r="F4209" t="str">
            <v>0/领料</v>
          </cell>
          <cell r="G4209" t="str">
            <v>5/下料</v>
          </cell>
          <cell r="H4209" t="str">
            <v>10/数铣</v>
          </cell>
          <cell r="I4209" t="str">
            <v>15/数铣30</v>
          </cell>
          <cell r="J4209" t="str">
            <v>20/数铣30</v>
          </cell>
          <cell r="K4209" t="str">
            <v>25/数铣75</v>
          </cell>
          <cell r="L4209" t="str">
            <v>30/钳工</v>
          </cell>
          <cell r="M4209" t="str">
            <v>35/硬检</v>
          </cell>
          <cell r="N4209" t="str">
            <v>40/分光</v>
          </cell>
          <cell r="O4209" t="str">
            <v>45/线切割</v>
          </cell>
          <cell r="P4209" t="str">
            <v>50/数铣60</v>
          </cell>
          <cell r="Q4209" t="str">
            <v>55/钳工</v>
          </cell>
          <cell r="R4209" t="str">
            <v>60/清洁</v>
          </cell>
          <cell r="S4209" t="str">
            <v>65/成检</v>
          </cell>
        </row>
        <row r="4210">
          <cell r="B4210" t="str">
            <v>CB229C071-001L001</v>
          </cell>
          <cell r="D4210" t="str">
            <v>D</v>
          </cell>
          <cell r="E4210" t="str">
            <v>准备工时</v>
          </cell>
          <cell r="H4210">
            <v>60</v>
          </cell>
          <cell r="I4210">
            <v>90</v>
          </cell>
          <cell r="J4210">
            <v>60</v>
          </cell>
          <cell r="K4210">
            <v>90</v>
          </cell>
          <cell r="P4210">
            <v>60</v>
          </cell>
        </row>
        <row r="4211">
          <cell r="B4211" t="str">
            <v>CB229C071-001L001</v>
          </cell>
          <cell r="D4211" t="str">
            <v>D</v>
          </cell>
          <cell r="E4211" t="str">
            <v>程序时间</v>
          </cell>
          <cell r="H4211">
            <v>40</v>
          </cell>
          <cell r="I4211">
            <v>20</v>
          </cell>
          <cell r="J4211">
            <v>20</v>
          </cell>
          <cell r="K4211">
            <v>80</v>
          </cell>
          <cell r="L4211">
            <v>30</v>
          </cell>
          <cell r="P4211">
            <v>60</v>
          </cell>
          <cell r="Q4211">
            <v>15</v>
          </cell>
        </row>
        <row r="4212">
          <cell r="B4212" t="str">
            <v>CB229C071-001R001</v>
          </cell>
          <cell r="D4212" t="str">
            <v>D</v>
          </cell>
          <cell r="E4212" t="str">
            <v>工序内容</v>
          </cell>
          <cell r="F4212" t="str">
            <v>0/领料</v>
          </cell>
          <cell r="G4212" t="str">
            <v>5/下料</v>
          </cell>
          <cell r="H4212" t="str">
            <v>10/数铣</v>
          </cell>
          <cell r="I4212" t="str">
            <v>15/数铣30</v>
          </cell>
          <cell r="J4212" t="str">
            <v>20/数铣30</v>
          </cell>
          <cell r="K4212" t="str">
            <v>25/数铣75</v>
          </cell>
          <cell r="L4212" t="str">
            <v>30/钳工</v>
          </cell>
          <cell r="M4212" t="str">
            <v>35/硬检</v>
          </cell>
          <cell r="N4212" t="str">
            <v>40/分光</v>
          </cell>
          <cell r="O4212" t="str">
            <v>45/线切割</v>
          </cell>
          <cell r="P4212" t="str">
            <v>50/数铣60</v>
          </cell>
          <cell r="Q4212" t="str">
            <v>55/钳工</v>
          </cell>
          <cell r="R4212" t="str">
            <v>60/清洁</v>
          </cell>
          <cell r="S4212" t="str">
            <v>65/成检</v>
          </cell>
        </row>
        <row r="4213">
          <cell r="B4213" t="str">
            <v>CB229C071-001R001</v>
          </cell>
          <cell r="D4213" t="str">
            <v>D</v>
          </cell>
          <cell r="E4213" t="str">
            <v>准备工时</v>
          </cell>
          <cell r="H4213">
            <v>60</v>
          </cell>
          <cell r="I4213">
            <v>90</v>
          </cell>
          <cell r="J4213">
            <v>60</v>
          </cell>
          <cell r="K4213">
            <v>90</v>
          </cell>
          <cell r="P4213">
            <v>60</v>
          </cell>
        </row>
        <row r="4214">
          <cell r="B4214" t="str">
            <v>CB229C071-001R001</v>
          </cell>
          <cell r="D4214" t="str">
            <v>D</v>
          </cell>
          <cell r="E4214" t="str">
            <v>程序时间</v>
          </cell>
          <cell r="H4214">
            <v>40</v>
          </cell>
          <cell r="I4214">
            <v>20</v>
          </cell>
          <cell r="J4214">
            <v>20</v>
          </cell>
          <cell r="K4214">
            <v>80</v>
          </cell>
          <cell r="L4214">
            <v>30</v>
          </cell>
          <cell r="P4214">
            <v>60</v>
          </cell>
          <cell r="Q4214">
            <v>15</v>
          </cell>
        </row>
        <row r="4215">
          <cell r="B4215" t="str">
            <v>DD-J10-61041-2</v>
          </cell>
          <cell r="D4215" t="str">
            <v>D</v>
          </cell>
          <cell r="E4215" t="str">
            <v>工序内容</v>
          </cell>
          <cell r="F4215" t="str">
            <v>0/领料</v>
          </cell>
          <cell r="G4215" t="str">
            <v>05/数车15</v>
          </cell>
          <cell r="H4215" t="str">
            <v>10/数车30</v>
          </cell>
          <cell r="I4215" t="str">
            <v>15/分光</v>
          </cell>
          <cell r="J4215" t="str">
            <v>20/硬度</v>
          </cell>
          <cell r="K4215" t="str">
            <v>25/数车20</v>
          </cell>
          <cell r="L4215" t="str">
            <v>30/数铣20</v>
          </cell>
          <cell r="M4215" t="str">
            <v>35/钳工</v>
          </cell>
          <cell r="N4215" t="str">
            <v>40/清洁</v>
          </cell>
          <cell r="O4215" t="str">
            <v>45/成检</v>
          </cell>
        </row>
        <row r="4216">
          <cell r="B4216" t="str">
            <v>DD-J10-61041-2</v>
          </cell>
          <cell r="D4216" t="str">
            <v>D</v>
          </cell>
          <cell r="E4216" t="str">
            <v>准备工时</v>
          </cell>
          <cell r="G4216">
            <v>60</v>
          </cell>
          <cell r="H4216">
            <v>90</v>
          </cell>
          <cell r="K4216">
            <v>90</v>
          </cell>
          <cell r="L4216">
            <v>60</v>
          </cell>
        </row>
        <row r="4217">
          <cell r="B4217" t="str">
            <v>DD-J10-61041-2</v>
          </cell>
          <cell r="D4217" t="str">
            <v>D</v>
          </cell>
          <cell r="E4217" t="str">
            <v>程序时间</v>
          </cell>
          <cell r="G4217">
            <v>20</v>
          </cell>
          <cell r="H4217">
            <v>35</v>
          </cell>
          <cell r="K4217">
            <v>30</v>
          </cell>
          <cell r="L4217">
            <v>35</v>
          </cell>
          <cell r="M4217">
            <v>25</v>
          </cell>
        </row>
        <row r="4218">
          <cell r="B4218" t="str">
            <v>DD-J10-06031-404</v>
          </cell>
          <cell r="D4218" t="str">
            <v>C</v>
          </cell>
          <cell r="E4218" t="str">
            <v>工序内容</v>
          </cell>
          <cell r="F4218" t="str">
            <v>0/领料</v>
          </cell>
          <cell r="G4218" t="str">
            <v>5/数铣</v>
          </cell>
          <cell r="H4218" t="str">
            <v>10/数铣20</v>
          </cell>
          <cell r="I4218" t="str">
            <v>15/数铣</v>
          </cell>
          <cell r="J4218" t="str">
            <v>20/分光</v>
          </cell>
          <cell r="K4218" t="str">
            <v>25/硬检</v>
          </cell>
          <cell r="L4218" t="str">
            <v>30/数铣20</v>
          </cell>
          <cell r="M4218" t="str">
            <v>35/数铣15</v>
          </cell>
          <cell r="N4218" t="str">
            <v>40/数铣35</v>
          </cell>
          <cell r="O4218" t="str">
            <v>45/五轴30</v>
          </cell>
          <cell r="P4218" t="str">
            <v>50/数铣5</v>
          </cell>
          <cell r="Q4218" t="str">
            <v>55/钳工</v>
          </cell>
          <cell r="R4218" t="str">
            <v>60/清洁</v>
          </cell>
          <cell r="S4218" t="str">
            <v>65/成检</v>
          </cell>
        </row>
        <row r="4219">
          <cell r="B4219" t="str">
            <v>DD-J10-06031-404</v>
          </cell>
          <cell r="D4219" t="str">
            <v>C</v>
          </cell>
          <cell r="E4219" t="str">
            <v>准备工时</v>
          </cell>
          <cell r="G4219">
            <v>60</v>
          </cell>
          <cell r="H4219">
            <v>60</v>
          </cell>
          <cell r="I4219">
            <v>60</v>
          </cell>
          <cell r="L4219" t="str">
            <v>60</v>
          </cell>
          <cell r="M4219" t="str">
            <v>60</v>
          </cell>
          <cell r="N4219" t="str">
            <v>90</v>
          </cell>
          <cell r="O4219">
            <v>90</v>
          </cell>
          <cell r="P4219">
            <v>60</v>
          </cell>
        </row>
        <row r="4220">
          <cell r="B4220" t="str">
            <v>DD-J10-06031-404</v>
          </cell>
          <cell r="D4220" t="str">
            <v>C</v>
          </cell>
          <cell r="E4220" t="str">
            <v>装夹时间</v>
          </cell>
          <cell r="O4220">
            <v>30</v>
          </cell>
        </row>
        <row r="4221">
          <cell r="B4221" t="str">
            <v>DD-J10-06031-404</v>
          </cell>
          <cell r="D4221" t="str">
            <v>C</v>
          </cell>
          <cell r="E4221" t="str">
            <v>程序时间</v>
          </cell>
          <cell r="G4221">
            <v>20</v>
          </cell>
          <cell r="H4221">
            <v>35</v>
          </cell>
          <cell r="I4221">
            <v>25</v>
          </cell>
          <cell r="L4221" t="str">
            <v>40</v>
          </cell>
          <cell r="M4221" t="str">
            <v>30</v>
          </cell>
          <cell r="N4221" t="str">
            <v>60</v>
          </cell>
          <cell r="O4221">
            <v>120</v>
          </cell>
          <cell r="P4221">
            <v>25</v>
          </cell>
          <cell r="Q4221">
            <v>80</v>
          </cell>
        </row>
        <row r="4222">
          <cell r="B4222" t="str">
            <v>521A000000X009</v>
          </cell>
          <cell r="D4222" t="str">
            <v>B</v>
          </cell>
          <cell r="E4222" t="str">
            <v>工序内容</v>
          </cell>
          <cell r="F4222" t="str">
            <v>00/领料</v>
          </cell>
          <cell r="G4222" t="str">
            <v>05/数车20</v>
          </cell>
          <cell r="H4222" t="str">
            <v>10/数车10</v>
          </cell>
          <cell r="I4222" t="str">
            <v>15/清洁</v>
          </cell>
          <cell r="J4222" t="str">
            <v>20/检验</v>
          </cell>
        </row>
        <row r="4223">
          <cell r="B4223" t="str">
            <v>521A000000X009</v>
          </cell>
          <cell r="D4223" t="str">
            <v>B</v>
          </cell>
          <cell r="E4223" t="str">
            <v>准备工时</v>
          </cell>
          <cell r="G4223">
            <v>90</v>
          </cell>
          <cell r="H4223">
            <v>60</v>
          </cell>
        </row>
        <row r="4224">
          <cell r="B4224" t="str">
            <v>521A000000X009</v>
          </cell>
          <cell r="D4224" t="str">
            <v>B</v>
          </cell>
          <cell r="E4224" t="str">
            <v>程序时间</v>
          </cell>
          <cell r="G4224">
            <v>25</v>
          </cell>
          <cell r="H4224">
            <v>15</v>
          </cell>
        </row>
        <row r="4225">
          <cell r="B4225" t="str">
            <v>Y20-5317001074-501</v>
          </cell>
          <cell r="D4225" t="str">
            <v>B</v>
          </cell>
          <cell r="E4225" t="str">
            <v>工序内容</v>
          </cell>
          <cell r="F4225" t="str">
            <v>0/领料</v>
          </cell>
          <cell r="G4225" t="str">
            <v>5/数铣</v>
          </cell>
          <cell r="H4225" t="str">
            <v>10/数铣20</v>
          </cell>
          <cell r="I4225" t="str">
            <v>15/数铣100</v>
          </cell>
          <cell r="J4225" t="str">
            <v>20/数铣</v>
          </cell>
          <cell r="K4225" t="str">
            <v>25/数铣130</v>
          </cell>
          <cell r="L4225" t="str">
            <v>30/数铣200</v>
          </cell>
          <cell r="M4225" t="str">
            <v>35/测量</v>
          </cell>
          <cell r="N4225" t="str">
            <v>40/钳工</v>
          </cell>
          <cell r="O4225" t="str">
            <v>45/清洁</v>
          </cell>
          <cell r="P4225" t="str">
            <v>50/成检</v>
          </cell>
        </row>
        <row r="4226">
          <cell r="B4226" t="str">
            <v>Y20-5317001074-501</v>
          </cell>
          <cell r="D4226" t="str">
            <v>B</v>
          </cell>
          <cell r="E4226" t="str">
            <v>准备工时</v>
          </cell>
          <cell r="G4226">
            <v>60</v>
          </cell>
          <cell r="H4226">
            <v>90</v>
          </cell>
          <cell r="I4226">
            <v>90</v>
          </cell>
          <cell r="J4226">
            <v>60</v>
          </cell>
          <cell r="K4226">
            <v>90</v>
          </cell>
          <cell r="L4226">
            <v>90</v>
          </cell>
        </row>
        <row r="4227">
          <cell r="B4227" t="str">
            <v>Y20-5317001074-501</v>
          </cell>
          <cell r="D4227" t="str">
            <v>B</v>
          </cell>
          <cell r="E4227" t="str">
            <v>装夹时间</v>
          </cell>
          <cell r="H4227">
            <v>60</v>
          </cell>
          <cell r="I4227">
            <v>60</v>
          </cell>
          <cell r="J4227">
            <v>60</v>
          </cell>
          <cell r="K4227">
            <v>60</v>
          </cell>
          <cell r="L4227">
            <v>60</v>
          </cell>
        </row>
        <row r="4228">
          <cell r="B4228" t="str">
            <v>Y20-5317001074-501</v>
          </cell>
          <cell r="D4228" t="str">
            <v>B</v>
          </cell>
          <cell r="E4228" t="str">
            <v>程序时间</v>
          </cell>
          <cell r="G4228">
            <v>90</v>
          </cell>
          <cell r="H4228">
            <v>60</v>
          </cell>
          <cell r="I4228">
            <v>150</v>
          </cell>
          <cell r="J4228">
            <v>120</v>
          </cell>
          <cell r="K4228">
            <v>180</v>
          </cell>
          <cell r="L4228">
            <v>240</v>
          </cell>
          <cell r="N4228">
            <v>60</v>
          </cell>
        </row>
        <row r="4229">
          <cell r="B4229" t="str">
            <v>Y20-5317001074-502</v>
          </cell>
          <cell r="D4229" t="str">
            <v>B</v>
          </cell>
          <cell r="E4229" t="str">
            <v>工序内容</v>
          </cell>
          <cell r="F4229" t="str">
            <v>0/领料</v>
          </cell>
          <cell r="G4229" t="str">
            <v>5/数铣</v>
          </cell>
          <cell r="H4229" t="str">
            <v>10/数铣20</v>
          </cell>
          <cell r="I4229" t="str">
            <v>15/数铣100</v>
          </cell>
          <cell r="J4229" t="str">
            <v>20/数铣</v>
          </cell>
          <cell r="K4229" t="str">
            <v>25/数铣130</v>
          </cell>
          <cell r="L4229" t="str">
            <v>30/数铣200</v>
          </cell>
          <cell r="M4229" t="str">
            <v>35/测量</v>
          </cell>
          <cell r="N4229" t="str">
            <v>40/钳工</v>
          </cell>
          <cell r="O4229" t="str">
            <v>45/清洁</v>
          </cell>
          <cell r="P4229" t="str">
            <v>50/成检</v>
          </cell>
        </row>
        <row r="4230">
          <cell r="B4230" t="str">
            <v>Y20-5317001074-502</v>
          </cell>
          <cell r="D4230" t="str">
            <v>B</v>
          </cell>
          <cell r="E4230" t="str">
            <v>准备工时</v>
          </cell>
          <cell r="G4230">
            <v>60</v>
          </cell>
          <cell r="H4230">
            <v>90</v>
          </cell>
          <cell r="I4230">
            <v>90</v>
          </cell>
          <cell r="J4230">
            <v>60</v>
          </cell>
          <cell r="K4230">
            <v>90</v>
          </cell>
          <cell r="L4230">
            <v>90</v>
          </cell>
        </row>
        <row r="4231">
          <cell r="B4231" t="str">
            <v>Y20-5317001074-502</v>
          </cell>
          <cell r="D4231" t="str">
            <v>B</v>
          </cell>
          <cell r="E4231" t="str">
            <v>装夹时间</v>
          </cell>
          <cell r="H4231">
            <v>60</v>
          </cell>
          <cell r="I4231">
            <v>60</v>
          </cell>
          <cell r="J4231">
            <v>60</v>
          </cell>
          <cell r="K4231">
            <v>60</v>
          </cell>
          <cell r="L4231">
            <v>60</v>
          </cell>
        </row>
        <row r="4232">
          <cell r="B4232" t="str">
            <v>Y20-5317001074-502</v>
          </cell>
          <cell r="D4232" t="str">
            <v>B</v>
          </cell>
          <cell r="E4232" t="str">
            <v>程序时间</v>
          </cell>
          <cell r="G4232">
            <v>90</v>
          </cell>
          <cell r="H4232">
            <v>60</v>
          </cell>
          <cell r="I4232">
            <v>150</v>
          </cell>
          <cell r="J4232">
            <v>120</v>
          </cell>
          <cell r="K4232">
            <v>180</v>
          </cell>
          <cell r="L4232">
            <v>240</v>
          </cell>
          <cell r="N4232">
            <v>60</v>
          </cell>
        </row>
        <row r="4233">
          <cell r="B4233" t="str">
            <v>DD-J10-06031-404</v>
          </cell>
          <cell r="D4233" t="str">
            <v>B</v>
          </cell>
          <cell r="E4233" t="str">
            <v>工序内容</v>
          </cell>
          <cell r="F4233" t="str">
            <v>0/领料</v>
          </cell>
          <cell r="G4233" t="str">
            <v>5/数铣</v>
          </cell>
          <cell r="H4233" t="str">
            <v>10/数铣20</v>
          </cell>
          <cell r="I4233" t="str">
            <v>15/数铣</v>
          </cell>
          <cell r="J4233" t="str">
            <v>20/分光</v>
          </cell>
          <cell r="K4233" t="str">
            <v>25/硬检</v>
          </cell>
          <cell r="L4233" t="str">
            <v>30/数铣20</v>
          </cell>
          <cell r="M4233" t="str">
            <v>35/数铣15</v>
          </cell>
          <cell r="N4233" t="str">
            <v>38/数铣15</v>
          </cell>
          <cell r="O4233" t="str">
            <v>40/数铣35</v>
          </cell>
          <cell r="P4233" t="str">
            <v>45/五轴30</v>
          </cell>
          <cell r="Q4233" t="str">
            <v>50/数铣5</v>
          </cell>
          <cell r="R4233" t="str">
            <v>55/钳工</v>
          </cell>
          <cell r="S4233" t="str">
            <v>60/清洁</v>
          </cell>
          <cell r="T4233" t="str">
            <v>65/成检</v>
          </cell>
        </row>
        <row r="4234">
          <cell r="B4234" t="str">
            <v>DD-J10-06031-404</v>
          </cell>
          <cell r="D4234" t="str">
            <v>B</v>
          </cell>
          <cell r="E4234" t="str">
            <v>准备工时</v>
          </cell>
          <cell r="G4234">
            <v>60</v>
          </cell>
          <cell r="H4234">
            <v>60</v>
          </cell>
          <cell r="I4234">
            <v>60</v>
          </cell>
          <cell r="L4234" t="str">
            <v>60</v>
          </cell>
          <cell r="M4234" t="str">
            <v>60</v>
          </cell>
          <cell r="N4234">
            <v>60</v>
          </cell>
          <cell r="O4234" t="str">
            <v>90</v>
          </cell>
          <cell r="P4234">
            <v>90</v>
          </cell>
          <cell r="Q4234">
            <v>60</v>
          </cell>
        </row>
        <row r="4235">
          <cell r="B4235" t="str">
            <v>DD-J10-06031-404</v>
          </cell>
          <cell r="D4235" t="str">
            <v>B</v>
          </cell>
          <cell r="E4235" t="str">
            <v>装夹时间</v>
          </cell>
          <cell r="P4235">
            <v>30</v>
          </cell>
        </row>
        <row r="4236">
          <cell r="B4236" t="str">
            <v>DD-J10-06031-404</v>
          </cell>
          <cell r="D4236" t="str">
            <v>B</v>
          </cell>
          <cell r="E4236" t="str">
            <v>程序时间</v>
          </cell>
          <cell r="G4236">
            <v>20</v>
          </cell>
          <cell r="H4236">
            <v>35</v>
          </cell>
          <cell r="I4236">
            <v>25</v>
          </cell>
          <cell r="L4236" t="str">
            <v>40</v>
          </cell>
          <cell r="M4236" t="str">
            <v>30</v>
          </cell>
          <cell r="N4236">
            <v>30</v>
          </cell>
          <cell r="O4236" t="str">
            <v>60</v>
          </cell>
          <cell r="P4236">
            <v>120</v>
          </cell>
          <cell r="Q4236">
            <v>25</v>
          </cell>
          <cell r="R4236">
            <v>80</v>
          </cell>
        </row>
        <row r="4237">
          <cell r="B4237" t="str">
            <v>C532210921-001L001</v>
          </cell>
          <cell r="D4237" t="str">
            <v>B</v>
          </cell>
          <cell r="E4237" t="str">
            <v>工序内容</v>
          </cell>
          <cell r="F4237" t="str">
            <v>0领料</v>
          </cell>
          <cell r="G4237" t="str">
            <v>5普铣</v>
          </cell>
          <cell r="H4237" t="str">
            <v>10/数铣240</v>
          </cell>
          <cell r="I4237" t="str">
            <v>15/数铣250</v>
          </cell>
          <cell r="J4237" t="str">
            <v>20/钳工</v>
          </cell>
          <cell r="K4237" t="str">
            <v>25/超探</v>
          </cell>
          <cell r="L4237" t="str">
            <v>30/检验</v>
          </cell>
          <cell r="M4237" t="str">
            <v>35/普铣</v>
          </cell>
          <cell r="N4237" t="str">
            <v>40/数铣40</v>
          </cell>
          <cell r="O4237" t="str">
            <v>45/数铣20</v>
          </cell>
          <cell r="P4237" t="str">
            <v>50/数铣1000</v>
          </cell>
          <cell r="Q4237" t="str">
            <v>55/时效</v>
          </cell>
          <cell r="R4237" t="str">
            <v>60/数铣</v>
          </cell>
          <cell r="S4237" t="str">
            <v>65/数铣190</v>
          </cell>
          <cell r="T4237" t="str">
            <v>70/数铣550</v>
          </cell>
          <cell r="U4237" t="str">
            <v>75/数铣15</v>
          </cell>
          <cell r="V4237" t="str">
            <v>80数铣30</v>
          </cell>
          <cell r="W4237" t="str">
            <v>85/五轴15</v>
          </cell>
          <cell r="X4237" t="str">
            <v>90数铣10</v>
          </cell>
          <cell r="Y4237" t="str">
            <v>95测量</v>
          </cell>
          <cell r="Z4237" t="str">
            <v>100钳工</v>
          </cell>
          <cell r="AA4237" t="str">
            <v>103称重</v>
          </cell>
          <cell r="AB4237" t="str">
            <v>105清洁</v>
          </cell>
          <cell r="AC4237" t="str">
            <v>110成检</v>
          </cell>
        </row>
        <row r="4238">
          <cell r="B4238" t="str">
            <v>C532210921-001L001</v>
          </cell>
          <cell r="D4238" t="str">
            <v>B</v>
          </cell>
          <cell r="E4238" t="str">
            <v>准备工时</v>
          </cell>
          <cell r="G4238">
            <v>60</v>
          </cell>
          <cell r="H4238">
            <v>90</v>
          </cell>
          <cell r="I4238">
            <v>90</v>
          </cell>
          <cell r="M4238">
            <v>60</v>
          </cell>
          <cell r="N4238">
            <v>90</v>
          </cell>
          <cell r="O4238">
            <v>90</v>
          </cell>
          <cell r="P4238">
            <v>90</v>
          </cell>
          <cell r="R4238">
            <v>90</v>
          </cell>
          <cell r="S4238">
            <v>120</v>
          </cell>
          <cell r="T4238">
            <v>120</v>
          </cell>
          <cell r="U4238">
            <v>120</v>
          </cell>
          <cell r="V4238">
            <v>120</v>
          </cell>
          <cell r="W4238">
            <v>120</v>
          </cell>
          <cell r="X4238">
            <v>90</v>
          </cell>
        </row>
        <row r="4239">
          <cell r="B4239" t="str">
            <v>C532210921-001L001</v>
          </cell>
          <cell r="D4239" t="str">
            <v>B</v>
          </cell>
          <cell r="E4239" t="str">
            <v>装夹时间</v>
          </cell>
          <cell r="W4239">
            <v>60</v>
          </cell>
        </row>
        <row r="4240">
          <cell r="B4240" t="str">
            <v>C532210921-001L001</v>
          </cell>
          <cell r="D4240" t="str">
            <v>B</v>
          </cell>
          <cell r="E4240" t="str">
            <v>程序时间</v>
          </cell>
          <cell r="G4240">
            <v>900</v>
          </cell>
          <cell r="H4240">
            <v>600</v>
          </cell>
          <cell r="I4240">
            <v>720</v>
          </cell>
          <cell r="J4240">
            <v>150</v>
          </cell>
          <cell r="M4240">
            <v>480</v>
          </cell>
          <cell r="N4240">
            <v>180</v>
          </cell>
          <cell r="O4240">
            <v>120</v>
          </cell>
          <cell r="P4240">
            <v>2640</v>
          </cell>
          <cell r="R4240">
            <v>660</v>
          </cell>
          <cell r="S4240">
            <v>600</v>
          </cell>
          <cell r="T4240">
            <v>1320</v>
          </cell>
          <cell r="U4240">
            <v>300</v>
          </cell>
          <cell r="V4240">
            <v>360</v>
          </cell>
          <cell r="W4240">
            <v>240</v>
          </cell>
          <cell r="X4240">
            <v>240</v>
          </cell>
          <cell r="Z4240">
            <v>360</v>
          </cell>
          <cell r="AA4240">
            <v>60</v>
          </cell>
        </row>
        <row r="4241">
          <cell r="B4241" t="str">
            <v>C532210921-001R001</v>
          </cell>
          <cell r="D4241" t="str">
            <v>B</v>
          </cell>
          <cell r="E4241" t="str">
            <v>工序内容</v>
          </cell>
          <cell r="F4241" t="str">
            <v>0领料</v>
          </cell>
          <cell r="G4241" t="str">
            <v>5普铣</v>
          </cell>
          <cell r="H4241" t="str">
            <v>10/数铣240</v>
          </cell>
          <cell r="I4241" t="str">
            <v>15/数铣250</v>
          </cell>
          <cell r="J4241" t="str">
            <v>20/钳工</v>
          </cell>
          <cell r="K4241" t="str">
            <v>25/超探</v>
          </cell>
          <cell r="L4241" t="str">
            <v>30/检验</v>
          </cell>
          <cell r="M4241" t="str">
            <v>35/普铣</v>
          </cell>
          <cell r="N4241" t="str">
            <v>40/数铣40</v>
          </cell>
          <cell r="O4241" t="str">
            <v>45/数铣20</v>
          </cell>
          <cell r="P4241" t="str">
            <v>50/数铣1000</v>
          </cell>
          <cell r="Q4241" t="str">
            <v>55/时效</v>
          </cell>
          <cell r="R4241" t="str">
            <v>60/数铣</v>
          </cell>
          <cell r="S4241" t="str">
            <v>65/数铣190</v>
          </cell>
          <cell r="T4241" t="str">
            <v>70/数铣550</v>
          </cell>
          <cell r="U4241" t="str">
            <v>75/数铣15</v>
          </cell>
          <cell r="V4241" t="str">
            <v>80数铣30</v>
          </cell>
          <cell r="W4241" t="str">
            <v>85/五轴15</v>
          </cell>
          <cell r="X4241" t="str">
            <v>90数铣10</v>
          </cell>
          <cell r="Y4241" t="str">
            <v>95测量</v>
          </cell>
          <cell r="Z4241" t="str">
            <v>100钳工</v>
          </cell>
          <cell r="AA4241" t="str">
            <v>103称重</v>
          </cell>
          <cell r="AB4241" t="str">
            <v>105清洁</v>
          </cell>
          <cell r="AC4241" t="str">
            <v>110成检</v>
          </cell>
        </row>
        <row r="4242">
          <cell r="B4242" t="str">
            <v>C532210921-001R001</v>
          </cell>
          <cell r="D4242" t="str">
            <v>B</v>
          </cell>
          <cell r="E4242" t="str">
            <v>准备工时</v>
          </cell>
          <cell r="G4242">
            <v>60</v>
          </cell>
          <cell r="H4242">
            <v>90</v>
          </cell>
          <cell r="I4242">
            <v>90</v>
          </cell>
          <cell r="M4242">
            <v>60</v>
          </cell>
          <cell r="N4242">
            <v>90</v>
          </cell>
          <cell r="O4242">
            <v>90</v>
          </cell>
          <cell r="P4242">
            <v>90</v>
          </cell>
          <cell r="R4242">
            <v>90</v>
          </cell>
          <cell r="S4242">
            <v>120</v>
          </cell>
          <cell r="T4242">
            <v>120</v>
          </cell>
          <cell r="U4242">
            <v>120</v>
          </cell>
          <cell r="V4242">
            <v>120</v>
          </cell>
          <cell r="W4242">
            <v>120</v>
          </cell>
          <cell r="X4242">
            <v>90</v>
          </cell>
        </row>
        <row r="4243">
          <cell r="B4243" t="str">
            <v>C532210921-001R001</v>
          </cell>
          <cell r="D4243" t="str">
            <v>B</v>
          </cell>
          <cell r="E4243" t="str">
            <v>装夹时间</v>
          </cell>
          <cell r="W4243">
            <v>60</v>
          </cell>
        </row>
        <row r="4244">
          <cell r="B4244" t="str">
            <v>C532210921-001R001</v>
          </cell>
          <cell r="D4244" t="str">
            <v>B</v>
          </cell>
          <cell r="E4244" t="str">
            <v>程序时间</v>
          </cell>
          <cell r="G4244">
            <v>900</v>
          </cell>
          <cell r="H4244">
            <v>600</v>
          </cell>
          <cell r="I4244">
            <v>720</v>
          </cell>
          <cell r="J4244">
            <v>150</v>
          </cell>
          <cell r="M4244">
            <v>480</v>
          </cell>
          <cell r="N4244">
            <v>180</v>
          </cell>
          <cell r="O4244">
            <v>120</v>
          </cell>
          <cell r="P4244">
            <v>2640</v>
          </cell>
          <cell r="R4244">
            <v>660</v>
          </cell>
          <cell r="S4244">
            <v>600</v>
          </cell>
          <cell r="T4244">
            <v>1320</v>
          </cell>
          <cell r="U4244">
            <v>300</v>
          </cell>
          <cell r="V4244">
            <v>360</v>
          </cell>
          <cell r="W4244">
            <v>240</v>
          </cell>
          <cell r="X4244">
            <v>240</v>
          </cell>
          <cell r="Z4244">
            <v>360</v>
          </cell>
          <cell r="AA4244">
            <v>60</v>
          </cell>
        </row>
        <row r="4245">
          <cell r="B4245" t="str">
            <v>CB5313200-004L006</v>
          </cell>
          <cell r="D4245" t="str">
            <v>C</v>
          </cell>
          <cell r="E4245" t="str">
            <v>工序内容</v>
          </cell>
          <cell r="F4245" t="str">
            <v>0/领料</v>
          </cell>
          <cell r="G4245" t="str">
            <v>3/钳工</v>
          </cell>
          <cell r="H4245" t="str">
            <v>5/数铣</v>
          </cell>
          <cell r="I4245" t="str">
            <v>10/数铣50</v>
          </cell>
          <cell r="J4245" t="str">
            <v>15/数铣180</v>
          </cell>
          <cell r="K4245" t="str">
            <v>20/数铣210</v>
          </cell>
          <cell r="L4245" t="str">
            <v>25/五轴480</v>
          </cell>
          <cell r="M4245" t="str">
            <v>30/测量</v>
          </cell>
          <cell r="N4245" t="str">
            <v>35/钳工</v>
          </cell>
          <cell r="O4245" t="str">
            <v>40/测量</v>
          </cell>
          <cell r="P4245" t="str">
            <v>45/清洁</v>
          </cell>
          <cell r="Q4245" t="str">
            <v>50/检验</v>
          </cell>
          <cell r="R4245" t="str">
            <v>55/清洗</v>
          </cell>
          <cell r="S4245" t="str">
            <v>60/电导</v>
          </cell>
          <cell r="T4245" t="str">
            <v>65/硬检</v>
          </cell>
          <cell r="U4245" t="str">
            <v>70/分光</v>
          </cell>
          <cell r="V4245" t="str">
            <v>75/钳工</v>
          </cell>
          <cell r="W4245" t="str">
            <v>80/清洁</v>
          </cell>
          <cell r="X4245" t="str">
            <v>85/成检</v>
          </cell>
        </row>
        <row r="4246">
          <cell r="B4246" t="str">
            <v>CB5313200-004L006</v>
          </cell>
          <cell r="D4246" t="str">
            <v>C</v>
          </cell>
          <cell r="E4246" t="str">
            <v>准备工时</v>
          </cell>
          <cell r="H4246">
            <v>60</v>
          </cell>
          <cell r="I4246">
            <v>60</v>
          </cell>
          <cell r="J4246">
            <v>60</v>
          </cell>
          <cell r="K4246">
            <v>60</v>
          </cell>
          <cell r="L4246">
            <v>120</v>
          </cell>
        </row>
        <row r="4247">
          <cell r="B4247" t="str">
            <v>CB5313200-004L006</v>
          </cell>
          <cell r="D4247" t="str">
            <v>C</v>
          </cell>
          <cell r="E4247" t="str">
            <v>装夹时间</v>
          </cell>
          <cell r="L4247">
            <v>60</v>
          </cell>
        </row>
        <row r="4248">
          <cell r="B4248" t="str">
            <v>CB5313200-004L006</v>
          </cell>
          <cell r="D4248" t="str">
            <v>C</v>
          </cell>
          <cell r="E4248" t="str">
            <v>程序时间</v>
          </cell>
          <cell r="G4248">
            <v>40</v>
          </cell>
          <cell r="H4248">
            <v>120</v>
          </cell>
          <cell r="I4248">
            <v>90</v>
          </cell>
          <cell r="J4248">
            <v>280</v>
          </cell>
          <cell r="K4248">
            <v>400</v>
          </cell>
          <cell r="L4248">
            <v>1020</v>
          </cell>
          <cell r="N4248">
            <v>180</v>
          </cell>
          <cell r="V4248">
            <v>5</v>
          </cell>
        </row>
        <row r="4249">
          <cell r="B4249" t="str">
            <v>CB5313200-004R006</v>
          </cell>
          <cell r="D4249" t="str">
            <v>C</v>
          </cell>
          <cell r="E4249" t="str">
            <v>工序内容</v>
          </cell>
          <cell r="F4249" t="str">
            <v>0/领料</v>
          </cell>
          <cell r="G4249" t="str">
            <v>3/钳工</v>
          </cell>
          <cell r="H4249" t="str">
            <v>5/数铣</v>
          </cell>
          <cell r="I4249" t="str">
            <v>10/数铣50</v>
          </cell>
          <cell r="J4249" t="str">
            <v>15/数铣180</v>
          </cell>
          <cell r="K4249" t="str">
            <v>20/数铣210</v>
          </cell>
          <cell r="L4249" t="str">
            <v>25/五轴480</v>
          </cell>
          <cell r="M4249" t="str">
            <v>30/测量</v>
          </cell>
          <cell r="N4249" t="str">
            <v>35/钳工</v>
          </cell>
          <cell r="O4249" t="str">
            <v>40/测量</v>
          </cell>
          <cell r="P4249" t="str">
            <v>45/清洁</v>
          </cell>
          <cell r="Q4249" t="str">
            <v>50/检验</v>
          </cell>
          <cell r="R4249" t="str">
            <v>55/清洗</v>
          </cell>
          <cell r="S4249" t="str">
            <v>60/电导</v>
          </cell>
          <cell r="T4249" t="str">
            <v>65/硬检</v>
          </cell>
          <cell r="U4249" t="str">
            <v>70/分光</v>
          </cell>
          <cell r="V4249" t="str">
            <v>75/钳工</v>
          </cell>
          <cell r="W4249" t="str">
            <v>80/清洁</v>
          </cell>
          <cell r="X4249" t="str">
            <v>85/成检</v>
          </cell>
        </row>
        <row r="4250">
          <cell r="B4250" t="str">
            <v>CB5313200-004R006</v>
          </cell>
          <cell r="D4250" t="str">
            <v>C</v>
          </cell>
          <cell r="E4250" t="str">
            <v>准备工时</v>
          </cell>
          <cell r="H4250">
            <v>60</v>
          </cell>
          <cell r="I4250">
            <v>60</v>
          </cell>
          <cell r="J4250">
            <v>60</v>
          </cell>
          <cell r="K4250">
            <v>60</v>
          </cell>
          <cell r="L4250">
            <v>120</v>
          </cell>
        </row>
        <row r="4251">
          <cell r="B4251" t="str">
            <v>CB5313200-004R006</v>
          </cell>
          <cell r="D4251" t="str">
            <v>C</v>
          </cell>
          <cell r="E4251" t="str">
            <v>装夹时间</v>
          </cell>
          <cell r="L4251">
            <v>60</v>
          </cell>
        </row>
        <row r="4252">
          <cell r="B4252" t="str">
            <v>CB5313200-004R006</v>
          </cell>
          <cell r="D4252" t="str">
            <v>C</v>
          </cell>
          <cell r="E4252" t="str">
            <v>程序时间</v>
          </cell>
          <cell r="G4252">
            <v>40</v>
          </cell>
          <cell r="H4252">
            <v>120</v>
          </cell>
          <cell r="I4252">
            <v>90</v>
          </cell>
          <cell r="J4252">
            <v>280</v>
          </cell>
          <cell r="K4252">
            <v>400</v>
          </cell>
          <cell r="L4252">
            <v>1020</v>
          </cell>
          <cell r="N4252">
            <v>180</v>
          </cell>
          <cell r="V4252">
            <v>5</v>
          </cell>
        </row>
        <row r="4253">
          <cell r="B4253" t="str">
            <v>DD-J10-96011-12</v>
          </cell>
          <cell r="D4253" t="str">
            <v>B</v>
          </cell>
          <cell r="E4253" t="str">
            <v>工序内容</v>
          </cell>
          <cell r="F4253" t="str">
            <v>0/领料</v>
          </cell>
          <cell r="G4253" t="str">
            <v>05/数车25</v>
          </cell>
          <cell r="H4253" t="str">
            <v>10/数车25</v>
          </cell>
          <cell r="I4253" t="str">
            <v>15/钳工</v>
          </cell>
          <cell r="J4253" t="str">
            <v>20/清洁</v>
          </cell>
          <cell r="K4253" t="str">
            <v>25/成检</v>
          </cell>
        </row>
        <row r="4254">
          <cell r="B4254" t="str">
            <v>DD-J10-96011-12</v>
          </cell>
          <cell r="D4254" t="str">
            <v>B</v>
          </cell>
          <cell r="E4254" t="str">
            <v>准备工时</v>
          </cell>
          <cell r="G4254">
            <v>90</v>
          </cell>
          <cell r="H4254">
            <v>90</v>
          </cell>
        </row>
        <row r="4255">
          <cell r="B4255" t="str">
            <v>DD-J10-96011-12</v>
          </cell>
          <cell r="D4255" t="str">
            <v>B</v>
          </cell>
          <cell r="E4255" t="str">
            <v>程序时间</v>
          </cell>
          <cell r="G4255">
            <v>30</v>
          </cell>
          <cell r="H4255">
            <v>30</v>
          </cell>
          <cell r="I4255">
            <v>30</v>
          </cell>
        </row>
        <row r="4256">
          <cell r="B4256" t="str">
            <v>CB5742000-008-006</v>
          </cell>
          <cell r="D4256" t="str">
            <v>B</v>
          </cell>
          <cell r="E4256" t="str">
            <v>工序内容</v>
          </cell>
          <cell r="F4256" t="str">
            <v>0/领料</v>
          </cell>
          <cell r="G4256" t="str">
            <v>05/钳工</v>
          </cell>
          <cell r="H4256" t="str">
            <v>10/数铣</v>
          </cell>
          <cell r="I4256" t="str">
            <v>15/超声波</v>
          </cell>
          <cell r="J4256" t="str">
            <v>20/数铣420</v>
          </cell>
          <cell r="K4256" t="str">
            <v>25/线切割</v>
          </cell>
          <cell r="L4256" t="str">
            <v>30/数铣</v>
          </cell>
          <cell r="M4256" t="str">
            <v>35/数铣</v>
          </cell>
          <cell r="N4256" t="str">
            <v>40/钳工</v>
          </cell>
          <cell r="O4256" t="str">
            <v>45/清洁</v>
          </cell>
          <cell r="P4256" t="str">
            <v>50/成检</v>
          </cell>
        </row>
        <row r="4257">
          <cell r="B4257" t="str">
            <v>CB5742000-008-006</v>
          </cell>
          <cell r="D4257" t="str">
            <v>B</v>
          </cell>
          <cell r="E4257" t="str">
            <v>准备工时</v>
          </cell>
          <cell r="H4257">
            <v>60</v>
          </cell>
          <cell r="J4257">
            <v>90</v>
          </cell>
          <cell r="L4257">
            <v>60</v>
          </cell>
          <cell r="M4257">
            <v>60</v>
          </cell>
        </row>
        <row r="4258">
          <cell r="B4258" t="str">
            <v>CB5742000-008-006</v>
          </cell>
          <cell r="D4258" t="str">
            <v>B</v>
          </cell>
          <cell r="E4258" t="str">
            <v>程序时间</v>
          </cell>
          <cell r="G4258">
            <v>20</v>
          </cell>
          <cell r="H4258">
            <v>180</v>
          </cell>
          <cell r="J4258">
            <v>540</v>
          </cell>
          <cell r="L4258">
            <v>40</v>
          </cell>
          <cell r="M4258">
            <v>30</v>
          </cell>
          <cell r="N4258">
            <v>40</v>
          </cell>
        </row>
        <row r="4259">
          <cell r="B4259" t="str">
            <v>DD-J10-21102-60/-1/1-Z</v>
          </cell>
          <cell r="D4259" t="str">
            <v>E</v>
          </cell>
          <cell r="E4259" t="str">
            <v>工序内容</v>
          </cell>
          <cell r="F4259" t="str">
            <v>0/领料</v>
          </cell>
          <cell r="G4259" t="str">
            <v>5/校形</v>
          </cell>
          <cell r="H4259" t="str">
            <v>10/数铣25</v>
          </cell>
          <cell r="I4259" t="str">
            <v>15/钳工</v>
          </cell>
          <cell r="J4259" t="str">
            <v>20/清洁</v>
          </cell>
          <cell r="K4259" t="str">
            <v>25/成检</v>
          </cell>
        </row>
        <row r="4260">
          <cell r="B4260" t="str">
            <v>DD-J10-21102-60/-1/1-Z</v>
          </cell>
          <cell r="D4260" t="str">
            <v>E</v>
          </cell>
          <cell r="E4260" t="str">
            <v>准备工时</v>
          </cell>
          <cell r="H4260">
            <v>120</v>
          </cell>
        </row>
        <row r="4261">
          <cell r="B4261" t="str">
            <v>DD-J10-21102-60/-1/1-Z</v>
          </cell>
          <cell r="D4261" t="str">
            <v>E</v>
          </cell>
          <cell r="E4261" t="str">
            <v>程序时间</v>
          </cell>
          <cell r="G4261">
            <v>20</v>
          </cell>
          <cell r="H4261">
            <v>60</v>
          </cell>
          <cell r="I4261">
            <v>45</v>
          </cell>
        </row>
        <row r="4262">
          <cell r="B4262" t="str">
            <v>DD-J10-21102-60/-1/1-Y</v>
          </cell>
          <cell r="D4262" t="str">
            <v>E</v>
          </cell>
          <cell r="E4262" t="str">
            <v>工序内容</v>
          </cell>
          <cell r="F4262" t="str">
            <v>0/领料</v>
          </cell>
          <cell r="G4262" t="str">
            <v>5/校形</v>
          </cell>
          <cell r="H4262" t="str">
            <v>10/数铣25</v>
          </cell>
          <cell r="I4262" t="str">
            <v>15/钳工</v>
          </cell>
          <cell r="J4262" t="str">
            <v>20/清洁</v>
          </cell>
          <cell r="K4262" t="str">
            <v>25/成检</v>
          </cell>
        </row>
        <row r="4263">
          <cell r="B4263" t="str">
            <v>DD-J10-21102-60/-1/1-Y</v>
          </cell>
          <cell r="D4263" t="str">
            <v>E</v>
          </cell>
          <cell r="E4263" t="str">
            <v>准备工时</v>
          </cell>
          <cell r="H4263">
            <v>120</v>
          </cell>
        </row>
        <row r="4264">
          <cell r="B4264" t="str">
            <v>DD-J10-21102-60/-1/1-Y</v>
          </cell>
          <cell r="D4264" t="str">
            <v>E</v>
          </cell>
          <cell r="E4264" t="str">
            <v>程序时间</v>
          </cell>
          <cell r="G4264">
            <v>20</v>
          </cell>
          <cell r="H4264">
            <v>60</v>
          </cell>
          <cell r="I4264">
            <v>45</v>
          </cell>
        </row>
        <row r="4265">
          <cell r="B4265" t="str">
            <v>DD-J10-21102-60/-1/2-Z</v>
          </cell>
          <cell r="D4265" t="str">
            <v>E</v>
          </cell>
          <cell r="E4265" t="str">
            <v>工序内容</v>
          </cell>
          <cell r="F4265" t="str">
            <v>0/领料</v>
          </cell>
          <cell r="G4265" t="str">
            <v>5/校形</v>
          </cell>
          <cell r="H4265" t="str">
            <v>10/数铣25</v>
          </cell>
          <cell r="I4265" t="str">
            <v>15/钳工</v>
          </cell>
          <cell r="J4265" t="str">
            <v>20/清洁</v>
          </cell>
          <cell r="K4265" t="str">
            <v>25/成检</v>
          </cell>
        </row>
        <row r="4266">
          <cell r="B4266" t="str">
            <v>DD-J10-21102-60/-1/2-Z</v>
          </cell>
          <cell r="D4266" t="str">
            <v>E</v>
          </cell>
          <cell r="E4266" t="str">
            <v>准备工时</v>
          </cell>
          <cell r="H4266">
            <v>120</v>
          </cell>
        </row>
        <row r="4267">
          <cell r="B4267" t="str">
            <v>DD-J10-21102-60/-1/2-Z</v>
          </cell>
          <cell r="D4267" t="str">
            <v>E</v>
          </cell>
          <cell r="E4267" t="str">
            <v>程序时间</v>
          </cell>
          <cell r="G4267">
            <v>20</v>
          </cell>
          <cell r="H4267">
            <v>60</v>
          </cell>
          <cell r="I4267">
            <v>45</v>
          </cell>
        </row>
        <row r="4268">
          <cell r="B4268" t="str">
            <v>DD-J10-21102-60/-1/2-Y</v>
          </cell>
          <cell r="D4268" t="str">
            <v>E</v>
          </cell>
          <cell r="E4268" t="str">
            <v>工序内容</v>
          </cell>
          <cell r="F4268" t="str">
            <v>0/领料</v>
          </cell>
          <cell r="G4268" t="str">
            <v>5/校形</v>
          </cell>
          <cell r="H4268" t="str">
            <v>10/数铣25</v>
          </cell>
          <cell r="I4268" t="str">
            <v>15/钳工</v>
          </cell>
          <cell r="J4268" t="str">
            <v>20/清洁</v>
          </cell>
          <cell r="K4268" t="str">
            <v>25/成检</v>
          </cell>
        </row>
        <row r="4269">
          <cell r="B4269" t="str">
            <v>DD-J10-21102-60/-1/2-Y</v>
          </cell>
          <cell r="D4269" t="str">
            <v>E</v>
          </cell>
          <cell r="E4269" t="str">
            <v>准备工时</v>
          </cell>
          <cell r="H4269">
            <v>120</v>
          </cell>
        </row>
        <row r="4270">
          <cell r="B4270" t="str">
            <v>DD-J10-21102-60/-1/2-Y</v>
          </cell>
          <cell r="D4270" t="str">
            <v>E</v>
          </cell>
          <cell r="E4270" t="str">
            <v>程序时间</v>
          </cell>
          <cell r="G4270">
            <v>20</v>
          </cell>
          <cell r="H4270">
            <v>60</v>
          </cell>
          <cell r="I4270">
            <v>45</v>
          </cell>
        </row>
        <row r="4271">
          <cell r="B4271" t="str">
            <v>DD-J10-21102-60/-1/3-Z</v>
          </cell>
          <cell r="D4271" t="str">
            <v>E</v>
          </cell>
          <cell r="E4271" t="str">
            <v>工序内容</v>
          </cell>
          <cell r="F4271" t="str">
            <v>0/领料</v>
          </cell>
          <cell r="G4271" t="str">
            <v>5/校形</v>
          </cell>
          <cell r="H4271" t="str">
            <v>10/数铣25</v>
          </cell>
          <cell r="I4271" t="str">
            <v>15/钳工</v>
          </cell>
          <cell r="J4271" t="str">
            <v>20/清洁</v>
          </cell>
          <cell r="K4271" t="str">
            <v>25/成检</v>
          </cell>
        </row>
        <row r="4272">
          <cell r="B4272" t="str">
            <v>DD-J10-21102-60/-1/3-Z</v>
          </cell>
          <cell r="D4272" t="str">
            <v>E</v>
          </cell>
          <cell r="E4272" t="str">
            <v>准备工时</v>
          </cell>
          <cell r="H4272">
            <v>120</v>
          </cell>
        </row>
        <row r="4273">
          <cell r="B4273" t="str">
            <v>DD-J10-21102-60/-1/3-Z</v>
          </cell>
          <cell r="D4273" t="str">
            <v>E</v>
          </cell>
          <cell r="E4273" t="str">
            <v>程序时间</v>
          </cell>
          <cell r="G4273">
            <v>20</v>
          </cell>
          <cell r="H4273">
            <v>60</v>
          </cell>
          <cell r="I4273">
            <v>45</v>
          </cell>
        </row>
        <row r="4274">
          <cell r="B4274" t="str">
            <v>DD-J10-21102-60/-1/3-Y</v>
          </cell>
          <cell r="D4274" t="str">
            <v>E</v>
          </cell>
          <cell r="E4274" t="str">
            <v>工序内容</v>
          </cell>
          <cell r="F4274" t="str">
            <v>0/领料</v>
          </cell>
          <cell r="G4274" t="str">
            <v>5/校形</v>
          </cell>
          <cell r="H4274" t="str">
            <v>10/数铣25</v>
          </cell>
          <cell r="I4274" t="str">
            <v>15/钳工</v>
          </cell>
          <cell r="J4274" t="str">
            <v>20/清洁</v>
          </cell>
          <cell r="K4274" t="str">
            <v>25/成检</v>
          </cell>
        </row>
        <row r="4275">
          <cell r="B4275" t="str">
            <v>DD-J10-21102-60/-1/3-Y</v>
          </cell>
          <cell r="D4275" t="str">
            <v>E</v>
          </cell>
          <cell r="E4275" t="str">
            <v>准备工时</v>
          </cell>
          <cell r="H4275">
            <v>120</v>
          </cell>
        </row>
        <row r="4276">
          <cell r="B4276" t="str">
            <v>DD-J10-21102-60/-1/3-Y</v>
          </cell>
          <cell r="D4276" t="str">
            <v>E</v>
          </cell>
          <cell r="E4276" t="str">
            <v>程序时间</v>
          </cell>
          <cell r="G4276">
            <v>20</v>
          </cell>
          <cell r="H4276">
            <v>60</v>
          </cell>
          <cell r="I4276">
            <v>45</v>
          </cell>
        </row>
        <row r="4277">
          <cell r="B4277" t="str">
            <v>DD-J10-21102-60/-1/4-Z</v>
          </cell>
          <cell r="D4277" t="str">
            <v>E</v>
          </cell>
          <cell r="E4277" t="str">
            <v>工序内容</v>
          </cell>
          <cell r="F4277" t="str">
            <v>0/领料</v>
          </cell>
          <cell r="G4277" t="str">
            <v>5/校形</v>
          </cell>
          <cell r="H4277" t="str">
            <v>10/数铣25</v>
          </cell>
          <cell r="I4277" t="str">
            <v>15/钳工</v>
          </cell>
          <cell r="J4277" t="str">
            <v>20/清洁</v>
          </cell>
          <cell r="K4277" t="str">
            <v>25/成检</v>
          </cell>
        </row>
        <row r="4278">
          <cell r="B4278" t="str">
            <v>DD-J10-21102-60/-1/4-Z</v>
          </cell>
          <cell r="D4278" t="str">
            <v>E</v>
          </cell>
          <cell r="E4278" t="str">
            <v>准备工时</v>
          </cell>
          <cell r="H4278">
            <v>120</v>
          </cell>
        </row>
        <row r="4279">
          <cell r="B4279" t="str">
            <v>DD-J10-21102-60/-1/4-Z</v>
          </cell>
          <cell r="D4279" t="str">
            <v>E</v>
          </cell>
          <cell r="E4279" t="str">
            <v>程序时间</v>
          </cell>
          <cell r="G4279">
            <v>20</v>
          </cell>
          <cell r="H4279">
            <v>60</v>
          </cell>
          <cell r="I4279">
            <v>45</v>
          </cell>
        </row>
        <row r="4280">
          <cell r="B4280" t="str">
            <v>DD-J10-21102-60/-1/4-Y</v>
          </cell>
          <cell r="D4280" t="str">
            <v>E</v>
          </cell>
          <cell r="E4280" t="str">
            <v>工序内容</v>
          </cell>
          <cell r="F4280" t="str">
            <v>0/领料</v>
          </cell>
          <cell r="G4280" t="str">
            <v>5/校形</v>
          </cell>
          <cell r="H4280" t="str">
            <v>10/数铣25</v>
          </cell>
          <cell r="I4280" t="str">
            <v>15/钳工</v>
          </cell>
          <cell r="J4280" t="str">
            <v>20/清洁</v>
          </cell>
          <cell r="K4280" t="str">
            <v>25/成检</v>
          </cell>
        </row>
        <row r="4281">
          <cell r="B4281" t="str">
            <v>DD-J10-21102-60/-1/4-Y</v>
          </cell>
          <cell r="D4281" t="str">
            <v>E</v>
          </cell>
          <cell r="E4281" t="str">
            <v>准备工时</v>
          </cell>
          <cell r="H4281">
            <v>120</v>
          </cell>
        </row>
        <row r="4282">
          <cell r="B4282" t="str">
            <v>DD-J10-21102-60/-1/4-Y</v>
          </cell>
          <cell r="D4282" t="str">
            <v>E</v>
          </cell>
          <cell r="E4282" t="str">
            <v>程序时间</v>
          </cell>
          <cell r="G4282">
            <v>20</v>
          </cell>
          <cell r="H4282">
            <v>60</v>
          </cell>
          <cell r="I4282">
            <v>45</v>
          </cell>
        </row>
        <row r="4283">
          <cell r="B4283" t="str">
            <v>DD-J10B-02081-404</v>
          </cell>
          <cell r="D4283" t="str">
            <v>D</v>
          </cell>
          <cell r="E4283" t="str">
            <v>工序内容</v>
          </cell>
          <cell r="F4283" t="str">
            <v>0领料</v>
          </cell>
          <cell r="G4283" t="str">
            <v>5数铣</v>
          </cell>
          <cell r="H4283" t="str">
            <v>10数铣35</v>
          </cell>
          <cell r="I4283" t="str">
            <v>15数铣100</v>
          </cell>
          <cell r="J4283" t="str">
            <v>20数铣80</v>
          </cell>
          <cell r="K4283" t="str">
            <v>25钳工</v>
          </cell>
          <cell r="L4283" t="str">
            <v>30清洁</v>
          </cell>
          <cell r="M4283" t="str">
            <v>35硬度</v>
          </cell>
          <cell r="N4283" t="str">
            <v>40分光</v>
          </cell>
          <cell r="O4283" t="str">
            <v>45钳工</v>
          </cell>
          <cell r="P4283" t="str">
            <v>50清洁</v>
          </cell>
          <cell r="Q4283" t="str">
            <v>55成检</v>
          </cell>
        </row>
        <row r="4284">
          <cell r="B4284" t="str">
            <v>DD-J10B-02081-404</v>
          </cell>
          <cell r="D4284" t="str">
            <v>D</v>
          </cell>
          <cell r="E4284" t="str">
            <v>准备工时</v>
          </cell>
          <cell r="G4284">
            <v>60</v>
          </cell>
          <cell r="H4284">
            <v>90</v>
          </cell>
          <cell r="I4284">
            <v>120</v>
          </cell>
          <cell r="J4284">
            <v>90</v>
          </cell>
        </row>
        <row r="4285">
          <cell r="B4285" t="str">
            <v>DD-J10B-02081-404</v>
          </cell>
          <cell r="D4285" t="str">
            <v>D</v>
          </cell>
          <cell r="E4285" t="str">
            <v>程序时间</v>
          </cell>
          <cell r="G4285">
            <v>25</v>
          </cell>
          <cell r="H4285">
            <v>60</v>
          </cell>
          <cell r="I4285">
            <v>150</v>
          </cell>
          <cell r="J4285">
            <v>130</v>
          </cell>
          <cell r="K4285">
            <v>90</v>
          </cell>
          <cell r="O4285" t="str">
            <v>5</v>
          </cell>
        </row>
        <row r="4286">
          <cell r="B4286" t="str">
            <v>DD-J10-55155-1</v>
          </cell>
          <cell r="D4286" t="str">
            <v>B</v>
          </cell>
          <cell r="E4286" t="str">
            <v>工序内容</v>
          </cell>
          <cell r="F4286" t="str">
            <v>0/领料</v>
          </cell>
          <cell r="G4286" t="str">
            <v>5/钳工</v>
          </cell>
          <cell r="H4286" t="str">
            <v>10/数车10</v>
          </cell>
          <cell r="I4286" t="str">
            <v>15/数车30</v>
          </cell>
          <cell r="J4286" t="str">
            <v>20/数车25</v>
          </cell>
          <cell r="K4286" t="str">
            <v>25/数车30</v>
          </cell>
          <cell r="L4286" t="str">
            <v>30/数车30</v>
          </cell>
          <cell r="M4286" t="str">
            <v>35/数铣10</v>
          </cell>
          <cell r="N4286" t="str">
            <v>40/穿孔</v>
          </cell>
          <cell r="O4286" t="str">
            <v>45/钳工</v>
          </cell>
          <cell r="P4286" t="str">
            <v>50/热处理</v>
          </cell>
          <cell r="Q4286" t="str">
            <v>55/钳回牙</v>
          </cell>
          <cell r="R4286" t="str">
            <v>60/中间检</v>
          </cell>
          <cell r="S4286" t="str">
            <v>65复检</v>
          </cell>
          <cell r="T4286" t="str">
            <v>70清洗</v>
          </cell>
          <cell r="U4286" t="str">
            <v>75标记</v>
          </cell>
          <cell r="V4286" t="str">
            <v>80表处</v>
          </cell>
          <cell r="W4286" t="str">
            <v>85数车</v>
          </cell>
          <cell r="X4286" t="str">
            <v>90清洁</v>
          </cell>
          <cell r="Y4286" t="str">
            <v>95成检</v>
          </cell>
        </row>
        <row r="4287">
          <cell r="B4287" t="str">
            <v>DD-J10-55155-1</v>
          </cell>
          <cell r="D4287" t="str">
            <v>B</v>
          </cell>
          <cell r="E4287" t="str">
            <v>准备工时</v>
          </cell>
          <cell r="H4287">
            <v>90</v>
          </cell>
          <cell r="I4287">
            <v>150</v>
          </cell>
          <cell r="J4287">
            <v>150</v>
          </cell>
          <cell r="K4287">
            <v>150</v>
          </cell>
          <cell r="L4287">
            <v>150</v>
          </cell>
          <cell r="M4287" t="str">
            <v>90</v>
          </cell>
          <cell r="W4287">
            <v>180</v>
          </cell>
        </row>
        <row r="4288">
          <cell r="B4288" t="str">
            <v>DD-J10-55155-1</v>
          </cell>
          <cell r="D4288" t="str">
            <v>B</v>
          </cell>
          <cell r="E4288" t="str">
            <v>程序时间</v>
          </cell>
          <cell r="G4288">
            <v>20</v>
          </cell>
          <cell r="H4288">
            <v>15</v>
          </cell>
          <cell r="I4288">
            <v>30</v>
          </cell>
          <cell r="J4288">
            <v>25</v>
          </cell>
          <cell r="K4288">
            <v>25</v>
          </cell>
          <cell r="L4288">
            <v>25</v>
          </cell>
          <cell r="M4288" t="str">
            <v>30</v>
          </cell>
          <cell r="N4288" t="str">
            <v>20</v>
          </cell>
          <cell r="O4288" t="str">
            <v>30</v>
          </cell>
          <cell r="Q4288">
            <v>15</v>
          </cell>
          <cell r="W4288">
            <v>32</v>
          </cell>
        </row>
        <row r="4289">
          <cell r="B4289" t="str">
            <v>BC22971B1-002-001</v>
          </cell>
          <cell r="D4289" t="str">
            <v>C</v>
          </cell>
          <cell r="E4289" t="str">
            <v>工序内容</v>
          </cell>
          <cell r="F4289" t="str">
            <v>0/领料</v>
          </cell>
          <cell r="G4289" t="str">
            <v>05/普车30</v>
          </cell>
          <cell r="H4289" t="str">
            <v>10/数车25</v>
          </cell>
          <cell r="I4289" t="str">
            <v>15/数车5</v>
          </cell>
          <cell r="J4289" t="str">
            <v>20/分光</v>
          </cell>
          <cell r="K4289" t="str">
            <v>25/车铣15</v>
          </cell>
          <cell r="L4289" t="str">
            <v>30/数车25</v>
          </cell>
          <cell r="M4289" t="str">
            <v>35/穿孔</v>
          </cell>
          <cell r="N4289" t="str">
            <v>40/穿孔</v>
          </cell>
          <cell r="O4289" t="str">
            <v>45/钳工</v>
          </cell>
          <cell r="P4289" t="str">
            <v>50/表处</v>
          </cell>
          <cell r="Q4289" t="str">
            <v>55/热处理</v>
          </cell>
          <cell r="R4289" t="str">
            <v>60/钳回牙</v>
          </cell>
          <cell r="S4289" t="str">
            <v>65/中间检验</v>
          </cell>
          <cell r="T4289" t="str">
            <v>70/表处</v>
          </cell>
          <cell r="U4289" t="str">
            <v>75/清洗</v>
          </cell>
          <cell r="V4289" t="str">
            <v>80/磁粉</v>
          </cell>
          <cell r="W4289" t="str">
            <v>85/表处</v>
          </cell>
          <cell r="X4289" t="str">
            <v>90/表处</v>
          </cell>
          <cell r="Y4289" t="str">
            <v>95/表处</v>
          </cell>
          <cell r="Z4289" t="str">
            <v>100/表处</v>
          </cell>
          <cell r="AA4289" t="str">
            <v>105/数车10</v>
          </cell>
          <cell r="AB4289" t="str">
            <v>110/清洁</v>
          </cell>
          <cell r="AC4289" t="str">
            <v>115/成检</v>
          </cell>
        </row>
        <row r="4290">
          <cell r="B4290" t="str">
            <v>BC22971B1-002-001</v>
          </cell>
          <cell r="D4290" t="str">
            <v>C</v>
          </cell>
          <cell r="E4290" t="str">
            <v>准备工时</v>
          </cell>
          <cell r="G4290">
            <v>60</v>
          </cell>
          <cell r="H4290">
            <v>90</v>
          </cell>
          <cell r="I4290">
            <v>60</v>
          </cell>
          <cell r="K4290">
            <v>90</v>
          </cell>
          <cell r="L4290">
            <v>90</v>
          </cell>
          <cell r="AA4290">
            <v>60</v>
          </cell>
        </row>
        <row r="4291">
          <cell r="B4291" t="str">
            <v>BC22971B1-002-001</v>
          </cell>
          <cell r="D4291" t="str">
            <v>C</v>
          </cell>
          <cell r="E4291" t="str">
            <v>程序时间</v>
          </cell>
          <cell r="G4291">
            <v>45</v>
          </cell>
          <cell r="H4291">
            <v>35</v>
          </cell>
          <cell r="I4291">
            <v>10</v>
          </cell>
          <cell r="K4291">
            <v>25</v>
          </cell>
          <cell r="L4291">
            <v>30</v>
          </cell>
          <cell r="O4291">
            <v>25</v>
          </cell>
          <cell r="R4291">
            <v>10</v>
          </cell>
          <cell r="AA4291">
            <v>20</v>
          </cell>
        </row>
        <row r="4292">
          <cell r="B4292" t="str">
            <v>CB58220116-034L001</v>
          </cell>
          <cell r="D4292" t="str">
            <v>B</v>
          </cell>
          <cell r="E4292" t="str">
            <v>工序内容</v>
          </cell>
          <cell r="F4292" t="str">
            <v>0/领料</v>
          </cell>
          <cell r="G4292" t="str">
            <v>05/下料</v>
          </cell>
          <cell r="H4292" t="str">
            <v>10数铣10</v>
          </cell>
          <cell r="I4292" t="str">
            <v>15数铣40</v>
          </cell>
          <cell r="J4292" t="str">
            <v>20/数铣50</v>
          </cell>
          <cell r="K4292" t="str">
            <v>25测量</v>
          </cell>
          <cell r="L4292" t="str">
            <v>30钳工</v>
          </cell>
          <cell r="M4292" t="str">
            <v>35无</v>
          </cell>
          <cell r="N4292" t="str">
            <v>40清洁</v>
          </cell>
          <cell r="O4292" t="str">
            <v>45成检</v>
          </cell>
          <cell r="P4292" t="str">
            <v>45成检</v>
          </cell>
        </row>
        <row r="4293">
          <cell r="B4293" t="str">
            <v>CB58220116-034L001</v>
          </cell>
          <cell r="D4293" t="str">
            <v>B</v>
          </cell>
          <cell r="E4293" t="str">
            <v>准备工时</v>
          </cell>
          <cell r="H4293">
            <v>60</v>
          </cell>
          <cell r="I4293">
            <v>60</v>
          </cell>
          <cell r="J4293">
            <v>60</v>
          </cell>
        </row>
        <row r="4294">
          <cell r="B4294" t="str">
            <v>CB58220116-034L001</v>
          </cell>
          <cell r="D4294" t="str">
            <v>B</v>
          </cell>
          <cell r="E4294" t="str">
            <v>程序时间</v>
          </cell>
          <cell r="H4294">
            <v>30</v>
          </cell>
          <cell r="I4294">
            <v>60</v>
          </cell>
          <cell r="J4294">
            <v>70</v>
          </cell>
          <cell r="L4294">
            <v>25</v>
          </cell>
        </row>
        <row r="4295">
          <cell r="B4295" t="str">
            <v>CB58220116-034R001</v>
          </cell>
          <cell r="D4295" t="str">
            <v>B</v>
          </cell>
          <cell r="E4295" t="str">
            <v>工序内容</v>
          </cell>
          <cell r="F4295" t="str">
            <v>0/领料</v>
          </cell>
          <cell r="G4295" t="str">
            <v>05/下料</v>
          </cell>
          <cell r="H4295" t="str">
            <v>10数铣10</v>
          </cell>
          <cell r="I4295" t="str">
            <v>15数铣40</v>
          </cell>
          <cell r="J4295" t="str">
            <v>20/数铣50</v>
          </cell>
          <cell r="K4295" t="str">
            <v>25测量</v>
          </cell>
          <cell r="L4295" t="str">
            <v>30钳工</v>
          </cell>
          <cell r="M4295" t="str">
            <v>35无</v>
          </cell>
          <cell r="N4295" t="str">
            <v>40清洁</v>
          </cell>
          <cell r="O4295" t="str">
            <v>45成检</v>
          </cell>
          <cell r="P4295" t="str">
            <v>45成检</v>
          </cell>
        </row>
        <row r="4296">
          <cell r="B4296" t="str">
            <v>CB58220116-034R001</v>
          </cell>
          <cell r="D4296" t="str">
            <v>B</v>
          </cell>
          <cell r="E4296" t="str">
            <v>准备工时</v>
          </cell>
          <cell r="H4296">
            <v>60</v>
          </cell>
          <cell r="I4296">
            <v>60</v>
          </cell>
          <cell r="J4296">
            <v>60</v>
          </cell>
        </row>
        <row r="4297">
          <cell r="B4297" t="str">
            <v>CB58220116-034R001</v>
          </cell>
          <cell r="D4297" t="str">
            <v>B</v>
          </cell>
          <cell r="E4297" t="str">
            <v>程序时间</v>
          </cell>
          <cell r="H4297">
            <v>30</v>
          </cell>
          <cell r="I4297">
            <v>60</v>
          </cell>
          <cell r="J4297">
            <v>70</v>
          </cell>
          <cell r="L4297">
            <v>25</v>
          </cell>
        </row>
        <row r="4298">
          <cell r="B4298" t="str">
            <v>DD-J10-61052-4</v>
          </cell>
          <cell r="D4298" t="str">
            <v>B</v>
          </cell>
          <cell r="E4298" t="str">
            <v>工序内容</v>
          </cell>
          <cell r="F4298" t="str">
            <v>0/领料</v>
          </cell>
          <cell r="G4298" t="str">
            <v>05/数车45</v>
          </cell>
          <cell r="H4298" t="str">
            <v>10/数车5</v>
          </cell>
          <cell r="I4298" t="str">
            <v>15/分光</v>
          </cell>
          <cell r="J4298" t="str">
            <v>20/硬度</v>
          </cell>
          <cell r="K4298" t="str">
            <v>25/数铣45</v>
          </cell>
          <cell r="L4298" t="str">
            <v>30/数铣20</v>
          </cell>
          <cell r="M4298" t="str">
            <v>35/穿孔</v>
          </cell>
          <cell r="N4298" t="str">
            <v>40/数车20</v>
          </cell>
          <cell r="O4298" t="str">
            <v>45/钳工</v>
          </cell>
          <cell r="P4298" t="str">
            <v>55/成检</v>
          </cell>
        </row>
        <row r="4299">
          <cell r="B4299" t="str">
            <v>DD-J10-61052-4</v>
          </cell>
          <cell r="D4299" t="str">
            <v>B</v>
          </cell>
          <cell r="E4299" t="str">
            <v>准备工时</v>
          </cell>
          <cell r="G4299">
            <v>90</v>
          </cell>
          <cell r="H4299">
            <v>60</v>
          </cell>
          <cell r="K4299">
            <v>60</v>
          </cell>
          <cell r="L4299">
            <v>60</v>
          </cell>
          <cell r="N4299" t="str">
            <v>120</v>
          </cell>
        </row>
        <row r="4300">
          <cell r="B4300" t="str">
            <v>DD-J10-61052-4</v>
          </cell>
          <cell r="D4300" t="str">
            <v>B</v>
          </cell>
          <cell r="E4300" t="str">
            <v>程序时间</v>
          </cell>
          <cell r="G4300">
            <v>50</v>
          </cell>
          <cell r="H4300">
            <v>15</v>
          </cell>
          <cell r="K4300">
            <v>45</v>
          </cell>
          <cell r="L4300">
            <v>20</v>
          </cell>
          <cell r="M4300">
            <v>20</v>
          </cell>
          <cell r="N4300" t="str">
            <v>20</v>
          </cell>
          <cell r="O4300" t="str">
            <v>30</v>
          </cell>
        </row>
        <row r="4301">
          <cell r="B4301" t="str">
            <v>DD-J10B-78001-460-1</v>
          </cell>
          <cell r="D4301" t="str">
            <v>G</v>
          </cell>
          <cell r="E4301" t="str">
            <v>工序内容</v>
          </cell>
          <cell r="F4301" t="str">
            <v>00/领料</v>
          </cell>
          <cell r="G4301" t="str">
            <v>5/数铣</v>
          </cell>
          <cell r="H4301" t="str">
            <v>10分光</v>
          </cell>
          <cell r="I4301" t="str">
            <v>15清洗</v>
          </cell>
          <cell r="J4301" t="str">
            <v>20固溶</v>
          </cell>
          <cell r="K4301" t="str">
            <v>25清洗</v>
          </cell>
          <cell r="L4301" t="str">
            <v>30硬度</v>
          </cell>
          <cell r="M4301" t="str">
            <v>35数铣5</v>
          </cell>
          <cell r="N4301" t="str">
            <v>40数铣5</v>
          </cell>
          <cell r="O4301" t="str">
            <v>45数铣5</v>
          </cell>
          <cell r="P4301" t="str">
            <v>50数车</v>
          </cell>
          <cell r="Q4301" t="str">
            <v>55钳工</v>
          </cell>
          <cell r="R4301" t="str">
            <v>60清洁</v>
          </cell>
          <cell r="S4301" t="str">
            <v>65成检</v>
          </cell>
        </row>
        <row r="4302">
          <cell r="B4302" t="str">
            <v>DD-J10B-78001-460-1</v>
          </cell>
          <cell r="D4302" t="str">
            <v>G</v>
          </cell>
          <cell r="E4302" t="str">
            <v>准备工时</v>
          </cell>
          <cell r="G4302" t="str">
            <v>60</v>
          </cell>
          <cell r="M4302">
            <v>60</v>
          </cell>
          <cell r="N4302">
            <v>60</v>
          </cell>
          <cell r="O4302" t="str">
            <v>60</v>
          </cell>
          <cell r="P4302">
            <v>120</v>
          </cell>
        </row>
        <row r="4303">
          <cell r="B4303" t="str">
            <v>DD-J10B-78001-460-1</v>
          </cell>
          <cell r="D4303" t="str">
            <v>G</v>
          </cell>
          <cell r="E4303" t="str">
            <v>程序时间</v>
          </cell>
          <cell r="G4303">
            <v>30</v>
          </cell>
          <cell r="M4303">
            <v>45</v>
          </cell>
          <cell r="N4303">
            <v>15</v>
          </cell>
          <cell r="O4303">
            <v>15</v>
          </cell>
          <cell r="P4303">
            <v>30</v>
          </cell>
          <cell r="Q4303">
            <v>15</v>
          </cell>
        </row>
        <row r="4304">
          <cell r="B4304" t="str">
            <v>DD-J10-54101-2802</v>
          </cell>
          <cell r="D4304" t="str">
            <v>B</v>
          </cell>
          <cell r="E4304" t="str">
            <v>工序内容</v>
          </cell>
          <cell r="F4304" t="str">
            <v>0/领料</v>
          </cell>
          <cell r="G4304" t="str">
            <v>5/数车30</v>
          </cell>
          <cell r="H4304" t="str">
            <v>10/数车10</v>
          </cell>
          <cell r="I4304" t="str">
            <v>15/钳工</v>
          </cell>
          <cell r="J4304" t="str">
            <v>20/分光</v>
          </cell>
          <cell r="K4304" t="str">
            <v>25/数铣20</v>
          </cell>
          <cell r="L4304" t="str">
            <v>30/钳工</v>
          </cell>
          <cell r="M4304" t="str">
            <v>35/热处理</v>
          </cell>
          <cell r="N4304" t="str">
            <v>40/钳工</v>
          </cell>
          <cell r="O4304" t="str">
            <v>45/清洁</v>
          </cell>
          <cell r="P4304" t="str">
            <v>50/成检</v>
          </cell>
        </row>
        <row r="4305">
          <cell r="B4305" t="str">
            <v>DD-J10-54101-2802</v>
          </cell>
          <cell r="D4305" t="str">
            <v>B</v>
          </cell>
          <cell r="E4305" t="str">
            <v>准备工时</v>
          </cell>
          <cell r="G4305">
            <v>90</v>
          </cell>
          <cell r="H4305">
            <v>60</v>
          </cell>
          <cell r="K4305">
            <v>90</v>
          </cell>
        </row>
        <row r="4306">
          <cell r="B4306" t="str">
            <v>DD-J10-54101-2802</v>
          </cell>
          <cell r="D4306" t="str">
            <v>B</v>
          </cell>
          <cell r="E4306" t="str">
            <v>程序时间</v>
          </cell>
          <cell r="G4306">
            <v>50</v>
          </cell>
          <cell r="H4306">
            <v>15</v>
          </cell>
          <cell r="I4306">
            <v>8</v>
          </cell>
          <cell r="K4306">
            <v>40</v>
          </cell>
          <cell r="L4306">
            <v>30</v>
          </cell>
          <cell r="N4306">
            <v>10</v>
          </cell>
        </row>
        <row r="4307">
          <cell r="B4307" t="str">
            <v>CB5327310-014L/R001</v>
          </cell>
          <cell r="D4307" t="str">
            <v>C</v>
          </cell>
          <cell r="E4307" t="str">
            <v>工序内容</v>
          </cell>
          <cell r="F4307" t="str">
            <v>0/领料</v>
          </cell>
          <cell r="G4307" t="str">
            <v>5/下料</v>
          </cell>
          <cell r="H4307" t="str">
            <v>10/数铣20</v>
          </cell>
          <cell r="I4307" t="str">
            <v>15/数铣100</v>
          </cell>
          <cell r="J4307" t="str">
            <v>20/数铣130</v>
          </cell>
          <cell r="K4307" t="str">
            <v>25/测量</v>
          </cell>
          <cell r="L4307" t="str">
            <v>30/钳工</v>
          </cell>
          <cell r="M4307" t="str">
            <v>35/数铣10</v>
          </cell>
          <cell r="N4307" t="str">
            <v>40/数铣10</v>
          </cell>
          <cell r="O4307" t="str">
            <v>45/清洁</v>
          </cell>
          <cell r="P4307" t="str">
            <v>50/成检</v>
          </cell>
        </row>
        <row r="4308">
          <cell r="B4308" t="str">
            <v>CB5327310-014L/R001</v>
          </cell>
          <cell r="D4308" t="str">
            <v>C</v>
          </cell>
          <cell r="E4308" t="str">
            <v>准备工时</v>
          </cell>
          <cell r="H4308">
            <v>60</v>
          </cell>
          <cell r="I4308">
            <v>60</v>
          </cell>
          <cell r="J4308">
            <v>90</v>
          </cell>
          <cell r="M4308">
            <v>90</v>
          </cell>
          <cell r="N4308">
            <v>90</v>
          </cell>
        </row>
        <row r="4309">
          <cell r="B4309" t="str">
            <v>CB5327310-014L/R001</v>
          </cell>
          <cell r="D4309" t="str">
            <v>C</v>
          </cell>
          <cell r="E4309" t="str">
            <v>程序时间</v>
          </cell>
          <cell r="H4309">
            <v>40</v>
          </cell>
          <cell r="I4309">
            <v>130</v>
          </cell>
          <cell r="J4309">
            <v>210</v>
          </cell>
          <cell r="L4309">
            <v>30</v>
          </cell>
          <cell r="M4309">
            <v>25</v>
          </cell>
          <cell r="N4309">
            <v>25</v>
          </cell>
        </row>
        <row r="4310">
          <cell r="B4310" t="str">
            <v>CB5327310-014L001</v>
          </cell>
          <cell r="D4310" t="str">
            <v>C</v>
          </cell>
          <cell r="E4310" t="str">
            <v>工序内容</v>
          </cell>
          <cell r="F4310" t="str">
            <v>0/领料</v>
          </cell>
          <cell r="G4310" t="str">
            <v>5/下料</v>
          </cell>
          <cell r="H4310" t="str">
            <v>10/数铣20</v>
          </cell>
          <cell r="I4310" t="str">
            <v>15/数铣100</v>
          </cell>
          <cell r="J4310" t="str">
            <v>20/数铣130</v>
          </cell>
          <cell r="K4310" t="str">
            <v>25/测量</v>
          </cell>
          <cell r="L4310" t="str">
            <v>30/钳工</v>
          </cell>
          <cell r="M4310" t="str">
            <v>35/数铣10</v>
          </cell>
          <cell r="N4310" t="str">
            <v>40/数铣10</v>
          </cell>
          <cell r="O4310" t="str">
            <v>45/清洁</v>
          </cell>
          <cell r="P4310" t="str">
            <v>50/成检</v>
          </cell>
        </row>
        <row r="4311">
          <cell r="B4311" t="str">
            <v>CB5327310-014L001</v>
          </cell>
          <cell r="D4311" t="str">
            <v>C</v>
          </cell>
          <cell r="E4311" t="str">
            <v>准备工时</v>
          </cell>
          <cell r="H4311">
            <v>60</v>
          </cell>
          <cell r="I4311">
            <v>60</v>
          </cell>
          <cell r="J4311">
            <v>90</v>
          </cell>
          <cell r="M4311">
            <v>90</v>
          </cell>
          <cell r="N4311">
            <v>90</v>
          </cell>
        </row>
        <row r="4312">
          <cell r="B4312" t="str">
            <v>CB5327310-014L001</v>
          </cell>
          <cell r="D4312" t="str">
            <v>C</v>
          </cell>
          <cell r="E4312" t="str">
            <v>程序时间</v>
          </cell>
          <cell r="H4312">
            <v>40</v>
          </cell>
          <cell r="I4312">
            <v>130</v>
          </cell>
          <cell r="J4312">
            <v>210</v>
          </cell>
          <cell r="L4312">
            <v>30</v>
          </cell>
          <cell r="M4312">
            <v>25</v>
          </cell>
          <cell r="N4312">
            <v>25</v>
          </cell>
        </row>
        <row r="4313">
          <cell r="B4313" t="str">
            <v>CB5327310-014R001</v>
          </cell>
          <cell r="D4313" t="str">
            <v>C</v>
          </cell>
          <cell r="E4313" t="str">
            <v>工序内容</v>
          </cell>
          <cell r="F4313" t="str">
            <v>0/领料</v>
          </cell>
          <cell r="G4313" t="str">
            <v>5/下料</v>
          </cell>
          <cell r="H4313" t="str">
            <v>10/数铣20</v>
          </cell>
          <cell r="I4313" t="str">
            <v>15/数铣100</v>
          </cell>
          <cell r="J4313" t="str">
            <v>20/数铣130</v>
          </cell>
          <cell r="K4313" t="str">
            <v>25/测量</v>
          </cell>
          <cell r="L4313" t="str">
            <v>30/钳工</v>
          </cell>
          <cell r="M4313" t="str">
            <v>35/数铣10</v>
          </cell>
          <cell r="N4313" t="str">
            <v>40/数铣10</v>
          </cell>
          <cell r="O4313" t="str">
            <v>45/清洁</v>
          </cell>
          <cell r="P4313" t="str">
            <v>50/成检</v>
          </cell>
        </row>
        <row r="4314">
          <cell r="B4314" t="str">
            <v>CB5327310-014R001</v>
          </cell>
          <cell r="D4314" t="str">
            <v>C</v>
          </cell>
          <cell r="E4314" t="str">
            <v>准备工时</v>
          </cell>
          <cell r="H4314">
            <v>60</v>
          </cell>
          <cell r="I4314">
            <v>60</v>
          </cell>
          <cell r="J4314">
            <v>90</v>
          </cell>
          <cell r="M4314">
            <v>90</v>
          </cell>
          <cell r="N4314">
            <v>90</v>
          </cell>
        </row>
        <row r="4315">
          <cell r="B4315" t="str">
            <v>CB5327310-014R001</v>
          </cell>
          <cell r="D4315" t="str">
            <v>C</v>
          </cell>
          <cell r="E4315" t="str">
            <v>程序时间</v>
          </cell>
          <cell r="H4315">
            <v>40</v>
          </cell>
          <cell r="I4315">
            <v>130</v>
          </cell>
          <cell r="J4315">
            <v>210</v>
          </cell>
          <cell r="L4315">
            <v>30</v>
          </cell>
          <cell r="M4315">
            <v>25</v>
          </cell>
          <cell r="N4315">
            <v>25</v>
          </cell>
        </row>
        <row r="4316">
          <cell r="B4316" t="str">
            <v>DD-J10B-67011-20010-2</v>
          </cell>
          <cell r="D4316" t="str">
            <v>F</v>
          </cell>
          <cell r="E4316" t="str">
            <v>工序内容</v>
          </cell>
          <cell r="F4316" t="str">
            <v>00/领料</v>
          </cell>
          <cell r="G4316" t="str">
            <v>5/数铣</v>
          </cell>
          <cell r="H4316" t="str">
            <v>10/数铣3</v>
          </cell>
          <cell r="I4316" t="str">
            <v>15/数铣7</v>
          </cell>
          <cell r="J4316" t="str">
            <v>20/钳工</v>
          </cell>
          <cell r="K4316" t="str">
            <v>25/数铣4</v>
          </cell>
          <cell r="L4316" t="str">
            <v>30/数铣4</v>
          </cell>
          <cell r="M4316" t="str">
            <v>35钳工</v>
          </cell>
          <cell r="N4316" t="str">
            <v>40硬检</v>
          </cell>
          <cell r="O4316" t="str">
            <v>45分光</v>
          </cell>
          <cell r="P4316" t="str">
            <v>50钳工</v>
          </cell>
          <cell r="Q4316" t="str">
            <v>55清洁</v>
          </cell>
          <cell r="R4316" t="str">
            <v>60成检</v>
          </cell>
        </row>
        <row r="4317">
          <cell r="B4317" t="str">
            <v>DD-J10B-67011-20010-2</v>
          </cell>
          <cell r="D4317" t="str">
            <v>F</v>
          </cell>
          <cell r="E4317" t="str">
            <v>准备工时</v>
          </cell>
          <cell r="G4317">
            <v>60</v>
          </cell>
          <cell r="H4317">
            <v>60</v>
          </cell>
          <cell r="I4317">
            <v>60</v>
          </cell>
          <cell r="K4317">
            <v>60</v>
          </cell>
          <cell r="L4317">
            <v>60</v>
          </cell>
        </row>
        <row r="4318">
          <cell r="B4318" t="str">
            <v>DD-J10B-67011-20010-2</v>
          </cell>
          <cell r="D4318" t="str">
            <v>F</v>
          </cell>
          <cell r="E4318" t="str">
            <v>程序时间</v>
          </cell>
          <cell r="G4318">
            <v>30</v>
          </cell>
          <cell r="H4318">
            <v>15</v>
          </cell>
          <cell r="I4318">
            <v>25</v>
          </cell>
          <cell r="J4318">
            <v>20</v>
          </cell>
          <cell r="K4318">
            <v>20</v>
          </cell>
          <cell r="L4318">
            <v>20</v>
          </cell>
          <cell r="M4318">
            <v>35</v>
          </cell>
          <cell r="P4318" t="str">
            <v>5</v>
          </cell>
        </row>
        <row r="4319">
          <cell r="B4319" t="str">
            <v>DD-J10B-94061-1021</v>
          </cell>
          <cell r="D4319" t="str">
            <v>C</v>
          </cell>
          <cell r="E4319" t="str">
            <v>工序内容</v>
          </cell>
          <cell r="F4319" t="str">
            <v>0/领料</v>
          </cell>
          <cell r="G4319" t="str">
            <v>5/数车30</v>
          </cell>
          <cell r="H4319" t="str">
            <v>10/数车30</v>
          </cell>
          <cell r="I4319" t="str">
            <v>15/数车5</v>
          </cell>
          <cell r="J4319" t="str">
            <v>20/钳工</v>
          </cell>
          <cell r="K4319" t="str">
            <v>25/分光</v>
          </cell>
          <cell r="L4319" t="str">
            <v>30/数车10</v>
          </cell>
          <cell r="M4319" t="str">
            <v>35/清洁</v>
          </cell>
          <cell r="N4319" t="str">
            <v>40/成检</v>
          </cell>
        </row>
        <row r="4320">
          <cell r="B4320" t="str">
            <v>DD-J10B-94061-1021</v>
          </cell>
          <cell r="D4320" t="str">
            <v>C</v>
          </cell>
          <cell r="E4320" t="str">
            <v>准备工时</v>
          </cell>
          <cell r="G4320">
            <v>60</v>
          </cell>
          <cell r="H4320">
            <v>60</v>
          </cell>
          <cell r="I4320">
            <v>60</v>
          </cell>
          <cell r="L4320">
            <v>60</v>
          </cell>
        </row>
        <row r="4321">
          <cell r="B4321" t="str">
            <v>DD-J10B-94061-1021</v>
          </cell>
          <cell r="D4321" t="str">
            <v>C</v>
          </cell>
          <cell r="E4321" t="str">
            <v>程序时间</v>
          </cell>
          <cell r="G4321">
            <v>50</v>
          </cell>
          <cell r="H4321">
            <v>60</v>
          </cell>
          <cell r="I4321">
            <v>10</v>
          </cell>
          <cell r="J4321">
            <v>20</v>
          </cell>
          <cell r="L4321">
            <v>15</v>
          </cell>
        </row>
        <row r="4322">
          <cell r="B4322" t="str">
            <v>CB22836Y6-003-001</v>
          </cell>
          <cell r="D4322" t="str">
            <v>B</v>
          </cell>
          <cell r="E4322" t="str">
            <v>工序内容</v>
          </cell>
          <cell r="F4322" t="str">
            <v>0/领料</v>
          </cell>
          <cell r="G4322" t="str">
            <v>05/数车10</v>
          </cell>
          <cell r="H4322" t="str">
            <v>10/数车3</v>
          </cell>
          <cell r="I4322" t="str">
            <v>15/钳工</v>
          </cell>
          <cell r="J4322" t="str">
            <v>20/分光</v>
          </cell>
          <cell r="K4322" t="str">
            <v>25/钳工</v>
          </cell>
          <cell r="L4322" t="str">
            <v>30/清洁</v>
          </cell>
          <cell r="M4322" t="str">
            <v>35/成检</v>
          </cell>
        </row>
        <row r="4323">
          <cell r="B4323" t="str">
            <v>CB22836Y6-003-001</v>
          </cell>
          <cell r="D4323" t="str">
            <v>B</v>
          </cell>
          <cell r="E4323" t="str">
            <v>准备工时</v>
          </cell>
          <cell r="G4323">
            <v>60</v>
          </cell>
          <cell r="H4323">
            <v>60</v>
          </cell>
        </row>
        <row r="4324">
          <cell r="B4324" t="str">
            <v>CB22836Y6-003-001</v>
          </cell>
          <cell r="D4324" t="str">
            <v>B</v>
          </cell>
          <cell r="E4324" t="str">
            <v>程序时间</v>
          </cell>
          <cell r="G4324">
            <v>15</v>
          </cell>
          <cell r="H4324">
            <v>10</v>
          </cell>
          <cell r="I4324">
            <v>4</v>
          </cell>
          <cell r="K4324">
            <v>5</v>
          </cell>
        </row>
        <row r="4325">
          <cell r="B4325" t="str">
            <v>DD-J10-64016-210-1</v>
          </cell>
          <cell r="D4325" t="str">
            <v>H</v>
          </cell>
          <cell r="E4325" t="str">
            <v>工序内容</v>
          </cell>
          <cell r="F4325" t="str">
            <v>0/领料</v>
          </cell>
          <cell r="G4325" t="str">
            <v>05/数车20</v>
          </cell>
          <cell r="H4325" t="str">
            <v>10/数车10</v>
          </cell>
          <cell r="I4325" t="str">
            <v>15/数车10</v>
          </cell>
          <cell r="J4325" t="str">
            <v>20/数车30</v>
          </cell>
          <cell r="K4325" t="str">
            <v>25/分光</v>
          </cell>
          <cell r="L4325" t="str">
            <v>30/抛分光点</v>
          </cell>
          <cell r="M4325" t="str">
            <v>35/清洗</v>
          </cell>
          <cell r="N4325" t="str">
            <v>40/成检</v>
          </cell>
        </row>
        <row r="4326">
          <cell r="B4326" t="str">
            <v>DD-J10-64016-210-1</v>
          </cell>
          <cell r="D4326" t="str">
            <v>H</v>
          </cell>
          <cell r="E4326" t="str">
            <v>准备工时</v>
          </cell>
          <cell r="G4326">
            <v>60</v>
          </cell>
          <cell r="H4326">
            <v>60</v>
          </cell>
          <cell r="I4326">
            <v>60</v>
          </cell>
          <cell r="J4326">
            <v>90</v>
          </cell>
        </row>
        <row r="4327">
          <cell r="B4327" t="str">
            <v>DD-J10-64016-210-1</v>
          </cell>
          <cell r="D4327" t="str">
            <v>H</v>
          </cell>
          <cell r="E4327" t="str">
            <v>程序时间</v>
          </cell>
          <cell r="G4327">
            <v>20</v>
          </cell>
          <cell r="H4327">
            <v>15</v>
          </cell>
          <cell r="I4327">
            <v>15</v>
          </cell>
          <cell r="J4327">
            <v>45</v>
          </cell>
          <cell r="L4327" t="str">
            <v>5</v>
          </cell>
        </row>
        <row r="4328">
          <cell r="B4328" t="str">
            <v>DD-J10-55181-6742</v>
          </cell>
          <cell r="D4328" t="str">
            <v>A</v>
          </cell>
          <cell r="E4328" t="str">
            <v>工序内容</v>
          </cell>
          <cell r="F4328" t="str">
            <v>0/领料</v>
          </cell>
          <cell r="G4328" t="str">
            <v>05/数车20</v>
          </cell>
          <cell r="H4328" t="str">
            <v>10/数车35</v>
          </cell>
          <cell r="I4328" t="str">
            <v>15/数车10</v>
          </cell>
          <cell r="J4328" t="str">
            <v>20/钳工</v>
          </cell>
          <cell r="K4328" t="str">
            <v>25分光</v>
          </cell>
          <cell r="L4328" t="str">
            <v>30数车20</v>
          </cell>
          <cell r="M4328" t="str">
            <v>35/穿孔</v>
          </cell>
          <cell r="N4328" t="str">
            <v>40钳工</v>
          </cell>
          <cell r="O4328" t="str">
            <v>45/热处理</v>
          </cell>
          <cell r="P4328" t="str">
            <v>50/数车10</v>
          </cell>
          <cell r="Q4328" t="str">
            <v>55/钳工</v>
          </cell>
          <cell r="R4328" t="str">
            <v>60/清洁</v>
          </cell>
          <cell r="S4328" t="str">
            <v>65/成检</v>
          </cell>
        </row>
        <row r="4329">
          <cell r="B4329" t="str">
            <v>DD-J10-55181-6742</v>
          </cell>
          <cell r="D4329" t="str">
            <v>A</v>
          </cell>
          <cell r="E4329" t="str">
            <v>准备工时</v>
          </cell>
          <cell r="G4329">
            <v>60</v>
          </cell>
          <cell r="H4329">
            <v>90</v>
          </cell>
          <cell r="I4329">
            <v>60</v>
          </cell>
          <cell r="L4329">
            <v>90</v>
          </cell>
          <cell r="P4329">
            <v>60</v>
          </cell>
        </row>
        <row r="4330">
          <cell r="B4330" t="str">
            <v>DD-J10-55181-6742</v>
          </cell>
          <cell r="D4330" t="str">
            <v>A</v>
          </cell>
          <cell r="E4330" t="str">
            <v>程序时间</v>
          </cell>
          <cell r="G4330">
            <v>15</v>
          </cell>
          <cell r="H4330">
            <v>40</v>
          </cell>
          <cell r="I4330">
            <v>15</v>
          </cell>
          <cell r="J4330">
            <v>25</v>
          </cell>
          <cell r="L4330">
            <v>25</v>
          </cell>
          <cell r="N4330" t="str">
            <v>20</v>
          </cell>
          <cell r="P4330">
            <v>15</v>
          </cell>
          <cell r="Q4330">
            <v>10</v>
          </cell>
        </row>
        <row r="4331">
          <cell r="B4331" t="str">
            <v>5215A000007G010</v>
          </cell>
          <cell r="D4331" t="str">
            <v>B</v>
          </cell>
          <cell r="E4331" t="str">
            <v>工序内容</v>
          </cell>
          <cell r="F4331" t="str">
            <v>0/领料</v>
          </cell>
          <cell r="G4331" t="str">
            <v>05/数车30</v>
          </cell>
          <cell r="H4331" t="str">
            <v>10/数车20</v>
          </cell>
          <cell r="I4331" t="str">
            <v>15热处理</v>
          </cell>
          <cell r="J4331" t="str">
            <v>20/热处理</v>
          </cell>
          <cell r="K4331" t="str">
            <v>25/硬度</v>
          </cell>
          <cell r="L4331" t="str">
            <v>30/数车15</v>
          </cell>
          <cell r="M4331" t="str">
            <v>35/数车15</v>
          </cell>
          <cell r="N4331" t="str">
            <v>40/标记</v>
          </cell>
          <cell r="O4331" t="str">
            <v>45/清洁</v>
          </cell>
          <cell r="P4331" t="str">
            <v>50/消除应力</v>
          </cell>
          <cell r="Q4331" t="str">
            <v>55/清洗</v>
          </cell>
          <cell r="R4331" t="str">
            <v>60/磁粉</v>
          </cell>
          <cell r="S4331" t="str">
            <v>65/清洗</v>
          </cell>
          <cell r="T4331" t="str">
            <v>70/表处理</v>
          </cell>
          <cell r="U4331" t="str">
            <v>75/磨工</v>
          </cell>
          <cell r="V4331" t="str">
            <v>80/钳工</v>
          </cell>
          <cell r="W4331" t="str">
            <v>85/清洁</v>
          </cell>
          <cell r="X4331" t="str">
            <v>90/成检</v>
          </cell>
        </row>
        <row r="4332">
          <cell r="B4332" t="str">
            <v>5215A000007G010</v>
          </cell>
          <cell r="D4332" t="str">
            <v>B</v>
          </cell>
          <cell r="E4332" t="str">
            <v>准备工时</v>
          </cell>
          <cell r="G4332">
            <v>60</v>
          </cell>
          <cell r="H4332">
            <v>60</v>
          </cell>
          <cell r="L4332">
            <v>90</v>
          </cell>
          <cell r="M4332">
            <v>90</v>
          </cell>
          <cell r="U4332">
            <v>60</v>
          </cell>
        </row>
        <row r="4333">
          <cell r="B4333" t="str">
            <v>5215A000007G010</v>
          </cell>
          <cell r="D4333" t="str">
            <v>B</v>
          </cell>
          <cell r="E4333" t="str">
            <v>程序时间</v>
          </cell>
          <cell r="G4333">
            <v>30</v>
          </cell>
          <cell r="H4333">
            <v>25</v>
          </cell>
          <cell r="L4333">
            <v>25</v>
          </cell>
          <cell r="M4333">
            <v>25</v>
          </cell>
          <cell r="U4333">
            <v>20</v>
          </cell>
          <cell r="V4333">
            <v>20</v>
          </cell>
        </row>
        <row r="4334">
          <cell r="B4334" t="str">
            <v>DD-J10-55014-2010-1</v>
          </cell>
          <cell r="D4334" t="str">
            <v>C</v>
          </cell>
          <cell r="E4334" t="str">
            <v>工序内容</v>
          </cell>
          <cell r="F4334" t="str">
            <v>0/领料</v>
          </cell>
          <cell r="G4334" t="str">
            <v>5/数车10</v>
          </cell>
          <cell r="H4334" t="str">
            <v>10/数车5</v>
          </cell>
          <cell r="I4334" t="str">
            <v>15/钳工</v>
          </cell>
          <cell r="J4334" t="str">
            <v>20/清洁</v>
          </cell>
          <cell r="K4334" t="str">
            <v>25/成检</v>
          </cell>
        </row>
        <row r="4335">
          <cell r="B4335" t="str">
            <v>DD-J10-55014-2010-1</v>
          </cell>
          <cell r="D4335" t="str">
            <v>C</v>
          </cell>
          <cell r="E4335" t="str">
            <v>准备工时</v>
          </cell>
          <cell r="G4335">
            <v>60</v>
          </cell>
          <cell r="H4335">
            <v>60</v>
          </cell>
        </row>
        <row r="4336">
          <cell r="B4336" t="str">
            <v>DD-J10-55014-2010-1</v>
          </cell>
          <cell r="D4336" t="str">
            <v>C</v>
          </cell>
          <cell r="E4336" t="str">
            <v>程序时间</v>
          </cell>
          <cell r="G4336">
            <v>15</v>
          </cell>
          <cell r="H4336">
            <v>8</v>
          </cell>
          <cell r="I4336">
            <v>4</v>
          </cell>
        </row>
        <row r="4337">
          <cell r="B4337" t="str">
            <v>CB229C431-003-001</v>
          </cell>
          <cell r="D4337" t="str">
            <v>B</v>
          </cell>
          <cell r="E4337" t="str">
            <v>工序内容</v>
          </cell>
          <cell r="F4337" t="str">
            <v>0/领料</v>
          </cell>
          <cell r="G4337" t="str">
            <v>5/数车25</v>
          </cell>
          <cell r="H4337" t="str">
            <v>10/数车5</v>
          </cell>
          <cell r="I4337" t="str">
            <v>15/钳工</v>
          </cell>
          <cell r="J4337" t="str">
            <v>20/清洁</v>
          </cell>
          <cell r="K4337" t="str">
            <v>25/成检</v>
          </cell>
        </row>
        <row r="4338">
          <cell r="B4338" t="str">
            <v>CB229C431-003-001</v>
          </cell>
          <cell r="D4338" t="str">
            <v>B</v>
          </cell>
          <cell r="E4338" t="str">
            <v>准备工时</v>
          </cell>
          <cell r="G4338">
            <v>60</v>
          </cell>
          <cell r="H4338">
            <v>60</v>
          </cell>
        </row>
        <row r="4339">
          <cell r="B4339" t="str">
            <v>CB229C431-003-001</v>
          </cell>
          <cell r="D4339" t="str">
            <v>B</v>
          </cell>
          <cell r="E4339" t="str">
            <v>程序时间</v>
          </cell>
          <cell r="G4339">
            <v>25</v>
          </cell>
          <cell r="H4339">
            <v>8</v>
          </cell>
          <cell r="I4339">
            <v>4</v>
          </cell>
        </row>
        <row r="4340">
          <cell r="B4340" t="str">
            <v>CB5811100-013-001</v>
          </cell>
          <cell r="D4340" t="str">
            <v>C</v>
          </cell>
          <cell r="E4340" t="str">
            <v>工序内容</v>
          </cell>
          <cell r="F4340" t="str">
            <v>0/领料</v>
          </cell>
          <cell r="G4340" t="str">
            <v>05/普车</v>
          </cell>
          <cell r="H4340" t="str">
            <v>10/分光</v>
          </cell>
          <cell r="I4340" t="str">
            <v>15/热处理</v>
          </cell>
          <cell r="J4340" t="str">
            <v>20/数车20</v>
          </cell>
          <cell r="K4340" t="str">
            <v>25/数车5</v>
          </cell>
          <cell r="L4340" t="str">
            <v>30/清洁</v>
          </cell>
          <cell r="M4340" t="str">
            <v>35/成检</v>
          </cell>
        </row>
        <row r="4341">
          <cell r="B4341" t="str">
            <v>CB5811100-013-001</v>
          </cell>
          <cell r="D4341" t="str">
            <v>C</v>
          </cell>
          <cell r="E4341" t="str">
            <v>准备工时</v>
          </cell>
          <cell r="G4341">
            <v>60</v>
          </cell>
          <cell r="J4341">
            <v>90</v>
          </cell>
          <cell r="K4341">
            <v>90</v>
          </cell>
        </row>
        <row r="4342">
          <cell r="B4342" t="str">
            <v>CB5811100-013-001</v>
          </cell>
          <cell r="D4342" t="str">
            <v>C</v>
          </cell>
          <cell r="E4342" t="str">
            <v>程序时间</v>
          </cell>
          <cell r="G4342">
            <v>30</v>
          </cell>
          <cell r="J4342">
            <v>40</v>
          </cell>
          <cell r="K4342">
            <v>20</v>
          </cell>
        </row>
        <row r="4343">
          <cell r="B4343" t="str">
            <v>DD-J10-63001-511</v>
          </cell>
          <cell r="D4343" t="str">
            <v>E</v>
          </cell>
          <cell r="E4343" t="str">
            <v>工序内容</v>
          </cell>
          <cell r="F4343" t="str">
            <v>0/领料</v>
          </cell>
          <cell r="G4343" t="str">
            <v>5/下料</v>
          </cell>
          <cell r="H4343" t="str">
            <v>10普车</v>
          </cell>
          <cell r="I4343" t="str">
            <v>15/数车</v>
          </cell>
          <cell r="J4343" t="str">
            <v>20/数车</v>
          </cell>
          <cell r="K4343" t="str">
            <v>25/清洁</v>
          </cell>
          <cell r="L4343" t="str">
            <v>30/成检</v>
          </cell>
        </row>
        <row r="4344">
          <cell r="B4344" t="str">
            <v>DD-J10-63001-511</v>
          </cell>
          <cell r="D4344" t="str">
            <v>E</v>
          </cell>
          <cell r="E4344" t="str">
            <v>准备工时</v>
          </cell>
          <cell r="H4344">
            <v>60</v>
          </cell>
          <cell r="I4344">
            <v>90</v>
          </cell>
          <cell r="J4344">
            <v>90</v>
          </cell>
        </row>
        <row r="4345">
          <cell r="B4345" t="str">
            <v>DD-J10-63001-511</v>
          </cell>
          <cell r="D4345" t="str">
            <v>E</v>
          </cell>
          <cell r="E4345" t="str">
            <v>程序时间</v>
          </cell>
          <cell r="H4345">
            <v>10</v>
          </cell>
          <cell r="I4345">
            <v>25</v>
          </cell>
          <cell r="J4345">
            <v>15</v>
          </cell>
        </row>
        <row r="4346">
          <cell r="B4346" t="str">
            <v>DD-J10-41153-130-2</v>
          </cell>
          <cell r="D4346" t="str">
            <v>C</v>
          </cell>
          <cell r="E4346" t="str">
            <v>工序内容</v>
          </cell>
          <cell r="F4346" t="str">
            <v>0/领料</v>
          </cell>
          <cell r="G4346" t="str">
            <v>5/数车8</v>
          </cell>
          <cell r="H4346" t="str">
            <v>10/数车8</v>
          </cell>
          <cell r="I4346" t="str">
            <v>15/清洁</v>
          </cell>
          <cell r="J4346" t="str">
            <v>20/成检</v>
          </cell>
        </row>
        <row r="4347">
          <cell r="B4347" t="str">
            <v>DD-J10-41153-130-2</v>
          </cell>
          <cell r="D4347" t="str">
            <v>C</v>
          </cell>
          <cell r="E4347" t="str">
            <v>准备工时</v>
          </cell>
          <cell r="G4347">
            <v>60</v>
          </cell>
          <cell r="H4347">
            <v>60</v>
          </cell>
        </row>
        <row r="4348">
          <cell r="B4348" t="str">
            <v>DD-J10-41153-130-2</v>
          </cell>
          <cell r="D4348" t="str">
            <v>C</v>
          </cell>
          <cell r="E4348" t="str">
            <v>程序时间</v>
          </cell>
          <cell r="G4348">
            <v>10</v>
          </cell>
          <cell r="H4348">
            <v>10</v>
          </cell>
        </row>
        <row r="4349">
          <cell r="B4349" t="str">
            <v>DD-J10-41153-120-2</v>
          </cell>
          <cell r="D4349" t="str">
            <v>C</v>
          </cell>
          <cell r="E4349" t="str">
            <v>工序内容</v>
          </cell>
          <cell r="F4349" t="str">
            <v>0/领料</v>
          </cell>
          <cell r="G4349" t="str">
            <v>5/数车15</v>
          </cell>
          <cell r="H4349" t="str">
            <v>10/数车5</v>
          </cell>
          <cell r="I4349" t="str">
            <v>15/钳工</v>
          </cell>
          <cell r="J4349" t="str">
            <v>20/分光</v>
          </cell>
          <cell r="K4349" t="str">
            <v>25/钳工</v>
          </cell>
          <cell r="L4349" t="str">
            <v>30/清洁</v>
          </cell>
          <cell r="M4349" t="str">
            <v>35/成检</v>
          </cell>
        </row>
        <row r="4350">
          <cell r="B4350" t="str">
            <v>DD-J10-41153-120-2</v>
          </cell>
          <cell r="D4350" t="str">
            <v>C</v>
          </cell>
          <cell r="E4350" t="str">
            <v>准备工时</v>
          </cell>
          <cell r="G4350">
            <v>90</v>
          </cell>
          <cell r="H4350">
            <v>60</v>
          </cell>
        </row>
        <row r="4351">
          <cell r="B4351" t="str">
            <v>DD-J10-41153-120-2</v>
          </cell>
          <cell r="D4351" t="str">
            <v>C</v>
          </cell>
          <cell r="E4351" t="str">
            <v>程序时间</v>
          </cell>
          <cell r="G4351">
            <v>25</v>
          </cell>
          <cell r="H4351">
            <v>10</v>
          </cell>
          <cell r="I4351">
            <v>10</v>
          </cell>
          <cell r="K4351">
            <v>5</v>
          </cell>
        </row>
        <row r="4352">
          <cell r="B4352" t="str">
            <v>CB5315193-005-003</v>
          </cell>
          <cell r="D4352" t="str">
            <v>F</v>
          </cell>
          <cell r="E4352" t="str">
            <v>工序内容</v>
          </cell>
          <cell r="F4352" t="str">
            <v>0/领料</v>
          </cell>
          <cell r="G4352" t="str">
            <v>5/数铣</v>
          </cell>
          <cell r="H4352" t="str">
            <v>10/数铣15</v>
          </cell>
          <cell r="I4352" t="str">
            <v>15/数铣25</v>
          </cell>
          <cell r="J4352" t="str">
            <v>20/数铣100</v>
          </cell>
          <cell r="K4352" t="str">
            <v>25/数铣100</v>
          </cell>
          <cell r="L4352" t="str">
            <v>30/测量</v>
          </cell>
          <cell r="M4352" t="str">
            <v>35/钳工</v>
          </cell>
          <cell r="N4352" t="str">
            <v>40无</v>
          </cell>
          <cell r="O4352" t="str">
            <v>45/清洁</v>
          </cell>
          <cell r="P4352" t="str">
            <v>50检验</v>
          </cell>
          <cell r="Q4352" t="str">
            <v>55硬度检查</v>
          </cell>
          <cell r="R4352" t="str">
            <v>60分光</v>
          </cell>
          <cell r="S4352" t="str">
            <v>65钳工</v>
          </cell>
          <cell r="T4352" t="str">
            <v>70清洁</v>
          </cell>
          <cell r="U4352" t="str">
            <v>75成检</v>
          </cell>
        </row>
        <row r="4353">
          <cell r="B4353" t="str">
            <v>CB5315193-005-003</v>
          </cell>
          <cell r="D4353" t="str">
            <v>F</v>
          </cell>
          <cell r="E4353" t="str">
            <v>准备工时</v>
          </cell>
          <cell r="G4353">
            <v>60</v>
          </cell>
          <cell r="H4353">
            <v>60</v>
          </cell>
          <cell r="I4353">
            <v>60</v>
          </cell>
          <cell r="J4353">
            <v>60</v>
          </cell>
          <cell r="K4353">
            <v>60</v>
          </cell>
        </row>
        <row r="4354">
          <cell r="B4354" t="str">
            <v>CB5315193-005-003</v>
          </cell>
          <cell r="D4354" t="str">
            <v>F</v>
          </cell>
          <cell r="E4354" t="str">
            <v>程序时间</v>
          </cell>
          <cell r="G4354">
            <v>90</v>
          </cell>
          <cell r="H4354">
            <v>25</v>
          </cell>
          <cell r="I4354">
            <v>60</v>
          </cell>
          <cell r="J4354">
            <v>170</v>
          </cell>
          <cell r="K4354">
            <v>170</v>
          </cell>
          <cell r="M4354">
            <v>30</v>
          </cell>
        </row>
        <row r="4355">
          <cell r="B4355" t="str">
            <v>CB5315191-012L003</v>
          </cell>
          <cell r="D4355" t="str">
            <v>D</v>
          </cell>
          <cell r="E4355" t="str">
            <v>工序内容</v>
          </cell>
          <cell r="F4355" t="str">
            <v>0/领料</v>
          </cell>
          <cell r="G4355" t="str">
            <v>5/数铣</v>
          </cell>
          <cell r="H4355" t="str">
            <v>10/数铣40</v>
          </cell>
          <cell r="I4355" t="str">
            <v>15/数铣10</v>
          </cell>
          <cell r="J4355" t="str">
            <v>20/数铣70</v>
          </cell>
          <cell r="K4355" t="str">
            <v>25/数铣30</v>
          </cell>
          <cell r="L4355" t="str">
            <v>30/数铣70</v>
          </cell>
          <cell r="M4355" t="str">
            <v>35/五轴130</v>
          </cell>
          <cell r="N4355" t="str">
            <v>40/测量</v>
          </cell>
          <cell r="O4355" t="str">
            <v>45/数铣25</v>
          </cell>
          <cell r="P4355" t="str">
            <v>50/钳工</v>
          </cell>
          <cell r="Q4355" t="str">
            <v>55/清洗</v>
          </cell>
          <cell r="R4355" t="str">
            <v>60/硬检</v>
          </cell>
          <cell r="S4355" t="str">
            <v>65/分光</v>
          </cell>
          <cell r="T4355" t="str">
            <v>70/检验</v>
          </cell>
          <cell r="U4355" t="str">
            <v>75/钳工</v>
          </cell>
          <cell r="V4355" t="str">
            <v>85/成检</v>
          </cell>
        </row>
        <row r="4356">
          <cell r="B4356" t="str">
            <v>CB5315191-012L003</v>
          </cell>
          <cell r="D4356" t="str">
            <v>D</v>
          </cell>
          <cell r="E4356" t="str">
            <v>准备工时</v>
          </cell>
          <cell r="G4356">
            <v>60</v>
          </cell>
          <cell r="H4356">
            <v>90</v>
          </cell>
          <cell r="I4356">
            <v>60</v>
          </cell>
          <cell r="J4356">
            <v>90</v>
          </cell>
          <cell r="K4356">
            <v>60</v>
          </cell>
          <cell r="L4356">
            <v>90</v>
          </cell>
          <cell r="M4356">
            <v>120</v>
          </cell>
          <cell r="O4356">
            <v>60</v>
          </cell>
        </row>
        <row r="4357">
          <cell r="B4357" t="str">
            <v>CB5315191-012L003</v>
          </cell>
          <cell r="D4357" t="str">
            <v>D</v>
          </cell>
          <cell r="E4357" t="str">
            <v>装夹时间</v>
          </cell>
          <cell r="J4357">
            <v>30</v>
          </cell>
          <cell r="M4357">
            <v>60</v>
          </cell>
        </row>
        <row r="4358">
          <cell r="B4358" t="str">
            <v>CB5315191-012L003</v>
          </cell>
          <cell r="D4358" t="str">
            <v>D</v>
          </cell>
          <cell r="E4358" t="str">
            <v>程序时间</v>
          </cell>
          <cell r="G4358">
            <v>120</v>
          </cell>
          <cell r="H4358">
            <v>80</v>
          </cell>
          <cell r="I4358">
            <v>40</v>
          </cell>
          <cell r="J4358">
            <v>120</v>
          </cell>
          <cell r="K4358">
            <v>70</v>
          </cell>
          <cell r="L4358">
            <v>120</v>
          </cell>
          <cell r="M4358">
            <v>200</v>
          </cell>
          <cell r="O4358">
            <v>60</v>
          </cell>
          <cell r="P4358">
            <v>120</v>
          </cell>
          <cell r="U4358">
            <v>10</v>
          </cell>
        </row>
        <row r="4359">
          <cell r="B4359" t="str">
            <v>CB5315191-012R003</v>
          </cell>
          <cell r="D4359" t="str">
            <v>D</v>
          </cell>
          <cell r="E4359" t="str">
            <v>工序内容</v>
          </cell>
          <cell r="F4359" t="str">
            <v>0/领料</v>
          </cell>
          <cell r="G4359" t="str">
            <v>5/数铣</v>
          </cell>
          <cell r="H4359" t="str">
            <v>10/数铣40</v>
          </cell>
          <cell r="I4359" t="str">
            <v>15/数铣10</v>
          </cell>
          <cell r="J4359" t="str">
            <v>20/数铣70</v>
          </cell>
          <cell r="K4359" t="str">
            <v>25/数铣30</v>
          </cell>
          <cell r="L4359" t="str">
            <v>30/数铣70</v>
          </cell>
          <cell r="M4359" t="str">
            <v>35/五轴130</v>
          </cell>
          <cell r="N4359" t="str">
            <v>40/测量</v>
          </cell>
          <cell r="O4359" t="str">
            <v>45/数铣25</v>
          </cell>
          <cell r="P4359" t="str">
            <v>50/钳工</v>
          </cell>
          <cell r="Q4359" t="str">
            <v>55/清洗</v>
          </cell>
          <cell r="R4359" t="str">
            <v>60/硬检</v>
          </cell>
          <cell r="S4359" t="str">
            <v>65/分光</v>
          </cell>
          <cell r="T4359" t="str">
            <v>70/检验</v>
          </cell>
          <cell r="U4359" t="str">
            <v>75/钳工</v>
          </cell>
          <cell r="V4359" t="str">
            <v>85/成检</v>
          </cell>
        </row>
        <row r="4360">
          <cell r="B4360" t="str">
            <v>CB5315191-012R003</v>
          </cell>
          <cell r="D4360" t="str">
            <v>D</v>
          </cell>
          <cell r="E4360" t="str">
            <v>准备工时</v>
          </cell>
          <cell r="G4360">
            <v>60</v>
          </cell>
          <cell r="H4360">
            <v>90</v>
          </cell>
          <cell r="I4360">
            <v>60</v>
          </cell>
          <cell r="J4360">
            <v>90</v>
          </cell>
          <cell r="K4360">
            <v>60</v>
          </cell>
          <cell r="L4360">
            <v>90</v>
          </cell>
          <cell r="M4360">
            <v>120</v>
          </cell>
          <cell r="O4360">
            <v>60</v>
          </cell>
        </row>
        <row r="4361">
          <cell r="B4361" t="str">
            <v>CB5315191-012R003</v>
          </cell>
          <cell r="D4361" t="str">
            <v>D</v>
          </cell>
          <cell r="E4361" t="str">
            <v>装夹时间</v>
          </cell>
          <cell r="J4361">
            <v>30</v>
          </cell>
          <cell r="M4361">
            <v>60</v>
          </cell>
        </row>
        <row r="4362">
          <cell r="B4362" t="str">
            <v>CB5315191-012R003</v>
          </cell>
          <cell r="D4362" t="str">
            <v>D</v>
          </cell>
          <cell r="E4362" t="str">
            <v>程序时间</v>
          </cell>
          <cell r="G4362">
            <v>120</v>
          </cell>
          <cell r="H4362">
            <v>80</v>
          </cell>
          <cell r="I4362">
            <v>40</v>
          </cell>
          <cell r="J4362">
            <v>120</v>
          </cell>
          <cell r="K4362">
            <v>70</v>
          </cell>
          <cell r="L4362">
            <v>120</v>
          </cell>
          <cell r="M4362">
            <v>200</v>
          </cell>
          <cell r="O4362">
            <v>60</v>
          </cell>
          <cell r="P4362">
            <v>120</v>
          </cell>
          <cell r="U4362">
            <v>10</v>
          </cell>
        </row>
        <row r="4363">
          <cell r="B4363" t="str">
            <v>CB5315191-012L003</v>
          </cell>
          <cell r="D4363" t="str">
            <v>E</v>
          </cell>
          <cell r="E4363" t="str">
            <v>工序内容</v>
          </cell>
          <cell r="F4363" t="str">
            <v>0/领料</v>
          </cell>
          <cell r="G4363" t="str">
            <v>5/数铣</v>
          </cell>
          <cell r="H4363" t="str">
            <v>10/数铣40</v>
          </cell>
          <cell r="I4363" t="str">
            <v>15/数铣10</v>
          </cell>
          <cell r="J4363" t="str">
            <v>20/数铣70</v>
          </cell>
          <cell r="K4363" t="str">
            <v>25/数铣30</v>
          </cell>
          <cell r="L4363" t="str">
            <v>30/数铣70</v>
          </cell>
          <cell r="M4363" t="str">
            <v>35/五轴130</v>
          </cell>
          <cell r="N4363" t="str">
            <v>40/测量</v>
          </cell>
          <cell r="O4363" t="str">
            <v>45/数铣25</v>
          </cell>
          <cell r="P4363" t="str">
            <v>50/钳工</v>
          </cell>
          <cell r="Q4363" t="str">
            <v>55/清洗</v>
          </cell>
          <cell r="R4363" t="str">
            <v>60/硬检</v>
          </cell>
          <cell r="S4363" t="str">
            <v>65/分光</v>
          </cell>
          <cell r="T4363" t="str">
            <v>70/检验</v>
          </cell>
          <cell r="U4363" t="str">
            <v>75/钳工</v>
          </cell>
          <cell r="V4363" t="str">
            <v>80/成检</v>
          </cell>
        </row>
        <row r="4364">
          <cell r="B4364" t="str">
            <v>CB5315191-012L003</v>
          </cell>
          <cell r="D4364" t="str">
            <v>E</v>
          </cell>
          <cell r="E4364" t="str">
            <v>准备工时</v>
          </cell>
          <cell r="G4364">
            <v>60</v>
          </cell>
          <cell r="H4364">
            <v>90</v>
          </cell>
          <cell r="I4364">
            <v>60</v>
          </cell>
          <cell r="J4364">
            <v>90</v>
          </cell>
          <cell r="K4364">
            <v>60</v>
          </cell>
          <cell r="L4364">
            <v>90</v>
          </cell>
          <cell r="M4364">
            <v>120</v>
          </cell>
          <cell r="O4364">
            <v>60</v>
          </cell>
        </row>
        <row r="4365">
          <cell r="B4365" t="str">
            <v>CB5315191-012L003</v>
          </cell>
          <cell r="D4365" t="str">
            <v>E</v>
          </cell>
          <cell r="E4365" t="str">
            <v>装夹时间</v>
          </cell>
          <cell r="J4365">
            <v>30</v>
          </cell>
          <cell r="M4365">
            <v>60</v>
          </cell>
        </row>
        <row r="4366">
          <cell r="B4366" t="str">
            <v>CB5315191-012L003</v>
          </cell>
          <cell r="D4366" t="str">
            <v>E</v>
          </cell>
          <cell r="E4366" t="str">
            <v>程序时间</v>
          </cell>
          <cell r="G4366">
            <v>120</v>
          </cell>
          <cell r="H4366">
            <v>80</v>
          </cell>
          <cell r="I4366">
            <v>40</v>
          </cell>
          <cell r="J4366">
            <v>120</v>
          </cell>
          <cell r="K4366">
            <v>70</v>
          </cell>
          <cell r="L4366">
            <v>120</v>
          </cell>
          <cell r="M4366">
            <v>300</v>
          </cell>
          <cell r="O4366">
            <v>50</v>
          </cell>
          <cell r="P4366">
            <v>120</v>
          </cell>
          <cell r="U4366">
            <v>10</v>
          </cell>
        </row>
        <row r="4367">
          <cell r="B4367" t="str">
            <v>CB5315191-012R003</v>
          </cell>
          <cell r="D4367" t="str">
            <v>E</v>
          </cell>
          <cell r="E4367" t="str">
            <v>工序内容</v>
          </cell>
          <cell r="F4367" t="str">
            <v>0/领料</v>
          </cell>
          <cell r="G4367" t="str">
            <v>5/数铣</v>
          </cell>
          <cell r="H4367" t="str">
            <v>10/数铣40</v>
          </cell>
          <cell r="I4367" t="str">
            <v>15/数铣10</v>
          </cell>
          <cell r="J4367" t="str">
            <v>20/数铣70</v>
          </cell>
          <cell r="K4367" t="str">
            <v>25/数铣30</v>
          </cell>
          <cell r="L4367" t="str">
            <v>30/数铣70</v>
          </cell>
          <cell r="M4367" t="str">
            <v>35/五轴130</v>
          </cell>
          <cell r="N4367" t="str">
            <v>40/测量</v>
          </cell>
          <cell r="O4367" t="str">
            <v>45/数铣25</v>
          </cell>
          <cell r="P4367" t="str">
            <v>50/钳工</v>
          </cell>
          <cell r="Q4367" t="str">
            <v>55/清洗</v>
          </cell>
          <cell r="R4367" t="str">
            <v>60/硬检</v>
          </cell>
          <cell r="S4367" t="str">
            <v>65/分光</v>
          </cell>
          <cell r="T4367" t="str">
            <v>70/检验</v>
          </cell>
          <cell r="U4367" t="str">
            <v>75/钳工</v>
          </cell>
          <cell r="V4367" t="str">
            <v>80/成检</v>
          </cell>
        </row>
        <row r="4368">
          <cell r="B4368" t="str">
            <v>CB5315191-012R003</v>
          </cell>
          <cell r="D4368" t="str">
            <v>E</v>
          </cell>
          <cell r="E4368" t="str">
            <v>准备工时</v>
          </cell>
          <cell r="G4368">
            <v>60</v>
          </cell>
          <cell r="H4368">
            <v>90</v>
          </cell>
          <cell r="I4368">
            <v>60</v>
          </cell>
          <cell r="J4368">
            <v>90</v>
          </cell>
          <cell r="K4368">
            <v>60</v>
          </cell>
          <cell r="L4368">
            <v>90</v>
          </cell>
          <cell r="M4368">
            <v>120</v>
          </cell>
          <cell r="O4368">
            <v>60</v>
          </cell>
        </row>
        <row r="4369">
          <cell r="B4369" t="str">
            <v>CB5315191-012R003</v>
          </cell>
          <cell r="D4369" t="str">
            <v>E</v>
          </cell>
          <cell r="E4369" t="str">
            <v>装夹时间</v>
          </cell>
          <cell r="J4369">
            <v>30</v>
          </cell>
          <cell r="M4369">
            <v>60</v>
          </cell>
        </row>
        <row r="4370">
          <cell r="B4370" t="str">
            <v>CB5315191-012R003</v>
          </cell>
          <cell r="D4370" t="str">
            <v>E</v>
          </cell>
          <cell r="E4370" t="str">
            <v>程序时间</v>
          </cell>
          <cell r="G4370">
            <v>120</v>
          </cell>
          <cell r="H4370">
            <v>80</v>
          </cell>
          <cell r="I4370">
            <v>40</v>
          </cell>
          <cell r="J4370">
            <v>120</v>
          </cell>
          <cell r="K4370">
            <v>70</v>
          </cell>
          <cell r="L4370">
            <v>120</v>
          </cell>
          <cell r="M4370">
            <v>300</v>
          </cell>
          <cell r="O4370">
            <v>50</v>
          </cell>
          <cell r="P4370">
            <v>120</v>
          </cell>
          <cell r="U4370">
            <v>10</v>
          </cell>
        </row>
        <row r="4371">
          <cell r="B4371" t="str">
            <v>CB221T1LA-001-001</v>
          </cell>
          <cell r="D4371" t="str">
            <v>B</v>
          </cell>
          <cell r="E4371" t="str">
            <v>工序内容</v>
          </cell>
          <cell r="F4371" t="str">
            <v>0/领料</v>
          </cell>
          <cell r="G4371" t="str">
            <v>05/下料</v>
          </cell>
          <cell r="H4371" t="str">
            <v>05/普车45</v>
          </cell>
          <cell r="I4371" t="str">
            <v>15/分光</v>
          </cell>
          <cell r="J4371" t="str">
            <v>20/热处理</v>
          </cell>
          <cell r="K4371" t="str">
            <v>25/数车30</v>
          </cell>
          <cell r="L4371" t="str">
            <v>30/数车45</v>
          </cell>
          <cell r="M4371" t="str">
            <v>35/数车45</v>
          </cell>
          <cell r="N4371" t="str">
            <v>40/清洁</v>
          </cell>
          <cell r="O4371" t="str">
            <v>45/成检</v>
          </cell>
        </row>
        <row r="4372">
          <cell r="B4372" t="str">
            <v>CB221T1LA-001-001</v>
          </cell>
          <cell r="D4372" t="str">
            <v>B</v>
          </cell>
          <cell r="E4372" t="str">
            <v>准备工时</v>
          </cell>
          <cell r="H4372">
            <v>60</v>
          </cell>
          <cell r="K4372">
            <v>90</v>
          </cell>
          <cell r="L4372">
            <v>90</v>
          </cell>
          <cell r="M4372">
            <v>120</v>
          </cell>
        </row>
        <row r="4373">
          <cell r="B4373" t="str">
            <v>CB221T1LA-001-001</v>
          </cell>
          <cell r="D4373" t="str">
            <v>B</v>
          </cell>
          <cell r="E4373" t="str">
            <v>程序时间</v>
          </cell>
          <cell r="G4373">
            <v>15</v>
          </cell>
          <cell r="H4373">
            <v>90</v>
          </cell>
          <cell r="K4373">
            <v>70</v>
          </cell>
          <cell r="L4373">
            <v>150</v>
          </cell>
          <cell r="M4373">
            <v>150</v>
          </cell>
        </row>
        <row r="4374">
          <cell r="B4374" t="str">
            <v>DD-J10B-55171-151G2</v>
          </cell>
          <cell r="D4374" t="str">
            <v>B</v>
          </cell>
          <cell r="E4374" t="str">
            <v>工序内容</v>
          </cell>
          <cell r="F4374" t="str">
            <v>0/领料</v>
          </cell>
          <cell r="G4374" t="str">
            <v>5/数铣</v>
          </cell>
          <cell r="H4374" t="str">
            <v>10/数铣20</v>
          </cell>
          <cell r="I4374" t="str">
            <v>15/数铣30</v>
          </cell>
          <cell r="J4374" t="str">
            <v>20/数车15</v>
          </cell>
          <cell r="K4374" t="str">
            <v>25/数铣30</v>
          </cell>
          <cell r="L4374" t="str">
            <v>30/数车35</v>
          </cell>
          <cell r="M4374" t="str">
            <v>35/数车25</v>
          </cell>
          <cell r="N4374" t="str">
            <v>40/数车25</v>
          </cell>
          <cell r="O4374" t="str">
            <v>45/钳工</v>
          </cell>
          <cell r="P4374" t="str">
            <v>50/热处理</v>
          </cell>
          <cell r="Q4374" t="str">
            <v>55/数车15</v>
          </cell>
          <cell r="R4374" t="str">
            <v>60/钳工</v>
          </cell>
          <cell r="S4374" t="str">
            <v>65/中间检</v>
          </cell>
          <cell r="T4374" t="str">
            <v>70/入厂复检</v>
          </cell>
          <cell r="U4374" t="str">
            <v>75/表处理</v>
          </cell>
          <cell r="V4374" t="str">
            <v>80/表处</v>
          </cell>
          <cell r="W4374" t="str">
            <v>85/数车15</v>
          </cell>
          <cell r="X4374" t="str">
            <v>90/数车10</v>
          </cell>
          <cell r="Y4374" t="str">
            <v>95/数车10</v>
          </cell>
          <cell r="Z4374" t="str">
            <v>100/清洁</v>
          </cell>
          <cell r="AA4374" t="str">
            <v>105/成检</v>
          </cell>
        </row>
        <row r="4375">
          <cell r="B4375" t="str">
            <v>DD-J10B-55171-151G2</v>
          </cell>
          <cell r="D4375" t="str">
            <v>B</v>
          </cell>
          <cell r="E4375" t="str">
            <v>准备工时</v>
          </cell>
          <cell r="G4375">
            <v>60</v>
          </cell>
          <cell r="H4375">
            <v>60</v>
          </cell>
          <cell r="I4375">
            <v>60</v>
          </cell>
          <cell r="J4375">
            <v>120</v>
          </cell>
          <cell r="K4375">
            <v>60</v>
          </cell>
          <cell r="L4375" t="str">
            <v>120</v>
          </cell>
          <cell r="M4375" t="str">
            <v>120</v>
          </cell>
          <cell r="N4375" t="str">
            <v>120</v>
          </cell>
          <cell r="Q4375">
            <v>120</v>
          </cell>
          <cell r="W4375">
            <v>120</v>
          </cell>
          <cell r="X4375" t="str">
            <v>120</v>
          </cell>
          <cell r="Y4375" t="str">
            <v>120</v>
          </cell>
        </row>
        <row r="4376">
          <cell r="B4376" t="str">
            <v>DD-J10B-55171-151G2</v>
          </cell>
          <cell r="D4376" t="str">
            <v>B</v>
          </cell>
          <cell r="E4376" t="str">
            <v>程序时间</v>
          </cell>
          <cell r="G4376">
            <v>60</v>
          </cell>
          <cell r="H4376">
            <v>35</v>
          </cell>
          <cell r="I4376">
            <v>45</v>
          </cell>
          <cell r="J4376">
            <v>25</v>
          </cell>
          <cell r="K4376">
            <v>45</v>
          </cell>
          <cell r="L4376" t="str">
            <v>40</v>
          </cell>
          <cell r="M4376" t="str">
            <v>35</v>
          </cell>
          <cell r="N4376" t="str">
            <v>35</v>
          </cell>
          <cell r="O4376">
            <v>35</v>
          </cell>
          <cell r="Q4376">
            <v>20</v>
          </cell>
          <cell r="R4376">
            <v>10</v>
          </cell>
          <cell r="W4376">
            <v>25</v>
          </cell>
          <cell r="X4376" t="str">
            <v>15</v>
          </cell>
          <cell r="Y4376" t="str">
            <v>15</v>
          </cell>
        </row>
        <row r="4377">
          <cell r="B4377" t="str">
            <v>260A1865-004-001</v>
          </cell>
          <cell r="D4377" t="str">
            <v>C</v>
          </cell>
          <cell r="E4377" t="str">
            <v>工序内容</v>
          </cell>
          <cell r="F4377" t="str">
            <v>0/领料</v>
          </cell>
          <cell r="G4377" t="str">
            <v>05/数铣</v>
          </cell>
          <cell r="H4377" t="str">
            <v>10/数铣20</v>
          </cell>
          <cell r="I4377" t="str">
            <v>15/钳工</v>
          </cell>
          <cell r="J4377" t="str">
            <v>20/清洁</v>
          </cell>
          <cell r="K4377" t="str">
            <v>25/成检</v>
          </cell>
        </row>
        <row r="4378">
          <cell r="B4378" t="str">
            <v>260A1865-004-001</v>
          </cell>
          <cell r="D4378" t="str">
            <v>C</v>
          </cell>
          <cell r="E4378" t="str">
            <v>准备工时</v>
          </cell>
          <cell r="G4378">
            <v>60</v>
          </cell>
          <cell r="H4378">
            <v>60</v>
          </cell>
        </row>
        <row r="4379">
          <cell r="B4379" t="str">
            <v>260A1865-004-001</v>
          </cell>
          <cell r="D4379" t="str">
            <v>C</v>
          </cell>
          <cell r="E4379" t="str">
            <v>程序时间</v>
          </cell>
          <cell r="G4379">
            <v>30</v>
          </cell>
          <cell r="H4379">
            <v>50</v>
          </cell>
          <cell r="I4379">
            <v>20</v>
          </cell>
        </row>
        <row r="4380">
          <cell r="B4380" t="str">
            <v>DD-J10B-94011-582G2</v>
          </cell>
          <cell r="D4380" t="str">
            <v>B</v>
          </cell>
          <cell r="E4380" t="str">
            <v>工序内容</v>
          </cell>
          <cell r="G4380" t="str">
            <v>5/领料</v>
          </cell>
          <cell r="H4380" t="str">
            <v>10/下料</v>
          </cell>
          <cell r="I4380" t="str">
            <v>15/车工15</v>
          </cell>
          <cell r="J4380" t="str">
            <v>20/车工15</v>
          </cell>
          <cell r="K4380" t="str">
            <v>25/数铣20</v>
          </cell>
          <cell r="L4380" t="str">
            <v>30/数铣6</v>
          </cell>
          <cell r="M4380" t="str">
            <v>35/分光</v>
          </cell>
          <cell r="N4380" t="str">
            <v>40/数铣22</v>
          </cell>
          <cell r="O4380" t="str">
            <v>45/数铣5</v>
          </cell>
          <cell r="P4380" t="str">
            <v>50/钳工</v>
          </cell>
          <cell r="Q4380" t="str">
            <v>55/清洁</v>
          </cell>
          <cell r="R4380" t="str">
            <v>60/成检</v>
          </cell>
        </row>
        <row r="4381">
          <cell r="B4381" t="str">
            <v>DD-J10B-94011-582G2</v>
          </cell>
          <cell r="D4381" t="str">
            <v>B</v>
          </cell>
          <cell r="E4381" t="str">
            <v>准备工时</v>
          </cell>
          <cell r="I4381">
            <v>60</v>
          </cell>
          <cell r="J4381">
            <v>60</v>
          </cell>
          <cell r="K4381">
            <v>90</v>
          </cell>
          <cell r="L4381">
            <v>60</v>
          </cell>
          <cell r="N4381">
            <v>60</v>
          </cell>
          <cell r="O4381">
            <v>60</v>
          </cell>
        </row>
        <row r="4382">
          <cell r="B4382" t="str">
            <v>DD-J10B-94011-582G2</v>
          </cell>
          <cell r="D4382" t="str">
            <v>B</v>
          </cell>
          <cell r="E4382" t="str">
            <v>程序时间</v>
          </cell>
          <cell r="H4382">
            <v>20</v>
          </cell>
          <cell r="I4382">
            <v>20</v>
          </cell>
          <cell r="J4382">
            <v>20</v>
          </cell>
          <cell r="K4382">
            <v>50</v>
          </cell>
          <cell r="L4382">
            <v>30</v>
          </cell>
          <cell r="N4382">
            <v>50</v>
          </cell>
          <cell r="O4382">
            <v>25</v>
          </cell>
          <cell r="P4382">
            <v>75</v>
          </cell>
        </row>
        <row r="4383">
          <cell r="B4383" t="str">
            <v>DD-J10B-04501-10-1-Z</v>
          </cell>
          <cell r="D4383" t="str">
            <v>C</v>
          </cell>
          <cell r="E4383" t="str">
            <v>工序内容</v>
          </cell>
          <cell r="F4383" t="str">
            <v>0/领料</v>
          </cell>
          <cell r="G4383" t="str">
            <v>05/数铣</v>
          </cell>
          <cell r="H4383" t="str">
            <v>10/数铣150</v>
          </cell>
          <cell r="I4383" t="str">
            <v>15/数铣990</v>
          </cell>
          <cell r="J4383" t="str">
            <v>20/数铣520</v>
          </cell>
          <cell r="K4383" t="str">
            <v>25/失效</v>
          </cell>
          <cell r="L4383" t="str">
            <v>30/数铣</v>
          </cell>
          <cell r="M4383" t="str">
            <v>35/数铣450</v>
          </cell>
          <cell r="N4383" t="str">
            <v>40/五轴700</v>
          </cell>
          <cell r="O4383" t="str">
            <v>45/数铣240</v>
          </cell>
          <cell r="P4383" t="str">
            <v>50/五轴1260</v>
          </cell>
          <cell r="Q4383" t="str">
            <v>55/钳工</v>
          </cell>
          <cell r="R4383" t="str">
            <v>60/清洁</v>
          </cell>
          <cell r="S4383" t="str">
            <v>65/成检</v>
          </cell>
        </row>
        <row r="4384">
          <cell r="B4384" t="str">
            <v>DD-J10B-04501-10-1-Z</v>
          </cell>
          <cell r="D4384" t="str">
            <v>C</v>
          </cell>
          <cell r="E4384" t="str">
            <v>准备工时</v>
          </cell>
          <cell r="G4384" t="str">
            <v>60</v>
          </cell>
          <cell r="H4384">
            <v>90</v>
          </cell>
          <cell r="I4384">
            <v>120</v>
          </cell>
          <cell r="J4384">
            <v>120</v>
          </cell>
          <cell r="L4384">
            <v>60</v>
          </cell>
          <cell r="M4384">
            <v>120</v>
          </cell>
          <cell r="N4384">
            <v>180</v>
          </cell>
          <cell r="O4384">
            <v>120</v>
          </cell>
          <cell r="P4384">
            <v>180</v>
          </cell>
        </row>
        <row r="4385">
          <cell r="B4385" t="str">
            <v>DD-J10B-04501-10-1-Z</v>
          </cell>
          <cell r="D4385" t="str">
            <v>C</v>
          </cell>
          <cell r="E4385" t="str">
            <v>装夹时间</v>
          </cell>
          <cell r="G4385" t="str">
            <v>90</v>
          </cell>
          <cell r="H4385">
            <v>90</v>
          </cell>
          <cell r="I4385">
            <v>120</v>
          </cell>
          <cell r="J4385">
            <v>120</v>
          </cell>
          <cell r="L4385">
            <v>120</v>
          </cell>
          <cell r="M4385">
            <v>120</v>
          </cell>
          <cell r="N4385">
            <v>120</v>
          </cell>
          <cell r="O4385">
            <v>120</v>
          </cell>
          <cell r="P4385">
            <v>120</v>
          </cell>
        </row>
        <row r="4386">
          <cell r="B4386" t="str">
            <v>DD-J10B-04501-10-1-Z</v>
          </cell>
          <cell r="D4386" t="str">
            <v>C</v>
          </cell>
          <cell r="E4386" t="str">
            <v>程序时间</v>
          </cell>
          <cell r="G4386" t="str">
            <v>240</v>
          </cell>
          <cell r="H4386">
            <v>180</v>
          </cell>
          <cell r="I4386">
            <v>1440</v>
          </cell>
          <cell r="J4386">
            <v>780</v>
          </cell>
          <cell r="L4386">
            <v>360</v>
          </cell>
          <cell r="M4386">
            <v>900</v>
          </cell>
          <cell r="N4386">
            <v>1500</v>
          </cell>
          <cell r="O4386">
            <v>360</v>
          </cell>
          <cell r="P4386">
            <v>3800</v>
          </cell>
          <cell r="Q4386">
            <v>1800</v>
          </cell>
        </row>
        <row r="4387">
          <cell r="B4387" t="str">
            <v>DD-J10B-04501-10-1-Y</v>
          </cell>
          <cell r="D4387" t="str">
            <v>C</v>
          </cell>
          <cell r="E4387" t="str">
            <v>工序内容</v>
          </cell>
          <cell r="F4387" t="str">
            <v>0/领料</v>
          </cell>
          <cell r="G4387" t="str">
            <v>05/数铣</v>
          </cell>
          <cell r="H4387" t="str">
            <v>10/数铣150</v>
          </cell>
          <cell r="I4387" t="str">
            <v>15/数铣990</v>
          </cell>
          <cell r="J4387" t="str">
            <v>20/数铣520</v>
          </cell>
          <cell r="K4387" t="str">
            <v>25/失效</v>
          </cell>
          <cell r="L4387" t="str">
            <v>30/数铣</v>
          </cell>
          <cell r="M4387" t="str">
            <v>35/数铣450</v>
          </cell>
          <cell r="N4387" t="str">
            <v>40/五轴700</v>
          </cell>
          <cell r="O4387" t="str">
            <v>45/数铣240</v>
          </cell>
          <cell r="P4387" t="str">
            <v>50/五轴1260</v>
          </cell>
          <cell r="Q4387" t="str">
            <v>55/钳工</v>
          </cell>
          <cell r="R4387" t="str">
            <v>60/清洁</v>
          </cell>
          <cell r="S4387" t="str">
            <v>65/成检</v>
          </cell>
        </row>
        <row r="4388">
          <cell r="B4388" t="str">
            <v>DD-J10B-04501-10-1-Y</v>
          </cell>
          <cell r="D4388" t="str">
            <v>C</v>
          </cell>
          <cell r="E4388" t="str">
            <v>准备工时</v>
          </cell>
          <cell r="G4388" t="str">
            <v>60</v>
          </cell>
          <cell r="H4388">
            <v>90</v>
          </cell>
          <cell r="I4388">
            <v>120</v>
          </cell>
          <cell r="J4388">
            <v>120</v>
          </cell>
          <cell r="L4388">
            <v>60</v>
          </cell>
          <cell r="M4388">
            <v>120</v>
          </cell>
          <cell r="N4388">
            <v>180</v>
          </cell>
          <cell r="O4388">
            <v>120</v>
          </cell>
          <cell r="P4388">
            <v>180</v>
          </cell>
        </row>
        <row r="4389">
          <cell r="B4389" t="str">
            <v>DD-J10B-04501-10-1-Y</v>
          </cell>
          <cell r="D4389" t="str">
            <v>C</v>
          </cell>
          <cell r="E4389" t="str">
            <v>装夹时间</v>
          </cell>
          <cell r="G4389" t="str">
            <v>90</v>
          </cell>
          <cell r="H4389">
            <v>90</v>
          </cell>
          <cell r="I4389">
            <v>120</v>
          </cell>
          <cell r="J4389">
            <v>120</v>
          </cell>
          <cell r="L4389">
            <v>120</v>
          </cell>
          <cell r="M4389">
            <v>120</v>
          </cell>
          <cell r="N4389">
            <v>120</v>
          </cell>
          <cell r="O4389">
            <v>120</v>
          </cell>
          <cell r="P4389">
            <v>120</v>
          </cell>
        </row>
        <row r="4390">
          <cell r="B4390" t="str">
            <v>DD-J10B-04501-10-1-Y</v>
          </cell>
          <cell r="D4390" t="str">
            <v>C</v>
          </cell>
          <cell r="E4390" t="str">
            <v>程序时间</v>
          </cell>
          <cell r="G4390" t="str">
            <v>240</v>
          </cell>
          <cell r="H4390">
            <v>180</v>
          </cell>
          <cell r="I4390">
            <v>1440</v>
          </cell>
          <cell r="J4390">
            <v>780</v>
          </cell>
          <cell r="L4390">
            <v>360</v>
          </cell>
          <cell r="M4390">
            <v>900</v>
          </cell>
          <cell r="N4390">
            <v>1500</v>
          </cell>
          <cell r="O4390">
            <v>360</v>
          </cell>
          <cell r="P4390">
            <v>3800</v>
          </cell>
          <cell r="Q4390">
            <v>1800</v>
          </cell>
        </row>
        <row r="4391">
          <cell r="B4391" t="str">
            <v>DD-J10B-94076-2031/2</v>
          </cell>
          <cell r="D4391" t="str">
            <v>D</v>
          </cell>
          <cell r="E4391" t="str">
            <v>工序内容</v>
          </cell>
          <cell r="F4391" t="str">
            <v>0/领料</v>
          </cell>
          <cell r="G4391" t="str">
            <v>5/普车60</v>
          </cell>
          <cell r="H4391" t="str">
            <v>10/热处理</v>
          </cell>
          <cell r="I4391" t="str">
            <v>15/数车60</v>
          </cell>
          <cell r="J4391" t="str">
            <v>20/数车10</v>
          </cell>
          <cell r="K4391" t="str">
            <v>25/分光</v>
          </cell>
          <cell r="L4391" t="str">
            <v>30/数车35</v>
          </cell>
          <cell r="M4391" t="str">
            <v>35/数铣28</v>
          </cell>
          <cell r="N4391" t="str">
            <v>40/穿孔</v>
          </cell>
          <cell r="O4391" t="str">
            <v>45/钳工</v>
          </cell>
          <cell r="P4391" t="str">
            <v>50/清洁</v>
          </cell>
          <cell r="Q4391" t="str">
            <v>55/成检</v>
          </cell>
        </row>
        <row r="4392">
          <cell r="B4392" t="str">
            <v>DD-J10B-94076-2031/2</v>
          </cell>
          <cell r="D4392" t="str">
            <v>D</v>
          </cell>
          <cell r="E4392" t="str">
            <v>准备工时</v>
          </cell>
          <cell r="G4392">
            <v>60</v>
          </cell>
          <cell r="I4392">
            <v>120</v>
          </cell>
          <cell r="J4392">
            <v>60</v>
          </cell>
          <cell r="L4392">
            <v>60</v>
          </cell>
          <cell r="M4392">
            <v>60</v>
          </cell>
        </row>
        <row r="4393">
          <cell r="B4393" t="str">
            <v>DD-J10B-94076-2031/2</v>
          </cell>
          <cell r="D4393" t="str">
            <v>D</v>
          </cell>
          <cell r="E4393" t="str">
            <v>程序时间</v>
          </cell>
          <cell r="G4393">
            <v>60</v>
          </cell>
          <cell r="I4393">
            <v>60</v>
          </cell>
          <cell r="J4393">
            <v>15</v>
          </cell>
          <cell r="L4393">
            <v>40</v>
          </cell>
          <cell r="M4393">
            <v>60</v>
          </cell>
          <cell r="N4393">
            <v>20</v>
          </cell>
          <cell r="O4393">
            <v>35</v>
          </cell>
        </row>
        <row r="4394">
          <cell r="B4394" t="str">
            <v>DD-FC1-41153-21</v>
          </cell>
          <cell r="D4394" t="str">
            <v>B</v>
          </cell>
          <cell r="E4394" t="str">
            <v>工序内容</v>
          </cell>
          <cell r="F4394" t="str">
            <v>0/领料</v>
          </cell>
          <cell r="G4394" t="str">
            <v>5/数车</v>
          </cell>
          <cell r="H4394" t="str">
            <v>10/数车</v>
          </cell>
          <cell r="I4394" t="str">
            <v>15/线切割</v>
          </cell>
          <cell r="J4394" t="str">
            <v>20/数铣</v>
          </cell>
          <cell r="K4394" t="str">
            <v>25/数铣</v>
          </cell>
          <cell r="L4394" t="str">
            <v>30/钳工</v>
          </cell>
          <cell r="M4394" t="str">
            <v>35清洁</v>
          </cell>
          <cell r="N4394" t="str">
            <v>40/成检</v>
          </cell>
        </row>
        <row r="4395">
          <cell r="B4395" t="str">
            <v>DD-FC1-41153-21</v>
          </cell>
          <cell r="D4395" t="str">
            <v>B</v>
          </cell>
          <cell r="E4395" t="str">
            <v>准备工时</v>
          </cell>
          <cell r="G4395">
            <v>90</v>
          </cell>
          <cell r="H4395">
            <v>90</v>
          </cell>
          <cell r="J4395">
            <v>60</v>
          </cell>
          <cell r="K4395">
            <v>60</v>
          </cell>
        </row>
        <row r="4396">
          <cell r="B4396" t="str">
            <v>DD-FC1-41153-21</v>
          </cell>
          <cell r="D4396" t="str">
            <v>B</v>
          </cell>
          <cell r="E4396" t="str">
            <v>程序时间</v>
          </cell>
          <cell r="G4396">
            <v>30</v>
          </cell>
          <cell r="H4396">
            <v>25</v>
          </cell>
          <cell r="J4396">
            <v>25</v>
          </cell>
          <cell r="K4396">
            <v>15</v>
          </cell>
          <cell r="L4396">
            <v>20</v>
          </cell>
        </row>
        <row r="4397">
          <cell r="B4397" t="str">
            <v>DD-J10-551818-3239</v>
          </cell>
          <cell r="D4397" t="str">
            <v>B</v>
          </cell>
          <cell r="E4397" t="str">
            <v>工序内容</v>
          </cell>
          <cell r="F4397" t="str">
            <v>0/领料</v>
          </cell>
          <cell r="G4397" t="str">
            <v>05/钳工</v>
          </cell>
          <cell r="H4397" t="str">
            <v>10/数车20</v>
          </cell>
          <cell r="I4397" t="str">
            <v>15/数车20</v>
          </cell>
          <cell r="J4397" t="str">
            <v>20/热处理</v>
          </cell>
          <cell r="K4397" t="str">
            <v>25/数车30</v>
          </cell>
          <cell r="L4397" t="str">
            <v>30/数车25</v>
          </cell>
          <cell r="M4397" t="str">
            <v>35/钳工</v>
          </cell>
          <cell r="N4397" t="str">
            <v>40/中检</v>
          </cell>
          <cell r="O4397" t="str">
            <v>45/复检</v>
          </cell>
          <cell r="P4397" t="str">
            <v>50表处</v>
          </cell>
          <cell r="Q4397" t="str">
            <v>55表处</v>
          </cell>
          <cell r="R4397" t="str">
            <v>60数车10</v>
          </cell>
          <cell r="S4397" t="str">
            <v>65数车10</v>
          </cell>
          <cell r="T4397" t="str">
            <v>70/清洁</v>
          </cell>
          <cell r="U4397" t="str">
            <v>75/成检</v>
          </cell>
        </row>
        <row r="4398">
          <cell r="B4398" t="str">
            <v>DD-J10-551818-3240</v>
          </cell>
          <cell r="D4398" t="str">
            <v>B</v>
          </cell>
          <cell r="E4398" t="str">
            <v>准备工时</v>
          </cell>
          <cell r="H4398">
            <v>150</v>
          </cell>
          <cell r="I4398">
            <v>150</v>
          </cell>
          <cell r="K4398" t="str">
            <v>150</v>
          </cell>
          <cell r="L4398" t="str">
            <v>150</v>
          </cell>
          <cell r="R4398">
            <v>90</v>
          </cell>
          <cell r="S4398">
            <v>90</v>
          </cell>
        </row>
        <row r="4399">
          <cell r="B4399" t="str">
            <v>DD-J10-551818-3241</v>
          </cell>
          <cell r="D4399" t="str">
            <v>B</v>
          </cell>
          <cell r="E4399" t="str">
            <v>程序时间</v>
          </cell>
          <cell r="G4399">
            <v>15</v>
          </cell>
          <cell r="H4399">
            <v>35</v>
          </cell>
          <cell r="I4399">
            <v>30</v>
          </cell>
          <cell r="K4399" t="str">
            <v>40</v>
          </cell>
          <cell r="L4399" t="str">
            <v>35</v>
          </cell>
          <cell r="M4399">
            <v>30</v>
          </cell>
          <cell r="R4399">
            <v>15</v>
          </cell>
          <cell r="S4399">
            <v>15</v>
          </cell>
        </row>
        <row r="4400">
          <cell r="B4400" t="str">
            <v>DD-J10-61001-7001</v>
          </cell>
          <cell r="D4400" t="str">
            <v>C</v>
          </cell>
          <cell r="E4400" t="str">
            <v>工序内容</v>
          </cell>
          <cell r="F4400" t="str">
            <v>0/领料</v>
          </cell>
          <cell r="G4400" t="str">
            <v>05/数车20</v>
          </cell>
          <cell r="H4400" t="str">
            <v>10/数车20</v>
          </cell>
          <cell r="I4400" t="str">
            <v>15/分光</v>
          </cell>
          <cell r="J4400" t="str">
            <v>20/硬度</v>
          </cell>
          <cell r="K4400" t="str">
            <v>25/数车20</v>
          </cell>
          <cell r="L4400" t="str">
            <v>30/车铣10</v>
          </cell>
          <cell r="M4400" t="str">
            <v>35/钳工</v>
          </cell>
          <cell r="N4400" t="str">
            <v>40/清洁</v>
          </cell>
          <cell r="O4400" t="str">
            <v>45/成检</v>
          </cell>
        </row>
        <row r="4401">
          <cell r="B4401" t="str">
            <v>DD-J10-61001-7001</v>
          </cell>
          <cell r="D4401" t="str">
            <v>C</v>
          </cell>
          <cell r="E4401" t="str">
            <v>准备工时</v>
          </cell>
          <cell r="G4401">
            <v>60</v>
          </cell>
          <cell r="H4401">
            <v>90</v>
          </cell>
          <cell r="K4401">
            <v>90</v>
          </cell>
          <cell r="L4401">
            <v>90</v>
          </cell>
        </row>
        <row r="4402">
          <cell r="B4402" t="str">
            <v>DD-J10-61001-7001</v>
          </cell>
          <cell r="D4402" t="str">
            <v>C</v>
          </cell>
          <cell r="E4402" t="str">
            <v>程序时间</v>
          </cell>
          <cell r="G4402">
            <v>25</v>
          </cell>
          <cell r="H4402">
            <v>30</v>
          </cell>
          <cell r="K4402">
            <v>35</v>
          </cell>
          <cell r="L4402">
            <v>20</v>
          </cell>
          <cell r="M4402">
            <v>25</v>
          </cell>
        </row>
        <row r="4403">
          <cell r="B4403" t="str">
            <v>DD-J10-21102-60/-1/2-Z</v>
          </cell>
          <cell r="D4403" t="str">
            <v>F</v>
          </cell>
          <cell r="E4403" t="str">
            <v>工序内容</v>
          </cell>
          <cell r="F4403" t="str">
            <v>0/领料</v>
          </cell>
          <cell r="G4403" t="str">
            <v>5/校形</v>
          </cell>
          <cell r="H4403" t="str">
            <v>10/数铣</v>
          </cell>
          <cell r="I4403" t="str">
            <v>15/钳工</v>
          </cell>
          <cell r="J4403" t="str">
            <v>25/清洁</v>
          </cell>
          <cell r="K4403" t="str">
            <v>30/成检</v>
          </cell>
        </row>
        <row r="4404">
          <cell r="B4404" t="str">
            <v>DD-J10-21102-60/-1/2-Z</v>
          </cell>
          <cell r="D4404" t="str">
            <v>F</v>
          </cell>
          <cell r="E4404" t="str">
            <v>准备工时</v>
          </cell>
          <cell r="H4404">
            <v>120</v>
          </cell>
        </row>
        <row r="4405">
          <cell r="B4405" t="str">
            <v>DD-J10-21102-60/-1/2-Z</v>
          </cell>
          <cell r="D4405" t="str">
            <v>F</v>
          </cell>
          <cell r="E4405" t="str">
            <v>程序时间</v>
          </cell>
          <cell r="G4405">
            <v>20</v>
          </cell>
          <cell r="H4405">
            <v>60</v>
          </cell>
          <cell r="I4405">
            <v>45</v>
          </cell>
        </row>
        <row r="4406">
          <cell r="B4406" t="str">
            <v>DD-J10-21102-60/-1/2-Y</v>
          </cell>
          <cell r="D4406" t="str">
            <v>F</v>
          </cell>
          <cell r="E4406" t="str">
            <v>工序内容</v>
          </cell>
          <cell r="F4406" t="str">
            <v>0/领料</v>
          </cell>
          <cell r="G4406" t="str">
            <v>5/校形</v>
          </cell>
          <cell r="H4406" t="str">
            <v>10/数铣</v>
          </cell>
          <cell r="I4406" t="str">
            <v>15/钳工</v>
          </cell>
          <cell r="J4406" t="str">
            <v>25/清洁</v>
          </cell>
          <cell r="K4406" t="str">
            <v>30/成检</v>
          </cell>
        </row>
        <row r="4407">
          <cell r="B4407" t="str">
            <v>DD-J10-21102-60/-1/2-Y</v>
          </cell>
          <cell r="D4407" t="str">
            <v>F</v>
          </cell>
          <cell r="E4407" t="str">
            <v>准备工时</v>
          </cell>
          <cell r="H4407">
            <v>120</v>
          </cell>
        </row>
        <row r="4408">
          <cell r="B4408" t="str">
            <v>DD-J10-21102-60/-1/2-Y</v>
          </cell>
          <cell r="D4408" t="str">
            <v>F</v>
          </cell>
          <cell r="E4408" t="str">
            <v>程序时间</v>
          </cell>
          <cell r="G4408">
            <v>20</v>
          </cell>
          <cell r="H4408">
            <v>60</v>
          </cell>
          <cell r="I4408">
            <v>45</v>
          </cell>
        </row>
        <row r="4409">
          <cell r="B4409" t="str">
            <v>DD-J10-21102-60/-1/3-Z</v>
          </cell>
          <cell r="D4409" t="str">
            <v>F</v>
          </cell>
          <cell r="E4409" t="str">
            <v>工序内容</v>
          </cell>
          <cell r="F4409" t="str">
            <v>0/领料</v>
          </cell>
          <cell r="G4409" t="str">
            <v>5/校形</v>
          </cell>
          <cell r="H4409" t="str">
            <v>10/数铣</v>
          </cell>
          <cell r="I4409" t="str">
            <v>15/钳工</v>
          </cell>
          <cell r="J4409" t="str">
            <v>25/清洁</v>
          </cell>
          <cell r="K4409" t="str">
            <v>30/成检</v>
          </cell>
        </row>
        <row r="4410">
          <cell r="B4410" t="str">
            <v>DD-J10-21102-60/-1/3-Z</v>
          </cell>
          <cell r="D4410" t="str">
            <v>F</v>
          </cell>
          <cell r="E4410" t="str">
            <v>准备工时</v>
          </cell>
          <cell r="H4410">
            <v>120</v>
          </cell>
        </row>
        <row r="4411">
          <cell r="B4411" t="str">
            <v>DD-J10-21102-60/-1/3-Z</v>
          </cell>
          <cell r="D4411" t="str">
            <v>F</v>
          </cell>
          <cell r="E4411" t="str">
            <v>程序时间</v>
          </cell>
          <cell r="G4411">
            <v>20</v>
          </cell>
          <cell r="H4411">
            <v>60</v>
          </cell>
          <cell r="I4411">
            <v>45</v>
          </cell>
        </row>
        <row r="4412">
          <cell r="B4412" t="str">
            <v>DD-J10-21102-60/-1/3-Y</v>
          </cell>
          <cell r="D4412" t="str">
            <v>F</v>
          </cell>
          <cell r="E4412" t="str">
            <v>工序内容</v>
          </cell>
          <cell r="F4412" t="str">
            <v>0/领料</v>
          </cell>
          <cell r="G4412" t="str">
            <v>5/校形</v>
          </cell>
          <cell r="H4412" t="str">
            <v>10/数铣</v>
          </cell>
          <cell r="I4412" t="str">
            <v>15/钳工</v>
          </cell>
          <cell r="J4412" t="str">
            <v>25/清洁</v>
          </cell>
          <cell r="K4412" t="str">
            <v>30/成检</v>
          </cell>
        </row>
        <row r="4413">
          <cell r="B4413" t="str">
            <v>DD-J10-21102-60/-1/3-Y</v>
          </cell>
          <cell r="D4413" t="str">
            <v>F</v>
          </cell>
          <cell r="E4413" t="str">
            <v>准备工时</v>
          </cell>
          <cell r="H4413">
            <v>120</v>
          </cell>
        </row>
        <row r="4414">
          <cell r="B4414" t="str">
            <v>DD-J10-21102-60/-1/3-Y</v>
          </cell>
          <cell r="D4414" t="str">
            <v>F</v>
          </cell>
          <cell r="E4414" t="str">
            <v>程序时间</v>
          </cell>
          <cell r="G4414">
            <v>20</v>
          </cell>
          <cell r="H4414">
            <v>60</v>
          </cell>
          <cell r="I4414">
            <v>45</v>
          </cell>
        </row>
        <row r="4415">
          <cell r="B4415" t="str">
            <v>DD-J10-21102-60/-1/4-Z</v>
          </cell>
          <cell r="D4415" t="str">
            <v>F</v>
          </cell>
          <cell r="E4415" t="str">
            <v>工序内容</v>
          </cell>
          <cell r="F4415" t="str">
            <v>0/领料</v>
          </cell>
          <cell r="G4415" t="str">
            <v>5/校形</v>
          </cell>
          <cell r="H4415" t="str">
            <v>10/数铣</v>
          </cell>
          <cell r="I4415" t="str">
            <v>15/钳工</v>
          </cell>
          <cell r="J4415" t="str">
            <v>25/清洁</v>
          </cell>
          <cell r="K4415" t="str">
            <v>30/成检</v>
          </cell>
        </row>
        <row r="4416">
          <cell r="B4416" t="str">
            <v>DD-J10-21102-60/-1/4-Z</v>
          </cell>
          <cell r="D4416" t="str">
            <v>F</v>
          </cell>
          <cell r="E4416" t="str">
            <v>准备工时</v>
          </cell>
          <cell r="H4416">
            <v>120</v>
          </cell>
        </row>
        <row r="4417">
          <cell r="B4417" t="str">
            <v>DD-J10-21102-60/-1/4-Z</v>
          </cell>
          <cell r="D4417" t="str">
            <v>F</v>
          </cell>
          <cell r="E4417" t="str">
            <v>程序时间</v>
          </cell>
          <cell r="G4417">
            <v>20</v>
          </cell>
          <cell r="H4417">
            <v>60</v>
          </cell>
          <cell r="I4417">
            <v>45</v>
          </cell>
        </row>
        <row r="4418">
          <cell r="B4418" t="str">
            <v>DD-J10-21102-60/-1/4-Y</v>
          </cell>
          <cell r="D4418" t="str">
            <v>F</v>
          </cell>
          <cell r="E4418" t="str">
            <v>工序内容</v>
          </cell>
          <cell r="F4418" t="str">
            <v>0/领料</v>
          </cell>
          <cell r="G4418" t="str">
            <v>5/校形</v>
          </cell>
          <cell r="H4418" t="str">
            <v>10/数铣</v>
          </cell>
          <cell r="I4418" t="str">
            <v>15/钳工</v>
          </cell>
          <cell r="J4418" t="str">
            <v>25/清洁</v>
          </cell>
          <cell r="K4418" t="str">
            <v>30/成检</v>
          </cell>
        </row>
        <row r="4419">
          <cell r="B4419" t="str">
            <v>DD-J10-21102-60/-1/4-Y</v>
          </cell>
          <cell r="D4419" t="str">
            <v>F</v>
          </cell>
          <cell r="E4419" t="str">
            <v>准备工时</v>
          </cell>
          <cell r="H4419">
            <v>120</v>
          </cell>
        </row>
        <row r="4420">
          <cell r="B4420" t="str">
            <v>DD-J10-21102-60/-1/4-Y</v>
          </cell>
          <cell r="D4420" t="str">
            <v>F</v>
          </cell>
          <cell r="E4420" t="str">
            <v>程序时间</v>
          </cell>
          <cell r="G4420">
            <v>20</v>
          </cell>
          <cell r="H4420">
            <v>60</v>
          </cell>
          <cell r="I4420">
            <v>45</v>
          </cell>
        </row>
        <row r="4421">
          <cell r="B4421" t="str">
            <v>DD-J10-61101-15</v>
          </cell>
          <cell r="D4421" t="str">
            <v>B</v>
          </cell>
          <cell r="E4421" t="str">
            <v>工序内容</v>
          </cell>
          <cell r="F4421" t="str">
            <v>0/领料</v>
          </cell>
          <cell r="G4421" t="str">
            <v>05/数车10</v>
          </cell>
          <cell r="H4421" t="str">
            <v>10/数车30</v>
          </cell>
          <cell r="I4421" t="str">
            <v>15/分光</v>
          </cell>
          <cell r="J4421" t="str">
            <v>20/硬度</v>
          </cell>
          <cell r="K4421" t="str">
            <v>25/车铣35</v>
          </cell>
          <cell r="L4421" t="str">
            <v>30/</v>
          </cell>
          <cell r="M4421" t="str">
            <v>35/钳工</v>
          </cell>
          <cell r="N4421" t="str">
            <v>40/清洁</v>
          </cell>
          <cell r="O4421" t="str">
            <v>45/成检</v>
          </cell>
        </row>
        <row r="4422">
          <cell r="B4422" t="str">
            <v>DD-J10-61101-15</v>
          </cell>
          <cell r="D4422" t="str">
            <v>B</v>
          </cell>
          <cell r="E4422" t="str">
            <v>准备工时</v>
          </cell>
          <cell r="G4422">
            <v>60</v>
          </cell>
          <cell r="H4422">
            <v>60</v>
          </cell>
          <cell r="K4422">
            <v>120</v>
          </cell>
        </row>
        <row r="4423">
          <cell r="B4423" t="str">
            <v>DD-J10-61101-15</v>
          </cell>
          <cell r="D4423" t="str">
            <v>B</v>
          </cell>
          <cell r="E4423" t="str">
            <v>程序时间</v>
          </cell>
          <cell r="G4423">
            <v>15</v>
          </cell>
          <cell r="H4423">
            <v>30</v>
          </cell>
          <cell r="K4423">
            <v>45</v>
          </cell>
          <cell r="M4423">
            <v>30</v>
          </cell>
        </row>
        <row r="4424">
          <cell r="B4424" t="str">
            <v>CB2297031-001-001</v>
          </cell>
          <cell r="D4424" t="str">
            <v>D</v>
          </cell>
          <cell r="E4424" t="str">
            <v>工序内容</v>
          </cell>
          <cell r="F4424" t="str">
            <v>0/领料</v>
          </cell>
          <cell r="G4424" t="str">
            <v>5/下料</v>
          </cell>
          <cell r="H4424" t="str">
            <v>10/数铣10</v>
          </cell>
          <cell r="I4424" t="str">
            <v>15/数铣15</v>
          </cell>
          <cell r="J4424" t="str">
            <v>20/数铣35</v>
          </cell>
          <cell r="K4424" t="str">
            <v>25/线切割</v>
          </cell>
          <cell r="L4424" t="str">
            <v>30/数铣</v>
          </cell>
          <cell r="M4424" t="str">
            <v>35/钳工</v>
          </cell>
          <cell r="N4424" t="str">
            <v>40/测量</v>
          </cell>
          <cell r="O4424" t="str">
            <v>45/数铣</v>
          </cell>
          <cell r="P4424" t="str">
            <v>50/清洁</v>
          </cell>
          <cell r="Q4424" t="str">
            <v>55/硬捡</v>
          </cell>
          <cell r="R4424" t="str">
            <v>60/分光</v>
          </cell>
          <cell r="S4424" t="str">
            <v>65/钳工</v>
          </cell>
          <cell r="T4424" t="str">
            <v>70/清洁</v>
          </cell>
          <cell r="U4424" t="str">
            <v>75/成检</v>
          </cell>
        </row>
        <row r="4425">
          <cell r="B4425" t="str">
            <v>CB2297031-001-001</v>
          </cell>
          <cell r="D4425" t="str">
            <v>D</v>
          </cell>
          <cell r="E4425" t="str">
            <v>准备工时</v>
          </cell>
          <cell r="H4425">
            <v>60</v>
          </cell>
          <cell r="I4425">
            <v>60</v>
          </cell>
          <cell r="J4425">
            <v>60</v>
          </cell>
          <cell r="L4425">
            <v>60</v>
          </cell>
        </row>
        <row r="4426">
          <cell r="B4426" t="str">
            <v>CB2297031-001-001</v>
          </cell>
          <cell r="D4426" t="str">
            <v>D</v>
          </cell>
          <cell r="E4426" t="str">
            <v>程序时间</v>
          </cell>
          <cell r="H4426">
            <v>20</v>
          </cell>
          <cell r="I4426">
            <v>25</v>
          </cell>
          <cell r="J4426">
            <v>40</v>
          </cell>
          <cell r="K4426">
            <v>60</v>
          </cell>
          <cell r="L4426">
            <v>30</v>
          </cell>
          <cell r="M4426">
            <v>30</v>
          </cell>
          <cell r="O4426">
            <v>15</v>
          </cell>
          <cell r="S4426">
            <v>5</v>
          </cell>
        </row>
        <row r="4427">
          <cell r="B4427" t="str">
            <v>DD-J10B-34303-7G2</v>
          </cell>
          <cell r="D4427" t="str">
            <v>C</v>
          </cell>
          <cell r="E4427" t="str">
            <v>工序内容</v>
          </cell>
          <cell r="F4427" t="str">
            <v>0/领料</v>
          </cell>
          <cell r="G4427" t="str">
            <v>5/数铣</v>
          </cell>
          <cell r="H4427" t="str">
            <v>10/数铣30</v>
          </cell>
          <cell r="I4427" t="str">
            <v>15/数铣150</v>
          </cell>
          <cell r="J4427" t="str">
            <v>20/数铣150</v>
          </cell>
          <cell r="K4427" t="str">
            <v>25/数铣660</v>
          </cell>
          <cell r="L4427" t="str">
            <v>30/测量</v>
          </cell>
          <cell r="M4427" t="str">
            <v>35/钳工</v>
          </cell>
          <cell r="N4427" t="str">
            <v>40/清洁</v>
          </cell>
          <cell r="O4427" t="str">
            <v>45/成检</v>
          </cell>
        </row>
        <row r="4428">
          <cell r="B4428" t="str">
            <v>DD-J10B-34303-7G2</v>
          </cell>
          <cell r="D4428" t="str">
            <v>C</v>
          </cell>
          <cell r="E4428" t="str">
            <v>准备工时</v>
          </cell>
          <cell r="G4428">
            <v>60</v>
          </cell>
          <cell r="H4428">
            <v>60</v>
          </cell>
          <cell r="I4428">
            <v>90</v>
          </cell>
          <cell r="J4428">
            <v>90</v>
          </cell>
          <cell r="K4428">
            <v>90</v>
          </cell>
        </row>
        <row r="4429">
          <cell r="B4429" t="str">
            <v>DD-J10B-34303-7G2</v>
          </cell>
          <cell r="D4429" t="str">
            <v>C</v>
          </cell>
          <cell r="E4429" t="str">
            <v>程序时间</v>
          </cell>
          <cell r="G4429">
            <v>90</v>
          </cell>
          <cell r="H4429">
            <v>60</v>
          </cell>
          <cell r="I4429">
            <v>180</v>
          </cell>
          <cell r="J4429">
            <v>180</v>
          </cell>
          <cell r="K4429">
            <v>780</v>
          </cell>
          <cell r="M4429">
            <v>120</v>
          </cell>
        </row>
        <row r="4430">
          <cell r="B4430" t="str">
            <v>DD-J10B-34303-8G2</v>
          </cell>
          <cell r="D4430" t="str">
            <v>C</v>
          </cell>
          <cell r="E4430" t="str">
            <v>工序内容</v>
          </cell>
          <cell r="F4430" t="str">
            <v>0/领料</v>
          </cell>
          <cell r="G4430" t="str">
            <v>5/数铣</v>
          </cell>
          <cell r="H4430" t="str">
            <v>10/数铣30</v>
          </cell>
          <cell r="I4430" t="str">
            <v>15/数铣150</v>
          </cell>
          <cell r="J4430" t="str">
            <v>20/数铣150</v>
          </cell>
          <cell r="K4430" t="str">
            <v>25/数铣660</v>
          </cell>
          <cell r="L4430" t="str">
            <v>30/测量</v>
          </cell>
          <cell r="M4430" t="str">
            <v>35/钳工</v>
          </cell>
          <cell r="N4430" t="str">
            <v>40/清洁</v>
          </cell>
          <cell r="O4430" t="str">
            <v>45/成检</v>
          </cell>
        </row>
        <row r="4431">
          <cell r="B4431" t="str">
            <v>DD-J10B-34303-8G2</v>
          </cell>
          <cell r="D4431" t="str">
            <v>C</v>
          </cell>
          <cell r="E4431" t="str">
            <v>准备工时</v>
          </cell>
          <cell r="G4431">
            <v>60</v>
          </cell>
          <cell r="H4431">
            <v>60</v>
          </cell>
          <cell r="I4431">
            <v>90</v>
          </cell>
          <cell r="J4431">
            <v>90</v>
          </cell>
          <cell r="K4431">
            <v>90</v>
          </cell>
        </row>
        <row r="4432">
          <cell r="B4432" t="str">
            <v>DD-J10B-34303-8G2</v>
          </cell>
          <cell r="D4432" t="str">
            <v>C</v>
          </cell>
          <cell r="E4432" t="str">
            <v>程序时间</v>
          </cell>
          <cell r="G4432">
            <v>90</v>
          </cell>
          <cell r="H4432">
            <v>60</v>
          </cell>
          <cell r="I4432">
            <v>180</v>
          </cell>
          <cell r="J4432">
            <v>180</v>
          </cell>
          <cell r="K4432">
            <v>780</v>
          </cell>
          <cell r="M4432">
            <v>120</v>
          </cell>
        </row>
        <row r="4433">
          <cell r="B4433" t="str">
            <v>DD-J10B-34303-9G2</v>
          </cell>
          <cell r="D4433" t="str">
            <v>C</v>
          </cell>
          <cell r="E4433" t="str">
            <v>工序内容</v>
          </cell>
          <cell r="F4433" t="str">
            <v>0/领料</v>
          </cell>
          <cell r="G4433" t="str">
            <v>5/数铣</v>
          </cell>
          <cell r="H4433" t="str">
            <v>10/数铣30</v>
          </cell>
          <cell r="I4433" t="str">
            <v>15/数铣150</v>
          </cell>
          <cell r="J4433" t="str">
            <v>20/数铣150</v>
          </cell>
          <cell r="K4433" t="str">
            <v>25/数铣660</v>
          </cell>
          <cell r="L4433" t="str">
            <v>30/测量</v>
          </cell>
          <cell r="M4433" t="str">
            <v>35/钳工</v>
          </cell>
          <cell r="N4433" t="str">
            <v>40/清洁</v>
          </cell>
          <cell r="O4433" t="str">
            <v>45/成检</v>
          </cell>
        </row>
        <row r="4434">
          <cell r="B4434" t="str">
            <v>DD-J10B-34303-9G2</v>
          </cell>
          <cell r="D4434" t="str">
            <v>C</v>
          </cell>
          <cell r="E4434" t="str">
            <v>准备工时</v>
          </cell>
          <cell r="G4434">
            <v>60</v>
          </cell>
          <cell r="H4434">
            <v>60</v>
          </cell>
          <cell r="I4434">
            <v>90</v>
          </cell>
          <cell r="J4434">
            <v>90</v>
          </cell>
          <cell r="K4434">
            <v>90</v>
          </cell>
        </row>
        <row r="4435">
          <cell r="B4435" t="str">
            <v>DD-J10B-34303-9G2</v>
          </cell>
          <cell r="D4435" t="str">
            <v>C</v>
          </cell>
          <cell r="E4435" t="str">
            <v>程序时间</v>
          </cell>
          <cell r="G4435">
            <v>90</v>
          </cell>
          <cell r="H4435">
            <v>60</v>
          </cell>
          <cell r="I4435">
            <v>180</v>
          </cell>
          <cell r="J4435">
            <v>180</v>
          </cell>
          <cell r="K4435">
            <v>780</v>
          </cell>
          <cell r="M4435">
            <v>120</v>
          </cell>
        </row>
        <row r="4436">
          <cell r="B4436" t="str">
            <v>DD-J10B-34303-11G2</v>
          </cell>
          <cell r="D4436" t="str">
            <v>C</v>
          </cell>
          <cell r="E4436" t="str">
            <v>工序内容</v>
          </cell>
          <cell r="F4436" t="str">
            <v>0/领料</v>
          </cell>
          <cell r="G4436" t="str">
            <v>5/数铣</v>
          </cell>
          <cell r="H4436" t="str">
            <v>10/数铣30</v>
          </cell>
          <cell r="I4436" t="str">
            <v>15/数铣150</v>
          </cell>
          <cell r="J4436" t="str">
            <v>20/数铣150</v>
          </cell>
          <cell r="K4436" t="str">
            <v>25/数铣660</v>
          </cell>
          <cell r="L4436" t="str">
            <v>30/测量</v>
          </cell>
          <cell r="M4436" t="str">
            <v>35/钳工</v>
          </cell>
          <cell r="N4436" t="str">
            <v>40/清洁</v>
          </cell>
          <cell r="O4436" t="str">
            <v>45/成检</v>
          </cell>
        </row>
        <row r="4437">
          <cell r="B4437" t="str">
            <v>DD-J10B-34303-11G2</v>
          </cell>
          <cell r="D4437" t="str">
            <v>C</v>
          </cell>
          <cell r="E4437" t="str">
            <v>准备工时</v>
          </cell>
          <cell r="G4437">
            <v>60</v>
          </cell>
          <cell r="H4437">
            <v>60</v>
          </cell>
          <cell r="I4437">
            <v>90</v>
          </cell>
          <cell r="J4437">
            <v>90</v>
          </cell>
          <cell r="K4437">
            <v>90</v>
          </cell>
        </row>
        <row r="4438">
          <cell r="B4438" t="str">
            <v>DD-J10B-34303-11G2</v>
          </cell>
          <cell r="D4438" t="str">
            <v>C</v>
          </cell>
          <cell r="E4438" t="str">
            <v>程序时间</v>
          </cell>
          <cell r="G4438">
            <v>90</v>
          </cell>
          <cell r="H4438">
            <v>60</v>
          </cell>
          <cell r="I4438">
            <v>180</v>
          </cell>
          <cell r="J4438">
            <v>180</v>
          </cell>
          <cell r="K4438">
            <v>780</v>
          </cell>
          <cell r="M4438">
            <v>120</v>
          </cell>
        </row>
        <row r="4439">
          <cell r="B4439" t="str">
            <v>DD-J10B-34303-12G2</v>
          </cell>
          <cell r="D4439" t="str">
            <v>C</v>
          </cell>
          <cell r="E4439" t="str">
            <v>工序内容</v>
          </cell>
          <cell r="F4439" t="str">
            <v>0/领料</v>
          </cell>
          <cell r="G4439" t="str">
            <v>5/数铣</v>
          </cell>
          <cell r="H4439" t="str">
            <v>10/数铣30</v>
          </cell>
          <cell r="I4439" t="str">
            <v>15/数铣150</v>
          </cell>
          <cell r="J4439" t="str">
            <v>20/数铣150</v>
          </cell>
          <cell r="K4439" t="str">
            <v>25/数铣660</v>
          </cell>
          <cell r="L4439" t="str">
            <v>30/测量</v>
          </cell>
          <cell r="M4439" t="str">
            <v>35/钳工</v>
          </cell>
          <cell r="N4439" t="str">
            <v>40/清洁</v>
          </cell>
          <cell r="O4439" t="str">
            <v>45/成检</v>
          </cell>
        </row>
        <row r="4440">
          <cell r="B4440" t="str">
            <v>DD-J10B-34303-12G2</v>
          </cell>
          <cell r="D4440" t="str">
            <v>C</v>
          </cell>
          <cell r="E4440" t="str">
            <v>准备工时</v>
          </cell>
          <cell r="G4440">
            <v>60</v>
          </cell>
          <cell r="H4440">
            <v>60</v>
          </cell>
          <cell r="I4440">
            <v>90</v>
          </cell>
          <cell r="J4440">
            <v>90</v>
          </cell>
          <cell r="K4440">
            <v>90</v>
          </cell>
        </row>
        <row r="4441">
          <cell r="B4441" t="str">
            <v>DD-J10B-34303-12G2</v>
          </cell>
          <cell r="D4441" t="str">
            <v>C</v>
          </cell>
          <cell r="E4441" t="str">
            <v>程序时间</v>
          </cell>
          <cell r="G4441">
            <v>90</v>
          </cell>
          <cell r="H4441">
            <v>60</v>
          </cell>
          <cell r="I4441">
            <v>180</v>
          </cell>
          <cell r="J4441">
            <v>180</v>
          </cell>
          <cell r="K4441">
            <v>780</v>
          </cell>
          <cell r="M4441">
            <v>120</v>
          </cell>
        </row>
        <row r="4442">
          <cell r="B4442" t="str">
            <v>DD-J10B-34303-13G2</v>
          </cell>
          <cell r="D4442" t="str">
            <v>C</v>
          </cell>
          <cell r="E4442" t="str">
            <v>工序内容</v>
          </cell>
          <cell r="F4442" t="str">
            <v>0/领料</v>
          </cell>
          <cell r="G4442" t="str">
            <v>5/数铣</v>
          </cell>
          <cell r="H4442" t="str">
            <v>10/数铣30</v>
          </cell>
          <cell r="I4442" t="str">
            <v>15/数铣150</v>
          </cell>
          <cell r="J4442" t="str">
            <v>20/数铣150</v>
          </cell>
          <cell r="K4442" t="str">
            <v>25/数铣660</v>
          </cell>
          <cell r="L4442" t="str">
            <v>30/测量</v>
          </cell>
          <cell r="M4442" t="str">
            <v>35/钳工</v>
          </cell>
          <cell r="N4442" t="str">
            <v>40/清洁</v>
          </cell>
          <cell r="O4442" t="str">
            <v>45/成检</v>
          </cell>
        </row>
        <row r="4443">
          <cell r="B4443" t="str">
            <v>DD-J10B-34303-13G2</v>
          </cell>
          <cell r="D4443" t="str">
            <v>C</v>
          </cell>
          <cell r="E4443" t="str">
            <v>准备工时</v>
          </cell>
          <cell r="G4443">
            <v>60</v>
          </cell>
          <cell r="H4443">
            <v>60</v>
          </cell>
          <cell r="I4443">
            <v>90</v>
          </cell>
          <cell r="J4443">
            <v>90</v>
          </cell>
          <cell r="K4443">
            <v>90</v>
          </cell>
        </row>
        <row r="4444">
          <cell r="B4444" t="str">
            <v>DD-J10B-34303-13G2</v>
          </cell>
          <cell r="D4444" t="str">
            <v>C</v>
          </cell>
          <cell r="E4444" t="str">
            <v>程序时间</v>
          </cell>
          <cell r="G4444">
            <v>90</v>
          </cell>
          <cell r="H4444">
            <v>60</v>
          </cell>
          <cell r="I4444">
            <v>180</v>
          </cell>
          <cell r="J4444">
            <v>180</v>
          </cell>
          <cell r="K4444">
            <v>780</v>
          </cell>
          <cell r="M4444">
            <v>120</v>
          </cell>
        </row>
        <row r="4445">
          <cell r="B4445" t="str">
            <v>Y20-5318100030-501/502</v>
          </cell>
          <cell r="D4445" t="str">
            <v>B</v>
          </cell>
          <cell r="E4445" t="str">
            <v>工序内容</v>
          </cell>
          <cell r="F4445" t="str">
            <v>0/领料</v>
          </cell>
          <cell r="G4445" t="str">
            <v>5/数铣</v>
          </cell>
          <cell r="H4445" t="str">
            <v>10/数铣30</v>
          </cell>
          <cell r="I4445" t="str">
            <v>15/数铣25</v>
          </cell>
          <cell r="J4445" t="str">
            <v>20/数铣60</v>
          </cell>
          <cell r="K4445" t="str">
            <v>25/数铣45</v>
          </cell>
          <cell r="L4445" t="str">
            <v>30/测量</v>
          </cell>
          <cell r="M4445" t="str">
            <v>35/钳工</v>
          </cell>
          <cell r="N4445" t="str">
            <v>40/清洁</v>
          </cell>
          <cell r="O4445" t="str">
            <v>45/成检</v>
          </cell>
        </row>
        <row r="4446">
          <cell r="B4446" t="str">
            <v>Y20-5318100030-501/502</v>
          </cell>
          <cell r="D4446" t="str">
            <v>B</v>
          </cell>
          <cell r="E4446" t="str">
            <v>准备工时</v>
          </cell>
          <cell r="G4446">
            <v>60</v>
          </cell>
          <cell r="H4446">
            <v>90</v>
          </cell>
          <cell r="I4446">
            <v>60</v>
          </cell>
          <cell r="J4446">
            <v>90</v>
          </cell>
          <cell r="K4446">
            <v>60</v>
          </cell>
        </row>
        <row r="4447">
          <cell r="B4447" t="str">
            <v>Y20-5318100030-501/502</v>
          </cell>
          <cell r="D4447" t="str">
            <v>B</v>
          </cell>
          <cell r="E4447" t="str">
            <v>程序时间</v>
          </cell>
          <cell r="G4447">
            <v>90</v>
          </cell>
          <cell r="H4447">
            <v>50</v>
          </cell>
          <cell r="I4447">
            <v>50</v>
          </cell>
          <cell r="J4447">
            <v>80</v>
          </cell>
          <cell r="K4447">
            <v>60</v>
          </cell>
          <cell r="M4447">
            <v>60</v>
          </cell>
        </row>
        <row r="4448">
          <cell r="B4448" t="str">
            <v>Y20-5318100030-501</v>
          </cell>
          <cell r="D4448" t="str">
            <v>B</v>
          </cell>
          <cell r="E4448" t="str">
            <v>工序内容</v>
          </cell>
          <cell r="F4448" t="str">
            <v>0/领料</v>
          </cell>
          <cell r="G4448" t="str">
            <v>5/数铣</v>
          </cell>
          <cell r="H4448" t="str">
            <v>10/数铣30</v>
          </cell>
          <cell r="I4448" t="str">
            <v>15/数铣25</v>
          </cell>
          <cell r="J4448" t="str">
            <v>20/数铣60</v>
          </cell>
          <cell r="K4448" t="str">
            <v>25/数铣45</v>
          </cell>
          <cell r="L4448" t="str">
            <v>30/测量</v>
          </cell>
          <cell r="M4448" t="str">
            <v>35/钳工</v>
          </cell>
          <cell r="N4448" t="str">
            <v>40/清洁</v>
          </cell>
          <cell r="O4448" t="str">
            <v>45/成检</v>
          </cell>
        </row>
        <row r="4449">
          <cell r="B4449" t="str">
            <v>Y20-5318100030-501</v>
          </cell>
          <cell r="D4449" t="str">
            <v>B</v>
          </cell>
          <cell r="E4449" t="str">
            <v>准备工时</v>
          </cell>
          <cell r="G4449">
            <v>60</v>
          </cell>
          <cell r="H4449">
            <v>90</v>
          </cell>
          <cell r="I4449">
            <v>60</v>
          </cell>
          <cell r="J4449">
            <v>90</v>
          </cell>
          <cell r="K4449">
            <v>60</v>
          </cell>
        </row>
        <row r="4450">
          <cell r="B4450" t="str">
            <v>Y20-5318100030-501</v>
          </cell>
          <cell r="D4450" t="str">
            <v>B</v>
          </cell>
          <cell r="E4450" t="str">
            <v>程序时间</v>
          </cell>
          <cell r="G4450">
            <v>90</v>
          </cell>
          <cell r="H4450">
            <v>50</v>
          </cell>
          <cell r="I4450">
            <v>50</v>
          </cell>
          <cell r="J4450">
            <v>80</v>
          </cell>
          <cell r="K4450">
            <v>60</v>
          </cell>
          <cell r="M4450">
            <v>60</v>
          </cell>
        </row>
        <row r="4451">
          <cell r="B4451" t="str">
            <v>Y20-5318100030-502</v>
          </cell>
          <cell r="D4451" t="str">
            <v>B</v>
          </cell>
          <cell r="E4451" t="str">
            <v>工序内容</v>
          </cell>
          <cell r="F4451" t="str">
            <v>0/领料</v>
          </cell>
          <cell r="G4451" t="str">
            <v>5/数铣</v>
          </cell>
          <cell r="H4451" t="str">
            <v>10/数铣30</v>
          </cell>
          <cell r="I4451" t="str">
            <v>15/数铣25</v>
          </cell>
          <cell r="J4451" t="str">
            <v>20/数铣60</v>
          </cell>
          <cell r="K4451" t="str">
            <v>25/数铣45</v>
          </cell>
          <cell r="L4451" t="str">
            <v>30/测量</v>
          </cell>
          <cell r="M4451" t="str">
            <v>35/钳工</v>
          </cell>
          <cell r="N4451" t="str">
            <v>40/清洁</v>
          </cell>
          <cell r="O4451" t="str">
            <v>45/成检</v>
          </cell>
        </row>
        <row r="4452">
          <cell r="B4452" t="str">
            <v>Y20-5318100030-502</v>
          </cell>
          <cell r="D4452" t="str">
            <v>B</v>
          </cell>
          <cell r="E4452" t="str">
            <v>准备工时</v>
          </cell>
          <cell r="G4452">
            <v>60</v>
          </cell>
          <cell r="H4452">
            <v>90</v>
          </cell>
          <cell r="I4452">
            <v>60</v>
          </cell>
          <cell r="J4452">
            <v>90</v>
          </cell>
          <cell r="K4452">
            <v>60</v>
          </cell>
        </row>
        <row r="4453">
          <cell r="B4453" t="str">
            <v>Y20-5318100030-502</v>
          </cell>
          <cell r="D4453" t="str">
            <v>B</v>
          </cell>
          <cell r="E4453" t="str">
            <v>程序时间</v>
          </cell>
          <cell r="G4453">
            <v>90</v>
          </cell>
          <cell r="H4453">
            <v>50</v>
          </cell>
          <cell r="I4453">
            <v>50</v>
          </cell>
          <cell r="J4453">
            <v>80</v>
          </cell>
          <cell r="K4453">
            <v>60</v>
          </cell>
          <cell r="M4453">
            <v>60</v>
          </cell>
        </row>
        <row r="4454">
          <cell r="B4454" t="str">
            <v>DD-J10-55014-3101</v>
          </cell>
          <cell r="D4454" t="str">
            <v>C</v>
          </cell>
          <cell r="E4454" t="str">
            <v>工序内容</v>
          </cell>
          <cell r="F4454" t="str">
            <v>0/领料</v>
          </cell>
          <cell r="G4454" t="str">
            <v>05/钳工</v>
          </cell>
          <cell r="H4454" t="str">
            <v>10/数车15</v>
          </cell>
          <cell r="I4454" t="str">
            <v>15/数车10</v>
          </cell>
          <cell r="J4454" t="str">
            <v>20/数车20</v>
          </cell>
          <cell r="K4454" t="str">
            <v>25/线切割</v>
          </cell>
          <cell r="L4454" t="str">
            <v>30/钳工</v>
          </cell>
          <cell r="M4454" t="str">
            <v>35/清洁</v>
          </cell>
          <cell r="N4454" t="str">
            <v>40/成检</v>
          </cell>
        </row>
        <row r="4455">
          <cell r="B4455" t="str">
            <v>DD-J10-55014-3101</v>
          </cell>
          <cell r="D4455" t="str">
            <v>C</v>
          </cell>
          <cell r="E4455" t="str">
            <v>准备工时</v>
          </cell>
          <cell r="H4455">
            <v>120</v>
          </cell>
          <cell r="I4455">
            <v>120</v>
          </cell>
          <cell r="J4455">
            <v>120</v>
          </cell>
        </row>
        <row r="4456">
          <cell r="B4456" t="str">
            <v>DD-J10-55014-3101</v>
          </cell>
          <cell r="D4456" t="str">
            <v>C</v>
          </cell>
          <cell r="E4456" t="str">
            <v>程序时间</v>
          </cell>
          <cell r="G4456">
            <v>15</v>
          </cell>
          <cell r="H4456">
            <v>20</v>
          </cell>
          <cell r="I4456">
            <v>30</v>
          </cell>
          <cell r="J4456">
            <v>25</v>
          </cell>
          <cell r="L4456">
            <v>30</v>
          </cell>
        </row>
        <row r="4457">
          <cell r="B4457" t="str">
            <v>DD-J10-55014-1401</v>
          </cell>
          <cell r="D4457" t="str">
            <v>C</v>
          </cell>
          <cell r="E4457" t="str">
            <v>工序内容</v>
          </cell>
          <cell r="F4457" t="str">
            <v>0/领料</v>
          </cell>
          <cell r="G4457" t="str">
            <v>05/钳工</v>
          </cell>
          <cell r="H4457" t="str">
            <v>10/数车20</v>
          </cell>
          <cell r="I4457" t="str">
            <v>15/数车30</v>
          </cell>
          <cell r="J4457" t="str">
            <v>20/数铣10</v>
          </cell>
          <cell r="K4457" t="str">
            <v>25/钳工</v>
          </cell>
          <cell r="L4457" t="str">
            <v>30/清洁</v>
          </cell>
          <cell r="M4457" t="str">
            <v>35/成检</v>
          </cell>
        </row>
        <row r="4458">
          <cell r="B4458" t="str">
            <v>DD-J10-55014-1401</v>
          </cell>
          <cell r="D4458" t="str">
            <v>C</v>
          </cell>
          <cell r="E4458" t="str">
            <v>准备工时</v>
          </cell>
          <cell r="H4458">
            <v>90</v>
          </cell>
          <cell r="I4458">
            <v>150</v>
          </cell>
          <cell r="J4458">
            <v>90</v>
          </cell>
        </row>
        <row r="4459">
          <cell r="B4459" t="str">
            <v>DD-J10-55014-1401</v>
          </cell>
          <cell r="D4459" t="str">
            <v>C</v>
          </cell>
          <cell r="E4459" t="str">
            <v>程序时间</v>
          </cell>
          <cell r="G4459">
            <v>10</v>
          </cell>
          <cell r="H4459">
            <v>30</v>
          </cell>
          <cell r="I4459">
            <v>40</v>
          </cell>
          <cell r="J4459">
            <v>15</v>
          </cell>
          <cell r="K4459">
            <v>30</v>
          </cell>
        </row>
        <row r="4460">
          <cell r="B4460" t="str">
            <v>DD-J10B-55015-4203</v>
          </cell>
          <cell r="D4460" t="str">
            <v>B</v>
          </cell>
          <cell r="E4460" t="str">
            <v>工序内容</v>
          </cell>
          <cell r="F4460" t="str">
            <v>0/领料</v>
          </cell>
          <cell r="G4460" t="str">
            <v>05/钳工</v>
          </cell>
          <cell r="H4460" t="str">
            <v>10/数车20</v>
          </cell>
          <cell r="I4460" t="str">
            <v>15/数车30</v>
          </cell>
          <cell r="J4460" t="str">
            <v>20/数车10</v>
          </cell>
          <cell r="K4460" t="str">
            <v>25/线切割</v>
          </cell>
          <cell r="L4460" t="str">
            <v>30/钳工</v>
          </cell>
          <cell r="M4460" t="str">
            <v>35/清洁</v>
          </cell>
          <cell r="N4460" t="str">
            <v>40/成检</v>
          </cell>
        </row>
        <row r="4461">
          <cell r="B4461" t="str">
            <v>DD-J10B-55015-4203</v>
          </cell>
          <cell r="D4461" t="str">
            <v>B</v>
          </cell>
          <cell r="E4461" t="str">
            <v>准备工时</v>
          </cell>
          <cell r="H4461">
            <v>90</v>
          </cell>
          <cell r="I4461">
            <v>90</v>
          </cell>
          <cell r="J4461">
            <v>90</v>
          </cell>
        </row>
        <row r="4462">
          <cell r="B4462" t="str">
            <v>DD-J10B-55015-4203</v>
          </cell>
          <cell r="D4462" t="str">
            <v>B</v>
          </cell>
          <cell r="E4462" t="str">
            <v>程序时间</v>
          </cell>
          <cell r="G4462">
            <v>15</v>
          </cell>
          <cell r="H4462">
            <v>30</v>
          </cell>
          <cell r="I4462">
            <v>40</v>
          </cell>
          <cell r="J4462">
            <v>15</v>
          </cell>
          <cell r="L4462">
            <v>30</v>
          </cell>
        </row>
        <row r="4463">
          <cell r="B4463" t="str">
            <v>BC5822100-007-001</v>
          </cell>
          <cell r="D4463" t="str">
            <v>B</v>
          </cell>
          <cell r="E4463" t="str">
            <v>工序内容</v>
          </cell>
          <cell r="F4463" t="str">
            <v>0/领料</v>
          </cell>
          <cell r="G4463" t="str">
            <v>05/数车</v>
          </cell>
          <cell r="H4463" t="str">
            <v>10/数车</v>
          </cell>
          <cell r="I4463" t="str">
            <v>15/钳工</v>
          </cell>
          <cell r="J4463" t="str">
            <v>20/插工</v>
          </cell>
          <cell r="K4463" t="str">
            <v>25/钳工</v>
          </cell>
          <cell r="L4463" t="str">
            <v>30/分光</v>
          </cell>
          <cell r="M4463" t="str">
            <v>35/钳工</v>
          </cell>
          <cell r="N4463" t="str">
            <v>40/热处理</v>
          </cell>
          <cell r="O4463" t="str">
            <v>45/钳工</v>
          </cell>
          <cell r="P4463" t="str">
            <v>50/数车</v>
          </cell>
          <cell r="Q4463" t="str">
            <v>55/数车</v>
          </cell>
          <cell r="R4463" t="str">
            <v>60/数车</v>
          </cell>
          <cell r="S4463" t="str">
            <v>65/清洁</v>
          </cell>
          <cell r="T4463" t="str">
            <v>70/成检</v>
          </cell>
        </row>
        <row r="4464">
          <cell r="B4464" t="str">
            <v>BC5822100-007-001</v>
          </cell>
          <cell r="D4464" t="str">
            <v>B</v>
          </cell>
          <cell r="E4464" t="str">
            <v>准备工时</v>
          </cell>
          <cell r="G4464">
            <v>60</v>
          </cell>
          <cell r="H4464">
            <v>60</v>
          </cell>
          <cell r="J4464">
            <v>60</v>
          </cell>
          <cell r="K4464">
            <v>60</v>
          </cell>
          <cell r="P4464">
            <v>60</v>
          </cell>
          <cell r="Q4464">
            <v>60</v>
          </cell>
          <cell r="R4464">
            <v>60</v>
          </cell>
        </row>
        <row r="4465">
          <cell r="B4465" t="str">
            <v>BC5822100-007-001</v>
          </cell>
          <cell r="D4465" t="str">
            <v>B</v>
          </cell>
          <cell r="E4465" t="str">
            <v>程序时间</v>
          </cell>
          <cell r="G4465">
            <v>30</v>
          </cell>
          <cell r="H4465">
            <v>10</v>
          </cell>
          <cell r="I4465">
            <v>20</v>
          </cell>
          <cell r="J4465">
            <v>60</v>
          </cell>
          <cell r="K4465">
            <v>10</v>
          </cell>
          <cell r="O4465">
            <v>15</v>
          </cell>
          <cell r="P4465">
            <v>15</v>
          </cell>
          <cell r="Q4465">
            <v>20</v>
          </cell>
          <cell r="R4465">
            <v>10</v>
          </cell>
        </row>
        <row r="4466">
          <cell r="B4466" t="str">
            <v>CB22843G0-003-001</v>
          </cell>
          <cell r="D4466" t="str">
            <v>B</v>
          </cell>
          <cell r="E4466" t="str">
            <v>工序内容</v>
          </cell>
          <cell r="F4466" t="str">
            <v>0/领料</v>
          </cell>
          <cell r="G4466" t="str">
            <v>05/下料</v>
          </cell>
          <cell r="H4466" t="str">
            <v>10/数车</v>
          </cell>
          <cell r="I4466" t="str">
            <v>15/数车</v>
          </cell>
          <cell r="J4466" t="str">
            <v>20/分光</v>
          </cell>
          <cell r="K4466" t="str">
            <v>25/硬度</v>
          </cell>
          <cell r="L4466" t="str">
            <v>30/车铣35</v>
          </cell>
          <cell r="M4466" t="str">
            <v>35/钳工</v>
          </cell>
          <cell r="N4466" t="str">
            <v>40/清洁</v>
          </cell>
          <cell r="O4466" t="str">
            <v>45/成检</v>
          </cell>
        </row>
        <row r="4467">
          <cell r="B4467" t="str">
            <v>CB22843G0-003-001</v>
          </cell>
          <cell r="D4467" t="str">
            <v>B</v>
          </cell>
          <cell r="E4467" t="str">
            <v>准备工时</v>
          </cell>
          <cell r="H4467">
            <v>60</v>
          </cell>
          <cell r="I4467">
            <v>90</v>
          </cell>
          <cell r="L4467">
            <v>120</v>
          </cell>
        </row>
        <row r="4468">
          <cell r="B4468" t="str">
            <v>CB22843G0-003-001</v>
          </cell>
          <cell r="D4468" t="str">
            <v>B</v>
          </cell>
          <cell r="E4468" t="str">
            <v>程序时间</v>
          </cell>
          <cell r="H4468">
            <v>20</v>
          </cell>
          <cell r="I4468">
            <v>25</v>
          </cell>
          <cell r="L4468">
            <v>45</v>
          </cell>
          <cell r="M4468">
            <v>20</v>
          </cell>
        </row>
        <row r="4469">
          <cell r="B4469" t="str">
            <v>BC5812710-001-001</v>
          </cell>
          <cell r="D4469" t="str">
            <v>B</v>
          </cell>
          <cell r="E4469" t="str">
            <v>工序内容</v>
          </cell>
          <cell r="F4469" t="str">
            <v>0/领料</v>
          </cell>
          <cell r="G4469" t="str">
            <v>05/数车30</v>
          </cell>
          <cell r="H4469" t="str">
            <v>10/数车15</v>
          </cell>
          <cell r="I4469" t="str">
            <v>15/线切割</v>
          </cell>
          <cell r="J4469" t="str">
            <v>20/数铣10</v>
          </cell>
          <cell r="K4469" t="str">
            <v>25/钳工</v>
          </cell>
          <cell r="L4469" t="str">
            <v>30/分光</v>
          </cell>
          <cell r="M4469" t="str">
            <v>35/热处理</v>
          </cell>
          <cell r="N4469" t="str">
            <v>40/数车10</v>
          </cell>
          <cell r="O4469" t="str">
            <v>45/数车10</v>
          </cell>
          <cell r="P4469" t="str">
            <v>50/数铣10</v>
          </cell>
          <cell r="Q4469" t="str">
            <v>55/数铣</v>
          </cell>
          <cell r="R4469" t="str">
            <v>60/数铣20</v>
          </cell>
          <cell r="S4469" t="str">
            <v>65/数车30</v>
          </cell>
          <cell r="T4469" t="str">
            <v>70/数车30</v>
          </cell>
          <cell r="U4469" t="str">
            <v>75/钳工</v>
          </cell>
          <cell r="V4469" t="str">
            <v>80/回火</v>
          </cell>
          <cell r="W4469" t="str">
            <v>85/表处</v>
          </cell>
          <cell r="X4469" t="str">
            <v>90/数车20</v>
          </cell>
          <cell r="Y4469" t="str">
            <v>95/数车10</v>
          </cell>
          <cell r="Z4469" t="str">
            <v>100/数车10105/清洁</v>
          </cell>
          <cell r="AA4469" t="str">
            <v>105/清洁</v>
          </cell>
          <cell r="AB4469" t="str">
            <v>110成检</v>
          </cell>
        </row>
        <row r="4470">
          <cell r="B4470" t="str">
            <v>BC5812710-001-001</v>
          </cell>
          <cell r="D4470" t="str">
            <v>B</v>
          </cell>
          <cell r="E4470" t="str">
            <v>准备工时</v>
          </cell>
          <cell r="G4470">
            <v>90</v>
          </cell>
          <cell r="H4470">
            <v>90</v>
          </cell>
          <cell r="J4470">
            <v>60</v>
          </cell>
          <cell r="N4470">
            <v>90</v>
          </cell>
          <cell r="O4470">
            <v>90</v>
          </cell>
          <cell r="P4470">
            <v>60</v>
          </cell>
          <cell r="Q4470">
            <v>60</v>
          </cell>
          <cell r="R4470">
            <v>60</v>
          </cell>
          <cell r="S4470">
            <v>150</v>
          </cell>
          <cell r="T4470">
            <v>150</v>
          </cell>
          <cell r="X4470">
            <v>120</v>
          </cell>
          <cell r="Y4470">
            <v>120</v>
          </cell>
          <cell r="Z4470">
            <v>120</v>
          </cell>
        </row>
        <row r="4471">
          <cell r="B4471" t="str">
            <v>BC5812710-001-001</v>
          </cell>
          <cell r="D4471" t="str">
            <v>B</v>
          </cell>
          <cell r="E4471" t="str">
            <v>程序时间</v>
          </cell>
          <cell r="G4471">
            <v>45</v>
          </cell>
          <cell r="H4471">
            <v>30</v>
          </cell>
          <cell r="J4471">
            <v>35</v>
          </cell>
          <cell r="K4471">
            <v>25</v>
          </cell>
          <cell r="N4471">
            <v>25</v>
          </cell>
          <cell r="O4471">
            <v>20</v>
          </cell>
          <cell r="P4471">
            <v>30</v>
          </cell>
          <cell r="Q4471">
            <v>20</v>
          </cell>
          <cell r="R4471">
            <v>40</v>
          </cell>
          <cell r="S4471">
            <v>45</v>
          </cell>
          <cell r="T4471">
            <v>450</v>
          </cell>
          <cell r="U4471">
            <v>30</v>
          </cell>
          <cell r="X4471">
            <v>40</v>
          </cell>
          <cell r="Y4471">
            <v>25</v>
          </cell>
          <cell r="Z4471">
            <v>20</v>
          </cell>
        </row>
        <row r="4472">
          <cell r="B4472" t="str">
            <v>DD-J10-86021-5000-1</v>
          </cell>
          <cell r="D4472" t="str">
            <v>B</v>
          </cell>
          <cell r="E4472" t="str">
            <v>工序内容</v>
          </cell>
          <cell r="F4472" t="str">
            <v>0/领料</v>
          </cell>
          <cell r="G4472" t="str">
            <v>5/线切割</v>
          </cell>
          <cell r="H4472" t="str">
            <v>10/数铣</v>
          </cell>
          <cell r="I4472" t="str">
            <v>15/数铣15</v>
          </cell>
          <cell r="J4472" t="str">
            <v>20/钳工</v>
          </cell>
          <cell r="K4472" t="str">
            <v>25/分光</v>
          </cell>
          <cell r="L4472" t="str">
            <v>30/钳工</v>
          </cell>
          <cell r="M4472" t="str">
            <v>35/清洁</v>
          </cell>
          <cell r="N4472" t="str">
            <v>40/成检</v>
          </cell>
        </row>
        <row r="4473">
          <cell r="B4473" t="str">
            <v>DD-J10-86021-5000-1</v>
          </cell>
          <cell r="D4473" t="str">
            <v>B</v>
          </cell>
          <cell r="E4473" t="str">
            <v>准备工时</v>
          </cell>
          <cell r="H4473">
            <v>60</v>
          </cell>
          <cell r="I4473">
            <v>60</v>
          </cell>
        </row>
        <row r="4474">
          <cell r="B4474" t="str">
            <v>DD-J10-86021-5000-1</v>
          </cell>
          <cell r="D4474" t="str">
            <v>B</v>
          </cell>
          <cell r="E4474" t="str">
            <v>程序时间</v>
          </cell>
          <cell r="G4474">
            <v>20</v>
          </cell>
          <cell r="H4474">
            <v>20</v>
          </cell>
          <cell r="I4474">
            <v>30</v>
          </cell>
          <cell r="J4474">
            <v>20</v>
          </cell>
          <cell r="L4474">
            <v>5</v>
          </cell>
        </row>
        <row r="4475">
          <cell r="B4475" t="str">
            <v>DD-J10-55171-410-1</v>
          </cell>
          <cell r="D4475" t="str">
            <v>B</v>
          </cell>
          <cell r="E4475" t="str">
            <v>工序内容</v>
          </cell>
          <cell r="F4475" t="str">
            <v>0/领料</v>
          </cell>
          <cell r="G4475" t="str">
            <v>5/数车8</v>
          </cell>
          <cell r="H4475" t="str">
            <v>10/数车18</v>
          </cell>
          <cell r="I4475" t="str">
            <v>15/清洁</v>
          </cell>
          <cell r="J4475" t="str">
            <v>20/成检</v>
          </cell>
        </row>
        <row r="4476">
          <cell r="B4476" t="str">
            <v>DD-J10-55171-410-1</v>
          </cell>
          <cell r="D4476" t="str">
            <v>B</v>
          </cell>
          <cell r="E4476" t="str">
            <v>准备工时</v>
          </cell>
          <cell r="G4476">
            <v>60</v>
          </cell>
          <cell r="H4476">
            <v>60</v>
          </cell>
        </row>
        <row r="4477">
          <cell r="B4477" t="str">
            <v>DD-J10-55171-410-1</v>
          </cell>
          <cell r="D4477" t="str">
            <v>B</v>
          </cell>
          <cell r="E4477" t="str">
            <v>程序时间</v>
          </cell>
          <cell r="G4477">
            <v>15</v>
          </cell>
          <cell r="H4477">
            <v>20</v>
          </cell>
        </row>
        <row r="4478">
          <cell r="B4478" t="str">
            <v>CB221T1LD-003-001</v>
          </cell>
          <cell r="D4478" t="str">
            <v>B</v>
          </cell>
          <cell r="E4478" t="str">
            <v>工序内容</v>
          </cell>
          <cell r="F4478" t="str">
            <v>0/领料</v>
          </cell>
          <cell r="G4478" t="str">
            <v>05/线切割</v>
          </cell>
          <cell r="H4478" t="str">
            <v>10/普车10</v>
          </cell>
          <cell r="I4478" t="str">
            <v>15/分光</v>
          </cell>
          <cell r="J4478" t="str">
            <v>20/热处理</v>
          </cell>
          <cell r="K4478" t="str">
            <v>25/车铣45</v>
          </cell>
          <cell r="L4478" t="str">
            <v>30/数车25</v>
          </cell>
          <cell r="M4478" t="str">
            <v>35/线切割</v>
          </cell>
          <cell r="N4478" t="str">
            <v>40/穿孔</v>
          </cell>
          <cell r="O4478" t="str">
            <v>45/钳工</v>
          </cell>
          <cell r="P4478" t="str">
            <v>50/清洁</v>
          </cell>
          <cell r="Q4478" t="str">
            <v>55/成检</v>
          </cell>
        </row>
        <row r="4479">
          <cell r="B4479" t="str">
            <v>CB221T1LD-003-001</v>
          </cell>
          <cell r="D4479" t="str">
            <v>B</v>
          </cell>
          <cell r="E4479" t="str">
            <v>准备工时</v>
          </cell>
          <cell r="H4479">
            <v>60</v>
          </cell>
          <cell r="K4479">
            <v>120</v>
          </cell>
          <cell r="L4479">
            <v>120</v>
          </cell>
        </row>
        <row r="4480">
          <cell r="B4480" t="str">
            <v>CB221T1LD-003-001</v>
          </cell>
          <cell r="D4480" t="str">
            <v>B</v>
          </cell>
          <cell r="E4480" t="str">
            <v>程序时间</v>
          </cell>
          <cell r="H4480">
            <v>20</v>
          </cell>
          <cell r="K4480">
            <v>50</v>
          </cell>
          <cell r="L4480">
            <v>40</v>
          </cell>
          <cell r="O4480">
            <v>30</v>
          </cell>
        </row>
        <row r="4481">
          <cell r="B4481" t="str">
            <v>CB221T1LD-003-001</v>
          </cell>
          <cell r="D4481" t="str">
            <v>A</v>
          </cell>
          <cell r="E4481" t="str">
            <v>工序内容</v>
          </cell>
          <cell r="F4481" t="str">
            <v>0/领料</v>
          </cell>
          <cell r="G4481" t="str">
            <v>5/普车45</v>
          </cell>
          <cell r="H4481" t="str">
            <v>10/分光</v>
          </cell>
          <cell r="I4481" t="str">
            <v>15/热处理</v>
          </cell>
          <cell r="J4481" t="str">
            <v>20/数车35</v>
          </cell>
          <cell r="K4481" t="str">
            <v>25/数铣15</v>
          </cell>
          <cell r="L4481" t="str">
            <v>30/数车25</v>
          </cell>
          <cell r="M4481" t="str">
            <v>35/线切割</v>
          </cell>
          <cell r="N4481" t="str">
            <v>40/穿孔</v>
          </cell>
          <cell r="O4481" t="str">
            <v>45/钳工</v>
          </cell>
          <cell r="P4481" t="str">
            <v>50/清洁</v>
          </cell>
          <cell r="Q4481" t="str">
            <v>55/成检</v>
          </cell>
        </row>
        <row r="4482">
          <cell r="B4482" t="str">
            <v>CB221T1LD-003-001</v>
          </cell>
          <cell r="D4482" t="str">
            <v>A</v>
          </cell>
          <cell r="E4482" t="str">
            <v>准备工时</v>
          </cell>
          <cell r="G4482">
            <v>60</v>
          </cell>
          <cell r="J4482">
            <v>90</v>
          </cell>
          <cell r="K4482">
            <v>60</v>
          </cell>
          <cell r="L4482">
            <v>90</v>
          </cell>
        </row>
        <row r="4483">
          <cell r="B4483" t="str">
            <v>CB221T1LD-003-001</v>
          </cell>
          <cell r="D4483" t="str">
            <v>A</v>
          </cell>
          <cell r="E4483" t="str">
            <v>程序时间</v>
          </cell>
          <cell r="G4483">
            <v>30</v>
          </cell>
          <cell r="J4483">
            <v>50</v>
          </cell>
          <cell r="K4483">
            <v>35</v>
          </cell>
          <cell r="L4483">
            <v>35</v>
          </cell>
          <cell r="O4483">
            <v>30</v>
          </cell>
        </row>
        <row r="4484">
          <cell r="B4484" t="str">
            <v>DD-J10-55171-510-1</v>
          </cell>
          <cell r="D4484" t="str">
            <v>B</v>
          </cell>
          <cell r="E4484" t="str">
            <v>工序内容</v>
          </cell>
          <cell r="F4484" t="str">
            <v>0/领料</v>
          </cell>
          <cell r="G4484" t="str">
            <v>5/数车5</v>
          </cell>
          <cell r="H4484" t="str">
            <v>10/数车10</v>
          </cell>
          <cell r="I4484" t="str">
            <v>15/钳工</v>
          </cell>
          <cell r="J4484" t="str">
            <v>20/清洁</v>
          </cell>
          <cell r="K4484" t="str">
            <v>25/成检</v>
          </cell>
        </row>
        <row r="4485">
          <cell r="B4485" t="str">
            <v>DD-J10-55171-510-1</v>
          </cell>
          <cell r="D4485" t="str">
            <v>B</v>
          </cell>
          <cell r="E4485" t="str">
            <v>准备工时</v>
          </cell>
          <cell r="G4485">
            <v>60</v>
          </cell>
          <cell r="H4485">
            <v>60</v>
          </cell>
        </row>
        <row r="4486">
          <cell r="B4486" t="str">
            <v>DD-J10-55171-510-1</v>
          </cell>
          <cell r="D4486" t="str">
            <v>B</v>
          </cell>
          <cell r="E4486" t="str">
            <v>程序时间</v>
          </cell>
          <cell r="G4486">
            <v>10</v>
          </cell>
          <cell r="H4486">
            <v>20</v>
          </cell>
          <cell r="I4486">
            <v>6</v>
          </cell>
        </row>
        <row r="4487">
          <cell r="B4487" t="str">
            <v>DD-J10B-94061-1032</v>
          </cell>
          <cell r="D4487" t="str">
            <v>B</v>
          </cell>
          <cell r="E4487" t="str">
            <v>工序内容</v>
          </cell>
          <cell r="F4487" t="str">
            <v>0/领料</v>
          </cell>
          <cell r="G4487" t="str">
            <v>5/普车30</v>
          </cell>
          <cell r="H4487" t="str">
            <v>10/钳工</v>
          </cell>
          <cell r="I4487" t="str">
            <v>15/分光</v>
          </cell>
          <cell r="J4487" t="str">
            <v>20/数车25</v>
          </cell>
          <cell r="K4487" t="str">
            <v>25/数车20</v>
          </cell>
          <cell r="L4487" t="str">
            <v>30/清洁</v>
          </cell>
          <cell r="M4487" t="str">
            <v>35/成检</v>
          </cell>
        </row>
        <row r="4488">
          <cell r="B4488" t="str">
            <v>DD-J10B-94061-1032</v>
          </cell>
          <cell r="D4488" t="str">
            <v>B</v>
          </cell>
          <cell r="E4488" t="str">
            <v>准备工时</v>
          </cell>
          <cell r="G4488">
            <v>60</v>
          </cell>
          <cell r="J4488">
            <v>90</v>
          </cell>
          <cell r="K4488">
            <v>90</v>
          </cell>
        </row>
        <row r="4489">
          <cell r="B4489" t="str">
            <v>DD-J10B-94061-1032</v>
          </cell>
          <cell r="D4489" t="str">
            <v>B</v>
          </cell>
          <cell r="E4489" t="str">
            <v>程序时间</v>
          </cell>
          <cell r="G4489">
            <v>40</v>
          </cell>
          <cell r="J4489">
            <v>40</v>
          </cell>
          <cell r="K4489">
            <v>30</v>
          </cell>
        </row>
        <row r="4490">
          <cell r="B4490" t="str">
            <v>DD-J10B-55181-19</v>
          </cell>
          <cell r="D4490" t="str">
            <v>B</v>
          </cell>
          <cell r="E4490" t="str">
            <v>工序内容</v>
          </cell>
          <cell r="F4490" t="str">
            <v>0/领料</v>
          </cell>
          <cell r="G4490" t="str">
            <v>5/数车30</v>
          </cell>
          <cell r="H4490" t="str">
            <v>10/车铣40</v>
          </cell>
          <cell r="I4490" t="str">
            <v>15/数车30</v>
          </cell>
          <cell r="J4490" t="str">
            <v>20/钳工</v>
          </cell>
          <cell r="K4490" t="str">
            <v>25/热处理</v>
          </cell>
          <cell r="L4490" t="str">
            <v>30/钳回牙</v>
          </cell>
          <cell r="M4490" t="str">
            <v>35/入厂复检</v>
          </cell>
          <cell r="N4490" t="str">
            <v>40/表面处理</v>
          </cell>
          <cell r="O4490" t="str">
            <v>45/数车20</v>
          </cell>
          <cell r="P4490" t="str">
            <v>50/清洁</v>
          </cell>
          <cell r="Q4490" t="str">
            <v>55/成检</v>
          </cell>
          <cell r="R4490" t="str">
            <v>60/清洗</v>
          </cell>
        </row>
        <row r="4491">
          <cell r="B4491" t="str">
            <v>DD-J10B-55181-19</v>
          </cell>
          <cell r="D4491" t="str">
            <v>B</v>
          </cell>
          <cell r="E4491" t="str">
            <v>准备工时</v>
          </cell>
          <cell r="G4491">
            <v>60</v>
          </cell>
          <cell r="H4491">
            <v>120</v>
          </cell>
          <cell r="I4491">
            <v>90</v>
          </cell>
          <cell r="O4491">
            <v>90</v>
          </cell>
        </row>
        <row r="4492">
          <cell r="B4492" t="str">
            <v>DD-J10B-55181-19</v>
          </cell>
          <cell r="D4492" t="str">
            <v>B</v>
          </cell>
          <cell r="E4492" t="str">
            <v>程序时间</v>
          </cell>
          <cell r="G4492">
            <v>10</v>
          </cell>
          <cell r="H4492">
            <v>60</v>
          </cell>
          <cell r="I4492">
            <v>40</v>
          </cell>
          <cell r="J4492">
            <v>30</v>
          </cell>
          <cell r="L4492" t="str">
            <v>10</v>
          </cell>
          <cell r="O4492">
            <v>30</v>
          </cell>
        </row>
        <row r="4493">
          <cell r="B4493" t="str">
            <v>CB2292112-004-001</v>
          </cell>
          <cell r="D4493" t="str">
            <v>C</v>
          </cell>
          <cell r="E4493" t="str">
            <v>工序内容</v>
          </cell>
          <cell r="F4493" t="str">
            <v>0/领料</v>
          </cell>
          <cell r="G4493" t="str">
            <v>5/车试片</v>
          </cell>
          <cell r="H4493" t="str">
            <v>10/数车45</v>
          </cell>
          <cell r="I4493" t="str">
            <v>15/数车5</v>
          </cell>
          <cell r="J4493" t="str">
            <v>20/钳工</v>
          </cell>
          <cell r="K4493" t="str">
            <v>25/清洁</v>
          </cell>
          <cell r="L4493" t="str">
            <v>30/成检</v>
          </cell>
        </row>
        <row r="4494">
          <cell r="B4494" t="str">
            <v>CB2292112-004-001</v>
          </cell>
          <cell r="D4494" t="str">
            <v>C</v>
          </cell>
          <cell r="E4494" t="str">
            <v>准备工时</v>
          </cell>
          <cell r="H4494">
            <v>90</v>
          </cell>
          <cell r="I4494">
            <v>60</v>
          </cell>
        </row>
        <row r="4495">
          <cell r="B4495" t="str">
            <v>CB2292112-004-001</v>
          </cell>
          <cell r="D4495" t="str">
            <v>C</v>
          </cell>
          <cell r="E4495" t="str">
            <v>程序时间</v>
          </cell>
          <cell r="G4495">
            <v>10</v>
          </cell>
          <cell r="H4495">
            <v>40</v>
          </cell>
          <cell r="I4495">
            <v>20</v>
          </cell>
          <cell r="J4495">
            <v>10</v>
          </cell>
        </row>
        <row r="4496">
          <cell r="B4496" t="str">
            <v>CB2747R00-002-001</v>
          </cell>
          <cell r="D4496" t="str">
            <v>B</v>
          </cell>
          <cell r="E4496" t="str">
            <v>工序内容</v>
          </cell>
          <cell r="F4496" t="str">
            <v>0/领料</v>
          </cell>
          <cell r="G4496" t="str">
            <v>05/下料</v>
          </cell>
          <cell r="H4496" t="str">
            <v>10/普铣</v>
          </cell>
          <cell r="I4496" t="str">
            <v>15/普铣</v>
          </cell>
          <cell r="J4496" t="str">
            <v>20/分光</v>
          </cell>
          <cell r="K4496" t="str">
            <v>25/数车30</v>
          </cell>
          <cell r="L4496" t="str">
            <v>30/数车30</v>
          </cell>
          <cell r="M4496" t="str">
            <v>35/数铣20</v>
          </cell>
          <cell r="N4496" t="str">
            <v>40/数车30</v>
          </cell>
          <cell r="O4496" t="str">
            <v>45/钳工</v>
          </cell>
          <cell r="P4496" t="str">
            <v>50/清洁</v>
          </cell>
          <cell r="Q4496" t="str">
            <v>55/成检</v>
          </cell>
        </row>
        <row r="4497">
          <cell r="B4497" t="str">
            <v>CB2747R00-002-001</v>
          </cell>
          <cell r="D4497" t="str">
            <v>B</v>
          </cell>
          <cell r="E4497" t="str">
            <v>准备工时</v>
          </cell>
          <cell r="H4497">
            <v>60</v>
          </cell>
          <cell r="I4497">
            <v>60</v>
          </cell>
          <cell r="K4497">
            <v>120</v>
          </cell>
          <cell r="L4497">
            <v>120</v>
          </cell>
          <cell r="M4497">
            <v>90</v>
          </cell>
          <cell r="N4497">
            <v>120</v>
          </cell>
        </row>
        <row r="4498">
          <cell r="B4498" t="str">
            <v>CB2747R00-002-001</v>
          </cell>
          <cell r="D4498" t="str">
            <v>B</v>
          </cell>
          <cell r="E4498" t="str">
            <v>程序时间</v>
          </cell>
          <cell r="H4498">
            <v>30</v>
          </cell>
          <cell r="I4498">
            <v>30</v>
          </cell>
          <cell r="K4498">
            <v>60</v>
          </cell>
          <cell r="L4498">
            <v>75</v>
          </cell>
          <cell r="M4498">
            <v>50</v>
          </cell>
          <cell r="N4498">
            <v>60</v>
          </cell>
          <cell r="O4498">
            <v>35</v>
          </cell>
        </row>
        <row r="4499">
          <cell r="B4499" t="str">
            <v>CB22109ME-002-001</v>
          </cell>
          <cell r="D4499" t="str">
            <v>B</v>
          </cell>
          <cell r="E4499" t="str">
            <v>工序内容</v>
          </cell>
          <cell r="F4499" t="str">
            <v>0/领料</v>
          </cell>
          <cell r="G4499" t="str">
            <v>05/硬检</v>
          </cell>
          <cell r="H4499" t="str">
            <v>10/数车15</v>
          </cell>
          <cell r="I4499" t="str">
            <v>15/数车15</v>
          </cell>
          <cell r="J4499" t="str">
            <v>20/数车30</v>
          </cell>
          <cell r="K4499" t="str">
            <v>25/数车30</v>
          </cell>
          <cell r="L4499" t="str">
            <v>30/数铣20</v>
          </cell>
          <cell r="M4499" t="str">
            <v>35/钳工</v>
          </cell>
          <cell r="N4499" t="str">
            <v>40/清洁</v>
          </cell>
          <cell r="O4499" t="str">
            <v>45/成检</v>
          </cell>
        </row>
        <row r="4500">
          <cell r="B4500" t="str">
            <v>CB22109ME-002-001</v>
          </cell>
          <cell r="D4500" t="str">
            <v>B</v>
          </cell>
          <cell r="E4500" t="str">
            <v>准备工时</v>
          </cell>
          <cell r="H4500">
            <v>120</v>
          </cell>
          <cell r="I4500">
            <v>120</v>
          </cell>
          <cell r="J4500">
            <v>120</v>
          </cell>
          <cell r="K4500">
            <v>120</v>
          </cell>
          <cell r="L4500">
            <v>90</v>
          </cell>
        </row>
        <row r="4501">
          <cell r="B4501" t="str">
            <v>CB22109ME-002-001</v>
          </cell>
          <cell r="D4501" t="str">
            <v>B</v>
          </cell>
          <cell r="E4501" t="str">
            <v>程序时间</v>
          </cell>
          <cell r="H4501">
            <v>25</v>
          </cell>
          <cell r="I4501">
            <v>25</v>
          </cell>
          <cell r="J4501">
            <v>120</v>
          </cell>
          <cell r="K4501">
            <v>60</v>
          </cell>
          <cell r="L4501">
            <v>40</v>
          </cell>
          <cell r="M4501">
            <v>45</v>
          </cell>
        </row>
        <row r="4502">
          <cell r="B4502" t="str">
            <v>DD-J10-61101-5001/16</v>
          </cell>
          <cell r="D4502" t="str">
            <v>C</v>
          </cell>
          <cell r="E4502" t="str">
            <v>工序内容</v>
          </cell>
          <cell r="F4502" t="str">
            <v>0/领料</v>
          </cell>
          <cell r="G4502" t="str">
            <v>05/数车15</v>
          </cell>
          <cell r="H4502" t="str">
            <v>10/数车30</v>
          </cell>
          <cell r="I4502" t="str">
            <v>15/分光</v>
          </cell>
          <cell r="J4502" t="str">
            <v>20/硬度</v>
          </cell>
          <cell r="K4502" t="str">
            <v>25/车铣30</v>
          </cell>
          <cell r="L4502" t="str">
            <v>30/数车20</v>
          </cell>
          <cell r="M4502" t="str">
            <v>35/钳工</v>
          </cell>
          <cell r="N4502" t="str">
            <v>40/清洁</v>
          </cell>
          <cell r="O4502" t="str">
            <v>45/成检</v>
          </cell>
        </row>
        <row r="4503">
          <cell r="B4503" t="str">
            <v>DD-J10-61101-5001/16</v>
          </cell>
          <cell r="D4503" t="str">
            <v>C</v>
          </cell>
          <cell r="E4503" t="str">
            <v>准备工时</v>
          </cell>
          <cell r="G4503">
            <v>60</v>
          </cell>
          <cell r="H4503">
            <v>90</v>
          </cell>
          <cell r="K4503">
            <v>90</v>
          </cell>
          <cell r="L4503">
            <v>90</v>
          </cell>
        </row>
        <row r="4504">
          <cell r="B4504" t="str">
            <v>DD-J10-61101-5001/16</v>
          </cell>
          <cell r="D4504" t="str">
            <v>C</v>
          </cell>
          <cell r="E4504" t="str">
            <v>程序时间</v>
          </cell>
          <cell r="G4504">
            <v>20</v>
          </cell>
          <cell r="H4504">
            <v>35</v>
          </cell>
          <cell r="K4504">
            <v>30</v>
          </cell>
          <cell r="L4504">
            <v>30</v>
          </cell>
          <cell r="M4504">
            <v>30</v>
          </cell>
        </row>
        <row r="4505">
          <cell r="B4505" t="str">
            <v>DD-J10-55051-6110-3</v>
          </cell>
          <cell r="D4505" t="str">
            <v>C</v>
          </cell>
          <cell r="E4505" t="str">
            <v>工序内容</v>
          </cell>
          <cell r="F4505" t="str">
            <v>0/领料</v>
          </cell>
          <cell r="G4505" t="str">
            <v>5/数车6</v>
          </cell>
          <cell r="H4505" t="str">
            <v>10/数车3</v>
          </cell>
          <cell r="I4505" t="str">
            <v>15/钳工</v>
          </cell>
          <cell r="J4505" t="str">
            <v>20/清洁</v>
          </cell>
          <cell r="K4505" t="str">
            <v>25/成检</v>
          </cell>
        </row>
        <row r="4506">
          <cell r="B4506" t="str">
            <v>DD-J10-55051-6110-3</v>
          </cell>
          <cell r="D4506" t="str">
            <v>C</v>
          </cell>
          <cell r="E4506" t="str">
            <v>准备工时</v>
          </cell>
          <cell r="G4506">
            <v>60</v>
          </cell>
          <cell r="H4506">
            <v>60</v>
          </cell>
        </row>
        <row r="4507">
          <cell r="B4507" t="str">
            <v>DD-J10-55051-6110-3</v>
          </cell>
          <cell r="D4507" t="str">
            <v>C</v>
          </cell>
          <cell r="E4507" t="str">
            <v>程序时间</v>
          </cell>
          <cell r="G4507">
            <v>12</v>
          </cell>
          <cell r="H4507">
            <v>6</v>
          </cell>
          <cell r="I4507">
            <v>6</v>
          </cell>
        </row>
        <row r="4508">
          <cell r="B4508" t="str">
            <v>CB22921A1-003-001</v>
          </cell>
          <cell r="D4508" t="str">
            <v>B</v>
          </cell>
          <cell r="E4508" t="str">
            <v>工序内容</v>
          </cell>
          <cell r="F4508" t="str">
            <v>0/领料</v>
          </cell>
          <cell r="G4508" t="str">
            <v>5/数车5</v>
          </cell>
          <cell r="H4508" t="str">
            <v>10/数车10</v>
          </cell>
          <cell r="I4508" t="str">
            <v>15/钳工</v>
          </cell>
          <cell r="J4508" t="str">
            <v>20/分光</v>
          </cell>
          <cell r="K4508" t="str">
            <v>25/数车3</v>
          </cell>
          <cell r="L4508" t="str">
            <v>30/清洁</v>
          </cell>
          <cell r="M4508" t="str">
            <v>35/成检</v>
          </cell>
        </row>
        <row r="4509">
          <cell r="B4509" t="str">
            <v>CB22921A1-003-001</v>
          </cell>
          <cell r="D4509" t="str">
            <v>B</v>
          </cell>
          <cell r="E4509" t="str">
            <v>准备工时</v>
          </cell>
          <cell r="G4509">
            <v>60</v>
          </cell>
          <cell r="H4509">
            <v>60</v>
          </cell>
          <cell r="K4509">
            <v>60</v>
          </cell>
        </row>
        <row r="4510">
          <cell r="B4510" t="str">
            <v>CB22921A1-003-001</v>
          </cell>
          <cell r="D4510" t="str">
            <v>B</v>
          </cell>
          <cell r="E4510" t="str">
            <v>程序时间</v>
          </cell>
          <cell r="G4510">
            <v>10</v>
          </cell>
          <cell r="H4510">
            <v>18</v>
          </cell>
          <cell r="K4510">
            <v>5</v>
          </cell>
        </row>
        <row r="4511">
          <cell r="B4511" t="str">
            <v>DD-J10B-94076-1312</v>
          </cell>
          <cell r="D4511" t="str">
            <v>B</v>
          </cell>
          <cell r="E4511" t="str">
            <v>工序内容</v>
          </cell>
          <cell r="F4511" t="str">
            <v>0/领料</v>
          </cell>
          <cell r="G4511" t="str">
            <v>5/普车15</v>
          </cell>
          <cell r="H4511" t="str">
            <v>10/分光</v>
          </cell>
          <cell r="I4511" t="str">
            <v>15/数车15</v>
          </cell>
          <cell r="J4511" t="str">
            <v>20/数车9</v>
          </cell>
          <cell r="K4511" t="str">
            <v>25/钳工</v>
          </cell>
          <cell r="L4511" t="str">
            <v>30/清洁</v>
          </cell>
          <cell r="M4511" t="str">
            <v>35/成检</v>
          </cell>
        </row>
        <row r="4512">
          <cell r="B4512" t="str">
            <v>DD-J10B-94076-1312</v>
          </cell>
          <cell r="D4512" t="str">
            <v>B</v>
          </cell>
          <cell r="E4512" t="str">
            <v>准备工时</v>
          </cell>
          <cell r="G4512">
            <v>60</v>
          </cell>
          <cell r="I4512">
            <v>60</v>
          </cell>
          <cell r="J4512">
            <v>60</v>
          </cell>
        </row>
        <row r="4513">
          <cell r="B4513" t="str">
            <v>DD-J10B-94076-1312</v>
          </cell>
          <cell r="D4513" t="str">
            <v>B</v>
          </cell>
          <cell r="E4513" t="str">
            <v>程序时间</v>
          </cell>
          <cell r="G4513">
            <v>20</v>
          </cell>
          <cell r="I4513">
            <v>25</v>
          </cell>
          <cell r="J4513">
            <v>15</v>
          </cell>
          <cell r="K4513">
            <v>10</v>
          </cell>
        </row>
        <row r="4514">
          <cell r="B4514" t="str">
            <v>CB2280211-016-001</v>
          </cell>
          <cell r="D4514" t="str">
            <v>B</v>
          </cell>
          <cell r="E4514" t="str">
            <v>工序内容</v>
          </cell>
          <cell r="F4514" t="str">
            <v>0/领料</v>
          </cell>
          <cell r="G4514" t="str">
            <v>05/下料</v>
          </cell>
          <cell r="H4514" t="str">
            <v>10/数车10</v>
          </cell>
          <cell r="I4514" t="str">
            <v>15/数车25</v>
          </cell>
          <cell r="J4514" t="str">
            <v>20/分光</v>
          </cell>
          <cell r="K4514" t="str">
            <v>25/硬度</v>
          </cell>
          <cell r="L4514" t="str">
            <v>30/车铣15</v>
          </cell>
          <cell r="M4514" t="str">
            <v>35/数车20</v>
          </cell>
          <cell r="N4514" t="str">
            <v>40/钳工</v>
          </cell>
          <cell r="O4514" t="str">
            <v>45/清洁</v>
          </cell>
          <cell r="P4514" t="str">
            <v>50/成检</v>
          </cell>
        </row>
        <row r="4515">
          <cell r="B4515" t="str">
            <v>CB2280211-016-001</v>
          </cell>
          <cell r="D4515" t="str">
            <v>B</v>
          </cell>
          <cell r="E4515" t="str">
            <v>准备工时</v>
          </cell>
          <cell r="H4515">
            <v>120</v>
          </cell>
          <cell r="I4515">
            <v>120</v>
          </cell>
          <cell r="L4515">
            <v>150</v>
          </cell>
          <cell r="M4515">
            <v>120</v>
          </cell>
        </row>
        <row r="4516">
          <cell r="B4516" t="str">
            <v>CB2280211-016-001</v>
          </cell>
          <cell r="D4516" t="str">
            <v>B</v>
          </cell>
          <cell r="E4516" t="str">
            <v>程序时间</v>
          </cell>
          <cell r="G4516">
            <v>15</v>
          </cell>
          <cell r="H4516">
            <v>20</v>
          </cell>
          <cell r="I4516">
            <v>40</v>
          </cell>
          <cell r="L4516">
            <v>30</v>
          </cell>
          <cell r="M4516">
            <v>30</v>
          </cell>
          <cell r="N4516">
            <v>25</v>
          </cell>
        </row>
        <row r="4517">
          <cell r="B4517" t="str">
            <v>DD-J10B-68095-1720-3</v>
          </cell>
          <cell r="D4517" t="str">
            <v>B</v>
          </cell>
          <cell r="E4517" t="str">
            <v>工序内容</v>
          </cell>
          <cell r="F4517" t="str">
            <v>0/领料</v>
          </cell>
          <cell r="G4517" t="str">
            <v>5/数车10</v>
          </cell>
          <cell r="H4517" t="str">
            <v>10/数车20</v>
          </cell>
          <cell r="I4517" t="str">
            <v>15/钳工</v>
          </cell>
          <cell r="J4517" t="str">
            <v>20/分光</v>
          </cell>
          <cell r="K4517" t="str">
            <v>25钳工</v>
          </cell>
          <cell r="L4517" t="str">
            <v>30/清洁</v>
          </cell>
          <cell r="M4517" t="str">
            <v>35/成检</v>
          </cell>
        </row>
        <row r="4518">
          <cell r="B4518" t="str">
            <v>DD-J10B-68095-1720-3</v>
          </cell>
          <cell r="D4518" t="str">
            <v>B</v>
          </cell>
          <cell r="E4518" t="str">
            <v>准备工时</v>
          </cell>
          <cell r="G4518" t="str">
            <v>60</v>
          </cell>
          <cell r="H4518">
            <v>60</v>
          </cell>
        </row>
        <row r="4519">
          <cell r="B4519" t="str">
            <v>DD-J10B-68095-1720-3</v>
          </cell>
          <cell r="D4519" t="str">
            <v>B</v>
          </cell>
          <cell r="E4519" t="str">
            <v>程序时间</v>
          </cell>
          <cell r="G4519" t="str">
            <v>15</v>
          </cell>
          <cell r="H4519" t="str">
            <v>25</v>
          </cell>
          <cell r="I4519" t="str">
            <v>10</v>
          </cell>
          <cell r="K4519" t="str">
            <v>5</v>
          </cell>
        </row>
        <row r="4520">
          <cell r="B4520" t="str">
            <v>521A4300-002-001</v>
          </cell>
          <cell r="D4520" t="str">
            <v>B</v>
          </cell>
          <cell r="E4520" t="str">
            <v>工序内容</v>
          </cell>
          <cell r="F4520" t="str">
            <v>00/领料</v>
          </cell>
          <cell r="G4520" t="str">
            <v>05/数车20</v>
          </cell>
          <cell r="H4520" t="str">
            <v>10/数车30</v>
          </cell>
          <cell r="I4520" t="str">
            <v>15/数车30</v>
          </cell>
          <cell r="J4520" t="str">
            <v>20/热处理</v>
          </cell>
          <cell r="K4520" t="str">
            <v>25/热处理</v>
          </cell>
          <cell r="L4520" t="str">
            <v>30/硬度</v>
          </cell>
          <cell r="M4520" t="str">
            <v>35/钳工</v>
          </cell>
          <cell r="N4520" t="str">
            <v>40/清洁</v>
          </cell>
          <cell r="O4520" t="str">
            <v>45/成检</v>
          </cell>
        </row>
        <row r="4521">
          <cell r="B4521" t="str">
            <v>521A4300-002-001</v>
          </cell>
          <cell r="D4521" t="str">
            <v>B</v>
          </cell>
          <cell r="E4521" t="str">
            <v>准备工时</v>
          </cell>
          <cell r="G4521">
            <v>60</v>
          </cell>
          <cell r="H4521">
            <v>90</v>
          </cell>
          <cell r="I4521">
            <v>90</v>
          </cell>
        </row>
        <row r="4522">
          <cell r="B4522" t="str">
            <v>521A4300-002-001</v>
          </cell>
          <cell r="D4522" t="str">
            <v>B</v>
          </cell>
          <cell r="E4522" t="str">
            <v>程序时间</v>
          </cell>
          <cell r="G4522">
            <v>20</v>
          </cell>
          <cell r="H4522">
            <v>30</v>
          </cell>
          <cell r="I4522">
            <v>30</v>
          </cell>
          <cell r="M4522">
            <v>15</v>
          </cell>
        </row>
        <row r="4523">
          <cell r="B4523" t="str">
            <v>DD-J10B-94076-620-1</v>
          </cell>
          <cell r="D4523" t="str">
            <v>B</v>
          </cell>
          <cell r="E4523" t="str">
            <v>工序内容</v>
          </cell>
          <cell r="F4523" t="str">
            <v>0/领料</v>
          </cell>
          <cell r="G4523" t="str">
            <v>5数车6</v>
          </cell>
          <cell r="H4523" t="str">
            <v>10数车3</v>
          </cell>
          <cell r="I4523" t="str">
            <v>15钳工</v>
          </cell>
          <cell r="J4523" t="str">
            <v>20清洁</v>
          </cell>
          <cell r="K4523" t="str">
            <v>25成检</v>
          </cell>
        </row>
        <row r="4524">
          <cell r="B4524" t="str">
            <v>DD-J10B-94076-620-1</v>
          </cell>
          <cell r="D4524" t="str">
            <v>B</v>
          </cell>
          <cell r="E4524" t="str">
            <v>准备工时</v>
          </cell>
          <cell r="G4524">
            <v>60</v>
          </cell>
          <cell r="H4524">
            <v>60</v>
          </cell>
        </row>
        <row r="4525">
          <cell r="B4525" t="str">
            <v>DD-J10B-94076-620-1</v>
          </cell>
          <cell r="D4525" t="str">
            <v>B</v>
          </cell>
          <cell r="E4525" t="str">
            <v>程序时间</v>
          </cell>
          <cell r="G4525">
            <v>15</v>
          </cell>
          <cell r="H4525">
            <v>10</v>
          </cell>
          <cell r="I4525">
            <v>10</v>
          </cell>
        </row>
        <row r="4526">
          <cell r="B4526" t="str">
            <v>BC5327100-010L002</v>
          </cell>
          <cell r="D4526" t="str">
            <v>A</v>
          </cell>
          <cell r="E4526" t="str">
            <v>工序内容</v>
          </cell>
          <cell r="F4526" t="str">
            <v>0/领料</v>
          </cell>
          <cell r="G4526" t="str">
            <v>05/数铣</v>
          </cell>
          <cell r="H4526" t="str">
            <v>10/数铣30</v>
          </cell>
          <cell r="I4526" t="str">
            <v>15/数铣90</v>
          </cell>
          <cell r="J4526" t="str">
            <v>20/数铣230</v>
          </cell>
          <cell r="K4526" t="str">
            <v>25/数铣120</v>
          </cell>
          <cell r="L4526" t="str">
            <v>30/测量</v>
          </cell>
          <cell r="M4526" t="str">
            <v>35/钳工</v>
          </cell>
          <cell r="N4526" t="str">
            <v>40/清洁</v>
          </cell>
          <cell r="O4526" t="str">
            <v>45/成检</v>
          </cell>
        </row>
        <row r="4527">
          <cell r="B4527" t="str">
            <v>BC5327100-010L002</v>
          </cell>
          <cell r="D4527" t="str">
            <v>A</v>
          </cell>
          <cell r="E4527" t="str">
            <v>准备工时</v>
          </cell>
          <cell r="G4527" t="str">
            <v>60</v>
          </cell>
          <cell r="H4527">
            <v>60</v>
          </cell>
          <cell r="I4527">
            <v>60</v>
          </cell>
          <cell r="J4527">
            <v>60</v>
          </cell>
          <cell r="K4527">
            <v>60</v>
          </cell>
        </row>
        <row r="4528">
          <cell r="B4528" t="str">
            <v>BC5327100-010L002</v>
          </cell>
          <cell r="D4528" t="str">
            <v>A</v>
          </cell>
          <cell r="E4528" t="str">
            <v>程序时间</v>
          </cell>
          <cell r="G4528">
            <v>50</v>
          </cell>
          <cell r="H4528">
            <v>50</v>
          </cell>
          <cell r="I4528">
            <v>140</v>
          </cell>
          <cell r="J4528">
            <v>330</v>
          </cell>
          <cell r="K4528">
            <v>210</v>
          </cell>
          <cell r="M4528">
            <v>90</v>
          </cell>
        </row>
        <row r="4529">
          <cell r="B4529" t="str">
            <v>BC5327100-010R002</v>
          </cell>
          <cell r="D4529" t="str">
            <v>A</v>
          </cell>
          <cell r="E4529" t="str">
            <v>工序内容</v>
          </cell>
          <cell r="F4529" t="str">
            <v>0/领料</v>
          </cell>
          <cell r="G4529" t="str">
            <v>05/数铣</v>
          </cell>
          <cell r="H4529" t="str">
            <v>10/数铣30</v>
          </cell>
          <cell r="I4529" t="str">
            <v>15/数铣90</v>
          </cell>
          <cell r="J4529" t="str">
            <v>20/数铣230</v>
          </cell>
          <cell r="K4529" t="str">
            <v>25/数铣120</v>
          </cell>
          <cell r="L4529" t="str">
            <v>30/测量</v>
          </cell>
          <cell r="M4529" t="str">
            <v>35/钳工</v>
          </cell>
          <cell r="N4529" t="str">
            <v>40/清洁</v>
          </cell>
          <cell r="O4529" t="str">
            <v>45/成检</v>
          </cell>
        </row>
        <row r="4530">
          <cell r="B4530" t="str">
            <v>BC5327100-010R002</v>
          </cell>
          <cell r="D4530" t="str">
            <v>A</v>
          </cell>
          <cell r="E4530" t="str">
            <v>准备工时</v>
          </cell>
          <cell r="G4530" t="str">
            <v>60</v>
          </cell>
          <cell r="H4530">
            <v>60</v>
          </cell>
          <cell r="I4530">
            <v>60</v>
          </cell>
          <cell r="J4530">
            <v>60</v>
          </cell>
          <cell r="K4530">
            <v>60</v>
          </cell>
        </row>
        <row r="4531">
          <cell r="B4531" t="str">
            <v>BC5327100-010R002</v>
          </cell>
          <cell r="D4531" t="str">
            <v>A</v>
          </cell>
          <cell r="E4531" t="str">
            <v>程序时间</v>
          </cell>
          <cell r="G4531">
            <v>50</v>
          </cell>
          <cell r="H4531">
            <v>50</v>
          </cell>
          <cell r="I4531">
            <v>140</v>
          </cell>
          <cell r="J4531">
            <v>330</v>
          </cell>
          <cell r="K4531">
            <v>210</v>
          </cell>
          <cell r="M4531">
            <v>90</v>
          </cell>
        </row>
        <row r="4532">
          <cell r="B4532" t="str">
            <v>CB2285758-004-001</v>
          </cell>
          <cell r="D4532" t="str">
            <v>B</v>
          </cell>
          <cell r="E4532" t="str">
            <v>工序内容</v>
          </cell>
          <cell r="F4532" t="str">
            <v>0/领料</v>
          </cell>
          <cell r="G4532" t="str">
            <v>5/数车</v>
          </cell>
          <cell r="H4532" t="str">
            <v>10/数铣5</v>
          </cell>
          <cell r="I4532" t="str">
            <v>15/分光</v>
          </cell>
          <cell r="J4532" t="str">
            <v>20/检验</v>
          </cell>
          <cell r="K4532" t="str">
            <v>25/数车</v>
          </cell>
          <cell r="L4532" t="str">
            <v>30/穿孔机</v>
          </cell>
          <cell r="M4532" t="str">
            <v>35/钳工</v>
          </cell>
          <cell r="N4532" t="str">
            <v>40/清洁</v>
          </cell>
          <cell r="O4532" t="str">
            <v>45/成检</v>
          </cell>
        </row>
        <row r="4533">
          <cell r="B4533" t="str">
            <v>CB2285758-004-001</v>
          </cell>
          <cell r="D4533" t="str">
            <v>B</v>
          </cell>
          <cell r="E4533" t="str">
            <v>准备工时</v>
          </cell>
          <cell r="G4533">
            <v>90</v>
          </cell>
          <cell r="H4533">
            <v>60</v>
          </cell>
          <cell r="K4533">
            <v>120</v>
          </cell>
        </row>
        <row r="4534">
          <cell r="B4534" t="str">
            <v>CB2285758-004-001</v>
          </cell>
          <cell r="D4534" t="str">
            <v>B</v>
          </cell>
          <cell r="E4534" t="str">
            <v>程序时间</v>
          </cell>
          <cell r="G4534">
            <v>35</v>
          </cell>
          <cell r="H4534">
            <v>25</v>
          </cell>
          <cell r="K4534">
            <v>30</v>
          </cell>
          <cell r="M4534">
            <v>20</v>
          </cell>
        </row>
        <row r="4535">
          <cell r="B4535" t="str">
            <v>C571110500-001L001</v>
          </cell>
          <cell r="D4535" t="str">
            <v>A</v>
          </cell>
          <cell r="E4535" t="str">
            <v>工序内容</v>
          </cell>
          <cell r="F4535" t="str">
            <v>0/领料</v>
          </cell>
          <cell r="G4535" t="str">
            <v>5/钳工</v>
          </cell>
          <cell r="H4535" t="str">
            <v>10/数铣1000</v>
          </cell>
          <cell r="I4535" t="str">
            <v>15/数铣540</v>
          </cell>
          <cell r="J4535" t="str">
            <v>20/钳工</v>
          </cell>
          <cell r="K4535" t="str">
            <v>25/超探</v>
          </cell>
          <cell r="L4535" t="str">
            <v>30/数铣2000</v>
          </cell>
          <cell r="M4535" t="str">
            <v>35/数铣540</v>
          </cell>
          <cell r="N4535" t="str">
            <v>40/数铣240</v>
          </cell>
          <cell r="O4535" t="str">
            <v>45/测量</v>
          </cell>
          <cell r="P4535" t="str">
            <v>50/钳工</v>
          </cell>
          <cell r="Q4535" t="str">
            <v>55/清洁</v>
          </cell>
          <cell r="R4535" t="str">
            <v>60/成检</v>
          </cell>
        </row>
        <row r="4536">
          <cell r="B4536" t="str">
            <v>C571110500-001L001</v>
          </cell>
          <cell r="D4536" t="str">
            <v>A</v>
          </cell>
          <cell r="E4536" t="str">
            <v>准备工时</v>
          </cell>
          <cell r="H4536">
            <v>240</v>
          </cell>
          <cell r="I4536">
            <v>180</v>
          </cell>
          <cell r="L4536">
            <v>180</v>
          </cell>
          <cell r="M4536">
            <v>180</v>
          </cell>
          <cell r="N4536">
            <v>180</v>
          </cell>
        </row>
        <row r="4537">
          <cell r="B4537" t="str">
            <v>C571110500-001L001</v>
          </cell>
          <cell r="D4537" t="str">
            <v>A</v>
          </cell>
          <cell r="E4537" t="str">
            <v>装夹时间</v>
          </cell>
          <cell r="H4537">
            <v>240</v>
          </cell>
          <cell r="I4537">
            <v>180</v>
          </cell>
          <cell r="L4537">
            <v>180</v>
          </cell>
          <cell r="M4537">
            <v>180</v>
          </cell>
          <cell r="N4537">
            <v>180</v>
          </cell>
        </row>
        <row r="4538">
          <cell r="B4538" t="str">
            <v>C571110500-001L001</v>
          </cell>
          <cell r="D4538" t="str">
            <v>A</v>
          </cell>
          <cell r="E4538" t="str">
            <v>程序时间</v>
          </cell>
          <cell r="G4538">
            <v>1500</v>
          </cell>
          <cell r="H4538">
            <v>2700</v>
          </cell>
          <cell r="I4538">
            <v>2100</v>
          </cell>
          <cell r="J4538">
            <v>360</v>
          </cell>
          <cell r="L4538">
            <v>6000</v>
          </cell>
          <cell r="M4538">
            <v>2100</v>
          </cell>
          <cell r="N4538">
            <v>960</v>
          </cell>
          <cell r="P4538">
            <v>360</v>
          </cell>
        </row>
        <row r="4539">
          <cell r="B4539" t="str">
            <v>C571110500-001R001</v>
          </cell>
          <cell r="D4539" t="str">
            <v>A</v>
          </cell>
          <cell r="E4539" t="str">
            <v>工序内容</v>
          </cell>
          <cell r="F4539" t="str">
            <v>0/领料</v>
          </cell>
          <cell r="G4539" t="str">
            <v>5/钳工</v>
          </cell>
          <cell r="H4539" t="str">
            <v>10/数铣1000</v>
          </cell>
          <cell r="I4539" t="str">
            <v>15/数铣540</v>
          </cell>
          <cell r="J4539" t="str">
            <v>20/钳工</v>
          </cell>
          <cell r="K4539" t="str">
            <v>25/超探</v>
          </cell>
          <cell r="L4539" t="str">
            <v>30/数铣2000</v>
          </cell>
          <cell r="M4539" t="str">
            <v>35/数铣540</v>
          </cell>
          <cell r="N4539" t="str">
            <v>40/数铣240</v>
          </cell>
          <cell r="O4539" t="str">
            <v>45/测量</v>
          </cell>
          <cell r="P4539" t="str">
            <v>50/钳工</v>
          </cell>
          <cell r="Q4539" t="str">
            <v>55/清洁</v>
          </cell>
          <cell r="R4539" t="str">
            <v>60/成检</v>
          </cell>
        </row>
        <row r="4540">
          <cell r="B4540" t="str">
            <v>C571110500-001R001</v>
          </cell>
          <cell r="D4540" t="str">
            <v>A</v>
          </cell>
          <cell r="E4540" t="str">
            <v>准备工时</v>
          </cell>
          <cell r="H4540">
            <v>240</v>
          </cell>
          <cell r="I4540">
            <v>180</v>
          </cell>
          <cell r="L4540">
            <v>180</v>
          </cell>
          <cell r="M4540">
            <v>180</v>
          </cell>
          <cell r="N4540">
            <v>180</v>
          </cell>
        </row>
        <row r="4541">
          <cell r="B4541" t="str">
            <v>C571110500-001R001</v>
          </cell>
          <cell r="D4541" t="str">
            <v>A</v>
          </cell>
          <cell r="E4541" t="str">
            <v>装夹时间</v>
          </cell>
          <cell r="H4541">
            <v>240</v>
          </cell>
          <cell r="I4541">
            <v>180</v>
          </cell>
          <cell r="L4541">
            <v>180</v>
          </cell>
          <cell r="M4541">
            <v>180</v>
          </cell>
          <cell r="N4541">
            <v>180</v>
          </cell>
        </row>
        <row r="4542">
          <cell r="B4542" t="str">
            <v>C571110500-001R001</v>
          </cell>
          <cell r="D4542" t="str">
            <v>A</v>
          </cell>
          <cell r="E4542" t="str">
            <v>程序时间</v>
          </cell>
          <cell r="G4542">
            <v>1500</v>
          </cell>
          <cell r="H4542">
            <v>2700</v>
          </cell>
          <cell r="I4542">
            <v>2100</v>
          </cell>
          <cell r="J4542">
            <v>360</v>
          </cell>
          <cell r="L4542">
            <v>6000</v>
          </cell>
          <cell r="M4542">
            <v>2100</v>
          </cell>
          <cell r="N4542">
            <v>960</v>
          </cell>
          <cell r="P4542">
            <v>360</v>
          </cell>
        </row>
        <row r="4543">
          <cell r="B4543" t="str">
            <v>C571110500-001L001</v>
          </cell>
          <cell r="D4543" t="str">
            <v>B</v>
          </cell>
          <cell r="E4543" t="str">
            <v>工序内容</v>
          </cell>
          <cell r="F4543" t="str">
            <v>0/领料</v>
          </cell>
          <cell r="G4543" t="str">
            <v>5/钳工</v>
          </cell>
          <cell r="H4543" t="str">
            <v>10/数铣1000</v>
          </cell>
          <cell r="I4543" t="str">
            <v>15/数铣540</v>
          </cell>
          <cell r="J4543" t="str">
            <v>20/钳工</v>
          </cell>
          <cell r="K4543" t="str">
            <v>25/超探</v>
          </cell>
          <cell r="L4543" t="str">
            <v>30/数铣2000</v>
          </cell>
          <cell r="M4543" t="str">
            <v>35/数铣540</v>
          </cell>
          <cell r="N4543" t="str">
            <v>40/数铣240</v>
          </cell>
          <cell r="O4543" t="str">
            <v>45/测量</v>
          </cell>
          <cell r="P4543" t="str">
            <v>50/钳工</v>
          </cell>
          <cell r="Q4543" t="str">
            <v>55/清洁</v>
          </cell>
          <cell r="R4543" t="str">
            <v>60/成检</v>
          </cell>
        </row>
        <row r="4544">
          <cell r="B4544" t="str">
            <v>C571110500-001L001</v>
          </cell>
          <cell r="D4544" t="str">
            <v>B</v>
          </cell>
          <cell r="E4544" t="str">
            <v>准备工时</v>
          </cell>
          <cell r="H4544">
            <v>240</v>
          </cell>
          <cell r="I4544">
            <v>180</v>
          </cell>
          <cell r="L4544">
            <v>180</v>
          </cell>
          <cell r="M4544">
            <v>180</v>
          </cell>
          <cell r="N4544">
            <v>180</v>
          </cell>
        </row>
        <row r="4545">
          <cell r="B4545" t="str">
            <v>C571110500-001L001</v>
          </cell>
          <cell r="D4545" t="str">
            <v>B</v>
          </cell>
          <cell r="E4545" t="str">
            <v>装夹时间</v>
          </cell>
          <cell r="H4545">
            <v>240</v>
          </cell>
          <cell r="I4545">
            <v>180</v>
          </cell>
          <cell r="L4545">
            <v>180</v>
          </cell>
          <cell r="M4545">
            <v>180</v>
          </cell>
          <cell r="N4545">
            <v>180</v>
          </cell>
        </row>
        <row r="4546">
          <cell r="B4546" t="str">
            <v>C571110500-001L001</v>
          </cell>
          <cell r="D4546" t="str">
            <v>B</v>
          </cell>
          <cell r="E4546" t="str">
            <v>程序时间</v>
          </cell>
          <cell r="G4546">
            <v>1500</v>
          </cell>
          <cell r="H4546">
            <v>2700</v>
          </cell>
          <cell r="I4546">
            <v>2100</v>
          </cell>
          <cell r="J4546">
            <v>360</v>
          </cell>
          <cell r="L4546">
            <v>6000</v>
          </cell>
          <cell r="M4546">
            <v>2100</v>
          </cell>
          <cell r="N4546">
            <v>960</v>
          </cell>
          <cell r="P4546">
            <v>360</v>
          </cell>
        </row>
        <row r="4547">
          <cell r="B4547" t="str">
            <v>C571110500-001R001</v>
          </cell>
          <cell r="D4547" t="str">
            <v>B</v>
          </cell>
          <cell r="E4547" t="str">
            <v>工序内容</v>
          </cell>
          <cell r="F4547" t="str">
            <v>0/领料</v>
          </cell>
          <cell r="G4547" t="str">
            <v>5/钳工</v>
          </cell>
          <cell r="H4547" t="str">
            <v>10/数铣1000</v>
          </cell>
          <cell r="I4547" t="str">
            <v>15/数铣540</v>
          </cell>
          <cell r="J4547" t="str">
            <v>20/钳工</v>
          </cell>
          <cell r="K4547" t="str">
            <v>25/超探</v>
          </cell>
          <cell r="L4547" t="str">
            <v>30/数铣2000</v>
          </cell>
          <cell r="M4547" t="str">
            <v>35/数铣540</v>
          </cell>
          <cell r="N4547" t="str">
            <v>40/数铣240</v>
          </cell>
          <cell r="O4547" t="str">
            <v>45/测量</v>
          </cell>
          <cell r="P4547" t="str">
            <v>50/钳工</v>
          </cell>
          <cell r="Q4547" t="str">
            <v>55/清洁</v>
          </cell>
          <cell r="R4547" t="str">
            <v>60/成检</v>
          </cell>
        </row>
        <row r="4548">
          <cell r="B4548" t="str">
            <v>C571110500-001R001</v>
          </cell>
          <cell r="D4548" t="str">
            <v>B</v>
          </cell>
          <cell r="E4548" t="str">
            <v>准备工时</v>
          </cell>
          <cell r="H4548">
            <v>240</v>
          </cell>
          <cell r="I4548">
            <v>180</v>
          </cell>
          <cell r="L4548">
            <v>180</v>
          </cell>
          <cell r="M4548">
            <v>180</v>
          </cell>
          <cell r="N4548">
            <v>180</v>
          </cell>
        </row>
        <row r="4549">
          <cell r="B4549" t="str">
            <v>C571110500-001R001</v>
          </cell>
          <cell r="D4549" t="str">
            <v>B</v>
          </cell>
          <cell r="E4549" t="str">
            <v>装夹时间</v>
          </cell>
          <cell r="H4549">
            <v>240</v>
          </cell>
          <cell r="I4549">
            <v>180</v>
          </cell>
          <cell r="L4549">
            <v>180</v>
          </cell>
          <cell r="M4549">
            <v>180</v>
          </cell>
          <cell r="N4549">
            <v>180</v>
          </cell>
        </row>
        <row r="4550">
          <cell r="B4550" t="str">
            <v>C571110500-001R001</v>
          </cell>
          <cell r="D4550" t="str">
            <v>B</v>
          </cell>
          <cell r="E4550" t="str">
            <v>程序时间</v>
          </cell>
          <cell r="G4550">
            <v>1500</v>
          </cell>
          <cell r="H4550">
            <v>2700</v>
          </cell>
          <cell r="I4550">
            <v>2100</v>
          </cell>
          <cell r="J4550">
            <v>360</v>
          </cell>
          <cell r="L4550">
            <v>6000</v>
          </cell>
          <cell r="M4550">
            <v>2100</v>
          </cell>
          <cell r="N4550">
            <v>960</v>
          </cell>
          <cell r="P4550">
            <v>360</v>
          </cell>
        </row>
        <row r="4551">
          <cell r="B4551" t="str">
            <v>DD-J10-94021-730-3</v>
          </cell>
          <cell r="D4551" t="str">
            <v>B</v>
          </cell>
          <cell r="E4551" t="str">
            <v>工序内容</v>
          </cell>
          <cell r="F4551" t="str">
            <v>0/领料</v>
          </cell>
          <cell r="G4551" t="str">
            <v>5/钳工</v>
          </cell>
          <cell r="H4551" t="str">
            <v>10/线切割</v>
          </cell>
          <cell r="I4551" t="str">
            <v>15/钳工</v>
          </cell>
          <cell r="J4551" t="str">
            <v>20/分光</v>
          </cell>
          <cell r="K4551" t="str">
            <v>25/焊接</v>
          </cell>
          <cell r="L4551" t="str">
            <v>30/钳工</v>
          </cell>
          <cell r="M4551" t="str">
            <v>35/清洁</v>
          </cell>
          <cell r="N4551" t="str">
            <v>40/成检</v>
          </cell>
        </row>
        <row r="4552">
          <cell r="B4552" t="str">
            <v>DD-J10-94021-730-3</v>
          </cell>
          <cell r="D4552" t="str">
            <v>B</v>
          </cell>
          <cell r="E4552" t="str">
            <v>准备工时</v>
          </cell>
        </row>
        <row r="4553">
          <cell r="B4553" t="str">
            <v>DD-J10-94021-730-3</v>
          </cell>
          <cell r="D4553" t="str">
            <v>B</v>
          </cell>
          <cell r="E4553" t="str">
            <v>程序时间</v>
          </cell>
          <cell r="G4553">
            <v>5</v>
          </cell>
          <cell r="I4553">
            <v>8</v>
          </cell>
          <cell r="L4553">
            <v>15</v>
          </cell>
        </row>
        <row r="4554">
          <cell r="B4554" t="str">
            <v>DD-J10-94021-740-3</v>
          </cell>
          <cell r="D4554" t="str">
            <v>B</v>
          </cell>
          <cell r="E4554" t="str">
            <v>工序内容</v>
          </cell>
          <cell r="F4554" t="str">
            <v>0/领料</v>
          </cell>
          <cell r="G4554" t="str">
            <v>5/钳工</v>
          </cell>
          <cell r="H4554" t="str">
            <v>10/线切割</v>
          </cell>
          <cell r="I4554" t="str">
            <v>15/钳工</v>
          </cell>
          <cell r="J4554" t="str">
            <v>20/分光</v>
          </cell>
          <cell r="K4554" t="str">
            <v>25/焊接</v>
          </cell>
          <cell r="L4554" t="str">
            <v>30/钳工</v>
          </cell>
          <cell r="M4554" t="str">
            <v>35/清洁</v>
          </cell>
          <cell r="N4554" t="str">
            <v>40/成检</v>
          </cell>
        </row>
        <row r="4555">
          <cell r="B4555" t="str">
            <v>DD-J10-94021-740-3</v>
          </cell>
          <cell r="D4555" t="str">
            <v>B</v>
          </cell>
          <cell r="E4555" t="str">
            <v>准备工时</v>
          </cell>
        </row>
        <row r="4556">
          <cell r="B4556" t="str">
            <v>DD-J10-94021-740-3</v>
          </cell>
          <cell r="D4556" t="str">
            <v>B</v>
          </cell>
          <cell r="E4556" t="str">
            <v>程序时间</v>
          </cell>
          <cell r="G4556">
            <v>5</v>
          </cell>
          <cell r="I4556">
            <v>8</v>
          </cell>
          <cell r="L4556">
            <v>15</v>
          </cell>
        </row>
        <row r="4557">
          <cell r="B4557" t="str">
            <v>DD-J10-55055-2620-3</v>
          </cell>
          <cell r="D4557" t="str">
            <v>C</v>
          </cell>
          <cell r="E4557" t="str">
            <v>工序内容</v>
          </cell>
          <cell r="F4557" t="str">
            <v>0/领料</v>
          </cell>
          <cell r="G4557" t="str">
            <v>5/数车</v>
          </cell>
          <cell r="H4557" t="str">
            <v>10/车</v>
          </cell>
          <cell r="I4557" t="str">
            <v>15/清洁</v>
          </cell>
          <cell r="J4557" t="str">
            <v>20/成检</v>
          </cell>
        </row>
        <row r="4558">
          <cell r="B4558" t="str">
            <v>DD-J10-55055-2620-3</v>
          </cell>
          <cell r="D4558" t="str">
            <v>C</v>
          </cell>
          <cell r="E4558" t="str">
            <v>准备工时</v>
          </cell>
          <cell r="G4558">
            <v>60</v>
          </cell>
          <cell r="H4558">
            <v>60</v>
          </cell>
        </row>
        <row r="4559">
          <cell r="B4559" t="str">
            <v>DD-J10-55055-2620-3</v>
          </cell>
          <cell r="D4559" t="str">
            <v>C</v>
          </cell>
          <cell r="E4559" t="str">
            <v>程序时间</v>
          </cell>
          <cell r="G4559">
            <v>15</v>
          </cell>
          <cell r="H4559">
            <v>8</v>
          </cell>
        </row>
        <row r="4560">
          <cell r="B4560" t="str">
            <v>Y20-5318210004-001</v>
          </cell>
          <cell r="D4560" t="str">
            <v>C</v>
          </cell>
          <cell r="E4560" t="str">
            <v>工序内容</v>
          </cell>
          <cell r="F4560" t="str">
            <v>0/领料</v>
          </cell>
          <cell r="G4560" t="str">
            <v>5/数车30</v>
          </cell>
          <cell r="H4560" t="str">
            <v>10/数车10</v>
          </cell>
          <cell r="I4560" t="str">
            <v>15/清洁</v>
          </cell>
          <cell r="J4560" t="str">
            <v>20/成检</v>
          </cell>
        </row>
        <row r="4561">
          <cell r="B4561" t="str">
            <v>Y20-5318210004-001</v>
          </cell>
          <cell r="D4561" t="str">
            <v>C</v>
          </cell>
          <cell r="E4561" t="str">
            <v>准备工时</v>
          </cell>
          <cell r="G4561">
            <v>90</v>
          </cell>
          <cell r="H4561">
            <v>60</v>
          </cell>
        </row>
        <row r="4562">
          <cell r="B4562" t="str">
            <v>Y20-5318210004-001</v>
          </cell>
          <cell r="D4562" t="str">
            <v>C</v>
          </cell>
          <cell r="E4562" t="str">
            <v>程序时间</v>
          </cell>
          <cell r="G4562">
            <v>40</v>
          </cell>
          <cell r="H4562">
            <v>15</v>
          </cell>
        </row>
        <row r="4563">
          <cell r="B4563" t="str">
            <v>CB2292112-003-001</v>
          </cell>
          <cell r="D4563" t="str">
            <v>B</v>
          </cell>
          <cell r="E4563" t="str">
            <v>工序内容</v>
          </cell>
          <cell r="F4563" t="str">
            <v>0/领料</v>
          </cell>
          <cell r="G4563" t="str">
            <v>5/数车15</v>
          </cell>
          <cell r="H4563" t="str">
            <v>10/数车10</v>
          </cell>
          <cell r="I4563" t="str">
            <v>15/数车3</v>
          </cell>
          <cell r="J4563" t="str">
            <v>20/钳标识</v>
          </cell>
          <cell r="K4563" t="str">
            <v>25/分光</v>
          </cell>
          <cell r="L4563" t="str">
            <v>30/钳工</v>
          </cell>
          <cell r="M4563" t="str">
            <v>35/清洁</v>
          </cell>
          <cell r="N4563" t="str">
            <v>40/成检</v>
          </cell>
        </row>
        <row r="4564">
          <cell r="B4564" t="str">
            <v>CB2292112-003-001</v>
          </cell>
          <cell r="D4564" t="str">
            <v>B</v>
          </cell>
          <cell r="E4564" t="str">
            <v>准备工时</v>
          </cell>
          <cell r="G4564">
            <v>60</v>
          </cell>
          <cell r="H4564">
            <v>60</v>
          </cell>
          <cell r="I4564">
            <v>30</v>
          </cell>
        </row>
        <row r="4565">
          <cell r="B4565" t="str">
            <v>CB2292112-003-001</v>
          </cell>
          <cell r="D4565" t="str">
            <v>B</v>
          </cell>
          <cell r="E4565" t="str">
            <v>程序时间</v>
          </cell>
          <cell r="G4565">
            <v>25</v>
          </cell>
          <cell r="H4565">
            <v>20</v>
          </cell>
          <cell r="I4565">
            <v>10</v>
          </cell>
          <cell r="J4565">
            <v>3</v>
          </cell>
          <cell r="L4565">
            <v>20</v>
          </cell>
        </row>
        <row r="4566">
          <cell r="B4566" t="str">
            <v>DD-J10B-94061-1031</v>
          </cell>
          <cell r="D4566" t="str">
            <v>B</v>
          </cell>
          <cell r="E4566" t="str">
            <v>工序内容</v>
          </cell>
          <cell r="F4566" t="str">
            <v>0/领料</v>
          </cell>
          <cell r="G4566" t="str">
            <v>05/普车30</v>
          </cell>
          <cell r="H4566" t="str">
            <v>10/钳工</v>
          </cell>
          <cell r="I4566" t="str">
            <v>15/分光</v>
          </cell>
          <cell r="J4566" t="str">
            <v>20/数车25</v>
          </cell>
          <cell r="K4566" t="str">
            <v>25/数车20</v>
          </cell>
          <cell r="L4566" t="str">
            <v>30/清洁</v>
          </cell>
          <cell r="M4566" t="str">
            <v>35/成检</v>
          </cell>
        </row>
        <row r="4567">
          <cell r="B4567" t="str">
            <v>DD-J10B-94061-1031</v>
          </cell>
          <cell r="D4567" t="str">
            <v>B</v>
          </cell>
          <cell r="E4567" t="str">
            <v>准备工时</v>
          </cell>
          <cell r="G4567">
            <v>60</v>
          </cell>
          <cell r="J4567">
            <v>90</v>
          </cell>
          <cell r="K4567">
            <v>120</v>
          </cell>
        </row>
        <row r="4568">
          <cell r="B4568" t="str">
            <v>DD-J10B-94061-1031</v>
          </cell>
          <cell r="D4568" t="str">
            <v>B</v>
          </cell>
          <cell r="E4568" t="str">
            <v>程序时间</v>
          </cell>
          <cell r="G4568">
            <v>30</v>
          </cell>
          <cell r="H4568">
            <v>15</v>
          </cell>
          <cell r="J4568">
            <v>40</v>
          </cell>
          <cell r="K4568">
            <v>30</v>
          </cell>
        </row>
        <row r="4569">
          <cell r="B4569" t="str">
            <v>BC2281650-006-003</v>
          </cell>
          <cell r="D4569" t="str">
            <v>B</v>
          </cell>
          <cell r="E4569" t="str">
            <v>工序内容</v>
          </cell>
          <cell r="F4569" t="str">
            <v>0/领料</v>
          </cell>
          <cell r="G4569" t="str">
            <v>05线切割</v>
          </cell>
          <cell r="H4569" t="str">
            <v>10数铣10</v>
          </cell>
          <cell r="I4569" t="str">
            <v>15数铣5</v>
          </cell>
          <cell r="J4569" t="str">
            <v>20钳工</v>
          </cell>
          <cell r="K4569" t="str">
            <v>25分光</v>
          </cell>
          <cell r="L4569" t="str">
            <v>30硬检</v>
          </cell>
          <cell r="M4569" t="str">
            <v>35钳工</v>
          </cell>
          <cell r="N4569" t="str">
            <v>40清洁</v>
          </cell>
          <cell r="O4569" t="str">
            <v>45成检</v>
          </cell>
        </row>
        <row r="4570">
          <cell r="B4570" t="str">
            <v>BC2281650-006-003</v>
          </cell>
          <cell r="D4570" t="str">
            <v>B</v>
          </cell>
          <cell r="E4570" t="str">
            <v>准备工时</v>
          </cell>
          <cell r="H4570">
            <v>60</v>
          </cell>
          <cell r="I4570">
            <v>60</v>
          </cell>
        </row>
        <row r="4571">
          <cell r="B4571" t="str">
            <v>BC2281650-006-003</v>
          </cell>
          <cell r="D4571" t="str">
            <v>B</v>
          </cell>
          <cell r="E4571" t="str">
            <v>程序时间</v>
          </cell>
          <cell r="H4571">
            <v>30</v>
          </cell>
          <cell r="I4571">
            <v>15</v>
          </cell>
          <cell r="J4571">
            <v>25</v>
          </cell>
          <cell r="M4571">
            <v>10</v>
          </cell>
        </row>
        <row r="4572">
          <cell r="B4572" t="str">
            <v>DD-J10-55165-331</v>
          </cell>
          <cell r="D4572" t="str">
            <v>E</v>
          </cell>
          <cell r="E4572" t="str">
            <v>工序内容</v>
          </cell>
          <cell r="F4572" t="str">
            <v>0/领料</v>
          </cell>
          <cell r="G4572" t="str">
            <v>5/钳工</v>
          </cell>
          <cell r="H4572" t="str">
            <v>10/数车15</v>
          </cell>
          <cell r="I4572" t="str">
            <v>15/数车25</v>
          </cell>
          <cell r="J4572" t="str">
            <v>20/数车25</v>
          </cell>
          <cell r="K4572" t="str">
            <v>25/数车25</v>
          </cell>
          <cell r="L4572" t="str">
            <v>30/钳工</v>
          </cell>
          <cell r="M4572" t="str">
            <v>35/热处理</v>
          </cell>
          <cell r="N4572" t="str">
            <v>40/钳工</v>
          </cell>
          <cell r="O4572" t="str">
            <v>45/复验</v>
          </cell>
          <cell r="P4572" t="str">
            <v>50/清洗</v>
          </cell>
          <cell r="Q4572" t="str">
            <v>55/磁粉</v>
          </cell>
          <cell r="R4572" t="str">
            <v>60/清洗</v>
          </cell>
          <cell r="S4572" t="str">
            <v>65/表处</v>
          </cell>
          <cell r="T4572" t="str">
            <v>70/数车10</v>
          </cell>
          <cell r="U4572" t="str">
            <v>75/数车20</v>
          </cell>
          <cell r="V4572" t="str">
            <v>80/清洁</v>
          </cell>
          <cell r="W4572" t="str">
            <v>85/成检</v>
          </cell>
        </row>
        <row r="4573">
          <cell r="B4573" t="str">
            <v>DD-J10-55165-331</v>
          </cell>
          <cell r="D4573" t="str">
            <v>E</v>
          </cell>
          <cell r="E4573" t="str">
            <v>准备工时</v>
          </cell>
          <cell r="H4573">
            <v>90</v>
          </cell>
          <cell r="I4573">
            <v>150</v>
          </cell>
          <cell r="J4573">
            <v>150</v>
          </cell>
          <cell r="K4573">
            <v>150</v>
          </cell>
          <cell r="T4573">
            <v>60</v>
          </cell>
          <cell r="U4573">
            <v>90</v>
          </cell>
        </row>
        <row r="4574">
          <cell r="B4574" t="str">
            <v>DD-J10-55165-331</v>
          </cell>
          <cell r="D4574" t="str">
            <v>E</v>
          </cell>
          <cell r="E4574" t="str">
            <v>程序时间</v>
          </cell>
          <cell r="G4574">
            <v>15</v>
          </cell>
          <cell r="H4574">
            <v>15</v>
          </cell>
          <cell r="I4574">
            <v>30</v>
          </cell>
          <cell r="J4574">
            <v>30</v>
          </cell>
          <cell r="K4574">
            <v>30</v>
          </cell>
          <cell r="L4574" t="str">
            <v>35</v>
          </cell>
          <cell r="N4574" t="str">
            <v>10</v>
          </cell>
          <cell r="T4574">
            <v>15</v>
          </cell>
          <cell r="U4574">
            <v>25</v>
          </cell>
        </row>
        <row r="4575">
          <cell r="B4575" t="str">
            <v>DD-J10B-04321-30-1-Z</v>
          </cell>
          <cell r="D4575" t="str">
            <v>C</v>
          </cell>
          <cell r="E4575" t="str">
            <v>工序内容</v>
          </cell>
          <cell r="F4575" t="str">
            <v>00/领料</v>
          </cell>
          <cell r="G4575" t="str">
            <v>5/飞面</v>
          </cell>
          <cell r="H4575" t="str">
            <v>10/孔90</v>
          </cell>
          <cell r="I4575" t="str">
            <v>15/数铣700</v>
          </cell>
          <cell r="J4575" t="str">
            <v>20/数铣350</v>
          </cell>
          <cell r="K4575" t="str">
            <v>25/数铣30</v>
          </cell>
          <cell r="L4575" t="str">
            <v>30/数铣120</v>
          </cell>
          <cell r="M4575" t="str">
            <v>35/数铣</v>
          </cell>
          <cell r="N4575" t="str">
            <v>40/铣260</v>
          </cell>
          <cell r="O4575" t="str">
            <v>45/数铣360</v>
          </cell>
          <cell r="P4575" t="str">
            <v>50/自然时效</v>
          </cell>
          <cell r="Q4575" t="str">
            <v>55/数铣</v>
          </cell>
          <cell r="R4575" t="str">
            <v>60/数铣800</v>
          </cell>
          <cell r="S4575" t="str">
            <v>65/五轴170</v>
          </cell>
          <cell r="T4575" t="str">
            <v>70/数铣1500</v>
          </cell>
          <cell r="U4575" t="str">
            <v>75/五轴360</v>
          </cell>
          <cell r="V4575" t="str">
            <v>80/钳工</v>
          </cell>
          <cell r="W4575" t="str">
            <v>85/测量</v>
          </cell>
          <cell r="X4575" t="str">
            <v>90/清洁</v>
          </cell>
          <cell r="Y4575" t="str">
            <v>95/成检</v>
          </cell>
        </row>
        <row r="4576">
          <cell r="B4576" t="str">
            <v>DD-J10B-04321-30-1-Z</v>
          </cell>
          <cell r="D4576" t="str">
            <v>C</v>
          </cell>
          <cell r="E4576" t="str">
            <v>准备工时</v>
          </cell>
          <cell r="G4576">
            <v>60</v>
          </cell>
          <cell r="H4576">
            <v>90</v>
          </cell>
          <cell r="I4576">
            <v>120</v>
          </cell>
          <cell r="J4576">
            <v>60</v>
          </cell>
          <cell r="K4576">
            <v>60</v>
          </cell>
          <cell r="L4576">
            <v>60</v>
          </cell>
          <cell r="M4576">
            <v>60</v>
          </cell>
          <cell r="N4576">
            <v>60</v>
          </cell>
          <cell r="O4576">
            <v>60</v>
          </cell>
          <cell r="Q4576">
            <v>60</v>
          </cell>
          <cell r="R4576">
            <v>60</v>
          </cell>
          <cell r="S4576">
            <v>120</v>
          </cell>
          <cell r="T4576">
            <v>120</v>
          </cell>
          <cell r="U4576">
            <v>150</v>
          </cell>
        </row>
        <row r="4577">
          <cell r="B4577" t="str">
            <v>DD-J10B-04321-30-1-Z</v>
          </cell>
          <cell r="D4577" t="str">
            <v>C</v>
          </cell>
          <cell r="E4577" t="str">
            <v>装夹时间</v>
          </cell>
          <cell r="G4577">
            <v>60</v>
          </cell>
          <cell r="H4577">
            <v>60</v>
          </cell>
          <cell r="I4577">
            <v>60</v>
          </cell>
          <cell r="J4577">
            <v>90</v>
          </cell>
          <cell r="K4577">
            <v>90</v>
          </cell>
          <cell r="L4577">
            <v>90</v>
          </cell>
          <cell r="M4577">
            <v>90</v>
          </cell>
          <cell r="N4577">
            <v>90</v>
          </cell>
          <cell r="O4577">
            <v>90</v>
          </cell>
          <cell r="Q4577">
            <v>90</v>
          </cell>
          <cell r="R4577">
            <v>90</v>
          </cell>
          <cell r="S4577">
            <v>90</v>
          </cell>
          <cell r="T4577">
            <v>90</v>
          </cell>
          <cell r="U4577">
            <v>90</v>
          </cell>
        </row>
        <row r="4578">
          <cell r="B4578" t="str">
            <v>DD-J10B-04321-30-1-Z</v>
          </cell>
          <cell r="D4578" t="str">
            <v>C</v>
          </cell>
          <cell r="E4578" t="str">
            <v>程序时间</v>
          </cell>
          <cell r="G4578">
            <v>180</v>
          </cell>
          <cell r="H4578">
            <v>150</v>
          </cell>
          <cell r="I4578">
            <v>1020</v>
          </cell>
          <cell r="J4578">
            <v>510</v>
          </cell>
          <cell r="K4578">
            <v>60</v>
          </cell>
          <cell r="L4578">
            <v>180</v>
          </cell>
          <cell r="M4578">
            <v>240</v>
          </cell>
          <cell r="N4578">
            <v>390</v>
          </cell>
          <cell r="O4578">
            <v>630</v>
          </cell>
          <cell r="Q4578">
            <v>150</v>
          </cell>
          <cell r="R4578">
            <v>1200</v>
          </cell>
          <cell r="S4578">
            <v>500</v>
          </cell>
          <cell r="T4578">
            <v>2400</v>
          </cell>
          <cell r="U4578">
            <v>900</v>
          </cell>
          <cell r="V4578">
            <v>1200</v>
          </cell>
        </row>
        <row r="4579">
          <cell r="B4579" t="str">
            <v>DD-J10B-04321-30-1-Y</v>
          </cell>
          <cell r="D4579" t="str">
            <v>C</v>
          </cell>
          <cell r="E4579" t="str">
            <v>工序内容</v>
          </cell>
          <cell r="F4579" t="str">
            <v>00/领料</v>
          </cell>
          <cell r="G4579" t="str">
            <v>5/飞面</v>
          </cell>
          <cell r="H4579" t="str">
            <v>10/孔90</v>
          </cell>
          <cell r="I4579" t="str">
            <v>15/数铣700</v>
          </cell>
          <cell r="J4579" t="str">
            <v>20/数铣350</v>
          </cell>
          <cell r="K4579" t="str">
            <v>25/数铣30</v>
          </cell>
          <cell r="L4579" t="str">
            <v>30/数铣120</v>
          </cell>
          <cell r="M4579" t="str">
            <v>35/数铣</v>
          </cell>
          <cell r="N4579" t="str">
            <v>40/铣260</v>
          </cell>
          <cell r="O4579" t="str">
            <v>45/数铣360</v>
          </cell>
          <cell r="P4579" t="str">
            <v>50/自然时效</v>
          </cell>
          <cell r="Q4579" t="str">
            <v>55/数铣</v>
          </cell>
          <cell r="R4579" t="str">
            <v>60/数铣800</v>
          </cell>
          <cell r="S4579" t="str">
            <v>65/五轴170</v>
          </cell>
          <cell r="T4579" t="str">
            <v>70/数铣1500</v>
          </cell>
          <cell r="U4579" t="str">
            <v>75/五轴360</v>
          </cell>
          <cell r="V4579" t="str">
            <v>80/钳工</v>
          </cell>
          <cell r="W4579" t="str">
            <v>85/测量</v>
          </cell>
          <cell r="X4579" t="str">
            <v>90/清洁</v>
          </cell>
          <cell r="Y4579" t="str">
            <v>95/成检</v>
          </cell>
        </row>
        <row r="4580">
          <cell r="B4580" t="str">
            <v>DD-J10B-04321-30-1-Y</v>
          </cell>
          <cell r="D4580" t="str">
            <v>C</v>
          </cell>
          <cell r="E4580" t="str">
            <v>准备工时</v>
          </cell>
          <cell r="G4580">
            <v>60</v>
          </cell>
          <cell r="H4580">
            <v>90</v>
          </cell>
          <cell r="I4580">
            <v>120</v>
          </cell>
          <cell r="J4580">
            <v>60</v>
          </cell>
          <cell r="K4580">
            <v>60</v>
          </cell>
          <cell r="L4580">
            <v>60</v>
          </cell>
          <cell r="M4580">
            <v>60</v>
          </cell>
          <cell r="N4580">
            <v>60</v>
          </cell>
          <cell r="O4580">
            <v>60</v>
          </cell>
          <cell r="Q4580">
            <v>60</v>
          </cell>
          <cell r="R4580">
            <v>60</v>
          </cell>
          <cell r="S4580">
            <v>120</v>
          </cell>
          <cell r="T4580">
            <v>120</v>
          </cell>
          <cell r="U4580">
            <v>150</v>
          </cell>
        </row>
        <row r="4581">
          <cell r="B4581" t="str">
            <v>DD-J10B-04321-30-1-Y</v>
          </cell>
          <cell r="D4581" t="str">
            <v>C</v>
          </cell>
          <cell r="E4581" t="str">
            <v>装夹时间</v>
          </cell>
          <cell r="G4581">
            <v>60</v>
          </cell>
          <cell r="H4581">
            <v>60</v>
          </cell>
          <cell r="I4581">
            <v>60</v>
          </cell>
          <cell r="J4581">
            <v>90</v>
          </cell>
          <cell r="K4581">
            <v>90</v>
          </cell>
          <cell r="L4581">
            <v>90</v>
          </cell>
          <cell r="M4581">
            <v>90</v>
          </cell>
          <cell r="N4581">
            <v>90</v>
          </cell>
          <cell r="O4581">
            <v>90</v>
          </cell>
          <cell r="Q4581">
            <v>90</v>
          </cell>
          <cell r="R4581">
            <v>90</v>
          </cell>
          <cell r="S4581">
            <v>90</v>
          </cell>
          <cell r="T4581">
            <v>90</v>
          </cell>
          <cell r="U4581">
            <v>90</v>
          </cell>
        </row>
        <row r="4582">
          <cell r="B4582" t="str">
            <v>DD-J10B-04321-30-1-Y</v>
          </cell>
          <cell r="D4582" t="str">
            <v>C</v>
          </cell>
          <cell r="E4582" t="str">
            <v>程序时间</v>
          </cell>
          <cell r="G4582">
            <v>180</v>
          </cell>
          <cell r="H4582">
            <v>150</v>
          </cell>
          <cell r="I4582">
            <v>1020</v>
          </cell>
          <cell r="J4582">
            <v>510</v>
          </cell>
          <cell r="K4582">
            <v>60</v>
          </cell>
          <cell r="L4582">
            <v>180</v>
          </cell>
          <cell r="M4582">
            <v>240</v>
          </cell>
          <cell r="N4582">
            <v>390</v>
          </cell>
          <cell r="O4582">
            <v>630</v>
          </cell>
          <cell r="Q4582">
            <v>150</v>
          </cell>
          <cell r="R4582">
            <v>1200</v>
          </cell>
          <cell r="S4582">
            <v>500</v>
          </cell>
          <cell r="T4582">
            <v>2400</v>
          </cell>
          <cell r="U4582">
            <v>900</v>
          </cell>
          <cell r="V4582">
            <v>1200</v>
          </cell>
        </row>
        <row r="4583">
          <cell r="B4583" t="str">
            <v>CB22109TD-001-001</v>
          </cell>
          <cell r="D4583" t="str">
            <v>B</v>
          </cell>
          <cell r="E4583" t="str">
            <v>工序内容</v>
          </cell>
          <cell r="F4583" t="str">
            <v>0/领料</v>
          </cell>
          <cell r="G4583" t="str">
            <v>5/数车10</v>
          </cell>
          <cell r="H4583" t="str">
            <v>10/车铣35</v>
          </cell>
          <cell r="I4583" t="str">
            <v>15/分光</v>
          </cell>
          <cell r="J4583" t="str">
            <v>20/硬度</v>
          </cell>
          <cell r="K4583" t="str">
            <v>25/数车20</v>
          </cell>
          <cell r="L4583" t="str">
            <v>30/穿孔</v>
          </cell>
          <cell r="M4583" t="str">
            <v>35/钳工</v>
          </cell>
          <cell r="N4583" t="str">
            <v>40/清洁</v>
          </cell>
          <cell r="O4583" t="str">
            <v>45/成检</v>
          </cell>
        </row>
        <row r="4584">
          <cell r="B4584" t="str">
            <v>CB22109TD-001-001</v>
          </cell>
          <cell r="D4584" t="str">
            <v>B</v>
          </cell>
          <cell r="E4584" t="str">
            <v>准备工时</v>
          </cell>
          <cell r="G4584">
            <v>60</v>
          </cell>
          <cell r="H4584">
            <v>120</v>
          </cell>
          <cell r="K4584">
            <v>90</v>
          </cell>
        </row>
        <row r="4585">
          <cell r="B4585" t="str">
            <v>CB22109TD-001-001</v>
          </cell>
          <cell r="D4585" t="str">
            <v>B</v>
          </cell>
          <cell r="E4585" t="str">
            <v>程序时间</v>
          </cell>
          <cell r="G4585">
            <v>15</v>
          </cell>
          <cell r="H4585">
            <v>50</v>
          </cell>
          <cell r="K4585">
            <v>25</v>
          </cell>
          <cell r="M4585">
            <v>30</v>
          </cell>
        </row>
        <row r="4586">
          <cell r="B4586" t="str">
            <v>DD-J10B-65000-2250-1GF</v>
          </cell>
          <cell r="D4586" t="str">
            <v>B</v>
          </cell>
          <cell r="E4586" t="str">
            <v>工序内容</v>
          </cell>
          <cell r="F4586" t="str">
            <v>0/领料</v>
          </cell>
          <cell r="G4586" t="str">
            <v>05/数车35</v>
          </cell>
          <cell r="H4586" t="str">
            <v>10/数车20</v>
          </cell>
          <cell r="I4586" t="str">
            <v>15/分光</v>
          </cell>
          <cell r="J4586" t="str">
            <v>20/数车20</v>
          </cell>
          <cell r="K4586" t="str">
            <v>25/清洁</v>
          </cell>
          <cell r="L4586" t="str">
            <v>30/成检</v>
          </cell>
        </row>
        <row r="4587">
          <cell r="B4587" t="str">
            <v>DD-J10B-65000-2250-1GF</v>
          </cell>
          <cell r="D4587" t="str">
            <v>B</v>
          </cell>
          <cell r="E4587" t="str">
            <v>准备工时</v>
          </cell>
          <cell r="G4587">
            <v>90</v>
          </cell>
          <cell r="H4587">
            <v>90</v>
          </cell>
          <cell r="J4587">
            <v>90</v>
          </cell>
        </row>
        <row r="4588">
          <cell r="B4588" t="str">
            <v>DD-J10B-65000-2250-1GF</v>
          </cell>
          <cell r="D4588" t="str">
            <v>B</v>
          </cell>
          <cell r="E4588" t="str">
            <v>程序时间</v>
          </cell>
          <cell r="G4588">
            <v>60</v>
          </cell>
          <cell r="H4588">
            <v>30</v>
          </cell>
          <cell r="J4588">
            <v>30</v>
          </cell>
        </row>
        <row r="4589">
          <cell r="B4589" t="str">
            <v>DD-J10-55014-1400-2</v>
          </cell>
          <cell r="D4589" t="str">
            <v>C</v>
          </cell>
          <cell r="E4589" t="str">
            <v>工序内容</v>
          </cell>
          <cell r="F4589" t="str">
            <v>0领料</v>
          </cell>
          <cell r="G4589" t="str">
            <v>5数车10</v>
          </cell>
          <cell r="H4589" t="str">
            <v>10数车5</v>
          </cell>
          <cell r="I4589" t="str">
            <v>15钳工</v>
          </cell>
          <cell r="J4589" t="str">
            <v>20分光</v>
          </cell>
          <cell r="K4589" t="str">
            <v>25钳工</v>
          </cell>
          <cell r="L4589" t="str">
            <v>30清洁</v>
          </cell>
          <cell r="M4589" t="str">
            <v>35成检</v>
          </cell>
        </row>
        <row r="4590">
          <cell r="B4590" t="str">
            <v>DD-J10-55014-1400-2</v>
          </cell>
          <cell r="D4590" t="str">
            <v>C</v>
          </cell>
          <cell r="E4590" t="str">
            <v>准备工时</v>
          </cell>
          <cell r="G4590">
            <v>60</v>
          </cell>
          <cell r="H4590">
            <v>60</v>
          </cell>
        </row>
        <row r="4591">
          <cell r="B4591" t="str">
            <v>DD-J10-55014-1400-2</v>
          </cell>
          <cell r="D4591" t="str">
            <v>C</v>
          </cell>
          <cell r="E4591" t="str">
            <v>程序时间</v>
          </cell>
          <cell r="G4591">
            <v>15</v>
          </cell>
          <cell r="H4591">
            <v>10</v>
          </cell>
          <cell r="I4591">
            <v>4</v>
          </cell>
          <cell r="K4591">
            <v>5</v>
          </cell>
        </row>
        <row r="4592">
          <cell r="B4592" t="str">
            <v>DD-J10-54101-2822</v>
          </cell>
          <cell r="D4592" t="str">
            <v>A</v>
          </cell>
          <cell r="E4592" t="str">
            <v>工序内容</v>
          </cell>
          <cell r="F4592" t="str">
            <v>0/领料</v>
          </cell>
          <cell r="G4592" t="str">
            <v>5/数车9</v>
          </cell>
          <cell r="H4592" t="str">
            <v>10/数车3</v>
          </cell>
          <cell r="I4592" t="str">
            <v>15/钳工</v>
          </cell>
          <cell r="J4592" t="str">
            <v>20/清洁</v>
          </cell>
          <cell r="K4592" t="str">
            <v>25/成检</v>
          </cell>
        </row>
        <row r="4593">
          <cell r="B4593" t="str">
            <v>DD-J10-54101-2822</v>
          </cell>
          <cell r="D4593" t="str">
            <v>A</v>
          </cell>
          <cell r="E4593" t="str">
            <v>准备工时</v>
          </cell>
          <cell r="G4593">
            <v>60</v>
          </cell>
          <cell r="H4593">
            <v>60</v>
          </cell>
        </row>
        <row r="4594">
          <cell r="B4594" t="str">
            <v>DD-J10-54101-2822</v>
          </cell>
          <cell r="D4594" t="str">
            <v>A</v>
          </cell>
          <cell r="E4594" t="str">
            <v>程序时间</v>
          </cell>
          <cell r="G4594">
            <v>15</v>
          </cell>
          <cell r="H4594">
            <v>8</v>
          </cell>
          <cell r="I4594">
            <v>6</v>
          </cell>
        </row>
        <row r="4595">
          <cell r="B4595" t="str">
            <v>CB22924J0-002-005</v>
          </cell>
          <cell r="D4595" t="str">
            <v>C</v>
          </cell>
          <cell r="E4595" t="str">
            <v>工序内容</v>
          </cell>
          <cell r="F4595" t="str">
            <v>0/领料</v>
          </cell>
          <cell r="G4595" t="str">
            <v>5/数铣20</v>
          </cell>
          <cell r="H4595" t="str">
            <v>10/数铣20</v>
          </cell>
          <cell r="I4595" t="str">
            <v>15/数铣30</v>
          </cell>
          <cell r="J4595" t="str">
            <v>20/数铣40</v>
          </cell>
          <cell r="K4595" t="str">
            <v>25/钳工</v>
          </cell>
          <cell r="L4595" t="str">
            <v>30/数铣10</v>
          </cell>
          <cell r="M4595" t="str">
            <v>35/钳工</v>
          </cell>
          <cell r="N4595">
            <v>40</v>
          </cell>
          <cell r="O4595" t="str">
            <v>45/清洁</v>
          </cell>
          <cell r="P4595" t="str">
            <v>50/检验</v>
          </cell>
          <cell r="Q4595" t="str">
            <v>55/硬检</v>
          </cell>
          <cell r="R4595" t="str">
            <v>60/分光</v>
          </cell>
          <cell r="S4595" t="str">
            <v>65/钳工</v>
          </cell>
          <cell r="T4595" t="str">
            <v>70/清洁</v>
          </cell>
          <cell r="U4595" t="str">
            <v>75/成检</v>
          </cell>
        </row>
        <row r="4596">
          <cell r="B4596" t="str">
            <v>CB22924J0-002-005</v>
          </cell>
          <cell r="D4596" t="str">
            <v>C</v>
          </cell>
          <cell r="E4596" t="str">
            <v>准备工时</v>
          </cell>
          <cell r="G4596">
            <v>60</v>
          </cell>
          <cell r="H4596">
            <v>60</v>
          </cell>
          <cell r="I4596">
            <v>60</v>
          </cell>
          <cell r="J4596">
            <v>60</v>
          </cell>
          <cell r="L4596">
            <v>60</v>
          </cell>
        </row>
        <row r="4597">
          <cell r="B4597" t="str">
            <v>CB22924J0-002-005</v>
          </cell>
          <cell r="D4597" t="str">
            <v>C</v>
          </cell>
          <cell r="E4597" t="str">
            <v>程序时间</v>
          </cell>
          <cell r="G4597">
            <v>30</v>
          </cell>
          <cell r="H4597">
            <v>30</v>
          </cell>
          <cell r="I4597">
            <v>45</v>
          </cell>
          <cell r="J4597">
            <v>70</v>
          </cell>
          <cell r="K4597">
            <v>20</v>
          </cell>
          <cell r="L4597">
            <v>25</v>
          </cell>
          <cell r="M4597">
            <v>30</v>
          </cell>
          <cell r="S4597">
            <v>5</v>
          </cell>
        </row>
        <row r="4598">
          <cell r="B4598" t="str">
            <v>C571310300-022L001</v>
          </cell>
          <cell r="D4598" t="str">
            <v>A</v>
          </cell>
          <cell r="E4598" t="str">
            <v>工序内容</v>
          </cell>
          <cell r="F4598" t="str">
            <v>0领料</v>
          </cell>
          <cell r="G4598" t="str">
            <v>05下料</v>
          </cell>
          <cell r="H4598" t="str">
            <v>10数铣</v>
          </cell>
          <cell r="I4598" t="str">
            <v>15数铣22</v>
          </cell>
          <cell r="J4598" t="str">
            <v>20数铣75</v>
          </cell>
          <cell r="K4598" t="str">
            <v>25五轴50</v>
          </cell>
          <cell r="L4598" t="str">
            <v>30数铣50</v>
          </cell>
          <cell r="M4598" t="str">
            <v>35五轴25</v>
          </cell>
          <cell r="N4598" t="str">
            <v>40测量</v>
          </cell>
          <cell r="O4598" t="str">
            <v>45钳工</v>
          </cell>
          <cell r="P4598" t="str">
            <v>50清洁</v>
          </cell>
          <cell r="Q4598" t="str">
            <v>60成检</v>
          </cell>
        </row>
        <row r="4599">
          <cell r="B4599" t="str">
            <v>C571310300-022L001</v>
          </cell>
          <cell r="D4599" t="str">
            <v>A</v>
          </cell>
          <cell r="E4599" t="str">
            <v>准备工时</v>
          </cell>
          <cell r="H4599">
            <v>60</v>
          </cell>
          <cell r="I4599">
            <v>60</v>
          </cell>
          <cell r="J4599">
            <v>90</v>
          </cell>
          <cell r="K4599">
            <v>120</v>
          </cell>
          <cell r="L4599">
            <v>60</v>
          </cell>
          <cell r="M4599">
            <v>120</v>
          </cell>
        </row>
        <row r="4600">
          <cell r="B4600" t="str">
            <v>C571310300-022L001</v>
          </cell>
          <cell r="D4600" t="str">
            <v>A</v>
          </cell>
          <cell r="E4600" t="str">
            <v>装夹时间</v>
          </cell>
          <cell r="K4600">
            <v>60</v>
          </cell>
          <cell r="M4600">
            <v>60</v>
          </cell>
        </row>
        <row r="4601">
          <cell r="B4601" t="str">
            <v>C571310300-022L001</v>
          </cell>
          <cell r="D4601" t="str">
            <v>A</v>
          </cell>
          <cell r="E4601" t="str">
            <v>程序时间</v>
          </cell>
          <cell r="H4601">
            <v>60</v>
          </cell>
          <cell r="I4601">
            <v>50</v>
          </cell>
          <cell r="J4601">
            <v>150</v>
          </cell>
          <cell r="K4601">
            <v>150</v>
          </cell>
          <cell r="L4601">
            <v>130</v>
          </cell>
          <cell r="M4601">
            <v>90</v>
          </cell>
          <cell r="O4601">
            <v>90</v>
          </cell>
        </row>
        <row r="4602">
          <cell r="B4602" t="str">
            <v>C571310300-022R001</v>
          </cell>
          <cell r="D4602" t="str">
            <v>A</v>
          </cell>
          <cell r="E4602" t="str">
            <v>工序内容</v>
          </cell>
          <cell r="F4602" t="str">
            <v>0领料</v>
          </cell>
          <cell r="G4602" t="str">
            <v>05下料</v>
          </cell>
          <cell r="H4602" t="str">
            <v>10数铣</v>
          </cell>
          <cell r="I4602" t="str">
            <v>15数铣22</v>
          </cell>
          <cell r="J4602" t="str">
            <v>20数铣75</v>
          </cell>
          <cell r="K4602" t="str">
            <v>25五轴50</v>
          </cell>
          <cell r="L4602" t="str">
            <v>30数铣50</v>
          </cell>
          <cell r="M4602" t="str">
            <v>35五轴25</v>
          </cell>
          <cell r="N4602" t="str">
            <v>40测量</v>
          </cell>
          <cell r="O4602" t="str">
            <v>45钳工</v>
          </cell>
          <cell r="P4602" t="str">
            <v>50清洁</v>
          </cell>
          <cell r="Q4602" t="str">
            <v>60成检</v>
          </cell>
        </row>
        <row r="4603">
          <cell r="B4603" t="str">
            <v>C571310300-022R001</v>
          </cell>
          <cell r="D4603" t="str">
            <v>A</v>
          </cell>
          <cell r="E4603" t="str">
            <v>准备工时</v>
          </cell>
          <cell r="H4603">
            <v>60</v>
          </cell>
          <cell r="I4603">
            <v>60</v>
          </cell>
          <cell r="J4603">
            <v>90</v>
          </cell>
          <cell r="K4603">
            <v>120</v>
          </cell>
          <cell r="L4603">
            <v>60</v>
          </cell>
          <cell r="M4603">
            <v>120</v>
          </cell>
        </row>
        <row r="4604">
          <cell r="B4604" t="str">
            <v>C571310300-022R001</v>
          </cell>
          <cell r="D4604" t="str">
            <v>A</v>
          </cell>
          <cell r="E4604" t="str">
            <v>装夹时间</v>
          </cell>
          <cell r="K4604">
            <v>60</v>
          </cell>
          <cell r="M4604">
            <v>60</v>
          </cell>
        </row>
        <row r="4605">
          <cell r="B4605" t="str">
            <v>C571310300-022R001</v>
          </cell>
          <cell r="D4605" t="str">
            <v>A</v>
          </cell>
          <cell r="E4605" t="str">
            <v>程序时间</v>
          </cell>
          <cell r="H4605">
            <v>60</v>
          </cell>
          <cell r="I4605">
            <v>50</v>
          </cell>
          <cell r="J4605">
            <v>150</v>
          </cell>
          <cell r="K4605">
            <v>150</v>
          </cell>
          <cell r="L4605">
            <v>130</v>
          </cell>
          <cell r="M4605">
            <v>90</v>
          </cell>
          <cell r="O4605">
            <v>90</v>
          </cell>
        </row>
        <row r="4606">
          <cell r="B4606" t="str">
            <v>CB5326200-125L002</v>
          </cell>
          <cell r="D4606" t="str">
            <v>D</v>
          </cell>
          <cell r="E4606" t="str">
            <v>工序内容</v>
          </cell>
          <cell r="F4606" t="str">
            <v>0/领料</v>
          </cell>
          <cell r="G4606" t="str">
            <v>5/数铣</v>
          </cell>
          <cell r="H4606" t="str">
            <v>10/数铣</v>
          </cell>
          <cell r="I4606" t="str">
            <v>15/数铣95</v>
          </cell>
          <cell r="J4606" t="str">
            <v>20/数铣280</v>
          </cell>
          <cell r="K4606" t="str">
            <v>25/数铣240</v>
          </cell>
          <cell r="L4606" t="str">
            <v>30/数铣550</v>
          </cell>
          <cell r="M4606" t="str">
            <v>35/五轴300</v>
          </cell>
          <cell r="N4606" t="str">
            <v>40/数铣680</v>
          </cell>
          <cell r="O4606" t="str">
            <v>45/测量</v>
          </cell>
          <cell r="P4606" t="str">
            <v>50/钳工</v>
          </cell>
          <cell r="Q4606" t="str">
            <v>55/数铣</v>
          </cell>
          <cell r="R4606" t="str">
            <v>60/清洁</v>
          </cell>
          <cell r="S4606" t="str">
            <v>65/成检</v>
          </cell>
        </row>
        <row r="4607">
          <cell r="B4607" t="str">
            <v>CB5326200-125L002</v>
          </cell>
          <cell r="D4607" t="str">
            <v>D</v>
          </cell>
          <cell r="E4607" t="str">
            <v>准备工时</v>
          </cell>
          <cell r="G4607">
            <v>60</v>
          </cell>
          <cell r="H4607">
            <v>60</v>
          </cell>
          <cell r="I4607">
            <v>60</v>
          </cell>
          <cell r="J4607">
            <v>60</v>
          </cell>
          <cell r="K4607">
            <v>60</v>
          </cell>
          <cell r="L4607">
            <v>60</v>
          </cell>
          <cell r="M4607">
            <v>180</v>
          </cell>
          <cell r="N4607">
            <v>180</v>
          </cell>
        </row>
        <row r="4608">
          <cell r="B4608" t="str">
            <v>CB5326200-125L002</v>
          </cell>
          <cell r="D4608" t="str">
            <v>D</v>
          </cell>
          <cell r="E4608" t="str">
            <v>装夹时间</v>
          </cell>
          <cell r="G4608">
            <v>60</v>
          </cell>
          <cell r="H4608">
            <v>90</v>
          </cell>
          <cell r="I4608">
            <v>90</v>
          </cell>
          <cell r="J4608">
            <v>90</v>
          </cell>
          <cell r="K4608">
            <v>90</v>
          </cell>
          <cell r="L4608">
            <v>90</v>
          </cell>
          <cell r="M4608">
            <v>90</v>
          </cell>
          <cell r="N4608">
            <v>90</v>
          </cell>
        </row>
        <row r="4609">
          <cell r="B4609" t="str">
            <v>CB5326200-125L002</v>
          </cell>
          <cell r="D4609" t="str">
            <v>D</v>
          </cell>
          <cell r="E4609" t="str">
            <v>程序时间</v>
          </cell>
          <cell r="G4609">
            <v>30</v>
          </cell>
          <cell r="H4609">
            <v>60</v>
          </cell>
          <cell r="I4609">
            <v>150</v>
          </cell>
          <cell r="J4609">
            <v>450</v>
          </cell>
          <cell r="K4609">
            <v>360</v>
          </cell>
          <cell r="L4609">
            <v>650</v>
          </cell>
          <cell r="M4609">
            <v>600</v>
          </cell>
          <cell r="N4609">
            <v>1020</v>
          </cell>
          <cell r="P4609">
            <v>480</v>
          </cell>
          <cell r="Q4609">
            <v>20</v>
          </cell>
        </row>
        <row r="4610">
          <cell r="B4610" t="str">
            <v>CB5326200-125R002</v>
          </cell>
          <cell r="D4610" t="str">
            <v>D</v>
          </cell>
          <cell r="E4610" t="str">
            <v>工序内容</v>
          </cell>
          <cell r="F4610" t="str">
            <v>0/领料</v>
          </cell>
          <cell r="G4610" t="str">
            <v>5/数铣</v>
          </cell>
          <cell r="H4610" t="str">
            <v>10/数铣</v>
          </cell>
          <cell r="I4610" t="str">
            <v>15/数铣95</v>
          </cell>
          <cell r="J4610" t="str">
            <v>20/数铣280</v>
          </cell>
          <cell r="K4610" t="str">
            <v>25/数铣240</v>
          </cell>
          <cell r="L4610" t="str">
            <v>30/数铣550</v>
          </cell>
          <cell r="M4610" t="str">
            <v>35/五轴300</v>
          </cell>
          <cell r="N4610" t="str">
            <v>40/数铣680</v>
          </cell>
          <cell r="O4610" t="str">
            <v>45/测量</v>
          </cell>
          <cell r="P4610" t="str">
            <v>50/钳工</v>
          </cell>
          <cell r="Q4610" t="str">
            <v>55/数铣</v>
          </cell>
          <cell r="R4610" t="str">
            <v>60/清洁</v>
          </cell>
          <cell r="S4610" t="str">
            <v>65/成检</v>
          </cell>
        </row>
        <row r="4611">
          <cell r="B4611" t="str">
            <v>CB5326200-125R002</v>
          </cell>
          <cell r="D4611" t="str">
            <v>D</v>
          </cell>
          <cell r="E4611" t="str">
            <v>准备工时</v>
          </cell>
          <cell r="G4611">
            <v>60</v>
          </cell>
          <cell r="H4611">
            <v>60</v>
          </cell>
          <cell r="I4611">
            <v>60</v>
          </cell>
          <cell r="J4611">
            <v>60</v>
          </cell>
          <cell r="K4611">
            <v>60</v>
          </cell>
          <cell r="L4611">
            <v>60</v>
          </cell>
          <cell r="M4611">
            <v>180</v>
          </cell>
          <cell r="N4611">
            <v>180</v>
          </cell>
        </row>
        <row r="4612">
          <cell r="B4612" t="str">
            <v>CB5326200-125R002</v>
          </cell>
          <cell r="D4612" t="str">
            <v>D</v>
          </cell>
          <cell r="E4612" t="str">
            <v>装夹时间</v>
          </cell>
          <cell r="G4612">
            <v>60</v>
          </cell>
          <cell r="H4612">
            <v>90</v>
          </cell>
          <cell r="I4612">
            <v>90</v>
          </cell>
          <cell r="J4612">
            <v>90</v>
          </cell>
          <cell r="K4612">
            <v>90</v>
          </cell>
          <cell r="L4612">
            <v>90</v>
          </cell>
          <cell r="M4612">
            <v>90</v>
          </cell>
          <cell r="N4612">
            <v>90</v>
          </cell>
        </row>
        <row r="4613">
          <cell r="B4613" t="str">
            <v>CB5326200-125R002</v>
          </cell>
          <cell r="D4613" t="str">
            <v>D</v>
          </cell>
          <cell r="E4613" t="str">
            <v>程序时间</v>
          </cell>
          <cell r="G4613">
            <v>30</v>
          </cell>
          <cell r="H4613">
            <v>60</v>
          </cell>
          <cell r="I4613">
            <v>150</v>
          </cell>
          <cell r="J4613">
            <v>450</v>
          </cell>
          <cell r="K4613">
            <v>360</v>
          </cell>
          <cell r="L4613">
            <v>650</v>
          </cell>
          <cell r="M4613">
            <v>600</v>
          </cell>
          <cell r="N4613">
            <v>1020</v>
          </cell>
          <cell r="P4613">
            <v>480</v>
          </cell>
          <cell r="Q4613">
            <v>20</v>
          </cell>
        </row>
        <row r="4614">
          <cell r="B4614" t="str">
            <v>CB5350510-002-001</v>
          </cell>
          <cell r="D4614" t="str">
            <v>A</v>
          </cell>
          <cell r="E4614" t="str">
            <v>工序内容</v>
          </cell>
          <cell r="F4614" t="str">
            <v>0/领料</v>
          </cell>
          <cell r="G4614" t="str">
            <v>5/普车</v>
          </cell>
          <cell r="H4614" t="str">
            <v>10/分光</v>
          </cell>
          <cell r="I4614" t="str">
            <v>15/数车30</v>
          </cell>
          <cell r="J4614" t="str">
            <v>20数车10</v>
          </cell>
          <cell r="K4614" t="str">
            <v>25数铣15</v>
          </cell>
          <cell r="L4614" t="str">
            <v>30/测量</v>
          </cell>
          <cell r="M4614" t="str">
            <v>35/钳工</v>
          </cell>
          <cell r="N4614" t="str">
            <v>40/清洁</v>
          </cell>
          <cell r="O4614" t="str">
            <v>45成检</v>
          </cell>
        </row>
        <row r="4615">
          <cell r="B4615" t="str">
            <v>CB5350510-002-001</v>
          </cell>
          <cell r="D4615" t="str">
            <v>A</v>
          </cell>
          <cell r="E4615" t="str">
            <v>准备工时</v>
          </cell>
          <cell r="G4615">
            <v>60</v>
          </cell>
          <cell r="I4615">
            <v>90</v>
          </cell>
          <cell r="J4615">
            <v>60</v>
          </cell>
          <cell r="K4615">
            <v>60</v>
          </cell>
        </row>
        <row r="4616">
          <cell r="B4616" t="str">
            <v>CB5350510-002-001</v>
          </cell>
          <cell r="D4616" t="str">
            <v>A</v>
          </cell>
          <cell r="E4616" t="str">
            <v>程序时间</v>
          </cell>
          <cell r="G4616" t="str">
            <v>40/根</v>
          </cell>
          <cell r="I4616">
            <v>35</v>
          </cell>
          <cell r="J4616">
            <v>15</v>
          </cell>
          <cell r="K4616">
            <v>30</v>
          </cell>
          <cell r="M4616">
            <v>20</v>
          </cell>
        </row>
        <row r="4617">
          <cell r="B4617" t="str">
            <v>Y20-5319120045-001</v>
          </cell>
          <cell r="D4617" t="str">
            <v>C</v>
          </cell>
          <cell r="E4617" t="str">
            <v>工序内容</v>
          </cell>
          <cell r="F4617" t="str">
            <v>0领料</v>
          </cell>
          <cell r="G4617" t="str">
            <v>5下料</v>
          </cell>
          <cell r="H4617" t="str">
            <v>10铣夹持</v>
          </cell>
          <cell r="I4617" t="str">
            <v>15数铣25</v>
          </cell>
          <cell r="J4617" t="str">
            <v>20线切割</v>
          </cell>
          <cell r="K4617" t="str">
            <v>25数铣10</v>
          </cell>
          <cell r="L4617" t="str">
            <v>30钳工</v>
          </cell>
          <cell r="M4617" t="str">
            <v>35清洁</v>
          </cell>
          <cell r="N4617" t="str">
            <v>40检验</v>
          </cell>
          <cell r="O4617" t="str">
            <v>45分光</v>
          </cell>
          <cell r="P4617" t="str">
            <v>50钳工</v>
          </cell>
          <cell r="Q4617" t="str">
            <v>55清洁</v>
          </cell>
          <cell r="R4617" t="str">
            <v>60成检</v>
          </cell>
        </row>
        <row r="4618">
          <cell r="B4618" t="str">
            <v>Y20-5319120045-001</v>
          </cell>
          <cell r="D4618" t="str">
            <v>C</v>
          </cell>
          <cell r="E4618" t="str">
            <v>准备工时</v>
          </cell>
          <cell r="H4618">
            <v>60</v>
          </cell>
          <cell r="I4618">
            <v>60</v>
          </cell>
          <cell r="K4618">
            <v>60</v>
          </cell>
        </row>
        <row r="4619">
          <cell r="B4619" t="str">
            <v>Y20-5319120045-001</v>
          </cell>
          <cell r="D4619" t="str">
            <v>C</v>
          </cell>
          <cell r="E4619" t="str">
            <v>程序时间</v>
          </cell>
          <cell r="H4619">
            <v>20</v>
          </cell>
          <cell r="I4619">
            <v>45</v>
          </cell>
          <cell r="K4619">
            <v>15</v>
          </cell>
          <cell r="L4619">
            <v>25</v>
          </cell>
          <cell r="P4619">
            <v>5</v>
          </cell>
        </row>
        <row r="4620">
          <cell r="B4620" t="str">
            <v>DD-J10-21102-272</v>
          </cell>
          <cell r="D4620" t="str">
            <v>B</v>
          </cell>
          <cell r="E4620" t="str">
            <v>工序内容</v>
          </cell>
          <cell r="F4620" t="str">
            <v>0/领料</v>
          </cell>
          <cell r="G4620" t="str">
            <v>5/下料</v>
          </cell>
          <cell r="H4620" t="str">
            <v>10/数铣</v>
          </cell>
          <cell r="I4620" t="str">
            <v>15/数铣60</v>
          </cell>
          <cell r="J4620" t="str">
            <v>20/钳工</v>
          </cell>
          <cell r="K4620" t="str">
            <v>25/清洁</v>
          </cell>
          <cell r="L4620" t="str">
            <v>30/成检</v>
          </cell>
        </row>
        <row r="4621">
          <cell r="B4621" t="str">
            <v>DD-J10-21102-272</v>
          </cell>
          <cell r="D4621" t="str">
            <v>B</v>
          </cell>
          <cell r="E4621" t="str">
            <v>准备工时</v>
          </cell>
          <cell r="H4621">
            <v>60</v>
          </cell>
          <cell r="I4621">
            <v>90</v>
          </cell>
        </row>
        <row r="4622">
          <cell r="B4622" t="str">
            <v>DD-J10-21102-272</v>
          </cell>
          <cell r="D4622" t="str">
            <v>B</v>
          </cell>
          <cell r="E4622" t="str">
            <v>程序时间</v>
          </cell>
          <cell r="G4622">
            <v>20</v>
          </cell>
          <cell r="H4622">
            <v>30</v>
          </cell>
          <cell r="I4622">
            <v>90</v>
          </cell>
          <cell r="J4622">
            <v>10</v>
          </cell>
        </row>
        <row r="4623">
          <cell r="B4623" t="str">
            <v>CB22836Y6-003-001</v>
          </cell>
          <cell r="D4623" t="str">
            <v>B</v>
          </cell>
          <cell r="E4623" t="str">
            <v>工序内容</v>
          </cell>
          <cell r="F4623" t="str">
            <v>0/领料</v>
          </cell>
          <cell r="G4623" t="str">
            <v>05/数车</v>
          </cell>
          <cell r="H4623" t="str">
            <v>10/数车</v>
          </cell>
          <cell r="I4623" t="str">
            <v>15/钳工</v>
          </cell>
          <cell r="J4623" t="str">
            <v>20/分光</v>
          </cell>
          <cell r="K4623" t="str">
            <v>25/钳工</v>
          </cell>
          <cell r="L4623" t="str">
            <v>30/清洁</v>
          </cell>
          <cell r="M4623" t="str">
            <v>35/成检</v>
          </cell>
        </row>
        <row r="4624">
          <cell r="B4624" t="str">
            <v>CB22836Y6-003-001</v>
          </cell>
          <cell r="D4624" t="str">
            <v>B</v>
          </cell>
          <cell r="E4624" t="str">
            <v>准备工时</v>
          </cell>
          <cell r="G4624">
            <v>60</v>
          </cell>
          <cell r="H4624">
            <v>60</v>
          </cell>
        </row>
        <row r="4625">
          <cell r="B4625" t="str">
            <v>CB22836Y6-003-001</v>
          </cell>
          <cell r="D4625" t="str">
            <v>B</v>
          </cell>
          <cell r="E4625" t="str">
            <v>程序时间</v>
          </cell>
          <cell r="G4625">
            <v>20</v>
          </cell>
          <cell r="H4625">
            <v>10</v>
          </cell>
          <cell r="I4625">
            <v>20</v>
          </cell>
          <cell r="K4625">
            <v>10</v>
          </cell>
        </row>
        <row r="4626">
          <cell r="B4626" t="str">
            <v>DD-J10B-68074-1710-3</v>
          </cell>
          <cell r="D4626" t="str">
            <v>C</v>
          </cell>
          <cell r="E4626" t="str">
            <v>工序内容</v>
          </cell>
          <cell r="F4626" t="str">
            <v>0/领料</v>
          </cell>
          <cell r="G4626" t="str">
            <v>5/分光</v>
          </cell>
          <cell r="H4626" t="str">
            <v>10/数车10</v>
          </cell>
          <cell r="I4626" t="str">
            <v>15/数车15</v>
          </cell>
          <cell r="J4626" t="str">
            <v>20/钳工</v>
          </cell>
          <cell r="K4626" t="str">
            <v>25/清洁</v>
          </cell>
          <cell r="L4626" t="str">
            <v>30/成检</v>
          </cell>
        </row>
        <row r="4627">
          <cell r="B4627" t="str">
            <v>DD-J10B-68074-1710-3</v>
          </cell>
          <cell r="D4627" t="str">
            <v>C</v>
          </cell>
          <cell r="E4627" t="str">
            <v>准备工时</v>
          </cell>
          <cell r="H4627">
            <v>60</v>
          </cell>
          <cell r="I4627">
            <v>60</v>
          </cell>
        </row>
        <row r="4628">
          <cell r="B4628" t="str">
            <v>DD-J10B-68074-1710-3</v>
          </cell>
          <cell r="D4628" t="str">
            <v>C</v>
          </cell>
          <cell r="E4628" t="str">
            <v>程序时间</v>
          </cell>
          <cell r="H4628">
            <v>10</v>
          </cell>
          <cell r="I4628">
            <v>20</v>
          </cell>
          <cell r="J4628">
            <v>4</v>
          </cell>
        </row>
        <row r="4629">
          <cell r="B4629" t="str">
            <v>DD-J10B-78001-460-1</v>
          </cell>
          <cell r="D4629" t="str">
            <v>G</v>
          </cell>
          <cell r="E4629" t="str">
            <v>工序内容</v>
          </cell>
          <cell r="F4629" t="str">
            <v>00/领料</v>
          </cell>
          <cell r="G4629" t="str">
            <v>5/数铣</v>
          </cell>
          <cell r="H4629" t="str">
            <v>10/分光</v>
          </cell>
          <cell r="I4629" t="str">
            <v>15/清洗</v>
          </cell>
          <cell r="J4629" t="str">
            <v>20/固溶</v>
          </cell>
          <cell r="K4629" t="str">
            <v>25/清洗</v>
          </cell>
          <cell r="L4629" t="str">
            <v>30/硬检</v>
          </cell>
          <cell r="M4629" t="str">
            <v>35/数铣5</v>
          </cell>
          <cell r="N4629" t="str">
            <v>40/数铣5</v>
          </cell>
          <cell r="O4629" t="str">
            <v>45/数铣5</v>
          </cell>
          <cell r="P4629" t="str">
            <v>50/数车</v>
          </cell>
          <cell r="Q4629" t="str">
            <v>55/钳工</v>
          </cell>
          <cell r="R4629" t="str">
            <v>60/清洁</v>
          </cell>
          <cell r="S4629" t="str">
            <v>65/成检</v>
          </cell>
        </row>
        <row r="4630">
          <cell r="B4630" t="str">
            <v>DD-J10B-78001-460-1</v>
          </cell>
          <cell r="D4630" t="str">
            <v>G</v>
          </cell>
          <cell r="E4630" t="str">
            <v>准备工时</v>
          </cell>
          <cell r="G4630" t="str">
            <v>60</v>
          </cell>
          <cell r="M4630" t="str">
            <v>90</v>
          </cell>
          <cell r="N4630">
            <v>60</v>
          </cell>
          <cell r="O4630">
            <v>60</v>
          </cell>
          <cell r="P4630" t="str">
            <v>120</v>
          </cell>
        </row>
        <row r="4631">
          <cell r="B4631" t="str">
            <v>DD-J10B-78001-460-1</v>
          </cell>
          <cell r="D4631" t="str">
            <v>G</v>
          </cell>
          <cell r="E4631" t="str">
            <v>程序时间</v>
          </cell>
          <cell r="G4631">
            <v>30</v>
          </cell>
          <cell r="M4631">
            <v>45</v>
          </cell>
          <cell r="N4631">
            <v>25</v>
          </cell>
          <cell r="O4631">
            <v>15</v>
          </cell>
          <cell r="P4631">
            <v>30</v>
          </cell>
          <cell r="Q4631">
            <v>20</v>
          </cell>
        </row>
        <row r="4632">
          <cell r="B4632" t="str">
            <v>CB2284751-006-001</v>
          </cell>
          <cell r="D4632" t="str">
            <v>B</v>
          </cell>
          <cell r="E4632" t="str">
            <v>工序内容</v>
          </cell>
          <cell r="F4632" t="str">
            <v>0/领料</v>
          </cell>
          <cell r="G4632" t="str">
            <v>05/数铣</v>
          </cell>
          <cell r="H4632" t="str">
            <v>10/钳工</v>
          </cell>
          <cell r="I4632" t="str">
            <v>15/分光</v>
          </cell>
          <cell r="J4632" t="str">
            <v>20/线切割</v>
          </cell>
          <cell r="K4632" t="str">
            <v>25/数铣10</v>
          </cell>
          <cell r="L4632" t="str">
            <v>30/数铣15</v>
          </cell>
          <cell r="M4632" t="str">
            <v>35/数铣15</v>
          </cell>
          <cell r="N4632" t="str">
            <v>40/数车20</v>
          </cell>
          <cell r="O4632" t="str">
            <v>45/数车20</v>
          </cell>
          <cell r="P4632" t="str">
            <v>50/线切割</v>
          </cell>
          <cell r="Q4632" t="str">
            <v>55/穿孔机</v>
          </cell>
          <cell r="R4632" t="str">
            <v>60/钳工</v>
          </cell>
          <cell r="S4632" t="str">
            <v>65/清洁</v>
          </cell>
          <cell r="T4632" t="str">
            <v>70/成检</v>
          </cell>
        </row>
        <row r="4633">
          <cell r="B4633" t="str">
            <v>CB2284751-006-001</v>
          </cell>
          <cell r="D4633" t="str">
            <v>B</v>
          </cell>
          <cell r="E4633" t="str">
            <v>准备工时</v>
          </cell>
          <cell r="G4633">
            <v>60</v>
          </cell>
          <cell r="K4633">
            <v>90</v>
          </cell>
          <cell r="L4633">
            <v>60</v>
          </cell>
          <cell r="M4633">
            <v>60</v>
          </cell>
          <cell r="N4633">
            <v>120</v>
          </cell>
          <cell r="O4633">
            <v>120</v>
          </cell>
        </row>
        <row r="4634">
          <cell r="B4634" t="str">
            <v>CB2284751-006-001</v>
          </cell>
          <cell r="D4634" t="str">
            <v>B</v>
          </cell>
          <cell r="E4634" t="str">
            <v>程序时间</v>
          </cell>
          <cell r="G4634">
            <v>60</v>
          </cell>
          <cell r="H4634">
            <v>10</v>
          </cell>
          <cell r="K4634">
            <v>40</v>
          </cell>
          <cell r="L4634">
            <v>25</v>
          </cell>
          <cell r="M4634">
            <v>25</v>
          </cell>
          <cell r="N4634">
            <v>30</v>
          </cell>
          <cell r="O4634">
            <v>30</v>
          </cell>
          <cell r="R4634">
            <v>90</v>
          </cell>
        </row>
        <row r="4635">
          <cell r="B4635" t="str">
            <v>528A1210-000-004</v>
          </cell>
          <cell r="D4635" t="str">
            <v>B</v>
          </cell>
          <cell r="E4635" t="str">
            <v>工序内容</v>
          </cell>
          <cell r="F4635" t="str">
            <v>00/领料</v>
          </cell>
          <cell r="G4635" t="str">
            <v>05/线切割</v>
          </cell>
          <cell r="H4635" t="str">
            <v>10/线切割</v>
          </cell>
          <cell r="I4635" t="str">
            <v>15/数铣12</v>
          </cell>
          <cell r="J4635" t="str">
            <v>20/线切割</v>
          </cell>
          <cell r="K4635" t="str">
            <v>25/数铣15</v>
          </cell>
          <cell r="L4635" t="str">
            <v>30/数车</v>
          </cell>
          <cell r="M4635" t="str">
            <v>35/钳工</v>
          </cell>
          <cell r="N4635" t="str">
            <v>40/热处理</v>
          </cell>
          <cell r="O4635" t="str">
            <v>45/热处理</v>
          </cell>
          <cell r="P4635" t="str">
            <v>50/硬度</v>
          </cell>
          <cell r="Q4635" t="str">
            <v>55/装夹</v>
          </cell>
          <cell r="R4635" t="str">
            <v>60/数铣65</v>
          </cell>
          <cell r="S4635" t="str">
            <v>65/数铣65</v>
          </cell>
          <cell r="T4635" t="str">
            <v>70/数铣40</v>
          </cell>
          <cell r="U4635" t="str">
            <v>75/线切割</v>
          </cell>
          <cell r="V4635" t="str">
            <v>80/无</v>
          </cell>
          <cell r="W4635" t="str">
            <v>85/数铣20</v>
          </cell>
          <cell r="X4635" t="str">
            <v>90/数铣30</v>
          </cell>
          <cell r="Y4635" t="str">
            <v>95/线切割</v>
          </cell>
          <cell r="Z4635" t="str">
            <v>100/数铣10</v>
          </cell>
          <cell r="AA4635" t="str">
            <v>105/钳工</v>
          </cell>
          <cell r="AB4635" t="str">
            <v>110/清洁</v>
          </cell>
          <cell r="AC4635" t="str">
            <v>115/成检</v>
          </cell>
        </row>
        <row r="4636">
          <cell r="B4636" t="str">
            <v>528A1210-000-004</v>
          </cell>
          <cell r="D4636" t="str">
            <v>B</v>
          </cell>
          <cell r="E4636" t="str">
            <v>准备工时</v>
          </cell>
          <cell r="I4636">
            <v>60</v>
          </cell>
          <cell r="K4636">
            <v>60</v>
          </cell>
          <cell r="L4636">
            <v>60</v>
          </cell>
          <cell r="R4636">
            <v>60</v>
          </cell>
          <cell r="S4636">
            <v>60</v>
          </cell>
          <cell r="T4636">
            <v>60</v>
          </cell>
          <cell r="W4636">
            <v>60</v>
          </cell>
          <cell r="X4636">
            <v>60</v>
          </cell>
          <cell r="Z4636">
            <v>60</v>
          </cell>
        </row>
        <row r="4637">
          <cell r="B4637" t="str">
            <v>528A1210-000-004</v>
          </cell>
          <cell r="D4637" t="str">
            <v>B</v>
          </cell>
          <cell r="E4637" t="str">
            <v>程序时间</v>
          </cell>
          <cell r="I4637">
            <v>30</v>
          </cell>
          <cell r="K4637">
            <v>30</v>
          </cell>
          <cell r="L4637">
            <v>20</v>
          </cell>
          <cell r="M4637">
            <v>25</v>
          </cell>
          <cell r="Q4637">
            <v>15</v>
          </cell>
          <cell r="R4637">
            <v>90</v>
          </cell>
          <cell r="S4637">
            <v>90</v>
          </cell>
          <cell r="T4637">
            <v>60</v>
          </cell>
          <cell r="W4637">
            <v>45</v>
          </cell>
          <cell r="X4637">
            <v>45</v>
          </cell>
          <cell r="Z4637">
            <v>25</v>
          </cell>
          <cell r="AA4637">
            <v>60</v>
          </cell>
        </row>
        <row r="4638">
          <cell r="B4638" t="str">
            <v>CB2297032-001-001</v>
          </cell>
          <cell r="D4638" t="str">
            <v>D</v>
          </cell>
          <cell r="E4638" t="str">
            <v>工序内容</v>
          </cell>
          <cell r="F4638" t="str">
            <v>0/领料</v>
          </cell>
          <cell r="G4638" t="str">
            <v>5/下料</v>
          </cell>
          <cell r="H4638" t="str">
            <v>10/数铣10</v>
          </cell>
          <cell r="I4638" t="str">
            <v>15/数铣10</v>
          </cell>
          <cell r="J4638" t="str">
            <v>20/数铣10</v>
          </cell>
          <cell r="K4638" t="str">
            <v>25/数铣25</v>
          </cell>
          <cell r="L4638" t="str">
            <v>30/数铣40</v>
          </cell>
          <cell r="M4638" t="str">
            <v>35/线切割</v>
          </cell>
          <cell r="N4638" t="str">
            <v>40/数铣</v>
          </cell>
          <cell r="O4638" t="str">
            <v>45/钳工</v>
          </cell>
          <cell r="P4638" t="str">
            <v>50/测量</v>
          </cell>
          <cell r="Q4638" t="str">
            <v>55/数铣</v>
          </cell>
          <cell r="R4638" t="str">
            <v>60/清洁</v>
          </cell>
          <cell r="S4638" t="str">
            <v>65/复验</v>
          </cell>
          <cell r="T4638" t="str">
            <v>70/硬度</v>
          </cell>
          <cell r="U4638" t="str">
            <v>75/分光</v>
          </cell>
          <cell r="V4638" t="str">
            <v>80/钳工</v>
          </cell>
          <cell r="W4638" t="str">
            <v>85/清洁</v>
          </cell>
          <cell r="X4638" t="str">
            <v>90/成检</v>
          </cell>
        </row>
        <row r="4639">
          <cell r="B4639" t="str">
            <v>CB2297032-001-001</v>
          </cell>
          <cell r="D4639" t="str">
            <v>D</v>
          </cell>
          <cell r="E4639" t="str">
            <v>准备工时</v>
          </cell>
          <cell r="H4639">
            <v>60</v>
          </cell>
          <cell r="I4639">
            <v>60</v>
          </cell>
          <cell r="J4639">
            <v>60</v>
          </cell>
          <cell r="K4639">
            <v>90</v>
          </cell>
          <cell r="L4639">
            <v>90</v>
          </cell>
          <cell r="N4639">
            <v>60</v>
          </cell>
        </row>
        <row r="4640">
          <cell r="B4640" t="str">
            <v>CB2297032-001-001</v>
          </cell>
          <cell r="D4640" t="str">
            <v>D</v>
          </cell>
          <cell r="E4640" t="str">
            <v>程序时间</v>
          </cell>
          <cell r="H4640">
            <v>25</v>
          </cell>
          <cell r="I4640">
            <v>20</v>
          </cell>
          <cell r="J4640">
            <v>20</v>
          </cell>
          <cell r="K4640">
            <v>60</v>
          </cell>
          <cell r="L4640">
            <v>60</v>
          </cell>
          <cell r="M4640">
            <v>60</v>
          </cell>
          <cell r="N4640">
            <v>30</v>
          </cell>
          <cell r="O4640">
            <v>30</v>
          </cell>
          <cell r="V4640">
            <v>5</v>
          </cell>
        </row>
        <row r="4641">
          <cell r="B4641" t="str">
            <v>BC221T1CA-001-001</v>
          </cell>
          <cell r="D4641" t="str">
            <v>B</v>
          </cell>
          <cell r="E4641" t="str">
            <v>工序内容</v>
          </cell>
          <cell r="F4641" t="str">
            <v>0/领料</v>
          </cell>
          <cell r="G4641" t="str">
            <v>05/数车120</v>
          </cell>
          <cell r="H4641" t="str">
            <v>10/分光</v>
          </cell>
          <cell r="I4641" t="str">
            <v>15/热处理</v>
          </cell>
          <cell r="J4641" t="str">
            <v>20/数车60</v>
          </cell>
          <cell r="K4641" t="str">
            <v>25/数车30</v>
          </cell>
          <cell r="L4641" t="str">
            <v>30/数铣35</v>
          </cell>
          <cell r="M4641" t="str">
            <v>35/穿孔</v>
          </cell>
          <cell r="N4641" t="str">
            <v>40/钳工</v>
          </cell>
          <cell r="O4641" t="str">
            <v>45/清洁</v>
          </cell>
          <cell r="P4641" t="str">
            <v>50/成检</v>
          </cell>
        </row>
        <row r="4642">
          <cell r="B4642" t="str">
            <v>BC221T1CA-001-001</v>
          </cell>
          <cell r="D4642" t="str">
            <v>B</v>
          </cell>
          <cell r="E4642" t="str">
            <v>准备工时</v>
          </cell>
          <cell r="G4642">
            <v>60</v>
          </cell>
          <cell r="J4642">
            <v>120</v>
          </cell>
          <cell r="K4642">
            <v>120</v>
          </cell>
          <cell r="L4642">
            <v>60</v>
          </cell>
        </row>
        <row r="4643">
          <cell r="B4643" t="str">
            <v>BC221T1CA-001-001</v>
          </cell>
          <cell r="D4643" t="str">
            <v>B</v>
          </cell>
          <cell r="E4643" t="str">
            <v>程序时间</v>
          </cell>
          <cell r="G4643">
            <v>120</v>
          </cell>
          <cell r="J4643">
            <v>60</v>
          </cell>
          <cell r="K4643">
            <v>30</v>
          </cell>
          <cell r="L4643">
            <v>60</v>
          </cell>
          <cell r="N4643">
            <v>30</v>
          </cell>
        </row>
        <row r="4644">
          <cell r="B4644" t="str">
            <v>CB2297041-001-001</v>
          </cell>
          <cell r="D4644" t="str">
            <v>E</v>
          </cell>
          <cell r="E4644" t="str">
            <v>工序内容</v>
          </cell>
          <cell r="F4644" t="str">
            <v>0/检验</v>
          </cell>
          <cell r="G4644" t="str">
            <v>5/下料</v>
          </cell>
          <cell r="H4644" t="str">
            <v>10/数铣10</v>
          </cell>
          <cell r="I4644" t="str">
            <v>15/数铣10</v>
          </cell>
          <cell r="J4644" t="str">
            <v>20/数铣20</v>
          </cell>
          <cell r="K4644" t="str">
            <v>25/数铣35</v>
          </cell>
          <cell r="L4644" t="str">
            <v>30/线切割</v>
          </cell>
          <cell r="M4644" t="str">
            <v>35/数铣</v>
          </cell>
          <cell r="N4644" t="str">
            <v>40/钳工</v>
          </cell>
          <cell r="O4644" t="str">
            <v>45/测量</v>
          </cell>
          <cell r="P4644" t="str">
            <v>50/数铣</v>
          </cell>
          <cell r="Q4644" t="str">
            <v>55/清洁</v>
          </cell>
          <cell r="R4644" t="str">
            <v>60/复验</v>
          </cell>
          <cell r="S4644" t="str">
            <v>65/硬捡</v>
          </cell>
          <cell r="T4644" t="str">
            <v>70/分光</v>
          </cell>
          <cell r="U4644" t="str">
            <v>75/钳工</v>
          </cell>
          <cell r="V4644" t="str">
            <v>80/清洁</v>
          </cell>
          <cell r="W4644" t="str">
            <v>85/成检</v>
          </cell>
        </row>
        <row r="4645">
          <cell r="B4645" t="str">
            <v>CB2297041-001-001</v>
          </cell>
          <cell r="D4645" t="str">
            <v>E</v>
          </cell>
          <cell r="E4645" t="str">
            <v>准备工时</v>
          </cell>
          <cell r="H4645">
            <v>60</v>
          </cell>
          <cell r="I4645">
            <v>60</v>
          </cell>
          <cell r="J4645">
            <v>60</v>
          </cell>
          <cell r="K4645">
            <v>60</v>
          </cell>
          <cell r="M4645">
            <v>60</v>
          </cell>
        </row>
        <row r="4646">
          <cell r="B4646" t="str">
            <v>CB2297041-001-001</v>
          </cell>
          <cell r="D4646" t="str">
            <v>E</v>
          </cell>
          <cell r="E4646" t="str">
            <v>程序时间</v>
          </cell>
          <cell r="H4646">
            <v>20</v>
          </cell>
          <cell r="I4646">
            <v>20</v>
          </cell>
          <cell r="J4646">
            <v>60</v>
          </cell>
          <cell r="K4646">
            <v>60</v>
          </cell>
          <cell r="L4646">
            <v>60</v>
          </cell>
          <cell r="M4646">
            <v>30</v>
          </cell>
          <cell r="N4646">
            <v>30</v>
          </cell>
          <cell r="U4646">
            <v>5</v>
          </cell>
        </row>
        <row r="4647">
          <cell r="B4647" t="str">
            <v>DD-J10-42074-90-1-Z</v>
          </cell>
          <cell r="D4647" t="str">
            <v>C</v>
          </cell>
          <cell r="E4647" t="str">
            <v>工序内容</v>
          </cell>
          <cell r="F4647" t="str">
            <v>0/领料</v>
          </cell>
          <cell r="G4647" t="str">
            <v>05/线切割</v>
          </cell>
          <cell r="H4647" t="str">
            <v>10/数铣</v>
          </cell>
          <cell r="I4647" t="str">
            <v>15/数铣30</v>
          </cell>
          <cell r="J4647" t="str">
            <v>20/装配</v>
          </cell>
          <cell r="K4647" t="str">
            <v>25/数铣80</v>
          </cell>
          <cell r="L4647" t="str">
            <v>30/数铣40</v>
          </cell>
          <cell r="M4647" t="str">
            <v>35/数铣40</v>
          </cell>
          <cell r="N4647" t="str">
            <v>40/数铣20</v>
          </cell>
          <cell r="O4647" t="str">
            <v>45/数洗20</v>
          </cell>
          <cell r="P4647" t="str">
            <v>50/数铣10</v>
          </cell>
          <cell r="Q4647" t="str">
            <v>55/数铣15</v>
          </cell>
          <cell r="R4647" t="str">
            <v>60/钳工</v>
          </cell>
          <cell r="S4647" t="str">
            <v>65/清洁</v>
          </cell>
          <cell r="T4647" t="str">
            <v>70/中检</v>
          </cell>
          <cell r="U4647" t="str">
            <v>75/分光</v>
          </cell>
          <cell r="V4647" t="str">
            <v>80/硬度</v>
          </cell>
          <cell r="W4647" t="str">
            <v>85/数铣</v>
          </cell>
          <cell r="X4647" t="str">
            <v>90/钳工</v>
          </cell>
          <cell r="Y4647" t="str">
            <v>95/成检</v>
          </cell>
        </row>
        <row r="4648">
          <cell r="B4648" t="str">
            <v>DD-J10-42074-90-1-Z</v>
          </cell>
          <cell r="D4648" t="str">
            <v>C</v>
          </cell>
          <cell r="E4648" t="str">
            <v>准备工时</v>
          </cell>
          <cell r="H4648">
            <v>60</v>
          </cell>
          <cell r="I4648">
            <v>60</v>
          </cell>
          <cell r="K4648">
            <v>60</v>
          </cell>
          <cell r="L4648">
            <v>60</v>
          </cell>
          <cell r="M4648">
            <v>60</v>
          </cell>
          <cell r="N4648" t="str">
            <v>60</v>
          </cell>
          <cell r="O4648" t="str">
            <v>60</v>
          </cell>
          <cell r="P4648">
            <v>60</v>
          </cell>
          <cell r="Q4648">
            <v>60</v>
          </cell>
          <cell r="W4648">
            <v>60</v>
          </cell>
        </row>
        <row r="4649">
          <cell r="B4649" t="str">
            <v>DD-J10-42074-90-1-Z</v>
          </cell>
          <cell r="D4649" t="str">
            <v>C</v>
          </cell>
          <cell r="E4649" t="str">
            <v>程序时间</v>
          </cell>
          <cell r="H4649">
            <v>25</v>
          </cell>
          <cell r="I4649">
            <v>45</v>
          </cell>
          <cell r="J4649">
            <v>10</v>
          </cell>
          <cell r="K4649">
            <v>150</v>
          </cell>
          <cell r="L4649">
            <v>70</v>
          </cell>
          <cell r="M4649">
            <v>70</v>
          </cell>
          <cell r="N4649" t="str">
            <v>35</v>
          </cell>
          <cell r="O4649" t="str">
            <v>35</v>
          </cell>
          <cell r="P4649">
            <v>40</v>
          </cell>
          <cell r="Q4649">
            <v>50</v>
          </cell>
          <cell r="R4649">
            <v>60</v>
          </cell>
          <cell r="W4649">
            <v>20</v>
          </cell>
          <cell r="X4649">
            <v>10</v>
          </cell>
        </row>
        <row r="4650">
          <cell r="B4650" t="str">
            <v>CB5715000-001L002</v>
          </cell>
          <cell r="D4650" t="str">
            <v>F</v>
          </cell>
          <cell r="E4650" t="str">
            <v>工序内容</v>
          </cell>
          <cell r="F4650" t="str">
            <v>00/领料</v>
          </cell>
          <cell r="G4650" t="str">
            <v>5/下料</v>
          </cell>
          <cell r="H4650" t="str">
            <v>10/数铣</v>
          </cell>
          <cell r="I4650" t="str">
            <v>15/数铣80</v>
          </cell>
          <cell r="J4650" t="str">
            <v>20/数铣460/11</v>
          </cell>
          <cell r="K4650" t="str">
            <v>25/数铣240</v>
          </cell>
          <cell r="L4650" t="str">
            <v>30/数铣20</v>
          </cell>
          <cell r="M4650" t="str">
            <v>35/五轴520</v>
          </cell>
          <cell r="N4650" t="str">
            <v>38/数铣540</v>
          </cell>
          <cell r="O4650" t="str">
            <v>40/五轴160</v>
          </cell>
          <cell r="P4650" t="str">
            <v>45/五轴60</v>
          </cell>
          <cell r="Q4650" t="str">
            <v>50/钳工</v>
          </cell>
          <cell r="R4650" t="str">
            <v>55/测量</v>
          </cell>
          <cell r="S4650" t="str">
            <v>60/清洗</v>
          </cell>
          <cell r="T4650" t="str">
            <v>65/成检</v>
          </cell>
        </row>
        <row r="4651">
          <cell r="B4651" t="str">
            <v>CB5715000-001L002</v>
          </cell>
          <cell r="D4651" t="str">
            <v>F</v>
          </cell>
          <cell r="E4651" t="str">
            <v>准备工时</v>
          </cell>
          <cell r="H4651">
            <v>60</v>
          </cell>
          <cell r="I4651">
            <v>90</v>
          </cell>
          <cell r="J4651">
            <v>120</v>
          </cell>
          <cell r="K4651">
            <v>120</v>
          </cell>
          <cell r="L4651">
            <v>60</v>
          </cell>
          <cell r="M4651">
            <v>120</v>
          </cell>
          <cell r="N4651">
            <v>120</v>
          </cell>
          <cell r="O4651">
            <v>150</v>
          </cell>
          <cell r="P4651">
            <v>150</v>
          </cell>
        </row>
        <row r="4652">
          <cell r="B4652" t="str">
            <v>CB5715000-001L002</v>
          </cell>
          <cell r="D4652" t="str">
            <v>F</v>
          </cell>
          <cell r="E4652" t="str">
            <v>装夹时间</v>
          </cell>
          <cell r="H4652">
            <v>60</v>
          </cell>
          <cell r="I4652">
            <v>60</v>
          </cell>
          <cell r="J4652">
            <v>60</v>
          </cell>
          <cell r="K4652">
            <v>60</v>
          </cell>
          <cell r="L4652">
            <v>60</v>
          </cell>
          <cell r="M4652">
            <v>90</v>
          </cell>
          <cell r="N4652">
            <v>60</v>
          </cell>
          <cell r="O4652">
            <v>90</v>
          </cell>
          <cell r="P4652">
            <v>90</v>
          </cell>
        </row>
        <row r="4653">
          <cell r="B4653" t="str">
            <v>CB5715000-001L002</v>
          </cell>
          <cell r="D4653" t="str">
            <v>F</v>
          </cell>
          <cell r="E4653" t="str">
            <v>程序时间</v>
          </cell>
          <cell r="H4653">
            <v>120</v>
          </cell>
          <cell r="I4653">
            <v>120</v>
          </cell>
          <cell r="J4653">
            <v>720</v>
          </cell>
          <cell r="K4653">
            <v>360</v>
          </cell>
          <cell r="L4653">
            <v>60</v>
          </cell>
          <cell r="M4653">
            <v>1080</v>
          </cell>
          <cell r="N4653">
            <v>780</v>
          </cell>
          <cell r="O4653">
            <v>480</v>
          </cell>
          <cell r="P4653">
            <v>210</v>
          </cell>
          <cell r="Q4653">
            <v>360</v>
          </cell>
        </row>
        <row r="4654">
          <cell r="B4654" t="str">
            <v>CB5715000-001R002</v>
          </cell>
          <cell r="D4654" t="str">
            <v>F</v>
          </cell>
          <cell r="E4654" t="str">
            <v>工序内容</v>
          </cell>
          <cell r="F4654" t="str">
            <v>00/领料</v>
          </cell>
          <cell r="G4654" t="str">
            <v>5/下料</v>
          </cell>
          <cell r="H4654" t="str">
            <v>10/数铣</v>
          </cell>
          <cell r="I4654" t="str">
            <v>15/数铣80</v>
          </cell>
          <cell r="J4654" t="str">
            <v>20/数铣460/11</v>
          </cell>
          <cell r="K4654" t="str">
            <v>25/数铣240</v>
          </cell>
          <cell r="L4654" t="str">
            <v>30/数铣20</v>
          </cell>
          <cell r="M4654" t="str">
            <v>35/五轴520</v>
          </cell>
          <cell r="N4654" t="str">
            <v>38/数铣540</v>
          </cell>
          <cell r="O4654" t="str">
            <v>40/五轴160</v>
          </cell>
          <cell r="P4654" t="str">
            <v>45/五轴60</v>
          </cell>
          <cell r="Q4654" t="str">
            <v>50/钳工</v>
          </cell>
          <cell r="R4654" t="str">
            <v>55/测量</v>
          </cell>
          <cell r="S4654" t="str">
            <v>60/清洗</v>
          </cell>
          <cell r="T4654" t="str">
            <v>65/成检</v>
          </cell>
        </row>
        <row r="4655">
          <cell r="B4655" t="str">
            <v>CB5715000-001R002</v>
          </cell>
          <cell r="D4655" t="str">
            <v>F</v>
          </cell>
          <cell r="E4655" t="str">
            <v>准备工时</v>
          </cell>
          <cell r="H4655">
            <v>60</v>
          </cell>
          <cell r="I4655">
            <v>90</v>
          </cell>
          <cell r="J4655">
            <v>120</v>
          </cell>
          <cell r="K4655">
            <v>120</v>
          </cell>
          <cell r="L4655">
            <v>60</v>
          </cell>
          <cell r="M4655">
            <v>120</v>
          </cell>
          <cell r="N4655">
            <v>120</v>
          </cell>
          <cell r="O4655">
            <v>150</v>
          </cell>
          <cell r="P4655">
            <v>150</v>
          </cell>
        </row>
        <row r="4656">
          <cell r="B4656" t="str">
            <v>CB5715000-001R002</v>
          </cell>
          <cell r="D4656" t="str">
            <v>F</v>
          </cell>
          <cell r="E4656" t="str">
            <v>装夹时间</v>
          </cell>
          <cell r="H4656">
            <v>60</v>
          </cell>
          <cell r="I4656">
            <v>60</v>
          </cell>
          <cell r="J4656">
            <v>60</v>
          </cell>
          <cell r="K4656">
            <v>60</v>
          </cell>
          <cell r="L4656">
            <v>60</v>
          </cell>
          <cell r="M4656">
            <v>90</v>
          </cell>
          <cell r="N4656">
            <v>60</v>
          </cell>
          <cell r="O4656">
            <v>90</v>
          </cell>
          <cell r="P4656">
            <v>90</v>
          </cell>
        </row>
        <row r="4657">
          <cell r="B4657" t="str">
            <v>CB5715000-001R002</v>
          </cell>
          <cell r="D4657" t="str">
            <v>F</v>
          </cell>
          <cell r="E4657" t="str">
            <v>程序时间</v>
          </cell>
          <cell r="H4657">
            <v>120</v>
          </cell>
          <cell r="I4657">
            <v>120</v>
          </cell>
          <cell r="J4657">
            <v>720</v>
          </cell>
          <cell r="K4657">
            <v>360</v>
          </cell>
          <cell r="L4657">
            <v>60</v>
          </cell>
          <cell r="M4657">
            <v>1080</v>
          </cell>
          <cell r="N4657">
            <v>780</v>
          </cell>
          <cell r="O4657">
            <v>480</v>
          </cell>
          <cell r="P4657">
            <v>210</v>
          </cell>
          <cell r="Q4657">
            <v>360</v>
          </cell>
        </row>
        <row r="4658">
          <cell r="B4658" t="str">
            <v>5211C41007G70</v>
          </cell>
          <cell r="D4658" t="str">
            <v>A</v>
          </cell>
          <cell r="E4658" t="str">
            <v>工序内容</v>
          </cell>
          <cell r="F4658" t="str">
            <v>00领料</v>
          </cell>
          <cell r="G4658" t="str">
            <v>05电导率检查</v>
          </cell>
          <cell r="H4658" t="str">
            <v>10硬检</v>
          </cell>
          <cell r="I4658" t="str">
            <v>15数车15</v>
          </cell>
          <cell r="J4658" t="str">
            <v>20数车5</v>
          </cell>
          <cell r="K4658" t="str">
            <v>25清洁</v>
          </cell>
          <cell r="L4658" t="str">
            <v>30成检</v>
          </cell>
        </row>
        <row r="4659">
          <cell r="B4659" t="str">
            <v>5211C41007G70</v>
          </cell>
          <cell r="D4659" t="str">
            <v>A</v>
          </cell>
          <cell r="E4659" t="str">
            <v>准备工时</v>
          </cell>
          <cell r="I4659">
            <v>90</v>
          </cell>
          <cell r="J4659">
            <v>60</v>
          </cell>
        </row>
        <row r="4660">
          <cell r="B4660" t="str">
            <v>5211C41007G70</v>
          </cell>
          <cell r="D4660" t="str">
            <v>A</v>
          </cell>
          <cell r="E4660" t="str">
            <v>程序时间</v>
          </cell>
          <cell r="I4660">
            <v>20</v>
          </cell>
          <cell r="J4660">
            <v>10</v>
          </cell>
        </row>
        <row r="4661">
          <cell r="B4661" t="str">
            <v>5211C41007G70</v>
          </cell>
          <cell r="D4661" t="str">
            <v>A</v>
          </cell>
          <cell r="E4661" t="str">
            <v>工序内容</v>
          </cell>
          <cell r="F4661" t="str">
            <v>00领料</v>
          </cell>
          <cell r="G4661" t="str">
            <v>05数铣</v>
          </cell>
          <cell r="H4661" t="str">
            <v>10数铣40</v>
          </cell>
          <cell r="I4661" t="str">
            <v>15线切割</v>
          </cell>
          <cell r="J4661" t="str">
            <v>20数铣</v>
          </cell>
          <cell r="K4661" t="str">
            <v>25数铣10</v>
          </cell>
          <cell r="L4661" t="str">
            <v>30钳工</v>
          </cell>
          <cell r="M4661" t="str">
            <v>35清洁</v>
          </cell>
          <cell r="N4661" t="str">
            <v>40成检</v>
          </cell>
        </row>
        <row r="4662">
          <cell r="B4662" t="str">
            <v>5211C41007G70</v>
          </cell>
          <cell r="D4662" t="str">
            <v>A</v>
          </cell>
          <cell r="E4662" t="str">
            <v>准备工时</v>
          </cell>
          <cell r="G4662">
            <v>60</v>
          </cell>
          <cell r="H4662">
            <v>90</v>
          </cell>
          <cell r="J4662">
            <v>60</v>
          </cell>
          <cell r="K4662">
            <v>90</v>
          </cell>
        </row>
        <row r="4663">
          <cell r="B4663" t="str">
            <v>5211C41007G70</v>
          </cell>
          <cell r="D4663" t="str">
            <v>A</v>
          </cell>
          <cell r="E4663" t="str">
            <v>程序时间</v>
          </cell>
          <cell r="G4663">
            <v>30</v>
          </cell>
          <cell r="H4663">
            <v>60</v>
          </cell>
          <cell r="J4663">
            <v>20</v>
          </cell>
          <cell r="K4663">
            <v>40</v>
          </cell>
          <cell r="L4663">
            <v>25</v>
          </cell>
        </row>
        <row r="4664">
          <cell r="B4664" t="str">
            <v>CB5322400-017-061</v>
          </cell>
          <cell r="D4664" t="str">
            <v>F</v>
          </cell>
          <cell r="E4664" t="str">
            <v>工序内容</v>
          </cell>
          <cell r="F4664" t="str">
            <v>02/钳工</v>
          </cell>
          <cell r="G4664" t="str">
            <v>05/数铣</v>
          </cell>
          <cell r="H4664" t="str">
            <v>10/数铣65</v>
          </cell>
          <cell r="I4664" t="str">
            <v>15/数铣480</v>
          </cell>
          <cell r="J4664" t="str">
            <v>20/数铣5</v>
          </cell>
          <cell r="K4664" t="str">
            <v>25/数铣8</v>
          </cell>
          <cell r="L4664" t="str">
            <v>30/数铣10</v>
          </cell>
          <cell r="M4664" t="str">
            <v>35/数铣520</v>
          </cell>
          <cell r="N4664" t="str">
            <v>40/五轴65</v>
          </cell>
          <cell r="O4664" t="str">
            <v>45/五轴5</v>
          </cell>
          <cell r="P4664" t="str">
            <v>50/五轴65</v>
          </cell>
          <cell r="Q4664" t="str">
            <v>55/测量</v>
          </cell>
          <cell r="R4664" t="str">
            <v>60/钳工</v>
          </cell>
          <cell r="S4664" t="str">
            <v>65/清洁</v>
          </cell>
          <cell r="T4664" t="str">
            <v>70/成检</v>
          </cell>
        </row>
        <row r="4665">
          <cell r="B4665" t="str">
            <v>CB5322400-017-061</v>
          </cell>
          <cell r="D4665" t="str">
            <v>F</v>
          </cell>
          <cell r="E4665" t="str">
            <v>准备工时</v>
          </cell>
          <cell r="F4665">
            <v>30</v>
          </cell>
          <cell r="G4665">
            <v>120</v>
          </cell>
          <cell r="H4665">
            <v>120</v>
          </cell>
          <cell r="I4665">
            <v>120</v>
          </cell>
          <cell r="J4665">
            <v>120</v>
          </cell>
          <cell r="K4665">
            <v>120</v>
          </cell>
          <cell r="L4665">
            <v>120</v>
          </cell>
          <cell r="M4665">
            <v>120</v>
          </cell>
          <cell r="N4665">
            <v>150</v>
          </cell>
          <cell r="O4665">
            <v>150</v>
          </cell>
          <cell r="P4665">
            <v>150</v>
          </cell>
        </row>
        <row r="4666">
          <cell r="B4666" t="str">
            <v>CB5322400-017-061</v>
          </cell>
          <cell r="D4666" t="str">
            <v>F</v>
          </cell>
          <cell r="E4666" t="str">
            <v>装夹时间</v>
          </cell>
          <cell r="G4666">
            <v>60</v>
          </cell>
          <cell r="H4666">
            <v>60</v>
          </cell>
          <cell r="I4666">
            <v>60</v>
          </cell>
          <cell r="J4666">
            <v>60</v>
          </cell>
          <cell r="K4666">
            <v>60</v>
          </cell>
          <cell r="L4666">
            <v>60</v>
          </cell>
          <cell r="M4666">
            <v>60</v>
          </cell>
          <cell r="N4666">
            <v>75</v>
          </cell>
          <cell r="O4666">
            <v>75</v>
          </cell>
          <cell r="P4666">
            <v>75</v>
          </cell>
        </row>
        <row r="4667">
          <cell r="B4667" t="str">
            <v>CB5322400-017-061</v>
          </cell>
          <cell r="D4667" t="str">
            <v>F</v>
          </cell>
          <cell r="E4667" t="str">
            <v>程序时间</v>
          </cell>
          <cell r="F4667">
            <v>60</v>
          </cell>
          <cell r="G4667">
            <v>60</v>
          </cell>
          <cell r="H4667">
            <v>110</v>
          </cell>
          <cell r="I4667">
            <v>720</v>
          </cell>
          <cell r="J4667">
            <v>80</v>
          </cell>
          <cell r="K4667">
            <v>100</v>
          </cell>
          <cell r="L4667">
            <v>100</v>
          </cell>
          <cell r="M4667">
            <v>800</v>
          </cell>
          <cell r="N4667">
            <v>150</v>
          </cell>
          <cell r="O4667">
            <v>60</v>
          </cell>
          <cell r="P4667">
            <v>120</v>
          </cell>
          <cell r="R4667">
            <v>560</v>
          </cell>
        </row>
        <row r="4668">
          <cell r="B4668" t="str">
            <v>CB5715000-002L002</v>
          </cell>
          <cell r="D4668" t="str">
            <v>F</v>
          </cell>
          <cell r="E4668" t="str">
            <v>工序内容</v>
          </cell>
          <cell r="F4668" t="str">
            <v>0/领料</v>
          </cell>
          <cell r="G4668" t="str">
            <v>5/下料</v>
          </cell>
          <cell r="H4668" t="str">
            <v>10/数铣</v>
          </cell>
          <cell r="I4668" t="str">
            <v>15/数铣50</v>
          </cell>
          <cell r="J4668" t="str">
            <v>20/数铣660</v>
          </cell>
          <cell r="K4668" t="str">
            <v>25/数铣240</v>
          </cell>
          <cell r="L4668" t="str">
            <v>30/数铣20</v>
          </cell>
          <cell r="M4668" t="str">
            <v>35/五轴550</v>
          </cell>
          <cell r="N4668" t="str">
            <v>40/五轴420</v>
          </cell>
          <cell r="O4668" t="str">
            <v>45/五轴80</v>
          </cell>
          <cell r="P4668" t="str">
            <v>50/钳工</v>
          </cell>
          <cell r="Q4668" t="str">
            <v>55/五轴20</v>
          </cell>
          <cell r="R4668" t="str">
            <v>60/测量</v>
          </cell>
          <cell r="S4668" t="str">
            <v>65/清洁</v>
          </cell>
          <cell r="T4668" t="str">
            <v>70/成检</v>
          </cell>
        </row>
        <row r="4669">
          <cell r="B4669" t="str">
            <v>CB5715000-002L002</v>
          </cell>
          <cell r="D4669" t="str">
            <v>F</v>
          </cell>
          <cell r="E4669" t="str">
            <v>准备工时</v>
          </cell>
          <cell r="H4669">
            <v>60</v>
          </cell>
          <cell r="I4669">
            <v>90</v>
          </cell>
          <cell r="J4669">
            <v>120</v>
          </cell>
          <cell r="K4669">
            <v>60</v>
          </cell>
          <cell r="L4669">
            <v>120</v>
          </cell>
          <cell r="M4669">
            <v>120</v>
          </cell>
          <cell r="N4669">
            <v>120</v>
          </cell>
          <cell r="O4669">
            <v>120</v>
          </cell>
          <cell r="Q4669">
            <v>120</v>
          </cell>
        </row>
        <row r="4670">
          <cell r="B4670" t="str">
            <v>CB5715000-002L002</v>
          </cell>
          <cell r="D4670" t="str">
            <v>F</v>
          </cell>
          <cell r="E4670" t="str">
            <v>装夹时间</v>
          </cell>
          <cell r="I4670">
            <v>50</v>
          </cell>
          <cell r="J4670">
            <v>50</v>
          </cell>
          <cell r="K4670">
            <v>50</v>
          </cell>
          <cell r="L4670">
            <v>50</v>
          </cell>
          <cell r="M4670">
            <v>90</v>
          </cell>
          <cell r="N4670">
            <v>90</v>
          </cell>
          <cell r="O4670">
            <v>90</v>
          </cell>
          <cell r="Q4670">
            <v>60</v>
          </cell>
        </row>
        <row r="4671">
          <cell r="B4671" t="str">
            <v>CB5715000-002L002</v>
          </cell>
          <cell r="D4671" t="str">
            <v>F</v>
          </cell>
          <cell r="E4671" t="str">
            <v>程序时间</v>
          </cell>
          <cell r="H4671">
            <v>120</v>
          </cell>
          <cell r="I4671">
            <v>90</v>
          </cell>
          <cell r="J4671">
            <v>780</v>
          </cell>
          <cell r="K4671">
            <v>330</v>
          </cell>
          <cell r="L4671">
            <v>40</v>
          </cell>
          <cell r="M4671">
            <v>1080</v>
          </cell>
          <cell r="N4671">
            <v>840</v>
          </cell>
          <cell r="O4671">
            <v>360</v>
          </cell>
          <cell r="P4671">
            <v>360</v>
          </cell>
          <cell r="Q4671">
            <v>80</v>
          </cell>
        </row>
        <row r="4672">
          <cell r="B4672" t="str">
            <v>CB5715000-002R002</v>
          </cell>
          <cell r="D4672" t="str">
            <v>F</v>
          </cell>
          <cell r="E4672" t="str">
            <v>工序内容</v>
          </cell>
          <cell r="F4672" t="str">
            <v>0/领料</v>
          </cell>
          <cell r="G4672" t="str">
            <v>5/下料</v>
          </cell>
          <cell r="H4672" t="str">
            <v>10/数铣</v>
          </cell>
          <cell r="I4672" t="str">
            <v>15/数铣50</v>
          </cell>
          <cell r="J4672" t="str">
            <v>20/数铣660</v>
          </cell>
          <cell r="K4672" t="str">
            <v>25/数铣240</v>
          </cell>
          <cell r="L4672" t="str">
            <v>30/数铣20</v>
          </cell>
          <cell r="M4672" t="str">
            <v>35/五轴550</v>
          </cell>
          <cell r="N4672" t="str">
            <v>40/五轴420</v>
          </cell>
          <cell r="O4672" t="str">
            <v>45/五轴80</v>
          </cell>
          <cell r="P4672" t="str">
            <v>50/钳工</v>
          </cell>
          <cell r="Q4672" t="str">
            <v>55/五轴20</v>
          </cell>
          <cell r="R4672" t="str">
            <v>60/测量</v>
          </cell>
          <cell r="S4672" t="str">
            <v>65/清洁</v>
          </cell>
          <cell r="T4672" t="str">
            <v>70/成检</v>
          </cell>
        </row>
        <row r="4673">
          <cell r="B4673" t="str">
            <v>CB5715000-002R002</v>
          </cell>
          <cell r="D4673" t="str">
            <v>F</v>
          </cell>
          <cell r="E4673" t="str">
            <v>准备工时</v>
          </cell>
          <cell r="H4673">
            <v>60</v>
          </cell>
          <cell r="I4673">
            <v>90</v>
          </cell>
          <cell r="J4673">
            <v>120</v>
          </cell>
          <cell r="K4673">
            <v>60</v>
          </cell>
          <cell r="L4673">
            <v>120</v>
          </cell>
          <cell r="M4673">
            <v>120</v>
          </cell>
          <cell r="N4673">
            <v>120</v>
          </cell>
          <cell r="O4673">
            <v>120</v>
          </cell>
          <cell r="Q4673">
            <v>120</v>
          </cell>
        </row>
        <row r="4674">
          <cell r="B4674" t="str">
            <v>CB5715000-002R002</v>
          </cell>
          <cell r="D4674" t="str">
            <v>F</v>
          </cell>
          <cell r="E4674" t="str">
            <v>装夹时间</v>
          </cell>
          <cell r="I4674">
            <v>50</v>
          </cell>
          <cell r="J4674">
            <v>50</v>
          </cell>
          <cell r="K4674">
            <v>50</v>
          </cell>
          <cell r="L4674">
            <v>50</v>
          </cell>
          <cell r="M4674">
            <v>90</v>
          </cell>
          <cell r="N4674">
            <v>90</v>
          </cell>
          <cell r="O4674">
            <v>90</v>
          </cell>
          <cell r="Q4674">
            <v>60</v>
          </cell>
        </row>
        <row r="4675">
          <cell r="B4675" t="str">
            <v>CB5715000-002R002</v>
          </cell>
          <cell r="D4675" t="str">
            <v>F</v>
          </cell>
          <cell r="E4675" t="str">
            <v>程序时间</v>
          </cell>
          <cell r="H4675">
            <v>120</v>
          </cell>
          <cell r="I4675">
            <v>90</v>
          </cell>
          <cell r="J4675">
            <v>780</v>
          </cell>
          <cell r="K4675">
            <v>330</v>
          </cell>
          <cell r="L4675">
            <v>40</v>
          </cell>
          <cell r="M4675">
            <v>1080</v>
          </cell>
          <cell r="N4675">
            <v>840</v>
          </cell>
          <cell r="O4675">
            <v>360</v>
          </cell>
          <cell r="P4675">
            <v>360</v>
          </cell>
          <cell r="Q4675">
            <v>80</v>
          </cell>
        </row>
        <row r="4676">
          <cell r="B4676" t="str">
            <v>DD-J10-41153-105</v>
          </cell>
          <cell r="D4676" t="str">
            <v>E</v>
          </cell>
          <cell r="E4676" t="str">
            <v>工序内容</v>
          </cell>
          <cell r="F4676" t="str">
            <v>0/领料</v>
          </cell>
          <cell r="G4676" t="str">
            <v>5/数车30</v>
          </cell>
          <cell r="H4676" t="str">
            <v>10/数车15</v>
          </cell>
          <cell r="I4676" t="str">
            <v>15/数铣15</v>
          </cell>
          <cell r="J4676" t="str">
            <v>20/数铣10</v>
          </cell>
          <cell r="K4676" t="str">
            <v>25/钳工</v>
          </cell>
          <cell r="L4676" t="str">
            <v>30/热处理</v>
          </cell>
          <cell r="M4676" t="str">
            <v>35/数铣10</v>
          </cell>
          <cell r="N4676" t="str">
            <v>40/数车10</v>
          </cell>
          <cell r="O4676" t="str">
            <v>45/数车20</v>
          </cell>
          <cell r="P4676" t="str">
            <v>50/钳工</v>
          </cell>
          <cell r="Q4676" t="str">
            <v>55/清洁</v>
          </cell>
          <cell r="R4676" t="str">
            <v>60/成检</v>
          </cell>
        </row>
        <row r="4677">
          <cell r="B4677" t="str">
            <v>DD-J10-41153-105</v>
          </cell>
          <cell r="D4677" t="str">
            <v>E</v>
          </cell>
          <cell r="E4677" t="str">
            <v>准备工时</v>
          </cell>
          <cell r="G4677">
            <v>90</v>
          </cell>
          <cell r="H4677">
            <v>90</v>
          </cell>
          <cell r="I4677">
            <v>120</v>
          </cell>
          <cell r="J4677">
            <v>90</v>
          </cell>
          <cell r="M4677">
            <v>90</v>
          </cell>
          <cell r="N4677">
            <v>120</v>
          </cell>
          <cell r="O4677">
            <v>120</v>
          </cell>
        </row>
        <row r="4678">
          <cell r="B4678" t="str">
            <v>DD-J10-41153-105</v>
          </cell>
          <cell r="D4678" t="str">
            <v>E</v>
          </cell>
          <cell r="E4678" t="str">
            <v>程序时间</v>
          </cell>
          <cell r="G4678">
            <v>40</v>
          </cell>
          <cell r="H4678">
            <v>20</v>
          </cell>
          <cell r="I4678">
            <v>35</v>
          </cell>
          <cell r="J4678">
            <v>30</v>
          </cell>
          <cell r="K4678">
            <v>30</v>
          </cell>
          <cell r="M4678">
            <v>25</v>
          </cell>
          <cell r="N4678">
            <v>15</v>
          </cell>
          <cell r="O4678">
            <v>30</v>
          </cell>
          <cell r="P4678">
            <v>20</v>
          </cell>
        </row>
        <row r="4679">
          <cell r="B4679" t="str">
            <v>5211C41029G70</v>
          </cell>
          <cell r="D4679" t="str">
            <v>A</v>
          </cell>
          <cell r="E4679" t="str">
            <v>工序内容</v>
          </cell>
          <cell r="F4679" t="str">
            <v>00领料</v>
          </cell>
          <cell r="G4679" t="str">
            <v>05数车15</v>
          </cell>
          <cell r="H4679" t="str">
            <v>10数车15</v>
          </cell>
          <cell r="I4679" t="str">
            <v>15数车15</v>
          </cell>
          <cell r="J4679" t="str">
            <v>20数车5</v>
          </cell>
          <cell r="K4679" t="str">
            <v>25清洁</v>
          </cell>
          <cell r="L4679" t="str">
            <v>30成检</v>
          </cell>
        </row>
        <row r="4680">
          <cell r="B4680" t="str">
            <v>5211C41029G70</v>
          </cell>
          <cell r="D4680" t="str">
            <v>A</v>
          </cell>
          <cell r="E4680" t="str">
            <v>准备工时</v>
          </cell>
          <cell r="G4680">
            <v>60</v>
          </cell>
          <cell r="H4680">
            <v>60</v>
          </cell>
          <cell r="I4680">
            <v>90</v>
          </cell>
          <cell r="J4680">
            <v>60</v>
          </cell>
        </row>
        <row r="4681">
          <cell r="B4681" t="str">
            <v>5211C41029G70</v>
          </cell>
          <cell r="D4681" t="str">
            <v>A</v>
          </cell>
          <cell r="E4681" t="str">
            <v>程序时间</v>
          </cell>
          <cell r="G4681">
            <v>15</v>
          </cell>
          <cell r="H4681">
            <v>15</v>
          </cell>
          <cell r="I4681">
            <v>20</v>
          </cell>
          <cell r="J4681">
            <v>10</v>
          </cell>
        </row>
        <row r="4682">
          <cell r="B4682" t="str">
            <v>5211C41015G70</v>
          </cell>
          <cell r="D4682" t="str">
            <v>A</v>
          </cell>
          <cell r="E4682" t="str">
            <v>工序内容</v>
          </cell>
          <cell r="F4682" t="str">
            <v>00领料</v>
          </cell>
          <cell r="G4682" t="str">
            <v>05电导率检查</v>
          </cell>
          <cell r="H4682" t="str">
            <v>10硬检</v>
          </cell>
          <cell r="I4682" t="str">
            <v>15数车15</v>
          </cell>
          <cell r="J4682" t="str">
            <v>20数车10</v>
          </cell>
          <cell r="K4682" t="str">
            <v>25清洁</v>
          </cell>
          <cell r="L4682" t="str">
            <v>30成检</v>
          </cell>
        </row>
        <row r="4683">
          <cell r="B4683" t="str">
            <v>5211C41015G70</v>
          </cell>
          <cell r="D4683" t="str">
            <v>A</v>
          </cell>
          <cell r="E4683" t="str">
            <v>准备工时</v>
          </cell>
          <cell r="I4683">
            <v>60</v>
          </cell>
          <cell r="J4683">
            <v>90</v>
          </cell>
        </row>
        <row r="4684">
          <cell r="B4684" t="str">
            <v>5211C41015G70</v>
          </cell>
          <cell r="D4684" t="str">
            <v>A</v>
          </cell>
          <cell r="E4684" t="str">
            <v>程序时间</v>
          </cell>
          <cell r="I4684">
            <v>20</v>
          </cell>
          <cell r="J4684">
            <v>20</v>
          </cell>
        </row>
        <row r="4685">
          <cell r="B4685" t="str">
            <v>CB5326200-125L/125R002</v>
          </cell>
          <cell r="D4685" t="str">
            <v>D</v>
          </cell>
          <cell r="E4685" t="str">
            <v>工序内容</v>
          </cell>
          <cell r="F4685" t="str">
            <v>0/领料</v>
          </cell>
          <cell r="G4685" t="str">
            <v>5/数铣</v>
          </cell>
          <cell r="H4685" t="str">
            <v>10/数铣</v>
          </cell>
          <cell r="I4685" t="str">
            <v>15/数铣95</v>
          </cell>
          <cell r="J4685" t="str">
            <v>20/数铣280</v>
          </cell>
          <cell r="K4685" t="str">
            <v>25/数铣240</v>
          </cell>
          <cell r="L4685" t="str">
            <v>30/数铣550</v>
          </cell>
          <cell r="M4685" t="str">
            <v>35/五轴300</v>
          </cell>
          <cell r="N4685" t="str">
            <v>40/数铣680</v>
          </cell>
          <cell r="O4685" t="str">
            <v>45/测量</v>
          </cell>
          <cell r="P4685" t="str">
            <v>50/钳工</v>
          </cell>
          <cell r="Q4685" t="str">
            <v>55/数铣</v>
          </cell>
          <cell r="R4685" t="str">
            <v>60/清洁</v>
          </cell>
          <cell r="S4685" t="str">
            <v>65/成检</v>
          </cell>
        </row>
        <row r="4686">
          <cell r="B4686" t="str">
            <v>CB5326200-125L/125R002</v>
          </cell>
          <cell r="D4686" t="str">
            <v>D</v>
          </cell>
          <cell r="E4686" t="str">
            <v>准备工时</v>
          </cell>
          <cell r="G4686">
            <v>60</v>
          </cell>
          <cell r="H4686">
            <v>60</v>
          </cell>
          <cell r="I4686">
            <v>60</v>
          </cell>
          <cell r="J4686">
            <v>60</v>
          </cell>
          <cell r="K4686">
            <v>60</v>
          </cell>
          <cell r="L4686">
            <v>60</v>
          </cell>
          <cell r="M4686">
            <v>180</v>
          </cell>
          <cell r="N4686">
            <v>180</v>
          </cell>
        </row>
        <row r="4687">
          <cell r="B4687" t="str">
            <v>CB5326200-125L/125R002</v>
          </cell>
          <cell r="D4687" t="str">
            <v>D</v>
          </cell>
          <cell r="E4687" t="str">
            <v>装夹时间</v>
          </cell>
          <cell r="G4687">
            <v>60</v>
          </cell>
          <cell r="H4687">
            <v>90</v>
          </cell>
          <cell r="I4687">
            <v>90</v>
          </cell>
          <cell r="J4687">
            <v>90</v>
          </cell>
          <cell r="K4687">
            <v>90</v>
          </cell>
          <cell r="L4687">
            <v>90</v>
          </cell>
          <cell r="M4687">
            <v>90</v>
          </cell>
          <cell r="N4687">
            <v>90</v>
          </cell>
        </row>
        <row r="4688">
          <cell r="B4688" t="str">
            <v>CB5326200-125L/125R002</v>
          </cell>
          <cell r="D4688" t="str">
            <v>D</v>
          </cell>
          <cell r="E4688" t="str">
            <v>程序时间</v>
          </cell>
          <cell r="G4688">
            <v>30</v>
          </cell>
          <cell r="H4688">
            <v>60</v>
          </cell>
          <cell r="I4688">
            <v>150</v>
          </cell>
          <cell r="J4688">
            <v>450</v>
          </cell>
          <cell r="K4688">
            <v>360</v>
          </cell>
          <cell r="L4688">
            <v>650</v>
          </cell>
          <cell r="M4688">
            <v>600</v>
          </cell>
          <cell r="N4688">
            <v>1020</v>
          </cell>
          <cell r="P4688">
            <v>480</v>
          </cell>
          <cell r="Q4688">
            <v>20</v>
          </cell>
        </row>
        <row r="4689">
          <cell r="B4689" t="str">
            <v>DD-J10-21102-140-1-Z</v>
          </cell>
          <cell r="D4689" t="str">
            <v>E</v>
          </cell>
          <cell r="E4689" t="str">
            <v>工序内容</v>
          </cell>
          <cell r="F4689" t="str">
            <v>0/领料</v>
          </cell>
          <cell r="G4689" t="str">
            <v>5/数铣</v>
          </cell>
          <cell r="H4689" t="str">
            <v>10/数铣83</v>
          </cell>
          <cell r="I4689" t="str">
            <v>15/数铣158</v>
          </cell>
          <cell r="J4689" t="str">
            <v>20/数铣81</v>
          </cell>
          <cell r="K4689" t="str">
            <v>25/时效</v>
          </cell>
          <cell r="L4689" t="str">
            <v>30/数铣</v>
          </cell>
          <cell r="M4689" t="str">
            <v>35/数铣475</v>
          </cell>
          <cell r="N4689" t="str">
            <v>40/数铣593</v>
          </cell>
          <cell r="O4689" t="str">
            <v>45/数铣19</v>
          </cell>
          <cell r="P4689" t="str">
            <v>50/数铣20</v>
          </cell>
          <cell r="Q4689" t="str">
            <v>55/铣试片</v>
          </cell>
          <cell r="R4689" t="str">
            <v>60/测量</v>
          </cell>
          <cell r="S4689" t="str">
            <v>65/数铣</v>
          </cell>
          <cell r="T4689" t="str">
            <v>70/钳工</v>
          </cell>
          <cell r="U4689" t="str">
            <v>75/成检</v>
          </cell>
        </row>
        <row r="4690">
          <cell r="B4690" t="str">
            <v>DD-J10-21102-140-1-Z</v>
          </cell>
          <cell r="D4690" t="str">
            <v>E</v>
          </cell>
          <cell r="E4690" t="str">
            <v>准备工时</v>
          </cell>
          <cell r="G4690">
            <v>60</v>
          </cell>
          <cell r="H4690">
            <v>120</v>
          </cell>
          <cell r="I4690">
            <v>90</v>
          </cell>
          <cell r="J4690">
            <v>90</v>
          </cell>
          <cell r="L4690">
            <v>60</v>
          </cell>
          <cell r="M4690">
            <v>180</v>
          </cell>
          <cell r="N4690">
            <v>180</v>
          </cell>
          <cell r="O4690">
            <v>90</v>
          </cell>
          <cell r="P4690">
            <v>90</v>
          </cell>
          <cell r="Q4690">
            <v>60</v>
          </cell>
          <cell r="S4690">
            <v>90</v>
          </cell>
        </row>
        <row r="4691">
          <cell r="B4691" t="str">
            <v>DD-J10-21102-140-1-Z</v>
          </cell>
          <cell r="D4691" t="str">
            <v>E</v>
          </cell>
          <cell r="E4691" t="str">
            <v>装夹时间</v>
          </cell>
          <cell r="G4691">
            <v>40</v>
          </cell>
          <cell r="H4691">
            <v>50</v>
          </cell>
          <cell r="I4691">
            <v>50</v>
          </cell>
          <cell r="J4691">
            <v>50</v>
          </cell>
          <cell r="L4691">
            <v>50</v>
          </cell>
          <cell r="M4691">
            <v>50</v>
          </cell>
          <cell r="N4691">
            <v>50</v>
          </cell>
          <cell r="O4691">
            <v>50</v>
          </cell>
          <cell r="P4691">
            <v>50</v>
          </cell>
          <cell r="S4691">
            <v>50</v>
          </cell>
        </row>
        <row r="4692">
          <cell r="B4692" t="str">
            <v>DD-J10-21102-140-1-Z</v>
          </cell>
          <cell r="D4692" t="str">
            <v>E</v>
          </cell>
          <cell r="E4692" t="str">
            <v>程序时间</v>
          </cell>
          <cell r="G4692">
            <v>90</v>
          </cell>
          <cell r="H4692">
            <v>130</v>
          </cell>
          <cell r="I4692">
            <v>210</v>
          </cell>
          <cell r="J4692">
            <v>150</v>
          </cell>
          <cell r="L4692">
            <v>120</v>
          </cell>
          <cell r="M4692">
            <v>550</v>
          </cell>
          <cell r="N4692">
            <v>690</v>
          </cell>
          <cell r="O4692">
            <v>30</v>
          </cell>
          <cell r="P4692">
            <v>30</v>
          </cell>
          <cell r="Q4692">
            <v>15</v>
          </cell>
          <cell r="S4692">
            <v>120</v>
          </cell>
          <cell r="T4692">
            <v>120</v>
          </cell>
        </row>
        <row r="4693">
          <cell r="B4693" t="str">
            <v>DD-J10-21102-140-1-Y</v>
          </cell>
          <cell r="D4693" t="str">
            <v>E</v>
          </cell>
          <cell r="E4693" t="str">
            <v>工序内容</v>
          </cell>
          <cell r="F4693" t="str">
            <v>0/领料</v>
          </cell>
          <cell r="G4693" t="str">
            <v>5/数铣</v>
          </cell>
          <cell r="H4693" t="str">
            <v>10/数铣83</v>
          </cell>
          <cell r="I4693" t="str">
            <v>15/数铣158</v>
          </cell>
          <cell r="J4693" t="str">
            <v>20/数铣81</v>
          </cell>
          <cell r="K4693" t="str">
            <v>25/时效</v>
          </cell>
          <cell r="L4693" t="str">
            <v>30/数铣</v>
          </cell>
          <cell r="M4693" t="str">
            <v>35/数铣475</v>
          </cell>
          <cell r="N4693" t="str">
            <v>40/数铣593</v>
          </cell>
          <cell r="O4693" t="str">
            <v>45/数铣19</v>
          </cell>
          <cell r="P4693" t="str">
            <v>50/数铣20</v>
          </cell>
          <cell r="Q4693" t="str">
            <v>55/铣试片</v>
          </cell>
          <cell r="R4693" t="str">
            <v>60/测量</v>
          </cell>
          <cell r="S4693" t="str">
            <v>65/数铣</v>
          </cell>
          <cell r="T4693" t="str">
            <v>70/钳工</v>
          </cell>
          <cell r="U4693" t="str">
            <v>75/成检</v>
          </cell>
        </row>
        <row r="4694">
          <cell r="B4694" t="str">
            <v>DD-J10-21102-140-1-Y</v>
          </cell>
          <cell r="D4694" t="str">
            <v>E</v>
          </cell>
          <cell r="E4694" t="str">
            <v>准备工时</v>
          </cell>
          <cell r="G4694">
            <v>60</v>
          </cell>
          <cell r="H4694">
            <v>120</v>
          </cell>
          <cell r="I4694">
            <v>90</v>
          </cell>
          <cell r="J4694">
            <v>90</v>
          </cell>
          <cell r="L4694">
            <v>60</v>
          </cell>
          <cell r="M4694">
            <v>180</v>
          </cell>
          <cell r="N4694">
            <v>180</v>
          </cell>
          <cell r="O4694">
            <v>90</v>
          </cell>
          <cell r="P4694">
            <v>90</v>
          </cell>
          <cell r="Q4694">
            <v>60</v>
          </cell>
          <cell r="S4694">
            <v>90</v>
          </cell>
        </row>
        <row r="4695">
          <cell r="B4695" t="str">
            <v>DD-J10-21102-140-1-Y</v>
          </cell>
          <cell r="D4695" t="str">
            <v>E</v>
          </cell>
          <cell r="E4695" t="str">
            <v>装夹时间</v>
          </cell>
          <cell r="G4695">
            <v>40</v>
          </cell>
          <cell r="H4695">
            <v>50</v>
          </cell>
          <cell r="I4695">
            <v>50</v>
          </cell>
          <cell r="J4695">
            <v>50</v>
          </cell>
          <cell r="L4695">
            <v>50</v>
          </cell>
          <cell r="M4695">
            <v>50</v>
          </cell>
          <cell r="N4695">
            <v>50</v>
          </cell>
          <cell r="O4695">
            <v>50</v>
          </cell>
          <cell r="P4695">
            <v>50</v>
          </cell>
          <cell r="S4695">
            <v>50</v>
          </cell>
        </row>
        <row r="4696">
          <cell r="B4696" t="str">
            <v>DD-J10-21102-140-1-Y</v>
          </cell>
          <cell r="D4696" t="str">
            <v>E</v>
          </cell>
          <cell r="E4696" t="str">
            <v>程序时间</v>
          </cell>
          <cell r="G4696">
            <v>90</v>
          </cell>
          <cell r="H4696">
            <v>130</v>
          </cell>
          <cell r="I4696">
            <v>210</v>
          </cell>
          <cell r="J4696">
            <v>150</v>
          </cell>
          <cell r="L4696">
            <v>120</v>
          </cell>
          <cell r="M4696">
            <v>550</v>
          </cell>
          <cell r="N4696">
            <v>690</v>
          </cell>
          <cell r="O4696">
            <v>30</v>
          </cell>
          <cell r="P4696">
            <v>30</v>
          </cell>
          <cell r="Q4696">
            <v>15</v>
          </cell>
          <cell r="S4696">
            <v>120</v>
          </cell>
          <cell r="T4696">
            <v>120</v>
          </cell>
        </row>
        <row r="4697">
          <cell r="B4697" t="str">
            <v>DD-J10-55181-66</v>
          </cell>
          <cell r="D4697" t="str">
            <v>D</v>
          </cell>
          <cell r="E4697" t="str">
            <v>工序内容</v>
          </cell>
          <cell r="F4697" t="str">
            <v>0/领料</v>
          </cell>
          <cell r="G4697" t="str">
            <v>5/数车15</v>
          </cell>
          <cell r="H4697" t="str">
            <v>10/数车15</v>
          </cell>
          <cell r="I4697" t="str">
            <v>15/钳工</v>
          </cell>
          <cell r="J4697" t="str">
            <v>20/钳工</v>
          </cell>
          <cell r="K4697" t="str">
            <v>25/清洁</v>
          </cell>
          <cell r="L4697" t="str">
            <v>30/成检</v>
          </cell>
        </row>
        <row r="4698">
          <cell r="B4698" t="str">
            <v>DD-J10-55181-66</v>
          </cell>
          <cell r="D4698" t="str">
            <v>D</v>
          </cell>
          <cell r="E4698" t="str">
            <v>准备工时</v>
          </cell>
          <cell r="G4698">
            <v>90</v>
          </cell>
          <cell r="H4698">
            <v>90</v>
          </cell>
        </row>
        <row r="4699">
          <cell r="B4699" t="str">
            <v>DD-J10-55181-66</v>
          </cell>
          <cell r="D4699" t="str">
            <v>D</v>
          </cell>
          <cell r="E4699" t="str">
            <v>程序时间</v>
          </cell>
          <cell r="G4699">
            <v>30</v>
          </cell>
          <cell r="H4699">
            <v>30</v>
          </cell>
          <cell r="I4699">
            <v>10</v>
          </cell>
          <cell r="J4699">
            <v>25</v>
          </cell>
        </row>
        <row r="4700">
          <cell r="B4700" t="str">
            <v>DD-FC1-41123-1111</v>
          </cell>
          <cell r="D4700" t="str">
            <v>B</v>
          </cell>
          <cell r="E4700" t="str">
            <v>工序内容</v>
          </cell>
          <cell r="F4700" t="str">
            <v>0/领料</v>
          </cell>
          <cell r="G4700" t="str">
            <v>5/数车20</v>
          </cell>
          <cell r="H4700" t="str">
            <v>10/数车30</v>
          </cell>
          <cell r="I4700" t="str">
            <v>15/数铣5</v>
          </cell>
          <cell r="J4700" t="str">
            <v>20/数车15</v>
          </cell>
          <cell r="K4700" t="str">
            <v>25钳工</v>
          </cell>
          <cell r="L4700" t="str">
            <v>30分光</v>
          </cell>
          <cell r="M4700" t="str">
            <v>35标记</v>
          </cell>
          <cell r="N4700" t="str">
            <v>40热处理</v>
          </cell>
          <cell r="O4700" t="str">
            <v>45钳回牙</v>
          </cell>
          <cell r="P4700" t="str">
            <v>50数车</v>
          </cell>
          <cell r="Q4700" t="str">
            <v>55清洁</v>
          </cell>
          <cell r="R4700" t="str">
            <v>60成检</v>
          </cell>
        </row>
        <row r="4701">
          <cell r="B4701" t="str">
            <v>DD-FC1-41123-1111</v>
          </cell>
          <cell r="D4701" t="str">
            <v>B</v>
          </cell>
          <cell r="E4701" t="str">
            <v>准备工时</v>
          </cell>
          <cell r="G4701">
            <v>60</v>
          </cell>
          <cell r="H4701">
            <v>90</v>
          </cell>
          <cell r="I4701">
            <v>60</v>
          </cell>
          <cell r="J4701">
            <v>90</v>
          </cell>
          <cell r="P4701">
            <v>90</v>
          </cell>
        </row>
        <row r="4702">
          <cell r="B4702" t="str">
            <v>DD-FC1-41123-1111</v>
          </cell>
          <cell r="D4702" t="str">
            <v>B</v>
          </cell>
          <cell r="E4702" t="str">
            <v>程序时间</v>
          </cell>
          <cell r="G4702">
            <v>15</v>
          </cell>
          <cell r="H4702">
            <v>40</v>
          </cell>
          <cell r="I4702">
            <v>20</v>
          </cell>
          <cell r="J4702">
            <v>25</v>
          </cell>
          <cell r="K4702">
            <v>25</v>
          </cell>
          <cell r="O4702">
            <v>10</v>
          </cell>
          <cell r="P4702">
            <v>25</v>
          </cell>
        </row>
        <row r="4703">
          <cell r="B4703" t="str">
            <v>BC5327100-010L001</v>
          </cell>
          <cell r="D4703" t="str">
            <v>A</v>
          </cell>
          <cell r="E4703" t="str">
            <v>工序内容</v>
          </cell>
          <cell r="F4703" t="str">
            <v>0/领料</v>
          </cell>
          <cell r="G4703" t="str">
            <v>05/数铣</v>
          </cell>
          <cell r="H4703" t="str">
            <v>10/数铣30</v>
          </cell>
          <cell r="I4703" t="str">
            <v>15/数铣90</v>
          </cell>
          <cell r="J4703" t="str">
            <v>20/数铣230</v>
          </cell>
          <cell r="K4703" t="str">
            <v>25/数铣120</v>
          </cell>
          <cell r="L4703" t="str">
            <v>30/测量</v>
          </cell>
          <cell r="M4703" t="str">
            <v>35/钳工</v>
          </cell>
          <cell r="N4703" t="str">
            <v>40/钳工</v>
          </cell>
          <cell r="O4703" t="str">
            <v>45/清洁</v>
          </cell>
        </row>
        <row r="4704">
          <cell r="B4704" t="str">
            <v>BC5327100-010L001</v>
          </cell>
          <cell r="D4704" t="str">
            <v>A</v>
          </cell>
          <cell r="E4704" t="str">
            <v>准备工时</v>
          </cell>
          <cell r="G4704" t="str">
            <v>60</v>
          </cell>
          <cell r="H4704">
            <v>60</v>
          </cell>
          <cell r="I4704">
            <v>60</v>
          </cell>
          <cell r="J4704">
            <v>60</v>
          </cell>
          <cell r="K4704">
            <v>60</v>
          </cell>
        </row>
        <row r="4705">
          <cell r="B4705" t="str">
            <v>BC5327100-010L001</v>
          </cell>
          <cell r="D4705" t="str">
            <v>A</v>
          </cell>
          <cell r="E4705" t="str">
            <v>程序时间</v>
          </cell>
          <cell r="G4705">
            <v>50</v>
          </cell>
          <cell r="H4705">
            <v>50</v>
          </cell>
          <cell r="I4705">
            <v>140</v>
          </cell>
          <cell r="J4705">
            <v>300</v>
          </cell>
          <cell r="K4705">
            <v>160</v>
          </cell>
          <cell r="M4705">
            <v>90</v>
          </cell>
          <cell r="N4705">
            <v>20</v>
          </cell>
        </row>
        <row r="4706">
          <cell r="B4706" t="str">
            <v>BC5327100-010R001</v>
          </cell>
          <cell r="D4706" t="str">
            <v>A</v>
          </cell>
          <cell r="E4706" t="str">
            <v>工序内容</v>
          </cell>
          <cell r="F4706" t="str">
            <v>0/领料</v>
          </cell>
          <cell r="G4706" t="str">
            <v>05/数铣</v>
          </cell>
          <cell r="H4706" t="str">
            <v>10/数铣30</v>
          </cell>
          <cell r="I4706" t="str">
            <v>15/数铣90</v>
          </cell>
          <cell r="J4706" t="str">
            <v>20/数铣230</v>
          </cell>
          <cell r="K4706" t="str">
            <v>25/数铣120</v>
          </cell>
          <cell r="L4706" t="str">
            <v>30/测量</v>
          </cell>
          <cell r="M4706" t="str">
            <v>35/钳工</v>
          </cell>
          <cell r="N4706" t="str">
            <v>40/钳工</v>
          </cell>
          <cell r="O4706" t="str">
            <v>45/清洁</v>
          </cell>
        </row>
        <row r="4707">
          <cell r="B4707" t="str">
            <v>BC5327100-010R001</v>
          </cell>
          <cell r="D4707" t="str">
            <v>A</v>
          </cell>
          <cell r="E4707" t="str">
            <v>准备工时</v>
          </cell>
          <cell r="G4707" t="str">
            <v>60</v>
          </cell>
          <cell r="H4707">
            <v>60</v>
          </cell>
          <cell r="I4707">
            <v>60</v>
          </cell>
          <cell r="J4707">
            <v>60</v>
          </cell>
          <cell r="K4707">
            <v>60</v>
          </cell>
        </row>
        <row r="4708">
          <cell r="B4708" t="str">
            <v>BC5327100-010R001</v>
          </cell>
          <cell r="D4708" t="str">
            <v>A</v>
          </cell>
          <cell r="E4708" t="str">
            <v>程序时间</v>
          </cell>
          <cell r="G4708">
            <v>50</v>
          </cell>
          <cell r="H4708">
            <v>50</v>
          </cell>
          <cell r="I4708">
            <v>140</v>
          </cell>
          <cell r="J4708">
            <v>300</v>
          </cell>
          <cell r="K4708">
            <v>160</v>
          </cell>
          <cell r="M4708">
            <v>90</v>
          </cell>
          <cell r="N4708">
            <v>20</v>
          </cell>
        </row>
        <row r="4709">
          <cell r="B4709" t="str">
            <v>5311C13031G70</v>
          </cell>
          <cell r="D4709" t="str">
            <v>A</v>
          </cell>
          <cell r="E4709" t="str">
            <v>工序内容</v>
          </cell>
          <cell r="F4709" t="str">
            <v>00领料</v>
          </cell>
          <cell r="G4709" t="str">
            <v>05数铣</v>
          </cell>
          <cell r="H4709" t="str">
            <v>10数铣15</v>
          </cell>
          <cell r="I4709" t="str">
            <v>15数铣55</v>
          </cell>
          <cell r="J4709" t="str">
            <v>20数铣95</v>
          </cell>
          <cell r="K4709" t="str">
            <v>25五轴50</v>
          </cell>
          <cell r="L4709" t="str">
            <v>30测量</v>
          </cell>
          <cell r="M4709" t="str">
            <v>35钳工</v>
          </cell>
          <cell r="N4709" t="str">
            <v>40清洁</v>
          </cell>
          <cell r="O4709" t="str">
            <v>45成检</v>
          </cell>
        </row>
        <row r="4710">
          <cell r="B4710" t="str">
            <v>5311C13031G70</v>
          </cell>
          <cell r="D4710" t="str">
            <v>A</v>
          </cell>
          <cell r="E4710" t="str">
            <v>准备工时</v>
          </cell>
          <cell r="G4710">
            <v>60</v>
          </cell>
          <cell r="H4710">
            <v>90</v>
          </cell>
          <cell r="I4710">
            <v>60</v>
          </cell>
          <cell r="J4710">
            <v>60</v>
          </cell>
          <cell r="K4710">
            <v>120</v>
          </cell>
        </row>
        <row r="4711">
          <cell r="B4711" t="str">
            <v>5311C13031G70</v>
          </cell>
          <cell r="D4711" t="str">
            <v>A</v>
          </cell>
          <cell r="E4711" t="str">
            <v>装夹时间</v>
          </cell>
          <cell r="K4711">
            <v>60</v>
          </cell>
        </row>
        <row r="4712">
          <cell r="B4712" t="str">
            <v>5311C13031G70</v>
          </cell>
          <cell r="D4712" t="str">
            <v>A</v>
          </cell>
          <cell r="E4712" t="str">
            <v>程序时间</v>
          </cell>
          <cell r="G4712">
            <v>40</v>
          </cell>
          <cell r="H4712">
            <v>40</v>
          </cell>
          <cell r="I4712">
            <v>80</v>
          </cell>
          <cell r="J4712">
            <v>120</v>
          </cell>
          <cell r="K4712">
            <v>120</v>
          </cell>
          <cell r="M4712">
            <v>80</v>
          </cell>
        </row>
        <row r="4713">
          <cell r="B4713" t="str">
            <v>5613A380029G010</v>
          </cell>
          <cell r="D4713" t="str">
            <v>C</v>
          </cell>
          <cell r="E4713" t="str">
            <v>工序内容</v>
          </cell>
          <cell r="F4713" t="str">
            <v>0/领料</v>
          </cell>
          <cell r="G4713" t="str">
            <v>05/数车60</v>
          </cell>
          <cell r="H4713" t="str">
            <v>10/数车30</v>
          </cell>
          <cell r="I4713" t="str">
            <v>15/数车60</v>
          </cell>
          <cell r="J4713" t="str">
            <v>20/数车30</v>
          </cell>
          <cell r="K4713" t="str">
            <v>25/热处理</v>
          </cell>
          <cell r="L4713" t="str">
            <v>30/硬检</v>
          </cell>
          <cell r="M4713" t="str">
            <v>35数车60</v>
          </cell>
          <cell r="N4713" t="str">
            <v>40数车30</v>
          </cell>
          <cell r="O4713" t="str">
            <v>45/钳工</v>
          </cell>
          <cell r="P4713" t="str">
            <v>50清洁</v>
          </cell>
          <cell r="Q4713" t="str">
            <v>55成检</v>
          </cell>
        </row>
        <row r="4714">
          <cell r="B4714" t="str">
            <v>5613A380029G010</v>
          </cell>
          <cell r="D4714" t="str">
            <v>C</v>
          </cell>
          <cell r="E4714" t="str">
            <v>准备工时</v>
          </cell>
          <cell r="G4714">
            <v>90</v>
          </cell>
          <cell r="H4714">
            <v>60</v>
          </cell>
          <cell r="I4714">
            <v>90</v>
          </cell>
          <cell r="J4714">
            <v>90</v>
          </cell>
          <cell r="M4714">
            <v>90</v>
          </cell>
          <cell r="N4714">
            <v>90</v>
          </cell>
        </row>
        <row r="4715">
          <cell r="B4715" t="str">
            <v>5613A380029G010</v>
          </cell>
          <cell r="D4715" t="str">
            <v>C</v>
          </cell>
          <cell r="E4715" t="str">
            <v>程序时间</v>
          </cell>
          <cell r="G4715">
            <v>60</v>
          </cell>
          <cell r="H4715">
            <v>30</v>
          </cell>
          <cell r="I4715">
            <v>50</v>
          </cell>
          <cell r="J4715">
            <v>35</v>
          </cell>
          <cell r="M4715">
            <v>60</v>
          </cell>
          <cell r="N4715">
            <v>30</v>
          </cell>
          <cell r="O4715">
            <v>20</v>
          </cell>
        </row>
        <row r="4716">
          <cell r="B4716" t="str">
            <v>5211C41027G70</v>
          </cell>
          <cell r="D4716" t="str">
            <v>A</v>
          </cell>
          <cell r="E4716" t="str">
            <v>工序内容</v>
          </cell>
          <cell r="F4716" t="str">
            <v>00领料</v>
          </cell>
          <cell r="G4716" t="str">
            <v>05数车15</v>
          </cell>
          <cell r="H4716" t="str">
            <v>10数车15</v>
          </cell>
          <cell r="I4716" t="str">
            <v>15数车15</v>
          </cell>
          <cell r="J4716" t="str">
            <v>20数车5</v>
          </cell>
          <cell r="K4716" t="str">
            <v>25清洁</v>
          </cell>
          <cell r="L4716" t="str">
            <v>30成检</v>
          </cell>
        </row>
        <row r="4717">
          <cell r="B4717" t="str">
            <v>5211C41027G70</v>
          </cell>
          <cell r="D4717" t="str">
            <v>A</v>
          </cell>
          <cell r="E4717" t="str">
            <v>准备工时</v>
          </cell>
          <cell r="G4717">
            <v>60</v>
          </cell>
          <cell r="H4717">
            <v>60</v>
          </cell>
          <cell r="I4717">
            <v>90</v>
          </cell>
          <cell r="J4717">
            <v>60</v>
          </cell>
        </row>
        <row r="4718">
          <cell r="B4718" t="str">
            <v>5211C41027G70</v>
          </cell>
          <cell r="D4718" t="str">
            <v>A</v>
          </cell>
          <cell r="E4718" t="str">
            <v>程序时间</v>
          </cell>
          <cell r="G4718">
            <v>15</v>
          </cell>
          <cell r="H4718">
            <v>15</v>
          </cell>
          <cell r="I4718">
            <v>20</v>
          </cell>
          <cell r="J4718">
            <v>10</v>
          </cell>
        </row>
        <row r="4719">
          <cell r="B4719" t="str">
            <v>524A2230-002-001</v>
          </cell>
          <cell r="D4719" t="str">
            <v>B</v>
          </cell>
          <cell r="E4719" t="str">
            <v>工序内容</v>
          </cell>
          <cell r="F4719" t="str">
            <v>00领料</v>
          </cell>
          <cell r="G4719" t="str">
            <v>05钳工</v>
          </cell>
          <cell r="H4719" t="str">
            <v>10数铣20</v>
          </cell>
          <cell r="I4719" t="str">
            <v>15数铣20</v>
          </cell>
          <cell r="J4719" t="str">
            <v>20钳工</v>
          </cell>
          <cell r="K4719" t="str">
            <v>25清洁</v>
          </cell>
          <cell r="L4719" t="str">
            <v>30成检</v>
          </cell>
        </row>
        <row r="4720">
          <cell r="B4720" t="str">
            <v>524A2230-002-001</v>
          </cell>
          <cell r="D4720" t="str">
            <v>B</v>
          </cell>
          <cell r="E4720" t="str">
            <v>准备工时</v>
          </cell>
          <cell r="H4720">
            <v>60</v>
          </cell>
          <cell r="I4720">
            <v>90</v>
          </cell>
        </row>
        <row r="4721">
          <cell r="B4721" t="str">
            <v>524A2230-002-001</v>
          </cell>
          <cell r="D4721" t="str">
            <v>B</v>
          </cell>
          <cell r="E4721" t="str">
            <v>程序时间</v>
          </cell>
          <cell r="G4721">
            <v>30</v>
          </cell>
          <cell r="H4721">
            <v>60</v>
          </cell>
          <cell r="I4721">
            <v>60</v>
          </cell>
          <cell r="J4721">
            <v>80</v>
          </cell>
        </row>
        <row r="4722">
          <cell r="B4722" t="str">
            <v>561A3310-007-501</v>
          </cell>
          <cell r="D4722" t="str">
            <v>C</v>
          </cell>
          <cell r="E4722" t="str">
            <v>工序内容</v>
          </cell>
          <cell r="F4722" t="str">
            <v>00/领料</v>
          </cell>
          <cell r="G4722" t="str">
            <v>05/普车</v>
          </cell>
          <cell r="H4722" t="str">
            <v>10热处理</v>
          </cell>
          <cell r="I4722" t="str">
            <v>15/热处理</v>
          </cell>
          <cell r="J4722" t="str">
            <v>20/硬度</v>
          </cell>
          <cell r="K4722" t="str">
            <v>25/数车30</v>
          </cell>
          <cell r="L4722" t="str">
            <v>30/数车5</v>
          </cell>
          <cell r="M4722" t="str">
            <v>35/清洁</v>
          </cell>
          <cell r="N4722" t="str">
            <v>40/成检</v>
          </cell>
        </row>
        <row r="4723">
          <cell r="B4723" t="str">
            <v>561A3310-007-501</v>
          </cell>
          <cell r="D4723" t="str">
            <v>C</v>
          </cell>
          <cell r="E4723" t="str">
            <v>准备工时</v>
          </cell>
          <cell r="G4723">
            <v>60</v>
          </cell>
          <cell r="K4723">
            <v>90</v>
          </cell>
          <cell r="L4723">
            <v>60</v>
          </cell>
        </row>
        <row r="4724">
          <cell r="B4724" t="str">
            <v>561A3310-007-501</v>
          </cell>
          <cell r="D4724" t="str">
            <v>C</v>
          </cell>
          <cell r="E4724" t="str">
            <v>程序时间</v>
          </cell>
          <cell r="G4724" t="str">
            <v>40/根</v>
          </cell>
          <cell r="K4724">
            <v>35</v>
          </cell>
          <cell r="L4724">
            <v>15</v>
          </cell>
        </row>
        <row r="4725">
          <cell r="B4725" t="str">
            <v>561A3310-008-501</v>
          </cell>
          <cell r="D4725" t="str">
            <v>C</v>
          </cell>
          <cell r="E4725" t="str">
            <v>工序内容</v>
          </cell>
          <cell r="F4725" t="str">
            <v>00/领料</v>
          </cell>
          <cell r="G4725" t="str">
            <v>05/普车</v>
          </cell>
          <cell r="H4725" t="str">
            <v>10热处理</v>
          </cell>
          <cell r="I4725" t="str">
            <v>15/热处理</v>
          </cell>
          <cell r="J4725" t="str">
            <v>20/硬度</v>
          </cell>
          <cell r="K4725" t="str">
            <v>25/数车30</v>
          </cell>
          <cell r="L4725" t="str">
            <v>30/数车5</v>
          </cell>
          <cell r="M4725" t="str">
            <v>35/清洁</v>
          </cell>
          <cell r="N4725" t="str">
            <v>40/成检</v>
          </cell>
        </row>
        <row r="4726">
          <cell r="B4726" t="str">
            <v>561A3310-008-501</v>
          </cell>
          <cell r="D4726" t="str">
            <v>C</v>
          </cell>
          <cell r="E4726" t="str">
            <v>准备工时</v>
          </cell>
          <cell r="G4726">
            <v>60</v>
          </cell>
          <cell r="K4726">
            <v>90</v>
          </cell>
          <cell r="L4726">
            <v>60</v>
          </cell>
        </row>
        <row r="4727">
          <cell r="B4727" t="str">
            <v>561A3310-008-501</v>
          </cell>
          <cell r="D4727" t="str">
            <v>C</v>
          </cell>
          <cell r="E4727" t="str">
            <v>程序时间</v>
          </cell>
          <cell r="G4727" t="str">
            <v>40/根</v>
          </cell>
          <cell r="K4727">
            <v>35</v>
          </cell>
          <cell r="L4727">
            <v>15</v>
          </cell>
        </row>
        <row r="4728">
          <cell r="B4728" t="str">
            <v>5317C07055G70</v>
          </cell>
          <cell r="D4728" t="str">
            <v>A</v>
          </cell>
          <cell r="E4728" t="str">
            <v>工序内容</v>
          </cell>
          <cell r="F4728" t="str">
            <v>00领料</v>
          </cell>
          <cell r="G4728" t="str">
            <v>05车试片15</v>
          </cell>
          <cell r="H4728" t="str">
            <v>10车试片15</v>
          </cell>
          <cell r="I4728" t="str">
            <v>15数车20</v>
          </cell>
          <cell r="J4728" t="str">
            <v>20数车5</v>
          </cell>
          <cell r="K4728" t="str">
            <v>25清洁</v>
          </cell>
          <cell r="L4728" t="str">
            <v>30成检</v>
          </cell>
        </row>
        <row r="4729">
          <cell r="B4729" t="str">
            <v>5317C07055G70</v>
          </cell>
          <cell r="D4729" t="str">
            <v>A</v>
          </cell>
          <cell r="E4729" t="str">
            <v>准备工时</v>
          </cell>
          <cell r="G4729">
            <v>60</v>
          </cell>
          <cell r="H4729">
            <v>60</v>
          </cell>
          <cell r="I4729">
            <v>90</v>
          </cell>
          <cell r="J4729">
            <v>60</v>
          </cell>
        </row>
        <row r="4730">
          <cell r="B4730" t="str">
            <v>5317C07055G70</v>
          </cell>
          <cell r="D4730" t="str">
            <v>A</v>
          </cell>
          <cell r="E4730" t="str">
            <v>程序时间</v>
          </cell>
          <cell r="G4730">
            <v>15</v>
          </cell>
          <cell r="H4730">
            <v>15</v>
          </cell>
          <cell r="I4730">
            <v>30</v>
          </cell>
          <cell r="J4730">
            <v>10</v>
          </cell>
        </row>
        <row r="4731">
          <cell r="B4731" t="str">
            <v>5317C07055G70</v>
          </cell>
          <cell r="D4731" t="str">
            <v>A</v>
          </cell>
          <cell r="E4731" t="str">
            <v>工序内容</v>
          </cell>
          <cell r="F4731" t="str">
            <v>00领料</v>
          </cell>
          <cell r="G4731" t="str">
            <v>05数铣</v>
          </cell>
          <cell r="H4731" t="str">
            <v>10数铣25</v>
          </cell>
          <cell r="I4731" t="str">
            <v>15线切割</v>
          </cell>
          <cell r="J4731" t="str">
            <v>20数铣</v>
          </cell>
          <cell r="K4731" t="str">
            <v>25数铣</v>
          </cell>
          <cell r="L4731" t="str">
            <v>30测量</v>
          </cell>
          <cell r="M4731" t="str">
            <v>35钳工</v>
          </cell>
          <cell r="N4731" t="str">
            <v>40清洁</v>
          </cell>
          <cell r="O4731" t="str">
            <v>45成检</v>
          </cell>
        </row>
        <row r="4732">
          <cell r="B4732" t="str">
            <v>5317C07055G70</v>
          </cell>
          <cell r="D4732" t="str">
            <v>A</v>
          </cell>
          <cell r="E4732" t="str">
            <v>准备工时</v>
          </cell>
          <cell r="G4732">
            <v>60</v>
          </cell>
          <cell r="H4732">
            <v>90</v>
          </cell>
          <cell r="J4732">
            <v>60</v>
          </cell>
          <cell r="K4732">
            <v>90</v>
          </cell>
        </row>
        <row r="4733">
          <cell r="B4733" t="str">
            <v>5317C07055G70</v>
          </cell>
          <cell r="D4733" t="str">
            <v>A</v>
          </cell>
          <cell r="E4733" t="str">
            <v>程序时间</v>
          </cell>
          <cell r="G4733">
            <v>45</v>
          </cell>
          <cell r="H4733">
            <v>50</v>
          </cell>
          <cell r="J4733">
            <v>25</v>
          </cell>
          <cell r="K4733">
            <v>30</v>
          </cell>
          <cell r="M4733">
            <v>25</v>
          </cell>
        </row>
        <row r="4734">
          <cell r="B4734" t="str">
            <v>5317C23409G70</v>
          </cell>
          <cell r="D4734" t="str">
            <v>A</v>
          </cell>
          <cell r="E4734" t="str">
            <v>工序内容</v>
          </cell>
          <cell r="F4734" t="str">
            <v>00领料</v>
          </cell>
          <cell r="G4734" t="str">
            <v>05数铣</v>
          </cell>
          <cell r="H4734" t="str">
            <v>10数铣30</v>
          </cell>
          <cell r="I4734" t="str">
            <v>15数铣15</v>
          </cell>
          <cell r="J4734" t="str">
            <v>20数铣15</v>
          </cell>
          <cell r="K4734" t="str">
            <v>25数铣35</v>
          </cell>
          <cell r="L4734" t="str">
            <v>30数铣30</v>
          </cell>
          <cell r="M4734" t="str">
            <v>35钳工</v>
          </cell>
          <cell r="N4734" t="str">
            <v>40清洁</v>
          </cell>
          <cell r="O4734" t="str">
            <v>45成检</v>
          </cell>
        </row>
        <row r="4735">
          <cell r="B4735" t="str">
            <v>5317C23409G70</v>
          </cell>
          <cell r="D4735" t="str">
            <v>A</v>
          </cell>
          <cell r="E4735" t="str">
            <v>准备工时</v>
          </cell>
          <cell r="G4735">
            <v>60</v>
          </cell>
          <cell r="H4735">
            <v>90</v>
          </cell>
          <cell r="I4735">
            <v>60</v>
          </cell>
          <cell r="J4735">
            <v>90</v>
          </cell>
          <cell r="K4735">
            <v>90</v>
          </cell>
          <cell r="L4735">
            <v>90</v>
          </cell>
        </row>
        <row r="4736">
          <cell r="B4736" t="str">
            <v>5317C23409G70</v>
          </cell>
          <cell r="D4736" t="str">
            <v>A</v>
          </cell>
          <cell r="E4736" t="str">
            <v>程序时间</v>
          </cell>
          <cell r="G4736">
            <v>60</v>
          </cell>
          <cell r="H4736">
            <v>45</v>
          </cell>
          <cell r="I4736">
            <v>40</v>
          </cell>
          <cell r="J4736">
            <v>30</v>
          </cell>
          <cell r="K4736">
            <v>50</v>
          </cell>
          <cell r="L4736">
            <v>45</v>
          </cell>
          <cell r="M4736">
            <v>50</v>
          </cell>
        </row>
        <row r="4737">
          <cell r="B4737" t="str">
            <v>531A9110-001-001</v>
          </cell>
          <cell r="D4737" t="str">
            <v>B</v>
          </cell>
          <cell r="E4737" t="str">
            <v>工序内容</v>
          </cell>
          <cell r="F4737" t="str">
            <v>0/领料</v>
          </cell>
          <cell r="G4737" t="str">
            <v>05/数铣</v>
          </cell>
          <cell r="H4737" t="str">
            <v>10/数铣20</v>
          </cell>
          <cell r="I4737" t="str">
            <v>15/数铣90</v>
          </cell>
          <cell r="J4737" t="str">
            <v>20/数铣140</v>
          </cell>
          <cell r="K4737" t="str">
            <v>25/数铣100</v>
          </cell>
          <cell r="L4737" t="str">
            <v>30/数铣15</v>
          </cell>
          <cell r="M4737" t="str">
            <v>35/数铣20</v>
          </cell>
          <cell r="N4737" t="str">
            <v>40/测量</v>
          </cell>
          <cell r="O4737" t="str">
            <v>45/钳工</v>
          </cell>
          <cell r="P4737" t="str">
            <v>50/清洁</v>
          </cell>
          <cell r="Q4737" t="str">
            <v>55/成检</v>
          </cell>
        </row>
        <row r="4738">
          <cell r="B4738" t="str">
            <v>531A9110-001-001</v>
          </cell>
          <cell r="D4738" t="str">
            <v>B</v>
          </cell>
          <cell r="E4738" t="str">
            <v>准备工时</v>
          </cell>
          <cell r="G4738">
            <v>60</v>
          </cell>
          <cell r="H4738">
            <v>60</v>
          </cell>
          <cell r="I4738">
            <v>60</v>
          </cell>
          <cell r="J4738">
            <v>60</v>
          </cell>
          <cell r="K4738">
            <v>60</v>
          </cell>
          <cell r="L4738">
            <v>60</v>
          </cell>
          <cell r="M4738">
            <v>60</v>
          </cell>
        </row>
        <row r="4739">
          <cell r="B4739" t="str">
            <v>531A9110-001-001</v>
          </cell>
          <cell r="D4739" t="str">
            <v>B</v>
          </cell>
          <cell r="E4739" t="str">
            <v>程序时间</v>
          </cell>
          <cell r="G4739">
            <v>70</v>
          </cell>
          <cell r="H4739">
            <v>45</v>
          </cell>
          <cell r="I4739">
            <v>130</v>
          </cell>
          <cell r="J4739">
            <v>190</v>
          </cell>
          <cell r="K4739">
            <v>140</v>
          </cell>
          <cell r="L4739">
            <v>80</v>
          </cell>
          <cell r="M4739">
            <v>35</v>
          </cell>
          <cell r="O4739">
            <v>90</v>
          </cell>
        </row>
        <row r="4740">
          <cell r="B4740" t="str">
            <v>BC2712520-003-001</v>
          </cell>
          <cell r="D4740" t="str">
            <v>B</v>
          </cell>
          <cell r="E4740" t="str">
            <v>工序内容</v>
          </cell>
          <cell r="F4740" t="str">
            <v>0/领料</v>
          </cell>
          <cell r="G4740" t="str">
            <v>05/下料</v>
          </cell>
          <cell r="H4740" t="str">
            <v>10/数铣</v>
          </cell>
          <cell r="I4740" t="str">
            <v>15/数铣25</v>
          </cell>
          <cell r="J4740" t="str">
            <v>20/数铣40</v>
          </cell>
          <cell r="K4740" t="str">
            <v>25/数铣60</v>
          </cell>
          <cell r="L4740" t="str">
            <v>30/数铣15</v>
          </cell>
          <cell r="M4740" t="str">
            <v>35/数铣15</v>
          </cell>
          <cell r="N4740" t="str">
            <v>40/钳工</v>
          </cell>
          <cell r="O4740" t="str">
            <v>45/测量</v>
          </cell>
          <cell r="P4740" t="str">
            <v>50/数铣</v>
          </cell>
          <cell r="Q4740" t="str">
            <v>55/清洁</v>
          </cell>
          <cell r="R4740" t="str">
            <v>60/检验</v>
          </cell>
          <cell r="S4740" t="str">
            <v>65/分光</v>
          </cell>
          <cell r="T4740" t="str">
            <v>70/钳工</v>
          </cell>
          <cell r="U4740" t="str">
            <v>75/清洁</v>
          </cell>
          <cell r="V4740" t="str">
            <v>80/成检</v>
          </cell>
        </row>
        <row r="4741">
          <cell r="B4741" t="str">
            <v>BC2712520-003-001</v>
          </cell>
          <cell r="D4741" t="str">
            <v>B</v>
          </cell>
          <cell r="E4741" t="str">
            <v>准备工时</v>
          </cell>
          <cell r="H4741">
            <v>60</v>
          </cell>
          <cell r="I4741">
            <v>60</v>
          </cell>
          <cell r="J4741">
            <v>60</v>
          </cell>
          <cell r="K4741">
            <v>60</v>
          </cell>
          <cell r="L4741">
            <v>60</v>
          </cell>
          <cell r="M4741">
            <v>60</v>
          </cell>
          <cell r="P4741">
            <v>60</v>
          </cell>
        </row>
        <row r="4742">
          <cell r="B4742" t="str">
            <v>BC2712520-003-001</v>
          </cell>
          <cell r="D4742" t="str">
            <v>B</v>
          </cell>
          <cell r="E4742" t="str">
            <v>程序时间</v>
          </cell>
          <cell r="H4742">
            <v>35</v>
          </cell>
          <cell r="I4742">
            <v>50</v>
          </cell>
          <cell r="J4742">
            <v>65</v>
          </cell>
          <cell r="K4742">
            <v>90</v>
          </cell>
          <cell r="L4742">
            <v>30</v>
          </cell>
          <cell r="M4742">
            <v>30</v>
          </cell>
          <cell r="N4742">
            <v>70</v>
          </cell>
          <cell r="P4742">
            <v>15</v>
          </cell>
          <cell r="T4742">
            <v>10</v>
          </cell>
        </row>
        <row r="4743">
          <cell r="B4743" t="str">
            <v>CB5323400-008L001</v>
          </cell>
          <cell r="D4743" t="str">
            <v>C</v>
          </cell>
          <cell r="E4743" t="str">
            <v>工序内容</v>
          </cell>
          <cell r="F4743" t="str">
            <v>0/领料</v>
          </cell>
          <cell r="G4743" t="str">
            <v>05/下料</v>
          </cell>
          <cell r="H4743" t="str">
            <v>10/数铣</v>
          </cell>
          <cell r="I4743" t="str">
            <v>15/数铣20</v>
          </cell>
          <cell r="J4743" t="str">
            <v>20/数铣120</v>
          </cell>
          <cell r="K4743" t="str">
            <v>25/数铣90</v>
          </cell>
          <cell r="L4743" t="str">
            <v>30/时效</v>
          </cell>
          <cell r="M4743" t="str">
            <v>35/修面</v>
          </cell>
          <cell r="N4743" t="str">
            <v>40/数铣160</v>
          </cell>
          <cell r="O4743" t="str">
            <v>45/数铣180</v>
          </cell>
          <cell r="P4743" t="str">
            <v>50/钳工</v>
          </cell>
          <cell r="Q4743" t="str">
            <v>55/测量</v>
          </cell>
          <cell r="R4743" t="str">
            <v>60/铣试块</v>
          </cell>
          <cell r="S4743" t="str">
            <v>65/清洁</v>
          </cell>
          <cell r="T4743" t="str">
            <v>70/检验</v>
          </cell>
          <cell r="U4743" t="str">
            <v>75/分光</v>
          </cell>
          <cell r="V4743" t="str">
            <v>80/硬度</v>
          </cell>
          <cell r="W4743" t="str">
            <v>85/钳工</v>
          </cell>
          <cell r="X4743" t="str">
            <v>90/检验</v>
          </cell>
          <cell r="Y4743" t="str">
            <v>95/清洁</v>
          </cell>
          <cell r="Z4743" t="str">
            <v>100/成检</v>
          </cell>
        </row>
        <row r="4744">
          <cell r="B4744" t="str">
            <v>CB5323400-008L001</v>
          </cell>
          <cell r="D4744" t="str">
            <v>C</v>
          </cell>
          <cell r="E4744" t="str">
            <v>准备工时</v>
          </cell>
          <cell r="H4744">
            <v>60</v>
          </cell>
          <cell r="I4744">
            <v>60</v>
          </cell>
          <cell r="J4744">
            <v>60</v>
          </cell>
          <cell r="K4744">
            <v>60</v>
          </cell>
          <cell r="M4744">
            <v>60</v>
          </cell>
          <cell r="N4744">
            <v>120</v>
          </cell>
          <cell r="O4744">
            <v>90</v>
          </cell>
        </row>
        <row r="4745">
          <cell r="B4745" t="str">
            <v>CB5323400-008L001</v>
          </cell>
          <cell r="D4745" t="str">
            <v>C</v>
          </cell>
          <cell r="E4745" t="str">
            <v>程序时间</v>
          </cell>
          <cell r="H4745">
            <v>60</v>
          </cell>
          <cell r="I4745">
            <v>50</v>
          </cell>
          <cell r="J4745">
            <v>160</v>
          </cell>
          <cell r="K4745">
            <v>130</v>
          </cell>
          <cell r="M4745">
            <v>60</v>
          </cell>
          <cell r="N4745">
            <v>230</v>
          </cell>
          <cell r="O4745">
            <v>250</v>
          </cell>
          <cell r="P4745">
            <v>90</v>
          </cell>
          <cell r="R4745">
            <v>10</v>
          </cell>
          <cell r="W4745">
            <v>5</v>
          </cell>
        </row>
        <row r="4746">
          <cell r="B4746" t="str">
            <v>CB5323400-008R001</v>
          </cell>
          <cell r="D4746" t="str">
            <v>C</v>
          </cell>
          <cell r="E4746" t="str">
            <v>工序内容</v>
          </cell>
          <cell r="F4746" t="str">
            <v>0/领料</v>
          </cell>
          <cell r="G4746" t="str">
            <v>05/下料</v>
          </cell>
          <cell r="H4746" t="str">
            <v>10/数铣</v>
          </cell>
          <cell r="I4746" t="str">
            <v>15/数铣20</v>
          </cell>
          <cell r="J4746" t="str">
            <v>20/数铣120</v>
          </cell>
          <cell r="K4746" t="str">
            <v>25/数铣90</v>
          </cell>
          <cell r="L4746" t="str">
            <v>30/时效</v>
          </cell>
          <cell r="M4746" t="str">
            <v>35/修面</v>
          </cell>
          <cell r="N4746" t="str">
            <v>40/数铣160</v>
          </cell>
          <cell r="O4746" t="str">
            <v>45/数铣180</v>
          </cell>
          <cell r="P4746" t="str">
            <v>50/钳工</v>
          </cell>
          <cell r="Q4746" t="str">
            <v>55/测量</v>
          </cell>
          <cell r="R4746" t="str">
            <v>60/铣试块</v>
          </cell>
          <cell r="S4746" t="str">
            <v>65/清洁</v>
          </cell>
          <cell r="T4746" t="str">
            <v>70/检验</v>
          </cell>
          <cell r="U4746" t="str">
            <v>75/分光</v>
          </cell>
          <cell r="V4746" t="str">
            <v>80/硬度</v>
          </cell>
          <cell r="W4746" t="str">
            <v>85/钳工</v>
          </cell>
          <cell r="X4746" t="str">
            <v>90/检验</v>
          </cell>
          <cell r="Y4746" t="str">
            <v>95/清洁</v>
          </cell>
          <cell r="Z4746" t="str">
            <v>100/成检</v>
          </cell>
        </row>
        <row r="4747">
          <cell r="B4747" t="str">
            <v>CB5323400-008R001</v>
          </cell>
          <cell r="D4747" t="str">
            <v>C</v>
          </cell>
          <cell r="E4747" t="str">
            <v>准备工时</v>
          </cell>
          <cell r="H4747">
            <v>60</v>
          </cell>
          <cell r="I4747">
            <v>60</v>
          </cell>
          <cell r="J4747">
            <v>60</v>
          </cell>
          <cell r="K4747">
            <v>60</v>
          </cell>
          <cell r="M4747">
            <v>60</v>
          </cell>
          <cell r="N4747">
            <v>120</v>
          </cell>
          <cell r="O4747">
            <v>90</v>
          </cell>
        </row>
        <row r="4748">
          <cell r="B4748" t="str">
            <v>CB5323400-008R001</v>
          </cell>
          <cell r="D4748" t="str">
            <v>C</v>
          </cell>
          <cell r="E4748" t="str">
            <v>程序时间</v>
          </cell>
          <cell r="H4748">
            <v>60</v>
          </cell>
          <cell r="I4748">
            <v>50</v>
          </cell>
          <cell r="J4748">
            <v>160</v>
          </cell>
          <cell r="K4748">
            <v>130</v>
          </cell>
          <cell r="M4748">
            <v>60</v>
          </cell>
          <cell r="N4748">
            <v>230</v>
          </cell>
          <cell r="O4748">
            <v>250</v>
          </cell>
          <cell r="P4748">
            <v>90</v>
          </cell>
          <cell r="R4748">
            <v>10</v>
          </cell>
          <cell r="W4748">
            <v>5</v>
          </cell>
        </row>
        <row r="4749">
          <cell r="B4749" t="str">
            <v>CB229C071-001L001</v>
          </cell>
          <cell r="D4749" t="str">
            <v>D</v>
          </cell>
          <cell r="E4749" t="str">
            <v>工序内容</v>
          </cell>
          <cell r="F4749" t="str">
            <v>0/领料</v>
          </cell>
          <cell r="G4749" t="str">
            <v>5/下料</v>
          </cell>
          <cell r="H4749" t="str">
            <v>10/数铣</v>
          </cell>
          <cell r="I4749" t="str">
            <v>15/数铣30</v>
          </cell>
          <cell r="J4749" t="str">
            <v>20/数铣30</v>
          </cell>
          <cell r="K4749" t="str">
            <v>25/数铣75</v>
          </cell>
          <cell r="L4749" t="str">
            <v>30/钳工</v>
          </cell>
          <cell r="M4749" t="str">
            <v>35/硬检</v>
          </cell>
          <cell r="N4749" t="str">
            <v>40/分光</v>
          </cell>
          <cell r="O4749" t="str">
            <v>45/线切割</v>
          </cell>
          <cell r="P4749" t="str">
            <v>50/数铣60</v>
          </cell>
          <cell r="Q4749" t="str">
            <v>55/钳工</v>
          </cell>
          <cell r="R4749" t="str">
            <v>60/清洁</v>
          </cell>
          <cell r="S4749" t="str">
            <v>65/成检</v>
          </cell>
        </row>
        <row r="4750">
          <cell r="B4750" t="str">
            <v>CB229C071-001L001</v>
          </cell>
          <cell r="D4750" t="str">
            <v>D</v>
          </cell>
          <cell r="E4750" t="str">
            <v>准备工时</v>
          </cell>
          <cell r="H4750">
            <v>60</v>
          </cell>
          <cell r="I4750">
            <v>90</v>
          </cell>
          <cell r="J4750">
            <v>60</v>
          </cell>
          <cell r="K4750">
            <v>90</v>
          </cell>
          <cell r="P4750">
            <v>60</v>
          </cell>
        </row>
        <row r="4751">
          <cell r="B4751" t="str">
            <v>CB229C071-001L001</v>
          </cell>
          <cell r="D4751" t="str">
            <v>D</v>
          </cell>
          <cell r="E4751" t="str">
            <v>程序时间</v>
          </cell>
          <cell r="H4751">
            <v>40</v>
          </cell>
          <cell r="I4751">
            <v>20</v>
          </cell>
          <cell r="J4751">
            <v>20</v>
          </cell>
          <cell r="K4751">
            <v>80</v>
          </cell>
          <cell r="L4751">
            <v>15</v>
          </cell>
          <cell r="P4751">
            <v>60</v>
          </cell>
          <cell r="Q4751">
            <v>30</v>
          </cell>
        </row>
        <row r="4752">
          <cell r="B4752" t="str">
            <v>CB229C070-001R001</v>
          </cell>
          <cell r="D4752" t="str">
            <v>D</v>
          </cell>
          <cell r="E4752" t="str">
            <v>工序内容</v>
          </cell>
          <cell r="F4752" t="str">
            <v>0/领料</v>
          </cell>
          <cell r="G4752" t="str">
            <v>5/下料</v>
          </cell>
          <cell r="H4752" t="str">
            <v>10/数铣</v>
          </cell>
          <cell r="I4752" t="str">
            <v>15/数铣30</v>
          </cell>
          <cell r="J4752" t="str">
            <v>20/数铣30</v>
          </cell>
          <cell r="K4752" t="str">
            <v>25/数铣75</v>
          </cell>
          <cell r="L4752" t="str">
            <v>30/钳工</v>
          </cell>
          <cell r="M4752" t="str">
            <v>35/硬检</v>
          </cell>
          <cell r="N4752" t="str">
            <v>40/分光</v>
          </cell>
          <cell r="O4752" t="str">
            <v>45/线切割</v>
          </cell>
          <cell r="P4752" t="str">
            <v>50/数铣60</v>
          </cell>
          <cell r="Q4752" t="str">
            <v>55/钳工</v>
          </cell>
          <cell r="R4752" t="str">
            <v>60/清洁</v>
          </cell>
          <cell r="S4752" t="str">
            <v>65/成检</v>
          </cell>
        </row>
        <row r="4753">
          <cell r="B4753" t="str">
            <v>CB229C070-001R001</v>
          </cell>
          <cell r="D4753" t="str">
            <v>D</v>
          </cell>
          <cell r="E4753" t="str">
            <v>准备工时</v>
          </cell>
          <cell r="H4753">
            <v>60</v>
          </cell>
          <cell r="I4753">
            <v>90</v>
          </cell>
          <cell r="J4753">
            <v>60</v>
          </cell>
          <cell r="K4753">
            <v>90</v>
          </cell>
          <cell r="P4753">
            <v>60</v>
          </cell>
        </row>
        <row r="4754">
          <cell r="B4754" t="str">
            <v>CB229C070-001R001</v>
          </cell>
          <cell r="D4754" t="str">
            <v>D</v>
          </cell>
          <cell r="E4754" t="str">
            <v>程序时间</v>
          </cell>
          <cell r="H4754">
            <v>40</v>
          </cell>
          <cell r="I4754">
            <v>20</v>
          </cell>
          <cell r="J4754">
            <v>20</v>
          </cell>
          <cell r="K4754">
            <v>80</v>
          </cell>
          <cell r="L4754">
            <v>15</v>
          </cell>
          <cell r="P4754">
            <v>60</v>
          </cell>
          <cell r="Q4754">
            <v>30</v>
          </cell>
        </row>
        <row r="4755">
          <cell r="B4755" t="str">
            <v>DD-J10B-94061-1061/1</v>
          </cell>
          <cell r="D4755" t="str">
            <v>C</v>
          </cell>
          <cell r="E4755" t="str">
            <v>工序内容</v>
          </cell>
          <cell r="F4755" t="str">
            <v>0/领料</v>
          </cell>
          <cell r="G4755" t="str">
            <v>5/数车15</v>
          </cell>
          <cell r="H4755" t="str">
            <v>10/数车5</v>
          </cell>
          <cell r="I4755" t="str">
            <v>15/钳工</v>
          </cell>
          <cell r="J4755" t="str">
            <v>20/分光</v>
          </cell>
          <cell r="K4755" t="str">
            <v>25/数车5</v>
          </cell>
          <cell r="L4755" t="str">
            <v>30/数铣</v>
          </cell>
          <cell r="M4755" t="str">
            <v>35/数铣</v>
          </cell>
          <cell r="N4755" t="str">
            <v>40/钳工</v>
          </cell>
          <cell r="O4755" t="str">
            <v>45/清洁</v>
          </cell>
          <cell r="P4755" t="str">
            <v>50/成检</v>
          </cell>
        </row>
        <row r="4756">
          <cell r="B4756" t="str">
            <v>DD-J10B-94061-1061/1</v>
          </cell>
          <cell r="D4756" t="str">
            <v>C</v>
          </cell>
          <cell r="E4756" t="str">
            <v>准备工时</v>
          </cell>
          <cell r="G4756">
            <v>60</v>
          </cell>
          <cell r="H4756">
            <v>60</v>
          </cell>
          <cell r="K4756">
            <v>60</v>
          </cell>
          <cell r="L4756">
            <v>60</v>
          </cell>
          <cell r="M4756">
            <v>90</v>
          </cell>
        </row>
        <row r="4757">
          <cell r="B4757" t="str">
            <v>DD-J10B-94061-1061/1</v>
          </cell>
          <cell r="D4757" t="str">
            <v>C</v>
          </cell>
          <cell r="E4757" t="str">
            <v>程序时间</v>
          </cell>
          <cell r="G4757">
            <v>20</v>
          </cell>
          <cell r="H4757">
            <v>10</v>
          </cell>
          <cell r="I4757">
            <v>10</v>
          </cell>
          <cell r="K4757">
            <v>10</v>
          </cell>
          <cell r="L4757">
            <v>30</v>
          </cell>
          <cell r="M4757">
            <v>20</v>
          </cell>
          <cell r="N4757">
            <v>20</v>
          </cell>
        </row>
        <row r="4758">
          <cell r="B4758" t="str">
            <v>DD-J10B-94061-1061/2</v>
          </cell>
          <cell r="D4758" t="str">
            <v>C</v>
          </cell>
          <cell r="E4758" t="str">
            <v>工序内容</v>
          </cell>
          <cell r="F4758" t="str">
            <v>0/领料</v>
          </cell>
          <cell r="G4758" t="str">
            <v>5/数车35</v>
          </cell>
          <cell r="H4758" t="str">
            <v>10/数车5</v>
          </cell>
          <cell r="I4758" t="str">
            <v>15/钳工</v>
          </cell>
          <cell r="J4758" t="str">
            <v>20/分光</v>
          </cell>
          <cell r="K4758" t="str">
            <v>25/数车10</v>
          </cell>
          <cell r="L4758" t="str">
            <v>30/数铣</v>
          </cell>
          <cell r="M4758" t="str">
            <v>35/线切割</v>
          </cell>
          <cell r="N4758" t="str">
            <v>40/钳工</v>
          </cell>
          <cell r="O4758" t="str">
            <v>45/清洁</v>
          </cell>
          <cell r="P4758" t="str">
            <v>50/成检</v>
          </cell>
        </row>
        <row r="4759">
          <cell r="B4759" t="str">
            <v>DD-J10B-94061-1061/2</v>
          </cell>
          <cell r="D4759" t="str">
            <v>C</v>
          </cell>
          <cell r="E4759" t="str">
            <v>准备工时</v>
          </cell>
          <cell r="G4759">
            <v>90</v>
          </cell>
          <cell r="H4759">
            <v>60</v>
          </cell>
          <cell r="K4759">
            <v>60</v>
          </cell>
          <cell r="L4759">
            <v>60</v>
          </cell>
        </row>
        <row r="4760">
          <cell r="B4760" t="str">
            <v>DD-J10B-94061-1061/2</v>
          </cell>
          <cell r="D4760" t="str">
            <v>C</v>
          </cell>
          <cell r="E4760" t="str">
            <v>程序时间</v>
          </cell>
          <cell r="G4760">
            <v>40</v>
          </cell>
          <cell r="H4760">
            <v>15</v>
          </cell>
          <cell r="I4760">
            <v>10</v>
          </cell>
          <cell r="K4760">
            <v>15</v>
          </cell>
          <cell r="L4760">
            <v>40</v>
          </cell>
          <cell r="N4760">
            <v>40</v>
          </cell>
        </row>
        <row r="4761">
          <cell r="B4761" t="str">
            <v>DD-J10-41123-1111</v>
          </cell>
          <cell r="D4761" t="str">
            <v>A</v>
          </cell>
          <cell r="E4761" t="str">
            <v>工序内容</v>
          </cell>
          <cell r="F4761" t="str">
            <v>0/领料</v>
          </cell>
          <cell r="G4761" t="str">
            <v>5/数车15</v>
          </cell>
          <cell r="H4761" t="str">
            <v>10/数车20</v>
          </cell>
          <cell r="I4761" t="str">
            <v>15/数铣5</v>
          </cell>
          <cell r="J4761" t="str">
            <v>25/数车6</v>
          </cell>
          <cell r="K4761" t="str">
            <v>25/钳工</v>
          </cell>
          <cell r="L4761" t="str">
            <v>30/分光</v>
          </cell>
          <cell r="M4761" t="str">
            <v>35/热处理</v>
          </cell>
          <cell r="N4761" t="str">
            <v>40/钳工</v>
          </cell>
          <cell r="O4761" t="str">
            <v>45/数车10</v>
          </cell>
          <cell r="P4761" t="str">
            <v>50/清洁</v>
          </cell>
          <cell r="Q4761" t="str">
            <v>55/成检</v>
          </cell>
        </row>
        <row r="4762">
          <cell r="B4762" t="str">
            <v>DD-J10-41123-1111</v>
          </cell>
          <cell r="D4762" t="str">
            <v>A</v>
          </cell>
          <cell r="E4762" t="str">
            <v>准备工时</v>
          </cell>
          <cell r="G4762">
            <v>60</v>
          </cell>
          <cell r="H4762">
            <v>60</v>
          </cell>
          <cell r="I4762">
            <v>60</v>
          </cell>
          <cell r="J4762">
            <v>30</v>
          </cell>
          <cell r="O4762">
            <v>30</v>
          </cell>
        </row>
        <row r="4763">
          <cell r="B4763" t="str">
            <v>DD-J10-41123-1111</v>
          </cell>
          <cell r="D4763" t="str">
            <v>A</v>
          </cell>
          <cell r="E4763" t="str">
            <v>程序时间</v>
          </cell>
          <cell r="G4763">
            <v>20</v>
          </cell>
          <cell r="H4763">
            <v>25</v>
          </cell>
          <cell r="I4763">
            <v>20</v>
          </cell>
          <cell r="J4763">
            <v>10</v>
          </cell>
          <cell r="K4763">
            <v>20</v>
          </cell>
          <cell r="N4763">
            <v>10</v>
          </cell>
          <cell r="O4763">
            <v>20</v>
          </cell>
        </row>
        <row r="4764">
          <cell r="B4764" t="str">
            <v>CB2276730-001-001</v>
          </cell>
          <cell r="D4764" t="str">
            <v>B</v>
          </cell>
          <cell r="E4764" t="str">
            <v>工序内容</v>
          </cell>
          <cell r="F4764" t="str">
            <v>0/领料</v>
          </cell>
          <cell r="G4764" t="str">
            <v>05/下料</v>
          </cell>
          <cell r="H4764" t="str">
            <v>10/数铣</v>
          </cell>
          <cell r="I4764" t="str">
            <v>15/数铣20</v>
          </cell>
          <cell r="J4764" t="str">
            <v>20/数铣30</v>
          </cell>
          <cell r="K4764" t="str">
            <v>25/数铣120</v>
          </cell>
          <cell r="L4764" t="str">
            <v>30/钳工</v>
          </cell>
          <cell r="M4764" t="str">
            <v>35/无</v>
          </cell>
          <cell r="N4764" t="str">
            <v>40/清洗</v>
          </cell>
          <cell r="O4764" t="str">
            <v>45/检验</v>
          </cell>
          <cell r="P4764" t="str">
            <v>50/分光</v>
          </cell>
          <cell r="Q4764" t="str">
            <v>55硬检</v>
          </cell>
          <cell r="R4764" t="str">
            <v>60/钳工</v>
          </cell>
          <cell r="S4764" t="str">
            <v>65/清洁</v>
          </cell>
          <cell r="T4764" t="str">
            <v>70/成检</v>
          </cell>
        </row>
        <row r="4765">
          <cell r="B4765" t="str">
            <v>CB2276730-001-001</v>
          </cell>
          <cell r="D4765" t="str">
            <v>B</v>
          </cell>
          <cell r="E4765" t="str">
            <v>准备工时</v>
          </cell>
          <cell r="H4765">
            <v>60</v>
          </cell>
          <cell r="I4765">
            <v>60</v>
          </cell>
          <cell r="J4765">
            <v>60</v>
          </cell>
          <cell r="K4765">
            <v>60</v>
          </cell>
        </row>
        <row r="4766">
          <cell r="B4766" t="str">
            <v>CB2276730-001-001</v>
          </cell>
          <cell r="D4766" t="str">
            <v>B</v>
          </cell>
          <cell r="E4766" t="str">
            <v>程序时间</v>
          </cell>
          <cell r="G4766">
            <v>25</v>
          </cell>
          <cell r="H4766">
            <v>40</v>
          </cell>
          <cell r="I4766">
            <v>40</v>
          </cell>
          <cell r="J4766">
            <v>40</v>
          </cell>
          <cell r="K4766">
            <v>160</v>
          </cell>
          <cell r="L4766">
            <v>120</v>
          </cell>
          <cell r="R4766">
            <v>10</v>
          </cell>
        </row>
        <row r="4767">
          <cell r="B4767" t="str">
            <v>CB2294456-001-001</v>
          </cell>
          <cell r="D4767" t="str">
            <v>C</v>
          </cell>
          <cell r="E4767" t="str">
            <v>工序内容</v>
          </cell>
          <cell r="F4767" t="str">
            <v>0/领料</v>
          </cell>
          <cell r="G4767" t="str">
            <v>05/数车15</v>
          </cell>
          <cell r="H4767" t="str">
            <v>10/数车15</v>
          </cell>
          <cell r="I4767" t="str">
            <v>15/钳去毛刺</v>
          </cell>
          <cell r="J4767" t="str">
            <v>20/分光</v>
          </cell>
          <cell r="K4767" t="str">
            <v>25/硬检</v>
          </cell>
          <cell r="L4767" t="str">
            <v>30/标记</v>
          </cell>
          <cell r="M4767" t="str">
            <v>35/数车15</v>
          </cell>
          <cell r="N4767" t="str">
            <v>40/穿孔</v>
          </cell>
          <cell r="O4767" t="str">
            <v>45/钳工</v>
          </cell>
          <cell r="P4767" t="str">
            <v>50/清洁</v>
          </cell>
          <cell r="Q4767" t="str">
            <v>55/成检</v>
          </cell>
        </row>
        <row r="4768">
          <cell r="B4768" t="str">
            <v>CB2294456-001-001</v>
          </cell>
          <cell r="D4768" t="str">
            <v>C</v>
          </cell>
          <cell r="E4768" t="str">
            <v>准备工时</v>
          </cell>
          <cell r="G4768">
            <v>60</v>
          </cell>
          <cell r="H4768">
            <v>60</v>
          </cell>
          <cell r="M4768">
            <v>90</v>
          </cell>
        </row>
        <row r="4769">
          <cell r="B4769" t="str">
            <v>CB2294456-001-001</v>
          </cell>
          <cell r="D4769" t="str">
            <v>C</v>
          </cell>
          <cell r="E4769" t="str">
            <v>程序时间</v>
          </cell>
          <cell r="G4769">
            <v>15</v>
          </cell>
          <cell r="H4769">
            <v>25</v>
          </cell>
          <cell r="I4769">
            <v>10</v>
          </cell>
          <cell r="M4769">
            <v>25</v>
          </cell>
          <cell r="O4769">
            <v>25</v>
          </cell>
        </row>
        <row r="4770">
          <cell r="B4770" t="str">
            <v>BC5711304-001R/L002</v>
          </cell>
          <cell r="D4770" t="str">
            <v>B</v>
          </cell>
          <cell r="E4770" t="str">
            <v>工序内容</v>
          </cell>
          <cell r="F4770" t="str">
            <v>0/领料</v>
          </cell>
          <cell r="G4770" t="str">
            <v>05/下料</v>
          </cell>
          <cell r="H4770" t="str">
            <v>10/数铣</v>
          </cell>
          <cell r="I4770" t="str">
            <v>15/数铣30</v>
          </cell>
          <cell r="J4770" t="str">
            <v>20/数铣100</v>
          </cell>
          <cell r="K4770" t="str">
            <v>25/数铣90</v>
          </cell>
          <cell r="L4770" t="str">
            <v>30/失效</v>
          </cell>
          <cell r="M4770" t="str">
            <v>35/数铣</v>
          </cell>
          <cell r="N4770" t="str">
            <v>40/数铣270</v>
          </cell>
          <cell r="O4770" t="str">
            <v>45/数铣360</v>
          </cell>
          <cell r="P4770" t="str">
            <v>50/五轴75</v>
          </cell>
          <cell r="Q4770" t="str">
            <v>55/测量</v>
          </cell>
          <cell r="R4770" t="str">
            <v>60/钳工</v>
          </cell>
          <cell r="S4770" t="str">
            <v>65</v>
          </cell>
          <cell r="T4770" t="str">
            <v>70/清洁</v>
          </cell>
          <cell r="U4770" t="str">
            <v>75/成检</v>
          </cell>
        </row>
        <row r="4771">
          <cell r="B4771" t="str">
            <v>BC5711304-001R/L002</v>
          </cell>
          <cell r="D4771" t="str">
            <v>B</v>
          </cell>
          <cell r="E4771" t="str">
            <v>准备工时</v>
          </cell>
          <cell r="H4771">
            <v>60</v>
          </cell>
          <cell r="I4771">
            <v>60</v>
          </cell>
          <cell r="J4771">
            <v>60</v>
          </cell>
          <cell r="K4771">
            <v>60</v>
          </cell>
          <cell r="M4771">
            <v>60</v>
          </cell>
          <cell r="N4771">
            <v>60</v>
          </cell>
          <cell r="O4771">
            <v>60</v>
          </cell>
          <cell r="P4771">
            <v>120</v>
          </cell>
        </row>
        <row r="4772">
          <cell r="B4772" t="str">
            <v>BC5711304-001R/L002</v>
          </cell>
          <cell r="D4772" t="str">
            <v>B</v>
          </cell>
          <cell r="E4772" t="str">
            <v>装夹时间</v>
          </cell>
          <cell r="P4772">
            <v>60</v>
          </cell>
        </row>
        <row r="4773">
          <cell r="B4773" t="str">
            <v>BC5711304-001R/L002</v>
          </cell>
          <cell r="D4773" t="str">
            <v>B</v>
          </cell>
          <cell r="E4773" t="str">
            <v>程序时间</v>
          </cell>
          <cell r="G4773">
            <v>60</v>
          </cell>
          <cell r="H4773">
            <v>150</v>
          </cell>
          <cell r="I4773">
            <v>70</v>
          </cell>
          <cell r="J4773">
            <v>150</v>
          </cell>
          <cell r="K4773">
            <v>100</v>
          </cell>
          <cell r="M4773">
            <v>150</v>
          </cell>
          <cell r="N4773">
            <v>390</v>
          </cell>
          <cell r="O4773">
            <v>510</v>
          </cell>
          <cell r="P4773">
            <v>240</v>
          </cell>
          <cell r="R4773">
            <v>150</v>
          </cell>
        </row>
        <row r="4774">
          <cell r="B4774" t="str">
            <v>DD-J10B-94076-1391</v>
          </cell>
          <cell r="D4774" t="str">
            <v>C</v>
          </cell>
          <cell r="E4774" t="str">
            <v>工序内容</v>
          </cell>
          <cell r="F4774" t="str">
            <v>0/领料</v>
          </cell>
          <cell r="G4774" t="str">
            <v>5/数车30</v>
          </cell>
          <cell r="H4774" t="str">
            <v>10/数车30</v>
          </cell>
          <cell r="I4774" t="str">
            <v>15/分光</v>
          </cell>
          <cell r="J4774" t="str">
            <v>20/数车20</v>
          </cell>
          <cell r="K4774" t="str">
            <v>25/数车25</v>
          </cell>
          <cell r="L4774" t="str">
            <v>30/数铣30</v>
          </cell>
          <cell r="M4774" t="str">
            <v>35/钳工</v>
          </cell>
          <cell r="N4774" t="str">
            <v>40/清洗</v>
          </cell>
          <cell r="O4774" t="str">
            <v>45/成检</v>
          </cell>
        </row>
        <row r="4775">
          <cell r="B4775" t="str">
            <v>DD-J10B-94076-1391</v>
          </cell>
          <cell r="D4775" t="str">
            <v>C</v>
          </cell>
          <cell r="E4775" t="str">
            <v>准备工时</v>
          </cell>
          <cell r="G4775">
            <v>60</v>
          </cell>
          <cell r="H4775">
            <v>60</v>
          </cell>
          <cell r="J4775">
            <v>120</v>
          </cell>
          <cell r="K4775">
            <v>120</v>
          </cell>
          <cell r="L4775">
            <v>120</v>
          </cell>
        </row>
        <row r="4776">
          <cell r="B4776" t="str">
            <v>DD-J10B-94076-1391</v>
          </cell>
          <cell r="D4776" t="str">
            <v>C</v>
          </cell>
          <cell r="E4776" t="str">
            <v>程序时间</v>
          </cell>
          <cell r="G4776">
            <v>60</v>
          </cell>
          <cell r="H4776">
            <v>15</v>
          </cell>
          <cell r="J4776">
            <v>60</v>
          </cell>
          <cell r="K4776">
            <v>40</v>
          </cell>
          <cell r="L4776">
            <v>70</v>
          </cell>
          <cell r="M4776">
            <v>60</v>
          </cell>
        </row>
        <row r="4777">
          <cell r="B4777" t="str">
            <v>CB2284764-002-001</v>
          </cell>
          <cell r="D4777" t="str">
            <v>C</v>
          </cell>
          <cell r="E4777" t="str">
            <v>工序内容</v>
          </cell>
          <cell r="F4777" t="str">
            <v>0/领料</v>
          </cell>
          <cell r="G4777" t="str">
            <v>05/普车10</v>
          </cell>
          <cell r="H4777" t="str">
            <v>10钳工</v>
          </cell>
          <cell r="I4777" t="str">
            <v>15/分光</v>
          </cell>
          <cell r="J4777" t="str">
            <v>20车铣60</v>
          </cell>
          <cell r="K4777" t="str">
            <v>25数车20</v>
          </cell>
          <cell r="L4777" t="str">
            <v>30钳工</v>
          </cell>
          <cell r="M4777" t="str">
            <v>35清洁</v>
          </cell>
          <cell r="N4777" t="str">
            <v>40成检</v>
          </cell>
        </row>
        <row r="4778">
          <cell r="B4778" t="str">
            <v>CB2284764-002-001</v>
          </cell>
          <cell r="D4778" t="str">
            <v>C</v>
          </cell>
          <cell r="E4778" t="str">
            <v>准备工时</v>
          </cell>
          <cell r="G4778">
            <v>60</v>
          </cell>
          <cell r="J4778">
            <v>150</v>
          </cell>
          <cell r="K4778">
            <v>90</v>
          </cell>
        </row>
        <row r="4779">
          <cell r="B4779" t="str">
            <v>CB2284764-002-001</v>
          </cell>
          <cell r="D4779" t="str">
            <v>C</v>
          </cell>
          <cell r="E4779" t="str">
            <v>程序时间</v>
          </cell>
          <cell r="G4779" t="str">
            <v>50/根</v>
          </cell>
          <cell r="H4779">
            <v>15</v>
          </cell>
          <cell r="J4779">
            <v>100</v>
          </cell>
          <cell r="K4779">
            <v>35</v>
          </cell>
          <cell r="L4779">
            <v>60</v>
          </cell>
        </row>
        <row r="4780">
          <cell r="B4780" t="str">
            <v>BC221T1CA-001-001</v>
          </cell>
          <cell r="D4780" t="str">
            <v>B</v>
          </cell>
          <cell r="E4780" t="str">
            <v>工序内容</v>
          </cell>
          <cell r="F4780" t="str">
            <v>0/领料</v>
          </cell>
          <cell r="G4780" t="str">
            <v>05/数车60</v>
          </cell>
          <cell r="H4780" t="str">
            <v>10/分光</v>
          </cell>
          <cell r="I4780" t="str">
            <v>15/热处理</v>
          </cell>
          <cell r="J4780" t="str">
            <v>20/数车60</v>
          </cell>
          <cell r="K4780" t="str">
            <v>25/数车30</v>
          </cell>
          <cell r="L4780" t="str">
            <v>30/数铣35</v>
          </cell>
          <cell r="M4780" t="str">
            <v>35/穿孔</v>
          </cell>
          <cell r="N4780" t="str">
            <v>40/钳工</v>
          </cell>
          <cell r="O4780" t="str">
            <v>45/清洁</v>
          </cell>
          <cell r="P4780" t="str">
            <v>50/成检</v>
          </cell>
        </row>
        <row r="4781">
          <cell r="B4781" t="str">
            <v>BC221T1CA-001-001</v>
          </cell>
          <cell r="D4781" t="str">
            <v>B</v>
          </cell>
          <cell r="E4781" t="str">
            <v>准备工时</v>
          </cell>
          <cell r="G4781">
            <v>60</v>
          </cell>
          <cell r="J4781">
            <v>120</v>
          </cell>
          <cell r="K4781">
            <v>90</v>
          </cell>
          <cell r="L4781">
            <v>60</v>
          </cell>
        </row>
        <row r="4782">
          <cell r="B4782" t="str">
            <v>BC221T1CA-001-001</v>
          </cell>
          <cell r="D4782" t="str">
            <v>B</v>
          </cell>
          <cell r="E4782" t="str">
            <v>程序时间</v>
          </cell>
          <cell r="G4782">
            <v>120</v>
          </cell>
          <cell r="J4782">
            <v>60</v>
          </cell>
          <cell r="K4782">
            <v>30</v>
          </cell>
          <cell r="L4782">
            <v>60</v>
          </cell>
          <cell r="N4782">
            <v>30</v>
          </cell>
        </row>
        <row r="4783">
          <cell r="B4783" t="str">
            <v>BC5332100-009-001</v>
          </cell>
          <cell r="D4783" t="str">
            <v>B</v>
          </cell>
          <cell r="E4783" t="str">
            <v>工序内容</v>
          </cell>
          <cell r="F4783" t="str">
            <v>0/领料</v>
          </cell>
          <cell r="G4783" t="str">
            <v>05/数铣</v>
          </cell>
          <cell r="H4783" t="str">
            <v>10/数铣8</v>
          </cell>
          <cell r="I4783" t="str">
            <v>15/数铣90</v>
          </cell>
          <cell r="J4783" t="str">
            <v>20/数铣33</v>
          </cell>
          <cell r="K4783" t="str">
            <v>25/五轴30</v>
          </cell>
          <cell r="L4783" t="str">
            <v>30/钳工</v>
          </cell>
          <cell r="M4783" t="str">
            <v>35/测量</v>
          </cell>
          <cell r="N4783" t="str">
            <v>40/清洁</v>
          </cell>
          <cell r="O4783" t="str">
            <v>45/成检</v>
          </cell>
        </row>
        <row r="4784">
          <cell r="B4784" t="str">
            <v>BC5332100-009-001</v>
          </cell>
          <cell r="D4784" t="str">
            <v>B</v>
          </cell>
          <cell r="E4784" t="str">
            <v>准备工时</v>
          </cell>
          <cell r="G4784" t="str">
            <v>60</v>
          </cell>
          <cell r="H4784" t="str">
            <v>60</v>
          </cell>
          <cell r="I4784">
            <v>60</v>
          </cell>
          <cell r="J4784">
            <v>60</v>
          </cell>
          <cell r="K4784">
            <v>90</v>
          </cell>
        </row>
        <row r="4785">
          <cell r="B4785" t="str">
            <v>BC5332100-009-001</v>
          </cell>
          <cell r="D4785" t="str">
            <v>B</v>
          </cell>
          <cell r="E4785" t="str">
            <v>装夹时间</v>
          </cell>
          <cell r="K4785" t="str">
            <v>60</v>
          </cell>
        </row>
        <row r="4786">
          <cell r="B4786" t="str">
            <v>BC5332100-009-001</v>
          </cell>
          <cell r="D4786" t="str">
            <v>B</v>
          </cell>
          <cell r="E4786" t="str">
            <v>程序时间</v>
          </cell>
          <cell r="G4786" t="str">
            <v>40</v>
          </cell>
          <cell r="H4786" t="str">
            <v>50</v>
          </cell>
          <cell r="I4786">
            <v>70</v>
          </cell>
          <cell r="J4786">
            <v>100</v>
          </cell>
          <cell r="K4786">
            <v>60</v>
          </cell>
          <cell r="L4786">
            <v>30</v>
          </cell>
        </row>
        <row r="4787">
          <cell r="B4787" t="str">
            <v>DD-J10-61101-5001/16</v>
          </cell>
          <cell r="D4787" t="str">
            <v>B</v>
          </cell>
          <cell r="E4787" t="str">
            <v>工序内容</v>
          </cell>
          <cell r="F4787" t="str">
            <v>0/领料</v>
          </cell>
          <cell r="G4787" t="str">
            <v>05/数车15</v>
          </cell>
          <cell r="H4787" t="str">
            <v>10/数车30</v>
          </cell>
          <cell r="I4787" t="str">
            <v>15/分光</v>
          </cell>
          <cell r="J4787" t="str">
            <v>20/硬度</v>
          </cell>
          <cell r="K4787" t="str">
            <v>25/车铣30</v>
          </cell>
          <cell r="L4787" t="str">
            <v>30/数车20</v>
          </cell>
          <cell r="M4787" t="str">
            <v>35/钳工</v>
          </cell>
          <cell r="N4787" t="str">
            <v>40/清洁</v>
          </cell>
          <cell r="O4787" t="str">
            <v>45/成检</v>
          </cell>
        </row>
        <row r="4788">
          <cell r="B4788" t="str">
            <v>DD-J10-61101-5001/16</v>
          </cell>
          <cell r="D4788" t="str">
            <v>B</v>
          </cell>
          <cell r="E4788" t="str">
            <v>准备工时</v>
          </cell>
          <cell r="G4788">
            <v>60</v>
          </cell>
          <cell r="H4788">
            <v>90</v>
          </cell>
          <cell r="K4788">
            <v>90</v>
          </cell>
          <cell r="L4788">
            <v>90</v>
          </cell>
        </row>
        <row r="4789">
          <cell r="B4789" t="str">
            <v>DD-J10-61101-5001/16</v>
          </cell>
          <cell r="D4789" t="str">
            <v>B</v>
          </cell>
          <cell r="E4789" t="str">
            <v>程序时间</v>
          </cell>
          <cell r="G4789">
            <v>20</v>
          </cell>
          <cell r="H4789">
            <v>35</v>
          </cell>
          <cell r="K4789">
            <v>30</v>
          </cell>
          <cell r="L4789">
            <v>30</v>
          </cell>
          <cell r="M4789">
            <v>30</v>
          </cell>
        </row>
        <row r="4790">
          <cell r="B4790" t="str">
            <v>DD-J10-61101-5001/16</v>
          </cell>
          <cell r="D4790" t="str">
            <v>C</v>
          </cell>
          <cell r="E4790" t="str">
            <v>工序内容</v>
          </cell>
          <cell r="F4790" t="str">
            <v>0/领料</v>
          </cell>
          <cell r="G4790" t="str">
            <v>05/数车15</v>
          </cell>
          <cell r="H4790" t="str">
            <v>10/数车30</v>
          </cell>
          <cell r="I4790" t="str">
            <v>15/分光</v>
          </cell>
          <cell r="J4790" t="str">
            <v>20/硬度</v>
          </cell>
          <cell r="K4790" t="str">
            <v>25/车铣30</v>
          </cell>
          <cell r="L4790" t="str">
            <v>30/数车20</v>
          </cell>
          <cell r="M4790" t="str">
            <v>35/钳工</v>
          </cell>
          <cell r="N4790" t="str">
            <v>40/清洁</v>
          </cell>
          <cell r="O4790" t="str">
            <v>45/成检</v>
          </cell>
        </row>
        <row r="4791">
          <cell r="B4791" t="str">
            <v>DD-J10-61101-5001/16</v>
          </cell>
          <cell r="D4791" t="str">
            <v>C</v>
          </cell>
          <cell r="E4791" t="str">
            <v>准备工时</v>
          </cell>
          <cell r="G4791">
            <v>60</v>
          </cell>
          <cell r="H4791">
            <v>90</v>
          </cell>
          <cell r="K4791">
            <v>90</v>
          </cell>
          <cell r="L4791">
            <v>90</v>
          </cell>
        </row>
        <row r="4792">
          <cell r="B4792" t="str">
            <v>DD-J10-61101-5001/16</v>
          </cell>
          <cell r="D4792" t="str">
            <v>C</v>
          </cell>
          <cell r="E4792" t="str">
            <v>程序时间</v>
          </cell>
          <cell r="G4792">
            <v>20</v>
          </cell>
          <cell r="H4792">
            <v>35</v>
          </cell>
          <cell r="K4792">
            <v>30</v>
          </cell>
          <cell r="L4792">
            <v>30</v>
          </cell>
          <cell r="M4792">
            <v>30</v>
          </cell>
        </row>
        <row r="4793">
          <cell r="B4793" t="str">
            <v>BC2712542-001-001</v>
          </cell>
          <cell r="D4793" t="str">
            <v>B</v>
          </cell>
          <cell r="E4793" t="str">
            <v>工序内容</v>
          </cell>
          <cell r="F4793" t="str">
            <v>0/领料</v>
          </cell>
          <cell r="G4793" t="str">
            <v>05/普车</v>
          </cell>
          <cell r="H4793" t="str">
            <v>10/分光</v>
          </cell>
          <cell r="I4793" t="str">
            <v>15/热处理</v>
          </cell>
          <cell r="J4793" t="str">
            <v>20/数车35</v>
          </cell>
          <cell r="K4793" t="str">
            <v>25/数车10</v>
          </cell>
          <cell r="L4793" t="str">
            <v>30/普车5</v>
          </cell>
          <cell r="M4793" t="str">
            <v>35/线切割</v>
          </cell>
          <cell r="N4793" t="str">
            <v>40/数铣10</v>
          </cell>
          <cell r="O4793" t="str">
            <v>45/钳工</v>
          </cell>
          <cell r="P4793" t="str">
            <v>50/中检</v>
          </cell>
          <cell r="Q4793" t="str">
            <v>55/热处理</v>
          </cell>
          <cell r="R4793" t="str">
            <v>60/表处</v>
          </cell>
          <cell r="S4793" t="str">
            <v>65/数车20</v>
          </cell>
          <cell r="T4793" t="str">
            <v>70/清洁</v>
          </cell>
          <cell r="U4793" t="str">
            <v>75/成检</v>
          </cell>
        </row>
        <row r="4794">
          <cell r="B4794" t="str">
            <v>BC2712542-001-001</v>
          </cell>
          <cell r="D4794" t="str">
            <v>B</v>
          </cell>
          <cell r="E4794" t="str">
            <v>准备工时</v>
          </cell>
          <cell r="G4794">
            <v>60</v>
          </cell>
          <cell r="J4794">
            <v>150</v>
          </cell>
          <cell r="K4794">
            <v>150</v>
          </cell>
          <cell r="L4794">
            <v>60</v>
          </cell>
          <cell r="N4794">
            <v>90</v>
          </cell>
          <cell r="S4794">
            <v>120</v>
          </cell>
        </row>
        <row r="4795">
          <cell r="B4795" t="str">
            <v>BC2712542-001-001</v>
          </cell>
          <cell r="D4795" t="str">
            <v>B</v>
          </cell>
          <cell r="E4795" t="str">
            <v>程序时间</v>
          </cell>
          <cell r="G4795">
            <v>20</v>
          </cell>
          <cell r="J4795">
            <v>50</v>
          </cell>
          <cell r="K4795">
            <v>15</v>
          </cell>
          <cell r="L4795">
            <v>10</v>
          </cell>
          <cell r="N4795">
            <v>35</v>
          </cell>
          <cell r="O4795">
            <v>40</v>
          </cell>
          <cell r="S4795">
            <v>30</v>
          </cell>
        </row>
        <row r="4796">
          <cell r="B4796" t="str">
            <v>Y20-5318210004-002</v>
          </cell>
          <cell r="D4796" t="str">
            <v>C</v>
          </cell>
          <cell r="E4796" t="str">
            <v>工序内容</v>
          </cell>
          <cell r="F4796" t="str">
            <v>0领料</v>
          </cell>
          <cell r="G4796" t="str">
            <v>5/数车30</v>
          </cell>
          <cell r="H4796" t="str">
            <v>10/数车10</v>
          </cell>
          <cell r="I4796" t="str">
            <v>15/清洁</v>
          </cell>
          <cell r="J4796" t="str">
            <v>20/成检</v>
          </cell>
        </row>
        <row r="4797">
          <cell r="B4797" t="str">
            <v>Y20-5318210004-002</v>
          </cell>
          <cell r="D4797" t="str">
            <v>C</v>
          </cell>
          <cell r="E4797" t="str">
            <v>准备工时</v>
          </cell>
          <cell r="G4797">
            <v>90</v>
          </cell>
          <cell r="H4797">
            <v>60</v>
          </cell>
        </row>
        <row r="4798">
          <cell r="B4798" t="str">
            <v>Y20-5318210004-002</v>
          </cell>
          <cell r="D4798" t="str">
            <v>C</v>
          </cell>
          <cell r="E4798" t="str">
            <v>程序时间</v>
          </cell>
          <cell r="G4798">
            <v>40</v>
          </cell>
          <cell r="H4798">
            <v>15</v>
          </cell>
        </row>
        <row r="4799">
          <cell r="B4799" t="str">
            <v>DD-J10-54101-2822</v>
          </cell>
          <cell r="D4799" t="str">
            <v>B</v>
          </cell>
          <cell r="E4799" t="str">
            <v>工序内容</v>
          </cell>
          <cell r="F4799" t="str">
            <v>0/领料</v>
          </cell>
          <cell r="G4799" t="str">
            <v>5/数车9</v>
          </cell>
          <cell r="H4799" t="str">
            <v>10/数车3</v>
          </cell>
          <cell r="I4799" t="str">
            <v>15/钳工</v>
          </cell>
          <cell r="J4799" t="str">
            <v>20/清洁</v>
          </cell>
          <cell r="K4799" t="str">
            <v>25/成检</v>
          </cell>
        </row>
        <row r="4800">
          <cell r="B4800" t="str">
            <v>DD-J10-54101-2822</v>
          </cell>
          <cell r="D4800" t="str">
            <v>B</v>
          </cell>
          <cell r="E4800" t="str">
            <v>准备工时</v>
          </cell>
          <cell r="G4800">
            <v>60</v>
          </cell>
          <cell r="H4800">
            <v>60</v>
          </cell>
        </row>
        <row r="4801">
          <cell r="B4801" t="str">
            <v>DD-J10-54101-2822</v>
          </cell>
          <cell r="D4801" t="str">
            <v>B</v>
          </cell>
          <cell r="E4801" t="str">
            <v>程序时间</v>
          </cell>
          <cell r="G4801">
            <v>15</v>
          </cell>
          <cell r="H4801">
            <v>8</v>
          </cell>
          <cell r="I4801">
            <v>6</v>
          </cell>
        </row>
        <row r="4802">
          <cell r="B4802" t="str">
            <v>DD-J10-55023-632</v>
          </cell>
          <cell r="D4802" t="str">
            <v>C</v>
          </cell>
          <cell r="E4802" t="str">
            <v>工序内容</v>
          </cell>
          <cell r="F4802" t="str">
            <v>0/领料</v>
          </cell>
          <cell r="G4802" t="str">
            <v>5/数车15</v>
          </cell>
          <cell r="H4802" t="str">
            <v>10/数车10</v>
          </cell>
          <cell r="I4802" t="str">
            <v>15/数车15</v>
          </cell>
          <cell r="J4802" t="str">
            <v>20/数车10</v>
          </cell>
          <cell r="K4802" t="str">
            <v>25/穿孔</v>
          </cell>
          <cell r="L4802" t="str">
            <v>30/钳工</v>
          </cell>
          <cell r="M4802" t="str">
            <v>35/清洁</v>
          </cell>
          <cell r="N4802" t="str">
            <v>40/成检</v>
          </cell>
        </row>
        <row r="4803">
          <cell r="B4803" t="str">
            <v>DD-J10-55023-632</v>
          </cell>
          <cell r="D4803" t="str">
            <v>C</v>
          </cell>
          <cell r="E4803" t="str">
            <v>准备工时</v>
          </cell>
          <cell r="G4803">
            <v>60</v>
          </cell>
          <cell r="H4803">
            <v>90</v>
          </cell>
          <cell r="I4803">
            <v>90</v>
          </cell>
          <cell r="J4803">
            <v>90</v>
          </cell>
          <cell r="K4803">
            <v>60</v>
          </cell>
        </row>
        <row r="4804">
          <cell r="B4804" t="str">
            <v>DD-J10-55023-632</v>
          </cell>
          <cell r="D4804" t="str">
            <v>C</v>
          </cell>
          <cell r="E4804" t="str">
            <v>程序时间</v>
          </cell>
          <cell r="G4804">
            <v>20</v>
          </cell>
          <cell r="H4804">
            <v>15</v>
          </cell>
          <cell r="I4804">
            <v>20</v>
          </cell>
          <cell r="J4804">
            <v>15</v>
          </cell>
          <cell r="K4804">
            <v>15</v>
          </cell>
          <cell r="L4804">
            <v>20</v>
          </cell>
        </row>
        <row r="4805">
          <cell r="B4805" t="str">
            <v>DD-J10-62021-11106</v>
          </cell>
          <cell r="D4805" t="str">
            <v>B</v>
          </cell>
          <cell r="E4805" t="str">
            <v>工序内容</v>
          </cell>
          <cell r="F4805" t="str">
            <v>0/领料</v>
          </cell>
          <cell r="G4805" t="str">
            <v>05/钳工</v>
          </cell>
          <cell r="H4805" t="str">
            <v>10/数车25</v>
          </cell>
          <cell r="I4805" t="str">
            <v>15/数车20</v>
          </cell>
          <cell r="J4805" t="str">
            <v>20/数车20</v>
          </cell>
          <cell r="K4805" t="str">
            <v>25/钳工</v>
          </cell>
          <cell r="L4805" t="str">
            <v>30清洁</v>
          </cell>
          <cell r="M4805" t="str">
            <v>35成检</v>
          </cell>
        </row>
        <row r="4806">
          <cell r="B4806" t="str">
            <v>DD-J10-62021-11106</v>
          </cell>
          <cell r="D4806" t="str">
            <v>B</v>
          </cell>
          <cell r="E4806" t="str">
            <v>准备工时</v>
          </cell>
          <cell r="H4806">
            <v>90</v>
          </cell>
          <cell r="I4806">
            <v>90</v>
          </cell>
          <cell r="J4806">
            <v>90</v>
          </cell>
        </row>
        <row r="4807">
          <cell r="B4807" t="str">
            <v>DD-J10-62021-11106</v>
          </cell>
          <cell r="D4807" t="str">
            <v>B</v>
          </cell>
          <cell r="E4807" t="str">
            <v>程序时间</v>
          </cell>
          <cell r="G4807">
            <v>10</v>
          </cell>
          <cell r="H4807">
            <v>40</v>
          </cell>
          <cell r="I4807">
            <v>30</v>
          </cell>
          <cell r="J4807">
            <v>30</v>
          </cell>
          <cell r="K4807" t="str">
            <v>30</v>
          </cell>
        </row>
        <row r="4808">
          <cell r="B4808" t="str">
            <v>DD-J10B-94076-2051</v>
          </cell>
          <cell r="D4808" t="str">
            <v>D</v>
          </cell>
          <cell r="E4808" t="str">
            <v>工序内容</v>
          </cell>
          <cell r="F4808" t="str">
            <v>0/领料</v>
          </cell>
          <cell r="G4808" t="str">
            <v>5/分光</v>
          </cell>
          <cell r="H4808" t="str">
            <v>10/普车</v>
          </cell>
          <cell r="I4808" t="str">
            <v>15/滚花</v>
          </cell>
          <cell r="J4808" t="str">
            <v>20/数车</v>
          </cell>
          <cell r="K4808" t="str">
            <v>25/数车</v>
          </cell>
          <cell r="L4808" t="str">
            <v>30/数铣15</v>
          </cell>
          <cell r="M4808" t="str">
            <v>35/钳工</v>
          </cell>
          <cell r="N4808" t="str">
            <v>40/成检</v>
          </cell>
        </row>
        <row r="4809">
          <cell r="B4809" t="str">
            <v>DD-J10B-94076-2051</v>
          </cell>
          <cell r="D4809" t="str">
            <v>D</v>
          </cell>
          <cell r="E4809" t="str">
            <v>准备工时</v>
          </cell>
          <cell r="H4809">
            <v>60</v>
          </cell>
          <cell r="I4809">
            <v>60</v>
          </cell>
          <cell r="J4809">
            <v>90</v>
          </cell>
          <cell r="K4809">
            <v>90</v>
          </cell>
          <cell r="L4809">
            <v>90</v>
          </cell>
        </row>
        <row r="4810">
          <cell r="B4810" t="str">
            <v>DD-J10B-94076-2051</v>
          </cell>
          <cell r="D4810" t="str">
            <v>D</v>
          </cell>
          <cell r="E4810" t="str">
            <v>程序时间</v>
          </cell>
          <cell r="H4810">
            <v>30</v>
          </cell>
          <cell r="I4810">
            <v>15</v>
          </cell>
          <cell r="J4810">
            <v>60</v>
          </cell>
          <cell r="K4810">
            <v>15</v>
          </cell>
          <cell r="L4810">
            <v>30</v>
          </cell>
          <cell r="M4810">
            <v>30</v>
          </cell>
        </row>
        <row r="4811">
          <cell r="B4811" t="str">
            <v>DD-J10-61041-2</v>
          </cell>
          <cell r="D4811" t="str">
            <v>C</v>
          </cell>
          <cell r="E4811" t="str">
            <v>工序内容</v>
          </cell>
          <cell r="F4811" t="str">
            <v>0/领料</v>
          </cell>
          <cell r="G4811" t="str">
            <v>05/数车15</v>
          </cell>
          <cell r="H4811" t="str">
            <v>10/数车30</v>
          </cell>
          <cell r="I4811" t="str">
            <v>15/分光</v>
          </cell>
          <cell r="J4811" t="str">
            <v>20/硬度</v>
          </cell>
          <cell r="K4811" t="str">
            <v>25/数车20</v>
          </cell>
          <cell r="L4811" t="str">
            <v>30/数铣20</v>
          </cell>
          <cell r="M4811" t="str">
            <v>35/钳工</v>
          </cell>
          <cell r="N4811" t="str">
            <v>40/清洁</v>
          </cell>
          <cell r="O4811" t="str">
            <v>45/成检</v>
          </cell>
        </row>
        <row r="4812">
          <cell r="B4812" t="str">
            <v>DD-J10-61041-2</v>
          </cell>
          <cell r="D4812" t="str">
            <v>C</v>
          </cell>
          <cell r="E4812" t="str">
            <v>准备工时</v>
          </cell>
          <cell r="G4812">
            <v>60</v>
          </cell>
          <cell r="H4812">
            <v>90</v>
          </cell>
          <cell r="K4812">
            <v>90</v>
          </cell>
          <cell r="L4812">
            <v>60</v>
          </cell>
        </row>
        <row r="4813">
          <cell r="B4813" t="str">
            <v>DD-J10-61041-2</v>
          </cell>
          <cell r="D4813" t="str">
            <v>C</v>
          </cell>
          <cell r="E4813" t="str">
            <v>程序时间</v>
          </cell>
          <cell r="G4813">
            <v>20</v>
          </cell>
          <cell r="H4813">
            <v>35</v>
          </cell>
          <cell r="K4813">
            <v>30</v>
          </cell>
          <cell r="L4813">
            <v>30</v>
          </cell>
          <cell r="M4813">
            <v>25</v>
          </cell>
        </row>
        <row r="4814">
          <cell r="B4814" t="str">
            <v>Y20-5226204002-001</v>
          </cell>
          <cell r="D4814" t="str">
            <v>B</v>
          </cell>
          <cell r="E4814" t="str">
            <v>工序内容</v>
          </cell>
          <cell r="F4814" t="str">
            <v>0/领料</v>
          </cell>
          <cell r="G4814" t="str">
            <v>5/普车20</v>
          </cell>
          <cell r="H4814" t="str">
            <v>10/分光</v>
          </cell>
          <cell r="I4814" t="str">
            <v>15/热处理</v>
          </cell>
          <cell r="J4814" t="str">
            <v>20/数车20</v>
          </cell>
          <cell r="K4814" t="str">
            <v>25/数车20</v>
          </cell>
          <cell r="L4814" t="str">
            <v>30/数车5</v>
          </cell>
          <cell r="M4814" t="str">
            <v>35/热处理</v>
          </cell>
          <cell r="N4814" t="str">
            <v>40数车15</v>
          </cell>
          <cell r="O4814" t="str">
            <v>45/清洁</v>
          </cell>
          <cell r="P4814" t="str">
            <v>50/成检</v>
          </cell>
        </row>
        <row r="4815">
          <cell r="B4815" t="str">
            <v>Y20-5226204002-001</v>
          </cell>
          <cell r="D4815" t="str">
            <v>B</v>
          </cell>
          <cell r="E4815" t="str">
            <v>准备工时</v>
          </cell>
          <cell r="G4815">
            <v>90</v>
          </cell>
          <cell r="J4815">
            <v>60</v>
          </cell>
          <cell r="K4815">
            <v>90</v>
          </cell>
          <cell r="L4815">
            <v>60</v>
          </cell>
          <cell r="N4815">
            <v>90</v>
          </cell>
        </row>
        <row r="4816">
          <cell r="B4816" t="str">
            <v>Y20-5226204002-001</v>
          </cell>
          <cell r="D4816" t="str">
            <v>B</v>
          </cell>
          <cell r="E4816" t="str">
            <v>程序时间</v>
          </cell>
          <cell r="G4816" t="str">
            <v>40/根</v>
          </cell>
          <cell r="J4816">
            <v>20</v>
          </cell>
          <cell r="K4816">
            <v>30</v>
          </cell>
          <cell r="L4816">
            <v>15</v>
          </cell>
          <cell r="N4816">
            <v>30</v>
          </cell>
        </row>
        <row r="4817">
          <cell r="B4817" t="str">
            <v>DD-J10-55181-2540-2</v>
          </cell>
          <cell r="D4817" t="str">
            <v>C</v>
          </cell>
          <cell r="E4817" t="str">
            <v>工序内容</v>
          </cell>
          <cell r="F4817" t="str">
            <v>领料</v>
          </cell>
          <cell r="G4817" t="str">
            <v>数车</v>
          </cell>
          <cell r="H4817" t="str">
            <v>数车</v>
          </cell>
          <cell r="I4817" t="str">
            <v>数车</v>
          </cell>
          <cell r="J4817" t="str">
            <v>钳标牌</v>
          </cell>
          <cell r="K4817" t="str">
            <v>25/分光</v>
          </cell>
          <cell r="L4817" t="str">
            <v>30/钳工</v>
          </cell>
          <cell r="M4817" t="str">
            <v>35/清洁</v>
          </cell>
          <cell r="N4817" t="str">
            <v>40/成检</v>
          </cell>
        </row>
        <row r="4818">
          <cell r="B4818" t="str">
            <v>DD-J10-55181-2540-2</v>
          </cell>
          <cell r="D4818" t="str">
            <v>C</v>
          </cell>
          <cell r="E4818" t="str">
            <v>准备工时</v>
          </cell>
          <cell r="G4818">
            <v>60</v>
          </cell>
          <cell r="H4818">
            <v>60</v>
          </cell>
          <cell r="I4818">
            <v>60</v>
          </cell>
        </row>
        <row r="4819">
          <cell r="B4819" t="str">
            <v>DD-J10-55181-2540-2</v>
          </cell>
          <cell r="D4819" t="str">
            <v>C</v>
          </cell>
          <cell r="E4819" t="str">
            <v>程序时间</v>
          </cell>
          <cell r="G4819">
            <v>25</v>
          </cell>
          <cell r="H4819">
            <v>30</v>
          </cell>
          <cell r="I4819">
            <v>10</v>
          </cell>
          <cell r="J4819">
            <v>3</v>
          </cell>
          <cell r="L4819">
            <v>20</v>
          </cell>
        </row>
        <row r="4820">
          <cell r="B4820" t="str">
            <v>CB2284450-001-001</v>
          </cell>
          <cell r="D4820" t="str">
            <v>C</v>
          </cell>
          <cell r="E4820" t="str">
            <v>工序内容</v>
          </cell>
          <cell r="F4820" t="str">
            <v>0/领料</v>
          </cell>
          <cell r="G4820" t="str">
            <v>5/数车15</v>
          </cell>
          <cell r="H4820" t="str">
            <v>10/数车30</v>
          </cell>
          <cell r="I4820" t="str">
            <v>15/车铣25</v>
          </cell>
          <cell r="J4820" t="str">
            <v>20/分光</v>
          </cell>
          <cell r="K4820" t="str">
            <v>25/硬度</v>
          </cell>
          <cell r="L4820" t="str">
            <v>30/数车25</v>
          </cell>
          <cell r="M4820" t="str">
            <v>35/钳工</v>
          </cell>
          <cell r="N4820" t="str">
            <v>40/清洁</v>
          </cell>
          <cell r="O4820" t="str">
            <v>45/成检</v>
          </cell>
          <cell r="R4820" t="str">
            <v>60/成检</v>
          </cell>
        </row>
        <row r="4821">
          <cell r="B4821" t="str">
            <v>CB2284450-001-001</v>
          </cell>
          <cell r="D4821" t="str">
            <v>C</v>
          </cell>
          <cell r="E4821" t="str">
            <v>准备工时</v>
          </cell>
          <cell r="G4821">
            <v>60</v>
          </cell>
          <cell r="H4821">
            <v>90</v>
          </cell>
          <cell r="I4821">
            <v>90</v>
          </cell>
          <cell r="L4821">
            <v>90</v>
          </cell>
        </row>
        <row r="4822">
          <cell r="B4822" t="str">
            <v>CB2284450-001-001</v>
          </cell>
          <cell r="D4822" t="str">
            <v>C</v>
          </cell>
          <cell r="E4822" t="str">
            <v>程序时间</v>
          </cell>
          <cell r="G4822">
            <v>20</v>
          </cell>
          <cell r="H4822">
            <v>40</v>
          </cell>
          <cell r="I4822">
            <v>40</v>
          </cell>
          <cell r="L4822">
            <v>40</v>
          </cell>
          <cell r="M4822">
            <v>25</v>
          </cell>
        </row>
        <row r="4823">
          <cell r="B4823" t="str">
            <v>DD-J10-55181-16</v>
          </cell>
          <cell r="D4823" t="str">
            <v>D</v>
          </cell>
          <cell r="E4823" t="str">
            <v>工序内容</v>
          </cell>
          <cell r="F4823" t="str">
            <v>0/领料</v>
          </cell>
          <cell r="G4823" t="str">
            <v>5/硬检</v>
          </cell>
          <cell r="H4823" t="str">
            <v>10/钳工</v>
          </cell>
          <cell r="I4823" t="str">
            <v>15/数车10</v>
          </cell>
          <cell r="J4823" t="str">
            <v>20/数车10</v>
          </cell>
          <cell r="K4823" t="str">
            <v>25/数车10</v>
          </cell>
          <cell r="L4823" t="str">
            <v>30/数车20</v>
          </cell>
          <cell r="M4823" t="str">
            <v>35/数车15</v>
          </cell>
          <cell r="N4823" t="str">
            <v>40/数车20</v>
          </cell>
          <cell r="O4823" t="str">
            <v>45/钳工</v>
          </cell>
          <cell r="P4823" t="str">
            <v>50/清洁</v>
          </cell>
          <cell r="Q4823" t="str">
            <v>55/成检</v>
          </cell>
        </row>
        <row r="4824">
          <cell r="B4824" t="str">
            <v>DD-J10-55181-16</v>
          </cell>
          <cell r="D4824" t="str">
            <v>D</v>
          </cell>
          <cell r="E4824" t="str">
            <v>准备工时</v>
          </cell>
          <cell r="I4824">
            <v>90</v>
          </cell>
          <cell r="J4824">
            <v>90</v>
          </cell>
          <cell r="K4824">
            <v>90</v>
          </cell>
          <cell r="L4824" t="str">
            <v>150</v>
          </cell>
          <cell r="M4824" t="str">
            <v>150</v>
          </cell>
          <cell r="N4824" t="str">
            <v>150</v>
          </cell>
        </row>
        <row r="4825">
          <cell r="B4825" t="str">
            <v>DD-J10-55181-16</v>
          </cell>
          <cell r="D4825" t="str">
            <v>D</v>
          </cell>
          <cell r="E4825" t="str">
            <v>程序时间</v>
          </cell>
          <cell r="H4825">
            <v>25</v>
          </cell>
          <cell r="I4825">
            <v>15</v>
          </cell>
          <cell r="J4825">
            <v>15</v>
          </cell>
          <cell r="K4825">
            <v>10</v>
          </cell>
          <cell r="L4825" t="str">
            <v>35</v>
          </cell>
          <cell r="M4825" t="str">
            <v>30</v>
          </cell>
          <cell r="N4825" t="str">
            <v>35</v>
          </cell>
          <cell r="O4825" t="str">
            <v>35</v>
          </cell>
        </row>
        <row r="4826">
          <cell r="B4826" t="str">
            <v>DD-J10-41123-1102</v>
          </cell>
          <cell r="D4826" t="str">
            <v>B</v>
          </cell>
          <cell r="E4826" t="str">
            <v>工序内容</v>
          </cell>
          <cell r="F4826" t="str">
            <v>0/领料</v>
          </cell>
          <cell r="G4826" t="str">
            <v>5/数车10</v>
          </cell>
          <cell r="H4826" t="str">
            <v>10/数车3</v>
          </cell>
          <cell r="I4826" t="str">
            <v>15/清洁</v>
          </cell>
          <cell r="J4826" t="str">
            <v>20/成检</v>
          </cell>
        </row>
        <row r="4827">
          <cell r="B4827" t="str">
            <v>DD-J10-41123-1102</v>
          </cell>
          <cell r="D4827" t="str">
            <v>B</v>
          </cell>
          <cell r="E4827" t="str">
            <v>准备工时</v>
          </cell>
          <cell r="G4827">
            <v>60</v>
          </cell>
          <cell r="H4827">
            <v>60</v>
          </cell>
        </row>
        <row r="4828">
          <cell r="B4828" t="str">
            <v>DD-J10-41123-1102</v>
          </cell>
          <cell r="D4828" t="str">
            <v>B</v>
          </cell>
          <cell r="E4828" t="str">
            <v>程序时间</v>
          </cell>
          <cell r="G4828">
            <v>20</v>
          </cell>
          <cell r="H4828">
            <v>10</v>
          </cell>
        </row>
        <row r="4829">
          <cell r="B4829" t="str">
            <v>CB221T2LR-001-001</v>
          </cell>
          <cell r="D4829" t="str">
            <v>B</v>
          </cell>
          <cell r="E4829" t="str">
            <v>工序内容</v>
          </cell>
          <cell r="F4829" t="str">
            <v>0/领料</v>
          </cell>
          <cell r="G4829" t="str">
            <v>05/普车</v>
          </cell>
          <cell r="H4829" t="str">
            <v>10/分光</v>
          </cell>
          <cell r="I4829" t="str">
            <v>15/热处理</v>
          </cell>
          <cell r="J4829" t="str">
            <v>20/数车35</v>
          </cell>
          <cell r="K4829" t="str">
            <v>25/数车10</v>
          </cell>
          <cell r="L4829" t="str">
            <v>30/清洁</v>
          </cell>
          <cell r="M4829" t="str">
            <v>35/成检</v>
          </cell>
        </row>
        <row r="4830">
          <cell r="B4830" t="str">
            <v>CB221T2LR-001-001</v>
          </cell>
          <cell r="D4830" t="str">
            <v>B</v>
          </cell>
          <cell r="E4830" t="str">
            <v>准备工时</v>
          </cell>
          <cell r="G4830">
            <v>60</v>
          </cell>
          <cell r="J4830">
            <v>90</v>
          </cell>
          <cell r="K4830">
            <v>90</v>
          </cell>
        </row>
        <row r="4831">
          <cell r="B4831" t="str">
            <v>CB221T2LR-001-001</v>
          </cell>
          <cell r="D4831" t="str">
            <v>B</v>
          </cell>
          <cell r="E4831" t="str">
            <v>程序时间</v>
          </cell>
          <cell r="G4831" t="str">
            <v>40/根</v>
          </cell>
          <cell r="J4831">
            <v>120</v>
          </cell>
          <cell r="K4831">
            <v>20</v>
          </cell>
        </row>
        <row r="4832">
          <cell r="B4832" t="str">
            <v>Y20-5318210002-001</v>
          </cell>
          <cell r="D4832" t="str">
            <v>C</v>
          </cell>
          <cell r="E4832" t="str">
            <v>工序内容</v>
          </cell>
          <cell r="F4832" t="str">
            <v>0/领料</v>
          </cell>
          <cell r="G4832" t="str">
            <v>5/数车50</v>
          </cell>
          <cell r="H4832" t="str">
            <v>10/数车10</v>
          </cell>
          <cell r="I4832" t="str">
            <v>15/钳工</v>
          </cell>
          <cell r="J4832" t="str">
            <v>20/清洁</v>
          </cell>
          <cell r="K4832" t="str">
            <v>25/成检</v>
          </cell>
        </row>
        <row r="4833">
          <cell r="B4833" t="str">
            <v>Y20-5318210002-001</v>
          </cell>
          <cell r="D4833" t="str">
            <v>C</v>
          </cell>
          <cell r="E4833" t="str">
            <v>准备工时</v>
          </cell>
          <cell r="G4833">
            <v>120</v>
          </cell>
          <cell r="H4833">
            <v>60</v>
          </cell>
        </row>
        <row r="4834">
          <cell r="B4834" t="str">
            <v>Y20-5318210002-001</v>
          </cell>
          <cell r="D4834" t="str">
            <v>C</v>
          </cell>
          <cell r="E4834" t="str">
            <v>程序时间</v>
          </cell>
          <cell r="G4834">
            <v>180</v>
          </cell>
          <cell r="H4834">
            <v>30</v>
          </cell>
          <cell r="I4834">
            <v>20</v>
          </cell>
        </row>
        <row r="4835">
          <cell r="B4835" t="str">
            <v>Y20-5318210002-002</v>
          </cell>
          <cell r="D4835" t="str">
            <v>C</v>
          </cell>
          <cell r="E4835" t="str">
            <v>工序内容</v>
          </cell>
          <cell r="F4835" t="str">
            <v>0/领料</v>
          </cell>
          <cell r="G4835" t="str">
            <v>5/数车50</v>
          </cell>
          <cell r="H4835" t="str">
            <v>10/数车10</v>
          </cell>
          <cell r="I4835" t="str">
            <v>15/钳工</v>
          </cell>
          <cell r="J4835" t="str">
            <v>20/清洁</v>
          </cell>
          <cell r="K4835" t="str">
            <v>25/成检</v>
          </cell>
        </row>
        <row r="4836">
          <cell r="B4836" t="str">
            <v>Y20-5318210002-002</v>
          </cell>
          <cell r="D4836" t="str">
            <v>C</v>
          </cell>
          <cell r="E4836" t="str">
            <v>准备工时</v>
          </cell>
          <cell r="G4836">
            <v>120</v>
          </cell>
          <cell r="H4836">
            <v>60</v>
          </cell>
        </row>
        <row r="4837">
          <cell r="B4837" t="str">
            <v>Y20-5318210002-002</v>
          </cell>
          <cell r="D4837" t="str">
            <v>C</v>
          </cell>
          <cell r="E4837" t="str">
            <v>程序时间</v>
          </cell>
          <cell r="G4837">
            <v>180</v>
          </cell>
          <cell r="H4837">
            <v>30</v>
          </cell>
          <cell r="I4837">
            <v>20</v>
          </cell>
        </row>
        <row r="4838">
          <cell r="B4838" t="str">
            <v>BC221T1BB-001-001</v>
          </cell>
          <cell r="D4838" t="str">
            <v>C</v>
          </cell>
          <cell r="E4838" t="str">
            <v>工序内容</v>
          </cell>
          <cell r="F4838" t="str">
            <v>0/领料</v>
          </cell>
          <cell r="G4838" t="str">
            <v>05/数车 30</v>
          </cell>
          <cell r="H4838" t="str">
            <v>10/数车 45</v>
          </cell>
          <cell r="I4838" t="str">
            <v>15/分光</v>
          </cell>
          <cell r="J4838" t="str">
            <v>20/热处理</v>
          </cell>
          <cell r="K4838" t="str">
            <v>25/数车30</v>
          </cell>
          <cell r="L4838" t="str">
            <v>30/数车30</v>
          </cell>
          <cell r="M4838" t="str">
            <v>35/数车120</v>
          </cell>
          <cell r="N4838" t="str">
            <v>40/数车60</v>
          </cell>
          <cell r="O4838" t="str">
            <v>45/线切割</v>
          </cell>
          <cell r="P4838" t="str">
            <v>50/钳工</v>
          </cell>
          <cell r="Q4838" t="str">
            <v>55/清洁</v>
          </cell>
          <cell r="R4838" t="str">
            <v>60/成检</v>
          </cell>
        </row>
        <row r="4839">
          <cell r="B4839" t="str">
            <v>BC221T1BB-001-001</v>
          </cell>
          <cell r="D4839" t="str">
            <v>C</v>
          </cell>
          <cell r="E4839" t="str">
            <v>准备时间</v>
          </cell>
          <cell r="G4839">
            <v>60</v>
          </cell>
          <cell r="H4839">
            <v>90</v>
          </cell>
          <cell r="K4839">
            <v>90</v>
          </cell>
          <cell r="L4839">
            <v>90</v>
          </cell>
          <cell r="M4839">
            <v>120</v>
          </cell>
          <cell r="N4839">
            <v>120</v>
          </cell>
        </row>
        <row r="4840">
          <cell r="B4840" t="str">
            <v>BC221T1BB-001-001</v>
          </cell>
          <cell r="D4840" t="str">
            <v>C</v>
          </cell>
          <cell r="E4840" t="str">
            <v>程序时间</v>
          </cell>
          <cell r="G4840" t="str">
            <v>45/根</v>
          </cell>
          <cell r="H4840">
            <v>45</v>
          </cell>
          <cell r="K4840">
            <v>30</v>
          </cell>
          <cell r="L4840">
            <v>30</v>
          </cell>
          <cell r="M4840">
            <v>120</v>
          </cell>
          <cell r="N4840">
            <v>60</v>
          </cell>
          <cell r="P4840">
            <v>50</v>
          </cell>
        </row>
        <row r="4841">
          <cell r="B4841" t="str">
            <v>BC221T1YC-001-001</v>
          </cell>
          <cell r="D4841" t="str">
            <v>B</v>
          </cell>
          <cell r="E4841" t="str">
            <v>工序内容</v>
          </cell>
          <cell r="F4841" t="str">
            <v>0/领料</v>
          </cell>
          <cell r="G4841" t="str">
            <v>05/普车60</v>
          </cell>
          <cell r="H4841" t="str">
            <v>10/无</v>
          </cell>
          <cell r="I4841" t="str">
            <v>15/分光</v>
          </cell>
          <cell r="J4841" t="str">
            <v>20/热处理</v>
          </cell>
          <cell r="K4841" t="str">
            <v>25/数车45</v>
          </cell>
          <cell r="L4841" t="str">
            <v>30/数车20</v>
          </cell>
          <cell r="M4841" t="str">
            <v>35/清洁</v>
          </cell>
          <cell r="N4841" t="str">
            <v>40/成检</v>
          </cell>
        </row>
        <row r="4842">
          <cell r="B4842" t="str">
            <v>BC221T1YC-001-001</v>
          </cell>
          <cell r="D4842" t="str">
            <v>B</v>
          </cell>
          <cell r="E4842" t="str">
            <v>准备工时</v>
          </cell>
          <cell r="G4842">
            <v>60</v>
          </cell>
          <cell r="K4842">
            <v>90</v>
          </cell>
          <cell r="L4842">
            <v>90</v>
          </cell>
        </row>
        <row r="4843">
          <cell r="B4843" t="str">
            <v>BC221T1YC-001-001</v>
          </cell>
          <cell r="D4843" t="str">
            <v>B</v>
          </cell>
          <cell r="E4843" t="str">
            <v>程序时间</v>
          </cell>
          <cell r="G4843">
            <v>30</v>
          </cell>
          <cell r="K4843">
            <v>50</v>
          </cell>
          <cell r="L4843">
            <v>25</v>
          </cell>
        </row>
        <row r="4844">
          <cell r="B4844" t="str">
            <v>DD-J10-96031-130-1</v>
          </cell>
          <cell r="D4844" t="str">
            <v>B</v>
          </cell>
          <cell r="E4844" t="str">
            <v>工序内容</v>
          </cell>
          <cell r="F4844" t="str">
            <v>0/领料</v>
          </cell>
          <cell r="G4844" t="str">
            <v>5/数车</v>
          </cell>
          <cell r="H4844" t="str">
            <v>10/数车</v>
          </cell>
          <cell r="I4844" t="str">
            <v>15/钳工</v>
          </cell>
          <cell r="J4844" t="str">
            <v>20/成检</v>
          </cell>
        </row>
        <row r="4845">
          <cell r="B4845" t="str">
            <v>DD-J10-96031-130-1</v>
          </cell>
          <cell r="D4845" t="str">
            <v>B</v>
          </cell>
          <cell r="E4845" t="str">
            <v>准备工时</v>
          </cell>
          <cell r="G4845">
            <v>60</v>
          </cell>
          <cell r="H4845">
            <v>60</v>
          </cell>
        </row>
        <row r="4846">
          <cell r="B4846" t="str">
            <v>DD-J10-96031-130-1</v>
          </cell>
          <cell r="D4846" t="str">
            <v>B</v>
          </cell>
          <cell r="E4846" t="str">
            <v>程序时间</v>
          </cell>
          <cell r="G4846">
            <v>15</v>
          </cell>
          <cell r="H4846">
            <v>10</v>
          </cell>
          <cell r="I4846">
            <v>5</v>
          </cell>
        </row>
        <row r="4847">
          <cell r="B4847" t="str">
            <v>DD-J10-96031-104</v>
          </cell>
          <cell r="D4847" t="str">
            <v>C</v>
          </cell>
          <cell r="E4847" t="str">
            <v>工序内容</v>
          </cell>
          <cell r="F4847" t="str">
            <v>0/领料</v>
          </cell>
          <cell r="G4847" t="str">
            <v>5/数车(12)</v>
          </cell>
          <cell r="H4847" t="str">
            <v>10/数车(3)</v>
          </cell>
          <cell r="I4847" t="str">
            <v>15/数铣(5)</v>
          </cell>
          <cell r="J4847" t="str">
            <v>20/钳工</v>
          </cell>
        </row>
        <row r="4848">
          <cell r="B4848" t="str">
            <v>DD-J10-96031-104</v>
          </cell>
          <cell r="D4848" t="str">
            <v>C</v>
          </cell>
          <cell r="E4848" t="str">
            <v>准备工时</v>
          </cell>
          <cell r="G4848">
            <v>90</v>
          </cell>
          <cell r="H4848">
            <v>60</v>
          </cell>
          <cell r="I4848">
            <v>60</v>
          </cell>
        </row>
        <row r="4849">
          <cell r="B4849" t="str">
            <v>DD-J10-96031-104</v>
          </cell>
          <cell r="D4849" t="str">
            <v>C</v>
          </cell>
          <cell r="E4849" t="str">
            <v>程序时间</v>
          </cell>
          <cell r="G4849">
            <v>25</v>
          </cell>
          <cell r="H4849">
            <v>20</v>
          </cell>
          <cell r="I4849">
            <v>10</v>
          </cell>
          <cell r="J4849">
            <v>20</v>
          </cell>
        </row>
        <row r="4850">
          <cell r="B4850" t="str">
            <v>Y20-5318120002-001</v>
          </cell>
          <cell r="D4850" t="str">
            <v>B</v>
          </cell>
          <cell r="E4850" t="str">
            <v>工序内容</v>
          </cell>
          <cell r="F4850" t="str">
            <v>0/领料</v>
          </cell>
          <cell r="G4850" t="str">
            <v>5/数车30</v>
          </cell>
          <cell r="H4850" t="str">
            <v>10/数车10</v>
          </cell>
          <cell r="I4850" t="str">
            <v>15/清洁</v>
          </cell>
          <cell r="J4850" t="str">
            <v>20/成检</v>
          </cell>
        </row>
        <row r="4851">
          <cell r="B4851" t="str">
            <v>Y20-5318120002-001</v>
          </cell>
          <cell r="D4851" t="str">
            <v>B</v>
          </cell>
          <cell r="E4851" t="str">
            <v>准备工时</v>
          </cell>
          <cell r="G4851">
            <v>90</v>
          </cell>
          <cell r="H4851">
            <v>60</v>
          </cell>
        </row>
        <row r="4852">
          <cell r="B4852" t="str">
            <v>Y20-5318120002-001</v>
          </cell>
          <cell r="D4852" t="str">
            <v>B</v>
          </cell>
          <cell r="E4852" t="str">
            <v>程序时间</v>
          </cell>
          <cell r="G4852">
            <v>35</v>
          </cell>
          <cell r="H4852">
            <v>15</v>
          </cell>
        </row>
        <row r="4853">
          <cell r="B4853" t="str">
            <v>CB2283792-002-002</v>
          </cell>
          <cell r="D4853" t="str">
            <v>B</v>
          </cell>
          <cell r="E4853" t="str">
            <v>工序内容</v>
          </cell>
          <cell r="F4853" t="str">
            <v>0/领料</v>
          </cell>
          <cell r="G4853" t="str">
            <v>05/数车35</v>
          </cell>
          <cell r="H4853" t="str">
            <v>10/数车15</v>
          </cell>
          <cell r="I4853" t="str">
            <v>15/数铣30</v>
          </cell>
          <cell r="J4853" t="str">
            <v>20/钳工</v>
          </cell>
        </row>
        <row r="4854">
          <cell r="B4854" t="str">
            <v>CB2283792-002-002</v>
          </cell>
          <cell r="D4854" t="str">
            <v>B</v>
          </cell>
          <cell r="E4854" t="str">
            <v>准备工时</v>
          </cell>
          <cell r="G4854">
            <v>60</v>
          </cell>
          <cell r="H4854">
            <v>60</v>
          </cell>
          <cell r="I4854">
            <v>60</v>
          </cell>
        </row>
        <row r="4855">
          <cell r="B4855" t="str">
            <v>CB2283792-002-002</v>
          </cell>
          <cell r="D4855" t="str">
            <v>B</v>
          </cell>
          <cell r="E4855" t="str">
            <v>程序时间</v>
          </cell>
          <cell r="G4855">
            <v>45</v>
          </cell>
          <cell r="H4855">
            <v>20</v>
          </cell>
          <cell r="I4855">
            <v>50</v>
          </cell>
          <cell r="J4855">
            <v>40</v>
          </cell>
        </row>
        <row r="4856">
          <cell r="B4856" t="str">
            <v>CB2747B20-003-002</v>
          </cell>
          <cell r="D4856" t="str">
            <v>C</v>
          </cell>
          <cell r="E4856" t="str">
            <v>工序内容</v>
          </cell>
          <cell r="F4856" t="str">
            <v>0/领料</v>
          </cell>
          <cell r="G4856" t="str">
            <v>05/数车</v>
          </cell>
          <cell r="H4856" t="str">
            <v>10/数铣</v>
          </cell>
          <cell r="I4856" t="str">
            <v>15/分光</v>
          </cell>
          <cell r="J4856" t="str">
            <v>20/数车</v>
          </cell>
          <cell r="K4856" t="str">
            <v>25/线切割</v>
          </cell>
          <cell r="L4856" t="str">
            <v>30/穿孔</v>
          </cell>
          <cell r="M4856" t="str">
            <v>35/钳工</v>
          </cell>
          <cell r="N4856" t="str">
            <v>40/测量</v>
          </cell>
          <cell r="O4856" t="str">
            <v>45/清洁</v>
          </cell>
          <cell r="P4856" t="str">
            <v>50/成检</v>
          </cell>
        </row>
        <row r="4857">
          <cell r="B4857" t="str">
            <v>CB2747B20-003-002</v>
          </cell>
          <cell r="D4857" t="str">
            <v>C</v>
          </cell>
          <cell r="E4857" t="str">
            <v>准备工时</v>
          </cell>
          <cell r="G4857">
            <v>120</v>
          </cell>
          <cell r="H4857">
            <v>60</v>
          </cell>
          <cell r="J4857">
            <v>120</v>
          </cell>
        </row>
        <row r="4858">
          <cell r="B4858" t="str">
            <v>CB2747B20-003-002</v>
          </cell>
          <cell r="D4858" t="str">
            <v>C</v>
          </cell>
          <cell r="E4858" t="str">
            <v>程序时间</v>
          </cell>
          <cell r="G4858">
            <v>70</v>
          </cell>
          <cell r="H4858">
            <v>25</v>
          </cell>
          <cell r="J4858">
            <v>60</v>
          </cell>
          <cell r="M4858">
            <v>30</v>
          </cell>
        </row>
        <row r="4859">
          <cell r="B4859" t="str">
            <v>J7-0603-590-7</v>
          </cell>
          <cell r="D4859" t="str">
            <v>A</v>
          </cell>
          <cell r="E4859" t="str">
            <v>工序内容</v>
          </cell>
          <cell r="F4859" t="str">
            <v>0领料</v>
          </cell>
          <cell r="G4859" t="str">
            <v>5数车10</v>
          </cell>
          <cell r="H4859" t="str">
            <v>10数车5</v>
          </cell>
          <cell r="I4859" t="str">
            <v>15钳工</v>
          </cell>
          <cell r="J4859" t="str">
            <v>20清洁</v>
          </cell>
          <cell r="K4859" t="str">
            <v>25成检</v>
          </cell>
        </row>
        <row r="4860">
          <cell r="B4860" t="str">
            <v>J7-0603-590-7</v>
          </cell>
          <cell r="D4860" t="str">
            <v>A</v>
          </cell>
          <cell r="E4860" t="str">
            <v>准备工时</v>
          </cell>
          <cell r="G4860">
            <v>60</v>
          </cell>
          <cell r="H4860">
            <v>60</v>
          </cell>
        </row>
        <row r="4861">
          <cell r="B4861" t="str">
            <v>J7-0603-590-7</v>
          </cell>
          <cell r="D4861" t="str">
            <v>A</v>
          </cell>
          <cell r="E4861" t="str">
            <v>程序时间</v>
          </cell>
          <cell r="G4861">
            <v>15</v>
          </cell>
          <cell r="H4861">
            <v>10</v>
          </cell>
          <cell r="I4861">
            <v>4</v>
          </cell>
        </row>
        <row r="4862">
          <cell r="B4862" t="str">
            <v>J7II-4801-123</v>
          </cell>
          <cell r="D4862" t="str">
            <v>A</v>
          </cell>
          <cell r="E4862" t="str">
            <v>工序内容</v>
          </cell>
          <cell r="F4862" t="str">
            <v>0领料</v>
          </cell>
          <cell r="G4862" t="str">
            <v>5数车15</v>
          </cell>
          <cell r="H4862" t="str">
            <v>10数车5</v>
          </cell>
          <cell r="I4862" t="str">
            <v>15钳工</v>
          </cell>
          <cell r="J4862" t="str">
            <v>20热处理</v>
          </cell>
          <cell r="K4862" t="str">
            <v>25磨床</v>
          </cell>
          <cell r="L4862" t="str">
            <v>30钳工</v>
          </cell>
          <cell r="M4862" t="str">
            <v>35清洁</v>
          </cell>
          <cell r="N4862" t="str">
            <v>40成检</v>
          </cell>
        </row>
        <row r="4863">
          <cell r="B4863" t="str">
            <v>J7II-4801-123</v>
          </cell>
          <cell r="D4863" t="str">
            <v>A</v>
          </cell>
          <cell r="E4863" t="str">
            <v>准备工时</v>
          </cell>
          <cell r="G4863">
            <v>90</v>
          </cell>
          <cell r="H4863">
            <v>60</v>
          </cell>
        </row>
        <row r="4864">
          <cell r="B4864" t="str">
            <v>J7II-4801-123</v>
          </cell>
          <cell r="D4864" t="str">
            <v>A</v>
          </cell>
          <cell r="E4864" t="str">
            <v>程序时间</v>
          </cell>
          <cell r="G4864">
            <v>25</v>
          </cell>
          <cell r="H4864">
            <v>10</v>
          </cell>
          <cell r="I4864">
            <v>10</v>
          </cell>
          <cell r="L4864">
            <v>5</v>
          </cell>
        </row>
        <row r="4865">
          <cell r="B4865" t="str">
            <v>DD-J10B-94061-1021</v>
          </cell>
          <cell r="D4865" t="str">
            <v>C</v>
          </cell>
          <cell r="E4865" t="str">
            <v>工序内容</v>
          </cell>
          <cell r="F4865" t="str">
            <v>0/领料</v>
          </cell>
          <cell r="G4865" t="str">
            <v>5/数车30</v>
          </cell>
          <cell r="H4865" t="str">
            <v>10/数车30</v>
          </cell>
          <cell r="I4865" t="str">
            <v>15/数车5</v>
          </cell>
          <cell r="J4865" t="str">
            <v>20/钳工</v>
          </cell>
          <cell r="K4865" t="str">
            <v>25/分光</v>
          </cell>
          <cell r="L4865" t="str">
            <v>30/数车10</v>
          </cell>
          <cell r="M4865" t="str">
            <v>35/清洁</v>
          </cell>
          <cell r="N4865" t="str">
            <v>40/成检</v>
          </cell>
        </row>
        <row r="4866">
          <cell r="B4866" t="str">
            <v>DD-J10B-94061-1021</v>
          </cell>
          <cell r="D4866" t="str">
            <v>C</v>
          </cell>
          <cell r="E4866" t="str">
            <v>准备工时</v>
          </cell>
          <cell r="G4866">
            <v>60</v>
          </cell>
          <cell r="H4866">
            <v>60</v>
          </cell>
          <cell r="I4866">
            <v>60</v>
          </cell>
          <cell r="L4866">
            <v>60</v>
          </cell>
        </row>
        <row r="4867">
          <cell r="B4867" t="str">
            <v>DD-J10B-94061-1021</v>
          </cell>
          <cell r="D4867" t="str">
            <v>C</v>
          </cell>
          <cell r="E4867" t="str">
            <v>程序时间</v>
          </cell>
          <cell r="G4867">
            <v>50</v>
          </cell>
          <cell r="H4867">
            <v>60</v>
          </cell>
          <cell r="I4867">
            <v>10</v>
          </cell>
          <cell r="J4867">
            <v>20</v>
          </cell>
          <cell r="L4867">
            <v>15</v>
          </cell>
        </row>
        <row r="4868">
          <cell r="B4868" t="str">
            <v>5210A000000X009</v>
          </cell>
          <cell r="D4868" t="str">
            <v>A</v>
          </cell>
          <cell r="E4868" t="str">
            <v>工序内容</v>
          </cell>
          <cell r="F4868" t="str">
            <v>0/领料</v>
          </cell>
          <cell r="G4868" t="str">
            <v>05/数车</v>
          </cell>
          <cell r="H4868" t="str">
            <v>10/数车</v>
          </cell>
          <cell r="I4868" t="str">
            <v>15/清洁</v>
          </cell>
          <cell r="J4868" t="str">
            <v>20/成检</v>
          </cell>
        </row>
        <row r="4869">
          <cell r="B4869" t="str">
            <v>5210A000000X009</v>
          </cell>
          <cell r="D4869" t="str">
            <v>A</v>
          </cell>
          <cell r="E4869" t="str">
            <v>准备工时</v>
          </cell>
          <cell r="F4869">
            <v>60</v>
          </cell>
          <cell r="G4869">
            <v>60</v>
          </cell>
          <cell r="H4869">
            <v>60</v>
          </cell>
        </row>
        <row r="4870">
          <cell r="B4870" t="str">
            <v>5210A000000X009</v>
          </cell>
          <cell r="D4870" t="str">
            <v>A</v>
          </cell>
          <cell r="E4870" t="str">
            <v>程序时间</v>
          </cell>
          <cell r="F4870">
            <v>45</v>
          </cell>
          <cell r="G4870">
            <v>45</v>
          </cell>
          <cell r="H4870">
            <v>20</v>
          </cell>
        </row>
        <row r="4871">
          <cell r="B4871" t="str">
            <v>5312C02301G70</v>
          </cell>
          <cell r="D4871" t="str">
            <v>A</v>
          </cell>
          <cell r="E4871" t="str">
            <v>工序内容</v>
          </cell>
          <cell r="F4871" t="str">
            <v>00领料</v>
          </cell>
          <cell r="G4871" t="str">
            <v>05/普车试片</v>
          </cell>
          <cell r="H4871" t="str">
            <v>10线切割</v>
          </cell>
          <cell r="I4871" t="str">
            <v>15普铣试片</v>
          </cell>
          <cell r="J4871" t="str">
            <v>20数车15</v>
          </cell>
          <cell r="K4871" t="str">
            <v>25数车5</v>
          </cell>
          <cell r="L4871" t="str">
            <v>30热处理</v>
          </cell>
          <cell r="M4871" t="str">
            <v>35硬检</v>
          </cell>
          <cell r="N4871" t="str">
            <v>40车铣20</v>
          </cell>
          <cell r="O4871" t="str">
            <v>45数车20</v>
          </cell>
          <cell r="P4871" t="str">
            <v>50钳工</v>
          </cell>
          <cell r="Q4871" t="str">
            <v>55清洁</v>
          </cell>
          <cell r="R4871" t="str">
            <v>60成检</v>
          </cell>
        </row>
        <row r="4872">
          <cell r="B4872" t="str">
            <v>5312C02301G70</v>
          </cell>
          <cell r="D4872" t="str">
            <v>A</v>
          </cell>
          <cell r="E4872" t="str">
            <v>准备工时</v>
          </cell>
          <cell r="G4872">
            <v>60</v>
          </cell>
          <cell r="I4872">
            <v>60</v>
          </cell>
          <cell r="J4872">
            <v>90</v>
          </cell>
          <cell r="K4872">
            <v>60</v>
          </cell>
          <cell r="N4872">
            <v>120</v>
          </cell>
          <cell r="O4872">
            <v>90</v>
          </cell>
        </row>
        <row r="4873">
          <cell r="B4873" t="str">
            <v>5312C02301G70</v>
          </cell>
          <cell r="D4873" t="str">
            <v>A</v>
          </cell>
          <cell r="E4873" t="str">
            <v>程序时间</v>
          </cell>
          <cell r="G4873">
            <v>15</v>
          </cell>
          <cell r="I4873">
            <v>15</v>
          </cell>
          <cell r="J4873">
            <v>20</v>
          </cell>
          <cell r="K4873">
            <v>10</v>
          </cell>
          <cell r="N4873">
            <v>30</v>
          </cell>
          <cell r="O4873">
            <v>30</v>
          </cell>
          <cell r="P4873">
            <v>20</v>
          </cell>
        </row>
        <row r="4874">
          <cell r="B4874" t="str">
            <v>DD-FC1-86011-3210-1</v>
          </cell>
          <cell r="D4874" t="str">
            <v>A</v>
          </cell>
          <cell r="E4874" t="str">
            <v>工序内容</v>
          </cell>
          <cell r="F4874" t="str">
            <v>0/领料</v>
          </cell>
          <cell r="G4874" t="str">
            <v>5/下料</v>
          </cell>
          <cell r="H4874" t="str">
            <v>10/数车10</v>
          </cell>
          <cell r="I4874" t="str">
            <v>15/数车25</v>
          </cell>
          <cell r="J4874" t="str">
            <v>20/数车15</v>
          </cell>
          <cell r="K4874" t="str">
            <v>25钳工</v>
          </cell>
          <cell r="L4874" t="str">
            <v>30分光</v>
          </cell>
          <cell r="M4874" t="str">
            <v>35/钳工</v>
          </cell>
          <cell r="N4874" t="str">
            <v>40清洁</v>
          </cell>
          <cell r="O4874" t="str">
            <v>45成检</v>
          </cell>
        </row>
        <row r="4875">
          <cell r="B4875" t="str">
            <v>DD-FC1-86011-3210-1</v>
          </cell>
          <cell r="D4875" t="str">
            <v>A</v>
          </cell>
          <cell r="E4875" t="str">
            <v>准备工时</v>
          </cell>
          <cell r="H4875">
            <v>60</v>
          </cell>
          <cell r="I4875">
            <v>90</v>
          </cell>
          <cell r="J4875">
            <v>90</v>
          </cell>
        </row>
        <row r="4876">
          <cell r="B4876" t="str">
            <v>DD-FC1-86011-3210-1</v>
          </cell>
          <cell r="D4876" t="str">
            <v>A</v>
          </cell>
          <cell r="E4876" t="str">
            <v>程序时间</v>
          </cell>
          <cell r="G4876">
            <v>15</v>
          </cell>
          <cell r="H4876">
            <v>15</v>
          </cell>
          <cell r="I4876">
            <v>30</v>
          </cell>
          <cell r="J4876">
            <v>15</v>
          </cell>
          <cell r="K4876">
            <v>4</v>
          </cell>
          <cell r="M4876">
            <v>5</v>
          </cell>
        </row>
        <row r="4877">
          <cell r="B4877" t="str">
            <v>DD-J10-55181-6241</v>
          </cell>
          <cell r="D4877" t="str">
            <v>A</v>
          </cell>
          <cell r="E4877" t="str">
            <v>工序内容</v>
          </cell>
          <cell r="F4877" t="str">
            <v>0/领料</v>
          </cell>
          <cell r="G4877" t="str">
            <v>5/钳工</v>
          </cell>
          <cell r="H4877" t="str">
            <v>10/数车20</v>
          </cell>
          <cell r="I4877" t="str">
            <v>15/数车15</v>
          </cell>
          <cell r="J4877" t="str">
            <v>20/热处理</v>
          </cell>
          <cell r="K4877" t="str">
            <v>25/数车30</v>
          </cell>
          <cell r="L4877" t="str">
            <v>30/数车25</v>
          </cell>
          <cell r="M4877" t="str">
            <v>35/钳工</v>
          </cell>
          <cell r="N4877" t="str">
            <v>40/中间验</v>
          </cell>
          <cell r="O4877" t="str">
            <v>45/复验</v>
          </cell>
          <cell r="P4877" t="str">
            <v>50/表处</v>
          </cell>
          <cell r="Q4877" t="str">
            <v>55/表处</v>
          </cell>
          <cell r="R4877" t="str">
            <v>60/数车10</v>
          </cell>
          <cell r="S4877" t="str">
            <v>65/数车10</v>
          </cell>
          <cell r="T4877" t="str">
            <v>70/清洁</v>
          </cell>
          <cell r="U4877" t="str">
            <v>75/成检</v>
          </cell>
        </row>
        <row r="4878">
          <cell r="B4878" t="str">
            <v>DD-J10-55181-6241</v>
          </cell>
          <cell r="D4878" t="str">
            <v>A</v>
          </cell>
          <cell r="E4878" t="str">
            <v>准备工时</v>
          </cell>
          <cell r="H4878">
            <v>120</v>
          </cell>
          <cell r="I4878">
            <v>120</v>
          </cell>
          <cell r="K4878">
            <v>120</v>
          </cell>
          <cell r="L4878" t="str">
            <v>120</v>
          </cell>
          <cell r="R4878">
            <v>120</v>
          </cell>
          <cell r="S4878">
            <v>120</v>
          </cell>
        </row>
        <row r="4879">
          <cell r="B4879" t="str">
            <v>DD-J10-55181-6241</v>
          </cell>
          <cell r="D4879" t="str">
            <v>A</v>
          </cell>
          <cell r="E4879" t="str">
            <v>程序时间</v>
          </cell>
          <cell r="G4879">
            <v>10</v>
          </cell>
          <cell r="H4879">
            <v>30</v>
          </cell>
          <cell r="I4879">
            <v>25</v>
          </cell>
          <cell r="K4879">
            <v>40</v>
          </cell>
          <cell r="L4879" t="str">
            <v>35</v>
          </cell>
          <cell r="M4879" t="str">
            <v>25</v>
          </cell>
          <cell r="R4879">
            <v>20</v>
          </cell>
          <cell r="S4879">
            <v>20</v>
          </cell>
        </row>
        <row r="4880">
          <cell r="B4880" t="str">
            <v>BC2711322-002-001</v>
          </cell>
          <cell r="D4880" t="str">
            <v>C</v>
          </cell>
          <cell r="E4880" t="str">
            <v>工序内容</v>
          </cell>
          <cell r="F4880" t="str">
            <v>0/领料</v>
          </cell>
          <cell r="G4880" t="str">
            <v>05/普车30</v>
          </cell>
          <cell r="H4880" t="str">
            <v>10/钳工</v>
          </cell>
          <cell r="I4880" t="str">
            <v>15/分光</v>
          </cell>
          <cell r="J4880" t="str">
            <v>20/数车30</v>
          </cell>
          <cell r="K4880" t="str">
            <v>25/数车20</v>
          </cell>
          <cell r="L4880" t="str">
            <v>30/清洁</v>
          </cell>
          <cell r="M4880" t="str">
            <v>40/成检</v>
          </cell>
        </row>
        <row r="4881">
          <cell r="B4881" t="str">
            <v>BC2711322-002-001</v>
          </cell>
          <cell r="D4881" t="str">
            <v>C</v>
          </cell>
          <cell r="E4881" t="str">
            <v>准备工时</v>
          </cell>
          <cell r="G4881">
            <v>60</v>
          </cell>
          <cell r="J4881">
            <v>60</v>
          </cell>
          <cell r="K4881">
            <v>60</v>
          </cell>
        </row>
        <row r="4882">
          <cell r="B4882" t="str">
            <v>BC2711322-002-001</v>
          </cell>
          <cell r="D4882" t="str">
            <v>C</v>
          </cell>
          <cell r="E4882" t="str">
            <v>程序时间</v>
          </cell>
          <cell r="G4882">
            <v>45</v>
          </cell>
          <cell r="H4882">
            <v>25</v>
          </cell>
          <cell r="J4882">
            <v>45</v>
          </cell>
          <cell r="K4882">
            <v>30</v>
          </cell>
        </row>
        <row r="4883">
          <cell r="B4883" t="str">
            <v>BC221T1AC-001-002</v>
          </cell>
          <cell r="D4883" t="str">
            <v>B</v>
          </cell>
          <cell r="E4883" t="str">
            <v>工序内容</v>
          </cell>
          <cell r="F4883" t="str">
            <v>0/领料</v>
          </cell>
          <cell r="G4883" t="str">
            <v>05/数车</v>
          </cell>
          <cell r="H4883" t="str">
            <v>10/分光</v>
          </cell>
          <cell r="I4883" t="str">
            <v>15/热处理</v>
          </cell>
          <cell r="J4883" t="str">
            <v>20/数车</v>
          </cell>
          <cell r="K4883" t="str">
            <v>25/数车</v>
          </cell>
          <cell r="L4883" t="str">
            <v>30/清洁</v>
          </cell>
          <cell r="M4883" t="str">
            <v>35/成检</v>
          </cell>
        </row>
        <row r="4884">
          <cell r="B4884" t="str">
            <v>BC221T1AC-001-002</v>
          </cell>
          <cell r="D4884" t="str">
            <v>B</v>
          </cell>
          <cell r="E4884" t="str">
            <v>准备工时</v>
          </cell>
          <cell r="G4884">
            <v>120</v>
          </cell>
          <cell r="J4884">
            <v>120</v>
          </cell>
          <cell r="K4884">
            <v>120</v>
          </cell>
        </row>
        <row r="4885">
          <cell r="B4885" t="str">
            <v>BC221T1AC-001-002</v>
          </cell>
          <cell r="D4885" t="str">
            <v>B</v>
          </cell>
          <cell r="E4885" t="str">
            <v>程序时间</v>
          </cell>
          <cell r="G4885">
            <v>120</v>
          </cell>
          <cell r="J4885">
            <v>90</v>
          </cell>
          <cell r="K4885">
            <v>60</v>
          </cell>
        </row>
        <row r="4886">
          <cell r="B4886" t="str">
            <v>DD-J10B-94076-2051</v>
          </cell>
          <cell r="D4886" t="str">
            <v>D</v>
          </cell>
          <cell r="E4886" t="str">
            <v>工序内容</v>
          </cell>
          <cell r="F4886" t="str">
            <v>0/领料</v>
          </cell>
          <cell r="G4886" t="str">
            <v>5/普车45</v>
          </cell>
          <cell r="H4886" t="str">
            <v>10/普车30</v>
          </cell>
          <cell r="I4886" t="str">
            <v>15/数车45</v>
          </cell>
          <cell r="J4886" t="str">
            <v>20/分光</v>
          </cell>
          <cell r="K4886" t="str">
            <v>25/数车15</v>
          </cell>
          <cell r="L4886" t="str">
            <v>30/数铣20</v>
          </cell>
          <cell r="M4886" t="str">
            <v>35/钳工</v>
          </cell>
          <cell r="N4886" t="str">
            <v>40/清洁</v>
          </cell>
          <cell r="O4886" t="str">
            <v>45/成检</v>
          </cell>
        </row>
        <row r="4887">
          <cell r="B4887" t="str">
            <v>DD-J10B-94076-2051</v>
          </cell>
          <cell r="D4887" t="str">
            <v>D</v>
          </cell>
          <cell r="E4887" t="str">
            <v>准备工时</v>
          </cell>
          <cell r="G4887">
            <v>60</v>
          </cell>
          <cell r="H4887">
            <v>60</v>
          </cell>
          <cell r="I4887">
            <v>90</v>
          </cell>
          <cell r="K4887">
            <v>60</v>
          </cell>
          <cell r="L4887">
            <v>60</v>
          </cell>
        </row>
        <row r="4888">
          <cell r="B4888" t="str">
            <v>DD-J10B-94076-2051</v>
          </cell>
          <cell r="D4888" t="str">
            <v>D</v>
          </cell>
          <cell r="E4888" t="str">
            <v>程序时间</v>
          </cell>
          <cell r="G4888" t="str">
            <v>50/根</v>
          </cell>
          <cell r="H4888" t="str">
            <v>30/根</v>
          </cell>
          <cell r="I4888">
            <v>45</v>
          </cell>
          <cell r="K4888">
            <v>15</v>
          </cell>
          <cell r="L4888">
            <v>25</v>
          </cell>
          <cell r="M4888">
            <v>60</v>
          </cell>
        </row>
        <row r="4889">
          <cell r="B4889" t="str">
            <v>BC2712521-004-004</v>
          </cell>
          <cell r="D4889" t="str">
            <v>A</v>
          </cell>
          <cell r="E4889" t="str">
            <v>工序内容</v>
          </cell>
          <cell r="F4889" t="str">
            <v>0领料</v>
          </cell>
          <cell r="G4889" t="str">
            <v>05普车10</v>
          </cell>
          <cell r="H4889" t="str">
            <v>10钳工</v>
          </cell>
          <cell r="I4889" t="str">
            <v>15分光</v>
          </cell>
          <cell r="J4889" t="str">
            <v>20热处理</v>
          </cell>
          <cell r="K4889" t="str">
            <v>25数车20</v>
          </cell>
          <cell r="L4889" t="str">
            <v>30数车5</v>
          </cell>
          <cell r="M4889" t="str">
            <v>35清洁</v>
          </cell>
          <cell r="N4889" t="str">
            <v>40成检</v>
          </cell>
          <cell r="O4889" t="str">
            <v>45成检</v>
          </cell>
        </row>
        <row r="4890">
          <cell r="B4890" t="str">
            <v>BC2712521-004-004</v>
          </cell>
          <cell r="D4890" t="str">
            <v>A</v>
          </cell>
          <cell r="E4890" t="str">
            <v>准备工时</v>
          </cell>
          <cell r="G4890">
            <v>60</v>
          </cell>
          <cell r="K4890">
            <v>90</v>
          </cell>
          <cell r="L4890">
            <v>60</v>
          </cell>
        </row>
        <row r="4891">
          <cell r="B4891" t="str">
            <v>BC2712521-004-004</v>
          </cell>
          <cell r="D4891" t="str">
            <v>A</v>
          </cell>
          <cell r="E4891" t="str">
            <v>程序时间</v>
          </cell>
          <cell r="G4891" t="str">
            <v>15/根</v>
          </cell>
          <cell r="H4891">
            <v>5</v>
          </cell>
          <cell r="K4891">
            <v>35</v>
          </cell>
          <cell r="L4891">
            <v>10</v>
          </cell>
        </row>
        <row r="4892">
          <cell r="B4892" t="str">
            <v>CB229C440-002L001</v>
          </cell>
          <cell r="D4892" t="str">
            <v>D</v>
          </cell>
          <cell r="E4892" t="str">
            <v>工序内容</v>
          </cell>
          <cell r="F4892" t="str">
            <v>0/领料</v>
          </cell>
          <cell r="G4892" t="str">
            <v>5/下料</v>
          </cell>
          <cell r="H4892" t="str">
            <v>10/数铣</v>
          </cell>
          <cell r="I4892" t="str">
            <v>15/数铣32</v>
          </cell>
          <cell r="J4892" t="str">
            <v>20/数铣68</v>
          </cell>
          <cell r="K4892" t="str">
            <v>25/数铣27</v>
          </cell>
          <cell r="L4892" t="str">
            <v>30/数铣23</v>
          </cell>
          <cell r="M4892" t="str">
            <v>35/数铣52</v>
          </cell>
          <cell r="N4892" t="str">
            <v>40/钳工</v>
          </cell>
          <cell r="O4892" t="str">
            <v>45/硬检</v>
          </cell>
          <cell r="P4892" t="str">
            <v>50/分光</v>
          </cell>
          <cell r="Q4892" t="str">
            <v>55/钳工</v>
          </cell>
          <cell r="R4892" t="str">
            <v>60/清洁</v>
          </cell>
          <cell r="S4892" t="str">
            <v>65/成检</v>
          </cell>
        </row>
        <row r="4893">
          <cell r="B4893" t="str">
            <v>CB229C440-002L001</v>
          </cell>
          <cell r="D4893" t="str">
            <v>D</v>
          </cell>
          <cell r="E4893" t="str">
            <v>准备工时</v>
          </cell>
          <cell r="H4893">
            <v>60</v>
          </cell>
          <cell r="I4893">
            <v>90</v>
          </cell>
          <cell r="J4893">
            <v>150</v>
          </cell>
          <cell r="K4893">
            <v>60</v>
          </cell>
          <cell r="L4893">
            <v>90</v>
          </cell>
          <cell r="M4893">
            <v>120</v>
          </cell>
        </row>
        <row r="4894">
          <cell r="B4894" t="str">
            <v>CB229C440-002L001</v>
          </cell>
          <cell r="D4894" t="str">
            <v>D</v>
          </cell>
          <cell r="E4894" t="str">
            <v>程序时间</v>
          </cell>
          <cell r="H4894">
            <v>25</v>
          </cell>
          <cell r="I4894">
            <v>40</v>
          </cell>
          <cell r="J4894">
            <v>150</v>
          </cell>
          <cell r="K4894">
            <v>50</v>
          </cell>
          <cell r="L4894">
            <v>45</v>
          </cell>
          <cell r="M4894">
            <v>65</v>
          </cell>
          <cell r="N4894">
            <v>30</v>
          </cell>
          <cell r="Q4894">
            <v>60</v>
          </cell>
        </row>
        <row r="4895">
          <cell r="B4895" t="str">
            <v>CB229C440-002R001</v>
          </cell>
          <cell r="D4895" t="str">
            <v>D</v>
          </cell>
          <cell r="E4895" t="str">
            <v>工序内容</v>
          </cell>
          <cell r="F4895" t="str">
            <v>0/领料</v>
          </cell>
          <cell r="G4895" t="str">
            <v>5/下料</v>
          </cell>
          <cell r="H4895" t="str">
            <v>10/数铣</v>
          </cell>
          <cell r="I4895" t="str">
            <v>15/数铣32</v>
          </cell>
          <cell r="J4895" t="str">
            <v>20/数铣68</v>
          </cell>
          <cell r="K4895" t="str">
            <v>25/数铣27</v>
          </cell>
          <cell r="L4895" t="str">
            <v>30/数铣23</v>
          </cell>
          <cell r="M4895" t="str">
            <v>35/数铣52</v>
          </cell>
          <cell r="N4895" t="str">
            <v>40/钳工</v>
          </cell>
          <cell r="O4895" t="str">
            <v>45/硬检</v>
          </cell>
          <cell r="P4895" t="str">
            <v>50/分光</v>
          </cell>
          <cell r="Q4895" t="str">
            <v>55/钳工</v>
          </cell>
          <cell r="R4895" t="str">
            <v>60/清洁</v>
          </cell>
          <cell r="S4895" t="str">
            <v>65/成检</v>
          </cell>
        </row>
        <row r="4896">
          <cell r="B4896" t="str">
            <v>CB229C440-002R001</v>
          </cell>
          <cell r="D4896" t="str">
            <v>D</v>
          </cell>
          <cell r="E4896" t="str">
            <v>准备工时</v>
          </cell>
          <cell r="H4896">
            <v>60</v>
          </cell>
          <cell r="I4896">
            <v>90</v>
          </cell>
          <cell r="J4896">
            <v>150</v>
          </cell>
          <cell r="K4896">
            <v>60</v>
          </cell>
          <cell r="L4896">
            <v>90</v>
          </cell>
          <cell r="M4896">
            <v>120</v>
          </cell>
        </row>
        <row r="4897">
          <cell r="B4897" t="str">
            <v>CB229C440-002R001</v>
          </cell>
          <cell r="D4897" t="str">
            <v>D</v>
          </cell>
          <cell r="E4897" t="str">
            <v>程序时间</v>
          </cell>
          <cell r="H4897">
            <v>25</v>
          </cell>
          <cell r="I4897">
            <v>40</v>
          </cell>
          <cell r="J4897">
            <v>150</v>
          </cell>
          <cell r="K4897">
            <v>50</v>
          </cell>
          <cell r="L4897">
            <v>45</v>
          </cell>
          <cell r="M4897">
            <v>65</v>
          </cell>
          <cell r="N4897">
            <v>30</v>
          </cell>
          <cell r="Q4897">
            <v>60</v>
          </cell>
        </row>
        <row r="4898">
          <cell r="B4898" t="str">
            <v>CB2298621-001-002</v>
          </cell>
          <cell r="D4898" t="str">
            <v>F</v>
          </cell>
          <cell r="E4898" t="str">
            <v>工序内容</v>
          </cell>
          <cell r="F4898" t="str">
            <v>0/领料</v>
          </cell>
          <cell r="G4898" t="str">
            <v>5/数铣</v>
          </cell>
          <cell r="H4898" t="str">
            <v>10/数铣</v>
          </cell>
          <cell r="I4898" t="str">
            <v>15/数铣10</v>
          </cell>
          <cell r="J4898" t="str">
            <v>20/数铣35</v>
          </cell>
          <cell r="K4898" t="str">
            <v>25/线切割</v>
          </cell>
          <cell r="L4898" t="str">
            <v>30/数铣2</v>
          </cell>
          <cell r="M4898" t="str">
            <v>35/测量</v>
          </cell>
          <cell r="N4898" t="str">
            <v>40/钳工</v>
          </cell>
          <cell r="O4898" t="str">
            <v>45/清洁</v>
          </cell>
          <cell r="P4898" t="str">
            <v>50/检验</v>
          </cell>
          <cell r="Q4898" t="str">
            <v>55/硬检</v>
          </cell>
          <cell r="R4898" t="str">
            <v>60/分光</v>
          </cell>
          <cell r="S4898" t="str">
            <v>65/如厂复检</v>
          </cell>
          <cell r="T4898" t="str">
            <v>70/钳工</v>
          </cell>
          <cell r="U4898" t="str">
            <v>75/清洁</v>
          </cell>
          <cell r="V4898" t="str">
            <v>80/成检</v>
          </cell>
        </row>
        <row r="4899">
          <cell r="B4899" t="str">
            <v>CB2298621-001-002</v>
          </cell>
          <cell r="D4899" t="str">
            <v>F</v>
          </cell>
          <cell r="E4899" t="str">
            <v>准备工时</v>
          </cell>
          <cell r="G4899">
            <v>60</v>
          </cell>
          <cell r="H4899">
            <v>60</v>
          </cell>
          <cell r="I4899">
            <v>90</v>
          </cell>
          <cell r="J4899">
            <v>90</v>
          </cell>
          <cell r="L4899">
            <v>60</v>
          </cell>
        </row>
        <row r="4900">
          <cell r="B4900" t="str">
            <v>CB2298621-001-002</v>
          </cell>
          <cell r="D4900" t="str">
            <v>F</v>
          </cell>
          <cell r="E4900" t="str">
            <v>程序时间</v>
          </cell>
          <cell r="G4900">
            <v>60</v>
          </cell>
          <cell r="H4900">
            <v>10</v>
          </cell>
          <cell r="I4900">
            <v>20</v>
          </cell>
          <cell r="J4900">
            <v>60</v>
          </cell>
          <cell r="L4900">
            <v>15</v>
          </cell>
          <cell r="N4900">
            <v>30</v>
          </cell>
          <cell r="T4900">
            <v>5</v>
          </cell>
        </row>
        <row r="4901">
          <cell r="B4901" t="str">
            <v>BC2711364-001-001</v>
          </cell>
          <cell r="D4901" t="str">
            <v>B</v>
          </cell>
          <cell r="E4901" t="str">
            <v>工序内容</v>
          </cell>
          <cell r="F4901" t="str">
            <v>0/领料</v>
          </cell>
          <cell r="G4901" t="str">
            <v>05/数车20</v>
          </cell>
          <cell r="H4901" t="str">
            <v>10/数车5</v>
          </cell>
          <cell r="I4901" t="str">
            <v>15/数铣15</v>
          </cell>
          <cell r="J4901" t="str">
            <v>20/数铣20</v>
          </cell>
          <cell r="K4901" t="str">
            <v>25/数车25</v>
          </cell>
          <cell r="L4901" t="str">
            <v>30/穿孔</v>
          </cell>
          <cell r="M4901" t="str">
            <v>35/分光</v>
          </cell>
          <cell r="N4901" t="str">
            <v>40/数车10</v>
          </cell>
          <cell r="O4901" t="str">
            <v>45/钳工</v>
          </cell>
          <cell r="P4901" t="str">
            <v>50/清洁</v>
          </cell>
          <cell r="Q4901" t="str">
            <v>55/成检</v>
          </cell>
        </row>
        <row r="4902">
          <cell r="B4902" t="str">
            <v>BC2711364-001-001</v>
          </cell>
          <cell r="D4902" t="str">
            <v>B</v>
          </cell>
          <cell r="E4902" t="str">
            <v>准备工时</v>
          </cell>
          <cell r="G4902">
            <v>60</v>
          </cell>
          <cell r="H4902">
            <v>60</v>
          </cell>
          <cell r="I4902">
            <v>60</v>
          </cell>
          <cell r="J4902">
            <v>60</v>
          </cell>
          <cell r="K4902">
            <v>120</v>
          </cell>
          <cell r="N4902">
            <v>90</v>
          </cell>
        </row>
        <row r="4903">
          <cell r="B4903" t="str">
            <v>BC2711364-001-001</v>
          </cell>
          <cell r="D4903" t="str">
            <v>B</v>
          </cell>
          <cell r="E4903" t="str">
            <v>程序时间</v>
          </cell>
          <cell r="G4903">
            <v>25</v>
          </cell>
          <cell r="H4903">
            <v>15</v>
          </cell>
          <cell r="I4903">
            <v>25</v>
          </cell>
          <cell r="J4903">
            <v>30</v>
          </cell>
          <cell r="K4903">
            <v>60</v>
          </cell>
          <cell r="N4903">
            <v>25</v>
          </cell>
          <cell r="O4903">
            <v>20</v>
          </cell>
        </row>
        <row r="4904">
          <cell r="B4904" t="str">
            <v>5319C55013G70</v>
          </cell>
          <cell r="D4904" t="str">
            <v>A</v>
          </cell>
          <cell r="E4904" t="str">
            <v>工序内容</v>
          </cell>
          <cell r="F4904" t="str">
            <v>00领料</v>
          </cell>
          <cell r="G4904" t="str">
            <v>05下料</v>
          </cell>
          <cell r="H4904" t="str">
            <v>10数铣</v>
          </cell>
          <cell r="I4904" t="str">
            <v>15数铣20</v>
          </cell>
          <cell r="J4904" t="str">
            <v>20数铣10</v>
          </cell>
          <cell r="K4904" t="str">
            <v>25数铣10</v>
          </cell>
          <cell r="L4904" t="str">
            <v>30钳工</v>
          </cell>
          <cell r="M4904" t="str">
            <v>35清洁</v>
          </cell>
          <cell r="N4904" t="str">
            <v>40成检</v>
          </cell>
        </row>
        <row r="4905">
          <cell r="B4905" t="str">
            <v>5319C55013G70</v>
          </cell>
          <cell r="D4905" t="str">
            <v>A</v>
          </cell>
          <cell r="E4905" t="str">
            <v>准备工时</v>
          </cell>
          <cell r="H4905">
            <v>60</v>
          </cell>
          <cell r="I4905">
            <v>90</v>
          </cell>
          <cell r="J4905">
            <v>60</v>
          </cell>
          <cell r="K4905">
            <v>60</v>
          </cell>
        </row>
        <row r="4906">
          <cell r="B4906" t="str">
            <v>5319C55013G70</v>
          </cell>
          <cell r="D4906" t="str">
            <v>A</v>
          </cell>
          <cell r="E4906" t="str">
            <v>程序时间</v>
          </cell>
          <cell r="H4906">
            <v>30</v>
          </cell>
          <cell r="I4906">
            <v>35</v>
          </cell>
          <cell r="J4906">
            <v>25</v>
          </cell>
          <cell r="K4906">
            <v>20</v>
          </cell>
          <cell r="L4906">
            <v>25</v>
          </cell>
        </row>
        <row r="4907">
          <cell r="B4907" t="str">
            <v>C228571602-007-001-A00</v>
          </cell>
          <cell r="D4907" t="str">
            <v>A</v>
          </cell>
          <cell r="E4907" t="str">
            <v>工序内容</v>
          </cell>
          <cell r="F4907" t="str">
            <v>0领料</v>
          </cell>
          <cell r="G4907" t="str">
            <v>05普车</v>
          </cell>
          <cell r="H4907" t="str">
            <v>10分光</v>
          </cell>
          <cell r="I4907" t="str">
            <v>15数车20</v>
          </cell>
          <cell r="J4907" t="str">
            <v>20数车5</v>
          </cell>
          <cell r="K4907" t="str">
            <v>25清洁</v>
          </cell>
          <cell r="L4907" t="str">
            <v>30成检</v>
          </cell>
        </row>
        <row r="4908">
          <cell r="B4908" t="str">
            <v>C228571602-007-001-A00</v>
          </cell>
          <cell r="D4908" t="str">
            <v>A</v>
          </cell>
          <cell r="E4908" t="str">
            <v>准备工时</v>
          </cell>
          <cell r="G4908">
            <v>60</v>
          </cell>
          <cell r="I4908">
            <v>60</v>
          </cell>
          <cell r="J4908">
            <v>60</v>
          </cell>
        </row>
        <row r="4909">
          <cell r="B4909" t="str">
            <v>C228571602-007-001-A00</v>
          </cell>
          <cell r="D4909" t="str">
            <v>A</v>
          </cell>
          <cell r="E4909" t="str">
            <v>程序时间</v>
          </cell>
          <cell r="G4909" t="str">
            <v>25/根</v>
          </cell>
          <cell r="I4909">
            <v>25</v>
          </cell>
          <cell r="J4909">
            <v>10</v>
          </cell>
        </row>
        <row r="4910">
          <cell r="B4910" t="str">
            <v>C221069811-001-001-A00</v>
          </cell>
          <cell r="D4910" t="str">
            <v>A</v>
          </cell>
          <cell r="E4910" t="str">
            <v>工序内容</v>
          </cell>
          <cell r="F4910" t="str">
            <v>0领料</v>
          </cell>
          <cell r="G4910" t="str">
            <v>05普车</v>
          </cell>
          <cell r="H4910" t="str">
            <v>10钳工</v>
          </cell>
          <cell r="I4910" t="str">
            <v>15分光</v>
          </cell>
          <cell r="J4910" t="str">
            <v>20数车20</v>
          </cell>
          <cell r="K4910" t="str">
            <v>25数车5</v>
          </cell>
          <cell r="L4910" t="str">
            <v>30清洁</v>
          </cell>
          <cell r="M4910" t="str">
            <v>35成检</v>
          </cell>
        </row>
        <row r="4911">
          <cell r="B4911" t="str">
            <v>C221069811-001-001-A00</v>
          </cell>
          <cell r="D4911" t="str">
            <v>A</v>
          </cell>
          <cell r="E4911" t="str">
            <v>准备工时</v>
          </cell>
          <cell r="G4911">
            <v>60</v>
          </cell>
          <cell r="J4911">
            <v>90</v>
          </cell>
          <cell r="K4911">
            <v>60</v>
          </cell>
        </row>
        <row r="4912">
          <cell r="B4912" t="str">
            <v>C221069811-001-001-A00</v>
          </cell>
          <cell r="D4912" t="str">
            <v>A</v>
          </cell>
          <cell r="E4912" t="str">
            <v>程序时间</v>
          </cell>
          <cell r="G4912" t="str">
            <v>20/根</v>
          </cell>
          <cell r="H4912">
            <v>4</v>
          </cell>
          <cell r="J4912">
            <v>25</v>
          </cell>
          <cell r="K4912">
            <v>15</v>
          </cell>
        </row>
        <row r="4913">
          <cell r="B4913" t="str">
            <v>CB5752000-022L003</v>
          </cell>
          <cell r="D4913" t="str">
            <v>E版</v>
          </cell>
          <cell r="F4913" t="str">
            <v>0/领料</v>
          </cell>
          <cell r="G4913" t="str">
            <v>05/钳工</v>
          </cell>
          <cell r="H4913" t="str">
            <v>10/数铣</v>
          </cell>
          <cell r="I4913" t="str">
            <v>15/超声波</v>
          </cell>
          <cell r="J4913" t="str">
            <v>18/普铣</v>
          </cell>
          <cell r="K4913" t="str">
            <v>20/数铣560</v>
          </cell>
          <cell r="L4913" t="str">
            <v>25/数铣20</v>
          </cell>
          <cell r="M4913" t="str">
            <v>30/线切割</v>
          </cell>
          <cell r="N4913" t="str">
            <v>33/数铣</v>
          </cell>
          <cell r="O4913" t="str">
            <v>35/数铣</v>
          </cell>
          <cell r="P4913" t="str">
            <v>40/钳工</v>
          </cell>
          <cell r="Q4913" t="str">
            <v>45/清洁</v>
          </cell>
          <cell r="R4913" t="str">
            <v>50/成检</v>
          </cell>
        </row>
        <row r="4914">
          <cell r="B4914" t="str">
            <v>CB5752000-022R002</v>
          </cell>
          <cell r="D4914" t="str">
            <v>准备</v>
          </cell>
          <cell r="H4914">
            <v>60</v>
          </cell>
          <cell r="J4914">
            <v>60</v>
          </cell>
          <cell r="K4914">
            <v>60</v>
          </cell>
          <cell r="L4914">
            <v>60</v>
          </cell>
          <cell r="N4914">
            <v>60</v>
          </cell>
          <cell r="O4914">
            <v>60</v>
          </cell>
        </row>
        <row r="4915">
          <cell r="B4915" t="str">
            <v>CB5752000-023L003</v>
          </cell>
          <cell r="D4915" t="str">
            <v>装夹</v>
          </cell>
        </row>
        <row r="4916">
          <cell r="B4916" t="str">
            <v>CB5752000-023R002</v>
          </cell>
          <cell r="D4916" t="str">
            <v>程序</v>
          </cell>
          <cell r="G4916">
            <v>30</v>
          </cell>
          <cell r="H4916">
            <v>210</v>
          </cell>
          <cell r="J4916" t="str">
            <v>45*4</v>
          </cell>
          <cell r="K4916">
            <v>540</v>
          </cell>
          <cell r="L4916">
            <v>60</v>
          </cell>
          <cell r="N4916">
            <v>30</v>
          </cell>
          <cell r="O4916">
            <v>40</v>
          </cell>
          <cell r="P4916">
            <v>50</v>
          </cell>
        </row>
        <row r="4917">
          <cell r="B4917" t="str">
            <v>5319C02101G70</v>
          </cell>
          <cell r="D4917" t="str">
            <v>A</v>
          </cell>
          <cell r="E4917" t="str">
            <v>工序内容</v>
          </cell>
          <cell r="F4917" t="str">
            <v>00领料</v>
          </cell>
          <cell r="G4917" t="str">
            <v>05数铣</v>
          </cell>
          <cell r="H4917" t="str">
            <v>10数铣18</v>
          </cell>
          <cell r="I4917" t="str">
            <v>15数铣35</v>
          </cell>
          <cell r="J4917" t="str">
            <v>20数铣35</v>
          </cell>
          <cell r="K4917" t="str">
            <v>25五轴60</v>
          </cell>
          <cell r="L4917" t="str">
            <v>30测量</v>
          </cell>
          <cell r="M4917" t="str">
            <v>35钳工</v>
          </cell>
          <cell r="N4917" t="str">
            <v>40清洁</v>
          </cell>
          <cell r="O4917" t="str">
            <v>45成检</v>
          </cell>
        </row>
        <row r="4918">
          <cell r="B4918" t="str">
            <v>5319C02101G70</v>
          </cell>
          <cell r="D4918" t="str">
            <v>A</v>
          </cell>
          <cell r="E4918" t="str">
            <v>准备工时</v>
          </cell>
          <cell r="G4918">
            <v>60</v>
          </cell>
          <cell r="H4918">
            <v>90</v>
          </cell>
          <cell r="I4918">
            <v>60</v>
          </cell>
          <cell r="J4918">
            <v>60</v>
          </cell>
          <cell r="K4918">
            <v>120</v>
          </cell>
        </row>
        <row r="4919">
          <cell r="B4919" t="str">
            <v>5319C02101G70</v>
          </cell>
          <cell r="D4919" t="str">
            <v>A</v>
          </cell>
          <cell r="E4919" t="str">
            <v>装夹时间</v>
          </cell>
          <cell r="K4919">
            <v>60</v>
          </cell>
        </row>
        <row r="4920">
          <cell r="B4920" t="str">
            <v>5319C02101G70</v>
          </cell>
          <cell r="D4920" t="str">
            <v>A</v>
          </cell>
          <cell r="E4920" t="str">
            <v>程序时间</v>
          </cell>
          <cell r="G4920">
            <v>40</v>
          </cell>
          <cell r="H4920">
            <v>35</v>
          </cell>
          <cell r="I4920">
            <v>55</v>
          </cell>
          <cell r="J4920">
            <v>60</v>
          </cell>
          <cell r="K4920">
            <v>180</v>
          </cell>
          <cell r="M4920">
            <v>80</v>
          </cell>
        </row>
        <row r="4921">
          <cell r="B4921" t="str">
            <v>C228571602-008-001-A00</v>
          </cell>
          <cell r="D4921" t="str">
            <v>A</v>
          </cell>
          <cell r="E4921" t="str">
            <v>工序内容</v>
          </cell>
          <cell r="F4921" t="str">
            <v>0领料</v>
          </cell>
          <cell r="G4921" t="str">
            <v>05线切割</v>
          </cell>
          <cell r="H4921" t="str">
            <v>10普车</v>
          </cell>
          <cell r="I4921" t="str">
            <v>15钳工</v>
          </cell>
          <cell r="J4921" t="str">
            <v>20分光</v>
          </cell>
          <cell r="K4921" t="str">
            <v>25数车20</v>
          </cell>
          <cell r="L4921" t="str">
            <v>30数车5</v>
          </cell>
          <cell r="M4921" t="str">
            <v>35清洁</v>
          </cell>
          <cell r="N4921" t="str">
            <v>40成检</v>
          </cell>
        </row>
        <row r="4922">
          <cell r="B4922" t="str">
            <v>C228571602-008-001-A00</v>
          </cell>
          <cell r="D4922" t="str">
            <v>A</v>
          </cell>
          <cell r="E4922" t="str">
            <v>准备工时</v>
          </cell>
          <cell r="H4922">
            <v>60</v>
          </cell>
          <cell r="K4922">
            <v>60</v>
          </cell>
          <cell r="L4922">
            <v>60</v>
          </cell>
        </row>
        <row r="4923">
          <cell r="B4923" t="str">
            <v>C228571602-008-001-A00</v>
          </cell>
          <cell r="D4923" t="str">
            <v>A</v>
          </cell>
          <cell r="E4923" t="str">
            <v>程序时间</v>
          </cell>
          <cell r="H4923" t="str">
            <v>25/根</v>
          </cell>
          <cell r="I4923">
            <v>4</v>
          </cell>
          <cell r="K4923">
            <v>20</v>
          </cell>
          <cell r="L4923">
            <v>10</v>
          </cell>
        </row>
        <row r="4924">
          <cell r="B4924" t="str">
            <v>C256201400-001-001-A00</v>
          </cell>
          <cell r="D4924" t="str">
            <v>A</v>
          </cell>
          <cell r="E4924" t="str">
            <v>工序内容</v>
          </cell>
          <cell r="F4924" t="str">
            <v>0领料</v>
          </cell>
          <cell r="G4924" t="str">
            <v>05普车</v>
          </cell>
          <cell r="H4924" t="str">
            <v>10钳工</v>
          </cell>
          <cell r="I4924" t="str">
            <v>15分光</v>
          </cell>
          <cell r="J4924" t="str">
            <v>20热处理</v>
          </cell>
          <cell r="K4924" t="str">
            <v>25数车20</v>
          </cell>
          <cell r="L4924" t="str">
            <v>30数车5</v>
          </cell>
          <cell r="M4924" t="str">
            <v>35清洁</v>
          </cell>
          <cell r="N4924" t="str">
            <v>40成检</v>
          </cell>
        </row>
        <row r="4925">
          <cell r="B4925" t="str">
            <v>C256201400-001-001-A00</v>
          </cell>
          <cell r="D4925" t="str">
            <v>A</v>
          </cell>
          <cell r="E4925" t="str">
            <v>准备工时</v>
          </cell>
          <cell r="G4925">
            <v>60</v>
          </cell>
          <cell r="K4925">
            <v>60</v>
          </cell>
          <cell r="L4925">
            <v>60</v>
          </cell>
        </row>
        <row r="4926">
          <cell r="B4926" t="str">
            <v>C256201400-001-001-A00</v>
          </cell>
          <cell r="D4926" t="str">
            <v>A</v>
          </cell>
          <cell r="E4926" t="str">
            <v>程序时间</v>
          </cell>
          <cell r="G4926" t="str">
            <v>20/根</v>
          </cell>
          <cell r="H4926">
            <v>4</v>
          </cell>
          <cell r="K4926">
            <v>25</v>
          </cell>
          <cell r="L4926">
            <v>10</v>
          </cell>
        </row>
        <row r="4927">
          <cell r="B4927" t="str">
            <v>C229102400-001-001-A00</v>
          </cell>
          <cell r="D4927" t="str">
            <v>A</v>
          </cell>
          <cell r="E4927" t="str">
            <v>工序内容</v>
          </cell>
          <cell r="F4927" t="str">
            <v>0领料</v>
          </cell>
          <cell r="G4927" t="str">
            <v>05普车</v>
          </cell>
          <cell r="H4927" t="str">
            <v>10钳工</v>
          </cell>
          <cell r="I4927" t="str">
            <v>15分光</v>
          </cell>
          <cell r="J4927" t="str">
            <v>20数车15</v>
          </cell>
          <cell r="K4927" t="str">
            <v>25数车5</v>
          </cell>
          <cell r="L4927" t="str">
            <v>30数车10</v>
          </cell>
          <cell r="M4927" t="str">
            <v>35清洁</v>
          </cell>
          <cell r="N4927" t="str">
            <v>40成检</v>
          </cell>
        </row>
        <row r="4928">
          <cell r="B4928" t="str">
            <v>C229102400-001-001-A00</v>
          </cell>
          <cell r="D4928" t="str">
            <v>A</v>
          </cell>
          <cell r="E4928" t="str">
            <v>准备工时</v>
          </cell>
          <cell r="G4928">
            <v>60</v>
          </cell>
          <cell r="J4928">
            <v>90</v>
          </cell>
          <cell r="K4928">
            <v>60</v>
          </cell>
          <cell r="L4928">
            <v>90</v>
          </cell>
        </row>
        <row r="4929">
          <cell r="B4929" t="str">
            <v>C229102400-001-001-A00</v>
          </cell>
          <cell r="D4929" t="str">
            <v>A</v>
          </cell>
          <cell r="E4929" t="str">
            <v>程序时间</v>
          </cell>
          <cell r="G4929" t="str">
            <v>20/根</v>
          </cell>
          <cell r="H4929">
            <v>4</v>
          </cell>
          <cell r="J4929">
            <v>30</v>
          </cell>
          <cell r="K4929">
            <v>10</v>
          </cell>
          <cell r="L4929">
            <v>20</v>
          </cell>
        </row>
        <row r="4930">
          <cell r="B4930" t="str">
            <v>BC22971B1-003-001</v>
          </cell>
          <cell r="D4930" t="str">
            <v>C</v>
          </cell>
          <cell r="E4930" t="str">
            <v>工序内容</v>
          </cell>
          <cell r="F4930" t="str">
            <v>0/领料</v>
          </cell>
          <cell r="G4930" t="str">
            <v>05/数车20</v>
          </cell>
          <cell r="H4930" t="str">
            <v>10/数车5</v>
          </cell>
          <cell r="I4930" t="str">
            <v>15/分光</v>
          </cell>
          <cell r="J4930" t="str">
            <v>20/数铣15</v>
          </cell>
          <cell r="K4930" t="str">
            <v>25/数铣20</v>
          </cell>
          <cell r="L4930" t="str">
            <v>30/穿孔</v>
          </cell>
          <cell r="M4930" t="str">
            <v>35/穿孔</v>
          </cell>
          <cell r="N4930" t="str">
            <v>40/钳工</v>
          </cell>
          <cell r="O4930" t="str">
            <v>45/热处理</v>
          </cell>
          <cell r="P4930" t="str">
            <v>50/标记</v>
          </cell>
          <cell r="Q4930" t="str">
            <v>55/钳工</v>
          </cell>
          <cell r="R4930" t="str">
            <v>60/中间检验</v>
          </cell>
          <cell r="S4930" t="str">
            <v>65/表处</v>
          </cell>
          <cell r="T4930" t="str">
            <v>70/清洗</v>
          </cell>
          <cell r="U4930" t="str">
            <v>75/磁粉</v>
          </cell>
          <cell r="V4930" t="str">
            <v>80/清洗</v>
          </cell>
          <cell r="W4930" t="str">
            <v>85/表处</v>
          </cell>
          <cell r="X4930" t="str">
            <v>90/表处</v>
          </cell>
          <cell r="Y4930" t="str">
            <v>95/表处</v>
          </cell>
          <cell r="Z4930" t="str">
            <v>100/数车20</v>
          </cell>
          <cell r="AA4930" t="str">
            <v>105/清洁</v>
          </cell>
          <cell r="AB4930" t="str">
            <v>110/成检</v>
          </cell>
        </row>
        <row r="4931">
          <cell r="B4931" t="str">
            <v>BC22971B1-003-001</v>
          </cell>
          <cell r="D4931" t="str">
            <v>C</v>
          </cell>
          <cell r="E4931" t="str">
            <v>准备工时</v>
          </cell>
          <cell r="G4931">
            <v>60</v>
          </cell>
          <cell r="H4931">
            <v>60</v>
          </cell>
          <cell r="J4931">
            <v>60</v>
          </cell>
          <cell r="K4931">
            <v>60</v>
          </cell>
          <cell r="Z4931">
            <v>60</v>
          </cell>
        </row>
        <row r="4932">
          <cell r="B4932" t="str">
            <v>BC22971B1-003-001</v>
          </cell>
          <cell r="D4932" t="str">
            <v>C</v>
          </cell>
          <cell r="E4932" t="str">
            <v>程序时间</v>
          </cell>
          <cell r="G4932">
            <v>35</v>
          </cell>
          <cell r="H4932">
            <v>10</v>
          </cell>
          <cell r="J4932">
            <v>25</v>
          </cell>
          <cell r="K4932">
            <v>30</v>
          </cell>
          <cell r="N4932">
            <v>25</v>
          </cell>
          <cell r="P4932">
            <v>10</v>
          </cell>
          <cell r="Q4932">
            <v>20</v>
          </cell>
          <cell r="Z4932">
            <v>20</v>
          </cell>
        </row>
        <row r="4933">
          <cell r="B4933" t="str">
            <v>J7-0203-25</v>
          </cell>
          <cell r="D4933" t="str">
            <v>A</v>
          </cell>
          <cell r="E4933" t="str">
            <v>工序内容</v>
          </cell>
          <cell r="F4933" t="str">
            <v>0领料</v>
          </cell>
          <cell r="G4933" t="str">
            <v>5数车15</v>
          </cell>
          <cell r="H4933" t="str">
            <v>10数车5</v>
          </cell>
          <cell r="I4933" t="str">
            <v>15数铣15</v>
          </cell>
          <cell r="J4933" t="str">
            <v>20钳工</v>
          </cell>
          <cell r="K4933" t="str">
            <v>25清洁</v>
          </cell>
          <cell r="L4933" t="str">
            <v>30成检</v>
          </cell>
        </row>
        <row r="4934">
          <cell r="B4934" t="str">
            <v>J7-0203-25</v>
          </cell>
          <cell r="D4934" t="str">
            <v>A</v>
          </cell>
          <cell r="E4934" t="str">
            <v>准备工时</v>
          </cell>
          <cell r="G4934">
            <v>90</v>
          </cell>
          <cell r="H4934">
            <v>60</v>
          </cell>
          <cell r="I4934">
            <v>90</v>
          </cell>
        </row>
        <row r="4935">
          <cell r="B4935" t="str">
            <v>J7-0203-25</v>
          </cell>
          <cell r="D4935" t="str">
            <v>A</v>
          </cell>
          <cell r="E4935" t="str">
            <v>程序时间</v>
          </cell>
          <cell r="G4935">
            <v>20</v>
          </cell>
          <cell r="H4935">
            <v>10</v>
          </cell>
          <cell r="I4935">
            <v>20</v>
          </cell>
          <cell r="J4935">
            <v>4</v>
          </cell>
        </row>
        <row r="4936">
          <cell r="B4936" t="str">
            <v>DD-J10-86011-3100-3</v>
          </cell>
          <cell r="D4936" t="str">
            <v>C</v>
          </cell>
          <cell r="E4936" t="str">
            <v>工序内容</v>
          </cell>
          <cell r="F4936" t="str">
            <v>0/领料</v>
          </cell>
          <cell r="G4936" t="str">
            <v>5/数车20</v>
          </cell>
          <cell r="H4936" t="str">
            <v>10/数车5</v>
          </cell>
          <cell r="I4936" t="str">
            <v>15/线切割</v>
          </cell>
          <cell r="J4936" t="str">
            <v>20/钳工</v>
          </cell>
          <cell r="K4936" t="str">
            <v>25/清洁</v>
          </cell>
          <cell r="L4936" t="str">
            <v>30/成检</v>
          </cell>
        </row>
        <row r="4937">
          <cell r="B4937" t="str">
            <v>DD-J10-86011-3100-3</v>
          </cell>
          <cell r="D4937" t="str">
            <v>C</v>
          </cell>
          <cell r="E4937" t="str">
            <v>准备工时</v>
          </cell>
          <cell r="G4937">
            <v>60</v>
          </cell>
          <cell r="H4937">
            <v>60</v>
          </cell>
        </row>
        <row r="4938">
          <cell r="B4938" t="str">
            <v>DD-J10-86011-3100-3</v>
          </cell>
          <cell r="D4938" t="str">
            <v>C</v>
          </cell>
          <cell r="E4938" t="str">
            <v>程序时间</v>
          </cell>
          <cell r="G4938">
            <v>20</v>
          </cell>
          <cell r="H4938">
            <v>8</v>
          </cell>
          <cell r="J4938">
            <v>10</v>
          </cell>
        </row>
        <row r="4939">
          <cell r="B4939" t="str">
            <v>DD-J10-55051-1211</v>
          </cell>
          <cell r="D4939" t="str">
            <v>B</v>
          </cell>
          <cell r="E4939" t="str">
            <v>工序内容</v>
          </cell>
          <cell r="F4939" t="str">
            <v>0/领料</v>
          </cell>
          <cell r="G4939" t="str">
            <v>5/数车10</v>
          </cell>
          <cell r="H4939" t="str">
            <v>10/数车5</v>
          </cell>
          <cell r="I4939" t="str">
            <v>15/数铣10</v>
          </cell>
          <cell r="J4939" t="str">
            <v>20/钳工</v>
          </cell>
          <cell r="K4939" t="str">
            <v>25/清洁</v>
          </cell>
          <cell r="L4939" t="str">
            <v>30/成检</v>
          </cell>
        </row>
        <row r="4940">
          <cell r="B4940" t="str">
            <v>DD-J10-55051-1211</v>
          </cell>
          <cell r="D4940" t="str">
            <v>B</v>
          </cell>
          <cell r="E4940" t="str">
            <v>准备工时</v>
          </cell>
          <cell r="G4940">
            <v>60</v>
          </cell>
          <cell r="H4940">
            <v>60</v>
          </cell>
          <cell r="I4940">
            <v>60</v>
          </cell>
        </row>
        <row r="4941">
          <cell r="B4941" t="str">
            <v>DD-J10-55051-1211</v>
          </cell>
          <cell r="D4941" t="str">
            <v>B</v>
          </cell>
          <cell r="E4941" t="str">
            <v>程序时间</v>
          </cell>
          <cell r="G4941">
            <v>15</v>
          </cell>
          <cell r="H4941">
            <v>10</v>
          </cell>
          <cell r="I4941">
            <v>15</v>
          </cell>
          <cell r="J4941">
            <v>60</v>
          </cell>
        </row>
        <row r="4942">
          <cell r="B4942" t="str">
            <v>DD-J10-86021-5000-3</v>
          </cell>
          <cell r="D4942" t="str">
            <v>B</v>
          </cell>
          <cell r="E4942" t="str">
            <v>工序内容</v>
          </cell>
          <cell r="F4942" t="str">
            <v>0/领料</v>
          </cell>
          <cell r="G4942" t="str">
            <v>5/数车12</v>
          </cell>
          <cell r="H4942" t="str">
            <v>10/数车3</v>
          </cell>
          <cell r="I4942" t="str">
            <v>15/线切割</v>
          </cell>
          <cell r="J4942" t="str">
            <v>20/数铣5</v>
          </cell>
          <cell r="K4942" t="str">
            <v>25/数铣5</v>
          </cell>
          <cell r="L4942" t="str">
            <v>30/钳工</v>
          </cell>
          <cell r="M4942" t="str">
            <v>35/分光</v>
          </cell>
          <cell r="N4942" t="str">
            <v>40/钳工</v>
          </cell>
          <cell r="O4942" t="str">
            <v>45/清洁</v>
          </cell>
          <cell r="P4942" t="str">
            <v>50/成检</v>
          </cell>
        </row>
        <row r="4943">
          <cell r="B4943" t="str">
            <v>DD-J10-86021-5000-3</v>
          </cell>
          <cell r="D4943" t="str">
            <v>B</v>
          </cell>
          <cell r="E4943" t="str">
            <v>准备工时</v>
          </cell>
          <cell r="G4943">
            <v>60</v>
          </cell>
          <cell r="H4943">
            <v>60</v>
          </cell>
          <cell r="J4943">
            <v>60</v>
          </cell>
          <cell r="K4943">
            <v>60</v>
          </cell>
        </row>
        <row r="4944">
          <cell r="B4944" t="str">
            <v>DD-J10-86021-5000-3</v>
          </cell>
          <cell r="D4944" t="str">
            <v>B</v>
          </cell>
          <cell r="E4944" t="str">
            <v>程序时间</v>
          </cell>
          <cell r="G4944">
            <v>15</v>
          </cell>
          <cell r="H4944">
            <v>5</v>
          </cell>
          <cell r="I4944">
            <v>10</v>
          </cell>
          <cell r="J4944">
            <v>10</v>
          </cell>
          <cell r="K4944">
            <v>10</v>
          </cell>
          <cell r="L4944">
            <v>20</v>
          </cell>
          <cell r="N4944">
            <v>5</v>
          </cell>
        </row>
        <row r="4945">
          <cell r="B4945" t="str">
            <v>DD-J10-86021-6000-2</v>
          </cell>
          <cell r="D4945" t="str">
            <v>B</v>
          </cell>
          <cell r="E4945" t="str">
            <v>工序内容</v>
          </cell>
          <cell r="F4945" t="str">
            <v>0/领料</v>
          </cell>
          <cell r="G4945" t="str">
            <v>5/数车15</v>
          </cell>
          <cell r="H4945" t="str">
            <v>10/数车3</v>
          </cell>
          <cell r="I4945" t="str">
            <v>15/线切割</v>
          </cell>
          <cell r="J4945" t="str">
            <v>20/数铣5</v>
          </cell>
          <cell r="K4945" t="str">
            <v>25/数铣5</v>
          </cell>
          <cell r="L4945" t="str">
            <v>30/钳工</v>
          </cell>
          <cell r="M4945" t="str">
            <v>35/分光</v>
          </cell>
          <cell r="N4945" t="str">
            <v>40/钳工</v>
          </cell>
          <cell r="O4945" t="str">
            <v>45/清洁</v>
          </cell>
          <cell r="P4945" t="str">
            <v>50/成检</v>
          </cell>
        </row>
        <row r="4946">
          <cell r="B4946" t="str">
            <v>DD-J10-86021-6000-2</v>
          </cell>
          <cell r="D4946" t="str">
            <v>B</v>
          </cell>
          <cell r="E4946" t="str">
            <v>准备工时</v>
          </cell>
          <cell r="G4946">
            <v>60</v>
          </cell>
          <cell r="H4946">
            <v>60</v>
          </cell>
          <cell r="J4946">
            <v>60</v>
          </cell>
          <cell r="K4946">
            <v>60</v>
          </cell>
        </row>
        <row r="4947">
          <cell r="B4947" t="str">
            <v>DD-J10-86021-6000-2</v>
          </cell>
          <cell r="D4947" t="str">
            <v>B</v>
          </cell>
          <cell r="E4947" t="str">
            <v>程序时间</v>
          </cell>
          <cell r="G4947">
            <v>20</v>
          </cell>
          <cell r="H4947">
            <v>5</v>
          </cell>
          <cell r="I4947">
            <v>10</v>
          </cell>
          <cell r="J4947">
            <v>10</v>
          </cell>
          <cell r="K4947">
            <v>10</v>
          </cell>
          <cell r="L4947">
            <v>20</v>
          </cell>
          <cell r="N4947">
            <v>5</v>
          </cell>
        </row>
        <row r="4948">
          <cell r="B4948" t="str">
            <v>BC2712521-001-004</v>
          </cell>
          <cell r="D4948" t="str">
            <v>A</v>
          </cell>
          <cell r="E4948" t="str">
            <v>工序内容</v>
          </cell>
          <cell r="F4948" t="str">
            <v>0领料</v>
          </cell>
          <cell r="G4948" t="str">
            <v>05数铣</v>
          </cell>
          <cell r="H4948" t="str">
            <v>10数铣24</v>
          </cell>
          <cell r="I4948" t="str">
            <v>15数铣57</v>
          </cell>
          <cell r="J4948" t="str">
            <v>20数铣120</v>
          </cell>
          <cell r="K4948" t="str">
            <v>25五轴15</v>
          </cell>
          <cell r="L4948" t="str">
            <v>30数铣45</v>
          </cell>
          <cell r="M4948" t="str">
            <v>35五轴25</v>
          </cell>
          <cell r="N4948" t="str">
            <v>40分光</v>
          </cell>
          <cell r="O4948" t="str">
            <v>45硬检</v>
          </cell>
          <cell r="P4948" t="str">
            <v>50检验</v>
          </cell>
          <cell r="Q4948" t="str">
            <v>55数铣3</v>
          </cell>
          <cell r="R4948" t="str">
            <v>60数铣3</v>
          </cell>
          <cell r="S4948" t="str">
            <v>65数铣5</v>
          </cell>
          <cell r="T4948" t="str">
            <v>70数铣15</v>
          </cell>
          <cell r="U4948" t="str">
            <v>75测量</v>
          </cell>
          <cell r="V4948" t="str">
            <v>80钳工</v>
          </cell>
          <cell r="W4948" t="str">
            <v>85清洁</v>
          </cell>
          <cell r="X4948" t="str">
            <v>90成检</v>
          </cell>
        </row>
        <row r="4949">
          <cell r="B4949" t="str">
            <v>BC2712521-001-004</v>
          </cell>
          <cell r="D4949" t="str">
            <v>A</v>
          </cell>
          <cell r="E4949" t="str">
            <v>准备工时</v>
          </cell>
          <cell r="G4949">
            <v>60</v>
          </cell>
          <cell r="H4949">
            <v>90</v>
          </cell>
          <cell r="I4949">
            <v>60</v>
          </cell>
          <cell r="J4949">
            <v>120</v>
          </cell>
          <cell r="K4949">
            <v>90</v>
          </cell>
          <cell r="L4949">
            <v>60</v>
          </cell>
          <cell r="M4949">
            <v>120</v>
          </cell>
          <cell r="Q4949">
            <v>90</v>
          </cell>
          <cell r="R4949">
            <v>90</v>
          </cell>
          <cell r="S4949">
            <v>90</v>
          </cell>
          <cell r="T4949">
            <v>90</v>
          </cell>
        </row>
        <row r="4950">
          <cell r="B4950" t="str">
            <v>BC2712521-001-004</v>
          </cell>
          <cell r="D4950" t="str">
            <v>A</v>
          </cell>
          <cell r="E4950" t="str">
            <v>装夹时间</v>
          </cell>
          <cell r="K4950">
            <v>60</v>
          </cell>
          <cell r="M4950">
            <v>60</v>
          </cell>
        </row>
        <row r="4951">
          <cell r="B4951" t="str">
            <v>BC2712521-001-004</v>
          </cell>
          <cell r="D4951" t="str">
            <v>A</v>
          </cell>
          <cell r="E4951" t="str">
            <v>程序时间</v>
          </cell>
          <cell r="G4951">
            <v>50</v>
          </cell>
          <cell r="H4951">
            <v>35</v>
          </cell>
          <cell r="I4951">
            <v>100</v>
          </cell>
          <cell r="J4951">
            <v>160</v>
          </cell>
          <cell r="K4951">
            <v>70</v>
          </cell>
          <cell r="L4951">
            <v>85</v>
          </cell>
          <cell r="M4951">
            <v>90</v>
          </cell>
          <cell r="Q4951">
            <v>60</v>
          </cell>
          <cell r="R4951">
            <v>60</v>
          </cell>
          <cell r="S4951">
            <v>30</v>
          </cell>
          <cell r="T4951">
            <v>40</v>
          </cell>
          <cell r="V4951">
            <v>70</v>
          </cell>
        </row>
        <row r="4952">
          <cell r="B4952" t="str">
            <v>5319C02301G70</v>
          </cell>
          <cell r="D4952" t="str">
            <v>A</v>
          </cell>
          <cell r="E4952" t="str">
            <v>工序内容</v>
          </cell>
          <cell r="F4952" t="str">
            <v>00领料</v>
          </cell>
          <cell r="G4952" t="str">
            <v>05数铣</v>
          </cell>
          <cell r="H4952" t="str">
            <v>10数铣25</v>
          </cell>
          <cell r="I4952" t="str">
            <v>15线切割</v>
          </cell>
          <cell r="J4952" t="str">
            <v>20数铣</v>
          </cell>
          <cell r="K4952" t="str">
            <v>25数铣</v>
          </cell>
          <cell r="L4952" t="str">
            <v>30测量</v>
          </cell>
          <cell r="M4952" t="str">
            <v>35钳工</v>
          </cell>
          <cell r="N4952" t="str">
            <v>40清洁</v>
          </cell>
          <cell r="O4952" t="str">
            <v>45成检</v>
          </cell>
        </row>
        <row r="4953">
          <cell r="B4953" t="str">
            <v>5319C02301G70</v>
          </cell>
          <cell r="D4953" t="str">
            <v>A</v>
          </cell>
          <cell r="E4953" t="str">
            <v>准备工时</v>
          </cell>
          <cell r="G4953">
            <v>60</v>
          </cell>
          <cell r="H4953">
            <v>90</v>
          </cell>
          <cell r="J4953">
            <v>60</v>
          </cell>
          <cell r="K4953">
            <v>90</v>
          </cell>
        </row>
        <row r="4954">
          <cell r="B4954" t="str">
            <v>5319C02301G70</v>
          </cell>
          <cell r="D4954" t="str">
            <v>A</v>
          </cell>
          <cell r="E4954" t="str">
            <v>程序时间</v>
          </cell>
          <cell r="G4954">
            <v>45</v>
          </cell>
          <cell r="H4954">
            <v>50</v>
          </cell>
          <cell r="J4954">
            <v>25</v>
          </cell>
          <cell r="K4954">
            <v>40</v>
          </cell>
          <cell r="M4954">
            <v>25</v>
          </cell>
        </row>
        <row r="4955">
          <cell r="B4955" t="str">
            <v>C232111300-007-001-A00</v>
          </cell>
          <cell r="D4955" t="str">
            <v>A</v>
          </cell>
          <cell r="E4955" t="str">
            <v>工序内容</v>
          </cell>
          <cell r="F4955" t="str">
            <v>0领料</v>
          </cell>
          <cell r="G4955" t="str">
            <v>05数车25</v>
          </cell>
          <cell r="H4955" t="str">
            <v>10数车10</v>
          </cell>
          <cell r="I4955" t="str">
            <v>15清洁</v>
          </cell>
          <cell r="J4955" t="str">
            <v>20成检</v>
          </cell>
        </row>
        <row r="4956">
          <cell r="B4956" t="str">
            <v>C232111300-007-001-A00</v>
          </cell>
          <cell r="D4956" t="str">
            <v>A</v>
          </cell>
          <cell r="E4956" t="str">
            <v>准备工时</v>
          </cell>
          <cell r="G4956">
            <v>90</v>
          </cell>
          <cell r="H4956">
            <v>60</v>
          </cell>
        </row>
        <row r="4957">
          <cell r="B4957" t="str">
            <v>C232111300-007-001-A00</v>
          </cell>
          <cell r="D4957" t="str">
            <v>A</v>
          </cell>
          <cell r="E4957" t="str">
            <v>程序时间</v>
          </cell>
          <cell r="G4957">
            <v>40</v>
          </cell>
          <cell r="H4957">
            <v>15</v>
          </cell>
        </row>
        <row r="4958">
          <cell r="B4958" t="str">
            <v>BC3101300-004-001</v>
          </cell>
          <cell r="D4958" t="str">
            <v>B</v>
          </cell>
          <cell r="E4958" t="str">
            <v>工序内容</v>
          </cell>
          <cell r="F4958" t="str">
            <v>0/领料</v>
          </cell>
          <cell r="G4958" t="str">
            <v>05/钳工</v>
          </cell>
          <cell r="H4958" t="str">
            <v>10/分光</v>
          </cell>
          <cell r="I4958" t="str">
            <v>15/热处理</v>
          </cell>
          <cell r="J4958" t="str">
            <v>20/数车</v>
          </cell>
          <cell r="K4958" t="str">
            <v>25/数车</v>
          </cell>
          <cell r="L4958" t="str">
            <v>30/数车</v>
          </cell>
          <cell r="M4958" t="str">
            <v>35/钳工</v>
          </cell>
          <cell r="N4958" t="str">
            <v>40/清洁</v>
          </cell>
          <cell r="O4958" t="str">
            <v>45/成检</v>
          </cell>
        </row>
        <row r="4959">
          <cell r="B4959" t="str">
            <v>BC3101300-004-001</v>
          </cell>
          <cell r="D4959" t="str">
            <v>B</v>
          </cell>
          <cell r="E4959" t="str">
            <v>准备工时</v>
          </cell>
          <cell r="J4959">
            <v>60</v>
          </cell>
          <cell r="K4959">
            <v>60</v>
          </cell>
          <cell r="L4959">
            <v>60</v>
          </cell>
        </row>
        <row r="4960">
          <cell r="B4960" t="str">
            <v>BC3101300-004-001</v>
          </cell>
          <cell r="D4960" t="str">
            <v>B</v>
          </cell>
          <cell r="E4960" t="str">
            <v>程序时间</v>
          </cell>
          <cell r="G4960" t="str">
            <v>15/根</v>
          </cell>
          <cell r="J4960">
            <v>180</v>
          </cell>
          <cell r="K4960">
            <v>20</v>
          </cell>
          <cell r="L4960">
            <v>30</v>
          </cell>
          <cell r="M4960">
            <v>20</v>
          </cell>
        </row>
        <row r="4961">
          <cell r="B4961" t="str">
            <v>BC3101300-005-001</v>
          </cell>
          <cell r="D4961" t="str">
            <v>B</v>
          </cell>
          <cell r="E4961" t="str">
            <v>工序内容</v>
          </cell>
          <cell r="F4961" t="str">
            <v>0/领料</v>
          </cell>
          <cell r="G4961" t="str">
            <v>05/数车</v>
          </cell>
          <cell r="H4961" t="str">
            <v>10/数车</v>
          </cell>
          <cell r="I4961" t="str">
            <v>15/钳工</v>
          </cell>
          <cell r="J4961" t="str">
            <v>20/分光</v>
          </cell>
          <cell r="K4961" t="str">
            <v>25/热处理</v>
          </cell>
          <cell r="L4961" t="str">
            <v>30/钳工</v>
          </cell>
          <cell r="M4961" t="str">
            <v>35/清洁</v>
          </cell>
          <cell r="N4961" t="str">
            <v>40/成检</v>
          </cell>
        </row>
        <row r="4962">
          <cell r="B4962" t="str">
            <v>BC3101300-005-001</v>
          </cell>
          <cell r="D4962" t="str">
            <v>B</v>
          </cell>
          <cell r="E4962" t="str">
            <v>准备工时</v>
          </cell>
          <cell r="G4962">
            <v>60</v>
          </cell>
          <cell r="H4962">
            <v>60</v>
          </cell>
        </row>
        <row r="4963">
          <cell r="B4963" t="str">
            <v>BC3101300-005-001</v>
          </cell>
          <cell r="D4963" t="str">
            <v>B</v>
          </cell>
          <cell r="E4963" t="str">
            <v>程序时间</v>
          </cell>
          <cell r="G4963">
            <v>30</v>
          </cell>
          <cell r="H4963">
            <v>10</v>
          </cell>
          <cell r="I4963">
            <v>60</v>
          </cell>
          <cell r="L4963">
            <v>5</v>
          </cell>
        </row>
        <row r="4964">
          <cell r="B4964" t="str">
            <v>BC2711344-002-001</v>
          </cell>
          <cell r="D4964" t="str">
            <v>B</v>
          </cell>
          <cell r="E4964" t="str">
            <v>工序内容</v>
          </cell>
          <cell r="F4964" t="str">
            <v>0/领料</v>
          </cell>
          <cell r="G4964" t="str">
            <v>05/数车30</v>
          </cell>
          <cell r="H4964" t="str">
            <v>10/数车20</v>
          </cell>
          <cell r="I4964" t="str">
            <v>15/分光</v>
          </cell>
          <cell r="J4964" t="str">
            <v>20/数车</v>
          </cell>
          <cell r="K4964" t="str">
            <v>25/清洁</v>
          </cell>
          <cell r="L4964" t="str">
            <v>30/成检</v>
          </cell>
        </row>
        <row r="4965">
          <cell r="B4965" t="str">
            <v>BC2711344-002-001</v>
          </cell>
          <cell r="D4965" t="str">
            <v>B</v>
          </cell>
          <cell r="E4965" t="str">
            <v>准备工时</v>
          </cell>
          <cell r="G4965">
            <v>60</v>
          </cell>
          <cell r="H4965">
            <v>60</v>
          </cell>
          <cell r="J4965">
            <v>60</v>
          </cell>
        </row>
        <row r="4966">
          <cell r="B4966" t="str">
            <v>BC2711344-002-001</v>
          </cell>
          <cell r="D4966" t="str">
            <v>B</v>
          </cell>
          <cell r="E4966" t="str">
            <v>程序时间</v>
          </cell>
          <cell r="G4966">
            <v>40</v>
          </cell>
          <cell r="H4966">
            <v>20</v>
          </cell>
          <cell r="J4966">
            <v>10</v>
          </cell>
        </row>
        <row r="4967">
          <cell r="B4967" t="str">
            <v>C256201400-001-001-A00</v>
          </cell>
          <cell r="D4967" t="str">
            <v>A</v>
          </cell>
          <cell r="E4967" t="str">
            <v>工序内容</v>
          </cell>
          <cell r="F4967" t="str">
            <v>0领料</v>
          </cell>
          <cell r="G4967" t="str">
            <v>05普车</v>
          </cell>
          <cell r="H4967" t="str">
            <v>10钳工</v>
          </cell>
          <cell r="I4967" t="str">
            <v>15分光</v>
          </cell>
          <cell r="J4967" t="str">
            <v>20热处理</v>
          </cell>
          <cell r="K4967" t="str">
            <v>25数车20</v>
          </cell>
          <cell r="L4967" t="str">
            <v>30数车5</v>
          </cell>
          <cell r="M4967" t="str">
            <v>35清洁</v>
          </cell>
          <cell r="N4967" t="str">
            <v>40成检</v>
          </cell>
        </row>
        <row r="4968">
          <cell r="B4968" t="str">
            <v>C256201400-001-001-A00</v>
          </cell>
          <cell r="D4968" t="str">
            <v>A</v>
          </cell>
          <cell r="E4968" t="str">
            <v>准备工时</v>
          </cell>
          <cell r="G4968">
            <v>60</v>
          </cell>
          <cell r="K4968">
            <v>60</v>
          </cell>
          <cell r="L4968">
            <v>60</v>
          </cell>
        </row>
        <row r="4969">
          <cell r="B4969" t="str">
            <v>C256201400-001-001-A00</v>
          </cell>
          <cell r="D4969" t="str">
            <v>A</v>
          </cell>
          <cell r="E4969" t="str">
            <v>程序时间</v>
          </cell>
          <cell r="G4969" t="str">
            <v>20/根</v>
          </cell>
          <cell r="H4969">
            <v>4</v>
          </cell>
          <cell r="K4969">
            <v>25</v>
          </cell>
          <cell r="L4969">
            <v>10</v>
          </cell>
        </row>
        <row r="4970">
          <cell r="B4970" t="str">
            <v>BC2712522-001-004</v>
          </cell>
          <cell r="D4970" t="str">
            <v>A</v>
          </cell>
          <cell r="E4970" t="str">
            <v>工序内容</v>
          </cell>
          <cell r="F4970" t="str">
            <v>0/领料</v>
          </cell>
          <cell r="G4970" t="str">
            <v>05下料</v>
          </cell>
          <cell r="H4970" t="str">
            <v>10数铣30</v>
          </cell>
          <cell r="I4970" t="str">
            <v>15数铣10</v>
          </cell>
          <cell r="J4970" t="str">
            <v>20数铣60</v>
          </cell>
          <cell r="K4970" t="str">
            <v>25数铣10</v>
          </cell>
          <cell r="L4970" t="str">
            <v>30数铣40</v>
          </cell>
          <cell r="M4970" t="str">
            <v>35数铣10</v>
          </cell>
          <cell r="N4970" t="str">
            <v>40数铣50</v>
          </cell>
          <cell r="O4970" t="str">
            <v>45数铣70</v>
          </cell>
          <cell r="P4970" t="str">
            <v>50线切割</v>
          </cell>
          <cell r="Q4970" t="str">
            <v>55钳工</v>
          </cell>
          <cell r="R4970" t="str">
            <v>60清洁</v>
          </cell>
          <cell r="S4970" t="str">
            <v>65检验</v>
          </cell>
          <cell r="T4970" t="str">
            <v>70分光</v>
          </cell>
          <cell r="U4970" t="str">
            <v>75硬检</v>
          </cell>
          <cell r="V4970" t="str">
            <v>80钳工</v>
          </cell>
          <cell r="W4970" t="str">
            <v>85清洁</v>
          </cell>
          <cell r="X4970" t="str">
            <v>90检验</v>
          </cell>
          <cell r="Y4970" t="str">
            <v>95复检</v>
          </cell>
          <cell r="Z4970" t="str">
            <v>100标记</v>
          </cell>
          <cell r="AA4970" t="str">
            <v>105表处</v>
          </cell>
          <cell r="AB4970" t="str">
            <v>110表处</v>
          </cell>
          <cell r="AC4970" t="str">
            <v>115钳工</v>
          </cell>
          <cell r="AD4970" t="str">
            <v>120清洁</v>
          </cell>
          <cell r="AE4970" t="str">
            <v>125成检</v>
          </cell>
        </row>
        <row r="4971">
          <cell r="B4971" t="str">
            <v>BC2712522-001-004</v>
          </cell>
          <cell r="D4971" t="str">
            <v>A</v>
          </cell>
          <cell r="E4971" t="str">
            <v>准备工时</v>
          </cell>
          <cell r="H4971">
            <v>60</v>
          </cell>
          <cell r="I4971">
            <v>60</v>
          </cell>
          <cell r="J4971">
            <v>120</v>
          </cell>
          <cell r="K4971">
            <v>60</v>
          </cell>
          <cell r="L4971">
            <v>120</v>
          </cell>
          <cell r="M4971">
            <v>60</v>
          </cell>
          <cell r="N4971">
            <v>120</v>
          </cell>
          <cell r="O4971">
            <v>90</v>
          </cell>
        </row>
        <row r="4972">
          <cell r="B4972" t="str">
            <v>BC2712522-001-004</v>
          </cell>
          <cell r="D4972" t="str">
            <v>A</v>
          </cell>
          <cell r="E4972" t="str">
            <v>程序时间</v>
          </cell>
          <cell r="H4972">
            <v>60</v>
          </cell>
          <cell r="I4972">
            <v>20</v>
          </cell>
          <cell r="J4972">
            <v>60</v>
          </cell>
          <cell r="K4972">
            <v>30</v>
          </cell>
          <cell r="L4972">
            <v>70</v>
          </cell>
          <cell r="M4972">
            <v>30</v>
          </cell>
          <cell r="N4972">
            <v>90</v>
          </cell>
          <cell r="O4972">
            <v>120</v>
          </cell>
          <cell r="Q4972">
            <v>90</v>
          </cell>
          <cell r="V4972">
            <v>5</v>
          </cell>
          <cell r="AC4972">
            <v>15</v>
          </cell>
        </row>
        <row r="4973">
          <cell r="B4973" t="str">
            <v>DD-J10B-25002-30G2-1G2-Z</v>
          </cell>
          <cell r="D4973" t="str">
            <v>F</v>
          </cell>
          <cell r="E4973" t="str">
            <v>工序内容</v>
          </cell>
          <cell r="F4973" t="str">
            <v>0/领料</v>
          </cell>
          <cell r="G4973" t="str">
            <v>5/下料</v>
          </cell>
          <cell r="H4973" t="str">
            <v>10/数铣</v>
          </cell>
          <cell r="I4973" t="str">
            <v>15/数铣12</v>
          </cell>
          <cell r="J4973" t="str">
            <v>20/数铣12</v>
          </cell>
          <cell r="K4973" t="str">
            <v>25/数铣255</v>
          </cell>
          <cell r="L4973" t="str">
            <v>30/数铣255</v>
          </cell>
          <cell r="M4973" t="str">
            <v>35/数铣25</v>
          </cell>
          <cell r="N4973" t="str">
            <v>40/数铣640</v>
          </cell>
          <cell r="O4973" t="str">
            <v>45/五轴65</v>
          </cell>
          <cell r="P4973" t="str">
            <v>50/五轴770</v>
          </cell>
          <cell r="Q4973" t="str">
            <v>55/钳工</v>
          </cell>
          <cell r="R4973" t="str">
            <v>60/五轴</v>
          </cell>
          <cell r="S4973" t="str">
            <v>65/测量</v>
          </cell>
          <cell r="T4973" t="str">
            <v>70/清洁</v>
          </cell>
          <cell r="U4973" t="str">
            <v>75/成检</v>
          </cell>
        </row>
        <row r="4974">
          <cell r="B4974" t="str">
            <v>DD-J10B-25002-30G2-1G2-Z</v>
          </cell>
          <cell r="D4974" t="str">
            <v>F</v>
          </cell>
          <cell r="E4974" t="str">
            <v>准备工时</v>
          </cell>
          <cell r="H4974">
            <v>60</v>
          </cell>
          <cell r="I4974">
            <v>60</v>
          </cell>
          <cell r="J4974">
            <v>60</v>
          </cell>
          <cell r="K4974">
            <v>120</v>
          </cell>
          <cell r="L4974">
            <v>120</v>
          </cell>
          <cell r="M4974">
            <v>60</v>
          </cell>
          <cell r="N4974">
            <v>150</v>
          </cell>
          <cell r="O4974">
            <v>120</v>
          </cell>
          <cell r="P4974">
            <v>180</v>
          </cell>
          <cell r="R4974">
            <v>180</v>
          </cell>
        </row>
        <row r="4975">
          <cell r="B4975" t="str">
            <v>DD-J10B-25002-30G2-1G2-Z</v>
          </cell>
          <cell r="D4975" t="str">
            <v>F</v>
          </cell>
          <cell r="E4975" t="str">
            <v>装夹时间</v>
          </cell>
          <cell r="H4975">
            <v>60</v>
          </cell>
          <cell r="I4975">
            <v>60</v>
          </cell>
          <cell r="J4975">
            <v>60</v>
          </cell>
          <cell r="K4975">
            <v>90</v>
          </cell>
          <cell r="L4975">
            <v>90</v>
          </cell>
          <cell r="M4975">
            <v>90</v>
          </cell>
          <cell r="N4975">
            <v>90</v>
          </cell>
          <cell r="O4975">
            <v>120</v>
          </cell>
          <cell r="P4975">
            <v>120</v>
          </cell>
          <cell r="R4975">
            <v>90</v>
          </cell>
        </row>
        <row r="4976">
          <cell r="B4976" t="str">
            <v>DD-J10B-25002-30G2-1G2-Z</v>
          </cell>
          <cell r="D4976" t="str">
            <v>F</v>
          </cell>
          <cell r="E4976" t="str">
            <v>程序时间</v>
          </cell>
          <cell r="H4976">
            <v>120</v>
          </cell>
          <cell r="I4976">
            <v>30</v>
          </cell>
          <cell r="J4976">
            <v>30</v>
          </cell>
          <cell r="K4976">
            <v>370</v>
          </cell>
          <cell r="L4976">
            <v>330</v>
          </cell>
          <cell r="M4976">
            <v>50</v>
          </cell>
          <cell r="N4976">
            <v>840</v>
          </cell>
          <cell r="O4976">
            <v>300</v>
          </cell>
          <cell r="P4976">
            <v>1960</v>
          </cell>
          <cell r="Q4976">
            <v>720</v>
          </cell>
          <cell r="R4976">
            <v>120</v>
          </cell>
        </row>
        <row r="4977">
          <cell r="B4977" t="str">
            <v>DD-J10B-25002-30G2-1G2-Y</v>
          </cell>
          <cell r="D4977" t="str">
            <v>F</v>
          </cell>
          <cell r="E4977" t="str">
            <v>工序内容</v>
          </cell>
          <cell r="F4977" t="str">
            <v>0/领料</v>
          </cell>
          <cell r="G4977" t="str">
            <v>5/下料</v>
          </cell>
          <cell r="H4977" t="str">
            <v>10/数铣</v>
          </cell>
          <cell r="I4977" t="str">
            <v>15/数铣12</v>
          </cell>
          <cell r="J4977" t="str">
            <v>20/数铣12</v>
          </cell>
          <cell r="K4977" t="str">
            <v>25/数铣255</v>
          </cell>
          <cell r="L4977" t="str">
            <v>30/数铣255</v>
          </cell>
          <cell r="M4977" t="str">
            <v>35/数铣25</v>
          </cell>
          <cell r="N4977" t="str">
            <v>40/数铣640</v>
          </cell>
          <cell r="O4977" t="str">
            <v>45/五轴65</v>
          </cell>
          <cell r="P4977" t="str">
            <v>50/五轴770</v>
          </cell>
          <cell r="Q4977" t="str">
            <v>55/钳工</v>
          </cell>
          <cell r="R4977" t="str">
            <v>60/五轴</v>
          </cell>
          <cell r="S4977" t="str">
            <v>65/测量</v>
          </cell>
          <cell r="T4977" t="str">
            <v>70/清洁</v>
          </cell>
          <cell r="U4977" t="str">
            <v>75/成检</v>
          </cell>
        </row>
        <row r="4978">
          <cell r="B4978" t="str">
            <v>DD-J10B-25002-30G2-1G2-Y</v>
          </cell>
          <cell r="D4978" t="str">
            <v>F</v>
          </cell>
          <cell r="E4978" t="str">
            <v>准备工时</v>
          </cell>
          <cell r="H4978">
            <v>60</v>
          </cell>
          <cell r="I4978">
            <v>60</v>
          </cell>
          <cell r="J4978">
            <v>60</v>
          </cell>
          <cell r="K4978">
            <v>120</v>
          </cell>
          <cell r="L4978">
            <v>120</v>
          </cell>
          <cell r="M4978">
            <v>60</v>
          </cell>
          <cell r="N4978">
            <v>150</v>
          </cell>
          <cell r="O4978">
            <v>120</v>
          </cell>
          <cell r="P4978">
            <v>180</v>
          </cell>
          <cell r="R4978">
            <v>180</v>
          </cell>
        </row>
        <row r="4979">
          <cell r="B4979" t="str">
            <v>DD-J10B-25002-30G2-1G2-Y</v>
          </cell>
          <cell r="D4979" t="str">
            <v>F</v>
          </cell>
          <cell r="E4979" t="str">
            <v>装夹时间</v>
          </cell>
          <cell r="H4979">
            <v>60</v>
          </cell>
          <cell r="I4979">
            <v>60</v>
          </cell>
          <cell r="J4979">
            <v>60</v>
          </cell>
          <cell r="K4979">
            <v>90</v>
          </cell>
          <cell r="L4979">
            <v>90</v>
          </cell>
          <cell r="M4979">
            <v>90</v>
          </cell>
          <cell r="N4979">
            <v>90</v>
          </cell>
          <cell r="O4979">
            <v>120</v>
          </cell>
          <cell r="P4979">
            <v>120</v>
          </cell>
          <cell r="R4979">
            <v>90</v>
          </cell>
        </row>
        <row r="4980">
          <cell r="B4980" t="str">
            <v>DD-J10B-25002-30G2-1G2-Y</v>
          </cell>
          <cell r="D4980" t="str">
            <v>F</v>
          </cell>
          <cell r="E4980" t="str">
            <v>程序时间</v>
          </cell>
          <cell r="H4980">
            <v>120</v>
          </cell>
          <cell r="I4980">
            <v>30</v>
          </cell>
          <cell r="J4980">
            <v>30</v>
          </cell>
          <cell r="K4980">
            <v>370</v>
          </cell>
          <cell r="L4980">
            <v>330</v>
          </cell>
          <cell r="M4980">
            <v>50</v>
          </cell>
          <cell r="N4980">
            <v>840</v>
          </cell>
          <cell r="O4980">
            <v>300</v>
          </cell>
          <cell r="P4980">
            <v>1960</v>
          </cell>
          <cell r="Q4980">
            <v>720</v>
          </cell>
          <cell r="R4980">
            <v>120</v>
          </cell>
        </row>
        <row r="4981">
          <cell r="B4981" t="str">
            <v>Y20-5318100045-001</v>
          </cell>
          <cell r="D4981" t="str">
            <v>C</v>
          </cell>
          <cell r="E4981" t="str">
            <v>工序内容</v>
          </cell>
          <cell r="F4981" t="str">
            <v>0/领料</v>
          </cell>
          <cell r="G4981" t="str">
            <v>5/线切割</v>
          </cell>
          <cell r="H4981" t="str">
            <v>10/铣试块</v>
          </cell>
          <cell r="I4981" t="str">
            <v>15/数铣15</v>
          </cell>
          <cell r="J4981" t="str">
            <v>20/数铣10</v>
          </cell>
          <cell r="K4981" t="str">
            <v>25/钳工</v>
          </cell>
          <cell r="L4981" t="str">
            <v>30/清洁</v>
          </cell>
          <cell r="M4981" t="str">
            <v>35/成检</v>
          </cell>
        </row>
        <row r="4982">
          <cell r="B4982" t="str">
            <v>Y20-5318100045-001</v>
          </cell>
          <cell r="D4982" t="str">
            <v>C</v>
          </cell>
          <cell r="E4982" t="str">
            <v>准备工时</v>
          </cell>
          <cell r="H4982">
            <v>60</v>
          </cell>
          <cell r="I4982">
            <v>60</v>
          </cell>
          <cell r="J4982">
            <v>60</v>
          </cell>
        </row>
        <row r="4983">
          <cell r="B4983" t="str">
            <v>Y20-5318100045-001</v>
          </cell>
          <cell r="D4983" t="str">
            <v>C</v>
          </cell>
          <cell r="E4983" t="str">
            <v>程序时间</v>
          </cell>
          <cell r="G4983">
            <v>30</v>
          </cell>
          <cell r="H4983">
            <v>15</v>
          </cell>
          <cell r="I4983">
            <v>40</v>
          </cell>
          <cell r="J4983">
            <v>30</v>
          </cell>
          <cell r="K4983">
            <v>50</v>
          </cell>
        </row>
        <row r="4984">
          <cell r="B4984" t="str">
            <v>BC2716320-001-003</v>
          </cell>
          <cell r="D4984" t="str">
            <v>A</v>
          </cell>
          <cell r="E4984" t="str">
            <v>工序内容</v>
          </cell>
          <cell r="F4984" t="str">
            <v>0领料</v>
          </cell>
          <cell r="G4984" t="str">
            <v>05下料</v>
          </cell>
          <cell r="H4984" t="str">
            <v>10普铣</v>
          </cell>
          <cell r="I4984" t="str">
            <v>15分光</v>
          </cell>
          <cell r="J4984" t="str">
            <v>20线切割</v>
          </cell>
          <cell r="K4984" t="str">
            <v>25数铣</v>
          </cell>
          <cell r="L4984" t="str">
            <v>30数铣</v>
          </cell>
          <cell r="M4984" t="str">
            <v>35数铣20</v>
          </cell>
          <cell r="N4984" t="str">
            <v>40数铣20</v>
          </cell>
          <cell r="O4984" t="str">
            <v>45数铣25</v>
          </cell>
          <cell r="P4984" t="str">
            <v>50钳工</v>
          </cell>
          <cell r="Q4984" t="str">
            <v>55清洁</v>
          </cell>
          <cell r="R4984" t="str">
            <v>60检验</v>
          </cell>
        </row>
        <row r="4985">
          <cell r="B4985" t="str">
            <v>BC2716320-001-003</v>
          </cell>
          <cell r="D4985" t="str">
            <v>A</v>
          </cell>
          <cell r="E4985" t="str">
            <v>准备工时</v>
          </cell>
          <cell r="H4985">
            <v>60</v>
          </cell>
          <cell r="K4985">
            <v>60</v>
          </cell>
          <cell r="L4985">
            <v>60</v>
          </cell>
          <cell r="M4985">
            <v>60</v>
          </cell>
          <cell r="N4985">
            <v>60</v>
          </cell>
          <cell r="O4985">
            <v>60</v>
          </cell>
        </row>
        <row r="4986">
          <cell r="B4986" t="str">
            <v>BC2716320-001-003</v>
          </cell>
          <cell r="D4986" t="str">
            <v>A</v>
          </cell>
          <cell r="E4986" t="str">
            <v>程序时间</v>
          </cell>
          <cell r="H4986">
            <v>45</v>
          </cell>
          <cell r="K4986">
            <v>35</v>
          </cell>
          <cell r="L4986">
            <v>60</v>
          </cell>
          <cell r="M4986">
            <v>20</v>
          </cell>
          <cell r="N4986">
            <v>25</v>
          </cell>
          <cell r="O4986">
            <v>30</v>
          </cell>
          <cell r="P4986">
            <v>40</v>
          </cell>
        </row>
        <row r="4987">
          <cell r="B4987" t="str">
            <v>DD-J10B-82000-101G2</v>
          </cell>
          <cell r="D4987" t="str">
            <v>C</v>
          </cell>
          <cell r="E4987" t="str">
            <v>工序内容</v>
          </cell>
          <cell r="F4987" t="str">
            <v>0/领料</v>
          </cell>
          <cell r="G4987" t="str">
            <v>5/数铣</v>
          </cell>
          <cell r="H4987" t="str">
            <v>10/数铣50</v>
          </cell>
          <cell r="I4987" t="str">
            <v>15/数铣140</v>
          </cell>
          <cell r="J4987" t="str">
            <v>20/时效</v>
          </cell>
          <cell r="K4987" t="str">
            <v>25/数铣</v>
          </cell>
          <cell r="L4987" t="str">
            <v>30/数铣50</v>
          </cell>
          <cell r="M4987" t="str">
            <v>35/数铣350</v>
          </cell>
          <cell r="N4987" t="str">
            <v>40/测量</v>
          </cell>
          <cell r="O4987" t="str">
            <v>45/钳工</v>
          </cell>
          <cell r="P4987" t="str">
            <v>50/清洁</v>
          </cell>
          <cell r="Q4987" t="str">
            <v>55/成检</v>
          </cell>
        </row>
        <row r="4988">
          <cell r="B4988" t="str">
            <v>DD-J10B-82000-101G2</v>
          </cell>
          <cell r="D4988" t="str">
            <v>C</v>
          </cell>
          <cell r="E4988" t="str">
            <v>准备工时</v>
          </cell>
          <cell r="G4988">
            <v>60</v>
          </cell>
          <cell r="H4988">
            <v>60</v>
          </cell>
          <cell r="I4988">
            <v>60</v>
          </cell>
          <cell r="K4988">
            <v>60</v>
          </cell>
          <cell r="L4988">
            <v>60</v>
          </cell>
          <cell r="M4988">
            <v>90</v>
          </cell>
        </row>
        <row r="4989">
          <cell r="B4989" t="str">
            <v>DD-J10B-82000-101G2</v>
          </cell>
          <cell r="D4989" t="str">
            <v>C</v>
          </cell>
          <cell r="E4989" t="str">
            <v>程序时间</v>
          </cell>
          <cell r="G4989">
            <v>150</v>
          </cell>
          <cell r="H4989">
            <v>90</v>
          </cell>
          <cell r="I4989">
            <v>190</v>
          </cell>
          <cell r="K4989">
            <v>180</v>
          </cell>
          <cell r="L4989">
            <v>100</v>
          </cell>
          <cell r="M4989">
            <v>410</v>
          </cell>
          <cell r="O4989">
            <v>300</v>
          </cell>
        </row>
        <row r="4990">
          <cell r="B4990" t="str">
            <v>5317C11003G71</v>
          </cell>
          <cell r="D4990" t="str">
            <v>A</v>
          </cell>
          <cell r="E4990" t="str">
            <v>工序内容</v>
          </cell>
          <cell r="F4990" t="str">
            <v>00领料</v>
          </cell>
          <cell r="G4990" t="str">
            <v>05下料</v>
          </cell>
          <cell r="H4990" t="str">
            <v>10数铣</v>
          </cell>
          <cell r="I4990" t="str">
            <v>15数铣30</v>
          </cell>
          <cell r="J4990" t="str">
            <v>20数铣180</v>
          </cell>
          <cell r="K4990" t="str">
            <v>25数铣75</v>
          </cell>
          <cell r="L4990" t="str">
            <v>30数铣20</v>
          </cell>
          <cell r="M4990" t="str">
            <v>35数铣20</v>
          </cell>
          <cell r="N4990" t="str">
            <v>40数铣10</v>
          </cell>
          <cell r="O4990" t="str">
            <v>45钳工</v>
          </cell>
          <cell r="P4990" t="str">
            <v>50数铣15</v>
          </cell>
          <cell r="Q4990" t="str">
            <v>55钳工</v>
          </cell>
          <cell r="R4990" t="str">
            <v>60清洁</v>
          </cell>
          <cell r="S4990" t="str">
            <v>65成检</v>
          </cell>
        </row>
        <row r="4991">
          <cell r="B4991" t="str">
            <v>5317C11003G71</v>
          </cell>
          <cell r="D4991" t="str">
            <v>A</v>
          </cell>
          <cell r="E4991" t="str">
            <v>准备工时</v>
          </cell>
          <cell r="H4991">
            <v>60</v>
          </cell>
          <cell r="I4991">
            <v>90</v>
          </cell>
          <cell r="J4991">
            <v>90</v>
          </cell>
          <cell r="K4991">
            <v>90</v>
          </cell>
          <cell r="L4991">
            <v>90</v>
          </cell>
          <cell r="M4991">
            <v>90</v>
          </cell>
          <cell r="N4991">
            <v>60</v>
          </cell>
          <cell r="P4991">
            <v>90</v>
          </cell>
        </row>
        <row r="4992">
          <cell r="B4992" t="str">
            <v>5317C11003G71</v>
          </cell>
          <cell r="D4992" t="str">
            <v>A</v>
          </cell>
          <cell r="E4992" t="str">
            <v>程序时间</v>
          </cell>
          <cell r="H4992">
            <v>60</v>
          </cell>
          <cell r="I4992">
            <v>50</v>
          </cell>
          <cell r="J4992">
            <v>260</v>
          </cell>
          <cell r="K4992">
            <v>120</v>
          </cell>
          <cell r="L4992">
            <v>40</v>
          </cell>
          <cell r="M4992">
            <v>40</v>
          </cell>
          <cell r="N4992">
            <v>30</v>
          </cell>
          <cell r="O4992">
            <v>120</v>
          </cell>
          <cell r="P4992">
            <v>35</v>
          </cell>
          <cell r="Q4992">
            <v>90</v>
          </cell>
        </row>
        <row r="4993">
          <cell r="B4993" t="str">
            <v>5317C11004G71</v>
          </cell>
          <cell r="D4993" t="str">
            <v>A</v>
          </cell>
          <cell r="E4993" t="str">
            <v>工序内容</v>
          </cell>
          <cell r="F4993" t="str">
            <v>00领料</v>
          </cell>
          <cell r="G4993" t="str">
            <v>05下料</v>
          </cell>
          <cell r="H4993" t="str">
            <v>10数铣</v>
          </cell>
          <cell r="I4993" t="str">
            <v>15数铣30</v>
          </cell>
          <cell r="J4993" t="str">
            <v>20数铣180</v>
          </cell>
          <cell r="K4993" t="str">
            <v>25数铣75</v>
          </cell>
          <cell r="L4993" t="str">
            <v>30数铣20</v>
          </cell>
          <cell r="M4993" t="str">
            <v>35数铣20</v>
          </cell>
          <cell r="N4993" t="str">
            <v>40数铣10</v>
          </cell>
          <cell r="O4993" t="str">
            <v>45钳工</v>
          </cell>
          <cell r="P4993" t="str">
            <v>50数铣15</v>
          </cell>
          <cell r="Q4993" t="str">
            <v>55钳工</v>
          </cell>
          <cell r="R4993" t="str">
            <v>60清洁</v>
          </cell>
          <cell r="S4993" t="str">
            <v>65成检</v>
          </cell>
        </row>
        <row r="4994">
          <cell r="B4994" t="str">
            <v>5317C11004G71</v>
          </cell>
          <cell r="D4994" t="str">
            <v>A</v>
          </cell>
          <cell r="E4994" t="str">
            <v>准备工时</v>
          </cell>
          <cell r="H4994">
            <v>60</v>
          </cell>
          <cell r="I4994">
            <v>90</v>
          </cell>
          <cell r="J4994">
            <v>90</v>
          </cell>
          <cell r="K4994">
            <v>90</v>
          </cell>
          <cell r="L4994">
            <v>90</v>
          </cell>
          <cell r="M4994">
            <v>90</v>
          </cell>
          <cell r="N4994">
            <v>60</v>
          </cell>
          <cell r="P4994">
            <v>90</v>
          </cell>
        </row>
        <row r="4995">
          <cell r="B4995" t="str">
            <v>5317C11004G71</v>
          </cell>
          <cell r="D4995" t="str">
            <v>A</v>
          </cell>
          <cell r="E4995" t="str">
            <v>程序时间</v>
          </cell>
          <cell r="H4995">
            <v>60</v>
          </cell>
          <cell r="I4995">
            <v>50</v>
          </cell>
          <cell r="J4995">
            <v>260</v>
          </cell>
          <cell r="K4995">
            <v>120</v>
          </cell>
          <cell r="L4995">
            <v>40</v>
          </cell>
          <cell r="M4995">
            <v>40</v>
          </cell>
          <cell r="N4995">
            <v>30</v>
          </cell>
          <cell r="O4995">
            <v>120</v>
          </cell>
          <cell r="P4995">
            <v>35</v>
          </cell>
          <cell r="Q4995">
            <v>90</v>
          </cell>
        </row>
        <row r="4996">
          <cell r="B4996" t="str">
            <v>Y20-5317001074-501</v>
          </cell>
          <cell r="D4996" t="str">
            <v>C</v>
          </cell>
          <cell r="E4996" t="str">
            <v>工序内容</v>
          </cell>
          <cell r="F4996" t="str">
            <v>0/领料</v>
          </cell>
          <cell r="G4996" t="str">
            <v>5/数铣</v>
          </cell>
          <cell r="H4996" t="str">
            <v>10/数铣15</v>
          </cell>
          <cell r="I4996" t="str">
            <v>15/数铣90</v>
          </cell>
          <cell r="J4996" t="str">
            <v>20/时效</v>
          </cell>
          <cell r="K4996" t="str">
            <v>25/数铣</v>
          </cell>
          <cell r="L4996" t="str">
            <v>30/数铣62</v>
          </cell>
          <cell r="M4996" t="str">
            <v>35/测量</v>
          </cell>
          <cell r="N4996" t="str">
            <v>40/钳工</v>
          </cell>
          <cell r="O4996" t="str">
            <v>45/清洁</v>
          </cell>
          <cell r="P4996" t="str">
            <v>50/成检</v>
          </cell>
        </row>
        <row r="4997">
          <cell r="B4997" t="str">
            <v>Y20-5317001074-501</v>
          </cell>
          <cell r="D4997" t="str">
            <v>C</v>
          </cell>
          <cell r="E4997" t="str">
            <v>准备工时</v>
          </cell>
          <cell r="G4997">
            <v>60</v>
          </cell>
          <cell r="H4997">
            <v>90</v>
          </cell>
          <cell r="I4997">
            <v>60</v>
          </cell>
          <cell r="K4997">
            <v>60</v>
          </cell>
          <cell r="L4997">
            <v>90</v>
          </cell>
        </row>
        <row r="4998">
          <cell r="B4998" t="str">
            <v>Y20-5317001074-501</v>
          </cell>
          <cell r="D4998" t="str">
            <v>C</v>
          </cell>
          <cell r="E4998" t="str">
            <v>装夹时间</v>
          </cell>
          <cell r="G4998">
            <v>60</v>
          </cell>
          <cell r="H4998">
            <v>60</v>
          </cell>
          <cell r="I4998">
            <v>60</v>
          </cell>
          <cell r="K4998">
            <v>60</v>
          </cell>
          <cell r="L4998">
            <v>60</v>
          </cell>
        </row>
        <row r="4999">
          <cell r="B4999" t="str">
            <v>Y20-5317001074-501</v>
          </cell>
          <cell r="D4999" t="str">
            <v>C</v>
          </cell>
          <cell r="E4999" t="str">
            <v>程序时间</v>
          </cell>
          <cell r="G4999">
            <v>120</v>
          </cell>
          <cell r="H4999">
            <v>50</v>
          </cell>
          <cell r="I4999">
            <v>130</v>
          </cell>
          <cell r="K4999">
            <v>120</v>
          </cell>
          <cell r="L4999">
            <v>180</v>
          </cell>
          <cell r="N4999">
            <v>100</v>
          </cell>
        </row>
        <row r="5000">
          <cell r="B5000" t="str">
            <v>Y20-5317001074-502</v>
          </cell>
          <cell r="D5000" t="str">
            <v>C</v>
          </cell>
          <cell r="E5000" t="str">
            <v>工序内容</v>
          </cell>
          <cell r="F5000" t="str">
            <v>0/领料</v>
          </cell>
          <cell r="G5000" t="str">
            <v>5/数铣</v>
          </cell>
          <cell r="H5000" t="str">
            <v>10/数铣15</v>
          </cell>
          <cell r="I5000" t="str">
            <v>15/数铣90</v>
          </cell>
          <cell r="J5000" t="str">
            <v>20/时效</v>
          </cell>
          <cell r="K5000" t="str">
            <v>25/数铣</v>
          </cell>
          <cell r="L5000" t="str">
            <v>30/数铣62</v>
          </cell>
          <cell r="M5000" t="str">
            <v>35/测量</v>
          </cell>
          <cell r="N5000" t="str">
            <v>40/钳工</v>
          </cell>
          <cell r="O5000" t="str">
            <v>45/清洁</v>
          </cell>
          <cell r="P5000" t="str">
            <v>50/成检</v>
          </cell>
        </row>
        <row r="5001">
          <cell r="B5001" t="str">
            <v>Y20-5317001074-502</v>
          </cell>
          <cell r="D5001" t="str">
            <v>C</v>
          </cell>
          <cell r="E5001" t="str">
            <v>准备工时</v>
          </cell>
          <cell r="G5001">
            <v>60</v>
          </cell>
          <cell r="H5001">
            <v>90</v>
          </cell>
          <cell r="I5001">
            <v>60</v>
          </cell>
          <cell r="K5001">
            <v>60</v>
          </cell>
          <cell r="L5001">
            <v>90</v>
          </cell>
        </row>
        <row r="5002">
          <cell r="B5002" t="str">
            <v>Y20-5317001074-502</v>
          </cell>
          <cell r="D5002" t="str">
            <v>C</v>
          </cell>
          <cell r="E5002" t="str">
            <v>装夹时间</v>
          </cell>
          <cell r="G5002">
            <v>60</v>
          </cell>
          <cell r="H5002">
            <v>60</v>
          </cell>
          <cell r="I5002">
            <v>60</v>
          </cell>
          <cell r="K5002">
            <v>60</v>
          </cell>
          <cell r="L5002">
            <v>60</v>
          </cell>
        </row>
        <row r="5003">
          <cell r="B5003" t="str">
            <v>Y20-5317001074-502</v>
          </cell>
          <cell r="D5003" t="str">
            <v>C</v>
          </cell>
          <cell r="E5003" t="str">
            <v>程序时间</v>
          </cell>
          <cell r="G5003">
            <v>120</v>
          </cell>
          <cell r="H5003">
            <v>50</v>
          </cell>
          <cell r="I5003">
            <v>130</v>
          </cell>
          <cell r="K5003">
            <v>120</v>
          </cell>
          <cell r="L5003">
            <v>180</v>
          </cell>
          <cell r="N5003">
            <v>100</v>
          </cell>
        </row>
        <row r="5004">
          <cell r="B5004" t="str">
            <v>5319C96017G70</v>
          </cell>
          <cell r="D5004" t="str">
            <v>A</v>
          </cell>
          <cell r="E5004" t="str">
            <v>工序内容</v>
          </cell>
          <cell r="F5004" t="str">
            <v>00领料</v>
          </cell>
          <cell r="G5004" t="str">
            <v>05/数铣</v>
          </cell>
          <cell r="H5004" t="str">
            <v>10数铣25</v>
          </cell>
          <cell r="I5004" t="str">
            <v>15数铣20</v>
          </cell>
          <cell r="J5004" t="str">
            <v>20数铣10</v>
          </cell>
          <cell r="K5004" t="str">
            <v>25/数铣55</v>
          </cell>
          <cell r="L5004" t="str">
            <v>30/钳工</v>
          </cell>
          <cell r="M5004" t="str">
            <v>35清洁</v>
          </cell>
          <cell r="N5004" t="str">
            <v>40成检</v>
          </cell>
        </row>
        <row r="5005">
          <cell r="B5005" t="str">
            <v>5319C96017G70</v>
          </cell>
          <cell r="D5005" t="str">
            <v>A</v>
          </cell>
          <cell r="E5005" t="str">
            <v>准备工时</v>
          </cell>
          <cell r="G5005">
            <v>60</v>
          </cell>
          <cell r="H5005">
            <v>60</v>
          </cell>
          <cell r="I5005">
            <v>90</v>
          </cell>
          <cell r="J5005">
            <v>60</v>
          </cell>
          <cell r="K5005">
            <v>90</v>
          </cell>
        </row>
        <row r="5006">
          <cell r="B5006" t="str">
            <v>5319C96017G70</v>
          </cell>
          <cell r="D5006" t="str">
            <v>A</v>
          </cell>
          <cell r="E5006" t="str">
            <v>程序时间</v>
          </cell>
          <cell r="G5006">
            <v>35</v>
          </cell>
          <cell r="H5006">
            <v>40</v>
          </cell>
          <cell r="I5006">
            <v>35</v>
          </cell>
          <cell r="J5006">
            <v>20</v>
          </cell>
          <cell r="K5006">
            <v>90</v>
          </cell>
          <cell r="L5006">
            <v>50</v>
          </cell>
        </row>
        <row r="5007">
          <cell r="B5007" t="str">
            <v>5317C23403G70</v>
          </cell>
          <cell r="D5007" t="str">
            <v>A</v>
          </cell>
          <cell r="E5007" t="str">
            <v>工序内容</v>
          </cell>
          <cell r="F5007" t="str">
            <v>00领料</v>
          </cell>
          <cell r="G5007" t="str">
            <v>05数铣</v>
          </cell>
          <cell r="H5007" t="str">
            <v>10数铣40</v>
          </cell>
          <cell r="I5007" t="str">
            <v>15线切割</v>
          </cell>
          <cell r="J5007" t="str">
            <v>20数铣</v>
          </cell>
          <cell r="K5007" t="str">
            <v>25数铣10</v>
          </cell>
          <cell r="L5007" t="str">
            <v>30钳工</v>
          </cell>
          <cell r="M5007" t="str">
            <v>35清洁</v>
          </cell>
          <cell r="N5007" t="str">
            <v>40成检</v>
          </cell>
        </row>
        <row r="5008">
          <cell r="B5008" t="str">
            <v>5317C23403G70</v>
          </cell>
          <cell r="D5008" t="str">
            <v>A</v>
          </cell>
          <cell r="E5008" t="str">
            <v>准备工时</v>
          </cell>
          <cell r="G5008">
            <v>60</v>
          </cell>
          <cell r="H5008">
            <v>90</v>
          </cell>
          <cell r="J5008">
            <v>60</v>
          </cell>
          <cell r="K5008">
            <v>90</v>
          </cell>
        </row>
        <row r="5009">
          <cell r="B5009" t="str">
            <v>5317C23403G70</v>
          </cell>
          <cell r="D5009" t="str">
            <v>A</v>
          </cell>
          <cell r="E5009" t="str">
            <v>程序时间</v>
          </cell>
          <cell r="G5009">
            <v>30</v>
          </cell>
          <cell r="H5009">
            <v>60</v>
          </cell>
          <cell r="J5009">
            <v>20</v>
          </cell>
          <cell r="K5009">
            <v>40</v>
          </cell>
          <cell r="L5009">
            <v>25</v>
          </cell>
        </row>
        <row r="5010">
          <cell r="B5010" t="str">
            <v>5319C02201G70</v>
          </cell>
          <cell r="D5010" t="str">
            <v>A</v>
          </cell>
          <cell r="E5010" t="str">
            <v>工序内容</v>
          </cell>
          <cell r="F5010" t="str">
            <v>00领料</v>
          </cell>
          <cell r="G5010" t="str">
            <v>05/数铣</v>
          </cell>
          <cell r="H5010" t="str">
            <v>10数铣18</v>
          </cell>
          <cell r="I5010" t="str">
            <v>15数铣35</v>
          </cell>
          <cell r="J5010" t="str">
            <v>20数铣35</v>
          </cell>
          <cell r="K5010" t="str">
            <v>25五轴60</v>
          </cell>
          <cell r="L5010" t="str">
            <v>30测量</v>
          </cell>
          <cell r="M5010" t="str">
            <v>35钳工</v>
          </cell>
          <cell r="N5010" t="str">
            <v>40清洁</v>
          </cell>
          <cell r="O5010" t="str">
            <v>45成检</v>
          </cell>
        </row>
        <row r="5011">
          <cell r="B5011" t="str">
            <v>5319C02201G70</v>
          </cell>
          <cell r="D5011" t="str">
            <v>A</v>
          </cell>
          <cell r="E5011" t="str">
            <v>准备工时</v>
          </cell>
          <cell r="G5011">
            <v>60</v>
          </cell>
          <cell r="H5011">
            <v>60</v>
          </cell>
          <cell r="I5011">
            <v>60</v>
          </cell>
          <cell r="J5011">
            <v>60</v>
          </cell>
          <cell r="K5011">
            <v>120</v>
          </cell>
        </row>
        <row r="5012">
          <cell r="B5012" t="str">
            <v>5319C02201G70</v>
          </cell>
          <cell r="D5012" t="str">
            <v>A</v>
          </cell>
          <cell r="E5012" t="str">
            <v>装夹时间</v>
          </cell>
          <cell r="K5012">
            <v>60</v>
          </cell>
        </row>
        <row r="5013">
          <cell r="B5013" t="str">
            <v>5319C02201G70</v>
          </cell>
          <cell r="D5013" t="str">
            <v>A</v>
          </cell>
          <cell r="E5013" t="str">
            <v>程序时间</v>
          </cell>
          <cell r="G5013">
            <v>50</v>
          </cell>
          <cell r="H5013">
            <v>45</v>
          </cell>
          <cell r="I5013">
            <v>45</v>
          </cell>
          <cell r="J5013">
            <v>60</v>
          </cell>
          <cell r="K5013">
            <v>120</v>
          </cell>
          <cell r="M5013">
            <v>90</v>
          </cell>
        </row>
        <row r="5014">
          <cell r="B5014" t="str">
            <v>DD-J10-55015-5503-Y</v>
          </cell>
          <cell r="D5014" t="str">
            <v>B</v>
          </cell>
          <cell r="E5014" t="str">
            <v>工序内容</v>
          </cell>
          <cell r="F5014" t="str">
            <v>0/领料</v>
          </cell>
          <cell r="G5014" t="str">
            <v>05/钳工</v>
          </cell>
          <cell r="H5014" t="str">
            <v>10/数车20</v>
          </cell>
          <cell r="I5014" t="str">
            <v>15/数车30</v>
          </cell>
          <cell r="J5014" t="str">
            <v>20/数车10</v>
          </cell>
          <cell r="K5014" t="str">
            <v>25/线切割</v>
          </cell>
          <cell r="L5014" t="str">
            <v>30/钳工</v>
          </cell>
          <cell r="M5014" t="str">
            <v>35/清洁</v>
          </cell>
          <cell r="N5014" t="str">
            <v>40/成检</v>
          </cell>
        </row>
        <row r="5015">
          <cell r="B5015" t="str">
            <v>DD-J10-55015-5503-Y</v>
          </cell>
          <cell r="D5015" t="str">
            <v>B</v>
          </cell>
          <cell r="E5015" t="str">
            <v>准备工时</v>
          </cell>
          <cell r="H5015">
            <v>120</v>
          </cell>
          <cell r="I5015">
            <v>120</v>
          </cell>
          <cell r="J5015">
            <v>90</v>
          </cell>
        </row>
        <row r="5016">
          <cell r="B5016" t="str">
            <v>DD-J10-55015-5503-Y</v>
          </cell>
          <cell r="D5016" t="str">
            <v>B</v>
          </cell>
          <cell r="E5016" t="str">
            <v>程序时间</v>
          </cell>
          <cell r="G5016">
            <v>15</v>
          </cell>
          <cell r="H5016">
            <v>30</v>
          </cell>
          <cell r="I5016">
            <v>45</v>
          </cell>
          <cell r="J5016">
            <v>20</v>
          </cell>
          <cell r="L5016">
            <v>40</v>
          </cell>
        </row>
        <row r="5017">
          <cell r="B5017" t="str">
            <v>DD-J10-61001-722</v>
          </cell>
          <cell r="D5017" t="str">
            <v>B</v>
          </cell>
          <cell r="E5017" t="str">
            <v>工序内容</v>
          </cell>
          <cell r="F5017" t="str">
            <v>0领料</v>
          </cell>
          <cell r="G5017" t="str">
            <v>5数车45</v>
          </cell>
          <cell r="H5017" t="str">
            <v>10数车10</v>
          </cell>
          <cell r="I5017" t="str">
            <v>15线切割</v>
          </cell>
          <cell r="J5017" t="str">
            <v>20数铣10</v>
          </cell>
          <cell r="K5017" t="str">
            <v>25钳工</v>
          </cell>
          <cell r="L5017" t="str">
            <v>30清洁</v>
          </cell>
          <cell r="M5017" t="str">
            <v>35成检</v>
          </cell>
        </row>
        <row r="5018">
          <cell r="B5018" t="str">
            <v>DD-J10-61001-722</v>
          </cell>
          <cell r="D5018" t="str">
            <v>B</v>
          </cell>
          <cell r="E5018" t="str">
            <v>准备工时</v>
          </cell>
          <cell r="G5018">
            <v>90</v>
          </cell>
          <cell r="H5018">
            <v>90</v>
          </cell>
          <cell r="J5018">
            <v>60</v>
          </cell>
        </row>
        <row r="5019">
          <cell r="B5019" t="str">
            <v>DD-J10-61001-722</v>
          </cell>
          <cell r="D5019" t="str">
            <v>B</v>
          </cell>
          <cell r="E5019" t="str">
            <v>程序时间</v>
          </cell>
          <cell r="G5019">
            <v>30</v>
          </cell>
          <cell r="H5019">
            <v>15</v>
          </cell>
          <cell r="I5019">
            <v>10</v>
          </cell>
          <cell r="J5019">
            <v>20</v>
          </cell>
          <cell r="K5019">
            <v>10</v>
          </cell>
        </row>
        <row r="5020">
          <cell r="B5020" t="str">
            <v>BC2711110-003-001</v>
          </cell>
          <cell r="D5020" t="str">
            <v>B</v>
          </cell>
          <cell r="E5020" t="str">
            <v>工序内容</v>
          </cell>
          <cell r="F5020" t="str">
            <v>0领料</v>
          </cell>
          <cell r="G5020" t="str">
            <v>05数车30</v>
          </cell>
          <cell r="H5020" t="str">
            <v>10车铣45</v>
          </cell>
          <cell r="I5020" t="str">
            <v>15穿孔</v>
          </cell>
          <cell r="J5020" t="str">
            <v>20钳工</v>
          </cell>
          <cell r="K5020" t="str">
            <v>25分光</v>
          </cell>
          <cell r="L5020" t="str">
            <v>30热处理</v>
          </cell>
          <cell r="M5020" t="str">
            <v>35数车10</v>
          </cell>
          <cell r="N5020" t="str">
            <v>40数车20</v>
          </cell>
          <cell r="O5020" t="str">
            <v>45钳工</v>
          </cell>
          <cell r="P5020" t="str">
            <v>50清洁</v>
          </cell>
          <cell r="Q5020" t="str">
            <v>55检验</v>
          </cell>
        </row>
        <row r="5021">
          <cell r="B5021" t="str">
            <v>BC2711110-003-001</v>
          </cell>
          <cell r="D5021" t="str">
            <v>B</v>
          </cell>
          <cell r="E5021" t="str">
            <v>准备工时</v>
          </cell>
          <cell r="G5021">
            <v>60</v>
          </cell>
          <cell r="H5021">
            <v>120</v>
          </cell>
          <cell r="M5021">
            <v>60</v>
          </cell>
          <cell r="N5021">
            <v>90</v>
          </cell>
        </row>
        <row r="5022">
          <cell r="B5022" t="str">
            <v>BC2711110-003-001</v>
          </cell>
          <cell r="D5022" t="str">
            <v>B</v>
          </cell>
          <cell r="E5022" t="str">
            <v>程序时间</v>
          </cell>
          <cell r="G5022">
            <v>25</v>
          </cell>
          <cell r="H5022">
            <v>50</v>
          </cell>
          <cell r="J5022">
            <v>20</v>
          </cell>
          <cell r="M5022">
            <v>10</v>
          </cell>
          <cell r="N5022">
            <v>25</v>
          </cell>
          <cell r="O5022">
            <v>30</v>
          </cell>
        </row>
        <row r="5023">
          <cell r="B5023" t="str">
            <v>5211C41013G70</v>
          </cell>
          <cell r="D5023" t="str">
            <v>A</v>
          </cell>
          <cell r="E5023" t="str">
            <v>工序内容</v>
          </cell>
          <cell r="F5023" t="str">
            <v>00领料</v>
          </cell>
          <cell r="G5023" t="str">
            <v>05电导检查</v>
          </cell>
          <cell r="H5023" t="str">
            <v>10硬度检查</v>
          </cell>
          <cell r="I5023" t="str">
            <v>15数车15</v>
          </cell>
          <cell r="J5023" t="str">
            <v>20数车5</v>
          </cell>
          <cell r="K5023" t="str">
            <v>25清洁</v>
          </cell>
          <cell r="L5023" t="str">
            <v>30成检</v>
          </cell>
        </row>
        <row r="5024">
          <cell r="B5024" t="str">
            <v>5211C41013G70</v>
          </cell>
          <cell r="D5024" t="str">
            <v>A</v>
          </cell>
          <cell r="E5024" t="str">
            <v>准备工时</v>
          </cell>
          <cell r="I5024">
            <v>60</v>
          </cell>
          <cell r="J5024">
            <v>60</v>
          </cell>
        </row>
        <row r="5025">
          <cell r="B5025" t="str">
            <v>5211C41013G70</v>
          </cell>
          <cell r="D5025" t="str">
            <v>A</v>
          </cell>
          <cell r="E5025" t="str">
            <v>程序时间</v>
          </cell>
          <cell r="I5025">
            <v>20</v>
          </cell>
          <cell r="J5025">
            <v>10</v>
          </cell>
        </row>
        <row r="5026">
          <cell r="B5026" t="str">
            <v>BC5711420-001-002</v>
          </cell>
          <cell r="D5026" t="str">
            <v>B</v>
          </cell>
          <cell r="E5026" t="str">
            <v>工序内容</v>
          </cell>
          <cell r="F5026" t="str">
            <v>0领料</v>
          </cell>
          <cell r="G5026" t="str">
            <v>05数车30</v>
          </cell>
          <cell r="H5026" t="str">
            <v>10分光</v>
          </cell>
          <cell r="I5026" t="str">
            <v>15钳工</v>
          </cell>
          <cell r="J5026" t="str">
            <v>20热处理</v>
          </cell>
          <cell r="K5026" t="str">
            <v>25数车240</v>
          </cell>
          <cell r="L5026" t="str">
            <v>30数车30</v>
          </cell>
          <cell r="M5026" t="str">
            <v>35数车30</v>
          </cell>
          <cell r="N5026" t="str">
            <v>40线切割</v>
          </cell>
          <cell r="O5026" t="str">
            <v>45钳工</v>
          </cell>
          <cell r="P5026" t="str">
            <v>50清洁</v>
          </cell>
          <cell r="Q5026" t="str">
            <v>55检验</v>
          </cell>
        </row>
        <row r="5027">
          <cell r="B5027" t="str">
            <v>BC5711420-001-002</v>
          </cell>
          <cell r="D5027" t="str">
            <v>B</v>
          </cell>
          <cell r="E5027" t="str">
            <v>准备工时</v>
          </cell>
          <cell r="G5027">
            <v>60</v>
          </cell>
          <cell r="K5027">
            <v>90</v>
          </cell>
          <cell r="L5027">
            <v>60</v>
          </cell>
          <cell r="M5027">
            <v>90</v>
          </cell>
        </row>
        <row r="5028">
          <cell r="B5028" t="str">
            <v>BC5711420-001-002</v>
          </cell>
          <cell r="D5028" t="str">
            <v>B</v>
          </cell>
          <cell r="E5028" t="str">
            <v>程序时间</v>
          </cell>
          <cell r="G5028">
            <v>30</v>
          </cell>
          <cell r="I5028" t="str">
            <v>15/根</v>
          </cell>
          <cell r="K5028">
            <v>180</v>
          </cell>
          <cell r="L5028">
            <v>20</v>
          </cell>
          <cell r="M5028">
            <v>25</v>
          </cell>
          <cell r="O5028">
            <v>15</v>
          </cell>
        </row>
        <row r="5029">
          <cell r="B5029" t="str">
            <v>DD-J10-55055-2611</v>
          </cell>
          <cell r="D5029" t="str">
            <v>B</v>
          </cell>
          <cell r="E5029" t="str">
            <v>工序内容</v>
          </cell>
          <cell r="F5029" t="str">
            <v>0/领料</v>
          </cell>
          <cell r="G5029" t="str">
            <v>05/钳工</v>
          </cell>
          <cell r="H5029" t="str">
            <v>10/数车(30)</v>
          </cell>
          <cell r="I5029" t="str">
            <v>15/数车(15)</v>
          </cell>
          <cell r="J5029" t="str">
            <v>20/数铣（15）</v>
          </cell>
          <cell r="K5029" t="str">
            <v>25/数铣（8）</v>
          </cell>
          <cell r="L5029" t="str">
            <v>30/数铣（15）</v>
          </cell>
          <cell r="M5029" t="str">
            <v>35/钳工</v>
          </cell>
          <cell r="N5029" t="str">
            <v>40/清洁</v>
          </cell>
          <cell r="O5029" t="str">
            <v>45/成检</v>
          </cell>
        </row>
        <row r="5030">
          <cell r="B5030" t="str">
            <v>DD-J10-55055-2611</v>
          </cell>
          <cell r="D5030" t="str">
            <v>B</v>
          </cell>
          <cell r="E5030" t="str">
            <v>准备工时</v>
          </cell>
          <cell r="H5030">
            <v>120</v>
          </cell>
          <cell r="I5030">
            <v>60</v>
          </cell>
          <cell r="J5030">
            <v>120</v>
          </cell>
          <cell r="K5030">
            <v>90</v>
          </cell>
          <cell r="L5030">
            <v>90</v>
          </cell>
        </row>
        <row r="5031">
          <cell r="B5031" t="str">
            <v>DD-J10-55055-2611</v>
          </cell>
          <cell r="D5031" t="str">
            <v>B</v>
          </cell>
          <cell r="E5031" t="str">
            <v>程序时间</v>
          </cell>
          <cell r="G5031">
            <v>15</v>
          </cell>
          <cell r="H5031">
            <v>50</v>
          </cell>
          <cell r="I5031">
            <v>30</v>
          </cell>
          <cell r="J5031">
            <v>40</v>
          </cell>
          <cell r="K5031">
            <v>25</v>
          </cell>
          <cell r="L5031">
            <v>35</v>
          </cell>
          <cell r="M5031">
            <v>30</v>
          </cell>
        </row>
        <row r="5032">
          <cell r="B5032" t="str">
            <v>5211C31005G70</v>
          </cell>
          <cell r="D5032" t="str">
            <v>A</v>
          </cell>
          <cell r="E5032" t="str">
            <v>工序内容</v>
          </cell>
          <cell r="F5032" t="str">
            <v>00领料</v>
          </cell>
          <cell r="G5032" t="str">
            <v>05热处理</v>
          </cell>
          <cell r="H5032" t="str">
            <v>10/硬度</v>
          </cell>
          <cell r="I5032" t="str">
            <v>15/车铣20</v>
          </cell>
          <cell r="J5032" t="str">
            <v>20数车15</v>
          </cell>
          <cell r="K5032" t="str">
            <v>25线切割</v>
          </cell>
          <cell r="L5032" t="str">
            <v>30数铣5</v>
          </cell>
          <cell r="M5032" t="str">
            <v>35钳工</v>
          </cell>
          <cell r="N5032" t="str">
            <v>40清洗</v>
          </cell>
          <cell r="O5032" t="str">
            <v>45成检</v>
          </cell>
        </row>
        <row r="5033">
          <cell r="B5033" t="str">
            <v>5211C31005G70</v>
          </cell>
          <cell r="D5033" t="str">
            <v>A</v>
          </cell>
          <cell r="E5033" t="str">
            <v>准备工时</v>
          </cell>
          <cell r="I5033">
            <v>90</v>
          </cell>
          <cell r="J5033">
            <v>90</v>
          </cell>
          <cell r="L5033">
            <v>90</v>
          </cell>
        </row>
        <row r="5034">
          <cell r="B5034" t="str">
            <v>5211C31005G70</v>
          </cell>
          <cell r="D5034" t="str">
            <v>A</v>
          </cell>
          <cell r="E5034" t="str">
            <v>程序时间</v>
          </cell>
          <cell r="I5034">
            <v>35</v>
          </cell>
          <cell r="J5034">
            <v>25</v>
          </cell>
          <cell r="L5034">
            <v>20</v>
          </cell>
          <cell r="M5034">
            <v>20</v>
          </cell>
        </row>
        <row r="5035">
          <cell r="B5035" t="str">
            <v>CB5350510-002-010</v>
          </cell>
          <cell r="D5035" t="str">
            <v>A</v>
          </cell>
          <cell r="E5035" t="str">
            <v>工序内容</v>
          </cell>
          <cell r="F5035" t="str">
            <v>0/领料</v>
          </cell>
          <cell r="G5035" t="str">
            <v>5/普车</v>
          </cell>
          <cell r="H5035" t="str">
            <v>10/分光</v>
          </cell>
          <cell r="I5035" t="str">
            <v>15/数车30</v>
          </cell>
          <cell r="J5035" t="str">
            <v>20数车10</v>
          </cell>
          <cell r="K5035" t="str">
            <v>25数铣15</v>
          </cell>
          <cell r="L5035" t="str">
            <v>30/测量</v>
          </cell>
          <cell r="M5035" t="str">
            <v>35/钳工</v>
          </cell>
          <cell r="N5035" t="str">
            <v>40/清洁</v>
          </cell>
          <cell r="O5035" t="str">
            <v>45成检</v>
          </cell>
        </row>
        <row r="5036">
          <cell r="B5036" t="str">
            <v>CB5350510-002-010</v>
          </cell>
          <cell r="D5036" t="str">
            <v>A</v>
          </cell>
          <cell r="E5036" t="str">
            <v>准备工时</v>
          </cell>
          <cell r="G5036">
            <v>60</v>
          </cell>
          <cell r="I5036">
            <v>90</v>
          </cell>
          <cell r="J5036">
            <v>60</v>
          </cell>
          <cell r="K5036">
            <v>60</v>
          </cell>
        </row>
        <row r="5037">
          <cell r="B5037" t="str">
            <v>CB5350510-002-010</v>
          </cell>
          <cell r="D5037" t="str">
            <v>A</v>
          </cell>
          <cell r="E5037" t="str">
            <v>程序时间</v>
          </cell>
          <cell r="G5037" t="str">
            <v>40/根</v>
          </cell>
          <cell r="I5037">
            <v>35</v>
          </cell>
          <cell r="J5037">
            <v>15</v>
          </cell>
          <cell r="K5037">
            <v>30</v>
          </cell>
          <cell r="M5037">
            <v>20</v>
          </cell>
        </row>
        <row r="5038">
          <cell r="B5038" t="str">
            <v>DD-J10-55181-6241</v>
          </cell>
          <cell r="D5038" t="str">
            <v>B</v>
          </cell>
          <cell r="E5038" t="str">
            <v>工序内容</v>
          </cell>
          <cell r="F5038" t="str">
            <v>0/领料</v>
          </cell>
          <cell r="G5038" t="str">
            <v>5/钳工</v>
          </cell>
          <cell r="H5038" t="str">
            <v>10/数车20</v>
          </cell>
          <cell r="I5038" t="str">
            <v>15/数车15</v>
          </cell>
          <cell r="J5038" t="str">
            <v>20/热处理</v>
          </cell>
          <cell r="K5038" t="str">
            <v>25/数车30</v>
          </cell>
          <cell r="L5038" t="str">
            <v>30/数车25</v>
          </cell>
          <cell r="M5038" t="str">
            <v>35/钳工</v>
          </cell>
          <cell r="N5038" t="str">
            <v>40/中间验</v>
          </cell>
          <cell r="O5038" t="str">
            <v>45/复验</v>
          </cell>
          <cell r="P5038" t="str">
            <v>50/表处</v>
          </cell>
          <cell r="Q5038" t="str">
            <v>55/表处</v>
          </cell>
          <cell r="R5038" t="str">
            <v>60/数车10</v>
          </cell>
          <cell r="S5038" t="str">
            <v>65/数车10</v>
          </cell>
          <cell r="T5038" t="str">
            <v>70/清洁</v>
          </cell>
          <cell r="U5038" t="str">
            <v>75/成检</v>
          </cell>
        </row>
        <row r="5039">
          <cell r="B5039" t="str">
            <v>DD-J10-55181-6241</v>
          </cell>
          <cell r="D5039" t="str">
            <v>B</v>
          </cell>
          <cell r="E5039" t="str">
            <v>准备工时</v>
          </cell>
          <cell r="H5039">
            <v>120</v>
          </cell>
          <cell r="I5039">
            <v>120</v>
          </cell>
          <cell r="K5039">
            <v>120</v>
          </cell>
          <cell r="L5039" t="str">
            <v>120</v>
          </cell>
          <cell r="R5039">
            <v>120</v>
          </cell>
          <cell r="S5039">
            <v>120</v>
          </cell>
        </row>
        <row r="5040">
          <cell r="B5040" t="str">
            <v>DD-J10-55181-6241</v>
          </cell>
          <cell r="D5040" t="str">
            <v>B</v>
          </cell>
          <cell r="E5040" t="str">
            <v>程序时间</v>
          </cell>
          <cell r="G5040">
            <v>10</v>
          </cell>
          <cell r="H5040">
            <v>30</v>
          </cell>
          <cell r="I5040">
            <v>25</v>
          </cell>
          <cell r="K5040">
            <v>40</v>
          </cell>
          <cell r="L5040" t="str">
            <v>35</v>
          </cell>
          <cell r="M5040" t="str">
            <v>30</v>
          </cell>
          <cell r="R5040">
            <v>20</v>
          </cell>
          <cell r="S5040">
            <v>20</v>
          </cell>
        </row>
        <row r="5041">
          <cell r="B5041" t="str">
            <v>5613A380024G010</v>
          </cell>
          <cell r="D5041" t="str">
            <v>B</v>
          </cell>
          <cell r="E5041" t="str">
            <v>工序内容</v>
          </cell>
          <cell r="F5041" t="str">
            <v>00领料</v>
          </cell>
          <cell r="G5041" t="str">
            <v>05/数车20</v>
          </cell>
          <cell r="H5041" t="str">
            <v>10/数车5</v>
          </cell>
          <cell r="I5041" t="str">
            <v>15清洁</v>
          </cell>
          <cell r="J5041" t="str">
            <v>20成检</v>
          </cell>
        </row>
        <row r="5042">
          <cell r="B5042" t="str">
            <v>5613A380024G010</v>
          </cell>
          <cell r="D5042" t="str">
            <v>B</v>
          </cell>
          <cell r="E5042" t="str">
            <v>准备工时</v>
          </cell>
          <cell r="G5042">
            <v>60</v>
          </cell>
          <cell r="H5042">
            <v>60</v>
          </cell>
        </row>
        <row r="5043">
          <cell r="B5043" t="str">
            <v>5613A380024G010</v>
          </cell>
          <cell r="D5043" t="str">
            <v>B</v>
          </cell>
          <cell r="E5043" t="str">
            <v>程序时间</v>
          </cell>
          <cell r="G5043">
            <v>20</v>
          </cell>
          <cell r="H5043">
            <v>5</v>
          </cell>
        </row>
        <row r="5044">
          <cell r="B5044" t="str">
            <v>5211C41017G70</v>
          </cell>
          <cell r="D5044" t="str">
            <v>A</v>
          </cell>
          <cell r="E5044" t="str">
            <v>工序内容</v>
          </cell>
          <cell r="F5044" t="str">
            <v>00领料</v>
          </cell>
          <cell r="G5044" t="str">
            <v>05电导率检查</v>
          </cell>
          <cell r="H5044" t="str">
            <v>10硬检</v>
          </cell>
          <cell r="I5044" t="str">
            <v>15数车</v>
          </cell>
          <cell r="J5044" t="str">
            <v>20数车</v>
          </cell>
          <cell r="K5044" t="str">
            <v>25清洁</v>
          </cell>
          <cell r="L5044" t="str">
            <v>30成检</v>
          </cell>
        </row>
        <row r="5045">
          <cell r="B5045" t="str">
            <v>5211C41017G70</v>
          </cell>
          <cell r="D5045" t="str">
            <v>A</v>
          </cell>
          <cell r="E5045" t="str">
            <v>准备工时</v>
          </cell>
          <cell r="I5045">
            <v>60</v>
          </cell>
          <cell r="J5045">
            <v>90</v>
          </cell>
        </row>
        <row r="5046">
          <cell r="B5046" t="str">
            <v>5211C41017G70</v>
          </cell>
          <cell r="D5046" t="str">
            <v>A</v>
          </cell>
          <cell r="E5046" t="str">
            <v>程序时间</v>
          </cell>
          <cell r="I5046">
            <v>15</v>
          </cell>
          <cell r="J5046">
            <v>20</v>
          </cell>
        </row>
        <row r="5047">
          <cell r="B5047" t="str">
            <v>DD-J10B-94076-2031/1</v>
          </cell>
          <cell r="D5047" t="str">
            <v>C</v>
          </cell>
          <cell r="E5047" t="str">
            <v>工序内容</v>
          </cell>
          <cell r="F5047" t="str">
            <v>0/领料</v>
          </cell>
          <cell r="G5047" t="str">
            <v>5/普车60</v>
          </cell>
          <cell r="H5047" t="str">
            <v>10/热处理</v>
          </cell>
          <cell r="I5047" t="str">
            <v>15/数车60</v>
          </cell>
          <cell r="J5047" t="str">
            <v>20/分光</v>
          </cell>
          <cell r="K5047" t="str">
            <v>25/数车30</v>
          </cell>
          <cell r="L5047" t="str">
            <v>30/数铣40</v>
          </cell>
          <cell r="M5047" t="str">
            <v>35/穿孔</v>
          </cell>
          <cell r="N5047" t="str">
            <v>40/钳工</v>
          </cell>
          <cell r="O5047" t="str">
            <v>45/清洁</v>
          </cell>
          <cell r="P5047" t="str">
            <v>50/成检</v>
          </cell>
        </row>
        <row r="5048">
          <cell r="B5048" t="str">
            <v>DD-J10B-94076-2031/1</v>
          </cell>
          <cell r="D5048" t="str">
            <v>C</v>
          </cell>
          <cell r="E5048" t="str">
            <v>准备工时</v>
          </cell>
          <cell r="G5048">
            <v>60</v>
          </cell>
          <cell r="I5048">
            <v>90</v>
          </cell>
          <cell r="K5048">
            <v>60</v>
          </cell>
          <cell r="L5048">
            <v>60</v>
          </cell>
        </row>
        <row r="5049">
          <cell r="B5049" t="str">
            <v>DD-J10B-94076-2031/1</v>
          </cell>
          <cell r="D5049" t="str">
            <v>C</v>
          </cell>
          <cell r="E5049" t="str">
            <v>程序时间</v>
          </cell>
          <cell r="G5049">
            <v>60</v>
          </cell>
          <cell r="I5049">
            <v>80</v>
          </cell>
          <cell r="K5049">
            <v>40</v>
          </cell>
          <cell r="L5049">
            <v>70</v>
          </cell>
          <cell r="M5049">
            <v>30</v>
          </cell>
          <cell r="N5049">
            <v>30</v>
          </cell>
        </row>
        <row r="5050">
          <cell r="B5050" t="str">
            <v>DD-J10-55121-2</v>
          </cell>
          <cell r="D5050" t="str">
            <v>C</v>
          </cell>
          <cell r="E5050" t="str">
            <v>工序内容</v>
          </cell>
          <cell r="F5050" t="str">
            <v>0/领料</v>
          </cell>
          <cell r="G5050" t="str">
            <v>3/硬检</v>
          </cell>
          <cell r="H5050" t="str">
            <v>5/钳工</v>
          </cell>
          <cell r="I5050" t="str">
            <v>10/数车15</v>
          </cell>
          <cell r="J5050" t="str">
            <v>15/数车25</v>
          </cell>
          <cell r="K5050" t="str">
            <v>20/数车20</v>
          </cell>
          <cell r="L5050" t="str">
            <v>25/数车20</v>
          </cell>
          <cell r="M5050" t="str">
            <v>30/数车20</v>
          </cell>
          <cell r="N5050" t="str">
            <v>35/钳工</v>
          </cell>
          <cell r="O5050" t="str">
            <v>40/清洁</v>
          </cell>
          <cell r="P5050" t="str">
            <v>45/成检</v>
          </cell>
        </row>
        <row r="5051">
          <cell r="B5051" t="str">
            <v>DD-J10-55121-2</v>
          </cell>
          <cell r="D5051" t="str">
            <v>C</v>
          </cell>
          <cell r="E5051" t="str">
            <v>准备工时</v>
          </cell>
          <cell r="I5051">
            <v>90</v>
          </cell>
          <cell r="J5051">
            <v>150</v>
          </cell>
          <cell r="K5051">
            <v>150</v>
          </cell>
          <cell r="L5051">
            <v>150</v>
          </cell>
          <cell r="M5051" t="str">
            <v>150</v>
          </cell>
        </row>
        <row r="5052">
          <cell r="B5052" t="str">
            <v>DD-J10-55121-2</v>
          </cell>
          <cell r="D5052" t="str">
            <v>C</v>
          </cell>
          <cell r="E5052" t="str">
            <v>程序时间</v>
          </cell>
          <cell r="H5052">
            <v>20</v>
          </cell>
          <cell r="I5052">
            <v>20</v>
          </cell>
          <cell r="J5052">
            <v>35</v>
          </cell>
          <cell r="K5052">
            <v>30</v>
          </cell>
          <cell r="L5052">
            <v>30</v>
          </cell>
          <cell r="M5052" t="str">
            <v>30</v>
          </cell>
          <cell r="N5052" t="str">
            <v>40</v>
          </cell>
        </row>
        <row r="5053">
          <cell r="B5053" t="str">
            <v>CB221T3LG-002-001</v>
          </cell>
          <cell r="D5053" t="str">
            <v>B</v>
          </cell>
          <cell r="E5053" t="str">
            <v>工序内容</v>
          </cell>
          <cell r="F5053" t="str">
            <v>0/领料</v>
          </cell>
          <cell r="G5053" t="str">
            <v>5/普车30</v>
          </cell>
          <cell r="H5053" t="str">
            <v>10/钳工</v>
          </cell>
          <cell r="I5053" t="str">
            <v>15/分光</v>
          </cell>
          <cell r="J5053" t="str">
            <v>20/数车45</v>
          </cell>
          <cell r="K5053" t="str">
            <v>25/数车15</v>
          </cell>
          <cell r="L5053" t="str">
            <v>30清洁</v>
          </cell>
          <cell r="M5053" t="str">
            <v>35成检</v>
          </cell>
        </row>
        <row r="5054">
          <cell r="B5054" t="str">
            <v>CB221T3LG-002-001</v>
          </cell>
          <cell r="D5054" t="str">
            <v>B</v>
          </cell>
          <cell r="E5054" t="str">
            <v>准备工时</v>
          </cell>
          <cell r="G5054">
            <v>60</v>
          </cell>
          <cell r="J5054">
            <v>90</v>
          </cell>
          <cell r="K5054">
            <v>120</v>
          </cell>
        </row>
        <row r="5055">
          <cell r="B5055" t="str">
            <v>CB221T3LG-002-001</v>
          </cell>
          <cell r="D5055" t="str">
            <v>B</v>
          </cell>
          <cell r="E5055" t="str">
            <v>程序时间</v>
          </cell>
          <cell r="G5055">
            <v>35</v>
          </cell>
          <cell r="H5055">
            <v>15</v>
          </cell>
          <cell r="J5055">
            <v>45</v>
          </cell>
          <cell r="K5055">
            <v>25</v>
          </cell>
        </row>
        <row r="5056">
          <cell r="B5056" t="str">
            <v>CB221T1LA-001-001</v>
          </cell>
          <cell r="D5056" t="str">
            <v>C</v>
          </cell>
          <cell r="E5056" t="str">
            <v>工序内容</v>
          </cell>
          <cell r="F5056" t="str">
            <v>0/领料</v>
          </cell>
          <cell r="G5056" t="str">
            <v>05/下料</v>
          </cell>
          <cell r="H5056" t="str">
            <v>10/普车45</v>
          </cell>
          <cell r="I5056" t="str">
            <v>15/分光</v>
          </cell>
          <cell r="J5056" t="str">
            <v>20/热处理</v>
          </cell>
          <cell r="K5056" t="str">
            <v>25/数车45</v>
          </cell>
          <cell r="L5056" t="str">
            <v>30/数车45</v>
          </cell>
          <cell r="M5056" t="str">
            <v>35/数车30</v>
          </cell>
          <cell r="N5056" t="str">
            <v>40/清洁</v>
          </cell>
          <cell r="O5056" t="str">
            <v>45/成检</v>
          </cell>
        </row>
        <row r="5057">
          <cell r="B5057" t="str">
            <v>CB221T1LA-001-001</v>
          </cell>
          <cell r="D5057" t="str">
            <v>C</v>
          </cell>
          <cell r="E5057" t="str">
            <v>准备工时</v>
          </cell>
          <cell r="H5057">
            <v>60</v>
          </cell>
          <cell r="K5057">
            <v>90</v>
          </cell>
          <cell r="L5057">
            <v>90</v>
          </cell>
          <cell r="M5057">
            <v>120</v>
          </cell>
        </row>
        <row r="5058">
          <cell r="B5058" t="str">
            <v>CB221T1LA-001-001</v>
          </cell>
          <cell r="D5058" t="str">
            <v>C</v>
          </cell>
          <cell r="E5058" t="str">
            <v>程序时间</v>
          </cell>
          <cell r="H5058">
            <v>90</v>
          </cell>
          <cell r="K5058">
            <v>90</v>
          </cell>
          <cell r="L5058">
            <v>150</v>
          </cell>
          <cell r="M5058">
            <v>70</v>
          </cell>
        </row>
        <row r="5059">
          <cell r="B5059" t="str">
            <v>BC5525200-003-002</v>
          </cell>
          <cell r="D5059" t="str">
            <v>B</v>
          </cell>
          <cell r="E5059" t="str">
            <v>工序内容</v>
          </cell>
          <cell r="F5059" t="str">
            <v>0/领料</v>
          </cell>
          <cell r="G5059" t="str">
            <v>03分光</v>
          </cell>
          <cell r="H5059" t="str">
            <v>05数车30</v>
          </cell>
          <cell r="I5059" t="str">
            <v>10数车20</v>
          </cell>
          <cell r="J5059" t="str">
            <v>15数车30</v>
          </cell>
          <cell r="K5059" t="str">
            <v>20数车20</v>
          </cell>
          <cell r="L5059" t="str">
            <v>25数铣10</v>
          </cell>
          <cell r="M5059" t="str">
            <v>30数车60</v>
          </cell>
          <cell r="N5059" t="str">
            <v>35数车10</v>
          </cell>
          <cell r="O5059" t="str">
            <v>40钳工</v>
          </cell>
          <cell r="P5059" t="str">
            <v>45清洁</v>
          </cell>
          <cell r="Q5059" t="str">
            <v>50成检</v>
          </cell>
        </row>
        <row r="5060">
          <cell r="B5060" t="str">
            <v>BC5525200-003-002</v>
          </cell>
          <cell r="D5060" t="str">
            <v>B</v>
          </cell>
          <cell r="E5060" t="str">
            <v>准备工时</v>
          </cell>
          <cell r="H5060">
            <v>60</v>
          </cell>
          <cell r="I5060">
            <v>60</v>
          </cell>
          <cell r="J5060">
            <v>90</v>
          </cell>
          <cell r="K5060">
            <v>60</v>
          </cell>
          <cell r="L5060">
            <v>60</v>
          </cell>
          <cell r="M5060">
            <v>120</v>
          </cell>
          <cell r="N5060">
            <v>90</v>
          </cell>
        </row>
        <row r="5061">
          <cell r="B5061" t="str">
            <v>BC5525200-003-002</v>
          </cell>
          <cell r="D5061" t="str">
            <v>B</v>
          </cell>
          <cell r="E5061" t="str">
            <v>程序时间</v>
          </cell>
          <cell r="H5061">
            <v>50</v>
          </cell>
          <cell r="I5061">
            <v>30</v>
          </cell>
          <cell r="J5061">
            <v>65</v>
          </cell>
          <cell r="K5061">
            <v>20</v>
          </cell>
          <cell r="L5061">
            <v>40</v>
          </cell>
          <cell r="M5061">
            <v>120</v>
          </cell>
          <cell r="N5061">
            <v>25</v>
          </cell>
          <cell r="O5061">
            <v>30</v>
          </cell>
        </row>
        <row r="5062">
          <cell r="B5062" t="str">
            <v>C256300800-003-001-A00</v>
          </cell>
          <cell r="D5062" t="str">
            <v>A</v>
          </cell>
          <cell r="E5062" t="str">
            <v>工序内容</v>
          </cell>
          <cell r="F5062" t="str">
            <v>0领料</v>
          </cell>
          <cell r="G5062" t="str">
            <v>05普车</v>
          </cell>
          <cell r="H5062" t="str">
            <v>10钳工</v>
          </cell>
          <cell r="I5062" t="str">
            <v>15分光</v>
          </cell>
          <cell r="J5062" t="str">
            <v>20热处理</v>
          </cell>
          <cell r="K5062" t="str">
            <v>25数车20</v>
          </cell>
          <cell r="L5062" t="str">
            <v>30数车5</v>
          </cell>
          <cell r="M5062" t="str">
            <v>35清洁</v>
          </cell>
          <cell r="N5062" t="str">
            <v>40成检</v>
          </cell>
        </row>
        <row r="5063">
          <cell r="B5063" t="str">
            <v>C256300800-003-001-A00</v>
          </cell>
          <cell r="D5063" t="str">
            <v>A</v>
          </cell>
          <cell r="E5063" t="str">
            <v>准备工时</v>
          </cell>
          <cell r="G5063">
            <v>60</v>
          </cell>
          <cell r="K5063">
            <v>60</v>
          </cell>
          <cell r="L5063">
            <v>60</v>
          </cell>
        </row>
        <row r="5064">
          <cell r="B5064" t="str">
            <v>C256300800-003-001-A00</v>
          </cell>
          <cell r="D5064" t="str">
            <v>A</v>
          </cell>
          <cell r="E5064" t="str">
            <v>程序时间</v>
          </cell>
          <cell r="G5064" t="str">
            <v>25/根</v>
          </cell>
          <cell r="H5064">
            <v>4</v>
          </cell>
          <cell r="K5064">
            <v>25</v>
          </cell>
          <cell r="L5064">
            <v>15</v>
          </cell>
        </row>
        <row r="5065">
          <cell r="B5065" t="str">
            <v>5311C11108G73</v>
          </cell>
          <cell r="D5065" t="str">
            <v>C</v>
          </cell>
          <cell r="E5065" t="str">
            <v>工序内容</v>
          </cell>
          <cell r="F5065" t="str">
            <v>00领料</v>
          </cell>
          <cell r="G5065" t="str">
            <v>05/数铣</v>
          </cell>
          <cell r="H5065" t="str">
            <v>10数铣240</v>
          </cell>
          <cell r="I5065" t="str">
            <v>15钳工</v>
          </cell>
          <cell r="J5065" t="str">
            <v>20测量</v>
          </cell>
          <cell r="K5065" t="str">
            <v>25清洁</v>
          </cell>
          <cell r="L5065" t="str">
            <v>30成检</v>
          </cell>
        </row>
        <row r="5066">
          <cell r="B5066" t="str">
            <v>5311C11108G73</v>
          </cell>
          <cell r="D5066" t="str">
            <v>C</v>
          </cell>
          <cell r="E5066" t="str">
            <v>准备工时</v>
          </cell>
          <cell r="G5066">
            <v>60</v>
          </cell>
          <cell r="H5066">
            <v>90</v>
          </cell>
        </row>
        <row r="5067">
          <cell r="B5067" t="str">
            <v>5311C11108G73</v>
          </cell>
          <cell r="D5067" t="str">
            <v>C</v>
          </cell>
          <cell r="E5067" t="str">
            <v>程序时间</v>
          </cell>
          <cell r="G5067">
            <v>150</v>
          </cell>
          <cell r="H5067">
            <v>390</v>
          </cell>
          <cell r="I5067">
            <v>45</v>
          </cell>
        </row>
        <row r="5068">
          <cell r="B5068" t="str">
            <v>CB2263280-001-002</v>
          </cell>
          <cell r="D5068" t="str">
            <v>B</v>
          </cell>
          <cell r="E5068" t="str">
            <v>工序内容</v>
          </cell>
          <cell r="F5068" t="str">
            <v>0/领料</v>
          </cell>
          <cell r="G5068" t="str">
            <v>05/数车20</v>
          </cell>
          <cell r="H5068" t="str">
            <v>10/数车35</v>
          </cell>
          <cell r="I5068" t="str">
            <v>15/分光</v>
          </cell>
          <cell r="J5068" t="str">
            <v>20/数车20</v>
          </cell>
          <cell r="K5068" t="str">
            <v>25/数铣15</v>
          </cell>
          <cell r="L5068" t="str">
            <v>30/电火花</v>
          </cell>
          <cell r="N5068" t="str">
            <v>40/穿孔</v>
          </cell>
          <cell r="O5068" t="str">
            <v>45/钳工</v>
          </cell>
          <cell r="P5068" t="str">
            <v>50/清洁</v>
          </cell>
          <cell r="Q5068" t="str">
            <v>55/成检</v>
          </cell>
        </row>
        <row r="5069">
          <cell r="B5069" t="str">
            <v>CB2263280-001-002</v>
          </cell>
          <cell r="D5069" t="str">
            <v>B</v>
          </cell>
          <cell r="E5069" t="str">
            <v>准备工时</v>
          </cell>
          <cell r="G5069">
            <v>60</v>
          </cell>
          <cell r="H5069">
            <v>90</v>
          </cell>
          <cell r="J5069">
            <v>90</v>
          </cell>
          <cell r="K5069">
            <v>90</v>
          </cell>
        </row>
        <row r="5070">
          <cell r="B5070" t="str">
            <v>CB2263280-001-002</v>
          </cell>
          <cell r="D5070" t="str">
            <v>B</v>
          </cell>
          <cell r="E5070" t="str">
            <v>程序时间</v>
          </cell>
          <cell r="G5070">
            <v>20</v>
          </cell>
          <cell r="H5070">
            <v>40</v>
          </cell>
          <cell r="J5070">
            <v>20</v>
          </cell>
          <cell r="K5070">
            <v>35</v>
          </cell>
          <cell r="O5070">
            <v>35</v>
          </cell>
        </row>
        <row r="5071">
          <cell r="B5071" t="str">
            <v>5319C28059G70</v>
          </cell>
          <cell r="D5071" t="str">
            <v>A</v>
          </cell>
          <cell r="E5071" t="str">
            <v>工序内容</v>
          </cell>
          <cell r="F5071" t="str">
            <v>00领料</v>
          </cell>
          <cell r="G5071" t="str">
            <v>05下料</v>
          </cell>
          <cell r="H5071" t="str">
            <v>10数铣</v>
          </cell>
          <cell r="I5071" t="str">
            <v>15数铣50</v>
          </cell>
          <cell r="J5071" t="str">
            <v>20线切割</v>
          </cell>
          <cell r="K5071" t="str">
            <v>25数铣</v>
          </cell>
          <cell r="L5071" t="str">
            <v>30数铣10</v>
          </cell>
          <cell r="M5071" t="str">
            <v>35钳工</v>
          </cell>
          <cell r="N5071" t="str">
            <v>40清洁</v>
          </cell>
          <cell r="O5071" t="str">
            <v>45成检</v>
          </cell>
        </row>
        <row r="5072">
          <cell r="B5072" t="str">
            <v>5319C28059G70</v>
          </cell>
          <cell r="D5072" t="str">
            <v>A</v>
          </cell>
          <cell r="E5072" t="str">
            <v>准备工时</v>
          </cell>
          <cell r="H5072">
            <v>60</v>
          </cell>
          <cell r="I5072">
            <v>60</v>
          </cell>
          <cell r="K5072">
            <v>60</v>
          </cell>
          <cell r="L5072">
            <v>60</v>
          </cell>
        </row>
        <row r="5073">
          <cell r="B5073" t="str">
            <v>5319C28059G70</v>
          </cell>
          <cell r="D5073" t="str">
            <v>A</v>
          </cell>
          <cell r="E5073" t="str">
            <v>程序时间</v>
          </cell>
          <cell r="H5073">
            <v>35</v>
          </cell>
          <cell r="I5073">
            <v>40</v>
          </cell>
          <cell r="K5073">
            <v>25</v>
          </cell>
          <cell r="L5073">
            <v>20</v>
          </cell>
          <cell r="M5073">
            <v>35</v>
          </cell>
        </row>
        <row r="5074">
          <cell r="B5074" t="str">
            <v>5319C28033G70</v>
          </cell>
          <cell r="D5074" t="str">
            <v>A</v>
          </cell>
          <cell r="E5074" t="str">
            <v>工序内容</v>
          </cell>
          <cell r="F5074" t="str">
            <v>00领料</v>
          </cell>
          <cell r="G5074" t="str">
            <v>05下料</v>
          </cell>
          <cell r="H5074" t="str">
            <v>10数铣</v>
          </cell>
          <cell r="I5074" t="str">
            <v>15数铣50</v>
          </cell>
          <cell r="J5074" t="str">
            <v>20线切割</v>
          </cell>
          <cell r="K5074" t="str">
            <v>25数铣</v>
          </cell>
          <cell r="L5074" t="str">
            <v>30数铣10</v>
          </cell>
          <cell r="M5074" t="str">
            <v>35钳工</v>
          </cell>
          <cell r="N5074" t="str">
            <v>40清洁</v>
          </cell>
          <cell r="O5074" t="str">
            <v>45成检</v>
          </cell>
        </row>
        <row r="5075">
          <cell r="B5075" t="str">
            <v>5319C28033G70</v>
          </cell>
          <cell r="D5075" t="str">
            <v>A</v>
          </cell>
          <cell r="E5075" t="str">
            <v>准备工时</v>
          </cell>
          <cell r="H5075">
            <v>60</v>
          </cell>
          <cell r="I5075">
            <v>60</v>
          </cell>
          <cell r="K5075">
            <v>60</v>
          </cell>
          <cell r="L5075">
            <v>60</v>
          </cell>
        </row>
        <row r="5076">
          <cell r="B5076" t="str">
            <v>5319C28033G70</v>
          </cell>
          <cell r="D5076" t="str">
            <v>A</v>
          </cell>
          <cell r="E5076" t="str">
            <v>程序时间</v>
          </cell>
          <cell r="H5076">
            <v>35</v>
          </cell>
          <cell r="I5076">
            <v>40</v>
          </cell>
          <cell r="K5076">
            <v>25</v>
          </cell>
          <cell r="L5076">
            <v>20</v>
          </cell>
          <cell r="M5076">
            <v>35</v>
          </cell>
        </row>
        <row r="5077">
          <cell r="B5077" t="str">
            <v>CB2263268-001-002</v>
          </cell>
          <cell r="D5077" t="str">
            <v>B</v>
          </cell>
          <cell r="E5077" t="str">
            <v>工序内容</v>
          </cell>
          <cell r="F5077" t="str">
            <v>0/领料</v>
          </cell>
          <cell r="G5077" t="str">
            <v>5/钳工</v>
          </cell>
          <cell r="H5077" t="str">
            <v>10/数车20</v>
          </cell>
          <cell r="I5077" t="str">
            <v>15/数车20</v>
          </cell>
          <cell r="J5077" t="str">
            <v>20/数车25</v>
          </cell>
          <cell r="K5077" t="str">
            <v>25/钳工</v>
          </cell>
          <cell r="L5077" t="str">
            <v>30/热处理</v>
          </cell>
          <cell r="M5077" t="str">
            <v>35/数车25</v>
          </cell>
          <cell r="N5077" t="str">
            <v>40/数车25</v>
          </cell>
          <cell r="O5077" t="str">
            <v>45/数车35</v>
          </cell>
          <cell r="P5077" t="str">
            <v>48/数车45</v>
          </cell>
          <cell r="Q5077" t="str">
            <v>50/数车15</v>
          </cell>
          <cell r="R5077" t="str">
            <v>55/数铣15</v>
          </cell>
          <cell r="S5077" t="str">
            <v>60/钳工</v>
          </cell>
          <cell r="T5077" t="str">
            <v>65/清洁</v>
          </cell>
          <cell r="U5077" t="str">
            <v>70/成检</v>
          </cell>
        </row>
        <row r="5078">
          <cell r="B5078" t="str">
            <v>CB2263268-001-002</v>
          </cell>
          <cell r="D5078" t="str">
            <v>B</v>
          </cell>
          <cell r="E5078" t="str">
            <v>准备工时</v>
          </cell>
          <cell r="H5078">
            <v>90</v>
          </cell>
          <cell r="I5078">
            <v>120</v>
          </cell>
          <cell r="J5078">
            <v>180</v>
          </cell>
          <cell r="M5078">
            <v>180</v>
          </cell>
          <cell r="N5078">
            <v>180</v>
          </cell>
          <cell r="O5078">
            <v>180</v>
          </cell>
          <cell r="P5078">
            <v>180</v>
          </cell>
          <cell r="Q5078">
            <v>120</v>
          </cell>
          <cell r="R5078">
            <v>60</v>
          </cell>
        </row>
        <row r="5079">
          <cell r="B5079" t="str">
            <v>CB2263268-001-002</v>
          </cell>
          <cell r="D5079" t="str">
            <v>B</v>
          </cell>
          <cell r="E5079" t="str">
            <v>程序时间</v>
          </cell>
          <cell r="G5079">
            <v>25</v>
          </cell>
          <cell r="H5079">
            <v>35</v>
          </cell>
          <cell r="I5079">
            <v>35</v>
          </cell>
          <cell r="J5079">
            <v>45</v>
          </cell>
          <cell r="K5079">
            <v>25</v>
          </cell>
          <cell r="M5079">
            <v>60</v>
          </cell>
          <cell r="N5079">
            <v>60</v>
          </cell>
          <cell r="O5079">
            <v>90</v>
          </cell>
          <cell r="P5079">
            <v>50</v>
          </cell>
          <cell r="Q5079">
            <v>35</v>
          </cell>
          <cell r="R5079">
            <v>40</v>
          </cell>
          <cell r="S5079">
            <v>40</v>
          </cell>
        </row>
        <row r="5080">
          <cell r="B5080" t="str">
            <v>DD-J10-55014-1102</v>
          </cell>
          <cell r="D5080" t="str">
            <v>B</v>
          </cell>
          <cell r="E5080" t="str">
            <v>工序内容</v>
          </cell>
          <cell r="F5080" t="str">
            <v>0/领料</v>
          </cell>
          <cell r="G5080" t="str">
            <v>05/钳工</v>
          </cell>
          <cell r="H5080" t="str">
            <v>10/数车10</v>
          </cell>
          <cell r="I5080" t="str">
            <v>15/数车20</v>
          </cell>
          <cell r="J5080" t="str">
            <v>20/数铣5</v>
          </cell>
          <cell r="K5080" t="str">
            <v>25/钳工</v>
          </cell>
          <cell r="L5080" t="str">
            <v>30/清洁</v>
          </cell>
          <cell r="M5080" t="str">
            <v>35/成检</v>
          </cell>
        </row>
        <row r="5081">
          <cell r="B5081" t="str">
            <v>DD-J10-55014-1102</v>
          </cell>
          <cell r="D5081" t="str">
            <v>B</v>
          </cell>
          <cell r="E5081" t="str">
            <v>准备工时</v>
          </cell>
          <cell r="H5081">
            <v>90</v>
          </cell>
          <cell r="I5081">
            <v>150</v>
          </cell>
          <cell r="J5081">
            <v>90</v>
          </cell>
        </row>
        <row r="5082">
          <cell r="B5082" t="str">
            <v>DD-J10-55014-1102</v>
          </cell>
          <cell r="D5082" t="str">
            <v>B</v>
          </cell>
          <cell r="E5082" t="str">
            <v>程序时间</v>
          </cell>
          <cell r="G5082">
            <v>10</v>
          </cell>
          <cell r="H5082">
            <v>30</v>
          </cell>
          <cell r="I5082">
            <v>50</v>
          </cell>
          <cell r="J5082">
            <v>20</v>
          </cell>
          <cell r="K5082">
            <v>30</v>
          </cell>
        </row>
        <row r="5083">
          <cell r="B5083" t="str">
            <v>5319C28057G70</v>
          </cell>
          <cell r="D5083" t="str">
            <v>A</v>
          </cell>
          <cell r="E5083" t="str">
            <v>工序内容</v>
          </cell>
          <cell r="F5083" t="str">
            <v>00领料</v>
          </cell>
          <cell r="G5083" t="str">
            <v>05下料</v>
          </cell>
          <cell r="H5083" t="str">
            <v>10数铣</v>
          </cell>
          <cell r="I5083" t="str">
            <v>15数铣50</v>
          </cell>
          <cell r="J5083" t="str">
            <v>20线切割</v>
          </cell>
          <cell r="K5083" t="str">
            <v>25数铣</v>
          </cell>
          <cell r="L5083" t="str">
            <v>30数铣10</v>
          </cell>
          <cell r="M5083" t="str">
            <v>35钳工</v>
          </cell>
          <cell r="N5083" t="str">
            <v>40清洁</v>
          </cell>
          <cell r="O5083" t="str">
            <v>45成检</v>
          </cell>
        </row>
        <row r="5084">
          <cell r="B5084" t="str">
            <v>5319C28057G70</v>
          </cell>
          <cell r="D5084" t="str">
            <v>A</v>
          </cell>
          <cell r="E5084" t="str">
            <v>准备工时</v>
          </cell>
          <cell r="H5084">
            <v>60</v>
          </cell>
          <cell r="I5084">
            <v>60</v>
          </cell>
          <cell r="K5084">
            <v>60</v>
          </cell>
          <cell r="L5084">
            <v>60</v>
          </cell>
        </row>
        <row r="5085">
          <cell r="B5085" t="str">
            <v>5319C28057G70</v>
          </cell>
          <cell r="D5085" t="str">
            <v>A</v>
          </cell>
          <cell r="E5085" t="str">
            <v>程序时间</v>
          </cell>
          <cell r="H5085">
            <v>35</v>
          </cell>
          <cell r="I5085">
            <v>40</v>
          </cell>
          <cell r="K5085">
            <v>25</v>
          </cell>
          <cell r="L5085">
            <v>20</v>
          </cell>
          <cell r="M5085">
            <v>35</v>
          </cell>
        </row>
        <row r="5086">
          <cell r="B5086" t="str">
            <v>BC2332H01-008-001</v>
          </cell>
          <cell r="D5086" t="str">
            <v>B</v>
          </cell>
          <cell r="E5086" t="str">
            <v>工序内容</v>
          </cell>
          <cell r="F5086" t="str">
            <v>0/领料</v>
          </cell>
          <cell r="G5086" t="str">
            <v>05/钳工</v>
          </cell>
          <cell r="H5086" t="str">
            <v>10/分光</v>
          </cell>
          <cell r="I5086" t="str">
            <v>15/数车10</v>
          </cell>
          <cell r="J5086" t="str">
            <v>20/数车5</v>
          </cell>
          <cell r="K5086" t="str">
            <v>25/数车5</v>
          </cell>
          <cell r="L5086" t="str">
            <v>30/清洁</v>
          </cell>
          <cell r="M5086" t="str">
            <v>35/成检</v>
          </cell>
        </row>
        <row r="5087">
          <cell r="B5087" t="str">
            <v>BC2332H01-008-001</v>
          </cell>
          <cell r="D5087" t="str">
            <v>B</v>
          </cell>
          <cell r="E5087" t="str">
            <v>准备工时</v>
          </cell>
          <cell r="I5087">
            <v>60</v>
          </cell>
          <cell r="J5087">
            <v>60</v>
          </cell>
          <cell r="K5087">
            <v>60</v>
          </cell>
        </row>
        <row r="5088">
          <cell r="B5088" t="str">
            <v>BC2332H01-008-001</v>
          </cell>
          <cell r="D5088" t="str">
            <v>B</v>
          </cell>
          <cell r="E5088" t="str">
            <v>程序时间</v>
          </cell>
          <cell r="G5088">
            <v>10</v>
          </cell>
          <cell r="I5088">
            <v>15</v>
          </cell>
          <cell r="J5088">
            <v>10</v>
          </cell>
          <cell r="K5088">
            <v>10</v>
          </cell>
        </row>
        <row r="5089">
          <cell r="B5089" t="str">
            <v>C256300800-003-001</v>
          </cell>
          <cell r="D5089" t="str">
            <v>A</v>
          </cell>
          <cell r="E5089" t="str">
            <v>工序内容</v>
          </cell>
          <cell r="F5089" t="str">
            <v>0领料</v>
          </cell>
          <cell r="G5089" t="str">
            <v>05普车</v>
          </cell>
          <cell r="H5089" t="str">
            <v>10钳工</v>
          </cell>
          <cell r="I5089" t="str">
            <v>15分光</v>
          </cell>
          <cell r="J5089" t="str">
            <v>20热处理</v>
          </cell>
          <cell r="K5089" t="str">
            <v>25数车20</v>
          </cell>
          <cell r="L5089" t="str">
            <v>30数车5</v>
          </cell>
          <cell r="M5089" t="str">
            <v>35清洁</v>
          </cell>
          <cell r="N5089" t="str">
            <v>40成检</v>
          </cell>
        </row>
        <row r="5090">
          <cell r="B5090" t="str">
            <v>C256300800-003-001</v>
          </cell>
          <cell r="D5090" t="str">
            <v>A</v>
          </cell>
          <cell r="E5090" t="str">
            <v>准备工时</v>
          </cell>
          <cell r="G5090">
            <v>60</v>
          </cell>
          <cell r="K5090">
            <v>60</v>
          </cell>
          <cell r="L5090">
            <v>60</v>
          </cell>
        </row>
        <row r="5091">
          <cell r="B5091" t="str">
            <v>C256300800-003-001</v>
          </cell>
          <cell r="D5091" t="str">
            <v>A</v>
          </cell>
          <cell r="E5091" t="str">
            <v>程序时间</v>
          </cell>
          <cell r="G5091" t="str">
            <v>25/根</v>
          </cell>
          <cell r="H5091">
            <v>4</v>
          </cell>
          <cell r="K5091">
            <v>25</v>
          </cell>
          <cell r="L5091">
            <v>15</v>
          </cell>
        </row>
        <row r="5092">
          <cell r="B5092" t="str">
            <v>C221069811-001-001</v>
          </cell>
          <cell r="D5092" t="str">
            <v>A</v>
          </cell>
          <cell r="E5092" t="str">
            <v>工序内容</v>
          </cell>
          <cell r="F5092" t="str">
            <v>0领料</v>
          </cell>
          <cell r="G5092" t="str">
            <v>05普车</v>
          </cell>
          <cell r="H5092" t="str">
            <v>10钳工</v>
          </cell>
          <cell r="I5092" t="str">
            <v>15分光</v>
          </cell>
          <cell r="J5092" t="str">
            <v>20数车20</v>
          </cell>
          <cell r="K5092" t="str">
            <v>25数车5</v>
          </cell>
          <cell r="L5092" t="str">
            <v>30清洁</v>
          </cell>
          <cell r="M5092" t="str">
            <v>35成检</v>
          </cell>
        </row>
        <row r="5093">
          <cell r="B5093" t="str">
            <v>C221069811-001-001</v>
          </cell>
          <cell r="D5093" t="str">
            <v>A</v>
          </cell>
          <cell r="E5093" t="str">
            <v>准备工时</v>
          </cell>
          <cell r="G5093">
            <v>60</v>
          </cell>
          <cell r="J5093">
            <v>90</v>
          </cell>
          <cell r="K5093">
            <v>60</v>
          </cell>
        </row>
        <row r="5094">
          <cell r="B5094" t="str">
            <v>C221069811-001-001</v>
          </cell>
          <cell r="D5094" t="str">
            <v>A</v>
          </cell>
          <cell r="E5094" t="str">
            <v>程序时间</v>
          </cell>
          <cell r="G5094" t="str">
            <v>20/根</v>
          </cell>
          <cell r="H5094">
            <v>4</v>
          </cell>
          <cell r="J5094">
            <v>30</v>
          </cell>
          <cell r="K5094">
            <v>15</v>
          </cell>
        </row>
        <row r="5095">
          <cell r="B5095" t="str">
            <v>DD-J10B-94076-802</v>
          </cell>
          <cell r="D5095" t="str">
            <v>E</v>
          </cell>
          <cell r="E5095" t="str">
            <v>工序内容</v>
          </cell>
          <cell r="F5095" t="str">
            <v>0/领料</v>
          </cell>
          <cell r="G5095" t="str">
            <v>03/数车</v>
          </cell>
          <cell r="H5095" t="str">
            <v>5/线切割</v>
          </cell>
          <cell r="I5095" t="str">
            <v>10/检验</v>
          </cell>
          <cell r="L5095" t="str">
            <v>30/线切割</v>
          </cell>
          <cell r="M5095" t="str">
            <v>35/数铣45</v>
          </cell>
          <cell r="N5095" t="str">
            <v>40/线切割</v>
          </cell>
          <cell r="O5095" t="str">
            <v>45/数铣26</v>
          </cell>
          <cell r="P5095" t="str">
            <v>50/数铣40</v>
          </cell>
          <cell r="Q5095" t="str">
            <v>55/钳工</v>
          </cell>
          <cell r="R5095" t="str">
            <v>60/清洁</v>
          </cell>
          <cell r="S5095" t="str">
            <v>65/成检</v>
          </cell>
        </row>
        <row r="5096">
          <cell r="B5096" t="str">
            <v>DD-J10B-94076-802</v>
          </cell>
          <cell r="D5096" t="str">
            <v>E</v>
          </cell>
          <cell r="E5096" t="str">
            <v>准备工时</v>
          </cell>
          <cell r="G5096">
            <v>60</v>
          </cell>
          <cell r="M5096">
            <v>60</v>
          </cell>
          <cell r="O5096">
            <v>60</v>
          </cell>
          <cell r="P5096" t="str">
            <v>60</v>
          </cell>
        </row>
        <row r="5097">
          <cell r="B5097" t="str">
            <v>DD-J10B-94076-802</v>
          </cell>
          <cell r="D5097" t="str">
            <v>E</v>
          </cell>
          <cell r="E5097" t="str">
            <v>程序时间</v>
          </cell>
          <cell r="G5097">
            <v>15</v>
          </cell>
          <cell r="H5097" t="str">
            <v>39008mm</v>
          </cell>
          <cell r="L5097" t="str">
            <v>19500mm</v>
          </cell>
          <cell r="M5097">
            <v>70</v>
          </cell>
          <cell r="O5097">
            <v>55</v>
          </cell>
          <cell r="P5097">
            <v>65</v>
          </cell>
          <cell r="Q5097" t="str">
            <v>80</v>
          </cell>
        </row>
        <row r="5098">
          <cell r="B5098" t="str">
            <v>DD-J10B-68095-1200-3</v>
          </cell>
          <cell r="D5098" t="str">
            <v>B</v>
          </cell>
          <cell r="E5098" t="str">
            <v>工序内容</v>
          </cell>
          <cell r="F5098" t="str">
            <v>0/领料</v>
          </cell>
          <cell r="G5098" t="str">
            <v>5数车10</v>
          </cell>
          <cell r="H5098" t="str">
            <v>10数车10</v>
          </cell>
          <cell r="I5098" t="str">
            <v>15数车5</v>
          </cell>
          <cell r="J5098" t="str">
            <v>20钳工</v>
          </cell>
          <cell r="K5098" t="str">
            <v>25清洁</v>
          </cell>
          <cell r="L5098" t="str">
            <v>30成检</v>
          </cell>
        </row>
        <row r="5099">
          <cell r="B5099" t="str">
            <v>DD-J10B-68095-1200-3</v>
          </cell>
          <cell r="D5099" t="str">
            <v>B</v>
          </cell>
          <cell r="E5099" t="str">
            <v>准备工时</v>
          </cell>
          <cell r="G5099">
            <v>60</v>
          </cell>
          <cell r="H5099">
            <v>60</v>
          </cell>
          <cell r="I5099">
            <v>60</v>
          </cell>
        </row>
        <row r="5100">
          <cell r="B5100" t="str">
            <v>DD-J10B-68095-1200-3</v>
          </cell>
          <cell r="D5100" t="str">
            <v>B</v>
          </cell>
          <cell r="E5100" t="str">
            <v>程序时间</v>
          </cell>
          <cell r="G5100">
            <v>20</v>
          </cell>
          <cell r="H5100">
            <v>10</v>
          </cell>
          <cell r="I5100">
            <v>10</v>
          </cell>
          <cell r="J5100">
            <v>10</v>
          </cell>
        </row>
        <row r="5101">
          <cell r="B5101" t="str">
            <v>DD-J10B-68095-1710-3-Z</v>
          </cell>
          <cell r="D5101" t="str">
            <v>B</v>
          </cell>
          <cell r="E5101" t="str">
            <v>工序内容</v>
          </cell>
          <cell r="F5101" t="str">
            <v>0/领料</v>
          </cell>
          <cell r="G5101" t="str">
            <v>5/数车25</v>
          </cell>
          <cell r="H5101" t="str">
            <v>10/数车10</v>
          </cell>
          <cell r="I5101" t="str">
            <v>15/数车15</v>
          </cell>
          <cell r="J5101" t="str">
            <v>20/钳工</v>
          </cell>
          <cell r="K5101" t="str">
            <v>25/分光</v>
          </cell>
          <cell r="L5101" t="str">
            <v>30/钳工</v>
          </cell>
          <cell r="M5101" t="str">
            <v>35/清洁</v>
          </cell>
          <cell r="N5101" t="str">
            <v>40/成检</v>
          </cell>
        </row>
        <row r="5102">
          <cell r="B5102" t="str">
            <v>DD-J10B-68095-1710-3-Z</v>
          </cell>
          <cell r="D5102" t="str">
            <v>B</v>
          </cell>
          <cell r="E5102" t="str">
            <v>准备工时</v>
          </cell>
          <cell r="G5102" t="str">
            <v>60</v>
          </cell>
          <cell r="H5102">
            <v>60</v>
          </cell>
          <cell r="I5102" t="str">
            <v>60</v>
          </cell>
        </row>
        <row r="5103">
          <cell r="B5103" t="str">
            <v>DD-J10B-68095-1710-3-Z</v>
          </cell>
          <cell r="D5103" t="str">
            <v>B</v>
          </cell>
          <cell r="E5103" t="str">
            <v>程序时间</v>
          </cell>
          <cell r="G5103" t="str">
            <v>15</v>
          </cell>
          <cell r="H5103" t="str">
            <v>15</v>
          </cell>
          <cell r="I5103" t="str">
            <v>25</v>
          </cell>
          <cell r="J5103" t="str">
            <v>4</v>
          </cell>
          <cell r="L5103">
            <v>5</v>
          </cell>
        </row>
        <row r="5104">
          <cell r="B5104" t="str">
            <v>5613A380029G010</v>
          </cell>
          <cell r="D5104" t="str">
            <v>B</v>
          </cell>
          <cell r="E5104" t="str">
            <v>工序内容</v>
          </cell>
          <cell r="F5104" t="str">
            <v>0/领料</v>
          </cell>
          <cell r="G5104" t="str">
            <v>05/数车60</v>
          </cell>
          <cell r="H5104" t="str">
            <v>10/数车30</v>
          </cell>
          <cell r="I5104" t="str">
            <v>15/数车60</v>
          </cell>
          <cell r="J5104" t="str">
            <v>20/数车30</v>
          </cell>
          <cell r="K5104" t="str">
            <v>25/热处理</v>
          </cell>
          <cell r="L5104" t="str">
            <v>30/硬检</v>
          </cell>
          <cell r="M5104" t="str">
            <v>35数车60</v>
          </cell>
          <cell r="N5104" t="str">
            <v>40数车30</v>
          </cell>
          <cell r="O5104" t="str">
            <v>45/钳工</v>
          </cell>
          <cell r="P5104" t="str">
            <v>50清洁</v>
          </cell>
          <cell r="Q5104" t="str">
            <v>55成检</v>
          </cell>
        </row>
        <row r="5105">
          <cell r="B5105" t="str">
            <v>5613A380029G010</v>
          </cell>
          <cell r="D5105" t="str">
            <v>B</v>
          </cell>
          <cell r="E5105" t="str">
            <v>准备工时</v>
          </cell>
          <cell r="G5105">
            <v>90</v>
          </cell>
          <cell r="H5105">
            <v>60</v>
          </cell>
          <cell r="I5105">
            <v>90</v>
          </cell>
          <cell r="J5105">
            <v>90</v>
          </cell>
          <cell r="M5105">
            <v>90</v>
          </cell>
          <cell r="N5105">
            <v>90</v>
          </cell>
        </row>
        <row r="5106">
          <cell r="B5106" t="str">
            <v>5613A380029G010</v>
          </cell>
          <cell r="D5106" t="str">
            <v>B</v>
          </cell>
          <cell r="E5106" t="str">
            <v>程序时间</v>
          </cell>
          <cell r="G5106">
            <v>60</v>
          </cell>
          <cell r="H5106">
            <v>30</v>
          </cell>
          <cell r="I5106">
            <v>50</v>
          </cell>
          <cell r="J5106">
            <v>35</v>
          </cell>
          <cell r="M5106">
            <v>60</v>
          </cell>
          <cell r="N5106">
            <v>30</v>
          </cell>
          <cell r="O5106">
            <v>20</v>
          </cell>
        </row>
        <row r="5107">
          <cell r="B5107" t="str">
            <v>DD-J10B-94076-220-2</v>
          </cell>
          <cell r="D5107" t="str">
            <v>B</v>
          </cell>
          <cell r="E5107" t="str">
            <v>工序内容</v>
          </cell>
          <cell r="F5107" t="str">
            <v>0/领料</v>
          </cell>
          <cell r="G5107" t="str">
            <v>5/数车20</v>
          </cell>
          <cell r="H5107" t="str">
            <v>10/数车3</v>
          </cell>
          <cell r="I5107" t="str">
            <v>15/钳工</v>
          </cell>
          <cell r="J5107" t="str">
            <v>20/分光</v>
          </cell>
          <cell r="K5107" t="str">
            <v>25/钳工</v>
          </cell>
          <cell r="L5107" t="str">
            <v>30/清洁</v>
          </cell>
          <cell r="M5107" t="str">
            <v>35/成检</v>
          </cell>
        </row>
        <row r="5108">
          <cell r="B5108" t="str">
            <v>DD-J10B-94076-220-2</v>
          </cell>
          <cell r="D5108" t="str">
            <v>B</v>
          </cell>
          <cell r="E5108" t="str">
            <v>准备工时</v>
          </cell>
          <cell r="G5108">
            <v>60</v>
          </cell>
          <cell r="H5108">
            <v>60</v>
          </cell>
        </row>
        <row r="5109">
          <cell r="B5109" t="str">
            <v>DD-J10B-94076-220-2</v>
          </cell>
          <cell r="D5109" t="str">
            <v>B</v>
          </cell>
          <cell r="E5109" t="str">
            <v>程序时间</v>
          </cell>
          <cell r="G5109">
            <v>30</v>
          </cell>
          <cell r="H5109">
            <v>10</v>
          </cell>
          <cell r="I5109">
            <v>4</v>
          </cell>
          <cell r="K5109">
            <v>5</v>
          </cell>
        </row>
        <row r="5110">
          <cell r="B5110" t="str">
            <v>CB22109MN-001-003</v>
          </cell>
          <cell r="D5110" t="str">
            <v>C</v>
          </cell>
          <cell r="E5110" t="str">
            <v>工序内容</v>
          </cell>
          <cell r="F5110" t="str">
            <v>0/领料</v>
          </cell>
          <cell r="G5110" t="str">
            <v>5/钳工</v>
          </cell>
          <cell r="H5110" t="str">
            <v>10/数车15</v>
          </cell>
          <cell r="I5110" t="str">
            <v>15/数车15</v>
          </cell>
          <cell r="J5110" t="str">
            <v>20/硬度</v>
          </cell>
          <cell r="K5110" t="str">
            <v>25/数车30</v>
          </cell>
          <cell r="L5110" t="str">
            <v>30/数车25</v>
          </cell>
          <cell r="M5110" t="str">
            <v>35/钳工</v>
          </cell>
          <cell r="N5110" t="str">
            <v>40/清洁</v>
          </cell>
          <cell r="O5110" t="str">
            <v>45/成检</v>
          </cell>
        </row>
        <row r="5111">
          <cell r="B5111" t="str">
            <v>CB22109MN-001-003</v>
          </cell>
          <cell r="D5111" t="str">
            <v>C</v>
          </cell>
          <cell r="E5111" t="str">
            <v>准备工时</v>
          </cell>
          <cell r="H5111">
            <v>90</v>
          </cell>
          <cell r="I5111">
            <v>90</v>
          </cell>
          <cell r="K5111">
            <v>120</v>
          </cell>
          <cell r="L5111">
            <v>120</v>
          </cell>
        </row>
        <row r="5112">
          <cell r="B5112" t="str">
            <v>CB22109MN-001-003</v>
          </cell>
          <cell r="D5112" t="str">
            <v>C</v>
          </cell>
          <cell r="E5112" t="str">
            <v>程序时间</v>
          </cell>
          <cell r="G5112">
            <v>10</v>
          </cell>
          <cell r="H5112">
            <v>20</v>
          </cell>
          <cell r="I5112">
            <v>20</v>
          </cell>
          <cell r="K5112">
            <v>40</v>
          </cell>
          <cell r="L5112">
            <v>35</v>
          </cell>
          <cell r="M5112">
            <v>30</v>
          </cell>
        </row>
        <row r="5113">
          <cell r="B5113" t="str">
            <v>DD-J10-55015-5102</v>
          </cell>
          <cell r="D5113" t="str">
            <v>B</v>
          </cell>
          <cell r="E5113" t="str">
            <v>工序内容</v>
          </cell>
          <cell r="F5113" t="str">
            <v>0/领料</v>
          </cell>
          <cell r="G5113" t="str">
            <v>05/钳工</v>
          </cell>
          <cell r="H5113" t="str">
            <v>10/数车20</v>
          </cell>
          <cell r="I5113" t="str">
            <v>15/数车30</v>
          </cell>
          <cell r="J5113" t="str">
            <v>20/数车10</v>
          </cell>
          <cell r="K5113" t="str">
            <v>25/钳工</v>
          </cell>
          <cell r="L5113" t="str">
            <v>30/清洁</v>
          </cell>
          <cell r="M5113" t="str">
            <v>35/成检</v>
          </cell>
        </row>
        <row r="5114">
          <cell r="B5114" t="str">
            <v>DD-J10-55015-5102</v>
          </cell>
          <cell r="D5114" t="str">
            <v>B</v>
          </cell>
          <cell r="E5114" t="str">
            <v>准备工时</v>
          </cell>
          <cell r="H5114">
            <v>120</v>
          </cell>
          <cell r="I5114">
            <v>120</v>
          </cell>
          <cell r="J5114">
            <v>120</v>
          </cell>
        </row>
        <row r="5115">
          <cell r="B5115" t="str">
            <v>DD-J10-55015-5102</v>
          </cell>
          <cell r="D5115" t="str">
            <v>B</v>
          </cell>
          <cell r="E5115" t="str">
            <v>程序时间</v>
          </cell>
          <cell r="G5115">
            <v>15</v>
          </cell>
          <cell r="H5115">
            <v>30</v>
          </cell>
          <cell r="I5115">
            <v>45</v>
          </cell>
          <cell r="J5115">
            <v>20</v>
          </cell>
          <cell r="K5115">
            <v>25</v>
          </cell>
        </row>
        <row r="5116">
          <cell r="B5116" t="str">
            <v>BC5711430-001-002</v>
          </cell>
          <cell r="D5116" t="str">
            <v>B</v>
          </cell>
          <cell r="E5116" t="str">
            <v>工序内容</v>
          </cell>
          <cell r="F5116" t="str">
            <v>0/领料</v>
          </cell>
          <cell r="G5116" t="str">
            <v>05/数车</v>
          </cell>
          <cell r="H5116" t="str">
            <v>10/分光</v>
          </cell>
          <cell r="I5116" t="str">
            <v>15/钳工</v>
          </cell>
          <cell r="J5116" t="str">
            <v>20/热处理</v>
          </cell>
          <cell r="K5116" t="str">
            <v>25/数车</v>
          </cell>
          <cell r="L5116" t="str">
            <v>30/数车</v>
          </cell>
          <cell r="M5116" t="str">
            <v>35/数车</v>
          </cell>
          <cell r="N5116" t="str">
            <v>40/线切割</v>
          </cell>
          <cell r="O5116" t="str">
            <v>45/钳工</v>
          </cell>
          <cell r="P5116" t="str">
            <v>50/清洁</v>
          </cell>
          <cell r="Q5116" t="str">
            <v>55/成检</v>
          </cell>
        </row>
        <row r="5117">
          <cell r="B5117" t="str">
            <v>BC5711430-001-002</v>
          </cell>
          <cell r="D5117" t="str">
            <v>B</v>
          </cell>
          <cell r="E5117" t="str">
            <v>准备工时</v>
          </cell>
          <cell r="G5117">
            <v>90</v>
          </cell>
          <cell r="K5117">
            <v>90</v>
          </cell>
          <cell r="L5117">
            <v>960</v>
          </cell>
          <cell r="M5117">
            <v>90</v>
          </cell>
        </row>
        <row r="5118">
          <cell r="B5118" t="str">
            <v>BC5711430-001-002</v>
          </cell>
          <cell r="D5118" t="str">
            <v>B</v>
          </cell>
          <cell r="E5118" t="str">
            <v>程序时间</v>
          </cell>
          <cell r="G5118">
            <v>15</v>
          </cell>
          <cell r="I5118">
            <v>15</v>
          </cell>
          <cell r="K5118">
            <v>65</v>
          </cell>
          <cell r="L5118">
            <v>10</v>
          </cell>
          <cell r="M5118">
            <v>15</v>
          </cell>
          <cell r="O5118">
            <v>20</v>
          </cell>
        </row>
        <row r="5119">
          <cell r="B5119" t="str">
            <v>DD-J10-55181-14</v>
          </cell>
          <cell r="D5119" t="str">
            <v>D</v>
          </cell>
          <cell r="E5119" t="str">
            <v>工序内容</v>
          </cell>
          <cell r="F5119" t="str">
            <v>0/领料</v>
          </cell>
          <cell r="G5119" t="str">
            <v>5/硬检</v>
          </cell>
          <cell r="H5119" t="str">
            <v>10/钳工</v>
          </cell>
          <cell r="I5119" t="str">
            <v>15/数车15</v>
          </cell>
          <cell r="J5119" t="str">
            <v>20/数车25</v>
          </cell>
          <cell r="K5119" t="str">
            <v>25/数车25</v>
          </cell>
          <cell r="L5119" t="str">
            <v>30/数车25</v>
          </cell>
          <cell r="M5119" t="str">
            <v>35/数车20</v>
          </cell>
          <cell r="N5119" t="str">
            <v>40/钳工</v>
          </cell>
          <cell r="O5119" t="str">
            <v>45/清洁</v>
          </cell>
          <cell r="P5119" t="str">
            <v>50/成检</v>
          </cell>
        </row>
        <row r="5120">
          <cell r="B5120" t="str">
            <v>DD-J10-55181-14</v>
          </cell>
          <cell r="D5120" t="str">
            <v>D</v>
          </cell>
          <cell r="E5120" t="str">
            <v>准备工时</v>
          </cell>
          <cell r="I5120">
            <v>150</v>
          </cell>
          <cell r="J5120">
            <v>180</v>
          </cell>
          <cell r="K5120">
            <v>180</v>
          </cell>
          <cell r="L5120" t="str">
            <v>180</v>
          </cell>
          <cell r="M5120" t="str">
            <v>180</v>
          </cell>
        </row>
        <row r="5121">
          <cell r="B5121" t="str">
            <v>DD-J10-55181-14</v>
          </cell>
          <cell r="D5121" t="str">
            <v>D</v>
          </cell>
          <cell r="E5121" t="str">
            <v>程序时间</v>
          </cell>
          <cell r="H5121">
            <v>20</v>
          </cell>
          <cell r="I5121">
            <v>20</v>
          </cell>
          <cell r="J5121">
            <v>35</v>
          </cell>
          <cell r="K5121">
            <v>35</v>
          </cell>
          <cell r="L5121" t="str">
            <v>35</v>
          </cell>
          <cell r="M5121" t="str">
            <v>30</v>
          </cell>
          <cell r="N5121" t="str">
            <v>45</v>
          </cell>
        </row>
        <row r="5122">
          <cell r="B5122" t="str">
            <v>BC5812300-001-001</v>
          </cell>
          <cell r="D5122" t="str">
            <v>B</v>
          </cell>
          <cell r="E5122" t="str">
            <v>工序内容</v>
          </cell>
          <cell r="F5122" t="str">
            <v>05/数车45</v>
          </cell>
          <cell r="G5122" t="str">
            <v>10/数车90</v>
          </cell>
          <cell r="H5122" t="str">
            <v>15/数铣20</v>
          </cell>
          <cell r="I5122" t="str">
            <v>20/数铣30</v>
          </cell>
          <cell r="J5122" t="str">
            <v>25/数车15</v>
          </cell>
          <cell r="K5122" t="str">
            <v>30/钳工</v>
          </cell>
          <cell r="L5122" t="str">
            <v>35/分光</v>
          </cell>
          <cell r="M5122" t="str">
            <v>40/钳工</v>
          </cell>
          <cell r="N5122" t="str">
            <v>45/热处理</v>
          </cell>
          <cell r="O5122" t="str">
            <v>50/数车</v>
          </cell>
          <cell r="P5122" t="str">
            <v>55/数车20</v>
          </cell>
          <cell r="Q5122" t="str">
            <v>60/数铣20</v>
          </cell>
          <cell r="R5122" t="str">
            <v>70/研磨</v>
          </cell>
          <cell r="S5122" t="str">
            <v>75/清洁</v>
          </cell>
        </row>
        <row r="5123">
          <cell r="B5123" t="str">
            <v>BC5812300-001-001</v>
          </cell>
          <cell r="D5123" t="str">
            <v>B</v>
          </cell>
          <cell r="E5123" t="str">
            <v>准备工时</v>
          </cell>
          <cell r="F5123">
            <v>60</v>
          </cell>
          <cell r="G5123">
            <v>60</v>
          </cell>
          <cell r="H5123">
            <v>60</v>
          </cell>
          <cell r="I5123">
            <v>60</v>
          </cell>
          <cell r="J5123">
            <v>60</v>
          </cell>
          <cell r="O5123">
            <v>60</v>
          </cell>
          <cell r="P5123">
            <v>60</v>
          </cell>
          <cell r="Q5123">
            <v>60</v>
          </cell>
        </row>
        <row r="5124">
          <cell r="B5124" t="str">
            <v>BC5812300-001-001</v>
          </cell>
          <cell r="D5124" t="str">
            <v>B</v>
          </cell>
          <cell r="E5124" t="str">
            <v>程序时间</v>
          </cell>
          <cell r="F5124">
            <v>45</v>
          </cell>
          <cell r="G5124">
            <v>90</v>
          </cell>
          <cell r="H5124">
            <v>30</v>
          </cell>
          <cell r="I5124">
            <v>90</v>
          </cell>
          <cell r="J5124">
            <v>20</v>
          </cell>
          <cell r="K5124">
            <v>15</v>
          </cell>
          <cell r="M5124">
            <v>20</v>
          </cell>
          <cell r="O5124">
            <v>30</v>
          </cell>
          <cell r="P5124">
            <v>10</v>
          </cell>
          <cell r="Q5124">
            <v>30</v>
          </cell>
        </row>
        <row r="5125">
          <cell r="B5125" t="str">
            <v>DD-J10B-63001-651</v>
          </cell>
          <cell r="D5125" t="str">
            <v>F</v>
          </cell>
          <cell r="E5125" t="str">
            <v>工序内容</v>
          </cell>
          <cell r="F5125" t="str">
            <v>0/领料</v>
          </cell>
          <cell r="G5125" t="str">
            <v>5/下料</v>
          </cell>
          <cell r="H5125" t="str">
            <v>10/数车20</v>
          </cell>
          <cell r="I5125" t="str">
            <v>15/数车10</v>
          </cell>
          <cell r="J5125" t="str">
            <v>20/数车30</v>
          </cell>
          <cell r="K5125" t="str">
            <v>25/数车15</v>
          </cell>
          <cell r="L5125" t="str">
            <v>30/数车20</v>
          </cell>
          <cell r="M5125" t="str">
            <v>35/数车15</v>
          </cell>
          <cell r="N5125" t="str">
            <v>40/数车2</v>
          </cell>
          <cell r="O5125" t="str">
            <v>45/钳工</v>
          </cell>
          <cell r="P5125" t="str">
            <v>50/清洁</v>
          </cell>
          <cell r="Q5125" t="str">
            <v>55/成检</v>
          </cell>
        </row>
        <row r="5126">
          <cell r="B5126" t="str">
            <v>DD-J10B-63001-651</v>
          </cell>
          <cell r="D5126" t="str">
            <v>F</v>
          </cell>
          <cell r="E5126" t="str">
            <v>准备工时</v>
          </cell>
          <cell r="H5126">
            <v>120</v>
          </cell>
          <cell r="I5126">
            <v>120</v>
          </cell>
          <cell r="J5126">
            <v>120</v>
          </cell>
          <cell r="K5126">
            <v>120</v>
          </cell>
          <cell r="L5126">
            <v>120</v>
          </cell>
          <cell r="M5126" t="str">
            <v>120</v>
          </cell>
          <cell r="N5126" t="str">
            <v>120</v>
          </cell>
        </row>
        <row r="5127">
          <cell r="B5127" t="str">
            <v>DD-J10B-63001-651</v>
          </cell>
          <cell r="D5127" t="str">
            <v>F</v>
          </cell>
          <cell r="E5127" t="str">
            <v>程序时间</v>
          </cell>
          <cell r="H5127">
            <v>60</v>
          </cell>
          <cell r="I5127">
            <v>30</v>
          </cell>
          <cell r="J5127">
            <v>80</v>
          </cell>
          <cell r="K5127">
            <v>50</v>
          </cell>
          <cell r="L5127">
            <v>60</v>
          </cell>
          <cell r="M5127" t="str">
            <v>40</v>
          </cell>
          <cell r="N5127" t="str">
            <v>60</v>
          </cell>
          <cell r="O5127" t="str">
            <v>20</v>
          </cell>
        </row>
        <row r="5128">
          <cell r="B5128" t="str">
            <v>DD-J10-05156-1-Z/Y</v>
          </cell>
          <cell r="D5128" t="str">
            <v>B</v>
          </cell>
          <cell r="E5128" t="str">
            <v>工序内容</v>
          </cell>
          <cell r="F5128" t="str">
            <v>0/领料</v>
          </cell>
          <cell r="G5128" t="str">
            <v>5钳工</v>
          </cell>
          <cell r="H5128" t="str">
            <v>10数铣</v>
          </cell>
          <cell r="I5128" t="str">
            <v>15数铣180</v>
          </cell>
          <cell r="J5128" t="str">
            <v>20数铣600</v>
          </cell>
          <cell r="K5128" t="str">
            <v>25/数铣660</v>
          </cell>
          <cell r="L5128" t="str">
            <v>30钳工</v>
          </cell>
          <cell r="M5128" t="str">
            <v>35自然时效</v>
          </cell>
          <cell r="N5128" t="str">
            <v>40数铣</v>
          </cell>
          <cell r="O5128" t="str">
            <v>45数铣90</v>
          </cell>
          <cell r="P5128" t="str">
            <v>50数铣270</v>
          </cell>
          <cell r="Q5128" t="str">
            <v>55自然时效</v>
          </cell>
          <cell r="R5128" t="str">
            <v>60数铣</v>
          </cell>
          <cell r="S5128" t="str">
            <v>65数铣210</v>
          </cell>
          <cell r="T5128" t="str">
            <v>70五轴780</v>
          </cell>
          <cell r="U5128" t="str">
            <v>75钳工</v>
          </cell>
          <cell r="V5128" t="str">
            <v>80清洗</v>
          </cell>
          <cell r="W5128" t="str">
            <v>85冷挤压</v>
          </cell>
          <cell r="X5128" t="str">
            <v>90数铣30</v>
          </cell>
          <cell r="Y5128" t="str">
            <v>95数铣10</v>
          </cell>
          <cell r="Z5128" t="str">
            <v>100测量</v>
          </cell>
          <cell r="AA5128" t="str">
            <v>105钳工</v>
          </cell>
          <cell r="AB5128" t="str">
            <v>110清洁</v>
          </cell>
          <cell r="AC5128" t="str">
            <v>115成检</v>
          </cell>
        </row>
        <row r="5129">
          <cell r="B5129" t="str">
            <v>DD-J10-05156-1-Z/Y</v>
          </cell>
          <cell r="D5129" t="str">
            <v>B</v>
          </cell>
          <cell r="E5129" t="str">
            <v>准备工时</v>
          </cell>
          <cell r="G5129">
            <v>60</v>
          </cell>
          <cell r="H5129">
            <v>90</v>
          </cell>
          <cell r="I5129">
            <v>120</v>
          </cell>
          <cell r="J5129">
            <v>120</v>
          </cell>
          <cell r="K5129">
            <v>120</v>
          </cell>
          <cell r="N5129">
            <v>120</v>
          </cell>
          <cell r="O5129">
            <v>120</v>
          </cell>
          <cell r="P5129">
            <v>120</v>
          </cell>
          <cell r="R5129">
            <v>120</v>
          </cell>
          <cell r="S5129">
            <v>120</v>
          </cell>
          <cell r="T5129">
            <v>180</v>
          </cell>
          <cell r="X5129">
            <v>120</v>
          </cell>
          <cell r="Y5129">
            <v>90</v>
          </cell>
        </row>
        <row r="5130">
          <cell r="B5130" t="str">
            <v>DD-J10-05156-1-Z/Y</v>
          </cell>
          <cell r="D5130" t="str">
            <v>B</v>
          </cell>
          <cell r="E5130" t="str">
            <v>装夹时间</v>
          </cell>
          <cell r="H5130">
            <v>60</v>
          </cell>
          <cell r="I5130">
            <v>90</v>
          </cell>
          <cell r="J5130">
            <v>90</v>
          </cell>
          <cell r="K5130">
            <v>90</v>
          </cell>
          <cell r="N5130">
            <v>90</v>
          </cell>
          <cell r="O5130">
            <v>90</v>
          </cell>
          <cell r="P5130">
            <v>90</v>
          </cell>
          <cell r="R5130">
            <v>120</v>
          </cell>
          <cell r="S5130">
            <v>90</v>
          </cell>
          <cell r="T5130">
            <v>120</v>
          </cell>
          <cell r="X5130">
            <v>90</v>
          </cell>
          <cell r="Y5130">
            <v>90</v>
          </cell>
        </row>
        <row r="5131">
          <cell r="B5131" t="str">
            <v>DD-J10-05156-1-Z/Y</v>
          </cell>
          <cell r="D5131" t="str">
            <v>B</v>
          </cell>
          <cell r="E5131" t="str">
            <v>程序时间</v>
          </cell>
          <cell r="G5131">
            <v>80</v>
          </cell>
          <cell r="H5131">
            <v>360</v>
          </cell>
          <cell r="I5131">
            <v>300</v>
          </cell>
          <cell r="J5131">
            <v>1000</v>
          </cell>
          <cell r="K5131">
            <v>1200</v>
          </cell>
          <cell r="N5131">
            <v>240</v>
          </cell>
          <cell r="O5131">
            <v>90</v>
          </cell>
          <cell r="P5131">
            <v>420</v>
          </cell>
          <cell r="R5131">
            <v>360</v>
          </cell>
          <cell r="S5131">
            <v>270</v>
          </cell>
          <cell r="T5131">
            <v>2400</v>
          </cell>
          <cell r="X5131">
            <v>300</v>
          </cell>
          <cell r="Y5131">
            <v>60</v>
          </cell>
        </row>
        <row r="5132">
          <cell r="B5132" t="str">
            <v>DD-J10-05156-1-Z</v>
          </cell>
          <cell r="D5132" t="str">
            <v>B</v>
          </cell>
          <cell r="E5132" t="str">
            <v>工序内容</v>
          </cell>
          <cell r="F5132" t="str">
            <v>0/领料</v>
          </cell>
          <cell r="G5132" t="str">
            <v>5钳工</v>
          </cell>
          <cell r="H5132" t="str">
            <v>10数铣</v>
          </cell>
          <cell r="I5132" t="str">
            <v>15数铣180</v>
          </cell>
          <cell r="J5132" t="str">
            <v>20数铣600</v>
          </cell>
          <cell r="K5132" t="str">
            <v>25/数铣660</v>
          </cell>
          <cell r="L5132" t="str">
            <v>30钳工</v>
          </cell>
          <cell r="M5132" t="str">
            <v>35自然时效</v>
          </cell>
          <cell r="N5132" t="str">
            <v>40数铣</v>
          </cell>
          <cell r="O5132" t="str">
            <v>45数铣90</v>
          </cell>
          <cell r="P5132" t="str">
            <v>50数铣270</v>
          </cell>
          <cell r="Q5132" t="str">
            <v>55自然时效</v>
          </cell>
          <cell r="R5132" t="str">
            <v>60数铣</v>
          </cell>
          <cell r="S5132" t="str">
            <v>65数铣210</v>
          </cell>
          <cell r="T5132" t="str">
            <v>70五轴780</v>
          </cell>
          <cell r="U5132" t="str">
            <v>75钳工</v>
          </cell>
          <cell r="V5132" t="str">
            <v>80清洗</v>
          </cell>
          <cell r="W5132" t="str">
            <v>85冷挤压</v>
          </cell>
          <cell r="X5132" t="str">
            <v>90数铣30</v>
          </cell>
          <cell r="Y5132" t="str">
            <v>95数铣10</v>
          </cell>
          <cell r="Z5132" t="str">
            <v>100测量</v>
          </cell>
          <cell r="AA5132" t="str">
            <v>105钳工</v>
          </cell>
          <cell r="AB5132" t="str">
            <v>110清洁</v>
          </cell>
          <cell r="AC5132" t="str">
            <v>115成检</v>
          </cell>
        </row>
        <row r="5133">
          <cell r="B5133" t="str">
            <v>DD-J10-05156-1-Z</v>
          </cell>
          <cell r="D5133" t="str">
            <v>B</v>
          </cell>
          <cell r="E5133" t="str">
            <v>准备工时</v>
          </cell>
          <cell r="N5133">
            <v>120</v>
          </cell>
          <cell r="O5133">
            <v>120</v>
          </cell>
          <cell r="P5133">
            <v>120</v>
          </cell>
          <cell r="R5133">
            <v>120</v>
          </cell>
          <cell r="S5133">
            <v>120</v>
          </cell>
          <cell r="T5133">
            <v>180</v>
          </cell>
          <cell r="X5133">
            <v>120</v>
          </cell>
          <cell r="Y5133">
            <v>90</v>
          </cell>
        </row>
        <row r="5134">
          <cell r="B5134" t="str">
            <v>DD-J10-05156-1-Z</v>
          </cell>
          <cell r="D5134" t="str">
            <v>B</v>
          </cell>
          <cell r="E5134" t="str">
            <v>装夹时间</v>
          </cell>
          <cell r="N5134">
            <v>90</v>
          </cell>
          <cell r="O5134">
            <v>90</v>
          </cell>
          <cell r="P5134">
            <v>90</v>
          </cell>
          <cell r="R5134">
            <v>120</v>
          </cell>
          <cell r="S5134">
            <v>90</v>
          </cell>
          <cell r="T5134">
            <v>120</v>
          </cell>
          <cell r="X5134">
            <v>90</v>
          </cell>
          <cell r="Y5134">
            <v>90</v>
          </cell>
        </row>
        <row r="5135">
          <cell r="B5135" t="str">
            <v>DD-J10-05156-1-Z</v>
          </cell>
          <cell r="D5135" t="str">
            <v>B</v>
          </cell>
          <cell r="E5135" t="str">
            <v>程序时间</v>
          </cell>
          <cell r="L5135">
            <v>120</v>
          </cell>
          <cell r="N5135">
            <v>240</v>
          </cell>
          <cell r="O5135">
            <v>90</v>
          </cell>
          <cell r="P5135">
            <v>420</v>
          </cell>
          <cell r="R5135">
            <v>360</v>
          </cell>
          <cell r="S5135">
            <v>270</v>
          </cell>
          <cell r="T5135">
            <v>2400</v>
          </cell>
          <cell r="U5135">
            <v>240</v>
          </cell>
          <cell r="X5135">
            <v>300</v>
          </cell>
          <cell r="Y5135">
            <v>60</v>
          </cell>
          <cell r="AA5135">
            <v>780</v>
          </cell>
        </row>
        <row r="5136">
          <cell r="B5136" t="str">
            <v>DD-J10-05156-1-Y</v>
          </cell>
          <cell r="D5136" t="str">
            <v>B</v>
          </cell>
          <cell r="E5136" t="str">
            <v>工序内容</v>
          </cell>
          <cell r="F5136" t="str">
            <v>0/领料</v>
          </cell>
          <cell r="G5136" t="str">
            <v>5钳工</v>
          </cell>
          <cell r="H5136" t="str">
            <v>10数铣</v>
          </cell>
          <cell r="I5136" t="str">
            <v>15数铣180</v>
          </cell>
          <cell r="J5136" t="str">
            <v>20数铣600</v>
          </cell>
          <cell r="K5136" t="str">
            <v>25/数铣660</v>
          </cell>
          <cell r="L5136" t="str">
            <v>30钳工</v>
          </cell>
          <cell r="M5136" t="str">
            <v>35自然时效</v>
          </cell>
          <cell r="N5136" t="str">
            <v>40数铣</v>
          </cell>
          <cell r="O5136" t="str">
            <v>45数铣90</v>
          </cell>
          <cell r="P5136" t="str">
            <v>50数铣270</v>
          </cell>
          <cell r="Q5136" t="str">
            <v>55自然时效</v>
          </cell>
          <cell r="R5136" t="str">
            <v>60数铣</v>
          </cell>
          <cell r="S5136" t="str">
            <v>65数铣210</v>
          </cell>
          <cell r="T5136" t="str">
            <v>70五轴780</v>
          </cell>
          <cell r="U5136" t="str">
            <v>75钳工</v>
          </cell>
          <cell r="V5136" t="str">
            <v>80清洗</v>
          </cell>
          <cell r="W5136" t="str">
            <v>85冷挤压</v>
          </cell>
          <cell r="X5136" t="str">
            <v>90数铣30</v>
          </cell>
          <cell r="Y5136" t="str">
            <v>95数铣10</v>
          </cell>
          <cell r="Z5136" t="str">
            <v>100测量</v>
          </cell>
          <cell r="AA5136" t="str">
            <v>105钳工</v>
          </cell>
          <cell r="AB5136" t="str">
            <v>110清洁</v>
          </cell>
          <cell r="AC5136" t="str">
            <v>115成检</v>
          </cell>
        </row>
        <row r="5137">
          <cell r="B5137" t="str">
            <v>DD-J10-05156-1-Y</v>
          </cell>
          <cell r="D5137" t="str">
            <v>B</v>
          </cell>
          <cell r="E5137" t="str">
            <v>准备工时</v>
          </cell>
          <cell r="N5137">
            <v>120</v>
          </cell>
          <cell r="O5137">
            <v>120</v>
          </cell>
          <cell r="P5137">
            <v>120</v>
          </cell>
          <cell r="R5137">
            <v>120</v>
          </cell>
          <cell r="S5137">
            <v>120</v>
          </cell>
          <cell r="T5137">
            <v>180</v>
          </cell>
          <cell r="X5137">
            <v>120</v>
          </cell>
          <cell r="Y5137">
            <v>90</v>
          </cell>
        </row>
        <row r="5138">
          <cell r="B5138" t="str">
            <v>DD-J10-05156-1-Y</v>
          </cell>
          <cell r="D5138" t="str">
            <v>B</v>
          </cell>
          <cell r="E5138" t="str">
            <v>装夹时间</v>
          </cell>
          <cell r="N5138">
            <v>90</v>
          </cell>
          <cell r="O5138">
            <v>90</v>
          </cell>
          <cell r="P5138">
            <v>90</v>
          </cell>
          <cell r="R5138">
            <v>120</v>
          </cell>
          <cell r="S5138">
            <v>90</v>
          </cell>
          <cell r="T5138">
            <v>120</v>
          </cell>
          <cell r="X5138">
            <v>90</v>
          </cell>
          <cell r="Y5138">
            <v>90</v>
          </cell>
        </row>
        <row r="5139">
          <cell r="B5139" t="str">
            <v>DD-J10-05156-1-Y</v>
          </cell>
          <cell r="D5139" t="str">
            <v>B</v>
          </cell>
          <cell r="E5139" t="str">
            <v>程序时间</v>
          </cell>
          <cell r="L5139">
            <v>120</v>
          </cell>
          <cell r="N5139">
            <v>240</v>
          </cell>
          <cell r="O5139">
            <v>90</v>
          </cell>
          <cell r="P5139">
            <v>420</v>
          </cell>
          <cell r="R5139">
            <v>360</v>
          </cell>
          <cell r="S5139">
            <v>270</v>
          </cell>
          <cell r="T5139">
            <v>2400</v>
          </cell>
          <cell r="U5139">
            <v>240</v>
          </cell>
          <cell r="X5139">
            <v>300</v>
          </cell>
          <cell r="Y5139">
            <v>60</v>
          </cell>
          <cell r="AA5139">
            <v>780</v>
          </cell>
        </row>
        <row r="5140">
          <cell r="B5140" t="str">
            <v>DD-J10B-94076-620-4</v>
          </cell>
          <cell r="D5140" t="str">
            <v>B</v>
          </cell>
          <cell r="E5140" t="str">
            <v>工序内容</v>
          </cell>
          <cell r="F5140" t="str">
            <v>0/领料</v>
          </cell>
          <cell r="G5140" t="str">
            <v>5/数车20</v>
          </cell>
          <cell r="H5140" t="str">
            <v>10/数车3</v>
          </cell>
          <cell r="I5140" t="str">
            <v>15/钳工</v>
          </cell>
          <cell r="J5140" t="str">
            <v>20/分光</v>
          </cell>
          <cell r="K5140" t="str">
            <v>25/钳工</v>
          </cell>
          <cell r="L5140" t="str">
            <v>30/清洁</v>
          </cell>
          <cell r="M5140" t="str">
            <v>35/成检</v>
          </cell>
        </row>
        <row r="5141">
          <cell r="B5141" t="str">
            <v>DD-J10B-94076-620-4</v>
          </cell>
          <cell r="D5141" t="str">
            <v>B</v>
          </cell>
          <cell r="E5141" t="str">
            <v>准备工时</v>
          </cell>
          <cell r="G5141">
            <v>60</v>
          </cell>
          <cell r="H5141">
            <v>60</v>
          </cell>
        </row>
        <row r="5142">
          <cell r="B5142" t="str">
            <v>DD-J10B-94076-620-4</v>
          </cell>
          <cell r="D5142" t="str">
            <v>B</v>
          </cell>
          <cell r="E5142" t="str">
            <v>程序时间</v>
          </cell>
          <cell r="G5142">
            <v>30</v>
          </cell>
          <cell r="H5142">
            <v>10</v>
          </cell>
          <cell r="I5142">
            <v>4</v>
          </cell>
          <cell r="K5142">
            <v>5</v>
          </cell>
        </row>
        <row r="5143">
          <cell r="B5143" t="str">
            <v>BC5819311-001-001</v>
          </cell>
          <cell r="D5143" t="str">
            <v>D</v>
          </cell>
          <cell r="E5143" t="str">
            <v>工序内容</v>
          </cell>
          <cell r="F5143" t="str">
            <v>0/领料</v>
          </cell>
          <cell r="G5143" t="str">
            <v>05/数车60</v>
          </cell>
          <cell r="H5143" t="str">
            <v>10/数车 10</v>
          </cell>
          <cell r="I5143" t="str">
            <v>15/线切割</v>
          </cell>
          <cell r="J5143" t="str">
            <v>20/数铣10</v>
          </cell>
          <cell r="K5143" t="str">
            <v>25/线切割</v>
          </cell>
          <cell r="L5143" t="str">
            <v>30/钳工</v>
          </cell>
          <cell r="M5143" t="str">
            <v>35/分光</v>
          </cell>
          <cell r="N5143" t="str">
            <v>40/热处理</v>
          </cell>
          <cell r="O5143" t="str">
            <v>45/数车30</v>
          </cell>
          <cell r="P5143" t="str">
            <v>50/数车10</v>
          </cell>
          <cell r="Q5143" t="str">
            <v>55/数铣</v>
          </cell>
          <cell r="R5143" t="str">
            <v>60/数铣10</v>
          </cell>
          <cell r="S5143" t="str">
            <v>65/数车10</v>
          </cell>
          <cell r="T5143" t="str">
            <v>70/数车10</v>
          </cell>
          <cell r="U5143" t="str">
            <v>75/数车15</v>
          </cell>
          <cell r="V5143" t="str">
            <v>80/钳工</v>
          </cell>
          <cell r="W5143" t="str">
            <v>85/清洁</v>
          </cell>
          <cell r="X5143" t="str">
            <v>90/成检</v>
          </cell>
        </row>
        <row r="5144">
          <cell r="B5144" t="str">
            <v>BC5819311-001-001</v>
          </cell>
          <cell r="D5144" t="str">
            <v>D</v>
          </cell>
          <cell r="E5144" t="str">
            <v>准备工时</v>
          </cell>
          <cell r="G5144">
            <v>120</v>
          </cell>
          <cell r="H5144">
            <v>90</v>
          </cell>
          <cell r="J5144">
            <v>60</v>
          </cell>
          <cell r="O5144">
            <v>120</v>
          </cell>
          <cell r="P5144">
            <v>120</v>
          </cell>
          <cell r="Q5144">
            <v>90</v>
          </cell>
          <cell r="R5144">
            <v>60</v>
          </cell>
          <cell r="S5144">
            <v>120</v>
          </cell>
          <cell r="T5144">
            <v>120</v>
          </cell>
          <cell r="U5144">
            <v>120</v>
          </cell>
        </row>
        <row r="5145">
          <cell r="B5145" t="str">
            <v>BC5819311-001-001</v>
          </cell>
          <cell r="D5145" t="str">
            <v>D</v>
          </cell>
          <cell r="E5145" t="str">
            <v>程序时间</v>
          </cell>
          <cell r="G5145">
            <v>75</v>
          </cell>
          <cell r="H5145">
            <v>20</v>
          </cell>
          <cell r="J5145">
            <v>30</v>
          </cell>
          <cell r="L5145">
            <v>20</v>
          </cell>
          <cell r="O5145">
            <v>35</v>
          </cell>
          <cell r="P5145">
            <v>20</v>
          </cell>
          <cell r="Q5145">
            <v>40</v>
          </cell>
          <cell r="R5145">
            <v>25</v>
          </cell>
          <cell r="S5145">
            <v>20</v>
          </cell>
          <cell r="T5145">
            <v>20</v>
          </cell>
          <cell r="U5145">
            <v>30</v>
          </cell>
          <cell r="V5145">
            <v>35</v>
          </cell>
        </row>
        <row r="5146">
          <cell r="B5146" t="str">
            <v>DD-J10-55181-710-1</v>
          </cell>
          <cell r="D5146" t="str">
            <v>B</v>
          </cell>
          <cell r="E5146" t="str">
            <v>工序内容</v>
          </cell>
          <cell r="F5146" t="str">
            <v>0/领料</v>
          </cell>
          <cell r="G5146" t="str">
            <v>5/数车5</v>
          </cell>
          <cell r="H5146" t="str">
            <v>10/数车10</v>
          </cell>
          <cell r="I5146" t="str">
            <v>15/钳工</v>
          </cell>
          <cell r="J5146" t="str">
            <v>20/清洁</v>
          </cell>
          <cell r="K5146" t="str">
            <v>25/成检</v>
          </cell>
        </row>
        <row r="5147">
          <cell r="B5147" t="str">
            <v>DD-J10-55181-710-1</v>
          </cell>
          <cell r="D5147" t="str">
            <v>B</v>
          </cell>
          <cell r="E5147" t="str">
            <v>准备工时</v>
          </cell>
          <cell r="G5147">
            <v>60</v>
          </cell>
          <cell r="H5147">
            <v>60</v>
          </cell>
        </row>
        <row r="5148">
          <cell r="B5148" t="str">
            <v>DD-J10-55181-710-1</v>
          </cell>
          <cell r="D5148" t="str">
            <v>B</v>
          </cell>
          <cell r="E5148" t="str">
            <v>程序时间</v>
          </cell>
          <cell r="G5148">
            <v>10</v>
          </cell>
          <cell r="H5148">
            <v>15</v>
          </cell>
          <cell r="I5148">
            <v>4</v>
          </cell>
        </row>
        <row r="5149">
          <cell r="B5149" t="str">
            <v>DD-J10B-61201-301</v>
          </cell>
          <cell r="D5149" t="str">
            <v>B</v>
          </cell>
          <cell r="E5149" t="str">
            <v>工序内容</v>
          </cell>
          <cell r="F5149" t="str">
            <v>0/领料</v>
          </cell>
          <cell r="G5149" t="str">
            <v>05/数车30</v>
          </cell>
          <cell r="H5149" t="str">
            <v>10/数车10</v>
          </cell>
          <cell r="I5149" t="str">
            <v>15/分光</v>
          </cell>
          <cell r="J5149" t="str">
            <v>20/硬度</v>
          </cell>
          <cell r="K5149" t="str">
            <v>25/车铣45</v>
          </cell>
          <cell r="L5149" t="str">
            <v>30/穿孔</v>
          </cell>
          <cell r="M5149" t="str">
            <v>35/钳工</v>
          </cell>
          <cell r="N5149" t="str">
            <v>40/清洁</v>
          </cell>
          <cell r="O5149" t="str">
            <v>45/成检</v>
          </cell>
        </row>
        <row r="5150">
          <cell r="B5150" t="str">
            <v>DD-J10B-61201-301</v>
          </cell>
          <cell r="D5150" t="str">
            <v>B</v>
          </cell>
          <cell r="E5150" t="str">
            <v>准备工时</v>
          </cell>
          <cell r="G5150">
            <v>90</v>
          </cell>
          <cell r="H5150">
            <v>60</v>
          </cell>
          <cell r="K5150">
            <v>120</v>
          </cell>
        </row>
        <row r="5151">
          <cell r="B5151" t="str">
            <v>DD-J10B-61201-301</v>
          </cell>
          <cell r="D5151" t="str">
            <v>B</v>
          </cell>
          <cell r="E5151" t="str">
            <v>程序时间</v>
          </cell>
          <cell r="G5151">
            <v>30</v>
          </cell>
          <cell r="H5151">
            <v>15</v>
          </cell>
          <cell r="K5151">
            <v>50</v>
          </cell>
          <cell r="M5151">
            <v>30</v>
          </cell>
        </row>
        <row r="5152">
          <cell r="B5152" t="str">
            <v>C228575105-002-001</v>
          </cell>
          <cell r="D5152" t="str">
            <v>A</v>
          </cell>
          <cell r="E5152" t="str">
            <v>工序内容</v>
          </cell>
          <cell r="F5152" t="str">
            <v>0领料</v>
          </cell>
          <cell r="G5152" t="str">
            <v>05普车</v>
          </cell>
          <cell r="H5152" t="str">
            <v>10钳工</v>
          </cell>
          <cell r="I5152" t="str">
            <v>15分光</v>
          </cell>
          <cell r="J5152" t="str">
            <v>20数车45</v>
          </cell>
          <cell r="K5152" t="str">
            <v>25数车30</v>
          </cell>
          <cell r="L5152" t="str">
            <v>30清洁</v>
          </cell>
          <cell r="M5152" t="str">
            <v>35成检</v>
          </cell>
        </row>
        <row r="5153">
          <cell r="B5153" t="str">
            <v>C228575105-002-001</v>
          </cell>
          <cell r="D5153" t="str">
            <v>A</v>
          </cell>
          <cell r="E5153" t="str">
            <v>准备工时</v>
          </cell>
          <cell r="G5153">
            <v>60</v>
          </cell>
          <cell r="J5153">
            <v>90</v>
          </cell>
          <cell r="K5153">
            <v>90</v>
          </cell>
        </row>
        <row r="5154">
          <cell r="B5154" t="str">
            <v>C228575105-002-001</v>
          </cell>
          <cell r="D5154" t="str">
            <v>A</v>
          </cell>
          <cell r="E5154" t="str">
            <v>程序时间</v>
          </cell>
          <cell r="G5154">
            <v>15</v>
          </cell>
          <cell r="H5154">
            <v>4</v>
          </cell>
          <cell r="J5154">
            <v>60</v>
          </cell>
          <cell r="K5154">
            <v>40</v>
          </cell>
        </row>
        <row r="5155">
          <cell r="B5155" t="str">
            <v>DD-J10-55165-1430-2</v>
          </cell>
          <cell r="D5155" t="str">
            <v>C</v>
          </cell>
          <cell r="E5155" t="str">
            <v>工序内容</v>
          </cell>
          <cell r="F5155" t="str">
            <v>0/领料</v>
          </cell>
          <cell r="G5155" t="str">
            <v>5/数车8</v>
          </cell>
          <cell r="H5155" t="str">
            <v>10/数车15</v>
          </cell>
          <cell r="I5155" t="str">
            <v>15/钳工</v>
          </cell>
          <cell r="J5155" t="str">
            <v>20/清洁</v>
          </cell>
          <cell r="K5155" t="str">
            <v>25/成检</v>
          </cell>
        </row>
        <row r="5156">
          <cell r="B5156" t="str">
            <v>DD-J10-55165-1430-2</v>
          </cell>
          <cell r="D5156" t="str">
            <v>C</v>
          </cell>
          <cell r="E5156" t="str">
            <v>准备工时</v>
          </cell>
          <cell r="G5156">
            <v>60</v>
          </cell>
          <cell r="H5156">
            <v>60</v>
          </cell>
        </row>
        <row r="5157">
          <cell r="B5157" t="str">
            <v>DD-J10-55165-1430-2</v>
          </cell>
          <cell r="D5157" t="str">
            <v>C</v>
          </cell>
          <cell r="E5157" t="str">
            <v>程序时间</v>
          </cell>
          <cell r="G5157">
            <v>10</v>
          </cell>
          <cell r="H5157">
            <v>20</v>
          </cell>
          <cell r="I5157">
            <v>6</v>
          </cell>
        </row>
        <row r="5158">
          <cell r="B5158" t="str">
            <v>DD-J10B-94051-3640-2</v>
          </cell>
          <cell r="D5158" t="str">
            <v>B</v>
          </cell>
          <cell r="E5158" t="str">
            <v>工序内容</v>
          </cell>
          <cell r="F5158" t="str">
            <v>0/领料</v>
          </cell>
          <cell r="G5158" t="str">
            <v>5/数车10</v>
          </cell>
          <cell r="H5158" t="str">
            <v>10/数车5</v>
          </cell>
          <cell r="I5158" t="str">
            <v>15/清洁</v>
          </cell>
          <cell r="J5158" t="str">
            <v>20/成检</v>
          </cell>
        </row>
        <row r="5159">
          <cell r="B5159" t="str">
            <v>DD-J10B-94051-3640-2</v>
          </cell>
          <cell r="D5159" t="str">
            <v>B</v>
          </cell>
          <cell r="E5159" t="str">
            <v>准备工时</v>
          </cell>
          <cell r="G5159">
            <v>60</v>
          </cell>
          <cell r="H5159">
            <v>60</v>
          </cell>
        </row>
        <row r="5160">
          <cell r="B5160" t="str">
            <v>DD-J10B-94051-3640-2</v>
          </cell>
          <cell r="D5160" t="str">
            <v>B</v>
          </cell>
          <cell r="E5160" t="str">
            <v>程序时间</v>
          </cell>
          <cell r="G5160">
            <v>15</v>
          </cell>
          <cell r="H5160">
            <v>10</v>
          </cell>
        </row>
        <row r="5161">
          <cell r="B5161" t="str">
            <v>C228571602-007-001</v>
          </cell>
          <cell r="D5161" t="str">
            <v>A</v>
          </cell>
          <cell r="E5161" t="str">
            <v>工序内容</v>
          </cell>
          <cell r="F5161" t="str">
            <v>0领料</v>
          </cell>
          <cell r="G5161" t="str">
            <v>05普车</v>
          </cell>
          <cell r="H5161" t="str">
            <v>10分光</v>
          </cell>
          <cell r="I5161" t="str">
            <v>15数车20</v>
          </cell>
          <cell r="J5161" t="str">
            <v>20数车5</v>
          </cell>
          <cell r="K5161" t="str">
            <v>25清洁</v>
          </cell>
          <cell r="L5161" t="str">
            <v>30成检</v>
          </cell>
        </row>
        <row r="5162">
          <cell r="B5162" t="str">
            <v>C228571602-007-001</v>
          </cell>
          <cell r="D5162" t="str">
            <v>A</v>
          </cell>
          <cell r="E5162" t="str">
            <v>准备工时</v>
          </cell>
          <cell r="G5162">
            <v>60</v>
          </cell>
          <cell r="I5162">
            <v>60</v>
          </cell>
          <cell r="J5162">
            <v>60</v>
          </cell>
        </row>
        <row r="5163">
          <cell r="B5163" t="str">
            <v>C228571602-007-001</v>
          </cell>
          <cell r="D5163" t="str">
            <v>A</v>
          </cell>
          <cell r="E5163" t="str">
            <v>程序时间</v>
          </cell>
          <cell r="G5163" t="str">
            <v>25/根</v>
          </cell>
          <cell r="I5163">
            <v>25</v>
          </cell>
          <cell r="J5163">
            <v>10</v>
          </cell>
        </row>
        <row r="5164">
          <cell r="B5164" t="str">
            <v>C229102400-001-001</v>
          </cell>
          <cell r="D5164" t="str">
            <v>A</v>
          </cell>
          <cell r="E5164" t="str">
            <v>工序内容</v>
          </cell>
          <cell r="F5164" t="str">
            <v>0领料</v>
          </cell>
          <cell r="G5164" t="str">
            <v>05普车</v>
          </cell>
          <cell r="H5164" t="str">
            <v>10钳工</v>
          </cell>
          <cell r="I5164" t="str">
            <v>15分光</v>
          </cell>
          <cell r="J5164" t="str">
            <v>20数车15</v>
          </cell>
          <cell r="K5164" t="str">
            <v>25数车5</v>
          </cell>
          <cell r="L5164" t="str">
            <v>30数车10</v>
          </cell>
          <cell r="M5164" t="str">
            <v>35清洁</v>
          </cell>
          <cell r="N5164" t="str">
            <v>40成检</v>
          </cell>
        </row>
        <row r="5165">
          <cell r="B5165" t="str">
            <v>C229102400-001-001</v>
          </cell>
          <cell r="D5165" t="str">
            <v>A</v>
          </cell>
          <cell r="E5165" t="str">
            <v>准备工时</v>
          </cell>
          <cell r="G5165">
            <v>60</v>
          </cell>
          <cell r="J5165">
            <v>90</v>
          </cell>
          <cell r="K5165">
            <v>60</v>
          </cell>
          <cell r="L5165">
            <v>90</v>
          </cell>
        </row>
        <row r="5166">
          <cell r="B5166" t="str">
            <v>C229102400-001-001</v>
          </cell>
          <cell r="D5166" t="str">
            <v>A</v>
          </cell>
          <cell r="E5166" t="str">
            <v>程序时间</v>
          </cell>
          <cell r="G5166" t="str">
            <v>20/根</v>
          </cell>
          <cell r="H5166">
            <v>4</v>
          </cell>
          <cell r="J5166">
            <v>30</v>
          </cell>
          <cell r="K5166">
            <v>10</v>
          </cell>
          <cell r="L5166">
            <v>20</v>
          </cell>
        </row>
        <row r="5167">
          <cell r="B5167" t="str">
            <v>C229103200-002-001</v>
          </cell>
          <cell r="D5167" t="str">
            <v>A</v>
          </cell>
          <cell r="E5167" t="str">
            <v>工序内容</v>
          </cell>
          <cell r="F5167" t="str">
            <v>0领料</v>
          </cell>
          <cell r="G5167" t="str">
            <v>05普车</v>
          </cell>
          <cell r="H5167" t="str">
            <v>10钳工</v>
          </cell>
          <cell r="I5167" t="str">
            <v>15分光</v>
          </cell>
          <cell r="J5167" t="str">
            <v>20数车20</v>
          </cell>
          <cell r="K5167" t="str">
            <v>25数车5</v>
          </cell>
          <cell r="L5167" t="str">
            <v>30清洁</v>
          </cell>
          <cell r="M5167" t="str">
            <v>35成检</v>
          </cell>
        </row>
        <row r="5168">
          <cell r="B5168" t="str">
            <v>C229103200-002-001</v>
          </cell>
          <cell r="D5168" t="str">
            <v>A</v>
          </cell>
          <cell r="E5168" t="str">
            <v>准备工时</v>
          </cell>
          <cell r="G5168">
            <v>60</v>
          </cell>
          <cell r="J5168">
            <v>60</v>
          </cell>
          <cell r="K5168">
            <v>60</v>
          </cell>
        </row>
        <row r="5169">
          <cell r="B5169" t="str">
            <v>C229103200-002-001</v>
          </cell>
          <cell r="D5169" t="str">
            <v>A</v>
          </cell>
          <cell r="E5169" t="str">
            <v>程序时间</v>
          </cell>
          <cell r="G5169" t="str">
            <v>20/根</v>
          </cell>
          <cell r="H5169">
            <v>4</v>
          </cell>
          <cell r="J5169">
            <v>25</v>
          </cell>
          <cell r="K5169">
            <v>10</v>
          </cell>
        </row>
        <row r="5170">
          <cell r="B5170" t="str">
            <v>DD-J10-64011-430-2</v>
          </cell>
          <cell r="D5170" t="str">
            <v>B</v>
          </cell>
          <cell r="E5170" t="str">
            <v>工序内容</v>
          </cell>
          <cell r="F5170" t="str">
            <v>0/领料</v>
          </cell>
          <cell r="G5170" t="str">
            <v>5数车15</v>
          </cell>
          <cell r="H5170" t="str">
            <v>10数车5</v>
          </cell>
          <cell r="I5170" t="str">
            <v>15分光</v>
          </cell>
          <cell r="J5170" t="str">
            <v>20线切割</v>
          </cell>
          <cell r="K5170" t="str">
            <v>25钳工</v>
          </cell>
          <cell r="L5170" t="str">
            <v>30清洁</v>
          </cell>
          <cell r="M5170" t="str">
            <v>35成检</v>
          </cell>
        </row>
        <row r="5171">
          <cell r="B5171" t="str">
            <v>DD-J10-64011-430-2</v>
          </cell>
          <cell r="D5171" t="str">
            <v>B</v>
          </cell>
          <cell r="E5171" t="str">
            <v>准备工时</v>
          </cell>
          <cell r="G5171">
            <v>90</v>
          </cell>
          <cell r="H5171">
            <v>60</v>
          </cell>
        </row>
        <row r="5172">
          <cell r="B5172" t="str">
            <v>DD-J10-64011-430-2</v>
          </cell>
          <cell r="D5172" t="str">
            <v>B</v>
          </cell>
          <cell r="E5172" t="str">
            <v>程序时间</v>
          </cell>
          <cell r="G5172">
            <v>20</v>
          </cell>
          <cell r="H5172">
            <v>10</v>
          </cell>
          <cell r="K5172">
            <v>20</v>
          </cell>
        </row>
        <row r="5173">
          <cell r="B5173" t="str">
            <v>DD-J10-54101-2805</v>
          </cell>
          <cell r="D5173" t="str">
            <v>B</v>
          </cell>
          <cell r="E5173" t="str">
            <v>工序内容</v>
          </cell>
          <cell r="F5173" t="str">
            <v>0/领料</v>
          </cell>
          <cell r="G5173" t="str">
            <v>5/数车12</v>
          </cell>
          <cell r="H5173" t="str">
            <v>10/数车12</v>
          </cell>
          <cell r="I5173" t="str">
            <v>15/数车9</v>
          </cell>
          <cell r="J5173" t="str">
            <v>20/数车3</v>
          </cell>
          <cell r="K5173" t="str">
            <v>25/清洁</v>
          </cell>
          <cell r="L5173" t="str">
            <v>30/成检</v>
          </cell>
        </row>
        <row r="5174">
          <cell r="B5174" t="str">
            <v>DD-J10-54101-2805</v>
          </cell>
          <cell r="D5174" t="str">
            <v>B</v>
          </cell>
          <cell r="E5174" t="str">
            <v>准备工时</v>
          </cell>
          <cell r="G5174">
            <v>60</v>
          </cell>
          <cell r="H5174">
            <v>90</v>
          </cell>
          <cell r="I5174">
            <v>90</v>
          </cell>
          <cell r="J5174">
            <v>60</v>
          </cell>
        </row>
        <row r="5175">
          <cell r="B5175" t="str">
            <v>DD-J10-54101-2805</v>
          </cell>
          <cell r="D5175" t="str">
            <v>B</v>
          </cell>
          <cell r="E5175" t="str">
            <v>程序时间</v>
          </cell>
          <cell r="G5175">
            <v>20</v>
          </cell>
          <cell r="H5175">
            <v>20</v>
          </cell>
          <cell r="I5175">
            <v>15</v>
          </cell>
          <cell r="J5175">
            <v>10</v>
          </cell>
        </row>
        <row r="5176">
          <cell r="B5176" t="str">
            <v>DD-J10-86011-3210-1</v>
          </cell>
          <cell r="D5176" t="str">
            <v>B</v>
          </cell>
          <cell r="E5176" t="str">
            <v>工序内容</v>
          </cell>
          <cell r="F5176" t="str">
            <v>0/领料</v>
          </cell>
          <cell r="G5176" t="str">
            <v>5/下料</v>
          </cell>
          <cell r="H5176" t="str">
            <v>10/数车25</v>
          </cell>
          <cell r="I5176" t="str">
            <v>15/数车15</v>
          </cell>
          <cell r="J5176" t="str">
            <v>20/钳工</v>
          </cell>
          <cell r="K5176" t="str">
            <v>25/分光</v>
          </cell>
          <cell r="L5176" t="str">
            <v>30/钳工</v>
          </cell>
          <cell r="M5176" t="str">
            <v>35/清洁</v>
          </cell>
          <cell r="N5176" t="str">
            <v>40/成检</v>
          </cell>
        </row>
        <row r="5177">
          <cell r="B5177" t="str">
            <v>DD-J10-86011-3210-1</v>
          </cell>
          <cell r="D5177" t="str">
            <v>B</v>
          </cell>
          <cell r="E5177" t="str">
            <v>准备工时</v>
          </cell>
          <cell r="H5177">
            <v>60</v>
          </cell>
          <cell r="I5177">
            <v>60</v>
          </cell>
        </row>
        <row r="5178">
          <cell r="B5178" t="str">
            <v>DD-J10-86011-3210-1</v>
          </cell>
          <cell r="D5178" t="str">
            <v>B</v>
          </cell>
          <cell r="E5178" t="str">
            <v>程序时间</v>
          </cell>
          <cell r="G5178">
            <v>10</v>
          </cell>
          <cell r="H5178">
            <v>30</v>
          </cell>
          <cell r="I5178">
            <v>20</v>
          </cell>
          <cell r="L5178">
            <v>5</v>
          </cell>
        </row>
        <row r="5179">
          <cell r="B5179" t="str">
            <v>BC5812812-001-001</v>
          </cell>
          <cell r="D5179" t="str">
            <v>C</v>
          </cell>
          <cell r="E5179" t="str">
            <v>工序内容</v>
          </cell>
          <cell r="F5179" t="str">
            <v>0/领料</v>
          </cell>
          <cell r="G5179" t="str">
            <v>05/数车35</v>
          </cell>
          <cell r="H5179" t="str">
            <v>10/线切割</v>
          </cell>
          <cell r="I5179" t="str">
            <v>15/钳工</v>
          </cell>
          <cell r="J5179" t="str">
            <v>20/数车15</v>
          </cell>
          <cell r="K5179" t="str">
            <v>25/分光</v>
          </cell>
          <cell r="L5179" t="str">
            <v>30/热处理</v>
          </cell>
          <cell r="M5179" t="str">
            <v>35/线切割</v>
          </cell>
          <cell r="N5179" t="str">
            <v>40数车30</v>
          </cell>
          <cell r="O5179" t="str">
            <v>45钳工</v>
          </cell>
          <cell r="P5179" t="str">
            <v>50清洁</v>
          </cell>
          <cell r="Q5179" t="str">
            <v>55成检</v>
          </cell>
        </row>
        <row r="5180">
          <cell r="B5180" t="str">
            <v>BC5812812-001-001</v>
          </cell>
          <cell r="D5180" t="str">
            <v>C</v>
          </cell>
          <cell r="E5180" t="str">
            <v>准备工时</v>
          </cell>
          <cell r="G5180">
            <v>90</v>
          </cell>
          <cell r="J5180">
            <v>90</v>
          </cell>
          <cell r="N5180">
            <v>120</v>
          </cell>
        </row>
        <row r="5181">
          <cell r="B5181" t="str">
            <v>BC5812812-001-001</v>
          </cell>
          <cell r="D5181" t="str">
            <v>C</v>
          </cell>
          <cell r="E5181" t="str">
            <v>程序时间</v>
          </cell>
          <cell r="G5181">
            <v>50</v>
          </cell>
          <cell r="I5181">
            <v>15</v>
          </cell>
          <cell r="J5181">
            <v>25</v>
          </cell>
          <cell r="N5181">
            <v>40</v>
          </cell>
          <cell r="O5181">
            <v>30</v>
          </cell>
        </row>
        <row r="5182">
          <cell r="B5182" t="str">
            <v>C232800600-003-001</v>
          </cell>
          <cell r="D5182" t="str">
            <v>A</v>
          </cell>
          <cell r="E5182" t="str">
            <v>工序内容</v>
          </cell>
          <cell r="F5182" t="str">
            <v>0领料</v>
          </cell>
          <cell r="G5182" t="str">
            <v>05普车</v>
          </cell>
          <cell r="H5182" t="str">
            <v>10钳工</v>
          </cell>
          <cell r="I5182" t="str">
            <v>15分光</v>
          </cell>
          <cell r="J5182" t="str">
            <v>20热处理</v>
          </cell>
          <cell r="K5182" t="str">
            <v>25数车15</v>
          </cell>
          <cell r="L5182" t="str">
            <v>30数车20</v>
          </cell>
          <cell r="M5182" t="str">
            <v>35数车20</v>
          </cell>
          <cell r="N5182" t="str">
            <v>40清洁</v>
          </cell>
          <cell r="O5182" t="str">
            <v>45成检</v>
          </cell>
        </row>
        <row r="5183">
          <cell r="B5183" t="str">
            <v>C232800600-003-001</v>
          </cell>
          <cell r="D5183" t="str">
            <v>A</v>
          </cell>
          <cell r="E5183" t="str">
            <v>准备工时</v>
          </cell>
          <cell r="G5183">
            <v>60</v>
          </cell>
          <cell r="K5183">
            <v>60</v>
          </cell>
          <cell r="L5183">
            <v>90</v>
          </cell>
          <cell r="M5183">
            <v>90</v>
          </cell>
        </row>
        <row r="5184">
          <cell r="B5184" t="str">
            <v>C232800600-003-001</v>
          </cell>
          <cell r="D5184" t="str">
            <v>A</v>
          </cell>
          <cell r="E5184" t="str">
            <v>程序时间</v>
          </cell>
          <cell r="G5184">
            <v>20</v>
          </cell>
          <cell r="H5184">
            <v>4</v>
          </cell>
          <cell r="K5184">
            <v>25</v>
          </cell>
          <cell r="L5184">
            <v>30</v>
          </cell>
          <cell r="M5184">
            <v>30</v>
          </cell>
        </row>
        <row r="5185">
          <cell r="B5185" t="str">
            <v>Y20-5211025003-001</v>
          </cell>
          <cell r="D5185" t="str">
            <v>B</v>
          </cell>
          <cell r="E5185" t="str">
            <v>工序内容</v>
          </cell>
          <cell r="F5185" t="str">
            <v>0领料</v>
          </cell>
          <cell r="G5185" t="str">
            <v>5数车20</v>
          </cell>
          <cell r="H5185" t="str">
            <v>10钳工</v>
          </cell>
          <cell r="I5185" t="str">
            <v>15分光</v>
          </cell>
          <cell r="J5185" t="str">
            <v>20热处理</v>
          </cell>
          <cell r="K5185" t="str">
            <v>25数车15</v>
          </cell>
          <cell r="L5185" t="str">
            <v>30数车10</v>
          </cell>
          <cell r="M5185" t="str">
            <v>35数铣10</v>
          </cell>
          <cell r="N5185" t="str">
            <v>40钳工</v>
          </cell>
          <cell r="O5185" t="str">
            <v>45热处理</v>
          </cell>
          <cell r="P5185" t="str">
            <v>50数铣10</v>
          </cell>
          <cell r="Q5185" t="str">
            <v>55数车25</v>
          </cell>
          <cell r="R5185" t="str">
            <v>60数车8</v>
          </cell>
          <cell r="S5185" t="str">
            <v>65钳工</v>
          </cell>
          <cell r="T5185" t="str">
            <v>70清洁</v>
          </cell>
          <cell r="U5185" t="str">
            <v>75成检</v>
          </cell>
        </row>
        <row r="5186">
          <cell r="B5186" t="str">
            <v>Y20-5211025003-001</v>
          </cell>
          <cell r="D5186" t="str">
            <v>B</v>
          </cell>
          <cell r="E5186" t="str">
            <v>准备工时</v>
          </cell>
          <cell r="G5186">
            <v>90</v>
          </cell>
          <cell r="K5186">
            <v>90</v>
          </cell>
          <cell r="L5186">
            <v>60</v>
          </cell>
          <cell r="M5186">
            <v>60</v>
          </cell>
          <cell r="P5186">
            <v>60</v>
          </cell>
          <cell r="Q5186">
            <v>120</v>
          </cell>
          <cell r="R5186">
            <v>90</v>
          </cell>
        </row>
        <row r="5187">
          <cell r="B5187" t="str">
            <v>Y20-5211025003-001</v>
          </cell>
          <cell r="D5187" t="str">
            <v>B</v>
          </cell>
          <cell r="E5187" t="str">
            <v>程序时间</v>
          </cell>
          <cell r="G5187">
            <v>30</v>
          </cell>
          <cell r="H5187">
            <v>15</v>
          </cell>
          <cell r="K5187">
            <v>25</v>
          </cell>
          <cell r="L5187">
            <v>15</v>
          </cell>
          <cell r="M5187">
            <v>30</v>
          </cell>
          <cell r="N5187">
            <v>20</v>
          </cell>
          <cell r="P5187">
            <v>25</v>
          </cell>
          <cell r="Q5187">
            <v>55</v>
          </cell>
          <cell r="R5187">
            <v>15</v>
          </cell>
          <cell r="S5187">
            <v>30</v>
          </cell>
        </row>
        <row r="5188">
          <cell r="B5188" t="str">
            <v>BC5812500-001-001</v>
          </cell>
          <cell r="D5188" t="str">
            <v>B</v>
          </cell>
          <cell r="E5188" t="str">
            <v>工序内容</v>
          </cell>
          <cell r="F5188" t="str">
            <v>0/领料</v>
          </cell>
          <cell r="G5188" t="str">
            <v>05/数车45</v>
          </cell>
          <cell r="H5188" t="str">
            <v>10/数车90</v>
          </cell>
          <cell r="I5188" t="str">
            <v>15/数铣20</v>
          </cell>
          <cell r="J5188" t="str">
            <v>20/数铣30</v>
          </cell>
          <cell r="K5188" t="str">
            <v>25/数车15</v>
          </cell>
          <cell r="L5188" t="str">
            <v>30/钳工</v>
          </cell>
          <cell r="M5188" t="str">
            <v>35/分光</v>
          </cell>
          <cell r="N5188" t="str">
            <v>40/钳工</v>
          </cell>
          <cell r="O5188" t="str">
            <v>45/热处理</v>
          </cell>
          <cell r="P5188" t="str">
            <v>50/数车35</v>
          </cell>
          <cell r="Q5188" t="str">
            <v>55/数车20</v>
          </cell>
          <cell r="R5188" t="str">
            <v>60/数铣20</v>
          </cell>
          <cell r="S5188" t="str">
            <v>65/钳工</v>
          </cell>
          <cell r="T5188" t="str">
            <v>70/研磨</v>
          </cell>
          <cell r="U5188" t="str">
            <v>75/清洁</v>
          </cell>
        </row>
        <row r="5189">
          <cell r="B5189" t="str">
            <v>BC5812500-001-001</v>
          </cell>
          <cell r="D5189" t="str">
            <v>B</v>
          </cell>
          <cell r="E5189" t="str">
            <v>准备工时</v>
          </cell>
          <cell r="G5189">
            <v>60</v>
          </cell>
          <cell r="H5189">
            <v>60</v>
          </cell>
          <cell r="I5189">
            <v>60</v>
          </cell>
          <cell r="J5189">
            <v>60</v>
          </cell>
          <cell r="K5189">
            <v>60</v>
          </cell>
          <cell r="P5189">
            <v>60</v>
          </cell>
          <cell r="Q5189">
            <v>60</v>
          </cell>
          <cell r="R5189">
            <v>60</v>
          </cell>
        </row>
        <row r="5190">
          <cell r="B5190" t="str">
            <v>BC5812500-001-001</v>
          </cell>
          <cell r="D5190" t="str">
            <v>B</v>
          </cell>
          <cell r="E5190" t="str">
            <v>程序时间</v>
          </cell>
          <cell r="G5190">
            <v>45</v>
          </cell>
          <cell r="H5190">
            <v>90</v>
          </cell>
          <cell r="I5190">
            <v>40</v>
          </cell>
          <cell r="J5190">
            <v>40</v>
          </cell>
          <cell r="K5190">
            <v>15</v>
          </cell>
          <cell r="L5190">
            <v>15</v>
          </cell>
          <cell r="P5190">
            <v>30</v>
          </cell>
          <cell r="Q5190">
            <v>20</v>
          </cell>
          <cell r="R5190">
            <v>35</v>
          </cell>
          <cell r="S5190">
            <v>30</v>
          </cell>
        </row>
        <row r="5191">
          <cell r="B5191" t="str">
            <v>DD-J10B-94076-220-2</v>
          </cell>
          <cell r="D5191" t="str">
            <v>B</v>
          </cell>
          <cell r="E5191" t="str">
            <v>工序内容</v>
          </cell>
          <cell r="F5191" t="str">
            <v>0/领料</v>
          </cell>
          <cell r="G5191" t="str">
            <v>5/数车20</v>
          </cell>
          <cell r="H5191" t="str">
            <v>10/数车3</v>
          </cell>
          <cell r="I5191" t="str">
            <v>15/钳工</v>
          </cell>
          <cell r="J5191" t="str">
            <v>20/分光</v>
          </cell>
          <cell r="K5191" t="str">
            <v>25/钳工</v>
          </cell>
          <cell r="L5191" t="str">
            <v>30/清洁</v>
          </cell>
          <cell r="M5191" t="str">
            <v>35/成检</v>
          </cell>
        </row>
        <row r="5192">
          <cell r="B5192" t="str">
            <v>DD-J10B-94076-220-2</v>
          </cell>
          <cell r="D5192" t="str">
            <v>B</v>
          </cell>
          <cell r="E5192" t="str">
            <v>准备工时</v>
          </cell>
          <cell r="G5192">
            <v>60</v>
          </cell>
          <cell r="H5192">
            <v>60</v>
          </cell>
        </row>
        <row r="5193">
          <cell r="B5193" t="str">
            <v>DD-J10B-94076-220-2</v>
          </cell>
          <cell r="D5193" t="str">
            <v>B</v>
          </cell>
          <cell r="E5193" t="str">
            <v>程序时间</v>
          </cell>
          <cell r="G5193">
            <v>30</v>
          </cell>
          <cell r="H5193">
            <v>10</v>
          </cell>
          <cell r="I5193">
            <v>4</v>
          </cell>
          <cell r="K5193">
            <v>5</v>
          </cell>
        </row>
        <row r="5194">
          <cell r="B5194" t="str">
            <v>DD-J10-68095-1400-1</v>
          </cell>
          <cell r="D5194" t="str">
            <v>D</v>
          </cell>
          <cell r="E5194" t="str">
            <v>工序内容</v>
          </cell>
          <cell r="F5194" t="str">
            <v>0/领料</v>
          </cell>
          <cell r="G5194" t="str">
            <v>5/数车30</v>
          </cell>
          <cell r="H5194" t="str">
            <v>10/数车15</v>
          </cell>
          <cell r="I5194" t="str">
            <v>15/数铣15</v>
          </cell>
          <cell r="J5194" t="str">
            <v>20/数铣5</v>
          </cell>
          <cell r="K5194" t="str">
            <v>25/数车15</v>
          </cell>
          <cell r="L5194" t="str">
            <v>30/钳工</v>
          </cell>
          <cell r="M5194" t="str">
            <v>35/清洁</v>
          </cell>
          <cell r="N5194" t="str">
            <v>40/成检</v>
          </cell>
        </row>
        <row r="5195">
          <cell r="B5195" t="str">
            <v>DD-J10-68095-1400-1</v>
          </cell>
          <cell r="D5195" t="str">
            <v>D</v>
          </cell>
          <cell r="E5195" t="str">
            <v>准备工时</v>
          </cell>
          <cell r="G5195">
            <v>60</v>
          </cell>
          <cell r="H5195">
            <v>60</v>
          </cell>
          <cell r="I5195">
            <v>60</v>
          </cell>
          <cell r="J5195">
            <v>90</v>
          </cell>
          <cell r="K5195">
            <v>60</v>
          </cell>
        </row>
        <row r="5196">
          <cell r="B5196" t="str">
            <v>DD-J10-68095-1400-1</v>
          </cell>
          <cell r="D5196" t="str">
            <v>D</v>
          </cell>
          <cell r="E5196" t="str">
            <v>程序时间</v>
          </cell>
          <cell r="G5196">
            <v>35</v>
          </cell>
          <cell r="H5196">
            <v>20</v>
          </cell>
          <cell r="I5196">
            <v>30</v>
          </cell>
          <cell r="J5196">
            <v>50</v>
          </cell>
          <cell r="K5196">
            <v>20</v>
          </cell>
          <cell r="L5196">
            <v>20</v>
          </cell>
        </row>
        <row r="5197">
          <cell r="B5197" t="str">
            <v>DD-J10-86011-3100-3</v>
          </cell>
          <cell r="D5197" t="str">
            <v>D</v>
          </cell>
          <cell r="E5197" t="str">
            <v>工序内容</v>
          </cell>
          <cell r="F5197" t="str">
            <v>0/领料</v>
          </cell>
          <cell r="G5197" t="str">
            <v>5/数车20</v>
          </cell>
          <cell r="H5197" t="str">
            <v>10/数车5</v>
          </cell>
          <cell r="I5197" t="str">
            <v>15/线切割</v>
          </cell>
          <cell r="J5197" t="str">
            <v>20/钳工</v>
          </cell>
          <cell r="K5197" t="str">
            <v>25/清洁</v>
          </cell>
          <cell r="L5197" t="str">
            <v>30/成检</v>
          </cell>
        </row>
        <row r="5198">
          <cell r="B5198" t="str">
            <v>DD-J10-86011-3100-3</v>
          </cell>
          <cell r="D5198" t="str">
            <v>D</v>
          </cell>
          <cell r="E5198" t="str">
            <v>准备工时</v>
          </cell>
          <cell r="G5198">
            <v>60</v>
          </cell>
          <cell r="H5198">
            <v>60</v>
          </cell>
        </row>
        <row r="5199">
          <cell r="B5199" t="str">
            <v>DD-J10-86011-3100-3</v>
          </cell>
          <cell r="D5199" t="str">
            <v>D</v>
          </cell>
          <cell r="E5199" t="str">
            <v>程序时间</v>
          </cell>
          <cell r="G5199">
            <v>20</v>
          </cell>
          <cell r="H5199">
            <v>8</v>
          </cell>
          <cell r="J5199">
            <v>10</v>
          </cell>
        </row>
        <row r="5200">
          <cell r="B5200" t="str">
            <v>529A4310-004-001</v>
          </cell>
          <cell r="D5200" t="str">
            <v>B</v>
          </cell>
          <cell r="E5200" t="str">
            <v>工序内容</v>
          </cell>
          <cell r="F5200" t="str">
            <v>00领料</v>
          </cell>
          <cell r="G5200" t="str">
            <v>05/普车10</v>
          </cell>
          <cell r="H5200" t="str">
            <v>10热处理</v>
          </cell>
          <cell r="I5200" t="str">
            <v>15热处理</v>
          </cell>
          <cell r="J5200" t="str">
            <v>20热处理</v>
          </cell>
          <cell r="K5200" t="str">
            <v>25热处理</v>
          </cell>
          <cell r="L5200" t="str">
            <v>30硬检</v>
          </cell>
          <cell r="M5200" t="str">
            <v>35数车15</v>
          </cell>
          <cell r="N5200" t="str">
            <v>40数车5</v>
          </cell>
          <cell r="O5200" t="str">
            <v>45清洁</v>
          </cell>
          <cell r="P5200" t="str">
            <v>50成检</v>
          </cell>
        </row>
        <row r="5201">
          <cell r="B5201" t="str">
            <v>529A4310-004-001</v>
          </cell>
          <cell r="D5201" t="str">
            <v>B</v>
          </cell>
          <cell r="E5201" t="str">
            <v>准备工时</v>
          </cell>
          <cell r="G5201">
            <v>60</v>
          </cell>
          <cell r="M5201">
            <v>90</v>
          </cell>
          <cell r="N5201">
            <v>90</v>
          </cell>
        </row>
        <row r="5202">
          <cell r="B5202" t="str">
            <v>529A4310-004-001</v>
          </cell>
          <cell r="D5202" t="str">
            <v>B</v>
          </cell>
          <cell r="E5202" t="str">
            <v>程序时间</v>
          </cell>
          <cell r="G5202">
            <v>15</v>
          </cell>
          <cell r="M5202">
            <v>25</v>
          </cell>
          <cell r="N5202">
            <v>10</v>
          </cell>
        </row>
        <row r="5203">
          <cell r="B5203" t="str">
            <v>5211C38057G70</v>
          </cell>
          <cell r="D5203" t="str">
            <v>A</v>
          </cell>
          <cell r="E5203" t="str">
            <v>工序内容</v>
          </cell>
          <cell r="F5203" t="str">
            <v>00领料</v>
          </cell>
          <cell r="G5203" t="str">
            <v>05/数车10</v>
          </cell>
          <cell r="H5203" t="str">
            <v>10/数车25</v>
          </cell>
          <cell r="I5203" t="str">
            <v>15/热处理</v>
          </cell>
          <cell r="J5203" t="str">
            <v>20硬度</v>
          </cell>
          <cell r="K5203" t="str">
            <v>25/数车15</v>
          </cell>
          <cell r="L5203" t="str">
            <v>30/数车5</v>
          </cell>
          <cell r="M5203" t="str">
            <v>35数铣15</v>
          </cell>
          <cell r="N5203" t="str">
            <v>40钳工</v>
          </cell>
          <cell r="O5203" t="str">
            <v>45清洗</v>
          </cell>
          <cell r="P5203" t="str">
            <v>50成检</v>
          </cell>
        </row>
        <row r="5204">
          <cell r="B5204" t="str">
            <v>5211C38057G70</v>
          </cell>
          <cell r="D5204" t="str">
            <v>A</v>
          </cell>
          <cell r="E5204" t="str">
            <v>准备工时</v>
          </cell>
          <cell r="G5204">
            <v>60</v>
          </cell>
          <cell r="H5204">
            <v>60</v>
          </cell>
          <cell r="K5204">
            <v>90</v>
          </cell>
          <cell r="L5204">
            <v>60</v>
          </cell>
          <cell r="M5204">
            <v>60</v>
          </cell>
        </row>
        <row r="5205">
          <cell r="B5205" t="str">
            <v>5211C38057G70</v>
          </cell>
          <cell r="D5205" t="str">
            <v>A</v>
          </cell>
          <cell r="E5205" t="str">
            <v>程序时间</v>
          </cell>
          <cell r="G5205">
            <v>15</v>
          </cell>
          <cell r="H5205">
            <v>30</v>
          </cell>
          <cell r="K5205">
            <v>25</v>
          </cell>
          <cell r="L5205">
            <v>10</v>
          </cell>
          <cell r="M5205">
            <v>20</v>
          </cell>
          <cell r="N5205">
            <v>8</v>
          </cell>
        </row>
        <row r="5206">
          <cell r="B5206" t="str">
            <v>C232332210-005-001</v>
          </cell>
          <cell r="D5206" t="str">
            <v>A</v>
          </cell>
          <cell r="E5206" t="str">
            <v>工序内容</v>
          </cell>
          <cell r="F5206" t="str">
            <v>0领料</v>
          </cell>
          <cell r="G5206" t="str">
            <v>05普车</v>
          </cell>
          <cell r="H5206" t="str">
            <v>10钳工</v>
          </cell>
          <cell r="I5206" t="str">
            <v>15分光</v>
          </cell>
          <cell r="J5206" t="str">
            <v>20热处理</v>
          </cell>
          <cell r="K5206" t="str">
            <v>25数车20</v>
          </cell>
          <cell r="L5206" t="str">
            <v>30数车5</v>
          </cell>
          <cell r="M5206" t="str">
            <v>35清洁</v>
          </cell>
          <cell r="N5206" t="str">
            <v>40成检</v>
          </cell>
        </row>
        <row r="5207">
          <cell r="B5207" t="str">
            <v>C232332210-005-001</v>
          </cell>
          <cell r="D5207" t="str">
            <v>A</v>
          </cell>
          <cell r="E5207" t="str">
            <v>准备工时</v>
          </cell>
          <cell r="G5207">
            <v>60</v>
          </cell>
          <cell r="K5207">
            <v>60</v>
          </cell>
          <cell r="L5207">
            <v>60</v>
          </cell>
        </row>
        <row r="5208">
          <cell r="B5208" t="str">
            <v>C232332210-005-001</v>
          </cell>
          <cell r="D5208" t="str">
            <v>A</v>
          </cell>
          <cell r="E5208" t="str">
            <v>程序时间</v>
          </cell>
          <cell r="G5208" t="str">
            <v>20/根</v>
          </cell>
          <cell r="H5208">
            <v>4</v>
          </cell>
          <cell r="K5208">
            <v>25</v>
          </cell>
          <cell r="L5208">
            <v>10</v>
          </cell>
        </row>
        <row r="5209">
          <cell r="B5209" t="str">
            <v>5311C11107G72</v>
          </cell>
          <cell r="D5209" t="str">
            <v>C</v>
          </cell>
          <cell r="E5209" t="str">
            <v>工序内容</v>
          </cell>
          <cell r="F5209" t="str">
            <v>00领料</v>
          </cell>
          <cell r="G5209" t="str">
            <v>05/数铣</v>
          </cell>
          <cell r="H5209" t="str">
            <v>10数铣240</v>
          </cell>
          <cell r="I5209" t="str">
            <v>15钳工</v>
          </cell>
          <cell r="J5209" t="str">
            <v>20测量</v>
          </cell>
          <cell r="K5209" t="str">
            <v>25清洁</v>
          </cell>
          <cell r="L5209" t="str">
            <v>30成检</v>
          </cell>
        </row>
        <row r="5210">
          <cell r="B5210" t="str">
            <v>5311C11107G72</v>
          </cell>
          <cell r="D5210" t="str">
            <v>C</v>
          </cell>
          <cell r="E5210" t="str">
            <v>准备工时</v>
          </cell>
          <cell r="G5210">
            <v>60</v>
          </cell>
          <cell r="H5210">
            <v>90</v>
          </cell>
        </row>
        <row r="5211">
          <cell r="B5211" t="str">
            <v>5311C11107G72</v>
          </cell>
          <cell r="D5211" t="str">
            <v>C</v>
          </cell>
          <cell r="E5211" t="str">
            <v>程序时间</v>
          </cell>
          <cell r="G5211">
            <v>150</v>
          </cell>
          <cell r="H5211">
            <v>390</v>
          </cell>
          <cell r="I5211">
            <v>45</v>
          </cell>
        </row>
        <row r="5212">
          <cell r="B5212" t="str">
            <v>DD-J10B-61001-2</v>
          </cell>
          <cell r="D5212" t="str">
            <v>G</v>
          </cell>
          <cell r="E5212" t="str">
            <v>工序内容</v>
          </cell>
          <cell r="F5212" t="str">
            <v>0/领料</v>
          </cell>
          <cell r="G5212" t="str">
            <v>5/数铣6</v>
          </cell>
          <cell r="H5212" t="str">
            <v>10/数铣8</v>
          </cell>
          <cell r="I5212" t="str">
            <v>15/数车</v>
          </cell>
          <cell r="J5212" t="str">
            <v>20/数铣8</v>
          </cell>
          <cell r="K5212" t="str">
            <v>25/数铣15</v>
          </cell>
          <cell r="L5212" t="str">
            <v>30/钳工</v>
          </cell>
          <cell r="M5212" t="str">
            <v>36/成检</v>
          </cell>
        </row>
        <row r="5213">
          <cell r="B5213" t="str">
            <v>DD-J10B-61001-2</v>
          </cell>
          <cell r="D5213" t="str">
            <v>G</v>
          </cell>
          <cell r="E5213" t="str">
            <v>准备工时</v>
          </cell>
          <cell r="G5213">
            <v>60</v>
          </cell>
          <cell r="H5213">
            <v>60</v>
          </cell>
          <cell r="I5213">
            <v>120</v>
          </cell>
          <cell r="J5213">
            <v>90</v>
          </cell>
          <cell r="K5213">
            <v>90</v>
          </cell>
        </row>
        <row r="5214">
          <cell r="B5214" t="str">
            <v>DD-J10B-61001-2</v>
          </cell>
          <cell r="D5214" t="str">
            <v>G</v>
          </cell>
          <cell r="E5214" t="str">
            <v>程序时间</v>
          </cell>
          <cell r="G5214">
            <v>60</v>
          </cell>
          <cell r="H5214">
            <v>30</v>
          </cell>
          <cell r="I5214">
            <v>60</v>
          </cell>
          <cell r="J5214">
            <v>30</v>
          </cell>
          <cell r="K5214">
            <v>45</v>
          </cell>
        </row>
        <row r="5215">
          <cell r="B5215" t="str">
            <v>5317C07003G70</v>
          </cell>
          <cell r="D5215" t="str">
            <v>A</v>
          </cell>
          <cell r="E5215" t="str">
            <v>工序内容</v>
          </cell>
          <cell r="F5215" t="str">
            <v>00领料</v>
          </cell>
          <cell r="G5215" t="str">
            <v>05/数铣</v>
          </cell>
          <cell r="H5215" t="str">
            <v>10数铣24</v>
          </cell>
          <cell r="I5215" t="str">
            <v>15/数铣135</v>
          </cell>
          <cell r="J5215" t="str">
            <v>20/数铣210</v>
          </cell>
          <cell r="K5215" t="str">
            <v>25数铣140</v>
          </cell>
          <cell r="L5215" t="str">
            <v>30五轴60</v>
          </cell>
          <cell r="M5215" t="str">
            <v>35测量</v>
          </cell>
          <cell r="N5215" t="str">
            <v>40钳工</v>
          </cell>
          <cell r="O5215" t="str">
            <v>45清洁</v>
          </cell>
          <cell r="P5215" t="str">
            <v>50成检</v>
          </cell>
        </row>
        <row r="5216">
          <cell r="B5216" t="str">
            <v>5317C07003G70</v>
          </cell>
          <cell r="D5216" t="str">
            <v>A</v>
          </cell>
          <cell r="E5216" t="str">
            <v>准备工时</v>
          </cell>
          <cell r="G5216">
            <v>60</v>
          </cell>
          <cell r="H5216">
            <v>90</v>
          </cell>
          <cell r="I5216">
            <v>60</v>
          </cell>
          <cell r="J5216">
            <v>90</v>
          </cell>
          <cell r="K5216">
            <v>90</v>
          </cell>
          <cell r="L5216">
            <v>150</v>
          </cell>
        </row>
        <row r="5217">
          <cell r="B5217" t="str">
            <v>5317C07003G70</v>
          </cell>
          <cell r="D5217" t="str">
            <v>A</v>
          </cell>
          <cell r="E5217" t="str">
            <v>装夹时间</v>
          </cell>
          <cell r="G5217">
            <v>60</v>
          </cell>
          <cell r="H5217">
            <v>60</v>
          </cell>
          <cell r="I5217">
            <v>60</v>
          </cell>
          <cell r="J5217">
            <v>60</v>
          </cell>
          <cell r="K5217">
            <v>60</v>
          </cell>
          <cell r="L5217">
            <v>60</v>
          </cell>
        </row>
        <row r="5218">
          <cell r="B5218" t="str">
            <v>5317C07003G70</v>
          </cell>
          <cell r="D5218" t="str">
            <v>A</v>
          </cell>
          <cell r="E5218" t="str">
            <v>程序时间</v>
          </cell>
          <cell r="G5218">
            <v>180</v>
          </cell>
          <cell r="H5218">
            <v>60</v>
          </cell>
          <cell r="I5218">
            <v>210</v>
          </cell>
          <cell r="J5218">
            <v>330</v>
          </cell>
          <cell r="K5218">
            <v>220</v>
          </cell>
          <cell r="L5218">
            <v>180</v>
          </cell>
          <cell r="N5218">
            <v>210</v>
          </cell>
        </row>
        <row r="5219">
          <cell r="B5219" t="str">
            <v>5317C07004G70</v>
          </cell>
          <cell r="D5219" t="str">
            <v>A</v>
          </cell>
          <cell r="E5219" t="str">
            <v>工序内容</v>
          </cell>
          <cell r="F5219" t="str">
            <v>00领料</v>
          </cell>
          <cell r="G5219" t="str">
            <v>05/数铣</v>
          </cell>
          <cell r="H5219" t="str">
            <v>10数铣24</v>
          </cell>
          <cell r="I5219" t="str">
            <v>15/数铣135</v>
          </cell>
          <cell r="J5219" t="str">
            <v>20/数铣210</v>
          </cell>
          <cell r="K5219" t="str">
            <v>25数铣140</v>
          </cell>
          <cell r="L5219" t="str">
            <v>30五轴60</v>
          </cell>
          <cell r="M5219" t="str">
            <v>35测量</v>
          </cell>
          <cell r="N5219" t="str">
            <v>40钳工</v>
          </cell>
          <cell r="O5219" t="str">
            <v>45清洁</v>
          </cell>
          <cell r="P5219" t="str">
            <v>50成检</v>
          </cell>
        </row>
        <row r="5220">
          <cell r="B5220" t="str">
            <v>5317C07004G70</v>
          </cell>
          <cell r="D5220" t="str">
            <v>A</v>
          </cell>
          <cell r="E5220" t="str">
            <v>准备工时</v>
          </cell>
          <cell r="G5220">
            <v>60</v>
          </cell>
          <cell r="H5220">
            <v>90</v>
          </cell>
          <cell r="I5220">
            <v>60</v>
          </cell>
          <cell r="J5220">
            <v>90</v>
          </cell>
          <cell r="K5220">
            <v>90</v>
          </cell>
          <cell r="L5220">
            <v>150</v>
          </cell>
        </row>
        <row r="5221">
          <cell r="B5221" t="str">
            <v>5317C07004G70</v>
          </cell>
          <cell r="D5221" t="str">
            <v>A</v>
          </cell>
          <cell r="E5221" t="str">
            <v>装夹时间</v>
          </cell>
          <cell r="G5221">
            <v>60</v>
          </cell>
          <cell r="H5221">
            <v>60</v>
          </cell>
          <cell r="I5221">
            <v>60</v>
          </cell>
          <cell r="J5221">
            <v>60</v>
          </cell>
          <cell r="K5221">
            <v>60</v>
          </cell>
          <cell r="L5221">
            <v>60</v>
          </cell>
        </row>
        <row r="5222">
          <cell r="B5222" t="str">
            <v>5317C07004G70</v>
          </cell>
          <cell r="D5222" t="str">
            <v>A</v>
          </cell>
          <cell r="E5222" t="str">
            <v>程序时间</v>
          </cell>
          <cell r="G5222">
            <v>180</v>
          </cell>
          <cell r="H5222">
            <v>60</v>
          </cell>
          <cell r="I5222">
            <v>210</v>
          </cell>
          <cell r="J5222">
            <v>330</v>
          </cell>
          <cell r="K5222">
            <v>220</v>
          </cell>
          <cell r="L5222">
            <v>180</v>
          </cell>
          <cell r="N5222">
            <v>210</v>
          </cell>
        </row>
        <row r="5223">
          <cell r="B5223" t="str">
            <v>5317C07005G70</v>
          </cell>
          <cell r="D5223" t="str">
            <v>A</v>
          </cell>
          <cell r="E5223" t="str">
            <v>工序内容</v>
          </cell>
          <cell r="F5223" t="str">
            <v>00领料</v>
          </cell>
          <cell r="G5223" t="str">
            <v>05/数铣</v>
          </cell>
          <cell r="H5223" t="str">
            <v>10数铣45</v>
          </cell>
          <cell r="I5223" t="str">
            <v>15/数铣90</v>
          </cell>
          <cell r="J5223" t="str">
            <v>20/数铣120</v>
          </cell>
          <cell r="K5223" t="str">
            <v>25/自然失效</v>
          </cell>
          <cell r="L5223" t="str">
            <v>30数铣</v>
          </cell>
          <cell r="M5223" t="str">
            <v>35/数铣110</v>
          </cell>
          <cell r="N5223" t="str">
            <v>40数铣95</v>
          </cell>
          <cell r="O5223" t="str">
            <v>45/五轴60</v>
          </cell>
          <cell r="P5223" t="str">
            <v>50/钳工</v>
          </cell>
          <cell r="Q5223" t="str">
            <v>55数铣15</v>
          </cell>
          <cell r="R5223" t="str">
            <v>60/钳工</v>
          </cell>
          <cell r="S5223" t="str">
            <v>65测量</v>
          </cell>
          <cell r="T5223" t="str">
            <v>70/清洁</v>
          </cell>
          <cell r="U5223" t="str">
            <v>75/成检</v>
          </cell>
        </row>
        <row r="5224">
          <cell r="B5224" t="str">
            <v>5317C07005G70</v>
          </cell>
          <cell r="D5224" t="str">
            <v>A</v>
          </cell>
          <cell r="E5224" t="str">
            <v>准备工时</v>
          </cell>
          <cell r="G5224">
            <v>60</v>
          </cell>
          <cell r="H5224">
            <v>90</v>
          </cell>
          <cell r="I5224">
            <v>60</v>
          </cell>
          <cell r="J5224">
            <v>90</v>
          </cell>
          <cell r="L5224">
            <v>60</v>
          </cell>
          <cell r="M5224">
            <v>90</v>
          </cell>
          <cell r="N5224">
            <v>60</v>
          </cell>
          <cell r="O5224">
            <v>150</v>
          </cell>
          <cell r="Q5224">
            <v>90</v>
          </cell>
        </row>
        <row r="5225">
          <cell r="B5225" t="str">
            <v>5317C07005G70</v>
          </cell>
          <cell r="D5225" t="str">
            <v>A</v>
          </cell>
          <cell r="E5225" t="str">
            <v>装夹时间</v>
          </cell>
          <cell r="O5225">
            <v>60</v>
          </cell>
        </row>
        <row r="5226">
          <cell r="B5226" t="str">
            <v>5317C07005G70</v>
          </cell>
          <cell r="D5226" t="str">
            <v>A</v>
          </cell>
          <cell r="E5226" t="str">
            <v>程序时间</v>
          </cell>
          <cell r="G5226">
            <v>180</v>
          </cell>
          <cell r="H5226">
            <v>100</v>
          </cell>
          <cell r="I5226">
            <v>150</v>
          </cell>
          <cell r="J5226">
            <v>210</v>
          </cell>
          <cell r="L5226">
            <v>180</v>
          </cell>
          <cell r="M5226">
            <v>180</v>
          </cell>
          <cell r="N5226">
            <v>150</v>
          </cell>
          <cell r="O5226">
            <v>240</v>
          </cell>
          <cell r="P5226">
            <v>180</v>
          </cell>
          <cell r="Q5226">
            <v>50</v>
          </cell>
          <cell r="R5226">
            <v>75</v>
          </cell>
        </row>
        <row r="5227">
          <cell r="B5227" t="str">
            <v>5317C07007G70</v>
          </cell>
          <cell r="D5227" t="str">
            <v>A</v>
          </cell>
          <cell r="E5227" t="str">
            <v>工序内容</v>
          </cell>
          <cell r="F5227" t="str">
            <v>00领料</v>
          </cell>
          <cell r="G5227" t="str">
            <v>05/数铣</v>
          </cell>
          <cell r="H5227" t="str">
            <v>10数铣45</v>
          </cell>
          <cell r="I5227" t="str">
            <v>15/数铣90</v>
          </cell>
          <cell r="J5227" t="str">
            <v>20/数铣120</v>
          </cell>
          <cell r="K5227" t="str">
            <v>25/自然失效</v>
          </cell>
          <cell r="L5227" t="str">
            <v>30数铣</v>
          </cell>
          <cell r="M5227" t="str">
            <v>35/数铣110</v>
          </cell>
          <cell r="N5227" t="str">
            <v>40数铣95</v>
          </cell>
          <cell r="O5227" t="str">
            <v>45/五轴60</v>
          </cell>
          <cell r="P5227" t="str">
            <v>50/钳工</v>
          </cell>
          <cell r="Q5227" t="str">
            <v>55数铣15</v>
          </cell>
          <cell r="R5227" t="str">
            <v>60/钳工</v>
          </cell>
          <cell r="S5227" t="str">
            <v>65测量</v>
          </cell>
          <cell r="T5227" t="str">
            <v>70/清洁</v>
          </cell>
          <cell r="U5227" t="str">
            <v>75/成检</v>
          </cell>
        </row>
        <row r="5228">
          <cell r="B5228" t="str">
            <v>5317C07007G70</v>
          </cell>
          <cell r="D5228" t="str">
            <v>A</v>
          </cell>
          <cell r="E5228" t="str">
            <v>准备工时</v>
          </cell>
          <cell r="G5228">
            <v>60</v>
          </cell>
          <cell r="H5228">
            <v>90</v>
          </cell>
          <cell r="I5228">
            <v>60</v>
          </cell>
          <cell r="J5228">
            <v>90</v>
          </cell>
          <cell r="L5228">
            <v>60</v>
          </cell>
          <cell r="M5228">
            <v>90</v>
          </cell>
          <cell r="N5228">
            <v>60</v>
          </cell>
          <cell r="O5228">
            <v>150</v>
          </cell>
          <cell r="Q5228">
            <v>90</v>
          </cell>
        </row>
        <row r="5229">
          <cell r="B5229" t="str">
            <v>5317C07007G70</v>
          </cell>
          <cell r="D5229" t="str">
            <v>A</v>
          </cell>
          <cell r="E5229" t="str">
            <v>装夹时间</v>
          </cell>
          <cell r="O5229">
            <v>60</v>
          </cell>
        </row>
        <row r="5230">
          <cell r="B5230" t="str">
            <v>5317C07007G70</v>
          </cell>
          <cell r="D5230" t="str">
            <v>A</v>
          </cell>
          <cell r="E5230" t="str">
            <v>程序时间</v>
          </cell>
          <cell r="G5230">
            <v>180</v>
          </cell>
          <cell r="H5230">
            <v>100</v>
          </cell>
          <cell r="I5230">
            <v>150</v>
          </cell>
          <cell r="J5230">
            <v>210</v>
          </cell>
          <cell r="L5230">
            <v>180</v>
          </cell>
          <cell r="M5230">
            <v>180</v>
          </cell>
          <cell r="N5230">
            <v>150</v>
          </cell>
          <cell r="O5230">
            <v>360</v>
          </cell>
          <cell r="P5230">
            <v>180</v>
          </cell>
          <cell r="Q5230">
            <v>50</v>
          </cell>
          <cell r="R5230">
            <v>75</v>
          </cell>
        </row>
        <row r="5231">
          <cell r="B5231" t="str">
            <v>DD-J10-21002-1-Z</v>
          </cell>
          <cell r="D5231" t="str">
            <v>E</v>
          </cell>
          <cell r="E5231" t="str">
            <v>工序内容</v>
          </cell>
          <cell r="F5231" t="str">
            <v>00/领料</v>
          </cell>
          <cell r="G5231" t="str">
            <v>5/数铣</v>
          </cell>
          <cell r="H5231" t="str">
            <v>10/数铣80</v>
          </cell>
          <cell r="I5231" t="str">
            <v>15/钳工</v>
          </cell>
          <cell r="J5231" t="str">
            <v>20/清洁</v>
          </cell>
          <cell r="K5231" t="str">
            <v>25/成检</v>
          </cell>
        </row>
        <row r="5232">
          <cell r="B5232" t="str">
            <v>DD-J10-21002-1-Z</v>
          </cell>
          <cell r="D5232" t="str">
            <v>E</v>
          </cell>
          <cell r="E5232" t="str">
            <v>准备工时</v>
          </cell>
          <cell r="G5232">
            <v>120</v>
          </cell>
          <cell r="H5232">
            <v>120</v>
          </cell>
        </row>
        <row r="5233">
          <cell r="B5233" t="str">
            <v>DD-J10-21002-1-Z</v>
          </cell>
          <cell r="D5233" t="str">
            <v>E</v>
          </cell>
          <cell r="E5233" t="str">
            <v>装夹时间</v>
          </cell>
          <cell r="G5233">
            <v>60</v>
          </cell>
          <cell r="H5233">
            <v>60</v>
          </cell>
        </row>
        <row r="5234">
          <cell r="B5234" t="str">
            <v>DD-J10-21002-1-Z</v>
          </cell>
          <cell r="D5234" t="str">
            <v>E</v>
          </cell>
          <cell r="E5234" t="str">
            <v>程序时间</v>
          </cell>
          <cell r="G5234">
            <v>240</v>
          </cell>
          <cell r="H5234">
            <v>90</v>
          </cell>
          <cell r="I5234">
            <v>180</v>
          </cell>
        </row>
        <row r="5235">
          <cell r="B5235" t="str">
            <v>DD-J10-21002-1-Y</v>
          </cell>
          <cell r="D5235" t="str">
            <v>E</v>
          </cell>
          <cell r="E5235" t="str">
            <v>工序内容</v>
          </cell>
          <cell r="F5235" t="str">
            <v>00/领料</v>
          </cell>
          <cell r="G5235" t="str">
            <v>5/数铣</v>
          </cell>
          <cell r="H5235" t="str">
            <v>10/数铣80</v>
          </cell>
          <cell r="I5235" t="str">
            <v>15/钳工</v>
          </cell>
          <cell r="J5235" t="str">
            <v>20/清洁</v>
          </cell>
          <cell r="K5235" t="str">
            <v>25/成检</v>
          </cell>
        </row>
        <row r="5236">
          <cell r="B5236" t="str">
            <v>DD-J10-21002-1-Y</v>
          </cell>
          <cell r="D5236" t="str">
            <v>E</v>
          </cell>
          <cell r="E5236" t="str">
            <v>准备工时</v>
          </cell>
          <cell r="G5236">
            <v>120</v>
          </cell>
          <cell r="H5236">
            <v>120</v>
          </cell>
        </row>
        <row r="5237">
          <cell r="B5237" t="str">
            <v>DD-J10-21002-1-Y</v>
          </cell>
          <cell r="D5237" t="str">
            <v>E</v>
          </cell>
          <cell r="E5237" t="str">
            <v>装夹时间</v>
          </cell>
          <cell r="G5237">
            <v>60</v>
          </cell>
          <cell r="H5237">
            <v>60</v>
          </cell>
        </row>
        <row r="5238">
          <cell r="B5238" t="str">
            <v>DD-J10-21002-1-Y</v>
          </cell>
          <cell r="D5238" t="str">
            <v>E</v>
          </cell>
          <cell r="E5238" t="str">
            <v>程序时间</v>
          </cell>
          <cell r="G5238">
            <v>240</v>
          </cell>
          <cell r="H5238">
            <v>90</v>
          </cell>
          <cell r="I5238">
            <v>180</v>
          </cell>
        </row>
        <row r="5239">
          <cell r="B5239" t="str">
            <v>5317C03007G71</v>
          </cell>
          <cell r="D5239" t="str">
            <v>A</v>
          </cell>
          <cell r="E5239" t="str">
            <v>工序内容</v>
          </cell>
          <cell r="F5239" t="str">
            <v>00领料</v>
          </cell>
          <cell r="G5239" t="str">
            <v>05/数铣</v>
          </cell>
          <cell r="H5239" t="str">
            <v>10数铣25</v>
          </cell>
          <cell r="I5239" t="str">
            <v>15/数铣50</v>
          </cell>
          <cell r="J5239" t="str">
            <v>20/自然失效</v>
          </cell>
          <cell r="K5239" t="str">
            <v>25/数铣</v>
          </cell>
          <cell r="L5239" t="str">
            <v>30数铣15</v>
          </cell>
          <cell r="M5239" t="str">
            <v>35/数铣70</v>
          </cell>
          <cell r="N5239" t="str">
            <v>40测量</v>
          </cell>
          <cell r="O5239" t="str">
            <v>45/钳工</v>
          </cell>
          <cell r="P5239" t="str">
            <v>50/清洁</v>
          </cell>
          <cell r="Q5239" t="str">
            <v>55/成检</v>
          </cell>
        </row>
        <row r="5240">
          <cell r="B5240" t="str">
            <v>5317C03007G71</v>
          </cell>
          <cell r="D5240" t="str">
            <v>A</v>
          </cell>
          <cell r="E5240" t="str">
            <v>准备工时</v>
          </cell>
          <cell r="G5240">
            <v>60</v>
          </cell>
          <cell r="H5240">
            <v>90</v>
          </cell>
          <cell r="I5240">
            <v>60</v>
          </cell>
          <cell r="K5240">
            <v>60</v>
          </cell>
          <cell r="L5240">
            <v>60</v>
          </cell>
          <cell r="M5240">
            <v>90</v>
          </cell>
        </row>
        <row r="5241">
          <cell r="B5241" t="str">
            <v>5317C03007G71</v>
          </cell>
          <cell r="D5241" t="str">
            <v>A</v>
          </cell>
          <cell r="E5241" t="str">
            <v>装夹时间</v>
          </cell>
          <cell r="G5241">
            <v>60</v>
          </cell>
          <cell r="H5241">
            <v>60</v>
          </cell>
          <cell r="I5241">
            <v>60</v>
          </cell>
          <cell r="K5241">
            <v>60</v>
          </cell>
          <cell r="L5241">
            <v>60</v>
          </cell>
          <cell r="M5241">
            <v>90</v>
          </cell>
        </row>
        <row r="5242">
          <cell r="B5242" t="str">
            <v>5317C03007G71</v>
          </cell>
          <cell r="D5242" t="str">
            <v>A</v>
          </cell>
          <cell r="E5242" t="str">
            <v>程序时间</v>
          </cell>
          <cell r="G5242">
            <v>180</v>
          </cell>
          <cell r="H5242">
            <v>60</v>
          </cell>
          <cell r="I5242">
            <v>80</v>
          </cell>
          <cell r="K5242">
            <v>180</v>
          </cell>
          <cell r="L5242">
            <v>60</v>
          </cell>
          <cell r="M5242">
            <v>120</v>
          </cell>
        </row>
        <row r="5243">
          <cell r="B5243" t="str">
            <v>5317C03013G71</v>
          </cell>
          <cell r="D5243" t="str">
            <v>A</v>
          </cell>
          <cell r="E5243" t="str">
            <v>工序内容</v>
          </cell>
          <cell r="F5243" t="str">
            <v>00领料</v>
          </cell>
          <cell r="G5243" t="str">
            <v>05/数铣</v>
          </cell>
          <cell r="H5243" t="str">
            <v>10数铣25</v>
          </cell>
          <cell r="I5243" t="str">
            <v>15/数铣50</v>
          </cell>
          <cell r="J5243" t="str">
            <v>20/自然失效</v>
          </cell>
          <cell r="K5243" t="str">
            <v>25/数铣</v>
          </cell>
          <cell r="L5243" t="str">
            <v>30数铣15</v>
          </cell>
          <cell r="M5243" t="str">
            <v>35/数铣70</v>
          </cell>
          <cell r="N5243" t="str">
            <v>40测量</v>
          </cell>
          <cell r="O5243" t="str">
            <v>45/钳工</v>
          </cell>
          <cell r="P5243" t="str">
            <v>50/清洁</v>
          </cell>
          <cell r="Q5243" t="str">
            <v>55/成检</v>
          </cell>
        </row>
        <row r="5244">
          <cell r="B5244" t="str">
            <v>5317C03013G71</v>
          </cell>
          <cell r="D5244" t="str">
            <v>A</v>
          </cell>
          <cell r="E5244" t="str">
            <v>准备工时</v>
          </cell>
          <cell r="G5244">
            <v>60</v>
          </cell>
          <cell r="H5244">
            <v>90</v>
          </cell>
          <cell r="I5244">
            <v>60</v>
          </cell>
          <cell r="K5244">
            <v>60</v>
          </cell>
          <cell r="L5244">
            <v>60</v>
          </cell>
          <cell r="M5244">
            <v>90</v>
          </cell>
        </row>
        <row r="5245">
          <cell r="B5245" t="str">
            <v>5317C03013G71</v>
          </cell>
          <cell r="D5245" t="str">
            <v>A</v>
          </cell>
          <cell r="E5245" t="str">
            <v>装夹时间</v>
          </cell>
          <cell r="G5245">
            <v>60</v>
          </cell>
          <cell r="H5245">
            <v>60</v>
          </cell>
          <cell r="I5245">
            <v>60</v>
          </cell>
          <cell r="K5245">
            <v>60</v>
          </cell>
          <cell r="L5245">
            <v>60</v>
          </cell>
          <cell r="M5245">
            <v>90</v>
          </cell>
        </row>
        <row r="5246">
          <cell r="B5246" t="str">
            <v>5317C03013G71</v>
          </cell>
          <cell r="D5246" t="str">
            <v>A</v>
          </cell>
          <cell r="E5246" t="str">
            <v>程序时间</v>
          </cell>
          <cell r="G5246">
            <v>180</v>
          </cell>
          <cell r="H5246">
            <v>60</v>
          </cell>
          <cell r="I5246">
            <v>80</v>
          </cell>
          <cell r="K5246">
            <v>180</v>
          </cell>
          <cell r="L5246">
            <v>60</v>
          </cell>
          <cell r="M5246">
            <v>120</v>
          </cell>
        </row>
        <row r="5247">
          <cell r="B5247" t="str">
            <v>DD-J10-55165-703</v>
          </cell>
          <cell r="D5247" t="str">
            <v>E</v>
          </cell>
          <cell r="E5247" t="str">
            <v>工序内容</v>
          </cell>
          <cell r="F5247" t="str">
            <v>0/领料</v>
          </cell>
          <cell r="G5247" t="str">
            <v>5/钳工</v>
          </cell>
          <cell r="H5247" t="str">
            <v>10/线切割</v>
          </cell>
          <cell r="I5247" t="str">
            <v>15/数铣</v>
          </cell>
          <cell r="J5247" t="str">
            <v>20/钳工</v>
          </cell>
          <cell r="K5247" t="str">
            <v>25/数铣30</v>
          </cell>
          <cell r="L5247" t="str">
            <v>30/钳工</v>
          </cell>
          <cell r="M5247" t="str">
            <v>35/复验</v>
          </cell>
          <cell r="N5247" t="str">
            <v>40/热处理</v>
          </cell>
          <cell r="O5247" t="str">
            <v>45/数铣30</v>
          </cell>
          <cell r="P5247" t="str">
            <v>50/数铣20</v>
          </cell>
          <cell r="Q5247" t="str">
            <v>55/数铣25</v>
          </cell>
          <cell r="R5247" t="str">
            <v>60/数铣5</v>
          </cell>
          <cell r="S5247" t="str">
            <v>65/钳工</v>
          </cell>
          <cell r="T5247" t="str">
            <v>70/清洗</v>
          </cell>
          <cell r="U5247" t="str">
            <v>70/入库</v>
          </cell>
        </row>
        <row r="5248">
          <cell r="B5248" t="str">
            <v>DD-J10-55165-703</v>
          </cell>
          <cell r="D5248" t="str">
            <v>E</v>
          </cell>
          <cell r="E5248" t="str">
            <v>准备工时</v>
          </cell>
          <cell r="I5248">
            <v>120</v>
          </cell>
          <cell r="K5248">
            <v>120</v>
          </cell>
          <cell r="O5248">
            <v>120</v>
          </cell>
          <cell r="P5248">
            <v>120</v>
          </cell>
          <cell r="Q5248">
            <v>120</v>
          </cell>
          <cell r="R5248">
            <v>60</v>
          </cell>
        </row>
        <row r="5249">
          <cell r="B5249" t="str">
            <v>DD-J10-55165-703</v>
          </cell>
          <cell r="D5249" t="str">
            <v>E</v>
          </cell>
          <cell r="E5249" t="str">
            <v>程序时间</v>
          </cell>
          <cell r="G5249">
            <v>20</v>
          </cell>
          <cell r="H5249">
            <v>20</v>
          </cell>
          <cell r="I5249">
            <v>90</v>
          </cell>
          <cell r="J5249">
            <v>30</v>
          </cell>
          <cell r="K5249">
            <v>90</v>
          </cell>
          <cell r="L5249">
            <v>30</v>
          </cell>
          <cell r="O5249">
            <v>70</v>
          </cell>
          <cell r="P5249">
            <v>60</v>
          </cell>
          <cell r="Q5249">
            <v>80</v>
          </cell>
          <cell r="R5249">
            <v>20</v>
          </cell>
          <cell r="S5249">
            <v>120</v>
          </cell>
        </row>
        <row r="5250">
          <cell r="B5250" t="str">
            <v>5211C41003G70</v>
          </cell>
          <cell r="D5250" t="str">
            <v>A</v>
          </cell>
          <cell r="E5250" t="str">
            <v>工序内容</v>
          </cell>
          <cell r="F5250" t="str">
            <v>00领料</v>
          </cell>
          <cell r="G5250" t="str">
            <v>05数铣</v>
          </cell>
          <cell r="H5250" t="str">
            <v>10数铣</v>
          </cell>
          <cell r="I5250" t="str">
            <v>15数铣</v>
          </cell>
          <cell r="J5250" t="str">
            <v>20钳工</v>
          </cell>
          <cell r="K5250" t="str">
            <v>25测量</v>
          </cell>
          <cell r="L5250" t="str">
            <v>30清洁</v>
          </cell>
          <cell r="M5250" t="str">
            <v>35成检</v>
          </cell>
        </row>
        <row r="5251">
          <cell r="B5251" t="str">
            <v>5211C41003G70</v>
          </cell>
          <cell r="D5251" t="str">
            <v>A</v>
          </cell>
          <cell r="E5251" t="str">
            <v>准备工时</v>
          </cell>
          <cell r="G5251">
            <v>60</v>
          </cell>
          <cell r="H5251">
            <v>90</v>
          </cell>
          <cell r="I5251">
            <v>90</v>
          </cell>
        </row>
        <row r="5252">
          <cell r="B5252" t="str">
            <v>5211C41003G70</v>
          </cell>
          <cell r="D5252" t="str">
            <v>A</v>
          </cell>
          <cell r="E5252" t="str">
            <v>程序时间</v>
          </cell>
          <cell r="G5252">
            <v>20</v>
          </cell>
          <cell r="H5252">
            <v>60</v>
          </cell>
          <cell r="I5252">
            <v>140</v>
          </cell>
          <cell r="J5252">
            <v>50</v>
          </cell>
        </row>
        <row r="5253">
          <cell r="B5253" t="str">
            <v>CB5324310-011L/R006</v>
          </cell>
          <cell r="D5253" t="str">
            <v>C</v>
          </cell>
          <cell r="E5253" t="str">
            <v>工序内容</v>
          </cell>
          <cell r="F5253" t="str">
            <v>0/领料</v>
          </cell>
          <cell r="G5253" t="str">
            <v>5/数铣</v>
          </cell>
          <cell r="H5253" t="str">
            <v>10/数铣15</v>
          </cell>
          <cell r="I5253" t="str">
            <v>15/数铣105</v>
          </cell>
          <cell r="J5253" t="str">
            <v>20/数铣70</v>
          </cell>
          <cell r="K5253" t="str">
            <v>25/测量</v>
          </cell>
          <cell r="L5253" t="str">
            <v>30/数铣10</v>
          </cell>
          <cell r="M5253" t="str">
            <v>35/数铣</v>
          </cell>
          <cell r="N5253" t="str">
            <v>40/钳工</v>
          </cell>
          <cell r="O5253" t="str">
            <v>45/清洁</v>
          </cell>
          <cell r="P5253" t="str">
            <v>50/成检</v>
          </cell>
          <cell r="Q5253" t="str">
            <v>50/成检</v>
          </cell>
        </row>
        <row r="5254">
          <cell r="B5254" t="str">
            <v>CB5324310-011L/R006</v>
          </cell>
          <cell r="D5254" t="str">
            <v>C</v>
          </cell>
          <cell r="E5254" t="str">
            <v>准备工时</v>
          </cell>
          <cell r="G5254">
            <v>60</v>
          </cell>
          <cell r="H5254">
            <v>60</v>
          </cell>
          <cell r="I5254">
            <v>60</v>
          </cell>
          <cell r="J5254">
            <v>60</v>
          </cell>
          <cell r="L5254">
            <v>60</v>
          </cell>
        </row>
        <row r="5255">
          <cell r="B5255" t="str">
            <v>CB5324310-011L/R006</v>
          </cell>
          <cell r="D5255" t="str">
            <v>C</v>
          </cell>
          <cell r="E5255" t="str">
            <v>装夹时间</v>
          </cell>
        </row>
        <row r="5256">
          <cell r="B5256" t="str">
            <v>CB5324310-011L/R006</v>
          </cell>
          <cell r="D5256" t="str">
            <v>C</v>
          </cell>
          <cell r="E5256" t="str">
            <v>程序时间</v>
          </cell>
          <cell r="G5256">
            <v>60</v>
          </cell>
          <cell r="H5256">
            <v>40</v>
          </cell>
          <cell r="I5256">
            <v>160</v>
          </cell>
          <cell r="J5256">
            <v>120</v>
          </cell>
          <cell r="L5256">
            <v>25</v>
          </cell>
          <cell r="M5256">
            <v>20</v>
          </cell>
          <cell r="N5256">
            <v>30</v>
          </cell>
        </row>
        <row r="5257">
          <cell r="B5257" t="str">
            <v>CB5323120-001R005</v>
          </cell>
          <cell r="D5257" t="str">
            <v>B</v>
          </cell>
          <cell r="E5257" t="str">
            <v>工序内容</v>
          </cell>
          <cell r="F5257" t="str">
            <v>0/领料</v>
          </cell>
          <cell r="G5257" t="str">
            <v>5/数铣</v>
          </cell>
          <cell r="H5257" t="str">
            <v>10/数铣70</v>
          </cell>
          <cell r="I5257" t="str">
            <v>15/数铣30</v>
          </cell>
          <cell r="J5257" t="str">
            <v>20/数铣180</v>
          </cell>
          <cell r="K5257" t="str">
            <v>25/数铣480</v>
          </cell>
          <cell r="L5257" t="str">
            <v>30/数铣220</v>
          </cell>
          <cell r="M5257" t="str">
            <v>35/数铣600</v>
          </cell>
          <cell r="N5257" t="str">
            <v>40/五轴250</v>
          </cell>
          <cell r="O5257" t="str">
            <v>45/测量</v>
          </cell>
          <cell r="P5257" t="str">
            <v>50/钳工</v>
          </cell>
          <cell r="Q5257" t="str">
            <v>55/数铣</v>
          </cell>
          <cell r="R5257" t="str">
            <v>60/测量</v>
          </cell>
          <cell r="S5257" t="str">
            <v>65/检验</v>
          </cell>
          <cell r="W5257" t="str">
            <v>85/检验</v>
          </cell>
          <cell r="X5257" t="str">
            <v>90/硬检</v>
          </cell>
          <cell r="Y5257" t="str">
            <v>95/分光</v>
          </cell>
          <cell r="Z5257" t="str">
            <v>100/钳工</v>
          </cell>
          <cell r="AA5257" t="str">
            <v>105/清洁</v>
          </cell>
          <cell r="AB5257" t="str">
            <v>110/成检</v>
          </cell>
        </row>
        <row r="5258">
          <cell r="B5258" t="str">
            <v>CB5323120-001R005</v>
          </cell>
          <cell r="D5258" t="str">
            <v>B</v>
          </cell>
          <cell r="E5258" t="str">
            <v>准备工时</v>
          </cell>
          <cell r="G5258">
            <v>60</v>
          </cell>
          <cell r="H5258">
            <v>90</v>
          </cell>
          <cell r="I5258">
            <v>90</v>
          </cell>
          <cell r="J5258">
            <v>90</v>
          </cell>
          <cell r="K5258">
            <v>120</v>
          </cell>
          <cell r="L5258">
            <v>120</v>
          </cell>
          <cell r="M5258">
            <v>90</v>
          </cell>
          <cell r="N5258">
            <v>120</v>
          </cell>
        </row>
        <row r="5259">
          <cell r="B5259" t="str">
            <v>CB5323120-001R005</v>
          </cell>
          <cell r="D5259" t="str">
            <v>B</v>
          </cell>
          <cell r="E5259" t="str">
            <v>程序时间</v>
          </cell>
          <cell r="G5259">
            <v>80</v>
          </cell>
          <cell r="H5259">
            <v>100</v>
          </cell>
          <cell r="I5259">
            <v>75</v>
          </cell>
          <cell r="J5259">
            <v>220</v>
          </cell>
          <cell r="K5259">
            <v>660</v>
          </cell>
          <cell r="L5259">
            <v>300</v>
          </cell>
          <cell r="M5259">
            <v>650</v>
          </cell>
          <cell r="N5259">
            <v>450</v>
          </cell>
          <cell r="P5259">
            <v>180</v>
          </cell>
          <cell r="Q5259">
            <v>20</v>
          </cell>
          <cell r="Z5259">
            <v>5</v>
          </cell>
        </row>
        <row r="5260">
          <cell r="B5260" t="str">
            <v>5319C97005G71</v>
          </cell>
          <cell r="D5260" t="str">
            <v>A</v>
          </cell>
          <cell r="E5260" t="str">
            <v>工序内容</v>
          </cell>
          <cell r="F5260" t="str">
            <v>00领料</v>
          </cell>
          <cell r="G5260" t="str">
            <v>05/数铣</v>
          </cell>
          <cell r="H5260" t="str">
            <v>10/数铣25</v>
          </cell>
          <cell r="I5260" t="str">
            <v>15数铣20</v>
          </cell>
          <cell r="J5260" t="str">
            <v>20数铣100</v>
          </cell>
          <cell r="K5260" t="str">
            <v>25测量</v>
          </cell>
          <cell r="L5260" t="str">
            <v>30钳工</v>
          </cell>
          <cell r="M5260" t="str">
            <v>35清洁</v>
          </cell>
          <cell r="N5260" t="str">
            <v>40成检</v>
          </cell>
        </row>
        <row r="5261">
          <cell r="B5261" t="str">
            <v>5319C97005G71</v>
          </cell>
          <cell r="D5261" t="str">
            <v>A</v>
          </cell>
          <cell r="E5261" t="str">
            <v>准备工时</v>
          </cell>
          <cell r="G5261">
            <v>60</v>
          </cell>
          <cell r="H5261">
            <v>60</v>
          </cell>
          <cell r="I5261">
            <v>60</v>
          </cell>
          <cell r="J5261">
            <v>90</v>
          </cell>
        </row>
        <row r="5262">
          <cell r="B5262" t="str">
            <v>5319C97005G71</v>
          </cell>
          <cell r="D5262" t="str">
            <v>A</v>
          </cell>
          <cell r="E5262" t="str">
            <v>程序时间</v>
          </cell>
          <cell r="G5262">
            <v>40</v>
          </cell>
          <cell r="H5262">
            <v>35</v>
          </cell>
          <cell r="I5262">
            <v>25</v>
          </cell>
          <cell r="J5262">
            <v>150</v>
          </cell>
          <cell r="L5262">
            <v>60</v>
          </cell>
        </row>
        <row r="5263">
          <cell r="B5263" t="str">
            <v>5319C60011G70</v>
          </cell>
          <cell r="D5263" t="str">
            <v>A</v>
          </cell>
          <cell r="E5263" t="str">
            <v>工序内容</v>
          </cell>
          <cell r="F5263" t="str">
            <v>00领料</v>
          </cell>
          <cell r="G5263" t="str">
            <v>05下料</v>
          </cell>
          <cell r="H5263" t="str">
            <v>10/数铣</v>
          </cell>
          <cell r="I5263" t="str">
            <v>15数铣20</v>
          </cell>
          <cell r="J5263" t="str">
            <v>20数铣30</v>
          </cell>
          <cell r="K5263" t="str">
            <v>30钳工</v>
          </cell>
          <cell r="L5263" t="str">
            <v>35清洁</v>
          </cell>
          <cell r="M5263" t="str">
            <v>40成检</v>
          </cell>
        </row>
        <row r="5264">
          <cell r="B5264" t="str">
            <v>5319C60011G70</v>
          </cell>
          <cell r="D5264" t="str">
            <v>A</v>
          </cell>
          <cell r="E5264" t="str">
            <v>准备工时</v>
          </cell>
          <cell r="H5264">
            <v>60</v>
          </cell>
          <cell r="I5264">
            <v>90</v>
          </cell>
          <cell r="J5264">
            <v>90</v>
          </cell>
        </row>
        <row r="5265">
          <cell r="B5265" t="str">
            <v>5319C60011G70</v>
          </cell>
          <cell r="D5265" t="str">
            <v>A</v>
          </cell>
          <cell r="E5265" t="str">
            <v>程序时间</v>
          </cell>
          <cell r="H5265">
            <v>35</v>
          </cell>
          <cell r="I5265">
            <v>35</v>
          </cell>
          <cell r="J5265">
            <v>75</v>
          </cell>
          <cell r="K5265">
            <v>40</v>
          </cell>
        </row>
        <row r="5266">
          <cell r="B5266" t="str">
            <v>5313C81051G71</v>
          </cell>
          <cell r="D5266" t="str">
            <v>A</v>
          </cell>
          <cell r="E5266" t="str">
            <v>工序内容</v>
          </cell>
          <cell r="F5266" t="str">
            <v>00领料</v>
          </cell>
          <cell r="G5266" t="str">
            <v>05/数车15</v>
          </cell>
          <cell r="H5266" t="str">
            <v>10/数车15</v>
          </cell>
          <cell r="I5266" t="str">
            <v>15普车15</v>
          </cell>
          <cell r="J5266" t="str">
            <v>20数车30</v>
          </cell>
          <cell r="K5266" t="str">
            <v>25数车10</v>
          </cell>
          <cell r="L5266" t="str">
            <v>30清洁</v>
          </cell>
          <cell r="M5266" t="str">
            <v>35成检</v>
          </cell>
        </row>
        <row r="5267">
          <cell r="B5267" t="str">
            <v>5313C81051G71</v>
          </cell>
          <cell r="D5267" t="str">
            <v>A</v>
          </cell>
          <cell r="E5267" t="str">
            <v>准备工时</v>
          </cell>
          <cell r="G5267">
            <v>60</v>
          </cell>
          <cell r="H5267">
            <v>60</v>
          </cell>
          <cell r="I5267">
            <v>60</v>
          </cell>
          <cell r="J5267">
            <v>90</v>
          </cell>
          <cell r="K5267">
            <v>60</v>
          </cell>
        </row>
        <row r="5268">
          <cell r="B5268" t="str">
            <v>5313C81051G71</v>
          </cell>
          <cell r="D5268" t="str">
            <v>A</v>
          </cell>
          <cell r="E5268" t="str">
            <v>程序时间</v>
          </cell>
          <cell r="G5268">
            <v>15</v>
          </cell>
          <cell r="H5268">
            <v>15</v>
          </cell>
          <cell r="I5268" t="str">
            <v>50/根</v>
          </cell>
          <cell r="J5268">
            <v>40</v>
          </cell>
          <cell r="K5268">
            <v>15</v>
          </cell>
        </row>
        <row r="5269">
          <cell r="B5269" t="str">
            <v>5317C05047G71</v>
          </cell>
          <cell r="D5269" t="str">
            <v>A</v>
          </cell>
          <cell r="E5269" t="str">
            <v>工序内容</v>
          </cell>
          <cell r="F5269" t="str">
            <v>00领料</v>
          </cell>
          <cell r="G5269" t="str">
            <v>05/数铣</v>
          </cell>
          <cell r="H5269" t="str">
            <v>10数铣8</v>
          </cell>
          <cell r="I5269" t="str">
            <v>15/数铣45</v>
          </cell>
          <cell r="J5269" t="str">
            <v>20/数铣25</v>
          </cell>
          <cell r="K5269" t="str">
            <v>25/钳工</v>
          </cell>
          <cell r="L5269" t="str">
            <v>30数铣5</v>
          </cell>
          <cell r="M5269" t="str">
            <v>35/数铣2</v>
          </cell>
          <cell r="N5269" t="str">
            <v>40数铣2</v>
          </cell>
          <cell r="O5269" t="str">
            <v>45/测量</v>
          </cell>
          <cell r="P5269" t="str">
            <v>50/钳工</v>
          </cell>
          <cell r="Q5269" t="str">
            <v>70/清洁</v>
          </cell>
          <cell r="R5269" t="str">
            <v>75/成检</v>
          </cell>
        </row>
        <row r="5270">
          <cell r="B5270" t="str">
            <v>5317C05047G71</v>
          </cell>
          <cell r="D5270" t="str">
            <v>A</v>
          </cell>
          <cell r="E5270" t="str">
            <v>准备工时</v>
          </cell>
          <cell r="G5270">
            <v>60</v>
          </cell>
          <cell r="H5270">
            <v>90</v>
          </cell>
          <cell r="I5270">
            <v>60</v>
          </cell>
          <cell r="J5270">
            <v>60</v>
          </cell>
          <cell r="L5270">
            <v>90</v>
          </cell>
          <cell r="M5270">
            <v>60</v>
          </cell>
          <cell r="N5270">
            <v>60</v>
          </cell>
        </row>
        <row r="5271">
          <cell r="B5271" t="str">
            <v>5317C05047G71</v>
          </cell>
          <cell r="D5271" t="str">
            <v>A</v>
          </cell>
          <cell r="E5271" t="str">
            <v>程序时间</v>
          </cell>
          <cell r="G5271">
            <v>40</v>
          </cell>
          <cell r="H5271">
            <v>35</v>
          </cell>
          <cell r="K5271">
            <v>20</v>
          </cell>
          <cell r="L5271">
            <v>20</v>
          </cell>
          <cell r="M5271">
            <v>15</v>
          </cell>
          <cell r="N5271">
            <v>15</v>
          </cell>
          <cell r="P5271">
            <v>30</v>
          </cell>
        </row>
        <row r="5272">
          <cell r="B5272" t="str">
            <v>5317C11005G71</v>
          </cell>
          <cell r="D5272" t="str">
            <v>A</v>
          </cell>
          <cell r="E5272" t="str">
            <v>工序内容</v>
          </cell>
          <cell r="F5272" t="str">
            <v>00领料</v>
          </cell>
          <cell r="G5272" t="str">
            <v>05下料</v>
          </cell>
          <cell r="H5272" t="str">
            <v>10数铣</v>
          </cell>
          <cell r="I5272" t="str">
            <v>15数铣30</v>
          </cell>
          <cell r="J5272" t="str">
            <v>20数铣90</v>
          </cell>
          <cell r="K5272" t="str">
            <v>25时效</v>
          </cell>
          <cell r="L5272" t="str">
            <v>30数铣</v>
          </cell>
          <cell r="M5272" t="str">
            <v>35数铣150</v>
          </cell>
          <cell r="N5272" t="str">
            <v>40数铣10</v>
          </cell>
          <cell r="O5272" t="str">
            <v>45/数铣20</v>
          </cell>
          <cell r="P5272" t="str">
            <v>50数铣20</v>
          </cell>
          <cell r="Q5272" t="str">
            <v>55数铣15</v>
          </cell>
          <cell r="R5272" t="str">
            <v>60/钳工</v>
          </cell>
          <cell r="S5272" t="str">
            <v>65数铣</v>
          </cell>
          <cell r="T5272" t="str">
            <v>70钳工</v>
          </cell>
          <cell r="U5272" t="str">
            <v>75测量</v>
          </cell>
          <cell r="V5272" t="str">
            <v>80清洁</v>
          </cell>
          <cell r="W5272" t="str">
            <v>85成检</v>
          </cell>
        </row>
        <row r="5273">
          <cell r="B5273" t="str">
            <v>5317C11005G71</v>
          </cell>
          <cell r="D5273" t="str">
            <v>A</v>
          </cell>
          <cell r="E5273" t="str">
            <v>准备工时</v>
          </cell>
          <cell r="H5273">
            <v>60</v>
          </cell>
          <cell r="I5273">
            <v>90</v>
          </cell>
          <cell r="J5273">
            <v>90</v>
          </cell>
          <cell r="L5273">
            <v>60</v>
          </cell>
          <cell r="M5273">
            <v>120</v>
          </cell>
          <cell r="N5273">
            <v>60</v>
          </cell>
          <cell r="O5273">
            <v>60</v>
          </cell>
          <cell r="P5273">
            <v>60</v>
          </cell>
          <cell r="Q5273">
            <v>60</v>
          </cell>
          <cell r="S5273">
            <v>90</v>
          </cell>
        </row>
        <row r="5274">
          <cell r="B5274" t="str">
            <v>5317C11005G71</v>
          </cell>
          <cell r="D5274" t="str">
            <v>A</v>
          </cell>
          <cell r="E5274" t="str">
            <v>程序时间</v>
          </cell>
          <cell r="H5274">
            <v>50</v>
          </cell>
          <cell r="I5274">
            <v>50</v>
          </cell>
          <cell r="J5274">
            <v>150</v>
          </cell>
          <cell r="L5274">
            <v>120</v>
          </cell>
          <cell r="M5274">
            <v>260</v>
          </cell>
          <cell r="N5274">
            <v>20</v>
          </cell>
          <cell r="O5274">
            <v>30</v>
          </cell>
          <cell r="P5274">
            <v>30</v>
          </cell>
          <cell r="Q5274">
            <v>30</v>
          </cell>
          <cell r="R5274">
            <v>90</v>
          </cell>
          <cell r="S5274">
            <v>30</v>
          </cell>
          <cell r="T5274">
            <v>20</v>
          </cell>
        </row>
        <row r="5275">
          <cell r="B5275" t="str">
            <v>5317C09031G71</v>
          </cell>
          <cell r="D5275" t="str">
            <v>A</v>
          </cell>
          <cell r="E5275" t="str">
            <v>工序内容</v>
          </cell>
          <cell r="F5275" t="str">
            <v>00领料</v>
          </cell>
          <cell r="G5275" t="str">
            <v>05下料</v>
          </cell>
          <cell r="H5275" t="str">
            <v>10数铣</v>
          </cell>
          <cell r="I5275" t="str">
            <v>15数铣10</v>
          </cell>
          <cell r="J5275" t="str">
            <v>20数铣10</v>
          </cell>
          <cell r="K5275" t="str">
            <v>25/数铣35</v>
          </cell>
          <cell r="L5275" t="str">
            <v>30/钳工</v>
          </cell>
          <cell r="M5275" t="str">
            <v>35清洁</v>
          </cell>
          <cell r="N5275" t="str">
            <v>40成检</v>
          </cell>
        </row>
        <row r="5276">
          <cell r="B5276" t="str">
            <v>5317C09031G71</v>
          </cell>
          <cell r="D5276" t="str">
            <v>A</v>
          </cell>
          <cell r="E5276" t="str">
            <v>准备工时</v>
          </cell>
          <cell r="H5276">
            <v>60</v>
          </cell>
          <cell r="I5276">
            <v>90</v>
          </cell>
          <cell r="J5276">
            <v>60</v>
          </cell>
          <cell r="K5276">
            <v>90</v>
          </cell>
        </row>
        <row r="5277">
          <cell r="B5277" t="str">
            <v>5317C09031G71</v>
          </cell>
          <cell r="D5277" t="str">
            <v>A</v>
          </cell>
          <cell r="E5277" t="str">
            <v>程序时间</v>
          </cell>
          <cell r="H5277">
            <v>35</v>
          </cell>
          <cell r="I5277">
            <v>35</v>
          </cell>
          <cell r="J5277">
            <v>25</v>
          </cell>
          <cell r="K5277">
            <v>55</v>
          </cell>
          <cell r="L5277">
            <v>30</v>
          </cell>
        </row>
        <row r="5278">
          <cell r="B5278" t="str">
            <v>5317C09033G71</v>
          </cell>
          <cell r="D5278" t="str">
            <v>A</v>
          </cell>
          <cell r="E5278" t="str">
            <v>工序内容</v>
          </cell>
          <cell r="F5278" t="str">
            <v>00领料</v>
          </cell>
          <cell r="G5278" t="str">
            <v>05下料</v>
          </cell>
          <cell r="H5278" t="str">
            <v>10数铣</v>
          </cell>
          <cell r="I5278" t="str">
            <v>15数铣10</v>
          </cell>
          <cell r="J5278" t="str">
            <v>20数铣10</v>
          </cell>
          <cell r="K5278" t="str">
            <v>25/数铣35</v>
          </cell>
          <cell r="L5278" t="str">
            <v>30/钳工</v>
          </cell>
          <cell r="M5278" t="str">
            <v>35清洁</v>
          </cell>
          <cell r="N5278" t="str">
            <v>40成检</v>
          </cell>
        </row>
        <row r="5279">
          <cell r="B5279" t="str">
            <v>5317C09033G71</v>
          </cell>
          <cell r="D5279" t="str">
            <v>A</v>
          </cell>
          <cell r="E5279" t="str">
            <v>准备工时</v>
          </cell>
          <cell r="H5279">
            <v>60</v>
          </cell>
          <cell r="I5279">
            <v>90</v>
          </cell>
          <cell r="J5279">
            <v>60</v>
          </cell>
          <cell r="K5279">
            <v>90</v>
          </cell>
        </row>
        <row r="5280">
          <cell r="B5280" t="str">
            <v>5317C09033G71</v>
          </cell>
          <cell r="D5280" t="str">
            <v>A</v>
          </cell>
          <cell r="E5280" t="str">
            <v>程序时间</v>
          </cell>
          <cell r="H5280">
            <v>35</v>
          </cell>
          <cell r="I5280">
            <v>35</v>
          </cell>
          <cell r="J5280">
            <v>25</v>
          </cell>
          <cell r="K5280">
            <v>55</v>
          </cell>
          <cell r="L5280">
            <v>30</v>
          </cell>
        </row>
        <row r="5281">
          <cell r="B5281" t="str">
            <v>5317C09035G71</v>
          </cell>
          <cell r="D5281" t="str">
            <v>A</v>
          </cell>
          <cell r="E5281" t="str">
            <v>工序内容</v>
          </cell>
          <cell r="F5281" t="str">
            <v>00领料</v>
          </cell>
          <cell r="G5281" t="str">
            <v>05下料</v>
          </cell>
          <cell r="H5281" t="str">
            <v>10数铣</v>
          </cell>
          <cell r="I5281" t="str">
            <v>15数铣10</v>
          </cell>
          <cell r="J5281" t="str">
            <v>20数铣10</v>
          </cell>
          <cell r="K5281" t="str">
            <v>25/数铣35</v>
          </cell>
          <cell r="L5281" t="str">
            <v>30/钳工</v>
          </cell>
          <cell r="M5281" t="str">
            <v>35清洁</v>
          </cell>
          <cell r="N5281" t="str">
            <v>40成检</v>
          </cell>
        </row>
        <row r="5282">
          <cell r="B5282" t="str">
            <v>5317C09035G71</v>
          </cell>
          <cell r="D5282" t="str">
            <v>A</v>
          </cell>
          <cell r="E5282" t="str">
            <v>准备工时</v>
          </cell>
          <cell r="H5282">
            <v>60</v>
          </cell>
          <cell r="I5282">
            <v>90</v>
          </cell>
          <cell r="J5282">
            <v>60</v>
          </cell>
          <cell r="K5282">
            <v>90</v>
          </cell>
        </row>
        <row r="5283">
          <cell r="B5283" t="str">
            <v>5317C09035G71</v>
          </cell>
          <cell r="D5283" t="str">
            <v>A</v>
          </cell>
          <cell r="E5283" t="str">
            <v>程序时间</v>
          </cell>
          <cell r="H5283">
            <v>35</v>
          </cell>
          <cell r="I5283">
            <v>35</v>
          </cell>
          <cell r="J5283">
            <v>25</v>
          </cell>
          <cell r="K5283">
            <v>55</v>
          </cell>
          <cell r="L5283">
            <v>30</v>
          </cell>
        </row>
        <row r="5284">
          <cell r="B5284" t="str">
            <v>5317C09037G71</v>
          </cell>
          <cell r="D5284" t="str">
            <v>A</v>
          </cell>
          <cell r="E5284" t="str">
            <v>工序内容</v>
          </cell>
          <cell r="F5284" t="str">
            <v>00领料</v>
          </cell>
          <cell r="G5284" t="str">
            <v>05下料</v>
          </cell>
          <cell r="H5284" t="str">
            <v>10数铣</v>
          </cell>
          <cell r="I5284" t="str">
            <v>15数铣10</v>
          </cell>
          <cell r="J5284" t="str">
            <v>20数铣10</v>
          </cell>
          <cell r="K5284" t="str">
            <v>25/数铣35</v>
          </cell>
          <cell r="L5284" t="str">
            <v>30/钳工</v>
          </cell>
          <cell r="M5284" t="str">
            <v>35清洁</v>
          </cell>
          <cell r="N5284" t="str">
            <v>40成检</v>
          </cell>
        </row>
        <row r="5285">
          <cell r="B5285" t="str">
            <v>5317C09037G71</v>
          </cell>
          <cell r="D5285" t="str">
            <v>A</v>
          </cell>
          <cell r="E5285" t="str">
            <v>准备工时</v>
          </cell>
          <cell r="H5285">
            <v>60</v>
          </cell>
          <cell r="I5285">
            <v>90</v>
          </cell>
          <cell r="J5285">
            <v>60</v>
          </cell>
          <cell r="K5285">
            <v>90</v>
          </cell>
        </row>
        <row r="5286">
          <cell r="B5286" t="str">
            <v>5317C09037G71</v>
          </cell>
          <cell r="D5286" t="str">
            <v>A</v>
          </cell>
          <cell r="E5286" t="str">
            <v>程序时间</v>
          </cell>
          <cell r="H5286">
            <v>35</v>
          </cell>
          <cell r="I5286">
            <v>35</v>
          </cell>
          <cell r="J5286">
            <v>25</v>
          </cell>
          <cell r="K5286">
            <v>55</v>
          </cell>
          <cell r="L5286">
            <v>30</v>
          </cell>
        </row>
        <row r="5287">
          <cell r="B5287" t="str">
            <v>5317C05051G71</v>
          </cell>
          <cell r="D5287" t="str">
            <v>A</v>
          </cell>
          <cell r="E5287" t="str">
            <v>工序内容</v>
          </cell>
          <cell r="F5287" t="str">
            <v>00领料</v>
          </cell>
          <cell r="G5287" t="str">
            <v>05/数铣</v>
          </cell>
          <cell r="H5287" t="str">
            <v>10数铣40</v>
          </cell>
          <cell r="I5287" t="str">
            <v>15/数铣25</v>
          </cell>
          <cell r="J5287" t="str">
            <v>20/数铣25</v>
          </cell>
          <cell r="K5287" t="str">
            <v>25/数铣10</v>
          </cell>
          <cell r="L5287" t="str">
            <v>30数铣75</v>
          </cell>
          <cell r="M5287" t="str">
            <v>35/数铣75</v>
          </cell>
          <cell r="N5287" t="str">
            <v>40数铣5</v>
          </cell>
          <cell r="O5287" t="str">
            <v>45/测量</v>
          </cell>
          <cell r="P5287" t="str">
            <v>50/钳工</v>
          </cell>
          <cell r="Q5287" t="str">
            <v>55/清洁</v>
          </cell>
          <cell r="R5287" t="str">
            <v>60/成检</v>
          </cell>
        </row>
        <row r="5288">
          <cell r="B5288" t="str">
            <v>5317C05051G71</v>
          </cell>
          <cell r="D5288" t="str">
            <v>A</v>
          </cell>
          <cell r="E5288" t="str">
            <v>准备工时</v>
          </cell>
          <cell r="G5288">
            <v>60</v>
          </cell>
          <cell r="H5288">
            <v>90</v>
          </cell>
          <cell r="I5288">
            <v>60</v>
          </cell>
          <cell r="J5288">
            <v>90</v>
          </cell>
          <cell r="K5288">
            <v>60</v>
          </cell>
          <cell r="L5288">
            <v>90</v>
          </cell>
          <cell r="M5288">
            <v>60</v>
          </cell>
          <cell r="N5288">
            <v>60</v>
          </cell>
        </row>
        <row r="5289">
          <cell r="B5289" t="str">
            <v>5317C05051G71</v>
          </cell>
          <cell r="D5289" t="str">
            <v>A</v>
          </cell>
          <cell r="E5289" t="str">
            <v>程序时间</v>
          </cell>
          <cell r="G5289">
            <v>45</v>
          </cell>
          <cell r="H5289">
            <v>50</v>
          </cell>
          <cell r="I5289">
            <v>35</v>
          </cell>
          <cell r="J5289">
            <v>35</v>
          </cell>
          <cell r="K5289">
            <v>20</v>
          </cell>
          <cell r="L5289">
            <v>120</v>
          </cell>
          <cell r="M5289">
            <v>120</v>
          </cell>
          <cell r="N5289">
            <v>15</v>
          </cell>
          <cell r="P5289">
            <v>60</v>
          </cell>
        </row>
        <row r="5290">
          <cell r="B5290" t="str">
            <v>5317C09013G70</v>
          </cell>
          <cell r="D5290" t="str">
            <v>A</v>
          </cell>
          <cell r="E5290" t="str">
            <v>工序内容</v>
          </cell>
          <cell r="F5290" t="str">
            <v>00领料</v>
          </cell>
          <cell r="G5290" t="str">
            <v>05下料</v>
          </cell>
          <cell r="H5290" t="str">
            <v>10数铣</v>
          </cell>
          <cell r="I5290" t="str">
            <v>15数铣20</v>
          </cell>
          <cell r="J5290" t="str">
            <v>20装配</v>
          </cell>
          <cell r="K5290" t="str">
            <v>25/数铣40</v>
          </cell>
          <cell r="L5290" t="str">
            <v>30/数铣30</v>
          </cell>
          <cell r="M5290" t="str">
            <v>35/数铣10</v>
          </cell>
          <cell r="N5290" t="str">
            <v>40/数铣10</v>
          </cell>
          <cell r="O5290" t="str">
            <v>45/线切割</v>
          </cell>
          <cell r="P5290" t="str">
            <v>50/钳工</v>
          </cell>
          <cell r="Q5290" t="str">
            <v>55/清洁</v>
          </cell>
          <cell r="R5290" t="str">
            <v>60/成检</v>
          </cell>
        </row>
        <row r="5291">
          <cell r="B5291" t="str">
            <v>5317C09013G70</v>
          </cell>
          <cell r="D5291" t="str">
            <v>A</v>
          </cell>
          <cell r="E5291" t="str">
            <v>准备工时</v>
          </cell>
          <cell r="H5291">
            <v>60</v>
          </cell>
          <cell r="I5291">
            <v>90</v>
          </cell>
          <cell r="K5291">
            <v>60</v>
          </cell>
          <cell r="L5291">
            <v>60</v>
          </cell>
          <cell r="M5291">
            <v>60</v>
          </cell>
          <cell r="N5291">
            <v>60</v>
          </cell>
        </row>
        <row r="5292">
          <cell r="B5292" t="str">
            <v>5317C09013G70</v>
          </cell>
          <cell r="D5292" t="str">
            <v>A</v>
          </cell>
          <cell r="E5292" t="str">
            <v>程序时间</v>
          </cell>
          <cell r="H5292">
            <v>60</v>
          </cell>
          <cell r="I5292">
            <v>35</v>
          </cell>
          <cell r="J5292">
            <v>10</v>
          </cell>
          <cell r="K5292">
            <v>80</v>
          </cell>
          <cell r="L5292">
            <v>55</v>
          </cell>
          <cell r="M5292">
            <v>20</v>
          </cell>
          <cell r="N5292">
            <v>20</v>
          </cell>
          <cell r="P5292">
            <v>30</v>
          </cell>
        </row>
        <row r="5293">
          <cell r="B5293" t="str">
            <v>5317C09011G70</v>
          </cell>
          <cell r="D5293" t="str">
            <v>A</v>
          </cell>
          <cell r="E5293" t="str">
            <v>工序内容</v>
          </cell>
          <cell r="F5293" t="str">
            <v>00领料</v>
          </cell>
          <cell r="G5293" t="str">
            <v>05下料</v>
          </cell>
          <cell r="H5293" t="str">
            <v>10数铣</v>
          </cell>
          <cell r="I5293" t="str">
            <v>15数铣20</v>
          </cell>
          <cell r="J5293" t="str">
            <v>20装配</v>
          </cell>
          <cell r="K5293" t="str">
            <v>25/数铣35</v>
          </cell>
          <cell r="L5293" t="str">
            <v>30/数铣15</v>
          </cell>
          <cell r="M5293" t="str">
            <v>35/数铣10</v>
          </cell>
          <cell r="N5293" t="str">
            <v>40/数铣5</v>
          </cell>
          <cell r="O5293" t="str">
            <v>45/线切割</v>
          </cell>
          <cell r="P5293" t="str">
            <v>50/数铣10</v>
          </cell>
          <cell r="Q5293" t="str">
            <v>55/钳工</v>
          </cell>
          <cell r="R5293" t="str">
            <v>55/清洁</v>
          </cell>
          <cell r="S5293" t="str">
            <v>60/成检</v>
          </cell>
        </row>
        <row r="5294">
          <cell r="B5294" t="str">
            <v>5317C09011G70</v>
          </cell>
          <cell r="D5294" t="str">
            <v>A</v>
          </cell>
          <cell r="E5294" t="str">
            <v>准备工时</v>
          </cell>
          <cell r="H5294">
            <v>60</v>
          </cell>
          <cell r="I5294">
            <v>90</v>
          </cell>
          <cell r="K5294">
            <v>60</v>
          </cell>
          <cell r="L5294">
            <v>60</v>
          </cell>
          <cell r="M5294">
            <v>60</v>
          </cell>
          <cell r="N5294">
            <v>60</v>
          </cell>
          <cell r="P5294">
            <v>60</v>
          </cell>
        </row>
        <row r="5295">
          <cell r="B5295" t="str">
            <v>5317C09011G70</v>
          </cell>
          <cell r="D5295" t="str">
            <v>A</v>
          </cell>
          <cell r="E5295" t="str">
            <v>程序时间</v>
          </cell>
          <cell r="H5295">
            <v>60</v>
          </cell>
          <cell r="I5295">
            <v>35</v>
          </cell>
          <cell r="J5295">
            <v>10</v>
          </cell>
          <cell r="K5295">
            <v>70</v>
          </cell>
          <cell r="L5295">
            <v>20</v>
          </cell>
          <cell r="M5295">
            <v>20</v>
          </cell>
          <cell r="N5295">
            <v>15</v>
          </cell>
          <cell r="P5295">
            <v>20</v>
          </cell>
          <cell r="Q5295">
            <v>30</v>
          </cell>
        </row>
        <row r="5296">
          <cell r="B5296" t="str">
            <v>5319C28041G70</v>
          </cell>
          <cell r="D5296" t="str">
            <v>A</v>
          </cell>
          <cell r="E5296" t="str">
            <v>工序内容</v>
          </cell>
          <cell r="F5296" t="str">
            <v>00领料</v>
          </cell>
          <cell r="G5296" t="str">
            <v>05数铣</v>
          </cell>
          <cell r="H5296" t="str">
            <v>10数铣15</v>
          </cell>
          <cell r="I5296" t="str">
            <v>15线切割</v>
          </cell>
          <cell r="J5296" t="str">
            <v>20数铣</v>
          </cell>
          <cell r="K5296" t="str">
            <v>25/数铣5</v>
          </cell>
          <cell r="L5296" t="str">
            <v>30/钳工</v>
          </cell>
          <cell r="M5296" t="str">
            <v>35清洁</v>
          </cell>
          <cell r="N5296" t="str">
            <v>40成检</v>
          </cell>
        </row>
        <row r="5297">
          <cell r="B5297" t="str">
            <v>5319C28041G70</v>
          </cell>
          <cell r="D5297" t="str">
            <v>A</v>
          </cell>
          <cell r="E5297" t="str">
            <v>准备工时</v>
          </cell>
          <cell r="G5297">
            <v>60</v>
          </cell>
          <cell r="H5297">
            <v>60</v>
          </cell>
          <cell r="J5297">
            <v>60</v>
          </cell>
          <cell r="K5297">
            <v>60</v>
          </cell>
        </row>
        <row r="5298">
          <cell r="B5298" t="str">
            <v>5319C28041G70</v>
          </cell>
          <cell r="D5298" t="str">
            <v>A</v>
          </cell>
          <cell r="E5298" t="str">
            <v>程序时间</v>
          </cell>
          <cell r="G5298">
            <v>20</v>
          </cell>
          <cell r="H5298">
            <v>30</v>
          </cell>
          <cell r="J5298">
            <v>20</v>
          </cell>
          <cell r="K5298">
            <v>15</v>
          </cell>
          <cell r="L5298">
            <v>25</v>
          </cell>
        </row>
        <row r="5299">
          <cell r="B5299" t="str">
            <v>5319C28039G70</v>
          </cell>
          <cell r="D5299" t="str">
            <v>A</v>
          </cell>
          <cell r="E5299" t="str">
            <v>工序内容</v>
          </cell>
          <cell r="F5299" t="str">
            <v>00领料</v>
          </cell>
          <cell r="G5299" t="str">
            <v>05下料</v>
          </cell>
          <cell r="H5299" t="str">
            <v>10数铣</v>
          </cell>
          <cell r="I5299" t="str">
            <v>15数铣30</v>
          </cell>
          <cell r="J5299" t="str">
            <v>20线切割</v>
          </cell>
          <cell r="K5299" t="str">
            <v>25/数铣</v>
          </cell>
          <cell r="L5299" t="str">
            <v>30数铣</v>
          </cell>
          <cell r="M5299" t="str">
            <v>35钳工</v>
          </cell>
          <cell r="N5299" t="str">
            <v>40清洁</v>
          </cell>
          <cell r="O5299" t="str">
            <v>45成检</v>
          </cell>
        </row>
        <row r="5300">
          <cell r="B5300" t="str">
            <v>5319C28039G70</v>
          </cell>
          <cell r="D5300" t="str">
            <v>A</v>
          </cell>
          <cell r="E5300" t="str">
            <v>准备工时</v>
          </cell>
          <cell r="H5300">
            <v>60</v>
          </cell>
          <cell r="I5300">
            <v>60</v>
          </cell>
          <cell r="K5300">
            <v>60</v>
          </cell>
          <cell r="L5300">
            <v>60</v>
          </cell>
        </row>
        <row r="5301">
          <cell r="B5301" t="str">
            <v>5319C28039G70</v>
          </cell>
          <cell r="D5301" t="str">
            <v>A</v>
          </cell>
          <cell r="E5301" t="str">
            <v>程序时间</v>
          </cell>
          <cell r="H5301">
            <v>30</v>
          </cell>
          <cell r="I5301">
            <v>45</v>
          </cell>
          <cell r="K5301">
            <v>20</v>
          </cell>
          <cell r="L5301">
            <v>15</v>
          </cell>
          <cell r="M5301">
            <v>20</v>
          </cell>
        </row>
        <row r="5302">
          <cell r="B5302" t="str">
            <v>CB5522200-020L/R001</v>
          </cell>
          <cell r="D5302" t="str">
            <v>B</v>
          </cell>
          <cell r="E5302" t="str">
            <v>工序内容</v>
          </cell>
          <cell r="F5302" t="str">
            <v>0/领料</v>
          </cell>
          <cell r="G5302" t="str">
            <v>5/数铣</v>
          </cell>
          <cell r="H5302" t="str">
            <v>10/数铣15</v>
          </cell>
          <cell r="I5302" t="str">
            <v>15/数铣45</v>
          </cell>
          <cell r="J5302" t="str">
            <v>20/数铣45</v>
          </cell>
          <cell r="K5302" t="str">
            <v>25/测量</v>
          </cell>
          <cell r="L5302" t="str">
            <v>30/钳工</v>
          </cell>
          <cell r="M5302" t="str">
            <v>35/数铣</v>
          </cell>
          <cell r="N5302" t="str">
            <v>40/清洁</v>
          </cell>
          <cell r="O5302" t="str">
            <v>45/成检</v>
          </cell>
        </row>
        <row r="5303">
          <cell r="B5303" t="str">
            <v>CB5522200-020L/R001</v>
          </cell>
          <cell r="D5303" t="str">
            <v>B</v>
          </cell>
          <cell r="E5303" t="str">
            <v>准备工时</v>
          </cell>
          <cell r="G5303">
            <v>60</v>
          </cell>
          <cell r="H5303">
            <v>60</v>
          </cell>
          <cell r="I5303">
            <v>60</v>
          </cell>
          <cell r="J5303">
            <v>60</v>
          </cell>
        </row>
        <row r="5304">
          <cell r="B5304" t="str">
            <v>CB5522200-020L/R001</v>
          </cell>
          <cell r="D5304" t="str">
            <v>B</v>
          </cell>
          <cell r="E5304" t="str">
            <v>装夹时间</v>
          </cell>
        </row>
        <row r="5305">
          <cell r="B5305" t="str">
            <v>CB5522200-020L/R001</v>
          </cell>
          <cell r="D5305" t="str">
            <v>B</v>
          </cell>
          <cell r="E5305" t="str">
            <v>程序时间</v>
          </cell>
          <cell r="G5305">
            <v>30</v>
          </cell>
          <cell r="H5305">
            <v>30</v>
          </cell>
          <cell r="I5305">
            <v>70</v>
          </cell>
          <cell r="J5305">
            <v>70</v>
          </cell>
          <cell r="L5305">
            <v>45</v>
          </cell>
          <cell r="M5305">
            <v>20</v>
          </cell>
        </row>
        <row r="5306">
          <cell r="B5306" t="str">
            <v>5319C02011G70</v>
          </cell>
          <cell r="D5306" t="str">
            <v>A</v>
          </cell>
          <cell r="E5306" t="str">
            <v>工序内容</v>
          </cell>
          <cell r="F5306" t="str">
            <v>00领料</v>
          </cell>
          <cell r="G5306" t="str">
            <v>05下料</v>
          </cell>
          <cell r="H5306" t="str">
            <v>10数铣</v>
          </cell>
          <cell r="I5306" t="str">
            <v>15数铣8</v>
          </cell>
          <cell r="J5306" t="str">
            <v>20钳工</v>
          </cell>
          <cell r="K5306" t="str">
            <v>25/数铣10</v>
          </cell>
          <cell r="L5306" t="str">
            <v>30数铣52</v>
          </cell>
          <cell r="M5306" t="str">
            <v>35线切割</v>
          </cell>
          <cell r="N5306" t="str">
            <v>40数铣</v>
          </cell>
          <cell r="O5306" t="str">
            <v>45测量</v>
          </cell>
          <cell r="P5306" t="str">
            <v>50钳工</v>
          </cell>
          <cell r="Q5306" t="str">
            <v>55清洁</v>
          </cell>
          <cell r="R5306" t="str">
            <v>60成检</v>
          </cell>
        </row>
        <row r="5307">
          <cell r="B5307" t="str">
            <v>5319C02011G70</v>
          </cell>
          <cell r="D5307" t="str">
            <v>A</v>
          </cell>
          <cell r="E5307" t="str">
            <v>准备工时</v>
          </cell>
          <cell r="H5307">
            <v>60</v>
          </cell>
          <cell r="I5307">
            <v>90</v>
          </cell>
          <cell r="K5307">
            <v>60</v>
          </cell>
          <cell r="L5307">
            <v>60</v>
          </cell>
          <cell r="N5307">
            <v>60</v>
          </cell>
        </row>
        <row r="5308">
          <cell r="B5308" t="str">
            <v>5319C02011G70</v>
          </cell>
          <cell r="D5308" t="str">
            <v>A</v>
          </cell>
          <cell r="E5308" t="str">
            <v>程序时间</v>
          </cell>
          <cell r="H5308">
            <v>45</v>
          </cell>
          <cell r="I5308">
            <v>30</v>
          </cell>
          <cell r="J5308">
            <v>15</v>
          </cell>
          <cell r="K5308">
            <v>25</v>
          </cell>
          <cell r="L5308">
            <v>90</v>
          </cell>
          <cell r="N5308">
            <v>20</v>
          </cell>
          <cell r="P5308">
            <v>30</v>
          </cell>
        </row>
        <row r="5309">
          <cell r="B5309" t="str">
            <v>5319C19021G70</v>
          </cell>
          <cell r="D5309" t="str">
            <v>A</v>
          </cell>
          <cell r="E5309" t="str">
            <v>工序内容</v>
          </cell>
          <cell r="F5309" t="str">
            <v>00领料</v>
          </cell>
          <cell r="G5309" t="str">
            <v>05下料</v>
          </cell>
          <cell r="H5309" t="str">
            <v>10数铣</v>
          </cell>
          <cell r="I5309" t="str">
            <v>15数铣20</v>
          </cell>
          <cell r="J5309" t="str">
            <v>20线切割</v>
          </cell>
          <cell r="K5309" t="str">
            <v>25/数铣</v>
          </cell>
          <cell r="L5309" t="str">
            <v>30/数铣2</v>
          </cell>
          <cell r="M5309" t="str">
            <v>35/数铣2</v>
          </cell>
          <cell r="N5309" t="str">
            <v>40/测量</v>
          </cell>
          <cell r="O5309" t="str">
            <v>50/钳工</v>
          </cell>
          <cell r="P5309" t="str">
            <v>55/清洁</v>
          </cell>
          <cell r="Q5309" t="str">
            <v>60/成检</v>
          </cell>
        </row>
        <row r="5310">
          <cell r="B5310" t="str">
            <v>5319C19021G70</v>
          </cell>
          <cell r="D5310" t="str">
            <v>A</v>
          </cell>
          <cell r="E5310" t="str">
            <v>准备工时</v>
          </cell>
          <cell r="H5310">
            <v>60</v>
          </cell>
          <cell r="I5310">
            <v>60</v>
          </cell>
          <cell r="K5310">
            <v>60</v>
          </cell>
          <cell r="L5310">
            <v>60</v>
          </cell>
          <cell r="M5310">
            <v>60</v>
          </cell>
        </row>
        <row r="5311">
          <cell r="B5311" t="str">
            <v>5319C19021G70</v>
          </cell>
          <cell r="D5311" t="str">
            <v>A</v>
          </cell>
          <cell r="E5311" t="str">
            <v>程序时间</v>
          </cell>
          <cell r="H5311">
            <v>40</v>
          </cell>
          <cell r="I5311">
            <v>35</v>
          </cell>
          <cell r="K5311">
            <v>20</v>
          </cell>
          <cell r="L5311">
            <v>15</v>
          </cell>
          <cell r="M5311">
            <v>15</v>
          </cell>
          <cell r="O5311">
            <v>35</v>
          </cell>
        </row>
        <row r="5312">
          <cell r="B5312" t="str">
            <v>5319C55017G70</v>
          </cell>
          <cell r="D5312" t="str">
            <v>A</v>
          </cell>
          <cell r="E5312" t="str">
            <v>工序内容</v>
          </cell>
          <cell r="F5312" t="str">
            <v>00领料</v>
          </cell>
          <cell r="G5312" t="str">
            <v>05下料</v>
          </cell>
          <cell r="H5312" t="str">
            <v>10数铣</v>
          </cell>
          <cell r="I5312" t="str">
            <v>15数铣15</v>
          </cell>
          <cell r="J5312" t="str">
            <v>20数铣5</v>
          </cell>
          <cell r="K5312" t="str">
            <v>25/数铣35</v>
          </cell>
          <cell r="L5312" t="str">
            <v>30/数铣5</v>
          </cell>
          <cell r="M5312" t="str">
            <v>35/钳工</v>
          </cell>
          <cell r="N5312" t="str">
            <v>40清洁</v>
          </cell>
          <cell r="O5312" t="str">
            <v>45成检</v>
          </cell>
        </row>
        <row r="5313">
          <cell r="B5313" t="str">
            <v>5319C55017G70</v>
          </cell>
          <cell r="D5313" t="str">
            <v>A</v>
          </cell>
          <cell r="E5313" t="str">
            <v>准备工时</v>
          </cell>
          <cell r="H5313">
            <v>60</v>
          </cell>
          <cell r="I5313">
            <v>90</v>
          </cell>
          <cell r="J5313">
            <v>60</v>
          </cell>
          <cell r="K5313">
            <v>60</v>
          </cell>
          <cell r="L5313">
            <v>60</v>
          </cell>
        </row>
        <row r="5314">
          <cell r="B5314" t="str">
            <v>5319C55017G70</v>
          </cell>
          <cell r="D5314" t="str">
            <v>A</v>
          </cell>
          <cell r="E5314" t="str">
            <v>程序时间</v>
          </cell>
          <cell r="H5314">
            <v>45</v>
          </cell>
          <cell r="I5314">
            <v>35</v>
          </cell>
          <cell r="J5314">
            <v>20</v>
          </cell>
          <cell r="K5314">
            <v>55</v>
          </cell>
          <cell r="L5314">
            <v>20</v>
          </cell>
          <cell r="M5314">
            <v>35</v>
          </cell>
        </row>
        <row r="5315">
          <cell r="B5315" t="str">
            <v>5319C55018G70</v>
          </cell>
          <cell r="D5315" t="str">
            <v>A</v>
          </cell>
          <cell r="E5315" t="str">
            <v>工序内容</v>
          </cell>
          <cell r="F5315" t="str">
            <v>00领料</v>
          </cell>
          <cell r="G5315" t="str">
            <v>05下料</v>
          </cell>
          <cell r="H5315" t="str">
            <v>10数铣</v>
          </cell>
          <cell r="I5315" t="str">
            <v>15数铣15</v>
          </cell>
          <cell r="J5315" t="str">
            <v>20数铣5</v>
          </cell>
          <cell r="K5315" t="str">
            <v>25/数铣35</v>
          </cell>
          <cell r="L5315" t="str">
            <v>30/数铣5</v>
          </cell>
          <cell r="M5315" t="str">
            <v>35/钳工</v>
          </cell>
          <cell r="N5315" t="str">
            <v>40清洁</v>
          </cell>
          <cell r="O5315" t="str">
            <v>45成检</v>
          </cell>
        </row>
        <row r="5316">
          <cell r="B5316" t="str">
            <v>5319C55018G70</v>
          </cell>
          <cell r="D5316" t="str">
            <v>A</v>
          </cell>
          <cell r="E5316" t="str">
            <v>准备工时</v>
          </cell>
          <cell r="H5316">
            <v>60</v>
          </cell>
          <cell r="I5316">
            <v>90</v>
          </cell>
          <cell r="J5316">
            <v>60</v>
          </cell>
          <cell r="K5316">
            <v>60</v>
          </cell>
          <cell r="L5316">
            <v>60</v>
          </cell>
        </row>
        <row r="5317">
          <cell r="B5317" t="str">
            <v>5319C55018G70</v>
          </cell>
          <cell r="D5317" t="str">
            <v>A</v>
          </cell>
          <cell r="E5317" t="str">
            <v>程序时间</v>
          </cell>
          <cell r="H5317">
            <v>45</v>
          </cell>
          <cell r="I5317">
            <v>35</v>
          </cell>
          <cell r="J5317">
            <v>20</v>
          </cell>
          <cell r="K5317">
            <v>55</v>
          </cell>
          <cell r="L5317">
            <v>20</v>
          </cell>
          <cell r="M5317">
            <v>35</v>
          </cell>
        </row>
        <row r="5318">
          <cell r="B5318" t="str">
            <v>5319C28041G70</v>
          </cell>
          <cell r="D5318" t="str">
            <v>A</v>
          </cell>
          <cell r="E5318" t="str">
            <v>工序内容</v>
          </cell>
          <cell r="F5318" t="str">
            <v>00领料</v>
          </cell>
          <cell r="G5318" t="str">
            <v>05数铣</v>
          </cell>
          <cell r="H5318" t="str">
            <v>10数铣25</v>
          </cell>
          <cell r="I5318" t="str">
            <v>15数铣20</v>
          </cell>
          <cell r="J5318" t="str">
            <v>20数铣100</v>
          </cell>
          <cell r="K5318" t="str">
            <v>25/测量</v>
          </cell>
          <cell r="L5318" t="str">
            <v>30/钳工</v>
          </cell>
          <cell r="M5318" t="str">
            <v>35清洁</v>
          </cell>
          <cell r="N5318" t="str">
            <v>40成检</v>
          </cell>
        </row>
        <row r="5319">
          <cell r="B5319" t="str">
            <v>5319C28041G70</v>
          </cell>
          <cell r="D5319" t="str">
            <v>A</v>
          </cell>
          <cell r="E5319" t="str">
            <v>准备工时</v>
          </cell>
          <cell r="G5319">
            <v>60</v>
          </cell>
          <cell r="H5319">
            <v>60</v>
          </cell>
          <cell r="I5319">
            <v>60</v>
          </cell>
          <cell r="J5319">
            <v>90</v>
          </cell>
        </row>
        <row r="5320">
          <cell r="B5320" t="str">
            <v>5319C28041G70</v>
          </cell>
          <cell r="D5320" t="str">
            <v>A</v>
          </cell>
          <cell r="E5320" t="str">
            <v>程序时间</v>
          </cell>
          <cell r="G5320">
            <v>40</v>
          </cell>
          <cell r="H5320">
            <v>40</v>
          </cell>
          <cell r="I5320">
            <v>40</v>
          </cell>
          <cell r="J5320">
            <v>140</v>
          </cell>
          <cell r="L5320">
            <v>60</v>
          </cell>
        </row>
        <row r="5321">
          <cell r="B5321" t="str">
            <v>529A4300-003-001</v>
          </cell>
          <cell r="D5321" t="str">
            <v>B</v>
          </cell>
          <cell r="E5321" t="str">
            <v>工序内容</v>
          </cell>
          <cell r="F5321" t="str">
            <v>05/数车</v>
          </cell>
          <cell r="G5321" t="str">
            <v>10/数车</v>
          </cell>
          <cell r="H5321" t="str">
            <v>15/标记</v>
          </cell>
          <cell r="I5321" t="str">
            <v>20/热处理</v>
          </cell>
          <cell r="J5321" t="str">
            <v>25/热处理</v>
          </cell>
          <cell r="K5321" t="str">
            <v>30/硬度</v>
          </cell>
          <cell r="L5321" t="str">
            <v>35/数车60</v>
          </cell>
          <cell r="M5321" t="str">
            <v>40/数车15</v>
          </cell>
          <cell r="N5321" t="str">
            <v>45/数铣15</v>
          </cell>
          <cell r="O5321" t="str">
            <v>50/线切割</v>
          </cell>
          <cell r="P5321" t="str">
            <v>55/数铣30</v>
          </cell>
          <cell r="Q5321" t="str">
            <v>60/数铣镗孔</v>
          </cell>
          <cell r="R5321" t="str">
            <v>65/数车20</v>
          </cell>
          <cell r="S5321" t="str">
            <v>70/钳工</v>
          </cell>
          <cell r="T5321" t="str">
            <v>75/标记</v>
          </cell>
          <cell r="U5321" t="str">
            <v>80/清洗</v>
          </cell>
          <cell r="V5321" t="str">
            <v>85/磁粉检查</v>
          </cell>
          <cell r="W5321" t="str">
            <v>90/清洗</v>
          </cell>
          <cell r="X5321" t="str">
            <v>95/热处理</v>
          </cell>
          <cell r="Y5321" t="str">
            <v>100/表面处理</v>
          </cell>
          <cell r="Z5321" t="str">
            <v>105/数车20</v>
          </cell>
          <cell r="AA5321" t="str">
            <v>110/测量</v>
          </cell>
          <cell r="AB5321" t="str">
            <v>115/清洁</v>
          </cell>
          <cell r="AC5321" t="str">
            <v>120/成检</v>
          </cell>
        </row>
        <row r="5322">
          <cell r="B5322" t="str">
            <v>529A4300-003-001</v>
          </cell>
          <cell r="D5322" t="str">
            <v>B</v>
          </cell>
          <cell r="E5322" t="str">
            <v>准备工时</v>
          </cell>
          <cell r="F5322">
            <v>60</v>
          </cell>
          <cell r="G5322">
            <v>60</v>
          </cell>
          <cell r="L5322">
            <v>60</v>
          </cell>
          <cell r="M5322">
            <v>60</v>
          </cell>
          <cell r="N5322">
            <v>60</v>
          </cell>
          <cell r="Q5322">
            <v>90</v>
          </cell>
          <cell r="R5322">
            <v>60</v>
          </cell>
          <cell r="Z5322">
            <v>120</v>
          </cell>
        </row>
        <row r="5323">
          <cell r="B5323" t="str">
            <v>529A4300-003-001</v>
          </cell>
          <cell r="D5323" t="str">
            <v>B</v>
          </cell>
          <cell r="E5323" t="str">
            <v>程序时间</v>
          </cell>
          <cell r="F5323">
            <v>45</v>
          </cell>
          <cell r="G5323">
            <v>15</v>
          </cell>
          <cell r="L5323">
            <v>60</v>
          </cell>
          <cell r="M5323">
            <v>25</v>
          </cell>
          <cell r="N5323">
            <v>30</v>
          </cell>
          <cell r="Q5323">
            <v>40</v>
          </cell>
          <cell r="R5323">
            <v>30</v>
          </cell>
          <cell r="S5323">
            <v>50</v>
          </cell>
          <cell r="Z5323">
            <v>35</v>
          </cell>
        </row>
        <row r="5324">
          <cell r="B5324" t="str">
            <v>5319C97007G71</v>
          </cell>
          <cell r="D5324" t="str">
            <v>A</v>
          </cell>
          <cell r="E5324" t="str">
            <v>工序内容</v>
          </cell>
          <cell r="F5324" t="str">
            <v>00领料</v>
          </cell>
          <cell r="G5324" t="str">
            <v>05数铣</v>
          </cell>
          <cell r="H5324" t="str">
            <v>10数铣25</v>
          </cell>
          <cell r="I5324" t="str">
            <v>15数铣20</v>
          </cell>
          <cell r="J5324" t="str">
            <v>20数铣100</v>
          </cell>
          <cell r="K5324" t="str">
            <v>25/测量</v>
          </cell>
          <cell r="L5324" t="str">
            <v>30/钳工</v>
          </cell>
          <cell r="M5324" t="str">
            <v>35清洁</v>
          </cell>
          <cell r="N5324" t="str">
            <v>40成检</v>
          </cell>
        </row>
        <row r="5325">
          <cell r="B5325" t="str">
            <v>5319C97007G71</v>
          </cell>
          <cell r="D5325" t="str">
            <v>A</v>
          </cell>
          <cell r="E5325" t="str">
            <v>准备工时</v>
          </cell>
          <cell r="G5325">
            <v>60</v>
          </cell>
          <cell r="H5325">
            <v>60</v>
          </cell>
          <cell r="I5325">
            <v>60</v>
          </cell>
          <cell r="J5325">
            <v>90</v>
          </cell>
        </row>
        <row r="5326">
          <cell r="B5326" t="str">
            <v>5319C97007G71</v>
          </cell>
          <cell r="D5326" t="str">
            <v>A</v>
          </cell>
          <cell r="E5326" t="str">
            <v>程序时间</v>
          </cell>
          <cell r="G5326">
            <v>40</v>
          </cell>
          <cell r="H5326">
            <v>40</v>
          </cell>
          <cell r="I5326">
            <v>40</v>
          </cell>
          <cell r="J5326">
            <v>140</v>
          </cell>
          <cell r="L5326">
            <v>60</v>
          </cell>
        </row>
        <row r="5327">
          <cell r="B5327" t="str">
            <v>5319C22035G70</v>
          </cell>
          <cell r="D5327" t="str">
            <v>A</v>
          </cell>
          <cell r="E5327" t="str">
            <v>工序内容</v>
          </cell>
          <cell r="F5327" t="str">
            <v>00领料</v>
          </cell>
          <cell r="G5327" t="str">
            <v>05下料</v>
          </cell>
          <cell r="H5327" t="str">
            <v>10数铣10</v>
          </cell>
          <cell r="I5327" t="str">
            <v>15数铣30</v>
          </cell>
          <cell r="J5327" t="str">
            <v>20数铣10</v>
          </cell>
          <cell r="K5327" t="str">
            <v>25钳工</v>
          </cell>
          <cell r="L5327" t="str">
            <v>30测量</v>
          </cell>
          <cell r="M5327" t="str">
            <v>35清洁</v>
          </cell>
          <cell r="N5327" t="str">
            <v>40成检</v>
          </cell>
        </row>
        <row r="5328">
          <cell r="B5328" t="str">
            <v>5319C22035G70</v>
          </cell>
          <cell r="D5328" t="str">
            <v>A</v>
          </cell>
          <cell r="E5328" t="str">
            <v>准备工时</v>
          </cell>
          <cell r="H5328">
            <v>60</v>
          </cell>
          <cell r="I5328">
            <v>90</v>
          </cell>
          <cell r="J5328">
            <v>60</v>
          </cell>
        </row>
        <row r="5329">
          <cell r="B5329" t="str">
            <v>5319C22035G70</v>
          </cell>
          <cell r="D5329" t="str">
            <v>A</v>
          </cell>
          <cell r="E5329" t="str">
            <v>程序时间</v>
          </cell>
          <cell r="H5329">
            <v>50</v>
          </cell>
          <cell r="I5329">
            <v>40</v>
          </cell>
          <cell r="J5329">
            <v>45</v>
          </cell>
          <cell r="K5329">
            <v>45</v>
          </cell>
        </row>
        <row r="5330">
          <cell r="B5330" t="str">
            <v>DD-J10-05346-3-Z</v>
          </cell>
          <cell r="D5330" t="str">
            <v>F</v>
          </cell>
          <cell r="E5330" t="str">
            <v>工序内容</v>
          </cell>
          <cell r="F5330" t="str">
            <v>0/领料</v>
          </cell>
          <cell r="G5330" t="str">
            <v>5/数铣</v>
          </cell>
          <cell r="H5330" t="str">
            <v>10/超探</v>
          </cell>
          <cell r="I5330" t="str">
            <v>15/线切割</v>
          </cell>
          <cell r="J5330" t="str">
            <v>20数铣12</v>
          </cell>
          <cell r="K5330" t="str">
            <v>25/数铣90</v>
          </cell>
          <cell r="L5330" t="str">
            <v>30/数铣25</v>
          </cell>
          <cell r="M5330" t="str">
            <v>35/数铣15</v>
          </cell>
          <cell r="N5330" t="str">
            <v>45/钳工</v>
          </cell>
          <cell r="O5330" t="str">
            <v>50/测量</v>
          </cell>
          <cell r="P5330" t="str">
            <v>55/清洗</v>
          </cell>
          <cell r="Q5330" t="str">
            <v>60/成检</v>
          </cell>
          <cell r="R5330" t="str">
            <v>60/成检</v>
          </cell>
        </row>
        <row r="5331">
          <cell r="B5331" t="str">
            <v>DD-J10-05346-3-Z</v>
          </cell>
          <cell r="D5331" t="str">
            <v>F</v>
          </cell>
          <cell r="E5331" t="str">
            <v>准备工时</v>
          </cell>
          <cell r="G5331">
            <v>60</v>
          </cell>
          <cell r="J5331">
            <v>60</v>
          </cell>
          <cell r="K5331">
            <v>90</v>
          </cell>
          <cell r="L5331">
            <v>60</v>
          </cell>
          <cell r="M5331">
            <v>60</v>
          </cell>
        </row>
        <row r="5332">
          <cell r="B5332" t="str">
            <v>DD-J10-05346-3-Z</v>
          </cell>
          <cell r="D5332" t="str">
            <v>F</v>
          </cell>
          <cell r="E5332" t="str">
            <v>装夹时间</v>
          </cell>
          <cell r="M5332">
            <v>30</v>
          </cell>
        </row>
        <row r="5333">
          <cell r="B5333" t="str">
            <v>DD-J10-05346-3-Z</v>
          </cell>
          <cell r="D5333" t="str">
            <v>F</v>
          </cell>
          <cell r="E5333" t="str">
            <v>程序时间</v>
          </cell>
          <cell r="G5333">
            <v>180</v>
          </cell>
          <cell r="J5333">
            <v>30</v>
          </cell>
          <cell r="K5333">
            <v>160</v>
          </cell>
          <cell r="L5333">
            <v>50</v>
          </cell>
          <cell r="M5333">
            <v>30</v>
          </cell>
          <cell r="N5333">
            <v>120</v>
          </cell>
        </row>
        <row r="5334">
          <cell r="B5334" t="str">
            <v>DD-J10-05346-3-Y</v>
          </cell>
          <cell r="D5334" t="str">
            <v>F</v>
          </cell>
          <cell r="E5334" t="str">
            <v>工序内容</v>
          </cell>
          <cell r="F5334" t="str">
            <v>0/领料</v>
          </cell>
          <cell r="G5334" t="str">
            <v>5/数铣</v>
          </cell>
          <cell r="H5334" t="str">
            <v>10/超探</v>
          </cell>
          <cell r="I5334" t="str">
            <v>15/线切割</v>
          </cell>
          <cell r="J5334" t="str">
            <v>20数铣12</v>
          </cell>
          <cell r="K5334" t="str">
            <v>25/数铣90</v>
          </cell>
          <cell r="L5334" t="str">
            <v>30/数铣25</v>
          </cell>
          <cell r="M5334" t="str">
            <v>35/数铣15</v>
          </cell>
          <cell r="N5334" t="str">
            <v>45/钳工</v>
          </cell>
          <cell r="O5334" t="str">
            <v>50/测量</v>
          </cell>
          <cell r="P5334" t="str">
            <v>55/清洗</v>
          </cell>
          <cell r="Q5334" t="str">
            <v>60/成检</v>
          </cell>
          <cell r="R5334" t="str">
            <v>60/成检</v>
          </cell>
        </row>
        <row r="5335">
          <cell r="B5335" t="str">
            <v>DD-J10-05346-3-Y</v>
          </cell>
          <cell r="D5335" t="str">
            <v>F</v>
          </cell>
          <cell r="E5335" t="str">
            <v>准备工时</v>
          </cell>
          <cell r="G5335">
            <v>60</v>
          </cell>
          <cell r="J5335">
            <v>60</v>
          </cell>
          <cell r="K5335">
            <v>90</v>
          </cell>
          <cell r="L5335">
            <v>60</v>
          </cell>
          <cell r="M5335">
            <v>60</v>
          </cell>
        </row>
        <row r="5336">
          <cell r="B5336" t="str">
            <v>DD-J10-05346-3-Y</v>
          </cell>
          <cell r="D5336" t="str">
            <v>F</v>
          </cell>
          <cell r="E5336" t="str">
            <v>装夹时间</v>
          </cell>
          <cell r="M5336">
            <v>30</v>
          </cell>
        </row>
        <row r="5337">
          <cell r="B5337" t="str">
            <v>DD-J10-05346-3-Y</v>
          </cell>
          <cell r="D5337" t="str">
            <v>F</v>
          </cell>
          <cell r="E5337" t="str">
            <v>程序时间</v>
          </cell>
          <cell r="G5337">
            <v>180</v>
          </cell>
          <cell r="J5337">
            <v>30</v>
          </cell>
          <cell r="K5337">
            <v>160</v>
          </cell>
          <cell r="L5337">
            <v>50</v>
          </cell>
          <cell r="M5337">
            <v>30</v>
          </cell>
          <cell r="N5337">
            <v>120</v>
          </cell>
        </row>
        <row r="5338">
          <cell r="B5338" t="str">
            <v>5317C05049G70</v>
          </cell>
          <cell r="D5338" t="str">
            <v>A</v>
          </cell>
          <cell r="E5338" t="str">
            <v>工序内容</v>
          </cell>
          <cell r="F5338" t="str">
            <v>00领料</v>
          </cell>
          <cell r="G5338" t="str">
            <v>05/数铣</v>
          </cell>
          <cell r="H5338" t="str">
            <v>10数铣20</v>
          </cell>
          <cell r="I5338" t="str">
            <v>15/数铣102</v>
          </cell>
          <cell r="J5338" t="str">
            <v>20/数铣28</v>
          </cell>
          <cell r="K5338" t="str">
            <v>25/数铣27</v>
          </cell>
          <cell r="L5338" t="str">
            <v>30数铣30</v>
          </cell>
          <cell r="M5338" t="str">
            <v>35/数铣75</v>
          </cell>
          <cell r="N5338" t="str">
            <v>40数铣5</v>
          </cell>
          <cell r="O5338" t="str">
            <v>45/测量</v>
          </cell>
          <cell r="P5338" t="str">
            <v>50/钳工</v>
          </cell>
          <cell r="Q5338" t="str">
            <v>55/清洁</v>
          </cell>
          <cell r="R5338" t="str">
            <v>60/成检</v>
          </cell>
        </row>
        <row r="5339">
          <cell r="B5339" t="str">
            <v>5317C05049G70</v>
          </cell>
          <cell r="D5339" t="str">
            <v>A</v>
          </cell>
          <cell r="E5339" t="str">
            <v>准备工时</v>
          </cell>
          <cell r="G5339">
            <v>60</v>
          </cell>
          <cell r="H5339">
            <v>90</v>
          </cell>
          <cell r="I5339">
            <v>60</v>
          </cell>
          <cell r="J5339">
            <v>90</v>
          </cell>
          <cell r="K5339">
            <v>60</v>
          </cell>
          <cell r="L5339">
            <v>60</v>
          </cell>
          <cell r="M5339">
            <v>90</v>
          </cell>
          <cell r="N5339">
            <v>60</v>
          </cell>
        </row>
        <row r="5340">
          <cell r="B5340" t="str">
            <v>5317C05049G70</v>
          </cell>
          <cell r="D5340" t="str">
            <v>A</v>
          </cell>
          <cell r="E5340" t="str">
            <v>程序时间</v>
          </cell>
          <cell r="G5340">
            <v>45</v>
          </cell>
          <cell r="H5340">
            <v>35</v>
          </cell>
          <cell r="I5340">
            <v>150</v>
          </cell>
          <cell r="J5340">
            <v>70</v>
          </cell>
          <cell r="K5340">
            <v>50</v>
          </cell>
          <cell r="L5340">
            <v>50</v>
          </cell>
          <cell r="M5340">
            <v>120</v>
          </cell>
          <cell r="N5340">
            <v>15</v>
          </cell>
          <cell r="P5340">
            <v>75</v>
          </cell>
        </row>
        <row r="5341">
          <cell r="B5341" t="str">
            <v>BC2712521-001-001</v>
          </cell>
          <cell r="D5341" t="str">
            <v>A</v>
          </cell>
          <cell r="E5341" t="str">
            <v>工序内容</v>
          </cell>
          <cell r="F5341" t="str">
            <v>00领料</v>
          </cell>
          <cell r="G5341" t="str">
            <v>05/数铣</v>
          </cell>
          <cell r="H5341" t="str">
            <v>10/数铣15</v>
          </cell>
          <cell r="I5341" t="str">
            <v>15/数铣42</v>
          </cell>
          <cell r="J5341" t="str">
            <v>20/数铣65</v>
          </cell>
          <cell r="K5341" t="str">
            <v>25/数铣25</v>
          </cell>
          <cell r="L5341" t="str">
            <v>30/五轴3</v>
          </cell>
          <cell r="M5341" t="str">
            <v>35/分光</v>
          </cell>
          <cell r="N5341" t="str">
            <v>40/硬度</v>
          </cell>
          <cell r="O5341" t="str">
            <v>45/检验</v>
          </cell>
          <cell r="P5341" t="str">
            <v>50/数铣5</v>
          </cell>
          <cell r="Q5341" t="str">
            <v>55数铣4</v>
          </cell>
          <cell r="R5341" t="str">
            <v>60/数铣5</v>
          </cell>
          <cell r="S5341" t="str">
            <v>65/数铣8</v>
          </cell>
          <cell r="T5341" t="str">
            <v>70/数铣6</v>
          </cell>
          <cell r="U5341" t="str">
            <v>75/数铣5</v>
          </cell>
          <cell r="V5341" t="str">
            <v>80/测量</v>
          </cell>
          <cell r="W5341" t="str">
            <v>85/钳工</v>
          </cell>
          <cell r="X5341" t="str">
            <v>90/清洁</v>
          </cell>
          <cell r="Y5341" t="str">
            <v>95/成检</v>
          </cell>
        </row>
        <row r="5342">
          <cell r="B5342" t="str">
            <v>BC2712521-001-001</v>
          </cell>
          <cell r="D5342" t="str">
            <v>A</v>
          </cell>
          <cell r="E5342" t="str">
            <v>准备工时</v>
          </cell>
          <cell r="G5342">
            <v>60</v>
          </cell>
          <cell r="H5342">
            <v>60</v>
          </cell>
          <cell r="I5342">
            <v>60</v>
          </cell>
          <cell r="J5342">
            <v>120</v>
          </cell>
          <cell r="K5342">
            <v>120</v>
          </cell>
          <cell r="L5342">
            <v>120</v>
          </cell>
          <cell r="P5342">
            <v>90</v>
          </cell>
          <cell r="Q5342">
            <v>90</v>
          </cell>
          <cell r="R5342">
            <v>60</v>
          </cell>
          <cell r="S5342">
            <v>90</v>
          </cell>
          <cell r="T5342">
            <v>60</v>
          </cell>
          <cell r="U5342">
            <v>60</v>
          </cell>
        </row>
        <row r="5343">
          <cell r="B5343" t="str">
            <v>BC2712521-001-001</v>
          </cell>
          <cell r="D5343" t="str">
            <v>A</v>
          </cell>
          <cell r="E5343" t="str">
            <v>程序时间</v>
          </cell>
          <cell r="G5343">
            <v>40</v>
          </cell>
          <cell r="H5343">
            <v>60</v>
          </cell>
          <cell r="I5343">
            <v>80</v>
          </cell>
          <cell r="J5343">
            <v>100</v>
          </cell>
          <cell r="K5343">
            <v>70</v>
          </cell>
          <cell r="L5343">
            <v>50</v>
          </cell>
          <cell r="P5343">
            <v>50</v>
          </cell>
          <cell r="Q5343">
            <v>40</v>
          </cell>
          <cell r="R5343">
            <v>20</v>
          </cell>
          <cell r="S5343">
            <v>50</v>
          </cell>
          <cell r="T5343">
            <v>25</v>
          </cell>
          <cell r="U5343">
            <v>25</v>
          </cell>
          <cell r="W5343">
            <v>90</v>
          </cell>
        </row>
        <row r="5344">
          <cell r="B5344" t="str">
            <v>DD-J10-54101-201</v>
          </cell>
          <cell r="D5344" t="str">
            <v>H</v>
          </cell>
          <cell r="E5344" t="str">
            <v>工序内容</v>
          </cell>
          <cell r="F5344" t="str">
            <v>0/领料</v>
          </cell>
          <cell r="G5344" t="str">
            <v>5/下料</v>
          </cell>
          <cell r="H5344" t="str">
            <v>10/数铣</v>
          </cell>
          <cell r="I5344" t="str">
            <v>15/数铣45</v>
          </cell>
          <cell r="J5344" t="str">
            <v>20/数铣25</v>
          </cell>
          <cell r="K5344" t="str">
            <v>25/数铣160</v>
          </cell>
          <cell r="L5344" t="str">
            <v>30/钳工</v>
          </cell>
          <cell r="M5344" t="str">
            <v>35/清洁</v>
          </cell>
          <cell r="N5344" t="str">
            <v>40/检验</v>
          </cell>
          <cell r="O5344" t="str">
            <v>45/复验</v>
          </cell>
          <cell r="P5344" t="str">
            <v>50/分光</v>
          </cell>
          <cell r="Q5344" t="str">
            <v>55/钳工</v>
          </cell>
          <cell r="R5344" t="str">
            <v>60/成检</v>
          </cell>
        </row>
        <row r="5345">
          <cell r="B5345" t="str">
            <v>DD-J10-54101-201</v>
          </cell>
          <cell r="D5345" t="str">
            <v>H</v>
          </cell>
          <cell r="E5345" t="str">
            <v>准备工时</v>
          </cell>
          <cell r="H5345">
            <v>60</v>
          </cell>
          <cell r="I5345">
            <v>90</v>
          </cell>
          <cell r="J5345">
            <v>90</v>
          </cell>
          <cell r="K5345">
            <v>60</v>
          </cell>
        </row>
        <row r="5346">
          <cell r="B5346" t="str">
            <v>DD-J10-54101-201</v>
          </cell>
          <cell r="D5346" t="str">
            <v>H</v>
          </cell>
          <cell r="E5346" t="str">
            <v>程序时间</v>
          </cell>
          <cell r="G5346">
            <v>40</v>
          </cell>
          <cell r="H5346">
            <v>180</v>
          </cell>
          <cell r="I5346">
            <v>65</v>
          </cell>
          <cell r="J5346">
            <v>45</v>
          </cell>
          <cell r="K5346">
            <v>180</v>
          </cell>
          <cell r="L5346" t="str">
            <v>75</v>
          </cell>
          <cell r="Q5346">
            <v>5</v>
          </cell>
        </row>
        <row r="5347">
          <cell r="B5347" t="str">
            <v>5319C97003G71</v>
          </cell>
          <cell r="D5347" t="str">
            <v>A</v>
          </cell>
          <cell r="E5347" t="str">
            <v>工序内容</v>
          </cell>
          <cell r="F5347" t="str">
            <v>00领料</v>
          </cell>
          <cell r="G5347" t="str">
            <v>05数铣</v>
          </cell>
          <cell r="H5347" t="str">
            <v>10数铣40</v>
          </cell>
          <cell r="I5347" t="str">
            <v>15/线切割</v>
          </cell>
          <cell r="J5347" t="str">
            <v>20数铣</v>
          </cell>
          <cell r="K5347" t="str">
            <v>25/测量</v>
          </cell>
          <cell r="L5347" t="str">
            <v>30/钳工</v>
          </cell>
          <cell r="M5347" t="str">
            <v>35清洁</v>
          </cell>
          <cell r="N5347" t="str">
            <v>40成检</v>
          </cell>
        </row>
        <row r="5348">
          <cell r="B5348" t="str">
            <v>5319C97003G71</v>
          </cell>
          <cell r="D5348" t="str">
            <v>A</v>
          </cell>
          <cell r="E5348" t="str">
            <v>准备工时</v>
          </cell>
          <cell r="G5348">
            <v>60</v>
          </cell>
          <cell r="H5348">
            <v>90</v>
          </cell>
          <cell r="J5348">
            <v>60</v>
          </cell>
        </row>
        <row r="5349">
          <cell r="B5349" t="str">
            <v>5319C97003G71</v>
          </cell>
          <cell r="D5349" t="str">
            <v>A</v>
          </cell>
          <cell r="E5349" t="str">
            <v>程序时间</v>
          </cell>
          <cell r="G5349">
            <v>40</v>
          </cell>
          <cell r="H5349">
            <v>60</v>
          </cell>
          <cell r="J5349">
            <v>20</v>
          </cell>
          <cell r="L5349">
            <v>45</v>
          </cell>
        </row>
        <row r="5350">
          <cell r="B5350" t="str">
            <v>5319C97004G71</v>
          </cell>
          <cell r="D5350" t="str">
            <v>A</v>
          </cell>
          <cell r="E5350" t="str">
            <v>工序内容</v>
          </cell>
          <cell r="F5350" t="str">
            <v>00领料</v>
          </cell>
          <cell r="G5350" t="str">
            <v>05数铣</v>
          </cell>
          <cell r="H5350" t="str">
            <v>10数铣40</v>
          </cell>
          <cell r="I5350" t="str">
            <v>15/线切割</v>
          </cell>
          <cell r="J5350" t="str">
            <v>20数铣</v>
          </cell>
          <cell r="K5350" t="str">
            <v>25/测量</v>
          </cell>
          <cell r="L5350" t="str">
            <v>30/钳工</v>
          </cell>
          <cell r="M5350" t="str">
            <v>35清洁</v>
          </cell>
          <cell r="N5350" t="str">
            <v>40成检</v>
          </cell>
        </row>
        <row r="5351">
          <cell r="B5351" t="str">
            <v>5319C97004G71</v>
          </cell>
          <cell r="D5351" t="str">
            <v>A</v>
          </cell>
          <cell r="E5351" t="str">
            <v>准备工时</v>
          </cell>
          <cell r="G5351">
            <v>60</v>
          </cell>
          <cell r="H5351">
            <v>90</v>
          </cell>
          <cell r="J5351">
            <v>60</v>
          </cell>
        </row>
        <row r="5352">
          <cell r="B5352" t="str">
            <v>5319C97004G71</v>
          </cell>
          <cell r="D5352" t="str">
            <v>A</v>
          </cell>
          <cell r="E5352" t="str">
            <v>程序时间</v>
          </cell>
          <cell r="G5352">
            <v>40</v>
          </cell>
          <cell r="H5352">
            <v>60</v>
          </cell>
          <cell r="J5352">
            <v>20</v>
          </cell>
          <cell r="L5352">
            <v>45</v>
          </cell>
        </row>
        <row r="5353">
          <cell r="B5353" t="str">
            <v>5312C45001G71</v>
          </cell>
          <cell r="D5353" t="str">
            <v>A</v>
          </cell>
          <cell r="E5353" t="str">
            <v>工序内容</v>
          </cell>
          <cell r="F5353" t="str">
            <v>00领料</v>
          </cell>
          <cell r="G5353" t="str">
            <v>05/数铣</v>
          </cell>
          <cell r="H5353" t="str">
            <v>10数铣</v>
          </cell>
          <cell r="I5353" t="str">
            <v>15/数铣</v>
          </cell>
          <cell r="J5353" t="str">
            <v>20/数铣</v>
          </cell>
          <cell r="K5353" t="str">
            <v>25/钳工</v>
          </cell>
          <cell r="L5353" t="str">
            <v>30测量</v>
          </cell>
          <cell r="M5353" t="str">
            <v>35/清洁</v>
          </cell>
          <cell r="N5353" t="str">
            <v>40/成检</v>
          </cell>
        </row>
        <row r="5354">
          <cell r="B5354" t="str">
            <v>5312C45001G71</v>
          </cell>
          <cell r="D5354" t="str">
            <v>A</v>
          </cell>
          <cell r="E5354" t="str">
            <v>准备工时</v>
          </cell>
          <cell r="G5354">
            <v>90</v>
          </cell>
          <cell r="H5354">
            <v>90</v>
          </cell>
          <cell r="I5354">
            <v>90</v>
          </cell>
          <cell r="J5354">
            <v>90</v>
          </cell>
        </row>
        <row r="5355">
          <cell r="B5355" t="str">
            <v>5312C45001G71</v>
          </cell>
          <cell r="D5355" t="str">
            <v>A</v>
          </cell>
          <cell r="E5355" t="str">
            <v>装夹时间</v>
          </cell>
          <cell r="G5355">
            <v>90</v>
          </cell>
          <cell r="H5355">
            <v>90</v>
          </cell>
          <cell r="I5355">
            <v>120</v>
          </cell>
          <cell r="J5355">
            <v>120</v>
          </cell>
        </row>
        <row r="5356">
          <cell r="B5356" t="str">
            <v>5312C45001G71</v>
          </cell>
          <cell r="D5356" t="str">
            <v>A</v>
          </cell>
          <cell r="E5356" t="str">
            <v>程序时间</v>
          </cell>
          <cell r="G5356">
            <v>240</v>
          </cell>
          <cell r="H5356">
            <v>600</v>
          </cell>
          <cell r="I5356">
            <v>180</v>
          </cell>
          <cell r="J5356">
            <v>60</v>
          </cell>
          <cell r="K5356">
            <v>300</v>
          </cell>
        </row>
        <row r="5357">
          <cell r="B5357" t="str">
            <v>5317C03011G71</v>
          </cell>
          <cell r="D5357" t="str">
            <v>A</v>
          </cell>
          <cell r="E5357" t="str">
            <v>工序内容</v>
          </cell>
          <cell r="F5357" t="str">
            <v>00领料</v>
          </cell>
          <cell r="G5357" t="str">
            <v>05/数铣</v>
          </cell>
          <cell r="H5357" t="str">
            <v>10数铣25</v>
          </cell>
          <cell r="I5357" t="str">
            <v>15/数铣50</v>
          </cell>
          <cell r="J5357" t="str">
            <v>20/自然失效</v>
          </cell>
          <cell r="K5357" t="str">
            <v>25/数铣</v>
          </cell>
          <cell r="L5357" t="str">
            <v>30数铣15</v>
          </cell>
          <cell r="M5357" t="str">
            <v>35/数铣70</v>
          </cell>
          <cell r="N5357" t="str">
            <v>40测量</v>
          </cell>
          <cell r="O5357" t="str">
            <v>45/钳工</v>
          </cell>
          <cell r="P5357" t="str">
            <v>50/清洁</v>
          </cell>
          <cell r="Q5357" t="str">
            <v>55/成检</v>
          </cell>
        </row>
        <row r="5358">
          <cell r="B5358" t="str">
            <v>5317C03011G71</v>
          </cell>
          <cell r="D5358" t="str">
            <v>A</v>
          </cell>
          <cell r="E5358" t="str">
            <v>准备工时</v>
          </cell>
          <cell r="G5358">
            <v>60</v>
          </cell>
          <cell r="H5358">
            <v>90</v>
          </cell>
          <cell r="I5358">
            <v>60</v>
          </cell>
          <cell r="K5358">
            <v>60</v>
          </cell>
          <cell r="L5358">
            <v>60</v>
          </cell>
          <cell r="M5358">
            <v>90</v>
          </cell>
        </row>
        <row r="5359">
          <cell r="B5359" t="str">
            <v>5317C03011G71</v>
          </cell>
          <cell r="D5359" t="str">
            <v>A</v>
          </cell>
          <cell r="E5359" t="str">
            <v>装夹时间</v>
          </cell>
          <cell r="G5359">
            <v>60</v>
          </cell>
          <cell r="H5359">
            <v>60</v>
          </cell>
          <cell r="I5359">
            <v>60</v>
          </cell>
          <cell r="K5359">
            <v>60</v>
          </cell>
          <cell r="L5359">
            <v>60</v>
          </cell>
          <cell r="M5359">
            <v>90</v>
          </cell>
        </row>
        <row r="5360">
          <cell r="B5360" t="str">
            <v>5317C03011G71</v>
          </cell>
          <cell r="D5360" t="str">
            <v>A</v>
          </cell>
          <cell r="E5360" t="str">
            <v>程序时间</v>
          </cell>
          <cell r="G5360">
            <v>180</v>
          </cell>
          <cell r="H5360">
            <v>60</v>
          </cell>
          <cell r="I5360">
            <v>80</v>
          </cell>
          <cell r="K5360">
            <v>180</v>
          </cell>
          <cell r="L5360">
            <v>60</v>
          </cell>
          <cell r="M5360">
            <v>120</v>
          </cell>
          <cell r="O5360">
            <v>300</v>
          </cell>
        </row>
        <row r="5361">
          <cell r="B5361" t="str">
            <v>5317C03009G71</v>
          </cell>
          <cell r="D5361" t="str">
            <v>A</v>
          </cell>
          <cell r="E5361" t="str">
            <v>工序内容</v>
          </cell>
          <cell r="F5361" t="str">
            <v>00领料</v>
          </cell>
          <cell r="G5361" t="str">
            <v>05/数铣</v>
          </cell>
          <cell r="H5361" t="str">
            <v>10数铣25</v>
          </cell>
          <cell r="I5361" t="str">
            <v>15/数铣50</v>
          </cell>
          <cell r="J5361" t="str">
            <v>20/自然失效</v>
          </cell>
          <cell r="K5361" t="str">
            <v>25/数铣</v>
          </cell>
          <cell r="L5361" t="str">
            <v>30数铣15</v>
          </cell>
          <cell r="M5361" t="str">
            <v>35/数铣70</v>
          </cell>
          <cell r="N5361" t="str">
            <v>40测量</v>
          </cell>
          <cell r="O5361" t="str">
            <v>45/钳工</v>
          </cell>
          <cell r="P5361" t="str">
            <v>50/清洁</v>
          </cell>
          <cell r="Q5361" t="str">
            <v>55/成检</v>
          </cell>
        </row>
        <row r="5362">
          <cell r="B5362" t="str">
            <v>5317C03009G71</v>
          </cell>
          <cell r="D5362" t="str">
            <v>A</v>
          </cell>
          <cell r="E5362" t="str">
            <v>准备工时</v>
          </cell>
          <cell r="G5362">
            <v>60</v>
          </cell>
          <cell r="H5362">
            <v>90</v>
          </cell>
          <cell r="I5362">
            <v>60</v>
          </cell>
          <cell r="K5362">
            <v>60</v>
          </cell>
          <cell r="L5362">
            <v>60</v>
          </cell>
          <cell r="M5362">
            <v>90</v>
          </cell>
        </row>
        <row r="5363">
          <cell r="B5363" t="str">
            <v>5317C03009G71</v>
          </cell>
          <cell r="D5363" t="str">
            <v>A</v>
          </cell>
          <cell r="E5363" t="str">
            <v>装夹时间</v>
          </cell>
          <cell r="G5363">
            <v>60</v>
          </cell>
          <cell r="H5363">
            <v>60</v>
          </cell>
          <cell r="I5363">
            <v>60</v>
          </cell>
          <cell r="K5363">
            <v>60</v>
          </cell>
          <cell r="L5363">
            <v>60</v>
          </cell>
          <cell r="M5363">
            <v>90</v>
          </cell>
        </row>
        <row r="5364">
          <cell r="B5364" t="str">
            <v>5317C03009G71</v>
          </cell>
          <cell r="D5364" t="str">
            <v>A</v>
          </cell>
          <cell r="E5364" t="str">
            <v>程序时间</v>
          </cell>
          <cell r="G5364">
            <v>180</v>
          </cell>
          <cell r="H5364">
            <v>60</v>
          </cell>
          <cell r="I5364">
            <v>80</v>
          </cell>
          <cell r="K5364">
            <v>180</v>
          </cell>
          <cell r="L5364">
            <v>60</v>
          </cell>
          <cell r="M5364">
            <v>120</v>
          </cell>
          <cell r="O5364">
            <v>300</v>
          </cell>
        </row>
        <row r="5365">
          <cell r="B5365" t="str">
            <v>5317C03005G71</v>
          </cell>
          <cell r="D5365" t="str">
            <v>A</v>
          </cell>
          <cell r="E5365" t="str">
            <v>工序内容</v>
          </cell>
          <cell r="F5365" t="str">
            <v>00领料</v>
          </cell>
          <cell r="G5365" t="str">
            <v>05/数铣</v>
          </cell>
          <cell r="H5365" t="str">
            <v>10数铣25</v>
          </cell>
          <cell r="I5365" t="str">
            <v>15/数铣50</v>
          </cell>
          <cell r="J5365" t="str">
            <v>20/自然失效</v>
          </cell>
          <cell r="K5365" t="str">
            <v>25/数铣</v>
          </cell>
          <cell r="L5365" t="str">
            <v>30数铣15</v>
          </cell>
          <cell r="M5365" t="str">
            <v>35/数铣70</v>
          </cell>
          <cell r="N5365" t="str">
            <v>40测量</v>
          </cell>
          <cell r="O5365" t="str">
            <v>45/钳工</v>
          </cell>
          <cell r="P5365" t="str">
            <v>50/清洁</v>
          </cell>
          <cell r="Q5365" t="str">
            <v>55/成检</v>
          </cell>
        </row>
        <row r="5366">
          <cell r="B5366" t="str">
            <v>5317C03005G71</v>
          </cell>
          <cell r="D5366" t="str">
            <v>A</v>
          </cell>
          <cell r="E5366" t="str">
            <v>准备工时</v>
          </cell>
          <cell r="G5366">
            <v>60</v>
          </cell>
          <cell r="H5366">
            <v>90</v>
          </cell>
          <cell r="I5366">
            <v>60</v>
          </cell>
          <cell r="K5366">
            <v>60</v>
          </cell>
          <cell r="L5366">
            <v>60</v>
          </cell>
          <cell r="M5366">
            <v>90</v>
          </cell>
        </row>
        <row r="5367">
          <cell r="B5367" t="str">
            <v>5317C03005G71</v>
          </cell>
          <cell r="D5367" t="str">
            <v>A</v>
          </cell>
          <cell r="E5367" t="str">
            <v>装夹时间</v>
          </cell>
          <cell r="G5367">
            <v>60</v>
          </cell>
          <cell r="H5367">
            <v>60</v>
          </cell>
          <cell r="I5367">
            <v>60</v>
          </cell>
          <cell r="K5367">
            <v>60</v>
          </cell>
          <cell r="L5367">
            <v>60</v>
          </cell>
          <cell r="M5367">
            <v>90</v>
          </cell>
        </row>
        <row r="5368">
          <cell r="B5368" t="str">
            <v>5317C03005G71</v>
          </cell>
          <cell r="D5368" t="str">
            <v>A</v>
          </cell>
          <cell r="E5368" t="str">
            <v>程序时间</v>
          </cell>
          <cell r="G5368">
            <v>180</v>
          </cell>
          <cell r="H5368">
            <v>60</v>
          </cell>
          <cell r="I5368">
            <v>80</v>
          </cell>
          <cell r="K5368">
            <v>180</v>
          </cell>
          <cell r="L5368">
            <v>60</v>
          </cell>
          <cell r="M5368">
            <v>120</v>
          </cell>
          <cell r="O5368">
            <v>300</v>
          </cell>
        </row>
        <row r="5369">
          <cell r="B5369" t="str">
            <v>5317C03015G71</v>
          </cell>
          <cell r="D5369" t="str">
            <v>A</v>
          </cell>
          <cell r="E5369" t="str">
            <v>工序内容</v>
          </cell>
          <cell r="F5369" t="str">
            <v>00领料</v>
          </cell>
          <cell r="G5369" t="str">
            <v>05下料</v>
          </cell>
          <cell r="H5369" t="str">
            <v>10数铣</v>
          </cell>
          <cell r="I5369" t="str">
            <v>15数铣50</v>
          </cell>
          <cell r="J5369" t="str">
            <v>20数铣20</v>
          </cell>
          <cell r="K5369" t="str">
            <v>25/数铣5</v>
          </cell>
          <cell r="L5369" t="str">
            <v>30/钳工</v>
          </cell>
          <cell r="M5369" t="str">
            <v>35/清洁</v>
          </cell>
          <cell r="N5369" t="str">
            <v>40/成检</v>
          </cell>
        </row>
        <row r="5370">
          <cell r="B5370" t="str">
            <v>5317C03015G71</v>
          </cell>
          <cell r="D5370" t="str">
            <v>A</v>
          </cell>
          <cell r="E5370" t="str">
            <v>准备工时</v>
          </cell>
          <cell r="H5370">
            <v>60</v>
          </cell>
          <cell r="I5370">
            <v>90</v>
          </cell>
          <cell r="J5370">
            <v>60</v>
          </cell>
          <cell r="K5370">
            <v>60</v>
          </cell>
        </row>
        <row r="5371">
          <cell r="B5371" t="str">
            <v>5317C03015G71</v>
          </cell>
          <cell r="D5371" t="str">
            <v>A</v>
          </cell>
          <cell r="E5371" t="str">
            <v>程序时间</v>
          </cell>
          <cell r="H5371">
            <v>40</v>
          </cell>
          <cell r="I5371">
            <v>90</v>
          </cell>
          <cell r="J5371">
            <v>25</v>
          </cell>
          <cell r="K5371">
            <v>15</v>
          </cell>
          <cell r="L5371">
            <v>40</v>
          </cell>
        </row>
        <row r="5372">
          <cell r="B5372" t="str">
            <v>5317C03017G71</v>
          </cell>
          <cell r="D5372" t="str">
            <v>A</v>
          </cell>
          <cell r="E5372" t="str">
            <v>工序内容</v>
          </cell>
          <cell r="F5372" t="str">
            <v>00领料</v>
          </cell>
          <cell r="G5372" t="str">
            <v>05下料</v>
          </cell>
          <cell r="H5372" t="str">
            <v>10数铣</v>
          </cell>
          <cell r="I5372" t="str">
            <v>15数铣50</v>
          </cell>
          <cell r="J5372" t="str">
            <v>20数铣30</v>
          </cell>
          <cell r="K5372" t="str">
            <v>25/数铣5</v>
          </cell>
          <cell r="L5372" t="str">
            <v>30/钳工</v>
          </cell>
          <cell r="M5372" t="str">
            <v>35/清洁</v>
          </cell>
          <cell r="N5372" t="str">
            <v>40/成检</v>
          </cell>
        </row>
        <row r="5373">
          <cell r="B5373" t="str">
            <v>5317C03017G71</v>
          </cell>
          <cell r="D5373" t="str">
            <v>A</v>
          </cell>
          <cell r="E5373" t="str">
            <v>准备工时</v>
          </cell>
          <cell r="H5373">
            <v>60</v>
          </cell>
          <cell r="I5373">
            <v>90</v>
          </cell>
          <cell r="J5373">
            <v>60</v>
          </cell>
          <cell r="K5373">
            <v>60</v>
          </cell>
        </row>
        <row r="5374">
          <cell r="B5374" t="str">
            <v>5317C03017G71</v>
          </cell>
          <cell r="D5374" t="str">
            <v>A</v>
          </cell>
          <cell r="E5374" t="str">
            <v>程序时间</v>
          </cell>
          <cell r="H5374">
            <v>40</v>
          </cell>
          <cell r="I5374">
            <v>90</v>
          </cell>
          <cell r="J5374">
            <v>70</v>
          </cell>
          <cell r="K5374">
            <v>20</v>
          </cell>
          <cell r="L5374">
            <v>40</v>
          </cell>
        </row>
        <row r="5375">
          <cell r="B5375" t="str">
            <v>5317C05061G70</v>
          </cell>
          <cell r="D5375" t="str">
            <v>A</v>
          </cell>
          <cell r="E5375" t="str">
            <v>工序内容</v>
          </cell>
          <cell r="F5375" t="str">
            <v>00领料</v>
          </cell>
          <cell r="G5375" t="str">
            <v>05/数铣</v>
          </cell>
          <cell r="H5375" t="str">
            <v>10数铣12</v>
          </cell>
          <cell r="I5375" t="str">
            <v>15/数铣46</v>
          </cell>
          <cell r="J5375" t="str">
            <v>20/数铣58</v>
          </cell>
          <cell r="K5375" t="str">
            <v>25/数铣12</v>
          </cell>
          <cell r="L5375" t="str">
            <v>30数铣45</v>
          </cell>
          <cell r="M5375" t="str">
            <v>35/数铣5</v>
          </cell>
          <cell r="N5375" t="str">
            <v>40/测量</v>
          </cell>
          <cell r="O5375" t="str">
            <v>45/钳工</v>
          </cell>
          <cell r="P5375" t="str">
            <v>50/清洁</v>
          </cell>
          <cell r="Q5375" t="str">
            <v>55/成检</v>
          </cell>
        </row>
        <row r="5376">
          <cell r="B5376" t="str">
            <v>5317C05061G70</v>
          </cell>
          <cell r="D5376" t="str">
            <v>A</v>
          </cell>
          <cell r="E5376" t="str">
            <v>准备工时</v>
          </cell>
          <cell r="G5376">
            <v>60</v>
          </cell>
          <cell r="H5376">
            <v>90</v>
          </cell>
          <cell r="I5376">
            <v>60</v>
          </cell>
          <cell r="J5376">
            <v>90</v>
          </cell>
          <cell r="K5376">
            <v>60</v>
          </cell>
          <cell r="L5376">
            <v>60</v>
          </cell>
          <cell r="M5376">
            <v>60</v>
          </cell>
        </row>
        <row r="5377">
          <cell r="B5377" t="str">
            <v>5317C05061G70</v>
          </cell>
          <cell r="D5377" t="str">
            <v>A</v>
          </cell>
          <cell r="E5377" t="str">
            <v>程序时间</v>
          </cell>
          <cell r="G5377">
            <v>45</v>
          </cell>
          <cell r="H5377">
            <v>35</v>
          </cell>
          <cell r="I5377">
            <v>80</v>
          </cell>
          <cell r="J5377">
            <v>100</v>
          </cell>
          <cell r="K5377">
            <v>35</v>
          </cell>
          <cell r="L5377">
            <v>80</v>
          </cell>
          <cell r="M5377">
            <v>20</v>
          </cell>
          <cell r="O5377">
            <v>90</v>
          </cell>
        </row>
        <row r="5378">
          <cell r="B5378" t="str">
            <v>5317C03019G71</v>
          </cell>
          <cell r="D5378" t="str">
            <v>A</v>
          </cell>
          <cell r="E5378" t="str">
            <v>工序内容</v>
          </cell>
          <cell r="F5378" t="str">
            <v>00领料</v>
          </cell>
          <cell r="G5378" t="str">
            <v>05/数铣</v>
          </cell>
          <cell r="H5378" t="str">
            <v>10数铣35</v>
          </cell>
          <cell r="I5378" t="str">
            <v>15数铣45</v>
          </cell>
          <cell r="J5378" t="str">
            <v>20钳工</v>
          </cell>
          <cell r="K5378" t="str">
            <v>25/数铣5</v>
          </cell>
          <cell r="L5378" t="str">
            <v>30数铣5</v>
          </cell>
          <cell r="M5378" t="str">
            <v>35钳工</v>
          </cell>
          <cell r="N5378" t="str">
            <v>40清洁</v>
          </cell>
          <cell r="O5378" t="str">
            <v>45成检</v>
          </cell>
        </row>
        <row r="5379">
          <cell r="B5379" t="str">
            <v>5317C03019G71</v>
          </cell>
          <cell r="D5379" t="str">
            <v>A</v>
          </cell>
          <cell r="E5379" t="str">
            <v>准备工时</v>
          </cell>
          <cell r="G5379">
            <v>60</v>
          </cell>
          <cell r="H5379">
            <v>90</v>
          </cell>
          <cell r="I5379">
            <v>90</v>
          </cell>
          <cell r="K5379">
            <v>60</v>
          </cell>
          <cell r="L5379">
            <v>60</v>
          </cell>
        </row>
        <row r="5380">
          <cell r="B5380" t="str">
            <v>5317C03019G71</v>
          </cell>
          <cell r="D5380" t="str">
            <v>A</v>
          </cell>
          <cell r="E5380" t="str">
            <v>程序时间</v>
          </cell>
          <cell r="G5380">
            <v>20</v>
          </cell>
          <cell r="H5380">
            <v>70</v>
          </cell>
          <cell r="I5380">
            <v>80</v>
          </cell>
          <cell r="J5380">
            <v>40</v>
          </cell>
          <cell r="K5380">
            <v>20</v>
          </cell>
          <cell r="L5380">
            <v>20</v>
          </cell>
          <cell r="M5380">
            <v>30</v>
          </cell>
        </row>
        <row r="5381">
          <cell r="B5381" t="str">
            <v>GU5714000-003R003</v>
          </cell>
          <cell r="D5381" t="str">
            <v>A</v>
          </cell>
          <cell r="E5381" t="str">
            <v>工序内容</v>
          </cell>
          <cell r="F5381" t="str">
            <v>2/数铣</v>
          </cell>
          <cell r="G5381" t="str">
            <v>5/数铣</v>
          </cell>
          <cell r="H5381" t="str">
            <v>10/数铣20</v>
          </cell>
          <cell r="I5381" t="str">
            <v>15/数铣100</v>
          </cell>
          <cell r="J5381" t="str">
            <v>20/数铣75</v>
          </cell>
          <cell r="K5381" t="str">
            <v>25/时效</v>
          </cell>
          <cell r="L5381" t="str">
            <v>30/数铣</v>
          </cell>
          <cell r="M5381" t="str">
            <v>35/数铣260</v>
          </cell>
          <cell r="N5381" t="str">
            <v>40/数铣220</v>
          </cell>
          <cell r="O5381" t="str">
            <v>45/钳工</v>
          </cell>
          <cell r="P5381" t="str">
            <v>50/测量</v>
          </cell>
          <cell r="Q5381" t="str">
            <v>55/清洁</v>
          </cell>
          <cell r="R5381" t="str">
            <v>60/成检</v>
          </cell>
        </row>
        <row r="5382">
          <cell r="B5382" t="str">
            <v>GU5714000-003R003</v>
          </cell>
          <cell r="D5382" t="str">
            <v>A</v>
          </cell>
          <cell r="E5382" t="str">
            <v>准备工时</v>
          </cell>
          <cell r="F5382">
            <v>60</v>
          </cell>
          <cell r="G5382">
            <v>60</v>
          </cell>
          <cell r="H5382">
            <v>60</v>
          </cell>
          <cell r="I5382">
            <v>90</v>
          </cell>
          <cell r="J5382">
            <v>90</v>
          </cell>
          <cell r="L5382">
            <v>60</v>
          </cell>
          <cell r="M5382">
            <v>90</v>
          </cell>
          <cell r="N5382">
            <v>60</v>
          </cell>
        </row>
        <row r="5383">
          <cell r="B5383" t="str">
            <v>GU5714000-003R003</v>
          </cell>
          <cell r="D5383" t="str">
            <v>A</v>
          </cell>
          <cell r="E5383" t="str">
            <v>程序时间</v>
          </cell>
          <cell r="F5383">
            <v>40</v>
          </cell>
          <cell r="G5383">
            <v>40</v>
          </cell>
          <cell r="H5383">
            <v>80</v>
          </cell>
          <cell r="I5383">
            <v>240</v>
          </cell>
          <cell r="J5383">
            <v>210</v>
          </cell>
          <cell r="L5383">
            <v>150</v>
          </cell>
          <cell r="M5383">
            <v>570</v>
          </cell>
          <cell r="N5383">
            <v>360</v>
          </cell>
          <cell r="O5383">
            <v>180</v>
          </cell>
        </row>
        <row r="5384">
          <cell r="B5384" t="str">
            <v>5317C03023G71</v>
          </cell>
          <cell r="D5384" t="str">
            <v>A</v>
          </cell>
          <cell r="E5384" t="str">
            <v>工序内容</v>
          </cell>
          <cell r="F5384" t="str">
            <v>00领料</v>
          </cell>
          <cell r="G5384" t="str">
            <v>05/数铣</v>
          </cell>
          <cell r="H5384" t="str">
            <v>10数铣15</v>
          </cell>
          <cell r="I5384" t="str">
            <v>15数铣90</v>
          </cell>
          <cell r="J5384" t="str">
            <v>20数铣</v>
          </cell>
          <cell r="K5384" t="str">
            <v>25/钳工</v>
          </cell>
          <cell r="L5384" t="str">
            <v>30清洁</v>
          </cell>
          <cell r="M5384" t="str">
            <v>35成检</v>
          </cell>
        </row>
        <row r="5385">
          <cell r="B5385" t="str">
            <v>5317C03023G71</v>
          </cell>
          <cell r="D5385" t="str">
            <v>A</v>
          </cell>
          <cell r="E5385" t="str">
            <v>准备工时</v>
          </cell>
          <cell r="G5385">
            <v>60</v>
          </cell>
          <cell r="H5385">
            <v>90</v>
          </cell>
          <cell r="I5385">
            <v>90</v>
          </cell>
          <cell r="J5385">
            <v>60</v>
          </cell>
        </row>
        <row r="5386">
          <cell r="B5386" t="str">
            <v>5317C03023G71</v>
          </cell>
          <cell r="D5386" t="str">
            <v>A</v>
          </cell>
          <cell r="E5386" t="str">
            <v>程序时间</v>
          </cell>
          <cell r="G5386">
            <v>20</v>
          </cell>
          <cell r="H5386">
            <v>35</v>
          </cell>
          <cell r="I5386">
            <v>150</v>
          </cell>
          <cell r="J5386">
            <v>25</v>
          </cell>
          <cell r="K5386">
            <v>30</v>
          </cell>
        </row>
        <row r="5387">
          <cell r="B5387" t="str">
            <v>5319C22021G71</v>
          </cell>
          <cell r="D5387" t="str">
            <v>A</v>
          </cell>
          <cell r="E5387" t="str">
            <v>工序内容</v>
          </cell>
          <cell r="F5387" t="str">
            <v>00领料</v>
          </cell>
          <cell r="G5387" t="str">
            <v>05下料</v>
          </cell>
          <cell r="H5387" t="str">
            <v>10数铣</v>
          </cell>
          <cell r="I5387" t="str">
            <v>15数铣50</v>
          </cell>
          <cell r="J5387" t="str">
            <v>20线切割</v>
          </cell>
          <cell r="K5387" t="str">
            <v>25/校形</v>
          </cell>
          <cell r="L5387" t="str">
            <v>30数铣</v>
          </cell>
          <cell r="M5387" t="str">
            <v>35数铣2</v>
          </cell>
          <cell r="N5387" t="str">
            <v>40数铣2</v>
          </cell>
          <cell r="O5387" t="str">
            <v>45钳工</v>
          </cell>
          <cell r="P5387" t="str">
            <v>50清洁</v>
          </cell>
          <cell r="Q5387" t="str">
            <v>55成检</v>
          </cell>
        </row>
        <row r="5388">
          <cell r="B5388" t="str">
            <v>5319C22021G71</v>
          </cell>
          <cell r="D5388" t="str">
            <v>A</v>
          </cell>
          <cell r="E5388" t="str">
            <v>准备工时</v>
          </cell>
          <cell r="H5388">
            <v>60</v>
          </cell>
          <cell r="I5388">
            <v>90</v>
          </cell>
          <cell r="L5388">
            <v>60</v>
          </cell>
          <cell r="M5388">
            <v>60</v>
          </cell>
          <cell r="N5388">
            <v>60</v>
          </cell>
        </row>
        <row r="5389">
          <cell r="B5389" t="str">
            <v>5319C22021G71</v>
          </cell>
          <cell r="D5389" t="str">
            <v>A</v>
          </cell>
          <cell r="E5389" t="str">
            <v>程序时间</v>
          </cell>
          <cell r="H5389">
            <v>40</v>
          </cell>
          <cell r="I5389">
            <v>80</v>
          </cell>
          <cell r="K5389">
            <v>20</v>
          </cell>
          <cell r="L5389">
            <v>30</v>
          </cell>
          <cell r="M5389">
            <v>20</v>
          </cell>
          <cell r="N5389">
            <v>20</v>
          </cell>
          <cell r="O5389">
            <v>40</v>
          </cell>
        </row>
        <row r="5390">
          <cell r="B5390" t="str">
            <v>DD-J10-21102-2-Z</v>
          </cell>
          <cell r="D5390" t="str">
            <v>E</v>
          </cell>
          <cell r="E5390" t="str">
            <v>工序内容</v>
          </cell>
          <cell r="F5390" t="str">
            <v>2/数铣</v>
          </cell>
          <cell r="G5390" t="str">
            <v>5/数铣20</v>
          </cell>
          <cell r="H5390" t="str">
            <v>10/数铣130</v>
          </cell>
          <cell r="I5390" t="str">
            <v>15/钳工</v>
          </cell>
          <cell r="J5390" t="str">
            <v>17/清洁</v>
          </cell>
          <cell r="K5390" t="str">
            <v>20/成检</v>
          </cell>
        </row>
        <row r="5391">
          <cell r="B5391" t="str">
            <v>DD-J10-21102-2-Z</v>
          </cell>
          <cell r="D5391" t="str">
            <v>E</v>
          </cell>
          <cell r="E5391" t="str">
            <v>准备工时</v>
          </cell>
          <cell r="F5391">
            <v>60</v>
          </cell>
          <cell r="G5391">
            <v>90</v>
          </cell>
          <cell r="H5391">
            <v>120</v>
          </cell>
        </row>
        <row r="5392">
          <cell r="B5392" t="str">
            <v>DD-J10-21102-2-Z</v>
          </cell>
          <cell r="D5392" t="str">
            <v>E</v>
          </cell>
          <cell r="E5392" t="str">
            <v>装夹时间</v>
          </cell>
          <cell r="F5392">
            <v>90</v>
          </cell>
          <cell r="G5392">
            <v>120</v>
          </cell>
          <cell r="H5392">
            <v>120</v>
          </cell>
        </row>
        <row r="5393">
          <cell r="B5393" t="str">
            <v>DD-J10-21102-2-Z</v>
          </cell>
          <cell r="D5393" t="str">
            <v>E</v>
          </cell>
          <cell r="E5393" t="str">
            <v>程序时间</v>
          </cell>
          <cell r="F5393">
            <v>360</v>
          </cell>
          <cell r="G5393">
            <v>240</v>
          </cell>
          <cell r="H5393">
            <v>480</v>
          </cell>
          <cell r="I5393">
            <v>720</v>
          </cell>
        </row>
        <row r="5394">
          <cell r="B5394" t="str">
            <v>DD-J10-21102-2-Y</v>
          </cell>
          <cell r="D5394" t="str">
            <v>E</v>
          </cell>
          <cell r="E5394" t="str">
            <v>工序内容</v>
          </cell>
          <cell r="F5394" t="str">
            <v>2/数铣</v>
          </cell>
          <cell r="G5394" t="str">
            <v>5/数铣20</v>
          </cell>
          <cell r="H5394" t="str">
            <v>10/数铣130</v>
          </cell>
          <cell r="I5394" t="str">
            <v>15/钳工</v>
          </cell>
          <cell r="J5394" t="str">
            <v>17/清洁</v>
          </cell>
          <cell r="K5394" t="str">
            <v>20/成检</v>
          </cell>
        </row>
        <row r="5395">
          <cell r="B5395" t="str">
            <v>DD-J10-21102-2-Y</v>
          </cell>
          <cell r="D5395" t="str">
            <v>E</v>
          </cell>
          <cell r="E5395" t="str">
            <v>准备工时</v>
          </cell>
          <cell r="F5395">
            <v>60</v>
          </cell>
          <cell r="G5395">
            <v>90</v>
          </cell>
          <cell r="H5395">
            <v>120</v>
          </cell>
        </row>
        <row r="5396">
          <cell r="B5396" t="str">
            <v>DD-J10-21102-2-Y</v>
          </cell>
          <cell r="D5396" t="str">
            <v>E</v>
          </cell>
          <cell r="E5396" t="str">
            <v>装夹时间</v>
          </cell>
          <cell r="F5396">
            <v>90</v>
          </cell>
          <cell r="G5396">
            <v>120</v>
          </cell>
          <cell r="H5396">
            <v>120</v>
          </cell>
        </row>
        <row r="5397">
          <cell r="B5397" t="str">
            <v>DD-J10-21102-2-Y</v>
          </cell>
          <cell r="D5397" t="str">
            <v>E</v>
          </cell>
          <cell r="E5397" t="str">
            <v>程序时间</v>
          </cell>
          <cell r="F5397">
            <v>360</v>
          </cell>
          <cell r="G5397">
            <v>240</v>
          </cell>
          <cell r="H5397">
            <v>480</v>
          </cell>
          <cell r="I5397">
            <v>720</v>
          </cell>
        </row>
        <row r="5398">
          <cell r="B5398" t="str">
            <v>DD-J10B-77101-963</v>
          </cell>
          <cell r="D5398" t="str">
            <v>B</v>
          </cell>
          <cell r="E5398" t="str">
            <v>工序内容</v>
          </cell>
          <cell r="F5398" t="str">
            <v>0/领料</v>
          </cell>
          <cell r="G5398" t="str">
            <v>05/数车</v>
          </cell>
          <cell r="H5398" t="str">
            <v>10/数铣</v>
          </cell>
          <cell r="I5398" t="str">
            <v>15/数铣</v>
          </cell>
          <cell r="J5398" t="str">
            <v>20/数铣</v>
          </cell>
          <cell r="K5398" t="str">
            <v>25/线切割</v>
          </cell>
          <cell r="L5398" t="str">
            <v>30/数铣</v>
          </cell>
          <cell r="M5398" t="str">
            <v>35/数铣</v>
          </cell>
          <cell r="N5398" t="str">
            <v>40/数铣</v>
          </cell>
          <cell r="O5398" t="str">
            <v>45/钳工</v>
          </cell>
          <cell r="P5398" t="str">
            <v>50/清洁</v>
          </cell>
          <cell r="Q5398" t="str">
            <v>55/中检</v>
          </cell>
          <cell r="R5398" t="str">
            <v>60/分光</v>
          </cell>
          <cell r="S5398" t="str">
            <v>65/硬度</v>
          </cell>
          <cell r="T5398" t="str">
            <v>70/钳工</v>
          </cell>
          <cell r="U5398" t="str">
            <v>75/成检</v>
          </cell>
        </row>
        <row r="5399">
          <cell r="B5399" t="str">
            <v>DD-J10B-77101-963</v>
          </cell>
          <cell r="D5399" t="str">
            <v>B</v>
          </cell>
          <cell r="E5399" t="str">
            <v>准备工时</v>
          </cell>
          <cell r="G5399">
            <v>60</v>
          </cell>
          <cell r="H5399">
            <v>60</v>
          </cell>
          <cell r="I5399">
            <v>90</v>
          </cell>
          <cell r="J5399">
            <v>60</v>
          </cell>
          <cell r="L5399">
            <v>60</v>
          </cell>
          <cell r="M5399">
            <v>60</v>
          </cell>
          <cell r="N5399" t="str">
            <v>90</v>
          </cell>
        </row>
        <row r="5400">
          <cell r="B5400" t="str">
            <v>DD-J10B-77101-963</v>
          </cell>
          <cell r="D5400" t="str">
            <v>B</v>
          </cell>
          <cell r="E5400" t="str">
            <v>程序时间</v>
          </cell>
          <cell r="G5400">
            <v>10</v>
          </cell>
          <cell r="H5400">
            <v>15</v>
          </cell>
          <cell r="I5400">
            <v>20</v>
          </cell>
          <cell r="J5400">
            <v>20</v>
          </cell>
          <cell r="L5400">
            <v>17</v>
          </cell>
          <cell r="M5400">
            <v>15</v>
          </cell>
          <cell r="N5400" t="str">
            <v>20</v>
          </cell>
          <cell r="O5400" t="str">
            <v>25</v>
          </cell>
          <cell r="T5400">
            <v>10</v>
          </cell>
        </row>
        <row r="5401">
          <cell r="B5401" t="str">
            <v>DD-J10B-02081-61-Z</v>
          </cell>
          <cell r="D5401" t="str">
            <v>A</v>
          </cell>
          <cell r="E5401" t="str">
            <v>工序内容</v>
          </cell>
          <cell r="F5401" t="str">
            <v>0/领料</v>
          </cell>
          <cell r="G5401" t="str">
            <v>5/线切割</v>
          </cell>
          <cell r="H5401" t="str">
            <v>10/数铣10</v>
          </cell>
          <cell r="I5401" t="str">
            <v>15/钳工</v>
          </cell>
          <cell r="J5401" t="str">
            <v>20/测量</v>
          </cell>
          <cell r="K5401" t="str">
            <v>25/清洁</v>
          </cell>
          <cell r="L5401" t="str">
            <v>30/成检</v>
          </cell>
        </row>
        <row r="5402">
          <cell r="B5402" t="str">
            <v>DD-J10B-02081-61-Z</v>
          </cell>
          <cell r="D5402" t="str">
            <v>A</v>
          </cell>
          <cell r="E5402" t="str">
            <v>准备工时</v>
          </cell>
          <cell r="H5402">
            <v>60</v>
          </cell>
        </row>
        <row r="5403">
          <cell r="B5403" t="str">
            <v>DD-J10B-02081-61-Z</v>
          </cell>
          <cell r="D5403" t="str">
            <v>A</v>
          </cell>
          <cell r="E5403" t="str">
            <v>程序时间</v>
          </cell>
          <cell r="H5403">
            <v>25</v>
          </cell>
          <cell r="I5403">
            <v>20</v>
          </cell>
        </row>
        <row r="5404">
          <cell r="B5404" t="str">
            <v>DD-J10-41173-141</v>
          </cell>
          <cell r="D5404" t="str">
            <v>H</v>
          </cell>
          <cell r="E5404" t="str">
            <v>工序内容</v>
          </cell>
          <cell r="F5404" t="str">
            <v>0/领料</v>
          </cell>
          <cell r="G5404" t="str">
            <v>5/数铣</v>
          </cell>
          <cell r="H5404" t="str">
            <v>10/数铣10</v>
          </cell>
          <cell r="I5404" t="str">
            <v>15/数铣20</v>
          </cell>
          <cell r="J5404" t="str">
            <v>20/数铣10</v>
          </cell>
          <cell r="K5404" t="str">
            <v>25/数铣20</v>
          </cell>
          <cell r="L5404" t="str">
            <v>30/检验</v>
          </cell>
          <cell r="M5404" t="str">
            <v>35/入厂复验</v>
          </cell>
          <cell r="N5404" t="str">
            <v>40/热处理</v>
          </cell>
          <cell r="O5404" t="str">
            <v>45/平磨</v>
          </cell>
          <cell r="P5404" t="str">
            <v>50/数铣15</v>
          </cell>
          <cell r="Q5404" t="str">
            <v>55/数铣5</v>
          </cell>
          <cell r="R5404" t="str">
            <v>60/数铣15</v>
          </cell>
          <cell r="S5404" t="str">
            <v>65/钳工</v>
          </cell>
          <cell r="T5404" t="str">
            <v>70/清洁</v>
          </cell>
          <cell r="U5404" t="str">
            <v>75/成检</v>
          </cell>
        </row>
        <row r="5405">
          <cell r="B5405" t="str">
            <v>DD-J10-41173-141</v>
          </cell>
          <cell r="D5405" t="str">
            <v>H</v>
          </cell>
          <cell r="E5405" t="str">
            <v>准备工时</v>
          </cell>
          <cell r="G5405">
            <v>60</v>
          </cell>
          <cell r="H5405">
            <v>60</v>
          </cell>
          <cell r="I5405">
            <v>120</v>
          </cell>
          <cell r="J5405">
            <v>90</v>
          </cell>
          <cell r="K5405">
            <v>90</v>
          </cell>
          <cell r="P5405">
            <v>120</v>
          </cell>
          <cell r="Q5405">
            <v>120</v>
          </cell>
          <cell r="R5405">
            <v>120</v>
          </cell>
        </row>
        <row r="5406">
          <cell r="B5406" t="str">
            <v>DD-J10-41173-141</v>
          </cell>
          <cell r="D5406" t="str">
            <v>H</v>
          </cell>
          <cell r="E5406" t="str">
            <v>程序时间</v>
          </cell>
          <cell r="G5406">
            <v>20</v>
          </cell>
          <cell r="H5406">
            <v>25</v>
          </cell>
          <cell r="I5406">
            <v>50</v>
          </cell>
          <cell r="J5406">
            <v>25</v>
          </cell>
          <cell r="K5406">
            <v>40</v>
          </cell>
          <cell r="P5406">
            <v>60</v>
          </cell>
          <cell r="Q5406">
            <v>30</v>
          </cell>
          <cell r="R5406">
            <v>20</v>
          </cell>
          <cell r="S5406">
            <v>30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计划"/>
      <sheetName val="Sheet3"/>
      <sheetName val="机床号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计划"/>
      <sheetName val="Sheet3"/>
      <sheetName val="机床号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固定资产"/>
      <sheetName val="九院成本"/>
      <sheetName val="双流成本"/>
      <sheetName val="导管成本"/>
      <sheetName val="成飞半成品"/>
      <sheetName val="费用总表1月"/>
      <sheetName val="设备分摊"/>
      <sheetName val="车工"/>
      <sheetName val="铣工"/>
      <sheetName val="钳工"/>
      <sheetName val="准备工"/>
      <sheetName val="图号汇总"/>
      <sheetName val="图号分拆"/>
      <sheetName val="Sheet1"/>
      <sheetName val="Sheet2"/>
      <sheetName val="成本归集"/>
      <sheetName val="工资工时"/>
      <sheetName val="工种名单"/>
    </sheetNames>
    <sheetDataSet>
      <sheetData sheetId="0"/>
      <sheetData sheetId="1">
        <row r="4">
          <cell r="A4" t="str">
            <v>2019-04-N-38</v>
          </cell>
          <cell r="B4" t="str">
            <v>1N-2019-03-080</v>
          </cell>
        </row>
        <row r="5">
          <cell r="A5" t="str">
            <v>2019-07-N-59</v>
          </cell>
          <cell r="B5" t="str">
            <v>1N-2019-07-021</v>
          </cell>
        </row>
        <row r="6">
          <cell r="A6" t="str">
            <v>2019-09-N-05</v>
          </cell>
          <cell r="B6" t="str">
            <v>1N-2019-08-053</v>
          </cell>
        </row>
        <row r="7">
          <cell r="A7" t="str">
            <v>2019-09-N-22</v>
          </cell>
          <cell r="B7" t="str">
            <v>1N-2019-08-065</v>
          </cell>
        </row>
        <row r="8">
          <cell r="A8" t="str">
            <v>2019-09-N-25</v>
          </cell>
          <cell r="B8" t="str">
            <v>1N-2019-08-067</v>
          </cell>
        </row>
        <row r="9">
          <cell r="A9" t="str">
            <v>2019-09-N-50</v>
          </cell>
          <cell r="B9" t="str">
            <v>1N-2019-09-027</v>
          </cell>
        </row>
        <row r="10">
          <cell r="A10" t="str">
            <v>2019-11-N-04</v>
          </cell>
          <cell r="B10" t="str">
            <v>1N-2019-10-040</v>
          </cell>
        </row>
        <row r="11">
          <cell r="A11" t="str">
            <v>2019-11-N-7</v>
          </cell>
          <cell r="B11" t="str">
            <v>试制件</v>
          </cell>
        </row>
        <row r="12">
          <cell r="A12" t="str">
            <v>2019-12-N-17</v>
          </cell>
          <cell r="B12" t="str">
            <v>1N-2019-12-010</v>
          </cell>
        </row>
        <row r="13">
          <cell r="A13" t="str">
            <v>2020-01-N-03</v>
          </cell>
          <cell r="B13" t="str">
            <v>1N-2019-12-032</v>
          </cell>
        </row>
        <row r="14">
          <cell r="A14" t="str">
            <v>2020-01-N-12</v>
          </cell>
          <cell r="B14" t="str">
            <v>1N-2019-12-029</v>
          </cell>
        </row>
        <row r="15">
          <cell r="A15" t="str">
            <v>2020-03-N-06</v>
          </cell>
          <cell r="B15" t="str">
            <v>1N-2020-01-075</v>
          </cell>
        </row>
        <row r="16">
          <cell r="A16" t="str">
            <v>2020-03-N-89</v>
          </cell>
          <cell r="B16" t="str">
            <v>1N-2020-03-079</v>
          </cell>
        </row>
        <row r="17">
          <cell r="A17" t="str">
            <v>2020-04-N-39</v>
          </cell>
          <cell r="B17" t="str">
            <v>1N-2020-04-039</v>
          </cell>
        </row>
        <row r="18">
          <cell r="A18" t="str">
            <v>2020-07-N-67</v>
          </cell>
          <cell r="B18" t="str">
            <v>1N-2020-06-067</v>
          </cell>
        </row>
        <row r="19">
          <cell r="A19" t="str">
            <v>2020-08-N-45</v>
          </cell>
          <cell r="B19" t="str">
            <v>1N-2020-08-008</v>
          </cell>
        </row>
        <row r="20">
          <cell r="A20" t="str">
            <v>2020-09-N-66</v>
          </cell>
          <cell r="B20" t="str">
            <v>1N-2020-09-070</v>
          </cell>
        </row>
        <row r="21">
          <cell r="A21" t="str">
            <v>2020-10-N-35</v>
          </cell>
          <cell r="B21" t="str">
            <v>1N-2020-09-040</v>
          </cell>
        </row>
        <row r="22">
          <cell r="A22" t="str">
            <v>2020-10-N-44</v>
          </cell>
          <cell r="B22" t="str">
            <v>1N-2020-10-011</v>
          </cell>
        </row>
        <row r="23">
          <cell r="A23" t="str">
            <v>2020-10-N-75</v>
          </cell>
          <cell r="B23" t="str">
            <v>1N-2020-10-025</v>
          </cell>
        </row>
        <row r="24">
          <cell r="A24" t="str">
            <v>2020-11-N-21</v>
          </cell>
          <cell r="B24" t="str">
            <v>1N-2020-10-071</v>
          </cell>
        </row>
        <row r="25">
          <cell r="A25" t="str">
            <v>2020-11-N-33</v>
          </cell>
          <cell r="B25" t="str">
            <v>1N-2020-10-056</v>
          </cell>
        </row>
        <row r="26">
          <cell r="A26" t="str">
            <v>2020-11-N-47</v>
          </cell>
          <cell r="B26" t="str">
            <v>1N-2020-10-092</v>
          </cell>
        </row>
        <row r="27">
          <cell r="A27" t="str">
            <v>2020-11-N-72</v>
          </cell>
          <cell r="B27" t="str">
            <v>1N-2020-11-031</v>
          </cell>
        </row>
        <row r="28">
          <cell r="A28" t="str">
            <v>2020-12-N-01</v>
          </cell>
          <cell r="B28" t="str">
            <v>1N-2020-11-027</v>
          </cell>
        </row>
        <row r="29">
          <cell r="A29" t="str">
            <v>2020-12-N-04</v>
          </cell>
          <cell r="B29" t="str">
            <v>1N-2020-11-029</v>
          </cell>
        </row>
        <row r="30">
          <cell r="A30" t="str">
            <v>2020-12-N-10</v>
          </cell>
          <cell r="B30" t="str">
            <v>1N-2020-11-076</v>
          </cell>
        </row>
        <row r="31">
          <cell r="A31" t="str">
            <v>2020-12-N-13</v>
          </cell>
          <cell r="B31" t="str">
            <v>1N-2020-10-062</v>
          </cell>
        </row>
        <row r="32">
          <cell r="A32" t="str">
            <v>2020-12-N-24</v>
          </cell>
          <cell r="B32" t="str">
            <v>1N-2020-11-036</v>
          </cell>
        </row>
        <row r="33">
          <cell r="A33" t="str">
            <v>2020-12-N-87</v>
          </cell>
          <cell r="B33" t="str">
            <v>1N-2020-12-069</v>
          </cell>
        </row>
        <row r="34">
          <cell r="A34" t="str">
            <v>2021-01-N-08</v>
          </cell>
          <cell r="B34" t="str">
            <v>1N-2020-12-030</v>
          </cell>
        </row>
        <row r="35">
          <cell r="A35" t="str">
            <v>2021-01-N-13</v>
          </cell>
          <cell r="B35" t="str">
            <v>1N-2020-12-070</v>
          </cell>
        </row>
        <row r="36">
          <cell r="A36" t="str">
            <v>2021-01-N-15</v>
          </cell>
          <cell r="B36" t="str">
            <v>1N-2020-12-081</v>
          </cell>
        </row>
        <row r="37">
          <cell r="A37" t="str">
            <v>2021-01-N-16</v>
          </cell>
          <cell r="B37" t="str">
            <v>1N-2020-12-071</v>
          </cell>
        </row>
        <row r="38">
          <cell r="A38" t="str">
            <v>2021-01-N-19</v>
          </cell>
          <cell r="B38" t="str">
            <v>1N-2020-12-042</v>
          </cell>
        </row>
        <row r="39">
          <cell r="A39" t="str">
            <v>2021-01-N-23</v>
          </cell>
          <cell r="B39" t="str">
            <v>1N-2020-12-050</v>
          </cell>
        </row>
        <row r="40">
          <cell r="A40" t="str">
            <v>2021-01-N-41</v>
          </cell>
          <cell r="B40" t="str">
            <v>1N-2020-12-078</v>
          </cell>
        </row>
        <row r="41">
          <cell r="A41" t="str">
            <v>2021-01-N-43</v>
          </cell>
          <cell r="B41" t="str">
            <v>1N-2020-12-090</v>
          </cell>
        </row>
        <row r="42">
          <cell r="A42" t="str">
            <v>2021-01-N-46</v>
          </cell>
          <cell r="B42" t="str">
            <v>1N-2021-01-029</v>
          </cell>
        </row>
        <row r="43">
          <cell r="A43" t="str">
            <v>2021-01-N-61</v>
          </cell>
          <cell r="B43" t="str">
            <v>1N-2020-12-015</v>
          </cell>
        </row>
        <row r="44">
          <cell r="A44" t="str">
            <v>2021-01-N-62</v>
          </cell>
          <cell r="B44" t="str">
            <v>1N-2020-12-018</v>
          </cell>
        </row>
        <row r="45">
          <cell r="A45" t="str">
            <v>2021-01-N-68</v>
          </cell>
          <cell r="B45" t="str">
            <v>1N-2020-11-087</v>
          </cell>
        </row>
        <row r="46">
          <cell r="A46" t="str">
            <v>2021-01-N-76</v>
          </cell>
          <cell r="B46" t="str">
            <v>1N-2021-01-039</v>
          </cell>
        </row>
        <row r="47">
          <cell r="A47" t="str">
            <v>2021-01-N-90</v>
          </cell>
          <cell r="B47" t="str">
            <v>1N-2020-11-073</v>
          </cell>
        </row>
      </sheetData>
      <sheetData sheetId="2"/>
      <sheetData sheetId="3"/>
      <sheetData sheetId="4">
        <row r="3">
          <cell r="A3" t="str">
            <v>存货代码</v>
          </cell>
          <cell r="B3" t="str">
            <v>产品名称</v>
          </cell>
        </row>
        <row r="4">
          <cell r="A4" t="str">
            <v>5210A000000X009</v>
          </cell>
          <cell r="B4" t="str">
            <v>垫圈</v>
          </cell>
        </row>
        <row r="5">
          <cell r="A5" t="str">
            <v>5210A000001G010</v>
          </cell>
          <cell r="B5" t="str">
            <v>止动螺钉</v>
          </cell>
        </row>
        <row r="6">
          <cell r="A6" t="str">
            <v>5214A000025G010</v>
          </cell>
          <cell r="B6" t="str">
            <v>手柄</v>
          </cell>
        </row>
        <row r="7">
          <cell r="A7" t="str">
            <v>5215A000007G010</v>
          </cell>
          <cell r="B7" t="str">
            <v>门下轴-铰链</v>
          </cell>
        </row>
        <row r="8">
          <cell r="A8" t="str">
            <v>521A1100-001-001 B1</v>
          </cell>
          <cell r="B8" t="str">
            <v>接头</v>
          </cell>
        </row>
        <row r="9">
          <cell r="A9" t="str">
            <v>521A1100-002-001 C</v>
          </cell>
          <cell r="B9" t="str">
            <v>接头</v>
          </cell>
        </row>
        <row r="10">
          <cell r="A10" t="str">
            <v>521A1150-001-001</v>
          </cell>
          <cell r="B10" t="str">
            <v>接头</v>
          </cell>
        </row>
        <row r="11">
          <cell r="A11" t="str">
            <v>521A4000-015-001</v>
          </cell>
          <cell r="B11" t="str">
            <v>轴</v>
          </cell>
        </row>
        <row r="12">
          <cell r="A12" t="str">
            <v>521A4000-039-001</v>
          </cell>
          <cell r="B12" t="str">
            <v>轴</v>
          </cell>
        </row>
        <row r="13">
          <cell r="A13" t="str">
            <v>521A4180-001-001</v>
          </cell>
          <cell r="B13" t="str">
            <v>端头</v>
          </cell>
        </row>
        <row r="14">
          <cell r="A14" t="str">
            <v>521A4210-000-003</v>
          </cell>
          <cell r="B14" t="str">
            <v>钢管</v>
          </cell>
        </row>
        <row r="15">
          <cell r="A15" t="str">
            <v>521A4260-000-003</v>
          </cell>
          <cell r="B15" t="str">
            <v>管子</v>
          </cell>
        </row>
        <row r="16">
          <cell r="A16" t="str">
            <v>521A4300-002-001</v>
          </cell>
          <cell r="B16" t="str">
            <v>轴</v>
          </cell>
        </row>
        <row r="17">
          <cell r="A17" t="str">
            <v>524A2230-001-001</v>
          </cell>
          <cell r="B17" t="str">
            <v>服务门上折板角形合页</v>
          </cell>
        </row>
        <row r="18">
          <cell r="A18" t="str">
            <v>524A2230-002-001</v>
          </cell>
          <cell r="B18" t="str">
            <v>服务门上折板平板合页</v>
          </cell>
        </row>
        <row r="19">
          <cell r="A19" t="str">
            <v>524A2240-001-001</v>
          </cell>
          <cell r="B19" t="str">
            <v>服务门下折板角形合页</v>
          </cell>
        </row>
        <row r="20">
          <cell r="A20" t="str">
            <v>524A2240-002-001</v>
          </cell>
          <cell r="B20" t="str">
            <v>服务门下折板平板合页</v>
          </cell>
        </row>
        <row r="21">
          <cell r="A21" t="str">
            <v>524A2300-011-001</v>
          </cell>
          <cell r="B21" t="str">
            <v>转轴</v>
          </cell>
        </row>
        <row r="22">
          <cell r="A22" t="str">
            <v>528A1210-000-003</v>
          </cell>
          <cell r="B22" t="str">
            <v>铰链</v>
          </cell>
        </row>
        <row r="23">
          <cell r="A23" t="str">
            <v>528A1210-000-003 C</v>
          </cell>
          <cell r="B23" t="str">
            <v>铰链</v>
          </cell>
        </row>
        <row r="24">
          <cell r="A24" t="str">
            <v>528A1210-000-004</v>
          </cell>
          <cell r="B24" t="str">
            <v>铰链</v>
          </cell>
        </row>
        <row r="25">
          <cell r="A25" t="str">
            <v>529A1000-006-001</v>
          </cell>
          <cell r="B25" t="str">
            <v>舱门轴</v>
          </cell>
        </row>
        <row r="26">
          <cell r="A26" t="str">
            <v>529A1200-002-002 E1</v>
          </cell>
          <cell r="B26" t="str">
            <v>铰链接头</v>
          </cell>
        </row>
        <row r="27">
          <cell r="A27" t="str">
            <v>529A4300-003-001</v>
          </cell>
          <cell r="B27" t="str">
            <v>U形转轴</v>
          </cell>
        </row>
        <row r="28">
          <cell r="A28" t="str">
            <v>529A4310-002-001</v>
          </cell>
          <cell r="B28" t="str">
            <v>堵头</v>
          </cell>
        </row>
        <row r="29">
          <cell r="A29" t="str">
            <v>529A4310-004-001</v>
          </cell>
          <cell r="B29" t="str">
            <v>垫圈</v>
          </cell>
        </row>
        <row r="30">
          <cell r="A30" t="str">
            <v>5312C02301G70</v>
          </cell>
          <cell r="B30" t="str">
            <v>雷达罩导销</v>
          </cell>
        </row>
        <row r="31">
          <cell r="A31" t="str">
            <v>531A1100-015-001 B</v>
          </cell>
          <cell r="B31" t="str">
            <v>合页</v>
          </cell>
        </row>
        <row r="32">
          <cell r="A32" t="str">
            <v>531A3420-000-029 A</v>
          </cell>
          <cell r="B32" t="str">
            <v>地板支撑件</v>
          </cell>
        </row>
        <row r="33">
          <cell r="A33" t="str">
            <v>531A3420-000-035 A</v>
          </cell>
          <cell r="B33" t="str">
            <v>地板支撑件</v>
          </cell>
        </row>
        <row r="34">
          <cell r="A34" t="str">
            <v>531A3420-000-041 B</v>
          </cell>
          <cell r="B34" t="str">
            <v>地板支撑件</v>
          </cell>
        </row>
        <row r="35">
          <cell r="A35" t="str">
            <v>531A3420-000-165 A</v>
          </cell>
          <cell r="B35" t="str">
            <v>地板支撑件</v>
          </cell>
        </row>
        <row r="36">
          <cell r="A36" t="str">
            <v>531A4200-061-001</v>
          </cell>
          <cell r="B36" t="str">
            <v>螺栓</v>
          </cell>
        </row>
        <row r="37">
          <cell r="A37" t="str">
            <v>531A9100-007-001</v>
          </cell>
          <cell r="B37" t="str">
            <v>前起落架水平接头</v>
          </cell>
        </row>
        <row r="38">
          <cell r="A38" t="str">
            <v>531A9110-001-001</v>
          </cell>
          <cell r="B38" t="str">
            <v>前起落架舱门结构支撑梁</v>
          </cell>
        </row>
        <row r="39">
          <cell r="A39" t="str">
            <v>531A9800-009-001</v>
          </cell>
          <cell r="B39" t="str">
            <v>支座</v>
          </cell>
        </row>
        <row r="40">
          <cell r="A40" t="str">
            <v>561A3310-007-501</v>
          </cell>
          <cell r="B40" t="str">
            <v>衬套</v>
          </cell>
        </row>
        <row r="41">
          <cell r="A41" t="str">
            <v>561A3341-005-501</v>
          </cell>
          <cell r="B41" t="str">
            <v>滚轮</v>
          </cell>
        </row>
        <row r="42">
          <cell r="A42" t="str">
            <v>561A3351-002-501</v>
          </cell>
          <cell r="B42" t="str">
            <v>滚轮转轴</v>
          </cell>
        </row>
        <row r="43">
          <cell r="A43" t="str">
            <v>BC22103LP-001-001</v>
          </cell>
          <cell r="B43" t="str">
            <v>支架</v>
          </cell>
        </row>
        <row r="44">
          <cell r="A44" t="str">
            <v>BC221T1AC-003-001</v>
          </cell>
          <cell r="B44" t="str">
            <v>传感器座</v>
          </cell>
        </row>
        <row r="45">
          <cell r="A45" t="str">
            <v>BC221T1BB-001-001</v>
          </cell>
          <cell r="B45" t="str">
            <v>法兰</v>
          </cell>
        </row>
        <row r="46">
          <cell r="A46" t="str">
            <v>BC221T2MF-002-001</v>
          </cell>
          <cell r="B46" t="str">
            <v>传感器底座</v>
          </cell>
        </row>
        <row r="47">
          <cell r="A47" t="str">
            <v>BC2271603-001-004</v>
          </cell>
          <cell r="B47" t="str">
            <v>加速度传感器组件过渡支架</v>
          </cell>
        </row>
        <row r="48">
          <cell r="A48" t="str">
            <v>BC2280241-060-001</v>
          </cell>
          <cell r="B48" t="str">
            <v>带柔性接头的法兰（Φ60）</v>
          </cell>
        </row>
        <row r="49">
          <cell r="A49" t="str">
            <v>BC2281242-001-001</v>
          </cell>
          <cell r="B49" t="str">
            <v>支座</v>
          </cell>
        </row>
        <row r="50">
          <cell r="A50" t="str">
            <v>BC2281650-005-001</v>
          </cell>
          <cell r="B50" t="str">
            <v>角片</v>
          </cell>
        </row>
        <row r="51">
          <cell r="A51" t="str">
            <v>BC2281650-006-001</v>
          </cell>
          <cell r="B51" t="str">
            <v>角片</v>
          </cell>
        </row>
        <row r="52">
          <cell r="A52" t="str">
            <v>BC2282305-001-001</v>
          </cell>
          <cell r="B52" t="str">
            <v>转接接头</v>
          </cell>
        </row>
        <row r="53">
          <cell r="A53" t="str">
            <v>BC2282340-001-001</v>
          </cell>
          <cell r="B53" t="str">
            <v>带管接嘴法兰4</v>
          </cell>
        </row>
        <row r="54">
          <cell r="A54" t="str">
            <v>BC2282340-002-001</v>
          </cell>
          <cell r="B54" t="str">
            <v>带管接嘴法兰4</v>
          </cell>
        </row>
        <row r="55">
          <cell r="A55" t="str">
            <v>BC2291150-001-001</v>
          </cell>
          <cell r="B55" t="str">
            <v>安全阀支架底板</v>
          </cell>
        </row>
        <row r="56">
          <cell r="A56" t="str">
            <v>BC22931A0-011-001</v>
          </cell>
          <cell r="B56" t="str">
            <v>支架</v>
          </cell>
        </row>
        <row r="57">
          <cell r="A57" t="str">
            <v>BC2295121-002-001</v>
          </cell>
          <cell r="B57" t="str">
            <v>三通接头</v>
          </cell>
        </row>
        <row r="58">
          <cell r="A58" t="str">
            <v>BC2295132-002-002</v>
          </cell>
          <cell r="B58" t="str">
            <v>三通接头</v>
          </cell>
        </row>
        <row r="59">
          <cell r="A59" t="str">
            <v>3D</v>
          </cell>
          <cell r="B59" t="str">
            <v>3D打印</v>
          </cell>
        </row>
        <row r="60">
          <cell r="A60" t="str">
            <v>BC22971A1-005-001</v>
          </cell>
          <cell r="B60" t="str">
            <v>缓冲头</v>
          </cell>
        </row>
        <row r="61">
          <cell r="A61" t="str">
            <v>BC22971B1-002-001</v>
          </cell>
          <cell r="B61" t="str">
            <v>带限流的直通过框接头</v>
          </cell>
        </row>
        <row r="62">
          <cell r="A62" t="str">
            <v>BC2298150-005-001</v>
          </cell>
          <cell r="B62" t="str">
            <v>摇臂</v>
          </cell>
        </row>
        <row r="63">
          <cell r="A63" t="str">
            <v>BC2299175-001-001</v>
          </cell>
          <cell r="B63" t="str">
            <v>支架</v>
          </cell>
        </row>
        <row r="64">
          <cell r="A64" t="str">
            <v>BC2299241-004-001</v>
          </cell>
          <cell r="B64" t="str">
            <v>套筒</v>
          </cell>
        </row>
        <row r="65">
          <cell r="A65" t="str">
            <v>BC2332200-001-001</v>
          </cell>
          <cell r="B65" t="str">
            <v>卡钉</v>
          </cell>
        </row>
        <row r="66">
          <cell r="A66" t="str">
            <v>BC2332H01-008-001</v>
          </cell>
          <cell r="B66" t="str">
            <v>衬套</v>
          </cell>
        </row>
        <row r="67">
          <cell r="A67" t="str">
            <v>BC2563130-002-001</v>
          </cell>
          <cell r="B67" t="str">
            <v>支座</v>
          </cell>
        </row>
        <row r="68">
          <cell r="A68" t="str">
            <v>BC2711110-003-001</v>
          </cell>
          <cell r="B68" t="str">
            <v>螺纹堵盖</v>
          </cell>
        </row>
        <row r="69">
          <cell r="A69" t="str">
            <v>BC2711364-001-001</v>
          </cell>
          <cell r="B69" t="str">
            <v>螺母1</v>
          </cell>
        </row>
        <row r="70">
          <cell r="A70" t="str">
            <v>BC2712521-001-001</v>
          </cell>
          <cell r="B70" t="str">
            <v>摇臂</v>
          </cell>
        </row>
        <row r="71">
          <cell r="A71" t="str">
            <v>BC2712521-001-004</v>
          </cell>
          <cell r="B71" t="str">
            <v>摇臂</v>
          </cell>
        </row>
        <row r="72">
          <cell r="A72" t="str">
            <v>BC2712521-004-004</v>
          </cell>
          <cell r="B72" t="str">
            <v>限位销</v>
          </cell>
        </row>
        <row r="73">
          <cell r="A73" t="str">
            <v>BC2712522-001-001</v>
          </cell>
          <cell r="B73" t="str">
            <v>支座</v>
          </cell>
        </row>
        <row r="74">
          <cell r="A74" t="str">
            <v>BC2712522-001-004</v>
          </cell>
          <cell r="B74" t="str">
            <v>支座</v>
          </cell>
        </row>
        <row r="75">
          <cell r="A75" t="str">
            <v>BC27149G2-002-001</v>
          </cell>
          <cell r="B75" t="str">
            <v>管</v>
          </cell>
        </row>
        <row r="76">
          <cell r="A76" t="str">
            <v>BC2716320-001-003</v>
          </cell>
          <cell r="B76" t="str">
            <v>插槽</v>
          </cell>
        </row>
        <row r="77">
          <cell r="A77" t="str">
            <v>BC3012210-001-002</v>
          </cell>
          <cell r="B77" t="str">
            <v>前左斜操纵台</v>
          </cell>
        </row>
        <row r="78">
          <cell r="A78" t="str">
            <v>BC3101123-021-001</v>
          </cell>
          <cell r="B78" t="str">
            <v>梯形螺栓</v>
          </cell>
        </row>
        <row r="79">
          <cell r="A79" t="str">
            <v>BC3101242-012-001</v>
          </cell>
          <cell r="B79" t="str">
            <v>锁柄</v>
          </cell>
        </row>
        <row r="80">
          <cell r="A80" t="str">
            <v>BC3101242-013L001</v>
          </cell>
          <cell r="B80" t="str">
            <v>套筒</v>
          </cell>
        </row>
        <row r="81">
          <cell r="A81" t="str">
            <v>BC3101242-013R001</v>
          </cell>
          <cell r="B81" t="str">
            <v>套筒</v>
          </cell>
        </row>
        <row r="82">
          <cell r="A82" t="str">
            <v>BC3101300-005-001</v>
          </cell>
          <cell r="B82" t="str">
            <v>下支座螺栓</v>
          </cell>
        </row>
        <row r="83">
          <cell r="A83" t="str">
            <v>BC3230400-001-003</v>
          </cell>
          <cell r="B83" t="str">
            <v>过渡板</v>
          </cell>
        </row>
        <row r="84">
          <cell r="A84" t="str">
            <v>BC3230400-001-300</v>
          </cell>
          <cell r="B84" t="str">
            <v>过渡板</v>
          </cell>
        </row>
        <row r="85">
          <cell r="A85" t="str">
            <v>BC3230500-001-003</v>
          </cell>
          <cell r="B85" t="str">
            <v>过渡板</v>
          </cell>
        </row>
        <row r="86">
          <cell r="A86" t="str">
            <v>BC3230500-001-300</v>
          </cell>
          <cell r="B86" t="str">
            <v>过渡板</v>
          </cell>
        </row>
        <row r="87">
          <cell r="A87" t="str">
            <v>BC5311300-002-001</v>
          </cell>
          <cell r="B87" t="str">
            <v>前铰链支座</v>
          </cell>
        </row>
        <row r="88">
          <cell r="A88" t="str">
            <v>BC5311300-003-001</v>
          </cell>
          <cell r="B88" t="str">
            <v>前铰链支座</v>
          </cell>
        </row>
        <row r="89">
          <cell r="A89" t="str">
            <v>BC5314401-001-001</v>
          </cell>
          <cell r="B89" t="str">
            <v>4160左框</v>
          </cell>
        </row>
        <row r="90">
          <cell r="A90" t="str">
            <v>BC5324360-002-001</v>
          </cell>
          <cell r="B90" t="str">
            <v>堵塞</v>
          </cell>
        </row>
        <row r="91">
          <cell r="A91" t="str">
            <v>BC5328100-007-001</v>
          </cell>
          <cell r="B91" t="str">
            <v>连接耳片</v>
          </cell>
        </row>
        <row r="92">
          <cell r="A92" t="str">
            <v>BC5332100-009-001</v>
          </cell>
          <cell r="B92" t="str">
            <v>滑轨支座</v>
          </cell>
        </row>
        <row r="93">
          <cell r="A93" t="str">
            <v>BC5333651-001-001</v>
          </cell>
          <cell r="B93" t="str">
            <v>壳体</v>
          </cell>
        </row>
        <row r="94">
          <cell r="A94" t="str">
            <v>BC5337100-101R001</v>
          </cell>
          <cell r="B94" t="str">
            <v>上受拉接头</v>
          </cell>
        </row>
        <row r="95">
          <cell r="A95" t="str">
            <v>BC5337100-102R001</v>
          </cell>
          <cell r="B95" t="str">
            <v>中受拉接头</v>
          </cell>
        </row>
        <row r="96">
          <cell r="A96" t="str">
            <v>BC5337100-103L001</v>
          </cell>
          <cell r="B96" t="str">
            <v>下受拉接头</v>
          </cell>
        </row>
        <row r="97">
          <cell r="A97" t="str">
            <v>BC5337100-103R001</v>
          </cell>
          <cell r="B97" t="str">
            <v>下受拉接头</v>
          </cell>
        </row>
        <row r="98">
          <cell r="A98" t="str">
            <v>BC5337100-104L001</v>
          </cell>
          <cell r="B98" t="str">
            <v>上受剪接头</v>
          </cell>
        </row>
        <row r="99">
          <cell r="A99" t="str">
            <v>BC5337100-105L001</v>
          </cell>
          <cell r="B99" t="str">
            <v>中受剪接头</v>
          </cell>
        </row>
        <row r="100">
          <cell r="A100" t="str">
            <v>BC5337100-106L001</v>
          </cell>
          <cell r="B100" t="str">
            <v>下受剪接头</v>
          </cell>
        </row>
        <row r="101">
          <cell r="A101" t="str">
            <v>BC5525200-003-002</v>
          </cell>
          <cell r="B101" t="str">
            <v>对穿螺栓</v>
          </cell>
        </row>
        <row r="102">
          <cell r="A102" t="str">
            <v>BC5711304-001L002</v>
          </cell>
          <cell r="B102" t="str">
            <v>口盖</v>
          </cell>
        </row>
        <row r="103">
          <cell r="A103" t="str">
            <v>BC5711304-001R002</v>
          </cell>
          <cell r="B103" t="str">
            <v>口盖</v>
          </cell>
        </row>
        <row r="104">
          <cell r="A104" t="str">
            <v>BC5711410-001-002</v>
          </cell>
          <cell r="B104" t="str">
            <v>螺栓</v>
          </cell>
        </row>
        <row r="105">
          <cell r="A105" t="str">
            <v>BC5711420-001-002</v>
          </cell>
          <cell r="B105" t="str">
            <v>螺栓</v>
          </cell>
        </row>
        <row r="106">
          <cell r="A106" t="str">
            <v>BC5812000-001-001</v>
          </cell>
          <cell r="B106" t="str">
            <v>轴</v>
          </cell>
        </row>
        <row r="107">
          <cell r="A107" t="str">
            <v>BC5812000-002-001</v>
          </cell>
          <cell r="B107" t="str">
            <v>螺栓</v>
          </cell>
        </row>
        <row r="108">
          <cell r="A108" t="str">
            <v>BC5812000-004-001</v>
          </cell>
          <cell r="B108" t="str">
            <v>螺栓</v>
          </cell>
        </row>
        <row r="109">
          <cell r="A109" t="str">
            <v>BC5812000-005-001</v>
          </cell>
          <cell r="B109" t="str">
            <v>拨轴</v>
          </cell>
        </row>
        <row r="110">
          <cell r="A110" t="str">
            <v>BC5812100-008-001</v>
          </cell>
          <cell r="B110" t="str">
            <v>轴</v>
          </cell>
        </row>
        <row r="111">
          <cell r="A111" t="str">
            <v>BC5812200-001-001</v>
          </cell>
          <cell r="B111" t="str">
            <v>轴</v>
          </cell>
        </row>
        <row r="112">
          <cell r="A112" t="str">
            <v>BC5812300-001-001</v>
          </cell>
          <cell r="B112" t="str">
            <v>螺栓</v>
          </cell>
        </row>
        <row r="113">
          <cell r="A113" t="str">
            <v>BC5812420-002-001</v>
          </cell>
          <cell r="B113" t="str">
            <v>转轴衬套</v>
          </cell>
        </row>
        <row r="114">
          <cell r="A114" t="str">
            <v>BC5812420-003-001</v>
          </cell>
          <cell r="B114" t="str">
            <v>拉杆衬套</v>
          </cell>
        </row>
        <row r="115">
          <cell r="A115" t="str">
            <v>BC5812500-001-001</v>
          </cell>
          <cell r="B115" t="str">
            <v>螺栓</v>
          </cell>
        </row>
        <row r="116">
          <cell r="A116" t="str">
            <v>BC5812600-001-001</v>
          </cell>
          <cell r="B116" t="str">
            <v>摇臂</v>
          </cell>
        </row>
        <row r="117">
          <cell r="A117" t="str">
            <v>BC5812700-002-001</v>
          </cell>
          <cell r="B117" t="str">
            <v>支撑衬套</v>
          </cell>
        </row>
        <row r="118">
          <cell r="A118" t="str">
            <v>BC5812700-003-001</v>
          </cell>
          <cell r="B118" t="str">
            <v>螺栓</v>
          </cell>
        </row>
        <row r="119">
          <cell r="A119" t="str">
            <v>BC5812710-001-001</v>
          </cell>
          <cell r="B119" t="str">
            <v>下套筒</v>
          </cell>
        </row>
        <row r="120">
          <cell r="A120" t="str">
            <v>BC5812800-001-001</v>
          </cell>
          <cell r="B120" t="str">
            <v>摇臂</v>
          </cell>
        </row>
        <row r="121">
          <cell r="A121" t="str">
            <v>BC5812810-001-001</v>
          </cell>
          <cell r="B121" t="str">
            <v>螺母</v>
          </cell>
        </row>
        <row r="122">
          <cell r="A122" t="str">
            <v>BC5812811-001-001</v>
          </cell>
          <cell r="B122" t="str">
            <v>拉杆</v>
          </cell>
        </row>
        <row r="123">
          <cell r="A123" t="str">
            <v>BC5812910-001-001</v>
          </cell>
          <cell r="B123" t="str">
            <v>拉杆</v>
          </cell>
        </row>
        <row r="124">
          <cell r="A124" t="str">
            <v>BC5819311-001-001</v>
          </cell>
          <cell r="B124" t="str">
            <v>耳环螺栓</v>
          </cell>
        </row>
        <row r="125">
          <cell r="A125" t="str">
            <v>BC5822100-002L001</v>
          </cell>
          <cell r="B125" t="str">
            <v>止动摇臂</v>
          </cell>
        </row>
        <row r="126">
          <cell r="A126" t="str">
            <v>BC5822100-002R001</v>
          </cell>
          <cell r="B126" t="str">
            <v>止动摇臂</v>
          </cell>
        </row>
        <row r="127">
          <cell r="A127" t="str">
            <v>BC5822100-007-001</v>
          </cell>
          <cell r="B127" t="str">
            <v>轴</v>
          </cell>
        </row>
        <row r="128">
          <cell r="A128" t="str">
            <v>BC5836011-001-001</v>
          </cell>
          <cell r="B128" t="str">
            <v>壳体</v>
          </cell>
        </row>
        <row r="129">
          <cell r="A129" t="str">
            <v>C532111100-008L001</v>
          </cell>
          <cell r="B129" t="str">
            <v>外侧轴承盖</v>
          </cell>
        </row>
        <row r="130">
          <cell r="A130" t="str">
            <v>C532111100-008R001</v>
          </cell>
          <cell r="B130" t="str">
            <v>外侧轴承盖</v>
          </cell>
        </row>
        <row r="131">
          <cell r="A131" t="str">
            <v>C532114400-135L001</v>
          </cell>
          <cell r="B131" t="str">
            <v>引气加强口框</v>
          </cell>
        </row>
        <row r="132">
          <cell r="A132" t="str">
            <v>C532210911-001L001</v>
          </cell>
          <cell r="B132" t="str">
            <v>左内侧接头</v>
          </cell>
        </row>
        <row r="133">
          <cell r="A133" t="str">
            <v>C532210911-001R001</v>
          </cell>
          <cell r="B133" t="str">
            <v>右内侧接头</v>
          </cell>
        </row>
        <row r="134">
          <cell r="A134" t="str">
            <v>C532210912-001-001</v>
          </cell>
          <cell r="B134" t="str">
            <v>卡环</v>
          </cell>
        </row>
        <row r="135">
          <cell r="A135" t="str">
            <v>C532210921-001L001</v>
          </cell>
          <cell r="B135" t="str">
            <v>左外侧接头</v>
          </cell>
        </row>
        <row r="136">
          <cell r="A136" t="str">
            <v>C532210921-001R001</v>
          </cell>
          <cell r="B136" t="str">
            <v>右外侧接头</v>
          </cell>
        </row>
        <row r="137">
          <cell r="A137" t="str">
            <v>C532210931-001-001</v>
          </cell>
          <cell r="B137" t="str">
            <v>中推力销支座接头</v>
          </cell>
        </row>
        <row r="138">
          <cell r="A138" t="str">
            <v>C532210932-001-001</v>
          </cell>
          <cell r="B138" t="str">
            <v>中推力销末端卡环</v>
          </cell>
        </row>
        <row r="139">
          <cell r="A139" t="str">
            <v>C532210941-001L001</v>
          </cell>
          <cell r="B139" t="str">
            <v>左推力销支座接头</v>
          </cell>
        </row>
        <row r="140">
          <cell r="A140" t="str">
            <v>C532210941-001R001</v>
          </cell>
          <cell r="B140" t="str">
            <v>右推力销支座接头</v>
          </cell>
        </row>
        <row r="141">
          <cell r="A141" t="str">
            <v>C532222810-015-001</v>
          </cell>
          <cell r="B141" t="str">
            <v>口框</v>
          </cell>
        </row>
        <row r="142">
          <cell r="A142" t="str">
            <v>C533114600-004L001</v>
          </cell>
          <cell r="B142" t="str">
            <v>角盒</v>
          </cell>
        </row>
        <row r="143">
          <cell r="A143" t="str">
            <v>C533114600-004R001</v>
          </cell>
          <cell r="B143" t="str">
            <v>角盒</v>
          </cell>
        </row>
        <row r="144">
          <cell r="A144" t="str">
            <v>C533114600-005L001</v>
          </cell>
          <cell r="B144" t="str">
            <v>角盒</v>
          </cell>
        </row>
        <row r="145">
          <cell r="A145" t="str">
            <v>C533114600-005R001</v>
          </cell>
          <cell r="B145" t="str">
            <v>角盒</v>
          </cell>
        </row>
        <row r="146">
          <cell r="A146" t="str">
            <v>C551005000-002L001</v>
          </cell>
          <cell r="B146" t="str">
            <v>摇臂</v>
          </cell>
        </row>
        <row r="147">
          <cell r="A147" t="str">
            <v>C551005000-002R001</v>
          </cell>
          <cell r="B147" t="str">
            <v>摇臂</v>
          </cell>
        </row>
        <row r="148">
          <cell r="A148" t="str">
            <v>C552004000-001L001</v>
          </cell>
          <cell r="B148" t="str">
            <v>摇臂</v>
          </cell>
        </row>
        <row r="149">
          <cell r="A149" t="str">
            <v>C552004000-001R001</v>
          </cell>
          <cell r="B149" t="str">
            <v>摇臂</v>
          </cell>
        </row>
        <row r="150">
          <cell r="A150" t="str">
            <v>C552103000-026L001</v>
          </cell>
          <cell r="B150" t="str">
            <v>前缘短肋</v>
          </cell>
        </row>
        <row r="151">
          <cell r="A151" t="str">
            <v>C552103000-026R001</v>
          </cell>
          <cell r="B151" t="str">
            <v>前缘短肋</v>
          </cell>
        </row>
        <row r="152">
          <cell r="A152" t="str">
            <v>C571110300-003L001</v>
          </cell>
          <cell r="B152" t="str">
            <v>角盒</v>
          </cell>
        </row>
        <row r="153">
          <cell r="A153" t="str">
            <v>C571110500-001L001</v>
          </cell>
          <cell r="B153" t="str">
            <v>前梁一段</v>
          </cell>
        </row>
        <row r="154">
          <cell r="A154" t="str">
            <v>C571110500-001R001</v>
          </cell>
          <cell r="B154" t="str">
            <v>前梁一段</v>
          </cell>
        </row>
        <row r="155">
          <cell r="A155" t="str">
            <v>C571110500-002L001</v>
          </cell>
          <cell r="B155" t="str">
            <v>前梁二段</v>
          </cell>
        </row>
        <row r="156">
          <cell r="A156" t="str">
            <v>C571110500-002R001</v>
          </cell>
          <cell r="B156" t="str">
            <v>前梁二段</v>
          </cell>
        </row>
        <row r="157">
          <cell r="A157" t="str">
            <v>C571310200-019L001</v>
          </cell>
          <cell r="B157" t="str">
            <v>后舱内段支撑件上段1段</v>
          </cell>
        </row>
        <row r="158">
          <cell r="A158" t="str">
            <v>C571310200-019R001</v>
          </cell>
          <cell r="B158" t="str">
            <v>后舱内段支撑件上段1段</v>
          </cell>
        </row>
        <row r="159">
          <cell r="A159" t="str">
            <v>C571310200-020L001</v>
          </cell>
          <cell r="B159" t="str">
            <v>后舱内段支撑件上段2段</v>
          </cell>
        </row>
        <row r="160">
          <cell r="A160" t="str">
            <v>C571310200-020R001</v>
          </cell>
          <cell r="B160" t="str">
            <v>后舱内段支撑件上段2段</v>
          </cell>
        </row>
        <row r="161">
          <cell r="A161" t="str">
            <v>C571310300-022L001</v>
          </cell>
          <cell r="B161" t="str">
            <v>外副作动器整流罩支撑件上段</v>
          </cell>
        </row>
        <row r="162">
          <cell r="A162" t="str">
            <v>C571310300-022R001</v>
          </cell>
          <cell r="B162" t="str">
            <v>外副作动器整流罩支撑件上段</v>
          </cell>
        </row>
        <row r="163">
          <cell r="A163" t="str">
            <v>C571310300-023L001</v>
          </cell>
          <cell r="B163" t="str">
            <v>外副作动器整流罩支撑件上段</v>
          </cell>
        </row>
        <row r="164">
          <cell r="A164" t="str">
            <v>C571310300-023R001</v>
          </cell>
          <cell r="B164" t="str">
            <v>外副作动器整流罩支撑件上段</v>
          </cell>
        </row>
        <row r="165">
          <cell r="A165" t="str">
            <v>CB2210982-001-002</v>
          </cell>
          <cell r="B165" t="str">
            <v>管接头</v>
          </cell>
        </row>
        <row r="166">
          <cell r="A166" t="str">
            <v>CB22109ME-002-001</v>
          </cell>
          <cell r="B166" t="str">
            <v>150度弯管接头</v>
          </cell>
        </row>
        <row r="167">
          <cell r="A167" t="str">
            <v>CB22109MN-001-003</v>
          </cell>
          <cell r="B167" t="str">
            <v>变径直通接头</v>
          </cell>
        </row>
        <row r="168">
          <cell r="A168" t="str">
            <v>CB22109PF-001-002</v>
          </cell>
          <cell r="B168" t="str">
            <v>三通管接头</v>
          </cell>
        </row>
        <row r="169">
          <cell r="A169" t="str">
            <v>CB22109TD-001-001</v>
          </cell>
          <cell r="B169" t="str">
            <v>带排水孔的管接头</v>
          </cell>
        </row>
        <row r="170">
          <cell r="A170" t="str">
            <v>CB221T0LCN002-002</v>
          </cell>
          <cell r="B170" t="str">
            <v>压力传感器接嘴</v>
          </cell>
        </row>
        <row r="171">
          <cell r="A171" t="str">
            <v>CB221T1LA-001-001</v>
          </cell>
          <cell r="B171" t="str">
            <v>管接头</v>
          </cell>
        </row>
        <row r="172">
          <cell r="A172" t="str">
            <v>CB221T1LD-003-001</v>
          </cell>
          <cell r="B172" t="str">
            <v>接管嘴</v>
          </cell>
        </row>
        <row r="173">
          <cell r="A173" t="str">
            <v>CB221T2LB-001-001</v>
          </cell>
          <cell r="B173" t="str">
            <v>接管嘴</v>
          </cell>
        </row>
        <row r="174">
          <cell r="A174" t="str">
            <v>CB221T2LF-003-003</v>
          </cell>
          <cell r="B174" t="str">
            <v>接管嘴</v>
          </cell>
        </row>
        <row r="175">
          <cell r="A175" t="str">
            <v>CB221T2LN-001-001</v>
          </cell>
          <cell r="B175" t="str">
            <v>接管嘴</v>
          </cell>
        </row>
        <row r="176">
          <cell r="A176" t="str">
            <v>CB221T2LR-001-001</v>
          </cell>
          <cell r="B176" t="str">
            <v>平管嘴</v>
          </cell>
        </row>
        <row r="177">
          <cell r="A177" t="str">
            <v>CB221T3LG-002-001</v>
          </cell>
          <cell r="B177" t="str">
            <v>接头</v>
          </cell>
        </row>
        <row r="178">
          <cell r="A178" t="str">
            <v>CB221T9MLN003-001</v>
          </cell>
          <cell r="B178" t="str">
            <v>液体压力传感器接管嘴</v>
          </cell>
        </row>
        <row r="179">
          <cell r="A179" t="str">
            <v>CB2245110-001-001</v>
          </cell>
          <cell r="B179" t="str">
            <v>支架1</v>
          </cell>
        </row>
        <row r="180">
          <cell r="A180" t="str">
            <v>CB2248145-001-006</v>
          </cell>
          <cell r="B180" t="str">
            <v>支片5</v>
          </cell>
        </row>
        <row r="181">
          <cell r="A181" t="str">
            <v>CB2263267-001-002</v>
          </cell>
          <cell r="B181" t="str">
            <v>直通管接头</v>
          </cell>
        </row>
        <row r="182">
          <cell r="A182" t="str">
            <v>CB2263270-001-001</v>
          </cell>
          <cell r="B182" t="str">
            <v>喷嘴</v>
          </cell>
        </row>
        <row r="183">
          <cell r="A183" t="str">
            <v>CB2263280-001-002</v>
          </cell>
          <cell r="B183" t="str">
            <v>喷嘴</v>
          </cell>
        </row>
        <row r="184">
          <cell r="A184" t="str">
            <v>CB2276730-001-001</v>
          </cell>
          <cell r="B184" t="str">
            <v>操纵台侧壁板</v>
          </cell>
        </row>
        <row r="185">
          <cell r="A185" t="str">
            <v>CB2276731-007-001</v>
          </cell>
          <cell r="B185" t="str">
            <v>筋条5</v>
          </cell>
        </row>
        <row r="186">
          <cell r="A186" t="str">
            <v>CB2280211-025-001</v>
          </cell>
          <cell r="B186" t="str">
            <v>穿框管接头</v>
          </cell>
        </row>
        <row r="187">
          <cell r="A187" t="str">
            <v>CB2280231-004-001</v>
          </cell>
          <cell r="B187" t="str">
            <v>轴</v>
          </cell>
        </row>
        <row r="188">
          <cell r="A188" t="str">
            <v>CB2280231N003-001</v>
          </cell>
          <cell r="B188" t="str">
            <v>管子</v>
          </cell>
        </row>
        <row r="189">
          <cell r="A189" t="str">
            <v>CB2283651-002-001</v>
          </cell>
          <cell r="B189" t="str">
            <v>法兰</v>
          </cell>
        </row>
        <row r="190">
          <cell r="A190" t="str">
            <v>CB2283664-002-001</v>
          </cell>
          <cell r="B190" t="str">
            <v>法兰</v>
          </cell>
        </row>
        <row r="191">
          <cell r="A191" t="str">
            <v>CB22836Y6-003-001</v>
          </cell>
          <cell r="B191" t="str">
            <v>轴</v>
          </cell>
        </row>
        <row r="192">
          <cell r="A192" t="str">
            <v>CB2283792-002-002</v>
          </cell>
          <cell r="B192" t="str">
            <v>法兰</v>
          </cell>
        </row>
        <row r="193">
          <cell r="A193" t="str">
            <v>CB22837C3-001-001</v>
          </cell>
          <cell r="B193" t="str">
            <v>法兰</v>
          </cell>
        </row>
        <row r="194">
          <cell r="A194" t="str">
            <v>CB22837F1-001-001</v>
          </cell>
          <cell r="B194" t="str">
            <v>法兰</v>
          </cell>
        </row>
        <row r="195">
          <cell r="A195" t="str">
            <v>CB2284450-001-001</v>
          </cell>
          <cell r="B195" t="str">
            <v>穿框管接头</v>
          </cell>
        </row>
        <row r="196">
          <cell r="A196" t="str">
            <v>CB2284460-004-001</v>
          </cell>
          <cell r="B196" t="str">
            <v>四通接头</v>
          </cell>
        </row>
        <row r="197">
          <cell r="A197" t="str">
            <v>CB2284460-007-001</v>
          </cell>
          <cell r="B197" t="str">
            <v>四通接头</v>
          </cell>
        </row>
        <row r="198">
          <cell r="A198" t="str">
            <v>CB2284480-003-001</v>
          </cell>
          <cell r="B198" t="str">
            <v>四通接头</v>
          </cell>
        </row>
        <row r="199">
          <cell r="A199" t="str">
            <v>CB2284480-004-001</v>
          </cell>
          <cell r="B199" t="str">
            <v>四通接头</v>
          </cell>
        </row>
        <row r="200">
          <cell r="A200" t="str">
            <v>CB22844A0-001-001</v>
          </cell>
          <cell r="B200" t="str">
            <v>三通接头</v>
          </cell>
        </row>
        <row r="201">
          <cell r="A201" t="str">
            <v>CB22844A0-002-001</v>
          </cell>
          <cell r="B201" t="str">
            <v>三通接头</v>
          </cell>
        </row>
        <row r="202">
          <cell r="A202" t="str">
            <v>CB228455A-001-004</v>
          </cell>
          <cell r="B202" t="str">
            <v>三通底座</v>
          </cell>
        </row>
        <row r="203">
          <cell r="A203" t="str">
            <v>CB2284751-003-001</v>
          </cell>
          <cell r="B203" t="str">
            <v>法兰盘</v>
          </cell>
        </row>
        <row r="204">
          <cell r="A204" t="str">
            <v>CB2284751-006-001</v>
          </cell>
          <cell r="B204" t="str">
            <v>主动油总管四通</v>
          </cell>
        </row>
        <row r="205">
          <cell r="A205" t="str">
            <v>CB2284752-005-001</v>
          </cell>
          <cell r="B205" t="str">
            <v>接头</v>
          </cell>
        </row>
        <row r="206">
          <cell r="A206" t="str">
            <v>CB2284761-003-001</v>
          </cell>
          <cell r="B206" t="str">
            <v>主动油总管四通</v>
          </cell>
        </row>
        <row r="207">
          <cell r="A207" t="str">
            <v>CB2284764-002-001</v>
          </cell>
          <cell r="B207" t="str">
            <v>接头</v>
          </cell>
        </row>
        <row r="208">
          <cell r="A208" t="str">
            <v>CB22847Y1-008-001</v>
          </cell>
          <cell r="B208" t="str">
            <v>轴</v>
          </cell>
        </row>
        <row r="209">
          <cell r="A209" t="str">
            <v>CB22847Y1N007-001</v>
          </cell>
          <cell r="B209" t="str">
            <v>衬套</v>
          </cell>
        </row>
        <row r="210">
          <cell r="A210" t="str">
            <v>CB2285662-002-001</v>
          </cell>
          <cell r="B210" t="str">
            <v>穿框管接头</v>
          </cell>
        </row>
        <row r="211">
          <cell r="A211" t="str">
            <v>CB2285758-004-001</v>
          </cell>
          <cell r="B211" t="str">
            <v>接头</v>
          </cell>
        </row>
        <row r="212">
          <cell r="A212" t="str">
            <v>CB22857F8-003-002</v>
          </cell>
          <cell r="B212" t="str">
            <v>法兰</v>
          </cell>
        </row>
        <row r="213">
          <cell r="A213" t="str">
            <v>CB22857G1-004-001</v>
          </cell>
          <cell r="B213" t="str">
            <v>法兰</v>
          </cell>
        </row>
        <row r="214">
          <cell r="A214" t="str">
            <v>CB22857YB-008-001</v>
          </cell>
          <cell r="B214" t="str">
            <v>轴</v>
          </cell>
        </row>
        <row r="215">
          <cell r="A215" t="str">
            <v>CB2287717-003-001</v>
          </cell>
          <cell r="B215" t="str">
            <v>14200框左侧铆接支架</v>
          </cell>
        </row>
        <row r="216">
          <cell r="A216" t="str">
            <v>CB22877HD-001-001</v>
          </cell>
          <cell r="B216" t="str">
            <v>变径直通管接头</v>
          </cell>
        </row>
        <row r="217">
          <cell r="A217" t="str">
            <v>CB22877J9-003-001</v>
          </cell>
          <cell r="B217" t="str">
            <v>变径三通接头</v>
          </cell>
        </row>
        <row r="218">
          <cell r="A218" t="str">
            <v>CB2292112-003-001</v>
          </cell>
          <cell r="B218" t="str">
            <v>小轴</v>
          </cell>
        </row>
        <row r="219">
          <cell r="A219" t="str">
            <v>CB2292112-004-001</v>
          </cell>
          <cell r="B219" t="str">
            <v>螺栓</v>
          </cell>
        </row>
        <row r="220">
          <cell r="A220" t="str">
            <v>CB2292182-003-001</v>
          </cell>
          <cell r="B220" t="str">
            <v>衬套</v>
          </cell>
        </row>
        <row r="221">
          <cell r="A221" t="str">
            <v>CB22921A1-003-001</v>
          </cell>
          <cell r="B221" t="str">
            <v>衬套</v>
          </cell>
        </row>
        <row r="222">
          <cell r="A222" t="str">
            <v>CB22921L3-001-003</v>
          </cell>
          <cell r="B222" t="str">
            <v>支座</v>
          </cell>
        </row>
        <row r="223">
          <cell r="A223" t="str">
            <v>CB2292321-001-003</v>
          </cell>
          <cell r="B223" t="str">
            <v>支座</v>
          </cell>
        </row>
        <row r="224">
          <cell r="A224" t="str">
            <v>CB22924J0-001-001</v>
          </cell>
          <cell r="B224" t="str">
            <v>角片</v>
          </cell>
        </row>
        <row r="225">
          <cell r="A225" t="str">
            <v>CB22924J0-002-005</v>
          </cell>
          <cell r="B225" t="str">
            <v>角片</v>
          </cell>
        </row>
        <row r="226">
          <cell r="A226" t="str">
            <v>CB2293181-004-001</v>
          </cell>
          <cell r="B226" t="str">
            <v>衬套</v>
          </cell>
        </row>
        <row r="227">
          <cell r="A227" t="str">
            <v>CB2294170-001-001</v>
          </cell>
          <cell r="B227" t="str">
            <v>压杆</v>
          </cell>
        </row>
        <row r="228">
          <cell r="A228" t="str">
            <v>CB2294170-003-001</v>
          </cell>
          <cell r="B228" t="str">
            <v>支架</v>
          </cell>
        </row>
        <row r="229">
          <cell r="A229" t="str">
            <v>CB2294456-001-001</v>
          </cell>
          <cell r="B229" t="str">
            <v>盖</v>
          </cell>
        </row>
        <row r="230">
          <cell r="A230" t="str">
            <v>CB22956R1-001R001</v>
          </cell>
          <cell r="B230" t="str">
            <v>座子</v>
          </cell>
        </row>
        <row r="231">
          <cell r="A231" t="str">
            <v>CB2297011-001-001</v>
          </cell>
          <cell r="B231" t="str">
            <v>支架</v>
          </cell>
        </row>
        <row r="232">
          <cell r="A232" t="str">
            <v>CB2297011-002-001</v>
          </cell>
          <cell r="B232" t="str">
            <v>支架</v>
          </cell>
        </row>
        <row r="233">
          <cell r="A233" t="str">
            <v>CB2297012-001-001</v>
          </cell>
          <cell r="B233" t="str">
            <v>支架</v>
          </cell>
        </row>
        <row r="234">
          <cell r="A234" t="str">
            <v>CB2297021-001-001</v>
          </cell>
          <cell r="B234" t="str">
            <v>支架</v>
          </cell>
        </row>
        <row r="235">
          <cell r="A235" t="str">
            <v>CB2297032-001-001</v>
          </cell>
          <cell r="B235" t="str">
            <v>支架</v>
          </cell>
        </row>
        <row r="236">
          <cell r="A236" t="str">
            <v>CB2297041-001-001</v>
          </cell>
          <cell r="B236" t="str">
            <v>支架</v>
          </cell>
        </row>
        <row r="237">
          <cell r="A237" t="str">
            <v>CB2297120-005-002</v>
          </cell>
          <cell r="B237" t="str">
            <v>支架</v>
          </cell>
        </row>
        <row r="238">
          <cell r="A238" t="str">
            <v>CB2297120-006-002</v>
          </cell>
          <cell r="B238" t="str">
            <v>支架</v>
          </cell>
        </row>
        <row r="239">
          <cell r="A239" t="str">
            <v>CB22984L0-002-001</v>
          </cell>
          <cell r="B239" t="str">
            <v>管夹</v>
          </cell>
        </row>
        <row r="240">
          <cell r="A240" t="str">
            <v>CB22984M0-002-001</v>
          </cell>
          <cell r="B240" t="str">
            <v>管夹</v>
          </cell>
        </row>
        <row r="241">
          <cell r="A241" t="str">
            <v>CB22984M0-002-002</v>
          </cell>
          <cell r="B241" t="str">
            <v>管夹</v>
          </cell>
        </row>
        <row r="242">
          <cell r="A242" t="str">
            <v>CB22985H0-002-002</v>
          </cell>
          <cell r="B242" t="str">
            <v>管夹</v>
          </cell>
        </row>
        <row r="243">
          <cell r="A243" t="str">
            <v>CB2298612-001-001</v>
          </cell>
          <cell r="B243" t="str">
            <v>支架</v>
          </cell>
        </row>
        <row r="244">
          <cell r="A244" t="str">
            <v>CB2298615-001-001</v>
          </cell>
          <cell r="B244" t="str">
            <v>管夹</v>
          </cell>
        </row>
        <row r="245">
          <cell r="A245" t="str">
            <v>CB229861B-001-001</v>
          </cell>
          <cell r="B245" t="str">
            <v>管夹</v>
          </cell>
        </row>
        <row r="246">
          <cell r="A246" t="str">
            <v>CB2298622-001-001</v>
          </cell>
          <cell r="B246" t="str">
            <v>管夹</v>
          </cell>
        </row>
        <row r="247">
          <cell r="A247" t="str">
            <v>CB229B412-003-001</v>
          </cell>
          <cell r="B247" t="str">
            <v>管夹</v>
          </cell>
        </row>
        <row r="248">
          <cell r="A248" t="str">
            <v>CB229C050-002-003</v>
          </cell>
          <cell r="B248" t="str">
            <v>拨杆</v>
          </cell>
        </row>
        <row r="249">
          <cell r="A249" t="str">
            <v>CB229C050-007-003</v>
          </cell>
          <cell r="B249" t="str">
            <v>摇臂</v>
          </cell>
        </row>
        <row r="250">
          <cell r="A250" t="str">
            <v>CB229C050-014-003</v>
          </cell>
          <cell r="B250" t="str">
            <v>Z支架</v>
          </cell>
        </row>
        <row r="251">
          <cell r="A251" t="str">
            <v>CB229C070-001R001</v>
          </cell>
          <cell r="B251" t="str">
            <v>支架</v>
          </cell>
        </row>
        <row r="252">
          <cell r="A252" t="str">
            <v>CB229C071-001L001</v>
          </cell>
          <cell r="B252" t="str">
            <v>支架</v>
          </cell>
        </row>
        <row r="253">
          <cell r="A253" t="str">
            <v>CB229C420-004-001</v>
          </cell>
          <cell r="B253" t="str">
            <v>套筒</v>
          </cell>
        </row>
        <row r="254">
          <cell r="A254" t="str">
            <v>CB229C440-001-001</v>
          </cell>
          <cell r="B254" t="str">
            <v>组合导管夹</v>
          </cell>
        </row>
        <row r="255">
          <cell r="A255" t="str">
            <v>CB26036A6-001-001</v>
          </cell>
          <cell r="B255" t="str">
            <v>直通过框接头</v>
          </cell>
        </row>
        <row r="256">
          <cell r="A256" t="str">
            <v>CB2716663-003-002</v>
          </cell>
          <cell r="B256" t="str">
            <v>弯头平管嘴</v>
          </cell>
        </row>
        <row r="257">
          <cell r="A257" t="str">
            <v>CB2747B10-003-002</v>
          </cell>
          <cell r="B257" t="str">
            <v>管接头</v>
          </cell>
        </row>
        <row r="258">
          <cell r="A258" t="str">
            <v>CB2747B20-003-002</v>
          </cell>
          <cell r="B258" t="str">
            <v>管接头</v>
          </cell>
        </row>
        <row r="259">
          <cell r="A259" t="str">
            <v>CB2747G90-006-001</v>
          </cell>
          <cell r="B259" t="str">
            <v>管接头3</v>
          </cell>
        </row>
        <row r="260">
          <cell r="A260" t="str">
            <v>CB2747GA0-002-002</v>
          </cell>
          <cell r="B260" t="str">
            <v>扩压式管接头</v>
          </cell>
        </row>
        <row r="261">
          <cell r="A261" t="str">
            <v>CB2747R00-002-001</v>
          </cell>
          <cell r="B261" t="str">
            <v>三通管接头</v>
          </cell>
        </row>
        <row r="262">
          <cell r="A262" t="str">
            <v>CB3014940-001-002</v>
          </cell>
          <cell r="B262" t="str">
            <v>左BL297侧框</v>
          </cell>
        </row>
        <row r="263">
          <cell r="A263" t="str">
            <v>CB3092441-001-001</v>
          </cell>
          <cell r="B263" t="str">
            <v>连接片1</v>
          </cell>
        </row>
        <row r="264">
          <cell r="A264" t="str">
            <v>CB3092441-002-001</v>
          </cell>
          <cell r="B264" t="str">
            <v>连接片2</v>
          </cell>
        </row>
        <row r="265">
          <cell r="A265" t="str">
            <v>CB5313200-004L006</v>
          </cell>
          <cell r="B265" t="str">
            <v>左前分合面框</v>
          </cell>
        </row>
        <row r="266">
          <cell r="A266" t="str">
            <v>CB5313231-001-006</v>
          </cell>
          <cell r="B266" t="str">
            <v>管接头</v>
          </cell>
        </row>
        <row r="267">
          <cell r="A267" t="str">
            <v>CB5314107-001-002</v>
          </cell>
          <cell r="B267" t="str">
            <v>5550上框</v>
          </cell>
        </row>
        <row r="268">
          <cell r="A268" t="str">
            <v>CB5314107-001-003</v>
          </cell>
          <cell r="B268" t="str">
            <v>5550上框</v>
          </cell>
        </row>
        <row r="269">
          <cell r="A269" t="str">
            <v>CB5314107-005-001</v>
          </cell>
          <cell r="B269" t="str">
            <v>油箱口盖</v>
          </cell>
        </row>
        <row r="270">
          <cell r="A270" t="str">
            <v>CB5314240-012-003</v>
          </cell>
          <cell r="B270" t="str">
            <v>后顶板</v>
          </cell>
        </row>
        <row r="271">
          <cell r="A271" t="str">
            <v>CB5314300-025-003</v>
          </cell>
          <cell r="B271" t="str">
            <v>蒙皮加强件</v>
          </cell>
        </row>
        <row r="272">
          <cell r="A272" t="str">
            <v>CB5315120-002L001</v>
          </cell>
          <cell r="B272" t="str">
            <v>6820框内段</v>
          </cell>
        </row>
        <row r="273">
          <cell r="A273" t="str">
            <v>CB5315120-002R001</v>
          </cell>
          <cell r="B273" t="str">
            <v>6820框内段</v>
          </cell>
        </row>
        <row r="274">
          <cell r="A274" t="str">
            <v>CB5315130-002L001</v>
          </cell>
          <cell r="B274" t="str">
            <v>6940框内段</v>
          </cell>
        </row>
        <row r="275">
          <cell r="A275" t="str">
            <v>CB5315130-002R001</v>
          </cell>
          <cell r="B275" t="str">
            <v>6940框内段</v>
          </cell>
        </row>
        <row r="276">
          <cell r="A276" t="str">
            <v>CB5315190-002L001</v>
          </cell>
          <cell r="B276" t="str">
            <v>WL-600地板梁</v>
          </cell>
        </row>
        <row r="277">
          <cell r="A277" t="str">
            <v>CB5315190-002R001</v>
          </cell>
          <cell r="B277" t="str">
            <v>WL-600地板梁</v>
          </cell>
        </row>
        <row r="278">
          <cell r="A278" t="str">
            <v>CB5315191-012L003</v>
          </cell>
          <cell r="B278" t="str">
            <v>进气下侧壁</v>
          </cell>
        </row>
        <row r="279">
          <cell r="A279" t="str">
            <v>CB5315191-014L003</v>
          </cell>
          <cell r="B279" t="str">
            <v>排气下侧壁</v>
          </cell>
        </row>
        <row r="280">
          <cell r="A280" t="str">
            <v>CB5315191-014L004</v>
          </cell>
          <cell r="B280" t="str">
            <v>排气下侧壁</v>
          </cell>
        </row>
        <row r="281">
          <cell r="A281" t="str">
            <v>CB5315191-014R003</v>
          </cell>
          <cell r="B281" t="str">
            <v>排气下侧壁</v>
          </cell>
        </row>
        <row r="282">
          <cell r="A282" t="str">
            <v>CB5315191-014R004</v>
          </cell>
          <cell r="B282" t="str">
            <v>排气下侧壁</v>
          </cell>
        </row>
        <row r="283">
          <cell r="A283" t="str">
            <v>CB5315193-005-003</v>
          </cell>
          <cell r="B283" t="str">
            <v>口盖</v>
          </cell>
        </row>
        <row r="284">
          <cell r="A284" t="str">
            <v>CB5322400-016-061</v>
          </cell>
          <cell r="B284" t="str">
            <v>11140框左下半框</v>
          </cell>
        </row>
        <row r="285">
          <cell r="A285" t="str">
            <v>CB5322400-017-061</v>
          </cell>
          <cell r="B285" t="str">
            <v>11140框右下半框</v>
          </cell>
        </row>
        <row r="286">
          <cell r="A286" t="str">
            <v>CB5323210-002-028</v>
          </cell>
          <cell r="B286" t="str">
            <v>10540中框</v>
          </cell>
        </row>
        <row r="287">
          <cell r="A287" t="str">
            <v>CB5323210-005L033</v>
          </cell>
          <cell r="B287" t="str">
            <v>9350-11140左侧上梁</v>
          </cell>
        </row>
        <row r="288">
          <cell r="A288" t="str">
            <v>CB5323320-007L001</v>
          </cell>
          <cell r="B288" t="str">
            <v>角盒</v>
          </cell>
        </row>
        <row r="289">
          <cell r="A289" t="str">
            <v>CB5323320-007R001</v>
          </cell>
          <cell r="B289" t="str">
            <v>角盒</v>
          </cell>
        </row>
        <row r="290">
          <cell r="A290" t="str">
            <v>CB5323400-008L001</v>
          </cell>
          <cell r="B290" t="str">
            <v>外侧轴承盖</v>
          </cell>
        </row>
        <row r="291">
          <cell r="A291" t="str">
            <v>CB5323400-008R001</v>
          </cell>
          <cell r="B291" t="str">
            <v>外侧轴承盖</v>
          </cell>
        </row>
        <row r="292">
          <cell r="A292" t="str">
            <v>CB5324310-003-099</v>
          </cell>
          <cell r="B292" t="str">
            <v>角盒</v>
          </cell>
        </row>
        <row r="293">
          <cell r="A293" t="str">
            <v>CB5324310-011L006</v>
          </cell>
          <cell r="B293" t="str">
            <v>型材</v>
          </cell>
        </row>
        <row r="294">
          <cell r="A294" t="str">
            <v>CB5324310-011R006</v>
          </cell>
          <cell r="B294" t="str">
            <v>型材</v>
          </cell>
        </row>
        <row r="295">
          <cell r="A295" t="str">
            <v>CB5324310-016-006</v>
          </cell>
          <cell r="B295" t="str">
            <v>带板</v>
          </cell>
        </row>
        <row r="296">
          <cell r="A296" t="str">
            <v>CB5324320-007L009</v>
          </cell>
          <cell r="B296" t="str">
            <v>横梁</v>
          </cell>
        </row>
        <row r="297">
          <cell r="A297" t="str">
            <v>CB5324320-007R009</v>
          </cell>
          <cell r="B297" t="str">
            <v>横梁</v>
          </cell>
        </row>
        <row r="298">
          <cell r="A298" t="str">
            <v>CB5324321-010-006</v>
          </cell>
          <cell r="B298" t="str">
            <v>加强件</v>
          </cell>
        </row>
        <row r="299">
          <cell r="A299" t="str">
            <v>CB5324413-004-002</v>
          </cell>
          <cell r="B299" t="str">
            <v>油箱底板（中）</v>
          </cell>
        </row>
        <row r="300">
          <cell r="A300" t="str">
            <v>CB5324420-001L003</v>
          </cell>
          <cell r="B300" t="str">
            <v>侧下梁</v>
          </cell>
        </row>
        <row r="301">
          <cell r="A301" t="str">
            <v>CB5324420-001R003</v>
          </cell>
          <cell r="B301" t="str">
            <v>侧下梁</v>
          </cell>
        </row>
        <row r="302">
          <cell r="A302" t="str">
            <v>CB5324500-003R002</v>
          </cell>
          <cell r="B302" t="str">
            <v>前端框</v>
          </cell>
        </row>
        <row r="303">
          <cell r="A303" t="str">
            <v>CB5324500-004L004</v>
          </cell>
          <cell r="B303" t="str">
            <v>后端框</v>
          </cell>
        </row>
        <row r="304">
          <cell r="A304" t="str">
            <v>CB5324500-004R004</v>
          </cell>
          <cell r="B304" t="str">
            <v>后端框</v>
          </cell>
        </row>
        <row r="305">
          <cell r="A305" t="str">
            <v>CB5325125-403L001</v>
          </cell>
          <cell r="B305" t="str">
            <v>支座</v>
          </cell>
        </row>
        <row r="306">
          <cell r="A306" t="str">
            <v>CB5325153-303-008</v>
          </cell>
          <cell r="B306" t="str">
            <v>摇臂座</v>
          </cell>
        </row>
        <row r="307">
          <cell r="A307" t="str">
            <v>CB5325210-001-004</v>
          </cell>
          <cell r="B307" t="str">
            <v>辅助动力舱口盖前段</v>
          </cell>
        </row>
        <row r="308">
          <cell r="A308" t="str">
            <v>CB5326200-125L002</v>
          </cell>
          <cell r="B308" t="str">
            <v>9200 3号加强筋</v>
          </cell>
        </row>
        <row r="309">
          <cell r="A309" t="str">
            <v>CB5326200-125R002</v>
          </cell>
          <cell r="B309" t="str">
            <v>9200 3号加强筋</v>
          </cell>
        </row>
        <row r="310">
          <cell r="A310" t="str">
            <v>CB5326200-131L002</v>
          </cell>
          <cell r="B310" t="str">
            <v>8455 4号加强筋</v>
          </cell>
        </row>
        <row r="311">
          <cell r="A311" t="str">
            <v>CB5326200-131R002</v>
          </cell>
          <cell r="B311" t="str">
            <v>8455 4号加强筋</v>
          </cell>
        </row>
        <row r="312">
          <cell r="A312" t="str">
            <v>CB5326200-133L002</v>
          </cell>
          <cell r="B312" t="str">
            <v>8815 4号加强筋</v>
          </cell>
        </row>
        <row r="313">
          <cell r="A313" t="str">
            <v>CB5326200-133R002</v>
          </cell>
          <cell r="B313" t="str">
            <v>8815 4号加强筋</v>
          </cell>
        </row>
        <row r="314">
          <cell r="A314" t="str">
            <v>CB5326200-134L002</v>
          </cell>
          <cell r="B314" t="str">
            <v>9010 4号加强筋</v>
          </cell>
        </row>
        <row r="315">
          <cell r="A315" t="str">
            <v>CB5326200-134R002</v>
          </cell>
          <cell r="B315" t="str">
            <v>9010 4号加强筋</v>
          </cell>
        </row>
        <row r="316">
          <cell r="A316" t="str">
            <v>CB5327110-002L002</v>
          </cell>
          <cell r="B316" t="str">
            <v>8270左隔框</v>
          </cell>
        </row>
        <row r="317">
          <cell r="A317" t="str">
            <v>CB5327110-002L004</v>
          </cell>
          <cell r="B317" t="str">
            <v>8270左隔框</v>
          </cell>
        </row>
        <row r="318">
          <cell r="A318" t="str">
            <v>CB5327110-002R002</v>
          </cell>
          <cell r="B318" t="str">
            <v>8270右隔框</v>
          </cell>
        </row>
        <row r="319">
          <cell r="A319" t="str">
            <v>CB5327110-002R004</v>
          </cell>
          <cell r="B319" t="str">
            <v>8270右隔框</v>
          </cell>
        </row>
        <row r="320">
          <cell r="A320" t="str">
            <v>CB5327110-003L002</v>
          </cell>
          <cell r="B320" t="str">
            <v>8635左隔框</v>
          </cell>
        </row>
        <row r="321">
          <cell r="A321" t="str">
            <v>CB5327110-003R002</v>
          </cell>
          <cell r="B321" t="str">
            <v>8635右隔框</v>
          </cell>
        </row>
        <row r="322">
          <cell r="A322" t="str">
            <v>CB5327120-010L015</v>
          </cell>
          <cell r="B322" t="str">
            <v>9555侧隔框</v>
          </cell>
        </row>
        <row r="323">
          <cell r="A323" t="str">
            <v>CB5327120-010R015</v>
          </cell>
          <cell r="B323" t="str">
            <v>9555侧隔框</v>
          </cell>
        </row>
        <row r="324">
          <cell r="A324" t="str">
            <v>CB5327120-013L015</v>
          </cell>
          <cell r="B324" t="str">
            <v>10150侧隔框</v>
          </cell>
        </row>
        <row r="325">
          <cell r="A325" t="str">
            <v>CB5327120-013R015</v>
          </cell>
          <cell r="B325" t="str">
            <v>10150侧隔框</v>
          </cell>
        </row>
        <row r="326">
          <cell r="A326" t="str">
            <v>CB5327220-002L001</v>
          </cell>
          <cell r="B326" t="str">
            <v>型材</v>
          </cell>
        </row>
        <row r="327">
          <cell r="A327" t="str">
            <v>CB5327310-014L001</v>
          </cell>
          <cell r="B327" t="str">
            <v>大舱门前缘冒型材</v>
          </cell>
        </row>
        <row r="328">
          <cell r="A328" t="str">
            <v>CB5327310-014R001</v>
          </cell>
          <cell r="B328" t="str">
            <v>大舱门前缘冒型材</v>
          </cell>
        </row>
        <row r="329">
          <cell r="A329" t="str">
            <v>CB5327500-003-001</v>
          </cell>
          <cell r="B329" t="str">
            <v>螺栓</v>
          </cell>
        </row>
        <row r="330">
          <cell r="A330" t="str">
            <v>CB5350500-010L006</v>
          </cell>
          <cell r="B330" t="str">
            <v>1号护板维型肋左件</v>
          </cell>
        </row>
        <row r="331">
          <cell r="A331" t="str">
            <v>CB5350500-010R006</v>
          </cell>
          <cell r="B331" t="str">
            <v>1号护板维型肋右件</v>
          </cell>
        </row>
        <row r="332">
          <cell r="A332" t="str">
            <v>CB5350500-016L006</v>
          </cell>
          <cell r="B332" t="str">
            <v>7号护板维型肋左件</v>
          </cell>
        </row>
        <row r="333">
          <cell r="A333" t="str">
            <v>CB5350500-016R006</v>
          </cell>
          <cell r="B333" t="str">
            <v>7号护板维型肋右件</v>
          </cell>
        </row>
        <row r="334">
          <cell r="A334" t="str">
            <v>CB5512300-004R002</v>
          </cell>
          <cell r="B334" t="str">
            <v>根肋前段</v>
          </cell>
        </row>
        <row r="335">
          <cell r="A335" t="str">
            <v>CB5512300-006L003</v>
          </cell>
          <cell r="B335" t="str">
            <v>1#斜肋</v>
          </cell>
        </row>
        <row r="336">
          <cell r="A336" t="str">
            <v>CB5512300-006R003</v>
          </cell>
          <cell r="B336" t="str">
            <v>1#斜肋</v>
          </cell>
        </row>
        <row r="337">
          <cell r="A337" t="str">
            <v>CB5512300-014L001</v>
          </cell>
          <cell r="B337" t="str">
            <v>角盒</v>
          </cell>
        </row>
        <row r="338">
          <cell r="A338" t="str">
            <v>CB5512300-014R001</v>
          </cell>
          <cell r="B338" t="str">
            <v>角盒</v>
          </cell>
        </row>
        <row r="339">
          <cell r="A339" t="str">
            <v>CB5512300-015L001</v>
          </cell>
          <cell r="B339" t="str">
            <v>角盒</v>
          </cell>
        </row>
        <row r="340">
          <cell r="A340" t="str">
            <v>CB5512300-015R001</v>
          </cell>
          <cell r="B340" t="str">
            <v>角盒</v>
          </cell>
        </row>
        <row r="341">
          <cell r="A341" t="str">
            <v>CB5713600-001L006</v>
          </cell>
          <cell r="B341" t="str">
            <v>前梁一段</v>
          </cell>
        </row>
        <row r="342">
          <cell r="A342" t="str">
            <v>CB5713600-001R004</v>
          </cell>
          <cell r="B342" t="str">
            <v>前梁一段</v>
          </cell>
        </row>
        <row r="343">
          <cell r="A343" t="str">
            <v>CB5714100-001L004</v>
          </cell>
          <cell r="B343" t="str">
            <v>根肋一段</v>
          </cell>
        </row>
        <row r="344">
          <cell r="A344" t="str">
            <v>CB5714100-001R004</v>
          </cell>
          <cell r="B344" t="str">
            <v>根肋一段</v>
          </cell>
        </row>
        <row r="345">
          <cell r="A345" t="str">
            <v>CB5714100-002R003</v>
          </cell>
          <cell r="B345" t="str">
            <v>根肋二段</v>
          </cell>
        </row>
        <row r="346">
          <cell r="A346" t="str">
            <v>CB5714100-003L003</v>
          </cell>
          <cell r="B346" t="str">
            <v>根肋三段</v>
          </cell>
        </row>
        <row r="347">
          <cell r="A347" t="str">
            <v>CB5714100-003R003</v>
          </cell>
          <cell r="B347" t="str">
            <v>根肋三段</v>
          </cell>
        </row>
        <row r="348">
          <cell r="A348" t="str">
            <v>CB5715000-001L002</v>
          </cell>
          <cell r="B348" t="str">
            <v>固定前缘边肋</v>
          </cell>
        </row>
        <row r="349">
          <cell r="A349" t="str">
            <v>CB5715000-001R002</v>
          </cell>
          <cell r="B349" t="str">
            <v>固定前缘边肋</v>
          </cell>
        </row>
        <row r="350">
          <cell r="A350" t="str">
            <v>CB5742000-202L001</v>
          </cell>
          <cell r="B350" t="str">
            <v>前梁二段</v>
          </cell>
        </row>
        <row r="351">
          <cell r="A351" t="str">
            <v>CB5742000-202R001</v>
          </cell>
          <cell r="B351" t="str">
            <v>前梁二段</v>
          </cell>
        </row>
        <row r="352">
          <cell r="A352" t="str">
            <v>CB5752000-022L003</v>
          </cell>
          <cell r="B352" t="str">
            <v>角片</v>
          </cell>
        </row>
        <row r="353">
          <cell r="A353" t="str">
            <v>CB5811100-003-001</v>
          </cell>
          <cell r="B353" t="str">
            <v>螺栓</v>
          </cell>
        </row>
        <row r="354">
          <cell r="A354" t="str">
            <v>CB5811100-004-001</v>
          </cell>
          <cell r="B354" t="str">
            <v>连接轴</v>
          </cell>
        </row>
        <row r="355">
          <cell r="A355" t="str">
            <v>CB5811100-005-001</v>
          </cell>
          <cell r="B355" t="str">
            <v>螺栓</v>
          </cell>
        </row>
        <row r="356">
          <cell r="A356" t="str">
            <v>CB5811100-006-001</v>
          </cell>
          <cell r="B356" t="str">
            <v>垫圈</v>
          </cell>
        </row>
        <row r="357">
          <cell r="A357" t="str">
            <v>CB5811100-010-001</v>
          </cell>
          <cell r="B357" t="str">
            <v>螺栓</v>
          </cell>
        </row>
        <row r="358">
          <cell r="A358" t="str">
            <v>CB5811100-013-001</v>
          </cell>
          <cell r="B358" t="str">
            <v>垫圈</v>
          </cell>
        </row>
        <row r="359">
          <cell r="A359" t="str">
            <v>CB5811100-014-001</v>
          </cell>
          <cell r="B359" t="str">
            <v>螺栓</v>
          </cell>
        </row>
        <row r="360">
          <cell r="A360" t="str">
            <v>CB5811200-003-001</v>
          </cell>
          <cell r="B360" t="str">
            <v>长安装螺栓</v>
          </cell>
        </row>
        <row r="361">
          <cell r="A361" t="str">
            <v>CB5811300-001-001</v>
          </cell>
          <cell r="B361" t="str">
            <v>螺栓</v>
          </cell>
        </row>
        <row r="362">
          <cell r="A362" t="str">
            <v>CB5811300-003-001</v>
          </cell>
          <cell r="B362" t="str">
            <v>转轴</v>
          </cell>
        </row>
        <row r="363">
          <cell r="A363" t="str">
            <v>CB5812000-028-001</v>
          </cell>
          <cell r="B363" t="str">
            <v>螺栓</v>
          </cell>
        </row>
        <row r="364">
          <cell r="A364" t="str">
            <v>CB5814000-002-001</v>
          </cell>
          <cell r="B364" t="str">
            <v>前支架</v>
          </cell>
        </row>
        <row r="365">
          <cell r="A365" t="str">
            <v>CB5814000-003-001</v>
          </cell>
          <cell r="B365" t="str">
            <v>后支架</v>
          </cell>
        </row>
        <row r="366">
          <cell r="A366" t="str">
            <v>CB5814000-005-001</v>
          </cell>
          <cell r="B366" t="str">
            <v>垫圈</v>
          </cell>
        </row>
        <row r="367">
          <cell r="A367" t="str">
            <v>CB5822016-024L001</v>
          </cell>
          <cell r="B367" t="str">
            <v>角片</v>
          </cell>
        </row>
        <row r="368">
          <cell r="A368" t="str">
            <v>CB5822016-024R001</v>
          </cell>
          <cell r="B368" t="str">
            <v>角片</v>
          </cell>
        </row>
        <row r="369">
          <cell r="A369" t="str">
            <v>CB5822016-029L001</v>
          </cell>
          <cell r="B369" t="str">
            <v>角片</v>
          </cell>
        </row>
        <row r="370">
          <cell r="A370" t="str">
            <v>CB5822016-029R001</v>
          </cell>
          <cell r="B370" t="str">
            <v>角片</v>
          </cell>
        </row>
        <row r="371">
          <cell r="A371" t="str">
            <v>CB5822016-034L001</v>
          </cell>
          <cell r="B371" t="str">
            <v>角片</v>
          </cell>
        </row>
        <row r="372">
          <cell r="A372" t="str">
            <v>CB5822016-034R001</v>
          </cell>
          <cell r="B372" t="str">
            <v>角片</v>
          </cell>
        </row>
        <row r="373">
          <cell r="A373" t="str">
            <v>DD-FC1-41123-1111</v>
          </cell>
          <cell r="B373" t="str">
            <v>销子</v>
          </cell>
        </row>
        <row r="374">
          <cell r="A374" t="str">
            <v>DD-FC1-41123-1112</v>
          </cell>
          <cell r="B374" t="str">
            <v>拨棍</v>
          </cell>
        </row>
        <row r="375">
          <cell r="A375" t="str">
            <v>DD-FC1-41153-21</v>
          </cell>
          <cell r="B375" t="str">
            <v>单耳接头</v>
          </cell>
        </row>
        <row r="376">
          <cell r="A376" t="str">
            <v>DD-FC1-86011-3210-1</v>
          </cell>
          <cell r="B376" t="str">
            <v>左转接管</v>
          </cell>
        </row>
        <row r="377">
          <cell r="A377" t="str">
            <v>DD-FC1-94076-7</v>
          </cell>
          <cell r="B377" t="str">
            <v>垫片</v>
          </cell>
        </row>
        <row r="378">
          <cell r="A378" t="str">
            <v>DD-J10-04401-103</v>
          </cell>
          <cell r="B378" t="str">
            <v>接头</v>
          </cell>
        </row>
        <row r="379">
          <cell r="A379" t="str">
            <v>DD-J10-04401-104</v>
          </cell>
          <cell r="B379" t="str">
            <v>接头</v>
          </cell>
        </row>
        <row r="380">
          <cell r="A380" t="str">
            <v>DD-J10-05076-20-1-Z</v>
          </cell>
          <cell r="B380" t="str">
            <v>梁</v>
          </cell>
        </row>
        <row r="381">
          <cell r="A381" t="str">
            <v>DD-J10-05086-20-1-Y</v>
          </cell>
          <cell r="B381" t="str">
            <v>梁</v>
          </cell>
        </row>
        <row r="382">
          <cell r="A382" t="str">
            <v>DD-J10-05086-20-1-Z</v>
          </cell>
          <cell r="B382" t="str">
            <v>梁</v>
          </cell>
        </row>
        <row r="383">
          <cell r="A383" t="str">
            <v>DD-J10-06031-302</v>
          </cell>
          <cell r="B383" t="str">
            <v>支座</v>
          </cell>
        </row>
        <row r="384">
          <cell r="A384" t="str">
            <v>DD-J10-06031-404</v>
          </cell>
          <cell r="B384" t="str">
            <v>支座</v>
          </cell>
        </row>
        <row r="385">
          <cell r="A385" t="str">
            <v>DD-J10-06041-81</v>
          </cell>
          <cell r="B385" t="str">
            <v>弯管接头</v>
          </cell>
        </row>
        <row r="386">
          <cell r="A386" t="str">
            <v>DD-J10-06061-6</v>
          </cell>
          <cell r="B386" t="str">
            <v>支座</v>
          </cell>
        </row>
        <row r="387">
          <cell r="A387" t="str">
            <v>DD-J10-21102-250-1-Y</v>
          </cell>
          <cell r="B387" t="str">
            <v>11900梁一段（右件）</v>
          </cell>
        </row>
        <row r="388">
          <cell r="A388" t="str">
            <v>DD-J10-21102-250-1-Z</v>
          </cell>
          <cell r="B388" t="str">
            <v>11900梁一段（左件）</v>
          </cell>
        </row>
        <row r="389">
          <cell r="A389" t="str">
            <v>DD-J10-21102-250-2-Y</v>
          </cell>
          <cell r="B389" t="str">
            <v>11900梁二段</v>
          </cell>
        </row>
        <row r="390">
          <cell r="A390" t="str">
            <v>DD-J10-21102-271</v>
          </cell>
          <cell r="B390" t="str">
            <v>3#上垫片</v>
          </cell>
        </row>
        <row r="391">
          <cell r="A391" t="str">
            <v>DD-J10-21102-273</v>
          </cell>
          <cell r="B391" t="str">
            <v>4#上垫片</v>
          </cell>
        </row>
        <row r="392">
          <cell r="A392" t="str">
            <v>DD-J10-21102-274</v>
          </cell>
          <cell r="B392" t="str">
            <v>4#下垫片</v>
          </cell>
        </row>
        <row r="393">
          <cell r="A393" t="str">
            <v>DD-J10-21102-2-Y</v>
          </cell>
          <cell r="B393" t="str">
            <v>1号下壁板</v>
          </cell>
        </row>
        <row r="394">
          <cell r="A394" t="str">
            <v>DD-J10-21102-390-1-Z</v>
          </cell>
          <cell r="B394" t="str">
            <v>1150肋九段</v>
          </cell>
        </row>
        <row r="395">
          <cell r="A395" t="str">
            <v>DD-J10-21102-410-1-Y</v>
          </cell>
          <cell r="B395" t="str">
            <v>1150肋根肋</v>
          </cell>
        </row>
        <row r="396">
          <cell r="A396" t="str">
            <v>DD-J10-21102-410-1-Z</v>
          </cell>
          <cell r="B396" t="str">
            <v>1150肋根肋</v>
          </cell>
        </row>
        <row r="397">
          <cell r="A397" t="str">
            <v>DD-J10-21102-60/-1/3-Y</v>
          </cell>
          <cell r="B397" t="str">
            <v>11968下口盖</v>
          </cell>
        </row>
        <row r="398">
          <cell r="A398" t="str">
            <v>DD-J10-25002-1-Y</v>
          </cell>
          <cell r="B398" t="str">
            <v>第3肋</v>
          </cell>
        </row>
        <row r="399">
          <cell r="A399" t="str">
            <v>DD-J10-33003-4</v>
          </cell>
          <cell r="B399" t="str">
            <v>梁</v>
          </cell>
        </row>
        <row r="400">
          <cell r="A400" t="str">
            <v>DD-J10-34003-2</v>
          </cell>
          <cell r="B400" t="str">
            <v>后梁</v>
          </cell>
        </row>
        <row r="401">
          <cell r="A401" t="str">
            <v>DD-J10-34103-4</v>
          </cell>
          <cell r="B401" t="str">
            <v>上边肋</v>
          </cell>
        </row>
        <row r="402">
          <cell r="A402" t="str">
            <v>DD-J10-41035-120-1</v>
          </cell>
          <cell r="B402" t="str">
            <v>管子</v>
          </cell>
        </row>
        <row r="403">
          <cell r="A403" t="str">
            <v>DD-J10-41123-1101</v>
          </cell>
          <cell r="B403" t="str">
            <v>壳体</v>
          </cell>
        </row>
        <row r="404">
          <cell r="A404" t="str">
            <v>DD-J10-41123-1102</v>
          </cell>
          <cell r="B404" t="str">
            <v>堵塞</v>
          </cell>
        </row>
        <row r="405">
          <cell r="A405" t="str">
            <v>DD-J10-41123-1103</v>
          </cell>
          <cell r="B405" t="str">
            <v>螺帽</v>
          </cell>
        </row>
        <row r="406">
          <cell r="A406" t="str">
            <v>DD-J10-41123-1111</v>
          </cell>
          <cell r="B406" t="str">
            <v>销子</v>
          </cell>
        </row>
        <row r="407">
          <cell r="A407" t="str">
            <v>DD-J10-41123-1112</v>
          </cell>
          <cell r="B407" t="str">
            <v>拨棍</v>
          </cell>
        </row>
        <row r="408">
          <cell r="A408" t="str">
            <v>DD-J10-41143-110-2</v>
          </cell>
          <cell r="B408" t="str">
            <v>螺帽</v>
          </cell>
        </row>
        <row r="409">
          <cell r="A409" t="str">
            <v>DD-J10-41153-105</v>
          </cell>
          <cell r="B409" t="str">
            <v>联锁摇臂</v>
          </cell>
        </row>
        <row r="410">
          <cell r="A410" t="str">
            <v>DD-J10-41153-120-2</v>
          </cell>
          <cell r="B410" t="str">
            <v>挡销</v>
          </cell>
        </row>
        <row r="411">
          <cell r="A411" t="str">
            <v>DD-J10-41153-140-1</v>
          </cell>
          <cell r="B411" t="str">
            <v>开锁摇臂</v>
          </cell>
        </row>
        <row r="412">
          <cell r="A412" t="str">
            <v>DD-J10-41153-140-2</v>
          </cell>
          <cell r="B412" t="str">
            <v>指针</v>
          </cell>
        </row>
        <row r="413">
          <cell r="A413" t="str">
            <v>DD-J10-41153-210-1</v>
          </cell>
          <cell r="B413" t="str">
            <v>管子</v>
          </cell>
        </row>
        <row r="414">
          <cell r="A414" t="str">
            <v>DD-J10-41173-147</v>
          </cell>
          <cell r="B414" t="str">
            <v>拨叉</v>
          </cell>
        </row>
        <row r="415">
          <cell r="A415" t="str">
            <v>DD-J10-42074-150-1</v>
          </cell>
          <cell r="B415" t="str">
            <v>管子</v>
          </cell>
        </row>
        <row r="416">
          <cell r="A416" t="str">
            <v>DD-J10-42074-160-1</v>
          </cell>
          <cell r="B416" t="str">
            <v>拉杆</v>
          </cell>
        </row>
        <row r="417">
          <cell r="A417" t="str">
            <v>DD-J10-42074-90-1-Z</v>
          </cell>
          <cell r="B417" t="str">
            <v>支座</v>
          </cell>
        </row>
        <row r="418">
          <cell r="A418" t="str">
            <v>DD-J10-54101-201</v>
          </cell>
          <cell r="B418" t="str">
            <v>支座</v>
          </cell>
        </row>
        <row r="419">
          <cell r="A419" t="str">
            <v>DD-J10-54101-2801</v>
          </cell>
          <cell r="B419" t="str">
            <v>手柄</v>
          </cell>
        </row>
        <row r="420">
          <cell r="A420" t="str">
            <v>DD-J10-54101-2802</v>
          </cell>
          <cell r="B420" t="str">
            <v>套筒</v>
          </cell>
        </row>
        <row r="421">
          <cell r="A421" t="str">
            <v>DD-J10-54101-2803</v>
          </cell>
          <cell r="B421" t="str">
            <v>止动器</v>
          </cell>
        </row>
        <row r="422">
          <cell r="A422" t="str">
            <v>DD-J10-54101-2821</v>
          </cell>
          <cell r="B422" t="str">
            <v>插销</v>
          </cell>
        </row>
        <row r="423">
          <cell r="A423" t="str">
            <v>DD-J10-54111-1200-1</v>
          </cell>
          <cell r="B423" t="str">
            <v>衬套</v>
          </cell>
        </row>
        <row r="424">
          <cell r="A424" t="str">
            <v>DD-J10-54231-2-Y</v>
          </cell>
          <cell r="B424" t="str">
            <v>鸭翼伺服作动器安装支座</v>
          </cell>
        </row>
        <row r="425">
          <cell r="A425" t="str">
            <v>DD-J10-54231-2-Z</v>
          </cell>
          <cell r="B425" t="str">
            <v>鸭翼伺服作动器安装支座</v>
          </cell>
        </row>
        <row r="426">
          <cell r="A426" t="str">
            <v>DD-J10-55014-1400-2</v>
          </cell>
          <cell r="B426" t="str">
            <v>堵片</v>
          </cell>
        </row>
        <row r="427">
          <cell r="A427" t="str">
            <v>DD-J10-55014-2131</v>
          </cell>
          <cell r="B427" t="str">
            <v>接管嘴</v>
          </cell>
        </row>
        <row r="428">
          <cell r="A428" t="str">
            <v>DD-J10-55014-2160-1</v>
          </cell>
          <cell r="B428" t="str">
            <v>耳环螺栓</v>
          </cell>
        </row>
        <row r="429">
          <cell r="A429" t="str">
            <v>DD-J10-55014-3101</v>
          </cell>
          <cell r="B429" t="str">
            <v>接管嘴</v>
          </cell>
        </row>
        <row r="430">
          <cell r="A430" t="str">
            <v>DD-J10-55014-3200-1</v>
          </cell>
          <cell r="B430" t="str">
            <v>耳环螺栓</v>
          </cell>
        </row>
        <row r="431">
          <cell r="A431" t="str">
            <v>DD-J10-55015-5300-1</v>
          </cell>
          <cell r="B431" t="str">
            <v>耳环螺栓</v>
          </cell>
        </row>
        <row r="432">
          <cell r="A432" t="str">
            <v>DD-J10-55015-5503-Y</v>
          </cell>
          <cell r="B432" t="str">
            <v>接管嘴</v>
          </cell>
        </row>
        <row r="433">
          <cell r="A433" t="str">
            <v>DD-J10-55015-6100-1</v>
          </cell>
          <cell r="B433" t="str">
            <v>耳环螺栓</v>
          </cell>
        </row>
        <row r="434">
          <cell r="A434" t="str">
            <v>DD-J10-55023-632</v>
          </cell>
          <cell r="B434" t="str">
            <v>小衬套</v>
          </cell>
        </row>
        <row r="435">
          <cell r="A435" t="str">
            <v>DD-J10-55051-1311</v>
          </cell>
          <cell r="B435" t="str">
            <v>连接件</v>
          </cell>
        </row>
        <row r="436">
          <cell r="A436" t="str">
            <v>DD-J10-55051-6101</v>
          </cell>
          <cell r="B436" t="str">
            <v>接管嘴</v>
          </cell>
        </row>
        <row r="437">
          <cell r="A437" t="str">
            <v>DD-J10-55055-2611</v>
          </cell>
          <cell r="B437" t="str">
            <v>接管嘴</v>
          </cell>
        </row>
        <row r="438">
          <cell r="A438" t="str">
            <v>DD-J10-55121-1</v>
          </cell>
          <cell r="B438" t="str">
            <v>三通管接头</v>
          </cell>
        </row>
        <row r="439">
          <cell r="A439" t="str">
            <v>DD-J10-55121-2</v>
          </cell>
          <cell r="B439" t="str">
            <v>三通管接头</v>
          </cell>
        </row>
        <row r="440">
          <cell r="A440" t="str">
            <v>DD-J10-55155-1</v>
          </cell>
          <cell r="B440" t="str">
            <v>四通管接头</v>
          </cell>
        </row>
        <row r="441">
          <cell r="A441" t="str">
            <v>DD-J10-55155-710-3</v>
          </cell>
          <cell r="B441" t="str">
            <v>衬套</v>
          </cell>
        </row>
        <row r="442">
          <cell r="A442" t="str">
            <v>DD-J10-55165-331</v>
          </cell>
          <cell r="B442" t="str">
            <v>三通管接头</v>
          </cell>
        </row>
        <row r="443">
          <cell r="A443" t="str">
            <v>DD-J10-55165-703</v>
          </cell>
          <cell r="B443" t="str">
            <v>摇臂</v>
          </cell>
        </row>
        <row r="444">
          <cell r="A444" t="str">
            <v>DD-J10-55165-710-3</v>
          </cell>
          <cell r="B444" t="str">
            <v>衬套</v>
          </cell>
        </row>
        <row r="445">
          <cell r="A445" t="str">
            <v>DD-J10-55181-13</v>
          </cell>
          <cell r="B445" t="str">
            <v>变径三通管接头</v>
          </cell>
        </row>
        <row r="446">
          <cell r="A446" t="str">
            <v>DD-J10-55181-16</v>
          </cell>
          <cell r="B446" t="str">
            <v>变径三通管接头</v>
          </cell>
        </row>
        <row r="447">
          <cell r="A447" t="str">
            <v>DD-J10-55181-2532</v>
          </cell>
          <cell r="B447" t="str">
            <v>螺帽</v>
          </cell>
        </row>
        <row r="448">
          <cell r="A448" t="str">
            <v>DD-J10-55181-2540-1</v>
          </cell>
          <cell r="B448" t="str">
            <v>螺栓</v>
          </cell>
        </row>
        <row r="449">
          <cell r="A449" t="str">
            <v>DD-J10-55181-2540-2</v>
          </cell>
          <cell r="B449" t="str">
            <v>小轴</v>
          </cell>
        </row>
        <row r="450">
          <cell r="A450" t="str">
            <v>DD-J10-55181-6</v>
          </cell>
          <cell r="B450" t="str">
            <v>变径三通管接头</v>
          </cell>
        </row>
        <row r="451">
          <cell r="A451" t="str">
            <v>DD-J10-55181-6431</v>
          </cell>
          <cell r="B451" t="str">
            <v>变径三通管接头</v>
          </cell>
        </row>
        <row r="452">
          <cell r="A452" t="str">
            <v>DD-J10-55181-66</v>
          </cell>
          <cell r="B452" t="str">
            <v>转接管接头</v>
          </cell>
        </row>
        <row r="453">
          <cell r="A453" t="str">
            <v>DD-J10-55181-6742</v>
          </cell>
          <cell r="B453" t="str">
            <v>收紧螺母</v>
          </cell>
        </row>
        <row r="454">
          <cell r="A454" t="str">
            <v>DD-J10-55196-311</v>
          </cell>
          <cell r="B454" t="str">
            <v>螺栓</v>
          </cell>
        </row>
        <row r="455">
          <cell r="A455" t="str">
            <v>DD-J10-61001-7001</v>
          </cell>
          <cell r="B455" t="str">
            <v>管接头</v>
          </cell>
        </row>
        <row r="456">
          <cell r="A456" t="str">
            <v>DD-J10-61001-722</v>
          </cell>
          <cell r="B456" t="str">
            <v>螺栓</v>
          </cell>
        </row>
        <row r="457">
          <cell r="A457" t="str">
            <v>DD-J10-61031-44</v>
          </cell>
          <cell r="B457" t="str">
            <v>压板</v>
          </cell>
        </row>
        <row r="458">
          <cell r="A458" t="str">
            <v>DD-J10-61031-801</v>
          </cell>
          <cell r="B458" t="str">
            <v>直管接头</v>
          </cell>
        </row>
        <row r="459">
          <cell r="A459" t="str">
            <v>DD-J10-61041-2</v>
          </cell>
          <cell r="B459" t="str">
            <v>管接头</v>
          </cell>
        </row>
        <row r="460">
          <cell r="A460" t="str">
            <v>DD-J10-61052-172</v>
          </cell>
          <cell r="B460" t="str">
            <v>接管嘴</v>
          </cell>
        </row>
        <row r="461">
          <cell r="A461" t="str">
            <v>DD-J10-61052-4</v>
          </cell>
          <cell r="B461" t="str">
            <v>接管嘴</v>
          </cell>
        </row>
        <row r="462">
          <cell r="A462" t="str">
            <v>DD-J10-61101-5001/16</v>
          </cell>
          <cell r="B462" t="str">
            <v>管接头</v>
          </cell>
        </row>
        <row r="463">
          <cell r="A463" t="str">
            <v>DD-J10-62021-11106</v>
          </cell>
          <cell r="B463" t="str">
            <v>壳体</v>
          </cell>
        </row>
        <row r="464">
          <cell r="A464" t="str">
            <v>DD-J10-62021-7</v>
          </cell>
          <cell r="B464" t="str">
            <v>管接头</v>
          </cell>
        </row>
        <row r="465">
          <cell r="A465" t="str">
            <v>DD-J10-64011-421</v>
          </cell>
          <cell r="B465" t="str">
            <v>套筒</v>
          </cell>
        </row>
        <row r="466">
          <cell r="A466" t="str">
            <v>DD-J10-64026-122</v>
          </cell>
          <cell r="B466" t="str">
            <v>球头</v>
          </cell>
        </row>
        <row r="467">
          <cell r="A467" t="str">
            <v>DD-J10-68095-1100-2</v>
          </cell>
          <cell r="B467" t="str">
            <v>衬套</v>
          </cell>
        </row>
        <row r="468">
          <cell r="A468" t="str">
            <v>DD-J10-68095-1300-3</v>
          </cell>
          <cell r="B468" t="str">
            <v>衬套</v>
          </cell>
        </row>
        <row r="469">
          <cell r="A469" t="str">
            <v>DD-J10-68095-1400-1</v>
          </cell>
          <cell r="B469" t="str">
            <v>套筒</v>
          </cell>
        </row>
        <row r="470">
          <cell r="A470" t="str">
            <v>DD-J10-71211-326</v>
          </cell>
          <cell r="B470" t="str">
            <v>盖片</v>
          </cell>
        </row>
        <row r="471">
          <cell r="A471" t="str">
            <v>DD-J10-77101-50/1-1</v>
          </cell>
          <cell r="B471" t="str">
            <v>管夹上部</v>
          </cell>
        </row>
        <row r="472">
          <cell r="A472" t="str">
            <v>DD-J10-78140-2110-1</v>
          </cell>
          <cell r="B472" t="str">
            <v>铰链</v>
          </cell>
        </row>
        <row r="473">
          <cell r="A473" t="str">
            <v>DD-J10-86011-3210-1</v>
          </cell>
          <cell r="B473" t="str">
            <v>左转接管</v>
          </cell>
        </row>
        <row r="474">
          <cell r="A474" t="str">
            <v>DD-J10-86021-5000-1</v>
          </cell>
          <cell r="B474" t="str">
            <v>斜垫块</v>
          </cell>
        </row>
        <row r="475">
          <cell r="A475" t="str">
            <v>DD-J10-86021-6000-2</v>
          </cell>
          <cell r="B475" t="str">
            <v>短管</v>
          </cell>
        </row>
        <row r="476">
          <cell r="A476" t="str">
            <v>DD-J10-86041-1</v>
          </cell>
          <cell r="B476" t="str">
            <v>齿纹垫圈</v>
          </cell>
        </row>
        <row r="477">
          <cell r="A477" t="str">
            <v>DD-J10-91001-1</v>
          </cell>
          <cell r="B477" t="str">
            <v>支座</v>
          </cell>
        </row>
        <row r="478">
          <cell r="A478" t="str">
            <v>DD-J10-94021-730-3</v>
          </cell>
          <cell r="B478" t="str">
            <v>环</v>
          </cell>
        </row>
        <row r="479">
          <cell r="A479" t="str">
            <v>DD-J10-94021-740-3</v>
          </cell>
          <cell r="B479" t="str">
            <v>环</v>
          </cell>
        </row>
        <row r="480">
          <cell r="A480" t="str">
            <v>DD-J10-96011-12</v>
          </cell>
          <cell r="B480" t="str">
            <v>管接头</v>
          </cell>
        </row>
        <row r="481">
          <cell r="A481" t="str">
            <v>DD-J10-96031-104</v>
          </cell>
          <cell r="B481" t="str">
            <v>接管嘴</v>
          </cell>
        </row>
        <row r="482">
          <cell r="A482" t="str">
            <v>DD-J10-96031-111</v>
          </cell>
          <cell r="B482" t="str">
            <v>螺母</v>
          </cell>
        </row>
        <row r="483">
          <cell r="A483" t="str">
            <v>DD-J10-96031-121</v>
          </cell>
          <cell r="B483" t="str">
            <v>销棒</v>
          </cell>
        </row>
        <row r="484">
          <cell r="A484" t="str">
            <v>DD-J10-96031-130-1</v>
          </cell>
          <cell r="B484" t="str">
            <v>管子</v>
          </cell>
        </row>
        <row r="485">
          <cell r="A485" t="str">
            <v>DD-J10B-02021-3/1-Y</v>
          </cell>
          <cell r="B485" t="str">
            <v>雷达罩锁支座</v>
          </cell>
        </row>
        <row r="486">
          <cell r="A486" t="str">
            <v>DD-J10B-02021-3/1-Z</v>
          </cell>
          <cell r="B486" t="str">
            <v>雷达罩锁支座</v>
          </cell>
        </row>
        <row r="487">
          <cell r="A487" t="str">
            <v>DD-J10B-02021-3/2-Y</v>
          </cell>
          <cell r="B487" t="str">
            <v>雷达罩锁支座</v>
          </cell>
        </row>
        <row r="488">
          <cell r="A488" t="str">
            <v>DD-J10B-02021-3/2-Y-TZ</v>
          </cell>
          <cell r="B488" t="str">
            <v>雷达罩锁支座特制</v>
          </cell>
        </row>
        <row r="489">
          <cell r="A489" t="str">
            <v>DD-J10B-02021-3/2-Z</v>
          </cell>
          <cell r="B489" t="str">
            <v>雷达罩锁支座</v>
          </cell>
        </row>
        <row r="490">
          <cell r="A490" t="str">
            <v>DD-J10B-02021-3/2-Z-TZ</v>
          </cell>
          <cell r="B490" t="str">
            <v>雷达罩锁支座特制</v>
          </cell>
        </row>
        <row r="491">
          <cell r="A491" t="str">
            <v>DD-J10B-02041-2-Y</v>
          </cell>
          <cell r="B491" t="str">
            <v>前上大梁（右）</v>
          </cell>
        </row>
        <row r="492">
          <cell r="A492" t="str">
            <v>DD-J10B-02041-2-Z</v>
          </cell>
          <cell r="B492" t="str">
            <v>前上大梁（左）</v>
          </cell>
        </row>
        <row r="493">
          <cell r="A493" t="str">
            <v>DD-J10B-02041-300-3</v>
          </cell>
          <cell r="B493" t="str">
            <v>右内侧角材</v>
          </cell>
        </row>
        <row r="494">
          <cell r="A494" t="str">
            <v>DD-J10B-02041-304</v>
          </cell>
          <cell r="B494" t="str">
            <v>右内侧角材</v>
          </cell>
        </row>
        <row r="495">
          <cell r="A495" t="str">
            <v>DD-J10B-02081-61-Y</v>
          </cell>
          <cell r="B495" t="str">
            <v>角材</v>
          </cell>
        </row>
        <row r="496">
          <cell r="A496" t="str">
            <v>DD-J10B-02081-61-Z</v>
          </cell>
          <cell r="B496" t="str">
            <v>角材</v>
          </cell>
        </row>
        <row r="497">
          <cell r="A497" t="str">
            <v>DD-J10B-02121-1AG2-Y</v>
          </cell>
          <cell r="B497" t="str">
            <v>BL280侧壁（右件）</v>
          </cell>
        </row>
        <row r="498">
          <cell r="A498" t="str">
            <v>DD-J10B-02121-1AG2-Z</v>
          </cell>
          <cell r="B498" t="str">
            <v>BL280侧壁（左件）</v>
          </cell>
        </row>
        <row r="499">
          <cell r="A499" t="str">
            <v>DD-J10B-02161-0G2-203G2</v>
          </cell>
          <cell r="B499" t="str">
            <v>密封垫</v>
          </cell>
        </row>
        <row r="500">
          <cell r="A500" t="str">
            <v>DD-J10B-02161-501</v>
          </cell>
          <cell r="B500" t="str">
            <v>5755横框</v>
          </cell>
        </row>
        <row r="501">
          <cell r="A501" t="str">
            <v>DD-J10B-04041-1</v>
          </cell>
          <cell r="B501" t="str">
            <v>10060框</v>
          </cell>
        </row>
        <row r="502">
          <cell r="A502" t="str">
            <v>DD-J10B-04051-1</v>
          </cell>
          <cell r="B502" t="str">
            <v>10460框</v>
          </cell>
        </row>
        <row r="503">
          <cell r="A503" t="str">
            <v>DD-J10B-04061-1</v>
          </cell>
          <cell r="B503" t="str">
            <v>10860框</v>
          </cell>
        </row>
        <row r="504">
          <cell r="A504" t="str">
            <v>DD-J10B-04321-1-Y</v>
          </cell>
          <cell r="B504" t="str">
            <v>斜横梁</v>
          </cell>
        </row>
        <row r="505">
          <cell r="A505" t="str">
            <v>DD-J10B-04321-30-1-Z</v>
          </cell>
          <cell r="B505" t="str">
            <v>侧下梁（左件）</v>
          </cell>
        </row>
        <row r="506">
          <cell r="A506" t="str">
            <v>DD-J10B-04501-10-1-Y</v>
          </cell>
          <cell r="B506" t="str">
            <v>BL900侧梁</v>
          </cell>
        </row>
        <row r="507">
          <cell r="A507" t="str">
            <v>DD-J10B-04501-10-1-Z</v>
          </cell>
          <cell r="B507" t="str">
            <v>BL900侧梁</v>
          </cell>
        </row>
        <row r="508">
          <cell r="A508" t="str">
            <v>DD-J10B-05236-111-Y</v>
          </cell>
          <cell r="B508" t="str">
            <v>前隔框</v>
          </cell>
        </row>
        <row r="509">
          <cell r="A509" t="str">
            <v>DD-J10B-05236-111-Z</v>
          </cell>
          <cell r="B509" t="str">
            <v>前隔框</v>
          </cell>
        </row>
        <row r="510">
          <cell r="A510" t="str">
            <v>DD-J10B-21302-40G2-1-Z</v>
          </cell>
          <cell r="B510" t="str">
            <v>后梁四段</v>
          </cell>
        </row>
        <row r="511">
          <cell r="A511" t="str">
            <v>DD-J10B-24002-60G2-1G2-Y</v>
          </cell>
          <cell r="B511" t="str">
            <v xml:space="preserve"> 前梁</v>
          </cell>
        </row>
        <row r="512">
          <cell r="A512" t="str">
            <v>DD-J10B-24002-60G2-1G2-Z</v>
          </cell>
          <cell r="B512" t="str">
            <v xml:space="preserve"> 前梁</v>
          </cell>
        </row>
        <row r="513">
          <cell r="A513" t="str">
            <v>DD-J10B-25002-30G2-1G2-Z</v>
          </cell>
          <cell r="B513" t="str">
            <v>梁（左件）</v>
          </cell>
        </row>
        <row r="514">
          <cell r="A514" t="str">
            <v>DD-J10B-26002-100G2-1G2-Z</v>
          </cell>
          <cell r="B514" t="str">
            <v>翼尖接头</v>
          </cell>
        </row>
        <row r="515">
          <cell r="A515" t="str">
            <v>DD-J10B-41045-8</v>
          </cell>
          <cell r="B515" t="str">
            <v>轴</v>
          </cell>
        </row>
        <row r="516">
          <cell r="A516" t="str">
            <v>DD-J10B-41123-20-1</v>
          </cell>
          <cell r="B516" t="str">
            <v>肋板</v>
          </cell>
        </row>
        <row r="517">
          <cell r="A517" t="str">
            <v>DD-J10B-42074-130-1</v>
          </cell>
          <cell r="B517" t="str">
            <v>拉杆</v>
          </cell>
        </row>
        <row r="518">
          <cell r="A518" t="str">
            <v>DD-J10B-42074-140-1</v>
          </cell>
          <cell r="B518" t="str">
            <v>拉杆</v>
          </cell>
        </row>
        <row r="519">
          <cell r="A519" t="str">
            <v>DD-J10B-54601-10-1</v>
          </cell>
          <cell r="B519" t="str">
            <v>过渡板</v>
          </cell>
        </row>
        <row r="520">
          <cell r="A520" t="str">
            <v>DD-J10B-55141-101</v>
          </cell>
          <cell r="B520" t="str">
            <v>90°弯管接头</v>
          </cell>
        </row>
        <row r="521">
          <cell r="A521" t="str">
            <v>DD-J10B-55141-111</v>
          </cell>
          <cell r="B521" t="str">
            <v>90°弯管接头</v>
          </cell>
        </row>
        <row r="522">
          <cell r="A522" t="str">
            <v>DD-J10B-55165-1480-1</v>
          </cell>
          <cell r="B522" t="str">
            <v>螺栓</v>
          </cell>
        </row>
        <row r="523">
          <cell r="A523" t="str">
            <v>DD-J10B-55171-151G2</v>
          </cell>
          <cell r="B523" t="str">
            <v>三通管接头</v>
          </cell>
        </row>
        <row r="524">
          <cell r="A524" t="str">
            <v>DD-J10B-61001-1</v>
          </cell>
          <cell r="B524" t="str">
            <v>接头</v>
          </cell>
        </row>
        <row r="525">
          <cell r="A525" t="str">
            <v>DD-J10B-61001-2</v>
          </cell>
          <cell r="B525" t="str">
            <v>接头</v>
          </cell>
        </row>
        <row r="526">
          <cell r="A526" t="str">
            <v>DD-J10B-61041-18</v>
          </cell>
          <cell r="B526" t="str">
            <v>管接头</v>
          </cell>
        </row>
        <row r="527">
          <cell r="A527" t="str">
            <v>DD-J10B-61201-301</v>
          </cell>
          <cell r="B527" t="str">
            <v>直通管接头</v>
          </cell>
        </row>
        <row r="528">
          <cell r="A528" t="str">
            <v>DD-J10B-63001-651</v>
          </cell>
          <cell r="B528" t="str">
            <v>法兰盘</v>
          </cell>
        </row>
        <row r="529">
          <cell r="A529" t="str">
            <v>DD-J10B-64016-501</v>
          </cell>
          <cell r="B529" t="str">
            <v>管接头</v>
          </cell>
        </row>
        <row r="530">
          <cell r="A530" t="str">
            <v>DD-J10B-65000-1710G2-1</v>
          </cell>
          <cell r="B530" t="str">
            <v>连杆</v>
          </cell>
        </row>
        <row r="531">
          <cell r="A531" t="str">
            <v>DD-J10B-65000-1720G2-1</v>
          </cell>
          <cell r="B531" t="str">
            <v>管子</v>
          </cell>
        </row>
        <row r="532">
          <cell r="A532" t="str">
            <v>DD-J10B-65000-1810G2-1</v>
          </cell>
          <cell r="B532" t="str">
            <v>支座</v>
          </cell>
        </row>
        <row r="533">
          <cell r="A533" t="str">
            <v>DD-J10B-65000-1820G2-1</v>
          </cell>
          <cell r="B533" t="str">
            <v>摇臂</v>
          </cell>
        </row>
        <row r="534">
          <cell r="A534" t="str">
            <v>DD-J10B-65000-1901G2</v>
          </cell>
          <cell r="B534" t="str">
            <v>固定板</v>
          </cell>
        </row>
        <row r="535">
          <cell r="A535" t="str">
            <v>DD-J10B-65000-2250-1GF</v>
          </cell>
          <cell r="B535" t="str">
            <v>管子</v>
          </cell>
        </row>
        <row r="536">
          <cell r="A536" t="str">
            <v>DD-J10B-67011-20010-2</v>
          </cell>
          <cell r="B536" t="str">
            <v>弓形件</v>
          </cell>
        </row>
        <row r="537">
          <cell r="A537" t="str">
            <v>DD-J10B-67011-6103</v>
          </cell>
          <cell r="B537" t="str">
            <v>角片</v>
          </cell>
        </row>
        <row r="538">
          <cell r="A538" t="str">
            <v>DD-J10B-68095-1710-3-Y</v>
          </cell>
          <cell r="B538" t="str">
            <v>钢管</v>
          </cell>
        </row>
        <row r="539">
          <cell r="A539" t="str">
            <v>DD-J10B-68095-1720-3</v>
          </cell>
          <cell r="B539" t="str">
            <v>钢管</v>
          </cell>
        </row>
        <row r="540">
          <cell r="A540" t="str">
            <v>DD-J10B-71031-110-1</v>
          </cell>
          <cell r="B540" t="str">
            <v>樑</v>
          </cell>
        </row>
        <row r="541">
          <cell r="A541" t="str">
            <v>DD-J10B-77101-963</v>
          </cell>
          <cell r="B541" t="str">
            <v>卡箍扣</v>
          </cell>
        </row>
        <row r="542">
          <cell r="A542" t="str">
            <v>DD-J10B-78001-460-1</v>
          </cell>
          <cell r="B542" t="str">
            <v>铰链</v>
          </cell>
        </row>
        <row r="543">
          <cell r="A543" t="str">
            <v>DD-J10B-86031-404</v>
          </cell>
          <cell r="B543" t="str">
            <v>导向件</v>
          </cell>
        </row>
        <row r="544">
          <cell r="A544" t="str">
            <v>DD-J10B-86031-510-3</v>
          </cell>
          <cell r="B544" t="str">
            <v>套管</v>
          </cell>
        </row>
        <row r="545">
          <cell r="A545" t="str">
            <v>DD-J10B-86031-510-4</v>
          </cell>
          <cell r="B545" t="str">
            <v>套管</v>
          </cell>
        </row>
        <row r="546">
          <cell r="A546" t="str">
            <v>DD-J10B-86051-2</v>
          </cell>
          <cell r="B546" t="str">
            <v>激励器转接件</v>
          </cell>
        </row>
        <row r="547">
          <cell r="A547" t="str">
            <v>DD-J10B-94011-701</v>
          </cell>
          <cell r="B547" t="str">
            <v>支臂</v>
          </cell>
        </row>
        <row r="548">
          <cell r="A548" t="str">
            <v>DD-J10B-94061-1061/1</v>
          </cell>
          <cell r="B548" t="str">
            <v>法兰盘</v>
          </cell>
        </row>
        <row r="549">
          <cell r="A549" t="str">
            <v>DD-J10B-94061-1061/2</v>
          </cell>
          <cell r="B549" t="str">
            <v>法兰盘</v>
          </cell>
        </row>
        <row r="550">
          <cell r="A550" t="str">
            <v>DD-J10B-94061-1061/3</v>
          </cell>
          <cell r="B550" t="str">
            <v>法兰盘</v>
          </cell>
        </row>
        <row r="551">
          <cell r="A551" t="str">
            <v>DD-J10B-94061-401</v>
          </cell>
          <cell r="B551" t="str">
            <v>支架</v>
          </cell>
        </row>
        <row r="552">
          <cell r="A552" t="str">
            <v>DD-J10B-94061-520-2</v>
          </cell>
          <cell r="B552" t="str">
            <v>衬套</v>
          </cell>
        </row>
        <row r="553">
          <cell r="A553" t="str">
            <v>DD-J10B-94076-1312</v>
          </cell>
          <cell r="B553" t="str">
            <v>衬盘</v>
          </cell>
        </row>
        <row r="554">
          <cell r="A554" t="str">
            <v>DD-J10B-94076-1391</v>
          </cell>
          <cell r="B554" t="str">
            <v>法兰盘</v>
          </cell>
        </row>
        <row r="555">
          <cell r="A555" t="str">
            <v>DD-J10B-94076-2031/1</v>
          </cell>
          <cell r="B555" t="str">
            <v>接管嘴</v>
          </cell>
        </row>
        <row r="556">
          <cell r="A556" t="str">
            <v>DD-J10B-94076-2031/2</v>
          </cell>
          <cell r="B556" t="str">
            <v>接管嘴</v>
          </cell>
        </row>
        <row r="557">
          <cell r="A557" t="str">
            <v>DD-J10B-94076-2031/3</v>
          </cell>
          <cell r="B557" t="str">
            <v>接管嘴</v>
          </cell>
        </row>
        <row r="558">
          <cell r="A558" t="str">
            <v>DD-J10B-94076-2051</v>
          </cell>
          <cell r="B558" t="str">
            <v>外套螺母</v>
          </cell>
        </row>
        <row r="559">
          <cell r="A559" t="str">
            <v>DD-J10B-94076-501-Z</v>
          </cell>
          <cell r="B559" t="str">
            <v>拉杆支座</v>
          </cell>
        </row>
        <row r="560">
          <cell r="A560" t="str">
            <v>DD-J10B-94076-620-1</v>
          </cell>
          <cell r="B560" t="str">
            <v>管子</v>
          </cell>
        </row>
        <row r="561">
          <cell r="A561" t="str">
            <v>DD-J10B-94076-802</v>
          </cell>
          <cell r="B561" t="str">
            <v>支架</v>
          </cell>
        </row>
        <row r="562">
          <cell r="A562" t="str">
            <v>DD-J10B-94076-811</v>
          </cell>
          <cell r="B562" t="str">
            <v>法兰盘</v>
          </cell>
        </row>
        <row r="563">
          <cell r="A563" t="str">
            <v>DD-J10B-94091-24G2</v>
          </cell>
          <cell r="B563" t="str">
            <v>20-28变径直通接头</v>
          </cell>
        </row>
        <row r="564">
          <cell r="A564" t="str">
            <v>DD-J10S-02121-3-Y</v>
          </cell>
          <cell r="B564" t="str">
            <v>助力器边梁（右件）</v>
          </cell>
        </row>
        <row r="565">
          <cell r="A565" t="str">
            <v>DD-J10S-02121-3-Z</v>
          </cell>
          <cell r="B565" t="str">
            <v>助力器边梁（左件）</v>
          </cell>
        </row>
        <row r="566">
          <cell r="A566" t="str">
            <v>DD-J10S-54101-720-1</v>
          </cell>
          <cell r="B566" t="str">
            <v>支座</v>
          </cell>
        </row>
        <row r="567">
          <cell r="A567" t="str">
            <v>DD-J10S-65001-4010-1</v>
          </cell>
          <cell r="B567" t="str">
            <v>管子</v>
          </cell>
        </row>
        <row r="568">
          <cell r="A568" t="str">
            <v>DD-J10S-91001-1</v>
          </cell>
          <cell r="B568" t="str">
            <v>支座</v>
          </cell>
        </row>
        <row r="569">
          <cell r="A569" t="str">
            <v>DD-J10S-94076-630-1</v>
          </cell>
          <cell r="B569" t="str">
            <v>管子</v>
          </cell>
        </row>
        <row r="570">
          <cell r="A570" t="str">
            <v>DD-J10S-96011-1202</v>
          </cell>
          <cell r="B570" t="str">
            <v>接嘴</v>
          </cell>
        </row>
        <row r="571">
          <cell r="A571" t="str">
            <v>DD-J10S-96011-1203</v>
          </cell>
          <cell r="B571" t="str">
            <v>管子</v>
          </cell>
        </row>
        <row r="572">
          <cell r="A572" t="str">
            <v>DD-J10S-96011-1601</v>
          </cell>
          <cell r="B572" t="str">
            <v>支臂</v>
          </cell>
        </row>
        <row r="573">
          <cell r="A573" t="str">
            <v>DD-J10S-96011-1811</v>
          </cell>
          <cell r="B573" t="str">
            <v>转接嘴</v>
          </cell>
        </row>
        <row r="574">
          <cell r="A574" t="str">
            <v>DD-J10S-96011-90-1</v>
          </cell>
          <cell r="B574" t="str">
            <v>底座</v>
          </cell>
        </row>
        <row r="575">
          <cell r="A575" t="str">
            <v>DD-J10S-96011-90-2</v>
          </cell>
          <cell r="B575" t="str">
            <v>夹子</v>
          </cell>
        </row>
        <row r="576">
          <cell r="A576" t="str">
            <v>DD-J10S-96021-10-1</v>
          </cell>
          <cell r="B576" t="str">
            <v>底座</v>
          </cell>
        </row>
        <row r="577">
          <cell r="A577" t="str">
            <v>DD-J10S-96021-10-2</v>
          </cell>
          <cell r="B577" t="str">
            <v>夹子</v>
          </cell>
        </row>
        <row r="578">
          <cell r="A578" t="str">
            <v>EA5700041-008L101</v>
          </cell>
          <cell r="B578" t="str">
            <v>后下对接肋</v>
          </cell>
        </row>
        <row r="579">
          <cell r="A579" t="str">
            <v>EA5700041-008R101</v>
          </cell>
          <cell r="B579" t="str">
            <v>后下对接肋</v>
          </cell>
        </row>
        <row r="580">
          <cell r="A580" t="str">
            <v>EA5721120-001L101</v>
          </cell>
          <cell r="B580" t="str">
            <v>前翼外段前梁二段</v>
          </cell>
        </row>
        <row r="581">
          <cell r="A581" t="str">
            <v>EA5721120-001R101</v>
          </cell>
          <cell r="B581" t="str">
            <v>前翼外段前梁二段</v>
          </cell>
        </row>
        <row r="582">
          <cell r="A582" t="str">
            <v>EA5731400-002L101</v>
          </cell>
          <cell r="B582" t="str">
            <v>后翼主翼面2肋</v>
          </cell>
        </row>
        <row r="583">
          <cell r="A583" t="str">
            <v>EA5731400-002R101</v>
          </cell>
          <cell r="B583" t="str">
            <v>后翼主翼面2肋</v>
          </cell>
        </row>
        <row r="584">
          <cell r="A584" t="str">
            <v>EA5731400-003L101</v>
          </cell>
          <cell r="B584" t="str">
            <v>后翼主翼面3肋</v>
          </cell>
        </row>
        <row r="585">
          <cell r="A585" t="str">
            <v>EA5731400-003R101</v>
          </cell>
          <cell r="B585" t="str">
            <v>后翼主翼面3肋</v>
          </cell>
        </row>
        <row r="586">
          <cell r="A586" t="str">
            <v>EA5740020-004L101</v>
          </cell>
          <cell r="B586" t="str">
            <v>右侧梁</v>
          </cell>
        </row>
        <row r="587">
          <cell r="A587" t="str">
            <v>EB5721120-001L001</v>
          </cell>
          <cell r="B587" t="str">
            <v>前翼外段前梁二段</v>
          </cell>
        </row>
        <row r="588">
          <cell r="A588" t="str">
            <v>EB5721120-001R001</v>
          </cell>
          <cell r="B588" t="str">
            <v>前翼外段前梁二段</v>
          </cell>
        </row>
        <row r="589">
          <cell r="A589" t="str">
            <v>EB5740020-004R001</v>
          </cell>
          <cell r="B589" t="str">
            <v>右侧梁</v>
          </cell>
        </row>
        <row r="590">
          <cell r="A590" t="str">
            <v>GU5336113-001L001</v>
          </cell>
          <cell r="B590" t="str">
            <v>STA8510~9055左上大梁</v>
          </cell>
        </row>
        <row r="591">
          <cell r="A591" t="str">
            <v>GU5336113-001R001</v>
          </cell>
          <cell r="B591" t="str">
            <v>STA8510~9055右上大梁</v>
          </cell>
        </row>
        <row r="592">
          <cell r="A592" t="str">
            <v>GU5714000-008L001</v>
          </cell>
          <cell r="B592" t="str">
            <v>8800肋</v>
          </cell>
        </row>
        <row r="593">
          <cell r="A593" t="str">
            <v>GU5714000-008R001</v>
          </cell>
          <cell r="B593" t="str">
            <v>8800肋</v>
          </cell>
        </row>
        <row r="594">
          <cell r="A594" t="str">
            <v>GU5714000-009L001</v>
          </cell>
          <cell r="B594" t="str">
            <v>端肋</v>
          </cell>
        </row>
        <row r="595">
          <cell r="A595" t="str">
            <v>GU5714000-009R001</v>
          </cell>
          <cell r="B595" t="str">
            <v>端肋</v>
          </cell>
        </row>
        <row r="596">
          <cell r="A596" t="str">
            <v>GU5714000-011L001</v>
          </cell>
          <cell r="B596" t="str">
            <v>8800肋角片</v>
          </cell>
        </row>
        <row r="597">
          <cell r="A597" t="str">
            <v>GU5715010-006L001</v>
          </cell>
          <cell r="B597" t="str">
            <v>前缘根肋</v>
          </cell>
        </row>
        <row r="598">
          <cell r="A598" t="str">
            <v>J10-55055-2611</v>
          </cell>
          <cell r="B598" t="str">
            <v>接管嘴</v>
          </cell>
        </row>
        <row r="599">
          <cell r="A599" t="str">
            <v>J7-0603-241</v>
          </cell>
          <cell r="B599" t="str">
            <v>螺栓</v>
          </cell>
        </row>
        <row r="600">
          <cell r="A600" t="str">
            <v>J7-0603-590-5</v>
          </cell>
          <cell r="B600" t="str">
            <v>衬套</v>
          </cell>
        </row>
        <row r="601">
          <cell r="A601" t="str">
            <v>J7-0603-590-7</v>
          </cell>
          <cell r="B601" t="str">
            <v>螺帽</v>
          </cell>
        </row>
        <row r="602">
          <cell r="A602" t="str">
            <v>J7II-0603-615</v>
          </cell>
          <cell r="B602" t="str">
            <v>衬套</v>
          </cell>
        </row>
        <row r="603">
          <cell r="A603" t="str">
            <v>J7II-4801-123</v>
          </cell>
          <cell r="B603" t="str">
            <v>六角头轴</v>
          </cell>
        </row>
        <row r="604">
          <cell r="A604" t="str">
            <v>J7II-5606-30-2</v>
          </cell>
          <cell r="B604" t="str">
            <v>管子</v>
          </cell>
        </row>
        <row r="605">
          <cell r="A605" t="str">
            <v>LTCS515030000-08R01</v>
          </cell>
          <cell r="B605" t="str">
            <v>2430竖梁右</v>
          </cell>
        </row>
        <row r="606">
          <cell r="A606" t="str">
            <v>Y20-4354233101-001</v>
          </cell>
          <cell r="B606" t="str">
            <v>氧气瓶支架</v>
          </cell>
        </row>
        <row r="607">
          <cell r="A607" t="str">
            <v>Y20-4383220003-001</v>
          </cell>
          <cell r="B607" t="str">
            <v>支架</v>
          </cell>
        </row>
        <row r="608">
          <cell r="A608" t="str">
            <v>Y20-4761200096-001</v>
          </cell>
          <cell r="B608" t="str">
            <v>悬挂横梁</v>
          </cell>
        </row>
        <row r="609">
          <cell r="A609" t="str">
            <v>Y20-5211025003-001</v>
          </cell>
          <cell r="B609" t="str">
            <v>螺栓</v>
          </cell>
        </row>
        <row r="610">
          <cell r="A610" t="str">
            <v>Y20-5212290004-001</v>
          </cell>
          <cell r="B610" t="str">
            <v>合页</v>
          </cell>
        </row>
        <row r="611">
          <cell r="A611" t="str">
            <v>Y20-5212290007-002</v>
          </cell>
          <cell r="B611" t="str">
            <v>合页片</v>
          </cell>
        </row>
        <row r="612">
          <cell r="A612" t="str">
            <v>Y20-5212290013-001</v>
          </cell>
          <cell r="B612" t="str">
            <v>合页</v>
          </cell>
        </row>
        <row r="613">
          <cell r="A613" t="str">
            <v>Y20-5226204002-001</v>
          </cell>
          <cell r="B613" t="str">
            <v>衬套</v>
          </cell>
        </row>
        <row r="614">
          <cell r="A614" t="str">
            <v>Y20-5226300011-001</v>
          </cell>
          <cell r="B614" t="str">
            <v>锁盒支撑角片</v>
          </cell>
        </row>
        <row r="615">
          <cell r="A615" t="str">
            <v>Y20-5312100302-001</v>
          </cell>
          <cell r="B615" t="str">
            <v>合页</v>
          </cell>
        </row>
        <row r="616">
          <cell r="A616" t="str">
            <v>Y20-5312100303-001</v>
          </cell>
          <cell r="B616" t="str">
            <v>合页</v>
          </cell>
        </row>
        <row r="617">
          <cell r="A617" t="str">
            <v>Y20-5312224004-001</v>
          </cell>
          <cell r="B617" t="str">
            <v>18框前33长桁</v>
          </cell>
        </row>
        <row r="618">
          <cell r="A618" t="str">
            <v>Y20-5312224004-002</v>
          </cell>
          <cell r="B618" t="str">
            <v>18框前33长桁</v>
          </cell>
        </row>
        <row r="619">
          <cell r="A619" t="str">
            <v>Y20-5312225701-001</v>
          </cell>
          <cell r="B619" t="str">
            <v>纵向加强件</v>
          </cell>
        </row>
        <row r="620">
          <cell r="A620" t="str">
            <v>Y20-5312225701-002</v>
          </cell>
          <cell r="B620" t="str">
            <v>纵向加强件</v>
          </cell>
        </row>
        <row r="621">
          <cell r="A621" t="str">
            <v>Y20-5316100415-001</v>
          </cell>
          <cell r="B621" t="str">
            <v>加强件</v>
          </cell>
        </row>
        <row r="622">
          <cell r="A622" t="str">
            <v>Y20-5316100416-002</v>
          </cell>
          <cell r="B622" t="str">
            <v>加强件</v>
          </cell>
        </row>
        <row r="623">
          <cell r="A623" t="str">
            <v>Y20-5316107001-002</v>
          </cell>
          <cell r="B623" t="str">
            <v>脚蹬纵向加强件</v>
          </cell>
        </row>
        <row r="624">
          <cell r="A624" t="str">
            <v>Y20-5318100045-001</v>
          </cell>
          <cell r="B624" t="str">
            <v>加强件</v>
          </cell>
        </row>
        <row r="625">
          <cell r="A625" t="str">
            <v>Y20-5318120002-001</v>
          </cell>
          <cell r="B625" t="str">
            <v>前起作动筒支座衬套</v>
          </cell>
        </row>
        <row r="626">
          <cell r="A626" t="str">
            <v>Y20-5318210004-002</v>
          </cell>
          <cell r="B626" t="str">
            <v>舱门摇臂交点衬套</v>
          </cell>
        </row>
        <row r="627">
          <cell r="A627" t="str">
            <v>Y20-5319400015-001</v>
          </cell>
          <cell r="B627" t="str">
            <v>扶手支座</v>
          </cell>
        </row>
        <row r="628">
          <cell r="A628" t="str">
            <v>Y20-5319540003-001</v>
          </cell>
          <cell r="B628" t="str">
            <v>转盘</v>
          </cell>
        </row>
        <row r="629">
          <cell r="A629" t="str">
            <v>CB5313200-004R006</v>
          </cell>
          <cell r="B629" t="str">
            <v>右前分合面框</v>
          </cell>
        </row>
        <row r="630">
          <cell r="A630" t="str">
            <v>2710A400004G010</v>
          </cell>
          <cell r="B630" t="str">
            <v>衬套</v>
          </cell>
        </row>
        <row r="631">
          <cell r="A631" t="str">
            <v>5211C31005G70</v>
          </cell>
          <cell r="B631" t="str">
            <v>垫片</v>
          </cell>
        </row>
        <row r="632">
          <cell r="A632" t="str">
            <v>5211C38057G70</v>
          </cell>
          <cell r="B632" t="str">
            <v>垫片</v>
          </cell>
        </row>
        <row r="633">
          <cell r="A633" t="str">
            <v>5211C41003G70</v>
          </cell>
          <cell r="B633" t="str">
            <v>球形杯</v>
          </cell>
        </row>
        <row r="634">
          <cell r="A634" t="str">
            <v>5211C41007G70</v>
          </cell>
          <cell r="B634" t="str">
            <v>垫圈</v>
          </cell>
        </row>
        <row r="635">
          <cell r="A635" t="str">
            <v>5211C41013G70</v>
          </cell>
          <cell r="B635" t="str">
            <v>垫圈</v>
          </cell>
        </row>
        <row r="636">
          <cell r="A636" t="str">
            <v>5211C41015G70</v>
          </cell>
          <cell r="B636" t="str">
            <v>导向衬套</v>
          </cell>
        </row>
        <row r="637">
          <cell r="A637" t="str">
            <v>5211C41017G70</v>
          </cell>
          <cell r="B637" t="str">
            <v>球型杯</v>
          </cell>
        </row>
        <row r="638">
          <cell r="A638" t="str">
            <v>5211C41027G70</v>
          </cell>
          <cell r="B638" t="str">
            <v>垫片</v>
          </cell>
        </row>
        <row r="639">
          <cell r="A639" t="str">
            <v>5211C41029G70</v>
          </cell>
          <cell r="B639" t="str">
            <v>垫片</v>
          </cell>
        </row>
        <row r="640">
          <cell r="A640" t="str">
            <v>5311C05104G70</v>
          </cell>
          <cell r="B640" t="str">
            <v>加强板</v>
          </cell>
        </row>
        <row r="641">
          <cell r="A641" t="str">
            <v>5311C11107G72</v>
          </cell>
          <cell r="B641" t="str">
            <v>垫板</v>
          </cell>
        </row>
        <row r="642">
          <cell r="A642" t="str">
            <v>5311C11108G73</v>
          </cell>
          <cell r="B642" t="str">
            <v>垫板</v>
          </cell>
        </row>
        <row r="643">
          <cell r="A643" t="str">
            <v>5311C13031G70</v>
          </cell>
          <cell r="B643" t="str">
            <v>加强件</v>
          </cell>
        </row>
        <row r="644">
          <cell r="A644" t="str">
            <v>5312C45001G71</v>
          </cell>
          <cell r="B644" t="str">
            <v>FR15右侧框缘</v>
          </cell>
        </row>
        <row r="645">
          <cell r="A645" t="str">
            <v>5312C48001G71</v>
          </cell>
          <cell r="B645" t="str">
            <v>FR16左侧框缘</v>
          </cell>
        </row>
        <row r="646">
          <cell r="A646" t="str">
            <v>5312C48002G71</v>
          </cell>
          <cell r="B646" t="str">
            <v>FR16右侧框缘</v>
          </cell>
        </row>
        <row r="647">
          <cell r="A647" t="str">
            <v>5313C81051G71</v>
          </cell>
          <cell r="B647" t="str">
            <v>地板嵌入接头</v>
          </cell>
        </row>
        <row r="648">
          <cell r="A648" t="str">
            <v>5315C51012G72</v>
          </cell>
          <cell r="B648" t="str">
            <v>结冰探测器加强垫板</v>
          </cell>
        </row>
        <row r="649">
          <cell r="A649" t="str">
            <v>5317C03003G71</v>
          </cell>
          <cell r="B649" t="str">
            <v>剖形支柱</v>
          </cell>
        </row>
        <row r="650">
          <cell r="A650" t="str">
            <v>5317C03005G71</v>
          </cell>
          <cell r="B650" t="str">
            <v>剖形支柱</v>
          </cell>
        </row>
        <row r="651">
          <cell r="A651" t="str">
            <v>5317C03007G71</v>
          </cell>
          <cell r="B651" t="str">
            <v>剖形支柱</v>
          </cell>
        </row>
        <row r="652">
          <cell r="A652" t="str">
            <v>5317C03009G71</v>
          </cell>
          <cell r="B652" t="str">
            <v>剖形支柱</v>
          </cell>
        </row>
        <row r="653">
          <cell r="A653" t="str">
            <v>5317C03011G71</v>
          </cell>
          <cell r="B653" t="str">
            <v>剖形支柱</v>
          </cell>
        </row>
        <row r="654">
          <cell r="A654" t="str">
            <v>5317C03013G71</v>
          </cell>
          <cell r="B654" t="str">
            <v>剖形支柱</v>
          </cell>
        </row>
        <row r="655">
          <cell r="A655" t="str">
            <v>5317C03015G71</v>
          </cell>
          <cell r="B655" t="str">
            <v>接头</v>
          </cell>
        </row>
        <row r="656">
          <cell r="A656" t="str">
            <v>5317C03017G71</v>
          </cell>
          <cell r="B656" t="str">
            <v>接头</v>
          </cell>
        </row>
        <row r="657">
          <cell r="A657" t="str">
            <v>5317C03019G71</v>
          </cell>
          <cell r="B657" t="str">
            <v>接头</v>
          </cell>
        </row>
        <row r="658">
          <cell r="A658" t="str">
            <v>5317C03021G70</v>
          </cell>
          <cell r="B658" t="str">
            <v>接头</v>
          </cell>
        </row>
        <row r="659">
          <cell r="A659" t="str">
            <v>5317C03023G71</v>
          </cell>
          <cell r="B659" t="str">
            <v>接头</v>
          </cell>
        </row>
        <row r="660">
          <cell r="A660" t="str">
            <v>5317C05047G71</v>
          </cell>
          <cell r="B660" t="str">
            <v>加强件</v>
          </cell>
        </row>
        <row r="661">
          <cell r="A661" t="str">
            <v>5317C05049G70</v>
          </cell>
          <cell r="B661" t="str">
            <v>加强件</v>
          </cell>
        </row>
        <row r="662">
          <cell r="A662" t="str">
            <v>5317C05051G71</v>
          </cell>
          <cell r="B662" t="str">
            <v>加强件</v>
          </cell>
        </row>
        <row r="663">
          <cell r="A663" t="str">
            <v>5317C05061G70</v>
          </cell>
          <cell r="B663" t="str">
            <v>加强梁</v>
          </cell>
        </row>
        <row r="664">
          <cell r="A664" t="str">
            <v>5317C07003G70</v>
          </cell>
          <cell r="B664" t="str">
            <v>9框前支柱</v>
          </cell>
        </row>
        <row r="665">
          <cell r="A665" t="str">
            <v>5317C07004G70</v>
          </cell>
          <cell r="B665" t="str">
            <v>9框前支柱</v>
          </cell>
        </row>
        <row r="666">
          <cell r="A666" t="str">
            <v>5317C07005G70</v>
          </cell>
          <cell r="B666" t="str">
            <v>9框前支柱</v>
          </cell>
        </row>
        <row r="667">
          <cell r="A667" t="str">
            <v>5317C07007G70</v>
          </cell>
          <cell r="B667" t="str">
            <v>9框前支柱</v>
          </cell>
        </row>
        <row r="668">
          <cell r="A668" t="str">
            <v>5317C07055G70</v>
          </cell>
          <cell r="B668" t="str">
            <v>顶起弹簧底座</v>
          </cell>
        </row>
        <row r="669">
          <cell r="A669" t="str">
            <v>5317C09011G70</v>
          </cell>
          <cell r="B669" t="str">
            <v>接头</v>
          </cell>
        </row>
        <row r="670">
          <cell r="A670" t="str">
            <v>5317C09013G70</v>
          </cell>
          <cell r="B670" t="str">
            <v>接头</v>
          </cell>
        </row>
        <row r="671">
          <cell r="A671" t="str">
            <v>5317C09031G71</v>
          </cell>
          <cell r="B671" t="str">
            <v>接头</v>
          </cell>
        </row>
        <row r="672">
          <cell r="A672" t="str">
            <v>5317C09033G71</v>
          </cell>
          <cell r="B672" t="str">
            <v>接头</v>
          </cell>
        </row>
        <row r="673">
          <cell r="A673" t="str">
            <v>5317C09035G71</v>
          </cell>
          <cell r="B673" t="str">
            <v>接头</v>
          </cell>
        </row>
        <row r="674">
          <cell r="A674" t="str">
            <v>5317C09037G71</v>
          </cell>
          <cell r="B674" t="str">
            <v>接头</v>
          </cell>
        </row>
        <row r="675">
          <cell r="A675" t="str">
            <v>5317C11003G71</v>
          </cell>
          <cell r="B675" t="str">
            <v>接头</v>
          </cell>
        </row>
        <row r="676">
          <cell r="A676" t="str">
            <v>5317C11004G71</v>
          </cell>
          <cell r="B676" t="str">
            <v>接头</v>
          </cell>
        </row>
        <row r="677">
          <cell r="A677" t="str">
            <v>5317C11005G71</v>
          </cell>
          <cell r="B677" t="str">
            <v>接头</v>
          </cell>
        </row>
        <row r="678">
          <cell r="A678" t="str">
            <v>5317C23403G70</v>
          </cell>
          <cell r="B678" t="str">
            <v>回收锁销接头</v>
          </cell>
        </row>
        <row r="679">
          <cell r="A679" t="str">
            <v>5317C23409G70</v>
          </cell>
          <cell r="B679" t="str">
            <v>立柱加强接头</v>
          </cell>
        </row>
        <row r="680">
          <cell r="A680" t="str">
            <v>5319C02011G70</v>
          </cell>
          <cell r="B680" t="str">
            <v>接头</v>
          </cell>
        </row>
        <row r="681">
          <cell r="A681" t="str">
            <v>5319C02101G70</v>
          </cell>
          <cell r="B681" t="str">
            <v>接头</v>
          </cell>
        </row>
        <row r="682">
          <cell r="A682" t="str">
            <v>5319C02201G70</v>
          </cell>
          <cell r="B682" t="str">
            <v>接头</v>
          </cell>
        </row>
        <row r="683">
          <cell r="A683" t="str">
            <v>5319C02301G70</v>
          </cell>
          <cell r="B683" t="str">
            <v>接头</v>
          </cell>
        </row>
        <row r="684">
          <cell r="A684" t="str">
            <v>5319C19021G70</v>
          </cell>
          <cell r="B684" t="str">
            <v>接头</v>
          </cell>
        </row>
        <row r="685">
          <cell r="A685" t="str">
            <v>5319C22021G71</v>
          </cell>
          <cell r="B685" t="str">
            <v>支架</v>
          </cell>
        </row>
        <row r="686">
          <cell r="A686" t="str">
            <v>5319C22035G70</v>
          </cell>
          <cell r="B686" t="str">
            <v>支架</v>
          </cell>
        </row>
        <row r="687">
          <cell r="A687" t="str">
            <v>5319C28033G70</v>
          </cell>
          <cell r="B687" t="str">
            <v>接头</v>
          </cell>
        </row>
        <row r="688">
          <cell r="A688" t="str">
            <v>5319C28039G70</v>
          </cell>
          <cell r="B688" t="str">
            <v>接头</v>
          </cell>
        </row>
        <row r="689">
          <cell r="A689" t="str">
            <v>5319C28041G70</v>
          </cell>
          <cell r="B689" t="str">
            <v>接头</v>
          </cell>
        </row>
        <row r="690">
          <cell r="A690" t="str">
            <v>5319C28057G70</v>
          </cell>
          <cell r="B690" t="str">
            <v>接头</v>
          </cell>
        </row>
        <row r="691">
          <cell r="A691" t="str">
            <v>5319C28059G70</v>
          </cell>
          <cell r="B691" t="str">
            <v>接头</v>
          </cell>
        </row>
        <row r="692">
          <cell r="A692" t="str">
            <v>5319C28063G70</v>
          </cell>
          <cell r="B692" t="str">
            <v>支架</v>
          </cell>
        </row>
        <row r="693">
          <cell r="A693" t="str">
            <v>5319C49005G70</v>
          </cell>
          <cell r="B693" t="str">
            <v>支架</v>
          </cell>
        </row>
        <row r="694">
          <cell r="A694" t="str">
            <v>5319C55013G70</v>
          </cell>
          <cell r="B694" t="str">
            <v>连接接头</v>
          </cell>
        </row>
        <row r="695">
          <cell r="A695" t="str">
            <v>5319C55017G70</v>
          </cell>
          <cell r="B695" t="str">
            <v>接头</v>
          </cell>
        </row>
        <row r="696">
          <cell r="A696" t="str">
            <v>5319C55018G70</v>
          </cell>
          <cell r="B696" t="str">
            <v>接头</v>
          </cell>
        </row>
        <row r="697">
          <cell r="A697" t="str">
            <v>5319C60011G70</v>
          </cell>
          <cell r="B697" t="str">
            <v>支架</v>
          </cell>
        </row>
        <row r="698">
          <cell r="A698" t="str">
            <v>5319C96017G70</v>
          </cell>
          <cell r="B698" t="str">
            <v>短框连接块</v>
          </cell>
        </row>
        <row r="699">
          <cell r="A699" t="str">
            <v>5319C97003G71</v>
          </cell>
          <cell r="B699" t="str">
            <v>底部连接接头</v>
          </cell>
        </row>
        <row r="700">
          <cell r="A700" t="str">
            <v>5319C97004G71</v>
          </cell>
          <cell r="B700" t="str">
            <v>底部连接接头</v>
          </cell>
        </row>
        <row r="701">
          <cell r="A701" t="str">
            <v>5319C97005G71</v>
          </cell>
          <cell r="B701" t="str">
            <v>底部连接接头</v>
          </cell>
        </row>
        <row r="702">
          <cell r="A702" t="str">
            <v>5319C97007G71</v>
          </cell>
          <cell r="B702" t="str">
            <v>底板连接接头</v>
          </cell>
        </row>
        <row r="703">
          <cell r="A703" t="str">
            <v>5613A380024G010</v>
          </cell>
          <cell r="B703" t="str">
            <v>圆柱销</v>
          </cell>
        </row>
        <row r="704">
          <cell r="A704" t="str">
            <v>5613A380025G010</v>
          </cell>
          <cell r="B704" t="str">
            <v>圆柱销</v>
          </cell>
        </row>
        <row r="705">
          <cell r="A705" t="str">
            <v>5613A380029G010</v>
          </cell>
          <cell r="B705" t="str">
            <v>手柄握把</v>
          </cell>
        </row>
        <row r="706">
          <cell r="A706" t="str">
            <v>561A3310-008-501</v>
          </cell>
          <cell r="B706" t="str">
            <v>衬套</v>
          </cell>
        </row>
        <row r="707">
          <cell r="A707" t="str">
            <v>561A3310-009-501</v>
          </cell>
          <cell r="B707" t="str">
            <v>衬套</v>
          </cell>
        </row>
        <row r="708">
          <cell r="A708" t="str">
            <v>561A3310-015-501</v>
          </cell>
          <cell r="B708" t="str">
            <v>衬套</v>
          </cell>
        </row>
        <row r="709">
          <cell r="A709" t="str">
            <v>BC3101241-012-001</v>
          </cell>
          <cell r="B709" t="str">
            <v>锁柄</v>
          </cell>
        </row>
        <row r="710">
          <cell r="A710" t="str">
            <v>BC552B300-002-001</v>
          </cell>
          <cell r="B710" t="str">
            <v>前肋</v>
          </cell>
        </row>
        <row r="711">
          <cell r="A711" t="str">
            <v>BC5711430-001-002</v>
          </cell>
          <cell r="B711" t="str">
            <v>螺栓</v>
          </cell>
        </row>
        <row r="712">
          <cell r="A712" t="str">
            <v>BC5812700-001-002</v>
          </cell>
          <cell r="B712" t="str">
            <v>上套筒</v>
          </cell>
        </row>
        <row r="713">
          <cell r="A713" t="str">
            <v>BC5812812-001-001</v>
          </cell>
          <cell r="B713" t="str">
            <v>耳环螺栓</v>
          </cell>
        </row>
        <row r="714">
          <cell r="A714" t="str">
            <v>BC5812910-002-001</v>
          </cell>
          <cell r="B714" t="str">
            <v>接头</v>
          </cell>
        </row>
        <row r="715">
          <cell r="A715" t="str">
            <v>C221069811-001-001</v>
          </cell>
          <cell r="B715" t="str">
            <v>平管嘴</v>
          </cell>
        </row>
        <row r="716">
          <cell r="A716" t="str">
            <v>C227300700-002-001</v>
          </cell>
          <cell r="B716" t="str">
            <v>垫片</v>
          </cell>
        </row>
        <row r="717">
          <cell r="A717" t="str">
            <v>C228571602-007-001</v>
          </cell>
          <cell r="B717" t="str">
            <v>管子</v>
          </cell>
        </row>
        <row r="718">
          <cell r="A718" t="str">
            <v>C228571602-008-001</v>
          </cell>
          <cell r="B718" t="str">
            <v>轴</v>
          </cell>
        </row>
        <row r="719">
          <cell r="A719" t="str">
            <v>C228575105-002-001</v>
          </cell>
          <cell r="B719" t="str">
            <v>导管</v>
          </cell>
        </row>
        <row r="720">
          <cell r="A720" t="str">
            <v>C229102400-001-001</v>
          </cell>
          <cell r="B720" t="str">
            <v>衬套</v>
          </cell>
        </row>
        <row r="721">
          <cell r="A721" t="str">
            <v>C229103200-002-001</v>
          </cell>
          <cell r="B721" t="str">
            <v>短衬套</v>
          </cell>
        </row>
        <row r="722">
          <cell r="A722" t="str">
            <v>C232111300-007-001</v>
          </cell>
          <cell r="B722" t="str">
            <v>锁环</v>
          </cell>
        </row>
        <row r="723">
          <cell r="A723" t="str">
            <v>C232330100-003-001</v>
          </cell>
          <cell r="B723" t="str">
            <v>连接轴</v>
          </cell>
        </row>
        <row r="724">
          <cell r="A724" t="str">
            <v>C232332210-005-001</v>
          </cell>
          <cell r="B724" t="str">
            <v>心轴</v>
          </cell>
        </row>
        <row r="725">
          <cell r="A725" t="str">
            <v>C232800600-003-001</v>
          </cell>
          <cell r="B725" t="str">
            <v>衬套</v>
          </cell>
        </row>
        <row r="726">
          <cell r="A726" t="str">
            <v>C256201400-001-001</v>
          </cell>
          <cell r="B726" t="str">
            <v>垫圈</v>
          </cell>
        </row>
        <row r="727">
          <cell r="A727" t="str">
            <v>C256300800-003-001</v>
          </cell>
          <cell r="B727" t="str">
            <v>垫圈</v>
          </cell>
        </row>
        <row r="728">
          <cell r="A728" t="str">
            <v>C532111100-001L001</v>
          </cell>
          <cell r="B728" t="str">
            <v>外侧梁</v>
          </cell>
        </row>
        <row r="729">
          <cell r="A729" t="str">
            <v>C532111100-001R001</v>
          </cell>
          <cell r="B729" t="str">
            <v>外侧梁</v>
          </cell>
        </row>
        <row r="730">
          <cell r="A730" t="str">
            <v>C532111100-002R001</v>
          </cell>
          <cell r="B730" t="str">
            <v>内侧梁</v>
          </cell>
        </row>
        <row r="731">
          <cell r="A731" t="str">
            <v>CB2263268-001-002</v>
          </cell>
          <cell r="B731" t="str">
            <v>三通管接头</v>
          </cell>
        </row>
        <row r="732">
          <cell r="A732" t="str">
            <v>CB2295170-001-002</v>
          </cell>
          <cell r="B732" t="str">
            <v>安装支座</v>
          </cell>
        </row>
        <row r="733">
          <cell r="A733" t="str">
            <v>CB2298621-001-002</v>
          </cell>
          <cell r="B733" t="str">
            <v>支架</v>
          </cell>
        </row>
        <row r="734">
          <cell r="A734" t="str">
            <v>CB229C440-002R001</v>
          </cell>
          <cell r="B734" t="str">
            <v>支架</v>
          </cell>
        </row>
        <row r="735">
          <cell r="A735" t="str">
            <v>CB5350510-002-010</v>
          </cell>
          <cell r="B735" t="str">
            <v>扶手支座</v>
          </cell>
        </row>
        <row r="736">
          <cell r="A736" t="str">
            <v>CB5522200-020L001</v>
          </cell>
          <cell r="B736" t="str">
            <v>实心块</v>
          </cell>
        </row>
        <row r="737">
          <cell r="A737" t="str">
            <v>CB5522200-020R001</v>
          </cell>
          <cell r="B737" t="str">
            <v>实心块</v>
          </cell>
        </row>
        <row r="738">
          <cell r="A738" t="str">
            <v>DD-J10-05346-3-Z</v>
          </cell>
          <cell r="B738" t="str">
            <v>受剪接头</v>
          </cell>
        </row>
        <row r="739">
          <cell r="A739" t="str">
            <v>DD-J10-21002-1-Y</v>
          </cell>
          <cell r="B739" t="str">
            <v>4号上壁板（右件）</v>
          </cell>
        </row>
        <row r="740">
          <cell r="A740" t="str">
            <v>DD-J10-21002-1-Z</v>
          </cell>
          <cell r="B740" t="str">
            <v>4号上壁板（左件）</v>
          </cell>
        </row>
        <row r="741">
          <cell r="A741" t="str">
            <v>DD-J10-21102-120-1-Y</v>
          </cell>
          <cell r="B741" t="str">
            <v>9480梁（右件）</v>
          </cell>
        </row>
        <row r="742">
          <cell r="A742" t="str">
            <v>DD-J10-41153-130-2</v>
          </cell>
          <cell r="B742" t="str">
            <v>管子</v>
          </cell>
        </row>
        <row r="743">
          <cell r="A743" t="str">
            <v>DD-J10-54101-2805</v>
          </cell>
          <cell r="B743" t="str">
            <v>滑轮</v>
          </cell>
        </row>
        <row r="744">
          <cell r="A744" t="str">
            <v>DD-J10-55014-1102</v>
          </cell>
          <cell r="B744" t="str">
            <v>管接头</v>
          </cell>
        </row>
        <row r="745">
          <cell r="A745" t="str">
            <v>DD-J10-55014-2010-1</v>
          </cell>
          <cell r="B745" t="str">
            <v>管子</v>
          </cell>
        </row>
        <row r="746">
          <cell r="A746" t="str">
            <v>DD-J10-55015-5102</v>
          </cell>
          <cell r="B746" t="str">
            <v>接管嘴</v>
          </cell>
        </row>
        <row r="747">
          <cell r="A747" t="str">
            <v>DD-J10-55051-1211</v>
          </cell>
          <cell r="B747" t="str">
            <v>连接件</v>
          </cell>
        </row>
        <row r="748">
          <cell r="A748" t="str">
            <v>DD-J10-55165-1430-2</v>
          </cell>
          <cell r="B748" t="str">
            <v>衬套</v>
          </cell>
        </row>
        <row r="749">
          <cell r="A749" t="str">
            <v>DD-J10-55181-14</v>
          </cell>
          <cell r="B749" t="str">
            <v>变径四通管接头</v>
          </cell>
        </row>
        <row r="750">
          <cell r="A750" t="str">
            <v>DD-J10-55181-710-1</v>
          </cell>
          <cell r="B750" t="str">
            <v>衬套</v>
          </cell>
        </row>
        <row r="751">
          <cell r="A751" t="str">
            <v>DD-J10-64011-430-2</v>
          </cell>
          <cell r="B751" t="str">
            <v>套</v>
          </cell>
        </row>
        <row r="752">
          <cell r="A752" t="str">
            <v>DD-J10-86011-3100-3</v>
          </cell>
          <cell r="B752" t="str">
            <v>凸台</v>
          </cell>
        </row>
        <row r="753">
          <cell r="A753" t="str">
            <v>DD-J10B-02111-2-Y</v>
          </cell>
          <cell r="B753" t="str">
            <v>角盒</v>
          </cell>
        </row>
        <row r="754">
          <cell r="A754" t="str">
            <v>DD-J10B-04321-30-1-Y</v>
          </cell>
          <cell r="B754" t="str">
            <v>侧下梁（右件）</v>
          </cell>
        </row>
        <row r="755">
          <cell r="A755" t="str">
            <v>DD-J10B-06061-22</v>
          </cell>
          <cell r="B755" t="str">
            <v>摇臂</v>
          </cell>
        </row>
        <row r="756">
          <cell r="A756" t="str">
            <v>DD-J10B-55111-210-2</v>
          </cell>
          <cell r="B756" t="str">
            <v>套管</v>
          </cell>
        </row>
        <row r="757">
          <cell r="A757" t="str">
            <v>DD-J10B-61001-8001</v>
          </cell>
          <cell r="B757" t="str">
            <v>卡片</v>
          </cell>
        </row>
        <row r="758">
          <cell r="A758" t="str">
            <v>DD-J10B-68095-1200-3</v>
          </cell>
          <cell r="B758" t="str">
            <v>衬套</v>
          </cell>
        </row>
        <row r="759">
          <cell r="A759" t="str">
            <v>DD-J10B-68095-1710-3-Z</v>
          </cell>
          <cell r="B759" t="str">
            <v>钢管</v>
          </cell>
        </row>
        <row r="760">
          <cell r="A760" t="str">
            <v>DD-J10B-94051-3640-2</v>
          </cell>
          <cell r="B760" t="str">
            <v>管子</v>
          </cell>
        </row>
        <row r="761">
          <cell r="A761" t="str">
            <v>DD-J10B-94076-220-2</v>
          </cell>
          <cell r="B761" t="str">
            <v>衬套</v>
          </cell>
        </row>
        <row r="762">
          <cell r="A762" t="str">
            <v>DD-J10B-94076-620-4</v>
          </cell>
          <cell r="B762" t="str">
            <v>衬套</v>
          </cell>
        </row>
        <row r="763">
          <cell r="A763" t="str">
            <v>DD-J10B-94091-86G2</v>
          </cell>
          <cell r="B763" t="str">
            <v>三通接头</v>
          </cell>
        </row>
        <row r="764">
          <cell r="A764" t="str">
            <v>GU5714000-003R003</v>
          </cell>
          <cell r="B764" t="str">
            <v>2750肋</v>
          </cell>
        </row>
        <row r="765">
          <cell r="A765" t="str">
            <v>J7-0203-25</v>
          </cell>
          <cell r="B765" t="str">
            <v>帽盖</v>
          </cell>
        </row>
        <row r="766">
          <cell r="A766" t="str">
            <v>Y20-5319120045-001</v>
          </cell>
          <cell r="B766" t="str">
            <v>角盒</v>
          </cell>
        </row>
        <row r="767">
          <cell r="A767" t="str">
            <v>BC2711322-002-001</v>
          </cell>
          <cell r="B767" t="str">
            <v>接头</v>
          </cell>
        </row>
        <row r="768">
          <cell r="A768" t="str">
            <v>BC2712520-003-001</v>
          </cell>
          <cell r="B768" t="str">
            <v>支架</v>
          </cell>
        </row>
        <row r="769">
          <cell r="A769" t="str">
            <v>CB5323120-001R005</v>
          </cell>
          <cell r="B769" t="str">
            <v>7820~8270侧上梁</v>
          </cell>
        </row>
        <row r="770">
          <cell r="A770" t="str">
            <v>CB5324500-003L002</v>
          </cell>
          <cell r="B770" t="str">
            <v>前端框</v>
          </cell>
        </row>
        <row r="771">
          <cell r="A771" t="str">
            <v>DD-J10-21102-272</v>
          </cell>
          <cell r="B771" t="str">
            <v>3#下垫片</v>
          </cell>
        </row>
        <row r="772">
          <cell r="A772" t="str">
            <v>DD-J10-21102-32-Y</v>
          </cell>
          <cell r="B772" t="str">
            <v>10060下接头</v>
          </cell>
        </row>
        <row r="773">
          <cell r="A773" t="str">
            <v>DD-J10-21102-60/-1/2-Y</v>
          </cell>
          <cell r="B773" t="str">
            <v>11968下口盖</v>
          </cell>
        </row>
        <row r="774">
          <cell r="A774" t="str">
            <v>DD-J10-21102-60/-1/3-Z</v>
          </cell>
          <cell r="B774" t="str">
            <v>11968下口盖</v>
          </cell>
        </row>
        <row r="775">
          <cell r="A775" t="str">
            <v>DD-J10-55165-1460-3</v>
          </cell>
          <cell r="B775" t="str">
            <v>衬套</v>
          </cell>
        </row>
        <row r="776">
          <cell r="A776" t="str">
            <v>DD-J10-63001-511</v>
          </cell>
          <cell r="B776" t="str">
            <v>阳密封式法兰盘</v>
          </cell>
        </row>
        <row r="777">
          <cell r="A777" t="str">
            <v>DD-J10B-02081-404</v>
          </cell>
          <cell r="B777" t="str">
            <v>支座</v>
          </cell>
        </row>
        <row r="778">
          <cell r="A778" t="str">
            <v>DD-J10B-04321-1-Z</v>
          </cell>
          <cell r="B778" t="str">
            <v>斜横梁</v>
          </cell>
        </row>
        <row r="779">
          <cell r="A779" t="str">
            <v>Y20-5317001074-501</v>
          </cell>
          <cell r="B779" t="str">
            <v>1#竖梁</v>
          </cell>
        </row>
        <row r="780">
          <cell r="A780" t="str">
            <v>Y20-5317001074-502</v>
          </cell>
          <cell r="B780" t="str">
            <v>1#竖梁</v>
          </cell>
        </row>
        <row r="781">
          <cell r="A781" t="str">
            <v>BC2281650-006-003</v>
          </cell>
          <cell r="B781" t="str">
            <v>支臂</v>
          </cell>
        </row>
        <row r="782">
          <cell r="A782" t="str">
            <v>BC22971B1-003-001</v>
          </cell>
          <cell r="B782" t="str">
            <v>带限流的直通过框接头</v>
          </cell>
        </row>
        <row r="783">
          <cell r="A783" t="str">
            <v>CB5315191-012R003</v>
          </cell>
          <cell r="B783" t="str">
            <v>进气下侧壁</v>
          </cell>
        </row>
        <row r="784">
          <cell r="A784" t="str">
            <v>CB5323120-001L002</v>
          </cell>
          <cell r="B784" t="str">
            <v>7820~8270侧上梁</v>
          </cell>
        </row>
        <row r="785">
          <cell r="A785" t="str">
            <v>CB5323210-005L065</v>
          </cell>
          <cell r="B785" t="str">
            <v>9350-11140左侧上梁</v>
          </cell>
        </row>
        <row r="786">
          <cell r="A786" t="str">
            <v>CB5323220-052-024</v>
          </cell>
          <cell r="B786" t="str">
            <v>9350-11140右侧上梁</v>
          </cell>
        </row>
        <row r="787">
          <cell r="A787" t="str">
            <v>CB5512300-004L002</v>
          </cell>
          <cell r="B787" t="str">
            <v>根肋前段</v>
          </cell>
        </row>
        <row r="788">
          <cell r="A788" t="str">
            <v>CB5512300-005L002</v>
          </cell>
          <cell r="B788" t="str">
            <v>根肋后段</v>
          </cell>
        </row>
        <row r="789">
          <cell r="A789" t="str">
            <v>CB5512300-005R002</v>
          </cell>
          <cell r="B789" t="str">
            <v>根肋后段</v>
          </cell>
        </row>
        <row r="790">
          <cell r="A790" t="str">
            <v>CB5714100-002L003</v>
          </cell>
          <cell r="B790" t="str">
            <v>根肋二段</v>
          </cell>
        </row>
        <row r="791">
          <cell r="A791" t="str">
            <v>CB5752000-022R002</v>
          </cell>
          <cell r="B791" t="str">
            <v>角片</v>
          </cell>
        </row>
        <row r="792">
          <cell r="A792" t="str">
            <v>CB5752000-023L003</v>
          </cell>
          <cell r="B792" t="str">
            <v>角片</v>
          </cell>
        </row>
        <row r="793">
          <cell r="A793" t="str">
            <v>CB5752000-023R002</v>
          </cell>
          <cell r="B793" t="str">
            <v>角片</v>
          </cell>
        </row>
        <row r="794">
          <cell r="A794" t="str">
            <v>DD-J10-05346-1-Y</v>
          </cell>
          <cell r="B794" t="str">
            <v>受剪接头</v>
          </cell>
        </row>
        <row r="795">
          <cell r="A795" t="str">
            <v>DD-J10-05346-1-Z</v>
          </cell>
          <cell r="B795" t="str">
            <v>受剪接头</v>
          </cell>
        </row>
        <row r="796">
          <cell r="A796" t="str">
            <v>DD-J10-05346-2-Y</v>
          </cell>
          <cell r="B796" t="str">
            <v>受剪接头</v>
          </cell>
        </row>
        <row r="797">
          <cell r="A797" t="str">
            <v>DD-J10-05346-2-Z</v>
          </cell>
          <cell r="B797" t="str">
            <v>受剪接头</v>
          </cell>
        </row>
        <row r="798">
          <cell r="A798" t="str">
            <v>DD-J10-05346-3-Y</v>
          </cell>
          <cell r="B798" t="str">
            <v>受剪接头</v>
          </cell>
        </row>
        <row r="799">
          <cell r="A799" t="str">
            <v>DD-J10-21102-120-1-Z</v>
          </cell>
          <cell r="B799" t="str">
            <v>9480梁（左件）</v>
          </cell>
        </row>
        <row r="800">
          <cell r="A800" t="str">
            <v>DD-J10-21102-32-Z</v>
          </cell>
          <cell r="B800" t="str">
            <v>10060下接头</v>
          </cell>
        </row>
        <row r="801">
          <cell r="A801" t="str">
            <v>DD-J10-21102-390-1-Y</v>
          </cell>
          <cell r="B801" t="str">
            <v>1150肋九段</v>
          </cell>
        </row>
        <row r="802">
          <cell r="A802" t="str">
            <v>DD-J10-61101-15</v>
          </cell>
          <cell r="B802" t="str">
            <v>接管嘴</v>
          </cell>
        </row>
        <row r="803">
          <cell r="A803" t="str">
            <v>DD-J10-64016-210-1</v>
          </cell>
          <cell r="B803" t="str">
            <v>管子</v>
          </cell>
        </row>
        <row r="804">
          <cell r="A804" t="str">
            <v>DD-J10-67096-50-1</v>
          </cell>
          <cell r="B804" t="str">
            <v>Z型件</v>
          </cell>
        </row>
        <row r="805">
          <cell r="A805" t="str">
            <v>DD-J10B-02181-6-Y</v>
          </cell>
          <cell r="B805" t="str">
            <v>盒子</v>
          </cell>
        </row>
        <row r="806">
          <cell r="A806" t="str">
            <v>DD-J10B-02181-6-Z</v>
          </cell>
          <cell r="B806" t="str">
            <v>盒子</v>
          </cell>
        </row>
        <row r="807">
          <cell r="A807" t="str">
            <v>DD-J10B-21302-40G2-1-Y</v>
          </cell>
          <cell r="B807" t="str">
            <v>后梁四段</v>
          </cell>
        </row>
        <row r="808">
          <cell r="A808" t="str">
            <v>DD-J10B-26002-100G2-1G2-Y</v>
          </cell>
          <cell r="B808" t="str">
            <v>翼尖接头</v>
          </cell>
        </row>
        <row r="809">
          <cell r="A809" t="str">
            <v>DD-J10B-34303-11G2</v>
          </cell>
          <cell r="B809" t="str">
            <v>第4隔板</v>
          </cell>
        </row>
        <row r="810">
          <cell r="A810" t="str">
            <v>DD-J10B-34303-12G2</v>
          </cell>
          <cell r="B810" t="str">
            <v>第5隔板</v>
          </cell>
        </row>
        <row r="811">
          <cell r="A811" t="str">
            <v>DD-J10B-34303-13G2</v>
          </cell>
          <cell r="B811" t="str">
            <v>第6隔板</v>
          </cell>
        </row>
        <row r="812">
          <cell r="A812" t="str">
            <v>DD-J10B-34303-4</v>
          </cell>
          <cell r="B812" t="str">
            <v>支座</v>
          </cell>
        </row>
        <row r="813">
          <cell r="A813" t="str">
            <v>DD-J10B-34303-7G2</v>
          </cell>
          <cell r="B813" t="str">
            <v>第1隔板</v>
          </cell>
        </row>
        <row r="814">
          <cell r="A814" t="str">
            <v>DD-J10B-34303-8G2</v>
          </cell>
          <cell r="B814" t="str">
            <v>第2隔板</v>
          </cell>
        </row>
        <row r="815">
          <cell r="A815" t="str">
            <v>DD-J10B-34303-9G2</v>
          </cell>
          <cell r="B815" t="str">
            <v>第3隔板</v>
          </cell>
        </row>
        <row r="816">
          <cell r="A816" t="str">
            <v>DD-J10B-55015-4100-1</v>
          </cell>
          <cell r="B816" t="str">
            <v>垫圈</v>
          </cell>
        </row>
        <row r="817">
          <cell r="A817" t="str">
            <v>DD-J10B-61201-12</v>
          </cell>
          <cell r="B817" t="str">
            <v>接头</v>
          </cell>
        </row>
        <row r="818">
          <cell r="A818" t="str">
            <v>DD-J10B-68074-1710-3</v>
          </cell>
          <cell r="B818" t="str">
            <v>钢管</v>
          </cell>
        </row>
        <row r="819">
          <cell r="A819" t="str">
            <v>DD-J10B-68074-1720-3</v>
          </cell>
          <cell r="B819" t="str">
            <v>钢管</v>
          </cell>
        </row>
        <row r="820">
          <cell r="A820" t="str">
            <v>DD-J10B-94076-803</v>
          </cell>
          <cell r="B820" t="str">
            <v>支架</v>
          </cell>
        </row>
        <row r="823">
          <cell r="A823" t="str">
            <v>备注：</v>
          </cell>
        </row>
        <row r="824">
          <cell r="A824" t="str">
            <v>工装</v>
          </cell>
          <cell r="B824" t="str">
            <v>工装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X758"/>
  <sheetViews>
    <sheetView workbookViewId="0">
      <pane ySplit="1" topLeftCell="A432" activePane="bottomLeft" state="frozen"/>
      <selection pane="bottomLeft" activeCell="D760" sqref="D760:D761"/>
    </sheetView>
  </sheetViews>
  <sheetFormatPr defaultColWidth="9" defaultRowHeight="15.6" outlineLevelCol="1" x14ac:dyDescent="0.25"/>
  <cols>
    <col min="1" max="1" width="6.6640625" style="1" customWidth="1"/>
    <col min="2" max="2" width="4.77734375" style="2" customWidth="1" outlineLevel="1"/>
    <col min="3" max="3" width="5.109375" style="1" customWidth="1"/>
    <col min="4" max="4" width="29.6640625" style="3" customWidth="1"/>
    <col min="5" max="5" width="24.88671875" style="3" customWidth="1"/>
    <col min="6" max="6" width="11.88671875" style="3" customWidth="1"/>
    <col min="7" max="7" width="4.88671875" style="3" customWidth="1"/>
    <col min="8" max="8" width="6.109375" style="3" customWidth="1"/>
    <col min="9" max="9" width="7.6640625" style="3" customWidth="1" outlineLevel="1"/>
    <col min="10" max="10" width="5.6640625" style="3" customWidth="1" outlineLevel="1"/>
    <col min="11" max="11" width="5.6640625" style="3" customWidth="1"/>
    <col min="12" max="13" width="4.109375" style="4" customWidth="1"/>
    <col min="14" max="14" width="13.77734375" style="5" customWidth="1"/>
    <col min="15" max="15" width="5.44140625" style="3" customWidth="1"/>
    <col min="16" max="16" width="7.6640625" style="4" customWidth="1" outlineLevel="1"/>
    <col min="17" max="17" width="7.6640625" style="6" customWidth="1" outlineLevel="1"/>
    <col min="18" max="18" width="7.6640625" style="3" customWidth="1" outlineLevel="1"/>
    <col min="19" max="19" width="4.109375" style="6" customWidth="1" outlineLevel="1"/>
    <col min="20" max="20" width="7.6640625" style="7" customWidth="1" outlineLevel="1"/>
    <col min="21" max="21" width="4.33203125" style="7" customWidth="1" outlineLevel="1"/>
    <col min="22" max="22" width="12.6640625" style="3" customWidth="1"/>
    <col min="23" max="23" width="31" style="7" customWidth="1"/>
    <col min="24" max="24" width="12.44140625" style="7" customWidth="1"/>
    <col min="25" max="16384" width="9" style="7"/>
  </cols>
  <sheetData>
    <row r="1" spans="1:24" ht="36" customHeight="1" x14ac:dyDescent="0.25">
      <c r="A1" s="8" t="s">
        <v>19</v>
      </c>
      <c r="B1" s="9" t="s">
        <v>20</v>
      </c>
      <c r="C1" s="10" t="s">
        <v>21</v>
      </c>
      <c r="D1" s="11" t="s">
        <v>22</v>
      </c>
      <c r="E1" s="11" t="s">
        <v>23</v>
      </c>
      <c r="F1" s="12" t="s">
        <v>24</v>
      </c>
      <c r="G1" s="11" t="s">
        <v>25</v>
      </c>
      <c r="H1" s="13" t="s">
        <v>26</v>
      </c>
      <c r="I1" s="16" t="s">
        <v>27</v>
      </c>
      <c r="J1" s="16" t="s">
        <v>28</v>
      </c>
      <c r="K1" s="16" t="s">
        <v>29</v>
      </c>
      <c r="L1" s="17" t="s">
        <v>30</v>
      </c>
      <c r="M1" s="17" t="s">
        <v>31</v>
      </c>
      <c r="N1" s="11" t="s">
        <v>32</v>
      </c>
      <c r="O1" s="16" t="s">
        <v>33</v>
      </c>
      <c r="P1" s="17" t="s">
        <v>34</v>
      </c>
      <c r="Q1" s="20" t="s">
        <v>35</v>
      </c>
      <c r="R1" s="16" t="s">
        <v>36</v>
      </c>
      <c r="S1" s="13" t="s">
        <v>37</v>
      </c>
      <c r="T1" s="16" t="s">
        <v>38</v>
      </c>
      <c r="U1" s="16" t="s">
        <v>39</v>
      </c>
      <c r="V1" s="13" t="s">
        <v>40</v>
      </c>
      <c r="W1" s="21" t="s">
        <v>41</v>
      </c>
      <c r="X1" s="14" t="s">
        <v>42</v>
      </c>
    </row>
    <row r="2" spans="1:24" ht="23.1" hidden="1" customHeight="1" x14ac:dyDescent="0.25">
      <c r="A2" s="1" t="s">
        <v>43</v>
      </c>
      <c r="D2" s="14" t="s">
        <v>44</v>
      </c>
      <c r="E2" s="15" t="s">
        <v>45</v>
      </c>
      <c r="F2" s="15" t="str">
        <f>+VLOOKUP(D2,[1]Sheet1!$D$2:$E$29166,2,0)</f>
        <v>四通接头</v>
      </c>
      <c r="G2" s="3" t="s">
        <v>46</v>
      </c>
      <c r="H2" s="3">
        <v>65</v>
      </c>
      <c r="I2" s="18" t="e">
        <f>INDEX([2]Sheet1!$F$1:$AF$65808,MATCH(D2&amp;G2&amp;I$1,[2]Sheet1!$B$1:$B$65808&amp;[2]Sheet1!$D$1:$D$65808&amp;[2]Sheet1!$E$1:$E$65808,0),MATCH(H2,[2]Sheet1!$F$1:$AF$1,0))</f>
        <v>#VALUE!</v>
      </c>
      <c r="J2" s="3">
        <v>8</v>
      </c>
      <c r="K2" s="3">
        <v>8</v>
      </c>
      <c r="L2" s="19">
        <v>8</v>
      </c>
      <c r="M2" s="19">
        <v>8</v>
      </c>
      <c r="N2" s="5" t="s">
        <v>47</v>
      </c>
      <c r="O2" s="4"/>
      <c r="P2" s="18">
        <f t="array" ref="P2">IFERROR(INDEX([2]Sheet1!$F$1:$AF$65808,MATCH($D2&amp;$G2&amp;P$1,[2]Sheet1!$B$1:$B$65808&amp;[2]Sheet1!$D$1:$D$65808&amp;[2]Sheet1!$E$1:$E$65808,0),MATCH($H2,[2]Sheet1!$F$1:$AF$1,0)),0)</f>
        <v>35</v>
      </c>
      <c r="Q2" s="3"/>
      <c r="R2" s="6"/>
      <c r="S2" s="22"/>
      <c r="U2" s="23">
        <f>ROUND((K2*P2+Q2*S2)/60+T2,1)</f>
        <v>4.7</v>
      </c>
      <c r="V2" s="3" t="s">
        <v>9</v>
      </c>
    </row>
    <row r="3" spans="1:24" ht="23.1" hidden="1" customHeight="1" x14ac:dyDescent="0.25">
      <c r="A3" s="1" t="s">
        <v>48</v>
      </c>
      <c r="D3" s="14" t="s">
        <v>49</v>
      </c>
      <c r="E3" s="15" t="s">
        <v>50</v>
      </c>
      <c r="F3" s="15" t="str">
        <f>+VLOOKUP(D3,[1]Sheet1!$D$2:$E$29166,2,0)</f>
        <v>10460上接头</v>
      </c>
      <c r="G3" s="3" t="s">
        <v>51</v>
      </c>
      <c r="H3" s="3">
        <v>40</v>
      </c>
      <c r="I3" s="18" t="str">
        <f t="array" ref="I3">INDEX([2]Sheet1!$F$1:$AF$65808,MATCH(D3&amp;G3&amp;I$1,[2]Sheet1!$B$1:$B$65808&amp;[2]Sheet1!$D$1:$D$65808&amp;[2]Sheet1!$E$1:$E$65808,0),MATCH(H3,[2]Sheet1!$F$1:$AF$1,0))</f>
        <v>40/钳工</v>
      </c>
      <c r="J3" s="3">
        <v>2</v>
      </c>
      <c r="K3" s="3">
        <v>2</v>
      </c>
      <c r="L3" s="19">
        <v>30</v>
      </c>
      <c r="M3" s="19">
        <v>30</v>
      </c>
      <c r="N3" s="5" t="s">
        <v>52</v>
      </c>
      <c r="O3" s="4"/>
      <c r="P3" s="18">
        <f t="array" ref="P3">IFERROR(INDEX([2]Sheet1!$F$1:$AF$65808,MATCH($D3&amp;$G3&amp;P$1,[2]Sheet1!$B$1:$B$65808&amp;[2]Sheet1!$D$1:$D$65808&amp;[2]Sheet1!$E$1:$E$65808,0),MATCH($H3,[2]Sheet1!$F$1:$AF$1,0)),0)</f>
        <v>15</v>
      </c>
      <c r="Q3" s="3"/>
      <c r="R3" s="6"/>
      <c r="S3" s="22"/>
      <c r="U3" s="23">
        <f t="shared" ref="U3:U66" si="0">ROUND((K3*P3+Q3*S3)/60+T3,1)</f>
        <v>0.5</v>
      </c>
      <c r="V3" s="3" t="s">
        <v>9</v>
      </c>
    </row>
    <row r="4" spans="1:24" ht="23.1" hidden="1" customHeight="1" x14ac:dyDescent="0.25">
      <c r="A4" s="1" t="s">
        <v>53</v>
      </c>
      <c r="D4" s="3" t="s">
        <v>54</v>
      </c>
      <c r="E4" s="15" t="s">
        <v>55</v>
      </c>
      <c r="F4" s="15" t="str">
        <f>+VLOOKUP(D4,[1]Sheet1!$D$2:$E$29166,2,0)</f>
        <v>接头</v>
      </c>
      <c r="G4" s="3" t="s">
        <v>46</v>
      </c>
      <c r="H4" s="3">
        <v>10</v>
      </c>
      <c r="I4" s="18" t="str">
        <f t="array" ref="I4">INDEX([2]Sheet1!$F$1:$AF$65808,MATCH(D4&amp;G4&amp;I$1,[2]Sheet1!$B$1:$B$65808&amp;[2]Sheet1!$D$1:$D$65808&amp;[2]Sheet1!$E$1:$E$65808,0),MATCH(H4,[2]Sheet1!$F$1:$AF$1,0))</f>
        <v>10/钳工</v>
      </c>
      <c r="J4" s="3">
        <v>5</v>
      </c>
      <c r="K4" s="3">
        <v>5</v>
      </c>
      <c r="L4" s="19">
        <v>8</v>
      </c>
      <c r="M4" s="19">
        <v>8</v>
      </c>
      <c r="N4" s="5" t="s">
        <v>56</v>
      </c>
      <c r="O4" s="4"/>
      <c r="P4" s="18">
        <f t="array" ref="P4">IFERROR(INDEX([2]Sheet1!$F$1:$AF$65808,MATCH($D4&amp;$G4&amp;P$1,[2]Sheet1!$B$1:$B$65808&amp;[2]Sheet1!$D$1:$D$65808&amp;[2]Sheet1!$E$1:$E$65808,0),MATCH($H4,[2]Sheet1!$F$1:$AF$1,0)),0)</f>
        <v>15</v>
      </c>
      <c r="Q4" s="3"/>
      <c r="R4" s="6"/>
      <c r="S4" s="22"/>
      <c r="U4" s="23">
        <f t="shared" si="0"/>
        <v>1.3</v>
      </c>
      <c r="V4" s="3" t="s">
        <v>9</v>
      </c>
      <c r="W4" s="7" t="s">
        <v>57</v>
      </c>
    </row>
    <row r="5" spans="1:24" ht="23.1" hidden="1" customHeight="1" x14ac:dyDescent="0.25">
      <c r="A5" s="1" t="s">
        <v>58</v>
      </c>
      <c r="D5" s="3" t="s">
        <v>59</v>
      </c>
      <c r="E5" s="15" t="s">
        <v>60</v>
      </c>
      <c r="F5" s="15" t="str">
        <f>+VLOOKUP(D5,[1]Sheet1!$D$2:$E$29166,2,0)</f>
        <v>轴</v>
      </c>
      <c r="G5" s="3" t="s">
        <v>46</v>
      </c>
      <c r="H5" s="3">
        <v>15</v>
      </c>
      <c r="I5" s="18" t="str">
        <f t="array" ref="I5">INDEX([2]Sheet1!$F$1:$AF$65808,MATCH(D5&amp;G5&amp;I$1,[2]Sheet1!$B$1:$B$65808&amp;[2]Sheet1!$D$1:$D$65808&amp;[2]Sheet1!$E$1:$E$65808,0),MATCH(H5,[2]Sheet1!$F$1:$AF$1,0))</f>
        <v>15/钳工</v>
      </c>
      <c r="J5" s="3">
        <v>2</v>
      </c>
      <c r="K5" s="3">
        <v>2</v>
      </c>
      <c r="L5" s="19">
        <v>8</v>
      </c>
      <c r="M5" s="19">
        <v>8</v>
      </c>
      <c r="N5" s="5" t="s">
        <v>61</v>
      </c>
      <c r="O5" s="4"/>
      <c r="P5" s="18">
        <f t="array" ref="P5">IFERROR(INDEX([2]Sheet1!$F$1:$AF$65808,MATCH($D5&amp;$G5&amp;P$1,[2]Sheet1!$B$1:$B$65808&amp;[2]Sheet1!$D$1:$D$65808&amp;[2]Sheet1!$E$1:$E$65808,0),MATCH($H5,[2]Sheet1!$F$1:$AF$1,0)),0)</f>
        <v>4</v>
      </c>
      <c r="Q5" s="3"/>
      <c r="R5" s="6"/>
      <c r="S5" s="22"/>
      <c r="U5" s="23">
        <f t="shared" si="0"/>
        <v>0.1</v>
      </c>
      <c r="V5" s="3" t="s">
        <v>9</v>
      </c>
    </row>
    <row r="6" spans="1:24" ht="23.1" hidden="1" customHeight="1" x14ac:dyDescent="0.25">
      <c r="A6" s="1" t="s">
        <v>58</v>
      </c>
      <c r="D6" s="3" t="s">
        <v>62</v>
      </c>
      <c r="E6" s="15" t="s">
        <v>63</v>
      </c>
      <c r="F6" s="15" t="str">
        <f>+VLOOKUP(D6,[1]Sheet1!$D$2:$E$29166,2,0)</f>
        <v>法兰</v>
      </c>
      <c r="G6" s="3" t="s">
        <v>64</v>
      </c>
      <c r="H6" s="3">
        <v>35</v>
      </c>
      <c r="I6" s="18" t="str">
        <f t="array" ref="I6">INDEX([2]Sheet1!$F$1:$AF$65808,MATCH(D6&amp;G6&amp;I$1,[2]Sheet1!$B$1:$B$65808&amp;[2]Sheet1!$D$1:$D$65808&amp;[2]Sheet1!$E$1:$E$65808,0),MATCH(H6,[2]Sheet1!$F$1:$AF$1,0))</f>
        <v>35/钳工</v>
      </c>
      <c r="J6" s="3">
        <v>80</v>
      </c>
      <c r="K6" s="3">
        <v>80</v>
      </c>
      <c r="L6" s="19">
        <v>8</v>
      </c>
      <c r="M6" s="19">
        <v>8</v>
      </c>
      <c r="N6" s="5" t="s">
        <v>56</v>
      </c>
      <c r="O6" s="4"/>
      <c r="P6" s="18">
        <f t="array" ref="P6">IFERROR(INDEX([2]Sheet1!$F$1:$AF$65808,MATCH($D6&amp;$G6&amp;P$1,[2]Sheet1!$B$1:$B$65808&amp;[2]Sheet1!$D$1:$D$65808&amp;[2]Sheet1!$E$1:$E$65808,0),MATCH($H6,[2]Sheet1!$F$1:$AF$1,0)),0)</f>
        <v>25</v>
      </c>
      <c r="Q6" s="3"/>
      <c r="R6" s="6"/>
      <c r="S6" s="22"/>
      <c r="U6" s="23">
        <f t="shared" si="0"/>
        <v>33.299999999999997</v>
      </c>
      <c r="V6" s="3" t="s">
        <v>9</v>
      </c>
    </row>
    <row r="7" spans="1:24" ht="23.1" hidden="1" customHeight="1" x14ac:dyDescent="0.25">
      <c r="A7" s="1" t="s">
        <v>65</v>
      </c>
      <c r="D7" s="3" t="s">
        <v>66</v>
      </c>
      <c r="E7" s="15" t="s">
        <v>67</v>
      </c>
      <c r="F7" s="15" t="str">
        <f>+VLOOKUP(D7,[1]Sheet1!$D$2:$E$29166,2,0)</f>
        <v>10060下接头</v>
      </c>
      <c r="G7" s="3" t="s">
        <v>51</v>
      </c>
      <c r="H7" s="3">
        <v>40</v>
      </c>
      <c r="I7" s="18" t="str">
        <f t="array" ref="I7">INDEX([2]Sheet1!$F$1:$AF$65808,MATCH(D7&amp;G7&amp;I$1,[2]Sheet1!$B$1:$B$65808&amp;[2]Sheet1!$D$1:$D$65808&amp;[2]Sheet1!$E$1:$E$65808,0),MATCH(H7,[2]Sheet1!$F$1:$AF$1,0))</f>
        <v>40/钳工</v>
      </c>
      <c r="J7" s="3">
        <v>2</v>
      </c>
      <c r="K7" s="3">
        <v>2</v>
      </c>
      <c r="L7" s="19">
        <v>30</v>
      </c>
      <c r="M7" s="19">
        <v>30</v>
      </c>
      <c r="N7" s="5" t="s">
        <v>68</v>
      </c>
      <c r="O7" s="4"/>
      <c r="P7" s="18">
        <f t="array" ref="P7">IFERROR(INDEX([2]Sheet1!$F$1:$AF$65808,MATCH($D7&amp;$G7&amp;P$1,[2]Sheet1!$B$1:$B$65808&amp;[2]Sheet1!$D$1:$D$65808&amp;[2]Sheet1!$E$1:$E$65808,0),MATCH($H7,[2]Sheet1!$F$1:$AF$1,0)),0)</f>
        <v>15</v>
      </c>
      <c r="Q7" s="3"/>
      <c r="R7" s="6"/>
      <c r="S7" s="22"/>
      <c r="U7" s="23">
        <f t="shared" si="0"/>
        <v>0.5</v>
      </c>
      <c r="V7" s="3" t="s">
        <v>9</v>
      </c>
    </row>
    <row r="8" spans="1:24" ht="23.1" hidden="1" customHeight="1" x14ac:dyDescent="0.25">
      <c r="A8" s="1" t="s">
        <v>65</v>
      </c>
      <c r="D8" s="3" t="s">
        <v>69</v>
      </c>
      <c r="E8" s="15" t="s">
        <v>70</v>
      </c>
      <c r="F8" s="15" t="str">
        <f>+VLOOKUP(D8,[1]Sheet1!$D$2:$E$29166,2,0)</f>
        <v>1号护板维型肋左件</v>
      </c>
      <c r="G8" s="3" t="s">
        <v>46</v>
      </c>
      <c r="H8" s="3">
        <v>35</v>
      </c>
      <c r="I8" s="18" t="str">
        <f t="array" ref="I8">INDEX([2]Sheet1!$F$1:$AF$65808,MATCH(D8&amp;G8&amp;I$1,[2]Sheet1!$B$1:$B$65808&amp;[2]Sheet1!$D$1:$D$65808&amp;[2]Sheet1!$E$1:$E$65808,0),MATCH(H8,[2]Sheet1!$F$1:$AF$1,0))</f>
        <v>35/钳工</v>
      </c>
      <c r="J8" s="3">
        <v>23</v>
      </c>
      <c r="K8" s="3">
        <v>23</v>
      </c>
      <c r="L8" s="19">
        <v>8</v>
      </c>
      <c r="M8" s="19">
        <v>8</v>
      </c>
      <c r="N8" s="5" t="s">
        <v>56</v>
      </c>
      <c r="O8" s="4"/>
      <c r="P8" s="18">
        <f t="array" ref="P8">IFERROR(INDEX([2]Sheet1!$F$1:$AF$65808,MATCH($D8&amp;$G8&amp;P$1,[2]Sheet1!$B$1:$B$65808&amp;[2]Sheet1!$D$1:$D$65808&amp;[2]Sheet1!$E$1:$E$65808,0),MATCH($H8,[2]Sheet1!$F$1:$AF$1,0)),0)</f>
        <v>45</v>
      </c>
      <c r="Q8" s="3"/>
      <c r="R8" s="6"/>
      <c r="S8" s="22"/>
      <c r="U8" s="23">
        <f t="shared" si="0"/>
        <v>17.3</v>
      </c>
      <c r="V8" s="3" t="s">
        <v>9</v>
      </c>
    </row>
    <row r="9" spans="1:24" ht="23.1" hidden="1" customHeight="1" x14ac:dyDescent="0.25">
      <c r="A9" s="1" t="s">
        <v>71</v>
      </c>
      <c r="D9" s="3" t="s">
        <v>72</v>
      </c>
      <c r="E9" s="15" t="s">
        <v>73</v>
      </c>
      <c r="F9" s="15" t="str">
        <f>+VLOOKUP(D9,[1]Sheet1!$D$2:$E$29166,2,0)</f>
        <v>扩压式管接头</v>
      </c>
      <c r="G9" s="3" t="s">
        <v>64</v>
      </c>
      <c r="H9" s="3">
        <v>45</v>
      </c>
      <c r="I9" s="18" t="str">
        <f t="array" ref="I9">INDEX([2]Sheet1!$F$1:$AF$65808,MATCH(D9&amp;G9&amp;I$1,[2]Sheet1!$B$1:$B$65808&amp;[2]Sheet1!$D$1:$D$65808&amp;[2]Sheet1!$E$1:$E$65808,0),MATCH(H9,[2]Sheet1!$F$1:$AF$1,0))</f>
        <v>45/钳工</v>
      </c>
      <c r="J9" s="3">
        <v>30</v>
      </c>
      <c r="K9" s="3">
        <v>30</v>
      </c>
      <c r="L9" s="19">
        <v>8</v>
      </c>
      <c r="M9" s="19">
        <v>8</v>
      </c>
      <c r="N9" s="5" t="s">
        <v>56</v>
      </c>
      <c r="O9" s="4"/>
      <c r="P9" s="18">
        <f t="array" ref="P9">IFERROR(INDEX([2]Sheet1!$F$1:$AF$65808,MATCH($D9&amp;$G9&amp;P$1,[2]Sheet1!$B$1:$B$65808&amp;[2]Sheet1!$D$1:$D$65808&amp;[2]Sheet1!$E$1:$E$65808,0),MATCH($H9,[2]Sheet1!$F$1:$AF$1,0)),0)</f>
        <v>40</v>
      </c>
      <c r="Q9" s="3"/>
      <c r="R9" s="6"/>
      <c r="S9" s="22"/>
      <c r="U9" s="23">
        <f t="shared" si="0"/>
        <v>20</v>
      </c>
      <c r="V9" s="3" t="s">
        <v>9</v>
      </c>
    </row>
    <row r="10" spans="1:24" ht="23.1" hidden="1" customHeight="1" x14ac:dyDescent="0.25">
      <c r="A10" s="1" t="s">
        <v>74</v>
      </c>
      <c r="D10" s="3" t="s">
        <v>75</v>
      </c>
      <c r="E10" s="15" t="s">
        <v>76</v>
      </c>
      <c r="F10" s="15" t="str">
        <f>+VLOOKUP(D10,[1]Sheet1!$D$2:$E$29166,2,0)</f>
        <v>接管嘴</v>
      </c>
      <c r="G10" s="3" t="s">
        <v>46</v>
      </c>
      <c r="H10" s="3">
        <v>35</v>
      </c>
      <c r="I10" s="18" t="str">
        <f t="array" ref="I10">INDEX([2]Sheet1!$F$1:$AF$65808,MATCH(D10&amp;G10&amp;I$1,[2]Sheet1!$B$1:$B$65808&amp;[2]Sheet1!$D$1:$D$65808&amp;[2]Sheet1!$E$1:$E$65808,0),MATCH(H10,[2]Sheet1!$F$1:$AF$1,0))</f>
        <v>35/钳工</v>
      </c>
      <c r="J10" s="3">
        <v>29</v>
      </c>
      <c r="K10" s="3">
        <v>29</v>
      </c>
      <c r="L10" s="19">
        <v>8</v>
      </c>
      <c r="M10" s="19">
        <v>8</v>
      </c>
      <c r="N10" s="5" t="s">
        <v>77</v>
      </c>
      <c r="O10" s="4"/>
      <c r="P10" s="18" t="str">
        <f t="array" ref="P10">IFERROR(INDEX([2]Sheet1!$F$1:$AF$65808,MATCH($D10&amp;$G10&amp;P$1,[2]Sheet1!$B$1:$B$65808&amp;[2]Sheet1!$D$1:$D$65808&amp;[2]Sheet1!$E$1:$E$65808,0),MATCH($H10,[2]Sheet1!$F$1:$AF$1,0)),0)</f>
        <v>35</v>
      </c>
      <c r="Q10" s="3"/>
      <c r="R10" s="6"/>
      <c r="S10" s="22"/>
      <c r="U10" s="23">
        <f t="shared" si="0"/>
        <v>16.899999999999999</v>
      </c>
      <c r="V10" s="3" t="s">
        <v>9</v>
      </c>
    </row>
    <row r="11" spans="1:24" ht="23.1" hidden="1" customHeight="1" x14ac:dyDescent="0.25">
      <c r="A11" s="1" t="s">
        <v>74</v>
      </c>
      <c r="D11" s="3" t="s">
        <v>78</v>
      </c>
      <c r="E11" s="15" t="s">
        <v>79</v>
      </c>
      <c r="F11" s="15" t="str">
        <f>+VLOOKUP(D11,[1]Sheet1!$D$2:$E$29166,2,0)</f>
        <v>立柱加强接头</v>
      </c>
      <c r="G11" s="3" t="s">
        <v>80</v>
      </c>
      <c r="H11" s="3">
        <v>35</v>
      </c>
      <c r="I11" s="18" t="str">
        <f t="array" ref="I11">INDEX([2]Sheet1!$F$1:$AF$65808,MATCH(D11&amp;G11&amp;I$1,[2]Sheet1!$B$1:$B$65808&amp;[2]Sheet1!$D$1:$D$65808&amp;[2]Sheet1!$E$1:$E$65808,0),MATCH(H11,[2]Sheet1!$F$1:$AF$1,0))</f>
        <v>35钳工</v>
      </c>
      <c r="J11" s="3">
        <v>9</v>
      </c>
      <c r="K11" s="3">
        <v>9</v>
      </c>
      <c r="L11" s="19">
        <v>8</v>
      </c>
      <c r="M11" s="19">
        <v>8</v>
      </c>
      <c r="N11" s="5" t="s">
        <v>81</v>
      </c>
      <c r="O11" s="4"/>
      <c r="P11" s="18">
        <f t="array" ref="P11">IFERROR(INDEX([2]Sheet1!$F$1:$AF$65808,MATCH($D11&amp;$G11&amp;P$1,[2]Sheet1!$B$1:$B$65808&amp;[2]Sheet1!$D$1:$D$65808&amp;[2]Sheet1!$E$1:$E$65808,0),MATCH($H11,[2]Sheet1!$F$1:$AF$1,0)),0)</f>
        <v>50</v>
      </c>
      <c r="Q11" s="3"/>
      <c r="R11" s="6"/>
      <c r="S11" s="22"/>
      <c r="U11" s="23">
        <f t="shared" si="0"/>
        <v>7.5</v>
      </c>
      <c r="V11" s="3" t="s">
        <v>9</v>
      </c>
    </row>
    <row r="12" spans="1:24" ht="23.1" hidden="1" customHeight="1" x14ac:dyDescent="0.25">
      <c r="A12" s="1" t="s">
        <v>82</v>
      </c>
      <c r="D12" s="3" t="s">
        <v>83</v>
      </c>
      <c r="E12" s="15" t="s">
        <v>84</v>
      </c>
      <c r="F12" s="15" t="str">
        <f>+VLOOKUP(D12,[1]Sheet1!$D$2:$E$29166,2,0)</f>
        <v>拉杆支座</v>
      </c>
      <c r="G12" s="3" t="s">
        <v>46</v>
      </c>
      <c r="H12" s="3">
        <v>80</v>
      </c>
      <c r="I12" s="18" t="str">
        <f t="array" ref="I12">INDEX([2]Sheet1!$F$1:$AF$65808,MATCH(D12&amp;G12&amp;I$1,[2]Sheet1!$B$1:$B$65808&amp;[2]Sheet1!$D$1:$D$65808&amp;[2]Sheet1!$E$1:$E$65808,0),MATCH(H12,[2]Sheet1!$F$1:$AF$1,0))</f>
        <v>80/检验</v>
      </c>
      <c r="J12" s="3">
        <v>12</v>
      </c>
      <c r="K12" s="3">
        <v>12</v>
      </c>
      <c r="L12" s="19">
        <v>8</v>
      </c>
      <c r="M12" s="19">
        <v>8</v>
      </c>
      <c r="N12" s="5" t="s">
        <v>85</v>
      </c>
      <c r="O12" s="4"/>
      <c r="P12" s="18">
        <f t="array" ref="P12">IFERROR(INDEX([2]Sheet1!$F$1:$AF$65808,MATCH($D12&amp;$G12&amp;P$1,[2]Sheet1!$B$1:$B$65808&amp;[2]Sheet1!$D$1:$D$65808&amp;[2]Sheet1!$E$1:$E$65808,0),MATCH($H12,[2]Sheet1!$F$1:$AF$1,0)),0)</f>
        <v>0</v>
      </c>
      <c r="Q12" s="3"/>
      <c r="R12" s="6"/>
      <c r="S12" s="22"/>
      <c r="U12" s="23">
        <f t="shared" si="0"/>
        <v>0</v>
      </c>
      <c r="V12" s="3" t="s">
        <v>9</v>
      </c>
    </row>
    <row r="13" spans="1:24" ht="23.1" hidden="1" customHeight="1" x14ac:dyDescent="0.25">
      <c r="A13" s="1" t="s">
        <v>82</v>
      </c>
      <c r="D13" s="3" t="s">
        <v>86</v>
      </c>
      <c r="E13" s="15" t="s">
        <v>87</v>
      </c>
      <c r="F13" s="15" t="str">
        <f>+VLOOKUP(D13,[1]Sheet1!$D$2:$E$29166,2,0)</f>
        <v>管接头</v>
      </c>
      <c r="G13" s="3" t="s">
        <v>64</v>
      </c>
      <c r="H13" s="3">
        <v>35</v>
      </c>
      <c r="I13" s="18" t="str">
        <f t="array" ref="I13">INDEX([2]Sheet1!$F$1:$AF$65808,MATCH(D13&amp;G13&amp;I$1,[2]Sheet1!$B$1:$B$65808&amp;[2]Sheet1!$D$1:$D$65808&amp;[2]Sheet1!$E$1:$E$65808,0),MATCH(H13,[2]Sheet1!$F$1:$AF$1,0))</f>
        <v>35/钳工</v>
      </c>
      <c r="J13" s="3">
        <v>60</v>
      </c>
      <c r="K13" s="3">
        <v>60</v>
      </c>
      <c r="L13" s="19">
        <v>8</v>
      </c>
      <c r="M13" s="19">
        <v>8</v>
      </c>
      <c r="N13" s="5" t="s">
        <v>88</v>
      </c>
      <c r="O13" s="4"/>
      <c r="P13" s="18">
        <f t="array" ref="P13">IFERROR(INDEX([2]Sheet1!$F$1:$AF$65808,MATCH($D13&amp;$G13&amp;P$1,[2]Sheet1!$B$1:$B$65808&amp;[2]Sheet1!$D$1:$D$65808&amp;[2]Sheet1!$E$1:$E$65808,0),MATCH($H13,[2]Sheet1!$F$1:$AF$1,0)),0)</f>
        <v>30</v>
      </c>
      <c r="Q13" s="3"/>
      <c r="R13" s="6"/>
      <c r="S13" s="22"/>
      <c r="U13" s="23">
        <f t="shared" si="0"/>
        <v>30</v>
      </c>
      <c r="V13" s="3" t="s">
        <v>9</v>
      </c>
    </row>
    <row r="14" spans="1:24" ht="23.1" hidden="1" customHeight="1" x14ac:dyDescent="0.25">
      <c r="A14" s="1" t="s">
        <v>89</v>
      </c>
      <c r="D14" s="3" t="s">
        <v>90</v>
      </c>
      <c r="E14" s="15" t="s">
        <v>91</v>
      </c>
      <c r="F14" s="15" t="str">
        <f>+VLOOKUP(D14,[1]Sheet1!$D$2:$E$29166,2,0)</f>
        <v>螺栓</v>
      </c>
      <c r="G14" s="3" t="s">
        <v>64</v>
      </c>
      <c r="H14" s="3">
        <v>50</v>
      </c>
      <c r="I14" s="18" t="str">
        <f t="array" ref="I14">INDEX([2]Sheet1!$F$1:$AF$65808,MATCH(D14&amp;G14&amp;I$1,[2]Sheet1!$B$1:$B$65808&amp;[2]Sheet1!$D$1:$D$65808&amp;[2]Sheet1!$E$1:$E$65808,0),MATCH(H14,[2]Sheet1!$F$1:$AF$1,0))</f>
        <v>50/钳工</v>
      </c>
      <c r="J14" s="3">
        <v>20</v>
      </c>
      <c r="K14" s="3">
        <v>20</v>
      </c>
      <c r="L14" s="19">
        <v>8</v>
      </c>
      <c r="M14" s="19">
        <v>8</v>
      </c>
      <c r="N14" s="5" t="s">
        <v>92</v>
      </c>
      <c r="O14" s="4"/>
      <c r="P14" s="18">
        <f t="array" ref="P14">IFERROR(INDEX([2]Sheet1!$F$1:$AF$65808,MATCH($D14&amp;$G14&amp;P$1,[2]Sheet1!$B$1:$B$65808&amp;[2]Sheet1!$D$1:$D$65808&amp;[2]Sheet1!$E$1:$E$65808,0),MATCH($H14,[2]Sheet1!$F$1:$AF$1,0)),0)</f>
        <v>25</v>
      </c>
      <c r="Q14" s="3"/>
      <c r="R14" s="6"/>
      <c r="S14" s="22"/>
      <c r="U14" s="23">
        <f t="shared" si="0"/>
        <v>8.3000000000000007</v>
      </c>
      <c r="V14" s="3" t="s">
        <v>9</v>
      </c>
    </row>
    <row r="15" spans="1:24" ht="23.1" hidden="1" customHeight="1" x14ac:dyDescent="0.25">
      <c r="A15" s="1" t="s">
        <v>89</v>
      </c>
      <c r="D15" s="3" t="s">
        <v>93</v>
      </c>
      <c r="E15" s="15" t="s">
        <v>94</v>
      </c>
      <c r="F15" s="15" t="str">
        <f>+VLOOKUP(D15,[1]Sheet1!$D$2:$E$29166,2,0)</f>
        <v>垫圈</v>
      </c>
      <c r="G15" s="3" t="s">
        <v>80</v>
      </c>
      <c r="H15" s="3">
        <v>10</v>
      </c>
      <c r="I15" s="18" t="str">
        <f t="array" ref="I15">INDEX([2]Sheet1!$F$1:$AF$65808,MATCH(D15&amp;G15&amp;I$1,[2]Sheet1!$B$1:$B$65808&amp;[2]Sheet1!$D$1:$D$65808&amp;[2]Sheet1!$E$1:$E$65808,0),MATCH(H15,[2]Sheet1!$F$1:$AF$1,0))</f>
        <v>10钳工</v>
      </c>
      <c r="J15" s="3">
        <v>2</v>
      </c>
      <c r="K15" s="3">
        <v>2</v>
      </c>
      <c r="L15" s="19">
        <v>8</v>
      </c>
      <c r="M15" s="19">
        <v>8</v>
      </c>
      <c r="N15" s="5" t="s">
        <v>95</v>
      </c>
      <c r="O15" s="4"/>
      <c r="P15" s="18">
        <f t="array" ref="P15">IFERROR(INDEX([2]Sheet1!$F$1:$AF$65808,MATCH($D15&amp;$G15&amp;P$1,[2]Sheet1!$B$1:$B$65808&amp;[2]Sheet1!$D$1:$D$65808&amp;[2]Sheet1!$E$1:$E$65808,0),MATCH($H15,[2]Sheet1!$F$1:$AF$1,0)),0)</f>
        <v>4</v>
      </c>
      <c r="Q15" s="3"/>
      <c r="R15" s="6"/>
      <c r="S15" s="22"/>
      <c r="U15" s="23">
        <f t="shared" si="0"/>
        <v>0.1</v>
      </c>
      <c r="V15" s="3" t="s">
        <v>9</v>
      </c>
      <c r="W15" s="7" t="s">
        <v>96</v>
      </c>
    </row>
    <row r="16" spans="1:24" ht="23.1" hidden="1" customHeight="1" x14ac:dyDescent="0.25">
      <c r="A16" s="1" t="s">
        <v>89</v>
      </c>
      <c r="D16" s="3" t="s">
        <v>97</v>
      </c>
      <c r="E16" s="15" t="s">
        <v>98</v>
      </c>
      <c r="F16" s="15" t="str">
        <f>+VLOOKUP(D16,[1]Sheet1!$D$2:$E$29166,2,0)</f>
        <v>短框连接块</v>
      </c>
      <c r="G16" s="3" t="s">
        <v>80</v>
      </c>
      <c r="H16" s="3">
        <v>30</v>
      </c>
      <c r="I16" s="18" t="str">
        <f t="array" ref="I16">INDEX([2]Sheet1!$F$1:$AF$65808,MATCH(D16&amp;G16&amp;I$1,[2]Sheet1!$B$1:$B$65808&amp;[2]Sheet1!$D$1:$D$65808&amp;[2]Sheet1!$E$1:$E$65808,0),MATCH(H16,[2]Sheet1!$F$1:$AF$1,0))</f>
        <v>30/钳工</v>
      </c>
      <c r="J16" s="3">
        <v>8</v>
      </c>
      <c r="K16" s="3">
        <v>8</v>
      </c>
      <c r="L16" s="19">
        <v>8</v>
      </c>
      <c r="M16" s="19">
        <v>8</v>
      </c>
      <c r="N16" s="5" t="s">
        <v>81</v>
      </c>
      <c r="O16" s="4"/>
      <c r="P16" s="18">
        <f t="array" ref="P16">IFERROR(INDEX([2]Sheet1!$F$1:$AF$65808,MATCH($D16&amp;$G16&amp;P$1,[2]Sheet1!$B$1:$B$65808&amp;[2]Sheet1!$D$1:$D$65808&amp;[2]Sheet1!$E$1:$E$65808,0),MATCH($H16,[2]Sheet1!$F$1:$AF$1,0)),0)</f>
        <v>50</v>
      </c>
      <c r="Q16" s="3"/>
      <c r="R16" s="6"/>
      <c r="S16" s="22"/>
      <c r="U16" s="23">
        <f t="shared" si="0"/>
        <v>6.7</v>
      </c>
      <c r="V16" s="3" t="s">
        <v>9</v>
      </c>
    </row>
    <row r="17" spans="1:22" ht="23.1" hidden="1" customHeight="1" x14ac:dyDescent="0.25">
      <c r="A17" s="1" t="s">
        <v>89</v>
      </c>
      <c r="D17" s="3" t="s">
        <v>66</v>
      </c>
      <c r="E17" s="15" t="s">
        <v>67</v>
      </c>
      <c r="F17" s="15" t="str">
        <f>+VLOOKUP(D17,[1]Sheet1!$D$2:$E$29166,2,0)</f>
        <v>10060下接头</v>
      </c>
      <c r="G17" s="3" t="s">
        <v>51</v>
      </c>
      <c r="H17" s="3">
        <v>40</v>
      </c>
      <c r="I17" s="18" t="str">
        <f t="array" ref="I17">INDEX([2]Sheet1!$F$1:$AF$65808,MATCH(D17&amp;G17&amp;I$1,[2]Sheet1!$B$1:$B$65808&amp;[2]Sheet1!$D$1:$D$65808&amp;[2]Sheet1!$E$1:$E$65808,0),MATCH(H17,[2]Sheet1!$F$1:$AF$1,0))</f>
        <v>40/钳工</v>
      </c>
      <c r="J17" s="3">
        <v>6</v>
      </c>
      <c r="K17" s="3">
        <v>6</v>
      </c>
      <c r="L17" s="19">
        <v>30</v>
      </c>
      <c r="M17" s="19">
        <v>30</v>
      </c>
      <c r="N17" s="5" t="s">
        <v>99</v>
      </c>
      <c r="O17" s="4"/>
      <c r="P17" s="18">
        <f t="array" ref="P17">IFERROR(INDEX([2]Sheet1!$F$1:$AF$65808,MATCH($D17&amp;$G17&amp;P$1,[2]Sheet1!$B$1:$B$65808&amp;[2]Sheet1!$D$1:$D$65808&amp;[2]Sheet1!$E$1:$E$65808,0),MATCH($H17,[2]Sheet1!$F$1:$AF$1,0)),0)</f>
        <v>15</v>
      </c>
      <c r="Q17" s="3"/>
      <c r="R17" s="6"/>
      <c r="S17" s="22"/>
      <c r="U17" s="23">
        <f t="shared" si="0"/>
        <v>1.5</v>
      </c>
      <c r="V17" s="3" t="s">
        <v>9</v>
      </c>
    </row>
    <row r="18" spans="1:22" ht="23.1" hidden="1" customHeight="1" x14ac:dyDescent="0.25">
      <c r="A18" s="1" t="s">
        <v>100</v>
      </c>
      <c r="D18" s="3" t="s">
        <v>101</v>
      </c>
      <c r="E18" s="15" t="s">
        <v>87</v>
      </c>
      <c r="F18" s="15" t="str">
        <f>+VLOOKUP(D18,[1]Sheet1!$D$2:$E$29166,2,0)</f>
        <v>管接头</v>
      </c>
      <c r="G18" s="3" t="s">
        <v>64</v>
      </c>
      <c r="H18" s="3">
        <v>35</v>
      </c>
      <c r="I18" s="18" t="str">
        <f t="array" ref="I18">INDEX([2]Sheet1!$F$1:$AF$65808,MATCH(D18&amp;G18&amp;I$1,[2]Sheet1!$B$1:$B$65808&amp;[2]Sheet1!$D$1:$D$65808&amp;[2]Sheet1!$E$1:$E$65808,0),MATCH(H18,[2]Sheet1!$F$1:$AF$1,0))</f>
        <v>35/钳工</v>
      </c>
      <c r="J18" s="3">
        <v>20</v>
      </c>
      <c r="K18" s="3">
        <v>20</v>
      </c>
      <c r="L18" s="19">
        <v>8</v>
      </c>
      <c r="M18" s="19">
        <v>8</v>
      </c>
      <c r="N18" s="5" t="s">
        <v>102</v>
      </c>
      <c r="O18" s="4"/>
      <c r="P18" s="18">
        <f t="array" ref="P18">IFERROR(INDEX([2]Sheet1!$F$1:$AF$65808,MATCH($D18&amp;$G18&amp;P$1,[2]Sheet1!$B$1:$B$65808&amp;[2]Sheet1!$D$1:$D$65808&amp;[2]Sheet1!$E$1:$E$65808,0),MATCH($H18,[2]Sheet1!$F$1:$AF$1,0)),0)</f>
        <v>30</v>
      </c>
      <c r="Q18" s="3"/>
      <c r="R18" s="6"/>
      <c r="S18" s="22"/>
      <c r="U18" s="23">
        <f t="shared" si="0"/>
        <v>10</v>
      </c>
      <c r="V18" s="3" t="s">
        <v>9</v>
      </c>
    </row>
    <row r="19" spans="1:22" ht="23.1" hidden="1" customHeight="1" x14ac:dyDescent="0.25">
      <c r="A19" s="1" t="s">
        <v>103</v>
      </c>
      <c r="D19" s="3" t="s">
        <v>104</v>
      </c>
      <c r="E19" s="15" t="s">
        <v>76</v>
      </c>
      <c r="F19" s="15" t="str">
        <f>+VLOOKUP(D19,[1]Sheet1!$D$2:$E$29166,2,0)</f>
        <v>接管嘴</v>
      </c>
      <c r="G19" s="3" t="s">
        <v>46</v>
      </c>
      <c r="H19" s="3">
        <v>30</v>
      </c>
      <c r="I19" s="18" t="str">
        <f t="array" ref="I19">INDEX([2]Sheet1!$F$1:$AF$65808,MATCH(D19&amp;G19&amp;I$1,[2]Sheet1!$B$1:$B$65808&amp;[2]Sheet1!$D$1:$D$65808&amp;[2]Sheet1!$E$1:$E$65808,0),MATCH(H19,[2]Sheet1!$F$1:$AF$1,0))</f>
        <v>30/钳工</v>
      </c>
      <c r="J19" s="3">
        <v>60</v>
      </c>
      <c r="K19" s="3">
        <v>60</v>
      </c>
      <c r="L19" s="19">
        <v>8</v>
      </c>
      <c r="M19" s="19">
        <v>8</v>
      </c>
      <c r="N19" s="5" t="s">
        <v>105</v>
      </c>
      <c r="O19" s="4"/>
      <c r="P19" s="18">
        <f t="array" ref="P19">IFERROR(INDEX([2]Sheet1!$F$1:$AF$65808,MATCH($D19&amp;$G19&amp;P$1,[2]Sheet1!$B$1:$B$65808&amp;[2]Sheet1!$D$1:$D$65808&amp;[2]Sheet1!$E$1:$E$65808,0),MATCH($H19,[2]Sheet1!$F$1:$AF$1,0)),0)</f>
        <v>25</v>
      </c>
      <c r="Q19" s="3"/>
      <c r="R19" s="6"/>
      <c r="S19" s="22"/>
      <c r="U19" s="23">
        <f t="shared" si="0"/>
        <v>25</v>
      </c>
      <c r="V19" s="3" t="s">
        <v>9</v>
      </c>
    </row>
    <row r="20" spans="1:22" ht="23.1" hidden="1" customHeight="1" x14ac:dyDescent="0.25">
      <c r="A20" s="1" t="s">
        <v>103</v>
      </c>
      <c r="D20" s="3" t="s">
        <v>106</v>
      </c>
      <c r="E20" s="15" t="s">
        <v>107</v>
      </c>
      <c r="F20" s="15" t="str">
        <f>+VLOOKUP(D20,[1]Sheet1!$D$2:$E$29166,2,0)</f>
        <v>平管嘴</v>
      </c>
      <c r="G20" s="3" t="s">
        <v>80</v>
      </c>
      <c r="H20" s="3">
        <v>10</v>
      </c>
      <c r="I20" s="18" t="str">
        <f t="array" ref="I20">INDEX([2]Sheet1!$F$1:$AF$65808,MATCH(D20&amp;G20&amp;I$1,[2]Sheet1!$B$1:$B$65808&amp;[2]Sheet1!$D$1:$D$65808&amp;[2]Sheet1!$E$1:$E$65808,0),MATCH(H20,[2]Sheet1!$F$1:$AF$1,0))</f>
        <v>10钳工</v>
      </c>
      <c r="J20" s="3">
        <v>14</v>
      </c>
      <c r="K20" s="3">
        <v>14</v>
      </c>
      <c r="L20" s="19">
        <v>8</v>
      </c>
      <c r="M20" s="19">
        <v>8</v>
      </c>
      <c r="N20" s="5" t="s">
        <v>108</v>
      </c>
      <c r="O20" s="4"/>
      <c r="P20" s="18">
        <f t="array" ref="P20">IFERROR(INDEX([2]Sheet1!$F$1:$AF$65808,MATCH($D20&amp;$G20&amp;P$1,[2]Sheet1!$B$1:$B$65808&amp;[2]Sheet1!$D$1:$D$65808&amp;[2]Sheet1!$E$1:$E$65808,0),MATCH($H20,[2]Sheet1!$F$1:$AF$1,0)),0)</f>
        <v>4</v>
      </c>
      <c r="Q20" s="3"/>
      <c r="R20" s="6"/>
      <c r="S20" s="22"/>
      <c r="U20" s="23">
        <f t="shared" si="0"/>
        <v>0.9</v>
      </c>
      <c r="V20" s="3" t="s">
        <v>9</v>
      </c>
    </row>
    <row r="21" spans="1:22" ht="23.1" hidden="1" customHeight="1" x14ac:dyDescent="0.25">
      <c r="A21" s="1" t="s">
        <v>109</v>
      </c>
      <c r="D21" s="3" t="s">
        <v>90</v>
      </c>
      <c r="E21" s="15" t="s">
        <v>91</v>
      </c>
      <c r="F21" s="15" t="str">
        <f>+VLOOKUP(D21,[1]Sheet1!$D$2:$E$29166,2,0)</f>
        <v>螺栓</v>
      </c>
      <c r="G21" s="3" t="s">
        <v>64</v>
      </c>
      <c r="H21" s="3">
        <v>70</v>
      </c>
      <c r="I21" s="18">
        <f t="array" ref="I21">INDEX([2]Sheet1!$F$1:$AF$65808,MATCH(D21&amp;G21&amp;I$1,[2]Sheet1!$B$1:$B$65808&amp;[2]Sheet1!$D$1:$D$65808&amp;[2]Sheet1!$E$1:$E$65808,0),MATCH(H21,[2]Sheet1!$F$1:$AF$1,0))</f>
        <v>0</v>
      </c>
      <c r="J21" s="3">
        <v>20</v>
      </c>
      <c r="K21" s="3">
        <v>20</v>
      </c>
      <c r="L21" s="19">
        <v>8</v>
      </c>
      <c r="M21" s="19">
        <v>8</v>
      </c>
      <c r="N21" s="5" t="s">
        <v>92</v>
      </c>
      <c r="O21" s="4"/>
      <c r="P21" s="18">
        <f t="array" ref="P21">IFERROR(INDEX([2]Sheet1!$F$1:$AF$65808,MATCH($D21&amp;$G21&amp;P$1,[2]Sheet1!$B$1:$B$65808&amp;[2]Sheet1!$D$1:$D$65808&amp;[2]Sheet1!$E$1:$E$65808,0),MATCH($H21,[2]Sheet1!$F$1:$AF$1,0)),0)</f>
        <v>0</v>
      </c>
      <c r="Q21" s="3"/>
      <c r="R21" s="6"/>
      <c r="S21" s="22"/>
      <c r="U21" s="23">
        <f t="shared" si="0"/>
        <v>0</v>
      </c>
      <c r="V21" s="3" t="s">
        <v>9</v>
      </c>
    </row>
    <row r="22" spans="1:22" ht="23.1" hidden="1" customHeight="1" x14ac:dyDescent="0.25">
      <c r="A22" s="1" t="s">
        <v>109</v>
      </c>
      <c r="D22" s="3" t="s">
        <v>110</v>
      </c>
      <c r="E22" s="15" t="s">
        <v>76</v>
      </c>
      <c r="F22" s="15" t="str">
        <f>+VLOOKUP(D22,[1]Sheet1!$D$2:$E$29166,2,0)</f>
        <v>接管嘴</v>
      </c>
      <c r="G22" s="3" t="s">
        <v>46</v>
      </c>
      <c r="H22" s="3">
        <v>35</v>
      </c>
      <c r="I22" s="18" t="str">
        <f t="array" ref="I22">INDEX([2]Sheet1!$F$1:$AF$65808,MATCH(D22&amp;G22&amp;I$1,[2]Sheet1!$B$1:$B$65808&amp;[2]Sheet1!$D$1:$D$65808&amp;[2]Sheet1!$E$1:$E$65808,0),MATCH(H22,[2]Sheet1!$F$1:$AF$1,0))</f>
        <v>35/钳工</v>
      </c>
      <c r="J22" s="3">
        <v>19</v>
      </c>
      <c r="K22" s="3">
        <v>19</v>
      </c>
      <c r="L22" s="19">
        <v>8</v>
      </c>
      <c r="M22" s="19">
        <v>8</v>
      </c>
      <c r="N22" s="5" t="s">
        <v>56</v>
      </c>
      <c r="O22" s="4"/>
      <c r="P22" s="18">
        <f t="array" ref="P22">IFERROR(INDEX([2]Sheet1!$F$1:$AF$65808,MATCH($D22&amp;$G22&amp;P$1,[2]Sheet1!$B$1:$B$65808&amp;[2]Sheet1!$D$1:$D$65808&amp;[2]Sheet1!$E$1:$E$65808,0),MATCH($H22,[2]Sheet1!$F$1:$AF$1,0)),0)</f>
        <v>15</v>
      </c>
      <c r="Q22" s="3"/>
      <c r="R22" s="6"/>
      <c r="S22" s="22"/>
      <c r="U22" s="23">
        <f t="shared" si="0"/>
        <v>4.8</v>
      </c>
      <c r="V22" s="3" t="s">
        <v>9</v>
      </c>
    </row>
    <row r="23" spans="1:22" ht="23.1" hidden="1" customHeight="1" x14ac:dyDescent="0.25">
      <c r="A23" s="1" t="s">
        <v>109</v>
      </c>
      <c r="D23" s="3" t="s">
        <v>111</v>
      </c>
      <c r="E23" s="15" t="s">
        <v>63</v>
      </c>
      <c r="F23" s="15" t="str">
        <f>+VLOOKUP(D23,[1]Sheet1!$D$2:$E$29166,2,0)</f>
        <v>法兰</v>
      </c>
      <c r="G23" s="3" t="s">
        <v>64</v>
      </c>
      <c r="H23" s="3">
        <v>50</v>
      </c>
      <c r="I23" s="18" t="str">
        <f t="array" ref="I23">INDEX([2]Sheet1!$F$1:$AF$65808,MATCH(D23&amp;G23&amp;I$1,[2]Sheet1!$B$1:$B$65808&amp;[2]Sheet1!$D$1:$D$65808&amp;[2]Sheet1!$E$1:$E$65808,0),MATCH(H23,[2]Sheet1!$F$1:$AF$1,0))</f>
        <v>50/钳工</v>
      </c>
      <c r="J23" s="3">
        <v>2</v>
      </c>
      <c r="K23" s="3">
        <v>2</v>
      </c>
      <c r="L23" s="19">
        <v>8</v>
      </c>
      <c r="M23" s="19">
        <v>8</v>
      </c>
      <c r="N23" s="5" t="s">
        <v>112</v>
      </c>
      <c r="O23" s="4"/>
      <c r="P23" s="18">
        <f t="array" ref="P23">IFERROR(INDEX([2]Sheet1!$F$1:$AF$65808,MATCH($D23&amp;$G23&amp;P$1,[2]Sheet1!$B$1:$B$65808&amp;[2]Sheet1!$D$1:$D$65808&amp;[2]Sheet1!$E$1:$E$65808,0),MATCH($H23,[2]Sheet1!$F$1:$AF$1,0)),0)</f>
        <v>50</v>
      </c>
      <c r="Q23" s="3"/>
      <c r="R23" s="6"/>
      <c r="S23" s="22"/>
      <c r="U23" s="23">
        <f t="shared" si="0"/>
        <v>1.7</v>
      </c>
      <c r="V23" s="3" t="s">
        <v>9</v>
      </c>
    </row>
    <row r="24" spans="1:22" ht="23.1" hidden="1" customHeight="1" x14ac:dyDescent="0.25">
      <c r="A24" s="1" t="s">
        <v>109</v>
      </c>
      <c r="D24" s="3" t="s">
        <v>113</v>
      </c>
      <c r="E24" s="15" t="s">
        <v>55</v>
      </c>
      <c r="F24" s="15" t="str">
        <f>+VLOOKUP(D24,[1]Sheet1!$D$2:$E$29166,2,0)</f>
        <v>接头</v>
      </c>
      <c r="G24" s="3" t="s">
        <v>114</v>
      </c>
      <c r="H24" s="3">
        <v>35</v>
      </c>
      <c r="I24" s="18" t="str">
        <f t="array" ref="I24">INDEX([2]Sheet1!$F$1:$AF$65808,MATCH(D24&amp;G24&amp;I$1,[2]Sheet1!$B$1:$B$65808&amp;[2]Sheet1!$D$1:$D$65808&amp;[2]Sheet1!$E$1:$E$65808,0),MATCH(H24,[2]Sheet1!$F$1:$AF$1,0))</f>
        <v>35/钳工</v>
      </c>
      <c r="J24" s="3">
        <v>21</v>
      </c>
      <c r="K24" s="3">
        <v>21</v>
      </c>
      <c r="L24" s="19">
        <v>8</v>
      </c>
      <c r="M24" s="19">
        <v>8</v>
      </c>
      <c r="N24" s="5" t="s">
        <v>115</v>
      </c>
      <c r="O24" s="4"/>
      <c r="P24" s="18" t="str">
        <f t="array" ref="P24">IFERROR(INDEX([2]Sheet1!$F$1:$AF$65808,MATCH($D24&amp;$G24&amp;P$1,[2]Sheet1!$B$1:$B$65808&amp;[2]Sheet1!$D$1:$D$65808&amp;[2]Sheet1!$E$1:$E$65808,0),MATCH($H24,[2]Sheet1!$F$1:$AF$1,0)),0)</f>
        <v>20</v>
      </c>
      <c r="Q24" s="3"/>
      <c r="R24" s="6"/>
      <c r="S24" s="22"/>
      <c r="U24" s="23">
        <f t="shared" si="0"/>
        <v>7</v>
      </c>
      <c r="V24" s="3" t="s">
        <v>9</v>
      </c>
    </row>
    <row r="25" spans="1:22" ht="23.1" hidden="1" customHeight="1" x14ac:dyDescent="0.25">
      <c r="A25" s="1" t="s">
        <v>116</v>
      </c>
      <c r="D25" s="3" t="s">
        <v>117</v>
      </c>
      <c r="E25" s="15" t="s">
        <v>118</v>
      </c>
      <c r="F25" s="15" t="str">
        <f>+VLOOKUP(D25,[1]Sheet1!$D$2:$E$29166,2,0)</f>
        <v>20-28变径直通接头</v>
      </c>
      <c r="G25" s="3" t="s">
        <v>46</v>
      </c>
      <c r="H25" s="3">
        <v>10</v>
      </c>
      <c r="I25" s="18" t="str">
        <f t="array" ref="I25">INDEX([2]Sheet1!$F$1:$AF$65808,MATCH(D25&amp;G25&amp;I$1,[2]Sheet1!$B$1:$B$65808&amp;[2]Sheet1!$D$1:$D$65808&amp;[2]Sheet1!$E$1:$E$65808,0),MATCH(H25,[2]Sheet1!$F$1:$AF$1,0))</f>
        <v>10/钳毛刺</v>
      </c>
      <c r="J25" s="3">
        <v>20</v>
      </c>
      <c r="K25" s="3">
        <v>20</v>
      </c>
      <c r="L25" s="19">
        <v>8</v>
      </c>
      <c r="M25" s="19">
        <v>8</v>
      </c>
      <c r="N25" s="5" t="s">
        <v>88</v>
      </c>
      <c r="O25" s="4"/>
      <c r="P25" s="18">
        <f t="array" ref="P25">IFERROR(INDEX([2]Sheet1!$F$1:$AF$65808,MATCH($D25&amp;$G25&amp;P$1,[2]Sheet1!$B$1:$B$65808&amp;[2]Sheet1!$D$1:$D$65808&amp;[2]Sheet1!$E$1:$E$65808,0),MATCH($H25,[2]Sheet1!$F$1:$AF$1,0)),0)</f>
        <v>10</v>
      </c>
      <c r="Q25" s="3"/>
      <c r="R25" s="6"/>
      <c r="S25" s="22"/>
      <c r="U25" s="23">
        <f t="shared" si="0"/>
        <v>3.3</v>
      </c>
      <c r="V25" s="3" t="s">
        <v>9</v>
      </c>
    </row>
    <row r="26" spans="1:22" ht="23.1" hidden="1" customHeight="1" x14ac:dyDescent="0.25">
      <c r="A26" s="1" t="s">
        <v>116</v>
      </c>
      <c r="D26" s="3" t="s">
        <v>119</v>
      </c>
      <c r="E26" s="15" t="s">
        <v>120</v>
      </c>
      <c r="F26" s="15" t="str">
        <f>+VLOOKUP(D26,[1]Sheet1!$D$2:$E$29166,2,0)</f>
        <v>支架</v>
      </c>
      <c r="G26" s="3" t="s">
        <v>80</v>
      </c>
      <c r="H26" s="3">
        <v>25</v>
      </c>
      <c r="I26" s="18" t="str">
        <f t="array" ref="I26">INDEX([2]Sheet1!$F$1:$AF$65808,MATCH(D26&amp;G26&amp;I$1,[2]Sheet1!$B$1:$B$65808&amp;[2]Sheet1!$D$1:$D$65808&amp;[2]Sheet1!$E$1:$E$65808,0),MATCH(H26,[2]Sheet1!$F$1:$AF$1,0))</f>
        <v>25钳工</v>
      </c>
      <c r="J26" s="3">
        <v>4</v>
      </c>
      <c r="K26" s="3">
        <v>4</v>
      </c>
      <c r="L26" s="19">
        <v>8</v>
      </c>
      <c r="M26" s="19">
        <v>8</v>
      </c>
      <c r="N26" s="5" t="s">
        <v>81</v>
      </c>
      <c r="O26" s="4"/>
      <c r="P26" s="18">
        <f t="array" ref="P26">IFERROR(INDEX([2]Sheet1!$F$1:$AF$65808,MATCH($D26&amp;$G26&amp;P$1,[2]Sheet1!$B$1:$B$65808&amp;[2]Sheet1!$D$1:$D$65808&amp;[2]Sheet1!$E$1:$E$65808,0),MATCH($H26,[2]Sheet1!$F$1:$AF$1,0)),0)</f>
        <v>45</v>
      </c>
      <c r="Q26" s="3"/>
      <c r="R26" s="6"/>
      <c r="S26" s="22"/>
      <c r="U26" s="23">
        <f t="shared" si="0"/>
        <v>3</v>
      </c>
      <c r="V26" s="3" t="s">
        <v>9</v>
      </c>
    </row>
    <row r="27" spans="1:22" ht="23.1" hidden="1" customHeight="1" x14ac:dyDescent="0.25">
      <c r="A27" s="1" t="s">
        <v>121</v>
      </c>
      <c r="D27" s="3" t="s">
        <v>122</v>
      </c>
      <c r="E27" s="15" t="s">
        <v>123</v>
      </c>
      <c r="F27" s="15" t="str">
        <f>+VLOOKUP(D27,[1]Sheet1!$D$2:$E$29166,2,0)</f>
        <v>9350-11140左侧上梁</v>
      </c>
      <c r="G27" s="3" t="s">
        <v>64</v>
      </c>
      <c r="H27" s="3">
        <v>40</v>
      </c>
      <c r="I27" s="18" t="e">
        <f t="array" ref="I27">INDEX([2]Sheet1!$F$1:$AF$65808,MATCH(D27&amp;G27&amp;I$1,[2]Sheet1!$B$1:$B$65808&amp;[2]Sheet1!$D$1:$D$65808&amp;[2]Sheet1!$E$1:$E$65808,0),MATCH(H27,[2]Sheet1!$F$1:$AF$1,0))</f>
        <v>#N/A</v>
      </c>
      <c r="J27" s="3">
        <v>4</v>
      </c>
      <c r="K27" s="3">
        <v>4</v>
      </c>
      <c r="L27" s="19">
        <v>8</v>
      </c>
      <c r="M27" s="19">
        <v>8</v>
      </c>
      <c r="N27" s="5" t="s">
        <v>124</v>
      </c>
      <c r="O27" s="4"/>
      <c r="P27" s="18">
        <v>1440</v>
      </c>
      <c r="Q27" s="3"/>
      <c r="R27" s="6"/>
      <c r="S27" s="22"/>
      <c r="U27" s="23">
        <f t="shared" si="0"/>
        <v>96</v>
      </c>
      <c r="V27" s="24" t="s">
        <v>1</v>
      </c>
    </row>
    <row r="28" spans="1:22" ht="23.1" hidden="1" customHeight="1" x14ac:dyDescent="0.25">
      <c r="A28" s="1" t="s">
        <v>48</v>
      </c>
      <c r="D28" s="3" t="s">
        <v>125</v>
      </c>
      <c r="E28" s="15" t="s">
        <v>126</v>
      </c>
      <c r="F28" s="15" t="str">
        <f>+VLOOKUP(D28,[1]Sheet1!$D$2:$E$29166,2,0)</f>
        <v>XXXXXXX离心夹具3组合件</v>
      </c>
      <c r="G28" s="3" t="s">
        <v>80</v>
      </c>
      <c r="H28" s="3">
        <v>8</v>
      </c>
      <c r="I28" s="18" t="e">
        <f t="array" ref="I28">INDEX([2]Sheet1!$F$1:$AF$65808,MATCH(D28&amp;G28&amp;I$1,[2]Sheet1!$B$1:$B$65808&amp;[2]Sheet1!$D$1:$D$65808&amp;[2]Sheet1!$E$1:$E$65808,0),MATCH(H28,[2]Sheet1!$F$1:$AF$1,0))</f>
        <v>#N/A</v>
      </c>
      <c r="J28" s="3">
        <v>2</v>
      </c>
      <c r="K28" s="3">
        <v>2</v>
      </c>
      <c r="L28" s="19">
        <v>8</v>
      </c>
      <c r="M28" s="19">
        <v>8</v>
      </c>
      <c r="N28" s="5" t="s">
        <v>127</v>
      </c>
      <c r="O28" s="4"/>
      <c r="P28" s="18">
        <v>60</v>
      </c>
      <c r="Q28" s="3"/>
      <c r="R28" s="6"/>
      <c r="S28" s="22"/>
      <c r="U28" s="23">
        <f t="shared" si="0"/>
        <v>2</v>
      </c>
      <c r="V28" s="24" t="s">
        <v>0</v>
      </c>
    </row>
    <row r="29" spans="1:22" ht="23.1" hidden="1" customHeight="1" x14ac:dyDescent="0.25">
      <c r="A29" s="1" t="s">
        <v>53</v>
      </c>
      <c r="D29" s="3" t="s">
        <v>128</v>
      </c>
      <c r="E29" s="15" t="s">
        <v>129</v>
      </c>
      <c r="F29" s="15" t="str">
        <f>+VLOOKUP(D29,[1]Sheet1!$D$2:$E$29166,2,0)</f>
        <v>8635右隔框</v>
      </c>
      <c r="G29" s="3" t="s">
        <v>114</v>
      </c>
      <c r="H29" s="3">
        <v>35</v>
      </c>
      <c r="I29" s="18" t="str">
        <f t="array" ref="I29">INDEX([2]Sheet1!$F$1:$AF$65808,MATCH(D29&amp;G29&amp;I$1,[2]Sheet1!$B$1:$B$65808&amp;[2]Sheet1!$D$1:$D$65808&amp;[2]Sheet1!$E$1:$E$65808,0),MATCH(H29,[2]Sheet1!$F$1:$AF$1,0))</f>
        <v>35/钳工</v>
      </c>
      <c r="J29" s="3">
        <v>3</v>
      </c>
      <c r="K29" s="3">
        <v>3</v>
      </c>
      <c r="L29" s="19">
        <v>8</v>
      </c>
      <c r="M29" s="19">
        <v>8</v>
      </c>
      <c r="N29" s="5" t="s">
        <v>130</v>
      </c>
      <c r="O29" s="4"/>
      <c r="P29" s="18">
        <f t="array" ref="P29">IFERROR(INDEX([2]Sheet1!$F$1:$AF$65808,MATCH($D29&amp;$G29&amp;P$1,[2]Sheet1!$B$1:$B$65808&amp;[2]Sheet1!$D$1:$D$65808&amp;[2]Sheet1!$E$1:$E$65808,0),MATCH($H29,[2]Sheet1!$F$1:$AF$1,0)),0)</f>
        <v>120</v>
      </c>
      <c r="Q29" s="3"/>
      <c r="R29" s="6"/>
      <c r="S29" s="22"/>
      <c r="U29" s="23">
        <f t="shared" si="0"/>
        <v>6</v>
      </c>
      <c r="V29" s="24" t="s">
        <v>0</v>
      </c>
    </row>
    <row r="30" spans="1:22" ht="23.1" hidden="1" customHeight="1" x14ac:dyDescent="0.25">
      <c r="A30" s="1" t="s">
        <v>53</v>
      </c>
      <c r="D30" s="3" t="s">
        <v>131</v>
      </c>
      <c r="E30" s="15" t="s">
        <v>132</v>
      </c>
      <c r="F30" s="15" t="str">
        <f>+VLOOKUP(D30,[1]Sheet1!$D$2:$E$29166,2,0)</f>
        <v>后隔框</v>
      </c>
      <c r="G30" s="3" t="s">
        <v>133</v>
      </c>
      <c r="H30" s="3">
        <v>45</v>
      </c>
      <c r="I30" s="18" t="str">
        <f t="array" ref="I30">INDEX([2]Sheet1!$F$1:$AF$65808,MATCH(D30&amp;G30&amp;I$1,[2]Sheet1!$B$1:$B$65808&amp;[2]Sheet1!$D$1:$D$65808&amp;[2]Sheet1!$E$1:$E$65808,0),MATCH(H30,[2]Sheet1!$F$1:$AF$1,0))</f>
        <v>45/钳钻孔</v>
      </c>
      <c r="J30" s="3">
        <v>1</v>
      </c>
      <c r="K30" s="3">
        <v>1</v>
      </c>
      <c r="L30" s="19">
        <v>8</v>
      </c>
      <c r="M30" s="19">
        <v>8</v>
      </c>
      <c r="N30" s="5" t="s">
        <v>134</v>
      </c>
      <c r="O30" s="4"/>
      <c r="P30" s="18">
        <v>960</v>
      </c>
      <c r="Q30" s="3"/>
      <c r="R30" s="6"/>
      <c r="S30" s="22"/>
      <c r="U30" s="23">
        <f t="shared" si="0"/>
        <v>16</v>
      </c>
      <c r="V30" s="24" t="s">
        <v>1</v>
      </c>
    </row>
    <row r="31" spans="1:22" ht="23.1" hidden="1" customHeight="1" x14ac:dyDescent="0.25">
      <c r="A31" s="1" t="s">
        <v>53</v>
      </c>
      <c r="D31" s="3" t="s">
        <v>135</v>
      </c>
      <c r="E31" s="15" t="s">
        <v>136</v>
      </c>
      <c r="F31" s="15" t="str">
        <f>+VLOOKUP(D31,[1]Sheet1!$D$2:$E$29166,2,0)</f>
        <v>密封圈3</v>
      </c>
      <c r="H31" s="3">
        <v>35</v>
      </c>
      <c r="I31" s="18" t="e">
        <f t="array" ref="I31">INDEX([2]Sheet1!$F$1:$AF$65808,MATCH(D31&amp;G31&amp;I$1,[2]Sheet1!$B$1:$B$65808&amp;[2]Sheet1!$D$1:$D$65808&amp;[2]Sheet1!$E$1:$E$65808,0),MATCH(H31,[2]Sheet1!$F$1:$AF$1,0))</f>
        <v>#N/A</v>
      </c>
      <c r="J31" s="3">
        <v>2300</v>
      </c>
      <c r="K31" s="3">
        <v>1200</v>
      </c>
      <c r="L31" s="19">
        <v>8</v>
      </c>
      <c r="M31" s="19">
        <v>8</v>
      </c>
      <c r="N31" s="5" t="s">
        <v>137</v>
      </c>
      <c r="O31" s="4"/>
      <c r="P31" s="18">
        <v>15</v>
      </c>
      <c r="Q31" s="3"/>
      <c r="R31" s="6"/>
      <c r="S31" s="22"/>
      <c r="U31" s="23">
        <f t="shared" si="0"/>
        <v>300</v>
      </c>
      <c r="V31" s="24" t="s">
        <v>0</v>
      </c>
    </row>
    <row r="32" spans="1:22" ht="23.1" hidden="1" customHeight="1" x14ac:dyDescent="0.25">
      <c r="A32" s="1" t="s">
        <v>65</v>
      </c>
      <c r="D32" s="3" t="s">
        <v>138</v>
      </c>
      <c r="E32" s="15" t="s">
        <v>139</v>
      </c>
      <c r="F32" s="15" t="str">
        <f>+VLOOKUP(D32,[1]Sheet1!$D$2:$E$29166,2,0)</f>
        <v>8635左隔框</v>
      </c>
      <c r="G32" s="3" t="s">
        <v>114</v>
      </c>
      <c r="H32" s="3">
        <v>35</v>
      </c>
      <c r="I32" s="18" t="str">
        <f t="array" ref="I32">INDEX([2]Sheet1!$F$1:$AF$65808,MATCH(D32&amp;G32&amp;I$1,[2]Sheet1!$B$1:$B$65808&amp;[2]Sheet1!$D$1:$D$65808&amp;[2]Sheet1!$E$1:$E$65808,0),MATCH(H32,[2]Sheet1!$F$1:$AF$1,0))</f>
        <v>35/钳工</v>
      </c>
      <c r="J32" s="3">
        <v>3</v>
      </c>
      <c r="K32" s="3">
        <v>3</v>
      </c>
      <c r="L32" s="19">
        <v>8</v>
      </c>
      <c r="M32" s="19">
        <v>8</v>
      </c>
      <c r="N32" s="5" t="s">
        <v>140</v>
      </c>
      <c r="O32" s="4"/>
      <c r="P32" s="18">
        <f t="array" ref="P32">IFERROR(INDEX([2]Sheet1!$F$1:$AF$65808,MATCH($D32&amp;$G32&amp;P$1,[2]Sheet1!$B$1:$B$65808&amp;[2]Sheet1!$D$1:$D$65808&amp;[2]Sheet1!$E$1:$E$65808,0),MATCH($H32,[2]Sheet1!$F$1:$AF$1,0)),0)</f>
        <v>120</v>
      </c>
      <c r="Q32" s="3"/>
      <c r="R32" s="6"/>
      <c r="S32" s="22"/>
      <c r="U32" s="23">
        <f t="shared" si="0"/>
        <v>6</v>
      </c>
      <c r="V32" s="24" t="s">
        <v>0</v>
      </c>
    </row>
    <row r="33" spans="1:23" ht="23.1" hidden="1" customHeight="1" x14ac:dyDescent="0.25">
      <c r="A33" s="1" t="s">
        <v>65</v>
      </c>
      <c r="D33" s="3" t="s">
        <v>128</v>
      </c>
      <c r="E33" s="15" t="s">
        <v>129</v>
      </c>
      <c r="F33" s="15" t="str">
        <f>+VLOOKUP(D33,[1]Sheet1!$D$2:$E$29166,2,0)</f>
        <v>8635右隔框</v>
      </c>
      <c r="G33" s="3" t="s">
        <v>114</v>
      </c>
      <c r="H33" s="3">
        <v>45</v>
      </c>
      <c r="I33" s="18" t="str">
        <f t="array" ref="I33">INDEX([2]Sheet1!$F$1:$AF$65808,MATCH(D33&amp;G33&amp;I$1,[2]Sheet1!$B$1:$B$65808&amp;[2]Sheet1!$D$1:$D$65808&amp;[2]Sheet1!$E$1:$E$65808,0),MATCH(H33,[2]Sheet1!$F$1:$AF$1,0))</f>
        <v>45/钳工</v>
      </c>
      <c r="J33" s="3">
        <v>3</v>
      </c>
      <c r="K33" s="3">
        <v>3</v>
      </c>
      <c r="L33" s="19">
        <v>30</v>
      </c>
      <c r="M33" s="19">
        <v>30</v>
      </c>
      <c r="N33" s="5" t="s">
        <v>130</v>
      </c>
      <c r="O33" s="4"/>
      <c r="P33" s="18">
        <f t="array" ref="P33">IFERROR(INDEX([2]Sheet1!$F$1:$AF$65808,MATCH($D33&amp;$G33&amp;P$1,[2]Sheet1!$B$1:$B$65808&amp;[2]Sheet1!$D$1:$D$65808&amp;[2]Sheet1!$E$1:$E$65808,0),MATCH($H33,[2]Sheet1!$F$1:$AF$1,0)),0)</f>
        <v>480</v>
      </c>
      <c r="Q33" s="3"/>
      <c r="R33" s="6"/>
      <c r="S33" s="22"/>
      <c r="U33" s="23">
        <f t="shared" si="0"/>
        <v>24</v>
      </c>
      <c r="V33" s="24" t="s">
        <v>0</v>
      </c>
    </row>
    <row r="34" spans="1:23" ht="23.1" hidden="1" customHeight="1" x14ac:dyDescent="0.25">
      <c r="A34" s="1" t="s">
        <v>71</v>
      </c>
      <c r="D34" s="3" t="s">
        <v>138</v>
      </c>
      <c r="E34" s="15" t="s">
        <v>139</v>
      </c>
      <c r="F34" s="15" t="str">
        <f>+VLOOKUP(D34,[1]Sheet1!$D$2:$E$29166,2,0)</f>
        <v>8635左隔框</v>
      </c>
      <c r="G34" s="3" t="s">
        <v>114</v>
      </c>
      <c r="H34" s="3">
        <v>45</v>
      </c>
      <c r="I34" s="18" t="str">
        <f t="array" ref="I34">INDEX([2]Sheet1!$F$1:$AF$65808,MATCH(D34&amp;G34&amp;I$1,[2]Sheet1!$B$1:$B$65808&amp;[2]Sheet1!$D$1:$D$65808&amp;[2]Sheet1!$E$1:$E$65808,0),MATCH(H34,[2]Sheet1!$F$1:$AF$1,0))</f>
        <v>45/钳工</v>
      </c>
      <c r="J34" s="3">
        <v>3</v>
      </c>
      <c r="K34" s="3">
        <v>3</v>
      </c>
      <c r="L34" s="19">
        <v>30</v>
      </c>
      <c r="M34" s="19">
        <v>30</v>
      </c>
      <c r="N34" s="5" t="s">
        <v>140</v>
      </c>
      <c r="O34" s="4"/>
      <c r="P34" s="18">
        <f t="array" ref="P34">IFERROR(INDEX([2]Sheet1!$F$1:$AF$65808,MATCH($D34&amp;$G34&amp;P$1,[2]Sheet1!$B$1:$B$65808&amp;[2]Sheet1!$D$1:$D$65808&amp;[2]Sheet1!$E$1:$E$65808,0),MATCH($H34,[2]Sheet1!$F$1:$AF$1,0)),0)</f>
        <v>480</v>
      </c>
      <c r="Q34" s="3"/>
      <c r="R34" s="6"/>
      <c r="S34" s="22"/>
      <c r="U34" s="23">
        <f t="shared" si="0"/>
        <v>24</v>
      </c>
      <c r="V34" s="24" t="s">
        <v>0</v>
      </c>
    </row>
    <row r="35" spans="1:23" ht="23.1" hidden="1" customHeight="1" x14ac:dyDescent="0.25">
      <c r="A35" s="1" t="s">
        <v>71</v>
      </c>
      <c r="D35" s="3" t="s">
        <v>122</v>
      </c>
      <c r="E35" s="15" t="s">
        <v>123</v>
      </c>
      <c r="F35" s="15" t="str">
        <f>+VLOOKUP(D35,[1]Sheet1!$D$2:$E$29166,2,0)</f>
        <v>9350-11140左侧上梁</v>
      </c>
      <c r="G35" s="3" t="s">
        <v>64</v>
      </c>
      <c r="H35" s="3">
        <v>50</v>
      </c>
      <c r="I35" s="18" t="e">
        <f t="array" ref="I35">INDEX([2]Sheet1!$F$1:$AF$65808,MATCH(D35&amp;G35&amp;I$1,[2]Sheet1!$B$1:$B$65808&amp;[2]Sheet1!$D$1:$D$65808&amp;[2]Sheet1!$E$1:$E$65808,0),MATCH(H35,[2]Sheet1!$F$1:$AF$1,0))</f>
        <v>#N/A</v>
      </c>
      <c r="J35" s="3">
        <v>1</v>
      </c>
      <c r="K35" s="3">
        <v>1</v>
      </c>
      <c r="L35" s="19">
        <v>8</v>
      </c>
      <c r="M35" s="19">
        <v>8</v>
      </c>
      <c r="N35" s="5" t="s">
        <v>141</v>
      </c>
      <c r="O35" s="4"/>
      <c r="P35" s="18">
        <v>1440</v>
      </c>
      <c r="Q35" s="3"/>
      <c r="R35" s="6"/>
      <c r="S35" s="22"/>
      <c r="U35" s="23">
        <f t="shared" si="0"/>
        <v>24</v>
      </c>
      <c r="V35" s="24" t="s">
        <v>1</v>
      </c>
    </row>
    <row r="36" spans="1:23" ht="23.1" hidden="1" customHeight="1" x14ac:dyDescent="0.25">
      <c r="A36" s="1" t="s">
        <v>82</v>
      </c>
      <c r="D36" s="3" t="s">
        <v>122</v>
      </c>
      <c r="E36" s="15" t="s">
        <v>123</v>
      </c>
      <c r="F36" s="15" t="str">
        <f>+VLOOKUP(D36,[1]Sheet1!$D$2:$E$29166,2,0)</f>
        <v>9350-11140左侧上梁</v>
      </c>
      <c r="G36" s="3" t="s">
        <v>64</v>
      </c>
      <c r="H36" s="3">
        <v>50</v>
      </c>
      <c r="I36" s="18" t="e">
        <f t="array" ref="I36">INDEX([2]Sheet1!$F$1:$AF$65808,MATCH(D36&amp;G36&amp;I$1,[2]Sheet1!$B$1:$B$65808&amp;[2]Sheet1!$D$1:$D$65808&amp;[2]Sheet1!$E$1:$E$65808,0),MATCH(H36,[2]Sheet1!$F$1:$AF$1,0))</f>
        <v>#N/A</v>
      </c>
      <c r="J36" s="3">
        <v>1</v>
      </c>
      <c r="K36" s="3">
        <v>1</v>
      </c>
      <c r="L36" s="19">
        <v>8</v>
      </c>
      <c r="M36" s="19">
        <v>8</v>
      </c>
      <c r="N36" s="5" t="s">
        <v>142</v>
      </c>
      <c r="O36" s="4"/>
      <c r="P36" s="18">
        <v>1440</v>
      </c>
      <c r="Q36" s="3"/>
      <c r="R36" s="6"/>
      <c r="S36" s="22"/>
      <c r="U36" s="23">
        <f t="shared" si="0"/>
        <v>24</v>
      </c>
      <c r="V36" s="24" t="s">
        <v>1</v>
      </c>
    </row>
    <row r="37" spans="1:23" ht="23.1" hidden="1" customHeight="1" x14ac:dyDescent="0.25">
      <c r="A37" s="1" t="s">
        <v>89</v>
      </c>
      <c r="D37" s="3" t="s">
        <v>131</v>
      </c>
      <c r="E37" s="15" t="s">
        <v>132</v>
      </c>
      <c r="F37" s="15" t="str">
        <f>+VLOOKUP(D37,[1]Sheet1!$D$2:$E$29166,2,0)</f>
        <v>后隔框</v>
      </c>
      <c r="G37" s="3" t="s">
        <v>133</v>
      </c>
      <c r="H37" s="3">
        <v>45</v>
      </c>
      <c r="I37" s="18" t="str">
        <f t="array" ref="I37">INDEX([2]Sheet1!$F$1:$AF$65808,MATCH(D37&amp;G37&amp;I$1,[2]Sheet1!$B$1:$B$65808&amp;[2]Sheet1!$D$1:$D$65808&amp;[2]Sheet1!$E$1:$E$65808,0),MATCH(H37,[2]Sheet1!$F$1:$AF$1,0))</f>
        <v>45/钳钻孔</v>
      </c>
      <c r="J37" s="3">
        <v>1</v>
      </c>
      <c r="K37" s="3">
        <v>1</v>
      </c>
      <c r="L37" s="19">
        <v>8</v>
      </c>
      <c r="M37" s="19">
        <v>8</v>
      </c>
      <c r="N37" s="5" t="s">
        <v>143</v>
      </c>
      <c r="O37" s="4"/>
      <c r="P37" s="18">
        <v>960</v>
      </c>
      <c r="Q37" s="3"/>
      <c r="R37" s="6"/>
      <c r="S37" s="22"/>
      <c r="U37" s="23">
        <f t="shared" si="0"/>
        <v>16</v>
      </c>
      <c r="V37" s="24" t="s">
        <v>1</v>
      </c>
    </row>
    <row r="38" spans="1:23" ht="23.1" hidden="1" customHeight="1" x14ac:dyDescent="0.25">
      <c r="A38" s="1" t="s">
        <v>144</v>
      </c>
      <c r="D38" s="3" t="s">
        <v>145</v>
      </c>
      <c r="E38" s="15" t="s">
        <v>146</v>
      </c>
      <c r="F38" s="15" t="str">
        <f>+VLOOKUP(D38,[1]Sheet1!$D$2:$E$29166,2,0)</f>
        <v>8270侧隔框</v>
      </c>
      <c r="G38" s="3" t="s">
        <v>147</v>
      </c>
      <c r="H38" s="3">
        <v>75</v>
      </c>
      <c r="I38" s="18" t="str">
        <f t="array" ref="I38">INDEX([2]Sheet1!$F$1:$AF$65808,MATCH(D38&amp;G38&amp;I$1,[2]Sheet1!$B$1:$B$65808&amp;[2]Sheet1!$D$1:$D$65808&amp;[2]Sheet1!$E$1:$E$65808,0),MATCH(H38,[2]Sheet1!$F$1:$AF$1,0))</f>
        <v>75/钳工</v>
      </c>
      <c r="J38" s="3">
        <v>3</v>
      </c>
      <c r="K38" s="3">
        <v>3</v>
      </c>
      <c r="L38" s="19">
        <v>13</v>
      </c>
      <c r="M38" s="19">
        <v>13</v>
      </c>
      <c r="N38" s="5" t="s">
        <v>148</v>
      </c>
      <c r="O38" s="4"/>
      <c r="P38" s="18">
        <f t="array" ref="P38">IFERROR(INDEX([2]Sheet1!$F$1:$AF$65808,MATCH($D38&amp;$G38&amp;P$1,[2]Sheet1!$B$1:$B$65808&amp;[2]Sheet1!$D$1:$D$65808&amp;[2]Sheet1!$E$1:$E$65808,0),MATCH($H38,[2]Sheet1!$F$1:$AF$1,0)),0)</f>
        <v>600</v>
      </c>
      <c r="Q38" s="3"/>
      <c r="R38" s="6"/>
      <c r="S38" s="22"/>
      <c r="U38" s="23">
        <f t="shared" si="0"/>
        <v>30</v>
      </c>
      <c r="V38" s="24" t="s">
        <v>0</v>
      </c>
    </row>
    <row r="39" spans="1:23" ht="23.1" hidden="1" customHeight="1" x14ac:dyDescent="0.25">
      <c r="A39" s="1" t="s">
        <v>144</v>
      </c>
      <c r="D39" s="3" t="s">
        <v>149</v>
      </c>
      <c r="E39" s="15" t="s">
        <v>146</v>
      </c>
      <c r="F39" s="15" t="str">
        <f>+VLOOKUP(D39,[1]Sheet1!$D$2:$E$29166,2,0)</f>
        <v>8270侧隔框</v>
      </c>
      <c r="G39" s="3" t="s">
        <v>147</v>
      </c>
      <c r="H39" s="3">
        <v>75</v>
      </c>
      <c r="I39" s="18" t="str">
        <f t="array" ref="I39">INDEX([2]Sheet1!$F$1:$AF$65808,MATCH(D39&amp;G39&amp;I$1,[2]Sheet1!$B$1:$B$65808&amp;[2]Sheet1!$D$1:$D$65808&amp;[2]Sheet1!$E$1:$E$65808,0),MATCH(H39,[2]Sheet1!$F$1:$AF$1,0))</f>
        <v>75/钳工</v>
      </c>
      <c r="J39" s="3">
        <v>3</v>
      </c>
      <c r="K39" s="3">
        <v>3</v>
      </c>
      <c r="L39" s="19">
        <v>8</v>
      </c>
      <c r="M39" s="19">
        <v>8</v>
      </c>
      <c r="N39" s="5" t="s">
        <v>148</v>
      </c>
      <c r="O39" s="4"/>
      <c r="P39" s="18">
        <f t="array" ref="P39">IFERROR(INDEX([2]Sheet1!$F$1:$AF$65808,MATCH($D39&amp;$G39&amp;P$1,[2]Sheet1!$B$1:$B$65808&amp;[2]Sheet1!$D$1:$D$65808&amp;[2]Sheet1!$E$1:$E$65808,0),MATCH($H39,[2]Sheet1!$F$1:$AF$1,0)),0)</f>
        <v>600</v>
      </c>
      <c r="Q39" s="3"/>
      <c r="R39" s="6"/>
      <c r="S39" s="22"/>
      <c r="U39" s="23">
        <f t="shared" si="0"/>
        <v>30</v>
      </c>
      <c r="V39" s="24" t="s">
        <v>0</v>
      </c>
    </row>
    <row r="40" spans="1:23" ht="23.1" hidden="1" customHeight="1" x14ac:dyDescent="0.25">
      <c r="A40" s="1" t="s">
        <v>144</v>
      </c>
      <c r="D40" s="3" t="s">
        <v>145</v>
      </c>
      <c r="E40" s="15" t="s">
        <v>146</v>
      </c>
      <c r="F40" s="15" t="str">
        <f>+VLOOKUP(D40,[1]Sheet1!$D$2:$E$29166,2,0)</f>
        <v>8270侧隔框</v>
      </c>
      <c r="G40" s="3" t="s">
        <v>147</v>
      </c>
      <c r="H40" s="3">
        <v>55</v>
      </c>
      <c r="I40" s="18" t="str">
        <f t="array" ref="I40">INDEX([2]Sheet1!$F$1:$AF$65808,MATCH(D40&amp;G40&amp;I$1,[2]Sheet1!$B$1:$B$65808&amp;[2]Sheet1!$D$1:$D$65808&amp;[2]Sheet1!$E$1:$E$65808,0),MATCH(H40,[2]Sheet1!$F$1:$AF$1,0))</f>
        <v>55/钳工</v>
      </c>
      <c r="J40" s="3">
        <v>5</v>
      </c>
      <c r="K40" s="3">
        <v>5</v>
      </c>
      <c r="L40" s="19">
        <v>30</v>
      </c>
      <c r="M40" s="19">
        <v>30</v>
      </c>
      <c r="N40" s="5" t="s">
        <v>150</v>
      </c>
      <c r="O40" s="4"/>
      <c r="P40" s="18">
        <f t="array" ref="P40">IFERROR(INDEX([2]Sheet1!$F$1:$AF$65808,MATCH($D40&amp;$G40&amp;P$1,[2]Sheet1!$B$1:$B$65808&amp;[2]Sheet1!$D$1:$D$65808&amp;[2]Sheet1!$E$1:$E$65808,0),MATCH($H40,[2]Sheet1!$F$1:$AF$1,0)),0)</f>
        <v>120</v>
      </c>
      <c r="Q40" s="3"/>
      <c r="R40" s="6"/>
      <c r="S40" s="22"/>
      <c r="U40" s="23">
        <f t="shared" si="0"/>
        <v>10</v>
      </c>
      <c r="V40" s="24" t="s">
        <v>0</v>
      </c>
    </row>
    <row r="41" spans="1:23" ht="23.1" hidden="1" customHeight="1" x14ac:dyDescent="0.25">
      <c r="A41" s="1" t="s">
        <v>144</v>
      </c>
      <c r="D41" s="3" t="s">
        <v>149</v>
      </c>
      <c r="E41" s="15" t="s">
        <v>146</v>
      </c>
      <c r="F41" s="15" t="str">
        <f>+VLOOKUP(D41,[1]Sheet1!$D$2:$E$29166,2,0)</f>
        <v>8270侧隔框</v>
      </c>
      <c r="G41" s="3" t="s">
        <v>147</v>
      </c>
      <c r="H41" s="3">
        <v>55</v>
      </c>
      <c r="I41" s="18" t="str">
        <f t="array" ref="I41">INDEX([2]Sheet1!$F$1:$AF$65808,MATCH(D41&amp;G41&amp;I$1,[2]Sheet1!$B$1:$B$65808&amp;[2]Sheet1!$D$1:$D$65808&amp;[2]Sheet1!$E$1:$E$65808,0),MATCH(H41,[2]Sheet1!$F$1:$AF$1,0))</f>
        <v>55/钳工</v>
      </c>
      <c r="J41" s="3">
        <v>5</v>
      </c>
      <c r="K41" s="3">
        <v>5</v>
      </c>
      <c r="L41" s="19">
        <v>30</v>
      </c>
      <c r="M41" s="19">
        <v>30</v>
      </c>
      <c r="N41" s="5" t="s">
        <v>150</v>
      </c>
      <c r="O41" s="4"/>
      <c r="P41" s="18">
        <f t="array" ref="P41">IFERROR(INDEX([2]Sheet1!$F$1:$AF$65808,MATCH($D41&amp;$G41&amp;P$1,[2]Sheet1!$B$1:$B$65808&amp;[2]Sheet1!$D$1:$D$65808&amp;[2]Sheet1!$E$1:$E$65808,0),MATCH($H41,[2]Sheet1!$F$1:$AF$1,0)),0)</f>
        <v>120</v>
      </c>
      <c r="Q41" s="3"/>
      <c r="R41" s="6"/>
      <c r="S41" s="22"/>
      <c r="U41" s="23">
        <f t="shared" si="0"/>
        <v>10</v>
      </c>
      <c r="V41" s="24" t="s">
        <v>0</v>
      </c>
    </row>
    <row r="42" spans="1:23" ht="23.1" hidden="1" customHeight="1" x14ac:dyDescent="0.25">
      <c r="A42" s="1" t="s">
        <v>109</v>
      </c>
      <c r="D42" s="3" t="s">
        <v>151</v>
      </c>
      <c r="E42" s="15" t="s">
        <v>152</v>
      </c>
      <c r="F42" s="15" t="str">
        <f>+VLOOKUP(D42,[1]Sheet1!$D$2:$E$29166,2,0)</f>
        <v>衬片</v>
      </c>
      <c r="G42" s="3" t="s">
        <v>80</v>
      </c>
      <c r="H42" s="3">
        <v>8</v>
      </c>
      <c r="I42" s="18" t="e">
        <f t="array" ref="I42">INDEX([2]Sheet1!$F$1:$AF$65808,MATCH(D42&amp;G42&amp;I$1,[2]Sheet1!$B$1:$B$65808&amp;[2]Sheet1!$D$1:$D$65808&amp;[2]Sheet1!$E$1:$E$65808,0),MATCH(H42,[2]Sheet1!$F$1:$AF$1,0))</f>
        <v>#N/A</v>
      </c>
      <c r="J42" s="3">
        <v>2</v>
      </c>
      <c r="K42" s="3">
        <v>2</v>
      </c>
      <c r="L42" s="19">
        <v>8</v>
      </c>
      <c r="M42" s="19">
        <v>8</v>
      </c>
      <c r="N42" s="5" t="s">
        <v>127</v>
      </c>
      <c r="O42" s="4"/>
      <c r="P42" s="18">
        <v>60</v>
      </c>
      <c r="Q42" s="3"/>
      <c r="R42" s="6"/>
      <c r="S42" s="22"/>
      <c r="U42" s="23">
        <f t="shared" si="0"/>
        <v>2</v>
      </c>
      <c r="V42" s="24" t="s">
        <v>0</v>
      </c>
    </row>
    <row r="43" spans="1:23" ht="23.1" hidden="1" customHeight="1" x14ac:dyDescent="0.25">
      <c r="A43" s="1" t="s">
        <v>109</v>
      </c>
      <c r="D43" s="3" t="s">
        <v>153</v>
      </c>
      <c r="E43" s="15" t="s">
        <v>154</v>
      </c>
      <c r="F43" s="15" t="str">
        <f>+VLOOKUP(D43,[1]Sheet1!$D$2:$E$29166,2,0)</f>
        <v>9350-11140右侧上梁</v>
      </c>
      <c r="G43" s="3" t="s">
        <v>155</v>
      </c>
      <c r="H43" s="3">
        <v>45</v>
      </c>
      <c r="I43" s="18" t="str">
        <f t="array" ref="I43">INDEX([2]Sheet1!$F$1:$AF$65808,MATCH(D43&amp;G43&amp;I$1,[2]Sheet1!$B$1:$B$65808&amp;[2]Sheet1!$D$1:$D$65808&amp;[2]Sheet1!$E$1:$E$65808,0),MATCH(H43,[2]Sheet1!$F$1:$AF$1,0))</f>
        <v>35/五轴15</v>
      </c>
      <c r="J43" s="3">
        <v>1</v>
      </c>
      <c r="K43" s="3">
        <v>1</v>
      </c>
      <c r="L43" s="19">
        <v>8</v>
      </c>
      <c r="M43" s="19">
        <v>8</v>
      </c>
      <c r="N43" s="5" t="s">
        <v>156</v>
      </c>
      <c r="O43" s="4"/>
      <c r="P43" s="18">
        <v>1440</v>
      </c>
      <c r="Q43" s="3"/>
      <c r="R43" s="6"/>
      <c r="S43" s="22"/>
      <c r="U43" s="23">
        <f t="shared" si="0"/>
        <v>24</v>
      </c>
      <c r="V43" s="24" t="s">
        <v>1</v>
      </c>
    </row>
    <row r="44" spans="1:23" ht="23.1" hidden="1" customHeight="1" x14ac:dyDescent="0.25">
      <c r="A44" s="1" t="s">
        <v>157</v>
      </c>
      <c r="D44" s="3" t="s">
        <v>158</v>
      </c>
      <c r="E44" s="15" t="s">
        <v>159</v>
      </c>
      <c r="F44" s="15" t="str">
        <f>+VLOOKUP(D44,[1]Sheet1!$D$2:$E$29166,2,0)</f>
        <v>卡接连接件I</v>
      </c>
      <c r="G44" s="3" t="s">
        <v>80</v>
      </c>
      <c r="H44" s="3">
        <v>35</v>
      </c>
      <c r="I44" s="18" t="e">
        <f t="array" ref="I44">INDEX([2]Sheet1!$F$1:$AF$65808,MATCH(D44&amp;G44&amp;I$1,[2]Sheet1!$B$1:$B$65808&amp;[2]Sheet1!$D$1:$D$65808&amp;[2]Sheet1!$E$1:$E$65808,0),MATCH(H44,[2]Sheet1!$F$1:$AF$1,0))</f>
        <v>#N/A</v>
      </c>
      <c r="J44" s="3">
        <v>104</v>
      </c>
      <c r="K44" s="3">
        <v>104</v>
      </c>
      <c r="L44" s="19">
        <v>8</v>
      </c>
      <c r="M44" s="19">
        <v>8</v>
      </c>
      <c r="N44" s="5" t="s">
        <v>160</v>
      </c>
      <c r="O44" s="4"/>
      <c r="P44" s="18">
        <v>15</v>
      </c>
      <c r="Q44" s="3"/>
      <c r="R44" s="6"/>
      <c r="S44" s="22"/>
      <c r="U44" s="23">
        <f t="shared" si="0"/>
        <v>26</v>
      </c>
      <c r="V44" s="24" t="s">
        <v>0</v>
      </c>
    </row>
    <row r="45" spans="1:23" ht="23.1" hidden="1" customHeight="1" x14ac:dyDescent="0.25">
      <c r="A45" s="1" t="s">
        <v>116</v>
      </c>
      <c r="D45" s="3" t="s">
        <v>161</v>
      </c>
      <c r="E45" s="15" t="s">
        <v>162</v>
      </c>
      <c r="F45" s="15" t="str">
        <f>+VLOOKUP(D45,[1]Sheet1!$D$2:$E$29166,2,0)</f>
        <v>卡接连接件II</v>
      </c>
      <c r="G45" s="3" t="s">
        <v>80</v>
      </c>
      <c r="H45" s="3">
        <v>35</v>
      </c>
      <c r="I45" s="18" t="e">
        <f t="array" ref="I45">INDEX([2]Sheet1!$F$1:$AF$65808,MATCH(D45&amp;G45&amp;I$1,[2]Sheet1!$B$1:$B$65808&amp;[2]Sheet1!$D$1:$D$65808&amp;[2]Sheet1!$E$1:$E$65808,0),MATCH(H45,[2]Sheet1!$F$1:$AF$1,0))</f>
        <v>#N/A</v>
      </c>
      <c r="J45" s="3">
        <v>104</v>
      </c>
      <c r="K45" s="3">
        <v>104</v>
      </c>
      <c r="L45" s="19">
        <v>8</v>
      </c>
      <c r="M45" s="19">
        <v>8</v>
      </c>
      <c r="N45" s="5" t="s">
        <v>160</v>
      </c>
      <c r="O45" s="4"/>
      <c r="P45" s="18">
        <v>15</v>
      </c>
      <c r="Q45" s="3"/>
      <c r="R45" s="6"/>
      <c r="S45" s="22"/>
      <c r="U45" s="23">
        <f t="shared" si="0"/>
        <v>26</v>
      </c>
      <c r="V45" s="24" t="s">
        <v>0</v>
      </c>
    </row>
    <row r="46" spans="1:23" ht="23.1" hidden="1" customHeight="1" x14ac:dyDescent="0.25">
      <c r="A46" s="1" t="s">
        <v>121</v>
      </c>
      <c r="D46" s="3" t="s">
        <v>163</v>
      </c>
      <c r="E46" s="15" t="s">
        <v>164</v>
      </c>
      <c r="F46" s="15" t="e">
        <f>+VLOOKUP(D46,[1]Sheet1!$D$2:$E$29166,2,0)</f>
        <v>#N/A</v>
      </c>
      <c r="G46" s="3" t="s">
        <v>80</v>
      </c>
      <c r="H46" s="3">
        <v>10</v>
      </c>
      <c r="I46" s="18" t="e">
        <f t="array" ref="I46">INDEX([2]Sheet1!$F$1:$AF$65808,MATCH(D46&amp;G46&amp;I$1,[2]Sheet1!$B$1:$B$65808&amp;[2]Sheet1!$D$1:$D$65808&amp;[2]Sheet1!$E$1:$E$65808,0),MATCH(H46,[2]Sheet1!$F$1:$AF$1,0))</f>
        <v>#N/A</v>
      </c>
      <c r="J46" s="3">
        <v>18</v>
      </c>
      <c r="K46" s="3">
        <v>20</v>
      </c>
      <c r="L46" s="19">
        <v>8</v>
      </c>
      <c r="M46" s="19">
        <v>8</v>
      </c>
      <c r="N46" s="5" t="s">
        <v>165</v>
      </c>
      <c r="O46" s="4"/>
      <c r="P46" s="18">
        <v>30</v>
      </c>
      <c r="Q46" s="3"/>
      <c r="R46" s="6"/>
      <c r="S46" s="22"/>
      <c r="U46" s="23">
        <f t="shared" si="0"/>
        <v>10</v>
      </c>
      <c r="V46" s="24" t="s">
        <v>8</v>
      </c>
      <c r="W46" s="7" t="s">
        <v>166</v>
      </c>
    </row>
    <row r="47" spans="1:23" ht="23.1" hidden="1" customHeight="1" x14ac:dyDescent="0.25">
      <c r="A47" s="1" t="s">
        <v>121</v>
      </c>
      <c r="D47" s="3" t="s">
        <v>167</v>
      </c>
      <c r="E47" s="15" t="s">
        <v>168</v>
      </c>
      <c r="F47" s="15" t="e">
        <f>+VLOOKUP(D47,[1]Sheet1!$D$2:$E$29166,2,0)</f>
        <v>#N/A</v>
      </c>
      <c r="G47" s="3" t="s">
        <v>80</v>
      </c>
      <c r="H47" s="3">
        <v>10</v>
      </c>
      <c r="I47" s="18" t="e">
        <f t="array" ref="I47">INDEX([2]Sheet1!$F$1:$AF$65808,MATCH(D47&amp;G47&amp;I$1,[2]Sheet1!$B$1:$B$65808&amp;[2]Sheet1!$D$1:$D$65808&amp;[2]Sheet1!$E$1:$E$65808,0),MATCH(H47,[2]Sheet1!$F$1:$AF$1,0))</f>
        <v>#N/A</v>
      </c>
      <c r="J47" s="3">
        <v>18</v>
      </c>
      <c r="K47" s="3">
        <v>20</v>
      </c>
      <c r="L47" s="19">
        <v>8</v>
      </c>
      <c r="M47" s="19">
        <v>8</v>
      </c>
      <c r="N47" s="5" t="s">
        <v>165</v>
      </c>
      <c r="O47" s="4"/>
      <c r="P47" s="18">
        <v>30</v>
      </c>
      <c r="Q47" s="3"/>
      <c r="R47" s="6"/>
      <c r="S47" s="22"/>
      <c r="U47" s="23">
        <f t="shared" si="0"/>
        <v>10</v>
      </c>
      <c r="V47" s="24" t="s">
        <v>8</v>
      </c>
    </row>
    <row r="48" spans="1:23" ht="23.1" hidden="1" customHeight="1" x14ac:dyDescent="0.25">
      <c r="A48" s="1" t="s">
        <v>121</v>
      </c>
      <c r="D48" s="3" t="s">
        <v>169</v>
      </c>
      <c r="E48" s="15" t="s">
        <v>170</v>
      </c>
      <c r="F48" s="15" t="str">
        <f>+VLOOKUP(D48,[1]Sheet1!$D$2:$E$29166,2,0)</f>
        <v>衬套</v>
      </c>
      <c r="G48" s="3" t="s">
        <v>80</v>
      </c>
      <c r="H48" s="3">
        <v>5</v>
      </c>
      <c r="I48" s="18" t="e">
        <f t="array" ref="I48">INDEX([2]Sheet1!$F$1:$AF$65808,MATCH(D48&amp;G48&amp;I$1,[2]Sheet1!$B$1:$B$65808&amp;[2]Sheet1!$D$1:$D$65808&amp;[2]Sheet1!$E$1:$E$65808,0),MATCH(H48,[2]Sheet1!$F$1:$AF$1,0))</f>
        <v>#N/A</v>
      </c>
      <c r="J48" s="3">
        <v>3</v>
      </c>
      <c r="K48" s="3">
        <v>3</v>
      </c>
      <c r="L48" s="19">
        <v>8</v>
      </c>
      <c r="M48" s="19">
        <v>8</v>
      </c>
      <c r="N48" s="5" t="s">
        <v>171</v>
      </c>
      <c r="O48" s="4"/>
      <c r="P48" s="18">
        <v>10</v>
      </c>
      <c r="Q48" s="3"/>
      <c r="R48" s="6"/>
      <c r="S48" s="22"/>
      <c r="U48" s="23">
        <f t="shared" si="0"/>
        <v>0.5</v>
      </c>
      <c r="V48" s="24" t="s">
        <v>8</v>
      </c>
      <c r="W48" s="7" t="s">
        <v>172</v>
      </c>
    </row>
    <row r="49" spans="1:24" ht="23.1" hidden="1" customHeight="1" x14ac:dyDescent="0.25">
      <c r="A49" s="1" t="s">
        <v>48</v>
      </c>
      <c r="D49" s="3" t="s">
        <v>173</v>
      </c>
      <c r="E49" s="15" t="s">
        <v>174</v>
      </c>
      <c r="F49" s="15" t="str">
        <f>+VLOOKUP(D49,[1]Sheet1!$D$2:$E$29166,2,0)</f>
        <v>根肋前段</v>
      </c>
      <c r="G49" s="3" t="s">
        <v>46</v>
      </c>
      <c r="H49" s="3">
        <v>10</v>
      </c>
      <c r="I49" s="18" t="str">
        <f t="array" ref="I49">INDEX([2]Sheet1!$F$1:$AF$65808,MATCH(D49&amp;G49&amp;I$1,[2]Sheet1!$B$1:$B$65808&amp;[2]Sheet1!$D$1:$D$65808&amp;[2]Sheet1!$E$1:$E$65808,0),MATCH(H49,[2]Sheet1!$F$1:$AF$1,0))</f>
        <v>10钳工</v>
      </c>
      <c r="J49" s="3">
        <v>6</v>
      </c>
      <c r="K49" s="3">
        <v>6</v>
      </c>
      <c r="L49" s="19">
        <v>8</v>
      </c>
      <c r="M49" s="19">
        <v>8</v>
      </c>
      <c r="N49" s="5" t="s">
        <v>175</v>
      </c>
      <c r="O49" s="4"/>
      <c r="P49" s="18">
        <f t="array" ref="P49">IFERROR(INDEX([2]Sheet1!$F$1:$AF$65808,MATCH($D49&amp;$G49&amp;P$1,[2]Sheet1!$B$1:$B$65808&amp;[2]Sheet1!$D$1:$D$65808&amp;[2]Sheet1!$E$1:$E$65808,0),MATCH($H49,[2]Sheet1!$F$1:$AF$1,0)),0)</f>
        <v>150</v>
      </c>
      <c r="Q49" s="3"/>
      <c r="R49" s="6"/>
      <c r="S49" s="22"/>
      <c r="U49" s="23">
        <f t="shared" si="0"/>
        <v>15</v>
      </c>
      <c r="V49" s="24" t="s">
        <v>8</v>
      </c>
    </row>
    <row r="50" spans="1:24" ht="23.1" hidden="1" customHeight="1" x14ac:dyDescent="0.25">
      <c r="A50" s="1" t="s">
        <v>53</v>
      </c>
      <c r="D50" s="3" t="s">
        <v>173</v>
      </c>
      <c r="E50" s="15" t="s">
        <v>174</v>
      </c>
      <c r="F50" s="15" t="str">
        <f>+VLOOKUP(D50,[1]Sheet1!$D$2:$E$29166,2,0)</f>
        <v>根肋前段</v>
      </c>
      <c r="G50" s="3" t="s">
        <v>46</v>
      </c>
      <c r="H50" s="3">
        <v>10</v>
      </c>
      <c r="I50" s="18" t="str">
        <f t="array" ref="I50">INDEX([2]Sheet1!$F$1:$AF$65808,MATCH(D50&amp;G50&amp;I$1,[2]Sheet1!$B$1:$B$65808&amp;[2]Sheet1!$D$1:$D$65808&amp;[2]Sheet1!$E$1:$E$65808,0),MATCH(H50,[2]Sheet1!$F$1:$AF$1,0))</f>
        <v>10钳工</v>
      </c>
      <c r="J50" s="3">
        <v>3</v>
      </c>
      <c r="K50" s="3">
        <v>3</v>
      </c>
      <c r="L50" s="19">
        <v>8</v>
      </c>
      <c r="M50" s="19">
        <v>8</v>
      </c>
      <c r="N50" s="5" t="s">
        <v>176</v>
      </c>
      <c r="O50" s="4"/>
      <c r="P50" s="18">
        <f t="array" ref="P50">IFERROR(INDEX([2]Sheet1!$F$1:$AF$65808,MATCH($D50&amp;$G50&amp;P$1,[2]Sheet1!$B$1:$B$65808&amp;[2]Sheet1!$D$1:$D$65808&amp;[2]Sheet1!$E$1:$E$65808,0),MATCH($H50,[2]Sheet1!$F$1:$AF$1,0)),0)</f>
        <v>150</v>
      </c>
      <c r="Q50" s="3"/>
      <c r="R50" s="6"/>
      <c r="S50" s="22"/>
      <c r="U50" s="23">
        <f t="shared" si="0"/>
        <v>7.5</v>
      </c>
      <c r="V50" s="24" t="s">
        <v>8</v>
      </c>
      <c r="W50" s="7" t="s">
        <v>177</v>
      </c>
    </row>
    <row r="51" spans="1:24" ht="23.1" hidden="1" customHeight="1" x14ac:dyDescent="0.25">
      <c r="A51" s="1" t="s">
        <v>53</v>
      </c>
      <c r="D51" s="3" t="s">
        <v>178</v>
      </c>
      <c r="E51" s="15" t="s">
        <v>179</v>
      </c>
      <c r="F51" s="15" t="str">
        <f>+VLOOKUP(D51,[1]Sheet1!$D$2:$E$29166,2,0)</f>
        <v>根肋后段</v>
      </c>
      <c r="G51" s="3" t="s">
        <v>46</v>
      </c>
      <c r="H51" s="3">
        <v>10</v>
      </c>
      <c r="I51" s="18" t="str">
        <f t="array" ref="I51">INDEX([2]Sheet1!$F$1:$AF$65808,MATCH(D51&amp;G51&amp;I$1,[2]Sheet1!$B$1:$B$65808&amp;[2]Sheet1!$D$1:$D$65808&amp;[2]Sheet1!$E$1:$E$65808,0),MATCH(H51,[2]Sheet1!$F$1:$AF$1,0))</f>
        <v>10/钳工</v>
      </c>
      <c r="J51" s="3">
        <v>7</v>
      </c>
      <c r="K51" s="3">
        <v>7</v>
      </c>
      <c r="L51" s="19">
        <v>8</v>
      </c>
      <c r="M51" s="19">
        <v>8</v>
      </c>
      <c r="N51" s="5" t="s">
        <v>180</v>
      </c>
      <c r="O51" s="4"/>
      <c r="P51" s="18">
        <f t="array" ref="P51">IFERROR(INDEX([2]Sheet1!$F$1:$AF$65808,MATCH($D51&amp;$G51&amp;P$1,[2]Sheet1!$B$1:$B$65808&amp;[2]Sheet1!$D$1:$D$65808&amp;[2]Sheet1!$E$1:$E$65808,0),MATCH($H51,[2]Sheet1!$F$1:$AF$1,0)),0)</f>
        <v>150</v>
      </c>
      <c r="Q51" s="3"/>
      <c r="R51" s="6"/>
      <c r="S51" s="22"/>
      <c r="U51" s="23">
        <f t="shared" si="0"/>
        <v>17.5</v>
      </c>
      <c r="V51" s="24" t="s">
        <v>8</v>
      </c>
      <c r="W51" s="7" t="s">
        <v>177</v>
      </c>
    </row>
    <row r="52" spans="1:24" ht="23.1" hidden="1" customHeight="1" x14ac:dyDescent="0.25">
      <c r="A52" s="1" t="s">
        <v>53</v>
      </c>
      <c r="D52" s="3" t="s">
        <v>181</v>
      </c>
      <c r="E52" s="15" t="s">
        <v>179</v>
      </c>
      <c r="F52" s="15" t="str">
        <f>+VLOOKUP(D52,[1]Sheet1!$D$2:$E$29166,2,0)</f>
        <v>根肋后段</v>
      </c>
      <c r="G52" s="3" t="s">
        <v>46</v>
      </c>
      <c r="H52" s="3">
        <v>10</v>
      </c>
      <c r="I52" s="18" t="str">
        <f t="array" ref="I52">INDEX([2]Sheet1!$F$1:$AF$65808,MATCH(D52&amp;G52&amp;I$1,[2]Sheet1!$B$1:$B$65808&amp;[2]Sheet1!$D$1:$D$65808&amp;[2]Sheet1!$E$1:$E$65808,0),MATCH(H52,[2]Sheet1!$F$1:$AF$1,0))</f>
        <v>10/钳工</v>
      </c>
      <c r="J52" s="3">
        <v>3</v>
      </c>
      <c r="K52" s="3">
        <v>3</v>
      </c>
      <c r="L52" s="19">
        <v>8</v>
      </c>
      <c r="M52" s="19">
        <v>8</v>
      </c>
      <c r="N52" s="5" t="s">
        <v>182</v>
      </c>
      <c r="O52" s="4"/>
      <c r="P52" s="18">
        <f t="array" ref="P52">IFERROR(INDEX([2]Sheet1!$F$1:$AF$65808,MATCH($D52&amp;$G52&amp;P$1,[2]Sheet1!$B$1:$B$65808&amp;[2]Sheet1!$D$1:$D$65808&amp;[2]Sheet1!$E$1:$E$65808,0),MATCH($H52,[2]Sheet1!$F$1:$AF$1,0)),0)</f>
        <v>150</v>
      </c>
      <c r="Q52" s="3"/>
      <c r="R52" s="6"/>
      <c r="S52" s="22"/>
      <c r="U52" s="23">
        <f t="shared" si="0"/>
        <v>7.5</v>
      </c>
      <c r="V52" s="24" t="s">
        <v>8</v>
      </c>
    </row>
    <row r="53" spans="1:24" ht="23.1" hidden="1" customHeight="1" x14ac:dyDescent="0.25">
      <c r="A53" s="1" t="s">
        <v>53</v>
      </c>
      <c r="D53" s="3" t="s">
        <v>183</v>
      </c>
      <c r="E53" s="15" t="s">
        <v>60</v>
      </c>
      <c r="F53" s="15" t="str">
        <f>+VLOOKUP(D53,[1]Sheet1!$D$2:$E$29166,2,0)</f>
        <v>轴</v>
      </c>
      <c r="G53" s="3" t="s">
        <v>46</v>
      </c>
      <c r="H53" s="3">
        <v>45</v>
      </c>
      <c r="I53" s="18" t="str">
        <f t="array" ref="I53">INDEX([2]Sheet1!$F$1:$AF$65808,MATCH(D53&amp;G53&amp;I$1,[2]Sheet1!$B$1:$B$65808&amp;[2]Sheet1!$D$1:$D$65808&amp;[2]Sheet1!$E$1:$E$65808,0),MATCH(H53,[2]Sheet1!$F$1:$AF$1,0))</f>
        <v>45/钳工</v>
      </c>
      <c r="J53" s="3">
        <v>99</v>
      </c>
      <c r="K53" s="3">
        <v>99</v>
      </c>
      <c r="L53" s="19">
        <v>8</v>
      </c>
      <c r="M53" s="19">
        <v>8</v>
      </c>
      <c r="N53" s="5" t="s">
        <v>184</v>
      </c>
      <c r="O53" s="4"/>
      <c r="P53" s="18">
        <f t="array" ref="P53">IFERROR(INDEX([2]Sheet1!$F$1:$AF$65808,MATCH($D53&amp;$G53&amp;P$1,[2]Sheet1!$B$1:$B$65808&amp;[2]Sheet1!$D$1:$D$65808&amp;[2]Sheet1!$E$1:$E$65808,0),MATCH($H53,[2]Sheet1!$F$1:$AF$1,0)),0)</f>
        <v>15</v>
      </c>
      <c r="Q53" s="3"/>
      <c r="R53" s="6"/>
      <c r="S53" s="22"/>
      <c r="U53" s="23">
        <f t="shared" si="0"/>
        <v>24.8</v>
      </c>
      <c r="V53" s="24" t="s">
        <v>8</v>
      </c>
      <c r="W53" s="7" t="s">
        <v>185</v>
      </c>
    </row>
    <row r="54" spans="1:24" ht="23.1" hidden="1" customHeight="1" x14ac:dyDescent="0.25">
      <c r="A54" s="1" t="s">
        <v>58</v>
      </c>
      <c r="D54" s="3" t="s">
        <v>181</v>
      </c>
      <c r="E54" s="15" t="s">
        <v>179</v>
      </c>
      <c r="F54" s="15" t="str">
        <f>+VLOOKUP(D54,[1]Sheet1!$D$2:$E$29166,2,0)</f>
        <v>根肋后段</v>
      </c>
      <c r="G54" s="3" t="s">
        <v>46</v>
      </c>
      <c r="H54" s="3">
        <v>10</v>
      </c>
      <c r="I54" s="18" t="str">
        <f t="array" ref="I54">INDEX([2]Sheet1!$F$1:$AF$65808,MATCH(D54&amp;G54&amp;I$1,[2]Sheet1!$B$1:$B$65808&amp;[2]Sheet1!$D$1:$D$65808&amp;[2]Sheet1!$E$1:$E$65808,0),MATCH(H54,[2]Sheet1!$F$1:$AF$1,0))</f>
        <v>10/钳工</v>
      </c>
      <c r="J54" s="3">
        <v>1</v>
      </c>
      <c r="K54" s="3">
        <v>1</v>
      </c>
      <c r="L54" s="19">
        <v>8</v>
      </c>
      <c r="M54" s="19"/>
      <c r="N54" s="5" t="s">
        <v>186</v>
      </c>
      <c r="O54" s="4"/>
      <c r="P54" s="18">
        <f t="array" ref="P54">IFERROR(INDEX([2]Sheet1!$F$1:$AF$65808,MATCH($D54&amp;$G54&amp;P$1,[2]Sheet1!$B$1:$B$65808&amp;[2]Sheet1!$D$1:$D$65808&amp;[2]Sheet1!$E$1:$E$65808,0),MATCH($H54,[2]Sheet1!$F$1:$AF$1,0)),0)</f>
        <v>150</v>
      </c>
      <c r="Q54" s="3"/>
      <c r="R54" s="6"/>
      <c r="S54" s="22"/>
      <c r="U54" s="23">
        <f t="shared" si="0"/>
        <v>2.5</v>
      </c>
      <c r="V54" s="24" t="s">
        <v>8</v>
      </c>
      <c r="W54" s="7" t="s">
        <v>177</v>
      </c>
    </row>
    <row r="55" spans="1:24" ht="23.1" hidden="1" customHeight="1" x14ac:dyDescent="0.25">
      <c r="A55" s="1" t="s">
        <v>58</v>
      </c>
      <c r="D55" s="3" t="s">
        <v>173</v>
      </c>
      <c r="E55" s="15" t="s">
        <v>174</v>
      </c>
      <c r="F55" s="15" t="str">
        <f>+VLOOKUP(D55,[1]Sheet1!$D$2:$E$29166,2,0)</f>
        <v>根肋前段</v>
      </c>
      <c r="G55" s="3" t="s">
        <v>46</v>
      </c>
      <c r="H55" s="3">
        <v>10</v>
      </c>
      <c r="I55" s="18" t="str">
        <f t="array" ref="I55">INDEX([2]Sheet1!$F$1:$AF$65808,MATCH(D55&amp;G55&amp;I$1,[2]Sheet1!$B$1:$B$65808&amp;[2]Sheet1!$D$1:$D$65808&amp;[2]Sheet1!$E$1:$E$65808,0),MATCH(H55,[2]Sheet1!$F$1:$AF$1,0))</f>
        <v>10钳工</v>
      </c>
      <c r="J55" s="3">
        <v>3</v>
      </c>
      <c r="K55" s="3">
        <v>3</v>
      </c>
      <c r="L55" s="19">
        <v>8</v>
      </c>
      <c r="M55" s="19">
        <v>8</v>
      </c>
      <c r="N55" s="5" t="s">
        <v>187</v>
      </c>
      <c r="O55" s="4"/>
      <c r="P55" s="18">
        <f t="array" ref="P55">IFERROR(INDEX([2]Sheet1!$F$1:$AF$65808,MATCH($D55&amp;$G55&amp;P$1,[2]Sheet1!$B$1:$B$65808&amp;[2]Sheet1!$D$1:$D$65808&amp;[2]Sheet1!$E$1:$E$65808,0),MATCH($H55,[2]Sheet1!$F$1:$AF$1,0)),0)</f>
        <v>150</v>
      </c>
      <c r="Q55" s="3"/>
      <c r="R55" s="6"/>
      <c r="S55" s="22"/>
      <c r="U55" s="23">
        <f t="shared" si="0"/>
        <v>7.5</v>
      </c>
      <c r="V55" s="24" t="s">
        <v>8</v>
      </c>
      <c r="W55" s="7" t="s">
        <v>177</v>
      </c>
    </row>
    <row r="56" spans="1:24" ht="23.1" hidden="1" customHeight="1" x14ac:dyDescent="0.25">
      <c r="A56" s="1" t="s">
        <v>74</v>
      </c>
      <c r="D56" s="3" t="s">
        <v>188</v>
      </c>
      <c r="E56" s="15" t="s">
        <v>120</v>
      </c>
      <c r="F56" s="15" t="str">
        <f>+VLOOKUP(D56,[1]Sheet1!$D$2:$E$29166,2,0)</f>
        <v>支架</v>
      </c>
      <c r="G56" s="3" t="s">
        <v>114</v>
      </c>
      <c r="H56" s="3">
        <v>55</v>
      </c>
      <c r="I56" s="18" t="str">
        <f t="array" ref="I56">INDEX([2]Sheet1!$F$1:$AF$65808,MATCH(D56&amp;G56&amp;I$1,[2]Sheet1!$B$1:$B$65808&amp;[2]Sheet1!$D$1:$D$65808&amp;[2]Sheet1!$E$1:$E$65808,0),MATCH(H56,[2]Sheet1!$F$1:$AF$1,0))</f>
        <v>55/钳工</v>
      </c>
      <c r="J56" s="3">
        <v>24</v>
      </c>
      <c r="K56" s="3">
        <v>10</v>
      </c>
      <c r="L56" s="19">
        <v>8</v>
      </c>
      <c r="M56" s="19">
        <v>8</v>
      </c>
      <c r="N56" s="5" t="s">
        <v>189</v>
      </c>
      <c r="O56" s="4"/>
      <c r="P56" s="18">
        <f t="array" ref="P56">IFERROR(INDEX([2]Sheet1!$F$1:$AF$65808,MATCH($D56&amp;$G56&amp;P$1,[2]Sheet1!$B$1:$B$65808&amp;[2]Sheet1!$D$1:$D$65808&amp;[2]Sheet1!$E$1:$E$65808,0),MATCH($H56,[2]Sheet1!$F$1:$AF$1,0)),0)</f>
        <v>60</v>
      </c>
      <c r="Q56" s="3"/>
      <c r="R56" s="6"/>
      <c r="S56" s="22"/>
      <c r="U56" s="23">
        <f t="shared" si="0"/>
        <v>10</v>
      </c>
      <c r="V56" s="24" t="s">
        <v>8</v>
      </c>
    </row>
    <row r="57" spans="1:24" ht="23.1" hidden="1" customHeight="1" x14ac:dyDescent="0.25">
      <c r="A57" s="1" t="s">
        <v>82</v>
      </c>
      <c r="D57" s="3" t="s">
        <v>190</v>
      </c>
      <c r="E57" s="15" t="s">
        <v>191</v>
      </c>
      <c r="F57" s="15" t="str">
        <f>+VLOOKUP(D57,[1]Sheet1!$D$2:$E$29166,2,0)</f>
        <v>挡板</v>
      </c>
      <c r="G57" s="3" t="s">
        <v>80</v>
      </c>
      <c r="H57" s="3">
        <v>30</v>
      </c>
      <c r="I57" s="18" t="e">
        <f t="array" ref="I57">INDEX([2]Sheet1!$F$1:$AF$65808,MATCH(D57&amp;G57&amp;I$1,[2]Sheet1!$B$1:$B$65808&amp;[2]Sheet1!$D$1:$D$65808&amp;[2]Sheet1!$E$1:$E$65808,0),MATCH(H57,[2]Sheet1!$F$1:$AF$1,0))</f>
        <v>#N/A</v>
      </c>
      <c r="J57" s="3">
        <v>660</v>
      </c>
      <c r="K57" s="3">
        <v>665</v>
      </c>
      <c r="L57" s="19">
        <v>8</v>
      </c>
      <c r="M57" s="19">
        <v>8</v>
      </c>
      <c r="N57" s="5" t="s">
        <v>192</v>
      </c>
      <c r="O57" s="4"/>
      <c r="P57" s="18">
        <v>10</v>
      </c>
      <c r="Q57" s="3"/>
      <c r="R57" s="6"/>
      <c r="S57" s="22"/>
      <c r="U57" s="23">
        <f t="shared" si="0"/>
        <v>110.8</v>
      </c>
      <c r="V57" s="24" t="s">
        <v>8</v>
      </c>
      <c r="W57" s="7" t="s">
        <v>193</v>
      </c>
    </row>
    <row r="58" spans="1:24" ht="23.1" hidden="1" customHeight="1" x14ac:dyDescent="0.25">
      <c r="A58" s="1" t="s">
        <v>82</v>
      </c>
      <c r="D58" s="3" t="s">
        <v>194</v>
      </c>
      <c r="E58" s="15" t="s">
        <v>195</v>
      </c>
      <c r="F58" s="15" t="str">
        <f>+VLOOKUP(D58,[1]Sheet1!$D$2:$E$29166,2,0)</f>
        <v>小衬套</v>
      </c>
      <c r="G58" s="3" t="s">
        <v>64</v>
      </c>
      <c r="H58" s="3">
        <v>30</v>
      </c>
      <c r="I58" s="18" t="str">
        <f t="array" ref="I58">INDEX([2]Sheet1!$F$1:$AF$65808,MATCH(D58&amp;G58&amp;I$1,[2]Sheet1!$B$1:$B$65808&amp;[2]Sheet1!$D$1:$D$65808&amp;[2]Sheet1!$E$1:$E$65808,0),MATCH(H58,[2]Sheet1!$F$1:$AF$1,0))</f>
        <v>30/钳工</v>
      </c>
      <c r="J58" s="3">
        <v>20</v>
      </c>
      <c r="K58" s="3">
        <v>25</v>
      </c>
      <c r="L58" s="19">
        <v>8</v>
      </c>
      <c r="M58" s="19">
        <v>8</v>
      </c>
      <c r="N58" s="5" t="s">
        <v>196</v>
      </c>
      <c r="O58" s="4"/>
      <c r="P58" s="18">
        <f t="array" ref="P58">IFERROR(INDEX([2]Sheet1!$F$1:$AF$65808,MATCH($D58&amp;$G58&amp;P$1,[2]Sheet1!$B$1:$B$65808&amp;[2]Sheet1!$D$1:$D$65808&amp;[2]Sheet1!$E$1:$E$65808,0),MATCH($H58,[2]Sheet1!$F$1:$AF$1,0)),0)</f>
        <v>20</v>
      </c>
      <c r="Q58" s="3"/>
      <c r="R58" s="6"/>
      <c r="S58" s="22"/>
      <c r="U58" s="23">
        <f t="shared" si="0"/>
        <v>8.3000000000000007</v>
      </c>
      <c r="V58" s="24" t="s">
        <v>8</v>
      </c>
    </row>
    <row r="59" spans="1:24" ht="23.1" hidden="1" customHeight="1" x14ac:dyDescent="0.25">
      <c r="A59" s="1" t="s">
        <v>82</v>
      </c>
      <c r="D59" s="3" t="s">
        <v>194</v>
      </c>
      <c r="E59" s="15" t="s">
        <v>195</v>
      </c>
      <c r="F59" s="15" t="str">
        <f>+VLOOKUP(D59,[1]Sheet1!$D$2:$E$29166,2,0)</f>
        <v>小衬套</v>
      </c>
      <c r="G59" s="3" t="s">
        <v>64</v>
      </c>
      <c r="H59" s="3">
        <v>30</v>
      </c>
      <c r="I59" s="18" t="str">
        <f t="array" ref="I59">INDEX([2]Sheet1!$F$1:$AF$65808,MATCH(D59&amp;G59&amp;I$1,[2]Sheet1!$B$1:$B$65808&amp;[2]Sheet1!$D$1:$D$65808&amp;[2]Sheet1!$E$1:$E$65808,0),MATCH(H59,[2]Sheet1!$F$1:$AF$1,0))</f>
        <v>30/钳工</v>
      </c>
      <c r="J59" s="3">
        <v>8</v>
      </c>
      <c r="K59" s="3">
        <v>13</v>
      </c>
      <c r="L59" s="19">
        <v>8</v>
      </c>
      <c r="M59" s="19">
        <v>8</v>
      </c>
      <c r="N59" s="5" t="s">
        <v>197</v>
      </c>
      <c r="O59" s="4"/>
      <c r="P59" s="18">
        <f t="array" ref="P59">IFERROR(INDEX([2]Sheet1!$F$1:$AF$65808,MATCH($D59&amp;$G59&amp;P$1,[2]Sheet1!$B$1:$B$65808&amp;[2]Sheet1!$D$1:$D$65808&amp;[2]Sheet1!$E$1:$E$65808,0),MATCH($H59,[2]Sheet1!$F$1:$AF$1,0)),0)</f>
        <v>20</v>
      </c>
      <c r="Q59" s="3"/>
      <c r="R59" s="6"/>
      <c r="S59" s="22"/>
      <c r="U59" s="23">
        <f t="shared" si="0"/>
        <v>4.3</v>
      </c>
      <c r="V59" s="24" t="s">
        <v>8</v>
      </c>
    </row>
    <row r="60" spans="1:24" ht="23.1" hidden="1" customHeight="1" x14ac:dyDescent="0.25">
      <c r="A60" s="1" t="s">
        <v>89</v>
      </c>
      <c r="D60" s="3" t="s">
        <v>198</v>
      </c>
      <c r="E60" s="15" t="s">
        <v>55</v>
      </c>
      <c r="F60" s="15" t="str">
        <f>+VLOOKUP(D60,[1]Sheet1!$D$2:$E$29166,2,0)</f>
        <v>接头</v>
      </c>
      <c r="G60" s="3" t="s">
        <v>46</v>
      </c>
      <c r="H60" s="3">
        <v>35</v>
      </c>
      <c r="I60" s="18" t="str">
        <f t="array" ref="I60">INDEX([2]Sheet1!$F$1:$AF$65808,MATCH(D60&amp;G60&amp;I$1,[2]Sheet1!$B$1:$B$65808&amp;[2]Sheet1!$D$1:$D$65808&amp;[2]Sheet1!$E$1:$E$65808,0),MATCH(H60,[2]Sheet1!$F$1:$AF$1,0))</f>
        <v>35/钳工</v>
      </c>
      <c r="J60" s="3">
        <v>20</v>
      </c>
      <c r="K60" s="3">
        <v>20</v>
      </c>
      <c r="L60" s="19">
        <v>8</v>
      </c>
      <c r="M60" s="19">
        <v>8</v>
      </c>
      <c r="N60" s="5" t="s">
        <v>56</v>
      </c>
      <c r="O60" s="4"/>
      <c r="P60" s="18">
        <f t="array" ref="P60">IFERROR(INDEX([2]Sheet1!$F$1:$AF$65808,MATCH($D60&amp;$G60&amp;P$1,[2]Sheet1!$B$1:$B$65808&amp;[2]Sheet1!$D$1:$D$65808&amp;[2]Sheet1!$E$1:$E$65808,0),MATCH($H60,[2]Sheet1!$F$1:$AF$1,0)),0)</f>
        <v>20</v>
      </c>
      <c r="Q60" s="3"/>
      <c r="R60" s="6"/>
      <c r="S60" s="22"/>
      <c r="T60" s="7">
        <v>4</v>
      </c>
      <c r="U60" s="23">
        <f t="shared" si="0"/>
        <v>10.7</v>
      </c>
      <c r="V60" s="24" t="s">
        <v>8</v>
      </c>
      <c r="W60" s="7" t="s">
        <v>199</v>
      </c>
    </row>
    <row r="61" spans="1:24" ht="23.1" hidden="1" customHeight="1" x14ac:dyDescent="0.25">
      <c r="A61" s="1" t="s">
        <v>100</v>
      </c>
      <c r="E61" s="15" t="s">
        <v>200</v>
      </c>
      <c r="F61" s="15" t="e">
        <f>+VLOOKUP(D61,[1]Sheet1!$D$2:$E$29166,2,0)</f>
        <v>#N/A</v>
      </c>
      <c r="H61" s="3" t="s">
        <v>201</v>
      </c>
      <c r="I61" s="18" t="e">
        <f t="array" ref="I61">INDEX([2]Sheet1!$F$1:$AF$65808,MATCH(D61&amp;G61&amp;I$1,[2]Sheet1!$B$1:$B$65808&amp;[2]Sheet1!$D$1:$D$65808&amp;[2]Sheet1!$E$1:$E$65808,0),MATCH(H61,[2]Sheet1!$F$1:$AF$1,0))</f>
        <v>#N/A</v>
      </c>
      <c r="J61" s="3">
        <v>7</v>
      </c>
      <c r="K61" s="3">
        <v>7</v>
      </c>
      <c r="L61" s="19">
        <v>8</v>
      </c>
      <c r="M61" s="19">
        <v>8</v>
      </c>
      <c r="O61" s="4"/>
      <c r="P61" s="18">
        <v>30</v>
      </c>
      <c r="Q61" s="3"/>
      <c r="R61" s="6"/>
      <c r="S61" s="22"/>
      <c r="U61" s="23">
        <f t="shared" si="0"/>
        <v>3.5</v>
      </c>
      <c r="V61" s="24" t="s">
        <v>8</v>
      </c>
      <c r="W61" s="7" t="s">
        <v>202</v>
      </c>
      <c r="X61" s="7" t="s">
        <v>203</v>
      </c>
    </row>
    <row r="62" spans="1:24" ht="23.1" hidden="1" customHeight="1" x14ac:dyDescent="0.25">
      <c r="A62" s="1" t="s">
        <v>103</v>
      </c>
      <c r="D62" s="3" t="s">
        <v>204</v>
      </c>
      <c r="E62" s="15" t="s">
        <v>205</v>
      </c>
      <c r="F62" s="15" t="e">
        <f>+VLOOKUP(D62,[1]Sheet1!$D$2:$E$29166,2,0)</f>
        <v>#N/A</v>
      </c>
      <c r="G62" s="3" t="s">
        <v>80</v>
      </c>
      <c r="H62" s="3">
        <v>25</v>
      </c>
      <c r="I62" s="18" t="e">
        <f t="array" ref="I62">INDEX([2]Sheet1!$F$1:$AF$65808,MATCH(D62&amp;G62&amp;I$1,[2]Sheet1!$B$1:$B$65808&amp;[2]Sheet1!$D$1:$D$65808&amp;[2]Sheet1!$E$1:$E$65808,0),MATCH(H62,[2]Sheet1!$F$1:$AF$1,0))</f>
        <v>#N/A</v>
      </c>
      <c r="J62" s="3">
        <v>14</v>
      </c>
      <c r="K62" s="3">
        <v>14</v>
      </c>
      <c r="L62" s="19">
        <v>8</v>
      </c>
      <c r="M62" s="19">
        <v>8</v>
      </c>
      <c r="N62" s="5" t="s">
        <v>206</v>
      </c>
      <c r="O62" s="4"/>
      <c r="P62" s="18">
        <v>480</v>
      </c>
      <c r="Q62" s="3"/>
      <c r="R62" s="6"/>
      <c r="S62" s="22"/>
      <c r="U62" s="23">
        <f t="shared" si="0"/>
        <v>112</v>
      </c>
      <c r="V62" s="24" t="s">
        <v>8</v>
      </c>
      <c r="W62" s="7" t="s">
        <v>207</v>
      </c>
    </row>
    <row r="63" spans="1:24" ht="23.1" hidden="1" customHeight="1" x14ac:dyDescent="0.25">
      <c r="A63" s="1" t="s">
        <v>208</v>
      </c>
      <c r="E63" s="15" t="s">
        <v>209</v>
      </c>
      <c r="F63" s="15" t="e">
        <f>+VLOOKUP(D63,[1]Sheet1!$D$2:$E$29166,2,0)</f>
        <v>#N/A</v>
      </c>
      <c r="I63" s="18" t="e">
        <f t="array" ref="I63">INDEX([2]Sheet1!$F$1:$AF$65808,MATCH(D63&amp;G63&amp;I$1,[2]Sheet1!$B$1:$B$65808&amp;[2]Sheet1!$D$1:$D$65808&amp;[2]Sheet1!$E$1:$E$65808,0),MATCH(H63,[2]Sheet1!$F$1:$AF$1,0))</f>
        <v>#N/A</v>
      </c>
      <c r="L63" s="19">
        <v>8</v>
      </c>
      <c r="M63" s="19">
        <v>8</v>
      </c>
      <c r="N63" s="5" t="s">
        <v>206</v>
      </c>
      <c r="O63" s="4"/>
      <c r="P63" s="18">
        <f t="array" ref="P63">IFERROR(INDEX([2]Sheet1!$F$1:$AF$65808,MATCH($D63&amp;$G63&amp;P$1,[2]Sheet1!$B$1:$B$65808&amp;[2]Sheet1!$D$1:$D$65808&amp;[2]Sheet1!$E$1:$E$65808,0),MATCH($H63,[2]Sheet1!$F$1:$AF$1,0)),0)</f>
        <v>0</v>
      </c>
      <c r="Q63" s="3"/>
      <c r="R63" s="6"/>
      <c r="S63" s="22"/>
      <c r="T63" s="7">
        <v>16</v>
      </c>
      <c r="U63" s="23">
        <f t="shared" si="0"/>
        <v>16</v>
      </c>
      <c r="V63" s="24" t="s">
        <v>7</v>
      </c>
      <c r="W63" s="7" t="s">
        <v>210</v>
      </c>
    </row>
    <row r="64" spans="1:24" ht="23.1" hidden="1" customHeight="1" x14ac:dyDescent="0.25">
      <c r="A64" s="1" t="s">
        <v>53</v>
      </c>
      <c r="E64" s="15" t="s">
        <v>211</v>
      </c>
      <c r="F64" s="15" t="e">
        <f>+VLOOKUP(D64,[1]Sheet1!$D$2:$E$29166,2,0)</f>
        <v>#N/A</v>
      </c>
      <c r="I64" s="18" t="e">
        <f t="array" ref="I64">INDEX([2]Sheet1!$F$1:$AF$65808,MATCH(D64&amp;G64&amp;I$1,[2]Sheet1!$B$1:$B$65808&amp;[2]Sheet1!$D$1:$D$65808&amp;[2]Sheet1!$E$1:$E$65808,0),MATCH(H64,[2]Sheet1!$F$1:$AF$1,0))</f>
        <v>#N/A</v>
      </c>
      <c r="J64" s="3">
        <v>2</v>
      </c>
      <c r="K64" s="3">
        <v>2</v>
      </c>
      <c r="L64" s="19">
        <v>8</v>
      </c>
      <c r="M64" s="19">
        <v>8</v>
      </c>
      <c r="N64" s="5" t="s">
        <v>206</v>
      </c>
      <c r="O64" s="4"/>
      <c r="P64" s="18">
        <v>600</v>
      </c>
      <c r="Q64" s="3"/>
      <c r="R64" s="6"/>
      <c r="S64" s="22"/>
      <c r="U64" s="23">
        <f t="shared" si="0"/>
        <v>20</v>
      </c>
      <c r="V64" s="24" t="s">
        <v>7</v>
      </c>
      <c r="W64" s="7" t="s">
        <v>212</v>
      </c>
    </row>
    <row r="65" spans="1:24" ht="23.1" hidden="1" customHeight="1" x14ac:dyDescent="0.25">
      <c r="A65" s="1" t="s">
        <v>213</v>
      </c>
      <c r="D65" s="25" t="s">
        <v>214</v>
      </c>
      <c r="E65" s="15" t="s">
        <v>211</v>
      </c>
      <c r="F65" s="15" t="e">
        <f>+VLOOKUP(D65,[1]Sheet1!$D$2:$E$29166,2,0)</f>
        <v>#N/A</v>
      </c>
      <c r="H65" s="3">
        <v>20</v>
      </c>
      <c r="I65" s="18" t="e">
        <f t="array" ref="I65">INDEX([2]Sheet1!$F$1:$AF$65808,MATCH(D65&amp;G65&amp;I$1,[2]Sheet1!$B$1:$B$65808&amp;[2]Sheet1!$D$1:$D$65808&amp;[2]Sheet1!$E$1:$E$65808,0),MATCH(H65,[2]Sheet1!$F$1:$AF$1,0))</f>
        <v>#N/A</v>
      </c>
      <c r="J65" s="3">
        <v>2</v>
      </c>
      <c r="K65" s="3">
        <v>2</v>
      </c>
      <c r="L65" s="19">
        <v>8</v>
      </c>
      <c r="M65" s="19">
        <v>8</v>
      </c>
      <c r="N65" s="5" t="s">
        <v>206</v>
      </c>
      <c r="O65" s="4"/>
      <c r="P65" s="18">
        <v>600</v>
      </c>
      <c r="Q65" s="3"/>
      <c r="R65" s="6"/>
      <c r="S65" s="22"/>
      <c r="U65" s="23">
        <f t="shared" si="0"/>
        <v>20</v>
      </c>
      <c r="V65" s="24" t="s">
        <v>7</v>
      </c>
      <c r="W65" s="7" t="s">
        <v>215</v>
      </c>
    </row>
    <row r="66" spans="1:24" ht="23.1" hidden="1" customHeight="1" x14ac:dyDescent="0.25">
      <c r="A66" s="1" t="s">
        <v>58</v>
      </c>
      <c r="E66" s="3" t="s">
        <v>216</v>
      </c>
      <c r="F66" s="15" t="e">
        <f>+VLOOKUP(D66,[1]Sheet1!$D$2:$E$29166,2,0)</f>
        <v>#N/A</v>
      </c>
      <c r="I66" s="18" t="e">
        <f t="array" ref="I66">INDEX([2]Sheet1!$F$1:$AF$65808,MATCH(D66&amp;G66&amp;I$1,[2]Sheet1!$B$1:$B$65808&amp;[2]Sheet1!$D$1:$D$65808&amp;[2]Sheet1!$E$1:$E$65808,0),MATCH(H66,[2]Sheet1!$F$1:$AF$1,0))</f>
        <v>#N/A</v>
      </c>
      <c r="J66" s="3">
        <v>2</v>
      </c>
      <c r="K66" s="3">
        <v>2</v>
      </c>
      <c r="L66" s="19">
        <v>8</v>
      </c>
      <c r="M66" s="19">
        <v>8</v>
      </c>
      <c r="N66" s="5" t="s">
        <v>206</v>
      </c>
      <c r="O66" s="4"/>
      <c r="P66" s="18">
        <v>720</v>
      </c>
      <c r="Q66" s="3"/>
      <c r="R66" s="6"/>
      <c r="S66" s="22"/>
      <c r="U66" s="23">
        <f t="shared" si="0"/>
        <v>24</v>
      </c>
      <c r="V66" s="24" t="s">
        <v>7</v>
      </c>
      <c r="W66" s="7" t="s">
        <v>217</v>
      </c>
    </row>
    <row r="67" spans="1:24" ht="23.1" hidden="1" customHeight="1" x14ac:dyDescent="0.25">
      <c r="A67" s="1" t="s">
        <v>65</v>
      </c>
      <c r="E67" s="15" t="s">
        <v>218</v>
      </c>
      <c r="F67" s="15" t="e">
        <f>+VLOOKUP(D67,[1]Sheet1!$D$2:$E$29166,2,0)</f>
        <v>#N/A</v>
      </c>
      <c r="I67" s="18" t="e">
        <f t="array" ref="I67">INDEX([2]Sheet1!$F$1:$AF$65808,MATCH(D67&amp;G67&amp;I$1,[2]Sheet1!$B$1:$B$65808&amp;[2]Sheet1!$D$1:$D$65808&amp;[2]Sheet1!$E$1:$E$65808,0),MATCH(H67,[2]Sheet1!$F$1:$AF$1,0))</f>
        <v>#N/A</v>
      </c>
      <c r="J67" s="3">
        <v>2</v>
      </c>
      <c r="K67" s="3">
        <v>2</v>
      </c>
      <c r="L67" s="19">
        <v>8</v>
      </c>
      <c r="M67" s="19">
        <v>8</v>
      </c>
      <c r="N67" s="5" t="s">
        <v>206</v>
      </c>
      <c r="O67" s="4"/>
      <c r="P67" s="18">
        <v>600</v>
      </c>
      <c r="Q67" s="3"/>
      <c r="R67" s="6"/>
      <c r="S67" s="22"/>
      <c r="U67" s="23">
        <f t="shared" ref="U67:U130" si="1">ROUND((K67*P67+Q67*S67)/60+T67,1)</f>
        <v>20</v>
      </c>
      <c r="V67" s="24" t="s">
        <v>7</v>
      </c>
      <c r="W67" s="7" t="s">
        <v>219</v>
      </c>
    </row>
    <row r="68" spans="1:24" ht="23.1" hidden="1" customHeight="1" x14ac:dyDescent="0.25">
      <c r="A68" s="1" t="s">
        <v>65</v>
      </c>
      <c r="E68" s="15" t="s">
        <v>220</v>
      </c>
      <c r="F68" s="15" t="e">
        <f>+VLOOKUP(D68,[1]Sheet1!$D$2:$E$29166,2,0)</f>
        <v>#N/A</v>
      </c>
      <c r="I68" s="18" t="e">
        <f t="array" ref="I68">INDEX([2]Sheet1!$F$1:$AF$65808,MATCH(D68&amp;G68&amp;I$1,[2]Sheet1!$B$1:$B$65808&amp;[2]Sheet1!$D$1:$D$65808&amp;[2]Sheet1!$E$1:$E$65808,0),MATCH(H68,[2]Sheet1!$F$1:$AF$1,0))</f>
        <v>#N/A</v>
      </c>
      <c r="J68" s="3">
        <v>2</v>
      </c>
      <c r="K68" s="3">
        <v>2</v>
      </c>
      <c r="L68" s="19">
        <v>8</v>
      </c>
      <c r="M68" s="19">
        <v>8</v>
      </c>
      <c r="N68" s="5" t="s">
        <v>206</v>
      </c>
      <c r="O68" s="4"/>
      <c r="P68" s="18">
        <v>840</v>
      </c>
      <c r="Q68" s="3"/>
      <c r="R68" s="6"/>
      <c r="S68" s="22"/>
      <c r="U68" s="23">
        <f t="shared" si="1"/>
        <v>28</v>
      </c>
      <c r="V68" s="24" t="s">
        <v>7</v>
      </c>
      <c r="W68" s="7" t="s">
        <v>221</v>
      </c>
    </row>
    <row r="69" spans="1:24" ht="23.1" hidden="1" customHeight="1" x14ac:dyDescent="0.25">
      <c r="A69" s="1" t="s">
        <v>65</v>
      </c>
      <c r="E69" s="15" t="s">
        <v>222</v>
      </c>
      <c r="F69" s="15" t="e">
        <f>+VLOOKUP(D69,[1]Sheet1!$D$2:$E$29166,2,0)</f>
        <v>#N/A</v>
      </c>
      <c r="I69" s="18" t="e">
        <f t="array" ref="I69">INDEX([2]Sheet1!$F$1:$AF$65808,MATCH(D69&amp;G69&amp;I$1,[2]Sheet1!$B$1:$B$65808&amp;[2]Sheet1!$D$1:$D$65808&amp;[2]Sheet1!$E$1:$E$65808,0),MATCH(H69,[2]Sheet1!$F$1:$AF$1,0))</f>
        <v>#N/A</v>
      </c>
      <c r="J69" s="3">
        <v>3</v>
      </c>
      <c r="K69" s="3">
        <v>3</v>
      </c>
      <c r="L69" s="19">
        <v>8</v>
      </c>
      <c r="M69" s="19">
        <v>8</v>
      </c>
      <c r="N69" s="5" t="s">
        <v>206</v>
      </c>
      <c r="O69" s="4"/>
      <c r="P69" s="18">
        <v>600</v>
      </c>
      <c r="Q69" s="3"/>
      <c r="R69" s="6"/>
      <c r="S69" s="22"/>
      <c r="U69" s="23">
        <f t="shared" si="1"/>
        <v>30</v>
      </c>
      <c r="V69" s="24" t="s">
        <v>7</v>
      </c>
      <c r="W69" s="7" t="s">
        <v>221</v>
      </c>
    </row>
    <row r="70" spans="1:24" ht="23.1" hidden="1" customHeight="1" x14ac:dyDescent="0.25">
      <c r="A70" s="1" t="s">
        <v>71</v>
      </c>
      <c r="E70" s="15" t="s">
        <v>211</v>
      </c>
      <c r="F70" s="15" t="e">
        <f>+VLOOKUP(D70,[1]Sheet1!$D$2:$E$29166,2,0)</f>
        <v>#N/A</v>
      </c>
      <c r="I70" s="18" t="e">
        <f t="array" ref="I70">INDEX([2]Sheet1!$F$1:$AF$65808,MATCH(D70&amp;G70&amp;I$1,[2]Sheet1!$B$1:$B$65808&amp;[2]Sheet1!$D$1:$D$65808&amp;[2]Sheet1!$E$1:$E$65808,0),MATCH(H70,[2]Sheet1!$F$1:$AF$1,0))</f>
        <v>#N/A</v>
      </c>
      <c r="J70" s="3">
        <v>2</v>
      </c>
      <c r="K70" s="3">
        <v>2</v>
      </c>
      <c r="L70" s="19">
        <v>8</v>
      </c>
      <c r="M70" s="19">
        <v>8</v>
      </c>
      <c r="N70" s="5" t="s">
        <v>206</v>
      </c>
      <c r="O70" s="4"/>
      <c r="P70" s="18">
        <v>600</v>
      </c>
      <c r="Q70" s="3"/>
      <c r="R70" s="6"/>
      <c r="S70" s="22"/>
      <c r="U70" s="23">
        <f t="shared" si="1"/>
        <v>20</v>
      </c>
      <c r="V70" s="24" t="s">
        <v>7</v>
      </c>
      <c r="W70" s="7" t="s">
        <v>223</v>
      </c>
    </row>
    <row r="71" spans="1:24" ht="23.1" hidden="1" customHeight="1" x14ac:dyDescent="0.25">
      <c r="A71" s="1" t="s">
        <v>71</v>
      </c>
      <c r="E71" s="15" t="s">
        <v>224</v>
      </c>
      <c r="F71" s="15" t="e">
        <f>+VLOOKUP(D71,[1]Sheet1!$D$2:$E$29166,2,0)</f>
        <v>#N/A</v>
      </c>
      <c r="I71" s="18" t="e">
        <f t="array" ref="I71">INDEX([2]Sheet1!$F$1:$AF$65808,MATCH(D71&amp;G71&amp;I$1,[2]Sheet1!$B$1:$B$65808&amp;[2]Sheet1!$D$1:$D$65808&amp;[2]Sheet1!$E$1:$E$65808,0),MATCH(H71,[2]Sheet1!$F$1:$AF$1,0))</f>
        <v>#N/A</v>
      </c>
      <c r="J71" s="3">
        <v>2</v>
      </c>
      <c r="K71" s="3">
        <v>2</v>
      </c>
      <c r="L71" s="19">
        <v>8</v>
      </c>
      <c r="M71" s="19">
        <v>8</v>
      </c>
      <c r="N71" s="5" t="s">
        <v>206</v>
      </c>
      <c r="O71" s="4"/>
      <c r="P71" s="18">
        <v>720</v>
      </c>
      <c r="Q71" s="3"/>
      <c r="R71" s="6"/>
      <c r="S71" s="22"/>
      <c r="U71" s="23">
        <f t="shared" si="1"/>
        <v>24</v>
      </c>
      <c r="V71" s="24" t="s">
        <v>7</v>
      </c>
      <c r="W71" s="7" t="s">
        <v>225</v>
      </c>
    </row>
    <row r="72" spans="1:24" ht="23.1" hidden="1" customHeight="1" x14ac:dyDescent="0.25">
      <c r="A72" s="1" t="s">
        <v>82</v>
      </c>
      <c r="E72" s="15" t="s">
        <v>226</v>
      </c>
      <c r="F72" s="15" t="e">
        <f>+VLOOKUP(D72,[1]Sheet1!$D$2:$E$29166,2,0)</f>
        <v>#N/A</v>
      </c>
      <c r="I72" s="18" t="e">
        <f t="array" ref="I72">INDEX([2]Sheet1!$F$1:$AF$65808,MATCH(D72&amp;G72&amp;I$1,[2]Sheet1!$B$1:$B$65808&amp;[2]Sheet1!$D$1:$D$65808&amp;[2]Sheet1!$E$1:$E$65808,0),MATCH(H72,[2]Sheet1!$F$1:$AF$1,0))</f>
        <v>#N/A</v>
      </c>
      <c r="J72" s="3">
        <v>3</v>
      </c>
      <c r="K72" s="3">
        <v>3</v>
      </c>
      <c r="L72" s="19">
        <v>8</v>
      </c>
      <c r="M72" s="19">
        <v>8</v>
      </c>
      <c r="N72" s="5" t="s">
        <v>206</v>
      </c>
      <c r="O72" s="4"/>
      <c r="P72" s="18">
        <v>600</v>
      </c>
      <c r="Q72" s="3"/>
      <c r="R72" s="6"/>
      <c r="S72" s="22"/>
      <c r="U72" s="23">
        <f t="shared" si="1"/>
        <v>30</v>
      </c>
      <c r="V72" s="24" t="s">
        <v>7</v>
      </c>
      <c r="W72" s="7" t="s">
        <v>227</v>
      </c>
    </row>
    <row r="73" spans="1:24" ht="23.1" hidden="1" customHeight="1" x14ac:dyDescent="0.25">
      <c r="A73" s="1" t="s">
        <v>121</v>
      </c>
      <c r="D73" s="3" t="s">
        <v>228</v>
      </c>
      <c r="E73" s="15" t="s">
        <v>229</v>
      </c>
      <c r="F73" s="15" t="str">
        <f>+VLOOKUP(D73,[1]Sheet1!$D$2:$E$29166,2,0)</f>
        <v>XXXXW3XXX振动夹具组合件</v>
      </c>
      <c r="G73" s="3" t="s">
        <v>80</v>
      </c>
      <c r="H73" s="3">
        <v>5</v>
      </c>
      <c r="I73" s="18" t="e">
        <f t="array" ref="I73">INDEX([2]Sheet1!$F$1:$AF$65808,MATCH(D73&amp;G73&amp;I$1,[2]Sheet1!$B$1:$B$65808&amp;[2]Sheet1!$D$1:$D$65808&amp;[2]Sheet1!$E$1:$E$65808,0),MATCH(H73,[2]Sheet1!$F$1:$AF$1,0))</f>
        <v>#N/A</v>
      </c>
      <c r="J73" s="3">
        <v>1</v>
      </c>
      <c r="K73" s="3">
        <v>1</v>
      </c>
      <c r="L73" s="19">
        <v>8</v>
      </c>
      <c r="M73" s="19">
        <v>8</v>
      </c>
      <c r="N73" s="5" t="s">
        <v>127</v>
      </c>
      <c r="O73" s="4"/>
      <c r="P73" s="18">
        <v>1750</v>
      </c>
      <c r="Q73" s="3"/>
      <c r="R73" s="6"/>
      <c r="S73" s="22"/>
      <c r="U73" s="23">
        <f t="shared" si="1"/>
        <v>29.2</v>
      </c>
      <c r="V73" s="24" t="s">
        <v>2</v>
      </c>
    </row>
    <row r="74" spans="1:24" ht="23.1" hidden="1" customHeight="1" x14ac:dyDescent="0.25">
      <c r="A74" s="1" t="s">
        <v>121</v>
      </c>
      <c r="D74" s="3" t="s">
        <v>230</v>
      </c>
      <c r="E74" s="15" t="s">
        <v>229</v>
      </c>
      <c r="F74" s="15" t="str">
        <f>+VLOOKUP(D74,[1]Sheet1!$D$2:$E$29166,2,0)</f>
        <v>盖板</v>
      </c>
      <c r="G74" s="3" t="s">
        <v>80</v>
      </c>
      <c r="H74" s="3">
        <v>10</v>
      </c>
      <c r="I74" s="18" t="e">
        <f t="array" ref="I74">INDEX([2]Sheet1!$F$1:$AF$65808,MATCH(D74&amp;G74&amp;I$1,[2]Sheet1!$B$1:$B$65808&amp;[2]Sheet1!$D$1:$D$65808&amp;[2]Sheet1!$E$1:$E$65808,0),MATCH(H74,[2]Sheet1!$F$1:$AF$1,0))</f>
        <v>#N/A</v>
      </c>
      <c r="J74" s="3">
        <v>1</v>
      </c>
      <c r="K74" s="3">
        <v>1</v>
      </c>
      <c r="L74" s="19">
        <v>8</v>
      </c>
      <c r="M74" s="19">
        <v>8</v>
      </c>
      <c r="N74" s="5" t="s">
        <v>127</v>
      </c>
      <c r="O74" s="4"/>
      <c r="P74" s="18">
        <v>700</v>
      </c>
      <c r="Q74" s="3"/>
      <c r="R74" s="6"/>
      <c r="S74" s="22"/>
      <c r="U74" s="23">
        <f t="shared" si="1"/>
        <v>11.7</v>
      </c>
      <c r="V74" s="24" t="s">
        <v>2</v>
      </c>
    </row>
    <row r="75" spans="1:24" ht="23.1" hidden="1" customHeight="1" x14ac:dyDescent="0.25">
      <c r="A75" s="1" t="s">
        <v>121</v>
      </c>
      <c r="D75" s="3" t="s">
        <v>231</v>
      </c>
      <c r="E75" s="15" t="s">
        <v>232</v>
      </c>
      <c r="F75" s="15" t="str">
        <f>+VLOOKUP(D75,[1]Sheet1!$D$2:$E$29166,2,0)</f>
        <v>光开关盖</v>
      </c>
      <c r="G75" s="3" t="s">
        <v>80</v>
      </c>
      <c r="H75" s="3">
        <v>25</v>
      </c>
      <c r="I75" s="18" t="e">
        <f t="array" ref="I75">INDEX([2]Sheet1!$F$1:$AF$65808,MATCH(D75&amp;G75&amp;I$1,[2]Sheet1!$B$1:$B$65808&amp;[2]Sheet1!$D$1:$D$65808&amp;[2]Sheet1!$E$1:$E$65808,0),MATCH(H75,[2]Sheet1!$F$1:$AF$1,0))</f>
        <v>#N/A</v>
      </c>
      <c r="J75" s="3">
        <v>660</v>
      </c>
      <c r="K75" s="3">
        <v>666</v>
      </c>
      <c r="L75" s="19">
        <v>8</v>
      </c>
      <c r="M75" s="19">
        <v>8</v>
      </c>
      <c r="N75" s="5" t="s">
        <v>192</v>
      </c>
      <c r="O75" s="4"/>
      <c r="P75" s="18">
        <v>5</v>
      </c>
      <c r="Q75" s="3"/>
      <c r="R75" s="6"/>
      <c r="S75" s="22"/>
      <c r="U75" s="23">
        <f t="shared" si="1"/>
        <v>55.5</v>
      </c>
      <c r="V75" s="24" t="s">
        <v>2</v>
      </c>
    </row>
    <row r="76" spans="1:24" ht="23.1" hidden="1" customHeight="1" x14ac:dyDescent="0.25">
      <c r="A76" s="1" t="s">
        <v>48</v>
      </c>
      <c r="E76" s="15" t="s">
        <v>233</v>
      </c>
      <c r="F76" s="15" t="e">
        <f>+VLOOKUP(D76,[1]Sheet1!$D$2:$E$29166,2,0)</f>
        <v>#N/A</v>
      </c>
      <c r="I76" s="18" t="e">
        <f t="array" ref="I76">INDEX([2]Sheet1!$F$1:$AF$65808,MATCH(D76&amp;G76&amp;I$1,[2]Sheet1!$B$1:$B$65808&amp;[2]Sheet1!$D$1:$D$65808&amp;[2]Sheet1!$E$1:$E$65808,0),MATCH(H76,[2]Sheet1!$F$1:$AF$1,0))</f>
        <v>#N/A</v>
      </c>
      <c r="J76" s="3">
        <v>1</v>
      </c>
      <c r="K76" s="3">
        <v>1</v>
      </c>
      <c r="L76" s="19">
        <v>8</v>
      </c>
      <c r="M76" s="19">
        <v>8</v>
      </c>
      <c r="O76" s="4"/>
      <c r="P76" s="18">
        <f t="array" ref="P76">IFERROR(INDEX([2]Sheet1!$F$1:$AF$65808,MATCH($D76&amp;$G76&amp;P$1,[2]Sheet1!$B$1:$B$65808&amp;[2]Sheet1!$D$1:$D$65808&amp;[2]Sheet1!$E$1:$E$65808,0),MATCH($H76,[2]Sheet1!$F$1:$AF$1,0)),0)</f>
        <v>0</v>
      </c>
      <c r="Q76" s="3"/>
      <c r="R76" s="6"/>
      <c r="S76" s="22"/>
      <c r="T76" s="7">
        <v>8</v>
      </c>
      <c r="U76" s="23">
        <f t="shared" si="1"/>
        <v>8</v>
      </c>
      <c r="V76" s="24" t="s">
        <v>2</v>
      </c>
      <c r="W76" s="7" t="s">
        <v>234</v>
      </c>
      <c r="X76" s="7" t="s">
        <v>235</v>
      </c>
    </row>
    <row r="77" spans="1:24" ht="23.1" hidden="1" customHeight="1" x14ac:dyDescent="0.25">
      <c r="A77" s="1" t="s">
        <v>53</v>
      </c>
      <c r="D77" s="3" t="s">
        <v>236</v>
      </c>
      <c r="E77" s="15" t="s">
        <v>237</v>
      </c>
      <c r="F77" s="15" t="e">
        <f>+VLOOKUP(D77,[1]Sheet1!$D$2:$E$29166,2,0)</f>
        <v>#N/A</v>
      </c>
      <c r="G77" s="3" t="s">
        <v>80</v>
      </c>
      <c r="H77" s="3">
        <v>25</v>
      </c>
      <c r="I77" s="18" t="e">
        <f t="array" ref="I77">INDEX([2]Sheet1!$F$1:$AF$65808,MATCH(D77&amp;G77&amp;I$1,[2]Sheet1!$B$1:$B$65808&amp;[2]Sheet1!$D$1:$D$65808&amp;[2]Sheet1!$E$1:$E$65808,0),MATCH(H77,[2]Sheet1!$F$1:$AF$1,0))</f>
        <v>#N/A</v>
      </c>
      <c r="J77" s="3">
        <v>660</v>
      </c>
      <c r="K77" s="3">
        <v>521</v>
      </c>
      <c r="L77" s="19">
        <v>8</v>
      </c>
      <c r="M77" s="19">
        <v>8</v>
      </c>
      <c r="N77" s="5" t="s">
        <v>192</v>
      </c>
      <c r="O77" s="4"/>
      <c r="P77" s="18">
        <v>4</v>
      </c>
      <c r="Q77" s="3"/>
      <c r="R77" s="6"/>
      <c r="S77" s="22"/>
      <c r="U77" s="23">
        <f t="shared" si="1"/>
        <v>34.700000000000003</v>
      </c>
      <c r="V77" s="24" t="s">
        <v>2</v>
      </c>
    </row>
    <row r="78" spans="1:24" ht="23.1" hidden="1" customHeight="1" x14ac:dyDescent="0.25">
      <c r="A78" s="1" t="s">
        <v>65</v>
      </c>
      <c r="D78" s="3" t="s">
        <v>238</v>
      </c>
      <c r="E78" s="15" t="s">
        <v>239</v>
      </c>
      <c r="F78" s="15" t="str">
        <f>+VLOOKUP(D78,[1]Sheet1!$D$2:$E$29166,2,0)</f>
        <v>激励器转接件</v>
      </c>
      <c r="G78" s="3" t="s">
        <v>147</v>
      </c>
      <c r="H78" s="3">
        <v>65</v>
      </c>
      <c r="I78" s="18" t="str">
        <f t="array" ref="I78">INDEX([2]Sheet1!$F$1:$AF$65808,MATCH(D78&amp;G78&amp;I$1,[2]Sheet1!$B$1:$B$65808&amp;[2]Sheet1!$D$1:$D$65808&amp;[2]Sheet1!$E$1:$E$65808,0),MATCH(H78,[2]Sheet1!$F$1:$AF$1,0))</f>
        <v>65/钳工</v>
      </c>
      <c r="J78" s="3">
        <v>12</v>
      </c>
      <c r="K78" s="3">
        <v>12</v>
      </c>
      <c r="L78" s="19">
        <v>8</v>
      </c>
      <c r="M78" s="19">
        <v>8</v>
      </c>
      <c r="N78" s="5" t="s">
        <v>189</v>
      </c>
      <c r="O78" s="4"/>
      <c r="P78" s="18">
        <f t="array" ref="P78">IFERROR(INDEX([2]Sheet1!$F$1:$AF$65808,MATCH($D78&amp;$G78&amp;P$1,[2]Sheet1!$B$1:$B$65808&amp;[2]Sheet1!$D$1:$D$65808&amp;[2]Sheet1!$E$1:$E$65808,0),MATCH($H78,[2]Sheet1!$F$1:$AF$1,0)),0)</f>
        <v>60</v>
      </c>
      <c r="Q78" s="3"/>
      <c r="R78" s="6"/>
      <c r="S78" s="22"/>
      <c r="U78" s="23">
        <f t="shared" si="1"/>
        <v>12</v>
      </c>
      <c r="V78" s="24" t="s">
        <v>2</v>
      </c>
    </row>
    <row r="79" spans="1:24" ht="23.1" hidden="1" customHeight="1" x14ac:dyDescent="0.25">
      <c r="A79" s="1" t="s">
        <v>74</v>
      </c>
      <c r="D79" s="3" t="s">
        <v>151</v>
      </c>
      <c r="E79" s="15" t="s">
        <v>229</v>
      </c>
      <c r="F79" s="15" t="str">
        <f>+VLOOKUP(D79,[1]Sheet1!$D$2:$E$29166,2,0)</f>
        <v>衬片</v>
      </c>
      <c r="G79" s="3" t="s">
        <v>80</v>
      </c>
      <c r="H79" s="3">
        <v>10</v>
      </c>
      <c r="I79" s="18" t="e">
        <f t="array" ref="I79">INDEX([2]Sheet1!$F$1:$AF$65808,MATCH(D79&amp;G79&amp;I$1,[2]Sheet1!$B$1:$B$65808&amp;[2]Sheet1!$D$1:$D$65808&amp;[2]Sheet1!$E$1:$E$65808,0),MATCH(H79,[2]Sheet1!$F$1:$AF$1,0))</f>
        <v>#N/A</v>
      </c>
      <c r="J79" s="3">
        <v>2</v>
      </c>
      <c r="K79" s="3">
        <v>2</v>
      </c>
      <c r="L79" s="19">
        <v>8</v>
      </c>
      <c r="M79" s="19">
        <v>8</v>
      </c>
      <c r="N79" s="5" t="s">
        <v>127</v>
      </c>
      <c r="O79" s="4"/>
      <c r="P79" s="18">
        <v>960</v>
      </c>
      <c r="Q79" s="3"/>
      <c r="R79" s="6"/>
      <c r="S79" s="22"/>
      <c r="U79" s="23">
        <f t="shared" si="1"/>
        <v>32</v>
      </c>
      <c r="V79" s="24" t="s">
        <v>2</v>
      </c>
      <c r="W79" s="7">
        <v>238</v>
      </c>
    </row>
    <row r="80" spans="1:24" ht="23.1" hidden="1" customHeight="1" x14ac:dyDescent="0.25">
      <c r="A80" s="1" t="s">
        <v>74</v>
      </c>
      <c r="D80" s="3" t="s">
        <v>240</v>
      </c>
      <c r="E80" s="15" t="s">
        <v>241</v>
      </c>
      <c r="F80" s="15" t="str">
        <f>+VLOOKUP(D80,[1]Sheet1!$D$2:$E$29166,2,0)</f>
        <v>XXXXW1XXXX振动夹具组合件</v>
      </c>
      <c r="G80" s="3" t="s">
        <v>80</v>
      </c>
      <c r="H80" s="3">
        <v>5</v>
      </c>
      <c r="I80" s="18" t="e">
        <f t="array" ref="I80">INDEX([2]Sheet1!$F$1:$AF$65808,MATCH(D80&amp;G80&amp;I$1,[2]Sheet1!$B$1:$B$65808&amp;[2]Sheet1!$D$1:$D$65808&amp;[2]Sheet1!$E$1:$E$65808,0),MATCH(H80,[2]Sheet1!$F$1:$AF$1,0))</f>
        <v>#N/A</v>
      </c>
      <c r="J80" s="3">
        <v>2</v>
      </c>
      <c r="K80" s="3">
        <v>2</v>
      </c>
      <c r="L80" s="19">
        <v>8</v>
      </c>
      <c r="M80" s="19">
        <v>8</v>
      </c>
      <c r="N80" s="5" t="s">
        <v>127</v>
      </c>
      <c r="O80" s="4"/>
      <c r="P80" s="18">
        <v>2400</v>
      </c>
      <c r="Q80" s="3"/>
      <c r="R80" s="6"/>
      <c r="S80" s="22"/>
      <c r="U80" s="23">
        <f t="shared" si="1"/>
        <v>80</v>
      </c>
      <c r="V80" s="24" t="s">
        <v>2</v>
      </c>
      <c r="W80" s="7">
        <v>238</v>
      </c>
    </row>
    <row r="81" spans="1:24" ht="23.1" hidden="1" customHeight="1" x14ac:dyDescent="0.25">
      <c r="A81" s="1" t="s">
        <v>89</v>
      </c>
      <c r="D81" s="3" t="s">
        <v>242</v>
      </c>
      <c r="E81" s="15" t="s">
        <v>243</v>
      </c>
      <c r="F81" s="15" t="str">
        <f>+VLOOKUP(D81,[1]Sheet1!$D$2:$E$29166,2,0)</f>
        <v>XXX阴极座</v>
      </c>
      <c r="G81" s="3" t="s">
        <v>80</v>
      </c>
      <c r="H81" s="3">
        <v>10</v>
      </c>
      <c r="I81" s="18" t="e">
        <f t="array" ref="I81">INDEX([2]Sheet1!$F$1:$AF$65808,MATCH(D81&amp;G81&amp;I$1,[2]Sheet1!$B$1:$B$65808&amp;[2]Sheet1!$D$1:$D$65808&amp;[2]Sheet1!$E$1:$E$65808,0),MATCH(H81,[2]Sheet1!$F$1:$AF$1,0))</f>
        <v>#N/A</v>
      </c>
      <c r="J81" s="3">
        <v>2</v>
      </c>
      <c r="K81" s="3">
        <v>1</v>
      </c>
      <c r="L81" s="19">
        <v>8</v>
      </c>
      <c r="M81" s="19">
        <v>8</v>
      </c>
      <c r="N81" s="5" t="s">
        <v>127</v>
      </c>
      <c r="O81" s="4"/>
      <c r="P81" s="18">
        <v>1450</v>
      </c>
      <c r="Q81" s="3"/>
      <c r="R81" s="6"/>
      <c r="S81" s="22"/>
      <c r="U81" s="23">
        <f t="shared" si="1"/>
        <v>24.2</v>
      </c>
      <c r="V81" s="24" t="s">
        <v>2</v>
      </c>
    </row>
    <row r="82" spans="1:24" ht="23.1" hidden="1" customHeight="1" x14ac:dyDescent="0.25">
      <c r="A82" s="1" t="s">
        <v>89</v>
      </c>
      <c r="D82" s="3" t="s">
        <v>244</v>
      </c>
      <c r="E82" s="15" t="s">
        <v>243</v>
      </c>
      <c r="F82" s="15" t="str">
        <f>+VLOOKUP(D82,[1]Sheet1!$D$2:$E$29166,2,0)</f>
        <v>XXXXXXX离心夹具2组合件</v>
      </c>
      <c r="G82" s="3" t="s">
        <v>80</v>
      </c>
      <c r="H82" s="3">
        <v>5</v>
      </c>
      <c r="I82" s="18" t="e">
        <f t="array" ref="I82">INDEX([2]Sheet1!$F$1:$AF$65808,MATCH(D82&amp;G82&amp;I$1,[2]Sheet1!$B$1:$B$65808&amp;[2]Sheet1!$D$1:$D$65808&amp;[2]Sheet1!$E$1:$E$65808,0),MATCH(H82,[2]Sheet1!$F$1:$AF$1,0))</f>
        <v>#N/A</v>
      </c>
      <c r="J82" s="3">
        <v>2</v>
      </c>
      <c r="K82" s="3">
        <v>1</v>
      </c>
      <c r="L82" s="19">
        <v>8</v>
      </c>
      <c r="M82" s="19">
        <v>8</v>
      </c>
      <c r="N82" s="5" t="s">
        <v>127</v>
      </c>
      <c r="O82" s="4"/>
      <c r="P82" s="18">
        <v>580</v>
      </c>
      <c r="Q82" s="3"/>
      <c r="R82" s="6"/>
      <c r="S82" s="22"/>
      <c r="U82" s="23">
        <f t="shared" si="1"/>
        <v>9.6999999999999993</v>
      </c>
      <c r="V82" s="24" t="s">
        <v>2</v>
      </c>
    </row>
    <row r="83" spans="1:24" ht="23.1" hidden="1" customHeight="1" x14ac:dyDescent="0.25">
      <c r="A83" s="1" t="s">
        <v>89</v>
      </c>
      <c r="D83" s="3" t="s">
        <v>245</v>
      </c>
      <c r="E83" s="15" t="s">
        <v>246</v>
      </c>
      <c r="F83" s="15" t="str">
        <f>+VLOOKUP(D83,[1]Sheet1!$D$2:$E$29166,2,0)</f>
        <v>环</v>
      </c>
      <c r="G83" s="3" t="s">
        <v>46</v>
      </c>
      <c r="H83" s="3">
        <v>5</v>
      </c>
      <c r="I83" s="18" t="str">
        <f t="array" ref="I83">INDEX([2]Sheet1!$F$1:$AF$65808,MATCH(D83&amp;G83&amp;I$1,[2]Sheet1!$B$1:$B$65808&amp;[2]Sheet1!$D$1:$D$65808&amp;[2]Sheet1!$E$1:$E$65808,0),MATCH(H83,[2]Sheet1!$F$1:$AF$1,0))</f>
        <v>5/钳工</v>
      </c>
      <c r="J83" s="3">
        <v>82</v>
      </c>
      <c r="K83" s="3">
        <v>124</v>
      </c>
      <c r="L83" s="19">
        <v>8</v>
      </c>
      <c r="M83" s="19">
        <v>8</v>
      </c>
      <c r="O83" s="4"/>
      <c r="P83" s="18">
        <f t="array" ref="P83">IFERROR(INDEX([2]Sheet1!$F$1:$AF$65808,MATCH($D83&amp;$G83&amp;P$1,[2]Sheet1!$B$1:$B$65808&amp;[2]Sheet1!$D$1:$D$65808&amp;[2]Sheet1!$E$1:$E$65808,0),MATCH($H83,[2]Sheet1!$F$1:$AF$1,0)),0)</f>
        <v>5</v>
      </c>
      <c r="Q83" s="3"/>
      <c r="R83" s="6"/>
      <c r="S83" s="22"/>
      <c r="U83" s="23">
        <f t="shared" si="1"/>
        <v>10.3</v>
      </c>
      <c r="V83" s="24" t="s">
        <v>2</v>
      </c>
      <c r="W83" s="7" t="s">
        <v>247</v>
      </c>
    </row>
    <row r="84" spans="1:24" ht="23.1" hidden="1" customHeight="1" x14ac:dyDescent="0.25">
      <c r="A84" s="1" t="s">
        <v>89</v>
      </c>
      <c r="D84" s="3" t="s">
        <v>248</v>
      </c>
      <c r="E84" s="15" t="s">
        <v>249</v>
      </c>
      <c r="F84" s="15" t="str">
        <f>+VLOOKUP(D84,[1]Sheet1!$D$2:$E$29166,2,0)</f>
        <v>对穿螺栓</v>
      </c>
      <c r="G84" s="3" t="s">
        <v>46</v>
      </c>
      <c r="H84" s="3">
        <v>40</v>
      </c>
      <c r="I84" s="18" t="str">
        <f t="array" ref="I84">INDEX([2]Sheet1!$F$1:$AF$65808,MATCH(D84&amp;G84&amp;I$1,[2]Sheet1!$B$1:$B$65808&amp;[2]Sheet1!$D$1:$D$65808&amp;[2]Sheet1!$E$1:$E$65808,0),MATCH(H84,[2]Sheet1!$F$1:$AF$1,0))</f>
        <v>35数车10</v>
      </c>
      <c r="J84" s="3">
        <v>4</v>
      </c>
      <c r="K84" s="3">
        <v>4</v>
      </c>
      <c r="L84" s="19">
        <v>8</v>
      </c>
      <c r="M84" s="19">
        <v>8</v>
      </c>
      <c r="N84" s="5" t="s">
        <v>250</v>
      </c>
      <c r="O84" s="4"/>
      <c r="P84" s="18">
        <f t="array" ref="P84">IFERROR(INDEX([2]Sheet1!$F$1:$AF$65808,MATCH($D84&amp;$G84&amp;P$1,[2]Sheet1!$B$1:$B$65808&amp;[2]Sheet1!$D$1:$D$65808&amp;[2]Sheet1!$E$1:$E$65808,0),MATCH($H84,[2]Sheet1!$F$1:$AF$1,0)),0)</f>
        <v>25</v>
      </c>
      <c r="Q84" s="3"/>
      <c r="R84" s="6"/>
      <c r="S84" s="22"/>
      <c r="U84" s="23">
        <f t="shared" si="1"/>
        <v>1.7</v>
      </c>
      <c r="V84" s="24" t="s">
        <v>2</v>
      </c>
    </row>
    <row r="85" spans="1:24" ht="23.1" hidden="1" customHeight="1" x14ac:dyDescent="0.25">
      <c r="A85" s="1" t="s">
        <v>89</v>
      </c>
      <c r="D85" s="3" t="s">
        <v>251</v>
      </c>
      <c r="E85" s="15" t="s">
        <v>252</v>
      </c>
      <c r="F85" s="15" t="str">
        <f>+VLOOKUP(D85,[1]Sheet1!$D$2:$E$29166,2,0)</f>
        <v>卡箍扣</v>
      </c>
      <c r="G85" s="3" t="s">
        <v>46</v>
      </c>
      <c r="H85" s="3">
        <v>45</v>
      </c>
      <c r="I85" s="18" t="str">
        <f t="array" ref="I85">INDEX([2]Sheet1!$F$1:$AF$65808,MATCH(D85&amp;G85&amp;I$1,[2]Sheet1!$B$1:$B$65808&amp;[2]Sheet1!$D$1:$D$65808&amp;[2]Sheet1!$E$1:$E$65808,0),MATCH(H85,[2]Sheet1!$F$1:$AF$1,0))</f>
        <v>45/钳工</v>
      </c>
      <c r="J85" s="3">
        <v>40</v>
      </c>
      <c r="K85" s="3">
        <v>43</v>
      </c>
      <c r="L85" s="19">
        <v>8</v>
      </c>
      <c r="M85" s="19">
        <v>8</v>
      </c>
      <c r="N85" s="5" t="s">
        <v>85</v>
      </c>
      <c r="O85" s="4"/>
      <c r="P85" s="18" t="str">
        <f t="array" ref="P85">IFERROR(INDEX([2]Sheet1!$F$1:$AF$65808,MATCH($D85&amp;$G85&amp;P$1,[2]Sheet1!$B$1:$B$65808&amp;[2]Sheet1!$D$1:$D$65808&amp;[2]Sheet1!$E$1:$E$65808,0),MATCH($H85,[2]Sheet1!$F$1:$AF$1,0)),0)</f>
        <v>25</v>
      </c>
      <c r="Q85" s="3"/>
      <c r="R85" s="6"/>
      <c r="S85" s="22"/>
      <c r="U85" s="23">
        <f t="shared" si="1"/>
        <v>17.899999999999999</v>
      </c>
      <c r="V85" s="24" t="s">
        <v>2</v>
      </c>
    </row>
    <row r="86" spans="1:24" ht="23.1" hidden="1" customHeight="1" x14ac:dyDescent="0.25">
      <c r="A86" s="1" t="s">
        <v>100</v>
      </c>
      <c r="D86" s="3" t="s">
        <v>253</v>
      </c>
      <c r="E86" s="15" t="s">
        <v>254</v>
      </c>
      <c r="F86" s="15" t="e">
        <f>+VLOOKUP(D86,[1]Sheet1!$D$2:$E$29166,2,0)</f>
        <v>#N/A</v>
      </c>
      <c r="H86" s="3" t="s">
        <v>201</v>
      </c>
      <c r="I86" s="18" t="e">
        <f t="array" ref="I86">INDEX([2]Sheet1!$F$1:$AF$65808,MATCH(D86&amp;G86&amp;I$1,[2]Sheet1!$B$1:$B$65808&amp;[2]Sheet1!$D$1:$D$65808&amp;[2]Sheet1!$E$1:$E$65808,0),MATCH(H86,[2]Sheet1!$F$1:$AF$1,0))</f>
        <v>#N/A</v>
      </c>
      <c r="K86" s="3">
        <v>23</v>
      </c>
      <c r="L86" s="19">
        <v>8</v>
      </c>
      <c r="M86" s="19">
        <v>8</v>
      </c>
      <c r="N86" s="5" t="s">
        <v>189</v>
      </c>
      <c r="O86" s="4"/>
      <c r="P86" s="18">
        <v>70</v>
      </c>
      <c r="Q86" s="3"/>
      <c r="R86" s="6"/>
      <c r="S86" s="22"/>
      <c r="U86" s="23">
        <f t="shared" si="1"/>
        <v>26.8</v>
      </c>
      <c r="V86" s="24" t="s">
        <v>2</v>
      </c>
      <c r="W86" s="7" t="s">
        <v>255</v>
      </c>
      <c r="X86" s="7" t="s">
        <v>235</v>
      </c>
    </row>
    <row r="87" spans="1:24" ht="23.1" hidden="1" customHeight="1" x14ac:dyDescent="0.25">
      <c r="A87" s="1" t="s">
        <v>100</v>
      </c>
      <c r="D87" s="3" t="s">
        <v>256</v>
      </c>
      <c r="E87" s="15" t="s">
        <v>55</v>
      </c>
      <c r="F87" s="15" t="str">
        <f>+VLOOKUP(D87,[1]Sheet1!$D$2:$E$29166,2,0)</f>
        <v>接头</v>
      </c>
      <c r="G87" s="3" t="s">
        <v>80</v>
      </c>
      <c r="H87" s="3" t="s">
        <v>201</v>
      </c>
      <c r="I87" s="18" t="e">
        <f t="array" ref="I87">INDEX([2]Sheet1!$F$1:$AF$65808,MATCH(D87&amp;G87&amp;I$1,[2]Sheet1!$B$1:$B$65808&amp;[2]Sheet1!$D$1:$D$65808&amp;[2]Sheet1!$E$1:$E$65808,0),MATCH(H87,[2]Sheet1!$F$1:$AF$1,0))</f>
        <v>#N/A</v>
      </c>
      <c r="K87" s="3">
        <v>8</v>
      </c>
      <c r="L87" s="19">
        <v>8</v>
      </c>
      <c r="M87" s="19">
        <v>8</v>
      </c>
      <c r="N87" s="5" t="s">
        <v>81</v>
      </c>
      <c r="O87" s="4"/>
      <c r="P87" s="18">
        <v>15</v>
      </c>
      <c r="Q87" s="3"/>
      <c r="R87" s="6"/>
      <c r="S87" s="22"/>
      <c r="U87" s="23">
        <f t="shared" si="1"/>
        <v>2</v>
      </c>
      <c r="V87" s="24" t="s">
        <v>2</v>
      </c>
      <c r="W87" s="7" t="s">
        <v>257</v>
      </c>
      <c r="X87" s="7" t="s">
        <v>203</v>
      </c>
    </row>
    <row r="88" spans="1:24" ht="23.1" hidden="1" customHeight="1" x14ac:dyDescent="0.25">
      <c r="A88" s="1" t="s">
        <v>48</v>
      </c>
      <c r="D88" s="3" t="s">
        <v>135</v>
      </c>
      <c r="E88" s="15" t="s">
        <v>136</v>
      </c>
      <c r="F88" s="15" t="str">
        <f>+VLOOKUP(D88,[1]Sheet1!$D$2:$E$29166,2,0)</f>
        <v>密封圈3</v>
      </c>
      <c r="G88" s="3" t="s">
        <v>80</v>
      </c>
      <c r="H88" s="3">
        <v>40</v>
      </c>
      <c r="I88" s="18" t="e">
        <f t="array" ref="I88">INDEX([2]Sheet1!$F$1:$AF$65808,MATCH(D88&amp;G88&amp;I$1,[2]Sheet1!$B$1:$B$65808&amp;[2]Sheet1!$D$1:$D$65808&amp;[2]Sheet1!$E$1:$E$65808,0),MATCH(H88,[2]Sheet1!$F$1:$AF$1,0))</f>
        <v>#N/A</v>
      </c>
      <c r="J88" s="3">
        <v>2299</v>
      </c>
      <c r="K88" s="3">
        <v>1200</v>
      </c>
      <c r="L88" s="19">
        <v>8</v>
      </c>
      <c r="M88" s="19">
        <v>8</v>
      </c>
      <c r="N88" s="5" t="s">
        <v>137</v>
      </c>
      <c r="O88" s="4"/>
      <c r="P88" s="18">
        <v>3</v>
      </c>
      <c r="Q88" s="3"/>
      <c r="R88" s="6"/>
      <c r="S88" s="22"/>
      <c r="U88" s="23">
        <f t="shared" si="1"/>
        <v>60</v>
      </c>
      <c r="V88" s="24" t="s">
        <v>10</v>
      </c>
    </row>
    <row r="89" spans="1:24" ht="23.1" hidden="1" customHeight="1" x14ac:dyDescent="0.25">
      <c r="A89" s="1" t="s">
        <v>58</v>
      </c>
      <c r="D89" s="3" t="s">
        <v>258</v>
      </c>
      <c r="E89" s="15" t="s">
        <v>259</v>
      </c>
      <c r="F89" s="15" t="str">
        <f>+VLOOKUP(D89,[1]Sheet1!$D$2:$E$29166,2,0)</f>
        <v>4#下垫片</v>
      </c>
      <c r="G89" s="3" t="s">
        <v>46</v>
      </c>
      <c r="H89" s="3">
        <v>20</v>
      </c>
      <c r="I89" s="18" t="str">
        <f t="array" ref="I89">INDEX([2]Sheet1!$F$1:$AF$65808,MATCH(D89&amp;G89&amp;I$1,[2]Sheet1!$B$1:$B$65808&amp;[2]Sheet1!$D$1:$D$65808&amp;[2]Sheet1!$E$1:$E$65808,0),MATCH(H89,[2]Sheet1!$F$1:$AF$1,0))</f>
        <v>20/钳工</v>
      </c>
      <c r="J89" s="3">
        <v>20</v>
      </c>
      <c r="K89" s="3">
        <v>20</v>
      </c>
      <c r="L89" s="19">
        <v>8</v>
      </c>
      <c r="M89" s="19">
        <v>8</v>
      </c>
      <c r="N89" s="5" t="s">
        <v>260</v>
      </c>
      <c r="O89" s="4"/>
      <c r="P89" s="18">
        <f t="array" ref="P89">IFERROR(INDEX([2]Sheet1!$F$1:$AF$65808,MATCH($D89&amp;$G89&amp;P$1,[2]Sheet1!$B$1:$B$65808&amp;[2]Sheet1!$D$1:$D$65808&amp;[2]Sheet1!$E$1:$E$65808,0),MATCH($H89,[2]Sheet1!$F$1:$AF$1,0)),0)</f>
        <v>20</v>
      </c>
      <c r="Q89" s="3"/>
      <c r="R89" s="6"/>
      <c r="S89" s="22"/>
      <c r="U89" s="23">
        <f t="shared" si="1"/>
        <v>6.7</v>
      </c>
      <c r="V89" s="24" t="s">
        <v>10</v>
      </c>
    </row>
    <row r="90" spans="1:24" ht="23.1" hidden="1" customHeight="1" x14ac:dyDescent="0.25">
      <c r="A90" s="1" t="s">
        <v>58</v>
      </c>
      <c r="D90" s="3" t="s">
        <v>258</v>
      </c>
      <c r="E90" s="15" t="s">
        <v>259</v>
      </c>
      <c r="F90" s="15" t="str">
        <f>+VLOOKUP(D90,[1]Sheet1!$D$2:$E$29166,2,0)</f>
        <v>4#下垫片</v>
      </c>
      <c r="G90" s="3" t="s">
        <v>46</v>
      </c>
      <c r="H90" s="3">
        <v>20</v>
      </c>
      <c r="I90" s="18" t="str">
        <f t="array" ref="I90">INDEX([2]Sheet1!$F$1:$AF$65808,MATCH(D90&amp;G90&amp;I$1,[2]Sheet1!$B$1:$B$65808&amp;[2]Sheet1!$D$1:$D$65808&amp;[2]Sheet1!$E$1:$E$65808,0),MATCH(H90,[2]Sheet1!$F$1:$AF$1,0))</f>
        <v>20/钳工</v>
      </c>
      <c r="J90" s="3">
        <v>20</v>
      </c>
      <c r="K90" s="3">
        <v>20</v>
      </c>
      <c r="L90" s="19">
        <v>8</v>
      </c>
      <c r="M90" s="19">
        <v>8</v>
      </c>
      <c r="N90" s="5" t="s">
        <v>261</v>
      </c>
      <c r="O90" s="4"/>
      <c r="P90" s="18">
        <f t="array" ref="P90">IFERROR(INDEX([2]Sheet1!$F$1:$AF$65808,MATCH($D90&amp;$G90&amp;P$1,[2]Sheet1!$B$1:$B$65808&amp;[2]Sheet1!$D$1:$D$65808&amp;[2]Sheet1!$E$1:$E$65808,0),MATCH($H90,[2]Sheet1!$F$1:$AF$1,0)),0)</f>
        <v>20</v>
      </c>
      <c r="Q90" s="3"/>
      <c r="R90" s="6"/>
      <c r="S90" s="22"/>
      <c r="U90" s="23">
        <f t="shared" si="1"/>
        <v>6.7</v>
      </c>
      <c r="V90" s="24" t="s">
        <v>10</v>
      </c>
    </row>
    <row r="91" spans="1:24" ht="23.1" hidden="1" customHeight="1" x14ac:dyDescent="0.25">
      <c r="A91" s="1" t="s">
        <v>58</v>
      </c>
      <c r="D91" s="3" t="s">
        <v>258</v>
      </c>
      <c r="E91" s="15" t="s">
        <v>259</v>
      </c>
      <c r="F91" s="15" t="str">
        <f>+VLOOKUP(D91,[1]Sheet1!$D$2:$E$29166,2,0)</f>
        <v>4#下垫片</v>
      </c>
      <c r="G91" s="3" t="s">
        <v>46</v>
      </c>
      <c r="H91" s="3">
        <v>20</v>
      </c>
      <c r="I91" s="18" t="str">
        <f t="array" ref="I91">INDEX([2]Sheet1!$F$1:$AF$65808,MATCH(D91&amp;G91&amp;I$1,[2]Sheet1!$B$1:$B$65808&amp;[2]Sheet1!$D$1:$D$65808&amp;[2]Sheet1!$E$1:$E$65808,0),MATCH(H91,[2]Sheet1!$F$1:$AF$1,0))</f>
        <v>20/钳工</v>
      </c>
      <c r="J91" s="3">
        <v>20</v>
      </c>
      <c r="K91" s="3">
        <v>20</v>
      </c>
      <c r="L91" s="19">
        <v>8</v>
      </c>
      <c r="M91" s="19">
        <v>8</v>
      </c>
      <c r="N91" s="5" t="s">
        <v>262</v>
      </c>
      <c r="O91" s="4"/>
      <c r="P91" s="18">
        <f t="array" ref="P91">IFERROR(INDEX([2]Sheet1!$F$1:$AF$65808,MATCH($D91&amp;$G91&amp;P$1,[2]Sheet1!$B$1:$B$65808&amp;[2]Sheet1!$D$1:$D$65808&amp;[2]Sheet1!$E$1:$E$65808,0),MATCH($H91,[2]Sheet1!$F$1:$AF$1,0)),0)</f>
        <v>20</v>
      </c>
      <c r="Q91" s="3"/>
      <c r="R91" s="6"/>
      <c r="S91" s="22"/>
      <c r="U91" s="23">
        <f t="shared" si="1"/>
        <v>6.7</v>
      </c>
      <c r="V91" s="24" t="s">
        <v>10</v>
      </c>
    </row>
    <row r="92" spans="1:24" ht="23.1" hidden="1" customHeight="1" x14ac:dyDescent="0.25">
      <c r="A92" s="1" t="s">
        <v>58</v>
      </c>
      <c r="D92" s="3" t="s">
        <v>258</v>
      </c>
      <c r="E92" s="26" t="s">
        <v>259</v>
      </c>
      <c r="F92" s="15" t="str">
        <f>+VLOOKUP(D92,[1]Sheet1!$D$2:$E$29166,2,0)</f>
        <v>4#下垫片</v>
      </c>
      <c r="G92" s="3" t="s">
        <v>46</v>
      </c>
      <c r="H92" s="3">
        <v>20</v>
      </c>
      <c r="I92" s="18" t="str">
        <f t="array" ref="I92">INDEX([2]Sheet1!$F$1:$AF$65808,MATCH(D92&amp;G92&amp;I$1,[2]Sheet1!$B$1:$B$65808&amp;[2]Sheet1!$D$1:$D$65808&amp;[2]Sheet1!$E$1:$E$65808,0),MATCH(H92,[2]Sheet1!$F$1:$AF$1,0))</f>
        <v>20/钳工</v>
      </c>
      <c r="J92" s="3">
        <v>20</v>
      </c>
      <c r="K92" s="3">
        <v>20</v>
      </c>
      <c r="L92" s="7"/>
      <c r="M92" s="7"/>
      <c r="N92" s="5" t="s">
        <v>263</v>
      </c>
      <c r="P92" s="18">
        <f t="array" ref="P92">IFERROR(INDEX([2]Sheet1!$F$1:$AF$65808,MATCH($D92&amp;$G92&amp;P$1,[2]Sheet1!$B$1:$B$65808&amp;[2]Sheet1!$D$1:$D$65808&amp;[2]Sheet1!$E$1:$E$65808,0),MATCH($H92,[2]Sheet1!$F$1:$AF$1,0)),0)</f>
        <v>20</v>
      </c>
      <c r="Q92" s="3"/>
      <c r="S92" s="7"/>
      <c r="U92" s="23">
        <f t="shared" si="1"/>
        <v>6.7</v>
      </c>
      <c r="V92" s="2" t="s">
        <v>10</v>
      </c>
    </row>
    <row r="93" spans="1:24" ht="23.1" hidden="1" customHeight="1" x14ac:dyDescent="0.25">
      <c r="A93" s="1" t="s">
        <v>58</v>
      </c>
      <c r="D93" s="3" t="s">
        <v>258</v>
      </c>
      <c r="E93" s="26" t="s">
        <v>259</v>
      </c>
      <c r="F93" s="15" t="str">
        <f>+VLOOKUP(D93,[1]Sheet1!$D$2:$E$29166,2,0)</f>
        <v>4#下垫片</v>
      </c>
      <c r="G93" s="3" t="s">
        <v>46</v>
      </c>
      <c r="H93" s="3">
        <v>20</v>
      </c>
      <c r="I93" s="18" t="str">
        <f t="array" ref="I93">INDEX([2]Sheet1!$F$1:$AF$65808,MATCH(D93&amp;G93&amp;I$1,[2]Sheet1!$B$1:$B$65808&amp;[2]Sheet1!$D$1:$D$65808&amp;[2]Sheet1!$E$1:$E$65808,0),MATCH(H93,[2]Sheet1!$F$1:$AF$1,0))</f>
        <v>20/钳工</v>
      </c>
      <c r="J93" s="3">
        <v>20</v>
      </c>
      <c r="K93" s="3">
        <v>20</v>
      </c>
      <c r="L93" s="7"/>
      <c r="M93" s="7"/>
      <c r="N93" s="5" t="s">
        <v>264</v>
      </c>
      <c r="P93" s="18">
        <f t="array" ref="P93">IFERROR(INDEX([2]Sheet1!$F$1:$AF$65808,MATCH($D93&amp;$G93&amp;P$1,[2]Sheet1!$B$1:$B$65808&amp;[2]Sheet1!$D$1:$D$65808&amp;[2]Sheet1!$E$1:$E$65808,0),MATCH($H93,[2]Sheet1!$F$1:$AF$1,0)),0)</f>
        <v>20</v>
      </c>
      <c r="Q93" s="3"/>
      <c r="S93" s="7"/>
      <c r="U93" s="23">
        <f t="shared" si="1"/>
        <v>6.7</v>
      </c>
      <c r="V93" s="2" t="s">
        <v>10</v>
      </c>
    </row>
    <row r="94" spans="1:24" ht="23.1" hidden="1" customHeight="1" x14ac:dyDescent="0.25">
      <c r="A94" s="1" t="s">
        <v>65</v>
      </c>
      <c r="D94" s="3" t="s">
        <v>265</v>
      </c>
      <c r="E94" s="15" t="s">
        <v>266</v>
      </c>
      <c r="F94" s="15" t="str">
        <f>+VLOOKUP(D94,[1]Sheet1!$D$2:$E$29166,2,0)</f>
        <v>4#上垫片</v>
      </c>
      <c r="G94" s="3" t="s">
        <v>46</v>
      </c>
      <c r="H94" s="3">
        <v>20</v>
      </c>
      <c r="I94" s="18" t="str">
        <f t="array" ref="I94">INDEX([2]Sheet1!$F$1:$AF$65808,MATCH(D94&amp;G94&amp;I$1,[2]Sheet1!$B$1:$B$65808&amp;[2]Sheet1!$D$1:$D$65808&amp;[2]Sheet1!$E$1:$E$65808,0),MATCH(H94,[2]Sheet1!$F$1:$AF$1,0))</f>
        <v>20/钳工</v>
      </c>
      <c r="J94" s="3">
        <v>20</v>
      </c>
      <c r="K94" s="3">
        <v>20</v>
      </c>
      <c r="L94" s="19">
        <v>8</v>
      </c>
      <c r="M94" s="19">
        <v>8</v>
      </c>
      <c r="N94" s="5" t="s">
        <v>263</v>
      </c>
      <c r="O94" s="4"/>
      <c r="P94" s="18">
        <f t="array" ref="P94">IFERROR(INDEX([2]Sheet1!$F$1:$AF$65808,MATCH($D94&amp;$G94&amp;P$1,[2]Sheet1!$B$1:$B$65808&amp;[2]Sheet1!$D$1:$D$65808&amp;[2]Sheet1!$E$1:$E$65808,0),MATCH($H94,[2]Sheet1!$F$1:$AF$1,0)),0)</f>
        <v>20</v>
      </c>
      <c r="Q94" s="3"/>
      <c r="R94" s="6"/>
      <c r="S94" s="22"/>
      <c r="U94" s="23">
        <f t="shared" si="1"/>
        <v>6.7</v>
      </c>
      <c r="V94" s="24" t="s">
        <v>10</v>
      </c>
    </row>
    <row r="95" spans="1:24" ht="23.1" hidden="1" customHeight="1" x14ac:dyDescent="0.25">
      <c r="A95" s="1" t="s">
        <v>65</v>
      </c>
      <c r="D95" s="3" t="s">
        <v>265</v>
      </c>
      <c r="E95" s="15" t="s">
        <v>266</v>
      </c>
      <c r="F95" s="15" t="str">
        <f>+VLOOKUP(D95,[1]Sheet1!$D$2:$E$29166,2,0)</f>
        <v>4#上垫片</v>
      </c>
      <c r="G95" s="3" t="s">
        <v>46</v>
      </c>
      <c r="H95" s="3">
        <v>20</v>
      </c>
      <c r="I95" s="18" t="str">
        <f t="array" ref="I95">INDEX([2]Sheet1!$F$1:$AF$65808,MATCH(D95&amp;G95&amp;I$1,[2]Sheet1!$B$1:$B$65808&amp;[2]Sheet1!$D$1:$D$65808&amp;[2]Sheet1!$E$1:$E$65808,0),MATCH(H95,[2]Sheet1!$F$1:$AF$1,0))</f>
        <v>20/钳工</v>
      </c>
      <c r="J95" s="3">
        <v>20</v>
      </c>
      <c r="K95" s="3">
        <v>20</v>
      </c>
      <c r="L95" s="19">
        <v>8</v>
      </c>
      <c r="M95" s="19">
        <v>8</v>
      </c>
      <c r="N95" s="5" t="s">
        <v>262</v>
      </c>
      <c r="O95" s="4"/>
      <c r="P95" s="18">
        <f t="array" ref="P95">IFERROR(INDEX([2]Sheet1!$F$1:$AF$65808,MATCH($D95&amp;$G95&amp;P$1,[2]Sheet1!$B$1:$B$65808&amp;[2]Sheet1!$D$1:$D$65808&amp;[2]Sheet1!$E$1:$E$65808,0),MATCH($H95,[2]Sheet1!$F$1:$AF$1,0)),0)</f>
        <v>20</v>
      </c>
      <c r="Q95" s="3"/>
      <c r="R95" s="6"/>
      <c r="S95" s="22"/>
      <c r="U95" s="23">
        <f t="shared" si="1"/>
        <v>6.7</v>
      </c>
      <c r="V95" s="24" t="s">
        <v>10</v>
      </c>
    </row>
    <row r="96" spans="1:24" ht="23.1" hidden="1" customHeight="1" x14ac:dyDescent="0.25">
      <c r="A96" s="1" t="s">
        <v>65</v>
      </c>
      <c r="D96" s="3" t="s">
        <v>265</v>
      </c>
      <c r="E96" s="15" t="s">
        <v>266</v>
      </c>
      <c r="F96" s="15" t="str">
        <f>+VLOOKUP(D96,[1]Sheet1!$D$2:$E$29166,2,0)</f>
        <v>4#上垫片</v>
      </c>
      <c r="G96" s="3" t="s">
        <v>46</v>
      </c>
      <c r="H96" s="3">
        <v>20</v>
      </c>
      <c r="I96" s="18" t="str">
        <f t="array" ref="I96">INDEX([2]Sheet1!$F$1:$AF$65808,MATCH(D96&amp;G96&amp;I$1,[2]Sheet1!$B$1:$B$65808&amp;[2]Sheet1!$D$1:$D$65808&amp;[2]Sheet1!$E$1:$E$65808,0),MATCH(H96,[2]Sheet1!$F$1:$AF$1,0))</f>
        <v>20/钳工</v>
      </c>
      <c r="J96" s="3">
        <v>20</v>
      </c>
      <c r="K96" s="3">
        <v>20</v>
      </c>
      <c r="L96" s="19">
        <v>8</v>
      </c>
      <c r="M96" s="19">
        <v>8</v>
      </c>
      <c r="N96" s="5" t="s">
        <v>261</v>
      </c>
      <c r="O96" s="4"/>
      <c r="P96" s="18">
        <f t="array" ref="P96">IFERROR(INDEX([2]Sheet1!$F$1:$AF$65808,MATCH($D96&amp;$G96&amp;P$1,[2]Sheet1!$B$1:$B$65808&amp;[2]Sheet1!$D$1:$D$65808&amp;[2]Sheet1!$E$1:$E$65808,0),MATCH($H96,[2]Sheet1!$F$1:$AF$1,0)),0)</f>
        <v>20</v>
      </c>
      <c r="Q96" s="3"/>
      <c r="R96" s="6"/>
      <c r="S96" s="22"/>
      <c r="U96" s="23">
        <f t="shared" si="1"/>
        <v>6.7</v>
      </c>
      <c r="V96" s="24" t="s">
        <v>10</v>
      </c>
    </row>
    <row r="97" spans="1:22" ht="23.1" hidden="1" customHeight="1" x14ac:dyDescent="0.25">
      <c r="A97" s="1" t="s">
        <v>65</v>
      </c>
      <c r="D97" s="3" t="s">
        <v>265</v>
      </c>
      <c r="E97" s="15" t="s">
        <v>266</v>
      </c>
      <c r="F97" s="15" t="str">
        <f>+VLOOKUP(D97,[1]Sheet1!$D$2:$E$29166,2,0)</f>
        <v>4#上垫片</v>
      </c>
      <c r="G97" s="3" t="s">
        <v>46</v>
      </c>
      <c r="H97" s="3">
        <v>20</v>
      </c>
      <c r="I97" s="18" t="str">
        <f t="array" ref="I97">INDEX([2]Sheet1!$F$1:$AF$65808,MATCH(D97&amp;G97&amp;I$1,[2]Sheet1!$B$1:$B$65808&amp;[2]Sheet1!$D$1:$D$65808&amp;[2]Sheet1!$E$1:$E$65808,0),MATCH(H97,[2]Sheet1!$F$1:$AF$1,0))</f>
        <v>20/钳工</v>
      </c>
      <c r="J97" s="3">
        <v>20</v>
      </c>
      <c r="K97" s="3">
        <v>20</v>
      </c>
      <c r="L97" s="19">
        <v>8</v>
      </c>
      <c r="M97" s="19">
        <v>8</v>
      </c>
      <c r="N97" s="5" t="s">
        <v>260</v>
      </c>
      <c r="O97" s="4"/>
      <c r="P97" s="18">
        <f t="array" ref="P97">IFERROR(INDEX([2]Sheet1!$F$1:$AF$65808,MATCH($D97&amp;$G97&amp;P$1,[2]Sheet1!$B$1:$B$65808&amp;[2]Sheet1!$D$1:$D$65808&amp;[2]Sheet1!$E$1:$E$65808,0),MATCH($H97,[2]Sheet1!$F$1:$AF$1,0)),0)</f>
        <v>20</v>
      </c>
      <c r="Q97" s="3"/>
      <c r="R97" s="6"/>
      <c r="S97" s="22"/>
      <c r="U97" s="23">
        <f t="shared" si="1"/>
        <v>6.7</v>
      </c>
      <c r="V97" s="24" t="s">
        <v>10</v>
      </c>
    </row>
    <row r="98" spans="1:22" ht="23.1" hidden="1" customHeight="1" x14ac:dyDescent="0.25">
      <c r="A98" s="1" t="s">
        <v>65</v>
      </c>
      <c r="D98" s="3" t="s">
        <v>267</v>
      </c>
      <c r="E98" s="15" t="s">
        <v>268</v>
      </c>
      <c r="F98" s="15" t="str">
        <f>+VLOOKUP(D98,[1]Sheet1!$D$2:$E$29166,2,0)</f>
        <v>接嘴</v>
      </c>
      <c r="G98" s="3" t="s">
        <v>46</v>
      </c>
      <c r="H98" s="3">
        <v>15</v>
      </c>
      <c r="I98" s="18" t="str">
        <f t="array" ref="I98">INDEX([2]Sheet1!$F$1:$AF$65808,MATCH(D98&amp;G98&amp;I$1,[2]Sheet1!$B$1:$B$65808&amp;[2]Sheet1!$D$1:$D$65808&amp;[2]Sheet1!$E$1:$E$65808,0),MATCH(H98,[2]Sheet1!$F$1:$AF$1,0))</f>
        <v>15钳工</v>
      </c>
      <c r="J98" s="3">
        <v>80</v>
      </c>
      <c r="K98" s="3">
        <v>80</v>
      </c>
      <c r="L98" s="19">
        <v>8</v>
      </c>
      <c r="M98" s="19">
        <v>8</v>
      </c>
      <c r="N98" s="5" t="s">
        <v>88</v>
      </c>
      <c r="O98" s="4"/>
      <c r="P98" s="18" t="str">
        <f t="array" ref="P98">IFERROR(INDEX([2]Sheet1!$F$1:$AF$65808,MATCH($D98&amp;$G98&amp;P$1,[2]Sheet1!$B$1:$B$65808&amp;[2]Sheet1!$D$1:$D$65808&amp;[2]Sheet1!$E$1:$E$65808,0),MATCH($H98,[2]Sheet1!$F$1:$AF$1,0)),0)</f>
        <v>30</v>
      </c>
      <c r="Q98" s="3"/>
      <c r="R98" s="6"/>
      <c r="S98" s="22"/>
      <c r="U98" s="23">
        <f t="shared" si="1"/>
        <v>40</v>
      </c>
      <c r="V98" s="24" t="s">
        <v>10</v>
      </c>
    </row>
    <row r="99" spans="1:22" ht="23.1" hidden="1" customHeight="1" x14ac:dyDescent="0.25">
      <c r="A99" s="1" t="s">
        <v>71</v>
      </c>
      <c r="D99" s="3" t="s">
        <v>269</v>
      </c>
      <c r="E99" s="15" t="s">
        <v>270</v>
      </c>
      <c r="F99" s="15" t="str">
        <f>+VLOOKUP(D99,[1]Sheet1!$D$2:$E$29166,2,0)</f>
        <v>转接嘴</v>
      </c>
      <c r="G99" s="3" t="s">
        <v>46</v>
      </c>
      <c r="H99" s="3">
        <v>20</v>
      </c>
      <c r="I99" s="18" t="str">
        <f t="array" ref="I99">INDEX([2]Sheet1!$F$1:$AF$65808,MATCH(D99&amp;G99&amp;I$1,[2]Sheet1!$B$1:$B$65808&amp;[2]Sheet1!$D$1:$D$65808&amp;[2]Sheet1!$E$1:$E$65808,0),MATCH(H99,[2]Sheet1!$F$1:$AF$1,0))</f>
        <v>20/钳工</v>
      </c>
      <c r="J99" s="3">
        <v>20</v>
      </c>
      <c r="K99" s="3">
        <v>20</v>
      </c>
      <c r="L99" s="19">
        <v>8</v>
      </c>
      <c r="M99" s="19">
        <v>8</v>
      </c>
      <c r="N99" s="5" t="s">
        <v>88</v>
      </c>
      <c r="O99" s="4"/>
      <c r="P99" s="18">
        <f t="array" ref="P99">IFERROR(INDEX([2]Sheet1!$F$1:$AF$65808,MATCH($D99&amp;$G99&amp;P$1,[2]Sheet1!$B$1:$B$65808&amp;[2]Sheet1!$D$1:$D$65808&amp;[2]Sheet1!$E$1:$E$65808,0),MATCH($H99,[2]Sheet1!$F$1:$AF$1,0)),0)</f>
        <v>25</v>
      </c>
      <c r="Q99" s="3"/>
      <c r="R99" s="6"/>
      <c r="S99" s="22"/>
      <c r="U99" s="23">
        <f t="shared" si="1"/>
        <v>8.3000000000000007</v>
      </c>
      <c r="V99" s="24" t="s">
        <v>10</v>
      </c>
    </row>
    <row r="100" spans="1:22" ht="23.1" hidden="1" customHeight="1" x14ac:dyDescent="0.25">
      <c r="A100" s="1" t="s">
        <v>74</v>
      </c>
      <c r="D100" s="3" t="s">
        <v>271</v>
      </c>
      <c r="E100" s="15" t="s">
        <v>272</v>
      </c>
      <c r="F100" s="15" t="str">
        <f>+VLOOKUP(D100,[1]Sheet1!$D$2:$E$29166,2,0)</f>
        <v>三通管</v>
      </c>
      <c r="G100" s="3" t="s">
        <v>46</v>
      </c>
      <c r="H100" s="3">
        <v>25</v>
      </c>
      <c r="I100" s="18" t="str">
        <f t="array" ref="I100">INDEX([2]Sheet1!$F$1:$AF$65808,MATCH(D100&amp;G100&amp;I$1,[2]Sheet1!$B$1:$B$65808&amp;[2]Sheet1!$D$1:$D$65808&amp;[2]Sheet1!$E$1:$E$65808,0),MATCH(H100,[2]Sheet1!$F$1:$AF$1,0))</f>
        <v>25/钳工</v>
      </c>
      <c r="J100" s="3">
        <v>15</v>
      </c>
      <c r="K100" s="3">
        <v>14</v>
      </c>
      <c r="L100" s="19">
        <v>8</v>
      </c>
      <c r="M100" s="19">
        <v>8</v>
      </c>
      <c r="N100" s="5" t="s">
        <v>88</v>
      </c>
      <c r="O100" s="4"/>
      <c r="P100" s="18">
        <f t="array" ref="P100">IFERROR(INDEX([2]Sheet1!$F$1:$AF$65808,MATCH($D100&amp;$G100&amp;P$1,[2]Sheet1!$B$1:$B$65808&amp;[2]Sheet1!$D$1:$D$65808&amp;[2]Sheet1!$E$1:$E$65808,0),MATCH($H100,[2]Sheet1!$F$1:$AF$1,0)),0)</f>
        <v>30</v>
      </c>
      <c r="Q100" s="3"/>
      <c r="R100" s="6"/>
      <c r="S100" s="22"/>
      <c r="U100" s="23">
        <f t="shared" si="1"/>
        <v>7</v>
      </c>
      <c r="V100" s="24" t="s">
        <v>10</v>
      </c>
    </row>
    <row r="101" spans="1:22" ht="23.1" hidden="1" customHeight="1" x14ac:dyDescent="0.25">
      <c r="A101" s="1" t="s">
        <v>82</v>
      </c>
      <c r="D101" s="3" t="s">
        <v>273</v>
      </c>
      <c r="E101" s="15" t="s">
        <v>274</v>
      </c>
      <c r="F101" s="15" t="str">
        <f>+VLOOKUP(D101,[1]Sheet1!$D$2:$E$29166,2,0)</f>
        <v>铰链</v>
      </c>
      <c r="G101" s="3" t="s">
        <v>46</v>
      </c>
      <c r="H101" s="3">
        <v>60</v>
      </c>
      <c r="I101" s="18" t="str">
        <f t="array" ref="I101">INDEX([2]Sheet1!$F$1:$AF$65808,MATCH(D101&amp;G101&amp;I$1,[2]Sheet1!$B$1:$B$65808&amp;[2]Sheet1!$D$1:$D$65808&amp;[2]Sheet1!$E$1:$E$65808,0),MATCH(H101,[2]Sheet1!$F$1:$AF$1,0))</f>
        <v>60/钳工</v>
      </c>
      <c r="J101" s="3">
        <v>14</v>
      </c>
      <c r="K101" s="3">
        <v>14</v>
      </c>
      <c r="L101" s="19">
        <v>8</v>
      </c>
      <c r="M101" s="19">
        <v>8</v>
      </c>
      <c r="N101" s="5" t="s">
        <v>275</v>
      </c>
      <c r="O101" s="4"/>
      <c r="P101" s="18">
        <f t="array" ref="P101">IFERROR(INDEX([2]Sheet1!$F$1:$AF$65808,MATCH($D101&amp;$G101&amp;P$1,[2]Sheet1!$B$1:$B$65808&amp;[2]Sheet1!$D$1:$D$65808&amp;[2]Sheet1!$E$1:$E$65808,0),MATCH($H101,[2]Sheet1!$F$1:$AF$1,0)),0)</f>
        <v>20</v>
      </c>
      <c r="Q101" s="3"/>
      <c r="R101" s="6"/>
      <c r="S101" s="22"/>
      <c r="U101" s="23">
        <f t="shared" si="1"/>
        <v>4.7</v>
      </c>
      <c r="V101" s="24" t="s">
        <v>10</v>
      </c>
    </row>
    <row r="102" spans="1:22" ht="23.1" hidden="1" customHeight="1" x14ac:dyDescent="0.25">
      <c r="A102" s="1" t="s">
        <v>82</v>
      </c>
      <c r="D102" s="3" t="s">
        <v>276</v>
      </c>
      <c r="E102" s="15" t="s">
        <v>277</v>
      </c>
      <c r="F102" s="15" t="str">
        <f>+VLOOKUP(D102,[1]Sheet1!$D$2:$E$29166,2,0)</f>
        <v>带耳螺栓</v>
      </c>
      <c r="G102" s="3" t="s">
        <v>46</v>
      </c>
      <c r="H102" s="3">
        <v>45</v>
      </c>
      <c r="I102" s="18" t="str">
        <f t="array" ref="I102">INDEX([2]Sheet1!$F$1:$AF$65808,MATCH(D102&amp;G102&amp;I$1,[2]Sheet1!$B$1:$B$65808&amp;[2]Sheet1!$D$1:$D$65808&amp;[2]Sheet1!$E$1:$E$65808,0),MATCH(H102,[2]Sheet1!$F$1:$AF$1,0))</f>
        <v>45/钳工</v>
      </c>
      <c r="J102" s="3">
        <v>2</v>
      </c>
      <c r="K102" s="3">
        <v>2</v>
      </c>
      <c r="L102" s="19">
        <v>8</v>
      </c>
      <c r="M102" s="19">
        <v>8</v>
      </c>
      <c r="N102" s="5" t="s">
        <v>278</v>
      </c>
      <c r="O102" s="4"/>
      <c r="P102" s="18">
        <f t="array" ref="P102">IFERROR(INDEX([2]Sheet1!$F$1:$AF$65808,MATCH($D102&amp;$G102&amp;P$1,[2]Sheet1!$B$1:$B$65808&amp;[2]Sheet1!$D$1:$D$65808&amp;[2]Sheet1!$E$1:$E$65808,0),MATCH($H102,[2]Sheet1!$F$1:$AF$1,0)),0)</f>
        <v>40</v>
      </c>
      <c r="Q102" s="3"/>
      <c r="R102" s="6"/>
      <c r="S102" s="22"/>
      <c r="U102" s="23">
        <f t="shared" si="1"/>
        <v>1.3</v>
      </c>
      <c r="V102" s="24" t="s">
        <v>10</v>
      </c>
    </row>
    <row r="103" spans="1:22" ht="23.1" hidden="1" customHeight="1" x14ac:dyDescent="0.25">
      <c r="A103" s="1" t="s">
        <v>82</v>
      </c>
      <c r="D103" s="3" t="s">
        <v>279</v>
      </c>
      <c r="E103" s="15" t="s">
        <v>254</v>
      </c>
      <c r="F103" s="15" t="str">
        <f>+VLOOKUP(D103,[1]Sheet1!$D$2:$E$29166,2,0)</f>
        <v>支座</v>
      </c>
      <c r="G103" s="3" t="s">
        <v>155</v>
      </c>
      <c r="H103" s="3">
        <v>30</v>
      </c>
      <c r="I103" s="18" t="str">
        <f t="array" ref="I103">INDEX([2]Sheet1!$F$1:$AF$65808,MATCH(D103&amp;G103&amp;I$1,[2]Sheet1!$B$1:$B$65808&amp;[2]Sheet1!$D$1:$D$65808&amp;[2]Sheet1!$E$1:$E$65808,0),MATCH(H103,[2]Sheet1!$F$1:$AF$1,0))</f>
        <v>30/钳工</v>
      </c>
      <c r="K103" s="3">
        <v>49</v>
      </c>
      <c r="L103" s="19">
        <v>8</v>
      </c>
      <c r="M103" s="19">
        <v>8</v>
      </c>
      <c r="N103" s="5" t="s">
        <v>280</v>
      </c>
      <c r="O103" s="4"/>
      <c r="P103" s="18">
        <f t="array" ref="P103">IFERROR(INDEX([2]Sheet1!$F$1:$AF$65808,MATCH($D103&amp;$G103&amp;P$1,[2]Sheet1!$B$1:$B$65808&amp;[2]Sheet1!$D$1:$D$65808&amp;[2]Sheet1!$E$1:$E$65808,0),MATCH($H103,[2]Sheet1!$F$1:$AF$1,0)),0)</f>
        <v>30</v>
      </c>
      <c r="Q103" s="3"/>
      <c r="R103" s="6"/>
      <c r="S103" s="22"/>
      <c r="U103" s="23">
        <f t="shared" si="1"/>
        <v>24.5</v>
      </c>
      <c r="V103" s="24" t="s">
        <v>10</v>
      </c>
    </row>
    <row r="104" spans="1:22" ht="23.1" hidden="1" customHeight="1" x14ac:dyDescent="0.25">
      <c r="A104" s="1" t="s">
        <v>82</v>
      </c>
      <c r="D104" s="3" t="s">
        <v>279</v>
      </c>
      <c r="E104" s="15" t="s">
        <v>254</v>
      </c>
      <c r="F104" s="15" t="str">
        <f>+VLOOKUP(D104,[1]Sheet1!$D$2:$E$29166,2,0)</f>
        <v>支座</v>
      </c>
      <c r="G104" s="3" t="s">
        <v>155</v>
      </c>
      <c r="H104" s="3">
        <v>55</v>
      </c>
      <c r="I104" s="18" t="str">
        <f t="array" ref="I104">INDEX([2]Sheet1!$F$1:$AF$65808,MATCH(D104&amp;G104&amp;I$1,[2]Sheet1!$B$1:$B$65808&amp;[2]Sheet1!$D$1:$D$65808&amp;[2]Sheet1!$E$1:$E$65808,0),MATCH(H104,[2]Sheet1!$F$1:$AF$1,0))</f>
        <v>55/钳工</v>
      </c>
      <c r="K104" s="3">
        <v>49</v>
      </c>
      <c r="L104" s="19">
        <v>8</v>
      </c>
      <c r="M104" s="19">
        <v>8</v>
      </c>
      <c r="N104" s="5" t="s">
        <v>280</v>
      </c>
      <c r="O104" s="4"/>
      <c r="P104" s="18">
        <f t="array" ref="P104">IFERROR(INDEX([2]Sheet1!$F$1:$AF$65808,MATCH($D104&amp;$G104&amp;P$1,[2]Sheet1!$B$1:$B$65808&amp;[2]Sheet1!$D$1:$D$65808&amp;[2]Sheet1!$E$1:$E$65808,0),MATCH($H104,[2]Sheet1!$F$1:$AF$1,0)),0)</f>
        <v>50</v>
      </c>
      <c r="Q104" s="3"/>
      <c r="R104" s="6"/>
      <c r="S104" s="22"/>
      <c r="U104" s="23">
        <f t="shared" si="1"/>
        <v>40.799999999999997</v>
      </c>
      <c r="V104" s="24" t="s">
        <v>10</v>
      </c>
    </row>
    <row r="105" spans="1:22" ht="23.1" hidden="1" customHeight="1" x14ac:dyDescent="0.25">
      <c r="A105" s="1" t="s">
        <v>89</v>
      </c>
      <c r="D105" s="3" t="s">
        <v>242</v>
      </c>
      <c r="E105" s="15" t="s">
        <v>243</v>
      </c>
      <c r="F105" s="15" t="str">
        <f>+VLOOKUP(D105,[1]Sheet1!$D$2:$E$29166,2,0)</f>
        <v>XXX阴极座</v>
      </c>
      <c r="G105" s="3" t="s">
        <v>80</v>
      </c>
      <c r="H105" s="3">
        <v>10</v>
      </c>
      <c r="I105" s="18" t="e">
        <f t="array" ref="I105">INDEX([2]Sheet1!$F$1:$AF$65808,MATCH(D105&amp;G105&amp;I$1,[2]Sheet1!$B$1:$B$65808&amp;[2]Sheet1!$D$1:$D$65808&amp;[2]Sheet1!$E$1:$E$65808,0),MATCH(H105,[2]Sheet1!$F$1:$AF$1,0))</f>
        <v>#N/A</v>
      </c>
      <c r="J105" s="3">
        <v>2</v>
      </c>
      <c r="K105" s="3">
        <v>1</v>
      </c>
      <c r="L105" s="19">
        <v>8</v>
      </c>
      <c r="M105" s="19"/>
      <c r="N105" s="5" t="s">
        <v>127</v>
      </c>
      <c r="O105" s="4"/>
      <c r="P105" s="18">
        <v>1750</v>
      </c>
      <c r="Q105" s="3"/>
      <c r="R105" s="6"/>
      <c r="S105" s="22"/>
      <c r="U105" s="23">
        <f t="shared" si="1"/>
        <v>29.2</v>
      </c>
      <c r="V105" s="24" t="s">
        <v>10</v>
      </c>
    </row>
    <row r="106" spans="1:22" ht="23.1" hidden="1" customHeight="1" x14ac:dyDescent="0.25">
      <c r="A106" s="1" t="s">
        <v>89</v>
      </c>
      <c r="D106" s="3" t="s">
        <v>244</v>
      </c>
      <c r="E106" s="15" t="s">
        <v>281</v>
      </c>
      <c r="F106" s="15" t="str">
        <f>+VLOOKUP(D106,[1]Sheet1!$D$2:$E$29166,2,0)</f>
        <v>XXXXXXX离心夹具2组合件</v>
      </c>
      <c r="G106" s="3" t="s">
        <v>80</v>
      </c>
      <c r="H106" s="3">
        <v>5</v>
      </c>
      <c r="I106" s="18" t="e">
        <f t="array" ref="I106">INDEX([2]Sheet1!$F$1:$AF$65808,MATCH(D106&amp;G106&amp;I$1,[2]Sheet1!$B$1:$B$65808&amp;[2]Sheet1!$D$1:$D$65808&amp;[2]Sheet1!$E$1:$E$65808,0),MATCH(H106,[2]Sheet1!$F$1:$AF$1,0))</f>
        <v>#N/A</v>
      </c>
      <c r="J106" s="3">
        <v>2</v>
      </c>
      <c r="K106" s="3">
        <v>1</v>
      </c>
      <c r="L106" s="19">
        <v>8</v>
      </c>
      <c r="M106" s="19"/>
      <c r="N106" s="5" t="s">
        <v>127</v>
      </c>
      <c r="O106" s="4"/>
      <c r="P106" s="18">
        <v>700</v>
      </c>
      <c r="Q106" s="3"/>
      <c r="R106" s="6"/>
      <c r="S106" s="22"/>
      <c r="U106" s="23">
        <f t="shared" si="1"/>
        <v>11.7</v>
      </c>
      <c r="V106" s="24" t="s">
        <v>10</v>
      </c>
    </row>
    <row r="107" spans="1:22" ht="23.1" hidden="1" customHeight="1" x14ac:dyDescent="0.25">
      <c r="A107" s="1" t="s">
        <v>100</v>
      </c>
      <c r="D107" s="3" t="s">
        <v>282</v>
      </c>
      <c r="E107" s="15" t="s">
        <v>76</v>
      </c>
      <c r="F107" s="15" t="str">
        <f>+VLOOKUP(D107,[1]Sheet1!$D$2:$E$29166,2,0)</f>
        <v>接管嘴</v>
      </c>
      <c r="G107" s="3" t="s">
        <v>46</v>
      </c>
      <c r="H107" s="3">
        <v>30</v>
      </c>
      <c r="I107" s="18" t="str">
        <f t="array" ref="I107">INDEX([2]Sheet1!$F$1:$AF$65808,MATCH(D107&amp;G107&amp;I$1,[2]Sheet1!$B$1:$B$65808&amp;[2]Sheet1!$D$1:$D$65808&amp;[2]Sheet1!$E$1:$E$65808,0),MATCH(H107,[2]Sheet1!$F$1:$AF$1,0))</f>
        <v>30/钳工</v>
      </c>
      <c r="J107" s="3">
        <v>19</v>
      </c>
      <c r="K107" s="3">
        <v>19</v>
      </c>
      <c r="L107" s="19">
        <v>8</v>
      </c>
      <c r="M107" s="19">
        <v>8</v>
      </c>
      <c r="N107" s="5" t="s">
        <v>283</v>
      </c>
      <c r="O107" s="4"/>
      <c r="P107" s="18">
        <f t="array" ref="P107">IFERROR(INDEX([2]Sheet1!$F$1:$AF$65808,MATCH($D107&amp;$G107&amp;P$1,[2]Sheet1!$B$1:$B$65808&amp;[2]Sheet1!$D$1:$D$65808&amp;[2]Sheet1!$E$1:$E$65808,0),MATCH($H107,[2]Sheet1!$F$1:$AF$1,0)),0)</f>
        <v>40</v>
      </c>
      <c r="Q107" s="3"/>
      <c r="R107" s="6"/>
      <c r="S107" s="22"/>
      <c r="U107" s="23">
        <f t="shared" si="1"/>
        <v>12.7</v>
      </c>
      <c r="V107" s="24" t="s">
        <v>10</v>
      </c>
    </row>
    <row r="108" spans="1:22" ht="23.1" hidden="1" customHeight="1" x14ac:dyDescent="0.25">
      <c r="A108" s="1" t="s">
        <v>100</v>
      </c>
      <c r="D108" s="3" t="s">
        <v>284</v>
      </c>
      <c r="E108" s="15" t="s">
        <v>285</v>
      </c>
      <c r="F108" s="15" t="str">
        <f>+VLOOKUP(D108,[1]Sheet1!$D$2:$E$29166,2,0)</f>
        <v>压板</v>
      </c>
      <c r="G108" s="3" t="s">
        <v>64</v>
      </c>
      <c r="H108" s="3">
        <v>35</v>
      </c>
      <c r="I108" s="18" t="str">
        <f t="array" ref="I108">INDEX([2]Sheet1!$F$1:$AF$65808,MATCH(D108&amp;G108&amp;I$1,[2]Sheet1!$B$1:$B$65808&amp;[2]Sheet1!$D$1:$D$65808&amp;[2]Sheet1!$E$1:$E$65808,0),MATCH(H108,[2]Sheet1!$F$1:$AF$1,0))</f>
        <v>35/钳工</v>
      </c>
      <c r="J108" s="3">
        <v>18</v>
      </c>
      <c r="K108" s="3">
        <v>18</v>
      </c>
      <c r="L108" s="19">
        <v>8</v>
      </c>
      <c r="M108" s="19">
        <v>8</v>
      </c>
      <c r="N108" s="5" t="s">
        <v>286</v>
      </c>
      <c r="O108" s="4"/>
      <c r="P108" s="18">
        <f t="array" ref="P108">IFERROR(INDEX([2]Sheet1!$F$1:$AF$65808,MATCH($D108&amp;$G108&amp;P$1,[2]Sheet1!$B$1:$B$65808&amp;[2]Sheet1!$D$1:$D$65808&amp;[2]Sheet1!$E$1:$E$65808,0),MATCH($H108,[2]Sheet1!$F$1:$AF$1,0)),0)</f>
        <v>30</v>
      </c>
      <c r="Q108" s="3"/>
      <c r="R108" s="6"/>
      <c r="S108" s="22"/>
      <c r="U108" s="23">
        <f t="shared" si="1"/>
        <v>9</v>
      </c>
      <c r="V108" s="24" t="s">
        <v>10</v>
      </c>
    </row>
    <row r="109" spans="1:22" ht="23.1" hidden="1" customHeight="1" x14ac:dyDescent="0.25">
      <c r="A109" s="1" t="s">
        <v>103</v>
      </c>
      <c r="D109" s="3" t="s">
        <v>284</v>
      </c>
      <c r="E109" s="15" t="s">
        <v>285</v>
      </c>
      <c r="F109" s="15" t="str">
        <f>+VLOOKUP(D109,[1]Sheet1!$D$2:$E$29166,2,0)</f>
        <v>压板</v>
      </c>
      <c r="G109" s="3" t="s">
        <v>64</v>
      </c>
      <c r="H109" s="3">
        <v>35</v>
      </c>
      <c r="I109" s="18" t="str">
        <f t="array" ref="I109">INDEX([2]Sheet1!$F$1:$AF$65808,MATCH(D109&amp;G109&amp;I$1,[2]Sheet1!$B$1:$B$65808&amp;[2]Sheet1!$D$1:$D$65808&amp;[2]Sheet1!$E$1:$E$65808,0),MATCH(H109,[2]Sheet1!$F$1:$AF$1,0))</f>
        <v>35/钳工</v>
      </c>
      <c r="J109" s="3">
        <v>10</v>
      </c>
      <c r="K109" s="3">
        <v>10</v>
      </c>
      <c r="L109" s="19">
        <v>8</v>
      </c>
      <c r="M109" s="19">
        <v>8</v>
      </c>
      <c r="N109" s="5" t="s">
        <v>287</v>
      </c>
      <c r="O109" s="4"/>
      <c r="P109" s="18">
        <f t="array" ref="P109">IFERROR(INDEX([2]Sheet1!$F$1:$AF$65808,MATCH($D109&amp;$G109&amp;P$1,[2]Sheet1!$B$1:$B$65808&amp;[2]Sheet1!$D$1:$D$65808&amp;[2]Sheet1!$E$1:$E$65808,0),MATCH($H109,[2]Sheet1!$F$1:$AF$1,0)),0)</f>
        <v>30</v>
      </c>
      <c r="Q109" s="3"/>
      <c r="R109" s="6"/>
      <c r="S109" s="22"/>
      <c r="U109" s="23">
        <f t="shared" si="1"/>
        <v>5</v>
      </c>
      <c r="V109" s="24" t="s">
        <v>10</v>
      </c>
    </row>
    <row r="110" spans="1:22" ht="23.1" hidden="1" customHeight="1" x14ac:dyDescent="0.25">
      <c r="A110" s="1" t="s">
        <v>103</v>
      </c>
      <c r="D110" s="3" t="s">
        <v>284</v>
      </c>
      <c r="E110" s="15" t="s">
        <v>285</v>
      </c>
      <c r="F110" s="15" t="str">
        <f>+VLOOKUP(D110,[1]Sheet1!$D$2:$E$29166,2,0)</f>
        <v>压板</v>
      </c>
      <c r="G110" s="3" t="s">
        <v>64</v>
      </c>
      <c r="H110" s="3">
        <v>35</v>
      </c>
      <c r="I110" s="18" t="str">
        <f t="array" ref="I110">INDEX([2]Sheet1!$F$1:$AF$65808,MATCH(D110&amp;G110&amp;I$1,[2]Sheet1!$B$1:$B$65808&amp;[2]Sheet1!$D$1:$D$65808&amp;[2]Sheet1!$E$1:$E$65808,0),MATCH(H110,[2]Sheet1!$F$1:$AF$1,0))</f>
        <v>35/钳工</v>
      </c>
      <c r="J110" s="3">
        <v>18</v>
      </c>
      <c r="K110" s="3">
        <v>18</v>
      </c>
      <c r="L110" s="19">
        <v>8</v>
      </c>
      <c r="M110" s="19">
        <v>8</v>
      </c>
      <c r="N110" s="5" t="s">
        <v>286</v>
      </c>
      <c r="O110" s="4"/>
      <c r="P110" s="18">
        <f t="array" ref="P110">IFERROR(INDEX([2]Sheet1!$F$1:$AF$65808,MATCH($D110&amp;$G110&amp;P$1,[2]Sheet1!$B$1:$B$65808&amp;[2]Sheet1!$D$1:$D$65808&amp;[2]Sheet1!$E$1:$E$65808,0),MATCH($H110,[2]Sheet1!$F$1:$AF$1,0)),0)</f>
        <v>30</v>
      </c>
      <c r="Q110" s="3"/>
      <c r="R110" s="6"/>
      <c r="S110" s="22"/>
      <c r="U110" s="23">
        <f t="shared" si="1"/>
        <v>9</v>
      </c>
      <c r="V110" s="24" t="s">
        <v>10</v>
      </c>
    </row>
    <row r="111" spans="1:22" ht="23.1" hidden="1" customHeight="1" x14ac:dyDescent="0.25">
      <c r="A111" s="1" t="s">
        <v>103</v>
      </c>
      <c r="D111" s="3" t="s">
        <v>284</v>
      </c>
      <c r="E111" s="15" t="s">
        <v>285</v>
      </c>
      <c r="F111" s="15" t="str">
        <f>+VLOOKUP(D111,[1]Sheet1!$D$2:$E$29166,2,0)</f>
        <v>压板</v>
      </c>
      <c r="G111" s="3" t="s">
        <v>64</v>
      </c>
      <c r="H111" s="3">
        <v>35</v>
      </c>
      <c r="I111" s="18" t="str">
        <f t="array" ref="I111">INDEX([2]Sheet1!$F$1:$AF$65808,MATCH(D111&amp;G111&amp;I$1,[2]Sheet1!$B$1:$B$65808&amp;[2]Sheet1!$D$1:$D$65808&amp;[2]Sheet1!$E$1:$E$65808,0),MATCH(H111,[2]Sheet1!$F$1:$AF$1,0))</f>
        <v>35/钳工</v>
      </c>
      <c r="J111" s="3">
        <v>80</v>
      </c>
      <c r="K111" s="3">
        <v>78</v>
      </c>
      <c r="L111" s="19">
        <v>8</v>
      </c>
      <c r="M111" s="19">
        <v>8</v>
      </c>
      <c r="N111" s="5" t="s">
        <v>283</v>
      </c>
      <c r="O111" s="4"/>
      <c r="P111" s="18">
        <f t="array" ref="P111">IFERROR(INDEX([2]Sheet1!$F$1:$AF$65808,MATCH($D111&amp;$G111&amp;P$1,[2]Sheet1!$B$1:$B$65808&amp;[2]Sheet1!$D$1:$D$65808&amp;[2]Sheet1!$E$1:$E$65808,0),MATCH($H111,[2]Sheet1!$F$1:$AF$1,0)),0)</f>
        <v>30</v>
      </c>
      <c r="Q111" s="3"/>
      <c r="R111" s="6"/>
      <c r="S111" s="22"/>
      <c r="U111" s="23">
        <f t="shared" si="1"/>
        <v>39</v>
      </c>
      <c r="V111" s="24" t="s">
        <v>10</v>
      </c>
    </row>
    <row r="112" spans="1:22" ht="23.1" hidden="1" customHeight="1" x14ac:dyDescent="0.25">
      <c r="A112" s="1" t="s">
        <v>116</v>
      </c>
      <c r="D112" s="3" t="s">
        <v>288</v>
      </c>
      <c r="E112" s="15" t="s">
        <v>289</v>
      </c>
      <c r="F112" s="15" t="str">
        <f>+VLOOKUP(D112,[1]Sheet1!$D$2:$E$29166,2,0)</f>
        <v>拨叉</v>
      </c>
      <c r="G112" s="3" t="s">
        <v>290</v>
      </c>
      <c r="H112" s="3">
        <v>65</v>
      </c>
      <c r="I112" s="18" t="str">
        <f t="array" ref="I112">INDEX([2]Sheet1!$F$1:$AF$65808,MATCH(D112&amp;G112&amp;I$1,[2]Sheet1!$B$1:$B$65808&amp;[2]Sheet1!$D$1:$D$65808&amp;[2]Sheet1!$E$1:$E$65808,0),MATCH(H112,[2]Sheet1!$F$1:$AF$1,0))</f>
        <v>65/钳工</v>
      </c>
      <c r="J112" s="3">
        <v>3</v>
      </c>
      <c r="K112" s="3">
        <v>3</v>
      </c>
      <c r="L112" s="19">
        <v>8</v>
      </c>
      <c r="M112" s="19">
        <v>8</v>
      </c>
      <c r="N112" s="5" t="s">
        <v>291</v>
      </c>
      <c r="O112" s="4"/>
      <c r="P112" s="18">
        <f t="array" ref="P112">IFERROR(INDEX([2]Sheet1!$F$1:$AF$65808,MATCH($D112&amp;$G112&amp;P$1,[2]Sheet1!$B$1:$B$65808&amp;[2]Sheet1!$D$1:$D$65808&amp;[2]Sheet1!$E$1:$E$65808,0),MATCH($H112,[2]Sheet1!$F$1:$AF$1,0)),0)</f>
        <v>30</v>
      </c>
      <c r="Q112" s="3"/>
      <c r="R112" s="6"/>
      <c r="S112" s="22"/>
      <c r="U112" s="23">
        <f t="shared" si="1"/>
        <v>1.5</v>
      </c>
      <c r="V112" s="24" t="s">
        <v>10</v>
      </c>
    </row>
    <row r="113" spans="1:23" ht="23.1" hidden="1" customHeight="1" x14ac:dyDescent="0.25">
      <c r="A113" s="1" t="s">
        <v>292</v>
      </c>
      <c r="D113" s="3" t="s">
        <v>293</v>
      </c>
      <c r="E113" s="15" t="s">
        <v>294</v>
      </c>
      <c r="F113" s="15" t="str">
        <f>+VLOOKUP(D113,[1]Sheet1!$D$2:$E$29166,2,0)</f>
        <v>外侧梁主件（右件）</v>
      </c>
      <c r="G113" s="3" t="s">
        <v>80</v>
      </c>
      <c r="H113" s="3">
        <v>75</v>
      </c>
      <c r="I113" s="18" t="str">
        <f t="array" ref="I113">INDEX([2]Sheet1!$F$1:$AF$65808,MATCH(D113&amp;G113&amp;I$1,[2]Sheet1!$B$1:$B$65808&amp;[2]Sheet1!$D$1:$D$65808&amp;[2]Sheet1!$E$1:$E$65808,0),MATCH(H113,[2]Sheet1!$F$1:$AF$1,0))</f>
        <v>75钳工</v>
      </c>
      <c r="J113" s="3">
        <v>1</v>
      </c>
      <c r="K113" s="3">
        <v>1</v>
      </c>
      <c r="L113" s="19">
        <v>30</v>
      </c>
      <c r="M113" s="19"/>
      <c r="N113" s="5" t="s">
        <v>295</v>
      </c>
      <c r="O113" s="4"/>
      <c r="P113" s="18">
        <f t="array" ref="P113">IFERROR(INDEX([2]Sheet1!$F$1:$AF$65808,MATCH($D113&amp;$G113&amp;P$1,[2]Sheet1!$B$1:$B$65808&amp;[2]Sheet1!$D$1:$D$65808&amp;[2]Sheet1!$E$1:$E$65808,0),MATCH($H113,[2]Sheet1!$F$1:$AF$1,0)),0)</f>
        <v>360</v>
      </c>
      <c r="Q113" s="3"/>
      <c r="R113" s="6"/>
      <c r="S113" s="22"/>
      <c r="U113" s="23">
        <f t="shared" si="1"/>
        <v>6</v>
      </c>
      <c r="V113" s="24" t="s">
        <v>3</v>
      </c>
    </row>
    <row r="114" spans="1:23" ht="23.1" hidden="1" customHeight="1" x14ac:dyDescent="0.25">
      <c r="A114" s="1" t="s">
        <v>292</v>
      </c>
      <c r="D114" s="3" t="s">
        <v>296</v>
      </c>
      <c r="E114" s="15" t="s">
        <v>297</v>
      </c>
      <c r="F114" s="15" t="e">
        <f>+VLOOKUP(D114,[1]Sheet1!$D$2:$E$29166,2,0)</f>
        <v>#N/A</v>
      </c>
      <c r="G114" s="3" t="s">
        <v>114</v>
      </c>
      <c r="H114" s="3">
        <v>55</v>
      </c>
      <c r="I114" s="18" t="str">
        <f t="array" ref="I114">INDEX([2]Sheet1!$F$1:$AF$65808,MATCH(D114&amp;G114&amp;I$1,[2]Sheet1!$B$1:$B$65808&amp;[2]Sheet1!$D$1:$D$65808&amp;[2]Sheet1!$E$1:$E$65808,0),MATCH(H114,[2]Sheet1!$F$1:$AF$1,0))</f>
        <v>55/钳工</v>
      </c>
      <c r="J114" s="3">
        <v>4</v>
      </c>
      <c r="K114" s="3">
        <v>4</v>
      </c>
      <c r="L114" s="19">
        <v>30</v>
      </c>
      <c r="M114" s="19">
        <v>30</v>
      </c>
      <c r="N114" s="5" t="s">
        <v>298</v>
      </c>
      <c r="O114" s="4"/>
      <c r="P114" s="18">
        <f t="array" ref="P114">IFERROR(INDEX([2]Sheet1!$F$1:$AF$65808,MATCH($D114&amp;$G114&amp;P$1,[2]Sheet1!$B$1:$B$65808&amp;[2]Sheet1!$D$1:$D$65808&amp;[2]Sheet1!$E$1:$E$65808,0),MATCH($H114,[2]Sheet1!$F$1:$AF$1,0)),0)</f>
        <v>180</v>
      </c>
      <c r="Q114" s="3"/>
      <c r="R114" s="6"/>
      <c r="S114" s="22"/>
      <c r="U114" s="23">
        <f t="shared" si="1"/>
        <v>12</v>
      </c>
      <c r="V114" s="24" t="s">
        <v>3</v>
      </c>
    </row>
    <row r="115" spans="1:23" ht="23.1" hidden="1" customHeight="1" x14ac:dyDescent="0.25">
      <c r="A115" s="1" t="s">
        <v>292</v>
      </c>
      <c r="D115" s="3" t="s">
        <v>299</v>
      </c>
      <c r="E115" s="15" t="s">
        <v>300</v>
      </c>
      <c r="F115" s="15" t="str">
        <f>+VLOOKUP(D115,[1]Sheet1!$D$2:$E$29166,2,0)</f>
        <v>排气下侧壁</v>
      </c>
      <c r="G115" s="3" t="s">
        <v>64</v>
      </c>
      <c r="H115" s="3">
        <v>45</v>
      </c>
      <c r="I115" s="18" t="str">
        <f t="array" ref="I115">INDEX([2]Sheet1!$F$1:$AF$65808,MATCH(D115&amp;G115&amp;I$1,[2]Sheet1!$B$1:$B$65808&amp;[2]Sheet1!$D$1:$D$65808&amp;[2]Sheet1!$E$1:$E$65808,0),MATCH(H115,[2]Sheet1!$F$1:$AF$1,0))</f>
        <v>45/钳工</v>
      </c>
      <c r="J115" s="3">
        <v>10</v>
      </c>
      <c r="K115" s="3">
        <v>10</v>
      </c>
      <c r="L115" s="19">
        <v>30</v>
      </c>
      <c r="M115" s="19">
        <v>30</v>
      </c>
      <c r="N115" s="5" t="s">
        <v>150</v>
      </c>
      <c r="O115" s="4"/>
      <c r="P115" s="18">
        <f t="array" ref="P115">IFERROR(INDEX([2]Sheet1!$F$1:$AF$65808,MATCH($D115&amp;$G115&amp;P$1,[2]Sheet1!$B$1:$B$65808&amp;[2]Sheet1!$D$1:$D$65808&amp;[2]Sheet1!$E$1:$E$65808,0),MATCH($H115,[2]Sheet1!$F$1:$AF$1,0)),0)</f>
        <v>180</v>
      </c>
      <c r="Q115" s="3"/>
      <c r="R115" s="6"/>
      <c r="S115" s="22"/>
      <c r="U115" s="23">
        <f t="shared" si="1"/>
        <v>30</v>
      </c>
      <c r="V115" s="24" t="s">
        <v>3</v>
      </c>
    </row>
    <row r="116" spans="1:23" ht="23.1" hidden="1" customHeight="1" x14ac:dyDescent="0.25">
      <c r="A116" s="1" t="s">
        <v>292</v>
      </c>
      <c r="D116" s="3" t="s">
        <v>301</v>
      </c>
      <c r="E116" s="15" t="s">
        <v>302</v>
      </c>
      <c r="F116" s="15" t="str">
        <f>+VLOOKUP(D116,[1]Sheet1!$D$2:$E$29166,2,0)</f>
        <v>角盒</v>
      </c>
      <c r="G116" s="3" t="s">
        <v>46</v>
      </c>
      <c r="H116" s="3">
        <v>35</v>
      </c>
      <c r="I116" s="18" t="str">
        <f t="array" ref="I116">INDEX([2]Sheet1!$F$1:$AF$65808,MATCH(D116&amp;G116&amp;I$1,[2]Sheet1!$B$1:$B$65808&amp;[2]Sheet1!$D$1:$D$65808&amp;[2]Sheet1!$E$1:$E$65808,0),MATCH(H116,[2]Sheet1!$F$1:$AF$1,0))</f>
        <v>35/钳工</v>
      </c>
      <c r="J116" s="3">
        <v>2</v>
      </c>
      <c r="K116" s="3">
        <v>2</v>
      </c>
      <c r="L116" s="19">
        <v>30</v>
      </c>
      <c r="M116" s="19">
        <v>30</v>
      </c>
      <c r="N116" s="5" t="s">
        <v>303</v>
      </c>
      <c r="O116" s="4"/>
      <c r="P116" s="18">
        <f t="array" ref="P116">IFERROR(INDEX([2]Sheet1!$F$1:$AF$65808,MATCH($D116&amp;$G116&amp;P$1,[2]Sheet1!$B$1:$B$65808&amp;[2]Sheet1!$D$1:$D$65808&amp;[2]Sheet1!$E$1:$E$65808,0),MATCH($H116,[2]Sheet1!$F$1:$AF$1,0)),0)</f>
        <v>40</v>
      </c>
      <c r="Q116" s="3"/>
      <c r="R116" s="6"/>
      <c r="S116" s="22"/>
      <c r="U116" s="23">
        <f t="shared" si="1"/>
        <v>1.3</v>
      </c>
      <c r="V116" s="24" t="s">
        <v>3</v>
      </c>
    </row>
    <row r="117" spans="1:23" ht="23.1" hidden="1" customHeight="1" x14ac:dyDescent="0.25">
      <c r="A117" s="1" t="s">
        <v>304</v>
      </c>
      <c r="D117" s="3" t="s">
        <v>305</v>
      </c>
      <c r="E117" s="15" t="s">
        <v>306</v>
      </c>
      <c r="F117" s="15" t="str">
        <f>+VLOOKUP(D117,[1]Sheet1!$D$2:$E$29166,2,0)</f>
        <v>口框梁</v>
      </c>
      <c r="G117" s="3" t="s">
        <v>64</v>
      </c>
      <c r="H117" s="3">
        <v>60</v>
      </c>
      <c r="I117" s="18" t="str">
        <f t="array" ref="I117">INDEX([2]Sheet1!$F$1:$AF$65808,MATCH(D117&amp;G117&amp;I$1,[2]Sheet1!$B$1:$B$65808&amp;[2]Sheet1!$D$1:$D$65808&amp;[2]Sheet1!$E$1:$E$65808,0),MATCH(H117,[2]Sheet1!$F$1:$AF$1,0))</f>
        <v>60/钳工</v>
      </c>
      <c r="J117" s="3">
        <v>4</v>
      </c>
      <c r="K117" s="3">
        <v>4</v>
      </c>
      <c r="L117" s="19">
        <v>30</v>
      </c>
      <c r="M117" s="19">
        <v>30</v>
      </c>
      <c r="N117" s="5" t="s">
        <v>307</v>
      </c>
      <c r="O117" s="4"/>
      <c r="P117" s="18">
        <f t="array" ref="P117">IFERROR(INDEX([2]Sheet1!$F$1:$AF$65808,MATCH($D117&amp;$G117&amp;P$1,[2]Sheet1!$B$1:$B$65808&amp;[2]Sheet1!$D$1:$D$65808&amp;[2]Sheet1!$E$1:$E$65808,0),MATCH($H117,[2]Sheet1!$F$1:$AF$1,0)),0)</f>
        <v>180</v>
      </c>
      <c r="Q117" s="3"/>
      <c r="R117" s="6"/>
      <c r="S117" s="22"/>
      <c r="U117" s="23">
        <f t="shared" si="1"/>
        <v>12</v>
      </c>
      <c r="V117" s="24" t="s">
        <v>3</v>
      </c>
    </row>
    <row r="118" spans="1:23" ht="23.1" hidden="1" customHeight="1" x14ac:dyDescent="0.25">
      <c r="A118" s="1" t="s">
        <v>304</v>
      </c>
      <c r="D118" s="3" t="s">
        <v>308</v>
      </c>
      <c r="E118" s="15" t="s">
        <v>309</v>
      </c>
      <c r="F118" s="15" t="str">
        <f>+VLOOKUP(D118,[1]Sheet1!$D$2:$E$29166,2,0)</f>
        <v>外侧梁主件（左件）</v>
      </c>
      <c r="G118" s="3" t="s">
        <v>80</v>
      </c>
      <c r="H118" s="3">
        <v>75</v>
      </c>
      <c r="I118" s="18" t="str">
        <f t="array" ref="I118">INDEX([2]Sheet1!$F$1:$AF$65808,MATCH(D118&amp;G118&amp;I$1,[2]Sheet1!$B$1:$B$65808&amp;[2]Sheet1!$D$1:$D$65808&amp;[2]Sheet1!$E$1:$E$65808,0),MATCH(H118,[2]Sheet1!$F$1:$AF$1,0))</f>
        <v>75钳工</v>
      </c>
      <c r="J118" s="3">
        <v>1</v>
      </c>
      <c r="K118" s="3">
        <v>1</v>
      </c>
      <c r="L118" s="19">
        <v>30</v>
      </c>
      <c r="M118" s="19">
        <v>30</v>
      </c>
      <c r="N118" s="5" t="s">
        <v>105</v>
      </c>
      <c r="O118" s="4"/>
      <c r="P118" s="18">
        <f t="array" ref="P118">IFERROR(INDEX([2]Sheet1!$F$1:$AF$65808,MATCH($D118&amp;$G118&amp;P$1,[2]Sheet1!$B$1:$B$65808&amp;[2]Sheet1!$D$1:$D$65808&amp;[2]Sheet1!$E$1:$E$65808,0),MATCH($H118,[2]Sheet1!$F$1:$AF$1,0)),0)</f>
        <v>360</v>
      </c>
      <c r="Q118" s="3"/>
      <c r="R118" s="6"/>
      <c r="S118" s="22"/>
      <c r="U118" s="23">
        <f t="shared" si="1"/>
        <v>6</v>
      </c>
      <c r="V118" s="24" t="s">
        <v>3</v>
      </c>
    </row>
    <row r="119" spans="1:23" ht="23.1" hidden="1" customHeight="1" x14ac:dyDescent="0.25">
      <c r="A119" s="1" t="s">
        <v>304</v>
      </c>
      <c r="D119" s="3" t="s">
        <v>293</v>
      </c>
      <c r="E119" s="15" t="s">
        <v>294</v>
      </c>
      <c r="F119" s="15" t="str">
        <f>+VLOOKUP(D119,[1]Sheet1!$D$2:$E$29166,2,0)</f>
        <v>外侧梁主件（右件）</v>
      </c>
      <c r="G119" s="3" t="s">
        <v>80</v>
      </c>
      <c r="H119" s="3">
        <v>75</v>
      </c>
      <c r="I119" s="18" t="str">
        <f t="array" ref="I119">INDEX([2]Sheet1!$F$1:$AF$65808,MATCH(D119&amp;G119&amp;I$1,[2]Sheet1!$B$1:$B$65808&amp;[2]Sheet1!$D$1:$D$65808&amp;[2]Sheet1!$E$1:$E$65808,0),MATCH(H119,[2]Sheet1!$F$1:$AF$1,0))</f>
        <v>75钳工</v>
      </c>
      <c r="J119" s="3">
        <v>1</v>
      </c>
      <c r="K119" s="3">
        <v>1</v>
      </c>
      <c r="L119" s="19">
        <v>30</v>
      </c>
      <c r="M119" s="19">
        <v>30</v>
      </c>
      <c r="N119" s="5" t="s">
        <v>105</v>
      </c>
      <c r="O119" s="4"/>
      <c r="P119" s="18">
        <f t="array" ref="P119">IFERROR(INDEX([2]Sheet1!$F$1:$AF$65808,MATCH($D119&amp;$G119&amp;P$1,[2]Sheet1!$B$1:$B$65808&amp;[2]Sheet1!$D$1:$D$65808&amp;[2]Sheet1!$E$1:$E$65808,0),MATCH($H119,[2]Sheet1!$F$1:$AF$1,0)),0)</f>
        <v>360</v>
      </c>
      <c r="Q119" s="3"/>
      <c r="R119" s="6"/>
      <c r="S119" s="22"/>
      <c r="U119" s="23">
        <f t="shared" si="1"/>
        <v>6</v>
      </c>
      <c r="V119" s="24" t="s">
        <v>3</v>
      </c>
    </row>
    <row r="120" spans="1:23" ht="23.1" hidden="1" customHeight="1" x14ac:dyDescent="0.25">
      <c r="A120" s="1" t="s">
        <v>304</v>
      </c>
      <c r="D120" s="3" t="s">
        <v>310</v>
      </c>
      <c r="E120" s="15" t="s">
        <v>311</v>
      </c>
      <c r="F120" s="15" t="str">
        <f>+VLOOKUP(D120,[1]Sheet1!$D$2:$E$29166,2,0)</f>
        <v>8700框</v>
      </c>
      <c r="G120" s="3" t="s">
        <v>80</v>
      </c>
      <c r="H120" s="3">
        <v>65</v>
      </c>
      <c r="I120" s="18" t="str">
        <f t="array" ref="I120">INDEX([2]Sheet1!$F$1:$AF$65808,MATCH(D120&amp;G120&amp;I$1,[2]Sheet1!$B$1:$B$65808&amp;[2]Sheet1!$D$1:$D$65808&amp;[2]Sheet1!$E$1:$E$65808,0),MATCH(H120,[2]Sheet1!$F$1:$AF$1,0))</f>
        <v>65/钳工</v>
      </c>
      <c r="J120" s="3">
        <v>1</v>
      </c>
      <c r="K120" s="3">
        <v>1</v>
      </c>
      <c r="L120" s="19">
        <v>30</v>
      </c>
      <c r="M120" s="19">
        <v>30</v>
      </c>
      <c r="N120" s="5" t="s">
        <v>312</v>
      </c>
      <c r="O120" s="4"/>
      <c r="P120" s="18">
        <f t="array" ref="P120">IFERROR(INDEX([2]Sheet1!$F$1:$AF$65808,MATCH($D120&amp;$G120&amp;P$1,[2]Sheet1!$B$1:$B$65808&amp;[2]Sheet1!$D$1:$D$65808&amp;[2]Sheet1!$E$1:$E$65808,0),MATCH($H120,[2]Sheet1!$F$1:$AF$1,0)),0)</f>
        <v>2400</v>
      </c>
      <c r="Q120" s="3"/>
      <c r="R120" s="6"/>
      <c r="S120" s="22"/>
      <c r="U120" s="23">
        <f t="shared" si="1"/>
        <v>40</v>
      </c>
      <c r="V120" s="24" t="s">
        <v>3</v>
      </c>
      <c r="W120" s="7" t="s">
        <v>313</v>
      </c>
    </row>
    <row r="121" spans="1:23" ht="23.1" hidden="1" customHeight="1" x14ac:dyDescent="0.25">
      <c r="A121" s="1" t="s">
        <v>304</v>
      </c>
      <c r="D121" s="3" t="s">
        <v>314</v>
      </c>
      <c r="E121" s="15" t="s">
        <v>315</v>
      </c>
      <c r="F121" s="15" t="e">
        <f>+VLOOKUP(D121,[1]Sheet1!$D$2:$E$29166,2,0)</f>
        <v>#N/A</v>
      </c>
      <c r="G121" s="3" t="s">
        <v>80</v>
      </c>
      <c r="H121" s="3">
        <v>110</v>
      </c>
      <c r="I121" s="18" t="e">
        <f t="array" ref="I121">INDEX([2]Sheet1!$F$1:$AF$65808,MATCH(D121&amp;G121&amp;I$1,[2]Sheet1!$B$1:$B$65808&amp;[2]Sheet1!$D$1:$D$65808&amp;[2]Sheet1!$E$1:$E$65808,0),MATCH(H121,[2]Sheet1!$F$1:$AF$1,0))</f>
        <v>#N/A</v>
      </c>
      <c r="J121" s="3">
        <v>2</v>
      </c>
      <c r="K121" s="3">
        <v>2</v>
      </c>
      <c r="L121" s="19">
        <v>30</v>
      </c>
      <c r="M121" s="19">
        <v>30</v>
      </c>
      <c r="N121" s="5" t="s">
        <v>316</v>
      </c>
      <c r="O121" s="4"/>
      <c r="P121" s="18">
        <v>960</v>
      </c>
      <c r="Q121" s="3"/>
      <c r="R121" s="6"/>
      <c r="S121" s="22"/>
      <c r="U121" s="23">
        <f t="shared" si="1"/>
        <v>32</v>
      </c>
      <c r="V121" s="24" t="s">
        <v>3</v>
      </c>
      <c r="W121" s="7" t="s">
        <v>317</v>
      </c>
    </row>
    <row r="122" spans="1:23" ht="23.1" hidden="1" customHeight="1" x14ac:dyDescent="0.25">
      <c r="A122" s="1" t="s">
        <v>121</v>
      </c>
      <c r="D122" s="3" t="s">
        <v>318</v>
      </c>
      <c r="E122" s="15" t="s">
        <v>319</v>
      </c>
      <c r="F122" s="15" t="str">
        <f>+VLOOKUP(D122,[1]Sheet1!$D$2:$E$29166,2,0)</f>
        <v>2470肋五段</v>
      </c>
      <c r="G122" s="3" t="s">
        <v>51</v>
      </c>
      <c r="H122" s="3">
        <v>50</v>
      </c>
      <c r="I122" s="18" t="str">
        <f t="array" ref="I122">INDEX([2]Sheet1!$F$1:$AF$65808,MATCH(D122&amp;G122&amp;I$1,[2]Sheet1!$B$1:$B$65808&amp;[2]Sheet1!$D$1:$D$65808&amp;[2]Sheet1!$E$1:$E$65808,0),MATCH(H122,[2]Sheet1!$F$1:$AF$1,0))</f>
        <v>50/钳工</v>
      </c>
      <c r="J122" s="3">
        <v>5</v>
      </c>
      <c r="K122" s="3">
        <v>5</v>
      </c>
      <c r="L122" s="19">
        <v>30</v>
      </c>
      <c r="M122" s="19">
        <v>30</v>
      </c>
      <c r="N122" s="5" t="s">
        <v>182</v>
      </c>
      <c r="O122" s="4"/>
      <c r="P122" s="18">
        <f t="array" ref="P122">IFERROR(INDEX([2]Sheet1!$F$1:$AF$65808,MATCH($D122&amp;$G122&amp;P$1,[2]Sheet1!$B$1:$B$65808&amp;[2]Sheet1!$D$1:$D$65808&amp;[2]Sheet1!$E$1:$E$65808,0),MATCH($H122,[2]Sheet1!$F$1:$AF$1,0)),0)</f>
        <v>240</v>
      </c>
      <c r="Q122" s="3"/>
      <c r="R122" s="6"/>
      <c r="S122" s="22"/>
      <c r="U122" s="23">
        <f t="shared" si="1"/>
        <v>20</v>
      </c>
      <c r="V122" s="24" t="s">
        <v>3</v>
      </c>
    </row>
    <row r="123" spans="1:23" ht="23.1" hidden="1" customHeight="1" x14ac:dyDescent="0.25">
      <c r="A123" s="1" t="s">
        <v>121</v>
      </c>
      <c r="D123" s="3" t="s">
        <v>66</v>
      </c>
      <c r="E123" s="15" t="s">
        <v>67</v>
      </c>
      <c r="F123" s="15" t="str">
        <f>+VLOOKUP(D123,[1]Sheet1!$D$2:$E$29166,2,0)</f>
        <v>10060下接头</v>
      </c>
      <c r="G123" s="3" t="s">
        <v>51</v>
      </c>
      <c r="H123" s="3">
        <v>35</v>
      </c>
      <c r="I123" s="18" t="str">
        <f t="array" ref="I123">INDEX([2]Sheet1!$F$1:$AF$65808,MATCH(D123&amp;G123&amp;I$1,[2]Sheet1!$B$1:$B$65808&amp;[2]Sheet1!$D$1:$D$65808&amp;[2]Sheet1!$E$1:$E$65808,0),MATCH(H123,[2]Sheet1!$F$1:$AF$1,0))</f>
        <v>35/钳工</v>
      </c>
      <c r="J123" s="3">
        <v>2</v>
      </c>
      <c r="K123" s="3">
        <v>2</v>
      </c>
      <c r="L123" s="19">
        <v>30</v>
      </c>
      <c r="M123" s="19">
        <v>30</v>
      </c>
      <c r="N123" s="5" t="s">
        <v>68</v>
      </c>
      <c r="O123" s="4"/>
      <c r="P123" s="18">
        <f t="array" ref="P123">IFERROR(INDEX([2]Sheet1!$F$1:$AF$65808,MATCH($D123&amp;$G123&amp;P$1,[2]Sheet1!$B$1:$B$65808&amp;[2]Sheet1!$D$1:$D$65808&amp;[2]Sheet1!$E$1:$E$65808,0),MATCH($H123,[2]Sheet1!$F$1:$AF$1,0)),0)</f>
        <v>360</v>
      </c>
      <c r="Q123" s="3"/>
      <c r="R123" s="6"/>
      <c r="S123" s="22"/>
      <c r="U123" s="23">
        <f t="shared" si="1"/>
        <v>12</v>
      </c>
      <c r="V123" s="24" t="s">
        <v>3</v>
      </c>
    </row>
    <row r="124" spans="1:23" ht="23.1" hidden="1" customHeight="1" x14ac:dyDescent="0.25">
      <c r="A124" s="1" t="s">
        <v>121</v>
      </c>
      <c r="D124" s="3" t="s">
        <v>320</v>
      </c>
      <c r="E124" s="15" t="s">
        <v>321</v>
      </c>
      <c r="F124" s="15" t="str">
        <f>+VLOOKUP(D124,[1]Sheet1!$D$2:$E$29166,2,0)</f>
        <v>10540中框</v>
      </c>
      <c r="G124" s="3" t="s">
        <v>114</v>
      </c>
      <c r="H124" s="3">
        <v>65</v>
      </c>
      <c r="I124" s="18" t="str">
        <f t="array" ref="I124">INDEX([2]Sheet1!$F$1:$AF$65808,MATCH(D124&amp;G124&amp;I$1,[2]Sheet1!$B$1:$B$65808&amp;[2]Sheet1!$D$1:$D$65808&amp;[2]Sheet1!$E$1:$E$65808,0),MATCH(H124,[2]Sheet1!$F$1:$AF$1,0))</f>
        <v>65/钳工</v>
      </c>
      <c r="J124" s="3">
        <v>2</v>
      </c>
      <c r="K124" s="3">
        <v>2</v>
      </c>
      <c r="L124" s="19">
        <v>30</v>
      </c>
      <c r="M124" s="19">
        <v>30</v>
      </c>
      <c r="N124" s="5" t="s">
        <v>322</v>
      </c>
      <c r="O124" s="4"/>
      <c r="P124" s="18">
        <f t="array" ref="P124">IFERROR(INDEX([2]Sheet1!$F$1:$AF$65808,MATCH($D124&amp;$G124&amp;P$1,[2]Sheet1!$B$1:$B$65808&amp;[2]Sheet1!$D$1:$D$65808&amp;[2]Sheet1!$E$1:$E$65808,0),MATCH($H124,[2]Sheet1!$F$1:$AF$1,0)),0)</f>
        <v>720</v>
      </c>
      <c r="Q124" s="3"/>
      <c r="R124" s="6"/>
      <c r="S124" s="22"/>
      <c r="U124" s="23">
        <f t="shared" si="1"/>
        <v>24</v>
      </c>
      <c r="V124" s="24" t="s">
        <v>3</v>
      </c>
    </row>
    <row r="125" spans="1:23" ht="23.1" hidden="1" customHeight="1" x14ac:dyDescent="0.25">
      <c r="A125" s="1" t="s">
        <v>121</v>
      </c>
      <c r="D125" s="3" t="s">
        <v>323</v>
      </c>
      <c r="E125" s="15" t="s">
        <v>319</v>
      </c>
      <c r="F125" s="15" t="str">
        <f>+VLOOKUP(D125,[1]Sheet1!$D$2:$E$29166,2,0)</f>
        <v>2470肋五段</v>
      </c>
      <c r="G125" s="3" t="s">
        <v>114</v>
      </c>
      <c r="H125" s="3">
        <v>50</v>
      </c>
      <c r="I125" s="18" t="str">
        <f t="array" ref="I125">INDEX([2]Sheet1!$F$1:$AF$65808,MATCH(D125&amp;G125&amp;I$1,[2]Sheet1!$B$1:$B$65808&amp;[2]Sheet1!$D$1:$D$65808&amp;[2]Sheet1!$E$1:$E$65808,0),MATCH(H125,[2]Sheet1!$F$1:$AF$1,0))</f>
        <v>50/钳工</v>
      </c>
      <c r="J125" s="3">
        <v>6</v>
      </c>
      <c r="K125" s="3">
        <v>5</v>
      </c>
      <c r="L125" s="19">
        <v>30</v>
      </c>
      <c r="M125" s="19">
        <v>30</v>
      </c>
      <c r="N125" s="5" t="s">
        <v>324</v>
      </c>
      <c r="O125" s="4"/>
      <c r="P125" s="18">
        <f t="array" ref="P125">IFERROR(INDEX([2]Sheet1!$F$1:$AF$65808,MATCH($D125&amp;$G125&amp;P$1,[2]Sheet1!$B$1:$B$65808&amp;[2]Sheet1!$D$1:$D$65808&amp;[2]Sheet1!$E$1:$E$65808,0),MATCH($H125,[2]Sheet1!$F$1:$AF$1,0)),0)</f>
        <v>240</v>
      </c>
      <c r="Q125" s="3"/>
      <c r="R125" s="6"/>
      <c r="S125" s="22"/>
      <c r="U125" s="23">
        <f t="shared" si="1"/>
        <v>20</v>
      </c>
      <c r="V125" s="24" t="s">
        <v>3</v>
      </c>
    </row>
    <row r="126" spans="1:23" ht="23.1" hidden="1" customHeight="1" x14ac:dyDescent="0.25">
      <c r="A126" s="1" t="s">
        <v>48</v>
      </c>
      <c r="D126" s="3" t="s">
        <v>325</v>
      </c>
      <c r="E126" s="15" t="s">
        <v>326</v>
      </c>
      <c r="F126" s="15" t="e">
        <f>+VLOOKUP(D126,[1]Sheet1!$D$2:$E$29166,2,0)</f>
        <v>#N/A</v>
      </c>
      <c r="G126" s="3" t="s">
        <v>114</v>
      </c>
      <c r="H126" s="3">
        <v>50</v>
      </c>
      <c r="I126" s="18" t="str">
        <f t="array" ref="I126">INDEX([2]Sheet1!$F$1:$AF$65808,MATCH(D126&amp;G126&amp;I$1,[2]Sheet1!$B$1:$B$65808&amp;[2]Sheet1!$D$1:$D$65808&amp;[2]Sheet1!$E$1:$E$65808,0),MATCH(H126,[2]Sheet1!$F$1:$AF$1,0))</f>
        <v>50/钳工</v>
      </c>
      <c r="J126" s="3">
        <v>2</v>
      </c>
      <c r="K126" s="3">
        <v>2</v>
      </c>
      <c r="L126" s="19">
        <v>30</v>
      </c>
      <c r="M126" s="19">
        <v>30</v>
      </c>
      <c r="N126" s="5" t="s">
        <v>327</v>
      </c>
      <c r="O126" s="4"/>
      <c r="P126" s="18">
        <f t="array" ref="P126">IFERROR(INDEX([2]Sheet1!$F$1:$AF$65808,MATCH($D126&amp;$G126&amp;P$1,[2]Sheet1!$B$1:$B$65808&amp;[2]Sheet1!$D$1:$D$65808&amp;[2]Sheet1!$E$1:$E$65808,0),MATCH($H126,[2]Sheet1!$F$1:$AF$1,0)),0)</f>
        <v>420</v>
      </c>
      <c r="Q126" s="3"/>
      <c r="R126" s="6"/>
      <c r="S126" s="22"/>
      <c r="U126" s="23">
        <f t="shared" si="1"/>
        <v>14</v>
      </c>
      <c r="V126" s="24" t="s">
        <v>3</v>
      </c>
    </row>
    <row r="127" spans="1:23" ht="23.1" hidden="1" customHeight="1" x14ac:dyDescent="0.25">
      <c r="A127" s="1" t="s">
        <v>48</v>
      </c>
      <c r="D127" s="3" t="s">
        <v>328</v>
      </c>
      <c r="E127" s="15" t="s">
        <v>329</v>
      </c>
      <c r="F127" s="15" t="str">
        <f>+VLOOKUP(D127,[1]Sheet1!$D$2:$E$29166,2,0)</f>
        <v>辅助动力舱口盖前段</v>
      </c>
      <c r="G127" s="3" t="s">
        <v>46</v>
      </c>
      <c r="H127" s="3">
        <v>50</v>
      </c>
      <c r="I127" s="18" t="str">
        <f t="array" ref="I127">INDEX([2]Sheet1!$F$1:$AF$65808,MATCH(D127&amp;G127&amp;I$1,[2]Sheet1!$B$1:$B$65808&amp;[2]Sheet1!$D$1:$D$65808&amp;[2]Sheet1!$E$1:$E$65808,0),MATCH(H127,[2]Sheet1!$F$1:$AF$1,0))</f>
        <v>50/钳工</v>
      </c>
      <c r="J127" s="3">
        <v>1</v>
      </c>
      <c r="K127" s="3">
        <v>1</v>
      </c>
      <c r="L127" s="19">
        <v>30</v>
      </c>
      <c r="M127" s="19">
        <v>30</v>
      </c>
      <c r="N127" s="5" t="s">
        <v>330</v>
      </c>
      <c r="O127" s="4"/>
      <c r="P127" s="18">
        <f t="array" ref="P127">IFERROR(INDEX([2]Sheet1!$F$1:$AF$65808,MATCH($D127&amp;$G127&amp;P$1,[2]Sheet1!$B$1:$B$65808&amp;[2]Sheet1!$D$1:$D$65808&amp;[2]Sheet1!$E$1:$E$65808,0),MATCH($H127,[2]Sheet1!$F$1:$AF$1,0)),0)</f>
        <v>480</v>
      </c>
      <c r="Q127" s="3"/>
      <c r="R127" s="6"/>
      <c r="S127" s="22"/>
      <c r="U127" s="23">
        <f t="shared" si="1"/>
        <v>8</v>
      </c>
      <c r="V127" s="24" t="s">
        <v>3</v>
      </c>
    </row>
    <row r="128" spans="1:23" ht="23.1" hidden="1" customHeight="1" x14ac:dyDescent="0.25">
      <c r="A128" s="1" t="s">
        <v>48</v>
      </c>
      <c r="D128" s="3" t="s">
        <v>328</v>
      </c>
      <c r="E128" s="15" t="s">
        <v>329</v>
      </c>
      <c r="F128" s="15" t="str">
        <f>+VLOOKUP(D128,[1]Sheet1!$D$2:$E$29166,2,0)</f>
        <v>辅助动力舱口盖前段</v>
      </c>
      <c r="G128" s="3" t="s">
        <v>46</v>
      </c>
      <c r="H128" s="3">
        <v>52</v>
      </c>
      <c r="I128" s="18" t="e">
        <f t="array" ref="I128">INDEX([2]Sheet1!$F$1:$AF$65808,MATCH(D128&amp;G128&amp;I$1,[2]Sheet1!$B$1:$B$65808&amp;[2]Sheet1!$D$1:$D$65808&amp;[2]Sheet1!$E$1:$E$65808,0),MATCH(H128,[2]Sheet1!$F$1:$AF$1,0))</f>
        <v>#N/A</v>
      </c>
      <c r="J128" s="3">
        <v>1</v>
      </c>
      <c r="K128" s="3">
        <v>1</v>
      </c>
      <c r="L128" s="19">
        <v>30</v>
      </c>
      <c r="M128" s="19">
        <v>30</v>
      </c>
      <c r="N128" s="5" t="s">
        <v>330</v>
      </c>
      <c r="O128" s="4"/>
      <c r="P128" s="18">
        <v>120</v>
      </c>
      <c r="Q128" s="3"/>
      <c r="R128" s="6"/>
      <c r="S128" s="22"/>
      <c r="U128" s="23">
        <f t="shared" si="1"/>
        <v>2</v>
      </c>
      <c r="V128" s="24" t="s">
        <v>3</v>
      </c>
      <c r="W128" s="7" t="s">
        <v>331</v>
      </c>
    </row>
    <row r="129" spans="1:24" ht="23.1" hidden="1" customHeight="1" x14ac:dyDescent="0.25">
      <c r="A129" s="1" t="s">
        <v>48</v>
      </c>
      <c r="D129" s="3" t="s">
        <v>332</v>
      </c>
      <c r="E129" s="15" t="s">
        <v>333</v>
      </c>
      <c r="F129" s="15" t="str">
        <f>+VLOOKUP(D129,[1]Sheet1!$D$2:$E$29166,2,0)</f>
        <v>梁（右件）</v>
      </c>
      <c r="G129" s="3" t="s">
        <v>147</v>
      </c>
      <c r="H129" s="3">
        <v>55</v>
      </c>
      <c r="I129" s="18" t="str">
        <f t="array" ref="I129">INDEX([2]Sheet1!$F$1:$AF$65808,MATCH(D129&amp;G129&amp;I$1,[2]Sheet1!$B$1:$B$65808&amp;[2]Sheet1!$D$1:$D$65808&amp;[2]Sheet1!$E$1:$E$65808,0),MATCH(H129,[2]Sheet1!$F$1:$AF$1,0))</f>
        <v>55/钳工</v>
      </c>
      <c r="J129" s="3">
        <v>2</v>
      </c>
      <c r="K129" s="3">
        <v>2</v>
      </c>
      <c r="L129" s="19">
        <v>30</v>
      </c>
      <c r="M129" s="19">
        <v>30</v>
      </c>
      <c r="N129" s="5" t="s">
        <v>334</v>
      </c>
      <c r="O129" s="4"/>
      <c r="P129" s="18">
        <f t="array" ref="P129">IFERROR(INDEX([2]Sheet1!$F$1:$AF$65808,MATCH($D129&amp;$G129&amp;P$1,[2]Sheet1!$B$1:$B$65808&amp;[2]Sheet1!$D$1:$D$65808&amp;[2]Sheet1!$E$1:$E$65808,0),MATCH($H129,[2]Sheet1!$F$1:$AF$1,0)),0)</f>
        <v>720</v>
      </c>
      <c r="Q129" s="3"/>
      <c r="R129" s="6"/>
      <c r="S129" s="22"/>
      <c r="U129" s="23">
        <f t="shared" si="1"/>
        <v>24</v>
      </c>
      <c r="V129" s="24" t="s">
        <v>3</v>
      </c>
    </row>
    <row r="130" spans="1:24" ht="23.1" hidden="1" customHeight="1" x14ac:dyDescent="0.25">
      <c r="A130" s="1" t="s">
        <v>53</v>
      </c>
      <c r="D130" s="3" t="s">
        <v>332</v>
      </c>
      <c r="E130" s="15" t="s">
        <v>333</v>
      </c>
      <c r="F130" s="15" t="str">
        <f>+VLOOKUP(D130,[1]Sheet1!$D$2:$E$29166,2,0)</f>
        <v>梁（右件）</v>
      </c>
      <c r="G130" s="3" t="s">
        <v>147</v>
      </c>
      <c r="H130" s="3">
        <v>55</v>
      </c>
      <c r="I130" s="18" t="str">
        <f t="array" ref="I130">INDEX([2]Sheet1!$F$1:$AF$65808,MATCH(D130&amp;G130&amp;I$1,[2]Sheet1!$B$1:$B$65808&amp;[2]Sheet1!$D$1:$D$65808&amp;[2]Sheet1!$E$1:$E$65808,0),MATCH(H130,[2]Sheet1!$F$1:$AF$1,0))</f>
        <v>55/钳工</v>
      </c>
      <c r="J130" s="3">
        <v>2</v>
      </c>
      <c r="K130" s="3">
        <v>2</v>
      </c>
      <c r="L130" s="19">
        <v>30</v>
      </c>
      <c r="M130" s="19">
        <v>30</v>
      </c>
      <c r="N130" s="5" t="s">
        <v>335</v>
      </c>
      <c r="O130" s="4"/>
      <c r="P130" s="18">
        <f t="array" ref="P130">IFERROR(INDEX([2]Sheet1!$F$1:$AF$65808,MATCH($D130&amp;$G130&amp;P$1,[2]Sheet1!$B$1:$B$65808&amp;[2]Sheet1!$D$1:$D$65808&amp;[2]Sheet1!$E$1:$E$65808,0),MATCH($H130,[2]Sheet1!$F$1:$AF$1,0)),0)</f>
        <v>720</v>
      </c>
      <c r="Q130" s="3"/>
      <c r="R130" s="6"/>
      <c r="S130" s="22"/>
      <c r="U130" s="23">
        <f t="shared" si="1"/>
        <v>24</v>
      </c>
      <c r="V130" s="24" t="s">
        <v>3</v>
      </c>
    </row>
    <row r="131" spans="1:24" ht="23.1" hidden="1" customHeight="1" x14ac:dyDescent="0.25">
      <c r="A131" s="1" t="s">
        <v>53</v>
      </c>
      <c r="D131" s="3" t="s">
        <v>310</v>
      </c>
      <c r="E131" s="15" t="s">
        <v>311</v>
      </c>
      <c r="F131" s="15" t="str">
        <f>+VLOOKUP(D131,[1]Sheet1!$D$2:$E$29166,2,0)</f>
        <v>8700框</v>
      </c>
      <c r="G131" s="3" t="s">
        <v>80</v>
      </c>
      <c r="H131" s="3" t="s">
        <v>201</v>
      </c>
      <c r="I131" s="18" t="e">
        <f t="array" ref="I131">INDEX([2]Sheet1!$F$1:$AF$65808,MATCH(D131&amp;G131&amp;I$1,[2]Sheet1!$B$1:$B$65808&amp;[2]Sheet1!$D$1:$D$65808&amp;[2]Sheet1!$E$1:$E$65808,0),MATCH(H131,[2]Sheet1!$F$1:$AF$1,0))</f>
        <v>#N/A</v>
      </c>
      <c r="J131" s="3">
        <v>2</v>
      </c>
      <c r="K131" s="3">
        <v>2</v>
      </c>
      <c r="L131" s="19">
        <v>30</v>
      </c>
      <c r="M131" s="19">
        <v>30</v>
      </c>
      <c r="N131" s="5" t="s">
        <v>336</v>
      </c>
      <c r="O131" s="4"/>
      <c r="P131" s="18">
        <f t="array" ref="P131">IFERROR(INDEX([2]Sheet1!$F$1:$AF$65808,MATCH($D131&amp;$G131&amp;P$1,[2]Sheet1!$B$1:$B$65808&amp;[2]Sheet1!$D$1:$D$65808&amp;[2]Sheet1!$E$1:$E$65808,0),MATCH($H131,[2]Sheet1!$F$1:$AF$1,0)),0)</f>
        <v>0</v>
      </c>
      <c r="Q131" s="3"/>
      <c r="R131" s="6"/>
      <c r="S131" s="22"/>
      <c r="T131" s="7">
        <v>6</v>
      </c>
      <c r="U131" s="23">
        <f t="shared" ref="U131:U194" si="2">ROUND((K131*P131+Q131*S131)/60+T131,1)</f>
        <v>6</v>
      </c>
      <c r="V131" s="24" t="s">
        <v>3</v>
      </c>
      <c r="W131" s="7" t="s">
        <v>337</v>
      </c>
      <c r="X131" s="7" t="s">
        <v>203</v>
      </c>
    </row>
    <row r="132" spans="1:24" ht="23.1" hidden="1" customHeight="1" x14ac:dyDescent="0.25">
      <c r="A132" s="1" t="s">
        <v>53</v>
      </c>
      <c r="D132" s="3" t="s">
        <v>338</v>
      </c>
      <c r="E132" s="15" t="s">
        <v>339</v>
      </c>
      <c r="F132" s="15" t="str">
        <f>+VLOOKUP(D132,[1]Sheet1!$D$2:$E$29166,2,0)</f>
        <v>11140框右下半框</v>
      </c>
      <c r="G132" s="3" t="s">
        <v>147</v>
      </c>
      <c r="H132" s="3">
        <v>60</v>
      </c>
      <c r="I132" s="18" t="str">
        <f t="array" ref="I132">INDEX([2]Sheet1!$F$1:$AF$65808,MATCH(D132&amp;G132&amp;I$1,[2]Sheet1!$B$1:$B$65808&amp;[2]Sheet1!$D$1:$D$65808&amp;[2]Sheet1!$E$1:$E$65808,0),MATCH(H132,[2]Sheet1!$F$1:$AF$1,0))</f>
        <v>60/钳工</v>
      </c>
      <c r="J132" s="3">
        <v>2</v>
      </c>
      <c r="K132" s="3">
        <v>2</v>
      </c>
      <c r="L132" s="19">
        <v>30</v>
      </c>
      <c r="M132" s="19">
        <v>30</v>
      </c>
      <c r="N132" s="5" t="s">
        <v>335</v>
      </c>
      <c r="O132" s="4"/>
      <c r="P132" s="18">
        <f t="array" ref="P132">IFERROR(INDEX([2]Sheet1!$F$1:$AF$65808,MATCH($D132&amp;$G132&amp;P$1,[2]Sheet1!$B$1:$B$65808&amp;[2]Sheet1!$D$1:$D$65808&amp;[2]Sheet1!$E$1:$E$65808,0),MATCH($H132,[2]Sheet1!$F$1:$AF$1,0)),0)</f>
        <v>560</v>
      </c>
      <c r="Q132" s="3"/>
      <c r="R132" s="6"/>
      <c r="S132" s="22"/>
      <c r="U132" s="23">
        <f t="shared" si="2"/>
        <v>18.7</v>
      </c>
      <c r="V132" s="24" t="s">
        <v>3</v>
      </c>
    </row>
    <row r="133" spans="1:24" ht="23.1" hidden="1" customHeight="1" x14ac:dyDescent="0.25">
      <c r="A133" s="1" t="s">
        <v>53</v>
      </c>
      <c r="D133" s="3" t="s">
        <v>338</v>
      </c>
      <c r="E133" s="15" t="s">
        <v>339</v>
      </c>
      <c r="F133" s="15" t="str">
        <f>+VLOOKUP(D133,[1]Sheet1!$D$2:$E$29166,2,0)</f>
        <v>11140框右下半框</v>
      </c>
      <c r="G133" s="3" t="s">
        <v>147</v>
      </c>
      <c r="H133" s="3" t="s">
        <v>340</v>
      </c>
      <c r="I133" s="18" t="e">
        <f t="array" ref="I133">INDEX([2]Sheet1!$F$1:$AF$65808,MATCH(D133&amp;G133&amp;I$1,[2]Sheet1!$B$1:$B$65808&amp;[2]Sheet1!$D$1:$D$65808&amp;[2]Sheet1!$E$1:$E$65808,0),MATCH(H133,[2]Sheet1!$F$1:$AF$1,0))</f>
        <v>#N/A</v>
      </c>
      <c r="J133" s="3">
        <v>2</v>
      </c>
      <c r="K133" s="3">
        <v>2</v>
      </c>
      <c r="L133" s="19">
        <v>30</v>
      </c>
      <c r="M133" s="19">
        <v>30</v>
      </c>
      <c r="N133" s="5" t="s">
        <v>335</v>
      </c>
      <c r="O133" s="4"/>
      <c r="P133" s="18">
        <v>90</v>
      </c>
      <c r="Q133" s="3"/>
      <c r="R133" s="6"/>
      <c r="S133" s="22"/>
      <c r="U133" s="23">
        <f t="shared" si="2"/>
        <v>3</v>
      </c>
      <c r="V133" s="24" t="s">
        <v>3</v>
      </c>
      <c r="W133" s="7" t="s">
        <v>341</v>
      </c>
      <c r="X133" s="7" t="s">
        <v>203</v>
      </c>
    </row>
    <row r="134" spans="1:24" ht="23.1" hidden="1" customHeight="1" x14ac:dyDescent="0.25">
      <c r="A134" s="1" t="s">
        <v>213</v>
      </c>
      <c r="D134" s="3" t="s">
        <v>342</v>
      </c>
      <c r="E134" s="15" t="s">
        <v>319</v>
      </c>
      <c r="F134" s="15" t="e">
        <f>+VLOOKUP(D134,[1]Sheet1!$D$2:$E$29166,2,0)</f>
        <v>#N/A</v>
      </c>
      <c r="G134" s="3" t="s">
        <v>51</v>
      </c>
      <c r="H134" s="3" t="s">
        <v>340</v>
      </c>
      <c r="I134" s="18" t="e">
        <f t="array" ref="I134">INDEX([2]Sheet1!$F$1:$AF$65808,MATCH(D134&amp;G134&amp;I$1,[2]Sheet1!$B$1:$B$65808&amp;[2]Sheet1!$D$1:$D$65808&amp;[2]Sheet1!$E$1:$E$65808,0),MATCH(H134,[2]Sheet1!$F$1:$AF$1,0))</f>
        <v>#N/A</v>
      </c>
      <c r="J134" s="3">
        <v>10</v>
      </c>
      <c r="K134" s="3">
        <v>10</v>
      </c>
      <c r="L134" s="19">
        <v>30</v>
      </c>
      <c r="M134" s="19">
        <v>30</v>
      </c>
      <c r="N134" s="5" t="s">
        <v>343</v>
      </c>
      <c r="O134" s="4"/>
      <c r="P134" s="18">
        <v>45</v>
      </c>
      <c r="Q134" s="3"/>
      <c r="R134" s="6"/>
      <c r="S134" s="22"/>
      <c r="U134" s="23">
        <f t="shared" si="2"/>
        <v>7.5</v>
      </c>
      <c r="V134" s="24" t="s">
        <v>3</v>
      </c>
      <c r="W134" s="7" t="s">
        <v>344</v>
      </c>
      <c r="X134" s="7" t="s">
        <v>203</v>
      </c>
    </row>
    <row r="135" spans="1:24" ht="23.1" hidden="1" customHeight="1" x14ac:dyDescent="0.25">
      <c r="A135" s="1" t="s">
        <v>213</v>
      </c>
      <c r="D135" s="3" t="s">
        <v>328</v>
      </c>
      <c r="E135" s="15" t="s">
        <v>329</v>
      </c>
      <c r="F135" s="15" t="str">
        <f>+VLOOKUP(D135,[1]Sheet1!$D$2:$E$29166,2,0)</f>
        <v>辅助动力舱口盖前段</v>
      </c>
      <c r="G135" s="3" t="s">
        <v>46</v>
      </c>
      <c r="H135" s="3">
        <v>50</v>
      </c>
      <c r="I135" s="18" t="str">
        <f t="array" ref="I135">INDEX([2]Sheet1!$F$1:$AF$65808,MATCH(D135&amp;G135&amp;I$1,[2]Sheet1!$B$1:$B$65808&amp;[2]Sheet1!$D$1:$D$65808&amp;[2]Sheet1!$E$1:$E$65808,0),MATCH(H135,[2]Sheet1!$F$1:$AF$1,0))</f>
        <v>50/钳工</v>
      </c>
      <c r="J135" s="3">
        <v>2</v>
      </c>
      <c r="K135" s="3">
        <v>2</v>
      </c>
      <c r="L135" s="19">
        <v>30</v>
      </c>
      <c r="M135" s="19">
        <v>30</v>
      </c>
      <c r="N135" s="5" t="s">
        <v>343</v>
      </c>
      <c r="O135" s="4"/>
      <c r="P135" s="18">
        <f t="array" ref="P135">IFERROR(INDEX([2]Sheet1!$F$1:$AF$65808,MATCH($D135&amp;$G135&amp;P$1,[2]Sheet1!$B$1:$B$65808&amp;[2]Sheet1!$D$1:$D$65808&amp;[2]Sheet1!$E$1:$E$65808,0),MATCH($H135,[2]Sheet1!$F$1:$AF$1,0)),0)</f>
        <v>480</v>
      </c>
      <c r="Q135" s="3"/>
      <c r="R135" s="6"/>
      <c r="S135" s="22"/>
      <c r="U135" s="23">
        <f t="shared" si="2"/>
        <v>16</v>
      </c>
      <c r="V135" s="24" t="s">
        <v>3</v>
      </c>
    </row>
    <row r="136" spans="1:24" ht="23.1" hidden="1" customHeight="1" x14ac:dyDescent="0.25">
      <c r="A136" s="1" t="s">
        <v>213</v>
      </c>
      <c r="D136" s="3" t="s">
        <v>328</v>
      </c>
      <c r="E136" s="15" t="s">
        <v>329</v>
      </c>
      <c r="F136" s="15" t="str">
        <f>+VLOOKUP(D136,[1]Sheet1!$D$2:$E$29166,2,0)</f>
        <v>辅助动力舱口盖前段</v>
      </c>
      <c r="G136" s="3" t="s">
        <v>46</v>
      </c>
      <c r="H136" s="3">
        <v>52</v>
      </c>
      <c r="I136" s="18" t="e">
        <f t="array" ref="I136">INDEX([2]Sheet1!$F$1:$AF$65808,MATCH(D136&amp;G136&amp;I$1,[2]Sheet1!$B$1:$B$65808&amp;[2]Sheet1!$D$1:$D$65808&amp;[2]Sheet1!$E$1:$E$65808,0),MATCH(H136,[2]Sheet1!$F$1:$AF$1,0))</f>
        <v>#N/A</v>
      </c>
      <c r="J136" s="3">
        <v>2</v>
      </c>
      <c r="K136" s="3">
        <v>2</v>
      </c>
      <c r="L136" s="19">
        <v>30</v>
      </c>
      <c r="M136" s="19">
        <v>30</v>
      </c>
      <c r="N136" s="5" t="s">
        <v>343</v>
      </c>
      <c r="O136" s="4"/>
      <c r="P136" s="18">
        <v>120</v>
      </c>
      <c r="Q136" s="3"/>
      <c r="R136" s="6"/>
      <c r="S136" s="22"/>
      <c r="U136" s="23">
        <f t="shared" si="2"/>
        <v>4</v>
      </c>
      <c r="V136" s="24" t="s">
        <v>3</v>
      </c>
    </row>
    <row r="137" spans="1:24" ht="23.1" hidden="1" customHeight="1" x14ac:dyDescent="0.25">
      <c r="A137" s="1" t="s">
        <v>213</v>
      </c>
      <c r="D137" s="3" t="s">
        <v>345</v>
      </c>
      <c r="E137" s="15" t="s">
        <v>346</v>
      </c>
      <c r="F137" s="15" t="str">
        <f>+VLOOKUP(D137,[1]Sheet1!$D$2:$E$29166,2,0)</f>
        <v>18框前33长桁</v>
      </c>
      <c r="G137" s="3" t="s">
        <v>64</v>
      </c>
      <c r="H137" s="3">
        <v>65</v>
      </c>
      <c r="I137" s="18" t="str">
        <f t="array" ref="I137">INDEX([2]Sheet1!$F$1:$AF$65808,MATCH(D137&amp;G137&amp;I$1,[2]Sheet1!$B$1:$B$65808&amp;[2]Sheet1!$D$1:$D$65808&amp;[2]Sheet1!$E$1:$E$65808,0),MATCH(H137,[2]Sheet1!$F$1:$AF$1,0))</f>
        <v>65/钳工</v>
      </c>
      <c r="J137" s="3">
        <v>1</v>
      </c>
      <c r="K137" s="3">
        <v>1</v>
      </c>
      <c r="L137" s="19">
        <v>30</v>
      </c>
      <c r="M137" s="19">
        <v>30</v>
      </c>
      <c r="N137" s="5" t="s">
        <v>347</v>
      </c>
      <c r="O137" s="4"/>
      <c r="P137" s="18">
        <f t="array" ref="P137">IFERROR(INDEX([2]Sheet1!$F$1:$AF$65808,MATCH($D137&amp;$G137&amp;P$1,[2]Sheet1!$B$1:$B$65808&amp;[2]Sheet1!$D$1:$D$65808&amp;[2]Sheet1!$E$1:$E$65808,0),MATCH($H137,[2]Sheet1!$F$1:$AF$1,0)),0)</f>
        <v>390</v>
      </c>
      <c r="Q137" s="3"/>
      <c r="R137" s="6"/>
      <c r="S137" s="22"/>
      <c r="U137" s="23">
        <f t="shared" si="2"/>
        <v>6.5</v>
      </c>
      <c r="V137" s="24" t="s">
        <v>3</v>
      </c>
    </row>
    <row r="138" spans="1:24" ht="23.1" hidden="1" customHeight="1" x14ac:dyDescent="0.25">
      <c r="A138" s="1" t="s">
        <v>58</v>
      </c>
      <c r="D138" s="25" t="s">
        <v>348</v>
      </c>
      <c r="E138" s="15" t="s">
        <v>302</v>
      </c>
      <c r="F138" s="15" t="e">
        <f>+VLOOKUP(D138,[1]Sheet1!$D$2:$E$29166,2,0)</f>
        <v>#N/A</v>
      </c>
      <c r="G138" s="3" t="s">
        <v>46</v>
      </c>
      <c r="H138" s="3">
        <v>35</v>
      </c>
      <c r="I138" s="18" t="e">
        <f t="array" ref="I138">INDEX([2]Sheet1!$F$1:$AF$65808,MATCH(D138&amp;G138&amp;I$1,[2]Sheet1!$B$1:$B$65808&amp;[2]Sheet1!$D$1:$D$65808&amp;[2]Sheet1!$E$1:$E$65808,0),MATCH(H138,[2]Sheet1!$F$1:$AF$1,0))</f>
        <v>#N/A</v>
      </c>
      <c r="J138" s="3">
        <v>4</v>
      </c>
      <c r="K138" s="3">
        <v>4</v>
      </c>
      <c r="L138" s="19">
        <v>30</v>
      </c>
      <c r="M138" s="19">
        <v>30</v>
      </c>
      <c r="N138" s="5" t="s">
        <v>349</v>
      </c>
      <c r="O138" s="4"/>
      <c r="P138" s="18">
        <v>150</v>
      </c>
      <c r="Q138" s="3"/>
      <c r="R138" s="6"/>
      <c r="S138" s="22"/>
      <c r="U138" s="23">
        <f t="shared" si="2"/>
        <v>10</v>
      </c>
      <c r="V138" s="24" t="s">
        <v>3</v>
      </c>
    </row>
    <row r="139" spans="1:24" ht="23.1" hidden="1" customHeight="1" x14ac:dyDescent="0.25">
      <c r="A139" s="1" t="s">
        <v>58</v>
      </c>
      <c r="D139" s="3" t="s">
        <v>332</v>
      </c>
      <c r="E139" s="15" t="s">
        <v>333</v>
      </c>
      <c r="F139" s="15" t="str">
        <f>+VLOOKUP(D139,[1]Sheet1!$D$2:$E$29166,2,0)</f>
        <v>梁（右件）</v>
      </c>
      <c r="G139" s="3" t="s">
        <v>147</v>
      </c>
      <c r="H139" s="3" t="s">
        <v>340</v>
      </c>
      <c r="I139" s="18" t="e">
        <f t="array" ref="I139">INDEX([2]Sheet1!$F$1:$AF$65808,MATCH(D139&amp;G139&amp;I$1,[2]Sheet1!$B$1:$B$65808&amp;[2]Sheet1!$D$1:$D$65808&amp;[2]Sheet1!$E$1:$E$65808,0),MATCH(H139,[2]Sheet1!$F$1:$AF$1,0))</f>
        <v>#N/A</v>
      </c>
      <c r="J139" s="3">
        <v>4</v>
      </c>
      <c r="K139" s="3">
        <v>4</v>
      </c>
      <c r="L139" s="19">
        <v>30</v>
      </c>
      <c r="M139" s="19">
        <v>30</v>
      </c>
      <c r="N139" s="5" t="s">
        <v>350</v>
      </c>
      <c r="O139" s="4"/>
      <c r="P139" s="18">
        <v>120</v>
      </c>
      <c r="Q139" s="3"/>
      <c r="R139" s="6"/>
      <c r="S139" s="22"/>
      <c r="U139" s="23">
        <f t="shared" si="2"/>
        <v>8</v>
      </c>
      <c r="V139" s="24" t="s">
        <v>3</v>
      </c>
      <c r="W139" s="7" t="s">
        <v>351</v>
      </c>
      <c r="X139" s="7" t="s">
        <v>203</v>
      </c>
    </row>
    <row r="140" spans="1:24" ht="23.1" hidden="1" customHeight="1" x14ac:dyDescent="0.25">
      <c r="A140" s="1" t="s">
        <v>58</v>
      </c>
      <c r="D140" s="3" t="s">
        <v>122</v>
      </c>
      <c r="E140" s="15" t="s">
        <v>123</v>
      </c>
      <c r="F140" s="15" t="str">
        <f>+VLOOKUP(D140,[1]Sheet1!$D$2:$E$29166,2,0)</f>
        <v>9350-11140左侧上梁</v>
      </c>
      <c r="G140" s="3" t="s">
        <v>51</v>
      </c>
      <c r="H140" s="3">
        <v>60</v>
      </c>
      <c r="I140" s="18" t="str">
        <f t="array" ref="I140">INDEX([2]Sheet1!$F$1:$AF$65808,MATCH(D140&amp;G140&amp;I$1,[2]Sheet1!$B$1:$B$65808&amp;[2]Sheet1!$D$1:$D$65808&amp;[2]Sheet1!$E$1:$E$65808,0),MATCH(H140,[2]Sheet1!$F$1:$AF$1,0))</f>
        <v>60/钳工</v>
      </c>
      <c r="J140" s="3">
        <v>1</v>
      </c>
      <c r="K140" s="3">
        <v>1</v>
      </c>
      <c r="L140" s="19">
        <v>30</v>
      </c>
      <c r="M140" s="19">
        <v>30</v>
      </c>
      <c r="N140" s="5" t="s">
        <v>141</v>
      </c>
      <c r="O140" s="4"/>
      <c r="P140" s="18">
        <f t="array" ref="P140">IFERROR(INDEX([2]Sheet1!$F$1:$AF$65808,MATCH($D140&amp;$G140&amp;P$1,[2]Sheet1!$B$1:$B$65808&amp;[2]Sheet1!$D$1:$D$65808&amp;[2]Sheet1!$E$1:$E$65808,0),MATCH($H140,[2]Sheet1!$F$1:$AF$1,0)),0)</f>
        <v>720</v>
      </c>
      <c r="Q140" s="3"/>
      <c r="R140" s="6"/>
      <c r="S140" s="22"/>
      <c r="U140" s="23">
        <f t="shared" si="2"/>
        <v>12</v>
      </c>
      <c r="V140" s="24" t="s">
        <v>3</v>
      </c>
    </row>
    <row r="141" spans="1:24" ht="23.1" hidden="1" customHeight="1" x14ac:dyDescent="0.25">
      <c r="A141" s="1" t="s">
        <v>58</v>
      </c>
      <c r="D141" s="3" t="s">
        <v>352</v>
      </c>
      <c r="E141" s="15" t="s">
        <v>353</v>
      </c>
      <c r="F141" s="15" t="str">
        <f>+VLOOKUP(D141,[1]Sheet1!$D$2:$E$29166,2,0)</f>
        <v>前端框</v>
      </c>
      <c r="G141" s="3" t="s">
        <v>51</v>
      </c>
      <c r="H141" s="3">
        <v>60</v>
      </c>
      <c r="I141" s="18" t="str">
        <f t="array" ref="I141">INDEX([2]Sheet1!$F$1:$AF$65808,MATCH(D141&amp;G141&amp;I$1,[2]Sheet1!$B$1:$B$65808&amp;[2]Sheet1!$D$1:$D$65808&amp;[2]Sheet1!$E$1:$E$65808,0),MATCH(H141,[2]Sheet1!$F$1:$AF$1,0))</f>
        <v>60/钳工</v>
      </c>
      <c r="J141" s="3">
        <v>2</v>
      </c>
      <c r="K141" s="3">
        <v>2</v>
      </c>
      <c r="L141" s="19">
        <v>30</v>
      </c>
      <c r="M141" s="19">
        <v>30</v>
      </c>
      <c r="N141" s="5" t="s">
        <v>354</v>
      </c>
      <c r="O141" s="4"/>
      <c r="P141" s="18">
        <f t="array" ref="P141">IFERROR(INDEX([2]Sheet1!$F$1:$AF$65808,MATCH($D141&amp;$G141&amp;P$1,[2]Sheet1!$B$1:$B$65808&amp;[2]Sheet1!$D$1:$D$65808&amp;[2]Sheet1!$E$1:$E$65808,0),MATCH($H141,[2]Sheet1!$F$1:$AF$1,0)),0)</f>
        <v>300</v>
      </c>
      <c r="Q141" s="3"/>
      <c r="R141" s="6"/>
      <c r="S141" s="22"/>
      <c r="U141" s="23">
        <f t="shared" si="2"/>
        <v>10</v>
      </c>
      <c r="V141" s="24" t="s">
        <v>3</v>
      </c>
    </row>
    <row r="142" spans="1:24" ht="23.1" hidden="1" customHeight="1" x14ac:dyDescent="0.25">
      <c r="A142" s="1" t="s">
        <v>65</v>
      </c>
      <c r="D142" s="3" t="s">
        <v>355</v>
      </c>
      <c r="E142" s="15" t="s">
        <v>356</v>
      </c>
      <c r="F142" s="15" t="str">
        <f>+VLOOKUP(D142,[1]Sheet1!$D$2:$E$29166,2,0)</f>
        <v>后端框</v>
      </c>
      <c r="G142" s="3" t="s">
        <v>147</v>
      </c>
      <c r="H142" s="3">
        <v>60</v>
      </c>
      <c r="I142" s="18" t="str">
        <f t="array" ref="I142">INDEX([2]Sheet1!$F$1:$AF$65808,MATCH(D142&amp;G142&amp;I$1,[2]Sheet1!$B$1:$B$65808&amp;[2]Sheet1!$D$1:$D$65808&amp;[2]Sheet1!$E$1:$E$65808,0),MATCH(H142,[2]Sheet1!$F$1:$AF$1,0))</f>
        <v>60/钳工</v>
      </c>
      <c r="J142" s="3">
        <v>6</v>
      </c>
      <c r="K142" s="3">
        <v>2</v>
      </c>
      <c r="L142" s="19">
        <v>30</v>
      </c>
      <c r="M142" s="19">
        <v>30</v>
      </c>
      <c r="N142" s="5" t="s">
        <v>357</v>
      </c>
      <c r="O142" s="4"/>
      <c r="P142" s="18">
        <f t="array" ref="P142">IFERROR(INDEX([2]Sheet1!$F$1:$AF$65808,MATCH($D142&amp;$G142&amp;P$1,[2]Sheet1!$B$1:$B$65808&amp;[2]Sheet1!$D$1:$D$65808&amp;[2]Sheet1!$E$1:$E$65808,0),MATCH($H142,[2]Sheet1!$F$1:$AF$1,0)),0)</f>
        <v>420</v>
      </c>
      <c r="Q142" s="3"/>
      <c r="R142" s="6"/>
      <c r="S142" s="22"/>
      <c r="U142" s="23">
        <f t="shared" si="2"/>
        <v>14</v>
      </c>
      <c r="V142" s="24" t="s">
        <v>3</v>
      </c>
    </row>
    <row r="143" spans="1:24" ht="23.1" hidden="1" customHeight="1" x14ac:dyDescent="0.25">
      <c r="A143" s="1" t="s">
        <v>65</v>
      </c>
      <c r="D143" s="3" t="s">
        <v>358</v>
      </c>
      <c r="E143" s="15" t="s">
        <v>359</v>
      </c>
      <c r="F143" s="15" t="e">
        <f>+VLOOKUP(D143,[1]Sheet1!$D$2:$E$29166,2,0)</f>
        <v>#N/A</v>
      </c>
      <c r="G143" s="3" t="s">
        <v>46</v>
      </c>
      <c r="H143" s="3">
        <v>15</v>
      </c>
      <c r="I143" s="18" t="e">
        <f t="array" ref="I143">INDEX([2]Sheet1!$F$1:$AF$65808,MATCH(D143&amp;G143&amp;I$1,[2]Sheet1!$B$1:$B$65808&amp;[2]Sheet1!$D$1:$D$65808&amp;[2]Sheet1!$E$1:$E$65808,0),MATCH(H143,[2]Sheet1!$F$1:$AF$1,0))</f>
        <v>#N/A</v>
      </c>
      <c r="J143" s="3">
        <v>2</v>
      </c>
      <c r="K143" s="3">
        <v>2</v>
      </c>
      <c r="L143" s="19">
        <v>30</v>
      </c>
      <c r="M143" s="19">
        <v>30</v>
      </c>
      <c r="N143" s="5" t="s">
        <v>360</v>
      </c>
      <c r="O143" s="4"/>
      <c r="P143" s="18">
        <v>150</v>
      </c>
      <c r="Q143" s="3"/>
      <c r="R143" s="6"/>
      <c r="S143" s="22"/>
      <c r="U143" s="23">
        <f t="shared" si="2"/>
        <v>5</v>
      </c>
      <c r="V143" s="24" t="s">
        <v>3</v>
      </c>
    </row>
    <row r="144" spans="1:24" ht="23.1" hidden="1" customHeight="1" x14ac:dyDescent="0.25">
      <c r="A144" s="1" t="s">
        <v>65</v>
      </c>
      <c r="D144" s="3" t="s">
        <v>122</v>
      </c>
      <c r="E144" s="15" t="s">
        <v>123</v>
      </c>
      <c r="F144" s="15" t="str">
        <f>+VLOOKUP(D144,[1]Sheet1!$D$2:$E$29166,2,0)</f>
        <v>9350-11140左侧上梁</v>
      </c>
      <c r="G144" s="3" t="s">
        <v>51</v>
      </c>
      <c r="H144" s="3">
        <v>60</v>
      </c>
      <c r="I144" s="18" t="str">
        <f t="array" ref="I144">INDEX([2]Sheet1!$F$1:$AF$65808,MATCH(D144&amp;G144&amp;I$1,[2]Sheet1!$B$1:$B$65808&amp;[2]Sheet1!$D$1:$D$65808&amp;[2]Sheet1!$E$1:$E$65808,0),MATCH(H144,[2]Sheet1!$F$1:$AF$1,0))</f>
        <v>60/钳工</v>
      </c>
      <c r="J144" s="3">
        <v>1</v>
      </c>
      <c r="K144" s="3">
        <v>1</v>
      </c>
      <c r="L144" s="19">
        <v>30</v>
      </c>
      <c r="M144" s="19">
        <v>30</v>
      </c>
      <c r="N144" s="5" t="s">
        <v>142</v>
      </c>
      <c r="O144" s="4"/>
      <c r="P144" s="18">
        <f t="array" ref="P144">IFERROR(INDEX([2]Sheet1!$F$1:$AF$65808,MATCH($D144&amp;$G144&amp;P$1,[2]Sheet1!$B$1:$B$65808&amp;[2]Sheet1!$D$1:$D$65808&amp;[2]Sheet1!$E$1:$E$65808,0),MATCH($H144,[2]Sheet1!$F$1:$AF$1,0)),0)</f>
        <v>720</v>
      </c>
      <c r="Q144" s="3"/>
      <c r="R144" s="6"/>
      <c r="S144" s="22"/>
      <c r="U144" s="23">
        <f t="shared" si="2"/>
        <v>12</v>
      </c>
      <c r="V144" s="24" t="s">
        <v>3</v>
      </c>
    </row>
    <row r="145" spans="1:24" ht="23.1" hidden="1" customHeight="1" x14ac:dyDescent="0.25">
      <c r="A145" s="1" t="s">
        <v>65</v>
      </c>
      <c r="D145" s="3" t="s">
        <v>122</v>
      </c>
      <c r="E145" s="15" t="s">
        <v>123</v>
      </c>
      <c r="F145" s="15" t="str">
        <f>+VLOOKUP(D145,[1]Sheet1!$D$2:$E$29166,2,0)</f>
        <v>9350-11140左侧上梁</v>
      </c>
      <c r="G145" s="3" t="s">
        <v>51</v>
      </c>
      <c r="H145" s="3" t="s">
        <v>340</v>
      </c>
      <c r="I145" s="18" t="e">
        <f t="array" ref="I145">INDEX([2]Sheet1!$F$1:$AF$65808,MATCH(D145&amp;G145&amp;I$1,[2]Sheet1!$B$1:$B$65808&amp;[2]Sheet1!$D$1:$D$65808&amp;[2]Sheet1!$E$1:$E$65808,0),MATCH(H145,[2]Sheet1!$F$1:$AF$1,0))</f>
        <v>#N/A</v>
      </c>
      <c r="J145" s="3">
        <v>2</v>
      </c>
      <c r="K145" s="3">
        <v>2</v>
      </c>
      <c r="L145" s="19">
        <v>30</v>
      </c>
      <c r="M145" s="19">
        <v>30</v>
      </c>
      <c r="N145" s="5" t="s">
        <v>361</v>
      </c>
      <c r="O145" s="4"/>
      <c r="P145" s="18">
        <v>240</v>
      </c>
      <c r="Q145" s="3"/>
      <c r="R145" s="6"/>
      <c r="S145" s="22"/>
      <c r="U145" s="23">
        <f t="shared" si="2"/>
        <v>8</v>
      </c>
      <c r="V145" s="24" t="s">
        <v>3</v>
      </c>
      <c r="W145" s="7" t="s">
        <v>362</v>
      </c>
      <c r="X145" s="7" t="s">
        <v>203</v>
      </c>
    </row>
    <row r="146" spans="1:24" ht="23.1" hidden="1" customHeight="1" x14ac:dyDescent="0.25">
      <c r="A146" s="1" t="s">
        <v>71</v>
      </c>
      <c r="D146" s="3" t="s">
        <v>363</v>
      </c>
      <c r="E146" s="15" t="s">
        <v>353</v>
      </c>
      <c r="F146" s="15" t="str">
        <f>+VLOOKUP(D146,[1]Sheet1!$D$2:$E$29166,2,0)</f>
        <v>前端框</v>
      </c>
      <c r="G146" s="3" t="s">
        <v>51</v>
      </c>
      <c r="H146" s="3">
        <v>60</v>
      </c>
      <c r="I146" s="18" t="str">
        <f t="array" ref="I146">INDEX([2]Sheet1!$F$1:$AF$65808,MATCH(D146&amp;G146&amp;I$1,[2]Sheet1!$B$1:$B$65808&amp;[2]Sheet1!$D$1:$D$65808&amp;[2]Sheet1!$E$1:$E$65808,0),MATCH(H146,[2]Sheet1!$F$1:$AF$1,0))</f>
        <v>60/钳工</v>
      </c>
      <c r="J146" s="3">
        <v>6</v>
      </c>
      <c r="K146" s="3">
        <v>6</v>
      </c>
      <c r="L146" s="19">
        <v>30</v>
      </c>
      <c r="M146" s="19">
        <v>30</v>
      </c>
      <c r="N146" s="5" t="s">
        <v>357</v>
      </c>
      <c r="O146" s="4"/>
      <c r="P146" s="18">
        <f t="array" ref="P146">IFERROR(INDEX([2]Sheet1!$F$1:$AF$65808,MATCH($D146&amp;$G146&amp;P$1,[2]Sheet1!$B$1:$B$65808&amp;[2]Sheet1!$D$1:$D$65808&amp;[2]Sheet1!$E$1:$E$65808,0),MATCH($H146,[2]Sheet1!$F$1:$AF$1,0)),0)</f>
        <v>300</v>
      </c>
      <c r="Q146" s="3"/>
      <c r="R146" s="6"/>
      <c r="S146" s="22"/>
      <c r="U146" s="23">
        <f t="shared" si="2"/>
        <v>30</v>
      </c>
      <c r="V146" s="24" t="s">
        <v>3</v>
      </c>
    </row>
    <row r="147" spans="1:24" ht="23.1" hidden="1" customHeight="1" x14ac:dyDescent="0.25">
      <c r="A147" s="1" t="s">
        <v>71</v>
      </c>
      <c r="D147" s="3" t="s">
        <v>364</v>
      </c>
      <c r="E147" s="15" t="s">
        <v>302</v>
      </c>
      <c r="F147" s="15" t="e">
        <f>+VLOOKUP(D147,[1]Sheet1!$D$2:$E$29166,2,0)</f>
        <v>#N/A</v>
      </c>
      <c r="G147" s="3" t="s">
        <v>46</v>
      </c>
      <c r="H147" s="3" t="s">
        <v>340</v>
      </c>
      <c r="I147" s="18" t="e">
        <f t="array" ref="I147">INDEX([2]Sheet1!$F$1:$AF$65808,MATCH(D147&amp;G147&amp;I$1,[2]Sheet1!$B$1:$B$65808&amp;[2]Sheet1!$D$1:$D$65808&amp;[2]Sheet1!$E$1:$E$65808,0),MATCH(H147,[2]Sheet1!$F$1:$AF$1,0))</f>
        <v>#N/A</v>
      </c>
      <c r="J147" s="3">
        <v>4</v>
      </c>
      <c r="K147" s="3">
        <v>4</v>
      </c>
      <c r="L147" s="19">
        <v>30</v>
      </c>
      <c r="M147" s="19">
        <v>30</v>
      </c>
      <c r="N147" s="5" t="s">
        <v>349</v>
      </c>
      <c r="O147" s="4"/>
      <c r="P147" s="18">
        <v>30</v>
      </c>
      <c r="Q147" s="3"/>
      <c r="R147" s="6"/>
      <c r="S147" s="22"/>
      <c r="U147" s="23">
        <f t="shared" si="2"/>
        <v>2</v>
      </c>
      <c r="V147" s="24" t="s">
        <v>3</v>
      </c>
      <c r="X147" s="7" t="s">
        <v>203</v>
      </c>
    </row>
    <row r="148" spans="1:24" ht="23.1" hidden="1" customHeight="1" x14ac:dyDescent="0.25">
      <c r="A148" s="1" t="s">
        <v>71</v>
      </c>
      <c r="D148" s="3" t="s">
        <v>365</v>
      </c>
      <c r="E148" s="15" t="s">
        <v>146</v>
      </c>
      <c r="F148" s="15" t="e">
        <f>+VLOOKUP(D148,[1]Sheet1!$D$2:$E$29166,2,0)</f>
        <v>#N/A</v>
      </c>
      <c r="G148" s="3" t="s">
        <v>147</v>
      </c>
      <c r="H148" s="3">
        <v>75</v>
      </c>
      <c r="I148" s="18" t="str">
        <f t="array" ref="I148">INDEX([2]Sheet1!$F$1:$AF$65808,MATCH(D148&amp;G148&amp;I$1,[2]Sheet1!$B$1:$B$65808&amp;[2]Sheet1!$D$1:$D$65808&amp;[2]Sheet1!$E$1:$E$65808,0),MATCH(H148,[2]Sheet1!$F$1:$AF$1,0))</f>
        <v>75/钳工</v>
      </c>
      <c r="J148" s="3">
        <v>2</v>
      </c>
      <c r="K148" s="3">
        <v>2</v>
      </c>
      <c r="L148" s="19">
        <v>30</v>
      </c>
      <c r="M148" s="19">
        <v>30</v>
      </c>
      <c r="N148" s="5" t="s">
        <v>366</v>
      </c>
      <c r="O148" s="4"/>
      <c r="P148" s="18">
        <f t="array" ref="P148">IFERROR(INDEX([2]Sheet1!$F$1:$AF$65808,MATCH($D148&amp;$G148&amp;P$1,[2]Sheet1!$B$1:$B$65808&amp;[2]Sheet1!$D$1:$D$65808&amp;[2]Sheet1!$E$1:$E$65808,0),MATCH($H148,[2]Sheet1!$F$1:$AF$1,0)),0)</f>
        <v>600</v>
      </c>
      <c r="Q148" s="3"/>
      <c r="R148" s="6"/>
      <c r="S148" s="22"/>
      <c r="U148" s="23">
        <f t="shared" si="2"/>
        <v>20</v>
      </c>
      <c r="V148" s="24" t="s">
        <v>3</v>
      </c>
    </row>
    <row r="149" spans="1:24" ht="23.1" hidden="1" customHeight="1" x14ac:dyDescent="0.25">
      <c r="A149" s="1" t="s">
        <v>71</v>
      </c>
      <c r="D149" s="3" t="s">
        <v>365</v>
      </c>
      <c r="E149" s="15" t="s">
        <v>146</v>
      </c>
      <c r="F149" s="15" t="e">
        <f>+VLOOKUP(D149,[1]Sheet1!$D$2:$E$29166,2,0)</f>
        <v>#N/A</v>
      </c>
      <c r="G149" s="3" t="s">
        <v>147</v>
      </c>
      <c r="H149" s="3">
        <v>75</v>
      </c>
      <c r="I149" s="18" t="str">
        <f t="array" ref="I149">INDEX([2]Sheet1!$F$1:$AF$65808,MATCH(D149&amp;G149&amp;I$1,[2]Sheet1!$B$1:$B$65808&amp;[2]Sheet1!$D$1:$D$65808&amp;[2]Sheet1!$E$1:$E$65808,0),MATCH(H149,[2]Sheet1!$F$1:$AF$1,0))</f>
        <v>75/钳工</v>
      </c>
      <c r="J149" s="3">
        <v>4</v>
      </c>
      <c r="K149" s="3">
        <v>4</v>
      </c>
      <c r="L149" s="19">
        <v>30</v>
      </c>
      <c r="M149" s="19">
        <v>30</v>
      </c>
      <c r="N149" s="5" t="s">
        <v>367</v>
      </c>
      <c r="O149" s="4"/>
      <c r="P149" s="18">
        <f t="array" ref="P149">IFERROR(INDEX([2]Sheet1!$F$1:$AF$65808,MATCH($D149&amp;$G149&amp;P$1,[2]Sheet1!$B$1:$B$65808&amp;[2]Sheet1!$D$1:$D$65808&amp;[2]Sheet1!$E$1:$E$65808,0),MATCH($H149,[2]Sheet1!$F$1:$AF$1,0)),0)</f>
        <v>600</v>
      </c>
      <c r="Q149" s="3"/>
      <c r="R149" s="6"/>
      <c r="S149" s="22"/>
      <c r="U149" s="23">
        <f t="shared" si="2"/>
        <v>40</v>
      </c>
      <c r="V149" s="24" t="s">
        <v>3</v>
      </c>
    </row>
    <row r="150" spans="1:24" ht="23.1" hidden="1" customHeight="1" x14ac:dyDescent="0.25">
      <c r="A150" s="1" t="s">
        <v>368</v>
      </c>
      <c r="D150" s="3" t="s">
        <v>345</v>
      </c>
      <c r="E150" s="15" t="s">
        <v>346</v>
      </c>
      <c r="F150" s="15" t="str">
        <f>+VLOOKUP(D150,[1]Sheet1!$D$2:$E$29166,2,0)</f>
        <v>18框前33长桁</v>
      </c>
      <c r="G150" s="3" t="s">
        <v>64</v>
      </c>
      <c r="H150" s="3">
        <v>65</v>
      </c>
      <c r="I150" s="18" t="str">
        <f t="array" ref="I150">INDEX([2]Sheet1!$F$1:$AF$65808,MATCH(D150&amp;G150&amp;I$1,[2]Sheet1!$B$1:$B$65808&amp;[2]Sheet1!$D$1:$D$65808&amp;[2]Sheet1!$E$1:$E$65808,0),MATCH(H150,[2]Sheet1!$F$1:$AF$1,0))</f>
        <v>65/钳工</v>
      </c>
      <c r="J150" s="3">
        <v>2</v>
      </c>
      <c r="K150" s="3">
        <v>2</v>
      </c>
      <c r="L150" s="19">
        <v>30</v>
      </c>
      <c r="M150" s="19">
        <v>30</v>
      </c>
      <c r="N150" s="5" t="s">
        <v>369</v>
      </c>
      <c r="O150" s="4"/>
      <c r="P150" s="18">
        <f t="array" ref="P150">IFERROR(INDEX([2]Sheet1!$F$1:$AF$65808,MATCH($D150&amp;$G150&amp;P$1,[2]Sheet1!$B$1:$B$65808&amp;[2]Sheet1!$D$1:$D$65808&amp;[2]Sheet1!$E$1:$E$65808,0),MATCH($H150,[2]Sheet1!$F$1:$AF$1,0)),0)</f>
        <v>390</v>
      </c>
      <c r="Q150" s="3"/>
      <c r="R150" s="6"/>
      <c r="S150" s="22"/>
      <c r="U150" s="23">
        <f t="shared" si="2"/>
        <v>13</v>
      </c>
      <c r="V150" s="24" t="s">
        <v>3</v>
      </c>
    </row>
    <row r="151" spans="1:24" ht="23.1" hidden="1" customHeight="1" x14ac:dyDescent="0.25">
      <c r="A151" s="1" t="s">
        <v>368</v>
      </c>
      <c r="D151" s="3" t="s">
        <v>370</v>
      </c>
      <c r="E151" s="15" t="s">
        <v>55</v>
      </c>
      <c r="F151" s="15" t="str">
        <f>+VLOOKUP(D151,[1]Sheet1!$D$2:$E$29166,2,0)</f>
        <v>接头</v>
      </c>
      <c r="G151" s="3" t="s">
        <v>80</v>
      </c>
      <c r="H151" s="3">
        <v>60</v>
      </c>
      <c r="I151" s="18" t="str">
        <f t="array" ref="I151">INDEX([2]Sheet1!$F$1:$AF$65808,MATCH(D151&amp;G151&amp;I$1,[2]Sheet1!$B$1:$B$65808&amp;[2]Sheet1!$D$1:$D$65808&amp;[2]Sheet1!$E$1:$E$65808,0),MATCH(H151,[2]Sheet1!$F$1:$AF$1,0))</f>
        <v>60/钳工</v>
      </c>
      <c r="J151" s="3">
        <v>2</v>
      </c>
      <c r="K151" s="3">
        <v>2</v>
      </c>
      <c r="L151" s="19">
        <v>30</v>
      </c>
      <c r="M151" s="19">
        <v>30</v>
      </c>
      <c r="N151" s="5" t="s">
        <v>81</v>
      </c>
      <c r="O151" s="4"/>
      <c r="P151" s="18">
        <f t="array" ref="P151">IFERROR(INDEX([2]Sheet1!$F$1:$AF$65808,MATCH($D151&amp;$G151&amp;P$1,[2]Sheet1!$B$1:$B$65808&amp;[2]Sheet1!$D$1:$D$65808&amp;[2]Sheet1!$E$1:$E$65808,0),MATCH($H151,[2]Sheet1!$F$1:$AF$1,0)),0)</f>
        <v>90</v>
      </c>
      <c r="Q151" s="3"/>
      <c r="R151" s="6"/>
      <c r="S151" s="22"/>
      <c r="U151" s="23">
        <f t="shared" si="2"/>
        <v>3</v>
      </c>
      <c r="V151" s="24" t="s">
        <v>3</v>
      </c>
    </row>
    <row r="152" spans="1:24" ht="23.1" hidden="1" customHeight="1" x14ac:dyDescent="0.25">
      <c r="A152" s="1" t="s">
        <v>368</v>
      </c>
      <c r="D152" s="3" t="s">
        <v>122</v>
      </c>
      <c r="E152" s="15" t="s">
        <v>123</v>
      </c>
      <c r="F152" s="15" t="str">
        <f>+VLOOKUP(D152,[1]Sheet1!$D$2:$E$29166,2,0)</f>
        <v>9350-11140左侧上梁</v>
      </c>
      <c r="G152" s="3" t="s">
        <v>51</v>
      </c>
      <c r="H152" s="3" t="s">
        <v>340</v>
      </c>
      <c r="I152" s="18" t="e">
        <f t="array" ref="I152">INDEX([2]Sheet1!$F$1:$AF$65808,MATCH(D152&amp;G152&amp;I$1,[2]Sheet1!$B$1:$B$65808&amp;[2]Sheet1!$D$1:$D$65808&amp;[2]Sheet1!$E$1:$E$65808,0),MATCH(H152,[2]Sheet1!$F$1:$AF$1,0))</f>
        <v>#N/A</v>
      </c>
      <c r="J152" s="3">
        <v>1</v>
      </c>
      <c r="K152" s="3">
        <v>1</v>
      </c>
      <c r="L152" s="19">
        <v>30</v>
      </c>
      <c r="M152" s="19">
        <v>30</v>
      </c>
      <c r="N152" s="5" t="s">
        <v>142</v>
      </c>
      <c r="O152" s="4"/>
      <c r="P152" s="18">
        <v>120</v>
      </c>
      <c r="Q152" s="3"/>
      <c r="R152" s="6"/>
      <c r="S152" s="22"/>
      <c r="U152" s="23">
        <f t="shared" si="2"/>
        <v>2</v>
      </c>
      <c r="V152" s="24" t="s">
        <v>3</v>
      </c>
      <c r="W152" s="7" t="s">
        <v>351</v>
      </c>
      <c r="X152" s="7" t="s">
        <v>203</v>
      </c>
    </row>
    <row r="153" spans="1:24" ht="23.1" hidden="1" customHeight="1" x14ac:dyDescent="0.25">
      <c r="A153" s="1" t="s">
        <v>368</v>
      </c>
      <c r="D153" s="3" t="s">
        <v>371</v>
      </c>
      <c r="E153" s="15" t="s">
        <v>372</v>
      </c>
      <c r="F153" s="15" t="e">
        <f>+VLOOKUP(D153,[1]Sheet1!$D$2:$E$29166,2,0)</f>
        <v>#N/A</v>
      </c>
      <c r="G153" s="3" t="s">
        <v>64</v>
      </c>
      <c r="H153" s="3">
        <v>40</v>
      </c>
      <c r="I153" s="18" t="e">
        <f t="array" ref="I153">INDEX([2]Sheet1!$F$1:$AF$65808,MATCH(D153&amp;G153&amp;I$1,[2]Sheet1!$B$1:$B$65808&amp;[2]Sheet1!$D$1:$D$65808&amp;[2]Sheet1!$E$1:$E$65808,0),MATCH(H153,[2]Sheet1!$F$1:$AF$1,0))</f>
        <v>#N/A</v>
      </c>
      <c r="J153" s="3">
        <v>4</v>
      </c>
      <c r="K153" s="3">
        <v>3</v>
      </c>
      <c r="L153" s="19">
        <v>8</v>
      </c>
      <c r="M153" s="19">
        <v>8</v>
      </c>
      <c r="N153" s="5" t="s">
        <v>373</v>
      </c>
      <c r="O153" s="4"/>
      <c r="P153" s="18">
        <v>60</v>
      </c>
      <c r="Q153" s="3"/>
      <c r="R153" s="6"/>
      <c r="S153" s="22"/>
      <c r="U153" s="23">
        <f t="shared" si="2"/>
        <v>3</v>
      </c>
      <c r="V153" s="24" t="s">
        <v>3</v>
      </c>
    </row>
    <row r="154" spans="1:24" ht="23.1" hidden="1" customHeight="1" x14ac:dyDescent="0.25">
      <c r="A154" s="1" t="s">
        <v>74</v>
      </c>
      <c r="D154" s="3" t="s">
        <v>149</v>
      </c>
      <c r="E154" s="15" t="s">
        <v>146</v>
      </c>
      <c r="F154" s="15" t="str">
        <f>+VLOOKUP(D154,[1]Sheet1!$D$2:$E$29166,2,0)</f>
        <v>8270侧隔框</v>
      </c>
      <c r="G154" s="3" t="s">
        <v>147</v>
      </c>
      <c r="H154" s="3" t="s">
        <v>340</v>
      </c>
      <c r="I154" s="18" t="e">
        <f t="array" ref="I154">INDEX([2]Sheet1!$F$1:$AF$65808,MATCH(D154&amp;G154&amp;I$1,[2]Sheet1!$B$1:$B$65808&amp;[2]Sheet1!$D$1:$D$65808&amp;[2]Sheet1!$E$1:$E$65808,0),MATCH(H154,[2]Sheet1!$F$1:$AF$1,0))</f>
        <v>#N/A</v>
      </c>
      <c r="J154" s="3">
        <v>3</v>
      </c>
      <c r="K154" s="3">
        <v>3</v>
      </c>
      <c r="L154" s="19">
        <v>30</v>
      </c>
      <c r="M154" s="19">
        <v>30</v>
      </c>
      <c r="N154" s="5" t="s">
        <v>148</v>
      </c>
      <c r="O154" s="4"/>
      <c r="P154" s="18">
        <v>120</v>
      </c>
      <c r="Q154" s="3"/>
      <c r="R154" s="6"/>
      <c r="S154" s="22"/>
      <c r="U154" s="23">
        <f t="shared" si="2"/>
        <v>6</v>
      </c>
      <c r="V154" s="24" t="s">
        <v>3</v>
      </c>
      <c r="W154" s="7" t="s">
        <v>351</v>
      </c>
      <c r="X154" s="7" t="s">
        <v>203</v>
      </c>
    </row>
    <row r="155" spans="1:24" ht="23.1" hidden="1" customHeight="1" x14ac:dyDescent="0.25">
      <c r="A155" s="1" t="s">
        <v>74</v>
      </c>
      <c r="D155" s="3" t="s">
        <v>345</v>
      </c>
      <c r="E155" s="15" t="s">
        <v>346</v>
      </c>
      <c r="F155" s="15" t="str">
        <f>+VLOOKUP(D155,[1]Sheet1!$D$2:$E$29166,2,0)</f>
        <v>18框前33长桁</v>
      </c>
      <c r="G155" s="3" t="s">
        <v>64</v>
      </c>
      <c r="H155" s="3" t="s">
        <v>340</v>
      </c>
      <c r="I155" s="18" t="e">
        <f t="array" ref="I155">INDEX([2]Sheet1!$F$1:$AF$65808,MATCH(D155&amp;G155&amp;I$1,[2]Sheet1!$B$1:$B$65808&amp;[2]Sheet1!$D$1:$D$65808&amp;[2]Sheet1!$E$1:$E$65808,0),MATCH(H155,[2]Sheet1!$F$1:$AF$1,0))</f>
        <v>#N/A</v>
      </c>
      <c r="J155" s="3">
        <v>2</v>
      </c>
      <c r="K155" s="3">
        <v>2</v>
      </c>
      <c r="L155" s="19">
        <v>30</v>
      </c>
      <c r="M155" s="19">
        <v>30</v>
      </c>
      <c r="N155" s="5" t="s">
        <v>369</v>
      </c>
      <c r="O155" s="4"/>
      <c r="P155" s="18">
        <v>30</v>
      </c>
      <c r="Q155" s="3"/>
      <c r="R155" s="6"/>
      <c r="S155" s="22"/>
      <c r="U155" s="23">
        <f t="shared" si="2"/>
        <v>1</v>
      </c>
      <c r="V155" s="24" t="s">
        <v>3</v>
      </c>
      <c r="X155" s="7" t="s">
        <v>203</v>
      </c>
    </row>
    <row r="156" spans="1:24" ht="23.1" hidden="1" customHeight="1" x14ac:dyDescent="0.25">
      <c r="A156" s="1" t="s">
        <v>74</v>
      </c>
      <c r="D156" s="3" t="s">
        <v>374</v>
      </c>
      <c r="E156" s="15" t="s">
        <v>375</v>
      </c>
      <c r="F156" s="15" t="str">
        <f>+VLOOKUP(D156,[1]Sheet1!$D$2:$E$29166,2,0)</f>
        <v>口盖</v>
      </c>
      <c r="G156" s="3" t="s">
        <v>147</v>
      </c>
      <c r="H156" s="3">
        <v>35</v>
      </c>
      <c r="I156" s="18" t="str">
        <f t="array" ref="I156">INDEX([2]Sheet1!$F$1:$AF$65808,MATCH(D156&amp;G156&amp;I$1,[2]Sheet1!$B$1:$B$65808&amp;[2]Sheet1!$D$1:$D$65808&amp;[2]Sheet1!$E$1:$E$65808,0),MATCH(H156,[2]Sheet1!$F$1:$AF$1,0))</f>
        <v>35/钳工</v>
      </c>
      <c r="J156" s="3">
        <v>11</v>
      </c>
      <c r="K156" s="3">
        <v>11</v>
      </c>
      <c r="L156" s="19">
        <v>30</v>
      </c>
      <c r="M156" s="19">
        <v>30</v>
      </c>
      <c r="N156" s="5" t="s">
        <v>376</v>
      </c>
      <c r="O156" s="4"/>
      <c r="P156" s="18">
        <f t="array" ref="P156">IFERROR(INDEX([2]Sheet1!$F$1:$AF$65808,MATCH($D156&amp;$G156&amp;P$1,[2]Sheet1!$B$1:$B$65808&amp;[2]Sheet1!$D$1:$D$65808&amp;[2]Sheet1!$E$1:$E$65808,0),MATCH($H156,[2]Sheet1!$F$1:$AF$1,0)),0)</f>
        <v>30</v>
      </c>
      <c r="Q156" s="3"/>
      <c r="R156" s="6"/>
      <c r="S156" s="22"/>
      <c r="U156" s="23">
        <f t="shared" si="2"/>
        <v>5.5</v>
      </c>
      <c r="V156" s="24" t="s">
        <v>3</v>
      </c>
    </row>
    <row r="157" spans="1:24" ht="23.1" hidden="1" customHeight="1" x14ac:dyDescent="0.25">
      <c r="A157" s="1" t="s">
        <v>74</v>
      </c>
      <c r="D157" s="3" t="s">
        <v>374</v>
      </c>
      <c r="E157" s="15" t="s">
        <v>375</v>
      </c>
      <c r="F157" s="15" t="str">
        <f>+VLOOKUP(D157,[1]Sheet1!$D$2:$E$29166,2,0)</f>
        <v>口盖</v>
      </c>
      <c r="G157" s="3" t="s">
        <v>147</v>
      </c>
      <c r="H157" s="3" t="s">
        <v>340</v>
      </c>
      <c r="I157" s="18" t="e">
        <f t="array" ref="I157">INDEX([2]Sheet1!$F$1:$AF$65808,MATCH(D157&amp;G157&amp;I$1,[2]Sheet1!$B$1:$B$65808&amp;[2]Sheet1!$D$1:$D$65808&amp;[2]Sheet1!$E$1:$E$65808,0),MATCH(H157,[2]Sheet1!$F$1:$AF$1,0))</f>
        <v>#N/A</v>
      </c>
      <c r="J157" s="3">
        <v>11</v>
      </c>
      <c r="K157" s="3">
        <v>11</v>
      </c>
      <c r="L157" s="19">
        <v>30</v>
      </c>
      <c r="M157" s="19">
        <v>30</v>
      </c>
      <c r="N157" s="5" t="s">
        <v>376</v>
      </c>
      <c r="O157" s="4"/>
      <c r="P157" s="18">
        <v>25</v>
      </c>
      <c r="Q157" s="3"/>
      <c r="R157" s="6"/>
      <c r="S157" s="22"/>
      <c r="U157" s="23">
        <f t="shared" si="2"/>
        <v>4.5999999999999996</v>
      </c>
      <c r="V157" s="24" t="s">
        <v>3</v>
      </c>
      <c r="W157" s="7" t="s">
        <v>377</v>
      </c>
      <c r="X157" s="7" t="s">
        <v>203</v>
      </c>
    </row>
    <row r="158" spans="1:24" ht="23.1" hidden="1" customHeight="1" x14ac:dyDescent="0.25">
      <c r="A158" s="1" t="s">
        <v>82</v>
      </c>
      <c r="D158" s="3" t="s">
        <v>355</v>
      </c>
      <c r="E158" s="15" t="s">
        <v>356</v>
      </c>
      <c r="F158" s="15" t="str">
        <f>+VLOOKUP(D158,[1]Sheet1!$D$2:$E$29166,2,0)</f>
        <v>后端框</v>
      </c>
      <c r="G158" s="3" t="s">
        <v>147</v>
      </c>
      <c r="H158" s="3">
        <v>60</v>
      </c>
      <c r="I158" s="18" t="str">
        <f t="array" ref="I158">INDEX([2]Sheet1!$F$1:$AF$65808,MATCH(D158&amp;G158&amp;I$1,[2]Sheet1!$B$1:$B$65808&amp;[2]Sheet1!$D$1:$D$65808&amp;[2]Sheet1!$E$1:$E$65808,0),MATCH(H158,[2]Sheet1!$F$1:$AF$1,0))</f>
        <v>60/钳工</v>
      </c>
      <c r="J158" s="3">
        <v>6</v>
      </c>
      <c r="K158" s="3">
        <v>2</v>
      </c>
      <c r="L158" s="19">
        <v>30</v>
      </c>
      <c r="M158" s="19">
        <v>30</v>
      </c>
      <c r="N158" s="5" t="s">
        <v>357</v>
      </c>
      <c r="O158" s="4"/>
      <c r="P158" s="18">
        <f t="array" ref="P158">IFERROR(INDEX([2]Sheet1!$F$1:$AF$65808,MATCH($D158&amp;$G158&amp;P$1,[2]Sheet1!$B$1:$B$65808&amp;[2]Sheet1!$D$1:$D$65808&amp;[2]Sheet1!$E$1:$E$65808,0),MATCH($H158,[2]Sheet1!$F$1:$AF$1,0)),0)</f>
        <v>420</v>
      </c>
      <c r="Q158" s="3"/>
      <c r="R158" s="6"/>
      <c r="S158" s="22"/>
      <c r="U158" s="23">
        <f t="shared" si="2"/>
        <v>14</v>
      </c>
      <c r="V158" s="24" t="s">
        <v>3</v>
      </c>
    </row>
    <row r="159" spans="1:24" ht="23.1" hidden="1" customHeight="1" x14ac:dyDescent="0.25">
      <c r="A159" s="1" t="s">
        <v>82</v>
      </c>
      <c r="D159" s="3" t="s">
        <v>131</v>
      </c>
      <c r="E159" s="15" t="s">
        <v>132</v>
      </c>
      <c r="F159" s="15" t="str">
        <f>+VLOOKUP(D159,[1]Sheet1!$D$2:$E$29166,2,0)</f>
        <v>后隔框</v>
      </c>
      <c r="G159" s="3" t="s">
        <v>133</v>
      </c>
      <c r="H159" s="3">
        <v>75</v>
      </c>
      <c r="I159" s="18" t="str">
        <f t="array" ref="I159">INDEX([2]Sheet1!$F$1:$AF$65808,MATCH(D159&amp;G159&amp;I$1,[2]Sheet1!$B$1:$B$65808&amp;[2]Sheet1!$D$1:$D$65808&amp;[2]Sheet1!$E$1:$E$65808,0),MATCH(H159,[2]Sheet1!$F$1:$AF$1,0))</f>
        <v>75/钳工</v>
      </c>
      <c r="J159" s="3">
        <v>1</v>
      </c>
      <c r="K159" s="3">
        <v>1</v>
      </c>
      <c r="L159" s="19">
        <v>30</v>
      </c>
      <c r="M159" s="19">
        <v>30</v>
      </c>
      <c r="N159" s="5" t="s">
        <v>143</v>
      </c>
      <c r="O159" s="4"/>
      <c r="P159" s="18">
        <f t="array" ref="P159">IFERROR(INDEX([2]Sheet1!$F$1:$AF$65808,MATCH($D159&amp;$G159&amp;P$1,[2]Sheet1!$B$1:$B$65808&amp;[2]Sheet1!$D$1:$D$65808&amp;[2]Sheet1!$E$1:$E$65808,0),MATCH($H159,[2]Sheet1!$F$1:$AF$1,0)),0)</f>
        <v>420</v>
      </c>
      <c r="Q159" s="3"/>
      <c r="R159" s="6"/>
      <c r="S159" s="22"/>
      <c r="U159" s="23">
        <f t="shared" si="2"/>
        <v>7</v>
      </c>
      <c r="V159" s="24" t="s">
        <v>3</v>
      </c>
      <c r="W159" s="7" t="s">
        <v>378</v>
      </c>
    </row>
    <row r="160" spans="1:24" ht="23.1" hidden="1" customHeight="1" x14ac:dyDescent="0.25">
      <c r="A160" s="1" t="s">
        <v>82</v>
      </c>
      <c r="D160" s="3" t="s">
        <v>379</v>
      </c>
      <c r="E160" s="15" t="s">
        <v>380</v>
      </c>
      <c r="F160" s="15" t="str">
        <f>+VLOOKUP(D160,[1]Sheet1!$D$2:$E$29166,2,0)</f>
        <v>根肋三段</v>
      </c>
      <c r="G160" s="3" t="s">
        <v>46</v>
      </c>
      <c r="H160" s="3">
        <v>70</v>
      </c>
      <c r="I160" s="18" t="str">
        <f t="array" ref="I160">INDEX([2]Sheet1!$F$1:$AF$65808,MATCH(D160&amp;G160&amp;I$1,[2]Sheet1!$B$1:$B$65808&amp;[2]Sheet1!$D$1:$D$65808&amp;[2]Sheet1!$E$1:$E$65808,0),MATCH(H160,[2]Sheet1!$F$1:$AF$1,0))</f>
        <v>70/钳工</v>
      </c>
      <c r="J160" s="3">
        <v>1</v>
      </c>
      <c r="K160" s="3">
        <v>1</v>
      </c>
      <c r="L160" s="19">
        <v>30</v>
      </c>
      <c r="M160" s="19">
        <v>30</v>
      </c>
      <c r="N160" s="5" t="s">
        <v>134</v>
      </c>
      <c r="O160" s="4"/>
      <c r="P160" s="18">
        <f t="array" ref="P160">IFERROR(INDEX([2]Sheet1!$F$1:$AF$65808,MATCH($D160&amp;$G160&amp;P$1,[2]Sheet1!$B$1:$B$65808&amp;[2]Sheet1!$D$1:$D$65808&amp;[2]Sheet1!$E$1:$E$65808,0),MATCH($H160,[2]Sheet1!$F$1:$AF$1,0)),0)</f>
        <v>600</v>
      </c>
      <c r="Q160" s="3"/>
      <c r="R160" s="6"/>
      <c r="S160" s="22"/>
      <c r="U160" s="23">
        <f t="shared" si="2"/>
        <v>10</v>
      </c>
      <c r="V160" s="24" t="s">
        <v>3</v>
      </c>
    </row>
    <row r="161" spans="1:24" ht="23.1" hidden="1" customHeight="1" x14ac:dyDescent="0.25">
      <c r="A161" s="1" t="s">
        <v>82</v>
      </c>
      <c r="D161" s="3" t="s">
        <v>363</v>
      </c>
      <c r="E161" s="15" t="s">
        <v>353</v>
      </c>
      <c r="F161" s="15" t="str">
        <f>+VLOOKUP(D161,[1]Sheet1!$D$2:$E$29166,2,0)</f>
        <v>前端框</v>
      </c>
      <c r="G161" s="3" t="s">
        <v>51</v>
      </c>
      <c r="H161" s="3" t="s">
        <v>340</v>
      </c>
      <c r="I161" s="18" t="e">
        <f t="array" ref="I161">INDEX([2]Sheet1!$F$1:$AF$65808,MATCH(D161&amp;G161&amp;I$1,[2]Sheet1!$B$1:$B$65808&amp;[2]Sheet1!$D$1:$D$65808&amp;[2]Sheet1!$E$1:$E$65808,0),MATCH(H161,[2]Sheet1!$F$1:$AF$1,0))</f>
        <v>#N/A</v>
      </c>
      <c r="J161" s="3">
        <v>6</v>
      </c>
      <c r="K161" s="3">
        <v>6</v>
      </c>
      <c r="L161" s="19">
        <v>30</v>
      </c>
      <c r="M161" s="19">
        <v>30</v>
      </c>
      <c r="N161" s="5" t="s">
        <v>357</v>
      </c>
      <c r="O161" s="4"/>
      <c r="P161" s="18">
        <v>60</v>
      </c>
      <c r="Q161" s="3"/>
      <c r="R161" s="6"/>
      <c r="S161" s="22"/>
      <c r="U161" s="23">
        <f t="shared" si="2"/>
        <v>6</v>
      </c>
      <c r="V161" s="24" t="s">
        <v>3</v>
      </c>
      <c r="W161" s="7" t="s">
        <v>381</v>
      </c>
      <c r="X161" s="7" t="s">
        <v>203</v>
      </c>
    </row>
    <row r="162" spans="1:24" ht="23.1" hidden="1" customHeight="1" x14ac:dyDescent="0.25">
      <c r="A162" s="1" t="s">
        <v>89</v>
      </c>
      <c r="D162" s="3" t="s">
        <v>382</v>
      </c>
      <c r="E162" s="15" t="s">
        <v>383</v>
      </c>
      <c r="F162" s="15" t="str">
        <f>+VLOOKUP(D162,[1]Sheet1!$D$2:$E$29166,2,0)</f>
        <v>1号下壁板</v>
      </c>
      <c r="G162" s="3" t="s">
        <v>114</v>
      </c>
      <c r="H162" s="3">
        <v>15</v>
      </c>
      <c r="I162" s="18" t="str">
        <f t="array" ref="I162">INDEX([2]Sheet1!$F$1:$AF$65808,MATCH(D162&amp;G162&amp;I$1,[2]Sheet1!$B$1:$B$65808&amp;[2]Sheet1!$D$1:$D$65808&amp;[2]Sheet1!$E$1:$E$65808,0),MATCH(H162,[2]Sheet1!$F$1:$AF$1,0))</f>
        <v>15/钳工</v>
      </c>
      <c r="J162" s="3">
        <v>2</v>
      </c>
      <c r="K162" s="3">
        <v>2</v>
      </c>
      <c r="L162" s="19">
        <v>30</v>
      </c>
      <c r="M162" s="19">
        <v>30</v>
      </c>
      <c r="N162" s="5" t="s">
        <v>384</v>
      </c>
      <c r="O162" s="4"/>
      <c r="P162" s="18">
        <f t="array" ref="P162">IFERROR(INDEX([2]Sheet1!$F$1:$AF$65808,MATCH($D162&amp;$G162&amp;P$1,[2]Sheet1!$B$1:$B$65808&amp;[2]Sheet1!$D$1:$D$65808&amp;[2]Sheet1!$E$1:$E$65808,0),MATCH($H162,[2]Sheet1!$F$1:$AF$1,0)),0)</f>
        <v>720</v>
      </c>
      <c r="Q162" s="3"/>
      <c r="R162" s="6"/>
      <c r="S162" s="22"/>
      <c r="U162" s="23">
        <f t="shared" si="2"/>
        <v>24</v>
      </c>
      <c r="V162" s="24" t="s">
        <v>3</v>
      </c>
    </row>
    <row r="163" spans="1:24" ht="23.1" hidden="1" customHeight="1" x14ac:dyDescent="0.25">
      <c r="A163" s="1" t="s">
        <v>89</v>
      </c>
      <c r="D163" s="3" t="s">
        <v>153</v>
      </c>
      <c r="E163" s="15" t="s">
        <v>154</v>
      </c>
      <c r="F163" s="15" t="str">
        <f>+VLOOKUP(D163,[1]Sheet1!$D$2:$E$29166,2,0)</f>
        <v>9350-11140右侧上梁</v>
      </c>
      <c r="G163" s="3" t="s">
        <v>385</v>
      </c>
      <c r="H163" s="3">
        <v>50</v>
      </c>
      <c r="I163" s="18" t="str">
        <f t="array" ref="I163">INDEX([2]Sheet1!$F$1:$AF$65808,MATCH(D163&amp;G163&amp;I$1,[2]Sheet1!$B$1:$B$65808&amp;[2]Sheet1!$D$1:$D$65808&amp;[2]Sheet1!$E$1:$E$65808,0),MATCH(H163,[2]Sheet1!$F$1:$AF$1,0))</f>
        <v>50/钳工</v>
      </c>
      <c r="J163" s="3">
        <v>1</v>
      </c>
      <c r="K163" s="3">
        <v>1</v>
      </c>
      <c r="L163" s="19">
        <v>30</v>
      </c>
      <c r="M163" s="19">
        <v>30</v>
      </c>
      <c r="N163" s="5" t="s">
        <v>156</v>
      </c>
      <c r="O163" s="4"/>
      <c r="P163" s="18">
        <f t="array" ref="P163">IFERROR(INDEX([2]Sheet1!$F$1:$AF$65808,MATCH($D163&amp;$G163&amp;P$1,[2]Sheet1!$B$1:$B$65808&amp;[2]Sheet1!$D$1:$D$65808&amp;[2]Sheet1!$E$1:$E$65808,0),MATCH($H163,[2]Sheet1!$F$1:$AF$1,0)),0)</f>
        <v>720</v>
      </c>
      <c r="Q163" s="3"/>
      <c r="R163" s="6"/>
      <c r="S163" s="22"/>
      <c r="U163" s="23">
        <f t="shared" si="2"/>
        <v>12</v>
      </c>
      <c r="V163" s="24" t="s">
        <v>3</v>
      </c>
    </row>
    <row r="164" spans="1:24" ht="23.1" hidden="1" customHeight="1" x14ac:dyDescent="0.25">
      <c r="A164" s="1" t="s">
        <v>89</v>
      </c>
      <c r="D164" s="3" t="s">
        <v>386</v>
      </c>
      <c r="E164" s="15" t="s">
        <v>387</v>
      </c>
      <c r="F164" s="15" t="str">
        <f>+VLOOKUP(D164,[1]Sheet1!$D$2:$E$29166,2,0)</f>
        <v>9555侧隔框</v>
      </c>
      <c r="G164" s="3" t="s">
        <v>114</v>
      </c>
      <c r="H164" s="3">
        <v>55</v>
      </c>
      <c r="I164" s="18" t="str">
        <f t="array" ref="I164">INDEX([2]Sheet1!$F$1:$AF$65808,MATCH(D164&amp;G164&amp;I$1,[2]Sheet1!$B$1:$B$65808&amp;[2]Sheet1!$D$1:$D$65808&amp;[2]Sheet1!$E$1:$E$65808,0),MATCH(H164,[2]Sheet1!$F$1:$AF$1,0))</f>
        <v>55/钳工</v>
      </c>
      <c r="J164" s="3">
        <v>4</v>
      </c>
      <c r="K164" s="3">
        <v>4</v>
      </c>
      <c r="L164" s="19">
        <v>30</v>
      </c>
      <c r="M164" s="19">
        <v>30</v>
      </c>
      <c r="N164" s="5" t="s">
        <v>388</v>
      </c>
      <c r="O164" s="4"/>
      <c r="P164" s="18">
        <f t="array" ref="P164">IFERROR(INDEX([2]Sheet1!$F$1:$AF$65808,MATCH($D164&amp;$G164&amp;P$1,[2]Sheet1!$B$1:$B$65808&amp;[2]Sheet1!$D$1:$D$65808&amp;[2]Sheet1!$E$1:$E$65808,0),MATCH($H164,[2]Sheet1!$F$1:$AF$1,0)),0)</f>
        <v>480</v>
      </c>
      <c r="Q164" s="3"/>
      <c r="R164" s="6"/>
      <c r="S164" s="22"/>
      <c r="U164" s="23">
        <f t="shared" si="2"/>
        <v>32</v>
      </c>
      <c r="V164" s="24" t="s">
        <v>3</v>
      </c>
    </row>
    <row r="165" spans="1:24" ht="23.1" hidden="1" customHeight="1" x14ac:dyDescent="0.25">
      <c r="A165" s="1" t="s">
        <v>89</v>
      </c>
      <c r="D165" s="3" t="s">
        <v>358</v>
      </c>
      <c r="E165" s="15" t="s">
        <v>359</v>
      </c>
      <c r="F165" s="15" t="e">
        <f>+VLOOKUP(D165,[1]Sheet1!$D$2:$E$29166,2,0)</f>
        <v>#N/A</v>
      </c>
      <c r="G165" s="3" t="s">
        <v>46</v>
      </c>
      <c r="H165" s="3">
        <v>15</v>
      </c>
      <c r="I165" s="18" t="e">
        <f t="array" ref="I165">INDEX([2]Sheet1!$F$1:$AF$65808,MATCH(D165&amp;G165&amp;I$1,[2]Sheet1!$B$1:$B$65808&amp;[2]Sheet1!$D$1:$D$65808&amp;[2]Sheet1!$E$1:$E$65808,0),MATCH(H165,[2]Sheet1!$F$1:$AF$1,0))</f>
        <v>#N/A</v>
      </c>
      <c r="J165" s="3">
        <v>2</v>
      </c>
      <c r="K165" s="3">
        <v>2</v>
      </c>
      <c r="L165" s="19">
        <v>30</v>
      </c>
      <c r="M165" s="19">
        <v>30</v>
      </c>
      <c r="N165" s="5" t="s">
        <v>389</v>
      </c>
      <c r="O165" s="4"/>
      <c r="P165" s="18">
        <v>150</v>
      </c>
      <c r="Q165" s="3"/>
      <c r="R165" s="6"/>
      <c r="S165" s="22"/>
      <c r="U165" s="23">
        <f t="shared" si="2"/>
        <v>5</v>
      </c>
      <c r="V165" s="24" t="s">
        <v>3</v>
      </c>
      <c r="W165" s="7" t="s">
        <v>390</v>
      </c>
    </row>
    <row r="166" spans="1:24" ht="23.1" hidden="1" customHeight="1" x14ac:dyDescent="0.25">
      <c r="A166" s="1" t="s">
        <v>100</v>
      </c>
      <c r="D166" s="3" t="s">
        <v>391</v>
      </c>
      <c r="E166" s="15" t="s">
        <v>387</v>
      </c>
      <c r="F166" s="15" t="str">
        <f>+VLOOKUP(D166,[1]Sheet1!$D$2:$E$29166,2,0)</f>
        <v>9555侧隔框</v>
      </c>
      <c r="G166" s="3" t="s">
        <v>114</v>
      </c>
      <c r="H166" s="3">
        <v>55</v>
      </c>
      <c r="I166" s="18" t="str">
        <f t="array" ref="I166">INDEX([2]Sheet1!$F$1:$AF$65808,MATCH(D166&amp;G166&amp;I$1,[2]Sheet1!$B$1:$B$65808&amp;[2]Sheet1!$D$1:$D$65808&amp;[2]Sheet1!$E$1:$E$65808,0),MATCH(H166,[2]Sheet1!$F$1:$AF$1,0))</f>
        <v>55/钳工</v>
      </c>
      <c r="J166" s="3">
        <v>1</v>
      </c>
      <c r="K166" s="3">
        <v>1</v>
      </c>
      <c r="L166" s="19">
        <v>30</v>
      </c>
      <c r="M166" s="19">
        <v>30</v>
      </c>
      <c r="N166" s="5" t="s">
        <v>392</v>
      </c>
      <c r="O166" s="4"/>
      <c r="P166" s="18">
        <f t="array" ref="P166">IFERROR(INDEX([2]Sheet1!$F$1:$AF$65808,MATCH($D166&amp;$G166&amp;P$1,[2]Sheet1!$B$1:$B$65808&amp;[2]Sheet1!$D$1:$D$65808&amp;[2]Sheet1!$E$1:$E$65808,0),MATCH($H166,[2]Sheet1!$F$1:$AF$1,0)),0)</f>
        <v>480</v>
      </c>
      <c r="Q166" s="3"/>
      <c r="R166" s="6"/>
      <c r="S166" s="22"/>
      <c r="U166" s="23">
        <f t="shared" si="2"/>
        <v>8</v>
      </c>
      <c r="V166" s="24" t="s">
        <v>3</v>
      </c>
    </row>
    <row r="167" spans="1:24" ht="23.1" hidden="1" customHeight="1" x14ac:dyDescent="0.25">
      <c r="A167" s="1" t="s">
        <v>100</v>
      </c>
      <c r="D167" s="3" t="s">
        <v>382</v>
      </c>
      <c r="E167" s="15" t="s">
        <v>383</v>
      </c>
      <c r="F167" s="15" t="str">
        <f>+VLOOKUP(D167,[1]Sheet1!$D$2:$E$29166,2,0)</f>
        <v>1号下壁板</v>
      </c>
      <c r="G167" s="3" t="s">
        <v>51</v>
      </c>
      <c r="H167" s="3">
        <v>15</v>
      </c>
      <c r="I167" s="18" t="e">
        <f t="array" ref="I167">INDEX([2]Sheet1!$F$1:$AF$65808,MATCH(D167&amp;G167&amp;I$1,[2]Sheet1!$B$1:$B$65808&amp;[2]Sheet1!$D$1:$D$65808&amp;[2]Sheet1!$E$1:$E$65808,0),MATCH(H167,[2]Sheet1!$F$1:$AF$1,0))</f>
        <v>#N/A</v>
      </c>
      <c r="J167" s="3">
        <v>2</v>
      </c>
      <c r="K167" s="3">
        <v>2</v>
      </c>
      <c r="L167" s="19">
        <v>30</v>
      </c>
      <c r="M167" s="19">
        <v>30</v>
      </c>
      <c r="N167" s="5" t="s">
        <v>393</v>
      </c>
      <c r="O167" s="4"/>
      <c r="P167" s="18">
        <v>720</v>
      </c>
      <c r="Q167" s="3"/>
      <c r="R167" s="6"/>
      <c r="S167" s="22"/>
      <c r="U167" s="23">
        <f t="shared" si="2"/>
        <v>24</v>
      </c>
      <c r="V167" s="24" t="s">
        <v>3</v>
      </c>
    </row>
    <row r="168" spans="1:24" ht="23.1" hidden="1" customHeight="1" x14ac:dyDescent="0.25">
      <c r="A168" s="1" t="s">
        <v>394</v>
      </c>
      <c r="D168" s="3" t="s">
        <v>395</v>
      </c>
      <c r="E168" s="15" t="s">
        <v>396</v>
      </c>
      <c r="F168" s="15" t="str">
        <f>+VLOOKUP(D168,[1]Sheet1!$D$2:$E$29166,2,0)</f>
        <v>角片</v>
      </c>
      <c r="H168" s="3" t="s">
        <v>340</v>
      </c>
      <c r="I168" s="18" t="e">
        <f t="array" ref="I168">INDEX([2]Sheet1!$F$1:$AF$65808,MATCH(D168&amp;G168&amp;I$1,[2]Sheet1!$B$1:$B$65808&amp;[2]Sheet1!$D$1:$D$65808&amp;[2]Sheet1!$E$1:$E$65808,0),MATCH(H168,[2]Sheet1!$F$1:$AF$1,0))</f>
        <v>#N/A</v>
      </c>
      <c r="J168" s="3">
        <v>20</v>
      </c>
      <c r="K168" s="3">
        <v>20</v>
      </c>
      <c r="L168" s="19">
        <v>30</v>
      </c>
      <c r="M168" s="19">
        <v>30</v>
      </c>
      <c r="N168" s="5" t="s">
        <v>85</v>
      </c>
      <c r="O168" s="4"/>
      <c r="P168" s="18">
        <v>45</v>
      </c>
      <c r="Q168" s="3"/>
      <c r="R168" s="6"/>
      <c r="S168" s="22"/>
      <c r="U168" s="23">
        <f t="shared" si="2"/>
        <v>15</v>
      </c>
      <c r="V168" s="24" t="s">
        <v>11</v>
      </c>
      <c r="W168" s="7" t="s">
        <v>397</v>
      </c>
      <c r="X168" s="7" t="s">
        <v>203</v>
      </c>
    </row>
    <row r="169" spans="1:24" ht="23.1" hidden="1" customHeight="1" x14ac:dyDescent="0.25">
      <c r="A169" s="1" t="s">
        <v>58</v>
      </c>
      <c r="D169" s="3" t="s">
        <v>398</v>
      </c>
      <c r="E169" s="15" t="s">
        <v>399</v>
      </c>
      <c r="F169" s="15" t="str">
        <f>+VLOOKUP(D169,[1]Sheet1!$D$2:$E$29166,2,0)</f>
        <v>2470肋一段</v>
      </c>
      <c r="G169" s="3" t="s">
        <v>51</v>
      </c>
      <c r="H169" s="3">
        <v>60</v>
      </c>
      <c r="I169" s="18" t="str">
        <f t="array" ref="I169">INDEX([2]Sheet1!$F$1:$AF$65808,MATCH(D169&amp;G169&amp;I$1,[2]Sheet1!$B$1:$B$65808&amp;[2]Sheet1!$D$1:$D$65808&amp;[2]Sheet1!$E$1:$E$65808,0),MATCH(H169,[2]Sheet1!$F$1:$AF$1,0))</f>
        <v>60/钳工</v>
      </c>
      <c r="J169" s="3">
        <v>6</v>
      </c>
      <c r="K169" s="3">
        <v>6</v>
      </c>
      <c r="L169" s="19">
        <v>30</v>
      </c>
      <c r="M169" s="19">
        <v>30</v>
      </c>
      <c r="N169" s="5" t="s">
        <v>324</v>
      </c>
      <c r="O169" s="4"/>
      <c r="P169" s="18">
        <f t="array" ref="P169">IFERROR(INDEX([2]Sheet1!$F$1:$AF$65808,MATCH($D169&amp;$G169&amp;P$1,[2]Sheet1!$B$1:$B$65808&amp;[2]Sheet1!$D$1:$D$65808&amp;[2]Sheet1!$E$1:$E$65808,0),MATCH($H169,[2]Sheet1!$F$1:$AF$1,0)),0)</f>
        <v>120</v>
      </c>
      <c r="Q169" s="3"/>
      <c r="R169" s="6"/>
      <c r="S169" s="22"/>
      <c r="U169" s="23">
        <f t="shared" si="2"/>
        <v>12</v>
      </c>
      <c r="V169" s="24" t="s">
        <v>11</v>
      </c>
    </row>
    <row r="170" spans="1:24" ht="23.1" hidden="1" customHeight="1" x14ac:dyDescent="0.25">
      <c r="A170" s="1" t="s">
        <v>58</v>
      </c>
      <c r="D170" s="3" t="s">
        <v>398</v>
      </c>
      <c r="E170" s="15" t="s">
        <v>399</v>
      </c>
      <c r="F170" s="15" t="str">
        <f>+VLOOKUP(D170,[1]Sheet1!$D$2:$E$29166,2,0)</f>
        <v>2470肋一段</v>
      </c>
      <c r="G170" s="3" t="s">
        <v>51</v>
      </c>
      <c r="H170" s="3" t="s">
        <v>340</v>
      </c>
      <c r="I170" s="18" t="e">
        <f t="array" ref="I170">INDEX([2]Sheet1!$F$1:$AF$65808,MATCH(D170&amp;G170&amp;I$1,[2]Sheet1!$B$1:$B$65808&amp;[2]Sheet1!$D$1:$D$65808&amp;[2]Sheet1!$E$1:$E$65808,0),MATCH(H170,[2]Sheet1!$F$1:$AF$1,0))</f>
        <v>#N/A</v>
      </c>
      <c r="J170" s="3">
        <v>6</v>
      </c>
      <c r="K170" s="3">
        <v>6</v>
      </c>
      <c r="L170" s="19">
        <v>30</v>
      </c>
      <c r="M170" s="19">
        <v>30</v>
      </c>
      <c r="O170" s="4"/>
      <c r="P170" s="18">
        <v>60</v>
      </c>
      <c r="Q170" s="3"/>
      <c r="R170" s="6"/>
      <c r="S170" s="22"/>
      <c r="U170" s="23">
        <f t="shared" si="2"/>
        <v>6</v>
      </c>
      <c r="V170" s="24" t="s">
        <v>11</v>
      </c>
      <c r="W170" s="7" t="s">
        <v>400</v>
      </c>
      <c r="X170" s="7" t="s">
        <v>203</v>
      </c>
    </row>
    <row r="171" spans="1:24" ht="23.1" hidden="1" customHeight="1" x14ac:dyDescent="0.25">
      <c r="A171" s="1" t="s">
        <v>65</v>
      </c>
      <c r="D171" s="3" t="s">
        <v>401</v>
      </c>
      <c r="E171" s="15" t="s">
        <v>402</v>
      </c>
      <c r="F171" s="15" t="str">
        <f>+VLOOKUP(D171,[1]Sheet1!$D$2:$E$29166,2,0)</f>
        <v>前肋</v>
      </c>
      <c r="G171" s="3" t="s">
        <v>46</v>
      </c>
      <c r="H171" s="3">
        <v>40</v>
      </c>
      <c r="I171" s="18" t="str">
        <f t="array" ref="I171">INDEX([2]Sheet1!$F$1:$AF$65808,MATCH(D171&amp;G171&amp;I$1,[2]Sheet1!$B$1:$B$65808&amp;[2]Sheet1!$D$1:$D$65808&amp;[2]Sheet1!$E$1:$E$65808,0),MATCH(H171,[2]Sheet1!$F$1:$AF$1,0))</f>
        <v>40/钳工</v>
      </c>
      <c r="J171" s="3">
        <v>1</v>
      </c>
      <c r="K171" s="3">
        <v>1</v>
      </c>
      <c r="L171" s="19">
        <v>30</v>
      </c>
      <c r="M171" s="19">
        <v>30</v>
      </c>
      <c r="N171" s="5" t="s">
        <v>403</v>
      </c>
      <c r="O171" s="4"/>
      <c r="P171" s="18">
        <f t="array" ref="P171">IFERROR(INDEX([2]Sheet1!$F$1:$AF$65808,MATCH($D171&amp;$G171&amp;P$1,[2]Sheet1!$B$1:$B$65808&amp;[2]Sheet1!$D$1:$D$65808&amp;[2]Sheet1!$E$1:$E$65808,0),MATCH($H171,[2]Sheet1!$F$1:$AF$1,0)),0)</f>
        <v>50</v>
      </c>
      <c r="Q171" s="3"/>
      <c r="R171" s="6"/>
      <c r="S171" s="22"/>
      <c r="U171" s="23">
        <f t="shared" si="2"/>
        <v>0.8</v>
      </c>
      <c r="V171" s="24" t="s">
        <v>11</v>
      </c>
    </row>
    <row r="172" spans="1:24" ht="23.1" hidden="1" customHeight="1" x14ac:dyDescent="0.25">
      <c r="A172" s="1" t="s">
        <v>58</v>
      </c>
      <c r="D172" s="3" t="s">
        <v>404</v>
      </c>
      <c r="E172" s="15" t="s">
        <v>405</v>
      </c>
      <c r="F172" s="15" t="str">
        <f>+VLOOKUP(D172,[1]Sheet1!$D$2:$E$29166,2,0)</f>
        <v>主动油总管四通</v>
      </c>
      <c r="G172" s="3" t="s">
        <v>46</v>
      </c>
      <c r="H172" s="3">
        <v>60</v>
      </c>
      <c r="I172" s="18" t="str">
        <f t="array" ref="I172">INDEX([2]Sheet1!$F$1:$AF$65808,MATCH(D172&amp;G172&amp;I$1,[2]Sheet1!$B$1:$B$65808&amp;[2]Sheet1!$D$1:$D$65808&amp;[2]Sheet1!$E$1:$E$65808,0),MATCH(H172,[2]Sheet1!$F$1:$AF$1,0))</f>
        <v>60/钳工</v>
      </c>
      <c r="J172" s="3">
        <v>20</v>
      </c>
      <c r="K172" s="3">
        <v>20</v>
      </c>
      <c r="L172" s="19">
        <v>30</v>
      </c>
      <c r="M172" s="19">
        <v>30</v>
      </c>
      <c r="N172" s="5" t="s">
        <v>92</v>
      </c>
      <c r="O172" s="4"/>
      <c r="P172" s="18">
        <f t="array" ref="P172">IFERROR(INDEX([2]Sheet1!$F$1:$AF$65808,MATCH($D172&amp;$G172&amp;P$1,[2]Sheet1!$B$1:$B$65808&amp;[2]Sheet1!$D$1:$D$65808&amp;[2]Sheet1!$E$1:$E$65808,0),MATCH($H172,[2]Sheet1!$F$1:$AF$1,0)),0)</f>
        <v>90</v>
      </c>
      <c r="Q172" s="3"/>
      <c r="R172" s="6"/>
      <c r="S172" s="22"/>
      <c r="U172" s="23">
        <f t="shared" si="2"/>
        <v>30</v>
      </c>
      <c r="V172" s="24" t="s">
        <v>11</v>
      </c>
    </row>
    <row r="173" spans="1:24" ht="23.1" hidden="1" customHeight="1" x14ac:dyDescent="0.25">
      <c r="A173" s="1" t="s">
        <v>213</v>
      </c>
      <c r="D173" s="3" t="s">
        <v>406</v>
      </c>
      <c r="E173" s="15" t="s">
        <v>407</v>
      </c>
      <c r="F173" s="15" t="str">
        <f>+VLOOKUP(D173,[1]Sheet1!$D$2:$E$29166,2,0)</f>
        <v>外侧轴承盖</v>
      </c>
      <c r="G173" s="3" t="s">
        <v>64</v>
      </c>
      <c r="H173" s="3">
        <v>50</v>
      </c>
      <c r="I173" s="18" t="str">
        <f t="array" ref="I173">INDEX([2]Sheet1!$F$1:$AF$65808,MATCH(D173&amp;G173&amp;I$1,[2]Sheet1!$B$1:$B$65808&amp;[2]Sheet1!$D$1:$D$65808&amp;[2]Sheet1!$E$1:$E$65808,0),MATCH(H173,[2]Sheet1!$F$1:$AF$1,0))</f>
        <v>50/钳工</v>
      </c>
      <c r="J173" s="3">
        <v>20</v>
      </c>
      <c r="K173" s="3">
        <v>20</v>
      </c>
      <c r="L173" s="19">
        <v>30</v>
      </c>
      <c r="M173" s="19">
        <v>30</v>
      </c>
      <c r="N173" s="5" t="s">
        <v>92</v>
      </c>
      <c r="O173" s="4"/>
      <c r="P173" s="18">
        <f t="array" ref="P173">IFERROR(INDEX([2]Sheet1!$F$1:$AF$65808,MATCH($D173&amp;$G173&amp;P$1,[2]Sheet1!$B$1:$B$65808&amp;[2]Sheet1!$D$1:$D$65808&amp;[2]Sheet1!$E$1:$E$65808,0),MATCH($H173,[2]Sheet1!$F$1:$AF$1,0)),0)</f>
        <v>90</v>
      </c>
      <c r="Q173" s="3"/>
      <c r="R173" s="6"/>
      <c r="S173" s="22"/>
      <c r="U173" s="23">
        <f t="shared" si="2"/>
        <v>30</v>
      </c>
      <c r="V173" s="24" t="s">
        <v>11</v>
      </c>
    </row>
    <row r="174" spans="1:24" ht="23.1" hidden="1" customHeight="1" x14ac:dyDescent="0.25">
      <c r="A174" s="1" t="s">
        <v>71</v>
      </c>
      <c r="D174" s="3" t="s">
        <v>138</v>
      </c>
      <c r="E174" s="15" t="s">
        <v>139</v>
      </c>
      <c r="F174" s="15" t="str">
        <f>+VLOOKUP(D174,[1]Sheet1!$D$2:$E$29166,2,0)</f>
        <v>8635左隔框</v>
      </c>
      <c r="G174" s="3" t="s">
        <v>114</v>
      </c>
      <c r="H174" s="3">
        <v>45</v>
      </c>
      <c r="I174" s="18" t="str">
        <f t="array" ref="I174">INDEX([2]Sheet1!$F$1:$AF$65808,MATCH(D174&amp;G174&amp;I$1,[2]Sheet1!$B$1:$B$65808&amp;[2]Sheet1!$D$1:$D$65808&amp;[2]Sheet1!$E$1:$E$65808,0),MATCH(H174,[2]Sheet1!$F$1:$AF$1,0))</f>
        <v>45/钳工</v>
      </c>
      <c r="J174" s="3">
        <v>1</v>
      </c>
      <c r="K174" s="3">
        <v>1</v>
      </c>
      <c r="L174" s="19">
        <v>30</v>
      </c>
      <c r="M174" s="19">
        <v>30</v>
      </c>
      <c r="N174" s="5" t="s">
        <v>140</v>
      </c>
      <c r="O174" s="4"/>
      <c r="P174" s="18">
        <f t="array" ref="P174">IFERROR(INDEX([2]Sheet1!$F$1:$AF$65808,MATCH($D174&amp;$G174&amp;P$1,[2]Sheet1!$B$1:$B$65808&amp;[2]Sheet1!$D$1:$D$65808&amp;[2]Sheet1!$E$1:$E$65808,0),MATCH($H174,[2]Sheet1!$F$1:$AF$1,0)),0)</f>
        <v>480</v>
      </c>
      <c r="Q174" s="3"/>
      <c r="R174" s="6"/>
      <c r="S174" s="22"/>
      <c r="U174" s="23">
        <f t="shared" si="2"/>
        <v>8</v>
      </c>
      <c r="V174" s="24" t="s">
        <v>11</v>
      </c>
    </row>
    <row r="175" spans="1:24" ht="23.1" hidden="1" customHeight="1" x14ac:dyDescent="0.25">
      <c r="A175" s="1" t="s">
        <v>71</v>
      </c>
      <c r="D175" s="3" t="s">
        <v>128</v>
      </c>
      <c r="E175" s="15" t="s">
        <v>129</v>
      </c>
      <c r="F175" s="15" t="str">
        <f>+VLOOKUP(D175,[1]Sheet1!$D$2:$E$29166,2,0)</f>
        <v>8635右隔框</v>
      </c>
      <c r="G175" s="3" t="s">
        <v>114</v>
      </c>
      <c r="H175" s="3">
        <v>45</v>
      </c>
      <c r="I175" s="18" t="str">
        <f t="array" ref="I175">INDEX([2]Sheet1!$F$1:$AF$65808,MATCH(D175&amp;G175&amp;I$1,[2]Sheet1!$B$1:$B$65808&amp;[2]Sheet1!$D$1:$D$65808&amp;[2]Sheet1!$E$1:$E$65808,0),MATCH(H175,[2]Sheet1!$F$1:$AF$1,0))</f>
        <v>45/钳工</v>
      </c>
      <c r="J175" s="3">
        <v>1</v>
      </c>
      <c r="K175" s="3">
        <v>1</v>
      </c>
      <c r="L175" s="19">
        <v>30</v>
      </c>
      <c r="M175" s="19">
        <v>30</v>
      </c>
      <c r="N175" s="5" t="s">
        <v>408</v>
      </c>
      <c r="O175" s="4"/>
      <c r="P175" s="18">
        <f t="array" ref="P175">IFERROR(INDEX([2]Sheet1!$F$1:$AF$65808,MATCH($D175&amp;$G175&amp;P$1,[2]Sheet1!$B$1:$B$65808&amp;[2]Sheet1!$D$1:$D$65808&amp;[2]Sheet1!$E$1:$E$65808,0),MATCH($H175,[2]Sheet1!$F$1:$AF$1,0)),0)</f>
        <v>480</v>
      </c>
      <c r="Q175" s="3"/>
      <c r="R175" s="6"/>
      <c r="S175" s="22"/>
      <c r="U175" s="23">
        <f t="shared" si="2"/>
        <v>8</v>
      </c>
      <c r="V175" s="24" t="s">
        <v>11</v>
      </c>
    </row>
    <row r="176" spans="1:24" ht="23.1" hidden="1" customHeight="1" x14ac:dyDescent="0.25">
      <c r="A176" s="1" t="s">
        <v>74</v>
      </c>
      <c r="D176" s="3" t="s">
        <v>398</v>
      </c>
      <c r="E176" s="15" t="s">
        <v>399</v>
      </c>
      <c r="F176" s="15" t="str">
        <f>+VLOOKUP(D176,[1]Sheet1!$D$2:$E$29166,2,0)</f>
        <v>2470肋一段</v>
      </c>
      <c r="G176" s="3" t="s">
        <v>51</v>
      </c>
      <c r="H176" s="3" t="s">
        <v>340</v>
      </c>
      <c r="I176" s="18" t="e">
        <f t="array" ref="I176">INDEX([2]Sheet1!$F$1:$AF$65808,MATCH(D176&amp;G176&amp;I$1,[2]Sheet1!$B$1:$B$65808&amp;[2]Sheet1!$D$1:$D$65808&amp;[2]Sheet1!$E$1:$E$65808,0),MATCH(H176,[2]Sheet1!$F$1:$AF$1,0))</f>
        <v>#N/A</v>
      </c>
      <c r="J176" s="3">
        <v>6</v>
      </c>
      <c r="K176" s="3">
        <v>6</v>
      </c>
      <c r="L176" s="19">
        <v>30</v>
      </c>
      <c r="M176" s="19">
        <v>30</v>
      </c>
      <c r="N176" s="5" t="s">
        <v>324</v>
      </c>
      <c r="O176" s="4"/>
      <c r="P176" s="18">
        <v>90</v>
      </c>
      <c r="Q176" s="3"/>
      <c r="R176" s="6"/>
      <c r="S176" s="22"/>
      <c r="U176" s="23">
        <f t="shared" si="2"/>
        <v>9</v>
      </c>
      <c r="V176" s="24" t="s">
        <v>11</v>
      </c>
      <c r="W176" s="7" t="s">
        <v>409</v>
      </c>
      <c r="X176" s="7" t="s">
        <v>203</v>
      </c>
    </row>
    <row r="177" spans="1:24" ht="23.1" hidden="1" customHeight="1" x14ac:dyDescent="0.25">
      <c r="A177" s="1" t="s">
        <v>74</v>
      </c>
      <c r="D177" s="3" t="s">
        <v>410</v>
      </c>
      <c r="E177" s="15" t="s">
        <v>411</v>
      </c>
      <c r="F177" s="15" t="str">
        <f>+VLOOKUP(D177,[1]Sheet1!$D$2:$E$29166,2,0)</f>
        <v>氧气瓶支架</v>
      </c>
      <c r="G177" s="3" t="s">
        <v>147</v>
      </c>
      <c r="H177" s="3">
        <v>50</v>
      </c>
      <c r="I177" s="18" t="str">
        <f t="array" ref="I177">INDEX([2]Sheet1!$F$1:$AF$65808,MATCH(D177&amp;G177&amp;I$1,[2]Sheet1!$B$1:$B$65808&amp;[2]Sheet1!$D$1:$D$65808&amp;[2]Sheet1!$E$1:$E$65808,0),MATCH(H177,[2]Sheet1!$F$1:$AF$1,0))</f>
        <v>50/钳工</v>
      </c>
      <c r="J177" s="3">
        <v>2</v>
      </c>
      <c r="K177" s="3">
        <v>2</v>
      </c>
      <c r="L177" s="19">
        <v>30</v>
      </c>
      <c r="M177" s="19">
        <v>30</v>
      </c>
      <c r="N177" s="5" t="s">
        <v>412</v>
      </c>
      <c r="O177" s="4"/>
      <c r="P177" s="18">
        <f t="array" ref="P177">IFERROR(INDEX([2]Sheet1!$F$1:$AF$65808,MATCH($D177&amp;$G177&amp;P$1,[2]Sheet1!$B$1:$B$65808&amp;[2]Sheet1!$D$1:$D$65808&amp;[2]Sheet1!$E$1:$E$65808,0),MATCH($H177,[2]Sheet1!$F$1:$AF$1,0)),0)</f>
        <v>600</v>
      </c>
      <c r="Q177" s="3"/>
      <c r="R177" s="6"/>
      <c r="S177" s="22"/>
      <c r="U177" s="23">
        <f t="shared" si="2"/>
        <v>20</v>
      </c>
      <c r="V177" s="24" t="s">
        <v>11</v>
      </c>
    </row>
    <row r="178" spans="1:24" ht="23.1" hidden="1" customHeight="1" x14ac:dyDescent="0.25">
      <c r="A178" s="1" t="s">
        <v>82</v>
      </c>
      <c r="D178" s="3" t="s">
        <v>413</v>
      </c>
      <c r="E178" s="15" t="s">
        <v>414</v>
      </c>
      <c r="F178" s="15" t="str">
        <f>+VLOOKUP(D178,[1]Sheet1!$D$2:$E$29166,2,0)</f>
        <v>左外侧接头</v>
      </c>
      <c r="G178" s="3" t="s">
        <v>46</v>
      </c>
      <c r="H178" s="3">
        <v>100</v>
      </c>
      <c r="I178" s="18" t="str">
        <f t="array" ref="I178">INDEX([2]Sheet1!$F$1:$AF$65808,MATCH(D178&amp;G178&amp;I$1,[2]Sheet1!$B$1:$B$65808&amp;[2]Sheet1!$D$1:$D$65808&amp;[2]Sheet1!$E$1:$E$65808,0),MATCH(H178,[2]Sheet1!$F$1:$AF$1,0))</f>
        <v>100钳工</v>
      </c>
      <c r="J178" s="3">
        <v>1</v>
      </c>
      <c r="K178" s="3">
        <v>1</v>
      </c>
      <c r="L178" s="19">
        <v>30</v>
      </c>
      <c r="M178" s="19">
        <v>30</v>
      </c>
      <c r="N178" s="5" t="s">
        <v>389</v>
      </c>
      <c r="O178" s="4"/>
      <c r="P178" s="18">
        <f t="array" ref="P178">IFERROR(INDEX([2]Sheet1!$F$1:$AF$65808,MATCH($D178&amp;$G178&amp;P$1,[2]Sheet1!$B$1:$B$65808&amp;[2]Sheet1!$D$1:$D$65808&amp;[2]Sheet1!$E$1:$E$65808,0),MATCH($H178,[2]Sheet1!$F$1:$AF$1,0)),0)</f>
        <v>360</v>
      </c>
      <c r="Q178" s="3"/>
      <c r="R178" s="6"/>
      <c r="S178" s="22"/>
      <c r="U178" s="23">
        <f t="shared" si="2"/>
        <v>6</v>
      </c>
      <c r="V178" s="24" t="s">
        <v>11</v>
      </c>
    </row>
    <row r="179" spans="1:24" ht="23.1" hidden="1" customHeight="1" x14ac:dyDescent="0.25">
      <c r="A179" s="1" t="s">
        <v>82</v>
      </c>
      <c r="D179" s="3" t="s">
        <v>415</v>
      </c>
      <c r="E179" s="15" t="s">
        <v>416</v>
      </c>
      <c r="F179" s="15" t="str">
        <f>+VLOOKUP(D179,[1]Sheet1!$D$2:$E$29166,2,0)</f>
        <v>右外侧接头</v>
      </c>
      <c r="G179" s="3" t="s">
        <v>46</v>
      </c>
      <c r="H179" s="3">
        <v>100</v>
      </c>
      <c r="I179" s="18" t="str">
        <f t="array" ref="I179">INDEX([2]Sheet1!$F$1:$AF$65808,MATCH(D179&amp;G179&amp;I$1,[2]Sheet1!$B$1:$B$65808&amp;[2]Sheet1!$D$1:$D$65808&amp;[2]Sheet1!$E$1:$E$65808,0),MATCH(H179,[2]Sheet1!$F$1:$AF$1,0))</f>
        <v>100钳工</v>
      </c>
      <c r="J179" s="3">
        <v>1</v>
      </c>
      <c r="K179" s="3">
        <v>1</v>
      </c>
      <c r="L179" s="19">
        <v>30</v>
      </c>
      <c r="M179" s="19">
        <v>30</v>
      </c>
      <c r="N179" s="5" t="s">
        <v>389</v>
      </c>
      <c r="O179" s="4"/>
      <c r="P179" s="18">
        <f t="array" ref="P179">IFERROR(INDEX([2]Sheet1!$F$1:$AF$65808,MATCH($D179&amp;$G179&amp;P$1,[2]Sheet1!$B$1:$B$65808&amp;[2]Sheet1!$D$1:$D$65808&amp;[2]Sheet1!$E$1:$E$65808,0),MATCH($H179,[2]Sheet1!$F$1:$AF$1,0)),0)</f>
        <v>360</v>
      </c>
      <c r="Q179" s="3"/>
      <c r="R179" s="6"/>
      <c r="S179" s="22"/>
      <c r="U179" s="23">
        <f t="shared" si="2"/>
        <v>6</v>
      </c>
      <c r="V179" s="24" t="s">
        <v>11</v>
      </c>
    </row>
    <row r="180" spans="1:24" ht="23.1" hidden="1" customHeight="1" x14ac:dyDescent="0.25">
      <c r="A180" s="1" t="s">
        <v>82</v>
      </c>
      <c r="D180" s="3" t="s">
        <v>417</v>
      </c>
      <c r="E180" s="15" t="s">
        <v>418</v>
      </c>
      <c r="F180" s="15" t="str">
        <f>+VLOOKUP(D180,[1]Sheet1!$D$2:$E$29166,2,0)</f>
        <v>过渡板</v>
      </c>
      <c r="G180" s="3" t="s">
        <v>155</v>
      </c>
      <c r="H180" s="3">
        <v>60</v>
      </c>
      <c r="I180" s="18" t="str">
        <f t="array" ref="I180">INDEX([2]Sheet1!$F$1:$AF$65808,MATCH(D180&amp;G180&amp;I$1,[2]Sheet1!$B$1:$B$65808&amp;[2]Sheet1!$D$1:$D$65808&amp;[2]Sheet1!$E$1:$E$65808,0),MATCH(H180,[2]Sheet1!$F$1:$AF$1,0))</f>
        <v>60/钳工</v>
      </c>
      <c r="J180" s="3">
        <v>12</v>
      </c>
      <c r="K180" s="3">
        <v>12</v>
      </c>
      <c r="L180" s="19">
        <v>30</v>
      </c>
      <c r="M180" s="19">
        <v>30</v>
      </c>
      <c r="N180" s="5" t="s">
        <v>419</v>
      </c>
      <c r="O180" s="4"/>
      <c r="P180" s="18">
        <v>40</v>
      </c>
      <c r="Q180" s="3"/>
      <c r="R180" s="6"/>
      <c r="S180" s="22"/>
      <c r="U180" s="23">
        <f t="shared" si="2"/>
        <v>8</v>
      </c>
      <c r="V180" s="24" t="s">
        <v>11</v>
      </c>
    </row>
    <row r="181" spans="1:24" ht="23.1" hidden="1" customHeight="1" x14ac:dyDescent="0.25">
      <c r="A181" s="1" t="s">
        <v>82</v>
      </c>
      <c r="D181" s="3" t="s">
        <v>420</v>
      </c>
      <c r="E181" s="15" t="s">
        <v>421</v>
      </c>
      <c r="F181" s="15" t="str">
        <f>+VLOOKUP(D181,[1]Sheet1!$D$2:$E$29166,2,0)</f>
        <v>卡环</v>
      </c>
      <c r="G181" s="3" t="s">
        <v>64</v>
      </c>
      <c r="H181" s="3">
        <v>75</v>
      </c>
      <c r="I181" s="18" t="str">
        <f t="array" ref="I181">INDEX([2]Sheet1!$F$1:$AF$65808,MATCH(D181&amp;G181&amp;I$1,[2]Sheet1!$B$1:$B$65808&amp;[2]Sheet1!$D$1:$D$65808&amp;[2]Sheet1!$E$1:$E$65808,0),MATCH(H181,[2]Sheet1!$F$1:$AF$1,0))</f>
        <v>75钳工</v>
      </c>
      <c r="J181" s="3">
        <v>1</v>
      </c>
      <c r="K181" s="3">
        <v>1</v>
      </c>
      <c r="L181" s="19">
        <v>30</v>
      </c>
      <c r="M181" s="19">
        <v>30</v>
      </c>
      <c r="N181" s="5" t="s">
        <v>422</v>
      </c>
      <c r="O181" s="4"/>
      <c r="P181" s="18">
        <f t="array" ref="P181">IFERROR(INDEX([2]Sheet1!$F$1:$AF$65808,MATCH($D181&amp;$G181&amp;P$1,[2]Sheet1!$B$1:$B$65808&amp;[2]Sheet1!$D$1:$D$65808&amp;[2]Sheet1!$E$1:$E$65808,0),MATCH($H181,[2]Sheet1!$F$1:$AF$1,0)),0)</f>
        <v>300</v>
      </c>
      <c r="Q181" s="3"/>
      <c r="R181" s="6"/>
      <c r="S181" s="22"/>
      <c r="U181" s="23">
        <f t="shared" si="2"/>
        <v>5</v>
      </c>
      <c r="V181" s="24" t="s">
        <v>11</v>
      </c>
    </row>
    <row r="182" spans="1:24" ht="23.1" hidden="1" customHeight="1" x14ac:dyDescent="0.25">
      <c r="A182" s="1" t="s">
        <v>82</v>
      </c>
      <c r="D182" s="3" t="s">
        <v>423</v>
      </c>
      <c r="E182" s="15" t="s">
        <v>302</v>
      </c>
      <c r="F182" s="15" t="str">
        <f>+VLOOKUP(D182,[1]Sheet1!$D$2:$E$29166,2,0)</f>
        <v>角盒</v>
      </c>
      <c r="G182" s="3" t="s">
        <v>46</v>
      </c>
      <c r="H182" s="3">
        <v>35</v>
      </c>
      <c r="I182" s="18" t="str">
        <f t="array" ref="I182">INDEX([2]Sheet1!$F$1:$AF$65808,MATCH(D182&amp;G182&amp;I$1,[2]Sheet1!$B$1:$B$65808&amp;[2]Sheet1!$D$1:$D$65808&amp;[2]Sheet1!$E$1:$E$65808,0),MATCH(H182,[2]Sheet1!$F$1:$AF$1,0))</f>
        <v>35钳工</v>
      </c>
      <c r="J182" s="3">
        <v>1</v>
      </c>
      <c r="K182" s="3">
        <v>1</v>
      </c>
      <c r="L182" s="19">
        <v>30</v>
      </c>
      <c r="M182" s="19">
        <v>30</v>
      </c>
      <c r="N182" s="5" t="s">
        <v>360</v>
      </c>
      <c r="O182" s="4"/>
      <c r="P182" s="18">
        <f t="array" ref="P182">IFERROR(INDEX([2]Sheet1!$F$1:$AF$65808,MATCH($D182&amp;$G182&amp;P$1,[2]Sheet1!$B$1:$B$65808&amp;[2]Sheet1!$D$1:$D$65808&amp;[2]Sheet1!$E$1:$E$65808,0),MATCH($H182,[2]Sheet1!$F$1:$AF$1,0)),0)</f>
        <v>150</v>
      </c>
      <c r="Q182" s="3"/>
      <c r="R182" s="6"/>
      <c r="S182" s="22"/>
      <c r="U182" s="23">
        <f t="shared" si="2"/>
        <v>2.5</v>
      </c>
      <c r="V182" s="24" t="s">
        <v>11</v>
      </c>
    </row>
    <row r="183" spans="1:24" ht="23.1" hidden="1" customHeight="1" x14ac:dyDescent="0.25">
      <c r="A183" s="1" t="s">
        <v>82</v>
      </c>
      <c r="D183" s="3" t="s">
        <v>417</v>
      </c>
      <c r="E183" s="15" t="s">
        <v>418</v>
      </c>
      <c r="F183" s="15" t="str">
        <f>+VLOOKUP(D183,[1]Sheet1!$D$2:$E$29166,2,0)</f>
        <v>过渡板</v>
      </c>
      <c r="G183" s="3" t="s">
        <v>155</v>
      </c>
      <c r="H183" s="3" t="s">
        <v>340</v>
      </c>
      <c r="I183" s="18" t="e">
        <f t="array" ref="I183">INDEX([2]Sheet1!$F$1:$AF$65808,MATCH(D183&amp;G183&amp;I$1,[2]Sheet1!$B$1:$B$65808&amp;[2]Sheet1!$D$1:$D$65808&amp;[2]Sheet1!$E$1:$E$65808,0),MATCH(H183,[2]Sheet1!$F$1:$AF$1,0))</f>
        <v>#N/A</v>
      </c>
      <c r="J183" s="3">
        <v>12</v>
      </c>
      <c r="K183" s="3">
        <v>12</v>
      </c>
      <c r="L183" s="19">
        <v>30</v>
      </c>
      <c r="M183" s="19">
        <v>30</v>
      </c>
      <c r="N183" s="5" t="s">
        <v>419</v>
      </c>
      <c r="O183" s="4"/>
      <c r="P183" s="18">
        <v>90</v>
      </c>
      <c r="Q183" s="3"/>
      <c r="R183" s="6"/>
      <c r="S183" s="22"/>
      <c r="U183" s="23">
        <f t="shared" si="2"/>
        <v>18</v>
      </c>
      <c r="V183" s="24" t="s">
        <v>11</v>
      </c>
      <c r="W183" s="7" t="s">
        <v>424</v>
      </c>
      <c r="X183" s="7" t="s">
        <v>203</v>
      </c>
    </row>
    <row r="184" spans="1:24" ht="23.1" hidden="1" customHeight="1" x14ac:dyDescent="0.25">
      <c r="A184" s="1" t="s">
        <v>82</v>
      </c>
      <c r="D184" s="3" t="s">
        <v>425</v>
      </c>
      <c r="E184" s="15" t="s">
        <v>426</v>
      </c>
      <c r="F184" s="15" t="str">
        <f>+VLOOKUP(D184,[1]Sheet1!$D$2:$E$29166,2,0)</f>
        <v>4号下壁板（右件）</v>
      </c>
      <c r="G184" s="3" t="s">
        <v>51</v>
      </c>
      <c r="H184" s="3">
        <v>20</v>
      </c>
      <c r="I184" s="18" t="str">
        <f t="array" ref="I184">INDEX([2]Sheet1!$F$1:$AF$65808,MATCH(D184&amp;G184&amp;I$1,[2]Sheet1!$B$1:$B$65808&amp;[2]Sheet1!$D$1:$D$65808&amp;[2]Sheet1!$E$1:$E$65808,0),MATCH(H184,[2]Sheet1!$F$1:$AF$1,0))</f>
        <v>20钳工</v>
      </c>
      <c r="J184" s="3">
        <v>4</v>
      </c>
      <c r="K184" s="3">
        <v>4</v>
      </c>
      <c r="L184" s="19">
        <v>30</v>
      </c>
      <c r="M184" s="19">
        <v>30</v>
      </c>
      <c r="N184" s="5" t="s">
        <v>427</v>
      </c>
      <c r="O184" s="4"/>
      <c r="P184" s="18">
        <f t="array" ref="P184">IFERROR(INDEX([2]Sheet1!$F$1:$AF$65808,MATCH($D184&amp;$G184&amp;P$1,[2]Sheet1!$B$1:$B$65808&amp;[2]Sheet1!$D$1:$D$65808&amp;[2]Sheet1!$E$1:$E$65808,0),MATCH($H184,[2]Sheet1!$F$1:$AF$1,0)),0)</f>
        <v>120</v>
      </c>
      <c r="Q184" s="3"/>
      <c r="R184" s="6"/>
      <c r="S184" s="22"/>
      <c r="U184" s="23">
        <f t="shared" si="2"/>
        <v>8</v>
      </c>
      <c r="V184" s="24" t="s">
        <v>11</v>
      </c>
    </row>
    <row r="185" spans="1:24" ht="23.1" hidden="1" customHeight="1" x14ac:dyDescent="0.25">
      <c r="A185" s="1" t="s">
        <v>89</v>
      </c>
      <c r="D185" s="3" t="s">
        <v>428</v>
      </c>
      <c r="E185" s="15" t="s">
        <v>429</v>
      </c>
      <c r="F185" s="15" t="str">
        <f>+VLOOKUP(D185,[1]Sheet1!$D$2:$E$29166,2,0)</f>
        <v>第4隔板</v>
      </c>
      <c r="G185" s="3" t="s">
        <v>46</v>
      </c>
      <c r="H185" s="3">
        <v>35</v>
      </c>
      <c r="I185" s="18" t="e">
        <f t="array" ref="I185">INDEX([2]Sheet1!$F$1:$AF$65808,MATCH(D185&amp;G185&amp;I$1,[2]Sheet1!$B$1:$B$65808&amp;[2]Sheet1!$D$1:$D$65808&amp;[2]Sheet1!$E$1:$E$65808,0),MATCH(H185,[2]Sheet1!$F$1:$AF$1,0))</f>
        <v>#N/A</v>
      </c>
      <c r="J185" s="3">
        <v>1</v>
      </c>
      <c r="K185" s="3">
        <v>1</v>
      </c>
      <c r="L185" s="19">
        <v>30</v>
      </c>
      <c r="M185" s="19">
        <v>30</v>
      </c>
      <c r="N185" s="5" t="s">
        <v>430</v>
      </c>
      <c r="O185" s="4"/>
      <c r="P185" s="18">
        <v>120</v>
      </c>
      <c r="Q185" s="3"/>
      <c r="R185" s="6"/>
      <c r="S185" s="22"/>
      <c r="U185" s="23">
        <f t="shared" si="2"/>
        <v>2</v>
      </c>
      <c r="V185" s="24" t="s">
        <v>11</v>
      </c>
    </row>
    <row r="186" spans="1:24" ht="23.1" hidden="1" customHeight="1" x14ac:dyDescent="0.25">
      <c r="A186" s="1" t="s">
        <v>89</v>
      </c>
      <c r="D186" s="3" t="s">
        <v>66</v>
      </c>
      <c r="E186" s="15" t="s">
        <v>67</v>
      </c>
      <c r="F186" s="15" t="str">
        <f>+VLOOKUP(D186,[1]Sheet1!$D$2:$E$29166,2,0)</f>
        <v>10060下接头</v>
      </c>
      <c r="G186" s="3" t="s">
        <v>51</v>
      </c>
      <c r="H186" s="3">
        <v>35</v>
      </c>
      <c r="I186" s="18" t="str">
        <f t="array" ref="I186">INDEX([2]Sheet1!$F$1:$AF$65808,MATCH(D186&amp;G186&amp;I$1,[2]Sheet1!$B$1:$B$65808&amp;[2]Sheet1!$D$1:$D$65808&amp;[2]Sheet1!$E$1:$E$65808,0),MATCH(H186,[2]Sheet1!$F$1:$AF$1,0))</f>
        <v>35/钳工</v>
      </c>
      <c r="J186" s="3">
        <v>6</v>
      </c>
      <c r="K186" s="3">
        <v>6</v>
      </c>
      <c r="L186" s="19">
        <v>30</v>
      </c>
      <c r="M186" s="19">
        <v>30</v>
      </c>
      <c r="N186" s="5" t="s">
        <v>431</v>
      </c>
      <c r="O186" s="4"/>
      <c r="P186" s="18">
        <f t="array" ref="P186">IFERROR(INDEX([2]Sheet1!$F$1:$AF$65808,MATCH($D186&amp;$G186&amp;P$1,[2]Sheet1!$B$1:$B$65808&amp;[2]Sheet1!$D$1:$D$65808&amp;[2]Sheet1!$E$1:$E$65808,0),MATCH($H186,[2]Sheet1!$F$1:$AF$1,0)),0)</f>
        <v>360</v>
      </c>
      <c r="Q186" s="3"/>
      <c r="R186" s="6"/>
      <c r="S186" s="22"/>
      <c r="U186" s="23">
        <f t="shared" si="2"/>
        <v>36</v>
      </c>
      <c r="V186" s="24" t="s">
        <v>11</v>
      </c>
    </row>
    <row r="187" spans="1:24" ht="23.1" hidden="1" customHeight="1" x14ac:dyDescent="0.25">
      <c r="A187" s="1" t="s">
        <v>89</v>
      </c>
      <c r="D187" s="3" t="s">
        <v>432</v>
      </c>
      <c r="E187" s="15" t="s">
        <v>55</v>
      </c>
      <c r="F187" s="15" t="str">
        <f>+VLOOKUP(D187,[1]Sheet1!$D$2:$E$29166,2,0)</f>
        <v>接头</v>
      </c>
      <c r="G187" s="3" t="s">
        <v>80</v>
      </c>
      <c r="H187" s="3">
        <v>45</v>
      </c>
      <c r="I187" s="18" t="str">
        <f t="array" ref="I187">INDEX([2]Sheet1!$F$1:$AF$65808,MATCH(D187&amp;G187&amp;I$1,[2]Sheet1!$B$1:$B$65808&amp;[2]Sheet1!$D$1:$D$65808&amp;[2]Sheet1!$E$1:$E$65808,0),MATCH(H187,[2]Sheet1!$F$1:$AF$1,0))</f>
        <v>45钳工</v>
      </c>
      <c r="J187" s="3">
        <v>1</v>
      </c>
      <c r="K187" s="3">
        <v>1</v>
      </c>
      <c r="L187" s="19">
        <v>30</v>
      </c>
      <c r="M187" s="19">
        <v>30</v>
      </c>
      <c r="N187" s="5" t="s">
        <v>81</v>
      </c>
      <c r="O187" s="4"/>
      <c r="P187" s="18">
        <f t="array" ref="P187">IFERROR(INDEX([2]Sheet1!$F$1:$AF$65808,MATCH($D187&amp;$G187&amp;P$1,[2]Sheet1!$B$1:$B$65808&amp;[2]Sheet1!$D$1:$D$65808&amp;[2]Sheet1!$E$1:$E$65808,0),MATCH($H187,[2]Sheet1!$F$1:$AF$1,0)),0)</f>
        <v>120</v>
      </c>
      <c r="Q187" s="3"/>
      <c r="R187" s="6"/>
      <c r="S187" s="22"/>
      <c r="U187" s="23">
        <f t="shared" si="2"/>
        <v>2</v>
      </c>
      <c r="V187" s="24" t="s">
        <v>11</v>
      </c>
    </row>
    <row r="188" spans="1:24" ht="23.1" hidden="1" customHeight="1" x14ac:dyDescent="0.25">
      <c r="A188" s="1" t="s">
        <v>89</v>
      </c>
      <c r="D188" s="3" t="s">
        <v>433</v>
      </c>
      <c r="E188" s="15" t="s">
        <v>434</v>
      </c>
      <c r="F188" s="15" t="str">
        <f>+VLOOKUP(D188,[1]Sheet1!$D$2:$E$29166,2,0)</f>
        <v>4号下壁板（左件）</v>
      </c>
      <c r="G188" s="3" t="s">
        <v>51</v>
      </c>
      <c r="H188" s="3">
        <v>20</v>
      </c>
      <c r="I188" s="18" t="str">
        <f t="array" ref="I188">INDEX([2]Sheet1!$F$1:$AF$65808,MATCH(D188&amp;G188&amp;I$1,[2]Sheet1!$B$1:$B$65808&amp;[2]Sheet1!$D$1:$D$65808&amp;[2]Sheet1!$E$1:$E$65808,0),MATCH(H188,[2]Sheet1!$F$1:$AF$1,0))</f>
        <v>20钳工</v>
      </c>
      <c r="J188" s="3">
        <v>2</v>
      </c>
      <c r="K188" s="3">
        <v>2</v>
      </c>
      <c r="L188" s="19">
        <v>30</v>
      </c>
      <c r="M188" s="19">
        <v>30</v>
      </c>
      <c r="N188" s="5" t="s">
        <v>435</v>
      </c>
      <c r="O188" s="4"/>
      <c r="P188" s="18">
        <f t="array" ref="P188">IFERROR(INDEX([2]Sheet1!$F$1:$AF$65808,MATCH($D188&amp;$G188&amp;P$1,[2]Sheet1!$B$1:$B$65808&amp;[2]Sheet1!$D$1:$D$65808&amp;[2]Sheet1!$E$1:$E$65808,0),MATCH($H188,[2]Sheet1!$F$1:$AF$1,0)),0)</f>
        <v>120</v>
      </c>
      <c r="Q188" s="3"/>
      <c r="R188" s="6"/>
      <c r="S188" s="22"/>
      <c r="U188" s="23">
        <f t="shared" si="2"/>
        <v>4</v>
      </c>
      <c r="V188" s="24" t="s">
        <v>11</v>
      </c>
    </row>
    <row r="189" spans="1:24" ht="23.1" hidden="1" customHeight="1" x14ac:dyDescent="0.25">
      <c r="A189" s="1" t="s">
        <v>100</v>
      </c>
      <c r="D189" s="3" t="s">
        <v>436</v>
      </c>
      <c r="E189" s="15" t="s">
        <v>437</v>
      </c>
      <c r="F189" s="15" t="str">
        <f>+VLOOKUP(D189,[1]Sheet1!$D$2:$E$29166,2,0)</f>
        <v>10150侧隔框</v>
      </c>
      <c r="G189" s="3" t="s">
        <v>51</v>
      </c>
      <c r="H189" s="3">
        <v>55</v>
      </c>
      <c r="I189" s="18" t="str">
        <f t="array" ref="I189">INDEX([2]Sheet1!$F$1:$AF$65808,MATCH(D189&amp;G189&amp;I$1,[2]Sheet1!$B$1:$B$65808&amp;[2]Sheet1!$D$1:$D$65808&amp;[2]Sheet1!$E$1:$E$65808,0),MATCH(H189,[2]Sheet1!$F$1:$AF$1,0))</f>
        <v>55/钳工</v>
      </c>
      <c r="J189" s="3">
        <v>2</v>
      </c>
      <c r="K189" s="3">
        <v>2</v>
      </c>
      <c r="L189" s="19">
        <v>30</v>
      </c>
      <c r="M189" s="19">
        <v>30</v>
      </c>
      <c r="N189" s="5" t="s">
        <v>438</v>
      </c>
      <c r="O189" s="4"/>
      <c r="P189" s="18">
        <f t="array" ref="P189">IFERROR(INDEX([2]Sheet1!$F$1:$AF$65808,MATCH($D189&amp;$G189&amp;P$1,[2]Sheet1!$B$1:$B$65808&amp;[2]Sheet1!$D$1:$D$65808&amp;[2]Sheet1!$E$1:$E$65808,0),MATCH($H189,[2]Sheet1!$F$1:$AF$1,0)),0)</f>
        <v>480</v>
      </c>
      <c r="Q189" s="3"/>
      <c r="R189" s="6"/>
      <c r="S189" s="22"/>
      <c r="U189" s="23">
        <f t="shared" si="2"/>
        <v>16</v>
      </c>
      <c r="V189" s="24" t="s">
        <v>11</v>
      </c>
    </row>
    <row r="190" spans="1:24" ht="23.1" hidden="1" customHeight="1" x14ac:dyDescent="0.25">
      <c r="A190" s="1" t="s">
        <v>100</v>
      </c>
      <c r="D190" s="3" t="s">
        <v>439</v>
      </c>
      <c r="E190" s="15" t="s">
        <v>437</v>
      </c>
      <c r="F190" s="15" t="str">
        <f>+VLOOKUP(D190,[1]Sheet1!$D$2:$E$29166,2,0)</f>
        <v>10150侧隔框</v>
      </c>
      <c r="G190" s="3" t="s">
        <v>51</v>
      </c>
      <c r="H190" s="3">
        <v>55</v>
      </c>
      <c r="I190" s="18" t="str">
        <f t="array" ref="I190">INDEX([2]Sheet1!$F$1:$AF$65808,MATCH(D190&amp;G190&amp;I$1,[2]Sheet1!$B$1:$B$65808&amp;[2]Sheet1!$D$1:$D$65808&amp;[2]Sheet1!$E$1:$E$65808,0),MATCH(H190,[2]Sheet1!$F$1:$AF$1,0))</f>
        <v>55/钳工</v>
      </c>
      <c r="J190" s="3">
        <v>1</v>
      </c>
      <c r="K190" s="3">
        <v>1</v>
      </c>
      <c r="L190" s="19">
        <v>30</v>
      </c>
      <c r="M190" s="19">
        <v>30</v>
      </c>
      <c r="N190" s="5" t="s">
        <v>440</v>
      </c>
      <c r="O190" s="4"/>
      <c r="P190" s="18">
        <f t="array" ref="P190">IFERROR(INDEX([2]Sheet1!$F$1:$AF$65808,MATCH($D190&amp;$G190&amp;P$1,[2]Sheet1!$B$1:$B$65808&amp;[2]Sheet1!$D$1:$D$65808&amp;[2]Sheet1!$E$1:$E$65808,0),MATCH($H190,[2]Sheet1!$F$1:$AF$1,0)),0)</f>
        <v>480</v>
      </c>
      <c r="Q190" s="3"/>
      <c r="R190" s="6"/>
      <c r="S190" s="22"/>
      <c r="U190" s="23">
        <f t="shared" si="2"/>
        <v>8</v>
      </c>
      <c r="V190" s="24" t="s">
        <v>11</v>
      </c>
    </row>
    <row r="191" spans="1:24" ht="23.1" hidden="1" customHeight="1" x14ac:dyDescent="0.25">
      <c r="A191" s="1" t="s">
        <v>100</v>
      </c>
      <c r="D191" s="3" t="s">
        <v>441</v>
      </c>
      <c r="E191" s="15" t="s">
        <v>442</v>
      </c>
      <c r="F191" s="15" t="str">
        <f>+VLOOKUP(D191,[1]Sheet1!$D$2:$E$29166,2,0)</f>
        <v>固定前缘边肋（左件）</v>
      </c>
      <c r="G191" s="3" t="s">
        <v>155</v>
      </c>
      <c r="H191" s="3">
        <v>65</v>
      </c>
      <c r="I191" s="18" t="str">
        <f t="array" ref="I191">INDEX([2]Sheet1!$F$1:$AF$65808,MATCH(D191&amp;G191&amp;I$1,[2]Sheet1!$B$1:$B$65808&amp;[2]Sheet1!$D$1:$D$65808&amp;[2]Sheet1!$E$1:$E$65808,0),MATCH(H191,[2]Sheet1!$F$1:$AF$1,0))</f>
        <v>65/钳工</v>
      </c>
      <c r="J191" s="3">
        <v>1</v>
      </c>
      <c r="K191" s="3">
        <v>1</v>
      </c>
      <c r="L191" s="19">
        <v>30</v>
      </c>
      <c r="M191" s="19">
        <v>30</v>
      </c>
      <c r="N191" s="5" t="s">
        <v>443</v>
      </c>
      <c r="O191" s="4"/>
      <c r="P191" s="18">
        <f t="array" ref="P191">IFERROR(INDEX([2]Sheet1!$F$1:$AF$65808,MATCH($D191&amp;$G191&amp;P$1,[2]Sheet1!$B$1:$B$65808&amp;[2]Sheet1!$D$1:$D$65808&amp;[2]Sheet1!$E$1:$E$65808,0),MATCH($H191,[2]Sheet1!$F$1:$AF$1,0)),0)</f>
        <v>360</v>
      </c>
      <c r="Q191" s="3"/>
      <c r="R191" s="6"/>
      <c r="S191" s="22"/>
      <c r="U191" s="23">
        <f t="shared" si="2"/>
        <v>6</v>
      </c>
      <c r="V191" s="24" t="s">
        <v>11</v>
      </c>
    </row>
    <row r="192" spans="1:24" ht="23.1" hidden="1" customHeight="1" x14ac:dyDescent="0.25">
      <c r="A192" s="1" t="s">
        <v>100</v>
      </c>
      <c r="D192" s="3" t="s">
        <v>66</v>
      </c>
      <c r="E192" s="15" t="s">
        <v>67</v>
      </c>
      <c r="F192" s="15" t="str">
        <f>+VLOOKUP(D192,[1]Sheet1!$D$2:$E$29166,2,0)</f>
        <v>10060下接头</v>
      </c>
      <c r="G192" s="3" t="s">
        <v>51</v>
      </c>
      <c r="H192" s="3" t="s">
        <v>340</v>
      </c>
      <c r="I192" s="18" t="e">
        <f t="array" ref="I192">INDEX([2]Sheet1!$F$1:$AF$65808,MATCH(D192&amp;G192&amp;I$1,[2]Sheet1!$B$1:$B$65808&amp;[2]Sheet1!$D$1:$D$65808&amp;[2]Sheet1!$E$1:$E$65808,0),MATCH(H192,[2]Sheet1!$F$1:$AF$1,0))</f>
        <v>#N/A</v>
      </c>
      <c r="J192" s="3">
        <v>3</v>
      </c>
      <c r="K192" s="3">
        <v>3</v>
      </c>
      <c r="L192" s="19">
        <v>30</v>
      </c>
      <c r="M192" s="19">
        <v>30</v>
      </c>
      <c r="N192" s="5" t="s">
        <v>99</v>
      </c>
      <c r="O192" s="4"/>
      <c r="P192" s="18">
        <v>30</v>
      </c>
      <c r="Q192" s="3"/>
      <c r="R192" s="6"/>
      <c r="S192" s="22"/>
      <c r="U192" s="23">
        <f t="shared" si="2"/>
        <v>1.5</v>
      </c>
      <c r="V192" s="24" t="s">
        <v>11</v>
      </c>
      <c r="W192" s="7" t="s">
        <v>444</v>
      </c>
      <c r="X192" s="7" t="s">
        <v>203</v>
      </c>
    </row>
    <row r="193" spans="1:24" ht="23.1" hidden="1" customHeight="1" x14ac:dyDescent="0.25">
      <c r="A193" s="1" t="s">
        <v>100</v>
      </c>
      <c r="D193" s="3" t="s">
        <v>391</v>
      </c>
      <c r="E193" s="15" t="s">
        <v>387</v>
      </c>
      <c r="F193" s="15" t="str">
        <f>+VLOOKUP(D193,[1]Sheet1!$D$2:$E$29166,2,0)</f>
        <v>9555侧隔框</v>
      </c>
      <c r="G193" s="3" t="s">
        <v>51</v>
      </c>
      <c r="H193" s="3" t="s">
        <v>340</v>
      </c>
      <c r="I193" s="18" t="e">
        <f t="array" ref="I193">INDEX([2]Sheet1!$F$1:$AF$65808,MATCH(D193&amp;G193&amp;I$1,[2]Sheet1!$B$1:$B$65808&amp;[2]Sheet1!$D$1:$D$65808&amp;[2]Sheet1!$E$1:$E$65808,0),MATCH(H193,[2]Sheet1!$F$1:$AF$1,0))</f>
        <v>#N/A</v>
      </c>
      <c r="J193" s="3">
        <v>2</v>
      </c>
      <c r="K193" s="3">
        <v>2</v>
      </c>
      <c r="L193" s="19">
        <v>30</v>
      </c>
      <c r="M193" s="19">
        <v>30</v>
      </c>
      <c r="N193" s="5" t="s">
        <v>438</v>
      </c>
      <c r="O193" s="4"/>
      <c r="P193" s="18">
        <v>180</v>
      </c>
      <c r="Q193" s="3"/>
      <c r="R193" s="6"/>
      <c r="S193" s="22"/>
      <c r="U193" s="23">
        <f t="shared" si="2"/>
        <v>6</v>
      </c>
      <c r="V193" s="24" t="s">
        <v>11</v>
      </c>
      <c r="W193" s="7" t="s">
        <v>444</v>
      </c>
      <c r="X193" s="7" t="s">
        <v>203</v>
      </c>
    </row>
    <row r="194" spans="1:24" ht="23.1" hidden="1" customHeight="1" x14ac:dyDescent="0.25">
      <c r="A194" s="1" t="s">
        <v>100</v>
      </c>
      <c r="D194" s="3" t="s">
        <v>386</v>
      </c>
      <c r="E194" s="15" t="s">
        <v>387</v>
      </c>
      <c r="F194" s="15" t="str">
        <f>+VLOOKUP(D194,[1]Sheet1!$D$2:$E$29166,2,0)</f>
        <v>9555侧隔框</v>
      </c>
      <c r="G194" s="3" t="s">
        <v>51</v>
      </c>
      <c r="H194" s="3" t="s">
        <v>340</v>
      </c>
      <c r="I194" s="18" t="e">
        <f t="array" ref="I194">INDEX([2]Sheet1!$F$1:$AF$65808,MATCH(D194&amp;G194&amp;I$1,[2]Sheet1!$B$1:$B$65808&amp;[2]Sheet1!$D$1:$D$65808&amp;[2]Sheet1!$E$1:$E$65808,0),MATCH(H194,[2]Sheet1!$F$1:$AF$1,0))</f>
        <v>#N/A</v>
      </c>
      <c r="J194" s="3">
        <v>1</v>
      </c>
      <c r="K194" s="3">
        <v>1</v>
      </c>
      <c r="L194" s="19">
        <v>30</v>
      </c>
      <c r="M194" s="19">
        <v>30</v>
      </c>
      <c r="N194" s="5" t="s">
        <v>440</v>
      </c>
      <c r="O194" s="4"/>
      <c r="P194" s="18">
        <v>60</v>
      </c>
      <c r="Q194" s="3"/>
      <c r="R194" s="6"/>
      <c r="S194" s="22"/>
      <c r="U194" s="23">
        <f t="shared" si="2"/>
        <v>1</v>
      </c>
      <c r="V194" s="24" t="s">
        <v>11</v>
      </c>
      <c r="X194" s="7" t="s">
        <v>203</v>
      </c>
    </row>
    <row r="195" spans="1:24" ht="23.1" hidden="1" customHeight="1" x14ac:dyDescent="0.25">
      <c r="A195" s="1" t="s">
        <v>103</v>
      </c>
      <c r="D195" s="3" t="s">
        <v>445</v>
      </c>
      <c r="E195" s="15" t="s">
        <v>446</v>
      </c>
      <c r="F195" s="15" t="str">
        <f>+VLOOKUP(D195,[1]Sheet1!$D$2:$E$29166,2,0)</f>
        <v>摇臂</v>
      </c>
      <c r="G195" s="3" t="s">
        <v>80</v>
      </c>
      <c r="H195" s="3">
        <v>80</v>
      </c>
      <c r="I195" s="18" t="str">
        <f t="array" ref="I195">INDEX([2]Sheet1!$F$1:$AF$65808,MATCH(D195&amp;G195&amp;I$1,[2]Sheet1!$B$1:$B$65808&amp;[2]Sheet1!$D$1:$D$65808&amp;[2]Sheet1!$E$1:$E$65808,0),MATCH(H195,[2]Sheet1!$F$1:$AF$1,0))</f>
        <v>80钳工</v>
      </c>
      <c r="J195" s="3">
        <v>2</v>
      </c>
      <c r="K195" s="3">
        <v>2</v>
      </c>
      <c r="L195" s="19">
        <v>30</v>
      </c>
      <c r="M195" s="19">
        <v>30</v>
      </c>
      <c r="N195" s="5" t="s">
        <v>278</v>
      </c>
      <c r="O195" s="4"/>
      <c r="P195" s="18">
        <f t="array" ref="P195">IFERROR(INDEX([2]Sheet1!$F$1:$AF$65808,MATCH($D195&amp;$G195&amp;P$1,[2]Sheet1!$B$1:$B$65808&amp;[2]Sheet1!$D$1:$D$65808&amp;[2]Sheet1!$E$1:$E$65808,0),MATCH($H195,[2]Sheet1!$F$1:$AF$1,0)),0)</f>
        <v>70</v>
      </c>
      <c r="Q195" s="3"/>
      <c r="R195" s="6"/>
      <c r="S195" s="22"/>
      <c r="U195" s="23">
        <f t="shared" ref="U195:U258" si="3">ROUND((K195*P195+Q195*S195)/60+T195,1)</f>
        <v>2.2999999999999998</v>
      </c>
      <c r="V195" s="24" t="s">
        <v>11</v>
      </c>
    </row>
    <row r="196" spans="1:24" ht="23.1" hidden="1" customHeight="1" x14ac:dyDescent="0.25">
      <c r="A196" s="1" t="s">
        <v>103</v>
      </c>
      <c r="D196" s="3" t="s">
        <v>447</v>
      </c>
      <c r="E196" s="15" t="s">
        <v>302</v>
      </c>
      <c r="F196" s="15" t="str">
        <f>+VLOOKUP(D196,[1]Sheet1!$D$2:$E$29166,2,0)</f>
        <v>角盒</v>
      </c>
      <c r="G196" s="3" t="s">
        <v>46</v>
      </c>
      <c r="H196" s="3">
        <v>35</v>
      </c>
      <c r="I196" s="18" t="str">
        <f t="array" ref="I196">INDEX([2]Sheet1!$F$1:$AF$65808,MATCH(D196&amp;G196&amp;I$1,[2]Sheet1!$B$1:$B$65808&amp;[2]Sheet1!$D$1:$D$65808&amp;[2]Sheet1!$E$1:$E$65808,0),MATCH(H196,[2]Sheet1!$F$1:$AF$1,0))</f>
        <v>35钳工</v>
      </c>
      <c r="J196" s="3">
        <v>2</v>
      </c>
      <c r="K196" s="3">
        <v>2</v>
      </c>
      <c r="L196" s="19">
        <v>30</v>
      </c>
      <c r="M196" s="19">
        <v>30</v>
      </c>
      <c r="N196" s="5" t="s">
        <v>349</v>
      </c>
      <c r="O196" s="4"/>
      <c r="P196" s="18">
        <f t="array" ref="P196">IFERROR(INDEX([2]Sheet1!$F$1:$AF$65808,MATCH($D196&amp;$G196&amp;P$1,[2]Sheet1!$B$1:$B$65808&amp;[2]Sheet1!$D$1:$D$65808&amp;[2]Sheet1!$E$1:$E$65808,0),MATCH($H196,[2]Sheet1!$F$1:$AF$1,0)),0)</f>
        <v>150</v>
      </c>
      <c r="Q196" s="3"/>
      <c r="R196" s="6"/>
      <c r="S196" s="22"/>
      <c r="U196" s="23">
        <f t="shared" si="3"/>
        <v>5</v>
      </c>
      <c r="V196" s="24" t="s">
        <v>11</v>
      </c>
    </row>
    <row r="197" spans="1:24" ht="23.1" hidden="1" customHeight="1" x14ac:dyDescent="0.25">
      <c r="A197" s="1" t="s">
        <v>103</v>
      </c>
      <c r="D197" s="3" t="s">
        <v>448</v>
      </c>
      <c r="E197" s="15" t="s">
        <v>449</v>
      </c>
      <c r="F197" s="15" t="str">
        <f>+VLOOKUP(D197,[1]Sheet1!$D$2:$E$29166,2,0)</f>
        <v>带板</v>
      </c>
      <c r="G197" s="3" t="s">
        <v>51</v>
      </c>
      <c r="H197" s="3">
        <v>40</v>
      </c>
      <c r="I197" s="18" t="str">
        <f t="array" ref="I197">INDEX([2]Sheet1!$F$1:$AF$65808,MATCH(D197&amp;G197&amp;I$1,[2]Sheet1!$B$1:$B$65808&amp;[2]Sheet1!$D$1:$D$65808&amp;[2]Sheet1!$E$1:$E$65808,0),MATCH(H197,[2]Sheet1!$F$1:$AF$1,0))</f>
        <v>40/钳工</v>
      </c>
      <c r="J197" s="3">
        <v>4</v>
      </c>
      <c r="K197" s="3">
        <v>4</v>
      </c>
      <c r="L197" s="19">
        <v>30</v>
      </c>
      <c r="M197" s="19">
        <v>30</v>
      </c>
      <c r="N197" s="5" t="s">
        <v>450</v>
      </c>
      <c r="O197" s="4"/>
      <c r="P197" s="18">
        <f t="array" ref="P197">IFERROR(INDEX([2]Sheet1!$F$1:$AF$65808,MATCH($D197&amp;$G197&amp;P$1,[2]Sheet1!$B$1:$B$65808&amp;[2]Sheet1!$D$1:$D$65808&amp;[2]Sheet1!$E$1:$E$65808,0),MATCH($H197,[2]Sheet1!$F$1:$AF$1,0)),0)</f>
        <v>180</v>
      </c>
      <c r="Q197" s="3"/>
      <c r="R197" s="6"/>
      <c r="S197" s="22"/>
      <c r="U197" s="23">
        <f t="shared" si="3"/>
        <v>12</v>
      </c>
      <c r="V197" s="24" t="s">
        <v>11</v>
      </c>
    </row>
    <row r="198" spans="1:24" ht="23.1" hidden="1" customHeight="1" x14ac:dyDescent="0.25">
      <c r="A198" s="1" t="s">
        <v>103</v>
      </c>
      <c r="D198" s="3" t="s">
        <v>374</v>
      </c>
      <c r="E198" s="15" t="s">
        <v>375</v>
      </c>
      <c r="F198" s="15" t="str">
        <f>+VLOOKUP(D198,[1]Sheet1!$D$2:$E$29166,2,0)</f>
        <v>口盖</v>
      </c>
      <c r="G198" s="3" t="s">
        <v>147</v>
      </c>
      <c r="H198" s="3">
        <v>35</v>
      </c>
      <c r="I198" s="18" t="str">
        <f t="array" ref="I198">INDEX([2]Sheet1!$F$1:$AF$65808,MATCH(D198&amp;G198&amp;I$1,[2]Sheet1!$B$1:$B$65808&amp;[2]Sheet1!$D$1:$D$65808&amp;[2]Sheet1!$E$1:$E$65808,0),MATCH(H198,[2]Sheet1!$F$1:$AF$1,0))</f>
        <v>35/钳工</v>
      </c>
      <c r="J198" s="3">
        <v>10</v>
      </c>
      <c r="K198" s="3">
        <v>10</v>
      </c>
      <c r="L198" s="19">
        <v>30</v>
      </c>
      <c r="M198" s="19">
        <v>30</v>
      </c>
      <c r="N198" s="5" t="s">
        <v>440</v>
      </c>
      <c r="O198" s="4"/>
      <c r="P198" s="18">
        <f t="array" ref="P198">IFERROR(INDEX([2]Sheet1!$F$1:$AF$65808,MATCH($D198&amp;$G198&amp;P$1,[2]Sheet1!$B$1:$B$65808&amp;[2]Sheet1!$D$1:$D$65808&amp;[2]Sheet1!$E$1:$E$65808,0),MATCH($H198,[2]Sheet1!$F$1:$AF$1,0)),0)</f>
        <v>30</v>
      </c>
      <c r="Q198" s="3"/>
      <c r="R198" s="6"/>
      <c r="S198" s="22"/>
      <c r="U198" s="23">
        <f t="shared" si="3"/>
        <v>5</v>
      </c>
      <c r="V198" s="24" t="s">
        <v>11</v>
      </c>
    </row>
    <row r="199" spans="1:24" ht="23.1" hidden="1" customHeight="1" x14ac:dyDescent="0.25">
      <c r="A199" s="1" t="s">
        <v>109</v>
      </c>
      <c r="D199" s="3" t="s">
        <v>451</v>
      </c>
      <c r="E199" s="15" t="s">
        <v>452</v>
      </c>
      <c r="F199" s="15" t="str">
        <f>+VLOOKUP(D199,[1]Sheet1!$D$2:$E$29166,2,0)</f>
        <v>前起落架舱门结构支撑梁</v>
      </c>
      <c r="G199" s="3" t="s">
        <v>46</v>
      </c>
      <c r="H199" s="3">
        <v>45</v>
      </c>
      <c r="I199" s="18" t="str">
        <f t="array" ref="I199">INDEX([2]Sheet1!$F$1:$AF$65808,MATCH(D199&amp;G199&amp;I$1,[2]Sheet1!$B$1:$B$65808&amp;[2]Sheet1!$D$1:$D$65808&amp;[2]Sheet1!$E$1:$E$65808,0),MATCH(H199,[2]Sheet1!$F$1:$AF$1,0))</f>
        <v>45/钳工</v>
      </c>
      <c r="J199" s="3">
        <v>10</v>
      </c>
      <c r="K199" s="3">
        <v>10</v>
      </c>
      <c r="L199" s="19">
        <v>30</v>
      </c>
      <c r="M199" s="19">
        <v>30</v>
      </c>
      <c r="N199" s="5" t="s">
        <v>453</v>
      </c>
      <c r="O199" s="4"/>
      <c r="P199" s="18">
        <f t="array" ref="P199">IFERROR(INDEX([2]Sheet1!$F$1:$AF$65808,MATCH($D199&amp;$G199&amp;P$1,[2]Sheet1!$B$1:$B$65808&amp;[2]Sheet1!$D$1:$D$65808&amp;[2]Sheet1!$E$1:$E$65808,0),MATCH($H199,[2]Sheet1!$F$1:$AF$1,0)),0)</f>
        <v>90</v>
      </c>
      <c r="Q199" s="3"/>
      <c r="R199" s="6"/>
      <c r="S199" s="22"/>
      <c r="U199" s="23">
        <f t="shared" si="3"/>
        <v>15</v>
      </c>
      <c r="V199" s="24" t="s">
        <v>11</v>
      </c>
    </row>
    <row r="200" spans="1:24" ht="23.1" hidden="1" customHeight="1" x14ac:dyDescent="0.25">
      <c r="A200" s="1" t="s">
        <v>109</v>
      </c>
      <c r="D200" s="3" t="s">
        <v>451</v>
      </c>
      <c r="E200" s="15" t="s">
        <v>452</v>
      </c>
      <c r="F200" s="15" t="str">
        <f>+VLOOKUP(D200,[1]Sheet1!$D$2:$E$29166,2,0)</f>
        <v>前起落架舱门结构支撑梁</v>
      </c>
      <c r="G200" s="3" t="s">
        <v>46</v>
      </c>
      <c r="H200" s="3" t="s">
        <v>340</v>
      </c>
      <c r="I200" s="18" t="e">
        <f t="array" ref="I200">INDEX([2]Sheet1!$F$1:$AF$65808,MATCH(D200&amp;G200&amp;I$1,[2]Sheet1!$B$1:$B$65808&amp;[2]Sheet1!$D$1:$D$65808&amp;[2]Sheet1!$E$1:$E$65808,0),MATCH(H200,[2]Sheet1!$F$1:$AF$1,0))</f>
        <v>#N/A</v>
      </c>
      <c r="J200" s="3">
        <v>10</v>
      </c>
      <c r="K200" s="3">
        <v>10</v>
      </c>
      <c r="L200" s="19">
        <v>30</v>
      </c>
      <c r="M200" s="19">
        <v>30</v>
      </c>
      <c r="N200" s="5" t="s">
        <v>453</v>
      </c>
      <c r="O200" s="4"/>
      <c r="P200" s="18">
        <v>60</v>
      </c>
      <c r="Q200" s="3"/>
      <c r="R200" s="6"/>
      <c r="S200" s="22"/>
      <c r="U200" s="23">
        <f t="shared" si="3"/>
        <v>10</v>
      </c>
      <c r="V200" s="24" t="s">
        <v>11</v>
      </c>
      <c r="W200" s="7" t="s">
        <v>454</v>
      </c>
      <c r="X200" s="7" t="s">
        <v>203</v>
      </c>
    </row>
    <row r="201" spans="1:24" ht="23.1" hidden="1" customHeight="1" x14ac:dyDescent="0.25">
      <c r="A201" s="1" t="s">
        <v>109</v>
      </c>
      <c r="D201" s="3" t="s">
        <v>455</v>
      </c>
      <c r="E201" s="15" t="s">
        <v>446</v>
      </c>
      <c r="F201" s="15" t="str">
        <f>+VLOOKUP(D201,[1]Sheet1!$D$2:$E$29166,2,0)</f>
        <v>摇臂</v>
      </c>
      <c r="G201" s="3" t="s">
        <v>80</v>
      </c>
      <c r="H201" s="3">
        <v>110</v>
      </c>
      <c r="I201" s="18" t="str">
        <f t="array" ref="I201">INDEX([2]Sheet1!$F$1:$AF$65808,MATCH(D201&amp;G201&amp;I$1,[2]Sheet1!$B$1:$B$65808&amp;[2]Sheet1!$D$1:$D$65808&amp;[2]Sheet1!$E$1:$E$65808,0),MATCH(H201,[2]Sheet1!$F$1:$AF$1,0))</f>
        <v>110/钳工</v>
      </c>
      <c r="J201" s="3">
        <v>1</v>
      </c>
      <c r="K201" s="3">
        <v>1</v>
      </c>
      <c r="L201" s="19">
        <v>30</v>
      </c>
      <c r="M201" s="19">
        <v>30</v>
      </c>
      <c r="N201" s="5" t="s">
        <v>95</v>
      </c>
      <c r="O201" s="4"/>
      <c r="P201" s="18">
        <f t="array" ref="P201">IFERROR(INDEX([2]Sheet1!$F$1:$AF$65808,MATCH($D201&amp;$G201&amp;P$1,[2]Sheet1!$B$1:$B$65808&amp;[2]Sheet1!$D$1:$D$65808&amp;[2]Sheet1!$E$1:$E$65808,0),MATCH($H201,[2]Sheet1!$F$1:$AF$1,0)),0)</f>
        <v>480</v>
      </c>
      <c r="Q201" s="3"/>
      <c r="R201" s="6"/>
      <c r="S201" s="22"/>
      <c r="U201" s="23">
        <f t="shared" si="3"/>
        <v>8</v>
      </c>
      <c r="V201" s="24" t="s">
        <v>11</v>
      </c>
    </row>
    <row r="202" spans="1:24" ht="23.1" hidden="1" customHeight="1" x14ac:dyDescent="0.25">
      <c r="A202" s="1" t="s">
        <v>109</v>
      </c>
      <c r="D202" s="3" t="s">
        <v>456</v>
      </c>
      <c r="E202" s="15" t="s">
        <v>446</v>
      </c>
      <c r="F202" s="15" t="str">
        <f>+VLOOKUP(D202,[1]Sheet1!$D$2:$E$29166,2,0)</f>
        <v>摇臂</v>
      </c>
      <c r="G202" s="3" t="s">
        <v>80</v>
      </c>
      <c r="H202" s="3">
        <v>110</v>
      </c>
      <c r="I202" s="18" t="str">
        <f t="array" ref="I202">INDEX([2]Sheet1!$F$1:$AF$65808,MATCH(D202&amp;G202&amp;I$1,[2]Sheet1!$B$1:$B$65808&amp;[2]Sheet1!$D$1:$D$65808&amp;[2]Sheet1!$E$1:$E$65808,0),MATCH(H202,[2]Sheet1!$F$1:$AF$1,0))</f>
        <v>110/钳工</v>
      </c>
      <c r="J202" s="3">
        <v>1</v>
      </c>
      <c r="K202" s="3">
        <v>1</v>
      </c>
      <c r="L202" s="19">
        <v>30</v>
      </c>
      <c r="M202" s="19">
        <v>30</v>
      </c>
      <c r="O202" s="4"/>
      <c r="P202" s="18">
        <f t="array" ref="P202">IFERROR(INDEX([2]Sheet1!$F$1:$AF$65808,MATCH($D202&amp;$G202&amp;P$1,[2]Sheet1!$B$1:$B$65808&amp;[2]Sheet1!$D$1:$D$65808&amp;[2]Sheet1!$E$1:$E$65808,0),MATCH($H202,[2]Sheet1!$F$1:$AF$1,0)),0)</f>
        <v>480</v>
      </c>
      <c r="Q202" s="3"/>
      <c r="R202" s="6"/>
      <c r="S202" s="22"/>
      <c r="U202" s="23">
        <f t="shared" si="3"/>
        <v>8</v>
      </c>
      <c r="V202" s="24" t="s">
        <v>11</v>
      </c>
    </row>
    <row r="203" spans="1:24" ht="23.1" hidden="1" customHeight="1" x14ac:dyDescent="0.25">
      <c r="A203" s="1" t="s">
        <v>116</v>
      </c>
      <c r="D203" s="3" t="s">
        <v>386</v>
      </c>
      <c r="E203" s="15" t="s">
        <v>387</v>
      </c>
      <c r="F203" s="15" t="str">
        <f>+VLOOKUP(D203,[1]Sheet1!$D$2:$E$29166,2,0)</f>
        <v>9555侧隔框</v>
      </c>
      <c r="G203" s="3" t="s">
        <v>114</v>
      </c>
      <c r="H203" s="3">
        <v>55</v>
      </c>
      <c r="I203" s="18" t="str">
        <f t="array" ref="I203">INDEX([2]Sheet1!$F$1:$AF$65808,MATCH(D203&amp;G203&amp;I$1,[2]Sheet1!$B$1:$B$65808&amp;[2]Sheet1!$D$1:$D$65808&amp;[2]Sheet1!$E$1:$E$65808,0),MATCH(H203,[2]Sheet1!$F$1:$AF$1,0))</f>
        <v>55/钳工</v>
      </c>
      <c r="J203" s="3">
        <v>2</v>
      </c>
      <c r="K203" s="3">
        <v>2</v>
      </c>
      <c r="L203" s="19">
        <v>30</v>
      </c>
      <c r="M203" s="19">
        <v>30</v>
      </c>
      <c r="N203" s="5" t="s">
        <v>457</v>
      </c>
      <c r="O203" s="4"/>
      <c r="P203" s="18">
        <f t="array" ref="P203">IFERROR(INDEX([2]Sheet1!$F$1:$AF$65808,MATCH($D203&amp;$G203&amp;P$1,[2]Sheet1!$B$1:$B$65808&amp;[2]Sheet1!$D$1:$D$65808&amp;[2]Sheet1!$E$1:$E$65808,0),MATCH($H203,[2]Sheet1!$F$1:$AF$1,0)),0)</f>
        <v>480</v>
      </c>
      <c r="Q203" s="3"/>
      <c r="R203" s="6"/>
      <c r="S203" s="22"/>
      <c r="U203" s="23">
        <f t="shared" si="3"/>
        <v>16</v>
      </c>
      <c r="V203" s="24" t="s">
        <v>11</v>
      </c>
    </row>
    <row r="204" spans="1:24" ht="23.1" hidden="1" customHeight="1" x14ac:dyDescent="0.25">
      <c r="A204" s="1" t="s">
        <v>121</v>
      </c>
      <c r="D204" s="3" t="s">
        <v>458</v>
      </c>
      <c r="E204" s="15" t="s">
        <v>407</v>
      </c>
      <c r="F204" s="15" t="str">
        <f>+VLOOKUP(D204,[1]Sheet1!$D$2:$E$29166,2,0)</f>
        <v>外侧轴承盖</v>
      </c>
      <c r="G204" s="3" t="s">
        <v>46</v>
      </c>
      <c r="H204" s="3">
        <v>50</v>
      </c>
      <c r="I204" s="18" t="str">
        <f t="array" ref="I204">INDEX([2]Sheet1!$F$1:$AF$65808,MATCH(D204&amp;G204&amp;I$1,[2]Sheet1!$B$1:$B$65808&amp;[2]Sheet1!$D$1:$D$65808&amp;[2]Sheet1!$E$1:$E$65808,0),MATCH(H204,[2]Sheet1!$F$1:$AF$1,0))</f>
        <v>50/钳工</v>
      </c>
      <c r="J204" s="3">
        <v>2</v>
      </c>
      <c r="K204" s="3">
        <v>2</v>
      </c>
      <c r="L204" s="19">
        <v>30</v>
      </c>
      <c r="M204" s="19">
        <v>30</v>
      </c>
      <c r="N204" s="5" t="s">
        <v>349</v>
      </c>
      <c r="O204" s="4"/>
      <c r="P204" s="18">
        <f t="array" ref="P204">IFERROR(INDEX([2]Sheet1!$F$1:$AF$65808,MATCH($D204&amp;$G204&amp;P$1,[2]Sheet1!$B$1:$B$65808&amp;[2]Sheet1!$D$1:$D$65808&amp;[2]Sheet1!$E$1:$E$65808,0),MATCH($H204,[2]Sheet1!$F$1:$AF$1,0)),0)</f>
        <v>90</v>
      </c>
      <c r="Q204" s="3"/>
      <c r="R204" s="6"/>
      <c r="S204" s="22"/>
      <c r="U204" s="23">
        <f t="shared" si="3"/>
        <v>3</v>
      </c>
      <c r="V204" s="24" t="s">
        <v>6</v>
      </c>
    </row>
    <row r="205" spans="1:24" ht="23.1" hidden="1" customHeight="1" x14ac:dyDescent="0.25">
      <c r="A205" s="1" t="s">
        <v>121</v>
      </c>
      <c r="D205" s="3" t="s">
        <v>459</v>
      </c>
      <c r="E205" s="15" t="s">
        <v>407</v>
      </c>
      <c r="F205" s="15" t="str">
        <f>+VLOOKUP(D205,[1]Sheet1!$D$2:$E$29166,2,0)</f>
        <v>外侧轴承盖</v>
      </c>
      <c r="G205" s="3" t="s">
        <v>46</v>
      </c>
      <c r="H205" s="3">
        <v>50</v>
      </c>
      <c r="I205" s="18" t="str">
        <f t="array" ref="I205">INDEX([2]Sheet1!$F$1:$AF$65808,MATCH(D205&amp;G205&amp;I$1,[2]Sheet1!$B$1:$B$65808&amp;[2]Sheet1!$D$1:$D$65808&amp;[2]Sheet1!$E$1:$E$65808,0),MATCH(H205,[2]Sheet1!$F$1:$AF$1,0))</f>
        <v>50/钳工</v>
      </c>
      <c r="J205" s="3">
        <v>2</v>
      </c>
      <c r="K205" s="3">
        <v>2</v>
      </c>
      <c r="L205" s="19">
        <v>30</v>
      </c>
      <c r="M205" s="19">
        <v>30</v>
      </c>
      <c r="N205" s="5" t="s">
        <v>349</v>
      </c>
      <c r="O205" s="4"/>
      <c r="P205" s="18">
        <f t="array" ref="P205">IFERROR(INDEX([2]Sheet1!$F$1:$AF$65808,MATCH($D205&amp;$G205&amp;P$1,[2]Sheet1!$B$1:$B$65808&amp;[2]Sheet1!$D$1:$D$65808&amp;[2]Sheet1!$E$1:$E$65808,0),MATCH($H205,[2]Sheet1!$F$1:$AF$1,0)),0)</f>
        <v>90</v>
      </c>
      <c r="Q205" s="3"/>
      <c r="R205" s="6"/>
      <c r="S205" s="22"/>
      <c r="U205" s="23">
        <f t="shared" si="3"/>
        <v>3</v>
      </c>
      <c r="V205" s="24" t="s">
        <v>6</v>
      </c>
    </row>
    <row r="206" spans="1:24" ht="23.1" hidden="1" customHeight="1" x14ac:dyDescent="0.25">
      <c r="A206" s="1" t="s">
        <v>121</v>
      </c>
      <c r="D206" s="3" t="s">
        <v>49</v>
      </c>
      <c r="E206" s="15" t="s">
        <v>50</v>
      </c>
      <c r="F206" s="15" t="str">
        <f>+VLOOKUP(D206,[1]Sheet1!$D$2:$E$29166,2,0)</f>
        <v>10460上接头</v>
      </c>
      <c r="G206" s="3" t="s">
        <v>51</v>
      </c>
      <c r="H206" s="3">
        <v>35</v>
      </c>
      <c r="I206" s="18" t="str">
        <f t="array" ref="I206">INDEX([2]Sheet1!$F$1:$AF$65808,MATCH(D206&amp;G206&amp;I$1,[2]Sheet1!$B$1:$B$65808&amp;[2]Sheet1!$D$1:$D$65808&amp;[2]Sheet1!$E$1:$E$65808,0),MATCH(H206,[2]Sheet1!$F$1:$AF$1,0))</f>
        <v>35/钳工</v>
      </c>
      <c r="J206" s="3">
        <v>2</v>
      </c>
      <c r="K206" s="3">
        <v>2</v>
      </c>
      <c r="L206" s="19">
        <v>30</v>
      </c>
      <c r="M206" s="19">
        <v>30</v>
      </c>
      <c r="N206" s="5" t="s">
        <v>52</v>
      </c>
      <c r="O206" s="4"/>
      <c r="P206" s="18">
        <f t="array" ref="P206">IFERROR(INDEX([2]Sheet1!$F$1:$AF$65808,MATCH($D206&amp;$G206&amp;P$1,[2]Sheet1!$B$1:$B$65808&amp;[2]Sheet1!$D$1:$D$65808&amp;[2]Sheet1!$E$1:$E$65808,0),MATCH($H206,[2]Sheet1!$F$1:$AF$1,0)),0)</f>
        <v>360</v>
      </c>
      <c r="Q206" s="3"/>
      <c r="R206" s="6"/>
      <c r="S206" s="22"/>
      <c r="U206" s="23">
        <f t="shared" si="3"/>
        <v>12</v>
      </c>
      <c r="V206" s="24" t="s">
        <v>6</v>
      </c>
    </row>
    <row r="207" spans="1:24" ht="23.1" hidden="1" customHeight="1" x14ac:dyDescent="0.25">
      <c r="A207" s="1" t="s">
        <v>121</v>
      </c>
      <c r="D207" s="3" t="s">
        <v>460</v>
      </c>
      <c r="E207" s="15" t="s">
        <v>50</v>
      </c>
      <c r="F207" s="15" t="str">
        <f>+VLOOKUP(D207,[1]Sheet1!$D$2:$E$29166,2,0)</f>
        <v>10460上接头</v>
      </c>
      <c r="G207" s="3" t="s">
        <v>51</v>
      </c>
      <c r="H207" s="3">
        <v>35</v>
      </c>
      <c r="I207" s="18" t="str">
        <f t="array" ref="I207">INDEX([2]Sheet1!$F$1:$AF$65808,MATCH(D207&amp;G207&amp;I$1,[2]Sheet1!$B$1:$B$65808&amp;[2]Sheet1!$D$1:$D$65808&amp;[2]Sheet1!$E$1:$E$65808,0),MATCH(H207,[2]Sheet1!$F$1:$AF$1,0))</f>
        <v>35/钳工</v>
      </c>
      <c r="J207" s="3">
        <v>3</v>
      </c>
      <c r="K207" s="3">
        <v>3</v>
      </c>
      <c r="L207" s="19">
        <v>30</v>
      </c>
      <c r="M207" s="19">
        <v>30</v>
      </c>
      <c r="N207" s="5" t="s">
        <v>263</v>
      </c>
      <c r="O207" s="4"/>
      <c r="P207" s="18">
        <f t="array" ref="P207">IFERROR(INDEX([2]Sheet1!$F$1:$AF$65808,MATCH($D207&amp;$G207&amp;P$1,[2]Sheet1!$B$1:$B$65808&amp;[2]Sheet1!$D$1:$D$65808&amp;[2]Sheet1!$E$1:$E$65808,0),MATCH($H207,[2]Sheet1!$F$1:$AF$1,0)),0)</f>
        <v>360</v>
      </c>
      <c r="Q207" s="3"/>
      <c r="R207" s="6"/>
      <c r="S207" s="22"/>
      <c r="U207" s="23">
        <f t="shared" si="3"/>
        <v>18</v>
      </c>
      <c r="V207" s="24" t="s">
        <v>6</v>
      </c>
    </row>
    <row r="208" spans="1:24" ht="23.1" hidden="1" customHeight="1" x14ac:dyDescent="0.25">
      <c r="A208" s="1" t="s">
        <v>48</v>
      </c>
      <c r="D208" s="3" t="s">
        <v>461</v>
      </c>
      <c r="E208" s="15" t="s">
        <v>462</v>
      </c>
      <c r="F208" s="15" t="str">
        <f>+VLOOKUP(D208,[1]Sheet1!$D$2:$E$29166,2,0)</f>
        <v>拔杆</v>
      </c>
      <c r="G208" s="3" t="s">
        <v>147</v>
      </c>
      <c r="H208" s="3">
        <v>65</v>
      </c>
      <c r="I208" s="18" t="str">
        <f t="array" ref="I208">INDEX([2]Sheet1!$F$1:$AF$65808,MATCH(D208&amp;G208&amp;I$1,[2]Sheet1!$B$1:$B$65808&amp;[2]Sheet1!$D$1:$D$65808&amp;[2]Sheet1!$E$1:$E$65808,0),MATCH(H208,[2]Sheet1!$F$1:$AF$1,0))</f>
        <v>65/钳工</v>
      </c>
      <c r="J208" s="3">
        <v>22</v>
      </c>
      <c r="K208" s="3">
        <v>22</v>
      </c>
      <c r="L208" s="19">
        <v>30</v>
      </c>
      <c r="M208" s="19">
        <v>30</v>
      </c>
      <c r="N208" s="5" t="s">
        <v>463</v>
      </c>
      <c r="O208" s="4"/>
      <c r="P208" s="18">
        <f t="array" ref="P208">IFERROR(INDEX([2]Sheet1!$F$1:$AF$65808,MATCH($D208&amp;$G208&amp;P$1,[2]Sheet1!$B$1:$B$65808&amp;[2]Sheet1!$D$1:$D$65808&amp;[2]Sheet1!$E$1:$E$65808,0),MATCH($H208,[2]Sheet1!$F$1:$AF$1,0)),0)</f>
        <v>10</v>
      </c>
      <c r="Q208" s="3"/>
      <c r="R208" s="6"/>
      <c r="S208" s="22"/>
      <c r="U208" s="23">
        <f t="shared" si="3"/>
        <v>3.7</v>
      </c>
      <c r="V208" s="24" t="s">
        <v>6</v>
      </c>
    </row>
    <row r="209" spans="1:24" ht="23.1" hidden="1" customHeight="1" x14ac:dyDescent="0.25">
      <c r="A209" s="1" t="s">
        <v>48</v>
      </c>
      <c r="D209" s="3" t="s">
        <v>461</v>
      </c>
      <c r="E209" s="15" t="s">
        <v>462</v>
      </c>
      <c r="F209" s="15" t="str">
        <f>+VLOOKUP(D209,[1]Sheet1!$D$2:$E$29166,2,0)</f>
        <v>拔杆</v>
      </c>
      <c r="G209" s="3" t="s">
        <v>147</v>
      </c>
      <c r="H209" s="3">
        <v>65</v>
      </c>
      <c r="I209" s="18" t="str">
        <f t="array" ref="I209">INDEX([2]Sheet1!$F$1:$AF$65808,MATCH(D209&amp;G209&amp;I$1,[2]Sheet1!$B$1:$B$65808&amp;[2]Sheet1!$D$1:$D$65808&amp;[2]Sheet1!$E$1:$E$65808,0),MATCH(H209,[2]Sheet1!$F$1:$AF$1,0))</f>
        <v>65/钳工</v>
      </c>
      <c r="J209" s="3">
        <v>8</v>
      </c>
      <c r="K209" s="3">
        <v>8</v>
      </c>
      <c r="L209" s="19">
        <v>30</v>
      </c>
      <c r="M209" s="19">
        <v>30</v>
      </c>
      <c r="N209" s="5" t="s">
        <v>464</v>
      </c>
      <c r="O209" s="4"/>
      <c r="P209" s="18">
        <f t="array" ref="P209">IFERROR(INDEX([2]Sheet1!$F$1:$AF$65808,MATCH($D209&amp;$G209&amp;P$1,[2]Sheet1!$B$1:$B$65808&amp;[2]Sheet1!$D$1:$D$65808&amp;[2]Sheet1!$E$1:$E$65808,0),MATCH($H209,[2]Sheet1!$F$1:$AF$1,0)),0)</f>
        <v>10</v>
      </c>
      <c r="Q209" s="3"/>
      <c r="R209" s="6"/>
      <c r="S209" s="22"/>
      <c r="U209" s="23">
        <f t="shared" si="3"/>
        <v>1.3</v>
      </c>
      <c r="V209" s="24" t="s">
        <v>6</v>
      </c>
    </row>
    <row r="210" spans="1:24" ht="23.1" hidden="1" customHeight="1" x14ac:dyDescent="0.25">
      <c r="A210" s="1" t="s">
        <v>48</v>
      </c>
      <c r="D210" s="3" t="s">
        <v>465</v>
      </c>
      <c r="E210" s="15" t="s">
        <v>466</v>
      </c>
      <c r="F210" s="15" t="str">
        <f>+VLOOKUP(D210,[1]Sheet1!$D$2:$E$29166,2,0)</f>
        <v>进气下侧壁</v>
      </c>
      <c r="G210" s="3" t="s">
        <v>51</v>
      </c>
      <c r="H210" s="3">
        <v>50</v>
      </c>
      <c r="I210" s="18" t="str">
        <f t="array" ref="I210">INDEX([2]Sheet1!$F$1:$AF$65808,MATCH(D210&amp;G210&amp;I$1,[2]Sheet1!$B$1:$B$65808&amp;[2]Sheet1!$D$1:$D$65808&amp;[2]Sheet1!$E$1:$E$65808,0),MATCH(H210,[2]Sheet1!$F$1:$AF$1,0))</f>
        <v>50/钳工</v>
      </c>
      <c r="J210" s="3">
        <v>8</v>
      </c>
      <c r="K210" s="3">
        <v>8</v>
      </c>
      <c r="L210" s="19">
        <v>30</v>
      </c>
      <c r="M210" s="19">
        <v>30</v>
      </c>
      <c r="N210" s="5" t="s">
        <v>376</v>
      </c>
      <c r="O210" s="4"/>
      <c r="P210" s="18">
        <f t="array" ref="P210">IFERROR(INDEX([2]Sheet1!$F$1:$AF$65808,MATCH($D210&amp;$G210&amp;P$1,[2]Sheet1!$B$1:$B$65808&amp;[2]Sheet1!$D$1:$D$65808&amp;[2]Sheet1!$E$1:$E$65808,0),MATCH($H210,[2]Sheet1!$F$1:$AF$1,0)),0)</f>
        <v>120</v>
      </c>
      <c r="Q210" s="3"/>
      <c r="R210" s="6"/>
      <c r="S210" s="22"/>
      <c r="U210" s="23">
        <f t="shared" si="3"/>
        <v>16</v>
      </c>
      <c r="V210" s="24" t="s">
        <v>6</v>
      </c>
    </row>
    <row r="211" spans="1:24" ht="23.1" hidden="1" customHeight="1" x14ac:dyDescent="0.25">
      <c r="A211" s="1" t="s">
        <v>48</v>
      </c>
      <c r="D211" s="3" t="s">
        <v>465</v>
      </c>
      <c r="E211" s="15" t="s">
        <v>466</v>
      </c>
      <c r="F211" s="15" t="str">
        <f>+VLOOKUP(D211,[1]Sheet1!$D$2:$E$29166,2,0)</f>
        <v>进气下侧壁</v>
      </c>
      <c r="G211" s="3" t="s">
        <v>51</v>
      </c>
      <c r="H211" s="3">
        <v>50</v>
      </c>
      <c r="I211" s="18" t="str">
        <f t="array" ref="I211">INDEX([2]Sheet1!$F$1:$AF$65808,MATCH(D211&amp;G211&amp;I$1,[2]Sheet1!$B$1:$B$65808&amp;[2]Sheet1!$D$1:$D$65808&amp;[2]Sheet1!$E$1:$E$65808,0),MATCH(H211,[2]Sheet1!$F$1:$AF$1,0))</f>
        <v>50/钳工</v>
      </c>
      <c r="J211" s="3">
        <v>8</v>
      </c>
      <c r="K211" s="3">
        <v>8</v>
      </c>
      <c r="L211" s="19">
        <v>30</v>
      </c>
      <c r="M211" s="19">
        <v>30</v>
      </c>
      <c r="N211" s="5" t="s">
        <v>376</v>
      </c>
      <c r="O211" s="4"/>
      <c r="P211" s="18">
        <f t="array" ref="P211">IFERROR(INDEX([2]Sheet1!$F$1:$AF$65808,MATCH($D211&amp;$G211&amp;P$1,[2]Sheet1!$B$1:$B$65808&amp;[2]Sheet1!$D$1:$D$65808&amp;[2]Sheet1!$E$1:$E$65808,0),MATCH($H211,[2]Sheet1!$F$1:$AF$1,0)),0)</f>
        <v>120</v>
      </c>
      <c r="Q211" s="3"/>
      <c r="R211" s="6"/>
      <c r="S211" s="22"/>
      <c r="T211" s="7">
        <v>4</v>
      </c>
      <c r="U211" s="23">
        <f t="shared" si="3"/>
        <v>20</v>
      </c>
      <c r="V211" s="24" t="s">
        <v>6</v>
      </c>
      <c r="W211" s="7" t="s">
        <v>467</v>
      </c>
      <c r="X211" s="7" t="s">
        <v>203</v>
      </c>
    </row>
    <row r="212" spans="1:24" ht="23.1" hidden="1" customHeight="1" x14ac:dyDescent="0.25">
      <c r="A212" s="1" t="s">
        <v>53</v>
      </c>
      <c r="D212" s="3" t="s">
        <v>468</v>
      </c>
      <c r="E212" s="15" t="s">
        <v>469</v>
      </c>
      <c r="F212" s="15" t="str">
        <f>+VLOOKUP(D212,[1]Sheet1!$D$2:$E$29166,2,0)</f>
        <v>下大梁</v>
      </c>
      <c r="G212" s="3" t="s">
        <v>46</v>
      </c>
      <c r="H212" s="3">
        <v>50</v>
      </c>
      <c r="I212" s="18" t="str">
        <f t="array" ref="I212">INDEX([2]Sheet1!$F$1:$AF$65808,MATCH(D212&amp;G212&amp;I$1,[2]Sheet1!$B$1:$B$65808&amp;[2]Sheet1!$D$1:$D$65808&amp;[2]Sheet1!$E$1:$E$65808,0),MATCH(H212,[2]Sheet1!$F$1:$AF$1,0))</f>
        <v>47/数铣</v>
      </c>
      <c r="J212" s="3">
        <v>5</v>
      </c>
      <c r="K212" s="3">
        <v>5</v>
      </c>
      <c r="L212" s="19">
        <v>30</v>
      </c>
      <c r="M212" s="19">
        <v>30</v>
      </c>
      <c r="N212" s="5" t="s">
        <v>470</v>
      </c>
      <c r="O212" s="4"/>
      <c r="P212" s="18">
        <f t="array" ref="P212">IFERROR(INDEX([2]Sheet1!$F$1:$AF$65808,MATCH($D212&amp;$G212&amp;P$1,[2]Sheet1!$B$1:$B$65808&amp;[2]Sheet1!$D$1:$D$65808&amp;[2]Sheet1!$E$1:$E$65808,0),MATCH($H212,[2]Sheet1!$F$1:$AF$1,0)),0)</f>
        <v>30</v>
      </c>
      <c r="Q212" s="3"/>
      <c r="R212" s="6"/>
      <c r="S212" s="22"/>
      <c r="U212" s="23">
        <f t="shared" si="3"/>
        <v>2.5</v>
      </c>
      <c r="V212" s="24" t="s">
        <v>6</v>
      </c>
    </row>
    <row r="213" spans="1:24" ht="23.1" hidden="1" customHeight="1" x14ac:dyDescent="0.25">
      <c r="A213" s="1" t="s">
        <v>53</v>
      </c>
      <c r="D213" s="3" t="s">
        <v>468</v>
      </c>
      <c r="E213" s="15" t="s">
        <v>469</v>
      </c>
      <c r="F213" s="15" t="str">
        <f>+VLOOKUP(D213,[1]Sheet1!$D$2:$E$29166,2,0)</f>
        <v>下大梁</v>
      </c>
      <c r="G213" s="3" t="s">
        <v>46</v>
      </c>
      <c r="H213" s="3" t="s">
        <v>340</v>
      </c>
      <c r="I213" s="18" t="e">
        <f t="array" ref="I213">INDEX([2]Sheet1!$F$1:$AF$65808,MATCH(D213&amp;G213&amp;I$1,[2]Sheet1!$B$1:$B$65808&amp;[2]Sheet1!$D$1:$D$65808&amp;[2]Sheet1!$E$1:$E$65808,0),MATCH(H213,[2]Sheet1!$F$1:$AF$1,0))</f>
        <v>#N/A</v>
      </c>
      <c r="J213" s="3">
        <v>5</v>
      </c>
      <c r="K213" s="3">
        <v>5</v>
      </c>
      <c r="L213" s="19">
        <v>30</v>
      </c>
      <c r="M213" s="19">
        <v>30</v>
      </c>
      <c r="N213" s="5" t="s">
        <v>470</v>
      </c>
      <c r="O213" s="4"/>
      <c r="P213" s="18">
        <v>60</v>
      </c>
      <c r="Q213" s="3"/>
      <c r="R213" s="6"/>
      <c r="S213" s="22"/>
      <c r="U213" s="23">
        <f t="shared" si="3"/>
        <v>5</v>
      </c>
      <c r="V213" s="24" t="s">
        <v>6</v>
      </c>
      <c r="W213" s="7" t="s">
        <v>471</v>
      </c>
      <c r="X213" s="7" t="s">
        <v>203</v>
      </c>
    </row>
    <row r="214" spans="1:24" ht="23.1" hidden="1" customHeight="1" x14ac:dyDescent="0.25">
      <c r="A214" s="1" t="s">
        <v>53</v>
      </c>
      <c r="D214" s="3" t="s">
        <v>318</v>
      </c>
      <c r="E214" s="15" t="s">
        <v>319</v>
      </c>
      <c r="F214" s="15" t="str">
        <f>+VLOOKUP(D214,[1]Sheet1!$D$2:$E$29166,2,0)</f>
        <v>2470肋五段</v>
      </c>
      <c r="G214" s="3" t="s">
        <v>51</v>
      </c>
      <c r="H214" s="3">
        <v>50</v>
      </c>
      <c r="I214" s="18" t="str">
        <f t="array" ref="I214">INDEX([2]Sheet1!$F$1:$AF$65808,MATCH(D214&amp;G214&amp;I$1,[2]Sheet1!$B$1:$B$65808&amp;[2]Sheet1!$D$1:$D$65808&amp;[2]Sheet1!$E$1:$E$65808,0),MATCH(H214,[2]Sheet1!$F$1:$AF$1,0))</f>
        <v>50/钳工</v>
      </c>
      <c r="J214" s="3">
        <v>6</v>
      </c>
      <c r="K214" s="3">
        <v>6</v>
      </c>
      <c r="L214" s="19">
        <v>30</v>
      </c>
      <c r="M214" s="19">
        <v>30</v>
      </c>
      <c r="N214" s="5" t="s">
        <v>324</v>
      </c>
      <c r="O214" s="4"/>
      <c r="P214" s="18">
        <f t="array" ref="P214">IFERROR(INDEX([2]Sheet1!$F$1:$AF$65808,MATCH($D214&amp;$G214&amp;P$1,[2]Sheet1!$B$1:$B$65808&amp;[2]Sheet1!$D$1:$D$65808&amp;[2]Sheet1!$E$1:$E$65808,0),MATCH($H214,[2]Sheet1!$F$1:$AF$1,0)),0)</f>
        <v>240</v>
      </c>
      <c r="Q214" s="3"/>
      <c r="R214" s="6"/>
      <c r="S214" s="22"/>
      <c r="U214" s="23">
        <f t="shared" si="3"/>
        <v>24</v>
      </c>
      <c r="V214" s="24" t="s">
        <v>6</v>
      </c>
    </row>
    <row r="215" spans="1:24" ht="23.1" hidden="1" customHeight="1" x14ac:dyDescent="0.25">
      <c r="A215" s="1" t="s">
        <v>53</v>
      </c>
      <c r="D215" s="3" t="s">
        <v>472</v>
      </c>
      <c r="E215" s="15" t="s">
        <v>473</v>
      </c>
      <c r="F215" s="15" t="str">
        <f>+VLOOKUP(D215,[1]Sheet1!$D$2:$E$29166,2,0)</f>
        <v>11140框左下半框</v>
      </c>
      <c r="G215" s="3" t="s">
        <v>147</v>
      </c>
      <c r="H215" s="3">
        <v>60</v>
      </c>
      <c r="I215" s="18" t="str">
        <f t="array" ref="I215">INDEX([2]Sheet1!$F$1:$AF$65808,MATCH(D215&amp;G215&amp;I$1,[2]Sheet1!$B$1:$B$65808&amp;[2]Sheet1!$D$1:$D$65808&amp;[2]Sheet1!$E$1:$E$65808,0),MATCH(H215,[2]Sheet1!$F$1:$AF$1,0))</f>
        <v>60/钳工</v>
      </c>
      <c r="J215" s="3">
        <v>1</v>
      </c>
      <c r="K215" s="3">
        <v>1</v>
      </c>
      <c r="L215" s="19">
        <v>30</v>
      </c>
      <c r="M215" s="19">
        <v>30</v>
      </c>
      <c r="N215" s="5" t="s">
        <v>440</v>
      </c>
      <c r="O215" s="4"/>
      <c r="P215" s="18">
        <f t="array" ref="P215">IFERROR(INDEX([2]Sheet1!$F$1:$AF$65808,MATCH($D215&amp;$G215&amp;P$1,[2]Sheet1!$B$1:$B$65808&amp;[2]Sheet1!$D$1:$D$65808&amp;[2]Sheet1!$E$1:$E$65808,0),MATCH($H215,[2]Sheet1!$F$1:$AF$1,0)),0)</f>
        <v>560</v>
      </c>
      <c r="Q215" s="3"/>
      <c r="R215" s="6"/>
      <c r="S215" s="22"/>
      <c r="U215" s="23">
        <f t="shared" si="3"/>
        <v>9.3000000000000007</v>
      </c>
      <c r="V215" s="24" t="s">
        <v>6</v>
      </c>
    </row>
    <row r="216" spans="1:24" ht="23.1" hidden="1" customHeight="1" x14ac:dyDescent="0.25">
      <c r="A216" s="1" t="s">
        <v>58</v>
      </c>
      <c r="D216" s="3" t="s">
        <v>472</v>
      </c>
      <c r="E216" s="15" t="s">
        <v>473</v>
      </c>
      <c r="F216" s="15" t="str">
        <f>+VLOOKUP(D216,[1]Sheet1!$D$2:$E$29166,2,0)</f>
        <v>11140框左下半框</v>
      </c>
      <c r="G216" s="3" t="s">
        <v>147</v>
      </c>
      <c r="H216" s="3">
        <v>60</v>
      </c>
      <c r="I216" s="18" t="str">
        <f t="array" ref="I216">INDEX([2]Sheet1!$F$1:$AF$65808,MATCH(D216&amp;G216&amp;I$1,[2]Sheet1!$B$1:$B$65808&amp;[2]Sheet1!$D$1:$D$65808&amp;[2]Sheet1!$E$1:$E$65808,0),MATCH(H216,[2]Sheet1!$F$1:$AF$1,0))</f>
        <v>60/钳工</v>
      </c>
      <c r="J216" s="3">
        <v>1</v>
      </c>
      <c r="K216" s="3">
        <v>1</v>
      </c>
      <c r="L216" s="19">
        <v>30</v>
      </c>
      <c r="M216" s="19">
        <v>30</v>
      </c>
      <c r="N216" s="5" t="s">
        <v>474</v>
      </c>
      <c r="O216" s="4"/>
      <c r="P216" s="18">
        <f t="array" ref="P216">IFERROR(INDEX([2]Sheet1!$F$1:$AF$65808,MATCH($D216&amp;$G216&amp;P$1,[2]Sheet1!$B$1:$B$65808&amp;[2]Sheet1!$D$1:$D$65808&amp;[2]Sheet1!$E$1:$E$65808,0),MATCH($H216,[2]Sheet1!$F$1:$AF$1,0)),0)</f>
        <v>560</v>
      </c>
      <c r="Q216" s="3"/>
      <c r="R216" s="6"/>
      <c r="S216" s="22"/>
      <c r="U216" s="23">
        <f t="shared" si="3"/>
        <v>9.3000000000000007</v>
      </c>
      <c r="V216" s="24" t="s">
        <v>6</v>
      </c>
    </row>
    <row r="217" spans="1:24" ht="23.1" hidden="1" customHeight="1" x14ac:dyDescent="0.25">
      <c r="A217" s="1" t="s">
        <v>58</v>
      </c>
      <c r="D217" s="3" t="s">
        <v>301</v>
      </c>
      <c r="E217" s="15" t="s">
        <v>302</v>
      </c>
      <c r="F217" s="15" t="str">
        <f>+VLOOKUP(D217,[1]Sheet1!$D$2:$E$29166,2,0)</f>
        <v>角盒</v>
      </c>
      <c r="G217" s="3" t="s">
        <v>46</v>
      </c>
      <c r="H217" s="3">
        <v>35</v>
      </c>
      <c r="I217" s="18" t="str">
        <f t="array" ref="I217">INDEX([2]Sheet1!$F$1:$AF$65808,MATCH(D217&amp;G217&amp;I$1,[2]Sheet1!$B$1:$B$65808&amp;[2]Sheet1!$D$1:$D$65808&amp;[2]Sheet1!$E$1:$E$65808,0),MATCH(H217,[2]Sheet1!$F$1:$AF$1,0))</f>
        <v>35/钳工</v>
      </c>
      <c r="J217" s="3">
        <v>4</v>
      </c>
      <c r="K217" s="3">
        <v>4</v>
      </c>
      <c r="L217" s="19">
        <v>30</v>
      </c>
      <c r="M217" s="19">
        <v>30</v>
      </c>
      <c r="N217" s="5" t="s">
        <v>475</v>
      </c>
      <c r="O217" s="4"/>
      <c r="P217" s="18">
        <f t="array" ref="P217">IFERROR(INDEX([2]Sheet1!$F$1:$AF$65808,MATCH($D217&amp;$G217&amp;P$1,[2]Sheet1!$B$1:$B$65808&amp;[2]Sheet1!$D$1:$D$65808&amp;[2]Sheet1!$E$1:$E$65808,0),MATCH($H217,[2]Sheet1!$F$1:$AF$1,0)),0)</f>
        <v>40</v>
      </c>
      <c r="Q217" s="3"/>
      <c r="R217" s="6"/>
      <c r="S217" s="22"/>
      <c r="U217" s="23">
        <f t="shared" si="3"/>
        <v>2.7</v>
      </c>
      <c r="V217" s="24" t="s">
        <v>6</v>
      </c>
    </row>
    <row r="218" spans="1:24" ht="23.1" hidden="1" customHeight="1" x14ac:dyDescent="0.25">
      <c r="A218" s="1" t="s">
        <v>58</v>
      </c>
      <c r="D218" s="3" t="s">
        <v>301</v>
      </c>
      <c r="E218" s="15" t="s">
        <v>302</v>
      </c>
      <c r="F218" s="15" t="str">
        <f>+VLOOKUP(D218,[1]Sheet1!$D$2:$E$29166,2,0)</f>
        <v>角盒</v>
      </c>
      <c r="G218" s="3" t="s">
        <v>46</v>
      </c>
      <c r="H218" s="3">
        <v>35</v>
      </c>
      <c r="I218" s="18" t="str">
        <f t="array" ref="I218">INDEX([2]Sheet1!$F$1:$AF$65808,MATCH(D218&amp;G218&amp;I$1,[2]Sheet1!$B$1:$B$65808&amp;[2]Sheet1!$D$1:$D$65808&amp;[2]Sheet1!$E$1:$E$65808,0),MATCH(H218,[2]Sheet1!$F$1:$AF$1,0))</f>
        <v>35/钳工</v>
      </c>
      <c r="J218" s="3">
        <v>5</v>
      </c>
      <c r="K218" s="3">
        <v>5</v>
      </c>
      <c r="L218" s="19">
        <v>30</v>
      </c>
      <c r="M218" s="19">
        <v>30</v>
      </c>
      <c r="N218" s="5" t="s">
        <v>476</v>
      </c>
      <c r="O218" s="4"/>
      <c r="P218" s="18">
        <f t="array" ref="P218">IFERROR(INDEX([2]Sheet1!$F$1:$AF$65808,MATCH($D218&amp;$G218&amp;P$1,[2]Sheet1!$B$1:$B$65808&amp;[2]Sheet1!$D$1:$D$65808&amp;[2]Sheet1!$E$1:$E$65808,0),MATCH($H218,[2]Sheet1!$F$1:$AF$1,0)),0)</f>
        <v>40</v>
      </c>
      <c r="Q218" s="3"/>
      <c r="R218" s="6"/>
      <c r="S218" s="22"/>
      <c r="U218" s="23">
        <f t="shared" si="3"/>
        <v>3.3</v>
      </c>
      <c r="V218" s="24" t="s">
        <v>6</v>
      </c>
    </row>
    <row r="219" spans="1:24" ht="23.1" hidden="1" customHeight="1" x14ac:dyDescent="0.25">
      <c r="A219" s="1" t="s">
        <v>58</v>
      </c>
      <c r="D219" s="3" t="s">
        <v>301</v>
      </c>
      <c r="E219" s="15" t="s">
        <v>302</v>
      </c>
      <c r="F219" s="15" t="str">
        <f>+VLOOKUP(D219,[1]Sheet1!$D$2:$E$29166,2,0)</f>
        <v>角盒</v>
      </c>
      <c r="G219" s="3" t="s">
        <v>46</v>
      </c>
      <c r="H219" s="3">
        <v>35</v>
      </c>
      <c r="I219" s="18" t="str">
        <f t="array" ref="I219">INDEX([2]Sheet1!$F$1:$AF$65808,MATCH(D219&amp;G219&amp;I$1,[2]Sheet1!$B$1:$B$65808&amp;[2]Sheet1!$D$1:$D$65808&amp;[2]Sheet1!$E$1:$E$65808,0),MATCH(H219,[2]Sheet1!$F$1:$AF$1,0))</f>
        <v>35/钳工</v>
      </c>
      <c r="J219" s="3">
        <v>5</v>
      </c>
      <c r="K219" s="3">
        <v>5</v>
      </c>
      <c r="L219" s="19">
        <v>30</v>
      </c>
      <c r="M219" s="19">
        <v>30</v>
      </c>
      <c r="N219" s="5" t="s">
        <v>477</v>
      </c>
      <c r="O219" s="4"/>
      <c r="P219" s="18">
        <f t="array" ref="P219">IFERROR(INDEX([2]Sheet1!$F$1:$AF$65808,MATCH($D219&amp;$G219&amp;P$1,[2]Sheet1!$B$1:$B$65808&amp;[2]Sheet1!$D$1:$D$65808&amp;[2]Sheet1!$E$1:$E$65808,0),MATCH($H219,[2]Sheet1!$F$1:$AF$1,0)),0)</f>
        <v>40</v>
      </c>
      <c r="Q219" s="3"/>
      <c r="R219" s="6"/>
      <c r="S219" s="22"/>
      <c r="U219" s="23">
        <f t="shared" si="3"/>
        <v>3.3</v>
      </c>
      <c r="V219" s="24" t="s">
        <v>6</v>
      </c>
    </row>
    <row r="220" spans="1:24" ht="23.1" hidden="1" customHeight="1" x14ac:dyDescent="0.25">
      <c r="A220" s="1" t="s">
        <v>65</v>
      </c>
      <c r="D220" s="3" t="s">
        <v>301</v>
      </c>
      <c r="E220" s="15" t="s">
        <v>302</v>
      </c>
      <c r="F220" s="15" t="str">
        <f>+VLOOKUP(D220,[1]Sheet1!$D$2:$E$29166,2,0)</f>
        <v>角盒</v>
      </c>
      <c r="G220" s="3" t="s">
        <v>46</v>
      </c>
      <c r="H220" s="3">
        <v>35</v>
      </c>
      <c r="I220" s="18" t="str">
        <f t="array" ref="I220">INDEX([2]Sheet1!$F$1:$AF$65808,MATCH(D220&amp;G220&amp;I$1,[2]Sheet1!$B$1:$B$65808&amp;[2]Sheet1!$D$1:$D$65808&amp;[2]Sheet1!$E$1:$E$65808,0),MATCH(H220,[2]Sheet1!$F$1:$AF$1,0))</f>
        <v>35/钳工</v>
      </c>
      <c r="J220" s="3">
        <v>4</v>
      </c>
      <c r="K220" s="3">
        <v>4</v>
      </c>
      <c r="L220" s="19">
        <v>30</v>
      </c>
      <c r="M220" s="19">
        <v>30</v>
      </c>
      <c r="N220" s="5" t="s">
        <v>478</v>
      </c>
      <c r="O220" s="4"/>
      <c r="P220" s="18">
        <f t="array" ref="P220">IFERROR(INDEX([2]Sheet1!$F$1:$AF$65808,MATCH($D220&amp;$G220&amp;P$1,[2]Sheet1!$B$1:$B$65808&amp;[2]Sheet1!$D$1:$D$65808&amp;[2]Sheet1!$E$1:$E$65808,0),MATCH($H220,[2]Sheet1!$F$1:$AF$1,0)),0)</f>
        <v>40</v>
      </c>
      <c r="Q220" s="3"/>
      <c r="R220" s="6"/>
      <c r="S220" s="22"/>
      <c r="U220" s="23">
        <f t="shared" si="3"/>
        <v>2.7</v>
      </c>
      <c r="V220" s="24" t="s">
        <v>6</v>
      </c>
    </row>
    <row r="221" spans="1:24" ht="23.1" hidden="1" customHeight="1" x14ac:dyDescent="0.25">
      <c r="A221" s="1" t="s">
        <v>65</v>
      </c>
      <c r="D221" s="3" t="s">
        <v>479</v>
      </c>
      <c r="E221" s="15" t="s">
        <v>319</v>
      </c>
      <c r="F221" s="15" t="str">
        <f>+VLOOKUP(D221,[1]Sheet1!$D$2:$E$29166,2,0)</f>
        <v>2470肋五段</v>
      </c>
      <c r="G221" s="3" t="s">
        <v>51</v>
      </c>
      <c r="H221" s="3">
        <v>50</v>
      </c>
      <c r="I221" s="18" t="str">
        <f t="array" ref="I221">INDEX([2]Sheet1!$F$1:$AF$65808,MATCH(D221&amp;G221&amp;I$1,[2]Sheet1!$B$1:$B$65808&amp;[2]Sheet1!$D$1:$D$65808&amp;[2]Sheet1!$E$1:$E$65808,0),MATCH(H221,[2]Sheet1!$F$1:$AF$1,0))</f>
        <v>50/钳工</v>
      </c>
      <c r="J221" s="3">
        <v>1</v>
      </c>
      <c r="K221" s="3">
        <v>1</v>
      </c>
      <c r="L221" s="19">
        <v>30</v>
      </c>
      <c r="M221" s="19">
        <v>30</v>
      </c>
      <c r="N221" s="5" t="s">
        <v>324</v>
      </c>
      <c r="O221" s="4"/>
      <c r="P221" s="18">
        <f t="array" ref="P221">IFERROR(INDEX([2]Sheet1!$F$1:$AF$65808,MATCH($D221&amp;$G221&amp;P$1,[2]Sheet1!$B$1:$B$65808&amp;[2]Sheet1!$D$1:$D$65808&amp;[2]Sheet1!$E$1:$E$65808,0),MATCH($H221,[2]Sheet1!$F$1:$AF$1,0)),0)</f>
        <v>240</v>
      </c>
      <c r="Q221" s="3"/>
      <c r="R221" s="6"/>
      <c r="S221" s="22"/>
      <c r="U221" s="23">
        <f t="shared" si="3"/>
        <v>4</v>
      </c>
      <c r="V221" s="24" t="s">
        <v>6</v>
      </c>
    </row>
    <row r="222" spans="1:24" ht="23.1" hidden="1" customHeight="1" x14ac:dyDescent="0.25">
      <c r="A222" s="1" t="s">
        <v>65</v>
      </c>
      <c r="D222" s="3" t="s">
        <v>480</v>
      </c>
      <c r="E222" s="15" t="s">
        <v>481</v>
      </c>
      <c r="F222" s="15" t="str">
        <f>+VLOOKUP(D222,[1]Sheet1!$D$2:$E$29166,2,0)</f>
        <v>11968下口盖</v>
      </c>
      <c r="G222" s="3" t="s">
        <v>147</v>
      </c>
      <c r="H222" s="3">
        <v>15</v>
      </c>
      <c r="I222" s="18" t="str">
        <f t="array" ref="I222">INDEX([2]Sheet1!$F$1:$AF$65808,MATCH(D222&amp;G222&amp;I$1,[2]Sheet1!$B$1:$B$65808&amp;[2]Sheet1!$D$1:$D$65808&amp;[2]Sheet1!$E$1:$E$65808,0),MATCH(H222,[2]Sheet1!$F$1:$AF$1,0))</f>
        <v>15/钳工</v>
      </c>
      <c r="J222" s="3">
        <v>10</v>
      </c>
      <c r="K222" s="3">
        <v>10</v>
      </c>
      <c r="L222" s="19">
        <v>30</v>
      </c>
      <c r="M222" s="19">
        <v>30</v>
      </c>
      <c r="N222" s="5" t="s">
        <v>263</v>
      </c>
      <c r="O222" s="4"/>
      <c r="P222" s="18">
        <f t="array" ref="P222">IFERROR(INDEX([2]Sheet1!$F$1:$AF$65808,MATCH($D222&amp;$G222&amp;P$1,[2]Sheet1!$B$1:$B$65808&amp;[2]Sheet1!$D$1:$D$65808&amp;[2]Sheet1!$E$1:$E$65808,0),MATCH($H222,[2]Sheet1!$F$1:$AF$1,0)),0)</f>
        <v>45</v>
      </c>
      <c r="Q222" s="3"/>
      <c r="R222" s="6"/>
      <c r="S222" s="22"/>
      <c r="U222" s="23">
        <f t="shared" si="3"/>
        <v>7.5</v>
      </c>
      <c r="V222" s="24" t="s">
        <v>6</v>
      </c>
    </row>
    <row r="223" spans="1:24" ht="23.1" hidden="1" customHeight="1" x14ac:dyDescent="0.25">
      <c r="A223" s="1" t="s">
        <v>65</v>
      </c>
      <c r="D223" s="3" t="s">
        <v>482</v>
      </c>
      <c r="E223" s="15" t="s">
        <v>481</v>
      </c>
      <c r="F223" s="15" t="str">
        <f>+VLOOKUP(D223,[1]Sheet1!$D$2:$E$29166,2,0)</f>
        <v>11968下口盖</v>
      </c>
      <c r="G223" s="3" t="s">
        <v>114</v>
      </c>
      <c r="H223" s="3">
        <v>15</v>
      </c>
      <c r="I223" s="18" t="str">
        <f t="array" ref="I223">INDEX([2]Sheet1!$F$1:$AF$65808,MATCH(D223&amp;G223&amp;I$1,[2]Sheet1!$B$1:$B$65808&amp;[2]Sheet1!$D$1:$D$65808&amp;[2]Sheet1!$E$1:$E$65808,0),MATCH(H223,[2]Sheet1!$F$1:$AF$1,0))</f>
        <v>15/钳工</v>
      </c>
      <c r="J223" s="3">
        <v>10</v>
      </c>
      <c r="K223" s="3">
        <v>10</v>
      </c>
      <c r="L223" s="19">
        <v>30</v>
      </c>
      <c r="M223" s="19">
        <v>30</v>
      </c>
      <c r="N223" s="5" t="s">
        <v>263</v>
      </c>
      <c r="O223" s="4"/>
      <c r="P223" s="18">
        <f t="array" ref="P223">IFERROR(INDEX([2]Sheet1!$F$1:$AF$65808,MATCH($D223&amp;$G223&amp;P$1,[2]Sheet1!$B$1:$B$65808&amp;[2]Sheet1!$D$1:$D$65808&amp;[2]Sheet1!$E$1:$E$65808,0),MATCH($H223,[2]Sheet1!$F$1:$AF$1,0)),0)</f>
        <v>45</v>
      </c>
      <c r="Q223" s="3"/>
      <c r="R223" s="6"/>
      <c r="S223" s="22"/>
      <c r="U223" s="23">
        <f t="shared" si="3"/>
        <v>7.5</v>
      </c>
      <c r="V223" s="24" t="s">
        <v>6</v>
      </c>
    </row>
    <row r="224" spans="1:24" ht="23.1" hidden="1" customHeight="1" x14ac:dyDescent="0.25">
      <c r="A224" s="1" t="s">
        <v>71</v>
      </c>
      <c r="D224" s="3" t="s">
        <v>480</v>
      </c>
      <c r="E224" s="15" t="s">
        <v>481</v>
      </c>
      <c r="F224" s="15" t="str">
        <f>+VLOOKUP(D224,[1]Sheet1!$D$2:$E$29166,2,0)</f>
        <v>11968下口盖</v>
      </c>
      <c r="G224" s="3" t="s">
        <v>147</v>
      </c>
      <c r="H224" s="3">
        <v>15</v>
      </c>
      <c r="I224" s="18" t="str">
        <f t="array" ref="I224">INDEX([2]Sheet1!$F$1:$AF$65808,MATCH(D224&amp;G224&amp;I$1,[2]Sheet1!$B$1:$B$65808&amp;[2]Sheet1!$D$1:$D$65808&amp;[2]Sheet1!$E$1:$E$65808,0),MATCH(H224,[2]Sheet1!$F$1:$AF$1,0))</f>
        <v>15/钳工</v>
      </c>
      <c r="J224" s="3">
        <v>10</v>
      </c>
      <c r="K224" s="3">
        <v>10</v>
      </c>
      <c r="L224" s="19">
        <v>30</v>
      </c>
      <c r="M224" s="19">
        <v>30</v>
      </c>
      <c r="N224" s="5" t="s">
        <v>264</v>
      </c>
      <c r="O224" s="4"/>
      <c r="P224" s="18">
        <f t="array" ref="P224">IFERROR(INDEX([2]Sheet1!$F$1:$AF$65808,MATCH($D224&amp;$G224&amp;P$1,[2]Sheet1!$B$1:$B$65808&amp;[2]Sheet1!$D$1:$D$65808&amp;[2]Sheet1!$E$1:$E$65808,0),MATCH($H224,[2]Sheet1!$F$1:$AF$1,0)),0)</f>
        <v>45</v>
      </c>
      <c r="Q224" s="3"/>
      <c r="R224" s="6"/>
      <c r="S224" s="22"/>
      <c r="U224" s="23">
        <f t="shared" si="3"/>
        <v>7.5</v>
      </c>
      <c r="V224" s="24" t="s">
        <v>6</v>
      </c>
    </row>
    <row r="225" spans="1:24" ht="23.1" hidden="1" customHeight="1" x14ac:dyDescent="0.25">
      <c r="A225" s="1" t="s">
        <v>71</v>
      </c>
      <c r="D225" s="3" t="s">
        <v>483</v>
      </c>
      <c r="E225" s="15" t="s">
        <v>481</v>
      </c>
      <c r="F225" s="15" t="str">
        <f>+VLOOKUP(D225,[1]Sheet1!$D$2:$E$29166,2,0)</f>
        <v>11968下口盖</v>
      </c>
      <c r="G225" s="3" t="s">
        <v>114</v>
      </c>
      <c r="H225" s="3">
        <v>15</v>
      </c>
      <c r="I225" s="18" t="str">
        <f t="array" ref="I225">INDEX([2]Sheet1!$F$1:$AF$65808,MATCH(D225&amp;G225&amp;I$1,[2]Sheet1!$B$1:$B$65808&amp;[2]Sheet1!$D$1:$D$65808&amp;[2]Sheet1!$E$1:$E$65808,0),MATCH(H225,[2]Sheet1!$F$1:$AF$1,0))</f>
        <v>15/钳工</v>
      </c>
      <c r="J225" s="3">
        <v>10</v>
      </c>
      <c r="K225" s="3">
        <v>10</v>
      </c>
      <c r="L225" s="19">
        <v>30</v>
      </c>
      <c r="M225" s="19">
        <v>30</v>
      </c>
      <c r="N225" s="5" t="s">
        <v>264</v>
      </c>
      <c r="O225" s="4"/>
      <c r="P225" s="18">
        <f t="array" ref="P225">IFERROR(INDEX([2]Sheet1!$F$1:$AF$65808,MATCH($D225&amp;$G225&amp;P$1,[2]Sheet1!$B$1:$B$65808&amp;[2]Sheet1!$D$1:$D$65808&amp;[2]Sheet1!$E$1:$E$65808,0),MATCH($H225,[2]Sheet1!$F$1:$AF$1,0)),0)</f>
        <v>45</v>
      </c>
      <c r="Q225" s="3"/>
      <c r="R225" s="6"/>
      <c r="S225" s="22"/>
      <c r="U225" s="23">
        <f t="shared" si="3"/>
        <v>7.5</v>
      </c>
      <c r="V225" s="24" t="s">
        <v>6</v>
      </c>
    </row>
    <row r="226" spans="1:24" ht="23.1" hidden="1" customHeight="1" x14ac:dyDescent="0.25">
      <c r="A226" s="1" t="s">
        <v>71</v>
      </c>
      <c r="D226" s="3" t="s">
        <v>484</v>
      </c>
      <c r="E226" s="15" t="s">
        <v>326</v>
      </c>
      <c r="F226" s="15" t="str">
        <f>+VLOOKUP(D226,[1]Sheet1!$D$2:$E$29166,2,0)</f>
        <v>9010 4号加强筋</v>
      </c>
      <c r="G226" s="3" t="s">
        <v>114</v>
      </c>
      <c r="H226" s="3">
        <v>50</v>
      </c>
      <c r="I226" s="18" t="str">
        <f t="array" ref="I226">INDEX([2]Sheet1!$F$1:$AF$65808,MATCH(D226&amp;G226&amp;I$1,[2]Sheet1!$B$1:$B$65808&amp;[2]Sheet1!$D$1:$D$65808&amp;[2]Sheet1!$E$1:$E$65808,0),MATCH(H226,[2]Sheet1!$F$1:$AF$1,0))</f>
        <v>50/钳工</v>
      </c>
      <c r="J226" s="3">
        <v>1</v>
      </c>
      <c r="K226" s="3">
        <v>1</v>
      </c>
      <c r="L226" s="19">
        <v>30</v>
      </c>
      <c r="M226" s="19">
        <v>30</v>
      </c>
      <c r="N226" s="5" t="s">
        <v>366</v>
      </c>
      <c r="O226" s="4"/>
      <c r="P226" s="18">
        <f t="array" ref="P226">IFERROR(INDEX([2]Sheet1!$F$1:$AF$65808,MATCH($D226&amp;$G226&amp;P$1,[2]Sheet1!$B$1:$B$65808&amp;[2]Sheet1!$D$1:$D$65808&amp;[2]Sheet1!$E$1:$E$65808,0),MATCH($H226,[2]Sheet1!$F$1:$AF$1,0)),0)</f>
        <v>420</v>
      </c>
      <c r="Q226" s="3"/>
      <c r="R226" s="6"/>
      <c r="S226" s="22"/>
      <c r="U226" s="23">
        <f t="shared" si="3"/>
        <v>7</v>
      </c>
      <c r="V226" s="24" t="s">
        <v>6</v>
      </c>
    </row>
    <row r="227" spans="1:24" ht="23.1" hidden="1" customHeight="1" x14ac:dyDescent="0.25">
      <c r="A227" s="1" t="s">
        <v>71</v>
      </c>
      <c r="D227" s="3" t="s">
        <v>138</v>
      </c>
      <c r="E227" s="15" t="s">
        <v>139</v>
      </c>
      <c r="F227" s="15" t="str">
        <f>+VLOOKUP(D227,[1]Sheet1!$D$2:$E$29166,2,0)</f>
        <v>8635左隔框</v>
      </c>
      <c r="G227" s="3" t="s">
        <v>114</v>
      </c>
      <c r="H227" s="3">
        <v>45</v>
      </c>
      <c r="I227" s="18" t="str">
        <f t="array" ref="I227">INDEX([2]Sheet1!$F$1:$AF$65808,MATCH(D227&amp;G227&amp;I$1,[2]Sheet1!$B$1:$B$65808&amp;[2]Sheet1!$D$1:$D$65808&amp;[2]Sheet1!$E$1:$E$65808,0),MATCH(H227,[2]Sheet1!$F$1:$AF$1,0))</f>
        <v>45/钳工</v>
      </c>
      <c r="J227" s="3">
        <v>1</v>
      </c>
      <c r="K227" s="3">
        <v>1</v>
      </c>
      <c r="L227" s="19">
        <v>30</v>
      </c>
      <c r="M227" s="19">
        <v>30</v>
      </c>
      <c r="N227" s="5" t="s">
        <v>330</v>
      </c>
      <c r="O227" s="4"/>
      <c r="P227" s="18">
        <f t="array" ref="P227">IFERROR(INDEX([2]Sheet1!$F$1:$AF$65808,MATCH($D227&amp;$G227&amp;P$1,[2]Sheet1!$B$1:$B$65808&amp;[2]Sheet1!$D$1:$D$65808&amp;[2]Sheet1!$E$1:$E$65808,0),MATCH($H227,[2]Sheet1!$F$1:$AF$1,0)),0)</f>
        <v>480</v>
      </c>
      <c r="Q227" s="3"/>
      <c r="R227" s="6"/>
      <c r="S227" s="22"/>
      <c r="U227" s="23">
        <f t="shared" si="3"/>
        <v>8</v>
      </c>
      <c r="V227" s="24" t="s">
        <v>6</v>
      </c>
    </row>
    <row r="228" spans="1:24" ht="23.1" hidden="1" customHeight="1" x14ac:dyDescent="0.25">
      <c r="A228" s="1" t="s">
        <v>74</v>
      </c>
      <c r="D228" s="3" t="s">
        <v>138</v>
      </c>
      <c r="E228" s="15" t="s">
        <v>139</v>
      </c>
      <c r="F228" s="15" t="str">
        <f>+VLOOKUP(D228,[1]Sheet1!$D$2:$E$29166,2,0)</f>
        <v>8635左隔框</v>
      </c>
      <c r="G228" s="3" t="s">
        <v>114</v>
      </c>
      <c r="H228" s="3">
        <v>45</v>
      </c>
      <c r="I228" s="18" t="str">
        <f t="array" ref="I228">INDEX([2]Sheet1!$F$1:$AF$65808,MATCH(D228&amp;G228&amp;I$1,[2]Sheet1!$B$1:$B$65808&amp;[2]Sheet1!$D$1:$D$65808&amp;[2]Sheet1!$E$1:$E$65808,0),MATCH(H228,[2]Sheet1!$F$1:$AF$1,0))</f>
        <v>45/钳工</v>
      </c>
      <c r="J228" s="3">
        <v>1</v>
      </c>
      <c r="K228" s="3">
        <v>1</v>
      </c>
      <c r="L228" s="19">
        <v>30</v>
      </c>
      <c r="M228" s="19">
        <v>30</v>
      </c>
      <c r="N228" s="5" t="s">
        <v>376</v>
      </c>
      <c r="O228" s="4"/>
      <c r="P228" s="18">
        <f t="array" ref="P228">IFERROR(INDEX([2]Sheet1!$F$1:$AF$65808,MATCH($D228&amp;$G228&amp;P$1,[2]Sheet1!$B$1:$B$65808&amp;[2]Sheet1!$D$1:$D$65808&amp;[2]Sheet1!$E$1:$E$65808,0),MATCH($H228,[2]Sheet1!$F$1:$AF$1,0)),0)</f>
        <v>480</v>
      </c>
      <c r="Q228" s="3"/>
      <c r="R228" s="6"/>
      <c r="S228" s="22"/>
      <c r="U228" s="23">
        <f t="shared" si="3"/>
        <v>8</v>
      </c>
      <c r="V228" s="24" t="s">
        <v>6</v>
      </c>
    </row>
    <row r="229" spans="1:24" ht="23.1" hidden="1" customHeight="1" x14ac:dyDescent="0.25">
      <c r="A229" s="1" t="s">
        <v>74</v>
      </c>
      <c r="D229" s="3" t="s">
        <v>480</v>
      </c>
      <c r="E229" s="15" t="s">
        <v>481</v>
      </c>
      <c r="F229" s="15" t="str">
        <f>+VLOOKUP(D229,[1]Sheet1!$D$2:$E$29166,2,0)</f>
        <v>11968下口盖</v>
      </c>
      <c r="G229" s="3" t="s">
        <v>147</v>
      </c>
      <c r="H229" s="3" t="s">
        <v>340</v>
      </c>
      <c r="I229" s="18" t="e">
        <f t="array" ref="I229">INDEX([2]Sheet1!$F$1:$AF$65808,MATCH(D229&amp;G229&amp;I$1,[2]Sheet1!$B$1:$B$65808&amp;[2]Sheet1!$D$1:$D$65808&amp;[2]Sheet1!$E$1:$E$65808,0),MATCH(H229,[2]Sheet1!$F$1:$AF$1,0))</f>
        <v>#N/A</v>
      </c>
      <c r="J229" s="3">
        <v>20</v>
      </c>
      <c r="K229" s="3">
        <v>20</v>
      </c>
      <c r="L229" s="19">
        <v>30</v>
      </c>
      <c r="M229" s="19">
        <v>30</v>
      </c>
      <c r="N229" s="5" t="s">
        <v>264</v>
      </c>
      <c r="O229" s="4"/>
      <c r="P229" s="18">
        <v>20</v>
      </c>
      <c r="Q229" s="3"/>
      <c r="R229" s="6"/>
      <c r="S229" s="22"/>
      <c r="U229" s="23">
        <f t="shared" si="3"/>
        <v>6.7</v>
      </c>
      <c r="V229" s="24" t="s">
        <v>6</v>
      </c>
      <c r="W229" s="7" t="s">
        <v>485</v>
      </c>
      <c r="X229" s="7" t="s">
        <v>203</v>
      </c>
    </row>
    <row r="230" spans="1:24" ht="23.1" hidden="1" customHeight="1" x14ac:dyDescent="0.25">
      <c r="A230" s="1" t="s">
        <v>74</v>
      </c>
      <c r="D230" s="3" t="s">
        <v>480</v>
      </c>
      <c r="E230" s="15" t="s">
        <v>481</v>
      </c>
      <c r="F230" s="15" t="str">
        <f>+VLOOKUP(D230,[1]Sheet1!$D$2:$E$29166,2,0)</f>
        <v>11968下口盖</v>
      </c>
      <c r="G230" s="3" t="s">
        <v>147</v>
      </c>
      <c r="H230" s="3" t="s">
        <v>340</v>
      </c>
      <c r="I230" s="18" t="e">
        <f t="array" ref="I230">INDEX([2]Sheet1!$F$1:$AF$65808,MATCH(D230&amp;G230&amp;I$1,[2]Sheet1!$B$1:$B$65808&amp;[2]Sheet1!$D$1:$D$65808&amp;[2]Sheet1!$E$1:$E$65808,0),MATCH(H230,[2]Sheet1!$F$1:$AF$1,0))</f>
        <v>#N/A</v>
      </c>
      <c r="J230" s="3">
        <v>40</v>
      </c>
      <c r="K230" s="3">
        <v>40</v>
      </c>
      <c r="L230" s="19">
        <v>30</v>
      </c>
      <c r="M230" s="19">
        <v>30</v>
      </c>
      <c r="N230" s="5" t="s">
        <v>263</v>
      </c>
      <c r="O230" s="4"/>
      <c r="P230" s="18">
        <v>15</v>
      </c>
      <c r="Q230" s="3"/>
      <c r="R230" s="6"/>
      <c r="S230" s="22"/>
      <c r="U230" s="23">
        <f t="shared" si="3"/>
        <v>10</v>
      </c>
      <c r="V230" s="24" t="s">
        <v>6</v>
      </c>
      <c r="W230" s="7" t="s">
        <v>257</v>
      </c>
      <c r="X230" s="7" t="s">
        <v>203</v>
      </c>
    </row>
    <row r="231" spans="1:24" ht="23.1" hidden="1" customHeight="1" x14ac:dyDescent="0.25">
      <c r="A231" s="1" t="s">
        <v>74</v>
      </c>
      <c r="D231" s="3" t="s">
        <v>486</v>
      </c>
      <c r="E231" s="15" t="s">
        <v>487</v>
      </c>
      <c r="F231" s="15" t="str">
        <f>+VLOOKUP(D231,[1]Sheet1!$D$2:$E$29166,2,0)</f>
        <v>油箱底板（中）</v>
      </c>
      <c r="G231" s="3" t="s">
        <v>46</v>
      </c>
      <c r="H231" s="3">
        <v>60</v>
      </c>
      <c r="I231" s="18" t="str">
        <f t="array" ref="I231">INDEX([2]Sheet1!$F$1:$AF$65808,MATCH(D231&amp;G231&amp;I$1,[2]Sheet1!$B$1:$B$65808&amp;[2]Sheet1!$D$1:$D$65808&amp;[2]Sheet1!$E$1:$E$65808,0),MATCH(H231,[2]Sheet1!$F$1:$AF$1,0))</f>
        <v>60/钳工</v>
      </c>
      <c r="J231" s="3">
        <v>4</v>
      </c>
      <c r="K231" s="3">
        <v>4</v>
      </c>
      <c r="L231" s="19">
        <v>30</v>
      </c>
      <c r="M231" s="19">
        <v>30</v>
      </c>
      <c r="N231" s="5" t="s">
        <v>488</v>
      </c>
      <c r="O231" s="4"/>
      <c r="P231" s="18">
        <f t="array" ref="P231">IFERROR(INDEX([2]Sheet1!$F$1:$AF$65808,MATCH($D231&amp;$G231&amp;P$1,[2]Sheet1!$B$1:$B$65808&amp;[2]Sheet1!$D$1:$D$65808&amp;[2]Sheet1!$E$1:$E$65808,0),MATCH($H231,[2]Sheet1!$F$1:$AF$1,0)),0)</f>
        <v>240</v>
      </c>
      <c r="Q231" s="3"/>
      <c r="R231" s="6"/>
      <c r="S231" s="22"/>
      <c r="U231" s="23">
        <f t="shared" si="3"/>
        <v>16</v>
      </c>
      <c r="V231" s="24" t="s">
        <v>6</v>
      </c>
    </row>
    <row r="232" spans="1:24" ht="23.1" hidden="1" customHeight="1" x14ac:dyDescent="0.25">
      <c r="A232" s="1" t="s">
        <v>82</v>
      </c>
      <c r="D232" s="3" t="s">
        <v>486</v>
      </c>
      <c r="E232" s="15" t="s">
        <v>487</v>
      </c>
      <c r="F232" s="15" t="str">
        <f>+VLOOKUP(D232,[1]Sheet1!$D$2:$E$29166,2,0)</f>
        <v>油箱底板（中）</v>
      </c>
      <c r="G232" s="3" t="s">
        <v>46</v>
      </c>
      <c r="H232" s="3" t="s">
        <v>340</v>
      </c>
      <c r="I232" s="18" t="e">
        <f t="array" ref="I232">INDEX([2]Sheet1!$F$1:$AF$65808,MATCH(D232&amp;G232&amp;I$1,[2]Sheet1!$B$1:$B$65808&amp;[2]Sheet1!$D$1:$D$65808&amp;[2]Sheet1!$E$1:$E$65808,0),MATCH(H232,[2]Sheet1!$F$1:$AF$1,0))</f>
        <v>#N/A</v>
      </c>
      <c r="J232" s="3">
        <v>4</v>
      </c>
      <c r="K232" s="3">
        <v>4</v>
      </c>
      <c r="L232" s="19">
        <v>30</v>
      </c>
      <c r="M232" s="19">
        <v>30</v>
      </c>
      <c r="N232" s="5" t="s">
        <v>488</v>
      </c>
      <c r="O232" s="4"/>
      <c r="P232" s="18">
        <v>60</v>
      </c>
      <c r="Q232" s="3"/>
      <c r="R232" s="6"/>
      <c r="S232" s="22"/>
      <c r="U232" s="23">
        <f t="shared" si="3"/>
        <v>4</v>
      </c>
      <c r="V232" s="24" t="s">
        <v>6</v>
      </c>
      <c r="W232" s="7" t="s">
        <v>471</v>
      </c>
      <c r="X232" s="7" t="s">
        <v>203</v>
      </c>
    </row>
    <row r="233" spans="1:24" ht="23.1" hidden="1" customHeight="1" x14ac:dyDescent="0.25">
      <c r="A233" s="1" t="s">
        <v>82</v>
      </c>
      <c r="D233" s="3" t="s">
        <v>489</v>
      </c>
      <c r="E233" s="15" t="s">
        <v>490</v>
      </c>
      <c r="F233" s="15" t="str">
        <f>+VLOOKUP(D233,[1]Sheet1!$D$2:$E$29166,2,0)</f>
        <v>8815 4号加强筋</v>
      </c>
      <c r="G233" s="3" t="s">
        <v>147</v>
      </c>
      <c r="H233" s="3">
        <v>40</v>
      </c>
      <c r="I233" s="18" t="str">
        <f t="array" ref="I233">INDEX([2]Sheet1!$F$1:$AF$65808,MATCH(D233&amp;G233&amp;I$1,[2]Sheet1!$B$1:$B$65808&amp;[2]Sheet1!$D$1:$D$65808&amp;[2]Sheet1!$E$1:$E$65808,0),MATCH(H233,[2]Sheet1!$F$1:$AF$1,0))</f>
        <v>40/钳工</v>
      </c>
      <c r="J233" s="3">
        <v>1</v>
      </c>
      <c r="K233" s="3">
        <v>1</v>
      </c>
      <c r="L233" s="19">
        <v>30</v>
      </c>
      <c r="M233" s="19">
        <v>30</v>
      </c>
      <c r="N233" s="5" t="s">
        <v>491</v>
      </c>
      <c r="O233" s="4"/>
      <c r="P233" s="18">
        <f t="array" ref="P233">IFERROR(INDEX([2]Sheet1!$F$1:$AF$65808,MATCH($D233&amp;$G233&amp;P$1,[2]Sheet1!$B$1:$B$65808&amp;[2]Sheet1!$D$1:$D$65808&amp;[2]Sheet1!$E$1:$E$65808,0),MATCH($H233,[2]Sheet1!$F$1:$AF$1,0)),0)</f>
        <v>480</v>
      </c>
      <c r="Q233" s="3"/>
      <c r="R233" s="6"/>
      <c r="S233" s="22"/>
      <c r="U233" s="23">
        <f t="shared" si="3"/>
        <v>8</v>
      </c>
      <c r="V233" s="24" t="s">
        <v>6</v>
      </c>
    </row>
    <row r="234" spans="1:24" ht="23.1" hidden="1" customHeight="1" x14ac:dyDescent="0.25">
      <c r="A234" s="1" t="s">
        <v>82</v>
      </c>
      <c r="D234" s="3" t="s">
        <v>492</v>
      </c>
      <c r="E234" s="15" t="s">
        <v>396</v>
      </c>
      <c r="F234" s="15" t="str">
        <f>+VLOOKUP(D234,[1]Sheet1!$D$2:$E$29166,2,0)</f>
        <v>角片</v>
      </c>
      <c r="G234" s="3" t="s">
        <v>46</v>
      </c>
      <c r="H234" s="3">
        <v>35</v>
      </c>
      <c r="I234" s="18" t="str">
        <f t="array" ref="I234">INDEX([2]Sheet1!$F$1:$AF$65808,MATCH(D234&amp;G234&amp;I$1,[2]Sheet1!$B$1:$B$65808&amp;[2]Sheet1!$D$1:$D$65808&amp;[2]Sheet1!$E$1:$E$65808,0),MATCH(H234,[2]Sheet1!$F$1:$AF$1,0))</f>
        <v>35/钳工</v>
      </c>
      <c r="J234" s="3">
        <v>5</v>
      </c>
      <c r="K234" s="3">
        <v>5</v>
      </c>
      <c r="L234" s="19">
        <v>30</v>
      </c>
      <c r="M234" s="19">
        <v>30</v>
      </c>
      <c r="N234" s="5" t="s">
        <v>493</v>
      </c>
      <c r="O234" s="4"/>
      <c r="P234" s="18">
        <f t="array" ref="P234">IFERROR(INDEX([2]Sheet1!$F$1:$AF$65808,MATCH($D234&amp;$G234&amp;P$1,[2]Sheet1!$B$1:$B$65808&amp;[2]Sheet1!$D$1:$D$65808&amp;[2]Sheet1!$E$1:$E$65808,0),MATCH($H234,[2]Sheet1!$F$1:$AF$1,0)),0)</f>
        <v>30</v>
      </c>
      <c r="Q234" s="3"/>
      <c r="R234" s="6"/>
      <c r="S234" s="22"/>
      <c r="U234" s="23">
        <f t="shared" si="3"/>
        <v>2.5</v>
      </c>
      <c r="V234" s="24" t="s">
        <v>6</v>
      </c>
    </row>
    <row r="235" spans="1:24" ht="23.1" hidden="1" customHeight="1" x14ac:dyDescent="0.25">
      <c r="A235" s="1" t="s">
        <v>82</v>
      </c>
      <c r="D235" s="3" t="s">
        <v>492</v>
      </c>
      <c r="E235" s="15" t="s">
        <v>396</v>
      </c>
      <c r="F235" s="15" t="str">
        <f>+VLOOKUP(D235,[1]Sheet1!$D$2:$E$29166,2,0)</f>
        <v>角片</v>
      </c>
      <c r="G235" s="3" t="s">
        <v>46</v>
      </c>
      <c r="H235" s="3">
        <v>35</v>
      </c>
      <c r="I235" s="18" t="str">
        <f t="array" ref="I235">INDEX([2]Sheet1!$F$1:$AF$65808,MATCH(D235&amp;G235&amp;I$1,[2]Sheet1!$B$1:$B$65808&amp;[2]Sheet1!$D$1:$D$65808&amp;[2]Sheet1!$E$1:$E$65808,0),MATCH(H235,[2]Sheet1!$F$1:$AF$1,0))</f>
        <v>35/钳工</v>
      </c>
      <c r="J235" s="3">
        <v>5</v>
      </c>
      <c r="K235" s="3">
        <v>5</v>
      </c>
      <c r="L235" s="19">
        <v>30</v>
      </c>
      <c r="M235" s="19">
        <v>30</v>
      </c>
      <c r="N235" s="5" t="s">
        <v>494</v>
      </c>
      <c r="O235" s="4"/>
      <c r="P235" s="18">
        <f t="array" ref="P235">IFERROR(INDEX([2]Sheet1!$F$1:$AF$65808,MATCH($D235&amp;$G235&amp;P$1,[2]Sheet1!$B$1:$B$65808&amp;[2]Sheet1!$D$1:$D$65808&amp;[2]Sheet1!$E$1:$E$65808,0),MATCH($H235,[2]Sheet1!$F$1:$AF$1,0)),0)</f>
        <v>30</v>
      </c>
      <c r="Q235" s="3"/>
      <c r="R235" s="6"/>
      <c r="S235" s="22"/>
      <c r="U235" s="23">
        <f t="shared" si="3"/>
        <v>2.5</v>
      </c>
      <c r="V235" s="24" t="s">
        <v>6</v>
      </c>
    </row>
    <row r="236" spans="1:24" ht="23.1" hidden="1" customHeight="1" x14ac:dyDescent="0.25">
      <c r="A236" s="1" t="s">
        <v>89</v>
      </c>
      <c r="D236" s="3" t="s">
        <v>492</v>
      </c>
      <c r="E236" s="15" t="s">
        <v>396</v>
      </c>
      <c r="F236" s="15" t="str">
        <f>+VLOOKUP(D236,[1]Sheet1!$D$2:$E$29166,2,0)</f>
        <v>角片</v>
      </c>
      <c r="G236" s="3" t="s">
        <v>46</v>
      </c>
      <c r="H236" s="3">
        <v>35</v>
      </c>
      <c r="I236" s="18" t="str">
        <f t="array" ref="I236">INDEX([2]Sheet1!$F$1:$AF$65808,MATCH(D236&amp;G236&amp;I$1,[2]Sheet1!$B$1:$B$65808&amp;[2]Sheet1!$D$1:$D$65808&amp;[2]Sheet1!$E$1:$E$65808,0),MATCH(H236,[2]Sheet1!$F$1:$AF$1,0))</f>
        <v>35/钳工</v>
      </c>
      <c r="J236" s="3">
        <v>5</v>
      </c>
      <c r="K236" s="3">
        <v>5</v>
      </c>
      <c r="L236" s="19">
        <v>30</v>
      </c>
      <c r="M236" s="19">
        <v>30</v>
      </c>
      <c r="N236" s="5" t="s">
        <v>495</v>
      </c>
      <c r="O236" s="4"/>
      <c r="P236" s="18">
        <f t="array" ref="P236">IFERROR(INDEX([2]Sheet1!$F$1:$AF$65808,MATCH($D236&amp;$G236&amp;P$1,[2]Sheet1!$B$1:$B$65808&amp;[2]Sheet1!$D$1:$D$65808&amp;[2]Sheet1!$E$1:$E$65808,0),MATCH($H236,[2]Sheet1!$F$1:$AF$1,0)),0)</f>
        <v>30</v>
      </c>
      <c r="Q236" s="3"/>
      <c r="R236" s="6"/>
      <c r="S236" s="22"/>
      <c r="U236" s="23">
        <f t="shared" si="3"/>
        <v>2.5</v>
      </c>
      <c r="V236" s="24" t="s">
        <v>6</v>
      </c>
    </row>
    <row r="237" spans="1:24" ht="23.1" hidden="1" customHeight="1" x14ac:dyDescent="0.25">
      <c r="A237" s="1" t="s">
        <v>89</v>
      </c>
      <c r="D237" s="3" t="s">
        <v>492</v>
      </c>
      <c r="E237" s="15" t="s">
        <v>396</v>
      </c>
      <c r="F237" s="15" t="str">
        <f>+VLOOKUP(D237,[1]Sheet1!$D$2:$E$29166,2,0)</f>
        <v>角片</v>
      </c>
      <c r="G237" s="3" t="s">
        <v>46</v>
      </c>
      <c r="H237" s="3">
        <v>35</v>
      </c>
      <c r="I237" s="18" t="str">
        <f t="array" ref="I237">INDEX([2]Sheet1!$F$1:$AF$65808,MATCH(D237&amp;G237&amp;I$1,[2]Sheet1!$B$1:$B$65808&amp;[2]Sheet1!$D$1:$D$65808&amp;[2]Sheet1!$E$1:$E$65808,0),MATCH(H237,[2]Sheet1!$F$1:$AF$1,0))</f>
        <v>35/钳工</v>
      </c>
      <c r="J237" s="3">
        <v>5</v>
      </c>
      <c r="K237" s="3">
        <v>5</v>
      </c>
      <c r="L237" s="19">
        <v>30</v>
      </c>
      <c r="M237" s="19">
        <v>30</v>
      </c>
      <c r="N237" s="5" t="s">
        <v>496</v>
      </c>
      <c r="O237" s="4"/>
      <c r="P237" s="18">
        <f t="array" ref="P237">IFERROR(INDEX([2]Sheet1!$F$1:$AF$65808,MATCH($D237&amp;$G237&amp;P$1,[2]Sheet1!$B$1:$B$65808&amp;[2]Sheet1!$D$1:$D$65808&amp;[2]Sheet1!$E$1:$E$65808,0),MATCH($H237,[2]Sheet1!$F$1:$AF$1,0)),0)</f>
        <v>30</v>
      </c>
      <c r="Q237" s="3"/>
      <c r="R237" s="6"/>
      <c r="S237" s="22"/>
      <c r="U237" s="23">
        <f t="shared" si="3"/>
        <v>2.5</v>
      </c>
      <c r="V237" s="24" t="s">
        <v>6</v>
      </c>
    </row>
    <row r="238" spans="1:24" ht="23.1" hidden="1" customHeight="1" x14ac:dyDescent="0.25">
      <c r="A238" s="1" t="s">
        <v>89</v>
      </c>
      <c r="D238" s="3" t="s">
        <v>492</v>
      </c>
      <c r="E238" s="15" t="s">
        <v>396</v>
      </c>
      <c r="F238" s="15" t="str">
        <f>+VLOOKUP(D238,[1]Sheet1!$D$2:$E$29166,2,0)</f>
        <v>角片</v>
      </c>
      <c r="G238" s="3" t="s">
        <v>46</v>
      </c>
      <c r="H238" s="3">
        <v>35</v>
      </c>
      <c r="I238" s="18" t="str">
        <f t="array" ref="I238">INDEX([2]Sheet1!$F$1:$AF$65808,MATCH(D238&amp;G238&amp;I$1,[2]Sheet1!$B$1:$B$65808&amp;[2]Sheet1!$D$1:$D$65808&amp;[2]Sheet1!$E$1:$E$65808,0),MATCH(H238,[2]Sheet1!$F$1:$AF$1,0))</f>
        <v>35/钳工</v>
      </c>
      <c r="J238" s="3">
        <v>2</v>
      </c>
      <c r="K238" s="3">
        <v>2</v>
      </c>
      <c r="L238" s="19">
        <v>30</v>
      </c>
      <c r="M238" s="19">
        <v>30</v>
      </c>
      <c r="N238" s="5" t="s">
        <v>497</v>
      </c>
      <c r="O238" s="4"/>
      <c r="P238" s="18">
        <f t="array" ref="P238">IFERROR(INDEX([2]Sheet1!$F$1:$AF$65808,MATCH($D238&amp;$G238&amp;P$1,[2]Sheet1!$B$1:$B$65808&amp;[2]Sheet1!$D$1:$D$65808&amp;[2]Sheet1!$E$1:$E$65808,0),MATCH($H238,[2]Sheet1!$F$1:$AF$1,0)),0)</f>
        <v>30</v>
      </c>
      <c r="Q238" s="3"/>
      <c r="R238" s="6"/>
      <c r="S238" s="22"/>
      <c r="U238" s="23">
        <f t="shared" si="3"/>
        <v>1</v>
      </c>
      <c r="V238" s="24" t="s">
        <v>6</v>
      </c>
    </row>
    <row r="239" spans="1:24" ht="23.1" hidden="1" customHeight="1" x14ac:dyDescent="0.25">
      <c r="A239" s="1" t="s">
        <v>89</v>
      </c>
      <c r="D239" s="3" t="s">
        <v>492</v>
      </c>
      <c r="E239" s="15" t="s">
        <v>396</v>
      </c>
      <c r="F239" s="15" t="str">
        <f>+VLOOKUP(D239,[1]Sheet1!$D$2:$E$29166,2,0)</f>
        <v>角片</v>
      </c>
      <c r="G239" s="3" t="s">
        <v>46</v>
      </c>
      <c r="H239" s="3">
        <v>35</v>
      </c>
      <c r="I239" s="18" t="str">
        <f t="array" ref="I239">INDEX([2]Sheet1!$F$1:$AF$65808,MATCH(D239&amp;G239&amp;I$1,[2]Sheet1!$B$1:$B$65808&amp;[2]Sheet1!$D$1:$D$65808&amp;[2]Sheet1!$E$1:$E$65808,0),MATCH(H239,[2]Sheet1!$F$1:$AF$1,0))</f>
        <v>35/钳工</v>
      </c>
      <c r="J239" s="3">
        <v>1</v>
      </c>
      <c r="K239" s="3">
        <v>1</v>
      </c>
      <c r="L239" s="19">
        <v>30</v>
      </c>
      <c r="M239" s="19">
        <v>30</v>
      </c>
      <c r="N239" s="5" t="s">
        <v>498</v>
      </c>
      <c r="O239" s="4"/>
      <c r="P239" s="18">
        <f t="array" ref="P239">IFERROR(INDEX([2]Sheet1!$F$1:$AF$65808,MATCH($D239&amp;$G239&amp;P$1,[2]Sheet1!$B$1:$B$65808&amp;[2]Sheet1!$D$1:$D$65808&amp;[2]Sheet1!$E$1:$E$65808,0),MATCH($H239,[2]Sheet1!$F$1:$AF$1,0)),0)</f>
        <v>30</v>
      </c>
      <c r="Q239" s="3"/>
      <c r="R239" s="6"/>
      <c r="S239" s="22"/>
      <c r="U239" s="23">
        <f t="shared" si="3"/>
        <v>0.5</v>
      </c>
      <c r="V239" s="24" t="s">
        <v>6</v>
      </c>
    </row>
    <row r="240" spans="1:24" ht="23.1" hidden="1" customHeight="1" x14ac:dyDescent="0.25">
      <c r="A240" s="1" t="s">
        <v>100</v>
      </c>
      <c r="D240" s="3" t="s">
        <v>492</v>
      </c>
      <c r="E240" s="15" t="s">
        <v>396</v>
      </c>
      <c r="F240" s="15" t="str">
        <f>+VLOOKUP(D240,[1]Sheet1!$D$2:$E$29166,2,0)</f>
        <v>角片</v>
      </c>
      <c r="G240" s="3" t="s">
        <v>46</v>
      </c>
      <c r="H240" s="3">
        <v>35</v>
      </c>
      <c r="I240" s="18" t="str">
        <f t="array" ref="I240">INDEX([2]Sheet1!$F$1:$AF$65808,MATCH(D240&amp;G240&amp;I$1,[2]Sheet1!$B$1:$B$65808&amp;[2]Sheet1!$D$1:$D$65808&amp;[2]Sheet1!$E$1:$E$65808,0),MATCH(H240,[2]Sheet1!$F$1:$AF$1,0))</f>
        <v>35/钳工</v>
      </c>
      <c r="J240" s="3">
        <v>1</v>
      </c>
      <c r="K240" s="3">
        <v>2</v>
      </c>
      <c r="L240" s="19">
        <v>30</v>
      </c>
      <c r="M240" s="19">
        <v>30</v>
      </c>
      <c r="N240" s="5" t="s">
        <v>499</v>
      </c>
      <c r="O240" s="4"/>
      <c r="P240" s="18">
        <f t="array" ref="P240">IFERROR(INDEX([2]Sheet1!$F$1:$AF$65808,MATCH($D240&amp;$G240&amp;P$1,[2]Sheet1!$B$1:$B$65808&amp;[2]Sheet1!$D$1:$D$65808&amp;[2]Sheet1!$E$1:$E$65808,0),MATCH($H240,[2]Sheet1!$F$1:$AF$1,0)),0)</f>
        <v>30</v>
      </c>
      <c r="Q240" s="3"/>
      <c r="R240" s="6"/>
      <c r="S240" s="22"/>
      <c r="U240" s="23">
        <f t="shared" si="3"/>
        <v>1</v>
      </c>
      <c r="V240" s="24" t="s">
        <v>6</v>
      </c>
    </row>
    <row r="241" spans="1:24" ht="23.1" hidden="1" customHeight="1" x14ac:dyDescent="0.25">
      <c r="A241" s="1" t="s">
        <v>100</v>
      </c>
      <c r="D241" s="3" t="s">
        <v>420</v>
      </c>
      <c r="E241" s="15" t="s">
        <v>421</v>
      </c>
      <c r="F241" s="15" t="str">
        <f>+VLOOKUP(D241,[1]Sheet1!$D$2:$E$29166,2,0)</f>
        <v>卡环</v>
      </c>
      <c r="G241" s="3" t="s">
        <v>64</v>
      </c>
      <c r="H241" s="3">
        <v>75</v>
      </c>
      <c r="I241" s="18" t="str">
        <f t="array" ref="I241">INDEX([2]Sheet1!$F$1:$AF$65808,MATCH(D241&amp;G241&amp;I$1,[2]Sheet1!$B$1:$B$65808&amp;[2]Sheet1!$D$1:$D$65808&amp;[2]Sheet1!$E$1:$E$65808,0),MATCH(H241,[2]Sheet1!$F$1:$AF$1,0))</f>
        <v>75钳工</v>
      </c>
      <c r="J241" s="3">
        <v>3</v>
      </c>
      <c r="K241" s="3">
        <v>3</v>
      </c>
      <c r="L241" s="19">
        <v>30</v>
      </c>
      <c r="M241" s="19">
        <v>30</v>
      </c>
      <c r="N241" s="5" t="s">
        <v>500</v>
      </c>
      <c r="O241" s="4"/>
      <c r="P241" s="18">
        <f t="array" ref="P241">IFERROR(INDEX([2]Sheet1!$F$1:$AF$65808,MATCH($D241&amp;$G241&amp;P$1,[2]Sheet1!$B$1:$B$65808&amp;[2]Sheet1!$D$1:$D$65808&amp;[2]Sheet1!$E$1:$E$65808,0),MATCH($H241,[2]Sheet1!$F$1:$AF$1,0)),0)</f>
        <v>300</v>
      </c>
      <c r="Q241" s="3"/>
      <c r="R241" s="6"/>
      <c r="S241" s="22"/>
      <c r="U241" s="23">
        <f t="shared" si="3"/>
        <v>15</v>
      </c>
      <c r="V241" s="24" t="s">
        <v>6</v>
      </c>
    </row>
    <row r="242" spans="1:24" ht="23.1" hidden="1" customHeight="1" x14ac:dyDescent="0.25">
      <c r="A242" s="1" t="s">
        <v>100</v>
      </c>
      <c r="D242" s="3" t="s">
        <v>492</v>
      </c>
      <c r="E242" s="15" t="s">
        <v>396</v>
      </c>
      <c r="F242" s="15" t="str">
        <f>+VLOOKUP(D242,[1]Sheet1!$D$2:$E$29166,2,0)</f>
        <v>角片</v>
      </c>
      <c r="G242" s="3" t="s">
        <v>46</v>
      </c>
      <c r="H242" s="3" t="s">
        <v>340</v>
      </c>
      <c r="I242" s="18" t="e">
        <f t="array" ref="I242">INDEX([2]Sheet1!$F$1:$AF$65808,MATCH(D242&amp;G242&amp;I$1,[2]Sheet1!$B$1:$B$65808&amp;[2]Sheet1!$D$1:$D$65808&amp;[2]Sheet1!$E$1:$E$65808,0),MATCH(H242,[2]Sheet1!$F$1:$AF$1,0))</f>
        <v>#N/A</v>
      </c>
      <c r="J242" s="3">
        <v>10</v>
      </c>
      <c r="K242" s="3">
        <v>10</v>
      </c>
      <c r="L242" s="19">
        <v>30</v>
      </c>
      <c r="M242" s="19">
        <v>30</v>
      </c>
      <c r="N242" s="5" t="s">
        <v>501</v>
      </c>
      <c r="O242" s="4"/>
      <c r="P242" s="18">
        <v>15</v>
      </c>
      <c r="Q242" s="3"/>
      <c r="R242" s="6"/>
      <c r="S242" s="22"/>
      <c r="U242" s="23">
        <f t="shared" si="3"/>
        <v>2.5</v>
      </c>
      <c r="V242" s="24" t="s">
        <v>6</v>
      </c>
      <c r="W242" s="7" t="s">
        <v>502</v>
      </c>
      <c r="X242" s="7" t="s">
        <v>203</v>
      </c>
    </row>
    <row r="243" spans="1:24" ht="23.1" hidden="1" customHeight="1" x14ac:dyDescent="0.25">
      <c r="A243" s="1" t="s">
        <v>100</v>
      </c>
      <c r="D243" s="3" t="s">
        <v>420</v>
      </c>
      <c r="E243" s="15" t="s">
        <v>421</v>
      </c>
      <c r="F243" s="15" t="str">
        <f>+VLOOKUP(D243,[1]Sheet1!$D$2:$E$29166,2,0)</f>
        <v>卡环</v>
      </c>
      <c r="G243" s="3" t="s">
        <v>64</v>
      </c>
      <c r="H243" s="3" t="s">
        <v>340</v>
      </c>
      <c r="I243" s="18" t="e">
        <f t="array" ref="I243">INDEX([2]Sheet1!$F$1:$AF$65808,MATCH(D243&amp;G243&amp;I$1,[2]Sheet1!$B$1:$B$65808&amp;[2]Sheet1!$D$1:$D$65808&amp;[2]Sheet1!$E$1:$E$65808,0),MATCH(H243,[2]Sheet1!$F$1:$AF$1,0))</f>
        <v>#N/A</v>
      </c>
      <c r="J243" s="3">
        <v>2</v>
      </c>
      <c r="K243" s="3">
        <v>2</v>
      </c>
      <c r="L243" s="19">
        <v>30</v>
      </c>
      <c r="M243" s="19">
        <v>30</v>
      </c>
      <c r="N243" s="5" t="s">
        <v>503</v>
      </c>
      <c r="O243" s="4"/>
      <c r="P243" s="18">
        <v>20</v>
      </c>
      <c r="Q243" s="3"/>
      <c r="R243" s="6"/>
      <c r="S243" s="22"/>
      <c r="U243" s="23">
        <f t="shared" si="3"/>
        <v>0.7</v>
      </c>
      <c r="V243" s="24" t="s">
        <v>6</v>
      </c>
      <c r="X243" s="7" t="s">
        <v>203</v>
      </c>
    </row>
    <row r="244" spans="1:24" ht="23.1" hidden="1" customHeight="1" x14ac:dyDescent="0.25">
      <c r="A244" s="1" t="s">
        <v>103</v>
      </c>
      <c r="D244" s="3" t="s">
        <v>504</v>
      </c>
      <c r="E244" s="15" t="s">
        <v>55</v>
      </c>
      <c r="F244" s="15" t="str">
        <f>+VLOOKUP(D244,[1]Sheet1!$D$2:$E$29166,2,0)</f>
        <v>接头</v>
      </c>
      <c r="G244" s="3" t="s">
        <v>80</v>
      </c>
      <c r="H244" s="3">
        <v>45</v>
      </c>
      <c r="I244" s="18" t="str">
        <f t="array" ref="I244">INDEX([2]Sheet1!$F$1:$AF$65808,MATCH(D244&amp;G244&amp;I$1,[2]Sheet1!$B$1:$B$65808&amp;[2]Sheet1!$D$1:$D$65808&amp;[2]Sheet1!$E$1:$E$65808,0),MATCH(H244,[2]Sheet1!$F$1:$AF$1,0))</f>
        <v>45钳工</v>
      </c>
      <c r="J244" s="3">
        <v>2</v>
      </c>
      <c r="K244" s="3">
        <v>2</v>
      </c>
      <c r="L244" s="19">
        <v>30</v>
      </c>
      <c r="M244" s="19">
        <v>30</v>
      </c>
      <c r="N244" s="5" t="s">
        <v>81</v>
      </c>
      <c r="O244" s="4"/>
      <c r="P244" s="18">
        <f t="array" ref="P244">IFERROR(INDEX([2]Sheet1!$F$1:$AF$65808,MATCH($D244&amp;$G244&amp;P$1,[2]Sheet1!$B$1:$B$65808&amp;[2]Sheet1!$D$1:$D$65808&amp;[2]Sheet1!$E$1:$E$65808,0),MATCH($H244,[2]Sheet1!$F$1:$AF$1,0)),0)</f>
        <v>120</v>
      </c>
      <c r="Q244" s="3"/>
      <c r="R244" s="6"/>
      <c r="S244" s="22"/>
      <c r="U244" s="23">
        <f t="shared" si="3"/>
        <v>4</v>
      </c>
      <c r="V244" s="24" t="s">
        <v>6</v>
      </c>
    </row>
    <row r="245" spans="1:24" ht="23.1" hidden="1" customHeight="1" x14ac:dyDescent="0.25">
      <c r="A245" s="1" t="s">
        <v>103</v>
      </c>
      <c r="D245" s="3" t="s">
        <v>433</v>
      </c>
      <c r="E245" s="15" t="s">
        <v>434</v>
      </c>
      <c r="F245" s="15" t="str">
        <f>+VLOOKUP(D245,[1]Sheet1!$D$2:$E$29166,2,0)</f>
        <v>4号下壁板（左件）</v>
      </c>
      <c r="G245" s="3" t="s">
        <v>51</v>
      </c>
      <c r="H245" s="3">
        <v>20</v>
      </c>
      <c r="I245" s="18" t="str">
        <f t="array" ref="I245">INDEX([2]Sheet1!$F$1:$AF$65808,MATCH(D245&amp;G245&amp;I$1,[2]Sheet1!$B$1:$B$65808&amp;[2]Sheet1!$D$1:$D$65808&amp;[2]Sheet1!$E$1:$E$65808,0),MATCH(H245,[2]Sheet1!$F$1:$AF$1,0))</f>
        <v>20钳工</v>
      </c>
      <c r="J245" s="3">
        <v>2</v>
      </c>
      <c r="K245" s="3">
        <v>2</v>
      </c>
      <c r="L245" s="19">
        <v>30</v>
      </c>
      <c r="M245" s="19">
        <v>30</v>
      </c>
      <c r="N245" s="5" t="s">
        <v>505</v>
      </c>
      <c r="O245" s="4"/>
      <c r="P245" s="18">
        <f t="array" ref="P245">IFERROR(INDEX([2]Sheet1!$F$1:$AF$65808,MATCH($D245&amp;$G245&amp;P$1,[2]Sheet1!$B$1:$B$65808&amp;[2]Sheet1!$D$1:$D$65808&amp;[2]Sheet1!$E$1:$E$65808,0),MATCH($H245,[2]Sheet1!$F$1:$AF$1,0)),0)</f>
        <v>120</v>
      </c>
      <c r="Q245" s="3"/>
      <c r="R245" s="6"/>
      <c r="S245" s="22"/>
      <c r="U245" s="23">
        <f t="shared" si="3"/>
        <v>4</v>
      </c>
      <c r="V245" s="24" t="s">
        <v>6</v>
      </c>
    </row>
    <row r="246" spans="1:24" ht="23.1" hidden="1" customHeight="1" x14ac:dyDescent="0.25">
      <c r="A246" s="1" t="s">
        <v>103</v>
      </c>
      <c r="D246" s="3" t="s">
        <v>439</v>
      </c>
      <c r="E246" s="15" t="s">
        <v>437</v>
      </c>
      <c r="F246" s="15" t="str">
        <f>+VLOOKUP(D246,[1]Sheet1!$D$2:$E$29166,2,0)</f>
        <v>10150侧隔框</v>
      </c>
      <c r="G246" s="3" t="s">
        <v>51</v>
      </c>
      <c r="H246" s="3">
        <v>55</v>
      </c>
      <c r="I246" s="18" t="str">
        <f t="array" ref="I246">INDEX([2]Sheet1!$F$1:$AF$65808,MATCH(D246&amp;G246&amp;I$1,[2]Sheet1!$B$1:$B$65808&amp;[2]Sheet1!$D$1:$D$65808&amp;[2]Sheet1!$E$1:$E$65808,0),MATCH(H246,[2]Sheet1!$F$1:$AF$1,0))</f>
        <v>55/钳工</v>
      </c>
      <c r="J246" s="3">
        <v>1</v>
      </c>
      <c r="K246" s="3">
        <v>1</v>
      </c>
      <c r="L246" s="19">
        <v>30</v>
      </c>
      <c r="M246" s="19">
        <v>30</v>
      </c>
      <c r="N246" s="5" t="s">
        <v>88</v>
      </c>
      <c r="O246" s="4"/>
      <c r="P246" s="18">
        <f t="array" ref="P246">IFERROR(INDEX([2]Sheet1!$F$1:$AF$65808,MATCH($D246&amp;$G246&amp;P$1,[2]Sheet1!$B$1:$B$65808&amp;[2]Sheet1!$D$1:$D$65808&amp;[2]Sheet1!$E$1:$E$65808,0),MATCH($H246,[2]Sheet1!$F$1:$AF$1,0)),0)</f>
        <v>480</v>
      </c>
      <c r="Q246" s="3"/>
      <c r="R246" s="6"/>
      <c r="S246" s="22"/>
      <c r="U246" s="23">
        <f t="shared" si="3"/>
        <v>8</v>
      </c>
      <c r="V246" s="24" t="s">
        <v>6</v>
      </c>
    </row>
    <row r="247" spans="1:24" ht="23.1" hidden="1" customHeight="1" x14ac:dyDescent="0.25">
      <c r="A247" s="1" t="s">
        <v>103</v>
      </c>
      <c r="D247" s="3" t="s">
        <v>439</v>
      </c>
      <c r="E247" s="15" t="s">
        <v>437</v>
      </c>
      <c r="F247" s="15" t="str">
        <f>+VLOOKUP(D247,[1]Sheet1!$D$2:$E$29166,2,0)</f>
        <v>10150侧隔框</v>
      </c>
      <c r="G247" s="3" t="s">
        <v>51</v>
      </c>
      <c r="H247" s="3">
        <v>55</v>
      </c>
      <c r="I247" s="18" t="str">
        <f t="array" ref="I247">INDEX([2]Sheet1!$F$1:$AF$65808,MATCH(D247&amp;G247&amp;I$1,[2]Sheet1!$B$1:$B$65808&amp;[2]Sheet1!$D$1:$D$65808&amp;[2]Sheet1!$E$1:$E$65808,0),MATCH(H247,[2]Sheet1!$F$1:$AF$1,0))</f>
        <v>55/钳工</v>
      </c>
      <c r="J247" s="3">
        <v>1</v>
      </c>
      <c r="K247" s="3">
        <v>1</v>
      </c>
      <c r="L247" s="19">
        <v>30</v>
      </c>
      <c r="M247" s="19">
        <v>30</v>
      </c>
      <c r="N247" s="5" t="s">
        <v>85</v>
      </c>
      <c r="O247" s="4"/>
      <c r="P247" s="18">
        <f t="array" ref="P247">IFERROR(INDEX([2]Sheet1!$F$1:$AF$65808,MATCH($D247&amp;$G247&amp;P$1,[2]Sheet1!$B$1:$B$65808&amp;[2]Sheet1!$D$1:$D$65808&amp;[2]Sheet1!$E$1:$E$65808,0),MATCH($H247,[2]Sheet1!$F$1:$AF$1,0)),0)</f>
        <v>480</v>
      </c>
      <c r="Q247" s="3"/>
      <c r="R247" s="6"/>
      <c r="S247" s="22"/>
      <c r="U247" s="23">
        <f t="shared" si="3"/>
        <v>8</v>
      </c>
      <c r="V247" s="24" t="s">
        <v>6</v>
      </c>
    </row>
    <row r="248" spans="1:24" ht="23.1" hidden="1" customHeight="1" x14ac:dyDescent="0.25">
      <c r="A248" s="1" t="s">
        <v>109</v>
      </c>
      <c r="D248" s="3" t="s">
        <v>439</v>
      </c>
      <c r="E248" s="15" t="s">
        <v>437</v>
      </c>
      <c r="F248" s="15" t="str">
        <f>+VLOOKUP(D248,[1]Sheet1!$D$2:$E$29166,2,0)</f>
        <v>10150侧隔框</v>
      </c>
      <c r="G248" s="3" t="s">
        <v>51</v>
      </c>
      <c r="H248" s="3">
        <v>55</v>
      </c>
      <c r="I248" s="18" t="str">
        <f t="array" ref="I248">INDEX([2]Sheet1!$F$1:$AF$65808,MATCH(D248&amp;G248&amp;I$1,[2]Sheet1!$B$1:$B$65808&amp;[2]Sheet1!$D$1:$D$65808&amp;[2]Sheet1!$E$1:$E$65808,0),MATCH(H248,[2]Sheet1!$F$1:$AF$1,0))</f>
        <v>55/钳工</v>
      </c>
      <c r="J248" s="3">
        <v>1</v>
      </c>
      <c r="K248" s="3">
        <v>1</v>
      </c>
      <c r="L248" s="19">
        <v>30</v>
      </c>
      <c r="M248" s="19">
        <v>30</v>
      </c>
      <c r="N248" s="5" t="s">
        <v>392</v>
      </c>
      <c r="O248" s="4"/>
      <c r="P248" s="18">
        <f t="array" ref="P248">IFERROR(INDEX([2]Sheet1!$F$1:$AF$65808,MATCH($D248&amp;$G248&amp;P$1,[2]Sheet1!$B$1:$B$65808&amp;[2]Sheet1!$D$1:$D$65808&amp;[2]Sheet1!$E$1:$E$65808,0),MATCH($H248,[2]Sheet1!$F$1:$AF$1,0)),0)</f>
        <v>480</v>
      </c>
      <c r="Q248" s="3"/>
      <c r="R248" s="6"/>
      <c r="S248" s="22"/>
      <c r="U248" s="23">
        <f t="shared" si="3"/>
        <v>8</v>
      </c>
      <c r="V248" s="24" t="s">
        <v>6</v>
      </c>
    </row>
    <row r="249" spans="1:24" ht="23.1" hidden="1" customHeight="1" x14ac:dyDescent="0.25">
      <c r="A249" s="1" t="s">
        <v>109</v>
      </c>
      <c r="D249" s="3" t="s">
        <v>439</v>
      </c>
      <c r="E249" s="15" t="s">
        <v>437</v>
      </c>
      <c r="F249" s="15" t="str">
        <f>+VLOOKUP(D249,[1]Sheet1!$D$2:$E$29166,2,0)</f>
        <v>10150侧隔框</v>
      </c>
      <c r="G249" s="3" t="s">
        <v>51</v>
      </c>
      <c r="H249" s="3" t="s">
        <v>340</v>
      </c>
      <c r="I249" s="18" t="e">
        <f t="array" ref="I249">INDEX([2]Sheet1!$F$1:$AF$65808,MATCH(D249&amp;G249&amp;I$1,[2]Sheet1!$B$1:$B$65808&amp;[2]Sheet1!$D$1:$D$65808&amp;[2]Sheet1!$E$1:$E$65808,0),MATCH(H249,[2]Sheet1!$F$1:$AF$1,0))</f>
        <v>#N/A</v>
      </c>
      <c r="J249" s="3">
        <v>4</v>
      </c>
      <c r="K249" s="3">
        <v>4</v>
      </c>
      <c r="L249" s="19">
        <v>30</v>
      </c>
      <c r="M249" s="19">
        <v>30</v>
      </c>
      <c r="N249" s="5" t="s">
        <v>506</v>
      </c>
      <c r="O249" s="4"/>
      <c r="P249" s="18">
        <v>60</v>
      </c>
      <c r="Q249" s="3"/>
      <c r="R249" s="6"/>
      <c r="S249" s="22"/>
      <c r="U249" s="23">
        <f t="shared" si="3"/>
        <v>4</v>
      </c>
      <c r="V249" s="24" t="s">
        <v>6</v>
      </c>
      <c r="W249" s="7" t="s">
        <v>507</v>
      </c>
      <c r="X249" s="7" t="s">
        <v>203</v>
      </c>
    </row>
    <row r="250" spans="1:24" ht="23.1" hidden="1" customHeight="1" x14ac:dyDescent="0.25">
      <c r="A250" s="1" t="s">
        <v>109</v>
      </c>
      <c r="D250" s="3" t="s">
        <v>439</v>
      </c>
      <c r="E250" s="15" t="s">
        <v>437</v>
      </c>
      <c r="F250" s="15" t="str">
        <f>+VLOOKUP(D250,[1]Sheet1!$D$2:$E$29166,2,0)</f>
        <v>10150侧隔框</v>
      </c>
      <c r="G250" s="3" t="s">
        <v>51</v>
      </c>
      <c r="H250" s="3">
        <v>55</v>
      </c>
      <c r="I250" s="18" t="str">
        <f t="array" ref="I250">INDEX([2]Sheet1!$F$1:$AF$65808,MATCH(D250&amp;G250&amp;I$1,[2]Sheet1!$B$1:$B$65808&amp;[2]Sheet1!$D$1:$D$65808&amp;[2]Sheet1!$E$1:$E$65808,0),MATCH(H250,[2]Sheet1!$F$1:$AF$1,0))</f>
        <v>55/钳工</v>
      </c>
      <c r="J250" s="3">
        <v>1</v>
      </c>
      <c r="K250" s="3">
        <v>1</v>
      </c>
      <c r="L250" s="19">
        <v>30</v>
      </c>
      <c r="M250" s="19">
        <v>30</v>
      </c>
      <c r="N250" s="5" t="s">
        <v>474</v>
      </c>
      <c r="O250" s="4"/>
      <c r="P250" s="18">
        <f t="array" ref="P250">IFERROR(INDEX([2]Sheet1!$F$1:$AF$65808,MATCH($D250&amp;$G250&amp;P$1,[2]Sheet1!$B$1:$B$65808&amp;[2]Sheet1!$D$1:$D$65808&amp;[2]Sheet1!$E$1:$E$65808,0),MATCH($H250,[2]Sheet1!$F$1:$AF$1,0)),0)</f>
        <v>480</v>
      </c>
      <c r="Q250" s="3"/>
      <c r="R250" s="6"/>
      <c r="S250" s="22"/>
      <c r="U250" s="23">
        <f t="shared" si="3"/>
        <v>8</v>
      </c>
      <c r="V250" s="24" t="s">
        <v>6</v>
      </c>
    </row>
    <row r="251" spans="1:24" ht="23.1" hidden="1" customHeight="1" x14ac:dyDescent="0.25">
      <c r="A251" s="1" t="s">
        <v>109</v>
      </c>
      <c r="D251" s="3" t="s">
        <v>323</v>
      </c>
      <c r="E251" s="15" t="s">
        <v>319</v>
      </c>
      <c r="F251" s="15" t="str">
        <f>+VLOOKUP(D251,[1]Sheet1!$D$2:$E$29166,2,0)</f>
        <v>2470肋五段</v>
      </c>
      <c r="G251" s="3" t="s">
        <v>114</v>
      </c>
      <c r="H251" s="3" t="s">
        <v>340</v>
      </c>
      <c r="I251" s="18" t="e">
        <f t="array" ref="I251">INDEX([2]Sheet1!$F$1:$AF$65808,MATCH(D251&amp;G251&amp;I$1,[2]Sheet1!$B$1:$B$65808&amp;[2]Sheet1!$D$1:$D$65808&amp;[2]Sheet1!$E$1:$E$65808,0),MATCH(H251,[2]Sheet1!$F$1:$AF$1,0))</f>
        <v>#N/A</v>
      </c>
      <c r="J251" s="3">
        <v>11</v>
      </c>
      <c r="K251" s="3">
        <v>11</v>
      </c>
      <c r="L251" s="19">
        <v>30</v>
      </c>
      <c r="M251" s="19">
        <v>30</v>
      </c>
      <c r="N251" s="5" t="s">
        <v>508</v>
      </c>
      <c r="O251" s="4"/>
      <c r="P251" s="18">
        <v>30</v>
      </c>
      <c r="Q251" s="3"/>
      <c r="R251" s="6"/>
      <c r="S251" s="22"/>
      <c r="U251" s="23">
        <f t="shared" si="3"/>
        <v>5.5</v>
      </c>
      <c r="V251" s="24" t="s">
        <v>6</v>
      </c>
      <c r="W251" s="7" t="s">
        <v>509</v>
      </c>
      <c r="X251" s="7" t="s">
        <v>203</v>
      </c>
    </row>
    <row r="252" spans="1:24" ht="23.1" hidden="1" customHeight="1" x14ac:dyDescent="0.25">
      <c r="A252" s="1" t="s">
        <v>510</v>
      </c>
      <c r="D252" s="3" t="s">
        <v>461</v>
      </c>
      <c r="E252" s="15" t="s">
        <v>462</v>
      </c>
      <c r="F252" s="15" t="str">
        <f>+VLOOKUP(D252,[1]Sheet1!$D$2:$E$29166,2,0)</f>
        <v>拔杆</v>
      </c>
      <c r="G252" s="3" t="s">
        <v>147</v>
      </c>
      <c r="H252" s="3" t="s">
        <v>340</v>
      </c>
      <c r="I252" s="18" t="e">
        <f t="array" ref="I252">INDEX([2]Sheet1!$F$1:$AF$65808,MATCH(D252&amp;G252&amp;I$1,[2]Sheet1!$B$1:$B$65808&amp;[2]Sheet1!$D$1:$D$65808&amp;[2]Sheet1!$E$1:$E$65808,0),MATCH(H252,[2]Sheet1!$F$1:$AF$1,0))</f>
        <v>#N/A</v>
      </c>
      <c r="J252" s="3">
        <v>30</v>
      </c>
      <c r="K252" s="3">
        <v>30</v>
      </c>
      <c r="L252" s="19">
        <v>30</v>
      </c>
      <c r="M252" s="19">
        <v>30</v>
      </c>
      <c r="N252" s="5" t="s">
        <v>464</v>
      </c>
      <c r="O252" s="4"/>
      <c r="P252" s="18">
        <v>5</v>
      </c>
      <c r="Q252" s="3"/>
      <c r="R252" s="6"/>
      <c r="S252" s="22"/>
      <c r="U252" s="23">
        <f t="shared" si="3"/>
        <v>2.5</v>
      </c>
      <c r="V252" s="24" t="s">
        <v>5</v>
      </c>
      <c r="W252" s="7" t="s">
        <v>511</v>
      </c>
      <c r="X252" s="7" t="s">
        <v>203</v>
      </c>
    </row>
    <row r="253" spans="1:24" ht="23.1" hidden="1" customHeight="1" x14ac:dyDescent="0.25">
      <c r="A253" s="1" t="s">
        <v>304</v>
      </c>
      <c r="D253" s="3" t="s">
        <v>512</v>
      </c>
      <c r="E253" s="15" t="s">
        <v>513</v>
      </c>
      <c r="F253" s="15" t="str">
        <f>+VLOOKUP(D253,[1]Sheet1!$D$2:$E$29166,2,0)</f>
        <v>5550上框（精加工）</v>
      </c>
      <c r="G253" s="3" t="s">
        <v>114</v>
      </c>
      <c r="H253" s="3">
        <v>70</v>
      </c>
      <c r="I253" s="18" t="str">
        <f t="array" ref="I253">INDEX([2]Sheet1!$F$1:$AF$65808,MATCH(D253&amp;G253&amp;I$1,[2]Sheet1!$B$1:$B$65808&amp;[2]Sheet1!$D$1:$D$65808&amp;[2]Sheet1!$E$1:$E$65808,0),MATCH(H253,[2]Sheet1!$F$1:$AF$1,0))</f>
        <v>70/钳工</v>
      </c>
      <c r="J253" s="3">
        <v>2</v>
      </c>
      <c r="K253" s="3">
        <v>2</v>
      </c>
      <c r="L253" s="19">
        <v>30</v>
      </c>
      <c r="M253" s="19">
        <v>30</v>
      </c>
      <c r="N253" s="5" t="s">
        <v>514</v>
      </c>
      <c r="O253" s="4"/>
      <c r="P253" s="18">
        <f t="array" ref="P253">IFERROR(INDEX([2]Sheet1!$F$1:$AF$65808,MATCH($D253&amp;$G253&amp;P$1,[2]Sheet1!$B$1:$B$65808&amp;[2]Sheet1!$D$1:$D$65808&amp;[2]Sheet1!$E$1:$E$65808,0),MATCH($H253,[2]Sheet1!$F$1:$AF$1,0)),0)</f>
        <v>1440</v>
      </c>
      <c r="Q253" s="3"/>
      <c r="R253" s="6"/>
      <c r="S253" s="22"/>
      <c r="U253" s="23">
        <f t="shared" si="3"/>
        <v>48</v>
      </c>
      <c r="V253" s="24" t="s">
        <v>5</v>
      </c>
    </row>
    <row r="254" spans="1:24" ht="23.1" hidden="1" customHeight="1" x14ac:dyDescent="0.25">
      <c r="A254" s="1" t="s">
        <v>121</v>
      </c>
      <c r="D254" s="3" t="s">
        <v>512</v>
      </c>
      <c r="E254" s="15" t="s">
        <v>513</v>
      </c>
      <c r="F254" s="15" t="str">
        <f>+VLOOKUP(D254,[1]Sheet1!$D$2:$E$29166,2,0)</f>
        <v>5550上框（精加工）</v>
      </c>
      <c r="G254" s="3" t="s">
        <v>114</v>
      </c>
      <c r="H254" s="3" t="s">
        <v>340</v>
      </c>
      <c r="I254" s="18" t="e">
        <f t="array" ref="I254">INDEX([2]Sheet1!$F$1:$AF$65808,MATCH(D254&amp;G254&amp;I$1,[2]Sheet1!$B$1:$B$65808&amp;[2]Sheet1!$D$1:$D$65808&amp;[2]Sheet1!$E$1:$E$65808,0),MATCH(H254,[2]Sheet1!$F$1:$AF$1,0))</f>
        <v>#N/A</v>
      </c>
      <c r="J254" s="3">
        <v>2</v>
      </c>
      <c r="K254" s="3">
        <v>2</v>
      </c>
      <c r="L254" s="19">
        <v>30</v>
      </c>
      <c r="M254" s="19">
        <v>30</v>
      </c>
      <c r="N254" s="5" t="s">
        <v>514</v>
      </c>
      <c r="O254" s="4"/>
      <c r="P254" s="18">
        <v>600</v>
      </c>
      <c r="Q254" s="3"/>
      <c r="R254" s="6"/>
      <c r="S254" s="22"/>
      <c r="U254" s="23">
        <f t="shared" si="3"/>
        <v>20</v>
      </c>
      <c r="V254" s="24" t="s">
        <v>5</v>
      </c>
      <c r="W254" s="7" t="s">
        <v>515</v>
      </c>
      <c r="X254" s="7" t="s">
        <v>203</v>
      </c>
    </row>
    <row r="255" spans="1:24" ht="23.1" hidden="1" customHeight="1" x14ac:dyDescent="0.25">
      <c r="A255" s="1" t="s">
        <v>121</v>
      </c>
      <c r="D255" s="3" t="s">
        <v>512</v>
      </c>
      <c r="E255" s="15" t="s">
        <v>513</v>
      </c>
      <c r="F255" s="15" t="str">
        <f>+VLOOKUP(D255,[1]Sheet1!$D$2:$E$29166,2,0)</f>
        <v>5550上框（精加工）</v>
      </c>
      <c r="G255" s="3" t="s">
        <v>114</v>
      </c>
      <c r="H255" s="3" t="s">
        <v>340</v>
      </c>
      <c r="I255" s="18" t="e">
        <f t="array" ref="I255">INDEX([2]Sheet1!$F$1:$AF$65808,MATCH(D255&amp;G255&amp;I$1,[2]Sheet1!$B$1:$B$65808&amp;[2]Sheet1!$D$1:$D$65808&amp;[2]Sheet1!$E$1:$E$65808,0),MATCH(H255,[2]Sheet1!$F$1:$AF$1,0))</f>
        <v>#N/A</v>
      </c>
      <c r="J255" s="3">
        <v>2</v>
      </c>
      <c r="K255" s="3">
        <v>2</v>
      </c>
      <c r="L255" s="19"/>
      <c r="M255" s="19"/>
      <c r="N255" s="5" t="s">
        <v>491</v>
      </c>
      <c r="O255" s="4"/>
      <c r="P255" s="18">
        <f t="array" ref="P255">IFERROR(INDEX([2]Sheet1!$F$1:$AF$65808,MATCH($D255&amp;$G255&amp;P$1,[2]Sheet1!$B$1:$B$65808&amp;[2]Sheet1!$D$1:$D$65808&amp;[2]Sheet1!$E$1:$E$65808,0),MATCH($H255,[2]Sheet1!$F$1:$AF$1,0)),0)</f>
        <v>0</v>
      </c>
      <c r="Q255" s="3"/>
      <c r="R255" s="6"/>
      <c r="S255" s="22"/>
      <c r="T255" s="7">
        <v>4</v>
      </c>
      <c r="U255" s="23">
        <f t="shared" si="3"/>
        <v>4</v>
      </c>
      <c r="V255" s="24" t="s">
        <v>5</v>
      </c>
      <c r="W255" s="7" t="s">
        <v>516</v>
      </c>
      <c r="X255" s="7" t="s">
        <v>203</v>
      </c>
    </row>
    <row r="256" spans="1:24" ht="23.1" hidden="1" customHeight="1" x14ac:dyDescent="0.25">
      <c r="A256" s="1" t="s">
        <v>121</v>
      </c>
      <c r="D256" s="3" t="s">
        <v>517</v>
      </c>
      <c r="E256" s="15" t="s">
        <v>87</v>
      </c>
      <c r="F256" s="15" t="str">
        <f>+VLOOKUP(D256,[1]Sheet1!$D$2:$E$29166,2,0)</f>
        <v>管接头</v>
      </c>
      <c r="G256" s="3" t="s">
        <v>46</v>
      </c>
      <c r="H256" s="3" t="s">
        <v>340</v>
      </c>
      <c r="I256" s="18" t="e">
        <f t="array" ref="I256">INDEX([2]Sheet1!$F$1:$AF$65808,MATCH(D256&amp;G256&amp;I$1,[2]Sheet1!$B$1:$B$65808&amp;[2]Sheet1!$D$1:$D$65808&amp;[2]Sheet1!$E$1:$E$65808,0),MATCH(H256,[2]Sheet1!$F$1:$AF$1,0))</f>
        <v>#N/A</v>
      </c>
      <c r="J256" s="3">
        <v>209</v>
      </c>
      <c r="K256" s="3">
        <v>209</v>
      </c>
      <c r="L256" s="19"/>
      <c r="M256" s="19"/>
      <c r="N256" s="5" t="s">
        <v>102</v>
      </c>
      <c r="O256" s="4"/>
      <c r="P256" s="18">
        <v>10</v>
      </c>
      <c r="Q256" s="3"/>
      <c r="R256" s="6"/>
      <c r="S256" s="22"/>
      <c r="U256" s="23">
        <f t="shared" si="3"/>
        <v>34.799999999999997</v>
      </c>
      <c r="V256" s="24" t="s">
        <v>5</v>
      </c>
      <c r="W256" s="7" t="s">
        <v>518</v>
      </c>
      <c r="X256" s="7" t="s">
        <v>203</v>
      </c>
    </row>
    <row r="257" spans="1:22" ht="23.1" hidden="1" customHeight="1" x14ac:dyDescent="0.25">
      <c r="A257" s="1" t="s">
        <v>121</v>
      </c>
      <c r="D257" s="3" t="s">
        <v>314</v>
      </c>
      <c r="E257" s="15" t="s">
        <v>315</v>
      </c>
      <c r="F257" s="15" t="e">
        <f>+VLOOKUP(D257,[1]Sheet1!$D$2:$E$29166,2,0)</f>
        <v>#N/A</v>
      </c>
      <c r="G257" s="3" t="s">
        <v>80</v>
      </c>
      <c r="H257" s="3">
        <v>75</v>
      </c>
      <c r="I257" s="18" t="e">
        <f t="array" ref="I257">INDEX([2]Sheet1!$F$1:$AF$65808,MATCH(D257&amp;G257&amp;I$1,[2]Sheet1!$B$1:$B$65808&amp;[2]Sheet1!$D$1:$D$65808&amp;[2]Sheet1!$E$1:$E$65808,0),MATCH(H257,[2]Sheet1!$F$1:$AF$1,0))</f>
        <v>#N/A</v>
      </c>
      <c r="J257" s="3">
        <v>3</v>
      </c>
      <c r="K257" s="3">
        <v>3</v>
      </c>
      <c r="L257" s="19"/>
      <c r="M257" s="19"/>
      <c r="N257" s="5" t="s">
        <v>519</v>
      </c>
      <c r="O257" s="4"/>
      <c r="P257" s="18">
        <v>360</v>
      </c>
      <c r="Q257" s="3"/>
      <c r="R257" s="6"/>
      <c r="S257" s="22"/>
      <c r="U257" s="23">
        <f t="shared" si="3"/>
        <v>18</v>
      </c>
      <c r="V257" s="24" t="s">
        <v>5</v>
      </c>
    </row>
    <row r="258" spans="1:22" ht="23.1" hidden="1" customHeight="1" x14ac:dyDescent="0.25">
      <c r="A258" s="1" t="s">
        <v>48</v>
      </c>
      <c r="D258" s="3" t="s">
        <v>314</v>
      </c>
      <c r="E258" s="15" t="s">
        <v>315</v>
      </c>
      <c r="F258" s="15" t="e">
        <f>+VLOOKUP(D258,[1]Sheet1!$D$2:$E$29166,2,0)</f>
        <v>#N/A</v>
      </c>
      <c r="G258" s="3" t="s">
        <v>80</v>
      </c>
      <c r="H258" s="3">
        <v>100</v>
      </c>
      <c r="I258" s="18" t="e">
        <f t="array" ref="I258">INDEX([2]Sheet1!$F$1:$AF$65808,MATCH(D258&amp;G258&amp;I$1,[2]Sheet1!$B$1:$B$65808&amp;[2]Sheet1!$D$1:$D$65808&amp;[2]Sheet1!$E$1:$E$65808,0),MATCH(H258,[2]Sheet1!$F$1:$AF$1,0))</f>
        <v>#N/A</v>
      </c>
      <c r="J258" s="3">
        <v>2</v>
      </c>
      <c r="K258" s="3">
        <v>2</v>
      </c>
      <c r="L258" s="19"/>
      <c r="M258" s="19"/>
      <c r="N258" s="5" t="s">
        <v>520</v>
      </c>
      <c r="O258" s="4"/>
      <c r="P258" s="18">
        <v>960</v>
      </c>
      <c r="Q258" s="3"/>
      <c r="R258" s="6"/>
      <c r="S258" s="22"/>
      <c r="U258" s="23">
        <f t="shared" si="3"/>
        <v>32</v>
      </c>
      <c r="V258" s="24" t="s">
        <v>5</v>
      </c>
    </row>
    <row r="259" spans="1:22" ht="23.1" hidden="1" customHeight="1" x14ac:dyDescent="0.25">
      <c r="A259" s="1" t="s">
        <v>53</v>
      </c>
      <c r="D259" s="3" t="s">
        <v>521</v>
      </c>
      <c r="E259" s="15" t="s">
        <v>87</v>
      </c>
      <c r="F259" s="15" t="str">
        <f>+VLOOKUP(D259,[1]Sheet1!$D$2:$E$29166,2,0)</f>
        <v>管接头</v>
      </c>
      <c r="G259" s="3" t="s">
        <v>46</v>
      </c>
      <c r="H259" s="3">
        <v>15</v>
      </c>
      <c r="I259" s="18" t="str">
        <f t="array" ref="I259">INDEX([2]Sheet1!$F$1:$AF$65808,MATCH(D259&amp;G259&amp;I$1,[2]Sheet1!$B$1:$B$65808&amp;[2]Sheet1!$D$1:$D$65808&amp;[2]Sheet1!$E$1:$E$65808,0),MATCH(H259,[2]Sheet1!$F$1:$AF$1,0))</f>
        <v>15/钳工</v>
      </c>
      <c r="J259" s="3">
        <v>80</v>
      </c>
      <c r="K259" s="3">
        <v>80</v>
      </c>
      <c r="L259" s="19"/>
      <c r="M259" s="19"/>
      <c r="N259" s="5" t="s">
        <v>102</v>
      </c>
      <c r="O259" s="4"/>
      <c r="P259" s="18" t="str">
        <f t="array" ref="P259">IFERROR(INDEX([2]Sheet1!$F$1:$AF$65808,MATCH($D259&amp;$G259&amp;P$1,[2]Sheet1!$B$1:$B$65808&amp;[2]Sheet1!$D$1:$D$65808&amp;[2]Sheet1!$E$1:$E$65808,0),MATCH($H259,[2]Sheet1!$F$1:$AF$1,0)),0)</f>
        <v>20</v>
      </c>
      <c r="Q259" s="3"/>
      <c r="R259" s="6"/>
      <c r="S259" s="22"/>
      <c r="U259" s="23">
        <f t="shared" ref="U259:U322" si="4">ROUND((K259*P259+Q259*S259)/60+T259,1)</f>
        <v>26.7</v>
      </c>
      <c r="V259" s="24" t="s">
        <v>5</v>
      </c>
    </row>
    <row r="260" spans="1:22" ht="23.1" hidden="1" customHeight="1" x14ac:dyDescent="0.25">
      <c r="A260" s="1" t="s">
        <v>121</v>
      </c>
      <c r="D260" s="3" t="s">
        <v>522</v>
      </c>
      <c r="E260" s="15" t="s">
        <v>523</v>
      </c>
      <c r="F260" s="15" t="str">
        <f>+VLOOKUP(D260,[1]Sheet1!$D$2:$E$29166,2,0)</f>
        <v>三通管接头</v>
      </c>
      <c r="G260" s="3" t="s">
        <v>46</v>
      </c>
      <c r="H260" s="3">
        <v>45</v>
      </c>
      <c r="I260" s="18" t="str">
        <f t="array" ref="I260">INDEX([2]Sheet1!$F$1:$AF$65808,MATCH(D260&amp;G260&amp;I$1,[2]Sheet1!$B$1:$B$65808&amp;[2]Sheet1!$D$1:$D$65808&amp;[2]Sheet1!$E$1:$E$65808,0),MATCH(H260,[2]Sheet1!$F$1:$AF$1,0))</f>
        <v>45/钳工</v>
      </c>
      <c r="J260" s="3">
        <v>20</v>
      </c>
      <c r="K260" s="3">
        <v>20</v>
      </c>
      <c r="L260" s="19">
        <v>8</v>
      </c>
      <c r="M260" s="19">
        <v>8</v>
      </c>
      <c r="N260" s="5" t="s">
        <v>56</v>
      </c>
      <c r="O260" s="4"/>
      <c r="P260" s="18">
        <f t="array" ref="P260">IFERROR(INDEX([2]Sheet1!$F$1:$AF$65808,MATCH($D260&amp;$G260&amp;P$1,[2]Sheet1!$B$1:$B$65808&amp;[2]Sheet1!$D$1:$D$65808&amp;[2]Sheet1!$E$1:$E$65808,0),MATCH($H260,[2]Sheet1!$F$1:$AF$1,0)),0)</f>
        <v>35</v>
      </c>
      <c r="Q260" s="3"/>
      <c r="R260" s="6"/>
      <c r="S260" s="22"/>
      <c r="U260" s="23">
        <f t="shared" si="4"/>
        <v>11.7</v>
      </c>
      <c r="V260" s="24" t="s">
        <v>15</v>
      </c>
    </row>
    <row r="261" spans="1:22" ht="23.1" hidden="1" customHeight="1" x14ac:dyDescent="0.25">
      <c r="A261" s="1" t="s">
        <v>121</v>
      </c>
      <c r="D261" s="3" t="s">
        <v>524</v>
      </c>
      <c r="E261" s="15" t="s">
        <v>76</v>
      </c>
      <c r="F261" s="15" t="str">
        <f>+VLOOKUP(D261,[1]Sheet1!$D$2:$E$29166,2,0)</f>
        <v>接管嘴</v>
      </c>
      <c r="G261" s="3" t="s">
        <v>46</v>
      </c>
      <c r="H261" s="3">
        <v>5</v>
      </c>
      <c r="I261" s="18" t="str">
        <f t="array" ref="I261">INDEX([2]Sheet1!$F$1:$AF$65808,MATCH(D261&amp;G261&amp;I$1,[2]Sheet1!$B$1:$B$65808&amp;[2]Sheet1!$D$1:$D$65808&amp;[2]Sheet1!$E$1:$E$65808,0),MATCH(H261,[2]Sheet1!$F$1:$AF$1,0))</f>
        <v>05/钳工</v>
      </c>
      <c r="J261" s="3">
        <v>5</v>
      </c>
      <c r="K261" s="3">
        <v>51</v>
      </c>
      <c r="L261" s="19">
        <v>8</v>
      </c>
      <c r="M261" s="19">
        <v>8</v>
      </c>
      <c r="N261" s="5" t="s">
        <v>525</v>
      </c>
      <c r="O261" s="4"/>
      <c r="P261" s="18">
        <f t="array" ref="P261">IFERROR(INDEX([2]Sheet1!$F$1:$AF$65808,MATCH($D261&amp;$G261&amp;P$1,[2]Sheet1!$B$1:$B$65808&amp;[2]Sheet1!$D$1:$D$65808&amp;[2]Sheet1!$E$1:$E$65808,0),MATCH($H261,[2]Sheet1!$F$1:$AF$1,0)),0)</f>
        <v>15</v>
      </c>
      <c r="Q261" s="3"/>
      <c r="R261" s="6"/>
      <c r="S261" s="22"/>
      <c r="U261" s="23">
        <f t="shared" si="4"/>
        <v>12.8</v>
      </c>
      <c r="V261" s="24" t="s">
        <v>15</v>
      </c>
    </row>
    <row r="262" spans="1:22" ht="23.1" hidden="1" customHeight="1" x14ac:dyDescent="0.25">
      <c r="A262" s="1" t="s">
        <v>121</v>
      </c>
      <c r="D262" s="3" t="s">
        <v>282</v>
      </c>
      <c r="E262" s="15" t="s">
        <v>76</v>
      </c>
      <c r="F262" s="15" t="str">
        <f>+VLOOKUP(D262,[1]Sheet1!$D$2:$E$29166,2,0)</f>
        <v>接管嘴</v>
      </c>
      <c r="G262" s="3" t="s">
        <v>46</v>
      </c>
      <c r="H262" s="3">
        <v>5</v>
      </c>
      <c r="I262" s="18" t="str">
        <f t="array" ref="I262">INDEX([2]Sheet1!$F$1:$AF$65808,MATCH(D262&amp;G262&amp;I$1,[2]Sheet1!$B$1:$B$65808&amp;[2]Sheet1!$D$1:$D$65808&amp;[2]Sheet1!$E$1:$E$65808,0),MATCH(H262,[2]Sheet1!$F$1:$AF$1,0))</f>
        <v>05/钳工</v>
      </c>
      <c r="K262" s="3">
        <v>37</v>
      </c>
      <c r="L262" s="19">
        <v>8</v>
      </c>
      <c r="M262" s="19">
        <v>8</v>
      </c>
      <c r="N262" s="5" t="s">
        <v>283</v>
      </c>
      <c r="O262" s="4"/>
      <c r="P262" s="18">
        <f t="array" ref="P262">IFERROR(INDEX([2]Sheet1!$F$1:$AF$65808,MATCH($D262&amp;$G262&amp;P$1,[2]Sheet1!$B$1:$B$65808&amp;[2]Sheet1!$D$1:$D$65808&amp;[2]Sheet1!$E$1:$E$65808,0),MATCH($H262,[2]Sheet1!$F$1:$AF$1,0)),0)</f>
        <v>15</v>
      </c>
      <c r="Q262" s="3"/>
      <c r="R262" s="6"/>
      <c r="S262" s="22"/>
      <c r="U262" s="23">
        <f t="shared" si="4"/>
        <v>9.3000000000000007</v>
      </c>
      <c r="V262" s="24" t="s">
        <v>15</v>
      </c>
    </row>
    <row r="263" spans="1:22" ht="23.1" hidden="1" customHeight="1" x14ac:dyDescent="0.25">
      <c r="A263" s="1" t="s">
        <v>121</v>
      </c>
      <c r="D263" s="3" t="s">
        <v>526</v>
      </c>
      <c r="E263" s="15" t="s">
        <v>523</v>
      </c>
      <c r="F263" s="15" t="str">
        <f>+VLOOKUP(D263,[1]Sheet1!$D$2:$E$29166,2,0)</f>
        <v>三通管接头</v>
      </c>
      <c r="G263" s="3" t="s">
        <v>114</v>
      </c>
      <c r="H263" s="3">
        <v>5</v>
      </c>
      <c r="I263" s="18" t="str">
        <f t="array" ref="I263">INDEX([2]Sheet1!$F$1:$AF$65808,MATCH(D263&amp;G263&amp;I$1,[2]Sheet1!$B$1:$B$65808&amp;[2]Sheet1!$D$1:$D$65808&amp;[2]Sheet1!$E$1:$E$65808,0),MATCH(H263,[2]Sheet1!$F$1:$AF$1,0))</f>
        <v>5/钳工</v>
      </c>
      <c r="K263" s="3">
        <v>5</v>
      </c>
      <c r="L263" s="19">
        <v>8</v>
      </c>
      <c r="M263" s="19">
        <v>8</v>
      </c>
      <c r="N263" s="5" t="s">
        <v>264</v>
      </c>
      <c r="O263" s="4"/>
      <c r="P263" s="18">
        <f t="array" ref="P263">IFERROR(INDEX([2]Sheet1!$F$1:$AF$65808,MATCH($D263&amp;$G263&amp;P$1,[2]Sheet1!$B$1:$B$65808&amp;[2]Sheet1!$D$1:$D$65808&amp;[2]Sheet1!$E$1:$E$65808,0),MATCH($H263,[2]Sheet1!$F$1:$AF$1,0)),0)</f>
        <v>15</v>
      </c>
      <c r="Q263" s="3"/>
      <c r="R263" s="6"/>
      <c r="S263" s="22"/>
      <c r="U263" s="23">
        <f t="shared" si="4"/>
        <v>1.3</v>
      </c>
      <c r="V263" s="24" t="s">
        <v>15</v>
      </c>
    </row>
    <row r="264" spans="1:22" ht="23.1" hidden="1" customHeight="1" x14ac:dyDescent="0.25">
      <c r="A264" s="1" t="s">
        <v>121</v>
      </c>
      <c r="D264" s="3" t="s">
        <v>527</v>
      </c>
      <c r="E264" s="15" t="s">
        <v>528</v>
      </c>
      <c r="F264" s="15" t="str">
        <f>+VLOOKUP(D264,[1]Sheet1!$D$2:$E$29166,2,0)</f>
        <v>传感器座</v>
      </c>
      <c r="G264" s="3" t="s">
        <v>80</v>
      </c>
      <c r="H264" s="3">
        <v>50</v>
      </c>
      <c r="I264" s="18" t="e">
        <f t="array" ref="I264">INDEX([2]Sheet1!$F$1:$AF$65808,MATCH(D264&amp;G264&amp;I$1,[2]Sheet1!$B$1:$B$65808&amp;[2]Sheet1!$D$1:$D$65808&amp;[2]Sheet1!$E$1:$E$65808,0),MATCH(H264,[2]Sheet1!$F$1:$AF$1,0))</f>
        <v>#N/A</v>
      </c>
      <c r="J264" s="3">
        <v>9</v>
      </c>
      <c r="K264" s="3">
        <v>9</v>
      </c>
      <c r="L264" s="19">
        <v>8</v>
      </c>
      <c r="M264" s="19">
        <v>8</v>
      </c>
      <c r="N264" s="5" t="s">
        <v>529</v>
      </c>
      <c r="O264" s="4"/>
      <c r="P264" s="18">
        <v>40</v>
      </c>
      <c r="Q264" s="3"/>
      <c r="R264" s="6"/>
      <c r="S264" s="22"/>
      <c r="U264" s="23">
        <f t="shared" si="4"/>
        <v>6</v>
      </c>
      <c r="V264" s="24" t="s">
        <v>15</v>
      </c>
    </row>
    <row r="265" spans="1:22" ht="23.1" hidden="1" customHeight="1" x14ac:dyDescent="0.25">
      <c r="A265" s="1" t="s">
        <v>121</v>
      </c>
      <c r="D265" s="3" t="s">
        <v>530</v>
      </c>
      <c r="E265" s="15" t="s">
        <v>531</v>
      </c>
      <c r="F265" s="15" t="str">
        <f>+VLOOKUP(D265,[1]Sheet1!$D$2:$E$29166,2,0)</f>
        <v>转接管接头</v>
      </c>
      <c r="G265" s="3" t="s">
        <v>46</v>
      </c>
      <c r="H265" s="3">
        <v>30</v>
      </c>
      <c r="I265" s="18" t="str">
        <f t="array" ref="I265">INDEX([2]Sheet1!$F$1:$AF$65808,MATCH(D265&amp;G265&amp;I$1,[2]Sheet1!$B$1:$B$65808&amp;[2]Sheet1!$D$1:$D$65808&amp;[2]Sheet1!$E$1:$E$65808,0),MATCH(H265,[2]Sheet1!$F$1:$AF$1,0))</f>
        <v>30/钳回牙</v>
      </c>
      <c r="J265" s="3">
        <v>27</v>
      </c>
      <c r="K265" s="3">
        <v>27</v>
      </c>
      <c r="L265" s="19">
        <v>8</v>
      </c>
      <c r="M265" s="19">
        <v>8</v>
      </c>
      <c r="N265" s="5" t="s">
        <v>88</v>
      </c>
      <c r="O265" s="4"/>
      <c r="P265" s="18" t="str">
        <f t="array" ref="P265">IFERROR(INDEX([2]Sheet1!$F$1:$AF$65808,MATCH($D265&amp;$G265&amp;P$1,[2]Sheet1!$B$1:$B$65808&amp;[2]Sheet1!$D$1:$D$65808&amp;[2]Sheet1!$E$1:$E$65808,0),MATCH($H265,[2]Sheet1!$F$1:$AF$1,0)),0)</f>
        <v>10</v>
      </c>
      <c r="Q265" s="3"/>
      <c r="R265" s="6"/>
      <c r="S265" s="22"/>
      <c r="U265" s="23">
        <f t="shared" si="4"/>
        <v>4.5</v>
      </c>
      <c r="V265" s="24" t="s">
        <v>15</v>
      </c>
    </row>
    <row r="266" spans="1:22" ht="23.1" hidden="1" customHeight="1" x14ac:dyDescent="0.25">
      <c r="A266" s="1" t="s">
        <v>48</v>
      </c>
      <c r="D266" s="3" t="s">
        <v>532</v>
      </c>
      <c r="E266" s="15" t="s">
        <v>396</v>
      </c>
      <c r="F266" s="15" t="e">
        <f>+VLOOKUP(D266,[1]Sheet1!$D$2:$E$29166,2,0)</f>
        <v>#N/A</v>
      </c>
      <c r="G266" s="3" t="s">
        <v>46</v>
      </c>
      <c r="H266" s="3">
        <v>30</v>
      </c>
      <c r="I266" s="18" t="e">
        <f t="array" ref="I266">INDEX([2]Sheet1!$F$1:$AF$65808,MATCH(D266&amp;G266&amp;I$1,[2]Sheet1!$B$1:$B$65808&amp;[2]Sheet1!$D$1:$D$65808&amp;[2]Sheet1!$E$1:$E$65808,0),MATCH(H266,[2]Sheet1!$F$1:$AF$1,0))</f>
        <v>#N/A</v>
      </c>
      <c r="K266" s="3">
        <v>20</v>
      </c>
      <c r="L266" s="19">
        <v>8</v>
      </c>
      <c r="M266" s="19">
        <v>8</v>
      </c>
      <c r="N266" s="5" t="s">
        <v>533</v>
      </c>
      <c r="O266" s="4"/>
      <c r="P266" s="18">
        <v>30</v>
      </c>
      <c r="Q266" s="3"/>
      <c r="R266" s="6"/>
      <c r="S266" s="22"/>
      <c r="U266" s="23">
        <f t="shared" si="4"/>
        <v>10</v>
      </c>
      <c r="V266" s="24" t="s">
        <v>15</v>
      </c>
    </row>
    <row r="267" spans="1:22" ht="23.1" hidden="1" customHeight="1" x14ac:dyDescent="0.25">
      <c r="A267" s="1" t="s">
        <v>48</v>
      </c>
      <c r="D267" s="3" t="s">
        <v>532</v>
      </c>
      <c r="E267" s="15" t="s">
        <v>396</v>
      </c>
      <c r="F267" s="15" t="e">
        <f>+VLOOKUP(D267,[1]Sheet1!$D$2:$E$29166,2,0)</f>
        <v>#N/A</v>
      </c>
      <c r="G267" s="3" t="s">
        <v>46</v>
      </c>
      <c r="H267" s="3">
        <v>30</v>
      </c>
      <c r="I267" s="18" t="e">
        <f t="array" ref="I267">INDEX([2]Sheet1!$F$1:$AF$65808,MATCH(D267&amp;G267&amp;I$1,[2]Sheet1!$B$1:$B$65808&amp;[2]Sheet1!$D$1:$D$65808&amp;[2]Sheet1!$E$1:$E$65808,0),MATCH(H267,[2]Sheet1!$F$1:$AF$1,0))</f>
        <v>#N/A</v>
      </c>
      <c r="K267" s="3">
        <v>18</v>
      </c>
      <c r="L267" s="19">
        <v>8</v>
      </c>
      <c r="M267" s="19">
        <v>8</v>
      </c>
      <c r="N267" s="5" t="s">
        <v>534</v>
      </c>
      <c r="O267" s="4"/>
      <c r="P267" s="18">
        <v>30</v>
      </c>
      <c r="Q267" s="3"/>
      <c r="R267" s="6"/>
      <c r="S267" s="22"/>
      <c r="U267" s="23">
        <f t="shared" si="4"/>
        <v>9</v>
      </c>
      <c r="V267" s="24" t="s">
        <v>15</v>
      </c>
    </row>
    <row r="268" spans="1:22" ht="23.1" hidden="1" customHeight="1" x14ac:dyDescent="0.25">
      <c r="A268" s="1" t="s">
        <v>53</v>
      </c>
      <c r="D268" s="3" t="s">
        <v>535</v>
      </c>
      <c r="E268" s="15" t="s">
        <v>446</v>
      </c>
      <c r="F268" s="15" t="e">
        <f>+VLOOKUP(D268,[1]Sheet1!$D$2:$E$29166,2,0)</f>
        <v>#N/A</v>
      </c>
      <c r="G268" s="3" t="s">
        <v>80</v>
      </c>
      <c r="H268" s="3">
        <v>110</v>
      </c>
      <c r="I268" s="18" t="e">
        <f t="array" ref="I268">INDEX([2]Sheet1!$F$1:$AF$65808,MATCH(D268&amp;G268&amp;I$1,[2]Sheet1!$B$1:$B$65808&amp;[2]Sheet1!$D$1:$D$65808&amp;[2]Sheet1!$E$1:$E$65808,0),MATCH(H268,[2]Sheet1!$F$1:$AF$1,0))</f>
        <v>#N/A</v>
      </c>
      <c r="K268" s="3">
        <v>2</v>
      </c>
      <c r="L268" s="19">
        <v>8</v>
      </c>
      <c r="M268" s="19">
        <v>8</v>
      </c>
      <c r="N268" s="5" t="s">
        <v>95</v>
      </c>
      <c r="O268" s="4"/>
      <c r="P268" s="18">
        <v>480</v>
      </c>
      <c r="Q268" s="3"/>
      <c r="R268" s="6"/>
      <c r="S268" s="22"/>
      <c r="U268" s="23">
        <f t="shared" si="4"/>
        <v>16</v>
      </c>
      <c r="V268" s="24" t="s">
        <v>15</v>
      </c>
    </row>
    <row r="269" spans="1:22" ht="23.1" hidden="1" customHeight="1" x14ac:dyDescent="0.25">
      <c r="A269" s="1" t="s">
        <v>53</v>
      </c>
      <c r="D269" s="3" t="s">
        <v>338</v>
      </c>
      <c r="E269" s="15" t="s">
        <v>339</v>
      </c>
      <c r="F269" s="15" t="str">
        <f>+VLOOKUP(D269,[1]Sheet1!$D$2:$E$29166,2,0)</f>
        <v>11140框右下半框</v>
      </c>
      <c r="G269" s="3" t="s">
        <v>147</v>
      </c>
      <c r="H269" s="3">
        <v>60</v>
      </c>
      <c r="I269" s="18" t="str">
        <f t="array" ref="I269">INDEX([2]Sheet1!$F$1:$AF$65808,MATCH(D269&amp;G269&amp;I$1,[2]Sheet1!$B$1:$B$65808&amp;[2]Sheet1!$D$1:$D$65808&amp;[2]Sheet1!$E$1:$E$65808,0),MATCH(H269,[2]Sheet1!$F$1:$AF$1,0))</f>
        <v>60/钳工</v>
      </c>
      <c r="K269" s="3">
        <v>1</v>
      </c>
      <c r="L269" s="19">
        <v>8</v>
      </c>
      <c r="M269" s="19">
        <v>8</v>
      </c>
      <c r="N269" s="5" t="s">
        <v>440</v>
      </c>
      <c r="O269" s="4"/>
      <c r="P269" s="18">
        <f t="array" ref="P269">IFERROR(INDEX([2]Sheet1!$F$1:$AF$65808,MATCH($D269&amp;$G269&amp;P$1,[2]Sheet1!$B$1:$B$65808&amp;[2]Sheet1!$D$1:$D$65808&amp;[2]Sheet1!$E$1:$E$65808,0),MATCH($H269,[2]Sheet1!$F$1:$AF$1,0)),0)</f>
        <v>560</v>
      </c>
      <c r="Q269" s="3"/>
      <c r="R269" s="6"/>
      <c r="S269" s="22"/>
      <c r="U269" s="23">
        <f t="shared" si="4"/>
        <v>9.3000000000000007</v>
      </c>
      <c r="V269" s="24" t="s">
        <v>15</v>
      </c>
    </row>
    <row r="270" spans="1:22" ht="23.1" hidden="1" customHeight="1" x14ac:dyDescent="0.25">
      <c r="A270" s="1" t="s">
        <v>58</v>
      </c>
      <c r="D270" s="3" t="s">
        <v>536</v>
      </c>
      <c r="E270" s="15" t="s">
        <v>87</v>
      </c>
      <c r="F270" s="15" t="str">
        <f>+VLOOKUP(D270,[1]Sheet1!$D$2:$E$29166,2,0)</f>
        <v>管接头</v>
      </c>
      <c r="G270" s="3" t="s">
        <v>64</v>
      </c>
      <c r="H270" s="3">
        <v>35</v>
      </c>
      <c r="I270" s="18" t="str">
        <f t="array" ref="I270">INDEX([2]Sheet1!$F$1:$AF$65808,MATCH(D270&amp;G270&amp;I$1,[2]Sheet1!$B$1:$B$65808&amp;[2]Sheet1!$D$1:$D$65808&amp;[2]Sheet1!$E$1:$E$65808,0),MATCH(H270,[2]Sheet1!$F$1:$AF$1,0))</f>
        <v>35/钳工</v>
      </c>
      <c r="K270" s="3">
        <v>20</v>
      </c>
      <c r="L270" s="19">
        <v>8</v>
      </c>
      <c r="M270" s="19">
        <v>8</v>
      </c>
      <c r="N270" s="5" t="s">
        <v>105</v>
      </c>
      <c r="O270" s="4"/>
      <c r="P270" s="18">
        <f t="array" ref="P270">IFERROR(INDEX([2]Sheet1!$F$1:$AF$65808,MATCH($D270&amp;$G270&amp;P$1,[2]Sheet1!$B$1:$B$65808&amp;[2]Sheet1!$D$1:$D$65808&amp;[2]Sheet1!$E$1:$E$65808,0),MATCH($H270,[2]Sheet1!$F$1:$AF$1,0)),0)</f>
        <v>25</v>
      </c>
      <c r="Q270" s="3"/>
      <c r="R270" s="6"/>
      <c r="S270" s="22"/>
      <c r="U270" s="23">
        <f t="shared" si="4"/>
        <v>8.3000000000000007</v>
      </c>
      <c r="V270" s="24" t="s">
        <v>15</v>
      </c>
    </row>
    <row r="271" spans="1:22" ht="23.1" hidden="1" customHeight="1" x14ac:dyDescent="0.25">
      <c r="A271" s="1" t="s">
        <v>58</v>
      </c>
      <c r="D271" s="3" t="s">
        <v>537</v>
      </c>
      <c r="E271" s="15" t="s">
        <v>538</v>
      </c>
      <c r="F271" s="15" t="str">
        <f>+VLOOKUP(D271,[1]Sheet1!$D$2:$E$29166,2,0)</f>
        <v>7号护板维型肋右件</v>
      </c>
      <c r="G271" s="3" t="s">
        <v>46</v>
      </c>
      <c r="H271" s="3">
        <v>30</v>
      </c>
      <c r="I271" s="18" t="str">
        <f t="array" ref="I271">INDEX([2]Sheet1!$F$1:$AF$65808,MATCH(D271&amp;G271&amp;I$1,[2]Sheet1!$B$1:$B$65808&amp;[2]Sheet1!$D$1:$D$65808&amp;[2]Sheet1!$E$1:$E$65808,0),MATCH(H271,[2]Sheet1!$F$1:$AF$1,0))</f>
        <v>30/钳工</v>
      </c>
      <c r="K271" s="3">
        <v>22</v>
      </c>
      <c r="L271" s="19">
        <v>8</v>
      </c>
      <c r="M271" s="19">
        <v>8</v>
      </c>
      <c r="N271" s="5" t="s">
        <v>92</v>
      </c>
      <c r="O271" s="4"/>
      <c r="P271" s="18">
        <f t="array" ref="P271">IFERROR(INDEX([2]Sheet1!$F$1:$AF$65808,MATCH($D271&amp;$G271&amp;P$1,[2]Sheet1!$B$1:$B$65808&amp;[2]Sheet1!$D$1:$D$65808&amp;[2]Sheet1!$E$1:$E$65808,0),MATCH($H271,[2]Sheet1!$F$1:$AF$1,0)),0)</f>
        <v>45</v>
      </c>
      <c r="Q271" s="3"/>
      <c r="R271" s="6"/>
      <c r="S271" s="22"/>
      <c r="U271" s="23">
        <f t="shared" si="4"/>
        <v>16.5</v>
      </c>
      <c r="V271" s="24" t="s">
        <v>15</v>
      </c>
    </row>
    <row r="272" spans="1:22" ht="23.1" hidden="1" customHeight="1" x14ac:dyDescent="0.25">
      <c r="A272" s="1" t="s">
        <v>58</v>
      </c>
      <c r="D272" s="3" t="s">
        <v>539</v>
      </c>
      <c r="E272" s="15" t="s">
        <v>540</v>
      </c>
      <c r="F272" s="15" t="str">
        <f>+VLOOKUP(D272,[1]Sheet1!$D$2:$E$29166,2,0)</f>
        <v>变径三通管接头</v>
      </c>
      <c r="G272" s="3" t="s">
        <v>51</v>
      </c>
      <c r="H272" s="3">
        <v>45</v>
      </c>
      <c r="I272" s="18" t="str">
        <f t="array" ref="I272">INDEX([2]Sheet1!$F$1:$AF$65808,MATCH(D272&amp;G272&amp;I$1,[2]Sheet1!$B$1:$B$65808&amp;[2]Sheet1!$D$1:$D$65808&amp;[2]Sheet1!$E$1:$E$65808,0),MATCH(H272,[2]Sheet1!$F$1:$AF$1,0))</f>
        <v>45/钳工</v>
      </c>
      <c r="K272" s="3">
        <v>19</v>
      </c>
      <c r="L272" s="19">
        <v>8</v>
      </c>
      <c r="M272" s="19">
        <v>8</v>
      </c>
      <c r="N272" s="5" t="s">
        <v>286</v>
      </c>
      <c r="O272" s="4"/>
      <c r="P272" s="18" t="str">
        <f t="array" ref="P272">IFERROR(INDEX([2]Sheet1!$F$1:$AF$65808,MATCH($D272&amp;$G272&amp;P$1,[2]Sheet1!$B$1:$B$65808&amp;[2]Sheet1!$D$1:$D$65808&amp;[2]Sheet1!$E$1:$E$65808,0),MATCH($H272,[2]Sheet1!$F$1:$AF$1,0)),0)</f>
        <v>35</v>
      </c>
      <c r="Q272" s="3"/>
      <c r="R272" s="6"/>
      <c r="S272" s="22"/>
      <c r="U272" s="23">
        <f t="shared" si="4"/>
        <v>11.1</v>
      </c>
      <c r="V272" s="24" t="s">
        <v>15</v>
      </c>
    </row>
    <row r="273" spans="1:24" ht="23.1" hidden="1" customHeight="1" x14ac:dyDescent="0.25">
      <c r="A273" s="1" t="s">
        <v>65</v>
      </c>
      <c r="D273" s="3" t="s">
        <v>541</v>
      </c>
      <c r="E273" s="15" t="s">
        <v>120</v>
      </c>
      <c r="F273" s="15" t="str">
        <f>+VLOOKUP(D273,[1]Sheet1!$D$2:$E$29166,2,0)</f>
        <v>支架</v>
      </c>
      <c r="G273" s="3" t="s">
        <v>51</v>
      </c>
      <c r="H273" s="3">
        <v>55</v>
      </c>
      <c r="I273" s="18" t="str">
        <f t="array" ref="I273">INDEX([2]Sheet1!$F$1:$AF$65808,MATCH(D273&amp;G273&amp;I$1,[2]Sheet1!$B$1:$B$65808&amp;[2]Sheet1!$D$1:$D$65808&amp;[2]Sheet1!$E$1:$E$65808,0),MATCH(H273,[2]Sheet1!$F$1:$AF$1,0))</f>
        <v>55/钳工</v>
      </c>
      <c r="K273" s="3">
        <v>12</v>
      </c>
      <c r="L273" s="19">
        <v>8</v>
      </c>
      <c r="M273" s="19">
        <v>8</v>
      </c>
      <c r="N273" s="5" t="s">
        <v>508</v>
      </c>
      <c r="O273" s="4"/>
      <c r="P273" s="18">
        <f t="array" ref="P273">IFERROR(INDEX([2]Sheet1!$F$1:$AF$65808,MATCH($D273&amp;$G273&amp;P$1,[2]Sheet1!$B$1:$B$65808&amp;[2]Sheet1!$D$1:$D$65808&amp;[2]Sheet1!$E$1:$E$65808,0),MATCH($H273,[2]Sheet1!$F$1:$AF$1,0)),0)</f>
        <v>60</v>
      </c>
      <c r="Q273" s="3"/>
      <c r="R273" s="6"/>
      <c r="S273" s="22"/>
      <c r="U273" s="23">
        <f t="shared" si="4"/>
        <v>12</v>
      </c>
      <c r="V273" s="24" t="s">
        <v>15</v>
      </c>
    </row>
    <row r="274" spans="1:24" ht="23.1" hidden="1" customHeight="1" x14ac:dyDescent="0.25">
      <c r="A274" s="1" t="s">
        <v>71</v>
      </c>
      <c r="D274" s="3" t="s">
        <v>542</v>
      </c>
      <c r="E274" s="15" t="s">
        <v>543</v>
      </c>
      <c r="F274" s="15" t="str">
        <f>+VLOOKUP(D274,[1]Sheet1!$D$2:$E$29166,2,0)</f>
        <v>支片5</v>
      </c>
      <c r="H274" s="3" t="s">
        <v>340</v>
      </c>
      <c r="I274" s="18" t="e">
        <f t="array" ref="I274">INDEX([2]Sheet1!$F$1:$AF$65808,MATCH(D274&amp;G274&amp;I$1,[2]Sheet1!$B$1:$B$65808&amp;[2]Sheet1!$D$1:$D$65808&amp;[2]Sheet1!$E$1:$E$65808,0),MATCH(H274,[2]Sheet1!$F$1:$AF$1,0))</f>
        <v>#N/A</v>
      </c>
      <c r="K274" s="3">
        <v>24</v>
      </c>
      <c r="L274" s="19">
        <v>8</v>
      </c>
      <c r="M274" s="19">
        <v>8</v>
      </c>
      <c r="N274" s="5" t="s">
        <v>544</v>
      </c>
      <c r="O274" s="4"/>
      <c r="P274" s="18">
        <v>50</v>
      </c>
      <c r="Q274" s="3"/>
      <c r="R274" s="6"/>
      <c r="S274" s="22"/>
      <c r="U274" s="23">
        <f t="shared" si="4"/>
        <v>20</v>
      </c>
      <c r="V274" s="24" t="s">
        <v>15</v>
      </c>
      <c r="W274" s="7" t="s">
        <v>545</v>
      </c>
      <c r="X274" s="7" t="s">
        <v>203</v>
      </c>
    </row>
    <row r="275" spans="1:24" ht="23.1" hidden="1" customHeight="1" x14ac:dyDescent="0.25">
      <c r="A275" s="1" t="s">
        <v>74</v>
      </c>
      <c r="D275" s="3" t="s">
        <v>546</v>
      </c>
      <c r="E275" s="15" t="s">
        <v>547</v>
      </c>
      <c r="F275" s="15" t="str">
        <f>+VLOOKUP(D275,[1]Sheet1!$D$2:$E$29166,2,0)</f>
        <v>壳体</v>
      </c>
      <c r="G275" s="3" t="s">
        <v>46</v>
      </c>
      <c r="H275" s="3">
        <v>25</v>
      </c>
      <c r="I275" s="18" t="str">
        <f t="array" ref="I275">INDEX([2]Sheet1!$F$1:$AF$65808,MATCH(D275&amp;G275&amp;I$1,[2]Sheet1!$B$1:$B$65808&amp;[2]Sheet1!$D$1:$D$65808&amp;[2]Sheet1!$E$1:$E$65808,0),MATCH(H275,[2]Sheet1!$F$1:$AF$1,0))</f>
        <v>25/钳工</v>
      </c>
      <c r="K275" s="3">
        <v>150</v>
      </c>
      <c r="L275" s="19">
        <v>8</v>
      </c>
      <c r="M275" s="19">
        <v>8</v>
      </c>
      <c r="N275" s="5" t="s">
        <v>520</v>
      </c>
      <c r="O275" s="4"/>
      <c r="P275" s="18" t="str">
        <f t="array" ref="P275">IFERROR(INDEX([2]Sheet1!$F$1:$AF$65808,MATCH($D275&amp;$G275&amp;P$1,[2]Sheet1!$B$1:$B$65808&amp;[2]Sheet1!$D$1:$D$65808&amp;[2]Sheet1!$E$1:$E$65808,0),MATCH($H275,[2]Sheet1!$F$1:$AF$1,0)),0)</f>
        <v>30</v>
      </c>
      <c r="Q275" s="3"/>
      <c r="R275" s="6"/>
      <c r="S275" s="22"/>
      <c r="U275" s="23">
        <f t="shared" si="4"/>
        <v>75</v>
      </c>
      <c r="V275" s="24" t="s">
        <v>15</v>
      </c>
    </row>
    <row r="276" spans="1:24" ht="23.1" hidden="1" customHeight="1" x14ac:dyDescent="0.25">
      <c r="A276" s="1" t="s">
        <v>82</v>
      </c>
      <c r="D276" s="3" t="s">
        <v>269</v>
      </c>
      <c r="E276" s="15" t="s">
        <v>270</v>
      </c>
      <c r="F276" s="15" t="str">
        <f>+VLOOKUP(D276,[1]Sheet1!$D$2:$E$29166,2,0)</f>
        <v>转接嘴</v>
      </c>
      <c r="G276" s="3" t="s">
        <v>46</v>
      </c>
      <c r="H276" s="3" t="s">
        <v>340</v>
      </c>
      <c r="I276" s="18" t="e">
        <f t="array" ref="I276">INDEX([2]Sheet1!$F$1:$AF$65808,MATCH(D276&amp;G276&amp;I$1,[2]Sheet1!$B$1:$B$65808&amp;[2]Sheet1!$D$1:$D$65808&amp;[2]Sheet1!$E$1:$E$65808,0),MATCH(H276,[2]Sheet1!$F$1:$AF$1,0))</f>
        <v>#N/A</v>
      </c>
      <c r="K276" s="3">
        <v>22</v>
      </c>
      <c r="L276" s="19">
        <v>8</v>
      </c>
      <c r="M276" s="19">
        <v>8</v>
      </c>
      <c r="N276" s="5" t="s">
        <v>88</v>
      </c>
      <c r="O276" s="4"/>
      <c r="P276" s="18">
        <v>5</v>
      </c>
      <c r="Q276" s="3"/>
      <c r="R276" s="6"/>
      <c r="S276" s="22"/>
      <c r="U276" s="23">
        <f t="shared" si="4"/>
        <v>1.8</v>
      </c>
      <c r="V276" s="24" t="s">
        <v>15</v>
      </c>
      <c r="W276" s="7" t="s">
        <v>511</v>
      </c>
      <c r="X276" s="7" t="s">
        <v>203</v>
      </c>
    </row>
    <row r="277" spans="1:24" ht="23.1" hidden="1" customHeight="1" x14ac:dyDescent="0.25">
      <c r="A277" s="1" t="s">
        <v>82</v>
      </c>
      <c r="D277" s="3" t="s">
        <v>548</v>
      </c>
      <c r="E277" s="15" t="s">
        <v>523</v>
      </c>
      <c r="F277" s="15" t="str">
        <f>+VLOOKUP(D277,[1]Sheet1!$D$2:$E$29166,2,0)</f>
        <v>三通管接头</v>
      </c>
      <c r="G277" s="3" t="s">
        <v>64</v>
      </c>
      <c r="H277" s="3">
        <v>10</v>
      </c>
      <c r="I277" s="18" t="str">
        <f t="array" ref="I277">INDEX([2]Sheet1!$F$1:$AF$65808,MATCH(D277&amp;G277&amp;I$1,[2]Sheet1!$B$1:$B$65808&amp;[2]Sheet1!$D$1:$D$65808&amp;[2]Sheet1!$E$1:$E$65808,0),MATCH(H277,[2]Sheet1!$F$1:$AF$1,0))</f>
        <v>5/钳工</v>
      </c>
      <c r="K277" s="3">
        <v>13</v>
      </c>
      <c r="L277" s="19">
        <v>8</v>
      </c>
      <c r="M277" s="19">
        <v>8</v>
      </c>
      <c r="N277" s="5" t="s">
        <v>295</v>
      </c>
      <c r="O277" s="4"/>
      <c r="P277" s="18">
        <f t="array" ref="P277">IFERROR(INDEX([2]Sheet1!$F$1:$AF$65808,MATCH($D277&amp;$G277&amp;P$1,[2]Sheet1!$B$1:$B$65808&amp;[2]Sheet1!$D$1:$D$65808&amp;[2]Sheet1!$E$1:$E$65808,0),MATCH($H277,[2]Sheet1!$F$1:$AF$1,0)),0)</f>
        <v>20</v>
      </c>
      <c r="Q277" s="3"/>
      <c r="R277" s="6"/>
      <c r="S277" s="22"/>
      <c r="U277" s="23">
        <f t="shared" si="4"/>
        <v>4.3</v>
      </c>
      <c r="V277" s="24" t="s">
        <v>15</v>
      </c>
    </row>
    <row r="278" spans="1:24" ht="23.1" hidden="1" customHeight="1" x14ac:dyDescent="0.25">
      <c r="A278" s="1" t="s">
        <v>89</v>
      </c>
      <c r="D278" s="3" t="s">
        <v>549</v>
      </c>
      <c r="E278" s="15" t="s">
        <v>76</v>
      </c>
      <c r="F278" s="15" t="str">
        <f>+VLOOKUP(D278,[1]Sheet1!$D$2:$E$29166,2,0)</f>
        <v>接管嘴</v>
      </c>
      <c r="G278" s="3" t="s">
        <v>46</v>
      </c>
      <c r="H278" s="3">
        <v>5</v>
      </c>
      <c r="I278" s="18" t="str">
        <f t="array" ref="I278">INDEX([2]Sheet1!$F$1:$AF$65808,MATCH(D278&amp;G278&amp;I$1,[2]Sheet1!$B$1:$B$65808&amp;[2]Sheet1!$D$1:$D$65808&amp;[2]Sheet1!$E$1:$E$65808,0),MATCH(H278,[2]Sheet1!$F$1:$AF$1,0))</f>
        <v>05/钳工</v>
      </c>
      <c r="K278" s="3">
        <v>68</v>
      </c>
      <c r="L278" s="19">
        <v>8</v>
      </c>
      <c r="M278" s="19">
        <v>8</v>
      </c>
      <c r="N278" s="5" t="s">
        <v>550</v>
      </c>
      <c r="O278" s="4"/>
      <c r="P278" s="18">
        <f t="array" ref="P278">IFERROR(INDEX([2]Sheet1!$F$1:$AF$65808,MATCH($D278&amp;$G278&amp;P$1,[2]Sheet1!$B$1:$B$65808&amp;[2]Sheet1!$D$1:$D$65808&amp;[2]Sheet1!$E$1:$E$65808,0),MATCH($H278,[2]Sheet1!$F$1:$AF$1,0)),0)</f>
        <v>15</v>
      </c>
      <c r="Q278" s="3"/>
      <c r="R278" s="6"/>
      <c r="S278" s="22"/>
      <c r="U278" s="23">
        <f t="shared" si="4"/>
        <v>17</v>
      </c>
      <c r="V278" s="24" t="s">
        <v>15</v>
      </c>
    </row>
    <row r="279" spans="1:24" ht="23.1" hidden="1" customHeight="1" x14ac:dyDescent="0.25">
      <c r="A279" s="1" t="s">
        <v>89</v>
      </c>
      <c r="D279" s="3" t="s">
        <v>524</v>
      </c>
      <c r="E279" s="15" t="s">
        <v>76</v>
      </c>
      <c r="F279" s="15" t="str">
        <f>+VLOOKUP(D279,[1]Sheet1!$D$2:$E$29166,2,0)</f>
        <v>接管嘴</v>
      </c>
      <c r="G279" s="3" t="s">
        <v>46</v>
      </c>
      <c r="H279" s="3">
        <v>25</v>
      </c>
      <c r="I279" s="18" t="str">
        <f t="array" ref="I279">INDEX([2]Sheet1!$F$1:$AF$65808,MATCH(D279&amp;G279&amp;I$1,[2]Sheet1!$B$1:$B$65808&amp;[2]Sheet1!$D$1:$D$65808&amp;[2]Sheet1!$E$1:$E$65808,0),MATCH(H279,[2]Sheet1!$F$1:$AF$1,0))</f>
        <v>25/钳工</v>
      </c>
      <c r="K279" s="3">
        <v>50</v>
      </c>
      <c r="L279" s="19">
        <v>8</v>
      </c>
      <c r="M279" s="19">
        <v>8</v>
      </c>
      <c r="N279" s="5" t="s">
        <v>525</v>
      </c>
      <c r="O279" s="4"/>
      <c r="P279" s="18">
        <f t="array" ref="P279">IFERROR(INDEX([2]Sheet1!$F$1:$AF$65808,MATCH($D279&amp;$G279&amp;P$1,[2]Sheet1!$B$1:$B$65808&amp;[2]Sheet1!$D$1:$D$65808&amp;[2]Sheet1!$E$1:$E$65808,0),MATCH($H279,[2]Sheet1!$F$1:$AF$1,0)),0)</f>
        <v>30</v>
      </c>
      <c r="Q279" s="3"/>
      <c r="R279" s="6"/>
      <c r="S279" s="22"/>
      <c r="U279" s="23">
        <f t="shared" si="4"/>
        <v>25</v>
      </c>
      <c r="V279" s="24" t="s">
        <v>15</v>
      </c>
    </row>
    <row r="280" spans="1:24" ht="23.1" hidden="1" customHeight="1" x14ac:dyDescent="0.25">
      <c r="A280" s="1" t="s">
        <v>100</v>
      </c>
      <c r="D280" s="3" t="s">
        <v>548</v>
      </c>
      <c r="E280" s="15" t="s">
        <v>523</v>
      </c>
      <c r="F280" s="15" t="str">
        <f>+VLOOKUP(D280,[1]Sheet1!$D$2:$E$29166,2,0)</f>
        <v>三通管接头</v>
      </c>
      <c r="G280" s="3" t="s">
        <v>64</v>
      </c>
      <c r="H280" s="3">
        <v>35</v>
      </c>
      <c r="I280" s="18" t="str">
        <f t="array" ref="I280">INDEX([2]Sheet1!$F$1:$AF$65808,MATCH(D280&amp;G280&amp;I$1,[2]Sheet1!$B$1:$B$65808&amp;[2]Sheet1!$D$1:$D$65808&amp;[2]Sheet1!$E$1:$E$65808,0),MATCH(H280,[2]Sheet1!$F$1:$AF$1,0))</f>
        <v>30/数车20</v>
      </c>
      <c r="K280" s="3">
        <v>13</v>
      </c>
      <c r="L280" s="19">
        <v>8</v>
      </c>
      <c r="M280" s="19">
        <v>8</v>
      </c>
      <c r="N280" s="5" t="s">
        <v>295</v>
      </c>
      <c r="O280" s="4"/>
      <c r="P280" s="18" t="str">
        <f t="array" ref="P280">IFERROR(INDEX([2]Sheet1!$F$1:$AF$65808,MATCH($D280&amp;$G280&amp;P$1,[2]Sheet1!$B$1:$B$65808&amp;[2]Sheet1!$D$1:$D$65808&amp;[2]Sheet1!$E$1:$E$65808,0),MATCH($H280,[2]Sheet1!$F$1:$AF$1,0)),0)</f>
        <v>30</v>
      </c>
      <c r="Q280" s="3"/>
      <c r="R280" s="6"/>
      <c r="S280" s="22"/>
      <c r="U280" s="23">
        <f t="shared" si="4"/>
        <v>6.5</v>
      </c>
      <c r="V280" s="24" t="s">
        <v>15</v>
      </c>
    </row>
    <row r="281" spans="1:24" ht="23.1" hidden="1" customHeight="1" x14ac:dyDescent="0.25">
      <c r="A281" s="1" t="s">
        <v>103</v>
      </c>
      <c r="D281" s="3" t="s">
        <v>282</v>
      </c>
      <c r="E281" s="15" t="s">
        <v>76</v>
      </c>
      <c r="F281" s="15" t="str">
        <f>+VLOOKUP(D281,[1]Sheet1!$D$2:$E$29166,2,0)</f>
        <v>接管嘴</v>
      </c>
      <c r="G281" s="3" t="s">
        <v>46</v>
      </c>
      <c r="H281" s="3">
        <v>30</v>
      </c>
      <c r="I281" s="18" t="str">
        <f t="array" ref="I281">INDEX([2]Sheet1!$F$1:$AF$65808,MATCH(D281&amp;G281&amp;I$1,[2]Sheet1!$B$1:$B$65808&amp;[2]Sheet1!$D$1:$D$65808&amp;[2]Sheet1!$E$1:$E$65808,0),MATCH(H281,[2]Sheet1!$F$1:$AF$1,0))</f>
        <v>30/钳工</v>
      </c>
      <c r="K281" s="3">
        <v>18</v>
      </c>
      <c r="L281" s="19">
        <v>8</v>
      </c>
      <c r="M281" s="19">
        <v>8</v>
      </c>
      <c r="N281" s="5" t="s">
        <v>551</v>
      </c>
      <c r="O281" s="4"/>
      <c r="P281" s="18">
        <f t="array" ref="P281">IFERROR(INDEX([2]Sheet1!$F$1:$AF$65808,MATCH($D281&amp;$G281&amp;P$1,[2]Sheet1!$B$1:$B$65808&amp;[2]Sheet1!$D$1:$D$65808&amp;[2]Sheet1!$E$1:$E$65808,0),MATCH($H281,[2]Sheet1!$F$1:$AF$1,0)),0)</f>
        <v>40</v>
      </c>
      <c r="Q281" s="3"/>
      <c r="R281" s="6"/>
      <c r="S281" s="22"/>
      <c r="U281" s="23">
        <f t="shared" si="4"/>
        <v>12</v>
      </c>
      <c r="V281" s="24" t="s">
        <v>15</v>
      </c>
    </row>
    <row r="282" spans="1:24" ht="23.1" hidden="1" customHeight="1" x14ac:dyDescent="0.25">
      <c r="A282" s="1" t="s">
        <v>103</v>
      </c>
      <c r="D282" s="3" t="s">
        <v>552</v>
      </c>
      <c r="E282" s="15" t="s">
        <v>553</v>
      </c>
      <c r="F282" s="15" t="str">
        <f>+VLOOKUP(D282,[1]Sheet1!$D$2:$E$29166,2,0)</f>
        <v>变径四通管接头</v>
      </c>
      <c r="G282" s="3" t="s">
        <v>51</v>
      </c>
      <c r="H282" s="3">
        <v>10</v>
      </c>
      <c r="I282" s="18" t="str">
        <f t="array" ref="I282">INDEX([2]Sheet1!$F$1:$AF$65808,MATCH(D282&amp;G282&amp;I$1,[2]Sheet1!$B$1:$B$65808&amp;[2]Sheet1!$D$1:$D$65808&amp;[2]Sheet1!$E$1:$E$65808,0),MATCH(H282,[2]Sheet1!$F$1:$AF$1,0))</f>
        <v>10/钳工</v>
      </c>
      <c r="K282" s="3">
        <v>8</v>
      </c>
      <c r="L282" s="19">
        <v>8</v>
      </c>
      <c r="M282" s="19">
        <v>8</v>
      </c>
      <c r="N282" s="5" t="s">
        <v>295</v>
      </c>
      <c r="O282" s="4"/>
      <c r="P282" s="18">
        <f t="array" ref="P282">IFERROR(INDEX([2]Sheet1!$F$1:$AF$65808,MATCH($D282&amp;$G282&amp;P$1,[2]Sheet1!$B$1:$B$65808&amp;[2]Sheet1!$D$1:$D$65808&amp;[2]Sheet1!$E$1:$E$65808,0),MATCH($H282,[2]Sheet1!$F$1:$AF$1,0)),0)</f>
        <v>20</v>
      </c>
      <c r="Q282" s="3"/>
      <c r="R282" s="6"/>
      <c r="S282" s="22"/>
      <c r="U282" s="23">
        <f t="shared" si="4"/>
        <v>2.7</v>
      </c>
      <c r="V282" s="24" t="s">
        <v>15</v>
      </c>
    </row>
    <row r="283" spans="1:24" ht="23.1" hidden="1" customHeight="1" x14ac:dyDescent="0.25">
      <c r="A283" s="1" t="s">
        <v>103</v>
      </c>
      <c r="D283" s="3" t="s">
        <v>554</v>
      </c>
      <c r="E283" s="15" t="s">
        <v>76</v>
      </c>
      <c r="F283" s="15" t="str">
        <f>+VLOOKUP(D283,[1]Sheet1!$D$2:$E$29166,2,0)</f>
        <v>接管嘴</v>
      </c>
      <c r="G283" s="3" t="s">
        <v>64</v>
      </c>
      <c r="H283" s="3">
        <v>30</v>
      </c>
      <c r="I283" s="18" t="str">
        <f t="array" ref="I283">INDEX([2]Sheet1!$F$1:$AF$65808,MATCH(D283&amp;G283&amp;I$1,[2]Sheet1!$B$1:$B$65808&amp;[2]Sheet1!$D$1:$D$65808&amp;[2]Sheet1!$E$1:$E$65808,0),MATCH(H283,[2]Sheet1!$F$1:$AF$1,0))</f>
        <v>30/钳工</v>
      </c>
      <c r="K283" s="3">
        <v>33</v>
      </c>
      <c r="L283" s="19">
        <v>8</v>
      </c>
      <c r="M283" s="19">
        <v>8</v>
      </c>
      <c r="N283" s="5" t="s">
        <v>555</v>
      </c>
      <c r="O283" s="4"/>
      <c r="P283" s="18">
        <f t="array" ref="P283">IFERROR(INDEX([2]Sheet1!$F$1:$AF$65808,MATCH($D283&amp;$G283&amp;P$1,[2]Sheet1!$B$1:$B$65808&amp;[2]Sheet1!$D$1:$D$65808&amp;[2]Sheet1!$E$1:$E$65808,0),MATCH($H283,[2]Sheet1!$F$1:$AF$1,0)),0)</f>
        <v>30</v>
      </c>
      <c r="Q283" s="3"/>
      <c r="R283" s="6"/>
      <c r="S283" s="22"/>
      <c r="U283" s="23">
        <f t="shared" si="4"/>
        <v>16.5</v>
      </c>
      <c r="V283" s="24" t="s">
        <v>15</v>
      </c>
    </row>
    <row r="284" spans="1:24" ht="23.1" hidden="1" customHeight="1" x14ac:dyDescent="0.25">
      <c r="A284" s="1" t="s">
        <v>103</v>
      </c>
      <c r="D284" s="3" t="s">
        <v>556</v>
      </c>
      <c r="E284" s="15" t="s">
        <v>557</v>
      </c>
      <c r="F284" s="15" t="str">
        <f>+VLOOKUP(D284,[1]Sheet1!$D$2:$E$29166,2,0)</f>
        <v>连接接头</v>
      </c>
      <c r="G284" s="3" t="s">
        <v>80</v>
      </c>
      <c r="H284" s="3">
        <v>30</v>
      </c>
      <c r="I284" s="18" t="str">
        <f t="array" ref="I284">INDEX([2]Sheet1!$F$1:$AF$65808,MATCH(D284&amp;G284&amp;I$1,[2]Sheet1!$B$1:$B$65808&amp;[2]Sheet1!$D$1:$D$65808&amp;[2]Sheet1!$E$1:$E$65808,0),MATCH(H284,[2]Sheet1!$F$1:$AF$1,0))</f>
        <v>30钳工</v>
      </c>
      <c r="K284" s="3">
        <v>31</v>
      </c>
      <c r="L284" s="19">
        <v>8</v>
      </c>
      <c r="M284" s="19">
        <v>8</v>
      </c>
      <c r="N284" s="5" t="s">
        <v>81</v>
      </c>
      <c r="O284" s="4"/>
      <c r="P284" s="18">
        <f t="array" ref="P284">IFERROR(INDEX([2]Sheet1!$F$1:$AF$65808,MATCH($D284&amp;$G284&amp;P$1,[2]Sheet1!$B$1:$B$65808&amp;[2]Sheet1!$D$1:$D$65808&amp;[2]Sheet1!$E$1:$E$65808,0),MATCH($H284,[2]Sheet1!$F$1:$AF$1,0)),0)</f>
        <v>25</v>
      </c>
      <c r="Q284" s="3"/>
      <c r="R284" s="6"/>
      <c r="S284" s="22"/>
      <c r="U284" s="23">
        <f t="shared" si="4"/>
        <v>12.9</v>
      </c>
      <c r="V284" s="24" t="s">
        <v>15</v>
      </c>
    </row>
    <row r="285" spans="1:24" ht="23.1" hidden="1" customHeight="1" x14ac:dyDescent="0.25">
      <c r="A285" s="1" t="s">
        <v>109</v>
      </c>
      <c r="D285" s="3" t="s">
        <v>539</v>
      </c>
      <c r="E285" s="15" t="s">
        <v>540</v>
      </c>
      <c r="F285" s="15" t="str">
        <f>+VLOOKUP(D285,[1]Sheet1!$D$2:$E$29166,2,0)</f>
        <v>变径三通管接头</v>
      </c>
      <c r="G285" s="3" t="s">
        <v>51</v>
      </c>
      <c r="H285" s="3">
        <v>10</v>
      </c>
      <c r="I285" s="18" t="str">
        <f t="array" ref="I285">INDEX([2]Sheet1!$F$1:$AF$65808,MATCH(D285&amp;G285&amp;I$1,[2]Sheet1!$B$1:$B$65808&amp;[2]Sheet1!$D$1:$D$65808&amp;[2]Sheet1!$E$1:$E$65808,0),MATCH(H285,[2]Sheet1!$F$1:$AF$1,0))</f>
        <v>10/钳工</v>
      </c>
      <c r="K285" s="3">
        <v>38</v>
      </c>
      <c r="L285" s="19">
        <v>8</v>
      </c>
      <c r="M285" s="19">
        <v>8</v>
      </c>
      <c r="N285" s="5" t="s">
        <v>283</v>
      </c>
      <c r="O285" s="4"/>
      <c r="P285" s="18">
        <f t="array" ref="P285">IFERROR(INDEX([2]Sheet1!$F$1:$AF$65808,MATCH($D285&amp;$G285&amp;P$1,[2]Sheet1!$B$1:$B$65808&amp;[2]Sheet1!$D$1:$D$65808&amp;[2]Sheet1!$E$1:$E$65808,0),MATCH($H285,[2]Sheet1!$F$1:$AF$1,0)),0)</f>
        <v>25</v>
      </c>
      <c r="Q285" s="3"/>
      <c r="R285" s="6"/>
      <c r="S285" s="22"/>
      <c r="U285" s="23">
        <f t="shared" si="4"/>
        <v>15.8</v>
      </c>
      <c r="V285" s="24" t="s">
        <v>15</v>
      </c>
    </row>
    <row r="286" spans="1:24" ht="23.1" hidden="1" customHeight="1" x14ac:dyDescent="0.25">
      <c r="A286" s="1" t="s">
        <v>109</v>
      </c>
      <c r="D286" s="3" t="s">
        <v>451</v>
      </c>
      <c r="E286" s="15" t="s">
        <v>452</v>
      </c>
      <c r="F286" s="15" t="str">
        <f>+VLOOKUP(D286,[1]Sheet1!$D$2:$E$29166,2,0)</f>
        <v>前起落架舱门结构支撑梁</v>
      </c>
      <c r="G286" s="3" t="s">
        <v>46</v>
      </c>
      <c r="H286" s="3">
        <v>45</v>
      </c>
      <c r="I286" s="18" t="str">
        <f t="array" ref="I286">INDEX([2]Sheet1!$F$1:$AF$65808,MATCH(D286&amp;G286&amp;I$1,[2]Sheet1!$B$1:$B$65808&amp;[2]Sheet1!$D$1:$D$65808&amp;[2]Sheet1!$E$1:$E$65808,0),MATCH(H286,[2]Sheet1!$F$1:$AF$1,0))</f>
        <v>45/钳工</v>
      </c>
      <c r="K286" s="3">
        <v>10</v>
      </c>
      <c r="L286" s="19">
        <v>8</v>
      </c>
      <c r="M286" s="19">
        <v>8</v>
      </c>
      <c r="N286" s="5" t="s">
        <v>558</v>
      </c>
      <c r="O286" s="4"/>
      <c r="P286" s="18">
        <f t="array" ref="P286">IFERROR(INDEX([2]Sheet1!$F$1:$AF$65808,MATCH($D286&amp;$G286&amp;P$1,[2]Sheet1!$B$1:$B$65808&amp;[2]Sheet1!$D$1:$D$65808&amp;[2]Sheet1!$E$1:$E$65808,0),MATCH($H286,[2]Sheet1!$F$1:$AF$1,0)),0)</f>
        <v>90</v>
      </c>
      <c r="Q286" s="3"/>
      <c r="R286" s="6"/>
      <c r="S286" s="22"/>
      <c r="U286" s="23">
        <f t="shared" si="4"/>
        <v>15</v>
      </c>
      <c r="V286" s="24" t="s">
        <v>15</v>
      </c>
    </row>
    <row r="287" spans="1:24" ht="23.1" hidden="1" customHeight="1" x14ac:dyDescent="0.25">
      <c r="A287" s="1" t="s">
        <v>116</v>
      </c>
      <c r="D287" s="3" t="s">
        <v>282</v>
      </c>
      <c r="E287" s="15" t="s">
        <v>76</v>
      </c>
      <c r="F287" s="15" t="str">
        <f>+VLOOKUP(D287,[1]Sheet1!$D$2:$E$29166,2,0)</f>
        <v>接管嘴</v>
      </c>
      <c r="G287" s="3" t="s">
        <v>46</v>
      </c>
      <c r="H287" s="3" t="s">
        <v>340</v>
      </c>
      <c r="I287" s="18" t="e">
        <f t="array" ref="I287">INDEX([2]Sheet1!$F$1:$AF$65808,MATCH(D287&amp;G287&amp;I$1,[2]Sheet1!$B$1:$B$65808&amp;[2]Sheet1!$D$1:$D$65808&amp;[2]Sheet1!$E$1:$E$65808,0),MATCH(H287,[2]Sheet1!$F$1:$AF$1,0))</f>
        <v>#N/A</v>
      </c>
      <c r="K287" s="3">
        <v>37</v>
      </c>
      <c r="L287" s="19">
        <v>8</v>
      </c>
      <c r="M287" s="19">
        <v>8</v>
      </c>
      <c r="N287" s="5" t="s">
        <v>384</v>
      </c>
      <c r="O287" s="4"/>
      <c r="P287" s="18">
        <v>20</v>
      </c>
      <c r="Q287" s="3"/>
      <c r="R287" s="6"/>
      <c r="S287" s="22"/>
      <c r="U287" s="23">
        <f t="shared" si="4"/>
        <v>12.3</v>
      </c>
      <c r="V287" s="24" t="s">
        <v>15</v>
      </c>
      <c r="X287" s="7" t="s">
        <v>203</v>
      </c>
    </row>
    <row r="288" spans="1:24" ht="23.1" hidden="1" customHeight="1" x14ac:dyDescent="0.25">
      <c r="A288" s="1" t="s">
        <v>116</v>
      </c>
      <c r="D288" s="3" t="s">
        <v>559</v>
      </c>
      <c r="E288" s="15" t="s">
        <v>560</v>
      </c>
      <c r="F288" s="15" t="str">
        <f>+VLOOKUP(D288,[1]Sheet1!$D$2:$E$29166,2,0)</f>
        <v>90°弯管接头</v>
      </c>
      <c r="G288" s="3" t="s">
        <v>51</v>
      </c>
      <c r="H288" s="3">
        <v>50</v>
      </c>
      <c r="I288" s="18" t="str">
        <f t="array" ref="I288">INDEX([2]Sheet1!$F$1:$AF$65808,MATCH(D288&amp;G288&amp;I$1,[2]Sheet1!$B$1:$B$65808&amp;[2]Sheet1!$D$1:$D$65808&amp;[2]Sheet1!$E$1:$E$65808,0),MATCH(H288,[2]Sheet1!$F$1:$AF$1,0))</f>
        <v>50/钳工</v>
      </c>
      <c r="K288" s="3">
        <v>35</v>
      </c>
      <c r="L288" s="19">
        <v>8</v>
      </c>
      <c r="M288" s="19">
        <v>8</v>
      </c>
      <c r="N288" s="5" t="s">
        <v>561</v>
      </c>
      <c r="O288" s="4"/>
      <c r="P288" s="18">
        <f t="array" ref="P288">IFERROR(INDEX([2]Sheet1!$F$1:$AF$65808,MATCH($D288&amp;$G288&amp;P$1,[2]Sheet1!$B$1:$B$65808&amp;[2]Sheet1!$D$1:$D$65808&amp;[2]Sheet1!$E$1:$E$65808,0),MATCH($H288,[2]Sheet1!$F$1:$AF$1,0)),0)</f>
        <v>10</v>
      </c>
      <c r="Q288" s="3"/>
      <c r="R288" s="6"/>
      <c r="S288" s="22"/>
      <c r="U288" s="23">
        <f t="shared" si="4"/>
        <v>5.8</v>
      </c>
      <c r="V288" s="24" t="s">
        <v>15</v>
      </c>
    </row>
    <row r="289" spans="1:24" ht="23.1" hidden="1" customHeight="1" x14ac:dyDescent="0.25">
      <c r="A289" s="1" t="s">
        <v>562</v>
      </c>
      <c r="D289" s="3" t="s">
        <v>563</v>
      </c>
      <c r="E289" s="15" t="s">
        <v>76</v>
      </c>
      <c r="F289" s="15" t="str">
        <f>+VLOOKUP(D289,[1]Sheet1!$D$2:$E$29166,2,0)</f>
        <v>接管嘴</v>
      </c>
      <c r="G289" s="3" t="s">
        <v>46</v>
      </c>
      <c r="H289" s="3">
        <v>5</v>
      </c>
      <c r="I289" s="18" t="str">
        <f t="array" ref="I289">INDEX([2]Sheet1!$F$1:$AF$65808,MATCH(D289&amp;G289&amp;I$1,[2]Sheet1!$B$1:$B$65808&amp;[2]Sheet1!$D$1:$D$65808&amp;[2]Sheet1!$E$1:$E$65808,0),MATCH(H289,[2]Sheet1!$F$1:$AF$1,0))</f>
        <v>05/钳工</v>
      </c>
      <c r="K289" s="3">
        <v>61</v>
      </c>
      <c r="L289" s="19">
        <v>8</v>
      </c>
      <c r="M289" s="19">
        <v>8</v>
      </c>
      <c r="N289" s="5" t="s">
        <v>384</v>
      </c>
      <c r="O289" s="4"/>
      <c r="P289" s="18">
        <f t="array" ref="P289">IFERROR(INDEX([2]Sheet1!$F$1:$AF$65808,MATCH($D289&amp;$G289&amp;P$1,[2]Sheet1!$B$1:$B$65808&amp;[2]Sheet1!$D$1:$D$65808&amp;[2]Sheet1!$E$1:$E$65808,0),MATCH($H289,[2]Sheet1!$F$1:$AF$1,0)),0)</f>
        <v>15</v>
      </c>
      <c r="Q289" s="3"/>
      <c r="R289" s="6"/>
      <c r="S289" s="22"/>
      <c r="U289" s="23">
        <f t="shared" si="4"/>
        <v>15.3</v>
      </c>
      <c r="V289" s="24" t="s">
        <v>15</v>
      </c>
    </row>
    <row r="290" spans="1:24" ht="23.1" hidden="1" customHeight="1" x14ac:dyDescent="0.25">
      <c r="A290" s="1" t="s">
        <v>562</v>
      </c>
      <c r="D290" s="3" t="s">
        <v>564</v>
      </c>
      <c r="E290" s="15" t="s">
        <v>565</v>
      </c>
      <c r="F290" s="15" t="str">
        <f>+VLOOKUP(D290,[1]Sheet1!$D$2:$E$29166,2,0)</f>
        <v>变径直通接头</v>
      </c>
      <c r="G290" s="3" t="s">
        <v>64</v>
      </c>
      <c r="H290" s="3">
        <v>5</v>
      </c>
      <c r="I290" s="18" t="str">
        <f t="array" ref="I290">INDEX([2]Sheet1!$F$1:$AF$65808,MATCH(D290&amp;G290&amp;I$1,[2]Sheet1!$B$1:$B$65808&amp;[2]Sheet1!$D$1:$D$65808&amp;[2]Sheet1!$E$1:$E$65808,0),MATCH(H290,[2]Sheet1!$F$1:$AF$1,0))</f>
        <v>5/钳工</v>
      </c>
      <c r="K290" s="3">
        <v>20</v>
      </c>
      <c r="L290" s="19">
        <v>8</v>
      </c>
      <c r="M290" s="19">
        <v>8</v>
      </c>
      <c r="N290" s="5" t="s">
        <v>56</v>
      </c>
      <c r="O290" s="4"/>
      <c r="P290" s="18">
        <f t="array" ref="P290">IFERROR(INDEX([2]Sheet1!$F$1:$AF$65808,MATCH($D290&amp;$G290&amp;P$1,[2]Sheet1!$B$1:$B$65808&amp;[2]Sheet1!$D$1:$D$65808&amp;[2]Sheet1!$E$1:$E$65808,0),MATCH($H290,[2]Sheet1!$F$1:$AF$1,0)),0)</f>
        <v>10</v>
      </c>
      <c r="Q290" s="3"/>
      <c r="R290" s="6"/>
      <c r="S290" s="22"/>
      <c r="U290" s="23">
        <f t="shared" si="4"/>
        <v>3.3</v>
      </c>
      <c r="V290" s="24" t="s">
        <v>15</v>
      </c>
    </row>
    <row r="291" spans="1:24" ht="23.1" hidden="1" customHeight="1" x14ac:dyDescent="0.25">
      <c r="A291" s="1" t="s">
        <v>566</v>
      </c>
      <c r="D291" s="3" t="s">
        <v>567</v>
      </c>
      <c r="E291" s="15" t="s">
        <v>568</v>
      </c>
      <c r="F291" s="15" t="str">
        <f>+VLOOKUP(D291,[1]Sheet1!$D$2:$E$29166,2,0)</f>
        <v>销子</v>
      </c>
      <c r="G291" s="3" t="s">
        <v>80</v>
      </c>
      <c r="H291" s="3">
        <v>25</v>
      </c>
      <c r="I291" s="18" t="str">
        <f t="array" ref="I291">INDEX([2]Sheet1!$F$1:$AF$65808,MATCH(D291&amp;G291&amp;I$1,[2]Sheet1!$B$1:$B$65808&amp;[2]Sheet1!$D$1:$D$65808&amp;[2]Sheet1!$E$1:$E$65808,0),MATCH(H291,[2]Sheet1!$F$1:$AF$1,0))</f>
        <v>25/钳工</v>
      </c>
      <c r="K291" s="3">
        <v>44</v>
      </c>
      <c r="L291" s="19">
        <v>8</v>
      </c>
      <c r="M291" s="19">
        <v>8</v>
      </c>
      <c r="N291" s="5" t="s">
        <v>569</v>
      </c>
      <c r="O291" s="4"/>
      <c r="P291" s="18">
        <f t="array" ref="P291">IFERROR(INDEX([2]Sheet1!$F$1:$AF$65808,MATCH($D291&amp;$G291&amp;P$1,[2]Sheet1!$B$1:$B$65808&amp;[2]Sheet1!$D$1:$D$65808&amp;[2]Sheet1!$E$1:$E$65808,0),MATCH($H291,[2]Sheet1!$F$1:$AF$1,0)),0)</f>
        <v>20</v>
      </c>
      <c r="Q291" s="3"/>
      <c r="R291" s="6"/>
      <c r="S291" s="22"/>
      <c r="U291" s="23">
        <f t="shared" si="4"/>
        <v>14.7</v>
      </c>
      <c r="V291" s="24" t="s">
        <v>12</v>
      </c>
    </row>
    <row r="292" spans="1:24" ht="23.1" hidden="1" customHeight="1" x14ac:dyDescent="0.25">
      <c r="A292" s="1" t="s">
        <v>570</v>
      </c>
      <c r="D292" s="3" t="s">
        <v>571</v>
      </c>
      <c r="E292" s="15" t="s">
        <v>572</v>
      </c>
      <c r="F292" s="15" t="str">
        <f>+VLOOKUP(D292,[1]Sheet1!$D$2:$E$29166,2,0)</f>
        <v>盖板</v>
      </c>
      <c r="G292" s="3" t="s">
        <v>80</v>
      </c>
      <c r="H292" s="3">
        <v>35</v>
      </c>
      <c r="I292" s="18" t="e">
        <f t="array" ref="I292">INDEX([2]Sheet1!$F$1:$AF$65808,MATCH(D292&amp;G292&amp;I$1,[2]Sheet1!$B$1:$B$65808&amp;[2]Sheet1!$D$1:$D$65808&amp;[2]Sheet1!$E$1:$E$65808,0),MATCH(H292,[2]Sheet1!$F$1:$AF$1,0))</f>
        <v>#N/A</v>
      </c>
      <c r="J292" s="3">
        <v>130</v>
      </c>
      <c r="K292" s="3">
        <v>67</v>
      </c>
      <c r="L292" s="19">
        <v>8</v>
      </c>
      <c r="M292" s="19">
        <v>8</v>
      </c>
      <c r="N292" s="5" t="s">
        <v>573</v>
      </c>
      <c r="O292" s="4"/>
      <c r="P292" s="18">
        <v>20</v>
      </c>
      <c r="Q292" s="3"/>
      <c r="R292" s="6"/>
      <c r="S292" s="22"/>
      <c r="U292" s="23">
        <f t="shared" si="4"/>
        <v>22.3</v>
      </c>
      <c r="V292" s="24" t="s">
        <v>12</v>
      </c>
    </row>
    <row r="293" spans="1:24" ht="23.1" hidden="1" customHeight="1" x14ac:dyDescent="0.25">
      <c r="A293" s="1" t="s">
        <v>65</v>
      </c>
      <c r="D293" s="3" t="s">
        <v>482</v>
      </c>
      <c r="E293" s="15" t="s">
        <v>481</v>
      </c>
      <c r="F293" s="15" t="str">
        <f>+VLOOKUP(D293,[1]Sheet1!$D$2:$E$29166,2,0)</f>
        <v>11968下口盖</v>
      </c>
      <c r="G293" s="3" t="s">
        <v>51</v>
      </c>
      <c r="H293" s="3">
        <v>15</v>
      </c>
      <c r="I293" s="18" t="str">
        <f t="array" ref="I293">INDEX([2]Sheet1!$F$1:$AF$65808,MATCH(D293&amp;G293&amp;I$1,[2]Sheet1!$B$1:$B$65808&amp;[2]Sheet1!$D$1:$D$65808&amp;[2]Sheet1!$E$1:$E$65808,0),MATCH(H293,[2]Sheet1!$F$1:$AF$1,0))</f>
        <v>15/钳工</v>
      </c>
      <c r="J293" s="3">
        <v>30</v>
      </c>
      <c r="K293" s="3">
        <v>30</v>
      </c>
      <c r="L293" s="19">
        <v>8</v>
      </c>
      <c r="M293" s="19">
        <v>8</v>
      </c>
      <c r="N293" s="5" t="s">
        <v>262</v>
      </c>
      <c r="O293" s="4"/>
      <c r="P293" s="18">
        <f t="array" ref="P293">IFERROR(INDEX([2]Sheet1!$F$1:$AF$65808,MATCH($D293&amp;$G293&amp;P$1,[2]Sheet1!$B$1:$B$65808&amp;[2]Sheet1!$D$1:$D$65808&amp;[2]Sheet1!$E$1:$E$65808,0),MATCH($H293,[2]Sheet1!$F$1:$AF$1,0)),0)</f>
        <v>45</v>
      </c>
      <c r="Q293" s="3"/>
      <c r="R293" s="6"/>
      <c r="S293" s="22"/>
      <c r="U293" s="23">
        <f t="shared" si="4"/>
        <v>22.5</v>
      </c>
      <c r="V293" s="24" t="s">
        <v>12</v>
      </c>
    </row>
    <row r="294" spans="1:24" ht="23.1" hidden="1" customHeight="1" x14ac:dyDescent="0.25">
      <c r="A294" s="1" t="s">
        <v>574</v>
      </c>
      <c r="D294" s="3" t="s">
        <v>158</v>
      </c>
      <c r="E294" s="15" t="s">
        <v>159</v>
      </c>
      <c r="F294" s="15" t="str">
        <f>+VLOOKUP(D294,[1]Sheet1!$D$2:$E$29166,2,0)</f>
        <v>卡接连接件I</v>
      </c>
      <c r="G294" s="3" t="s">
        <v>80</v>
      </c>
      <c r="H294" s="3">
        <v>40</v>
      </c>
      <c r="I294" s="18" t="e">
        <f t="array" ref="I294">INDEX([2]Sheet1!$F$1:$AF$65808,MATCH(D294&amp;G294&amp;I$1,[2]Sheet1!$B$1:$B$65808&amp;[2]Sheet1!$D$1:$D$65808&amp;[2]Sheet1!$E$1:$E$65808,0),MATCH(H294,[2]Sheet1!$F$1:$AF$1,0))</f>
        <v>#N/A</v>
      </c>
      <c r="J294" s="3">
        <v>104</v>
      </c>
      <c r="K294" s="3">
        <v>108</v>
      </c>
      <c r="L294" s="19">
        <v>8</v>
      </c>
      <c r="M294" s="19">
        <v>8</v>
      </c>
      <c r="N294" s="5" t="s">
        <v>160</v>
      </c>
      <c r="O294" s="4"/>
      <c r="P294" s="18">
        <v>20</v>
      </c>
      <c r="Q294" s="3"/>
      <c r="R294" s="6"/>
      <c r="S294" s="22"/>
      <c r="U294" s="23">
        <f t="shared" si="4"/>
        <v>36</v>
      </c>
      <c r="V294" s="24" t="s">
        <v>12</v>
      </c>
    </row>
    <row r="295" spans="1:24" ht="23.1" hidden="1" customHeight="1" x14ac:dyDescent="0.25">
      <c r="A295" s="1" t="s">
        <v>71</v>
      </c>
      <c r="D295" s="3" t="s">
        <v>575</v>
      </c>
      <c r="E295" s="15" t="s">
        <v>576</v>
      </c>
      <c r="F295" s="15" t="str">
        <f>+VLOOKUP(D295,[1]Sheet1!$D$2:$E$29166,2,0)</f>
        <v>插槽</v>
      </c>
      <c r="H295" s="3">
        <v>50</v>
      </c>
      <c r="I295" s="18" t="e">
        <f t="array" ref="I295">INDEX([2]Sheet1!$F$1:$AF$65808,MATCH(D295&amp;G295&amp;I$1,[2]Sheet1!$B$1:$B$65808&amp;[2]Sheet1!$D$1:$D$65808&amp;[2]Sheet1!$E$1:$E$65808,0),MATCH(H295,[2]Sheet1!$F$1:$AF$1,0))</f>
        <v>#N/A</v>
      </c>
      <c r="J295" s="3">
        <v>2</v>
      </c>
      <c r="K295" s="3">
        <v>2</v>
      </c>
      <c r="L295" s="19">
        <v>8</v>
      </c>
      <c r="M295" s="19">
        <v>8</v>
      </c>
      <c r="O295" s="4"/>
      <c r="P295" s="18">
        <f t="array" ref="P295">IFERROR(INDEX([2]Sheet1!$F$1:$AF$65808,MATCH($D295&amp;$G295&amp;P$1,[2]Sheet1!$B$1:$B$65808&amp;[2]Sheet1!$D$1:$D$65808&amp;[2]Sheet1!$E$1:$E$65808,0),MATCH($H295,[2]Sheet1!$F$1:$AF$1,0)),0)</f>
        <v>0</v>
      </c>
      <c r="Q295" s="3"/>
      <c r="R295" s="6"/>
      <c r="S295" s="22"/>
      <c r="U295" s="23">
        <f t="shared" si="4"/>
        <v>0</v>
      </c>
      <c r="V295" s="24" t="s">
        <v>12</v>
      </c>
    </row>
    <row r="296" spans="1:24" ht="23.1" hidden="1" customHeight="1" x14ac:dyDescent="0.25">
      <c r="A296" s="1" t="s">
        <v>577</v>
      </c>
      <c r="D296" s="3" t="s">
        <v>578</v>
      </c>
      <c r="E296" s="15" t="s">
        <v>579</v>
      </c>
      <c r="F296" s="15" t="str">
        <f>+VLOOKUP(D296,[1]Sheet1!$D$2:$E$29166,2,0)</f>
        <v>穿框管接头</v>
      </c>
      <c r="G296" s="3" t="s">
        <v>64</v>
      </c>
      <c r="H296" s="3">
        <v>35</v>
      </c>
      <c r="I296" s="18" t="str">
        <f t="array" ref="I296">INDEX([2]Sheet1!$F$1:$AF$65808,MATCH(D296&amp;G296&amp;I$1,[2]Sheet1!$B$1:$B$65808&amp;[2]Sheet1!$D$1:$D$65808&amp;[2]Sheet1!$E$1:$E$65808,0),MATCH(H296,[2]Sheet1!$F$1:$AF$1,0))</f>
        <v>35/钳工</v>
      </c>
      <c r="J296" s="3">
        <v>142</v>
      </c>
      <c r="K296" s="3">
        <v>142</v>
      </c>
      <c r="L296" s="19">
        <v>8</v>
      </c>
      <c r="M296" s="19">
        <v>8</v>
      </c>
      <c r="N296" s="5" t="s">
        <v>440</v>
      </c>
      <c r="O296" s="4"/>
      <c r="P296" s="18">
        <f t="array" ref="P296">IFERROR(INDEX([2]Sheet1!$F$1:$AF$65808,MATCH($D296&amp;$G296&amp;P$1,[2]Sheet1!$B$1:$B$65808&amp;[2]Sheet1!$D$1:$D$65808&amp;[2]Sheet1!$E$1:$E$65808,0),MATCH($H296,[2]Sheet1!$F$1:$AF$1,0)),0)</f>
        <v>25</v>
      </c>
      <c r="Q296" s="3"/>
      <c r="R296" s="6"/>
      <c r="S296" s="22"/>
      <c r="U296" s="23">
        <f t="shared" si="4"/>
        <v>59.2</v>
      </c>
      <c r="V296" s="24" t="s">
        <v>12</v>
      </c>
    </row>
    <row r="297" spans="1:24" ht="23.1" hidden="1" customHeight="1" x14ac:dyDescent="0.25">
      <c r="A297" s="1" t="s">
        <v>368</v>
      </c>
      <c r="D297" s="3" t="s">
        <v>188</v>
      </c>
      <c r="E297" s="15" t="s">
        <v>120</v>
      </c>
      <c r="F297" s="15" t="str">
        <f>+VLOOKUP(D297,[1]Sheet1!$D$2:$E$29166,2,0)</f>
        <v>支架</v>
      </c>
      <c r="G297" s="3" t="s">
        <v>114</v>
      </c>
      <c r="H297" s="3">
        <v>55</v>
      </c>
      <c r="I297" s="18" t="str">
        <f t="array" ref="I297">INDEX([2]Sheet1!$F$1:$AF$65808,MATCH(D297&amp;G297&amp;I$1,[2]Sheet1!$B$1:$B$65808&amp;[2]Sheet1!$D$1:$D$65808&amp;[2]Sheet1!$E$1:$E$65808,0),MATCH(H297,[2]Sheet1!$F$1:$AF$1,0))</f>
        <v>55/钳工</v>
      </c>
      <c r="J297" s="3">
        <v>24</v>
      </c>
      <c r="K297" s="3">
        <v>14</v>
      </c>
      <c r="L297" s="19">
        <v>8</v>
      </c>
      <c r="M297" s="19">
        <v>8</v>
      </c>
      <c r="N297" s="5" t="s">
        <v>189</v>
      </c>
      <c r="O297" s="4"/>
      <c r="P297" s="18">
        <f t="array" ref="P297">IFERROR(INDEX([2]Sheet1!$F$1:$AF$65808,MATCH($D297&amp;$G297&amp;P$1,[2]Sheet1!$B$1:$B$65808&amp;[2]Sheet1!$D$1:$D$65808&amp;[2]Sheet1!$E$1:$E$65808,0),MATCH($H297,[2]Sheet1!$F$1:$AF$1,0)),0)</f>
        <v>60</v>
      </c>
      <c r="Q297" s="3"/>
      <c r="R297" s="6"/>
      <c r="S297" s="22"/>
      <c r="U297" s="23">
        <f t="shared" si="4"/>
        <v>14</v>
      </c>
      <c r="V297" s="24" t="s">
        <v>12</v>
      </c>
    </row>
    <row r="298" spans="1:24" ht="23.1" hidden="1" customHeight="1" x14ac:dyDescent="0.25">
      <c r="A298" s="1" t="s">
        <v>580</v>
      </c>
      <c r="D298" s="3" t="s">
        <v>581</v>
      </c>
      <c r="E298" s="15" t="s">
        <v>582</v>
      </c>
      <c r="F298" s="15" t="str">
        <f>+VLOOKUP(D298,[1]Sheet1!$D$2:$E$29166,2,0)</f>
        <v>卡接连接件III</v>
      </c>
      <c r="G298" s="3" t="s">
        <v>80</v>
      </c>
      <c r="H298" s="3">
        <v>35</v>
      </c>
      <c r="I298" s="18" t="e">
        <f t="array" ref="I298">INDEX([2]Sheet1!$F$1:$AF$65808,MATCH(D298&amp;G298&amp;I$1,[2]Sheet1!$B$1:$B$65808&amp;[2]Sheet1!$D$1:$D$65808&amp;[2]Sheet1!$E$1:$E$65808,0),MATCH(H298,[2]Sheet1!$F$1:$AF$1,0))</f>
        <v>#N/A</v>
      </c>
      <c r="J298" s="3">
        <v>104</v>
      </c>
      <c r="K298" s="3">
        <v>108</v>
      </c>
      <c r="L298" s="19">
        <v>8</v>
      </c>
      <c r="M298" s="19">
        <v>8</v>
      </c>
      <c r="N298" s="5" t="s">
        <v>160</v>
      </c>
      <c r="O298" s="4"/>
      <c r="P298" s="18">
        <v>20</v>
      </c>
      <c r="Q298" s="3"/>
      <c r="R298" s="6"/>
      <c r="S298" s="22"/>
      <c r="U298" s="23">
        <f t="shared" si="4"/>
        <v>36</v>
      </c>
      <c r="V298" s="24" t="s">
        <v>12</v>
      </c>
    </row>
    <row r="299" spans="1:24" ht="23.1" hidden="1" customHeight="1" x14ac:dyDescent="0.25">
      <c r="A299" s="1" t="s">
        <v>89</v>
      </c>
      <c r="D299" s="3" t="s">
        <v>571</v>
      </c>
      <c r="E299" s="15" t="s">
        <v>572</v>
      </c>
      <c r="F299" s="15" t="str">
        <f>+VLOOKUP(D299,[1]Sheet1!$D$2:$E$29166,2,0)</f>
        <v>盖板</v>
      </c>
      <c r="G299" s="3" t="s">
        <v>80</v>
      </c>
      <c r="H299" s="3" t="s">
        <v>340</v>
      </c>
      <c r="I299" s="18" t="e">
        <f t="array" ref="I299">INDEX([2]Sheet1!$F$1:$AF$65808,MATCH(D299&amp;G299&amp;I$1,[2]Sheet1!$B$1:$B$65808&amp;[2]Sheet1!$D$1:$D$65808&amp;[2]Sheet1!$E$1:$E$65808,0),MATCH(H299,[2]Sheet1!$F$1:$AF$1,0))</f>
        <v>#N/A</v>
      </c>
      <c r="J299" s="3">
        <v>130</v>
      </c>
      <c r="K299" s="3">
        <v>133</v>
      </c>
      <c r="L299" s="19">
        <v>8</v>
      </c>
      <c r="M299" s="19">
        <v>8</v>
      </c>
      <c r="N299" s="5" t="s">
        <v>573</v>
      </c>
      <c r="O299" s="4"/>
      <c r="P299" s="18">
        <v>10</v>
      </c>
      <c r="Q299" s="3"/>
      <c r="R299" s="6"/>
      <c r="S299" s="22"/>
      <c r="U299" s="23">
        <f t="shared" si="4"/>
        <v>22.2</v>
      </c>
      <c r="V299" s="24" t="s">
        <v>12</v>
      </c>
      <c r="W299" s="7" t="s">
        <v>518</v>
      </c>
      <c r="X299" s="7" t="s">
        <v>203</v>
      </c>
    </row>
    <row r="300" spans="1:24" ht="23.1" hidden="1" customHeight="1" x14ac:dyDescent="0.25">
      <c r="A300" s="1" t="s">
        <v>583</v>
      </c>
      <c r="D300" s="3" t="s">
        <v>161</v>
      </c>
      <c r="E300" s="15" t="s">
        <v>162</v>
      </c>
      <c r="F300" s="15" t="str">
        <f>+VLOOKUP(D300,[1]Sheet1!$D$2:$E$29166,2,0)</f>
        <v>卡接连接件II</v>
      </c>
      <c r="G300" s="3" t="s">
        <v>80</v>
      </c>
      <c r="H300" s="3">
        <v>40</v>
      </c>
      <c r="I300" s="18" t="e">
        <f t="array" ref="I300">INDEX([2]Sheet1!$F$1:$AF$65808,MATCH(D300&amp;G300&amp;I$1,[2]Sheet1!$B$1:$B$65808&amp;[2]Sheet1!$D$1:$D$65808&amp;[2]Sheet1!$E$1:$E$65808,0),MATCH(H300,[2]Sheet1!$F$1:$AF$1,0))</f>
        <v>#N/A</v>
      </c>
      <c r="J300" s="3">
        <v>104</v>
      </c>
      <c r="K300" s="3">
        <v>108</v>
      </c>
      <c r="L300" s="19">
        <v>8</v>
      </c>
      <c r="M300" s="19">
        <v>8</v>
      </c>
      <c r="N300" s="5" t="s">
        <v>160</v>
      </c>
      <c r="O300" s="4"/>
      <c r="P300" s="18">
        <v>20</v>
      </c>
      <c r="Q300" s="3"/>
      <c r="R300" s="6"/>
      <c r="S300" s="22"/>
      <c r="U300" s="23">
        <f t="shared" si="4"/>
        <v>36</v>
      </c>
      <c r="V300" s="24" t="s">
        <v>12</v>
      </c>
    </row>
    <row r="301" spans="1:24" ht="23.1" hidden="1" customHeight="1" x14ac:dyDescent="0.25">
      <c r="A301" s="1" t="s">
        <v>584</v>
      </c>
      <c r="D301" s="3" t="s">
        <v>183</v>
      </c>
      <c r="E301" s="15" t="s">
        <v>60</v>
      </c>
      <c r="F301" s="15" t="str">
        <f>+VLOOKUP(D301,[1]Sheet1!$D$2:$E$29166,2,0)</f>
        <v>轴</v>
      </c>
      <c r="G301" s="3" t="s">
        <v>46</v>
      </c>
      <c r="H301" s="3" t="s">
        <v>340</v>
      </c>
      <c r="I301" s="18" t="e">
        <f t="array" ref="I301">INDEX([2]Sheet1!$F$1:$AF$65808,MATCH(D301&amp;G301&amp;I$1,[2]Sheet1!$B$1:$B$65808&amp;[2]Sheet1!$D$1:$D$65808&amp;[2]Sheet1!$E$1:$E$65808,0),MATCH(H301,[2]Sheet1!$F$1:$AF$1,0))</f>
        <v>#N/A</v>
      </c>
      <c r="J301" s="3">
        <v>99</v>
      </c>
      <c r="K301" s="3">
        <v>98</v>
      </c>
      <c r="L301" s="19">
        <v>8</v>
      </c>
      <c r="M301" s="19">
        <v>8</v>
      </c>
      <c r="N301" s="5" t="s">
        <v>585</v>
      </c>
      <c r="O301" s="4"/>
      <c r="P301" s="18">
        <v>20</v>
      </c>
      <c r="Q301" s="3"/>
      <c r="R301" s="6"/>
      <c r="S301" s="22"/>
      <c r="U301" s="23">
        <f t="shared" si="4"/>
        <v>32.700000000000003</v>
      </c>
      <c r="V301" s="24" t="s">
        <v>12</v>
      </c>
      <c r="W301" s="7" t="s">
        <v>485</v>
      </c>
      <c r="X301" s="7" t="s">
        <v>203</v>
      </c>
    </row>
    <row r="302" spans="1:24" ht="23.1" hidden="1" customHeight="1" x14ac:dyDescent="0.25">
      <c r="A302" s="1" t="s">
        <v>157</v>
      </c>
      <c r="D302" s="3" t="s">
        <v>198</v>
      </c>
      <c r="E302" s="15" t="s">
        <v>55</v>
      </c>
      <c r="F302" s="15" t="str">
        <f>+VLOOKUP(D302,[1]Sheet1!$D$2:$E$29166,2,0)</f>
        <v>接头</v>
      </c>
      <c r="G302" s="3" t="s">
        <v>46</v>
      </c>
      <c r="H302" s="3" t="s">
        <v>340</v>
      </c>
      <c r="I302" s="18" t="e">
        <f t="array" ref="I302">INDEX([2]Sheet1!$F$1:$AF$65808,MATCH(D302&amp;G302&amp;I$1,[2]Sheet1!$B$1:$B$65808&amp;[2]Sheet1!$D$1:$D$65808&amp;[2]Sheet1!$E$1:$E$65808,0),MATCH(H302,[2]Sheet1!$F$1:$AF$1,0))</f>
        <v>#N/A</v>
      </c>
      <c r="J302" s="3">
        <v>20</v>
      </c>
      <c r="K302" s="3">
        <v>20</v>
      </c>
      <c r="L302" s="19">
        <v>8</v>
      </c>
      <c r="M302" s="19">
        <v>8</v>
      </c>
      <c r="N302" s="5" t="s">
        <v>56</v>
      </c>
      <c r="O302" s="4"/>
      <c r="P302" s="18">
        <v>15</v>
      </c>
      <c r="Q302" s="3"/>
      <c r="R302" s="6"/>
      <c r="S302" s="22"/>
      <c r="U302" s="23">
        <f t="shared" si="4"/>
        <v>5</v>
      </c>
      <c r="V302" s="24" t="s">
        <v>12</v>
      </c>
      <c r="W302" s="7" t="s">
        <v>257</v>
      </c>
      <c r="X302" s="7" t="s">
        <v>203</v>
      </c>
    </row>
    <row r="303" spans="1:24" ht="23.1" hidden="1" customHeight="1" x14ac:dyDescent="0.25">
      <c r="A303" s="1" t="s">
        <v>586</v>
      </c>
      <c r="D303" s="3" t="s">
        <v>587</v>
      </c>
      <c r="E303" s="15" t="s">
        <v>588</v>
      </c>
      <c r="F303" s="15" t="str">
        <f>+VLOOKUP(D303,[1]Sheet1!$D$2:$E$29166,2,0)</f>
        <v>小盖板一</v>
      </c>
      <c r="G303" s="3" t="s">
        <v>80</v>
      </c>
      <c r="H303" s="3">
        <v>30</v>
      </c>
      <c r="I303" s="18" t="e">
        <f t="array" ref="I303">INDEX([2]Sheet1!$F$1:$AF$65808,MATCH(D303&amp;G303&amp;I$1,[2]Sheet1!$B$1:$B$65808&amp;[2]Sheet1!$D$1:$D$65808&amp;[2]Sheet1!$E$1:$E$65808,0),MATCH(H303,[2]Sheet1!$F$1:$AF$1,0))</f>
        <v>#N/A</v>
      </c>
      <c r="J303" s="3">
        <v>132</v>
      </c>
      <c r="K303" s="3">
        <v>139</v>
      </c>
      <c r="L303" s="19">
        <v>8</v>
      </c>
      <c r="M303" s="19">
        <v>8</v>
      </c>
      <c r="N303" s="5" t="s">
        <v>573</v>
      </c>
      <c r="O303" s="4"/>
      <c r="P303" s="18">
        <v>6</v>
      </c>
      <c r="Q303" s="3"/>
      <c r="R303" s="6"/>
      <c r="S303" s="22"/>
      <c r="U303" s="23">
        <f t="shared" si="4"/>
        <v>13.9</v>
      </c>
      <c r="V303" s="24" t="s">
        <v>12</v>
      </c>
    </row>
    <row r="304" spans="1:24" ht="23.1" hidden="1" customHeight="1" x14ac:dyDescent="0.25">
      <c r="A304" s="1" t="s">
        <v>562</v>
      </c>
      <c r="D304" s="3" t="s">
        <v>589</v>
      </c>
      <c r="E304" s="15" t="s">
        <v>91</v>
      </c>
      <c r="F304" s="15" t="str">
        <f>+VLOOKUP(D304,[1]Sheet1!$D$2:$E$29166,2,0)</f>
        <v>螺栓</v>
      </c>
      <c r="G304" s="3" t="s">
        <v>46</v>
      </c>
      <c r="H304" s="3">
        <v>25</v>
      </c>
      <c r="I304" s="18" t="str">
        <f t="array" ref="I304">INDEX([2]Sheet1!$F$1:$AF$65808,MATCH(D304&amp;G304&amp;I$1,[2]Sheet1!$B$1:$B$65808&amp;[2]Sheet1!$D$1:$D$65808&amp;[2]Sheet1!$E$1:$E$65808,0),MATCH(H304,[2]Sheet1!$F$1:$AF$1,0))</f>
        <v>25钳工</v>
      </c>
      <c r="J304" s="3">
        <v>26</v>
      </c>
      <c r="K304" s="3">
        <v>26</v>
      </c>
      <c r="L304" s="19">
        <v>8</v>
      </c>
      <c r="M304" s="19">
        <v>8</v>
      </c>
      <c r="N304" s="5" t="s">
        <v>590</v>
      </c>
      <c r="O304" s="4"/>
      <c r="P304" s="18">
        <f t="array" ref="P304">IFERROR(INDEX([2]Sheet1!$F$1:$AF$65808,MATCH($D304&amp;$G304&amp;P$1,[2]Sheet1!$B$1:$B$65808&amp;[2]Sheet1!$D$1:$D$65808&amp;[2]Sheet1!$E$1:$E$65808,0),MATCH($H304,[2]Sheet1!$F$1:$AF$1,0)),0)</f>
        <v>10</v>
      </c>
      <c r="Q304" s="3"/>
      <c r="R304" s="6"/>
      <c r="S304" s="22"/>
      <c r="U304" s="23">
        <f t="shared" si="4"/>
        <v>4.3</v>
      </c>
      <c r="V304" s="24" t="s">
        <v>12</v>
      </c>
    </row>
    <row r="305" spans="1:24" ht="23.1" hidden="1" customHeight="1" x14ac:dyDescent="0.25">
      <c r="A305" s="1" t="s">
        <v>53</v>
      </c>
      <c r="D305" s="3" t="s">
        <v>305</v>
      </c>
      <c r="E305" s="15" t="s">
        <v>306</v>
      </c>
      <c r="F305" s="15" t="str">
        <f>+VLOOKUP(D305,[1]Sheet1!$D$2:$E$29166,2,0)</f>
        <v>口框梁</v>
      </c>
      <c r="G305" s="3" t="s">
        <v>64</v>
      </c>
      <c r="H305" s="3">
        <v>60</v>
      </c>
      <c r="I305" s="18" t="str">
        <f t="array" ref="I305">INDEX([2]Sheet1!$F$1:$AF$65808,MATCH(D305&amp;G305&amp;I$1,[2]Sheet1!$B$1:$B$65808&amp;[2]Sheet1!$D$1:$D$65808&amp;[2]Sheet1!$E$1:$E$65808,0),MATCH(H305,[2]Sheet1!$F$1:$AF$1,0))</f>
        <v>60/钳工</v>
      </c>
      <c r="J305" s="3">
        <v>4</v>
      </c>
      <c r="K305" s="3">
        <v>4</v>
      </c>
      <c r="L305" s="19"/>
      <c r="M305" s="19"/>
      <c r="N305" s="5" t="s">
        <v>591</v>
      </c>
      <c r="O305" s="4"/>
      <c r="P305" s="18">
        <f t="array" ref="P305">IFERROR(INDEX([2]Sheet1!$F$1:$AF$65808,MATCH($D305&amp;$G305&amp;P$1,[2]Sheet1!$B$1:$B$65808&amp;[2]Sheet1!$D$1:$D$65808&amp;[2]Sheet1!$E$1:$E$65808,0),MATCH($H305,[2]Sheet1!$F$1:$AF$1,0)),0)</f>
        <v>180</v>
      </c>
      <c r="Q305" s="3"/>
      <c r="R305" s="6"/>
      <c r="S305" s="22"/>
      <c r="U305" s="23">
        <f t="shared" si="4"/>
        <v>12</v>
      </c>
      <c r="V305" s="24" t="s">
        <v>5</v>
      </c>
      <c r="X305" s="7" t="s">
        <v>203</v>
      </c>
    </row>
    <row r="306" spans="1:24" ht="23.1" hidden="1" customHeight="1" x14ac:dyDescent="0.25">
      <c r="A306" s="1" t="s">
        <v>53</v>
      </c>
      <c r="D306" s="3" t="s">
        <v>592</v>
      </c>
      <c r="E306" s="15" t="s">
        <v>120</v>
      </c>
      <c r="F306" s="15" t="str">
        <f>+VLOOKUP(D306,[1]Sheet1!$D$2:$E$29166,2,0)</f>
        <v>支架</v>
      </c>
      <c r="G306" s="3" t="s">
        <v>51</v>
      </c>
      <c r="H306" s="3">
        <v>30</v>
      </c>
      <c r="I306" s="18" t="str">
        <f t="array" ref="I306">INDEX([2]Sheet1!$F$1:$AF$65808,MATCH(D306&amp;G306&amp;I$1,[2]Sheet1!$B$1:$B$65808&amp;[2]Sheet1!$D$1:$D$65808&amp;[2]Sheet1!$E$1:$E$65808,0),MATCH(H306,[2]Sheet1!$F$1:$AF$1,0))</f>
        <v>30/钳工</v>
      </c>
      <c r="J306" s="3">
        <v>2</v>
      </c>
      <c r="K306" s="3">
        <v>2</v>
      </c>
      <c r="L306" s="19"/>
      <c r="M306" s="19"/>
      <c r="N306" s="5" t="s">
        <v>508</v>
      </c>
      <c r="O306" s="4"/>
      <c r="P306" s="18">
        <f t="array" ref="P306">IFERROR(INDEX([2]Sheet1!$F$1:$AF$65808,MATCH($D306&amp;$G306&amp;P$1,[2]Sheet1!$B$1:$B$65808&amp;[2]Sheet1!$D$1:$D$65808&amp;[2]Sheet1!$E$1:$E$65808,0),MATCH($H306,[2]Sheet1!$F$1:$AF$1,0)),0)</f>
        <v>15</v>
      </c>
      <c r="Q306" s="3"/>
      <c r="R306" s="6"/>
      <c r="S306" s="22"/>
      <c r="U306" s="23">
        <f t="shared" si="4"/>
        <v>0.5</v>
      </c>
      <c r="V306" s="24" t="s">
        <v>5</v>
      </c>
      <c r="X306" s="7" t="s">
        <v>203</v>
      </c>
    </row>
    <row r="307" spans="1:24" ht="23.1" hidden="1" customHeight="1" x14ac:dyDescent="0.25">
      <c r="A307" s="1" t="s">
        <v>53</v>
      </c>
      <c r="D307" s="3" t="s">
        <v>593</v>
      </c>
      <c r="E307" s="15" t="s">
        <v>594</v>
      </c>
      <c r="F307" s="15" t="str">
        <f>+VLOOKUP(D307,[1]Sheet1!$D$2:$E$29166,2,0)</f>
        <v>小轴</v>
      </c>
      <c r="G307" s="3" t="s">
        <v>64</v>
      </c>
      <c r="H307" s="3">
        <v>20</v>
      </c>
      <c r="I307" s="18" t="str">
        <f t="array" ref="I307">INDEX([2]Sheet1!$F$1:$AF$65808,MATCH(D307&amp;G307&amp;I$1,[2]Sheet1!$B$1:$B$65808&amp;[2]Sheet1!$D$1:$D$65808&amp;[2]Sheet1!$E$1:$E$65808,0),MATCH(H307,[2]Sheet1!$F$1:$AF$1,0))</f>
        <v>钳标牌</v>
      </c>
      <c r="J307" s="3">
        <v>8</v>
      </c>
      <c r="K307" s="3">
        <v>8</v>
      </c>
      <c r="L307" s="19"/>
      <c r="M307" s="19"/>
      <c r="N307" s="5" t="s">
        <v>295</v>
      </c>
      <c r="O307" s="4"/>
      <c r="P307" s="18">
        <f t="array" ref="P307">IFERROR(INDEX([2]Sheet1!$F$1:$AF$65808,MATCH($D307&amp;$G307&amp;P$1,[2]Sheet1!$B$1:$B$65808&amp;[2]Sheet1!$D$1:$D$65808&amp;[2]Sheet1!$E$1:$E$65808,0),MATCH($H307,[2]Sheet1!$F$1:$AF$1,0)),0)</f>
        <v>3</v>
      </c>
      <c r="Q307" s="3"/>
      <c r="R307" s="6"/>
      <c r="S307" s="22"/>
      <c r="U307" s="23">
        <f t="shared" si="4"/>
        <v>0.4</v>
      </c>
      <c r="V307" s="24" t="s">
        <v>5</v>
      </c>
      <c r="X307" s="7" t="s">
        <v>203</v>
      </c>
    </row>
    <row r="308" spans="1:24" ht="23.1" hidden="1" customHeight="1" x14ac:dyDescent="0.25">
      <c r="A308" s="1" t="s">
        <v>53</v>
      </c>
      <c r="D308" s="3" t="s">
        <v>314</v>
      </c>
      <c r="E308" s="15" t="s">
        <v>315</v>
      </c>
      <c r="F308" s="15" t="e">
        <f>+VLOOKUP(D308,[1]Sheet1!$D$2:$E$29166,2,0)</f>
        <v>#N/A</v>
      </c>
      <c r="G308" s="3" t="s">
        <v>80</v>
      </c>
      <c r="H308" s="3">
        <v>100</v>
      </c>
      <c r="I308" s="18" t="e">
        <f t="array" ref="I308">INDEX([2]Sheet1!$F$1:$AF$65808,MATCH(D308&amp;G308&amp;I$1,[2]Sheet1!$B$1:$B$65808&amp;[2]Sheet1!$D$1:$D$65808&amp;[2]Sheet1!$E$1:$E$65808,0),MATCH(H308,[2]Sheet1!$F$1:$AF$1,0))</f>
        <v>#N/A</v>
      </c>
      <c r="J308" s="3">
        <v>2</v>
      </c>
      <c r="K308" s="3">
        <v>2</v>
      </c>
      <c r="L308" s="19"/>
      <c r="M308" s="19"/>
      <c r="N308" s="5" t="s">
        <v>295</v>
      </c>
      <c r="O308" s="4"/>
      <c r="P308" s="18">
        <v>960</v>
      </c>
      <c r="Q308" s="3"/>
      <c r="R308" s="6"/>
      <c r="S308" s="22"/>
      <c r="U308" s="23">
        <f t="shared" si="4"/>
        <v>32</v>
      </c>
      <c r="V308" s="24" t="s">
        <v>5</v>
      </c>
      <c r="X308" s="7" t="s">
        <v>203</v>
      </c>
    </row>
    <row r="309" spans="1:24" ht="23.1" hidden="1" customHeight="1" x14ac:dyDescent="0.25">
      <c r="A309" s="1" t="s">
        <v>213</v>
      </c>
      <c r="D309" s="3" t="s">
        <v>595</v>
      </c>
      <c r="E309" s="15" t="s">
        <v>596</v>
      </c>
      <c r="F309" s="15" t="str">
        <f>+VLOOKUP(D309,[1]Sheet1!$D$2:$E$29166,2,0)</f>
        <v>口框</v>
      </c>
      <c r="G309" s="3" t="s">
        <v>46</v>
      </c>
      <c r="H309" s="3">
        <v>25</v>
      </c>
      <c r="I309" s="18" t="str">
        <f t="array" ref="I309">INDEX([2]Sheet1!$F$1:$AF$65808,MATCH(D309&amp;G309&amp;I$1,[2]Sheet1!$B$1:$B$65808&amp;[2]Sheet1!$D$1:$D$65808&amp;[2]Sheet1!$E$1:$E$65808,0),MATCH(H309,[2]Sheet1!$F$1:$AF$1,0))</f>
        <v>25钳工</v>
      </c>
      <c r="J309" s="3">
        <v>2</v>
      </c>
      <c r="K309" s="3">
        <v>2</v>
      </c>
      <c r="L309" s="19"/>
      <c r="M309" s="19"/>
      <c r="N309" s="5" t="s">
        <v>597</v>
      </c>
      <c r="O309" s="4"/>
      <c r="P309" s="18">
        <f t="array" ref="P309">IFERROR(INDEX([2]Sheet1!$F$1:$AF$65808,MATCH($D309&amp;$G309&amp;P$1,[2]Sheet1!$B$1:$B$65808&amp;[2]Sheet1!$D$1:$D$65808&amp;[2]Sheet1!$E$1:$E$65808,0),MATCH($H309,[2]Sheet1!$F$1:$AF$1,0)),0)</f>
        <v>80</v>
      </c>
      <c r="Q309" s="3"/>
      <c r="R309" s="6"/>
      <c r="S309" s="22"/>
      <c r="U309" s="23">
        <f t="shared" si="4"/>
        <v>2.7</v>
      </c>
      <c r="V309" s="24" t="s">
        <v>5</v>
      </c>
      <c r="X309" s="7" t="s">
        <v>203</v>
      </c>
    </row>
    <row r="310" spans="1:24" ht="23.1" hidden="1" customHeight="1" x14ac:dyDescent="0.25">
      <c r="A310" s="1" t="s">
        <v>213</v>
      </c>
      <c r="D310" s="3" t="s">
        <v>595</v>
      </c>
      <c r="E310" s="15" t="s">
        <v>596</v>
      </c>
      <c r="F310" s="15" t="str">
        <f>+VLOOKUP(D310,[1]Sheet1!$D$2:$E$29166,2,0)</f>
        <v>口框</v>
      </c>
      <c r="G310" s="3" t="s">
        <v>46</v>
      </c>
      <c r="H310" s="3">
        <v>30</v>
      </c>
      <c r="I310" s="18" t="str">
        <f t="array" ref="I310">INDEX([2]Sheet1!$F$1:$AF$65808,MATCH(D310&amp;G310&amp;I$1,[2]Sheet1!$B$1:$B$65808&amp;[2]Sheet1!$D$1:$D$65808&amp;[2]Sheet1!$E$1:$E$65808,0),MATCH(H310,[2]Sheet1!$F$1:$AF$1,0))</f>
        <v>30称重</v>
      </c>
      <c r="J310" s="3">
        <v>2</v>
      </c>
      <c r="K310" s="3">
        <v>2</v>
      </c>
      <c r="L310" s="19"/>
      <c r="M310" s="19"/>
      <c r="N310" s="5" t="s">
        <v>597</v>
      </c>
      <c r="O310" s="4"/>
      <c r="P310" s="18">
        <f t="array" ref="P310">IFERROR(INDEX([2]Sheet1!$F$1:$AF$65808,MATCH($D310&amp;$G310&amp;P$1,[2]Sheet1!$B$1:$B$65808&amp;[2]Sheet1!$D$1:$D$65808&amp;[2]Sheet1!$E$1:$E$65808,0),MATCH($H310,[2]Sheet1!$F$1:$AF$1,0)),0)</f>
        <v>15</v>
      </c>
      <c r="Q310" s="3"/>
      <c r="R310" s="6"/>
      <c r="S310" s="22"/>
      <c r="U310" s="23">
        <f t="shared" si="4"/>
        <v>0.5</v>
      </c>
      <c r="V310" s="24" t="s">
        <v>5</v>
      </c>
      <c r="X310" s="7" t="s">
        <v>203</v>
      </c>
    </row>
    <row r="311" spans="1:24" ht="23.1" hidden="1" customHeight="1" x14ac:dyDescent="0.25">
      <c r="A311" s="1" t="s">
        <v>213</v>
      </c>
      <c r="D311" s="3" t="s">
        <v>598</v>
      </c>
      <c r="E311" s="15" t="s">
        <v>302</v>
      </c>
      <c r="F311" s="15" t="str">
        <f>+VLOOKUP(D311,[1]Sheet1!$D$2:$E$29166,2,0)</f>
        <v>角盒</v>
      </c>
      <c r="G311" s="3" t="s">
        <v>46</v>
      </c>
      <c r="H311" s="3">
        <v>35</v>
      </c>
      <c r="I311" s="18" t="str">
        <f t="array" ref="I311">INDEX([2]Sheet1!$F$1:$AF$65808,MATCH(D311&amp;G311&amp;I$1,[2]Sheet1!$B$1:$B$65808&amp;[2]Sheet1!$D$1:$D$65808&amp;[2]Sheet1!$E$1:$E$65808,0),MATCH(H311,[2]Sheet1!$F$1:$AF$1,0))</f>
        <v>35/钳工</v>
      </c>
      <c r="J311" s="3">
        <v>16</v>
      </c>
      <c r="K311" s="3">
        <v>16</v>
      </c>
      <c r="L311" s="19"/>
      <c r="M311" s="19"/>
      <c r="N311" s="5" t="s">
        <v>599</v>
      </c>
      <c r="O311" s="4"/>
      <c r="P311" s="18">
        <f t="array" ref="P311">IFERROR(INDEX([2]Sheet1!$F$1:$AF$65808,MATCH($D311&amp;$G311&amp;P$1,[2]Sheet1!$B$1:$B$65808&amp;[2]Sheet1!$D$1:$D$65808&amp;[2]Sheet1!$E$1:$E$65808,0),MATCH($H311,[2]Sheet1!$F$1:$AF$1,0)),0)</f>
        <v>50</v>
      </c>
      <c r="Q311" s="3"/>
      <c r="R311" s="6"/>
      <c r="S311" s="22"/>
      <c r="U311" s="23">
        <f t="shared" si="4"/>
        <v>13.3</v>
      </c>
      <c r="V311" s="24" t="s">
        <v>5</v>
      </c>
      <c r="X311" s="7" t="s">
        <v>203</v>
      </c>
    </row>
    <row r="312" spans="1:24" ht="23.1" hidden="1" customHeight="1" x14ac:dyDescent="0.25">
      <c r="A312" s="1" t="s">
        <v>213</v>
      </c>
      <c r="D312" s="3" t="s">
        <v>338</v>
      </c>
      <c r="E312" s="15" t="s">
        <v>339</v>
      </c>
      <c r="F312" s="15" t="str">
        <f>+VLOOKUP(D312,[1]Sheet1!$D$2:$E$29166,2,0)</f>
        <v>11140框右下半框</v>
      </c>
      <c r="G312" s="3" t="s">
        <v>147</v>
      </c>
      <c r="H312" s="3">
        <v>60</v>
      </c>
      <c r="I312" s="18" t="str">
        <f t="array" ref="I312">INDEX([2]Sheet1!$F$1:$AF$65808,MATCH(D312&amp;G312&amp;I$1,[2]Sheet1!$B$1:$B$65808&amp;[2]Sheet1!$D$1:$D$65808&amp;[2]Sheet1!$E$1:$E$65808,0),MATCH(H312,[2]Sheet1!$F$1:$AF$1,0))</f>
        <v>60/钳工</v>
      </c>
      <c r="J312" s="3">
        <v>1</v>
      </c>
      <c r="K312" s="3">
        <v>1</v>
      </c>
      <c r="L312" s="19"/>
      <c r="M312" s="19"/>
      <c r="N312" s="5" t="s">
        <v>92</v>
      </c>
      <c r="O312" s="4"/>
      <c r="P312" s="18">
        <f t="array" ref="P312">IFERROR(INDEX([2]Sheet1!$F$1:$AF$65808,MATCH($D312&amp;$G312&amp;P$1,[2]Sheet1!$B$1:$B$65808&amp;[2]Sheet1!$D$1:$D$65808&amp;[2]Sheet1!$E$1:$E$65808,0),MATCH($H312,[2]Sheet1!$F$1:$AF$1,0)),0)</f>
        <v>560</v>
      </c>
      <c r="Q312" s="3"/>
      <c r="R312" s="6"/>
      <c r="S312" s="22"/>
      <c r="U312" s="23">
        <f t="shared" si="4"/>
        <v>9.3000000000000007</v>
      </c>
      <c r="V312" s="24" t="s">
        <v>5</v>
      </c>
      <c r="X312" s="7" t="s">
        <v>203</v>
      </c>
    </row>
    <row r="313" spans="1:24" ht="23.1" hidden="1" customHeight="1" x14ac:dyDescent="0.25">
      <c r="A313" s="1" t="s">
        <v>58</v>
      </c>
      <c r="D313" s="3" t="s">
        <v>600</v>
      </c>
      <c r="E313" s="15" t="s">
        <v>254</v>
      </c>
      <c r="F313" s="15" t="str">
        <f>+VLOOKUP(D313,[1]Sheet1!$D$2:$E$29166,2,0)</f>
        <v>支座</v>
      </c>
      <c r="G313" s="3" t="s">
        <v>46</v>
      </c>
      <c r="H313" s="3">
        <v>60</v>
      </c>
      <c r="I313" s="18" t="str">
        <f t="array" ref="I313">INDEX([2]Sheet1!$F$1:$AF$65808,MATCH(D313&amp;G313&amp;I$1,[2]Sheet1!$B$1:$B$65808&amp;[2]Sheet1!$D$1:$D$65808&amp;[2]Sheet1!$E$1:$E$65808,0),MATCH(H313,[2]Sheet1!$F$1:$AF$1,0))</f>
        <v>60/钳工</v>
      </c>
      <c r="J313" s="3">
        <v>29</v>
      </c>
      <c r="K313" s="3">
        <v>29</v>
      </c>
      <c r="L313" s="19"/>
      <c r="M313" s="19"/>
      <c r="N313" s="5" t="s">
        <v>601</v>
      </c>
      <c r="O313" s="4"/>
      <c r="P313" s="18">
        <f t="array" ref="P313">IFERROR(INDEX([2]Sheet1!$F$1:$AF$65808,MATCH($D313&amp;$G313&amp;P$1,[2]Sheet1!$B$1:$B$65808&amp;[2]Sheet1!$D$1:$D$65808&amp;[2]Sheet1!$E$1:$E$65808,0),MATCH($H313,[2]Sheet1!$F$1:$AF$1,0)),0)</f>
        <v>30</v>
      </c>
      <c r="Q313" s="3"/>
      <c r="R313" s="6"/>
      <c r="S313" s="22"/>
      <c r="U313" s="23">
        <f t="shared" si="4"/>
        <v>14.5</v>
      </c>
      <c r="V313" s="24" t="s">
        <v>5</v>
      </c>
      <c r="X313" s="7" t="s">
        <v>203</v>
      </c>
    </row>
    <row r="314" spans="1:24" ht="23.1" hidden="1" customHeight="1" x14ac:dyDescent="0.25">
      <c r="A314" s="1" t="s">
        <v>58</v>
      </c>
      <c r="D314" s="3" t="s">
        <v>472</v>
      </c>
      <c r="E314" s="15" t="s">
        <v>473</v>
      </c>
      <c r="F314" s="15" t="str">
        <f>+VLOOKUP(D314,[1]Sheet1!$D$2:$E$29166,2,0)</f>
        <v>11140框左下半框</v>
      </c>
      <c r="G314" s="3" t="s">
        <v>147</v>
      </c>
      <c r="H314" s="3">
        <v>60</v>
      </c>
      <c r="I314" s="18" t="str">
        <f t="array" ref="I314">INDEX([2]Sheet1!$F$1:$AF$65808,MATCH(D314&amp;G314&amp;I$1,[2]Sheet1!$B$1:$B$65808&amp;[2]Sheet1!$D$1:$D$65808&amp;[2]Sheet1!$E$1:$E$65808,0),MATCH(H314,[2]Sheet1!$F$1:$AF$1,0))</f>
        <v>60/钳工</v>
      </c>
      <c r="J314" s="3">
        <v>3</v>
      </c>
      <c r="K314" s="3">
        <v>3</v>
      </c>
      <c r="L314" s="19"/>
      <c r="M314" s="19"/>
      <c r="N314" s="5" t="s">
        <v>602</v>
      </c>
      <c r="O314" s="4"/>
      <c r="P314" s="18">
        <f t="array" ref="P314">IFERROR(INDEX([2]Sheet1!$F$1:$AF$65808,MATCH($D314&amp;$G314&amp;P$1,[2]Sheet1!$B$1:$B$65808&amp;[2]Sheet1!$D$1:$D$65808&amp;[2]Sheet1!$E$1:$E$65808,0),MATCH($H314,[2]Sheet1!$F$1:$AF$1,0)),0)</f>
        <v>560</v>
      </c>
      <c r="Q314" s="3"/>
      <c r="R314" s="6"/>
      <c r="S314" s="22"/>
      <c r="U314" s="23">
        <f t="shared" si="4"/>
        <v>28</v>
      </c>
      <c r="V314" s="24" t="s">
        <v>5</v>
      </c>
      <c r="X314" s="7" t="s">
        <v>203</v>
      </c>
    </row>
    <row r="315" spans="1:24" ht="23.1" hidden="1" customHeight="1" x14ac:dyDescent="0.25">
      <c r="A315" s="1" t="s">
        <v>58</v>
      </c>
      <c r="D315" s="3" t="s">
        <v>603</v>
      </c>
      <c r="E315" s="15" t="s">
        <v>302</v>
      </c>
      <c r="F315" s="15" t="str">
        <f>+VLOOKUP(D315,[1]Sheet1!$D$2:$E$29166,2,0)</f>
        <v>角盒</v>
      </c>
      <c r="G315" s="3" t="s">
        <v>46</v>
      </c>
      <c r="H315" s="3">
        <v>35</v>
      </c>
      <c r="I315" s="18" t="str">
        <f t="array" ref="I315">INDEX([2]Sheet1!$F$1:$AF$65808,MATCH(D315&amp;G315&amp;I$1,[2]Sheet1!$B$1:$B$65808&amp;[2]Sheet1!$D$1:$D$65808&amp;[2]Sheet1!$E$1:$E$65808,0),MATCH(H315,[2]Sheet1!$F$1:$AF$1,0))</f>
        <v>35/钳工</v>
      </c>
      <c r="J315" s="3">
        <v>10</v>
      </c>
      <c r="K315" s="3">
        <v>10</v>
      </c>
      <c r="L315" s="19"/>
      <c r="M315" s="19"/>
      <c r="N315" s="5" t="s">
        <v>604</v>
      </c>
      <c r="O315" s="4"/>
      <c r="P315" s="18">
        <f t="array" ref="P315">IFERROR(INDEX([2]Sheet1!$F$1:$AF$65808,MATCH($D315&amp;$G315&amp;P$1,[2]Sheet1!$B$1:$B$65808&amp;[2]Sheet1!$D$1:$D$65808&amp;[2]Sheet1!$E$1:$E$65808,0),MATCH($H315,[2]Sheet1!$F$1:$AF$1,0)),0)</f>
        <v>40</v>
      </c>
      <c r="Q315" s="3"/>
      <c r="R315" s="6"/>
      <c r="S315" s="22"/>
      <c r="U315" s="23">
        <f t="shared" si="4"/>
        <v>6.7</v>
      </c>
      <c r="V315" s="24" t="s">
        <v>5</v>
      </c>
      <c r="X315" s="7" t="s">
        <v>203</v>
      </c>
    </row>
    <row r="316" spans="1:24" ht="23.1" hidden="1" customHeight="1" x14ac:dyDescent="0.25">
      <c r="A316" s="1" t="s">
        <v>58</v>
      </c>
      <c r="D316" s="3" t="s">
        <v>605</v>
      </c>
      <c r="E316" s="15" t="s">
        <v>87</v>
      </c>
      <c r="F316" s="15" t="str">
        <f>+VLOOKUP(D316,[1]Sheet1!$D$2:$E$29166,2,0)</f>
        <v>管接头</v>
      </c>
      <c r="G316" s="3" t="s">
        <v>64</v>
      </c>
      <c r="H316" s="3">
        <v>35</v>
      </c>
      <c r="I316" s="18" t="str">
        <f t="array" ref="I316">INDEX([2]Sheet1!$F$1:$AF$65808,MATCH(D316&amp;G316&amp;I$1,[2]Sheet1!$B$1:$B$65808&amp;[2]Sheet1!$D$1:$D$65808&amp;[2]Sheet1!$E$1:$E$65808,0),MATCH(H316,[2]Sheet1!$F$1:$AF$1,0))</f>
        <v>35/钳工</v>
      </c>
      <c r="J316" s="3">
        <v>40</v>
      </c>
      <c r="K316" s="3">
        <v>40</v>
      </c>
      <c r="L316" s="19"/>
      <c r="M316" s="19"/>
      <c r="N316" s="5" t="s">
        <v>102</v>
      </c>
      <c r="O316" s="4"/>
      <c r="P316" s="18">
        <f t="array" ref="P316">IFERROR(INDEX([2]Sheet1!$F$1:$AF$65808,MATCH($D316&amp;$G316&amp;P$1,[2]Sheet1!$B$1:$B$65808&amp;[2]Sheet1!$D$1:$D$65808&amp;[2]Sheet1!$E$1:$E$65808,0),MATCH($H316,[2]Sheet1!$F$1:$AF$1,0)),0)</f>
        <v>25</v>
      </c>
      <c r="Q316" s="3"/>
      <c r="R316" s="6"/>
      <c r="S316" s="22"/>
      <c r="U316" s="23">
        <f t="shared" si="4"/>
        <v>16.7</v>
      </c>
      <c r="V316" s="24" t="s">
        <v>5</v>
      </c>
      <c r="X316" s="7" t="s">
        <v>203</v>
      </c>
    </row>
    <row r="317" spans="1:24" ht="23.1" hidden="1" customHeight="1" x14ac:dyDescent="0.25">
      <c r="A317" s="1" t="s">
        <v>58</v>
      </c>
      <c r="D317" s="3" t="s">
        <v>606</v>
      </c>
      <c r="E317" s="15" t="s">
        <v>607</v>
      </c>
      <c r="F317" s="15" t="str">
        <f>+VLOOKUP(D317,[1]Sheet1!$D$2:$E$29166,2,0)</f>
        <v>测试拉杆2</v>
      </c>
      <c r="G317" s="3" t="s">
        <v>80</v>
      </c>
      <c r="H317" s="3">
        <v>20</v>
      </c>
      <c r="I317" s="18" t="e">
        <f t="array" ref="I317">INDEX([2]Sheet1!$F$1:$AF$65808,MATCH(D317&amp;G317&amp;I$1,[2]Sheet1!$B$1:$B$65808&amp;[2]Sheet1!$D$1:$D$65808&amp;[2]Sheet1!$E$1:$E$65808,0),MATCH(H317,[2]Sheet1!$F$1:$AF$1,0))</f>
        <v>#N/A</v>
      </c>
      <c r="J317" s="3">
        <v>1</v>
      </c>
      <c r="K317" s="3">
        <v>1</v>
      </c>
      <c r="L317" s="19"/>
      <c r="M317" s="19"/>
      <c r="N317" s="5" t="s">
        <v>192</v>
      </c>
      <c r="O317" s="4"/>
      <c r="P317" s="18">
        <v>5</v>
      </c>
      <c r="Q317" s="3"/>
      <c r="R317" s="6"/>
      <c r="S317" s="22"/>
      <c r="U317" s="23">
        <f t="shared" si="4"/>
        <v>0.1</v>
      </c>
      <c r="V317" s="24" t="s">
        <v>5</v>
      </c>
      <c r="X317" s="7" t="s">
        <v>203</v>
      </c>
    </row>
    <row r="318" spans="1:24" ht="23.1" hidden="1" customHeight="1" x14ac:dyDescent="0.25">
      <c r="A318" s="1" t="s">
        <v>58</v>
      </c>
      <c r="D318" s="3" t="s">
        <v>608</v>
      </c>
      <c r="E318" s="15" t="s">
        <v>609</v>
      </c>
      <c r="F318" s="15" t="str">
        <f>+VLOOKUP(D318,[1]Sheet1!$D$2:$E$29166,2,0)</f>
        <v>测试拉杆1</v>
      </c>
      <c r="G318" s="3" t="s">
        <v>80</v>
      </c>
      <c r="H318" s="3">
        <v>10</v>
      </c>
      <c r="I318" s="18" t="e">
        <f t="array" ref="I318">INDEX([2]Sheet1!$F$1:$AF$65808,MATCH(D318&amp;G318&amp;I$1,[2]Sheet1!$B$1:$B$65808&amp;[2]Sheet1!$D$1:$D$65808&amp;[2]Sheet1!$E$1:$E$65808,0),MATCH(H318,[2]Sheet1!$F$1:$AF$1,0))</f>
        <v>#N/A</v>
      </c>
      <c r="J318" s="3">
        <v>1</v>
      </c>
      <c r="K318" s="3">
        <v>1</v>
      </c>
      <c r="L318" s="19"/>
      <c r="M318" s="19"/>
      <c r="N318" s="5" t="s">
        <v>192</v>
      </c>
      <c r="O318" s="4"/>
      <c r="P318" s="18">
        <v>10</v>
      </c>
      <c r="Q318" s="3"/>
      <c r="R318" s="6"/>
      <c r="S318" s="22"/>
      <c r="U318" s="23">
        <f t="shared" si="4"/>
        <v>0.2</v>
      </c>
      <c r="V318" s="24" t="s">
        <v>5</v>
      </c>
      <c r="X318" s="7" t="s">
        <v>203</v>
      </c>
    </row>
    <row r="319" spans="1:24" ht="23.1" hidden="1" customHeight="1" x14ac:dyDescent="0.25">
      <c r="A319" s="1" t="s">
        <v>58</v>
      </c>
      <c r="D319" s="3" t="s">
        <v>610</v>
      </c>
      <c r="E319" s="15" t="s">
        <v>611</v>
      </c>
      <c r="F319" s="15" t="e">
        <f>+VLOOKUP(D319,[1]Sheet1!$D$2:$E$29166,2,0)</f>
        <v>#N/A</v>
      </c>
      <c r="G319" s="3" t="s">
        <v>80</v>
      </c>
      <c r="H319" s="3">
        <v>25</v>
      </c>
      <c r="I319" s="18" t="e">
        <f t="array" ref="I319">INDEX([2]Sheet1!$F$1:$AF$65808,MATCH(D319&amp;G319&amp;I$1,[2]Sheet1!$B$1:$B$65808&amp;[2]Sheet1!$D$1:$D$65808&amp;[2]Sheet1!$E$1:$E$65808,0),MATCH(H319,[2]Sheet1!$F$1:$AF$1,0))</f>
        <v>#N/A</v>
      </c>
      <c r="J319" s="3">
        <v>2</v>
      </c>
      <c r="K319" s="3">
        <v>2</v>
      </c>
      <c r="L319" s="19"/>
      <c r="M319" s="19"/>
      <c r="N319" s="5" t="s">
        <v>192</v>
      </c>
      <c r="O319" s="4"/>
      <c r="P319" s="18">
        <v>4</v>
      </c>
      <c r="Q319" s="3"/>
      <c r="R319" s="6"/>
      <c r="S319" s="22"/>
      <c r="U319" s="23">
        <f t="shared" si="4"/>
        <v>0.1</v>
      </c>
      <c r="V319" s="24" t="s">
        <v>5</v>
      </c>
      <c r="X319" s="7" t="s">
        <v>203</v>
      </c>
    </row>
    <row r="320" spans="1:24" ht="23.1" hidden="1" customHeight="1" x14ac:dyDescent="0.25">
      <c r="A320" s="1" t="s">
        <v>58</v>
      </c>
      <c r="D320" s="3" t="s">
        <v>612</v>
      </c>
      <c r="E320" s="15" t="s">
        <v>568</v>
      </c>
      <c r="F320" s="15" t="str">
        <f>+VLOOKUP(D320,[1]Sheet1!$D$2:$E$29166,2,0)</f>
        <v>销子</v>
      </c>
      <c r="G320" s="3" t="s">
        <v>46</v>
      </c>
      <c r="H320" s="3">
        <v>25</v>
      </c>
      <c r="I320" s="18" t="str">
        <f t="array" ref="I320">INDEX([2]Sheet1!$F$1:$AF$65808,MATCH(D320&amp;G320&amp;I$1,[2]Sheet1!$B$1:$B$65808&amp;[2]Sheet1!$D$1:$D$65808&amp;[2]Sheet1!$E$1:$E$65808,0),MATCH(H320,[2]Sheet1!$F$1:$AF$1,0))</f>
        <v>25钳工</v>
      </c>
      <c r="J320" s="3">
        <v>5</v>
      </c>
      <c r="K320" s="3">
        <v>5</v>
      </c>
      <c r="L320" s="19"/>
      <c r="M320" s="19"/>
      <c r="N320" s="5" t="s">
        <v>613</v>
      </c>
      <c r="O320" s="4"/>
      <c r="P320" s="18">
        <f t="array" ref="P320">IFERROR(INDEX([2]Sheet1!$F$1:$AF$65808,MATCH($D320&amp;$G320&amp;P$1,[2]Sheet1!$B$1:$B$65808&amp;[2]Sheet1!$D$1:$D$65808&amp;[2]Sheet1!$E$1:$E$65808,0),MATCH($H320,[2]Sheet1!$F$1:$AF$1,0)),0)</f>
        <v>25</v>
      </c>
      <c r="Q320" s="3"/>
      <c r="R320" s="6"/>
      <c r="S320" s="22"/>
      <c r="U320" s="23">
        <f t="shared" si="4"/>
        <v>2.1</v>
      </c>
      <c r="V320" s="24" t="s">
        <v>5</v>
      </c>
      <c r="X320" s="7" t="s">
        <v>203</v>
      </c>
    </row>
    <row r="321" spans="1:24" ht="23.1" hidden="1" customHeight="1" x14ac:dyDescent="0.25">
      <c r="A321" s="1" t="s">
        <v>58</v>
      </c>
      <c r="D321" s="3" t="s">
        <v>614</v>
      </c>
      <c r="E321" s="15" t="s">
        <v>300</v>
      </c>
      <c r="F321" s="15" t="str">
        <f>+VLOOKUP(D321,[1]Sheet1!$D$2:$E$29166,2,0)</f>
        <v>排气下侧壁</v>
      </c>
      <c r="G321" s="3" t="s">
        <v>64</v>
      </c>
      <c r="H321" s="3">
        <v>45</v>
      </c>
      <c r="I321" s="18" t="str">
        <f t="array" ref="I321">INDEX([2]Sheet1!$F$1:$AF$65808,MATCH(D321&amp;G321&amp;I$1,[2]Sheet1!$B$1:$B$65808&amp;[2]Sheet1!$D$1:$D$65808&amp;[2]Sheet1!$E$1:$E$65808,0),MATCH(H321,[2]Sheet1!$F$1:$AF$1,0))</f>
        <v>45/钳工</v>
      </c>
      <c r="J321" s="3">
        <v>11</v>
      </c>
      <c r="K321" s="3">
        <v>11</v>
      </c>
      <c r="L321" s="19"/>
      <c r="M321" s="19"/>
      <c r="N321" s="5" t="s">
        <v>150</v>
      </c>
      <c r="O321" s="4"/>
      <c r="P321" s="18">
        <f t="array" ref="P321">IFERROR(INDEX([2]Sheet1!$F$1:$AF$65808,MATCH($D321&amp;$G321&amp;P$1,[2]Sheet1!$B$1:$B$65808&amp;[2]Sheet1!$D$1:$D$65808&amp;[2]Sheet1!$E$1:$E$65808,0),MATCH($H321,[2]Sheet1!$F$1:$AF$1,0)),0)</f>
        <v>180</v>
      </c>
      <c r="Q321" s="3"/>
      <c r="R321" s="6"/>
      <c r="S321" s="22"/>
      <c r="U321" s="23">
        <f t="shared" si="4"/>
        <v>33</v>
      </c>
      <c r="V321" s="24" t="s">
        <v>5</v>
      </c>
      <c r="X321" s="7" t="s">
        <v>203</v>
      </c>
    </row>
    <row r="322" spans="1:24" ht="23.1" hidden="1" customHeight="1" x14ac:dyDescent="0.25">
      <c r="A322" s="1" t="s">
        <v>65</v>
      </c>
      <c r="D322" s="3" t="s">
        <v>605</v>
      </c>
      <c r="E322" s="15" t="s">
        <v>87</v>
      </c>
      <c r="F322" s="15" t="str">
        <f>+VLOOKUP(D322,[1]Sheet1!$D$2:$E$29166,2,0)</f>
        <v>管接头</v>
      </c>
      <c r="G322" s="3" t="s">
        <v>64</v>
      </c>
      <c r="H322" s="3" t="s">
        <v>340</v>
      </c>
      <c r="I322" s="18" t="e">
        <f t="array" ref="I322">INDEX([2]Sheet1!$F$1:$AF$65808,MATCH(D322&amp;G322&amp;I$1,[2]Sheet1!$B$1:$B$65808&amp;[2]Sheet1!$D$1:$D$65808&amp;[2]Sheet1!$E$1:$E$65808,0),MATCH(H322,[2]Sheet1!$F$1:$AF$1,0))</f>
        <v>#N/A</v>
      </c>
      <c r="J322" s="3">
        <v>40</v>
      </c>
      <c r="K322" s="3">
        <v>40</v>
      </c>
      <c r="L322" s="19"/>
      <c r="M322" s="19"/>
      <c r="N322" s="5" t="s">
        <v>102</v>
      </c>
      <c r="O322" s="4"/>
      <c r="P322" s="18">
        <v>10</v>
      </c>
      <c r="Q322" s="3"/>
      <c r="R322" s="6"/>
      <c r="S322" s="22"/>
      <c r="U322" s="23">
        <f t="shared" si="4"/>
        <v>6.7</v>
      </c>
      <c r="V322" s="24" t="s">
        <v>5</v>
      </c>
      <c r="W322" s="7" t="s">
        <v>615</v>
      </c>
      <c r="X322" s="7" t="s">
        <v>203</v>
      </c>
    </row>
    <row r="323" spans="1:24" ht="23.1" hidden="1" customHeight="1" x14ac:dyDescent="0.25">
      <c r="A323" s="1" t="s">
        <v>65</v>
      </c>
      <c r="D323" s="3" t="s">
        <v>600</v>
      </c>
      <c r="E323" s="15" t="s">
        <v>254</v>
      </c>
      <c r="F323" s="15" t="str">
        <f>+VLOOKUP(D323,[1]Sheet1!$D$2:$E$29166,2,0)</f>
        <v>支座</v>
      </c>
      <c r="G323" s="3" t="s">
        <v>46</v>
      </c>
      <c r="H323" s="3" t="s">
        <v>340</v>
      </c>
      <c r="I323" s="18" t="e">
        <f t="array" ref="I323">INDEX([2]Sheet1!$F$1:$AF$65808,MATCH(D323&amp;G323&amp;I$1,[2]Sheet1!$B$1:$B$65808&amp;[2]Sheet1!$D$1:$D$65808&amp;[2]Sheet1!$E$1:$E$65808,0),MATCH(H323,[2]Sheet1!$F$1:$AF$1,0))</f>
        <v>#N/A</v>
      </c>
      <c r="J323" s="3">
        <v>3</v>
      </c>
      <c r="K323" s="3">
        <v>3</v>
      </c>
      <c r="L323" s="19"/>
      <c r="M323" s="19"/>
      <c r="N323" s="5" t="s">
        <v>601</v>
      </c>
      <c r="O323" s="4"/>
      <c r="P323" s="18">
        <v>20</v>
      </c>
      <c r="Q323" s="3"/>
      <c r="R323" s="6"/>
      <c r="S323" s="22"/>
      <c r="U323" s="23">
        <f t="shared" ref="U323:U368" si="5">ROUND((K323*P323+Q323*S323)/60+T323,1)</f>
        <v>1</v>
      </c>
      <c r="V323" s="24" t="s">
        <v>5</v>
      </c>
      <c r="W323" s="7" t="s">
        <v>616</v>
      </c>
      <c r="X323" s="7" t="s">
        <v>203</v>
      </c>
    </row>
    <row r="324" spans="1:24" ht="23.1" hidden="1" customHeight="1" x14ac:dyDescent="0.25">
      <c r="A324" s="1" t="s">
        <v>65</v>
      </c>
      <c r="D324" s="3" t="s">
        <v>472</v>
      </c>
      <c r="E324" s="15" t="s">
        <v>473</v>
      </c>
      <c r="F324" s="15" t="str">
        <f>+VLOOKUP(D324,[1]Sheet1!$D$2:$E$29166,2,0)</f>
        <v>11140框左下半框</v>
      </c>
      <c r="G324" s="3" t="s">
        <v>147</v>
      </c>
      <c r="H324" s="3" t="s">
        <v>340</v>
      </c>
      <c r="I324" s="18" t="e">
        <f t="array" ref="I324">INDEX([2]Sheet1!$F$1:$AF$65808,MATCH(D324&amp;G324&amp;I$1,[2]Sheet1!$B$1:$B$65808&amp;[2]Sheet1!$D$1:$D$65808&amp;[2]Sheet1!$E$1:$E$65808,0),MATCH(H324,[2]Sheet1!$F$1:$AF$1,0))</f>
        <v>#N/A</v>
      </c>
      <c r="J324" s="3">
        <v>1</v>
      </c>
      <c r="K324" s="3">
        <v>1</v>
      </c>
      <c r="L324" s="19"/>
      <c r="M324" s="19"/>
      <c r="N324" s="5" t="s">
        <v>440</v>
      </c>
      <c r="O324" s="4"/>
      <c r="P324" s="18">
        <v>30</v>
      </c>
      <c r="Q324" s="3"/>
      <c r="R324" s="6"/>
      <c r="S324" s="22"/>
      <c r="U324" s="23">
        <f t="shared" si="5"/>
        <v>0.5</v>
      </c>
      <c r="V324" s="24" t="s">
        <v>5</v>
      </c>
      <c r="W324" s="7" t="s">
        <v>617</v>
      </c>
      <c r="X324" s="7" t="s">
        <v>203</v>
      </c>
    </row>
    <row r="325" spans="1:24" ht="23.1" hidden="1" customHeight="1" x14ac:dyDescent="0.25">
      <c r="A325" s="1" t="s">
        <v>71</v>
      </c>
      <c r="D325" s="3" t="s">
        <v>128</v>
      </c>
      <c r="E325" s="15" t="s">
        <v>129</v>
      </c>
      <c r="F325" s="15" t="str">
        <f>+VLOOKUP(D325,[1]Sheet1!$D$2:$E$29166,2,0)</f>
        <v>8635右隔框</v>
      </c>
      <c r="G325" s="3" t="s">
        <v>114</v>
      </c>
      <c r="H325" s="3">
        <v>45</v>
      </c>
      <c r="I325" s="18" t="str">
        <f t="array" ref="I325">INDEX([2]Sheet1!$F$1:$AF$65808,MATCH(D325&amp;G325&amp;I$1,[2]Sheet1!$B$1:$B$65808&amp;[2]Sheet1!$D$1:$D$65808&amp;[2]Sheet1!$E$1:$E$65808,0),MATCH(H325,[2]Sheet1!$F$1:$AF$1,0))</f>
        <v>45/钳工</v>
      </c>
      <c r="J325" s="3">
        <v>2</v>
      </c>
      <c r="K325" s="3">
        <v>2</v>
      </c>
      <c r="L325" s="19"/>
      <c r="M325" s="19"/>
      <c r="N325" s="5" t="s">
        <v>618</v>
      </c>
      <c r="O325" s="4"/>
      <c r="P325" s="18">
        <f t="array" ref="P325">IFERROR(INDEX([2]Sheet1!$F$1:$AF$65808,MATCH($D325&amp;$G325&amp;P$1,[2]Sheet1!$B$1:$B$65808&amp;[2]Sheet1!$D$1:$D$65808&amp;[2]Sheet1!$E$1:$E$65808,0),MATCH($H325,[2]Sheet1!$F$1:$AF$1,0)),0)</f>
        <v>480</v>
      </c>
      <c r="Q325" s="3"/>
      <c r="R325" s="6"/>
      <c r="S325" s="22"/>
      <c r="U325" s="23">
        <f t="shared" si="5"/>
        <v>16</v>
      </c>
      <c r="V325" s="24" t="s">
        <v>5</v>
      </c>
      <c r="X325" s="7" t="s">
        <v>203</v>
      </c>
    </row>
    <row r="326" spans="1:24" ht="23.1" hidden="1" customHeight="1" x14ac:dyDescent="0.25">
      <c r="A326" s="1" t="s">
        <v>71</v>
      </c>
      <c r="D326" s="3" t="s">
        <v>619</v>
      </c>
      <c r="E326" s="15" t="s">
        <v>620</v>
      </c>
      <c r="F326" s="15" t="e">
        <f>+VLOOKUP(D326,[1]Sheet1!$D$2:$E$29166,2,0)</f>
        <v>#N/A</v>
      </c>
      <c r="G326" s="3" t="s">
        <v>80</v>
      </c>
      <c r="H326" s="3">
        <v>100</v>
      </c>
      <c r="I326" s="18" t="e">
        <f t="array" ref="I326">INDEX([2]Sheet1!$F$1:$AF$65808,MATCH(D326&amp;G326&amp;I$1,[2]Sheet1!$B$1:$B$65808&amp;[2]Sheet1!$D$1:$D$65808&amp;[2]Sheet1!$E$1:$E$65808,0),MATCH(H326,[2]Sheet1!$F$1:$AF$1,0))</f>
        <v>#N/A</v>
      </c>
      <c r="J326" s="3">
        <v>4</v>
      </c>
      <c r="K326" s="3">
        <v>4</v>
      </c>
      <c r="L326" s="19"/>
      <c r="M326" s="19"/>
      <c r="N326" s="5" t="s">
        <v>360</v>
      </c>
      <c r="O326" s="4"/>
      <c r="P326" s="18">
        <v>360</v>
      </c>
      <c r="Q326" s="3"/>
      <c r="R326" s="6"/>
      <c r="S326" s="22"/>
      <c r="U326" s="23">
        <f t="shared" si="5"/>
        <v>24</v>
      </c>
      <c r="V326" s="24" t="s">
        <v>5</v>
      </c>
      <c r="X326" s="7" t="s">
        <v>203</v>
      </c>
    </row>
    <row r="327" spans="1:24" ht="23.1" hidden="1" customHeight="1" x14ac:dyDescent="0.25">
      <c r="A327" s="1" t="s">
        <v>71</v>
      </c>
      <c r="D327" s="3" t="s">
        <v>320</v>
      </c>
      <c r="E327" s="15" t="s">
        <v>321</v>
      </c>
      <c r="F327" s="15" t="str">
        <f>+VLOOKUP(D327,[1]Sheet1!$D$2:$E$29166,2,0)</f>
        <v>10540中框</v>
      </c>
      <c r="G327" s="3" t="s">
        <v>114</v>
      </c>
      <c r="H327" s="3">
        <v>65</v>
      </c>
      <c r="I327" s="18" t="str">
        <f t="array" ref="I327">INDEX([2]Sheet1!$F$1:$AF$65808,MATCH(D327&amp;G327&amp;I$1,[2]Sheet1!$B$1:$B$65808&amp;[2]Sheet1!$D$1:$D$65808&amp;[2]Sheet1!$E$1:$E$65808,0),MATCH(H327,[2]Sheet1!$F$1:$AF$1,0))</f>
        <v>65/钳工</v>
      </c>
      <c r="J327" s="3">
        <v>3</v>
      </c>
      <c r="K327" s="3">
        <v>3</v>
      </c>
      <c r="L327" s="19"/>
      <c r="M327" s="19"/>
      <c r="N327" s="5" t="s">
        <v>621</v>
      </c>
      <c r="O327" s="4"/>
      <c r="P327" s="18">
        <f t="array" ref="P327">IFERROR(INDEX([2]Sheet1!$F$1:$AF$65808,MATCH($D327&amp;$G327&amp;P$1,[2]Sheet1!$B$1:$B$65808&amp;[2]Sheet1!$D$1:$D$65808&amp;[2]Sheet1!$E$1:$E$65808,0),MATCH($H327,[2]Sheet1!$F$1:$AF$1,0)),0)</f>
        <v>720</v>
      </c>
      <c r="Q327" s="3"/>
      <c r="R327" s="6"/>
      <c r="S327" s="22"/>
      <c r="U327" s="23">
        <f t="shared" si="5"/>
        <v>36</v>
      </c>
      <c r="V327" s="24" t="s">
        <v>5</v>
      </c>
      <c r="X327" s="7" t="s">
        <v>203</v>
      </c>
    </row>
    <row r="328" spans="1:24" ht="23.1" hidden="1" customHeight="1" x14ac:dyDescent="0.25">
      <c r="A328" s="1" t="s">
        <v>71</v>
      </c>
      <c r="D328" s="3" t="s">
        <v>619</v>
      </c>
      <c r="E328" s="15" t="s">
        <v>620</v>
      </c>
      <c r="F328" s="15" t="e">
        <f>+VLOOKUP(D328,[1]Sheet1!$D$2:$E$29166,2,0)</f>
        <v>#N/A</v>
      </c>
      <c r="G328" s="3" t="s">
        <v>80</v>
      </c>
      <c r="H328" s="3">
        <v>103</v>
      </c>
      <c r="I328" s="18" t="e">
        <f t="array" ref="I328">INDEX([2]Sheet1!$F$1:$AF$65808,MATCH(D328&amp;G328&amp;I$1,[2]Sheet1!$B$1:$B$65808&amp;[2]Sheet1!$D$1:$D$65808&amp;[2]Sheet1!$E$1:$E$65808,0),MATCH(H328,[2]Sheet1!$F$1:$AF$1,0))</f>
        <v>#N/A</v>
      </c>
      <c r="J328" s="3">
        <v>4</v>
      </c>
      <c r="K328" s="3">
        <v>4</v>
      </c>
      <c r="L328" s="19"/>
      <c r="M328" s="19"/>
      <c r="N328" s="5" t="s">
        <v>360</v>
      </c>
      <c r="O328" s="4"/>
      <c r="P328" s="18">
        <v>90</v>
      </c>
      <c r="Q328" s="3"/>
      <c r="R328" s="6"/>
      <c r="S328" s="22"/>
      <c r="U328" s="23">
        <f t="shared" si="5"/>
        <v>6</v>
      </c>
      <c r="V328" s="24" t="s">
        <v>5</v>
      </c>
      <c r="X328" s="7" t="s">
        <v>203</v>
      </c>
    </row>
    <row r="329" spans="1:24" ht="23.1" hidden="1" customHeight="1" x14ac:dyDescent="0.25">
      <c r="A329" s="1" t="s">
        <v>74</v>
      </c>
      <c r="D329" s="3" t="s">
        <v>328</v>
      </c>
      <c r="E329" s="15" t="s">
        <v>329</v>
      </c>
      <c r="F329" s="15" t="str">
        <f>+VLOOKUP(D329,[1]Sheet1!$D$2:$E$29166,2,0)</f>
        <v>辅助动力舱口盖前段</v>
      </c>
      <c r="G329" s="3" t="s">
        <v>46</v>
      </c>
      <c r="H329" s="3">
        <v>50</v>
      </c>
      <c r="I329" s="18" t="str">
        <f t="array" ref="I329">INDEX([2]Sheet1!$F$1:$AF$65808,MATCH(D329&amp;G329&amp;I$1,[2]Sheet1!$B$1:$B$65808&amp;[2]Sheet1!$D$1:$D$65808&amp;[2]Sheet1!$E$1:$E$65808,0),MATCH(H329,[2]Sheet1!$F$1:$AF$1,0))</f>
        <v>50/钳工</v>
      </c>
      <c r="J329" s="3">
        <v>2</v>
      </c>
      <c r="K329" s="3">
        <v>2</v>
      </c>
      <c r="L329" s="19"/>
      <c r="M329" s="19"/>
      <c r="N329" s="5" t="s">
        <v>622</v>
      </c>
      <c r="O329" s="4"/>
      <c r="P329" s="18">
        <f t="array" ref="P329">IFERROR(INDEX([2]Sheet1!$F$1:$AF$65808,MATCH($D329&amp;$G329&amp;P$1,[2]Sheet1!$B$1:$B$65808&amp;[2]Sheet1!$D$1:$D$65808&amp;[2]Sheet1!$E$1:$E$65808,0),MATCH($H329,[2]Sheet1!$F$1:$AF$1,0)),0)</f>
        <v>480</v>
      </c>
      <c r="Q329" s="3"/>
      <c r="R329" s="6"/>
      <c r="S329" s="22"/>
      <c r="U329" s="23">
        <f t="shared" si="5"/>
        <v>16</v>
      </c>
      <c r="V329" s="24" t="s">
        <v>5</v>
      </c>
      <c r="X329" s="7" t="s">
        <v>203</v>
      </c>
    </row>
    <row r="330" spans="1:24" ht="23.1" hidden="1" customHeight="1" x14ac:dyDescent="0.25">
      <c r="A330" s="1" t="s">
        <v>74</v>
      </c>
      <c r="D330" s="3" t="s">
        <v>328</v>
      </c>
      <c r="E330" s="15" t="s">
        <v>329</v>
      </c>
      <c r="F330" s="15" t="str">
        <f>+VLOOKUP(D330,[1]Sheet1!$D$2:$E$29166,2,0)</f>
        <v>辅助动力舱口盖前段</v>
      </c>
      <c r="G330" s="3" t="s">
        <v>46</v>
      </c>
      <c r="H330" s="3">
        <v>52</v>
      </c>
      <c r="I330" s="18" t="e">
        <f t="array" ref="I330">INDEX([2]Sheet1!$F$1:$AF$65808,MATCH(D330&amp;G330&amp;I$1,[2]Sheet1!$B$1:$B$65808&amp;[2]Sheet1!$D$1:$D$65808&amp;[2]Sheet1!$E$1:$E$65808,0),MATCH(H330,[2]Sheet1!$F$1:$AF$1,0))</f>
        <v>#N/A</v>
      </c>
      <c r="J330" s="3">
        <v>2</v>
      </c>
      <c r="K330" s="3">
        <v>2</v>
      </c>
      <c r="L330" s="19"/>
      <c r="M330" s="19"/>
      <c r="N330" s="5" t="s">
        <v>622</v>
      </c>
      <c r="O330" s="4"/>
      <c r="P330" s="18">
        <v>120</v>
      </c>
      <c r="Q330" s="3"/>
      <c r="R330" s="6"/>
      <c r="S330" s="22"/>
      <c r="U330" s="23">
        <f t="shared" si="5"/>
        <v>4</v>
      </c>
      <c r="V330" s="24" t="s">
        <v>5</v>
      </c>
      <c r="X330" s="7" t="s">
        <v>203</v>
      </c>
    </row>
    <row r="331" spans="1:24" ht="23.1" hidden="1" customHeight="1" x14ac:dyDescent="0.25">
      <c r="A331" s="1" t="s">
        <v>74</v>
      </c>
      <c r="D331" s="3" t="s">
        <v>623</v>
      </c>
      <c r="E331" s="15" t="s">
        <v>129</v>
      </c>
      <c r="F331" s="15" t="e">
        <f>+VLOOKUP(D331,[1]Sheet1!$D$2:$E$29166,2,0)</f>
        <v>#N/A</v>
      </c>
      <c r="G331" s="3" t="s">
        <v>114</v>
      </c>
      <c r="H331" s="3" t="s">
        <v>340</v>
      </c>
      <c r="I331" s="18" t="e">
        <f t="array" ref="I331">INDEX([2]Sheet1!$F$1:$AF$65808,MATCH(D331&amp;G331&amp;I$1,[2]Sheet1!$B$1:$B$65808&amp;[2]Sheet1!$D$1:$D$65808&amp;[2]Sheet1!$E$1:$E$65808,0),MATCH(H331,[2]Sheet1!$F$1:$AF$1,0))</f>
        <v>#N/A</v>
      </c>
      <c r="J331" s="3">
        <v>6</v>
      </c>
      <c r="K331" s="3">
        <v>6</v>
      </c>
      <c r="L331" s="19"/>
      <c r="M331" s="19"/>
      <c r="N331" s="5" t="s">
        <v>491</v>
      </c>
      <c r="O331" s="4"/>
      <c r="P331" s="18">
        <v>30</v>
      </c>
      <c r="Q331" s="3"/>
      <c r="R331" s="6"/>
      <c r="S331" s="22"/>
      <c r="U331" s="23">
        <f t="shared" si="5"/>
        <v>3</v>
      </c>
      <c r="V331" s="24" t="s">
        <v>5</v>
      </c>
      <c r="W331" s="7" t="s">
        <v>624</v>
      </c>
      <c r="X331" s="7" t="s">
        <v>203</v>
      </c>
    </row>
    <row r="332" spans="1:24" ht="23.1" hidden="1" customHeight="1" x14ac:dyDescent="0.25">
      <c r="A332" s="1" t="s">
        <v>74</v>
      </c>
      <c r="D332" s="3" t="s">
        <v>625</v>
      </c>
      <c r="E332" s="15" t="s">
        <v>626</v>
      </c>
      <c r="F332" s="15" t="str">
        <f>+VLOOKUP(D332,[1]Sheet1!$D$2:$E$29166,2,0)</f>
        <v>缓冲头</v>
      </c>
      <c r="G332" s="3" t="s">
        <v>46</v>
      </c>
      <c r="H332" s="3">
        <v>35</v>
      </c>
      <c r="I332" s="18" t="str">
        <f t="array" ref="I332">INDEX([2]Sheet1!$F$1:$AF$65808,MATCH(D332&amp;G332&amp;I$1,[2]Sheet1!$B$1:$B$65808&amp;[2]Sheet1!$D$1:$D$65808&amp;[2]Sheet1!$E$1:$E$65808,0),MATCH(H332,[2]Sheet1!$F$1:$AF$1,0))</f>
        <v>35/钳工</v>
      </c>
      <c r="J332" s="3">
        <v>6</v>
      </c>
      <c r="K332" s="3">
        <v>6</v>
      </c>
      <c r="L332" s="19"/>
      <c r="M332" s="19"/>
      <c r="N332" s="5" t="s">
        <v>360</v>
      </c>
      <c r="O332" s="4"/>
      <c r="P332" s="18">
        <f t="array" ref="P332">IFERROR(INDEX([2]Sheet1!$F$1:$AF$65808,MATCH($D332&amp;$G332&amp;P$1,[2]Sheet1!$B$1:$B$65808&amp;[2]Sheet1!$D$1:$D$65808&amp;[2]Sheet1!$E$1:$E$65808,0),MATCH($H332,[2]Sheet1!$F$1:$AF$1,0)),0)</f>
        <v>15</v>
      </c>
      <c r="Q332" s="3"/>
      <c r="R332" s="6"/>
      <c r="S332" s="22"/>
      <c r="U332" s="23">
        <f t="shared" si="5"/>
        <v>1.5</v>
      </c>
      <c r="V332" s="24" t="s">
        <v>5</v>
      </c>
      <c r="X332" s="7" t="s">
        <v>203</v>
      </c>
    </row>
    <row r="333" spans="1:24" ht="23.1" hidden="1" customHeight="1" x14ac:dyDescent="0.25">
      <c r="A333" s="1" t="s">
        <v>82</v>
      </c>
      <c r="D333" s="3" t="s">
        <v>352</v>
      </c>
      <c r="E333" s="15" t="s">
        <v>353</v>
      </c>
      <c r="F333" s="15" t="str">
        <f>+VLOOKUP(D333,[1]Sheet1!$D$2:$E$29166,2,0)</f>
        <v>前端框</v>
      </c>
      <c r="G333" s="3" t="s">
        <v>51</v>
      </c>
      <c r="H333" s="3">
        <v>60</v>
      </c>
      <c r="I333" s="18" t="str">
        <f t="array" ref="I333">INDEX([2]Sheet1!$F$1:$AF$65808,MATCH(D333&amp;G333&amp;I$1,[2]Sheet1!$B$1:$B$65808&amp;[2]Sheet1!$D$1:$D$65808&amp;[2]Sheet1!$E$1:$E$65808,0),MATCH(H333,[2]Sheet1!$F$1:$AF$1,0))</f>
        <v>60/钳工</v>
      </c>
      <c r="J333" s="3">
        <v>6</v>
      </c>
      <c r="K333" s="3">
        <v>6</v>
      </c>
      <c r="L333" s="19"/>
      <c r="M333" s="19"/>
      <c r="N333" s="5" t="s">
        <v>156</v>
      </c>
      <c r="O333" s="4"/>
      <c r="P333" s="18">
        <f t="array" ref="P333">IFERROR(INDEX([2]Sheet1!$F$1:$AF$65808,MATCH($D333&amp;$G333&amp;P$1,[2]Sheet1!$B$1:$B$65808&amp;[2]Sheet1!$D$1:$D$65808&amp;[2]Sheet1!$E$1:$E$65808,0),MATCH($H333,[2]Sheet1!$F$1:$AF$1,0)),0)</f>
        <v>300</v>
      </c>
      <c r="Q333" s="3"/>
      <c r="R333" s="6"/>
      <c r="S333" s="22"/>
      <c r="U333" s="23">
        <f t="shared" si="5"/>
        <v>30</v>
      </c>
      <c r="V333" s="24" t="s">
        <v>5</v>
      </c>
      <c r="X333" s="7" t="s">
        <v>203</v>
      </c>
    </row>
    <row r="334" spans="1:24" ht="23.1" hidden="1" customHeight="1" x14ac:dyDescent="0.25">
      <c r="A334" s="1" t="s">
        <v>82</v>
      </c>
      <c r="D334" s="3" t="s">
        <v>78</v>
      </c>
      <c r="E334" s="15" t="s">
        <v>79</v>
      </c>
      <c r="F334" s="15" t="str">
        <f>+VLOOKUP(D334,[1]Sheet1!$D$2:$E$29166,2,0)</f>
        <v>立柱加强接头</v>
      </c>
      <c r="G334" s="3" t="s">
        <v>80</v>
      </c>
      <c r="H334" s="3" t="s">
        <v>340</v>
      </c>
      <c r="I334" s="18" t="e">
        <f t="array" ref="I334">INDEX([2]Sheet1!$F$1:$AF$65808,MATCH(D334&amp;G334&amp;I$1,[2]Sheet1!$B$1:$B$65808&amp;[2]Sheet1!$D$1:$D$65808&amp;[2]Sheet1!$E$1:$E$65808,0),MATCH(H334,[2]Sheet1!$F$1:$AF$1,0))</f>
        <v>#N/A</v>
      </c>
      <c r="J334" s="3">
        <v>7</v>
      </c>
      <c r="K334" s="3">
        <v>7</v>
      </c>
      <c r="L334" s="19"/>
      <c r="M334" s="19"/>
      <c r="N334" s="5" t="s">
        <v>81</v>
      </c>
      <c r="O334" s="4"/>
      <c r="P334" s="18">
        <v>20</v>
      </c>
      <c r="Q334" s="3"/>
      <c r="R334" s="6"/>
      <c r="S334" s="22"/>
      <c r="U334" s="23">
        <f t="shared" si="5"/>
        <v>2.2999999999999998</v>
      </c>
      <c r="V334" s="24" t="s">
        <v>5</v>
      </c>
      <c r="W334" s="7" t="s">
        <v>627</v>
      </c>
      <c r="X334" s="7" t="s">
        <v>203</v>
      </c>
    </row>
    <row r="335" spans="1:24" ht="23.1" hidden="1" customHeight="1" x14ac:dyDescent="0.25">
      <c r="A335" s="1" t="s">
        <v>82</v>
      </c>
      <c r="D335" s="3" t="s">
        <v>363</v>
      </c>
      <c r="E335" s="15" t="s">
        <v>353</v>
      </c>
      <c r="F335" s="15" t="str">
        <f>+VLOOKUP(D335,[1]Sheet1!$D$2:$E$29166,2,0)</f>
        <v>前端框</v>
      </c>
      <c r="G335" s="3" t="s">
        <v>51</v>
      </c>
      <c r="H335" s="3">
        <v>60</v>
      </c>
      <c r="I335" s="18" t="str">
        <f t="array" ref="I335">INDEX([2]Sheet1!$F$1:$AF$65808,MATCH(D335&amp;G335&amp;I$1,[2]Sheet1!$B$1:$B$65808&amp;[2]Sheet1!$D$1:$D$65808&amp;[2]Sheet1!$E$1:$E$65808,0),MATCH(H335,[2]Sheet1!$F$1:$AF$1,0))</f>
        <v>60/钳工</v>
      </c>
      <c r="J335" s="3">
        <v>3</v>
      </c>
      <c r="K335" s="3">
        <v>3</v>
      </c>
      <c r="L335" s="19"/>
      <c r="M335" s="19"/>
      <c r="N335" s="5" t="s">
        <v>628</v>
      </c>
      <c r="O335" s="4"/>
      <c r="P335" s="18">
        <f t="array" ref="P335">IFERROR(INDEX([2]Sheet1!$F$1:$AF$65808,MATCH($D335&amp;$G335&amp;P$1,[2]Sheet1!$B$1:$B$65808&amp;[2]Sheet1!$D$1:$D$65808&amp;[2]Sheet1!$E$1:$E$65808,0),MATCH($H335,[2]Sheet1!$F$1:$AF$1,0)),0)</f>
        <v>300</v>
      </c>
      <c r="Q335" s="3"/>
      <c r="R335" s="6"/>
      <c r="S335" s="22"/>
      <c r="U335" s="23">
        <f t="shared" si="5"/>
        <v>15</v>
      </c>
      <c r="V335" s="24" t="s">
        <v>5</v>
      </c>
      <c r="X335" s="7" t="s">
        <v>203</v>
      </c>
    </row>
    <row r="336" spans="1:24" ht="23.1" hidden="1" customHeight="1" x14ac:dyDescent="0.25">
      <c r="A336" s="1" t="s">
        <v>82</v>
      </c>
      <c r="D336" s="3" t="s">
        <v>629</v>
      </c>
      <c r="E336" s="15" t="s">
        <v>630</v>
      </c>
      <c r="F336" s="15" t="str">
        <f>+VLOOKUP(D336,[1]Sheet1!$D$2:$E$29166,2,0)</f>
        <v>BL280侧壁（右件）</v>
      </c>
      <c r="G336" s="3" t="s">
        <v>155</v>
      </c>
      <c r="H336" s="3">
        <v>40</v>
      </c>
      <c r="I336" s="18" t="str">
        <f t="array" ref="I336">INDEX([2]Sheet1!$F$1:$AF$65808,MATCH(D336&amp;G336&amp;I$1,[2]Sheet1!$B$1:$B$65808&amp;[2]Sheet1!$D$1:$D$65808&amp;[2]Sheet1!$E$1:$E$65808,0),MATCH(H336,[2]Sheet1!$F$1:$AF$1,0))</f>
        <v>40/钳工</v>
      </c>
      <c r="J336" s="3">
        <v>2</v>
      </c>
      <c r="K336" s="3">
        <v>2</v>
      </c>
      <c r="L336" s="19"/>
      <c r="M336" s="19"/>
      <c r="N336" s="5" t="s">
        <v>335</v>
      </c>
      <c r="O336" s="4"/>
      <c r="P336" s="18">
        <f t="array" ref="P336">IFERROR(INDEX([2]Sheet1!$F$1:$AF$65808,MATCH($D336&amp;$G336&amp;P$1,[2]Sheet1!$B$1:$B$65808&amp;[2]Sheet1!$D$1:$D$65808&amp;[2]Sheet1!$E$1:$E$65808,0),MATCH($H336,[2]Sheet1!$F$1:$AF$1,0)),0)</f>
        <v>960</v>
      </c>
      <c r="Q336" s="3"/>
      <c r="R336" s="6"/>
      <c r="S336" s="22"/>
      <c r="U336" s="23">
        <f t="shared" si="5"/>
        <v>32</v>
      </c>
      <c r="V336" s="24" t="s">
        <v>5</v>
      </c>
      <c r="X336" s="7" t="s">
        <v>203</v>
      </c>
    </row>
    <row r="337" spans="1:24" ht="23.1" hidden="1" customHeight="1" x14ac:dyDescent="0.25">
      <c r="A337" s="1" t="s">
        <v>100</v>
      </c>
      <c r="D337" s="3" t="s">
        <v>629</v>
      </c>
      <c r="E337" s="15" t="s">
        <v>630</v>
      </c>
      <c r="F337" s="15" t="str">
        <f>+VLOOKUP(D337,[1]Sheet1!$D$2:$E$29166,2,0)</f>
        <v>BL280侧壁（右件）</v>
      </c>
      <c r="G337" s="3" t="s">
        <v>155</v>
      </c>
      <c r="H337" s="3" t="s">
        <v>340</v>
      </c>
      <c r="I337" s="18" t="e">
        <f t="array" ref="I337">INDEX([2]Sheet1!$F$1:$AF$65808,MATCH(D337&amp;G337&amp;I$1,[2]Sheet1!$B$1:$B$65808&amp;[2]Sheet1!$D$1:$D$65808&amp;[2]Sheet1!$E$1:$E$65808,0),MATCH(H337,[2]Sheet1!$F$1:$AF$1,0))</f>
        <v>#N/A</v>
      </c>
      <c r="J337" s="3">
        <v>2</v>
      </c>
      <c r="K337" s="3">
        <v>2</v>
      </c>
      <c r="L337" s="19"/>
      <c r="M337" s="19"/>
      <c r="N337" s="5" t="s">
        <v>335</v>
      </c>
      <c r="O337" s="4"/>
      <c r="P337" s="18">
        <v>300</v>
      </c>
      <c r="Q337" s="3"/>
      <c r="R337" s="6"/>
      <c r="S337" s="22"/>
      <c r="U337" s="23">
        <f t="shared" si="5"/>
        <v>10</v>
      </c>
      <c r="V337" s="24" t="s">
        <v>5</v>
      </c>
      <c r="W337" s="7" t="s">
        <v>515</v>
      </c>
      <c r="X337" s="7" t="s">
        <v>203</v>
      </c>
    </row>
    <row r="338" spans="1:24" ht="23.1" hidden="1" customHeight="1" x14ac:dyDescent="0.25">
      <c r="A338" s="1" t="s">
        <v>103</v>
      </c>
      <c r="D338" s="3" t="s">
        <v>355</v>
      </c>
      <c r="E338" s="15" t="s">
        <v>356</v>
      </c>
      <c r="F338" s="15" t="str">
        <f>+VLOOKUP(D338,[1]Sheet1!$D$2:$E$29166,2,0)</f>
        <v>后端框</v>
      </c>
      <c r="G338" s="3" t="s">
        <v>147</v>
      </c>
      <c r="H338" s="3">
        <v>60</v>
      </c>
      <c r="I338" s="18" t="str">
        <f t="array" ref="I338">INDEX([2]Sheet1!$F$1:$AF$65808,MATCH(D338&amp;G338&amp;I$1,[2]Sheet1!$B$1:$B$65808&amp;[2]Sheet1!$D$1:$D$65808&amp;[2]Sheet1!$E$1:$E$65808,0),MATCH(H338,[2]Sheet1!$F$1:$AF$1,0))</f>
        <v>60/钳工</v>
      </c>
      <c r="J338" s="3">
        <v>2</v>
      </c>
      <c r="K338" s="3">
        <v>2</v>
      </c>
      <c r="L338" s="19"/>
      <c r="M338" s="19"/>
      <c r="N338" s="5" t="s">
        <v>357</v>
      </c>
      <c r="O338" s="4"/>
      <c r="P338" s="18">
        <f t="array" ref="P338">IFERROR(INDEX([2]Sheet1!$F$1:$AF$65808,MATCH($D338&amp;$G338&amp;P$1,[2]Sheet1!$B$1:$B$65808&amp;[2]Sheet1!$D$1:$D$65808&amp;[2]Sheet1!$E$1:$E$65808,0),MATCH($H338,[2]Sheet1!$F$1:$AF$1,0)),0)</f>
        <v>420</v>
      </c>
      <c r="Q338" s="3"/>
      <c r="R338" s="6"/>
      <c r="S338" s="22"/>
      <c r="U338" s="23">
        <f t="shared" si="5"/>
        <v>14</v>
      </c>
      <c r="V338" s="24" t="s">
        <v>5</v>
      </c>
      <c r="X338" s="7" t="s">
        <v>203</v>
      </c>
    </row>
    <row r="339" spans="1:24" ht="23.1" hidden="1" customHeight="1" x14ac:dyDescent="0.25">
      <c r="A339" s="1" t="s">
        <v>103</v>
      </c>
      <c r="D339" s="3" t="s">
        <v>631</v>
      </c>
      <c r="E339" s="15" t="s">
        <v>632</v>
      </c>
      <c r="F339" s="15" t="str">
        <f>+VLOOKUP(D339,[1]Sheet1!$D$2:$E$29166,2,0)</f>
        <v>BL280侧壁（左件）</v>
      </c>
      <c r="G339" s="3" t="s">
        <v>155</v>
      </c>
      <c r="H339" s="3">
        <v>40</v>
      </c>
      <c r="I339" s="18" t="str">
        <f t="array" ref="I339">INDEX([2]Sheet1!$F$1:$AF$65808,MATCH(D339&amp;G339&amp;I$1,[2]Sheet1!$B$1:$B$65808&amp;[2]Sheet1!$D$1:$D$65808&amp;[2]Sheet1!$E$1:$E$65808,0),MATCH(H339,[2]Sheet1!$F$1:$AF$1,0))</f>
        <v>40/钳工</v>
      </c>
      <c r="J339" s="3">
        <v>2</v>
      </c>
      <c r="K339" s="3">
        <v>2</v>
      </c>
      <c r="L339" s="19"/>
      <c r="M339" s="19"/>
      <c r="N339" s="5" t="s">
        <v>633</v>
      </c>
      <c r="O339" s="4"/>
      <c r="P339" s="18">
        <f t="array" ref="P339">IFERROR(INDEX([2]Sheet1!$F$1:$AF$65808,MATCH($D339&amp;$G339&amp;P$1,[2]Sheet1!$B$1:$B$65808&amp;[2]Sheet1!$D$1:$D$65808&amp;[2]Sheet1!$E$1:$E$65808,0),MATCH($H339,[2]Sheet1!$F$1:$AF$1,0)),0)</f>
        <v>960</v>
      </c>
      <c r="Q339" s="3"/>
      <c r="R339" s="6"/>
      <c r="S339" s="22"/>
      <c r="U339" s="23">
        <f t="shared" si="5"/>
        <v>32</v>
      </c>
      <c r="V339" s="24" t="s">
        <v>5</v>
      </c>
      <c r="X339" s="7" t="s">
        <v>203</v>
      </c>
    </row>
    <row r="340" spans="1:24" ht="23.1" hidden="1" customHeight="1" x14ac:dyDescent="0.25">
      <c r="A340" s="1" t="s">
        <v>103</v>
      </c>
      <c r="D340" s="3" t="s">
        <v>631</v>
      </c>
      <c r="E340" s="15" t="s">
        <v>632</v>
      </c>
      <c r="F340" s="15" t="str">
        <f>+VLOOKUP(D340,[1]Sheet1!$D$2:$E$29166,2,0)</f>
        <v>BL280侧壁（左件）</v>
      </c>
      <c r="G340" s="3" t="s">
        <v>155</v>
      </c>
      <c r="H340" s="3" t="s">
        <v>340</v>
      </c>
      <c r="I340" s="18" t="e">
        <f t="array" ref="I340">INDEX([2]Sheet1!$F$1:$AF$65808,MATCH(D340&amp;G340&amp;I$1,[2]Sheet1!$B$1:$B$65808&amp;[2]Sheet1!$D$1:$D$65808&amp;[2]Sheet1!$E$1:$E$65808,0),MATCH(H340,[2]Sheet1!$F$1:$AF$1,0))</f>
        <v>#N/A</v>
      </c>
      <c r="J340" s="3">
        <v>2</v>
      </c>
      <c r="K340" s="3">
        <v>2</v>
      </c>
      <c r="L340" s="19"/>
      <c r="M340" s="19"/>
      <c r="N340" s="5" t="s">
        <v>633</v>
      </c>
      <c r="O340" s="4"/>
      <c r="P340" s="18">
        <v>300</v>
      </c>
      <c r="Q340" s="3"/>
      <c r="R340" s="6"/>
      <c r="S340" s="22"/>
      <c r="U340" s="23">
        <f t="shared" si="5"/>
        <v>10</v>
      </c>
      <c r="V340" s="24" t="s">
        <v>5</v>
      </c>
      <c r="W340" s="7" t="s">
        <v>515</v>
      </c>
      <c r="X340" s="7" t="s">
        <v>203</v>
      </c>
    </row>
    <row r="341" spans="1:24" ht="23.1" hidden="1" customHeight="1" x14ac:dyDescent="0.25">
      <c r="A341" s="1" t="s">
        <v>109</v>
      </c>
      <c r="D341" s="3" t="s">
        <v>634</v>
      </c>
      <c r="E341" s="15" t="s">
        <v>635</v>
      </c>
      <c r="F341" s="15" t="str">
        <f>+VLOOKUP(D341,[1]Sheet1!$D$2:$E$29166,2,0)</f>
        <v>纵向加强件</v>
      </c>
      <c r="G341" s="3" t="s">
        <v>64</v>
      </c>
      <c r="H341" s="3">
        <v>60</v>
      </c>
      <c r="I341" s="18" t="str">
        <f t="array" ref="I341">INDEX([2]Sheet1!$F$1:$AF$65808,MATCH(D341&amp;G341&amp;I$1,[2]Sheet1!$B$1:$B$65808&amp;[2]Sheet1!$D$1:$D$65808&amp;[2]Sheet1!$E$1:$E$65808,0),MATCH(H341,[2]Sheet1!$F$1:$AF$1,0))</f>
        <v>60/钳工</v>
      </c>
      <c r="J341" s="3">
        <v>1</v>
      </c>
      <c r="K341" s="3">
        <v>1</v>
      </c>
      <c r="L341" s="19"/>
      <c r="M341" s="19"/>
      <c r="N341" s="5" t="s">
        <v>636</v>
      </c>
      <c r="O341" s="4"/>
      <c r="P341" s="18">
        <f t="array" ref="P341">IFERROR(INDEX([2]Sheet1!$F$1:$AF$65808,MATCH($D341&amp;$G341&amp;P$1,[2]Sheet1!$B$1:$B$65808&amp;[2]Sheet1!$D$1:$D$65808&amp;[2]Sheet1!$E$1:$E$65808,0),MATCH($H341,[2]Sheet1!$F$1:$AF$1,0)),0)</f>
        <v>360</v>
      </c>
      <c r="Q341" s="3"/>
      <c r="R341" s="6"/>
      <c r="S341" s="22"/>
      <c r="U341" s="23">
        <f t="shared" si="5"/>
        <v>6</v>
      </c>
      <c r="V341" s="24" t="s">
        <v>5</v>
      </c>
      <c r="X341" s="7" t="s">
        <v>203</v>
      </c>
    </row>
    <row r="342" spans="1:24" ht="23.1" hidden="1" customHeight="1" x14ac:dyDescent="0.25">
      <c r="A342" s="1" t="s">
        <v>109</v>
      </c>
      <c r="D342" s="3" t="s">
        <v>637</v>
      </c>
      <c r="E342" s="15" t="s">
        <v>638</v>
      </c>
      <c r="F342" s="15" t="str">
        <f>+VLOOKUP(D342,[1]Sheet1!$D$2:$E$29166,2,0)</f>
        <v>连杆</v>
      </c>
      <c r="G342" s="3" t="s">
        <v>147</v>
      </c>
      <c r="H342" s="3">
        <v>60</v>
      </c>
      <c r="I342" s="18" t="str">
        <f t="array" ref="I342">INDEX([2]Sheet1!$F$1:$AF$65808,MATCH(D342&amp;G342&amp;I$1,[2]Sheet1!$B$1:$B$65808&amp;[2]Sheet1!$D$1:$D$65808&amp;[2]Sheet1!$E$1:$E$65808,0),MATCH(H342,[2]Sheet1!$F$1:$AF$1,0))</f>
        <v>60/钳工</v>
      </c>
      <c r="J342" s="3">
        <v>1</v>
      </c>
      <c r="K342" s="3">
        <v>1</v>
      </c>
      <c r="L342" s="19"/>
      <c r="M342" s="19"/>
      <c r="N342" s="5" t="s">
        <v>189</v>
      </c>
      <c r="O342" s="4"/>
      <c r="P342" s="18">
        <f t="array" ref="P342">IFERROR(INDEX([2]Sheet1!$F$1:$AF$65808,MATCH($D342&amp;$G342&amp;P$1,[2]Sheet1!$B$1:$B$65808&amp;[2]Sheet1!$D$1:$D$65808&amp;[2]Sheet1!$E$1:$E$65808,0),MATCH($H342,[2]Sheet1!$F$1:$AF$1,0)),0)</f>
        <v>20</v>
      </c>
      <c r="Q342" s="3"/>
      <c r="R342" s="6"/>
      <c r="S342" s="22"/>
      <c r="U342" s="23">
        <f t="shared" si="5"/>
        <v>0.3</v>
      </c>
      <c r="V342" s="24" t="s">
        <v>5</v>
      </c>
      <c r="X342" s="7" t="s">
        <v>203</v>
      </c>
    </row>
    <row r="343" spans="1:24" ht="23.1" hidden="1" customHeight="1" x14ac:dyDescent="0.25">
      <c r="A343" s="1" t="s">
        <v>116</v>
      </c>
      <c r="D343" s="3" t="s">
        <v>639</v>
      </c>
      <c r="E343" s="15" t="s">
        <v>407</v>
      </c>
      <c r="F343" s="15" t="str">
        <f>+VLOOKUP(D343,[1]Sheet1!$D$2:$E$29166,2,0)</f>
        <v>外侧轴承盖</v>
      </c>
      <c r="G343" s="3" t="s">
        <v>46</v>
      </c>
      <c r="H343" s="3">
        <v>50</v>
      </c>
      <c r="I343" s="18" t="str">
        <f t="array" ref="I343">INDEX([2]Sheet1!$F$1:$AF$65808,MATCH(D343&amp;G343&amp;I$1,[2]Sheet1!$B$1:$B$65808&amp;[2]Sheet1!$D$1:$D$65808&amp;[2]Sheet1!$E$1:$E$65808,0),MATCH(H343,[2]Sheet1!$F$1:$AF$1,0))</f>
        <v>50/钳工</v>
      </c>
      <c r="J343" s="3">
        <v>14</v>
      </c>
      <c r="K343" s="3">
        <v>14</v>
      </c>
      <c r="L343" s="19"/>
      <c r="M343" s="19"/>
      <c r="N343" s="5" t="s">
        <v>92</v>
      </c>
      <c r="O343" s="4"/>
      <c r="P343" s="18">
        <f t="array" ref="P343">IFERROR(INDEX([2]Sheet1!$F$1:$AF$65808,MATCH($D343&amp;$G343&amp;P$1,[2]Sheet1!$B$1:$B$65808&amp;[2]Sheet1!$D$1:$D$65808&amp;[2]Sheet1!$E$1:$E$65808,0),MATCH($H343,[2]Sheet1!$F$1:$AF$1,0)),0)</f>
        <v>90</v>
      </c>
      <c r="Q343" s="3"/>
      <c r="R343" s="6"/>
      <c r="S343" s="22"/>
      <c r="U343" s="23">
        <f t="shared" si="5"/>
        <v>21</v>
      </c>
      <c r="V343" s="24" t="s">
        <v>5</v>
      </c>
      <c r="X343" s="7" t="s">
        <v>203</v>
      </c>
    </row>
    <row r="344" spans="1:24" ht="23.1" hidden="1" customHeight="1" x14ac:dyDescent="0.25">
      <c r="A344" s="1" t="s">
        <v>157</v>
      </c>
      <c r="D344" s="3" t="s">
        <v>640</v>
      </c>
      <c r="E344" s="15" t="s">
        <v>641</v>
      </c>
      <c r="F344" s="15" t="str">
        <f>+VLOOKUP(D344,[1]Sheet1!$D$2:$E$29166,2,0)</f>
        <v>座子</v>
      </c>
      <c r="G344" s="3" t="s">
        <v>51</v>
      </c>
      <c r="H344" s="3">
        <v>40</v>
      </c>
      <c r="I344" s="18" t="str">
        <f t="array" ref="I344">INDEX([2]Sheet1!$F$1:$AF$65808,MATCH(D344&amp;G344&amp;I$1,[2]Sheet1!$B$1:$B$65808&amp;[2]Sheet1!$D$1:$D$65808&amp;[2]Sheet1!$E$1:$E$65808,0),MATCH(H344,[2]Sheet1!$F$1:$AF$1,0))</f>
        <v>40/钳工</v>
      </c>
      <c r="J344" s="3">
        <v>20</v>
      </c>
      <c r="K344" s="3">
        <v>20</v>
      </c>
      <c r="L344" s="19"/>
      <c r="M344" s="19"/>
      <c r="N344" s="5" t="s">
        <v>56</v>
      </c>
      <c r="O344" s="4"/>
      <c r="P344" s="18">
        <f t="array" ref="P344">IFERROR(INDEX([2]Sheet1!$F$1:$AF$65808,MATCH($D344&amp;$G344&amp;P$1,[2]Sheet1!$B$1:$B$65808&amp;[2]Sheet1!$D$1:$D$65808&amp;[2]Sheet1!$E$1:$E$65808,0),MATCH($H344,[2]Sheet1!$F$1:$AF$1,0)),0)</f>
        <v>30</v>
      </c>
      <c r="Q344" s="3"/>
      <c r="R344" s="6"/>
      <c r="S344" s="22"/>
      <c r="U344" s="23">
        <f t="shared" si="5"/>
        <v>10</v>
      </c>
      <c r="V344" s="24" t="s">
        <v>5</v>
      </c>
      <c r="X344" s="7" t="s">
        <v>203</v>
      </c>
    </row>
    <row r="345" spans="1:24" ht="23.1" hidden="1" customHeight="1" x14ac:dyDescent="0.25">
      <c r="A345" s="1" t="s">
        <v>116</v>
      </c>
      <c r="D345" s="3" t="s">
        <v>642</v>
      </c>
      <c r="E345" s="15" t="s">
        <v>490</v>
      </c>
      <c r="F345" s="15" t="e">
        <f>+VLOOKUP(D345,[1]Sheet1!$D$2:$E$29166,2,0)</f>
        <v>#N/A</v>
      </c>
      <c r="G345" s="3" t="s">
        <v>147</v>
      </c>
      <c r="H345" s="3">
        <v>40</v>
      </c>
      <c r="I345" s="18" t="str">
        <f t="array" ref="I345">INDEX([2]Sheet1!$F$1:$AF$65808,MATCH(D345&amp;G345&amp;I$1,[2]Sheet1!$B$1:$B$65808&amp;[2]Sheet1!$D$1:$D$65808&amp;[2]Sheet1!$E$1:$E$65808,0),MATCH(H345,[2]Sheet1!$F$1:$AF$1,0))</f>
        <v>40/钳工</v>
      </c>
      <c r="J345" s="3">
        <v>5</v>
      </c>
      <c r="K345" s="3">
        <v>5</v>
      </c>
      <c r="L345" s="19"/>
      <c r="M345" s="19"/>
      <c r="N345" s="5" t="s">
        <v>643</v>
      </c>
      <c r="O345" s="4"/>
      <c r="P345" s="18">
        <f t="array" ref="P345">IFERROR(INDEX([2]Sheet1!$F$1:$AF$65808,MATCH($D345&amp;$G345&amp;P$1,[2]Sheet1!$B$1:$B$65808&amp;[2]Sheet1!$D$1:$D$65808&amp;[2]Sheet1!$E$1:$E$65808,0),MATCH($H345,[2]Sheet1!$F$1:$AF$1,0)),0)</f>
        <v>480</v>
      </c>
      <c r="Q345" s="3"/>
      <c r="R345" s="6"/>
      <c r="S345" s="22"/>
      <c r="U345" s="23">
        <f t="shared" si="5"/>
        <v>40</v>
      </c>
      <c r="V345" s="24" t="s">
        <v>5</v>
      </c>
      <c r="X345" s="7" t="s">
        <v>203</v>
      </c>
    </row>
    <row r="346" spans="1:24" ht="23.1" hidden="1" customHeight="1" x14ac:dyDescent="0.25">
      <c r="A346" s="1" t="s">
        <v>562</v>
      </c>
      <c r="D346" s="3" t="s">
        <v>644</v>
      </c>
      <c r="E346" s="15" t="s">
        <v>645</v>
      </c>
      <c r="F346" s="15" t="str">
        <f>+VLOOKUP(D346,[1]Sheet1!$D$2:$E$29166,2,0)</f>
        <v>后梁</v>
      </c>
      <c r="G346" s="3" t="s">
        <v>114</v>
      </c>
      <c r="H346" s="3">
        <v>40</v>
      </c>
      <c r="I346" s="18" t="str">
        <f t="array" ref="I346">INDEX([2]Sheet1!$F$1:$AF$65808,MATCH(D346&amp;G346&amp;I$1,[2]Sheet1!$B$1:$B$65808&amp;[2]Sheet1!$D$1:$D$65808&amp;[2]Sheet1!$E$1:$E$65808,0),MATCH(H346,[2]Sheet1!$F$1:$AF$1,0))</f>
        <v>40/钳工</v>
      </c>
      <c r="J346" s="3">
        <v>3</v>
      </c>
      <c r="K346" s="3">
        <v>3</v>
      </c>
      <c r="L346" s="19"/>
      <c r="M346" s="19"/>
      <c r="N346" s="5" t="s">
        <v>52</v>
      </c>
      <c r="O346" s="4"/>
      <c r="P346" s="18">
        <f t="array" ref="P346">IFERROR(INDEX([2]Sheet1!$F$1:$AF$65808,MATCH($D346&amp;$G346&amp;P$1,[2]Sheet1!$B$1:$B$65808&amp;[2]Sheet1!$D$1:$D$65808&amp;[2]Sheet1!$E$1:$E$65808,0),MATCH($H346,[2]Sheet1!$F$1:$AF$1,0)),0)</f>
        <v>420</v>
      </c>
      <c r="Q346" s="3"/>
      <c r="R346" s="6"/>
      <c r="S346" s="22"/>
      <c r="U346" s="23">
        <f t="shared" si="5"/>
        <v>21</v>
      </c>
      <c r="V346" s="24" t="s">
        <v>5</v>
      </c>
      <c r="X346" s="7" t="s">
        <v>203</v>
      </c>
    </row>
    <row r="347" spans="1:24" ht="23.1" hidden="1" customHeight="1" x14ac:dyDescent="0.25">
      <c r="A347" s="1" t="s">
        <v>562</v>
      </c>
      <c r="D347" s="3" t="s">
        <v>646</v>
      </c>
      <c r="E347" s="15" t="s">
        <v>647</v>
      </c>
      <c r="F347" s="15" t="str">
        <f>+VLOOKUP(D347,[1]Sheet1!$D$2:$E$29166,2,0)</f>
        <v>8120侧隔框</v>
      </c>
      <c r="G347" s="3" t="s">
        <v>51</v>
      </c>
      <c r="H347" s="3">
        <v>45</v>
      </c>
      <c r="I347" s="18" t="str">
        <f t="array" ref="I347">INDEX([2]Sheet1!$F$1:$AF$65808,MATCH(D347&amp;G347&amp;I$1,[2]Sheet1!$B$1:$B$65808&amp;[2]Sheet1!$D$1:$D$65808&amp;[2]Sheet1!$E$1:$E$65808,0),MATCH(H347,[2]Sheet1!$F$1:$AF$1,0))</f>
        <v>45/钳工</v>
      </c>
      <c r="J347" s="3">
        <v>12</v>
      </c>
      <c r="K347" s="3">
        <v>12</v>
      </c>
      <c r="L347" s="19"/>
      <c r="M347" s="19"/>
      <c r="N347" s="5" t="s">
        <v>648</v>
      </c>
      <c r="O347" s="4"/>
      <c r="P347" s="18">
        <f t="array" ref="P347">IFERROR(INDEX([2]Sheet1!$F$1:$AF$65808,MATCH($D347&amp;$G347&amp;P$1,[2]Sheet1!$B$1:$B$65808&amp;[2]Sheet1!$D$1:$D$65808&amp;[2]Sheet1!$E$1:$E$65808,0),MATCH($H347,[2]Sheet1!$F$1:$AF$1,0)),0)</f>
        <v>30</v>
      </c>
      <c r="Q347" s="3"/>
      <c r="R347" s="6"/>
      <c r="S347" s="22"/>
      <c r="U347" s="23">
        <f t="shared" si="5"/>
        <v>6</v>
      </c>
      <c r="V347" s="24" t="s">
        <v>5</v>
      </c>
      <c r="X347" s="7" t="s">
        <v>203</v>
      </c>
    </row>
    <row r="348" spans="1:24" ht="23.1" hidden="1" customHeight="1" x14ac:dyDescent="0.25">
      <c r="A348" s="1" t="s">
        <v>121</v>
      </c>
      <c r="D348" s="3" t="s">
        <v>279</v>
      </c>
      <c r="E348" s="15" t="s">
        <v>254</v>
      </c>
      <c r="F348" s="15" t="str">
        <f>+VLOOKUP(D348,[1]Sheet1!$D$2:$E$29166,2,0)</f>
        <v>支座</v>
      </c>
      <c r="G348" s="3" t="s">
        <v>155</v>
      </c>
      <c r="H348" s="3">
        <v>25</v>
      </c>
      <c r="I348" s="18" t="str">
        <f t="array" ref="I348">INDEX([2]Sheet1!$F$1:$AF$65808,MATCH(D348&amp;G348&amp;I$1,[2]Sheet1!$B$1:$B$65808&amp;[2]Sheet1!$D$1:$D$65808&amp;[2]Sheet1!$E$1:$E$65808,0),MATCH(H348,[2]Sheet1!$F$1:$AF$1,0))</f>
        <v>25/线切割</v>
      </c>
      <c r="J348" s="3">
        <v>49</v>
      </c>
      <c r="K348" s="3">
        <v>49</v>
      </c>
      <c r="L348" s="19">
        <v>26</v>
      </c>
      <c r="M348" s="19">
        <v>28</v>
      </c>
      <c r="N348" s="5" t="s">
        <v>280</v>
      </c>
      <c r="O348" s="4">
        <v>60</v>
      </c>
      <c r="P348" s="18">
        <v>60</v>
      </c>
      <c r="Q348" s="3"/>
      <c r="R348" s="6"/>
      <c r="S348" s="22"/>
      <c r="U348" s="23">
        <f t="shared" si="5"/>
        <v>49</v>
      </c>
      <c r="V348" s="24" t="s">
        <v>14</v>
      </c>
      <c r="W348" s="7" t="s">
        <v>649</v>
      </c>
    </row>
    <row r="349" spans="1:24" ht="23.1" hidden="1" customHeight="1" x14ac:dyDescent="0.25">
      <c r="A349" s="1" t="s">
        <v>121</v>
      </c>
      <c r="D349" s="3" t="s">
        <v>404</v>
      </c>
      <c r="E349" s="15" t="s">
        <v>405</v>
      </c>
      <c r="F349" s="15" t="str">
        <f>+VLOOKUP(D349,[1]Sheet1!$D$2:$E$29166,2,0)</f>
        <v>主动油总管四通</v>
      </c>
      <c r="G349" s="3" t="s">
        <v>46</v>
      </c>
      <c r="H349" s="3">
        <v>55</v>
      </c>
      <c r="I349" s="18" t="str">
        <f t="array" ref="I349">INDEX([2]Sheet1!$F$1:$AF$65808,MATCH(D349&amp;G349&amp;I$1,[2]Sheet1!$B$1:$B$65808&amp;[2]Sheet1!$D$1:$D$65808&amp;[2]Sheet1!$E$1:$E$65808,0),MATCH(H349,[2]Sheet1!$F$1:$AF$1,0))</f>
        <v>55/穿孔机</v>
      </c>
      <c r="J349" s="3">
        <v>20</v>
      </c>
      <c r="K349" s="3">
        <v>20</v>
      </c>
      <c r="L349" s="19">
        <v>5</v>
      </c>
      <c r="M349" s="19">
        <v>9</v>
      </c>
      <c r="N349" s="5" t="s">
        <v>92</v>
      </c>
      <c r="O349" s="4">
        <v>60</v>
      </c>
      <c r="P349" s="18">
        <v>60</v>
      </c>
      <c r="Q349" s="3"/>
      <c r="R349" s="6"/>
      <c r="S349" s="22"/>
      <c r="U349" s="23">
        <f t="shared" si="5"/>
        <v>20</v>
      </c>
      <c r="V349" s="24" t="s">
        <v>14</v>
      </c>
      <c r="W349" s="7" t="s">
        <v>650</v>
      </c>
    </row>
    <row r="350" spans="1:24" ht="23.1" hidden="1" customHeight="1" x14ac:dyDescent="0.25">
      <c r="A350" s="1" t="s">
        <v>121</v>
      </c>
      <c r="E350" s="15" t="s">
        <v>651</v>
      </c>
      <c r="F350" s="15" t="e">
        <f>+VLOOKUP(D350,[1]Sheet1!$D$2:$E$29166,2,0)</f>
        <v>#N/A</v>
      </c>
      <c r="H350" s="3" t="s">
        <v>652</v>
      </c>
      <c r="I350" s="18" t="e">
        <f t="array" ref="I350">INDEX([2]Sheet1!$F$1:$AF$65808,MATCH(D350&amp;G350&amp;I$1,[2]Sheet1!$B$1:$B$65808&amp;[2]Sheet1!$D$1:$D$65808&amp;[2]Sheet1!$E$1:$E$65808,0),MATCH(H350,[2]Sheet1!$F$1:$AF$1,0))</f>
        <v>#N/A</v>
      </c>
      <c r="J350" s="3">
        <v>360</v>
      </c>
      <c r="K350" s="3">
        <v>360</v>
      </c>
      <c r="L350" s="19"/>
      <c r="M350" s="19"/>
      <c r="O350" s="4">
        <v>60</v>
      </c>
      <c r="P350" s="18">
        <v>60</v>
      </c>
      <c r="Q350" s="3"/>
      <c r="R350" s="6"/>
      <c r="S350" s="22"/>
      <c r="U350" s="23">
        <f t="shared" si="5"/>
        <v>360</v>
      </c>
      <c r="V350" s="24" t="s">
        <v>14</v>
      </c>
    </row>
    <row r="351" spans="1:24" ht="23.1" hidden="1" customHeight="1" x14ac:dyDescent="0.25">
      <c r="A351" s="1" t="s">
        <v>121</v>
      </c>
      <c r="D351" s="3" t="s">
        <v>653</v>
      </c>
      <c r="E351" s="15" t="s">
        <v>654</v>
      </c>
      <c r="F351" s="15" t="e">
        <f>+VLOOKUP(D351,[1]Sheet1!$D$2:$E$29166,2,0)</f>
        <v>#N/A</v>
      </c>
      <c r="H351" s="3" t="s">
        <v>652</v>
      </c>
      <c r="I351" s="18" t="e">
        <f t="array" ref="I351">INDEX([2]Sheet1!$F$1:$AF$65808,MATCH(D351&amp;G351&amp;I$1,[2]Sheet1!$B$1:$B$65808&amp;[2]Sheet1!$D$1:$D$65808&amp;[2]Sheet1!$E$1:$E$65808,0),MATCH(H351,[2]Sheet1!$F$1:$AF$1,0))</f>
        <v>#N/A</v>
      </c>
      <c r="J351" s="3">
        <v>2</v>
      </c>
      <c r="K351" s="3">
        <v>2</v>
      </c>
      <c r="L351" s="19"/>
      <c r="M351" s="19"/>
      <c r="O351" s="4">
        <v>60</v>
      </c>
      <c r="P351" s="18">
        <v>60</v>
      </c>
      <c r="Q351" s="3"/>
      <c r="R351" s="6"/>
      <c r="S351" s="22"/>
      <c r="U351" s="23">
        <f t="shared" si="5"/>
        <v>2</v>
      </c>
      <c r="V351" s="24" t="s">
        <v>14</v>
      </c>
    </row>
    <row r="352" spans="1:24" ht="23.1" hidden="1" customHeight="1" x14ac:dyDescent="0.25">
      <c r="A352" s="1" t="s">
        <v>121</v>
      </c>
      <c r="D352" s="3" t="s">
        <v>653</v>
      </c>
      <c r="E352" s="15" t="s">
        <v>654</v>
      </c>
      <c r="F352" s="15" t="e">
        <f>+VLOOKUP(D352,[1]Sheet1!$D$2:$E$29166,2,0)</f>
        <v>#N/A</v>
      </c>
      <c r="H352" s="3" t="s">
        <v>652</v>
      </c>
      <c r="I352" s="18" t="e">
        <f t="array" ref="I352">INDEX([2]Sheet1!$F$1:$AF$65808,MATCH(D352&amp;G352&amp;I$1,[2]Sheet1!$B$1:$B$65808&amp;[2]Sheet1!$D$1:$D$65808&amp;[2]Sheet1!$E$1:$E$65808,0),MATCH(H352,[2]Sheet1!$F$1:$AF$1,0))</f>
        <v>#N/A</v>
      </c>
      <c r="J352" s="3">
        <v>2</v>
      </c>
      <c r="K352" s="3">
        <v>2</v>
      </c>
      <c r="L352" s="19"/>
      <c r="M352" s="19"/>
      <c r="O352" s="4">
        <v>60</v>
      </c>
      <c r="P352" s="18">
        <v>60</v>
      </c>
      <c r="Q352" s="3"/>
      <c r="R352" s="6"/>
      <c r="S352" s="22"/>
      <c r="U352" s="23">
        <f t="shared" si="5"/>
        <v>2</v>
      </c>
      <c r="V352" s="24" t="s">
        <v>14</v>
      </c>
    </row>
    <row r="353" spans="1:23" ht="23.1" hidden="1" customHeight="1" x14ac:dyDescent="0.25">
      <c r="A353" s="1" t="s">
        <v>121</v>
      </c>
      <c r="D353" s="3" t="s">
        <v>655</v>
      </c>
      <c r="E353" s="15" t="s">
        <v>656</v>
      </c>
      <c r="F353" s="15" t="e">
        <f>+VLOOKUP(D353,[1]Sheet1!$D$2:$E$29166,2,0)</f>
        <v>#N/A</v>
      </c>
      <c r="H353" s="3">
        <v>10</v>
      </c>
      <c r="I353" s="18" t="e">
        <f t="array" ref="I353">INDEX([2]Sheet1!$F$1:$AF$65808,MATCH(D353&amp;G353&amp;I$1,[2]Sheet1!$B$1:$B$65808&amp;[2]Sheet1!$D$1:$D$65808&amp;[2]Sheet1!$E$1:$E$65808,0),MATCH(H353,[2]Sheet1!$F$1:$AF$1,0))</f>
        <v>#N/A</v>
      </c>
      <c r="J353" s="3">
        <v>3</v>
      </c>
      <c r="K353" s="3">
        <v>3</v>
      </c>
      <c r="L353" s="19">
        <v>9</v>
      </c>
      <c r="M353" s="19">
        <v>9</v>
      </c>
      <c r="O353" s="4">
        <v>120</v>
      </c>
      <c r="P353" s="18">
        <v>120</v>
      </c>
      <c r="Q353" s="3"/>
      <c r="R353" s="6"/>
      <c r="S353" s="22"/>
      <c r="U353" s="23">
        <f t="shared" si="5"/>
        <v>6</v>
      </c>
      <c r="V353" s="24" t="s">
        <v>14</v>
      </c>
      <c r="W353" s="7" t="s">
        <v>657</v>
      </c>
    </row>
    <row r="354" spans="1:23" ht="23.1" hidden="1" customHeight="1" x14ac:dyDescent="0.25">
      <c r="A354" s="1" t="s">
        <v>48</v>
      </c>
      <c r="D354" s="3" t="s">
        <v>658</v>
      </c>
      <c r="E354" s="15" t="s">
        <v>659</v>
      </c>
      <c r="F354" s="15" t="str">
        <f>+VLOOKUP(D354,[1]Sheet1!$D$2:$E$29166,2,0)</f>
        <v>角材</v>
      </c>
      <c r="G354" s="3" t="s">
        <v>46</v>
      </c>
      <c r="H354" s="3">
        <v>5</v>
      </c>
      <c r="I354" s="18" t="str">
        <f t="array" ref="I354">INDEX([2]Sheet1!$F$1:$AF$65808,MATCH(D354&amp;G354&amp;I$1,[2]Sheet1!$B$1:$B$65808&amp;[2]Sheet1!$D$1:$D$65808&amp;[2]Sheet1!$E$1:$E$65808,0),MATCH(H354,[2]Sheet1!$F$1:$AF$1,0))</f>
        <v>5/线切割</v>
      </c>
      <c r="J354" s="3">
        <v>18</v>
      </c>
      <c r="K354" s="3">
        <v>20</v>
      </c>
      <c r="L354" s="19">
        <v>28</v>
      </c>
      <c r="M354" s="19">
        <v>28</v>
      </c>
      <c r="N354" s="5" t="s">
        <v>660</v>
      </c>
      <c r="O354" s="4">
        <v>30</v>
      </c>
      <c r="P354" s="18">
        <f t="array" ref="P354">IFERROR(INDEX([2]Sheet1!$F$1:$AF$65808,MATCH($D354&amp;$G354&amp;P$1,[2]Sheet1!$B$1:$B$65808&amp;[2]Sheet1!$D$1:$D$65808&amp;[2]Sheet1!$E$1:$E$65808,0),MATCH($H354,[2]Sheet1!$F$1:$AF$1,0)),0)</f>
        <v>30</v>
      </c>
      <c r="Q354" s="3"/>
      <c r="R354" s="6"/>
      <c r="S354" s="22"/>
      <c r="U354" s="23">
        <f t="shared" si="5"/>
        <v>10</v>
      </c>
      <c r="V354" s="24" t="s">
        <v>14</v>
      </c>
    </row>
    <row r="355" spans="1:23" ht="23.1" hidden="1" customHeight="1" x14ac:dyDescent="0.25">
      <c r="A355" s="1" t="s">
        <v>48</v>
      </c>
      <c r="D355" s="3" t="s">
        <v>658</v>
      </c>
      <c r="E355" s="15" t="s">
        <v>659</v>
      </c>
      <c r="F355" s="15" t="str">
        <f>+VLOOKUP(D355,[1]Sheet1!$D$2:$E$29166,2,0)</f>
        <v>角材</v>
      </c>
      <c r="G355" s="3" t="s">
        <v>46</v>
      </c>
      <c r="H355" s="3">
        <v>5</v>
      </c>
      <c r="I355" s="18" t="str">
        <f t="array" ref="I355">INDEX([2]Sheet1!$F$1:$AF$65808,MATCH(D355&amp;G355&amp;I$1,[2]Sheet1!$B$1:$B$65808&amp;[2]Sheet1!$D$1:$D$65808&amp;[2]Sheet1!$E$1:$E$65808,0),MATCH(H355,[2]Sheet1!$F$1:$AF$1,0))</f>
        <v>5/线切割</v>
      </c>
      <c r="J355" s="3">
        <v>24</v>
      </c>
      <c r="K355" s="3">
        <v>26</v>
      </c>
      <c r="L355" s="19">
        <v>28</v>
      </c>
      <c r="M355" s="19">
        <v>28</v>
      </c>
      <c r="N355" s="5" t="s">
        <v>661</v>
      </c>
      <c r="O355" s="4">
        <v>30</v>
      </c>
      <c r="P355" s="18">
        <f t="array" ref="P355">IFERROR(INDEX([2]Sheet1!$F$1:$AF$65808,MATCH($D355&amp;$G355&amp;P$1,[2]Sheet1!$B$1:$B$65808&amp;[2]Sheet1!$D$1:$D$65808&amp;[2]Sheet1!$E$1:$E$65808,0),MATCH($H355,[2]Sheet1!$F$1:$AF$1,0)),0)</f>
        <v>30</v>
      </c>
      <c r="Q355" s="3"/>
      <c r="R355" s="6"/>
      <c r="S355" s="22"/>
      <c r="U355" s="23">
        <f t="shared" si="5"/>
        <v>13</v>
      </c>
      <c r="V355" s="24" t="s">
        <v>14</v>
      </c>
    </row>
    <row r="356" spans="1:23" ht="23.1" hidden="1" customHeight="1" x14ac:dyDescent="0.25">
      <c r="A356" s="1" t="s">
        <v>48</v>
      </c>
      <c r="D356" s="3" t="s">
        <v>658</v>
      </c>
      <c r="E356" s="15" t="s">
        <v>659</v>
      </c>
      <c r="F356" s="15" t="str">
        <f>+VLOOKUP(D356,[1]Sheet1!$D$2:$E$29166,2,0)</f>
        <v>角材</v>
      </c>
      <c r="G356" s="3" t="s">
        <v>46</v>
      </c>
      <c r="H356" s="3">
        <v>5</v>
      </c>
      <c r="I356" s="18" t="str">
        <f t="array" ref="I356">INDEX([2]Sheet1!$F$1:$AF$65808,MATCH(D356&amp;G356&amp;I$1,[2]Sheet1!$B$1:$B$65808&amp;[2]Sheet1!$D$1:$D$65808&amp;[2]Sheet1!$E$1:$E$65808,0),MATCH(H356,[2]Sheet1!$F$1:$AF$1,0))</f>
        <v>5/线切割</v>
      </c>
      <c r="J356" s="3">
        <v>18</v>
      </c>
      <c r="K356" s="3">
        <v>19</v>
      </c>
      <c r="L356" s="19">
        <v>28</v>
      </c>
      <c r="M356" s="19">
        <v>28</v>
      </c>
      <c r="N356" s="5" t="s">
        <v>662</v>
      </c>
      <c r="O356" s="4">
        <v>30</v>
      </c>
      <c r="P356" s="18">
        <f t="array" ref="P356">IFERROR(INDEX([2]Sheet1!$F$1:$AF$65808,MATCH($D356&amp;$G356&amp;P$1,[2]Sheet1!$B$1:$B$65808&amp;[2]Sheet1!$D$1:$D$65808&amp;[2]Sheet1!$E$1:$E$65808,0),MATCH($H356,[2]Sheet1!$F$1:$AF$1,0)),0)</f>
        <v>30</v>
      </c>
      <c r="Q356" s="3"/>
      <c r="R356" s="6"/>
      <c r="S356" s="22"/>
      <c r="U356" s="23">
        <f t="shared" si="5"/>
        <v>9.5</v>
      </c>
      <c r="V356" s="24" t="s">
        <v>14</v>
      </c>
    </row>
    <row r="357" spans="1:23" ht="23.1" hidden="1" customHeight="1" x14ac:dyDescent="0.25">
      <c r="A357" s="1" t="s">
        <v>48</v>
      </c>
      <c r="D357" s="3" t="s">
        <v>404</v>
      </c>
      <c r="E357" s="15" t="s">
        <v>405</v>
      </c>
      <c r="F357" s="15" t="str">
        <f>+VLOOKUP(D357,[1]Sheet1!$D$2:$E$29166,2,0)</f>
        <v>主动油总管四通</v>
      </c>
      <c r="G357" s="3" t="s">
        <v>46</v>
      </c>
      <c r="H357" s="3">
        <v>20</v>
      </c>
      <c r="I357" s="18" t="str">
        <f t="array" ref="I357">INDEX([2]Sheet1!$F$1:$AF$65808,MATCH(D357&amp;G357&amp;I$1,[2]Sheet1!$B$1:$B$65808&amp;[2]Sheet1!$D$1:$D$65808&amp;[2]Sheet1!$E$1:$E$65808,0),MATCH(H357,[2]Sheet1!$F$1:$AF$1,0))</f>
        <v>20/线切割</v>
      </c>
      <c r="J357" s="3">
        <v>24</v>
      </c>
      <c r="K357" s="3">
        <v>28</v>
      </c>
      <c r="L357" s="19">
        <v>9</v>
      </c>
      <c r="M357" s="19">
        <v>9</v>
      </c>
      <c r="N357" s="5" t="s">
        <v>663</v>
      </c>
      <c r="O357" s="4">
        <v>90</v>
      </c>
      <c r="P357" s="18">
        <v>90</v>
      </c>
      <c r="Q357" s="3"/>
      <c r="R357" s="6"/>
      <c r="S357" s="22"/>
      <c r="U357" s="23">
        <f t="shared" si="5"/>
        <v>42</v>
      </c>
      <c r="V357" s="24" t="s">
        <v>14</v>
      </c>
    </row>
    <row r="358" spans="1:23" ht="23.1" hidden="1" customHeight="1" x14ac:dyDescent="0.25">
      <c r="A358" s="1" t="s">
        <v>53</v>
      </c>
      <c r="D358" s="3" t="s">
        <v>664</v>
      </c>
      <c r="E358" s="15" t="s">
        <v>665</v>
      </c>
      <c r="F358" s="15" t="str">
        <f>+VLOOKUP(D358,[1]Sheet1!$D$2:$E$29166,2,0)</f>
        <v>前起落架水平接头</v>
      </c>
      <c r="G358" s="3" t="s">
        <v>64</v>
      </c>
      <c r="H358" s="3">
        <v>30</v>
      </c>
      <c r="I358" s="18" t="str">
        <f t="array" ref="I358">INDEX([2]Sheet1!$F$1:$AF$65808,MATCH(D358&amp;G358&amp;I$1,[2]Sheet1!$B$1:$B$65808&amp;[2]Sheet1!$D$1:$D$65808&amp;[2]Sheet1!$E$1:$E$65808,0),MATCH(H358,[2]Sheet1!$F$1:$AF$1,0))</f>
        <v>30/线切割</v>
      </c>
      <c r="J358" s="3">
        <v>20</v>
      </c>
      <c r="K358" s="3">
        <v>20</v>
      </c>
      <c r="L358" s="19">
        <v>9</v>
      </c>
      <c r="M358" s="19">
        <v>28</v>
      </c>
      <c r="N358" s="5" t="s">
        <v>558</v>
      </c>
      <c r="O358" s="4">
        <v>120</v>
      </c>
      <c r="P358" s="18">
        <v>120</v>
      </c>
      <c r="Q358" s="3"/>
      <c r="R358" s="6"/>
      <c r="S358" s="22"/>
      <c r="U358" s="23">
        <f t="shared" si="5"/>
        <v>40</v>
      </c>
      <c r="V358" s="24" t="s">
        <v>14</v>
      </c>
    </row>
    <row r="359" spans="1:23" ht="23.1" hidden="1" customHeight="1" x14ac:dyDescent="0.25">
      <c r="A359" s="1" t="s">
        <v>53</v>
      </c>
      <c r="D359" s="3" t="s">
        <v>666</v>
      </c>
      <c r="E359" s="15" t="s">
        <v>659</v>
      </c>
      <c r="F359" s="15" t="str">
        <f>+VLOOKUP(D359,[1]Sheet1!$D$2:$E$29166,2,0)</f>
        <v>角材</v>
      </c>
      <c r="G359" s="3" t="s">
        <v>46</v>
      </c>
      <c r="H359" s="3">
        <v>5</v>
      </c>
      <c r="I359" s="18" t="str">
        <f t="array" ref="I359">INDEX([2]Sheet1!$F$1:$AF$65808,MATCH(D359&amp;G359&amp;I$1,[2]Sheet1!$B$1:$B$65808&amp;[2]Sheet1!$D$1:$D$65808&amp;[2]Sheet1!$E$1:$E$65808,0),MATCH(H359,[2]Sheet1!$F$1:$AF$1,0))</f>
        <v>5/线切割</v>
      </c>
      <c r="J359" s="3">
        <v>18</v>
      </c>
      <c r="K359" s="3">
        <v>24</v>
      </c>
      <c r="L359" s="19">
        <v>28</v>
      </c>
      <c r="M359" s="19">
        <v>28</v>
      </c>
      <c r="N359" s="5" t="s">
        <v>662</v>
      </c>
      <c r="O359" s="4">
        <v>30</v>
      </c>
      <c r="P359" s="18">
        <f t="array" ref="P359">IFERROR(INDEX([2]Sheet1!$F$1:$AF$65808,MATCH($D359&amp;$G359&amp;P$1,[2]Sheet1!$B$1:$B$65808&amp;[2]Sheet1!$D$1:$D$65808&amp;[2]Sheet1!$E$1:$E$65808,0),MATCH($H359,[2]Sheet1!$F$1:$AF$1,0)),0)</f>
        <v>30</v>
      </c>
      <c r="Q359" s="3"/>
      <c r="R359" s="6"/>
      <c r="S359" s="22"/>
      <c r="U359" s="23">
        <f t="shared" si="5"/>
        <v>12</v>
      </c>
      <c r="V359" s="24" t="s">
        <v>14</v>
      </c>
    </row>
    <row r="360" spans="1:23" ht="23.1" hidden="1" customHeight="1" x14ac:dyDescent="0.25">
      <c r="A360" s="1" t="s">
        <v>53</v>
      </c>
      <c r="D360" s="3" t="s">
        <v>575</v>
      </c>
      <c r="E360" s="15" t="s">
        <v>576</v>
      </c>
      <c r="F360" s="15" t="str">
        <f>+VLOOKUP(D360,[1]Sheet1!$D$2:$E$29166,2,0)</f>
        <v>插槽</v>
      </c>
      <c r="G360" s="3" t="s">
        <v>80</v>
      </c>
      <c r="H360" s="3">
        <v>20</v>
      </c>
      <c r="I360" s="18" t="str">
        <f t="array" ref="I360">INDEX([2]Sheet1!$F$1:$AF$65808,MATCH(D360&amp;G360&amp;I$1,[2]Sheet1!$B$1:$B$65808&amp;[2]Sheet1!$D$1:$D$65808&amp;[2]Sheet1!$E$1:$E$65808,0),MATCH(H360,[2]Sheet1!$F$1:$AF$1,0))</f>
        <v>20线切割</v>
      </c>
      <c r="J360" s="3">
        <v>2</v>
      </c>
      <c r="K360" s="3">
        <v>4</v>
      </c>
      <c r="L360" s="19">
        <v>28</v>
      </c>
      <c r="M360" s="19">
        <v>28</v>
      </c>
      <c r="N360" s="5" t="s">
        <v>95</v>
      </c>
      <c r="O360" s="4">
        <v>20</v>
      </c>
      <c r="P360" s="18">
        <v>20</v>
      </c>
      <c r="Q360" s="3"/>
      <c r="R360" s="6"/>
      <c r="S360" s="22"/>
      <c r="U360" s="23">
        <f t="shared" si="5"/>
        <v>1.3</v>
      </c>
      <c r="V360" s="24" t="s">
        <v>14</v>
      </c>
    </row>
    <row r="361" spans="1:23" ht="23.1" hidden="1" customHeight="1" x14ac:dyDescent="0.25">
      <c r="A361" s="1" t="s">
        <v>53</v>
      </c>
      <c r="D361" s="3" t="s">
        <v>72</v>
      </c>
      <c r="E361" s="15" t="s">
        <v>73</v>
      </c>
      <c r="F361" s="15" t="str">
        <f>+VLOOKUP(D361,[1]Sheet1!$D$2:$E$29166,2,0)</f>
        <v>扩压式管接头</v>
      </c>
      <c r="G361" s="3" t="s">
        <v>64</v>
      </c>
      <c r="H361" s="3">
        <v>35</v>
      </c>
      <c r="I361" s="18" t="str">
        <f t="array" ref="I361">INDEX([2]Sheet1!$F$1:$AF$65808,MATCH(D361&amp;G361&amp;I$1,[2]Sheet1!$B$1:$B$65808&amp;[2]Sheet1!$D$1:$D$65808&amp;[2]Sheet1!$E$1:$E$65808,0),MATCH(H361,[2]Sheet1!$F$1:$AF$1,0))</f>
        <v>35/穿孔</v>
      </c>
      <c r="J361" s="3">
        <v>30</v>
      </c>
      <c r="K361" s="3">
        <v>30</v>
      </c>
      <c r="L361" s="19">
        <v>28</v>
      </c>
      <c r="M361" s="19">
        <v>9</v>
      </c>
      <c r="N361" s="5" t="s">
        <v>56</v>
      </c>
      <c r="O361" s="4">
        <v>30</v>
      </c>
      <c r="P361" s="18">
        <v>30</v>
      </c>
      <c r="Q361" s="3"/>
      <c r="R361" s="6"/>
      <c r="S361" s="22"/>
      <c r="U361" s="23">
        <f t="shared" si="5"/>
        <v>15</v>
      </c>
      <c r="V361" s="24" t="s">
        <v>14</v>
      </c>
    </row>
    <row r="362" spans="1:23" ht="23.1" hidden="1" customHeight="1" x14ac:dyDescent="0.25">
      <c r="A362" s="1" t="s">
        <v>667</v>
      </c>
      <c r="E362" s="15" t="s">
        <v>211</v>
      </c>
      <c r="F362" s="15" t="e">
        <f>+VLOOKUP(D362,[1]Sheet1!$D$2:$E$29166,2,0)</f>
        <v>#N/A</v>
      </c>
      <c r="H362" s="3" t="s">
        <v>652</v>
      </c>
      <c r="I362" s="18" t="e">
        <f t="array" ref="I362">INDEX([2]Sheet1!$F$1:$AF$65808,MATCH(D362&amp;G362&amp;I$1,[2]Sheet1!$B$1:$B$65808&amp;[2]Sheet1!$D$1:$D$65808&amp;[2]Sheet1!$E$1:$E$65808,0),MATCH(H362,[2]Sheet1!$F$1:$AF$1,0))</f>
        <v>#N/A</v>
      </c>
      <c r="J362" s="3">
        <v>29</v>
      </c>
      <c r="K362" s="3">
        <v>29</v>
      </c>
      <c r="L362" s="19"/>
      <c r="M362" s="19"/>
      <c r="O362" s="4">
        <v>90</v>
      </c>
      <c r="P362" s="18">
        <v>90</v>
      </c>
      <c r="Q362" s="3"/>
      <c r="R362" s="6"/>
      <c r="S362" s="22"/>
      <c r="U362" s="23">
        <f t="shared" si="5"/>
        <v>43.5</v>
      </c>
      <c r="V362" s="24" t="s">
        <v>14</v>
      </c>
      <c r="W362" s="7" t="s">
        <v>202</v>
      </c>
    </row>
    <row r="363" spans="1:23" ht="23.1" hidden="1" customHeight="1" x14ac:dyDescent="0.25">
      <c r="A363" s="1" t="s">
        <v>53</v>
      </c>
      <c r="D363" s="3" t="s">
        <v>269</v>
      </c>
      <c r="E363" s="15" t="s">
        <v>270</v>
      </c>
      <c r="F363" s="15" t="str">
        <f>+VLOOKUP(D363,[1]Sheet1!$D$2:$E$29166,2,0)</f>
        <v>转接嘴</v>
      </c>
      <c r="G363" s="3" t="s">
        <v>46</v>
      </c>
      <c r="H363" s="3">
        <v>15</v>
      </c>
      <c r="I363" s="18" t="str">
        <f t="array" ref="I363">INDEX([2]Sheet1!$F$1:$AF$65808,MATCH(D363&amp;G363&amp;I$1,[2]Sheet1!$B$1:$B$65808&amp;[2]Sheet1!$D$1:$D$65808&amp;[2]Sheet1!$E$1:$E$65808,0),MATCH(H363,[2]Sheet1!$F$1:$AF$1,0))</f>
        <v>15/穿孔</v>
      </c>
      <c r="J363" s="3">
        <v>20</v>
      </c>
      <c r="K363" s="3">
        <v>20</v>
      </c>
      <c r="L363" s="19">
        <v>28</v>
      </c>
      <c r="M363" s="19">
        <v>9</v>
      </c>
      <c r="N363" s="5" t="s">
        <v>88</v>
      </c>
      <c r="O363" s="4">
        <v>30</v>
      </c>
      <c r="P363" s="18">
        <v>30</v>
      </c>
      <c r="Q363" s="3"/>
      <c r="R363" s="6"/>
      <c r="S363" s="22"/>
      <c r="U363" s="23">
        <f t="shared" si="5"/>
        <v>10</v>
      </c>
      <c r="V363" s="24" t="s">
        <v>14</v>
      </c>
    </row>
    <row r="364" spans="1:23" ht="23.1" hidden="1" customHeight="1" x14ac:dyDescent="0.25">
      <c r="A364" s="1" t="s">
        <v>213</v>
      </c>
      <c r="D364" s="3" t="s">
        <v>668</v>
      </c>
      <c r="E364" s="15" t="s">
        <v>254</v>
      </c>
      <c r="F364" s="15" t="str">
        <f>+VLOOKUP(D364,[1]Sheet1!$D$2:$E$29166,2,0)</f>
        <v>支座</v>
      </c>
      <c r="G364" s="3" t="s">
        <v>80</v>
      </c>
      <c r="H364" s="3">
        <v>50</v>
      </c>
      <c r="I364" s="18" t="str">
        <f t="array" ref="I364">INDEX([2]Sheet1!$F$1:$AF$65808,MATCH(D364&amp;G364&amp;I$1,[2]Sheet1!$B$1:$B$65808&amp;[2]Sheet1!$D$1:$D$65808&amp;[2]Sheet1!$E$1:$E$65808,0),MATCH(H364,[2]Sheet1!$F$1:$AF$1,0))</f>
        <v>50线切割</v>
      </c>
      <c r="J364" s="3">
        <v>2</v>
      </c>
      <c r="K364" s="3">
        <v>2</v>
      </c>
      <c r="L364" s="19">
        <v>28</v>
      </c>
      <c r="M364" s="19">
        <v>28</v>
      </c>
      <c r="N364" s="5" t="s">
        <v>95</v>
      </c>
      <c r="O364" s="4">
        <v>90</v>
      </c>
      <c r="P364" s="18">
        <v>90</v>
      </c>
      <c r="Q364" s="3"/>
      <c r="R364" s="6"/>
      <c r="S364" s="22"/>
      <c r="U364" s="23">
        <f t="shared" si="5"/>
        <v>3</v>
      </c>
      <c r="V364" s="24" t="s">
        <v>14</v>
      </c>
    </row>
    <row r="365" spans="1:23" ht="23.1" hidden="1" customHeight="1" x14ac:dyDescent="0.25">
      <c r="A365" s="1" t="s">
        <v>213</v>
      </c>
      <c r="E365" s="15" t="s">
        <v>669</v>
      </c>
      <c r="F365" s="15" t="e">
        <f>+VLOOKUP(D365,[1]Sheet1!$D$2:$E$29166,2,0)</f>
        <v>#N/A</v>
      </c>
      <c r="H365" s="3" t="s">
        <v>652</v>
      </c>
      <c r="I365" s="18" t="e">
        <f t="array" ref="I365">INDEX([2]Sheet1!$F$1:$AF$65808,MATCH(D365&amp;G365&amp;I$1,[2]Sheet1!$B$1:$B$65808&amp;[2]Sheet1!$D$1:$D$65808&amp;[2]Sheet1!$E$1:$E$65808,0),MATCH(H365,[2]Sheet1!$F$1:$AF$1,0))</f>
        <v>#N/A</v>
      </c>
      <c r="J365" s="3">
        <v>2</v>
      </c>
      <c r="K365" s="3">
        <v>2</v>
      </c>
      <c r="L365" s="19"/>
      <c r="M365" s="19"/>
      <c r="O365" s="4">
        <v>120</v>
      </c>
      <c r="P365" s="18">
        <v>120</v>
      </c>
      <c r="Q365" s="3"/>
      <c r="R365" s="6"/>
      <c r="S365" s="22"/>
      <c r="U365" s="23">
        <f t="shared" si="5"/>
        <v>4</v>
      </c>
      <c r="V365" s="24" t="s">
        <v>14</v>
      </c>
      <c r="W365" s="7" t="s">
        <v>202</v>
      </c>
    </row>
    <row r="366" spans="1:23" ht="23.1" hidden="1" customHeight="1" x14ac:dyDescent="0.25">
      <c r="A366" s="1" t="s">
        <v>213</v>
      </c>
      <c r="D366" s="3" t="s">
        <v>666</v>
      </c>
      <c r="E366" s="15" t="s">
        <v>659</v>
      </c>
      <c r="F366" s="15" t="str">
        <f>+VLOOKUP(D366,[1]Sheet1!$D$2:$E$29166,2,0)</f>
        <v>角材</v>
      </c>
      <c r="G366" s="3" t="s">
        <v>46</v>
      </c>
      <c r="H366" s="3">
        <v>5</v>
      </c>
      <c r="I366" s="18" t="str">
        <f t="array" ref="I366">INDEX([2]Sheet1!$F$1:$AF$65808,MATCH(D366&amp;G366&amp;I$1,[2]Sheet1!$B$1:$B$65808&amp;[2]Sheet1!$D$1:$D$65808&amp;[2]Sheet1!$E$1:$E$65808,0),MATCH(H366,[2]Sheet1!$F$1:$AF$1,0))</f>
        <v>5/线切割</v>
      </c>
      <c r="J366" s="3">
        <v>18</v>
      </c>
      <c r="K366" s="3">
        <v>24</v>
      </c>
      <c r="L366" s="19">
        <v>31</v>
      </c>
      <c r="M366" s="19">
        <v>28</v>
      </c>
      <c r="N366" s="5" t="s">
        <v>660</v>
      </c>
      <c r="O366" s="4">
        <v>30</v>
      </c>
      <c r="P366" s="18">
        <f t="array" ref="P366">IFERROR(INDEX([2]Sheet1!$F$1:$AF$65808,MATCH($D366&amp;$G366&amp;P$1,[2]Sheet1!$B$1:$B$65808&amp;[2]Sheet1!$D$1:$D$65808&amp;[2]Sheet1!$E$1:$E$65808,0),MATCH($H366,[2]Sheet1!$F$1:$AF$1,0)),0)</f>
        <v>30</v>
      </c>
      <c r="Q366" s="3"/>
      <c r="R366" s="6"/>
      <c r="S366" s="22"/>
      <c r="U366" s="23">
        <f t="shared" si="5"/>
        <v>12</v>
      </c>
      <c r="V366" s="24" t="s">
        <v>14</v>
      </c>
    </row>
    <row r="367" spans="1:23" ht="23.1" hidden="1" customHeight="1" x14ac:dyDescent="0.25">
      <c r="A367" s="1" t="s">
        <v>213</v>
      </c>
      <c r="D367" s="3" t="s">
        <v>194</v>
      </c>
      <c r="E367" s="15" t="s">
        <v>195</v>
      </c>
      <c r="F367" s="15" t="str">
        <f>+VLOOKUP(D367,[1]Sheet1!$D$2:$E$29166,2,0)</f>
        <v>小衬套</v>
      </c>
      <c r="G367" s="3" t="s">
        <v>64</v>
      </c>
      <c r="H367" s="3">
        <v>25</v>
      </c>
      <c r="I367" s="18" t="str">
        <f t="array" ref="I367">INDEX([2]Sheet1!$F$1:$AF$65808,MATCH(D367&amp;G367&amp;I$1,[2]Sheet1!$B$1:$B$65808&amp;[2]Sheet1!$D$1:$D$65808&amp;[2]Sheet1!$E$1:$E$65808,0),MATCH(H367,[2]Sheet1!$F$1:$AF$1,0))</f>
        <v>25/穿孔</v>
      </c>
      <c r="J367" s="3">
        <v>8</v>
      </c>
      <c r="K367" s="3">
        <v>13</v>
      </c>
      <c r="L367" s="19">
        <v>31</v>
      </c>
      <c r="M367" s="19">
        <v>28</v>
      </c>
      <c r="N367" s="5" t="s">
        <v>197</v>
      </c>
      <c r="O367" s="4">
        <v>45</v>
      </c>
      <c r="P367" s="18">
        <f t="array" ref="P367">IFERROR(INDEX([2]Sheet1!$F$1:$AF$65808,MATCH($D367&amp;$G367&amp;P$1,[2]Sheet1!$B$1:$B$65808&amp;[2]Sheet1!$D$1:$D$65808&amp;[2]Sheet1!$E$1:$E$65808,0),MATCH($H367,[2]Sheet1!$F$1:$AF$1,0)),0)</f>
        <v>15</v>
      </c>
      <c r="Q367" s="3"/>
      <c r="R367" s="6"/>
      <c r="S367" s="22"/>
      <c r="U367" s="23">
        <f t="shared" si="5"/>
        <v>3.3</v>
      </c>
      <c r="V367" s="24" t="s">
        <v>14</v>
      </c>
      <c r="W367" s="7" t="s">
        <v>670</v>
      </c>
    </row>
    <row r="368" spans="1:23" ht="23.1" hidden="1" customHeight="1" x14ac:dyDescent="0.25">
      <c r="A368" s="1" t="s">
        <v>213</v>
      </c>
      <c r="D368" s="3" t="s">
        <v>666</v>
      </c>
      <c r="E368" s="15" t="s">
        <v>659</v>
      </c>
      <c r="F368" s="15" t="str">
        <f>+VLOOKUP(D368,[1]Sheet1!$D$2:$E$29166,2,0)</f>
        <v>角材</v>
      </c>
      <c r="G368" s="3" t="s">
        <v>46</v>
      </c>
      <c r="H368" s="3">
        <v>5</v>
      </c>
      <c r="I368" s="18" t="str">
        <f t="array" ref="I368">INDEX([2]Sheet1!$F$1:$AF$65808,MATCH(D368&amp;G368&amp;I$1,[2]Sheet1!$B$1:$B$65808&amp;[2]Sheet1!$D$1:$D$65808&amp;[2]Sheet1!$E$1:$E$65808,0),MATCH(H368,[2]Sheet1!$F$1:$AF$1,0))</f>
        <v>5/线切割</v>
      </c>
      <c r="J368" s="3">
        <v>24</v>
      </c>
      <c r="K368" s="3">
        <v>28</v>
      </c>
      <c r="L368" s="19">
        <v>31</v>
      </c>
      <c r="M368" s="19">
        <v>28</v>
      </c>
      <c r="N368" s="5" t="s">
        <v>661</v>
      </c>
      <c r="O368" s="4">
        <v>30</v>
      </c>
      <c r="P368" s="18">
        <f t="array" ref="P368">IFERROR(INDEX([2]Sheet1!$F$1:$AF$65808,MATCH($D368&amp;$G368&amp;P$1,[2]Sheet1!$B$1:$B$65808&amp;[2]Sheet1!$D$1:$D$65808&amp;[2]Sheet1!$E$1:$E$65808,0),MATCH($H368,[2]Sheet1!$F$1:$AF$1,0)),0)</f>
        <v>30</v>
      </c>
      <c r="Q368" s="3"/>
      <c r="R368" s="6"/>
      <c r="S368" s="22"/>
      <c r="U368" s="23">
        <f t="shared" si="5"/>
        <v>14</v>
      </c>
      <c r="V368" s="24" t="s">
        <v>14</v>
      </c>
    </row>
    <row r="369" spans="1:23" ht="23.1" hidden="1" customHeight="1" x14ac:dyDescent="0.25">
      <c r="A369" s="1" t="s">
        <v>58</v>
      </c>
      <c r="D369" s="3" t="s">
        <v>276</v>
      </c>
      <c r="E369" s="15" t="s">
        <v>277</v>
      </c>
      <c r="F369" s="15" t="str">
        <f>+VLOOKUP(D369,[1]Sheet1!$D$2:$E$29166,2,0)</f>
        <v>带耳螺栓</v>
      </c>
      <c r="G369" s="3" t="s">
        <v>46</v>
      </c>
      <c r="H369" s="3">
        <v>35</v>
      </c>
      <c r="I369" s="18" t="str">
        <f t="array" ref="I369">INDEX([2]Sheet1!$F$1:$AF$65808,MATCH(D369&amp;G369&amp;I$1,[2]Sheet1!$B$1:$B$65808&amp;[2]Sheet1!$D$1:$D$65808&amp;[2]Sheet1!$E$1:$E$65808,0),MATCH(H369,[2]Sheet1!$F$1:$AF$1,0))</f>
        <v>35/线切割</v>
      </c>
      <c r="J369" s="3">
        <v>2</v>
      </c>
      <c r="K369" s="3">
        <v>2</v>
      </c>
      <c r="L369" s="19">
        <v>31</v>
      </c>
      <c r="M369" s="19">
        <v>31</v>
      </c>
      <c r="N369" s="5" t="s">
        <v>278</v>
      </c>
      <c r="O369" s="4">
        <v>60</v>
      </c>
      <c r="P369" s="18">
        <v>60</v>
      </c>
      <c r="Q369" s="3"/>
      <c r="R369" s="6"/>
      <c r="S369" s="22"/>
      <c r="U369" s="23">
        <f t="shared" ref="U369:U391" si="6">ROUND((K369*P369+Q369*S369)/60+T369,1)</f>
        <v>2</v>
      </c>
      <c r="V369" s="24" t="s">
        <v>14</v>
      </c>
    </row>
    <row r="370" spans="1:23" ht="23.1" hidden="1" customHeight="1" x14ac:dyDescent="0.25">
      <c r="A370" s="1" t="s">
        <v>58</v>
      </c>
      <c r="D370" s="3" t="s">
        <v>671</v>
      </c>
      <c r="E370" s="15" t="s">
        <v>672</v>
      </c>
      <c r="F370" s="15" t="str">
        <f>+VLOOKUP(D370,[1]Sheet1!$D$2:$E$29166,2,0)</f>
        <v>圆柱销</v>
      </c>
      <c r="G370" s="3" t="s">
        <v>46</v>
      </c>
      <c r="H370" s="3">
        <v>10</v>
      </c>
      <c r="I370" s="18" t="e">
        <f t="array" ref="I370">INDEX([2]Sheet1!$F$1:$AF$65808,MATCH(D370&amp;G370&amp;I$1,[2]Sheet1!$B$1:$B$65808&amp;[2]Sheet1!$D$1:$D$65808&amp;[2]Sheet1!$E$1:$E$65808,0),MATCH(H370,[2]Sheet1!$F$1:$AF$1,0))</f>
        <v>#N/A</v>
      </c>
      <c r="J370" s="3">
        <v>3</v>
      </c>
      <c r="K370" s="3">
        <v>3</v>
      </c>
      <c r="L370" s="19">
        <v>31</v>
      </c>
      <c r="M370" s="19">
        <v>31</v>
      </c>
      <c r="N370" s="5" t="s">
        <v>673</v>
      </c>
      <c r="O370" s="4">
        <v>60</v>
      </c>
      <c r="P370" s="18">
        <v>60</v>
      </c>
      <c r="Q370" s="3"/>
      <c r="R370" s="6"/>
      <c r="S370" s="22"/>
      <c r="U370" s="23">
        <f t="shared" si="6"/>
        <v>3</v>
      </c>
      <c r="V370" s="24" t="s">
        <v>14</v>
      </c>
    </row>
    <row r="371" spans="1:23" ht="23.1" hidden="1" customHeight="1" x14ac:dyDescent="0.25">
      <c r="A371" s="1" t="s">
        <v>58</v>
      </c>
      <c r="D371" s="3" t="s">
        <v>72</v>
      </c>
      <c r="E371" s="15" t="s">
        <v>73</v>
      </c>
      <c r="F371" s="15" t="str">
        <f>+VLOOKUP(D371,[1]Sheet1!$D$2:$E$29166,2,0)</f>
        <v>扩压式管接头</v>
      </c>
      <c r="G371" s="3" t="s">
        <v>64</v>
      </c>
      <c r="H371" s="3">
        <v>40</v>
      </c>
      <c r="I371" s="18" t="str">
        <f t="array" ref="I371">INDEX([2]Sheet1!$F$1:$AF$65808,MATCH(D371&amp;G371&amp;I$1,[2]Sheet1!$B$1:$B$65808&amp;[2]Sheet1!$D$1:$D$65808&amp;[2]Sheet1!$E$1:$E$65808,0),MATCH(H371,[2]Sheet1!$F$1:$AF$1,0))</f>
        <v>40/线切割</v>
      </c>
      <c r="J371" s="3">
        <v>30</v>
      </c>
      <c r="K371" s="3">
        <v>30</v>
      </c>
      <c r="L371" s="19">
        <v>31</v>
      </c>
      <c r="M371" s="19">
        <v>9</v>
      </c>
      <c r="N371" s="5" t="s">
        <v>56</v>
      </c>
      <c r="O371" s="4">
        <v>20</v>
      </c>
      <c r="P371" s="18">
        <v>20</v>
      </c>
      <c r="Q371" s="3"/>
      <c r="R371" s="6"/>
      <c r="S371" s="22"/>
      <c r="U371" s="23">
        <f t="shared" si="6"/>
        <v>10</v>
      </c>
      <c r="V371" s="24" t="s">
        <v>14</v>
      </c>
    </row>
    <row r="372" spans="1:23" ht="23.1" hidden="1" customHeight="1" x14ac:dyDescent="0.25">
      <c r="A372" s="1" t="s">
        <v>58</v>
      </c>
      <c r="D372" s="3" t="s">
        <v>592</v>
      </c>
      <c r="E372" s="15" t="s">
        <v>120</v>
      </c>
      <c r="F372" s="15" t="str">
        <f>+VLOOKUP(D372,[1]Sheet1!$D$2:$E$29166,2,0)</f>
        <v>支架</v>
      </c>
      <c r="G372" s="3" t="s">
        <v>51</v>
      </c>
      <c r="H372" s="3">
        <v>45</v>
      </c>
      <c r="I372" s="18" t="str">
        <f t="array" ref="I372">INDEX([2]Sheet1!$F$1:$AF$65808,MATCH(D372&amp;G372&amp;I$1,[2]Sheet1!$B$1:$B$65808&amp;[2]Sheet1!$D$1:$D$65808&amp;[2]Sheet1!$E$1:$E$65808,0),MATCH(H372,[2]Sheet1!$F$1:$AF$1,0))</f>
        <v>45/线切割</v>
      </c>
      <c r="J372" s="3">
        <v>5</v>
      </c>
      <c r="K372" s="3">
        <v>5</v>
      </c>
      <c r="L372" s="19">
        <v>31</v>
      </c>
      <c r="M372" s="19">
        <v>9</v>
      </c>
      <c r="N372" s="5" t="s">
        <v>376</v>
      </c>
      <c r="O372" s="4">
        <v>60</v>
      </c>
      <c r="P372" s="18">
        <v>60</v>
      </c>
      <c r="Q372" s="3"/>
      <c r="R372" s="6"/>
      <c r="S372" s="22"/>
      <c r="U372" s="23">
        <f t="shared" si="6"/>
        <v>5</v>
      </c>
      <c r="V372" s="24" t="s">
        <v>14</v>
      </c>
    </row>
    <row r="373" spans="1:23" ht="23.1" hidden="1" customHeight="1" x14ac:dyDescent="0.25">
      <c r="A373" s="1" t="s">
        <v>58</v>
      </c>
      <c r="D373" s="3" t="s">
        <v>194</v>
      </c>
      <c r="E373" s="15" t="s">
        <v>195</v>
      </c>
      <c r="F373" s="15" t="str">
        <f>+VLOOKUP(D373,[1]Sheet1!$D$2:$E$29166,2,0)</f>
        <v>小衬套</v>
      </c>
      <c r="G373" s="3" t="s">
        <v>64</v>
      </c>
      <c r="H373" s="3">
        <v>25</v>
      </c>
      <c r="I373" s="18" t="str">
        <f t="array" ref="I373">INDEX([2]Sheet1!$F$1:$AF$65808,MATCH(D373&amp;G373&amp;I$1,[2]Sheet1!$B$1:$B$65808&amp;[2]Sheet1!$D$1:$D$65808&amp;[2]Sheet1!$E$1:$E$65808,0),MATCH(H373,[2]Sheet1!$F$1:$AF$1,0))</f>
        <v>25/穿孔</v>
      </c>
      <c r="J373" s="3">
        <v>20</v>
      </c>
      <c r="K373" s="3">
        <v>25</v>
      </c>
      <c r="L373" s="19">
        <v>31</v>
      </c>
      <c r="M373" s="19">
        <v>28</v>
      </c>
      <c r="N373" s="5" t="s">
        <v>196</v>
      </c>
      <c r="O373" s="4">
        <v>45</v>
      </c>
      <c r="P373" s="18">
        <f t="array" ref="P373">IFERROR(INDEX([2]Sheet1!$F$1:$AF$65808,MATCH($D373&amp;$G373&amp;P$1,[2]Sheet1!$B$1:$B$65808&amp;[2]Sheet1!$D$1:$D$65808&amp;[2]Sheet1!$E$1:$E$65808,0),MATCH($H373,[2]Sheet1!$F$1:$AF$1,0)),0)</f>
        <v>15</v>
      </c>
      <c r="Q373" s="3"/>
      <c r="R373" s="6"/>
      <c r="S373" s="22"/>
      <c r="U373" s="23">
        <f t="shared" si="6"/>
        <v>6.3</v>
      </c>
      <c r="V373" s="24" t="s">
        <v>14</v>
      </c>
      <c r="W373" s="7" t="s">
        <v>670</v>
      </c>
    </row>
    <row r="374" spans="1:23" ht="23.1" hidden="1" customHeight="1" x14ac:dyDescent="0.25">
      <c r="A374" s="1" t="s">
        <v>58</v>
      </c>
      <c r="D374" s="3" t="s">
        <v>674</v>
      </c>
      <c r="E374" s="15" t="s">
        <v>675</v>
      </c>
      <c r="F374" s="15" t="str">
        <f>+VLOOKUP(D374,[1]Sheet1!$D$2:$E$29166,2,0)</f>
        <v>收紧螺母</v>
      </c>
      <c r="G374" s="3" t="s">
        <v>80</v>
      </c>
      <c r="H374" s="3">
        <v>35</v>
      </c>
      <c r="I374" s="18" t="str">
        <f t="array" ref="I374">INDEX([2]Sheet1!$F$1:$AF$65808,MATCH(D374&amp;G374&amp;I$1,[2]Sheet1!$B$1:$B$65808&amp;[2]Sheet1!$D$1:$D$65808&amp;[2]Sheet1!$E$1:$E$65808,0),MATCH(H374,[2]Sheet1!$F$1:$AF$1,0))</f>
        <v>35/穿孔</v>
      </c>
      <c r="J374" s="3">
        <v>31</v>
      </c>
      <c r="K374" s="3">
        <v>31</v>
      </c>
      <c r="L374" s="19">
        <v>31</v>
      </c>
      <c r="M374" s="19">
        <v>9</v>
      </c>
      <c r="N374" s="5" t="s">
        <v>676</v>
      </c>
      <c r="O374" s="4">
        <v>20</v>
      </c>
      <c r="P374" s="18">
        <v>20</v>
      </c>
      <c r="Q374" s="3"/>
      <c r="R374" s="6"/>
      <c r="S374" s="22"/>
      <c r="U374" s="23">
        <f t="shared" si="6"/>
        <v>10.3</v>
      </c>
      <c r="V374" s="24" t="s">
        <v>14</v>
      </c>
    </row>
    <row r="375" spans="1:23" ht="23.1" hidden="1" customHeight="1" x14ac:dyDescent="0.25">
      <c r="A375" s="1" t="s">
        <v>58</v>
      </c>
      <c r="D375" s="3" t="s">
        <v>592</v>
      </c>
      <c r="E375" s="15" t="s">
        <v>120</v>
      </c>
      <c r="F375" s="15" t="str">
        <f>+VLOOKUP(D375,[1]Sheet1!$D$2:$E$29166,2,0)</f>
        <v>支架</v>
      </c>
      <c r="G375" s="3" t="s">
        <v>51</v>
      </c>
      <c r="H375" s="3">
        <v>45</v>
      </c>
      <c r="I375" s="18" t="str">
        <f t="array" ref="I375">INDEX([2]Sheet1!$F$1:$AF$65808,MATCH(D375&amp;G375&amp;I$1,[2]Sheet1!$B$1:$B$65808&amp;[2]Sheet1!$D$1:$D$65808&amp;[2]Sheet1!$E$1:$E$65808,0),MATCH(H375,[2]Sheet1!$F$1:$AF$1,0))</f>
        <v>45/线切割</v>
      </c>
      <c r="J375" s="3">
        <v>6</v>
      </c>
      <c r="K375" s="3">
        <v>6</v>
      </c>
      <c r="L375" s="19">
        <v>31</v>
      </c>
      <c r="M375" s="19">
        <v>9</v>
      </c>
      <c r="N375" s="5" t="s">
        <v>508</v>
      </c>
      <c r="O375" s="4">
        <v>40</v>
      </c>
      <c r="P375" s="18">
        <v>40</v>
      </c>
      <c r="Q375" s="3"/>
      <c r="R375" s="6"/>
      <c r="S375" s="22"/>
      <c r="U375" s="23">
        <f t="shared" si="6"/>
        <v>4</v>
      </c>
      <c r="V375" s="24" t="s">
        <v>14</v>
      </c>
    </row>
    <row r="376" spans="1:23" ht="23.1" hidden="1" customHeight="1" x14ac:dyDescent="0.25">
      <c r="A376" s="1" t="s">
        <v>65</v>
      </c>
      <c r="D376" s="3" t="s">
        <v>251</v>
      </c>
      <c r="E376" s="15" t="s">
        <v>252</v>
      </c>
      <c r="F376" s="15" t="str">
        <f>+VLOOKUP(D376,[1]Sheet1!$D$2:$E$29166,2,0)</f>
        <v>卡箍扣</v>
      </c>
      <c r="G376" s="3" t="s">
        <v>46</v>
      </c>
      <c r="H376" s="3">
        <v>25</v>
      </c>
      <c r="I376" s="18" t="str">
        <f t="array" ref="I376">INDEX([2]Sheet1!$F$1:$AF$65808,MATCH(D376&amp;G376&amp;I$1,[2]Sheet1!$B$1:$B$65808&amp;[2]Sheet1!$D$1:$D$65808&amp;[2]Sheet1!$E$1:$E$65808,0),MATCH(H376,[2]Sheet1!$F$1:$AF$1,0))</f>
        <v>25/线切割</v>
      </c>
      <c r="J376" s="3">
        <v>40</v>
      </c>
      <c r="K376" s="3">
        <v>45</v>
      </c>
      <c r="L376" s="19">
        <v>26</v>
      </c>
      <c r="M376" s="19">
        <v>26</v>
      </c>
      <c r="N376" s="5" t="s">
        <v>85</v>
      </c>
      <c r="O376" s="4">
        <v>20</v>
      </c>
      <c r="P376" s="18">
        <v>20</v>
      </c>
      <c r="Q376" s="3"/>
      <c r="R376" s="6"/>
      <c r="S376" s="22"/>
      <c r="U376" s="23">
        <f t="shared" si="6"/>
        <v>15</v>
      </c>
      <c r="V376" s="24" t="s">
        <v>14</v>
      </c>
    </row>
    <row r="377" spans="1:23" ht="23.1" hidden="1" customHeight="1" x14ac:dyDescent="0.25">
      <c r="A377" s="1" t="s">
        <v>65</v>
      </c>
      <c r="D377" s="3" t="s">
        <v>75</v>
      </c>
      <c r="E377" s="15" t="s">
        <v>76</v>
      </c>
      <c r="F377" s="15" t="str">
        <f>+VLOOKUP(D377,[1]Sheet1!$D$2:$E$29166,2,0)</f>
        <v>接管嘴</v>
      </c>
      <c r="G377" s="3" t="s">
        <v>46</v>
      </c>
      <c r="H377" s="3">
        <v>30</v>
      </c>
      <c r="I377" s="18" t="str">
        <f t="array" ref="I377">INDEX([2]Sheet1!$F$1:$AF$65808,MATCH(D377&amp;G377&amp;I$1,[2]Sheet1!$B$1:$B$65808&amp;[2]Sheet1!$D$1:$D$65808&amp;[2]Sheet1!$E$1:$E$65808,0),MATCH(H377,[2]Sheet1!$F$1:$AF$1,0))</f>
        <v>30/穿孔</v>
      </c>
      <c r="J377" s="3">
        <v>22</v>
      </c>
      <c r="K377" s="3">
        <v>22</v>
      </c>
      <c r="L377" s="19">
        <v>9</v>
      </c>
      <c r="M377" s="19">
        <v>9</v>
      </c>
      <c r="N377" s="5" t="s">
        <v>85</v>
      </c>
      <c r="O377" s="4">
        <v>30</v>
      </c>
      <c r="P377" s="18">
        <f t="array" ref="P377">IFERROR(INDEX([2]Sheet1!$F$1:$AF$65808,MATCH($D377&amp;$G377&amp;P$1,[2]Sheet1!$B$1:$B$65808&amp;[2]Sheet1!$D$1:$D$65808&amp;[2]Sheet1!$E$1:$E$65808,0),MATCH($H377,[2]Sheet1!$F$1:$AF$1,0)),0)</f>
        <v>20</v>
      </c>
      <c r="Q377" s="3"/>
      <c r="R377" s="6"/>
      <c r="S377" s="22"/>
      <c r="U377" s="23">
        <f t="shared" si="6"/>
        <v>7.3</v>
      </c>
      <c r="V377" s="24" t="s">
        <v>14</v>
      </c>
    </row>
    <row r="378" spans="1:23" ht="23.1" hidden="1" customHeight="1" x14ac:dyDescent="0.25">
      <c r="A378" s="1" t="s">
        <v>65</v>
      </c>
      <c r="D378" s="3" t="s">
        <v>75</v>
      </c>
      <c r="E378" s="15" t="s">
        <v>76</v>
      </c>
      <c r="F378" s="15" t="str">
        <f>+VLOOKUP(D378,[1]Sheet1!$D$2:$E$29166,2,0)</f>
        <v>接管嘴</v>
      </c>
      <c r="G378" s="3" t="s">
        <v>46</v>
      </c>
      <c r="H378" s="3">
        <v>30</v>
      </c>
      <c r="I378" s="18" t="str">
        <f t="array" ref="I378">INDEX([2]Sheet1!$F$1:$AF$65808,MATCH(D378&amp;G378&amp;I$1,[2]Sheet1!$B$1:$B$65808&amp;[2]Sheet1!$D$1:$D$65808&amp;[2]Sheet1!$E$1:$E$65808,0),MATCH(H378,[2]Sheet1!$F$1:$AF$1,0))</f>
        <v>30/穿孔</v>
      </c>
      <c r="J378" s="3">
        <v>7</v>
      </c>
      <c r="K378" s="3">
        <v>7</v>
      </c>
      <c r="L378" s="19">
        <v>28</v>
      </c>
      <c r="M378" s="19">
        <v>9</v>
      </c>
      <c r="N378" s="5" t="s">
        <v>474</v>
      </c>
      <c r="O378" s="4">
        <v>30</v>
      </c>
      <c r="P378" s="18">
        <f t="array" ref="P378">IFERROR(INDEX([2]Sheet1!$F$1:$AF$65808,MATCH($D378&amp;$G378&amp;P$1,[2]Sheet1!$B$1:$B$65808&amp;[2]Sheet1!$D$1:$D$65808&amp;[2]Sheet1!$E$1:$E$65808,0),MATCH($H378,[2]Sheet1!$F$1:$AF$1,0)),0)</f>
        <v>20</v>
      </c>
      <c r="Q378" s="3"/>
      <c r="R378" s="6"/>
      <c r="S378" s="22"/>
      <c r="U378" s="23">
        <f t="shared" si="6"/>
        <v>2.2999999999999998</v>
      </c>
      <c r="V378" s="24" t="s">
        <v>14</v>
      </c>
    </row>
    <row r="379" spans="1:23" ht="23.1" hidden="1" customHeight="1" x14ac:dyDescent="0.25">
      <c r="A379" s="1" t="s">
        <v>71</v>
      </c>
      <c r="D379" s="3" t="s">
        <v>677</v>
      </c>
      <c r="E379" s="15" t="s">
        <v>120</v>
      </c>
      <c r="F379" s="15" t="str">
        <f>+VLOOKUP(D379,[1]Sheet1!$D$2:$E$29166,2,0)</f>
        <v>支架</v>
      </c>
      <c r="G379" s="3" t="s">
        <v>155</v>
      </c>
      <c r="H379" s="3">
        <v>10</v>
      </c>
      <c r="I379" s="18" t="str">
        <f t="array" ref="I379">INDEX([2]Sheet1!$F$1:$AF$65808,MATCH(D379&amp;G379&amp;I$1,[2]Sheet1!$B$1:$B$65808&amp;[2]Sheet1!$D$1:$D$65808&amp;[2]Sheet1!$E$1:$E$65808,0),MATCH(H379,[2]Sheet1!$F$1:$AF$1,0))</f>
        <v>10线切割</v>
      </c>
      <c r="J379" s="3">
        <v>20</v>
      </c>
      <c r="K379" s="3">
        <v>20</v>
      </c>
      <c r="L379" s="19">
        <v>31</v>
      </c>
      <c r="M379" s="19">
        <v>9</v>
      </c>
      <c r="N379" s="5" t="s">
        <v>115</v>
      </c>
      <c r="O379" s="4">
        <v>120</v>
      </c>
      <c r="P379" s="18">
        <v>120</v>
      </c>
      <c r="Q379" s="3"/>
      <c r="R379" s="6"/>
      <c r="S379" s="22"/>
      <c r="U379" s="23">
        <f t="shared" si="6"/>
        <v>40</v>
      </c>
      <c r="V379" s="24" t="s">
        <v>14</v>
      </c>
    </row>
    <row r="380" spans="1:23" ht="23.1" hidden="1" customHeight="1" x14ac:dyDescent="0.25">
      <c r="A380" s="1" t="s">
        <v>71</v>
      </c>
      <c r="D380" s="3" t="s">
        <v>451</v>
      </c>
      <c r="E380" s="15" t="s">
        <v>452</v>
      </c>
      <c r="F380" s="15" t="str">
        <f>+VLOOKUP(D380,[1]Sheet1!$D$2:$E$29166,2,0)</f>
        <v>前起落架舱门结构支撑梁</v>
      </c>
      <c r="G380" s="3" t="s">
        <v>46</v>
      </c>
      <c r="H380" s="3">
        <v>30</v>
      </c>
      <c r="I380" s="18" t="str">
        <f t="array" ref="I380">INDEX([2]Sheet1!$F$1:$AF$65808,MATCH(D380&amp;G380&amp;I$1,[2]Sheet1!$B$1:$B$65808&amp;[2]Sheet1!$D$1:$D$65808&amp;[2]Sheet1!$E$1:$E$65808,0),MATCH(H380,[2]Sheet1!$F$1:$AF$1,0))</f>
        <v>30/数铣15</v>
      </c>
      <c r="J380" s="3">
        <v>20</v>
      </c>
      <c r="K380" s="3">
        <v>20</v>
      </c>
      <c r="L380" s="19">
        <v>31</v>
      </c>
      <c r="M380" s="19">
        <v>26</v>
      </c>
      <c r="N380" s="5" t="s">
        <v>453</v>
      </c>
      <c r="O380" s="4">
        <v>180</v>
      </c>
      <c r="P380" s="18">
        <f t="array" ref="P380">IFERROR(INDEX([2]Sheet1!$F$1:$AF$65808,MATCH($D380&amp;$G380&amp;P$1,[2]Sheet1!$B$1:$B$65808&amp;[2]Sheet1!$D$1:$D$65808&amp;[2]Sheet1!$E$1:$E$65808,0),MATCH($H380,[2]Sheet1!$F$1:$AF$1,0)),0)</f>
        <v>80</v>
      </c>
      <c r="Q380" s="3"/>
      <c r="R380" s="6"/>
      <c r="S380" s="22"/>
      <c r="U380" s="23">
        <f t="shared" si="6"/>
        <v>26.7</v>
      </c>
      <c r="V380" s="24" t="s">
        <v>14</v>
      </c>
    </row>
    <row r="381" spans="1:23" ht="23.1" hidden="1" customHeight="1" x14ac:dyDescent="0.25">
      <c r="A381" s="1" t="s">
        <v>71</v>
      </c>
      <c r="D381" s="3" t="s">
        <v>198</v>
      </c>
      <c r="E381" s="15" t="s">
        <v>55</v>
      </c>
      <c r="F381" s="15" t="str">
        <f>+VLOOKUP(D381,[1]Sheet1!$D$2:$E$29166,2,0)</f>
        <v>接头</v>
      </c>
      <c r="G381" s="3" t="s">
        <v>46</v>
      </c>
      <c r="H381" s="3">
        <v>30</v>
      </c>
      <c r="I381" s="18" t="str">
        <f t="array" ref="I381">INDEX([2]Sheet1!$F$1:$AF$65808,MATCH(D381&amp;G381&amp;I$1,[2]Sheet1!$B$1:$B$65808&amp;[2]Sheet1!$D$1:$D$65808&amp;[2]Sheet1!$E$1:$E$65808,0),MATCH(H381,[2]Sheet1!$F$1:$AF$1,0))</f>
        <v>30/穿孔机</v>
      </c>
      <c r="J381" s="3">
        <v>20</v>
      </c>
      <c r="K381" s="3">
        <v>20</v>
      </c>
      <c r="L381" s="19">
        <v>19</v>
      </c>
      <c r="M381" s="19">
        <v>19</v>
      </c>
      <c r="N381" s="5" t="s">
        <v>56</v>
      </c>
      <c r="O381" s="4">
        <v>60</v>
      </c>
      <c r="P381" s="18">
        <v>60</v>
      </c>
      <c r="Q381" s="3"/>
      <c r="R381" s="6"/>
      <c r="S381" s="22"/>
      <c r="U381" s="23">
        <f t="shared" si="6"/>
        <v>20</v>
      </c>
      <c r="V381" s="24" t="s">
        <v>14</v>
      </c>
    </row>
    <row r="382" spans="1:23" ht="23.1" hidden="1" customHeight="1" x14ac:dyDescent="0.25">
      <c r="A382" s="1" t="s">
        <v>71</v>
      </c>
      <c r="D382" s="3" t="s">
        <v>282</v>
      </c>
      <c r="E382" s="15" t="s">
        <v>76</v>
      </c>
      <c r="F382" s="15" t="str">
        <f>+VLOOKUP(D382,[1]Sheet1!$D$2:$E$29166,2,0)</f>
        <v>接管嘴</v>
      </c>
      <c r="G382" s="3" t="s">
        <v>46</v>
      </c>
      <c r="H382" s="3">
        <v>25</v>
      </c>
      <c r="I382" s="18" t="str">
        <f t="array" ref="I382">INDEX([2]Sheet1!$F$1:$AF$65808,MATCH(D382&amp;G382&amp;I$1,[2]Sheet1!$B$1:$B$65808&amp;[2]Sheet1!$D$1:$D$65808&amp;[2]Sheet1!$E$1:$E$65808,0),MATCH(H382,[2]Sheet1!$F$1:$AF$1,0))</f>
        <v>25/线切割</v>
      </c>
      <c r="J382" s="3">
        <v>19</v>
      </c>
      <c r="K382" s="3">
        <v>19</v>
      </c>
      <c r="L382" s="19">
        <v>26</v>
      </c>
      <c r="M382" s="19"/>
      <c r="N382" s="5" t="s">
        <v>283</v>
      </c>
      <c r="O382" s="4">
        <v>20</v>
      </c>
      <c r="P382" s="18">
        <v>20</v>
      </c>
      <c r="Q382" s="3"/>
      <c r="R382" s="6"/>
      <c r="S382" s="22"/>
      <c r="U382" s="23">
        <f t="shared" si="6"/>
        <v>6.3</v>
      </c>
      <c r="V382" s="24" t="s">
        <v>14</v>
      </c>
    </row>
    <row r="383" spans="1:23" ht="23.1" hidden="1" customHeight="1" x14ac:dyDescent="0.25">
      <c r="A383" s="1" t="s">
        <v>71</v>
      </c>
      <c r="D383" s="3" t="s">
        <v>592</v>
      </c>
      <c r="E383" s="15" t="s">
        <v>120</v>
      </c>
      <c r="F383" s="15" t="str">
        <f>+VLOOKUP(D383,[1]Sheet1!$D$2:$E$29166,2,0)</f>
        <v>支架</v>
      </c>
      <c r="G383" s="3" t="s">
        <v>51</v>
      </c>
      <c r="H383" s="3">
        <v>45</v>
      </c>
      <c r="I383" s="18" t="str">
        <f t="array" ref="I383">INDEX([2]Sheet1!$F$1:$AF$65808,MATCH(D383&amp;G383&amp;I$1,[2]Sheet1!$B$1:$B$65808&amp;[2]Sheet1!$D$1:$D$65808&amp;[2]Sheet1!$E$1:$E$65808,0),MATCH(H383,[2]Sheet1!$F$1:$AF$1,0))</f>
        <v>45/线切割</v>
      </c>
      <c r="J383" s="3">
        <v>20</v>
      </c>
      <c r="K383" s="3">
        <v>20</v>
      </c>
      <c r="L383" s="19">
        <v>26</v>
      </c>
      <c r="M383" s="19">
        <v>26</v>
      </c>
      <c r="N383" s="5" t="s">
        <v>56</v>
      </c>
      <c r="O383" s="4">
        <v>40</v>
      </c>
      <c r="P383" s="18">
        <v>40</v>
      </c>
      <c r="Q383" s="3"/>
      <c r="R383" s="6"/>
      <c r="S383" s="22"/>
      <c r="U383" s="23">
        <f t="shared" si="6"/>
        <v>13.3</v>
      </c>
      <c r="V383" s="24" t="s">
        <v>14</v>
      </c>
    </row>
    <row r="384" spans="1:23" ht="23.1" hidden="1" customHeight="1" x14ac:dyDescent="0.25">
      <c r="A384" s="1" t="s">
        <v>368</v>
      </c>
      <c r="D384" s="3" t="s">
        <v>282</v>
      </c>
      <c r="E384" s="15" t="s">
        <v>76</v>
      </c>
      <c r="F384" s="15" t="str">
        <f>+VLOOKUP(D384,[1]Sheet1!$D$2:$E$29166,2,0)</f>
        <v>接管嘴</v>
      </c>
      <c r="G384" s="3" t="s">
        <v>46</v>
      </c>
      <c r="H384" s="3">
        <v>25</v>
      </c>
      <c r="I384" s="18" t="str">
        <f t="array" ref="I384">INDEX([2]Sheet1!$F$1:$AF$65808,MATCH(D384&amp;G384&amp;I$1,[2]Sheet1!$B$1:$B$65808&amp;[2]Sheet1!$D$1:$D$65808&amp;[2]Sheet1!$E$1:$E$65808,0),MATCH(H384,[2]Sheet1!$F$1:$AF$1,0))</f>
        <v>25/线切割</v>
      </c>
      <c r="J384" s="3">
        <v>9</v>
      </c>
      <c r="K384" s="3">
        <v>9</v>
      </c>
      <c r="L384" s="19">
        <v>26</v>
      </c>
      <c r="M384" s="19">
        <v>9</v>
      </c>
      <c r="N384" s="5" t="s">
        <v>676</v>
      </c>
      <c r="O384" s="4">
        <v>20</v>
      </c>
      <c r="P384" s="18">
        <v>20</v>
      </c>
      <c r="Q384" s="3"/>
      <c r="R384" s="6"/>
      <c r="S384" s="22"/>
      <c r="U384" s="23">
        <f t="shared" si="6"/>
        <v>3</v>
      </c>
      <c r="V384" s="24" t="s">
        <v>14</v>
      </c>
    </row>
    <row r="385" spans="1:24" ht="23.1" hidden="1" customHeight="1" x14ac:dyDescent="0.25">
      <c r="A385" s="1" t="s">
        <v>368</v>
      </c>
      <c r="D385" s="3" t="s">
        <v>678</v>
      </c>
      <c r="E385" s="15" t="s">
        <v>679</v>
      </c>
      <c r="F385" s="15" t="str">
        <f>+VLOOKUP(D385,[1]Sheet1!$D$2:$E$29166,2,0)</f>
        <v>喷嘴</v>
      </c>
      <c r="G385" s="3" t="s">
        <v>46</v>
      </c>
      <c r="H385" s="3">
        <v>40</v>
      </c>
      <c r="I385" s="18" t="str">
        <f t="array" ref="I385">INDEX([2]Sheet1!$F$1:$AF$65808,MATCH(D385&amp;G385&amp;I$1,[2]Sheet1!$B$1:$B$65808&amp;[2]Sheet1!$D$1:$D$65808&amp;[2]Sheet1!$E$1:$E$65808,0),MATCH(H385,[2]Sheet1!$F$1:$AF$1,0))</f>
        <v>40/穿孔</v>
      </c>
      <c r="J385" s="3">
        <v>80</v>
      </c>
      <c r="K385" s="3">
        <v>80</v>
      </c>
      <c r="L385" s="19">
        <v>26</v>
      </c>
      <c r="M385" s="19">
        <v>26</v>
      </c>
      <c r="N385" s="5" t="s">
        <v>56</v>
      </c>
      <c r="O385" s="4">
        <v>20</v>
      </c>
      <c r="P385" s="18">
        <v>20</v>
      </c>
      <c r="Q385" s="3"/>
      <c r="R385" s="6"/>
      <c r="S385" s="22"/>
      <c r="U385" s="23">
        <f t="shared" si="6"/>
        <v>26.7</v>
      </c>
      <c r="V385" s="24" t="s">
        <v>14</v>
      </c>
    </row>
    <row r="386" spans="1:24" ht="23.1" hidden="1" customHeight="1" x14ac:dyDescent="0.25">
      <c r="A386" s="1" t="s">
        <v>368</v>
      </c>
      <c r="D386" s="3" t="s">
        <v>282</v>
      </c>
      <c r="E386" s="15" t="s">
        <v>76</v>
      </c>
      <c r="F386" s="15" t="str">
        <f>+VLOOKUP(D386,[1]Sheet1!$D$2:$E$29166,2,0)</f>
        <v>接管嘴</v>
      </c>
      <c r="G386" s="3" t="s">
        <v>46</v>
      </c>
      <c r="H386" s="3">
        <v>25</v>
      </c>
      <c r="I386" s="18" t="str">
        <f t="array" ref="I386">INDEX([2]Sheet1!$F$1:$AF$65808,MATCH(D386&amp;G386&amp;I$1,[2]Sheet1!$B$1:$B$65808&amp;[2]Sheet1!$D$1:$D$65808&amp;[2]Sheet1!$E$1:$E$65808,0),MATCH(H386,[2]Sheet1!$F$1:$AF$1,0))</f>
        <v>25/线切割</v>
      </c>
      <c r="J386" s="3">
        <v>9</v>
      </c>
      <c r="K386" s="3">
        <v>9</v>
      </c>
      <c r="L386" s="19">
        <v>9</v>
      </c>
      <c r="M386" s="19">
        <v>9</v>
      </c>
      <c r="N386" s="5" t="s">
        <v>105</v>
      </c>
      <c r="O386" s="4">
        <v>20</v>
      </c>
      <c r="P386" s="18">
        <v>20</v>
      </c>
      <c r="Q386" s="3"/>
      <c r="R386" s="6"/>
      <c r="S386" s="22"/>
      <c r="U386" s="23">
        <f t="shared" si="6"/>
        <v>3</v>
      </c>
      <c r="V386" s="24" t="s">
        <v>14</v>
      </c>
    </row>
    <row r="387" spans="1:24" ht="23.1" hidden="1" customHeight="1" x14ac:dyDescent="0.25">
      <c r="A387" s="1" t="s">
        <v>74</v>
      </c>
      <c r="D387" s="3" t="s">
        <v>680</v>
      </c>
      <c r="E387" s="15" t="s">
        <v>681</v>
      </c>
      <c r="F387" s="15" t="str">
        <f>+VLOOKUP(D387,[1]Sheet1!$D$2:$E$29166,2,0)</f>
        <v>受剪接头</v>
      </c>
      <c r="G387" s="3" t="s">
        <v>147</v>
      </c>
      <c r="H387" s="3">
        <v>15</v>
      </c>
      <c r="I387" s="18" t="str">
        <f t="array" ref="I387">INDEX([2]Sheet1!$F$1:$AF$65808,MATCH(D387&amp;G387&amp;I$1,[2]Sheet1!$B$1:$B$65808&amp;[2]Sheet1!$D$1:$D$65808&amp;[2]Sheet1!$E$1:$E$65808,0),MATCH(H387,[2]Sheet1!$F$1:$AF$1,0))</f>
        <v>15/线切割</v>
      </c>
      <c r="J387" s="3">
        <v>4</v>
      </c>
      <c r="K387" s="3">
        <v>4</v>
      </c>
      <c r="L387" s="19">
        <v>5</v>
      </c>
      <c r="M387" s="19">
        <v>5</v>
      </c>
      <c r="N387" s="5" t="s">
        <v>682</v>
      </c>
      <c r="O387" s="4">
        <v>120</v>
      </c>
      <c r="P387" s="18">
        <v>120</v>
      </c>
      <c r="Q387" s="3"/>
      <c r="R387" s="6"/>
      <c r="S387" s="22"/>
      <c r="U387" s="23">
        <f t="shared" si="6"/>
        <v>8</v>
      </c>
      <c r="V387" s="24" t="s">
        <v>14</v>
      </c>
    </row>
    <row r="388" spans="1:24" ht="23.1" hidden="1" customHeight="1" x14ac:dyDescent="0.25">
      <c r="A388" s="1" t="s">
        <v>74</v>
      </c>
      <c r="D388" s="3" t="s">
        <v>256</v>
      </c>
      <c r="E388" s="15" t="s">
        <v>55</v>
      </c>
      <c r="F388" s="15" t="str">
        <f>+VLOOKUP(D388,[1]Sheet1!$D$2:$E$29166,2,0)</f>
        <v>接头</v>
      </c>
      <c r="G388" s="3" t="s">
        <v>80</v>
      </c>
      <c r="H388" s="3">
        <v>15</v>
      </c>
      <c r="I388" s="18" t="str">
        <f t="array" ref="I388">INDEX([2]Sheet1!$F$1:$AF$65808,MATCH(D388&amp;G388&amp;I$1,[2]Sheet1!$B$1:$B$65808&amp;[2]Sheet1!$D$1:$D$65808&amp;[2]Sheet1!$E$1:$E$65808,0),MATCH(H388,[2]Sheet1!$F$1:$AF$1,0))</f>
        <v>15线切割</v>
      </c>
      <c r="J388" s="3">
        <v>8</v>
      </c>
      <c r="K388" s="3">
        <v>8</v>
      </c>
      <c r="L388" s="19">
        <v>37</v>
      </c>
      <c r="M388" s="19">
        <v>26</v>
      </c>
      <c r="N388" s="5" t="s">
        <v>81</v>
      </c>
      <c r="O388" s="4">
        <v>30</v>
      </c>
      <c r="P388" s="18">
        <v>30</v>
      </c>
      <c r="Q388" s="3"/>
      <c r="R388" s="6"/>
      <c r="S388" s="22"/>
      <c r="U388" s="23">
        <f t="shared" si="6"/>
        <v>4</v>
      </c>
      <c r="V388" s="24" t="s">
        <v>14</v>
      </c>
    </row>
    <row r="389" spans="1:24" ht="23.1" hidden="1" customHeight="1" x14ac:dyDescent="0.25">
      <c r="A389" s="1" t="s">
        <v>82</v>
      </c>
      <c r="D389" s="3" t="s">
        <v>683</v>
      </c>
      <c r="E389" s="15" t="s">
        <v>681</v>
      </c>
      <c r="F389" s="15" t="str">
        <f>+VLOOKUP(D389,[1]Sheet1!$D$2:$E$29166,2,0)</f>
        <v>受剪接头</v>
      </c>
      <c r="G389" s="3" t="s">
        <v>147</v>
      </c>
      <c r="H389" s="3">
        <v>15</v>
      </c>
      <c r="I389" s="18" t="str">
        <f t="array" ref="I389">INDEX([2]Sheet1!$F$1:$AF$65808,MATCH(D389&amp;G389&amp;I$1,[2]Sheet1!$B$1:$B$65808&amp;[2]Sheet1!$D$1:$D$65808&amp;[2]Sheet1!$E$1:$E$65808,0),MATCH(H389,[2]Sheet1!$F$1:$AF$1,0))</f>
        <v>15/线切割</v>
      </c>
      <c r="J389" s="3">
        <v>1</v>
      </c>
      <c r="K389" s="3">
        <v>1</v>
      </c>
      <c r="L389" s="19">
        <v>23</v>
      </c>
      <c r="M389" s="19"/>
      <c r="N389" s="5" t="s">
        <v>684</v>
      </c>
      <c r="O389" s="4">
        <v>120</v>
      </c>
      <c r="P389" s="18">
        <v>120</v>
      </c>
      <c r="Q389" s="3"/>
      <c r="R389" s="6"/>
      <c r="S389" s="22"/>
      <c r="U389" s="23">
        <f t="shared" si="6"/>
        <v>2</v>
      </c>
      <c r="V389" s="24" t="s">
        <v>14</v>
      </c>
    </row>
    <row r="390" spans="1:24" ht="23.1" hidden="1" customHeight="1" x14ac:dyDescent="0.25">
      <c r="A390" s="1" t="s">
        <v>82</v>
      </c>
      <c r="D390" s="3" t="s">
        <v>683</v>
      </c>
      <c r="E390" s="15" t="s">
        <v>681</v>
      </c>
      <c r="F390" s="15" t="str">
        <f>+VLOOKUP(D390,[1]Sheet1!$D$2:$E$29166,2,0)</f>
        <v>受剪接头</v>
      </c>
      <c r="G390" s="3" t="s">
        <v>147</v>
      </c>
      <c r="H390" s="3">
        <v>15</v>
      </c>
      <c r="I390" s="18" t="str">
        <f t="array" ref="I390">INDEX([2]Sheet1!$F$1:$AF$65808,MATCH(D390&amp;G390&amp;I$1,[2]Sheet1!$B$1:$B$65808&amp;[2]Sheet1!$D$1:$D$65808&amp;[2]Sheet1!$E$1:$E$65808,0),MATCH(H390,[2]Sheet1!$F$1:$AF$1,0))</f>
        <v>15/线切割</v>
      </c>
      <c r="J390" s="3">
        <v>1</v>
      </c>
      <c r="K390" s="3">
        <v>1</v>
      </c>
      <c r="L390" s="19">
        <v>23</v>
      </c>
      <c r="M390" s="19"/>
      <c r="N390" s="5" t="s">
        <v>685</v>
      </c>
      <c r="O390" s="4">
        <v>120</v>
      </c>
      <c r="P390" s="18">
        <v>120</v>
      </c>
      <c r="Q390" s="3"/>
      <c r="R390" s="6"/>
      <c r="S390" s="22"/>
      <c r="U390" s="23">
        <f t="shared" si="6"/>
        <v>2</v>
      </c>
      <c r="V390" s="24" t="s">
        <v>14</v>
      </c>
    </row>
    <row r="391" spans="1:24" ht="23.1" hidden="1" customHeight="1" x14ac:dyDescent="0.25">
      <c r="A391" s="1" t="s">
        <v>82</v>
      </c>
      <c r="D391" s="3" t="s">
        <v>683</v>
      </c>
      <c r="E391" s="15" t="s">
        <v>681</v>
      </c>
      <c r="F391" s="15" t="str">
        <f>+VLOOKUP(D391,[1]Sheet1!$D$2:$E$29166,2,0)</f>
        <v>受剪接头</v>
      </c>
      <c r="G391" s="3" t="s">
        <v>147</v>
      </c>
      <c r="H391" s="3">
        <v>15</v>
      </c>
      <c r="I391" s="18" t="str">
        <f t="array" ref="I391">INDEX([2]Sheet1!$F$1:$AF$65808,MATCH(D391&amp;G391&amp;I$1,[2]Sheet1!$B$1:$B$65808&amp;[2]Sheet1!$D$1:$D$65808&amp;[2]Sheet1!$E$1:$E$65808,0),MATCH(H391,[2]Sheet1!$F$1:$AF$1,0))</f>
        <v>15/线切割</v>
      </c>
      <c r="J391" s="3">
        <v>1</v>
      </c>
      <c r="K391" s="3">
        <v>1</v>
      </c>
      <c r="L391" s="19">
        <v>23</v>
      </c>
      <c r="M391" s="19"/>
      <c r="N391" s="5" t="s">
        <v>686</v>
      </c>
      <c r="O391" s="4">
        <v>120</v>
      </c>
      <c r="P391" s="18">
        <v>120</v>
      </c>
      <c r="Q391" s="3"/>
      <c r="R391" s="6"/>
      <c r="S391" s="22"/>
      <c r="U391" s="23">
        <f t="shared" si="6"/>
        <v>2</v>
      </c>
      <c r="V391" s="24" t="s">
        <v>14</v>
      </c>
    </row>
    <row r="392" spans="1:24" ht="23.1" hidden="1" customHeight="1" x14ac:dyDescent="0.25">
      <c r="A392" s="1" t="s">
        <v>89</v>
      </c>
      <c r="D392" s="3" t="s">
        <v>687</v>
      </c>
      <c r="E392" s="15" t="s">
        <v>688</v>
      </c>
      <c r="F392" s="15" t="str">
        <f>+VLOOKUP(D392,[1]Sheet1!$D$2:$E$29166,2,0)</f>
        <v>管子</v>
      </c>
      <c r="G392" s="3" t="s">
        <v>147</v>
      </c>
      <c r="H392" s="3">
        <v>20</v>
      </c>
      <c r="I392" s="18" t="e">
        <f t="array" ref="I392">INDEX([2]Sheet1!$F$1:$AF$65808,MATCH(D392&amp;G392&amp;I$1,[2]Sheet1!$B$1:$B$65808&amp;[2]Sheet1!$D$1:$D$65808&amp;[2]Sheet1!$E$1:$E$65808,0),MATCH(H392,[2]Sheet1!$F$1:$AF$1,0))</f>
        <v>#N/A</v>
      </c>
      <c r="J392" s="3">
        <v>20</v>
      </c>
      <c r="K392" s="3">
        <v>20</v>
      </c>
      <c r="L392" s="19">
        <v>9</v>
      </c>
      <c r="M392" s="19">
        <v>26</v>
      </c>
      <c r="N392" s="5" t="s">
        <v>189</v>
      </c>
      <c r="O392" s="4">
        <v>60</v>
      </c>
      <c r="P392" s="18">
        <v>60</v>
      </c>
      <c r="Q392" s="3"/>
      <c r="R392" s="6"/>
      <c r="S392" s="22"/>
      <c r="U392" s="23">
        <f t="shared" ref="U392:U448" si="7">ROUND((K392*P392+Q392*S392)/60+T392,1)</f>
        <v>20</v>
      </c>
      <c r="V392" s="24" t="s">
        <v>14</v>
      </c>
    </row>
    <row r="393" spans="1:24" ht="23.1" hidden="1" customHeight="1" x14ac:dyDescent="0.25">
      <c r="A393" s="1" t="s">
        <v>89</v>
      </c>
      <c r="D393" s="3" t="s">
        <v>689</v>
      </c>
      <c r="E393" s="15" t="s">
        <v>690</v>
      </c>
      <c r="F393" s="15" t="str">
        <f>+VLOOKUP(D393,[1]Sheet1!$D$2:$E$29166,2,0)</f>
        <v>单耳接头</v>
      </c>
      <c r="G393" s="3" t="s">
        <v>46</v>
      </c>
      <c r="H393" s="3">
        <v>15</v>
      </c>
      <c r="I393" s="18" t="str">
        <f t="array" ref="I393">INDEX([2]Sheet1!$F$1:$AF$65808,MATCH(D393&amp;G393&amp;I$1,[2]Sheet1!$B$1:$B$65808&amp;[2]Sheet1!$D$1:$D$65808&amp;[2]Sheet1!$E$1:$E$65808,0),MATCH(H393,[2]Sheet1!$F$1:$AF$1,0))</f>
        <v>15/线切割</v>
      </c>
      <c r="J393" s="3">
        <v>45</v>
      </c>
      <c r="K393" s="3">
        <v>47</v>
      </c>
      <c r="L393" s="19">
        <v>23</v>
      </c>
      <c r="M393" s="19">
        <v>5</v>
      </c>
      <c r="N393" s="5" t="s">
        <v>691</v>
      </c>
      <c r="O393" s="4">
        <v>20</v>
      </c>
      <c r="P393" s="18">
        <v>20</v>
      </c>
      <c r="Q393" s="3"/>
      <c r="R393" s="6"/>
      <c r="S393" s="22"/>
      <c r="U393" s="23">
        <f t="shared" si="7"/>
        <v>15.7</v>
      </c>
      <c r="V393" s="24" t="s">
        <v>14</v>
      </c>
    </row>
    <row r="394" spans="1:24" ht="23.1" hidden="1" customHeight="1" x14ac:dyDescent="0.25">
      <c r="A394" s="1" t="s">
        <v>100</v>
      </c>
      <c r="D394" s="3" t="s">
        <v>104</v>
      </c>
      <c r="E394" s="15" t="s">
        <v>76</v>
      </c>
      <c r="F394" s="15" t="str">
        <f>+VLOOKUP(D394,[1]Sheet1!$D$2:$E$29166,2,0)</f>
        <v>接管嘴</v>
      </c>
      <c r="G394" s="3" t="s">
        <v>46</v>
      </c>
      <c r="H394" s="3">
        <v>25</v>
      </c>
      <c r="I394" s="18" t="str">
        <f t="array" ref="I394">INDEX([2]Sheet1!$F$1:$AF$65808,MATCH(D394&amp;G394&amp;I$1,[2]Sheet1!$B$1:$B$65808&amp;[2]Sheet1!$D$1:$D$65808&amp;[2]Sheet1!$E$1:$E$65808,0),MATCH(H394,[2]Sheet1!$F$1:$AF$1,0))</f>
        <v>25/穿孔</v>
      </c>
      <c r="J394" s="3">
        <v>60</v>
      </c>
      <c r="K394" s="3">
        <v>60</v>
      </c>
      <c r="L394" s="19">
        <v>26</v>
      </c>
      <c r="M394" s="19">
        <v>37</v>
      </c>
      <c r="N394" s="5" t="s">
        <v>105</v>
      </c>
      <c r="O394" s="4">
        <v>30</v>
      </c>
      <c r="P394" s="18">
        <f t="array" ref="P394">IFERROR(INDEX([2]Sheet1!$F$1:$AF$65808,MATCH($D394&amp;$G394&amp;P$1,[2]Sheet1!$B$1:$B$65808&amp;[2]Sheet1!$D$1:$D$65808&amp;[2]Sheet1!$E$1:$E$65808,0),MATCH($H394,[2]Sheet1!$F$1:$AF$1,0)),0)</f>
        <v>15</v>
      </c>
      <c r="Q394" s="3"/>
      <c r="R394" s="6"/>
      <c r="S394" s="22"/>
      <c r="U394" s="23">
        <f t="shared" si="7"/>
        <v>15</v>
      </c>
      <c r="V394" s="24" t="s">
        <v>14</v>
      </c>
    </row>
    <row r="395" spans="1:24" ht="23.1" hidden="1" customHeight="1" x14ac:dyDescent="0.25">
      <c r="A395" s="1" t="s">
        <v>89</v>
      </c>
      <c r="D395" s="3" t="s">
        <v>589</v>
      </c>
      <c r="E395" s="15" t="s">
        <v>91</v>
      </c>
      <c r="F395" s="15" t="str">
        <f>+VLOOKUP(D395,[1]Sheet1!$D$2:$E$29166,2,0)</f>
        <v>螺栓</v>
      </c>
      <c r="G395" s="3" t="s">
        <v>46</v>
      </c>
      <c r="H395" s="3">
        <v>15</v>
      </c>
      <c r="I395" s="18" t="str">
        <f t="array" ref="I395">INDEX([2]Sheet1!$F$1:$AF$65808,MATCH(D395&amp;G395&amp;I$1,[2]Sheet1!$B$1:$B$65808&amp;[2]Sheet1!$D$1:$D$65808&amp;[2]Sheet1!$E$1:$E$65808,0),MATCH(H395,[2]Sheet1!$F$1:$AF$1,0))</f>
        <v>15线切割</v>
      </c>
      <c r="J395" s="3">
        <v>8</v>
      </c>
      <c r="K395" s="3">
        <v>8</v>
      </c>
      <c r="L395" s="19">
        <v>5</v>
      </c>
      <c r="M395" s="19">
        <v>26</v>
      </c>
      <c r="N395" s="5" t="s">
        <v>692</v>
      </c>
      <c r="O395" s="4">
        <v>20</v>
      </c>
      <c r="P395" s="18">
        <f t="array" ref="P395">IFERROR(INDEX([2]Sheet1!$F$1:$AF$65808,MATCH($D395&amp;$G395&amp;P$1,[2]Sheet1!$B$1:$B$65808&amp;[2]Sheet1!$D$1:$D$65808&amp;[2]Sheet1!$E$1:$E$65808,0),MATCH($H395,[2]Sheet1!$F$1:$AF$1,0)),0)</f>
        <v>10</v>
      </c>
      <c r="Q395" s="3"/>
      <c r="R395" s="6"/>
      <c r="S395" s="22"/>
      <c r="U395" s="23">
        <f t="shared" si="7"/>
        <v>1.3</v>
      </c>
      <c r="V395" s="24" t="s">
        <v>14</v>
      </c>
    </row>
    <row r="396" spans="1:24" ht="23.1" hidden="1" customHeight="1" x14ac:dyDescent="0.25">
      <c r="A396" s="1" t="s">
        <v>89</v>
      </c>
      <c r="D396" s="3" t="s">
        <v>556</v>
      </c>
      <c r="E396" s="15" t="s">
        <v>557</v>
      </c>
      <c r="F396" s="15" t="str">
        <f>+VLOOKUP(D396,[1]Sheet1!$D$2:$E$29166,2,0)</f>
        <v>连接接头</v>
      </c>
      <c r="G396" s="3" t="s">
        <v>80</v>
      </c>
      <c r="I396" s="18" t="str">
        <f t="array" ref="I396">INDEX([2]Sheet1!$F$1:$AF$65808,MATCH(D396&amp;G396&amp;I$1,[2]Sheet1!$B$1:$B$65808&amp;[2]Sheet1!$D$1:$D$65808&amp;[2]Sheet1!$E$1:$E$65808,0),MATCH(H396,[2]Sheet1!$F$1:$AF$1,0))</f>
        <v>00领料</v>
      </c>
      <c r="J396" s="3">
        <v>24</v>
      </c>
      <c r="K396" s="3">
        <v>24</v>
      </c>
      <c r="L396" s="19"/>
      <c r="M396" s="19"/>
      <c r="N396" s="5" t="s">
        <v>81</v>
      </c>
      <c r="O396" s="4">
        <v>30</v>
      </c>
      <c r="P396" s="18">
        <v>30</v>
      </c>
      <c r="Q396" s="3"/>
      <c r="R396" s="6"/>
      <c r="S396" s="22"/>
      <c r="U396" s="23">
        <f t="shared" si="7"/>
        <v>12</v>
      </c>
      <c r="V396" s="24" t="s">
        <v>14</v>
      </c>
      <c r="W396" s="7" t="s">
        <v>693</v>
      </c>
      <c r="X396" s="7" t="s">
        <v>203</v>
      </c>
    </row>
    <row r="397" spans="1:24" ht="23.1" hidden="1" customHeight="1" x14ac:dyDescent="0.25">
      <c r="A397" s="1" t="s">
        <v>100</v>
      </c>
      <c r="D397" s="3" t="s">
        <v>589</v>
      </c>
      <c r="E397" s="15" t="s">
        <v>91</v>
      </c>
      <c r="F397" s="15" t="str">
        <f>+VLOOKUP(D397,[1]Sheet1!$D$2:$E$29166,2,0)</f>
        <v>螺栓</v>
      </c>
      <c r="G397" s="3" t="s">
        <v>46</v>
      </c>
      <c r="H397" s="3">
        <v>15</v>
      </c>
      <c r="I397" s="18" t="str">
        <f t="array" ref="I397">INDEX([2]Sheet1!$F$1:$AF$65808,MATCH(D397&amp;G397&amp;I$1,[2]Sheet1!$B$1:$B$65808&amp;[2]Sheet1!$D$1:$D$65808&amp;[2]Sheet1!$E$1:$E$65808,0),MATCH(H397,[2]Sheet1!$F$1:$AF$1,0))</f>
        <v>15线切割</v>
      </c>
      <c r="J397" s="3">
        <v>18</v>
      </c>
      <c r="K397" s="3">
        <v>18</v>
      </c>
      <c r="L397" s="19">
        <v>26</v>
      </c>
      <c r="M397" s="19">
        <v>26</v>
      </c>
      <c r="N397" s="5" t="s">
        <v>295</v>
      </c>
      <c r="O397" s="4">
        <v>20</v>
      </c>
      <c r="P397" s="18">
        <f t="array" ref="P397">IFERROR(INDEX([2]Sheet1!$F$1:$AF$65808,MATCH($D397&amp;$G397&amp;P$1,[2]Sheet1!$B$1:$B$65808&amp;[2]Sheet1!$D$1:$D$65808&amp;[2]Sheet1!$E$1:$E$65808,0),MATCH($H397,[2]Sheet1!$F$1:$AF$1,0)),0)</f>
        <v>10</v>
      </c>
      <c r="Q397" s="3"/>
      <c r="R397" s="6"/>
      <c r="S397" s="22"/>
      <c r="U397" s="23">
        <f t="shared" si="7"/>
        <v>3</v>
      </c>
      <c r="V397" s="24" t="s">
        <v>14</v>
      </c>
    </row>
    <row r="398" spans="1:24" ht="23.1" hidden="1" customHeight="1" x14ac:dyDescent="0.25">
      <c r="A398" s="1" t="s">
        <v>100</v>
      </c>
      <c r="D398" s="3" t="s">
        <v>554</v>
      </c>
      <c r="E398" s="15" t="s">
        <v>76</v>
      </c>
      <c r="F398" s="15" t="str">
        <f>+VLOOKUP(D398,[1]Sheet1!$D$2:$E$29166,2,0)</f>
        <v>接管嘴</v>
      </c>
      <c r="G398" s="3" t="s">
        <v>64</v>
      </c>
      <c r="H398" s="3">
        <v>25</v>
      </c>
      <c r="I398" s="18" t="str">
        <f t="array" ref="I398">INDEX([2]Sheet1!$F$1:$AF$65808,MATCH(D398&amp;G398&amp;I$1,[2]Sheet1!$B$1:$B$65808&amp;[2]Sheet1!$D$1:$D$65808&amp;[2]Sheet1!$E$1:$E$65808,0),MATCH(H398,[2]Sheet1!$F$1:$AF$1,0))</f>
        <v>25/线切割</v>
      </c>
      <c r="J398" s="3">
        <v>23</v>
      </c>
      <c r="K398" s="3">
        <v>23</v>
      </c>
      <c r="L398" s="19">
        <v>26</v>
      </c>
      <c r="M398" s="19">
        <v>9</v>
      </c>
      <c r="N398" s="5" t="s">
        <v>694</v>
      </c>
      <c r="O398" s="4">
        <v>20</v>
      </c>
      <c r="P398" s="18">
        <v>20</v>
      </c>
      <c r="Q398" s="3"/>
      <c r="R398" s="6"/>
      <c r="S398" s="22"/>
      <c r="U398" s="23">
        <f t="shared" si="7"/>
        <v>7.7</v>
      </c>
      <c r="V398" s="24" t="s">
        <v>14</v>
      </c>
    </row>
    <row r="399" spans="1:24" ht="23.1" hidden="1" customHeight="1" x14ac:dyDescent="0.25">
      <c r="A399" s="1" t="s">
        <v>100</v>
      </c>
      <c r="D399" s="3" t="s">
        <v>695</v>
      </c>
      <c r="E399" s="15" t="s">
        <v>696</v>
      </c>
      <c r="F399" s="15" t="str">
        <f>+VLOOKUP(D399,[1]Sheet1!$D$2:$E$29166,2,0)</f>
        <v>回收锁销接头</v>
      </c>
      <c r="G399" s="3" t="s">
        <v>80</v>
      </c>
      <c r="H399" s="3">
        <v>15</v>
      </c>
      <c r="I399" s="18" t="str">
        <f t="array" ref="I399">INDEX([2]Sheet1!$F$1:$AF$65808,MATCH(D399&amp;G399&amp;I$1,[2]Sheet1!$B$1:$B$65808&amp;[2]Sheet1!$D$1:$D$65808&amp;[2]Sheet1!$E$1:$E$65808,0),MATCH(H399,[2]Sheet1!$F$1:$AF$1,0))</f>
        <v>15线切割</v>
      </c>
      <c r="J399" s="3">
        <v>8</v>
      </c>
      <c r="K399" s="3">
        <v>8</v>
      </c>
      <c r="L399" s="19">
        <v>26</v>
      </c>
      <c r="M399" s="19">
        <v>9</v>
      </c>
      <c r="N399" s="5" t="s">
        <v>81</v>
      </c>
      <c r="O399" s="4">
        <v>60</v>
      </c>
      <c r="P399" s="18">
        <v>60</v>
      </c>
      <c r="Q399" s="3"/>
      <c r="R399" s="6"/>
      <c r="S399" s="22"/>
      <c r="U399" s="23">
        <f t="shared" si="7"/>
        <v>8</v>
      </c>
      <c r="V399" s="24" t="s">
        <v>14</v>
      </c>
    </row>
    <row r="400" spans="1:24" ht="23.1" hidden="1" customHeight="1" x14ac:dyDescent="0.25">
      <c r="A400" s="1" t="s">
        <v>100</v>
      </c>
      <c r="D400" s="3" t="s">
        <v>664</v>
      </c>
      <c r="E400" s="15" t="s">
        <v>665</v>
      </c>
      <c r="F400" s="15" t="str">
        <f>+VLOOKUP(D400,[1]Sheet1!$D$2:$E$29166,2,0)</f>
        <v>前起落架水平接头</v>
      </c>
      <c r="G400" s="3" t="s">
        <v>64</v>
      </c>
      <c r="H400" s="3">
        <v>30</v>
      </c>
      <c r="I400" s="18" t="str">
        <f t="array" ref="I400">INDEX([2]Sheet1!$F$1:$AF$65808,MATCH(D400&amp;G400&amp;I$1,[2]Sheet1!$B$1:$B$65808&amp;[2]Sheet1!$D$1:$D$65808&amp;[2]Sheet1!$E$1:$E$65808,0),MATCH(H400,[2]Sheet1!$F$1:$AF$1,0))</f>
        <v>30/线切割</v>
      </c>
      <c r="J400" s="3">
        <v>20</v>
      </c>
      <c r="K400" s="3">
        <v>20</v>
      </c>
      <c r="L400" s="19">
        <v>26</v>
      </c>
      <c r="M400" s="19">
        <v>23</v>
      </c>
      <c r="N400" s="5" t="s">
        <v>697</v>
      </c>
      <c r="O400" s="4">
        <v>90</v>
      </c>
      <c r="P400" s="18">
        <v>90</v>
      </c>
      <c r="Q400" s="3"/>
      <c r="R400" s="6"/>
      <c r="S400" s="22"/>
      <c r="U400" s="23">
        <f t="shared" si="7"/>
        <v>30</v>
      </c>
      <c r="V400" s="24" t="s">
        <v>14</v>
      </c>
    </row>
    <row r="401" spans="1:24" ht="23.1" hidden="1" customHeight="1" x14ac:dyDescent="0.25">
      <c r="A401" s="1" t="s">
        <v>103</v>
      </c>
      <c r="D401" s="3" t="s">
        <v>238</v>
      </c>
      <c r="E401" s="15" t="s">
        <v>239</v>
      </c>
      <c r="F401" s="15" t="str">
        <f>+VLOOKUP(D401,[1]Sheet1!$D$2:$E$29166,2,0)</f>
        <v>激励器转接件</v>
      </c>
      <c r="G401" s="3" t="s">
        <v>155</v>
      </c>
      <c r="H401" s="3">
        <v>20</v>
      </c>
      <c r="I401" s="18" t="e">
        <f t="array" ref="I401">INDEX([2]Sheet1!$F$1:$AF$65808,MATCH(D401&amp;G401&amp;I$1,[2]Sheet1!$B$1:$B$65808&amp;[2]Sheet1!$D$1:$D$65808&amp;[2]Sheet1!$E$1:$E$65808,0),MATCH(H401,[2]Sheet1!$F$1:$AF$1,0))</f>
        <v>#N/A</v>
      </c>
      <c r="J401" s="3">
        <v>20</v>
      </c>
      <c r="K401" s="3">
        <v>20</v>
      </c>
      <c r="L401" s="19">
        <v>19</v>
      </c>
      <c r="M401" s="19">
        <v>5</v>
      </c>
      <c r="N401" s="5" t="s">
        <v>115</v>
      </c>
      <c r="O401" s="4">
        <v>120</v>
      </c>
      <c r="P401" s="18">
        <v>120</v>
      </c>
      <c r="Q401" s="3"/>
      <c r="R401" s="6"/>
      <c r="S401" s="22"/>
      <c r="U401" s="23">
        <f t="shared" si="7"/>
        <v>40</v>
      </c>
      <c r="V401" s="24" t="s">
        <v>14</v>
      </c>
    </row>
    <row r="402" spans="1:24" ht="23.1" hidden="1" customHeight="1" x14ac:dyDescent="0.25">
      <c r="A402" s="1" t="s">
        <v>103</v>
      </c>
      <c r="D402" s="3" t="s">
        <v>554</v>
      </c>
      <c r="E402" s="15" t="s">
        <v>76</v>
      </c>
      <c r="F402" s="15" t="str">
        <f>+VLOOKUP(D402,[1]Sheet1!$D$2:$E$29166,2,0)</f>
        <v>接管嘴</v>
      </c>
      <c r="G402" s="3" t="s">
        <v>64</v>
      </c>
      <c r="H402" s="3">
        <v>25</v>
      </c>
      <c r="I402" s="18" t="str">
        <f t="array" ref="I402">INDEX([2]Sheet1!$F$1:$AF$65808,MATCH(D402&amp;G402&amp;I$1,[2]Sheet1!$B$1:$B$65808&amp;[2]Sheet1!$D$1:$D$65808&amp;[2]Sheet1!$E$1:$E$65808,0),MATCH(H402,[2]Sheet1!$F$1:$AF$1,0))</f>
        <v>25/线切割</v>
      </c>
      <c r="J402" s="3">
        <v>10</v>
      </c>
      <c r="K402" s="3">
        <v>10</v>
      </c>
      <c r="L402" s="19">
        <v>19</v>
      </c>
      <c r="M402" s="19">
        <v>9</v>
      </c>
      <c r="N402" s="5" t="s">
        <v>698</v>
      </c>
      <c r="O402" s="4">
        <v>20</v>
      </c>
      <c r="P402" s="18">
        <v>20</v>
      </c>
      <c r="Q402" s="3"/>
      <c r="R402" s="6"/>
      <c r="S402" s="22"/>
      <c r="U402" s="23">
        <f t="shared" si="7"/>
        <v>3.3</v>
      </c>
      <c r="V402" s="24" t="s">
        <v>14</v>
      </c>
    </row>
    <row r="403" spans="1:24" ht="23.1" hidden="1" customHeight="1" x14ac:dyDescent="0.25">
      <c r="A403" s="1" t="s">
        <v>103</v>
      </c>
      <c r="D403" s="3" t="s">
        <v>245</v>
      </c>
      <c r="E403" s="15" t="s">
        <v>246</v>
      </c>
      <c r="F403" s="15" t="str">
        <f>+VLOOKUP(D403,[1]Sheet1!$D$2:$E$29166,2,0)</f>
        <v>环</v>
      </c>
      <c r="G403" s="3" t="s">
        <v>46</v>
      </c>
      <c r="H403" s="3">
        <v>10</v>
      </c>
      <c r="I403" s="18" t="str">
        <f t="array" ref="I403">INDEX([2]Sheet1!$F$1:$AF$65808,MATCH(D403&amp;G403&amp;I$1,[2]Sheet1!$B$1:$B$65808&amp;[2]Sheet1!$D$1:$D$65808&amp;[2]Sheet1!$E$1:$E$65808,0),MATCH(H403,[2]Sheet1!$F$1:$AF$1,0))</f>
        <v>10/线切割</v>
      </c>
      <c r="J403" s="3">
        <v>1</v>
      </c>
      <c r="K403" s="3">
        <v>1</v>
      </c>
      <c r="L403" s="19">
        <v>26</v>
      </c>
      <c r="M403" s="19"/>
      <c r="N403" s="5" t="s">
        <v>102</v>
      </c>
      <c r="O403" s="4">
        <v>5</v>
      </c>
      <c r="P403" s="18">
        <v>5</v>
      </c>
      <c r="Q403" s="3"/>
      <c r="R403" s="6"/>
      <c r="S403" s="22"/>
      <c r="U403" s="23">
        <f t="shared" si="7"/>
        <v>0.1</v>
      </c>
      <c r="V403" s="24" t="s">
        <v>14</v>
      </c>
    </row>
    <row r="404" spans="1:24" ht="23.1" hidden="1" customHeight="1" x14ac:dyDescent="0.25">
      <c r="A404" s="1" t="s">
        <v>103</v>
      </c>
      <c r="D404" s="3" t="s">
        <v>245</v>
      </c>
      <c r="E404" s="15" t="s">
        <v>246</v>
      </c>
      <c r="F404" s="15" t="str">
        <f>+VLOOKUP(D404,[1]Sheet1!$D$2:$E$29166,2,0)</f>
        <v>环</v>
      </c>
      <c r="G404" s="3" t="s">
        <v>46</v>
      </c>
      <c r="H404" s="3">
        <v>10</v>
      </c>
      <c r="I404" s="18" t="str">
        <f t="array" ref="I404">INDEX([2]Sheet1!$F$1:$AF$65808,MATCH(D404&amp;G404&amp;I$1,[2]Sheet1!$B$1:$B$65808&amp;[2]Sheet1!$D$1:$D$65808&amp;[2]Sheet1!$E$1:$E$65808,0),MATCH(H404,[2]Sheet1!$F$1:$AF$1,0))</f>
        <v>10/线切割</v>
      </c>
      <c r="J404" s="3">
        <v>1</v>
      </c>
      <c r="K404" s="3">
        <v>1</v>
      </c>
      <c r="L404" s="19">
        <v>26</v>
      </c>
      <c r="M404" s="19"/>
      <c r="N404" s="5" t="s">
        <v>699</v>
      </c>
      <c r="O404" s="4">
        <v>5</v>
      </c>
      <c r="P404" s="18">
        <v>5</v>
      </c>
      <c r="Q404" s="3"/>
      <c r="R404" s="6"/>
      <c r="S404" s="22"/>
      <c r="U404" s="23">
        <f t="shared" si="7"/>
        <v>0.1</v>
      </c>
      <c r="V404" s="24" t="s">
        <v>14</v>
      </c>
    </row>
    <row r="405" spans="1:24" ht="23.1" hidden="1" customHeight="1" x14ac:dyDescent="0.25">
      <c r="A405" s="1" t="s">
        <v>103</v>
      </c>
      <c r="D405" s="3" t="s">
        <v>245</v>
      </c>
      <c r="E405" s="15" t="s">
        <v>246</v>
      </c>
      <c r="F405" s="15" t="str">
        <f>+VLOOKUP(D405,[1]Sheet1!$D$2:$E$29166,2,0)</f>
        <v>环</v>
      </c>
      <c r="G405" s="3" t="s">
        <v>46</v>
      </c>
      <c r="H405" s="3">
        <v>10</v>
      </c>
      <c r="I405" s="18" t="str">
        <f t="array" ref="I405">INDEX([2]Sheet1!$F$1:$AF$65808,MATCH(D405&amp;G405&amp;I$1,[2]Sheet1!$B$1:$B$65808&amp;[2]Sheet1!$D$1:$D$65808&amp;[2]Sheet1!$E$1:$E$65808,0),MATCH(H405,[2]Sheet1!$F$1:$AF$1,0))</f>
        <v>10/线切割</v>
      </c>
      <c r="J405" s="3">
        <v>80</v>
      </c>
      <c r="K405" s="3">
        <v>95</v>
      </c>
      <c r="L405" s="19">
        <v>26</v>
      </c>
      <c r="M405" s="19">
        <v>26</v>
      </c>
      <c r="N405" s="5" t="s">
        <v>700</v>
      </c>
      <c r="O405" s="4">
        <v>5</v>
      </c>
      <c r="P405" s="18">
        <v>5</v>
      </c>
      <c r="Q405" s="3"/>
      <c r="R405" s="6"/>
      <c r="S405" s="22"/>
      <c r="U405" s="23">
        <f t="shared" si="7"/>
        <v>7.9</v>
      </c>
      <c r="V405" s="24" t="s">
        <v>14</v>
      </c>
    </row>
    <row r="406" spans="1:24" ht="23.1" hidden="1" customHeight="1" x14ac:dyDescent="0.25">
      <c r="A406" s="1" t="s">
        <v>109</v>
      </c>
      <c r="E406" s="15" t="s">
        <v>218</v>
      </c>
      <c r="F406" s="15" t="e">
        <f>+VLOOKUP(D406,[1]Sheet1!$D$2:$E$29166,2,0)</f>
        <v>#N/A</v>
      </c>
      <c r="H406" s="3" t="s">
        <v>701</v>
      </c>
      <c r="I406" s="18" t="e">
        <f t="array" ref="I406">INDEX([2]Sheet1!$F$1:$AF$65808,MATCH(D406&amp;G406&amp;I$1,[2]Sheet1!$B$1:$B$65808&amp;[2]Sheet1!$D$1:$D$65808&amp;[2]Sheet1!$E$1:$E$65808,0),MATCH(H406,[2]Sheet1!$F$1:$AF$1,0))</f>
        <v>#N/A</v>
      </c>
      <c r="J406" s="3">
        <v>5</v>
      </c>
      <c r="K406" s="3">
        <v>5</v>
      </c>
      <c r="L406" s="19"/>
      <c r="M406" s="19"/>
      <c r="O406" s="4">
        <v>120</v>
      </c>
      <c r="P406" s="18">
        <v>120</v>
      </c>
      <c r="Q406" s="3"/>
      <c r="R406" s="6"/>
      <c r="S406" s="22"/>
      <c r="U406" s="23">
        <f t="shared" si="7"/>
        <v>10</v>
      </c>
      <c r="V406" s="24" t="s">
        <v>14</v>
      </c>
      <c r="W406" s="7" t="s">
        <v>202</v>
      </c>
    </row>
    <row r="407" spans="1:24" ht="23.1" hidden="1" customHeight="1" x14ac:dyDescent="0.25">
      <c r="A407" s="1" t="s">
        <v>109</v>
      </c>
      <c r="E407" s="15" t="s">
        <v>211</v>
      </c>
      <c r="F407" s="15" t="e">
        <f>+VLOOKUP(D407,[1]Sheet1!$D$2:$E$29166,2,0)</f>
        <v>#N/A</v>
      </c>
      <c r="H407" s="3" t="s">
        <v>701</v>
      </c>
      <c r="I407" s="18" t="e">
        <f t="array" ref="I407">INDEX([2]Sheet1!$F$1:$AF$65808,MATCH(D407&amp;G407&amp;I$1,[2]Sheet1!$B$1:$B$65808&amp;[2]Sheet1!$D$1:$D$65808&amp;[2]Sheet1!$E$1:$E$65808,0),MATCH(H407,[2]Sheet1!$F$1:$AF$1,0))</f>
        <v>#N/A</v>
      </c>
      <c r="J407" s="3">
        <v>4</v>
      </c>
      <c r="K407" s="3">
        <v>4</v>
      </c>
      <c r="L407" s="19"/>
      <c r="M407" s="19"/>
      <c r="O407" s="4">
        <v>90</v>
      </c>
      <c r="P407" s="18">
        <v>90</v>
      </c>
      <c r="Q407" s="3"/>
      <c r="R407" s="6"/>
      <c r="S407" s="22"/>
      <c r="U407" s="23">
        <f t="shared" si="7"/>
        <v>6</v>
      </c>
      <c r="V407" s="24" t="s">
        <v>14</v>
      </c>
      <c r="W407" s="7" t="s">
        <v>202</v>
      </c>
    </row>
    <row r="408" spans="1:24" ht="23.1" hidden="1" customHeight="1" x14ac:dyDescent="0.25">
      <c r="A408" s="1" t="s">
        <v>109</v>
      </c>
      <c r="D408" s="3" t="s">
        <v>90</v>
      </c>
      <c r="E408" s="15" t="s">
        <v>91</v>
      </c>
      <c r="F408" s="15" t="str">
        <f>+VLOOKUP(D408,[1]Sheet1!$D$2:$E$29166,2,0)</f>
        <v>螺栓</v>
      </c>
      <c r="G408" s="3" t="s">
        <v>64</v>
      </c>
      <c r="H408" s="3">
        <v>25</v>
      </c>
      <c r="I408" s="18" t="str">
        <f t="array" ref="I408">INDEX([2]Sheet1!$F$1:$AF$65808,MATCH(D408&amp;G408&amp;I$1,[2]Sheet1!$B$1:$B$65808&amp;[2]Sheet1!$D$1:$D$65808&amp;[2]Sheet1!$E$1:$E$65808,0),MATCH(H408,[2]Sheet1!$F$1:$AF$1,0))</f>
        <v>25/钳工</v>
      </c>
      <c r="J408" s="3">
        <v>20</v>
      </c>
      <c r="K408" s="3">
        <v>20</v>
      </c>
      <c r="L408" s="19">
        <v>9</v>
      </c>
      <c r="M408" s="19">
        <v>23</v>
      </c>
      <c r="N408" s="5" t="s">
        <v>92</v>
      </c>
      <c r="O408" s="4">
        <v>120</v>
      </c>
      <c r="P408" s="18">
        <f t="array" ref="P408">IFERROR(INDEX([2]Sheet1!$F$1:$AF$65808,MATCH($D408&amp;$G408&amp;P$1,[2]Sheet1!$B$1:$B$65808&amp;[2]Sheet1!$D$1:$D$65808&amp;[2]Sheet1!$E$1:$E$65808,0),MATCH($H408,[2]Sheet1!$F$1:$AF$1,0)),0)</f>
        <v>20</v>
      </c>
      <c r="Q408" s="3"/>
      <c r="R408" s="6"/>
      <c r="S408" s="22"/>
      <c r="U408" s="23">
        <f t="shared" si="7"/>
        <v>6.7</v>
      </c>
      <c r="V408" s="24" t="s">
        <v>14</v>
      </c>
      <c r="W408" s="7" t="s">
        <v>702</v>
      </c>
    </row>
    <row r="409" spans="1:24" ht="23.1" hidden="1" customHeight="1" x14ac:dyDescent="0.25">
      <c r="A409" s="1" t="s">
        <v>116</v>
      </c>
      <c r="D409" s="3" t="s">
        <v>111</v>
      </c>
      <c r="E409" s="15" t="s">
        <v>63</v>
      </c>
      <c r="F409" s="15" t="str">
        <f>+VLOOKUP(D409,[1]Sheet1!$D$2:$E$29166,2,0)</f>
        <v>法兰</v>
      </c>
      <c r="G409" s="3" t="s">
        <v>64</v>
      </c>
      <c r="H409" s="3">
        <v>45</v>
      </c>
      <c r="I409" s="18" t="str">
        <f t="array" ref="I409">INDEX([2]Sheet1!$F$1:$AF$65808,MATCH(D409&amp;G409&amp;I$1,[2]Sheet1!$B$1:$B$65808&amp;[2]Sheet1!$D$1:$D$65808&amp;[2]Sheet1!$E$1:$E$65808,0),MATCH(H409,[2]Sheet1!$F$1:$AF$1,0))</f>
        <v>45/线切割</v>
      </c>
      <c r="J409" s="3">
        <v>2</v>
      </c>
      <c r="K409" s="3">
        <v>2</v>
      </c>
      <c r="L409" s="19">
        <v>9</v>
      </c>
      <c r="M409" s="19">
        <v>5</v>
      </c>
      <c r="N409" s="5" t="s">
        <v>112</v>
      </c>
      <c r="O409" s="4">
        <v>30</v>
      </c>
      <c r="P409" s="18">
        <v>30</v>
      </c>
      <c r="Q409" s="3"/>
      <c r="R409" s="6"/>
      <c r="S409" s="22"/>
      <c r="U409" s="23">
        <f t="shared" si="7"/>
        <v>1</v>
      </c>
      <c r="V409" s="24" t="s">
        <v>14</v>
      </c>
    </row>
    <row r="410" spans="1:24" ht="23.1" hidden="1" customHeight="1" x14ac:dyDescent="0.25">
      <c r="A410" s="1" t="s">
        <v>116</v>
      </c>
      <c r="D410" s="3" t="s">
        <v>683</v>
      </c>
      <c r="E410" s="15" t="s">
        <v>681</v>
      </c>
      <c r="F410" s="15" t="str">
        <f>+VLOOKUP(D410,[1]Sheet1!$D$2:$E$29166,2,0)</f>
        <v>受剪接头</v>
      </c>
      <c r="G410" s="3" t="s">
        <v>147</v>
      </c>
      <c r="H410" s="3">
        <v>15</v>
      </c>
      <c r="I410" s="18" t="str">
        <f t="array" ref="I410">INDEX([2]Sheet1!$F$1:$AF$65808,MATCH(D410&amp;G410&amp;I$1,[2]Sheet1!$B$1:$B$65808&amp;[2]Sheet1!$D$1:$D$65808&amp;[2]Sheet1!$E$1:$E$65808,0),MATCH(H410,[2]Sheet1!$F$1:$AF$1,0))</f>
        <v>15/线切割</v>
      </c>
      <c r="J410" s="3">
        <v>13</v>
      </c>
      <c r="K410" s="3">
        <v>13</v>
      </c>
      <c r="L410" s="19">
        <v>9</v>
      </c>
      <c r="M410" s="19">
        <v>9</v>
      </c>
      <c r="N410" s="5" t="s">
        <v>703</v>
      </c>
      <c r="O410" s="4">
        <v>90</v>
      </c>
      <c r="P410" s="18">
        <v>90</v>
      </c>
      <c r="Q410" s="3"/>
      <c r="R410" s="6"/>
      <c r="S410" s="22"/>
      <c r="U410" s="23">
        <f t="shared" si="7"/>
        <v>19.5</v>
      </c>
      <c r="V410" s="24" t="s">
        <v>14</v>
      </c>
    </row>
    <row r="411" spans="1:24" ht="23.1" hidden="1" customHeight="1" x14ac:dyDescent="0.25">
      <c r="A411" s="1" t="s">
        <v>704</v>
      </c>
      <c r="E411" s="15" t="s">
        <v>705</v>
      </c>
      <c r="F411" s="15" t="e">
        <f>+VLOOKUP(D411,[1]Sheet1!$D$2:$E$29166,2,0)</f>
        <v>#N/A</v>
      </c>
      <c r="H411" s="3" t="s">
        <v>652</v>
      </c>
      <c r="I411" s="18" t="e">
        <f t="array" ref="I411">INDEX([2]Sheet1!$F$1:$AF$65808,MATCH(D411&amp;G411&amp;I$1,[2]Sheet1!$B$1:$B$65808&amp;[2]Sheet1!$D$1:$D$65808&amp;[2]Sheet1!$E$1:$E$65808,0),MATCH(H411,[2]Sheet1!$F$1:$AF$1,0))</f>
        <v>#N/A</v>
      </c>
      <c r="J411" s="3">
        <v>45</v>
      </c>
      <c r="K411" s="3">
        <v>45</v>
      </c>
      <c r="L411" s="19"/>
      <c r="M411" s="19"/>
      <c r="O411" s="4">
        <v>60</v>
      </c>
      <c r="P411" s="18">
        <v>60</v>
      </c>
      <c r="Q411" s="3"/>
      <c r="R411" s="6"/>
      <c r="S411" s="22"/>
      <c r="U411" s="23">
        <f t="shared" si="7"/>
        <v>45</v>
      </c>
      <c r="V411" s="24" t="s">
        <v>14</v>
      </c>
      <c r="W411" s="7" t="s">
        <v>706</v>
      </c>
      <c r="X411" s="7" t="s">
        <v>203</v>
      </c>
    </row>
    <row r="412" spans="1:24" ht="23.1" hidden="1" customHeight="1" x14ac:dyDescent="0.25">
      <c r="A412" s="1" t="s">
        <v>704</v>
      </c>
      <c r="E412" s="15" t="s">
        <v>218</v>
      </c>
      <c r="F412" s="15" t="e">
        <f>+VLOOKUP(D412,[1]Sheet1!$D$2:$E$29166,2,0)</f>
        <v>#N/A</v>
      </c>
      <c r="H412" s="3" t="s">
        <v>652</v>
      </c>
      <c r="I412" s="18" t="e">
        <f t="array" ref="I412">INDEX([2]Sheet1!$F$1:$AF$65808,MATCH(D412&amp;G412&amp;I$1,[2]Sheet1!$B$1:$B$65808&amp;[2]Sheet1!$D$1:$D$65808&amp;[2]Sheet1!$E$1:$E$65808,0),MATCH(H412,[2]Sheet1!$F$1:$AF$1,0))</f>
        <v>#N/A</v>
      </c>
      <c r="J412" s="3">
        <v>2</v>
      </c>
      <c r="K412" s="3">
        <v>2</v>
      </c>
      <c r="L412" s="19"/>
      <c r="M412" s="19"/>
      <c r="O412" s="4">
        <v>120</v>
      </c>
      <c r="P412" s="18">
        <v>120</v>
      </c>
      <c r="Q412" s="3"/>
      <c r="R412" s="6"/>
      <c r="S412" s="22"/>
      <c r="U412" s="23">
        <f t="shared" si="7"/>
        <v>4</v>
      </c>
      <c r="V412" s="24" t="s">
        <v>14</v>
      </c>
      <c r="W412" s="7" t="s">
        <v>706</v>
      </c>
      <c r="X412" s="7" t="s">
        <v>203</v>
      </c>
    </row>
    <row r="413" spans="1:24" ht="23.1" hidden="1" customHeight="1" x14ac:dyDescent="0.25">
      <c r="A413" s="1" t="s">
        <v>707</v>
      </c>
      <c r="D413" s="3" t="s">
        <v>708</v>
      </c>
      <c r="E413" s="15" t="s">
        <v>709</v>
      </c>
      <c r="F413" s="15" t="e">
        <f>+VLOOKUP(D413,[1]Sheet1!$D$2:$E$29166,2,0)</f>
        <v>#N/A</v>
      </c>
      <c r="H413" s="3" t="s">
        <v>652</v>
      </c>
      <c r="I413" s="18" t="e">
        <f t="array" ref="I413">INDEX([2]Sheet1!$F$1:$AF$65808,MATCH(D413&amp;G413&amp;I$1,[2]Sheet1!$B$1:$B$65808&amp;[2]Sheet1!$D$1:$D$65808&amp;[2]Sheet1!$E$1:$E$65808,0),MATCH(H413,[2]Sheet1!$F$1:$AF$1,0))</f>
        <v>#N/A</v>
      </c>
      <c r="J413" s="3">
        <v>300</v>
      </c>
      <c r="K413" s="3">
        <v>300</v>
      </c>
      <c r="L413" s="19"/>
      <c r="M413" s="19"/>
      <c r="O413" s="4">
        <v>20</v>
      </c>
      <c r="P413" s="18">
        <v>20</v>
      </c>
      <c r="Q413" s="3"/>
      <c r="R413" s="6"/>
      <c r="S413" s="22"/>
      <c r="U413" s="23">
        <f t="shared" si="7"/>
        <v>100</v>
      </c>
      <c r="V413" s="24" t="s">
        <v>14</v>
      </c>
      <c r="W413" s="7" t="s">
        <v>710</v>
      </c>
    </row>
    <row r="414" spans="1:24" ht="23.1" hidden="1" customHeight="1" x14ac:dyDescent="0.25">
      <c r="A414" s="1" t="s">
        <v>121</v>
      </c>
      <c r="D414" s="3" t="s">
        <v>571</v>
      </c>
      <c r="E414" s="15" t="s">
        <v>572</v>
      </c>
      <c r="F414" s="15" t="str">
        <f>+VLOOKUP(D414,[1]Sheet1!$D$2:$E$29166,2,0)</f>
        <v>盖板</v>
      </c>
      <c r="G414" s="3" t="s">
        <v>80</v>
      </c>
      <c r="H414" s="3">
        <v>35</v>
      </c>
      <c r="I414" s="18" t="e">
        <f t="array" ref="I414">INDEX([2]Sheet1!$F$1:$AF$65808,MATCH(D414&amp;G414&amp;I$1,[2]Sheet1!$B$1:$B$65808&amp;[2]Sheet1!$D$1:$D$65808&amp;[2]Sheet1!$E$1:$E$65808,0),MATCH(H414,[2]Sheet1!$F$1:$AF$1,0))</f>
        <v>#N/A</v>
      </c>
      <c r="J414" s="3">
        <v>130</v>
      </c>
      <c r="K414" s="3">
        <v>66</v>
      </c>
      <c r="L414" s="19">
        <v>8</v>
      </c>
      <c r="M414" s="19">
        <v>8</v>
      </c>
      <c r="N414" s="5" t="s">
        <v>573</v>
      </c>
      <c r="O414" s="4"/>
      <c r="P414" s="18">
        <v>20</v>
      </c>
      <c r="Q414" s="3"/>
      <c r="R414" s="6"/>
      <c r="S414" s="22"/>
      <c r="U414" s="23">
        <f t="shared" si="7"/>
        <v>22</v>
      </c>
      <c r="V414" s="24" t="s">
        <v>13</v>
      </c>
    </row>
    <row r="415" spans="1:24" ht="23.1" hidden="1" customHeight="1" x14ac:dyDescent="0.25">
      <c r="A415" s="1" t="s">
        <v>58</v>
      </c>
      <c r="D415" s="3" t="s">
        <v>571</v>
      </c>
      <c r="E415" s="15" t="s">
        <v>237</v>
      </c>
      <c r="F415" s="15" t="str">
        <f>+VLOOKUP(D415,[1]Sheet1!$D$2:$E$29166,2,0)</f>
        <v>盖板</v>
      </c>
      <c r="G415" s="3" t="s">
        <v>80</v>
      </c>
      <c r="H415" s="3">
        <v>25</v>
      </c>
      <c r="I415" s="18" t="e">
        <f t="array" ref="I415">INDEX([2]Sheet1!$F$1:$AF$65808,MATCH(D415&amp;G415&amp;I$1,[2]Sheet1!$B$1:$B$65808&amp;[2]Sheet1!$D$1:$D$65808&amp;[2]Sheet1!$E$1:$E$65808,0),MATCH(H415,[2]Sheet1!$F$1:$AF$1,0))</f>
        <v>#N/A</v>
      </c>
      <c r="J415" s="3">
        <v>659</v>
      </c>
      <c r="K415" s="3">
        <v>142</v>
      </c>
      <c r="L415" s="19">
        <v>8</v>
      </c>
      <c r="M415" s="19">
        <v>8</v>
      </c>
      <c r="N415" s="5" t="s">
        <v>192</v>
      </c>
      <c r="O415" s="4"/>
      <c r="P415" s="18">
        <v>6</v>
      </c>
      <c r="Q415" s="3"/>
      <c r="R415" s="6"/>
      <c r="S415" s="22"/>
      <c r="U415" s="23">
        <f t="shared" si="7"/>
        <v>14.2</v>
      </c>
      <c r="V415" s="24" t="s">
        <v>13</v>
      </c>
    </row>
    <row r="416" spans="1:24" ht="23.1" hidden="1" customHeight="1" x14ac:dyDescent="0.25">
      <c r="A416" s="1" t="s">
        <v>65</v>
      </c>
      <c r="D416" s="3" t="s">
        <v>711</v>
      </c>
      <c r="E416" s="15" t="s">
        <v>712</v>
      </c>
      <c r="F416" s="15" t="str">
        <f>+VLOOKUP(D416,[1]Sheet1!$D$2:$E$29166,2,0)</f>
        <v>3#下垫片</v>
      </c>
      <c r="G416" s="3" t="s">
        <v>46</v>
      </c>
      <c r="H416" s="3">
        <v>20</v>
      </c>
      <c r="I416" s="18" t="str">
        <f t="array" ref="I416">INDEX([2]Sheet1!$F$1:$AF$65808,MATCH(D416&amp;G416&amp;I$1,[2]Sheet1!$B$1:$B$65808&amp;[2]Sheet1!$D$1:$D$65808&amp;[2]Sheet1!$E$1:$E$65808,0),MATCH(H416,[2]Sheet1!$F$1:$AF$1,0))</f>
        <v>20/钳工</v>
      </c>
      <c r="J416" s="3">
        <v>20</v>
      </c>
      <c r="K416" s="3">
        <v>20</v>
      </c>
      <c r="L416" s="19">
        <v>8</v>
      </c>
      <c r="M416" s="19">
        <v>8</v>
      </c>
      <c r="N416" s="5" t="s">
        <v>713</v>
      </c>
      <c r="O416" s="4"/>
      <c r="P416" s="18">
        <f t="array" ref="P416">IFERROR(INDEX([2]Sheet1!$F$1:$AF$65808,MATCH($D416&amp;$G416&amp;P$1,[2]Sheet1!$B$1:$B$65808&amp;[2]Sheet1!$D$1:$D$65808&amp;[2]Sheet1!$E$1:$E$65808,0),MATCH($H416,[2]Sheet1!$F$1:$AF$1,0)),0)</f>
        <v>10</v>
      </c>
      <c r="Q416" s="3"/>
      <c r="R416" s="6"/>
      <c r="S416" s="22"/>
      <c r="U416" s="23">
        <f t="shared" si="7"/>
        <v>3.3</v>
      </c>
      <c r="V416" s="24" t="s">
        <v>13</v>
      </c>
    </row>
    <row r="417" spans="1:24" ht="23.1" hidden="1" customHeight="1" x14ac:dyDescent="0.25">
      <c r="A417" s="1" t="s">
        <v>71</v>
      </c>
      <c r="D417" s="3" t="s">
        <v>711</v>
      </c>
      <c r="E417" s="15" t="s">
        <v>712</v>
      </c>
      <c r="F417" s="15" t="str">
        <f>+VLOOKUP(D417,[1]Sheet1!$D$2:$E$29166,2,0)</f>
        <v>3#下垫片</v>
      </c>
      <c r="G417" s="3" t="s">
        <v>46</v>
      </c>
      <c r="H417" s="3">
        <v>20</v>
      </c>
      <c r="I417" s="18" t="str">
        <f t="array" ref="I417">INDEX([2]Sheet1!$F$1:$AF$65808,MATCH(D417&amp;G417&amp;I$1,[2]Sheet1!$B$1:$B$65808&amp;[2]Sheet1!$D$1:$D$65808&amp;[2]Sheet1!$E$1:$E$65808,0),MATCH(H417,[2]Sheet1!$F$1:$AF$1,0))</f>
        <v>20/钳工</v>
      </c>
      <c r="J417" s="3">
        <v>20</v>
      </c>
      <c r="K417" s="3">
        <v>20</v>
      </c>
      <c r="L417" s="19">
        <v>8</v>
      </c>
      <c r="M417" s="19">
        <v>8</v>
      </c>
      <c r="N417" s="5" t="s">
        <v>262</v>
      </c>
      <c r="O417" s="4"/>
      <c r="P417" s="18">
        <f t="array" ref="P417">IFERROR(INDEX([2]Sheet1!$F$1:$AF$65808,MATCH($D417&amp;$G417&amp;P$1,[2]Sheet1!$B$1:$B$65808&amp;[2]Sheet1!$D$1:$D$65808&amp;[2]Sheet1!$E$1:$E$65808,0),MATCH($H417,[2]Sheet1!$F$1:$AF$1,0)),0)</f>
        <v>10</v>
      </c>
      <c r="Q417" s="3"/>
      <c r="R417" s="6"/>
      <c r="S417" s="22"/>
      <c r="U417" s="23">
        <f t="shared" si="7"/>
        <v>3.3</v>
      </c>
      <c r="V417" s="24" t="s">
        <v>13</v>
      </c>
    </row>
    <row r="418" spans="1:24" ht="23.1" hidden="1" customHeight="1" x14ac:dyDescent="0.25">
      <c r="A418" s="1" t="s">
        <v>71</v>
      </c>
      <c r="D418" s="3" t="s">
        <v>711</v>
      </c>
      <c r="E418" s="15" t="s">
        <v>712</v>
      </c>
      <c r="F418" s="15" t="str">
        <f>+VLOOKUP(D418,[1]Sheet1!$D$2:$E$29166,2,0)</f>
        <v>3#下垫片</v>
      </c>
      <c r="G418" s="3" t="s">
        <v>46</v>
      </c>
      <c r="H418" s="3">
        <v>20</v>
      </c>
      <c r="I418" s="18" t="str">
        <f t="array" ref="I418">INDEX([2]Sheet1!$F$1:$AF$65808,MATCH(D418&amp;G418&amp;I$1,[2]Sheet1!$B$1:$B$65808&amp;[2]Sheet1!$D$1:$D$65808&amp;[2]Sheet1!$E$1:$E$65808,0),MATCH(H418,[2]Sheet1!$F$1:$AF$1,0))</f>
        <v>20/钳工</v>
      </c>
      <c r="J418" s="3">
        <v>20</v>
      </c>
      <c r="K418" s="3">
        <v>20</v>
      </c>
      <c r="L418" s="19">
        <v>8</v>
      </c>
      <c r="M418" s="19">
        <v>8</v>
      </c>
      <c r="N418" s="5" t="s">
        <v>260</v>
      </c>
      <c r="O418" s="4"/>
      <c r="P418" s="18">
        <f t="array" ref="P418">IFERROR(INDEX([2]Sheet1!$F$1:$AF$65808,MATCH($D418&amp;$G418&amp;P$1,[2]Sheet1!$B$1:$B$65808&amp;[2]Sheet1!$D$1:$D$65808&amp;[2]Sheet1!$E$1:$E$65808,0),MATCH($H418,[2]Sheet1!$F$1:$AF$1,0)),0)</f>
        <v>10</v>
      </c>
      <c r="Q418" s="3"/>
      <c r="R418" s="6"/>
      <c r="S418" s="22"/>
      <c r="U418" s="23">
        <f t="shared" si="7"/>
        <v>3.3</v>
      </c>
      <c r="V418" s="24" t="s">
        <v>13</v>
      </c>
    </row>
    <row r="419" spans="1:24" ht="23.1" hidden="1" customHeight="1" x14ac:dyDescent="0.25">
      <c r="A419" s="1" t="s">
        <v>71</v>
      </c>
      <c r="D419" s="3" t="s">
        <v>711</v>
      </c>
      <c r="E419" s="15" t="s">
        <v>712</v>
      </c>
      <c r="F419" s="15" t="str">
        <f>+VLOOKUP(D419,[1]Sheet1!$D$2:$E$29166,2,0)</f>
        <v>3#下垫片</v>
      </c>
      <c r="G419" s="3" t="s">
        <v>46</v>
      </c>
      <c r="H419" s="3">
        <v>20</v>
      </c>
      <c r="I419" s="18" t="str">
        <f t="array" ref="I419">INDEX([2]Sheet1!$F$1:$AF$65808,MATCH(D419&amp;G419&amp;I$1,[2]Sheet1!$B$1:$B$65808&amp;[2]Sheet1!$D$1:$D$65808&amp;[2]Sheet1!$E$1:$E$65808,0),MATCH(H419,[2]Sheet1!$F$1:$AF$1,0))</f>
        <v>20/钳工</v>
      </c>
      <c r="J419" s="3">
        <v>20</v>
      </c>
      <c r="K419" s="3">
        <v>20</v>
      </c>
      <c r="L419" s="19">
        <v>8</v>
      </c>
      <c r="M419" s="19">
        <v>8</v>
      </c>
      <c r="N419" s="5" t="s">
        <v>261</v>
      </c>
      <c r="O419" s="4"/>
      <c r="P419" s="18">
        <f t="array" ref="P419">IFERROR(INDEX([2]Sheet1!$F$1:$AF$65808,MATCH($D419&amp;$G419&amp;P$1,[2]Sheet1!$B$1:$B$65808&amp;[2]Sheet1!$D$1:$D$65808&amp;[2]Sheet1!$E$1:$E$65808,0),MATCH($H419,[2]Sheet1!$F$1:$AF$1,0)),0)</f>
        <v>10</v>
      </c>
      <c r="Q419" s="3"/>
      <c r="R419" s="6"/>
      <c r="S419" s="22"/>
      <c r="U419" s="23">
        <f t="shared" si="7"/>
        <v>3.3</v>
      </c>
      <c r="V419" s="24" t="s">
        <v>13</v>
      </c>
    </row>
    <row r="420" spans="1:24" ht="23.1" hidden="1" customHeight="1" x14ac:dyDescent="0.25">
      <c r="A420" s="1" t="s">
        <v>71</v>
      </c>
      <c r="D420" s="3" t="s">
        <v>711</v>
      </c>
      <c r="E420" s="15" t="s">
        <v>712</v>
      </c>
      <c r="F420" s="15" t="str">
        <f>+VLOOKUP(D420,[1]Sheet1!$D$2:$E$29166,2,0)</f>
        <v>3#下垫片</v>
      </c>
      <c r="G420" s="3" t="s">
        <v>46</v>
      </c>
      <c r="H420" s="3">
        <v>20</v>
      </c>
      <c r="I420" s="18" t="str">
        <f t="array" ref="I420">INDEX([2]Sheet1!$F$1:$AF$65808,MATCH(D420&amp;G420&amp;I$1,[2]Sheet1!$B$1:$B$65808&amp;[2]Sheet1!$D$1:$D$65808&amp;[2]Sheet1!$E$1:$E$65808,0),MATCH(H420,[2]Sheet1!$F$1:$AF$1,0))</f>
        <v>20/钳工</v>
      </c>
      <c r="J420" s="3">
        <v>4</v>
      </c>
      <c r="K420" s="3">
        <v>4</v>
      </c>
      <c r="L420" s="19">
        <v>8</v>
      </c>
      <c r="M420" s="19">
        <v>8</v>
      </c>
      <c r="N420" s="5" t="s">
        <v>263</v>
      </c>
      <c r="O420" s="4"/>
      <c r="P420" s="18">
        <f t="array" ref="P420">IFERROR(INDEX([2]Sheet1!$F$1:$AF$65808,MATCH($D420&amp;$G420&amp;P$1,[2]Sheet1!$B$1:$B$65808&amp;[2]Sheet1!$D$1:$D$65808&amp;[2]Sheet1!$E$1:$E$65808,0),MATCH($H420,[2]Sheet1!$F$1:$AF$1,0)),0)</f>
        <v>10</v>
      </c>
      <c r="Q420" s="3"/>
      <c r="R420" s="6"/>
      <c r="S420" s="22"/>
      <c r="U420" s="23">
        <f t="shared" si="7"/>
        <v>0.7</v>
      </c>
      <c r="V420" s="24" t="s">
        <v>13</v>
      </c>
    </row>
    <row r="421" spans="1:24" ht="23.1" hidden="1" customHeight="1" x14ac:dyDescent="0.25">
      <c r="A421" s="1" t="s">
        <v>71</v>
      </c>
      <c r="D421" s="3" t="s">
        <v>482</v>
      </c>
      <c r="E421" s="15" t="s">
        <v>481</v>
      </c>
      <c r="F421" s="15" t="str">
        <f>+VLOOKUP(D421,[1]Sheet1!$D$2:$E$29166,2,0)</f>
        <v>11968下口盖</v>
      </c>
      <c r="G421" s="3" t="s">
        <v>114</v>
      </c>
      <c r="H421" s="3">
        <v>15</v>
      </c>
      <c r="I421" s="18" t="str">
        <f t="array" ref="I421">INDEX([2]Sheet1!$F$1:$AF$65808,MATCH(D421&amp;G421&amp;I$1,[2]Sheet1!$B$1:$B$65808&amp;[2]Sheet1!$D$1:$D$65808&amp;[2]Sheet1!$E$1:$E$65808,0),MATCH(H421,[2]Sheet1!$F$1:$AF$1,0))</f>
        <v>15/钳工</v>
      </c>
      <c r="J421" s="3">
        <v>10</v>
      </c>
      <c r="K421" s="3">
        <v>10</v>
      </c>
      <c r="L421" s="19">
        <v>8</v>
      </c>
      <c r="M421" s="19">
        <v>8</v>
      </c>
      <c r="N421" s="5" t="s">
        <v>261</v>
      </c>
      <c r="O421" s="4"/>
      <c r="P421" s="18">
        <f t="array" ref="P421">IFERROR(INDEX([2]Sheet1!$F$1:$AF$65808,MATCH($D421&amp;$G421&amp;P$1,[2]Sheet1!$B$1:$B$65808&amp;[2]Sheet1!$D$1:$D$65808&amp;[2]Sheet1!$E$1:$E$65808,0),MATCH($H421,[2]Sheet1!$F$1:$AF$1,0)),0)</f>
        <v>45</v>
      </c>
      <c r="Q421" s="3"/>
      <c r="R421" s="6"/>
      <c r="S421" s="22"/>
      <c r="U421" s="23">
        <f t="shared" si="7"/>
        <v>7.5</v>
      </c>
      <c r="V421" s="24" t="s">
        <v>13</v>
      </c>
    </row>
    <row r="422" spans="1:24" ht="23.1" hidden="1" customHeight="1" x14ac:dyDescent="0.25">
      <c r="A422" s="1" t="s">
        <v>74</v>
      </c>
      <c r="D422" s="3" t="s">
        <v>714</v>
      </c>
      <c r="E422" s="15" t="s">
        <v>715</v>
      </c>
      <c r="F422" s="15" t="str">
        <f>+VLOOKUP(D422,[1]Sheet1!$D$2:$E$29166,2,0)</f>
        <v>3#上垫片</v>
      </c>
      <c r="G422" s="3" t="s">
        <v>46</v>
      </c>
      <c r="H422" s="3">
        <v>20</v>
      </c>
      <c r="I422" s="18" t="str">
        <f t="array" ref="I422">INDEX([2]Sheet1!$F$1:$AF$65808,MATCH(D422&amp;G422&amp;I$1,[2]Sheet1!$B$1:$B$65808&amp;[2]Sheet1!$D$1:$D$65808&amp;[2]Sheet1!$E$1:$E$65808,0),MATCH(H422,[2]Sheet1!$F$1:$AF$1,0))</f>
        <v>20/钳工</v>
      </c>
      <c r="J422" s="3">
        <v>20</v>
      </c>
      <c r="K422" s="3">
        <v>20</v>
      </c>
      <c r="L422" s="19">
        <v>8</v>
      </c>
      <c r="M422" s="19">
        <v>8</v>
      </c>
      <c r="N422" s="5" t="s">
        <v>261</v>
      </c>
      <c r="O422" s="4"/>
      <c r="P422" s="18">
        <f t="array" ref="P422">IFERROR(INDEX([2]Sheet1!$F$1:$AF$65808,MATCH($D422&amp;$G422&amp;P$1,[2]Sheet1!$B$1:$B$65808&amp;[2]Sheet1!$D$1:$D$65808&amp;[2]Sheet1!$E$1:$E$65808,0),MATCH($H422,[2]Sheet1!$F$1:$AF$1,0)),0)</f>
        <v>20</v>
      </c>
      <c r="Q422" s="3"/>
      <c r="R422" s="6"/>
      <c r="S422" s="22"/>
      <c r="U422" s="23">
        <f t="shared" si="7"/>
        <v>6.7</v>
      </c>
      <c r="V422" s="24" t="s">
        <v>13</v>
      </c>
    </row>
    <row r="423" spans="1:24" ht="23.1" hidden="1" customHeight="1" x14ac:dyDescent="0.25">
      <c r="A423" s="1" t="s">
        <v>74</v>
      </c>
      <c r="D423" s="3" t="s">
        <v>714</v>
      </c>
      <c r="E423" s="15" t="s">
        <v>715</v>
      </c>
      <c r="F423" s="15" t="str">
        <f>+VLOOKUP(D423,[1]Sheet1!$D$2:$E$29166,2,0)</f>
        <v>3#上垫片</v>
      </c>
      <c r="G423" s="3" t="s">
        <v>46</v>
      </c>
      <c r="H423" s="3">
        <v>20</v>
      </c>
      <c r="I423" s="18" t="str">
        <f t="array" ref="I423">INDEX([2]Sheet1!$F$1:$AF$65808,MATCH(D423&amp;G423&amp;I$1,[2]Sheet1!$B$1:$B$65808&amp;[2]Sheet1!$D$1:$D$65808&amp;[2]Sheet1!$E$1:$E$65808,0),MATCH(H423,[2]Sheet1!$F$1:$AF$1,0))</f>
        <v>20/钳工</v>
      </c>
      <c r="J423" s="3">
        <v>20</v>
      </c>
      <c r="K423" s="3">
        <v>20</v>
      </c>
      <c r="L423" s="19">
        <v>8</v>
      </c>
      <c r="M423" s="19">
        <v>8</v>
      </c>
      <c r="N423" s="5" t="s">
        <v>260</v>
      </c>
      <c r="O423" s="4"/>
      <c r="P423" s="18">
        <f t="array" ref="P423">IFERROR(INDEX([2]Sheet1!$F$1:$AF$65808,MATCH($D423&amp;$G423&amp;P$1,[2]Sheet1!$B$1:$B$65808&amp;[2]Sheet1!$D$1:$D$65808&amp;[2]Sheet1!$E$1:$E$65808,0),MATCH($H423,[2]Sheet1!$F$1:$AF$1,0)),0)</f>
        <v>20</v>
      </c>
      <c r="Q423" s="3"/>
      <c r="R423" s="6"/>
      <c r="S423" s="22"/>
      <c r="U423" s="23">
        <f t="shared" si="7"/>
        <v>6.7</v>
      </c>
      <c r="V423" s="24" t="s">
        <v>13</v>
      </c>
    </row>
    <row r="424" spans="1:24" ht="23.1" hidden="1" customHeight="1" x14ac:dyDescent="0.25">
      <c r="A424" s="1" t="s">
        <v>74</v>
      </c>
      <c r="D424" s="3" t="s">
        <v>714</v>
      </c>
      <c r="E424" s="15" t="s">
        <v>715</v>
      </c>
      <c r="F424" s="15" t="str">
        <f>+VLOOKUP(D424,[1]Sheet1!$D$2:$E$29166,2,0)</f>
        <v>3#上垫片</v>
      </c>
      <c r="G424" s="3" t="s">
        <v>46</v>
      </c>
      <c r="H424" s="3">
        <v>20</v>
      </c>
      <c r="I424" s="18" t="str">
        <f t="array" ref="I424">INDEX([2]Sheet1!$F$1:$AF$65808,MATCH(D424&amp;G424&amp;I$1,[2]Sheet1!$B$1:$B$65808&amp;[2]Sheet1!$D$1:$D$65808&amp;[2]Sheet1!$E$1:$E$65808,0),MATCH(H424,[2]Sheet1!$F$1:$AF$1,0))</f>
        <v>20/钳工</v>
      </c>
      <c r="J424" s="3">
        <v>20</v>
      </c>
      <c r="K424" s="3">
        <v>20</v>
      </c>
      <c r="L424" s="19">
        <v>8</v>
      </c>
      <c r="M424" s="19">
        <v>8</v>
      </c>
      <c r="N424" s="5" t="s">
        <v>262</v>
      </c>
      <c r="O424" s="4"/>
      <c r="P424" s="18">
        <f t="array" ref="P424">IFERROR(INDEX([2]Sheet1!$F$1:$AF$65808,MATCH($D424&amp;$G424&amp;P$1,[2]Sheet1!$B$1:$B$65808&amp;[2]Sheet1!$D$1:$D$65808&amp;[2]Sheet1!$E$1:$E$65808,0),MATCH($H424,[2]Sheet1!$F$1:$AF$1,0)),0)</f>
        <v>20</v>
      </c>
      <c r="Q424" s="3"/>
      <c r="R424" s="6"/>
      <c r="S424" s="22"/>
      <c r="U424" s="23">
        <f t="shared" si="7"/>
        <v>6.7</v>
      </c>
      <c r="V424" s="24" t="s">
        <v>13</v>
      </c>
    </row>
    <row r="425" spans="1:24" ht="23.1" hidden="1" customHeight="1" x14ac:dyDescent="0.25">
      <c r="A425" s="1" t="s">
        <v>82</v>
      </c>
      <c r="D425" s="3" t="s">
        <v>714</v>
      </c>
      <c r="E425" s="15" t="s">
        <v>715</v>
      </c>
      <c r="F425" s="15" t="str">
        <f>+VLOOKUP(D425,[1]Sheet1!$D$2:$E$29166,2,0)</f>
        <v>3#上垫片</v>
      </c>
      <c r="G425" s="3" t="s">
        <v>46</v>
      </c>
      <c r="H425" s="3">
        <v>20</v>
      </c>
      <c r="I425" s="18" t="str">
        <f t="array" ref="I425">INDEX([2]Sheet1!$F$1:$AF$65808,MATCH(D425&amp;G425&amp;I$1,[2]Sheet1!$B$1:$B$65808&amp;[2]Sheet1!$D$1:$D$65808&amp;[2]Sheet1!$E$1:$E$65808,0),MATCH(H425,[2]Sheet1!$F$1:$AF$1,0))</f>
        <v>20/钳工</v>
      </c>
      <c r="J425" s="3">
        <v>20</v>
      </c>
      <c r="K425" s="3">
        <v>20</v>
      </c>
      <c r="L425" s="19">
        <v>8</v>
      </c>
      <c r="M425" s="19">
        <v>8</v>
      </c>
      <c r="N425" s="5" t="s">
        <v>263</v>
      </c>
      <c r="O425" s="4"/>
      <c r="P425" s="18">
        <f t="array" ref="P425">IFERROR(INDEX([2]Sheet1!$F$1:$AF$65808,MATCH($D425&amp;$G425&amp;P$1,[2]Sheet1!$B$1:$B$65808&amp;[2]Sheet1!$D$1:$D$65808&amp;[2]Sheet1!$E$1:$E$65808,0),MATCH($H425,[2]Sheet1!$F$1:$AF$1,0)),0)</f>
        <v>20</v>
      </c>
      <c r="Q425" s="3"/>
      <c r="R425" s="6"/>
      <c r="S425" s="22"/>
      <c r="U425" s="23">
        <f t="shared" si="7"/>
        <v>6.7</v>
      </c>
      <c r="V425" s="24" t="s">
        <v>13</v>
      </c>
    </row>
    <row r="426" spans="1:24" ht="23.1" hidden="1" customHeight="1" x14ac:dyDescent="0.25">
      <c r="A426" s="1" t="s">
        <v>82</v>
      </c>
      <c r="D426" s="3" t="s">
        <v>674</v>
      </c>
      <c r="E426" s="15" t="s">
        <v>675</v>
      </c>
      <c r="F426" s="15" t="str">
        <f>+VLOOKUP(D426,[1]Sheet1!$D$2:$E$29166,2,0)</f>
        <v>收紧螺母</v>
      </c>
      <c r="G426" s="3" t="s">
        <v>80</v>
      </c>
      <c r="H426" s="3">
        <v>40</v>
      </c>
      <c r="I426" s="18" t="str">
        <f t="array" ref="I426">INDEX([2]Sheet1!$F$1:$AF$65808,MATCH(D426&amp;G426&amp;I$1,[2]Sheet1!$B$1:$B$65808&amp;[2]Sheet1!$D$1:$D$65808&amp;[2]Sheet1!$E$1:$E$65808,0),MATCH(H426,[2]Sheet1!$F$1:$AF$1,0))</f>
        <v>40钳工</v>
      </c>
      <c r="J426" s="3">
        <v>34</v>
      </c>
      <c r="K426" s="3">
        <v>34</v>
      </c>
      <c r="L426" s="19">
        <v>8</v>
      </c>
      <c r="M426" s="19">
        <v>8</v>
      </c>
      <c r="N426" s="5" t="s">
        <v>676</v>
      </c>
      <c r="O426" s="4"/>
      <c r="P426" s="18" t="str">
        <f t="array" ref="P426">IFERROR(INDEX([2]Sheet1!$F$1:$AF$65808,MATCH($D426&amp;$G426&amp;P$1,[2]Sheet1!$B$1:$B$65808&amp;[2]Sheet1!$D$1:$D$65808&amp;[2]Sheet1!$E$1:$E$65808,0),MATCH($H426,[2]Sheet1!$F$1:$AF$1,0)),0)</f>
        <v>20</v>
      </c>
      <c r="Q426" s="3"/>
      <c r="R426" s="6"/>
      <c r="S426" s="22"/>
      <c r="T426" s="7">
        <v>6</v>
      </c>
      <c r="U426" s="23">
        <f t="shared" si="7"/>
        <v>17.3</v>
      </c>
      <c r="V426" s="24" t="s">
        <v>13</v>
      </c>
    </row>
    <row r="427" spans="1:24" ht="23.1" hidden="1" customHeight="1" x14ac:dyDescent="0.25">
      <c r="A427" s="1" t="s">
        <v>100</v>
      </c>
      <c r="D427" s="3" t="s">
        <v>716</v>
      </c>
      <c r="E427" s="15" t="s">
        <v>717</v>
      </c>
      <c r="F427" s="15" t="str">
        <f>+VLOOKUP(D427,[1]Sheet1!$D$2:$E$29166,2,0)</f>
        <v>耳环螺栓</v>
      </c>
      <c r="G427" s="3" t="s">
        <v>46</v>
      </c>
      <c r="H427" s="3">
        <v>65</v>
      </c>
      <c r="I427" s="18" t="str">
        <f t="array" ref="I427">INDEX([2]Sheet1!$F$1:$AF$65808,MATCH(D427&amp;G427&amp;I$1,[2]Sheet1!$B$1:$B$65808&amp;[2]Sheet1!$D$1:$D$65808&amp;[2]Sheet1!$E$1:$E$65808,0),MATCH(H427,[2]Sheet1!$F$1:$AF$1,0))</f>
        <v>65钳工</v>
      </c>
      <c r="J427" s="3">
        <v>45</v>
      </c>
      <c r="K427" s="3">
        <v>45</v>
      </c>
      <c r="L427" s="19">
        <v>8</v>
      </c>
      <c r="M427" s="19">
        <v>8</v>
      </c>
      <c r="N427" s="5" t="s">
        <v>718</v>
      </c>
      <c r="O427" s="4"/>
      <c r="P427" s="18">
        <f t="array" ref="P427">IFERROR(INDEX([2]Sheet1!$F$1:$AF$65808,MATCH($D427&amp;$G427&amp;P$1,[2]Sheet1!$B$1:$B$65808&amp;[2]Sheet1!$D$1:$D$65808&amp;[2]Sheet1!$E$1:$E$65808,0),MATCH($H427,[2]Sheet1!$F$1:$AF$1,0)),0)</f>
        <v>30</v>
      </c>
      <c r="Q427" s="3"/>
      <c r="R427" s="6"/>
      <c r="S427" s="22"/>
      <c r="U427" s="23">
        <f t="shared" si="7"/>
        <v>22.5</v>
      </c>
      <c r="V427" s="24" t="s">
        <v>13</v>
      </c>
    </row>
    <row r="428" spans="1:24" ht="23.1" hidden="1" customHeight="1" x14ac:dyDescent="0.25">
      <c r="A428" s="1" t="s">
        <v>109</v>
      </c>
      <c r="D428" s="3" t="s">
        <v>719</v>
      </c>
      <c r="E428" s="15" t="s">
        <v>45</v>
      </c>
      <c r="F428" s="15" t="str">
        <f>+VLOOKUP(D428,[1]Sheet1!$D$2:$E$29166,2,0)</f>
        <v>四通接头</v>
      </c>
      <c r="G428" s="3" t="s">
        <v>46</v>
      </c>
      <c r="H428" s="3">
        <v>85</v>
      </c>
      <c r="I428" s="18" t="str">
        <f t="array" ref="I428">INDEX([2]Sheet1!$F$1:$AF$65808,MATCH(D428&amp;G428&amp;I$1,[2]Sheet1!$B$1:$B$65808&amp;[2]Sheet1!$D$1:$D$65808&amp;[2]Sheet1!$E$1:$E$65808,0),MATCH(H428,[2]Sheet1!$F$1:$AF$1,0))</f>
        <v>85/钳工</v>
      </c>
      <c r="J428" s="3">
        <v>5</v>
      </c>
      <c r="K428" s="3">
        <v>5</v>
      </c>
      <c r="L428" s="19">
        <v>8</v>
      </c>
      <c r="M428" s="19">
        <v>8</v>
      </c>
      <c r="N428" s="5" t="s">
        <v>440</v>
      </c>
      <c r="O428" s="4"/>
      <c r="P428" s="18">
        <f t="array" ref="P428">IFERROR(INDEX([2]Sheet1!$F$1:$AF$65808,MATCH($D428&amp;$G428&amp;P$1,[2]Sheet1!$B$1:$B$65808&amp;[2]Sheet1!$D$1:$D$65808&amp;[2]Sheet1!$E$1:$E$65808,0),MATCH($H428,[2]Sheet1!$F$1:$AF$1,0)),0)</f>
        <v>45</v>
      </c>
      <c r="Q428" s="3"/>
      <c r="R428" s="6"/>
      <c r="S428" s="22"/>
      <c r="U428" s="23">
        <f t="shared" si="7"/>
        <v>3.8</v>
      </c>
      <c r="V428" s="24" t="s">
        <v>13</v>
      </c>
    </row>
    <row r="429" spans="1:24" ht="23.1" hidden="1" customHeight="1" x14ac:dyDescent="0.25">
      <c r="A429" s="1" t="s">
        <v>109</v>
      </c>
      <c r="D429" s="3" t="s">
        <v>719</v>
      </c>
      <c r="E429" s="15" t="s">
        <v>45</v>
      </c>
      <c r="F429" s="15" t="str">
        <f>+VLOOKUP(D429,[1]Sheet1!$D$2:$E$29166,2,0)</f>
        <v>四通接头</v>
      </c>
      <c r="G429" s="3" t="s">
        <v>46</v>
      </c>
      <c r="H429" s="3">
        <v>85</v>
      </c>
      <c r="I429" s="18" t="str">
        <f t="array" ref="I429">INDEX([2]Sheet1!$F$1:$AF$65808,MATCH(D429&amp;G429&amp;I$1,[2]Sheet1!$B$1:$B$65808&amp;[2]Sheet1!$D$1:$D$65808&amp;[2]Sheet1!$E$1:$E$65808,0),MATCH(H429,[2]Sheet1!$F$1:$AF$1,0))</f>
        <v>85/钳工</v>
      </c>
      <c r="J429" s="3">
        <v>14</v>
      </c>
      <c r="K429" s="3">
        <v>14</v>
      </c>
      <c r="L429" s="19">
        <v>8</v>
      </c>
      <c r="M429" s="19">
        <v>8</v>
      </c>
      <c r="N429" s="5" t="s">
        <v>56</v>
      </c>
      <c r="O429" s="4"/>
      <c r="P429" s="18">
        <f t="array" ref="P429">IFERROR(INDEX([2]Sheet1!$F$1:$AF$65808,MATCH($D429&amp;$G429&amp;P$1,[2]Sheet1!$B$1:$B$65808&amp;[2]Sheet1!$D$1:$D$65808&amp;[2]Sheet1!$E$1:$E$65808,0),MATCH($H429,[2]Sheet1!$F$1:$AF$1,0)),0)</f>
        <v>45</v>
      </c>
      <c r="Q429" s="3"/>
      <c r="R429" s="6"/>
      <c r="S429" s="22"/>
      <c r="U429" s="23">
        <f t="shared" si="7"/>
        <v>10.5</v>
      </c>
      <c r="V429" s="24" t="s">
        <v>13</v>
      </c>
    </row>
    <row r="430" spans="1:24" ht="23.1" hidden="1" customHeight="1" x14ac:dyDescent="0.25">
      <c r="A430" s="1" t="s">
        <v>562</v>
      </c>
      <c r="D430" s="3" t="s">
        <v>245</v>
      </c>
      <c r="E430" s="15" t="s">
        <v>246</v>
      </c>
      <c r="F430" s="15" t="str">
        <f>+VLOOKUP(D430,[1]Sheet1!$D$2:$E$29166,2,0)</f>
        <v>环</v>
      </c>
      <c r="G430" s="3" t="s">
        <v>46</v>
      </c>
      <c r="H430" s="3">
        <v>15</v>
      </c>
      <c r="I430" s="18" t="str">
        <f t="array" ref="I430">INDEX([2]Sheet1!$F$1:$AF$65808,MATCH(D430&amp;G430&amp;I$1,[2]Sheet1!$B$1:$B$65808&amp;[2]Sheet1!$D$1:$D$65808&amp;[2]Sheet1!$E$1:$E$65808,0),MATCH(H430,[2]Sheet1!$F$1:$AF$1,0))</f>
        <v>15/钳工</v>
      </c>
      <c r="J430" s="3">
        <v>100</v>
      </c>
      <c r="K430" s="3">
        <v>100</v>
      </c>
      <c r="L430" s="19">
        <v>8</v>
      </c>
      <c r="M430" s="19">
        <v>8</v>
      </c>
      <c r="N430" s="5" t="s">
        <v>196</v>
      </c>
      <c r="O430" s="4"/>
      <c r="P430" s="18">
        <f t="array" ref="P430">IFERROR(INDEX([2]Sheet1!$F$1:$AF$65808,MATCH($D430&amp;$G430&amp;P$1,[2]Sheet1!$B$1:$B$65808&amp;[2]Sheet1!$D$1:$D$65808&amp;[2]Sheet1!$E$1:$E$65808,0),MATCH($H430,[2]Sheet1!$F$1:$AF$1,0)),0)</f>
        <v>8</v>
      </c>
      <c r="Q430" s="3"/>
      <c r="R430" s="6"/>
      <c r="S430" s="22"/>
      <c r="U430" s="23">
        <f t="shared" si="7"/>
        <v>13.3</v>
      </c>
      <c r="V430" s="24" t="s">
        <v>13</v>
      </c>
    </row>
    <row r="431" spans="1:24" ht="23.1" hidden="1" customHeight="1" x14ac:dyDescent="0.25">
      <c r="A431" s="1" t="s">
        <v>562</v>
      </c>
      <c r="D431" s="3" t="s">
        <v>245</v>
      </c>
      <c r="E431" s="15" t="s">
        <v>246</v>
      </c>
      <c r="F431" s="15" t="str">
        <f>+VLOOKUP(D431,[1]Sheet1!$D$2:$E$29166,2,0)</f>
        <v>环</v>
      </c>
      <c r="G431" s="3" t="s">
        <v>46</v>
      </c>
      <c r="H431" s="3">
        <v>15</v>
      </c>
      <c r="I431" s="18" t="str">
        <f t="array" ref="I431">INDEX([2]Sheet1!$F$1:$AF$65808,MATCH(D431&amp;G431&amp;I$1,[2]Sheet1!$B$1:$B$65808&amp;[2]Sheet1!$D$1:$D$65808&amp;[2]Sheet1!$E$1:$E$65808,0),MATCH(H431,[2]Sheet1!$F$1:$AF$1,0))</f>
        <v>15/钳工</v>
      </c>
      <c r="J431" s="3">
        <v>1</v>
      </c>
      <c r="K431" s="3">
        <v>1</v>
      </c>
      <c r="L431" s="19">
        <v>8</v>
      </c>
      <c r="M431" s="19">
        <v>8</v>
      </c>
      <c r="N431" s="5" t="s">
        <v>102</v>
      </c>
      <c r="O431" s="4"/>
      <c r="P431" s="18">
        <f t="array" ref="P431">IFERROR(INDEX([2]Sheet1!$F$1:$AF$65808,MATCH($D431&amp;$G431&amp;P$1,[2]Sheet1!$B$1:$B$65808&amp;[2]Sheet1!$D$1:$D$65808&amp;[2]Sheet1!$E$1:$E$65808,0),MATCH($H431,[2]Sheet1!$F$1:$AF$1,0)),0)</f>
        <v>8</v>
      </c>
      <c r="Q431" s="3"/>
      <c r="R431" s="6"/>
      <c r="S431" s="22"/>
      <c r="U431" s="23">
        <f t="shared" si="7"/>
        <v>0.1</v>
      </c>
      <c r="V431" s="24" t="s">
        <v>13</v>
      </c>
    </row>
    <row r="432" spans="1:24" ht="23.1" customHeight="1" x14ac:dyDescent="0.25">
      <c r="A432" s="1" t="s">
        <v>116</v>
      </c>
      <c r="D432" s="3" t="s">
        <v>571</v>
      </c>
      <c r="E432" s="15" t="s">
        <v>572</v>
      </c>
      <c r="F432" s="15" t="str">
        <f>+VLOOKUP(D432,[1]Sheet1!$D$2:$E$29166,2,0)</f>
        <v>盖板</v>
      </c>
      <c r="G432" s="3" t="s">
        <v>80</v>
      </c>
      <c r="H432" s="3" t="s">
        <v>340</v>
      </c>
      <c r="I432" s="18" t="e">
        <f t="array" ref="I432">INDEX([2]Sheet1!$F$1:$AF$65808,MATCH(D432&amp;G432&amp;I$1,[2]Sheet1!$B$1:$B$65808&amp;[2]Sheet1!$D$1:$D$65808&amp;[2]Sheet1!$E$1:$E$65808,0),MATCH(H432,[2]Sheet1!$F$1:$AF$1,0))</f>
        <v>#N/A</v>
      </c>
      <c r="J432" s="3">
        <v>66</v>
      </c>
      <c r="K432" s="3">
        <v>66</v>
      </c>
      <c r="L432" s="19">
        <v>8</v>
      </c>
      <c r="M432" s="19">
        <v>8</v>
      </c>
      <c r="N432" s="5" t="s">
        <v>573</v>
      </c>
      <c r="O432" s="4"/>
      <c r="P432" s="18">
        <v>10</v>
      </c>
      <c r="Q432" s="3"/>
      <c r="R432" s="6"/>
      <c r="S432" s="22"/>
      <c r="U432" s="23">
        <f t="shared" si="7"/>
        <v>11</v>
      </c>
      <c r="V432" s="24" t="s">
        <v>13</v>
      </c>
      <c r="W432" s="7" t="s">
        <v>518</v>
      </c>
      <c r="X432" s="7" t="s">
        <v>203</v>
      </c>
    </row>
    <row r="433" spans="1:24" ht="23.1" customHeight="1" x14ac:dyDescent="0.25">
      <c r="A433" s="1" t="s">
        <v>100</v>
      </c>
      <c r="D433" s="3" t="s">
        <v>674</v>
      </c>
      <c r="E433" s="15" t="s">
        <v>675</v>
      </c>
      <c r="F433" s="15" t="str">
        <f>+VLOOKUP(D433,[1]Sheet1!$D$2:$E$29166,2,0)</f>
        <v>收紧螺母</v>
      </c>
      <c r="G433" s="3" t="s">
        <v>80</v>
      </c>
      <c r="H433" s="3" t="s">
        <v>340</v>
      </c>
      <c r="I433" s="18" t="e">
        <f t="array" ref="I433">INDEX([2]Sheet1!$F$1:$AF$65808,MATCH(D433&amp;G433&amp;I$1,[2]Sheet1!$B$1:$B$65808&amp;[2]Sheet1!$D$1:$D$65808&amp;[2]Sheet1!$E$1:$E$65808,0),MATCH(H433,[2]Sheet1!$F$1:$AF$1,0))</f>
        <v>#N/A</v>
      </c>
      <c r="J433" s="3">
        <v>34</v>
      </c>
      <c r="K433" s="3">
        <v>34</v>
      </c>
      <c r="L433" s="19">
        <v>8</v>
      </c>
      <c r="M433" s="19">
        <v>8</v>
      </c>
      <c r="N433" s="5" t="s">
        <v>676</v>
      </c>
      <c r="O433" s="4"/>
      <c r="P433" s="18">
        <v>15</v>
      </c>
      <c r="Q433" s="3"/>
      <c r="R433" s="6"/>
      <c r="S433" s="22"/>
      <c r="U433" s="23">
        <f t="shared" si="7"/>
        <v>8.5</v>
      </c>
      <c r="V433" s="24" t="s">
        <v>13</v>
      </c>
      <c r="W433" s="7" t="s">
        <v>257</v>
      </c>
      <c r="X433" s="7" t="s">
        <v>203</v>
      </c>
    </row>
    <row r="434" spans="1:24" ht="23.1" hidden="1" customHeight="1" x14ac:dyDescent="0.25">
      <c r="A434" s="1" t="s">
        <v>121</v>
      </c>
      <c r="D434" s="3" t="s">
        <v>720</v>
      </c>
      <c r="E434" s="15" t="s">
        <v>446</v>
      </c>
      <c r="F434" s="15" t="str">
        <f>+VLOOKUP(D434,[1]Sheet1!$D$2:$E$29166,2,0)</f>
        <v>摇臂</v>
      </c>
      <c r="G434" s="3" t="s">
        <v>51</v>
      </c>
      <c r="H434" s="3" t="s">
        <v>340</v>
      </c>
      <c r="I434" s="18" t="e">
        <f t="array" ref="I434">INDEX([2]Sheet1!$F$1:$AF$65808,MATCH(D434&amp;G434&amp;I$1,[2]Sheet1!$B$1:$B$65808&amp;[2]Sheet1!$D$1:$D$65808&amp;[2]Sheet1!$E$1:$E$65808,0),MATCH(H434,[2]Sheet1!$F$1:$AF$1,0))</f>
        <v>#N/A</v>
      </c>
      <c r="J434" s="3">
        <v>19</v>
      </c>
      <c r="K434" s="3">
        <v>19</v>
      </c>
      <c r="L434" s="19">
        <v>8</v>
      </c>
      <c r="M434" s="19">
        <v>8</v>
      </c>
      <c r="N434" s="5" t="s">
        <v>721</v>
      </c>
      <c r="O434" s="4"/>
      <c r="P434" s="18">
        <v>20</v>
      </c>
      <c r="Q434" s="3"/>
      <c r="R434" s="6"/>
      <c r="S434" s="22"/>
      <c r="U434" s="23">
        <f t="shared" si="7"/>
        <v>6.3</v>
      </c>
      <c r="V434" s="24" t="s">
        <v>4</v>
      </c>
      <c r="W434" s="7" t="s">
        <v>722</v>
      </c>
    </row>
    <row r="435" spans="1:24" ht="23.1" hidden="1" customHeight="1" x14ac:dyDescent="0.25">
      <c r="A435" s="1" t="s">
        <v>48</v>
      </c>
      <c r="D435" s="3" t="s">
        <v>482</v>
      </c>
      <c r="E435" s="15" t="s">
        <v>481</v>
      </c>
      <c r="F435" s="15" t="str">
        <f>+VLOOKUP(D435,[1]Sheet1!$D$2:$E$29166,2,0)</f>
        <v>11968下口盖</v>
      </c>
      <c r="G435" s="3" t="s">
        <v>114</v>
      </c>
      <c r="H435" s="3" t="s">
        <v>340</v>
      </c>
      <c r="I435" s="18" t="e">
        <f t="array" ref="I435">INDEX([2]Sheet1!$F$1:$AF$65808,MATCH(D435&amp;G435&amp;I$1,[2]Sheet1!$B$1:$B$65808&amp;[2]Sheet1!$D$1:$D$65808&amp;[2]Sheet1!$E$1:$E$65808,0),MATCH(H435,[2]Sheet1!$F$1:$AF$1,0))</f>
        <v>#N/A</v>
      </c>
      <c r="J435" s="3">
        <v>40</v>
      </c>
      <c r="K435" s="3">
        <v>40</v>
      </c>
      <c r="L435" s="19">
        <v>8</v>
      </c>
      <c r="M435" s="19">
        <v>8</v>
      </c>
      <c r="N435" s="5" t="s">
        <v>264</v>
      </c>
      <c r="O435" s="4"/>
      <c r="P435" s="18">
        <v>20</v>
      </c>
      <c r="Q435" s="3"/>
      <c r="R435" s="6"/>
      <c r="S435" s="22"/>
      <c r="U435" s="23">
        <f t="shared" si="7"/>
        <v>13.3</v>
      </c>
      <c r="V435" s="24" t="s">
        <v>4</v>
      </c>
      <c r="W435" s="7" t="s">
        <v>723</v>
      </c>
    </row>
    <row r="436" spans="1:24" ht="23.1" hidden="1" customHeight="1" x14ac:dyDescent="0.25">
      <c r="A436" s="1" t="s">
        <v>48</v>
      </c>
      <c r="D436" s="3" t="s">
        <v>482</v>
      </c>
      <c r="E436" s="15" t="s">
        <v>481</v>
      </c>
      <c r="F436" s="15" t="str">
        <f>+VLOOKUP(D436,[1]Sheet1!$D$2:$E$29166,2,0)</f>
        <v>11968下口盖</v>
      </c>
      <c r="G436" s="3" t="s">
        <v>114</v>
      </c>
      <c r="H436" s="3" t="s">
        <v>340</v>
      </c>
      <c r="I436" s="18" t="e">
        <f t="array" ref="I436">INDEX([2]Sheet1!$F$1:$AF$65808,MATCH(D436&amp;G436&amp;I$1,[2]Sheet1!$B$1:$B$65808&amp;[2]Sheet1!$D$1:$D$65808&amp;[2]Sheet1!$E$1:$E$65808,0),MATCH(H436,[2]Sheet1!$F$1:$AF$1,0))</f>
        <v>#N/A</v>
      </c>
      <c r="J436" s="3">
        <v>40</v>
      </c>
      <c r="K436" s="3">
        <v>40</v>
      </c>
      <c r="L436" s="19">
        <v>8</v>
      </c>
      <c r="M436" s="19">
        <v>8</v>
      </c>
      <c r="N436" s="5" t="s">
        <v>263</v>
      </c>
      <c r="O436" s="4"/>
      <c r="P436" s="18">
        <v>20</v>
      </c>
      <c r="Q436" s="3"/>
      <c r="R436" s="6"/>
      <c r="S436" s="22"/>
      <c r="U436" s="23">
        <f t="shared" si="7"/>
        <v>13.3</v>
      </c>
      <c r="V436" s="24" t="s">
        <v>4</v>
      </c>
      <c r="W436" s="7" t="s">
        <v>723</v>
      </c>
    </row>
    <row r="437" spans="1:24" ht="23.1" hidden="1" customHeight="1" x14ac:dyDescent="0.25">
      <c r="A437" s="1" t="s">
        <v>48</v>
      </c>
      <c r="D437" s="3" t="s">
        <v>724</v>
      </c>
      <c r="E437" s="15" t="s">
        <v>725</v>
      </c>
      <c r="F437" s="15" t="str">
        <f>+VLOOKUP(D437,[1]Sheet1!$D$2:$E$29166,2,0)</f>
        <v>弓形件</v>
      </c>
      <c r="G437" s="3" t="s">
        <v>147</v>
      </c>
      <c r="H437" s="3" t="s">
        <v>726</v>
      </c>
      <c r="I437" s="18" t="e">
        <f t="array" ref="I437">INDEX([2]Sheet1!$F$1:$AF$65808,MATCH(D437&amp;G437&amp;I$1,[2]Sheet1!$B$1:$B$65808&amp;[2]Sheet1!$D$1:$D$65808&amp;[2]Sheet1!$E$1:$E$65808,0),MATCH(H437,[2]Sheet1!$F$1:$AF$1,0))</f>
        <v>#N/A</v>
      </c>
      <c r="J437" s="3">
        <v>13</v>
      </c>
      <c r="K437" s="3">
        <v>13</v>
      </c>
      <c r="L437" s="19">
        <v>8</v>
      </c>
      <c r="M437" s="19">
        <v>8</v>
      </c>
      <c r="N437" s="5" t="s">
        <v>727</v>
      </c>
      <c r="O437" s="4"/>
      <c r="P437" s="18">
        <v>30</v>
      </c>
      <c r="Q437" s="3"/>
      <c r="R437" s="6"/>
      <c r="S437" s="22"/>
      <c r="U437" s="23">
        <f t="shared" si="7"/>
        <v>6.5</v>
      </c>
      <c r="V437" s="24" t="s">
        <v>4</v>
      </c>
      <c r="W437" s="7" t="s">
        <v>728</v>
      </c>
    </row>
    <row r="438" spans="1:24" ht="23.1" hidden="1" customHeight="1" x14ac:dyDescent="0.25">
      <c r="A438" s="1" t="s">
        <v>53</v>
      </c>
      <c r="D438" s="3" t="s">
        <v>522</v>
      </c>
      <c r="E438" s="15" t="s">
        <v>523</v>
      </c>
      <c r="F438" s="15" t="str">
        <f>+VLOOKUP(D438,[1]Sheet1!$D$2:$E$29166,2,0)</f>
        <v>三通管接头</v>
      </c>
      <c r="G438" s="3" t="s">
        <v>46</v>
      </c>
      <c r="H438" s="3" t="s">
        <v>340</v>
      </c>
      <c r="I438" s="18" t="e">
        <f t="array" ref="I438">INDEX([2]Sheet1!$F$1:$AF$65808,MATCH(D438&amp;G438&amp;I$1,[2]Sheet1!$B$1:$B$65808&amp;[2]Sheet1!$D$1:$D$65808&amp;[2]Sheet1!$E$1:$E$65808,0),MATCH(H438,[2]Sheet1!$F$1:$AF$1,0))</f>
        <v>#N/A</v>
      </c>
      <c r="J438" s="3">
        <v>20</v>
      </c>
      <c r="K438" s="3">
        <v>20</v>
      </c>
      <c r="L438" s="19">
        <v>8</v>
      </c>
      <c r="M438" s="19">
        <v>8</v>
      </c>
      <c r="N438" s="5" t="s">
        <v>56</v>
      </c>
      <c r="O438" s="4"/>
      <c r="P438" s="18">
        <v>20</v>
      </c>
      <c r="Q438" s="3"/>
      <c r="R438" s="6"/>
      <c r="S438" s="22"/>
      <c r="U438" s="23">
        <f t="shared" si="7"/>
        <v>6.7</v>
      </c>
      <c r="V438" s="24" t="s">
        <v>4</v>
      </c>
      <c r="W438" s="7" t="s">
        <v>729</v>
      </c>
    </row>
    <row r="439" spans="1:24" ht="23.1" hidden="1" customHeight="1" x14ac:dyDescent="0.25">
      <c r="A439" s="1" t="s">
        <v>53</v>
      </c>
      <c r="D439" s="3" t="s">
        <v>730</v>
      </c>
      <c r="E439" s="15" t="s">
        <v>396</v>
      </c>
      <c r="F439" s="15" t="e">
        <f>+VLOOKUP(D439,[1]Sheet1!$D$2:$E$29166,2,0)</f>
        <v>#N/A</v>
      </c>
      <c r="G439" s="3" t="s">
        <v>46</v>
      </c>
      <c r="H439" s="3" t="s">
        <v>340</v>
      </c>
      <c r="I439" s="18" t="e">
        <f t="array" ref="I439">INDEX([2]Sheet1!$F$1:$AF$65808,MATCH(D439&amp;G439&amp;I$1,[2]Sheet1!$B$1:$B$65808&amp;[2]Sheet1!$D$1:$D$65808&amp;[2]Sheet1!$E$1:$E$65808,0),MATCH(H439,[2]Sheet1!$F$1:$AF$1,0))</f>
        <v>#N/A</v>
      </c>
      <c r="J439" s="3">
        <v>4</v>
      </c>
      <c r="K439" s="3">
        <v>4</v>
      </c>
      <c r="L439" s="19">
        <v>8</v>
      </c>
      <c r="M439" s="19">
        <v>8</v>
      </c>
      <c r="N439" s="5" t="s">
        <v>731</v>
      </c>
      <c r="O439" s="4"/>
      <c r="P439" s="18">
        <f t="array" ref="P439">IFERROR(INDEX([2]Sheet1!$F$1:$AF$65808,MATCH($D439&amp;$G439&amp;P$1,[2]Sheet1!$B$1:$B$65808&amp;[2]Sheet1!$D$1:$D$65808&amp;[2]Sheet1!$E$1:$E$65808,0),MATCH($H439,[2]Sheet1!$F$1:$AF$1,0)),0)</f>
        <v>0</v>
      </c>
      <c r="Q439" s="3"/>
      <c r="R439" s="6"/>
      <c r="S439" s="22"/>
      <c r="T439" s="7">
        <v>6</v>
      </c>
      <c r="U439" s="23">
        <f t="shared" si="7"/>
        <v>6</v>
      </c>
      <c r="V439" s="24" t="s">
        <v>4</v>
      </c>
      <c r="W439" s="7" t="s">
        <v>732</v>
      </c>
      <c r="X439" s="7" t="s">
        <v>733</v>
      </c>
    </row>
    <row r="440" spans="1:24" ht="23.1" hidden="1" customHeight="1" x14ac:dyDescent="0.25">
      <c r="A440" s="1" t="s">
        <v>734</v>
      </c>
      <c r="D440" s="3" t="s">
        <v>666</v>
      </c>
      <c r="E440" s="15" t="s">
        <v>659</v>
      </c>
      <c r="F440" s="15" t="str">
        <f>+VLOOKUP(D440,[1]Sheet1!$D$2:$E$29166,2,0)</f>
        <v>角材</v>
      </c>
      <c r="G440" s="3" t="s">
        <v>46</v>
      </c>
      <c r="H440" s="3" t="s">
        <v>726</v>
      </c>
      <c r="I440" s="18" t="e">
        <f t="array" ref="I440">INDEX([2]Sheet1!$F$1:$AF$65808,MATCH(D440&amp;G440&amp;I$1,[2]Sheet1!$B$1:$B$65808&amp;[2]Sheet1!$D$1:$D$65808&amp;[2]Sheet1!$E$1:$E$65808,0),MATCH(H440,[2]Sheet1!$F$1:$AF$1,0))</f>
        <v>#N/A</v>
      </c>
      <c r="J440" s="3">
        <v>18</v>
      </c>
      <c r="K440" s="3">
        <v>18</v>
      </c>
      <c r="L440" s="19">
        <v>8</v>
      </c>
      <c r="M440" s="19">
        <v>8</v>
      </c>
      <c r="N440" s="5" t="s">
        <v>662</v>
      </c>
      <c r="O440" s="4"/>
      <c r="P440" s="18">
        <v>20</v>
      </c>
      <c r="Q440" s="3"/>
      <c r="R440" s="6"/>
      <c r="S440" s="22"/>
      <c r="U440" s="23">
        <f t="shared" si="7"/>
        <v>6</v>
      </c>
      <c r="V440" s="24" t="s">
        <v>4</v>
      </c>
    </row>
    <row r="441" spans="1:24" ht="23.1" hidden="1" customHeight="1" x14ac:dyDescent="0.25">
      <c r="A441" s="1" t="s">
        <v>734</v>
      </c>
      <c r="D441" s="3" t="s">
        <v>482</v>
      </c>
      <c r="E441" s="15" t="s">
        <v>481</v>
      </c>
      <c r="F441" s="15" t="str">
        <f>+VLOOKUP(D441,[1]Sheet1!$D$2:$E$29166,2,0)</f>
        <v>11968下口盖</v>
      </c>
      <c r="G441" s="3" t="s">
        <v>114</v>
      </c>
      <c r="H441" s="3">
        <v>5</v>
      </c>
      <c r="I441" s="18" t="str">
        <f t="array" ref="I441">INDEX([2]Sheet1!$F$1:$AF$65808,MATCH(D441&amp;G441&amp;I$1,[2]Sheet1!$B$1:$B$65808&amp;[2]Sheet1!$D$1:$D$65808&amp;[2]Sheet1!$E$1:$E$65808,0),MATCH(H441,[2]Sheet1!$F$1:$AF$1,0))</f>
        <v>5/校形</v>
      </c>
      <c r="J441" s="3">
        <v>80</v>
      </c>
      <c r="K441" s="3">
        <v>80</v>
      </c>
      <c r="L441" s="19">
        <v>8</v>
      </c>
      <c r="M441" s="19">
        <v>8</v>
      </c>
      <c r="N441" s="5" t="s">
        <v>735</v>
      </c>
      <c r="O441" s="4"/>
      <c r="P441" s="18">
        <f t="array" ref="P441">IFERROR(INDEX([2]Sheet1!$F$1:$AF$65808,MATCH($D441&amp;$G441&amp;P$1,[2]Sheet1!$B$1:$B$65808&amp;[2]Sheet1!$D$1:$D$65808&amp;[2]Sheet1!$E$1:$E$65808,0),MATCH($H441,[2]Sheet1!$F$1:$AF$1,0)),0)</f>
        <v>20</v>
      </c>
      <c r="Q441" s="3"/>
      <c r="R441" s="6"/>
      <c r="S441" s="22"/>
      <c r="U441" s="23">
        <f t="shared" si="7"/>
        <v>26.7</v>
      </c>
      <c r="V441" s="24" t="s">
        <v>4</v>
      </c>
      <c r="W441" s="7" t="s">
        <v>736</v>
      </c>
    </row>
    <row r="442" spans="1:24" ht="23.1" hidden="1" customHeight="1" x14ac:dyDescent="0.25">
      <c r="A442" s="1" t="s">
        <v>65</v>
      </c>
      <c r="D442" s="3" t="s">
        <v>737</v>
      </c>
      <c r="E442" s="15" t="s">
        <v>91</v>
      </c>
      <c r="F442" s="15" t="str">
        <f>+VLOOKUP(D442,[1]Sheet1!$D$2:$E$29166,2,0)</f>
        <v>螺栓</v>
      </c>
      <c r="I442" s="18" t="e">
        <f t="array" ref="I442">INDEX([2]Sheet1!$F$1:$AF$65808,MATCH(D442&amp;G442&amp;I$1,[2]Sheet1!$B$1:$B$65808&amp;[2]Sheet1!$D$1:$D$65808&amp;[2]Sheet1!$E$1:$E$65808,0),MATCH(H442,[2]Sheet1!$F$1:$AF$1,0))</f>
        <v>#N/A</v>
      </c>
      <c r="J442" s="3">
        <v>16</v>
      </c>
      <c r="K442" s="3">
        <v>16</v>
      </c>
      <c r="L442" s="19">
        <v>8</v>
      </c>
      <c r="M442" s="19">
        <v>8</v>
      </c>
      <c r="N442" s="5" t="s">
        <v>520</v>
      </c>
      <c r="O442" s="4"/>
      <c r="P442" s="18">
        <v>30</v>
      </c>
      <c r="Q442" s="3"/>
      <c r="R442" s="6"/>
      <c r="S442" s="22"/>
      <c r="U442" s="23">
        <f t="shared" si="7"/>
        <v>8</v>
      </c>
      <c r="V442" s="24" t="s">
        <v>4</v>
      </c>
      <c r="W442" s="7" t="s">
        <v>738</v>
      </c>
    </row>
    <row r="443" spans="1:24" ht="23.1" hidden="1" customHeight="1" x14ac:dyDescent="0.25">
      <c r="A443" s="1" t="s">
        <v>65</v>
      </c>
      <c r="D443" s="3" t="s">
        <v>671</v>
      </c>
      <c r="E443" s="15" t="s">
        <v>672</v>
      </c>
      <c r="F443" s="15" t="str">
        <f>+VLOOKUP(D443,[1]Sheet1!$D$2:$E$29166,2,0)</f>
        <v>圆柱销</v>
      </c>
      <c r="G443" s="3" t="s">
        <v>46</v>
      </c>
      <c r="H443" s="3" t="s">
        <v>340</v>
      </c>
      <c r="I443" s="18" t="e">
        <f t="array" ref="I443">INDEX([2]Sheet1!$F$1:$AF$65808,MATCH(D443&amp;G443&amp;I$1,[2]Sheet1!$B$1:$B$65808&amp;[2]Sheet1!$D$1:$D$65808&amp;[2]Sheet1!$E$1:$E$65808,0),MATCH(H443,[2]Sheet1!$F$1:$AF$1,0))</f>
        <v>#N/A</v>
      </c>
      <c r="J443" s="3">
        <v>3</v>
      </c>
      <c r="K443" s="3">
        <v>3</v>
      </c>
      <c r="L443" s="19">
        <v>8</v>
      </c>
      <c r="M443" s="19">
        <v>8</v>
      </c>
      <c r="N443" s="5" t="s">
        <v>673</v>
      </c>
      <c r="O443" s="4"/>
      <c r="P443" s="18">
        <v>20</v>
      </c>
      <c r="Q443" s="3"/>
      <c r="R443" s="6"/>
      <c r="S443" s="22"/>
      <c r="U443" s="23">
        <f t="shared" si="7"/>
        <v>1</v>
      </c>
      <c r="V443" s="24" t="s">
        <v>4</v>
      </c>
      <c r="W443" s="7" t="s">
        <v>739</v>
      </c>
    </row>
    <row r="444" spans="1:24" ht="23.1" hidden="1" customHeight="1" x14ac:dyDescent="0.25">
      <c r="A444" s="1" t="s">
        <v>71</v>
      </c>
      <c r="D444" s="3" t="s">
        <v>740</v>
      </c>
      <c r="E444" s="15" t="s">
        <v>333</v>
      </c>
      <c r="F444" s="15" t="str">
        <f>+VLOOKUP(D444,[1]Sheet1!$D$2:$E$29166,2,0)</f>
        <v>梁（右件）</v>
      </c>
      <c r="H444" s="3" t="s">
        <v>726</v>
      </c>
      <c r="I444" s="18" t="e">
        <f t="array" ref="I444">INDEX([2]Sheet1!$F$1:$AF$65808,MATCH(D444&amp;G444&amp;I$1,[2]Sheet1!$B$1:$B$65808&amp;[2]Sheet1!$D$1:$D$65808&amp;[2]Sheet1!$E$1:$E$65808,0),MATCH(H444,[2]Sheet1!$F$1:$AF$1,0))</f>
        <v>#N/A</v>
      </c>
      <c r="J444" s="3">
        <v>1</v>
      </c>
      <c r="K444" s="3">
        <v>14</v>
      </c>
      <c r="L444" s="19">
        <v>8</v>
      </c>
      <c r="M444" s="19">
        <v>8</v>
      </c>
      <c r="N444" s="5" t="s">
        <v>141</v>
      </c>
      <c r="O444" s="4"/>
      <c r="P444" s="18">
        <v>720</v>
      </c>
      <c r="Q444" s="3"/>
      <c r="R444" s="6"/>
      <c r="S444" s="22"/>
      <c r="U444" s="23">
        <f t="shared" si="7"/>
        <v>168</v>
      </c>
      <c r="V444" s="24" t="s">
        <v>4</v>
      </c>
      <c r="W444" s="7" t="s">
        <v>741</v>
      </c>
    </row>
    <row r="445" spans="1:24" ht="23.1" hidden="1" customHeight="1" x14ac:dyDescent="0.25">
      <c r="A445" s="1" t="s">
        <v>71</v>
      </c>
      <c r="D445" s="3" t="s">
        <v>345</v>
      </c>
      <c r="E445" s="15" t="s">
        <v>346</v>
      </c>
      <c r="F445" s="15" t="str">
        <f>+VLOOKUP(D445,[1]Sheet1!$D$2:$E$29166,2,0)</f>
        <v>18框前33长桁</v>
      </c>
      <c r="G445" s="3" t="s">
        <v>64</v>
      </c>
      <c r="H445" s="3" t="s">
        <v>726</v>
      </c>
      <c r="I445" s="18" t="e">
        <f t="array" ref="I445">INDEX([2]Sheet1!$F$1:$AF$65808,MATCH(D445&amp;G445&amp;I$1,[2]Sheet1!$B$1:$B$65808&amp;[2]Sheet1!$D$1:$D$65808&amp;[2]Sheet1!$E$1:$E$65808,0),MATCH(H445,[2]Sheet1!$F$1:$AF$1,0))</f>
        <v>#N/A</v>
      </c>
      <c r="J445" s="3">
        <v>1</v>
      </c>
      <c r="K445" s="3">
        <v>1</v>
      </c>
      <c r="L445" s="19">
        <v>8</v>
      </c>
      <c r="M445" s="19">
        <v>8</v>
      </c>
      <c r="N445" s="5" t="s">
        <v>347</v>
      </c>
      <c r="O445" s="4"/>
      <c r="P445" s="18">
        <v>300</v>
      </c>
      <c r="Q445" s="3"/>
      <c r="R445" s="6"/>
      <c r="S445" s="22"/>
      <c r="U445" s="23">
        <f t="shared" si="7"/>
        <v>5</v>
      </c>
      <c r="V445" s="24" t="s">
        <v>4</v>
      </c>
      <c r="W445" s="7" t="s">
        <v>742</v>
      </c>
    </row>
    <row r="446" spans="1:24" ht="23.1" hidden="1" customHeight="1" x14ac:dyDescent="0.25">
      <c r="A446" s="1" t="s">
        <v>89</v>
      </c>
      <c r="D446" s="3" t="s">
        <v>743</v>
      </c>
      <c r="E446" s="15" t="s">
        <v>297</v>
      </c>
      <c r="F446" s="15" t="str">
        <f>+VLOOKUP(D446,[1]Sheet1!$D$2:$E$29166,2,0)</f>
        <v>侧下梁</v>
      </c>
      <c r="H446" s="3" t="s">
        <v>340</v>
      </c>
      <c r="I446" s="18" t="e">
        <f t="array" ref="I446">INDEX([2]Sheet1!$F$1:$AF$65808,MATCH(D446&amp;G446&amp;I$1,[2]Sheet1!$B$1:$B$65808&amp;[2]Sheet1!$D$1:$D$65808&amp;[2]Sheet1!$E$1:$E$65808,0),MATCH(H446,[2]Sheet1!$F$1:$AF$1,0))</f>
        <v>#N/A</v>
      </c>
      <c r="J446" s="3">
        <v>2</v>
      </c>
      <c r="K446" s="3">
        <v>2</v>
      </c>
      <c r="L446" s="19">
        <v>8</v>
      </c>
      <c r="M446" s="19">
        <v>8</v>
      </c>
      <c r="N446" s="5" t="s">
        <v>141</v>
      </c>
      <c r="O446" s="4"/>
      <c r="P446" s="18">
        <v>120</v>
      </c>
      <c r="Q446" s="3"/>
      <c r="R446" s="6"/>
      <c r="S446" s="22"/>
      <c r="U446" s="23">
        <f t="shared" si="7"/>
        <v>4</v>
      </c>
      <c r="V446" s="24" t="s">
        <v>4</v>
      </c>
      <c r="W446" s="7" t="s">
        <v>744</v>
      </c>
    </row>
    <row r="447" spans="1:24" ht="23.1" hidden="1" customHeight="1" x14ac:dyDescent="0.25">
      <c r="A447" s="1" t="s">
        <v>100</v>
      </c>
      <c r="D447" s="3" t="s">
        <v>745</v>
      </c>
      <c r="E447" s="15" t="s">
        <v>297</v>
      </c>
      <c r="F447" s="15" t="str">
        <f>+VLOOKUP(D447,[1]Sheet1!$D$2:$E$29166,2,0)</f>
        <v>侧下梁</v>
      </c>
      <c r="H447" s="3" t="s">
        <v>340</v>
      </c>
      <c r="I447" s="18" t="e">
        <f t="array" ref="I447">INDEX([2]Sheet1!$F$1:$AF$65808,MATCH(D447&amp;G447&amp;I$1,[2]Sheet1!$B$1:$B$65808&amp;[2]Sheet1!$D$1:$D$65808&amp;[2]Sheet1!$E$1:$E$65808,0),MATCH(H447,[2]Sheet1!$F$1:$AF$1,0))</f>
        <v>#N/A</v>
      </c>
      <c r="J447" s="3">
        <v>2</v>
      </c>
      <c r="K447" s="3">
        <v>2</v>
      </c>
      <c r="L447" s="19">
        <v>8</v>
      </c>
      <c r="M447" s="19">
        <v>8</v>
      </c>
      <c r="N447" s="5" t="s">
        <v>141</v>
      </c>
      <c r="O447" s="4"/>
      <c r="P447" s="18">
        <v>120</v>
      </c>
      <c r="Q447" s="3"/>
      <c r="R447" s="6"/>
      <c r="S447" s="22"/>
      <c r="U447" s="23">
        <f t="shared" si="7"/>
        <v>4</v>
      </c>
      <c r="V447" s="24" t="s">
        <v>4</v>
      </c>
      <c r="W447" s="7" t="s">
        <v>744</v>
      </c>
    </row>
    <row r="448" spans="1:24" ht="23.1" hidden="1" customHeight="1" x14ac:dyDescent="0.25">
      <c r="A448" s="1" t="s">
        <v>100</v>
      </c>
      <c r="D448" s="3" t="s">
        <v>746</v>
      </c>
      <c r="E448" s="15" t="s">
        <v>747</v>
      </c>
      <c r="F448" s="15" t="str">
        <f>+VLOOKUP(D448,[1]Sheet1!$D$2:$E$29166,2,0)</f>
        <v>Z支架</v>
      </c>
      <c r="G448" s="3" t="s">
        <v>46</v>
      </c>
      <c r="H448" s="3">
        <v>55</v>
      </c>
      <c r="I448" s="18" t="str">
        <f t="array" ref="I448">INDEX([2]Sheet1!$F$1:$AF$65808,MATCH(D448&amp;G448&amp;I$1,[2]Sheet1!$B$1:$B$65808&amp;[2]Sheet1!$D$1:$D$65808&amp;[2]Sheet1!$E$1:$E$65808,0),MATCH(H448,[2]Sheet1!$F$1:$AF$1,0))</f>
        <v>55/钳工</v>
      </c>
      <c r="J448" s="3">
        <v>40</v>
      </c>
      <c r="K448" s="3">
        <v>40</v>
      </c>
      <c r="L448" s="19">
        <v>8</v>
      </c>
      <c r="M448" s="19">
        <v>8</v>
      </c>
      <c r="N448" s="5" t="s">
        <v>56</v>
      </c>
      <c r="O448" s="4"/>
      <c r="P448" s="18">
        <f t="array" ref="P448">IFERROR(INDEX([2]Sheet1!$F$1:$AF$65808,MATCH($D448&amp;$G448&amp;P$1,[2]Sheet1!$B$1:$B$65808&amp;[2]Sheet1!$D$1:$D$65808&amp;[2]Sheet1!$E$1:$E$65808,0),MATCH($H448,[2]Sheet1!$F$1:$AF$1,0)),0)</f>
        <v>25</v>
      </c>
      <c r="Q448" s="3"/>
      <c r="R448" s="6"/>
      <c r="S448" s="22"/>
      <c r="U448" s="23">
        <f t="shared" si="7"/>
        <v>16.7</v>
      </c>
      <c r="V448" s="24" t="s">
        <v>4</v>
      </c>
    </row>
    <row r="449" spans="1:23" ht="23.1" hidden="1" customHeight="1" x14ac:dyDescent="0.25">
      <c r="A449" s="1" t="s">
        <v>103</v>
      </c>
      <c r="D449" s="3" t="s">
        <v>746</v>
      </c>
      <c r="E449" s="15" t="s">
        <v>747</v>
      </c>
      <c r="F449" s="15" t="str">
        <f>+VLOOKUP(D449,[1]Sheet1!$D$2:$E$29166,2,0)</f>
        <v>Z支架</v>
      </c>
      <c r="G449" s="3" t="s">
        <v>46</v>
      </c>
      <c r="H449" s="3" t="s">
        <v>726</v>
      </c>
      <c r="I449" s="18" t="e">
        <f t="array" ref="I449">INDEX([2]Sheet1!$F$1:$AF$65808,MATCH(D449&amp;G449&amp;I$1,[2]Sheet1!$B$1:$B$65808&amp;[2]Sheet1!$D$1:$D$65808&amp;[2]Sheet1!$E$1:$E$65808,0),MATCH(H449,[2]Sheet1!$F$1:$AF$1,0))</f>
        <v>#N/A</v>
      </c>
      <c r="J449" s="3">
        <v>40</v>
      </c>
      <c r="K449" s="3">
        <v>40</v>
      </c>
      <c r="L449" s="19">
        <v>8</v>
      </c>
      <c r="M449" s="19">
        <v>8</v>
      </c>
      <c r="N449" s="5" t="s">
        <v>56</v>
      </c>
      <c r="O449" s="4"/>
      <c r="P449" s="18">
        <v>20</v>
      </c>
      <c r="Q449" s="3"/>
      <c r="R449" s="6"/>
      <c r="S449" s="22"/>
      <c r="U449" s="23">
        <f t="shared" ref="U449:U510" si="8">ROUND((K449*P449+Q449*S449)/60+T449,1)</f>
        <v>13.3</v>
      </c>
      <c r="V449" s="24" t="s">
        <v>4</v>
      </c>
      <c r="W449" s="7" t="s">
        <v>748</v>
      </c>
    </row>
    <row r="450" spans="1:23" ht="23.1" hidden="1" customHeight="1" x14ac:dyDescent="0.25">
      <c r="A450" s="1" t="s">
        <v>103</v>
      </c>
      <c r="D450" s="3" t="s">
        <v>417</v>
      </c>
      <c r="E450" s="15" t="s">
        <v>418</v>
      </c>
      <c r="F450" s="15" t="str">
        <f>+VLOOKUP(D450,[1]Sheet1!$D$2:$E$29166,2,0)</f>
        <v>过渡板</v>
      </c>
      <c r="G450" s="3" t="s">
        <v>155</v>
      </c>
      <c r="H450" s="3" t="s">
        <v>726</v>
      </c>
      <c r="I450" s="18" t="e">
        <f t="array" ref="I450">INDEX([2]Sheet1!$F$1:$AF$65808,MATCH(D450&amp;G450&amp;I$1,[2]Sheet1!$B$1:$B$65808&amp;[2]Sheet1!$D$1:$D$65808&amp;[2]Sheet1!$E$1:$E$65808,0),MATCH(H450,[2]Sheet1!$F$1:$AF$1,0))</f>
        <v>#N/A</v>
      </c>
      <c r="J450" s="3">
        <v>12</v>
      </c>
      <c r="K450" s="3">
        <v>12</v>
      </c>
      <c r="L450" s="19">
        <v>8</v>
      </c>
      <c r="M450" s="19">
        <v>8</v>
      </c>
      <c r="N450" s="5" t="s">
        <v>419</v>
      </c>
      <c r="O450" s="4"/>
      <c r="P450" s="18">
        <v>20</v>
      </c>
      <c r="Q450" s="3"/>
      <c r="R450" s="6"/>
      <c r="S450" s="22"/>
      <c r="U450" s="23">
        <f t="shared" si="8"/>
        <v>4</v>
      </c>
      <c r="V450" s="24" t="s">
        <v>4</v>
      </c>
      <c r="W450" s="7" t="s">
        <v>723</v>
      </c>
    </row>
    <row r="451" spans="1:23" ht="23.1" hidden="1" customHeight="1" x14ac:dyDescent="0.25">
      <c r="A451" s="1" t="s">
        <v>103</v>
      </c>
      <c r="D451" s="3" t="s">
        <v>749</v>
      </c>
      <c r="E451" s="15" t="s">
        <v>372</v>
      </c>
      <c r="F451" s="15" t="str">
        <f>+VLOOKUP(D451,[1]Sheet1!$D$2:$E$29166,2,0)</f>
        <v>1#竖梁</v>
      </c>
      <c r="G451" s="3" t="s">
        <v>64</v>
      </c>
      <c r="H451" s="3" t="s">
        <v>726</v>
      </c>
      <c r="I451" s="18" t="e">
        <f t="array" ref="I451">INDEX([2]Sheet1!$F$1:$AF$65808,MATCH(D451&amp;G451&amp;I$1,[2]Sheet1!$B$1:$B$65808&amp;[2]Sheet1!$D$1:$D$65808&amp;[2]Sheet1!$E$1:$E$65808,0),MATCH(H451,[2]Sheet1!$F$1:$AF$1,0))</f>
        <v>#N/A</v>
      </c>
      <c r="J451" s="3">
        <v>1</v>
      </c>
      <c r="K451" s="3">
        <v>1</v>
      </c>
      <c r="L451" s="19">
        <v>8</v>
      </c>
      <c r="M451" s="19">
        <v>8</v>
      </c>
      <c r="N451" s="5" t="s">
        <v>115</v>
      </c>
      <c r="O451" s="4"/>
      <c r="P451" s="18">
        <v>20</v>
      </c>
      <c r="Q451" s="3"/>
      <c r="R451" s="6"/>
      <c r="S451" s="22"/>
      <c r="U451" s="23">
        <f t="shared" si="8"/>
        <v>0.3</v>
      </c>
      <c r="V451" s="24" t="s">
        <v>4</v>
      </c>
    </row>
    <row r="452" spans="1:23" ht="23.1" hidden="1" customHeight="1" x14ac:dyDescent="0.25">
      <c r="A452" s="1" t="s">
        <v>103</v>
      </c>
      <c r="D452" s="3" t="s">
        <v>750</v>
      </c>
      <c r="E452" s="15" t="s">
        <v>372</v>
      </c>
      <c r="F452" s="15" t="str">
        <f>+VLOOKUP(D452,[1]Sheet1!$D$2:$E$29166,2,0)</f>
        <v>1#竖梁</v>
      </c>
      <c r="G452" s="3" t="s">
        <v>64</v>
      </c>
      <c r="H452" s="3" t="s">
        <v>726</v>
      </c>
      <c r="I452" s="18" t="e">
        <f t="array" ref="I452">INDEX([2]Sheet1!$F$1:$AF$65808,MATCH(D452&amp;G452&amp;I$1,[2]Sheet1!$B$1:$B$65808&amp;[2]Sheet1!$D$1:$D$65808&amp;[2]Sheet1!$E$1:$E$65808,0),MATCH(H452,[2]Sheet1!$F$1:$AF$1,0))</f>
        <v>#N/A</v>
      </c>
      <c r="J452" s="3">
        <v>2</v>
      </c>
      <c r="K452" s="3">
        <v>1</v>
      </c>
      <c r="L452" s="19">
        <v>8</v>
      </c>
      <c r="M452" s="19">
        <v>8</v>
      </c>
      <c r="N452" s="5" t="s">
        <v>373</v>
      </c>
      <c r="O452" s="4"/>
      <c r="P452" s="18">
        <v>20</v>
      </c>
      <c r="Q452" s="3"/>
      <c r="R452" s="6"/>
      <c r="S452" s="22"/>
      <c r="U452" s="23">
        <f t="shared" si="8"/>
        <v>0.3</v>
      </c>
      <c r="V452" s="24" t="s">
        <v>4</v>
      </c>
    </row>
    <row r="453" spans="1:23" ht="23.1" hidden="1" customHeight="1" x14ac:dyDescent="0.25">
      <c r="A453" s="1" t="s">
        <v>116</v>
      </c>
      <c r="D453" s="3" t="s">
        <v>451</v>
      </c>
      <c r="E453" s="15" t="s">
        <v>452</v>
      </c>
      <c r="F453" s="15" t="str">
        <f>+VLOOKUP(D453,[1]Sheet1!$D$2:$E$29166,2,0)</f>
        <v>前起落架舱门结构支撑梁</v>
      </c>
      <c r="G453" s="3" t="s">
        <v>46</v>
      </c>
      <c r="H453" s="3" t="s">
        <v>340</v>
      </c>
      <c r="I453" s="18" t="e">
        <f t="array" ref="I453">INDEX([2]Sheet1!$F$1:$AF$65808,MATCH(D453&amp;G453&amp;I$1,[2]Sheet1!$B$1:$B$65808&amp;[2]Sheet1!$D$1:$D$65808&amp;[2]Sheet1!$E$1:$E$65808,0),MATCH(H453,[2]Sheet1!$F$1:$AF$1,0))</f>
        <v>#N/A</v>
      </c>
      <c r="J453" s="3">
        <v>10</v>
      </c>
      <c r="K453" s="3">
        <v>10</v>
      </c>
      <c r="L453" s="19">
        <v>8</v>
      </c>
      <c r="M453" s="19">
        <v>8</v>
      </c>
      <c r="N453" s="5" t="s">
        <v>453</v>
      </c>
      <c r="O453" s="4"/>
      <c r="P453" s="18">
        <v>60</v>
      </c>
      <c r="Q453" s="3"/>
      <c r="R453" s="6"/>
      <c r="S453" s="22"/>
      <c r="U453" s="23">
        <f t="shared" si="8"/>
        <v>10</v>
      </c>
      <c r="V453" s="24" t="s">
        <v>4</v>
      </c>
      <c r="W453" s="7" t="s">
        <v>751</v>
      </c>
    </row>
    <row r="454" spans="1:23" ht="23.1" hidden="1" customHeight="1" x14ac:dyDescent="0.25">
      <c r="A454" s="1" t="s">
        <v>116</v>
      </c>
      <c r="D454" s="3" t="s">
        <v>153</v>
      </c>
      <c r="E454" s="15" t="s">
        <v>154</v>
      </c>
      <c r="F454" s="15" t="str">
        <f>+VLOOKUP(D454,[1]Sheet1!$D$2:$E$29166,2,0)</f>
        <v>9350-11140右侧上梁</v>
      </c>
      <c r="G454" s="3" t="s">
        <v>385</v>
      </c>
      <c r="H454" s="3" t="s">
        <v>340</v>
      </c>
      <c r="I454" s="18" t="e">
        <f t="array" ref="I454">INDEX([2]Sheet1!$F$1:$AF$65808,MATCH(D454&amp;G454&amp;I$1,[2]Sheet1!$B$1:$B$65808&amp;[2]Sheet1!$D$1:$D$65808&amp;[2]Sheet1!$E$1:$E$65808,0),MATCH(H454,[2]Sheet1!$F$1:$AF$1,0))</f>
        <v>#N/A</v>
      </c>
      <c r="J454" s="3">
        <v>1</v>
      </c>
      <c r="K454" s="3">
        <v>1</v>
      </c>
      <c r="L454" s="19">
        <v>8</v>
      </c>
      <c r="M454" s="19">
        <v>8</v>
      </c>
      <c r="N454" s="5" t="s">
        <v>752</v>
      </c>
      <c r="O454" s="4"/>
      <c r="P454" s="18">
        <v>30</v>
      </c>
      <c r="Q454" s="3"/>
      <c r="R454" s="6"/>
      <c r="S454" s="22"/>
      <c r="U454" s="23">
        <f t="shared" si="8"/>
        <v>0.5</v>
      </c>
      <c r="V454" s="24" t="s">
        <v>4</v>
      </c>
      <c r="W454" s="7" t="s">
        <v>753</v>
      </c>
    </row>
    <row r="455" spans="1:23" ht="23.1" hidden="1" customHeight="1" x14ac:dyDescent="0.25">
      <c r="A455" s="1" t="s">
        <v>562</v>
      </c>
      <c r="D455" s="3" t="s">
        <v>644</v>
      </c>
      <c r="E455" s="15" t="s">
        <v>645</v>
      </c>
      <c r="F455" s="15" t="str">
        <f>+VLOOKUP(D455,[1]Sheet1!$D$2:$E$29166,2,0)</f>
        <v>后梁</v>
      </c>
      <c r="G455" s="3" t="s">
        <v>114</v>
      </c>
      <c r="H455" s="3" t="s">
        <v>340</v>
      </c>
      <c r="I455" s="18" t="e">
        <f t="array" ref="I455">INDEX([2]Sheet1!$F$1:$AF$65808,MATCH(D455&amp;G455&amp;I$1,[2]Sheet1!$B$1:$B$65808&amp;[2]Sheet1!$D$1:$D$65808&amp;[2]Sheet1!$E$1:$E$65808,0),MATCH(H455,[2]Sheet1!$F$1:$AF$1,0))</f>
        <v>#N/A</v>
      </c>
      <c r="J455" s="3">
        <v>2</v>
      </c>
      <c r="K455" s="3">
        <v>2</v>
      </c>
      <c r="L455" s="19">
        <v>8</v>
      </c>
      <c r="M455" s="19">
        <v>8</v>
      </c>
      <c r="O455" s="4"/>
      <c r="P455" s="18">
        <v>30</v>
      </c>
      <c r="Q455" s="3"/>
      <c r="R455" s="6"/>
      <c r="S455" s="22"/>
      <c r="U455" s="23">
        <f t="shared" si="8"/>
        <v>1</v>
      </c>
      <c r="V455" s="24" t="s">
        <v>4</v>
      </c>
    </row>
    <row r="456" spans="1:23" ht="23.1" hidden="1" customHeight="1" x14ac:dyDescent="0.25">
      <c r="A456" s="1" t="s">
        <v>116</v>
      </c>
      <c r="D456" s="3" t="s">
        <v>754</v>
      </c>
      <c r="E456" s="15" t="s">
        <v>755</v>
      </c>
      <c r="F456" s="15" t="str">
        <f>+VLOOKUP(D456,[1]Sheet1!$D$2:$E$29166,2,0)</f>
        <v>加强件</v>
      </c>
      <c r="G456" s="3" t="s">
        <v>64</v>
      </c>
      <c r="H456" s="3">
        <v>25</v>
      </c>
      <c r="I456" s="18" t="str">
        <f t="array" ref="I456">INDEX([2]Sheet1!$F$1:$AF$65808,MATCH(D456&amp;G456&amp;I$1,[2]Sheet1!$B$1:$B$65808&amp;[2]Sheet1!$D$1:$D$65808&amp;[2]Sheet1!$E$1:$E$65808,0),MATCH(H456,[2]Sheet1!$F$1:$AF$1,0))</f>
        <v>25/钳工</v>
      </c>
      <c r="K456" s="3">
        <v>3</v>
      </c>
      <c r="L456" s="19">
        <v>8</v>
      </c>
      <c r="M456" s="19">
        <v>8</v>
      </c>
      <c r="N456" s="5" t="s">
        <v>756</v>
      </c>
      <c r="O456" s="4"/>
      <c r="P456" s="18">
        <f t="array" ref="P456">IFERROR(INDEX([2]Sheet1!$F$1:$AF$65808,MATCH($D456&amp;$G456&amp;P$1,[2]Sheet1!$B$1:$B$65808&amp;[2]Sheet1!$D$1:$D$65808&amp;[2]Sheet1!$E$1:$E$65808,0),MATCH($H456,[2]Sheet1!$F$1:$AF$1,0)),0)</f>
        <v>50</v>
      </c>
      <c r="Q456" s="3"/>
      <c r="R456" s="6"/>
      <c r="S456" s="22"/>
      <c r="U456" s="23">
        <f t="shared" si="8"/>
        <v>2.5</v>
      </c>
      <c r="V456" s="24" t="s">
        <v>8</v>
      </c>
    </row>
    <row r="457" spans="1:23" ht="23.1" hidden="1" customHeight="1" x14ac:dyDescent="0.25">
      <c r="A457" s="1" t="s">
        <v>562</v>
      </c>
      <c r="D457" s="3" t="s">
        <v>754</v>
      </c>
      <c r="E457" s="15" t="s">
        <v>755</v>
      </c>
      <c r="F457" s="15" t="str">
        <f>+VLOOKUP(D457,[1]Sheet1!$D$2:$E$29166,2,0)</f>
        <v>加强件</v>
      </c>
      <c r="G457" s="3" t="s">
        <v>64</v>
      </c>
      <c r="H457" s="3">
        <v>25</v>
      </c>
      <c r="I457" s="18" t="str">
        <f t="array" ref="I457">INDEX([2]Sheet1!$F$1:$AF$65808,MATCH(D457&amp;G457&amp;I$1,[2]Sheet1!$B$1:$B$65808&amp;[2]Sheet1!$D$1:$D$65808&amp;[2]Sheet1!$E$1:$E$65808,0),MATCH(H457,[2]Sheet1!$F$1:$AF$1,0))</f>
        <v>25/钳工</v>
      </c>
      <c r="K457" s="3">
        <v>4</v>
      </c>
      <c r="L457" s="19">
        <v>8</v>
      </c>
      <c r="M457" s="19">
        <v>8</v>
      </c>
      <c r="N457" s="5" t="s">
        <v>756</v>
      </c>
      <c r="O457" s="4"/>
      <c r="P457" s="18">
        <f t="array" ref="P457">IFERROR(INDEX([2]Sheet1!$F$1:$AF$65808,MATCH($D457&amp;$G457&amp;P$1,[2]Sheet1!$B$1:$B$65808&amp;[2]Sheet1!$D$1:$D$65808&amp;[2]Sheet1!$E$1:$E$65808,0),MATCH($H457,[2]Sheet1!$F$1:$AF$1,0)),0)</f>
        <v>50</v>
      </c>
      <c r="Q457" s="3"/>
      <c r="R457" s="6"/>
      <c r="S457" s="22"/>
      <c r="U457" s="23">
        <f t="shared" si="8"/>
        <v>3.3</v>
      </c>
      <c r="V457" s="24" t="s">
        <v>8</v>
      </c>
    </row>
    <row r="458" spans="1:23" ht="23.1" hidden="1" customHeight="1" x14ac:dyDescent="0.25">
      <c r="A458" s="1" t="s">
        <v>562</v>
      </c>
      <c r="D458" s="3" t="s">
        <v>754</v>
      </c>
      <c r="E458" s="15" t="s">
        <v>755</v>
      </c>
      <c r="F458" s="15" t="str">
        <f>+VLOOKUP(D458,[1]Sheet1!$D$2:$E$29166,2,0)</f>
        <v>加强件</v>
      </c>
      <c r="G458" s="3" t="s">
        <v>64</v>
      </c>
      <c r="H458" s="3" t="s">
        <v>340</v>
      </c>
      <c r="I458" s="18" t="e">
        <f t="array" ref="I458">INDEX([2]Sheet1!$F$1:$AF$65808,MATCH(D458&amp;G458&amp;I$1,[2]Sheet1!$B$1:$B$65808&amp;[2]Sheet1!$D$1:$D$65808&amp;[2]Sheet1!$E$1:$E$65808,0),MATCH(H458,[2]Sheet1!$F$1:$AF$1,0))</f>
        <v>#N/A</v>
      </c>
      <c r="K458" s="3">
        <v>7</v>
      </c>
      <c r="L458" s="19">
        <v>8</v>
      </c>
      <c r="M458" s="19">
        <v>8</v>
      </c>
      <c r="N458" s="5" t="s">
        <v>757</v>
      </c>
      <c r="O458" s="4"/>
      <c r="P458" s="18">
        <v>30</v>
      </c>
      <c r="Q458" s="3"/>
      <c r="R458" s="6"/>
      <c r="S458" s="22"/>
      <c r="U458" s="23">
        <f t="shared" si="8"/>
        <v>3.5</v>
      </c>
      <c r="V458" s="24" t="s">
        <v>8</v>
      </c>
      <c r="W458" s="7" t="s">
        <v>758</v>
      </c>
    </row>
    <row r="459" spans="1:23" ht="23.1" hidden="1" customHeight="1" x14ac:dyDescent="0.25">
      <c r="A459" s="1" t="s">
        <v>759</v>
      </c>
      <c r="D459" s="3" t="s">
        <v>678</v>
      </c>
      <c r="E459" s="15" t="s">
        <v>679</v>
      </c>
      <c r="F459" s="15" t="str">
        <f>+VLOOKUP(D459,[1]Sheet1!$D$2:$E$29166,2,0)</f>
        <v>喷嘴</v>
      </c>
      <c r="G459" s="3" t="s">
        <v>46</v>
      </c>
      <c r="H459" s="3">
        <v>45</v>
      </c>
      <c r="I459" s="18" t="str">
        <f t="array" ref="I459">INDEX([2]Sheet1!$F$1:$AF$65808,MATCH(D459&amp;G459&amp;I$1,[2]Sheet1!$B$1:$B$65808&amp;[2]Sheet1!$D$1:$D$65808&amp;[2]Sheet1!$E$1:$E$65808,0),MATCH(H459,[2]Sheet1!$F$1:$AF$1,0))</f>
        <v>45/钳工</v>
      </c>
      <c r="K459" s="3">
        <v>80</v>
      </c>
      <c r="L459" s="19">
        <v>8</v>
      </c>
      <c r="M459" s="19">
        <v>8</v>
      </c>
      <c r="N459" s="5" t="s">
        <v>56</v>
      </c>
      <c r="O459" s="4"/>
      <c r="P459" s="18">
        <f t="array" ref="P459">IFERROR(INDEX([2]Sheet1!$F$1:$AF$65808,MATCH($D459&amp;$G459&amp;P$1,[2]Sheet1!$B$1:$B$65808&amp;[2]Sheet1!$D$1:$D$65808&amp;[2]Sheet1!$E$1:$E$65808,0),MATCH($H459,[2]Sheet1!$F$1:$AF$1,0)),0)</f>
        <v>35</v>
      </c>
      <c r="Q459" s="3"/>
      <c r="R459" s="6"/>
      <c r="S459" s="22"/>
      <c r="U459" s="23">
        <f t="shared" si="8"/>
        <v>46.7</v>
      </c>
      <c r="V459" s="24" t="s">
        <v>8</v>
      </c>
      <c r="W459" s="7" t="s">
        <v>760</v>
      </c>
    </row>
    <row r="460" spans="1:23" ht="23.1" hidden="1" customHeight="1" x14ac:dyDescent="0.25">
      <c r="A460" s="1" t="s">
        <v>759</v>
      </c>
      <c r="D460" s="3" t="s">
        <v>761</v>
      </c>
      <c r="E460" s="15" t="s">
        <v>762</v>
      </c>
      <c r="F460" s="15" t="str">
        <f>+VLOOKUP(D460,[1]Sheet1!$D$2:$E$29166,2,0)</f>
        <v>垫板</v>
      </c>
      <c r="G460" s="3" t="s">
        <v>64</v>
      </c>
      <c r="H460" s="3">
        <v>15</v>
      </c>
      <c r="I460" s="18" t="str">
        <f t="array" ref="I460">INDEX([2]Sheet1!$F$1:$AF$65808,MATCH(D460&amp;G460&amp;I$1,[2]Sheet1!$B$1:$B$65808&amp;[2]Sheet1!$D$1:$D$65808&amp;[2]Sheet1!$E$1:$E$65808,0),MATCH(H460,[2]Sheet1!$F$1:$AF$1,0))</f>
        <v>15钳工</v>
      </c>
      <c r="K460" s="3">
        <v>4</v>
      </c>
      <c r="L460" s="19">
        <v>8</v>
      </c>
      <c r="M460" s="19">
        <v>8</v>
      </c>
      <c r="N460" s="5" t="s">
        <v>763</v>
      </c>
      <c r="O460" s="4"/>
      <c r="P460" s="18">
        <f t="array" ref="P460">IFERROR(INDEX([2]Sheet1!$F$1:$AF$65808,MATCH($D460&amp;$G460&amp;P$1,[2]Sheet1!$B$1:$B$65808&amp;[2]Sheet1!$D$1:$D$65808&amp;[2]Sheet1!$E$1:$E$65808,0),MATCH($H460,[2]Sheet1!$F$1:$AF$1,0)),0)</f>
        <v>45</v>
      </c>
      <c r="Q460" s="3"/>
      <c r="R460" s="6"/>
      <c r="S460" s="22"/>
      <c r="U460" s="23">
        <f t="shared" si="8"/>
        <v>3</v>
      </c>
      <c r="V460" s="24" t="s">
        <v>8</v>
      </c>
    </row>
    <row r="461" spans="1:23" ht="23.1" hidden="1" customHeight="1" x14ac:dyDescent="0.25">
      <c r="A461" s="1" t="s">
        <v>764</v>
      </c>
      <c r="D461" s="3" t="s">
        <v>567</v>
      </c>
      <c r="E461" s="15" t="s">
        <v>568</v>
      </c>
      <c r="F461" s="15" t="str">
        <f>+VLOOKUP(D461,[1]Sheet1!$D$2:$E$29166,2,0)</f>
        <v>销子</v>
      </c>
      <c r="G461" s="3" t="s">
        <v>80</v>
      </c>
      <c r="H461" s="3">
        <v>40</v>
      </c>
      <c r="I461" s="18" t="str">
        <f t="array" ref="I461">INDEX([2]Sheet1!$F$1:$AF$65808,MATCH(D461&amp;G461&amp;I$1,[2]Sheet1!$B$1:$B$65808&amp;[2]Sheet1!$D$1:$D$65808&amp;[2]Sheet1!$E$1:$E$65808,0),MATCH(H461,[2]Sheet1!$F$1:$AF$1,0))</f>
        <v>40/钳工</v>
      </c>
      <c r="K461" s="3">
        <v>43</v>
      </c>
      <c r="L461" s="19">
        <v>8</v>
      </c>
      <c r="M461" s="19">
        <v>8</v>
      </c>
      <c r="N461" s="5" t="s">
        <v>765</v>
      </c>
      <c r="O461" s="4"/>
      <c r="P461" s="18">
        <f t="array" ref="P461">IFERROR(INDEX([2]Sheet1!$F$1:$AF$65808,MATCH($D461&amp;$G461&amp;P$1,[2]Sheet1!$B$1:$B$65808&amp;[2]Sheet1!$D$1:$D$65808&amp;[2]Sheet1!$E$1:$E$65808,0),MATCH($H461,[2]Sheet1!$F$1:$AF$1,0)),0)</f>
        <v>10</v>
      </c>
      <c r="Q461" s="3"/>
      <c r="R461" s="6"/>
      <c r="S461" s="22"/>
      <c r="U461" s="23">
        <f t="shared" si="8"/>
        <v>7.2</v>
      </c>
      <c r="V461" s="24" t="s">
        <v>8</v>
      </c>
    </row>
    <row r="462" spans="1:23" ht="23.1" hidden="1" customHeight="1" x14ac:dyDescent="0.25">
      <c r="A462" s="1" t="s">
        <v>766</v>
      </c>
      <c r="D462" s="3" t="s">
        <v>567</v>
      </c>
      <c r="E462" s="15" t="s">
        <v>568</v>
      </c>
      <c r="F462" s="15" t="str">
        <f>+VLOOKUP(D462,[1]Sheet1!$D$2:$E$29166,2,0)</f>
        <v>销子</v>
      </c>
      <c r="G462" s="3" t="s">
        <v>46</v>
      </c>
      <c r="H462" s="3" t="s">
        <v>340</v>
      </c>
      <c r="I462" s="18" t="e">
        <f t="array" ref="I462">INDEX([2]Sheet1!$F$1:$AF$65808,MATCH(D462&amp;G462&amp;I$1,[2]Sheet1!$B$1:$B$65808&amp;[2]Sheet1!$D$1:$D$65808&amp;[2]Sheet1!$E$1:$E$65808,0),MATCH(H462,[2]Sheet1!$F$1:$AF$1,0))</f>
        <v>#N/A</v>
      </c>
      <c r="K462" s="3">
        <v>43</v>
      </c>
      <c r="L462" s="19"/>
      <c r="M462" s="19"/>
      <c r="O462" s="4"/>
      <c r="P462" s="18">
        <v>10</v>
      </c>
      <c r="Q462" s="3"/>
      <c r="R462" s="6"/>
      <c r="S462" s="22"/>
      <c r="U462" s="23">
        <f t="shared" si="8"/>
        <v>7.2</v>
      </c>
      <c r="V462" s="24" t="s">
        <v>8</v>
      </c>
      <c r="W462" s="7" t="s">
        <v>767</v>
      </c>
    </row>
    <row r="463" spans="1:23" ht="23.1" hidden="1" customHeight="1" x14ac:dyDescent="0.25">
      <c r="A463" s="1" t="s">
        <v>766</v>
      </c>
      <c r="D463" s="3" t="s">
        <v>768</v>
      </c>
      <c r="E463" s="15" t="s">
        <v>769</v>
      </c>
      <c r="F463" s="15" t="str">
        <f>+VLOOKUP(D463,[1]Sheet1!$D$2:$E$29166,2,0)</f>
        <v>固定板</v>
      </c>
      <c r="G463" s="3" t="s">
        <v>46</v>
      </c>
      <c r="H463" s="3">
        <v>40</v>
      </c>
      <c r="I463" s="18" t="str">
        <f t="array" ref="I463">INDEX([2]Sheet1!$F$1:$AF$65808,MATCH(D463&amp;G463&amp;I$1,[2]Sheet1!$B$1:$B$65808&amp;[2]Sheet1!$D$1:$D$65808&amp;[2]Sheet1!$E$1:$E$65808,0),MATCH(H463,[2]Sheet1!$F$1:$AF$1,0))</f>
        <v>40/钳工</v>
      </c>
      <c r="K463" s="3">
        <v>1</v>
      </c>
      <c r="L463" s="19">
        <v>8</v>
      </c>
      <c r="M463" s="19"/>
      <c r="N463" s="5" t="s">
        <v>347</v>
      </c>
      <c r="O463" s="4"/>
      <c r="P463" s="18">
        <f t="array" ref="P463">IFERROR(INDEX([2]Sheet1!$F$1:$AF$65808,MATCH($D463&amp;$G463&amp;P$1,[2]Sheet1!$B$1:$B$65808&amp;[2]Sheet1!$D$1:$D$65808&amp;[2]Sheet1!$E$1:$E$65808,0),MATCH($H463,[2]Sheet1!$F$1:$AF$1,0)),0)</f>
        <v>120</v>
      </c>
      <c r="Q463" s="3"/>
      <c r="R463" s="6"/>
      <c r="S463" s="22"/>
      <c r="U463" s="23">
        <f t="shared" si="8"/>
        <v>2</v>
      </c>
      <c r="V463" s="24" t="s">
        <v>8</v>
      </c>
    </row>
    <row r="464" spans="1:23" ht="23.1" hidden="1" customHeight="1" x14ac:dyDescent="0.25">
      <c r="A464" s="1" t="s">
        <v>116</v>
      </c>
      <c r="D464" s="3" t="s">
        <v>581</v>
      </c>
      <c r="E464" s="15" t="s">
        <v>582</v>
      </c>
      <c r="F464" s="15" t="str">
        <f>+VLOOKUP(D464,[1]Sheet1!$D$2:$E$29166,2,0)</f>
        <v>卡接连接件III</v>
      </c>
      <c r="G464" s="3" t="s">
        <v>80</v>
      </c>
      <c r="H464" s="3">
        <v>30</v>
      </c>
      <c r="I464" s="18" t="e">
        <f t="array" ref="I464">INDEX([2]Sheet1!$F$1:$AF$65808,MATCH(D464&amp;G464&amp;I$1,[2]Sheet1!$B$1:$B$65808&amp;[2]Sheet1!$D$1:$D$65808&amp;[2]Sheet1!$E$1:$E$65808,0),MATCH(H464,[2]Sheet1!$F$1:$AF$1,0))</f>
        <v>#N/A</v>
      </c>
      <c r="K464" s="3">
        <v>104</v>
      </c>
      <c r="L464" s="19">
        <v>8</v>
      </c>
      <c r="M464" s="19">
        <v>8</v>
      </c>
      <c r="N464" s="5" t="s">
        <v>160</v>
      </c>
      <c r="O464" s="4"/>
      <c r="P464" s="18">
        <v>15</v>
      </c>
      <c r="Q464" s="3"/>
      <c r="R464" s="6"/>
      <c r="S464" s="22"/>
      <c r="U464" s="23">
        <f t="shared" si="8"/>
        <v>26</v>
      </c>
      <c r="V464" s="24" t="s">
        <v>0</v>
      </c>
    </row>
    <row r="465" spans="1:24" ht="23.1" hidden="1" customHeight="1" x14ac:dyDescent="0.25">
      <c r="A465" s="1" t="s">
        <v>759</v>
      </c>
      <c r="D465" s="3" t="s">
        <v>386</v>
      </c>
      <c r="E465" s="15" t="s">
        <v>387</v>
      </c>
      <c r="F465" s="15" t="str">
        <f>+VLOOKUP(D465,[1]Sheet1!$D$2:$E$29166,2,0)</f>
        <v>9555侧隔框</v>
      </c>
      <c r="G465" s="3" t="s">
        <v>114</v>
      </c>
      <c r="H465" s="3">
        <v>55</v>
      </c>
      <c r="I465" s="18" t="str">
        <f t="array" ref="I465">INDEX([2]Sheet1!$F$1:$AF$65808,MATCH(D465&amp;G465&amp;I$1,[2]Sheet1!$B$1:$B$65808&amp;[2]Sheet1!$D$1:$D$65808&amp;[2]Sheet1!$E$1:$E$65808,0),MATCH(H465,[2]Sheet1!$F$1:$AF$1,0))</f>
        <v>55/钳工</v>
      </c>
      <c r="K465" s="3">
        <v>6</v>
      </c>
      <c r="L465" s="19">
        <v>6</v>
      </c>
      <c r="M465" s="19"/>
      <c r="N465" s="5" t="s">
        <v>770</v>
      </c>
      <c r="O465" s="4"/>
      <c r="P465" s="18">
        <f t="array" ref="P465">IFERROR(INDEX([2]Sheet1!$F$1:$AF$65808,MATCH($D465&amp;$G465&amp;P$1,[2]Sheet1!$B$1:$B$65808&amp;[2]Sheet1!$D$1:$D$65808&amp;[2]Sheet1!$E$1:$E$65808,0),MATCH($H465,[2]Sheet1!$F$1:$AF$1,0)),0)</f>
        <v>480</v>
      </c>
      <c r="Q465" s="3"/>
      <c r="R465" s="6"/>
      <c r="S465" s="22"/>
      <c r="U465" s="23">
        <f t="shared" si="8"/>
        <v>48</v>
      </c>
      <c r="V465" s="24" t="s">
        <v>0</v>
      </c>
    </row>
    <row r="466" spans="1:24" ht="23.1" hidden="1" customHeight="1" x14ac:dyDescent="0.25">
      <c r="A466" s="1" t="s">
        <v>759</v>
      </c>
      <c r="D466" s="3" t="s">
        <v>391</v>
      </c>
      <c r="E466" s="15" t="s">
        <v>387</v>
      </c>
      <c r="F466" s="15" t="str">
        <f>+VLOOKUP(D466,[1]Sheet1!$D$2:$E$29166,2,0)</f>
        <v>9555侧隔框</v>
      </c>
      <c r="G466" s="3" t="s">
        <v>114</v>
      </c>
      <c r="H466" s="3">
        <v>55</v>
      </c>
      <c r="I466" s="18" t="str">
        <f t="array" ref="I466">INDEX([2]Sheet1!$F$1:$AF$65808,MATCH(D466&amp;G466&amp;I$1,[2]Sheet1!$B$1:$B$65808&amp;[2]Sheet1!$D$1:$D$65808&amp;[2]Sheet1!$E$1:$E$65808,0),MATCH(H466,[2]Sheet1!$F$1:$AF$1,0))</f>
        <v>55/钳工</v>
      </c>
      <c r="K466" s="3">
        <v>6</v>
      </c>
      <c r="L466" s="19">
        <v>30</v>
      </c>
      <c r="M466" s="19">
        <v>30</v>
      </c>
      <c r="N466" s="5" t="s">
        <v>770</v>
      </c>
      <c r="O466" s="4"/>
      <c r="P466" s="18">
        <f t="array" ref="P466">IFERROR(INDEX([2]Sheet1!$F$1:$AF$65808,MATCH($D466&amp;$G466&amp;P$1,[2]Sheet1!$B$1:$B$65808&amp;[2]Sheet1!$D$1:$D$65808&amp;[2]Sheet1!$E$1:$E$65808,0),MATCH($H466,[2]Sheet1!$F$1:$AF$1,0)),0)</f>
        <v>480</v>
      </c>
      <c r="Q466" s="3"/>
      <c r="R466" s="6"/>
      <c r="S466" s="22"/>
      <c r="U466" s="23">
        <f t="shared" si="8"/>
        <v>48</v>
      </c>
      <c r="V466" s="24" t="s">
        <v>0</v>
      </c>
    </row>
    <row r="467" spans="1:24" ht="23.1" hidden="1" customHeight="1" x14ac:dyDescent="0.25">
      <c r="A467" s="1" t="s">
        <v>562</v>
      </c>
      <c r="D467" s="3" t="s">
        <v>245</v>
      </c>
      <c r="E467" s="15" t="s">
        <v>246</v>
      </c>
      <c r="F467" s="15" t="str">
        <f>+VLOOKUP(D467,[1]Sheet1!$D$2:$E$29166,2,0)</f>
        <v>环</v>
      </c>
      <c r="G467" s="3" t="s">
        <v>46</v>
      </c>
      <c r="H467" s="3">
        <v>15</v>
      </c>
      <c r="I467" s="18" t="str">
        <f t="array" ref="I467">INDEX([2]Sheet1!$F$1:$AF$65808,MATCH(D467&amp;G467&amp;I$1,[2]Sheet1!$B$1:$B$65808&amp;[2]Sheet1!$D$1:$D$65808&amp;[2]Sheet1!$E$1:$E$65808,0),MATCH(H467,[2]Sheet1!$F$1:$AF$1,0))</f>
        <v>15/钳工</v>
      </c>
      <c r="K467" s="3">
        <v>1</v>
      </c>
      <c r="L467" s="19">
        <v>8</v>
      </c>
      <c r="M467" s="19">
        <v>8</v>
      </c>
      <c r="N467" s="5" t="s">
        <v>699</v>
      </c>
      <c r="O467" s="4"/>
      <c r="P467" s="18">
        <f t="array" ref="P467">IFERROR(INDEX([2]Sheet1!$F$1:$AF$65808,MATCH($D467&amp;$G467&amp;P$1,[2]Sheet1!$B$1:$B$65808&amp;[2]Sheet1!$D$1:$D$65808&amp;[2]Sheet1!$E$1:$E$65808,0),MATCH($H467,[2]Sheet1!$F$1:$AF$1,0)),0)</f>
        <v>8</v>
      </c>
      <c r="Q467" s="3"/>
      <c r="R467" s="6"/>
      <c r="S467" s="22"/>
      <c r="U467" s="23">
        <f t="shared" si="8"/>
        <v>0.1</v>
      </c>
      <c r="V467" s="24" t="s">
        <v>13</v>
      </c>
    </row>
    <row r="468" spans="1:24" ht="23.1" hidden="1" customHeight="1" x14ac:dyDescent="0.25">
      <c r="A468" s="1" t="s">
        <v>562</v>
      </c>
      <c r="D468" s="3" t="s">
        <v>256</v>
      </c>
      <c r="E468" s="15" t="s">
        <v>55</v>
      </c>
      <c r="F468" s="15" t="str">
        <f>+VLOOKUP(D468,[1]Sheet1!$D$2:$E$29166,2,0)</f>
        <v>接头</v>
      </c>
      <c r="G468" s="3" t="s">
        <v>80</v>
      </c>
      <c r="H468" s="3">
        <v>35</v>
      </c>
      <c r="I468" s="18" t="str">
        <f t="array" ref="I468">INDEX([2]Sheet1!$F$1:$AF$65808,MATCH(D468&amp;G468&amp;I$1,[2]Sheet1!$B$1:$B$65808&amp;[2]Sheet1!$D$1:$D$65808&amp;[2]Sheet1!$E$1:$E$65808,0),MATCH(H468,[2]Sheet1!$F$1:$AF$1,0))</f>
        <v>35钳工</v>
      </c>
      <c r="K468" s="3">
        <v>8</v>
      </c>
      <c r="L468" s="19">
        <v>8</v>
      </c>
      <c r="M468" s="19"/>
      <c r="N468" s="5" t="s">
        <v>81</v>
      </c>
      <c r="O468" s="4"/>
      <c r="P468" s="18">
        <f t="array" ref="P468">IFERROR(INDEX([2]Sheet1!$F$1:$AF$65808,MATCH($D468&amp;$G468&amp;P$1,[2]Sheet1!$B$1:$B$65808&amp;[2]Sheet1!$D$1:$D$65808&amp;[2]Sheet1!$E$1:$E$65808,0),MATCH($H468,[2]Sheet1!$F$1:$AF$1,0)),0)</f>
        <v>25</v>
      </c>
      <c r="Q468" s="3"/>
      <c r="R468" s="6"/>
      <c r="S468" s="22"/>
      <c r="U468" s="23">
        <f t="shared" si="8"/>
        <v>3.3</v>
      </c>
      <c r="V468" s="24" t="s">
        <v>13</v>
      </c>
    </row>
    <row r="469" spans="1:24" ht="23.1" hidden="1" customHeight="1" x14ac:dyDescent="0.25">
      <c r="A469" s="1" t="s">
        <v>764</v>
      </c>
      <c r="D469" s="3" t="s">
        <v>771</v>
      </c>
      <c r="E469" s="15" t="s">
        <v>55</v>
      </c>
      <c r="F469" s="15" t="str">
        <f>+VLOOKUP(D469,[1]Sheet1!$D$2:$E$29166,2,0)</f>
        <v>接头</v>
      </c>
      <c r="G469" s="3" t="s">
        <v>80</v>
      </c>
      <c r="H469" s="3">
        <v>35</v>
      </c>
      <c r="I469" s="18" t="str">
        <f t="array" ref="I469">INDEX([2]Sheet1!$F$1:$AF$65808,MATCH(D469&amp;G469&amp;I$1,[2]Sheet1!$B$1:$B$65808&amp;[2]Sheet1!$D$1:$D$65808&amp;[2]Sheet1!$E$1:$E$65808,0),MATCH(H469,[2]Sheet1!$F$1:$AF$1,0))</f>
        <v>35钳工</v>
      </c>
      <c r="K469" s="3">
        <v>4</v>
      </c>
      <c r="L469" s="19">
        <v>8</v>
      </c>
      <c r="M469" s="19">
        <v>8</v>
      </c>
      <c r="N469" s="5" t="s">
        <v>81</v>
      </c>
      <c r="O469" s="4"/>
      <c r="P469" s="18">
        <f t="array" ref="P469">IFERROR(INDEX([2]Sheet1!$F$1:$AF$65808,MATCH($D469&amp;$G469&amp;P$1,[2]Sheet1!$B$1:$B$65808&amp;[2]Sheet1!$D$1:$D$65808&amp;[2]Sheet1!$E$1:$E$65808,0),MATCH($H469,[2]Sheet1!$F$1:$AF$1,0)),0)</f>
        <v>35</v>
      </c>
      <c r="Q469" s="3"/>
      <c r="R469" s="6"/>
      <c r="S469" s="22"/>
      <c r="U469" s="23">
        <f t="shared" si="8"/>
        <v>2.2999999999999998</v>
      </c>
      <c r="V469" s="24" t="s">
        <v>13</v>
      </c>
    </row>
    <row r="470" spans="1:24" ht="23.1" customHeight="1" x14ac:dyDescent="0.25">
      <c r="A470" s="1" t="s">
        <v>103</v>
      </c>
      <c r="D470" s="3" t="s">
        <v>772</v>
      </c>
      <c r="E470" s="15" t="s">
        <v>688</v>
      </c>
      <c r="F470" s="15" t="str">
        <f>+VLOOKUP(D470,[1]Sheet1!$D$2:$E$29166,2,0)</f>
        <v>管子</v>
      </c>
      <c r="H470" s="3" t="s">
        <v>340</v>
      </c>
      <c r="I470" s="18" t="e">
        <f t="array" ref="I470">INDEX([2]Sheet1!$F$1:$AF$65808,MATCH(D470&amp;G470&amp;I$1,[2]Sheet1!$B$1:$B$65808&amp;[2]Sheet1!$D$1:$D$65808&amp;[2]Sheet1!$E$1:$E$65808,0),MATCH(H470,[2]Sheet1!$F$1:$AF$1,0))</f>
        <v>#N/A</v>
      </c>
      <c r="K470" s="3">
        <v>6</v>
      </c>
      <c r="L470" s="19">
        <v>8</v>
      </c>
      <c r="M470" s="19"/>
      <c r="N470" s="5" t="s">
        <v>700</v>
      </c>
      <c r="O470" s="4"/>
      <c r="P470" s="18">
        <v>5</v>
      </c>
      <c r="Q470" s="3"/>
      <c r="R470" s="6"/>
      <c r="S470" s="22"/>
      <c r="U470" s="23">
        <f t="shared" si="8"/>
        <v>0.5</v>
      </c>
      <c r="V470" s="24" t="s">
        <v>13</v>
      </c>
      <c r="W470" s="7" t="s">
        <v>511</v>
      </c>
      <c r="X470" s="7" t="s">
        <v>203</v>
      </c>
    </row>
    <row r="471" spans="1:24" ht="23.1" customHeight="1" x14ac:dyDescent="0.25">
      <c r="A471" s="1" t="s">
        <v>562</v>
      </c>
      <c r="D471" s="3" t="s">
        <v>716</v>
      </c>
      <c r="E471" s="15" t="s">
        <v>717</v>
      </c>
      <c r="F471" s="15" t="str">
        <f>+VLOOKUP(D471,[1]Sheet1!$D$2:$E$29166,2,0)</f>
        <v>耳环螺栓</v>
      </c>
      <c r="G471" s="3" t="s">
        <v>46</v>
      </c>
      <c r="H471" s="3" t="s">
        <v>340</v>
      </c>
      <c r="I471" s="18" t="e">
        <f t="array" ref="I471">INDEX([2]Sheet1!$F$1:$AF$65808,MATCH(D471&amp;G471&amp;I$1,[2]Sheet1!$B$1:$B$65808&amp;[2]Sheet1!$D$1:$D$65808&amp;[2]Sheet1!$E$1:$E$65808,0),MATCH(H471,[2]Sheet1!$F$1:$AF$1,0))</f>
        <v>#N/A</v>
      </c>
      <c r="K471" s="3">
        <v>45</v>
      </c>
      <c r="L471" s="19">
        <v>8</v>
      </c>
      <c r="M471" s="19">
        <v>8</v>
      </c>
      <c r="N471" s="5" t="s">
        <v>773</v>
      </c>
      <c r="O471" s="4"/>
      <c r="P471" s="18">
        <v>20</v>
      </c>
      <c r="Q471" s="3"/>
      <c r="R471" s="6"/>
      <c r="S471" s="22"/>
      <c r="U471" s="23">
        <f t="shared" si="8"/>
        <v>15</v>
      </c>
      <c r="V471" s="24" t="s">
        <v>13</v>
      </c>
      <c r="W471" s="7" t="s">
        <v>485</v>
      </c>
      <c r="X471" s="7" t="s">
        <v>203</v>
      </c>
    </row>
    <row r="472" spans="1:24" ht="23.1" customHeight="1" x14ac:dyDescent="0.25">
      <c r="A472" s="1" t="s">
        <v>764</v>
      </c>
      <c r="D472" s="3" t="s">
        <v>774</v>
      </c>
      <c r="E472" s="15" t="s">
        <v>170</v>
      </c>
      <c r="F472" s="15" t="str">
        <f>+VLOOKUP(D472,[1]Sheet1!$D$2:$E$29166,2,0)</f>
        <v>衬套</v>
      </c>
      <c r="H472" s="3" t="s">
        <v>340</v>
      </c>
      <c r="I472" s="18" t="e">
        <f t="array" ref="I472">INDEX([2]Sheet1!$F$1:$AF$65808,MATCH(D472&amp;G472&amp;I$1,[2]Sheet1!$B$1:$B$65808&amp;[2]Sheet1!$D$1:$D$65808&amp;[2]Sheet1!$E$1:$E$65808,0),MATCH(H472,[2]Sheet1!$F$1:$AF$1,0))</f>
        <v>#N/A</v>
      </c>
      <c r="K472" s="3">
        <v>41</v>
      </c>
      <c r="L472" s="19">
        <v>8</v>
      </c>
      <c r="M472" s="19">
        <v>8</v>
      </c>
      <c r="N472" s="5" t="s">
        <v>775</v>
      </c>
      <c r="O472" s="4"/>
      <c r="P472" s="18">
        <v>15</v>
      </c>
      <c r="Q472" s="3"/>
      <c r="R472" s="6"/>
      <c r="S472" s="22"/>
      <c r="U472" s="23">
        <f t="shared" si="8"/>
        <v>10.3</v>
      </c>
      <c r="V472" s="24" t="s">
        <v>13</v>
      </c>
      <c r="W472" s="7" t="s">
        <v>257</v>
      </c>
      <c r="X472" s="7" t="s">
        <v>203</v>
      </c>
    </row>
    <row r="473" spans="1:24" ht="23.1" customHeight="1" x14ac:dyDescent="0.25">
      <c r="A473" s="1" t="s">
        <v>764</v>
      </c>
      <c r="D473" s="3" t="s">
        <v>776</v>
      </c>
      <c r="E473" s="15" t="s">
        <v>170</v>
      </c>
      <c r="F473" s="15" t="str">
        <f>+VLOOKUP(D473,[1]Sheet1!$D$2:$E$29166,2,0)</f>
        <v>衬套</v>
      </c>
      <c r="H473" s="3" t="s">
        <v>340</v>
      </c>
      <c r="I473" s="18" t="e">
        <f t="array" ref="I473">INDEX([2]Sheet1!$F$1:$AF$65808,MATCH(D473&amp;G473&amp;I$1,[2]Sheet1!$B$1:$B$65808&amp;[2]Sheet1!$D$1:$D$65808&amp;[2]Sheet1!$E$1:$E$65808,0),MATCH(H473,[2]Sheet1!$F$1:$AF$1,0))</f>
        <v>#N/A</v>
      </c>
      <c r="K473" s="3">
        <v>16</v>
      </c>
      <c r="L473" s="19">
        <v>8</v>
      </c>
      <c r="M473" s="19">
        <v>8</v>
      </c>
      <c r="N473" s="5" t="s">
        <v>197</v>
      </c>
      <c r="O473" s="4"/>
      <c r="P473" s="18">
        <v>5</v>
      </c>
      <c r="Q473" s="3"/>
      <c r="R473" s="6"/>
      <c r="S473" s="22"/>
      <c r="U473" s="23">
        <f t="shared" si="8"/>
        <v>1.3</v>
      </c>
      <c r="V473" s="24" t="s">
        <v>13</v>
      </c>
      <c r="W473" s="7" t="s">
        <v>511</v>
      </c>
      <c r="X473" s="7" t="s">
        <v>203</v>
      </c>
    </row>
    <row r="474" spans="1:24" ht="23.1" customHeight="1" x14ac:dyDescent="0.25">
      <c r="A474" s="1" t="s">
        <v>764</v>
      </c>
      <c r="D474" s="3" t="s">
        <v>774</v>
      </c>
      <c r="E474" s="15" t="s">
        <v>170</v>
      </c>
      <c r="F474" s="15" t="str">
        <f>+VLOOKUP(D474,[1]Sheet1!$D$2:$E$29166,2,0)</f>
        <v>衬套</v>
      </c>
      <c r="H474" s="3" t="s">
        <v>340</v>
      </c>
      <c r="I474" s="18" t="e">
        <f t="array" ref="I474">INDEX([2]Sheet1!$F$1:$AF$65808,MATCH(D474&amp;G474&amp;I$1,[2]Sheet1!$B$1:$B$65808&amp;[2]Sheet1!$D$1:$D$65808&amp;[2]Sheet1!$E$1:$E$65808,0),MATCH(H474,[2]Sheet1!$F$1:$AF$1,0))</f>
        <v>#N/A</v>
      </c>
      <c r="K474" s="3">
        <v>4</v>
      </c>
      <c r="L474" s="19">
        <v>8</v>
      </c>
      <c r="M474" s="19"/>
      <c r="N474" s="5" t="s">
        <v>474</v>
      </c>
      <c r="O474" s="4"/>
      <c r="P474" s="18">
        <v>5</v>
      </c>
      <c r="Q474" s="3"/>
      <c r="R474" s="6"/>
      <c r="S474" s="22"/>
      <c r="U474" s="23">
        <f t="shared" si="8"/>
        <v>0.3</v>
      </c>
      <c r="V474" s="24" t="s">
        <v>13</v>
      </c>
      <c r="W474" s="7" t="s">
        <v>511</v>
      </c>
      <c r="X474" s="7" t="s">
        <v>203</v>
      </c>
    </row>
    <row r="475" spans="1:24" ht="23.1" customHeight="1" x14ac:dyDescent="0.25">
      <c r="A475" s="1" t="s">
        <v>764</v>
      </c>
      <c r="D475" s="3" t="s">
        <v>777</v>
      </c>
      <c r="E475" s="15" t="s">
        <v>170</v>
      </c>
      <c r="F475" s="15" t="str">
        <f>+VLOOKUP(D475,[1]Sheet1!$D$2:$E$29166,2,0)</f>
        <v>衬套</v>
      </c>
      <c r="H475" s="3" t="s">
        <v>340</v>
      </c>
      <c r="I475" s="18" t="e">
        <f t="array" ref="I475">INDEX([2]Sheet1!$F$1:$AF$65808,MATCH(D475&amp;G475&amp;I$1,[2]Sheet1!$B$1:$B$65808&amp;[2]Sheet1!$D$1:$D$65808&amp;[2]Sheet1!$E$1:$E$65808,0),MATCH(H475,[2]Sheet1!$F$1:$AF$1,0))</f>
        <v>#N/A</v>
      </c>
      <c r="K475" s="3">
        <v>4</v>
      </c>
      <c r="L475" s="19">
        <v>8</v>
      </c>
      <c r="M475" s="19"/>
      <c r="N475" s="5" t="s">
        <v>474</v>
      </c>
      <c r="O475" s="4"/>
      <c r="P475" s="18">
        <v>5</v>
      </c>
      <c r="Q475" s="3"/>
      <c r="R475" s="6"/>
      <c r="S475" s="22"/>
      <c r="U475" s="23">
        <f t="shared" si="8"/>
        <v>0.3</v>
      </c>
      <c r="V475" s="24" t="s">
        <v>13</v>
      </c>
      <c r="W475" s="7" t="s">
        <v>511</v>
      </c>
      <c r="X475" s="7" t="s">
        <v>203</v>
      </c>
    </row>
    <row r="476" spans="1:24" ht="23.1" customHeight="1" x14ac:dyDescent="0.25">
      <c r="A476" s="1" t="s">
        <v>562</v>
      </c>
      <c r="D476" s="3" t="s">
        <v>776</v>
      </c>
      <c r="E476" s="15" t="s">
        <v>170</v>
      </c>
      <c r="F476" s="15" t="str">
        <f>+VLOOKUP(D476,[1]Sheet1!$D$2:$E$29166,2,0)</f>
        <v>衬套</v>
      </c>
      <c r="H476" s="3" t="s">
        <v>340</v>
      </c>
      <c r="I476" s="18" t="e">
        <f t="array" ref="I476">INDEX([2]Sheet1!$F$1:$AF$65808,MATCH(D476&amp;G476&amp;I$1,[2]Sheet1!$B$1:$B$65808&amp;[2]Sheet1!$D$1:$D$65808&amp;[2]Sheet1!$E$1:$E$65808,0),MATCH(H476,[2]Sheet1!$F$1:$AF$1,0))</f>
        <v>#N/A</v>
      </c>
      <c r="K476" s="3">
        <v>44</v>
      </c>
      <c r="L476" s="19">
        <v>8</v>
      </c>
      <c r="M476" s="19">
        <v>8</v>
      </c>
      <c r="N476" s="5" t="s">
        <v>700</v>
      </c>
      <c r="O476" s="4"/>
      <c r="P476" s="18">
        <v>16</v>
      </c>
      <c r="Q476" s="3"/>
      <c r="R476" s="6"/>
      <c r="S476" s="22"/>
      <c r="U476" s="23">
        <f t="shared" si="8"/>
        <v>11.7</v>
      </c>
      <c r="V476" s="24" t="s">
        <v>13</v>
      </c>
      <c r="W476" s="7" t="s">
        <v>778</v>
      </c>
      <c r="X476" s="7" t="s">
        <v>203</v>
      </c>
    </row>
    <row r="477" spans="1:24" ht="23.1" hidden="1" customHeight="1" x14ac:dyDescent="0.25">
      <c r="A477" s="1" t="s">
        <v>116</v>
      </c>
      <c r="D477" s="3" t="s">
        <v>779</v>
      </c>
      <c r="E477" s="15" t="s">
        <v>688</v>
      </c>
      <c r="F477" s="15" t="str">
        <f>+VLOOKUP(D477,[1]Sheet1!$D$2:$E$29166,2,0)</f>
        <v>管子</v>
      </c>
      <c r="G477" s="3" t="s">
        <v>46</v>
      </c>
      <c r="H477" s="3">
        <v>45</v>
      </c>
      <c r="I477" s="18" t="str">
        <f t="array" ref="I477">INDEX([2]Sheet1!$F$1:$AF$65808,MATCH(D477&amp;G477&amp;I$1,[2]Sheet1!$B$1:$B$65808&amp;[2]Sheet1!$D$1:$D$65808&amp;[2]Sheet1!$E$1:$E$65808,0),MATCH(H477,[2]Sheet1!$F$1:$AF$1,0))</f>
        <v>45/钳工</v>
      </c>
      <c r="K477" s="3">
        <v>10</v>
      </c>
      <c r="L477" s="19">
        <v>8</v>
      </c>
      <c r="M477" s="19">
        <v>8</v>
      </c>
      <c r="N477" s="5" t="s">
        <v>780</v>
      </c>
      <c r="O477" s="4"/>
      <c r="P477" s="18">
        <f t="array" ref="P477">IFERROR(INDEX([2]Sheet1!$F$1:$AF$65808,MATCH($D477&amp;$G477&amp;P$1,[2]Sheet1!$B$1:$B$65808&amp;[2]Sheet1!$D$1:$D$65808&amp;[2]Sheet1!$E$1:$E$65808,0),MATCH($H477,[2]Sheet1!$F$1:$AF$1,0)),0)</f>
        <v>20</v>
      </c>
      <c r="Q477" s="3"/>
      <c r="R477" s="6"/>
      <c r="S477" s="22"/>
      <c r="U477" s="23">
        <f t="shared" si="8"/>
        <v>3.3</v>
      </c>
      <c r="V477" s="24" t="s">
        <v>9</v>
      </c>
    </row>
    <row r="478" spans="1:24" ht="23.1" hidden="1" customHeight="1" x14ac:dyDescent="0.25">
      <c r="A478" s="1" t="s">
        <v>562</v>
      </c>
      <c r="D478" s="3" t="s">
        <v>781</v>
      </c>
      <c r="E478" s="15" t="s">
        <v>91</v>
      </c>
      <c r="F478" s="15" t="str">
        <f>+VLOOKUP(D478,[1]Sheet1!$D$2:$E$29166,2,0)</f>
        <v>螺栓</v>
      </c>
      <c r="G478" s="3" t="s">
        <v>46</v>
      </c>
      <c r="H478" s="3">
        <v>30</v>
      </c>
      <c r="I478" s="18" t="str">
        <f t="array" ref="I478">INDEX([2]Sheet1!$F$1:$AF$65808,MATCH(D478&amp;G478&amp;I$1,[2]Sheet1!$B$1:$B$65808&amp;[2]Sheet1!$D$1:$D$65808&amp;[2]Sheet1!$E$1:$E$65808,0),MATCH(H478,[2]Sheet1!$F$1:$AF$1,0))</f>
        <v>30/钳工</v>
      </c>
      <c r="K478" s="3">
        <v>20</v>
      </c>
      <c r="L478" s="19">
        <v>8</v>
      </c>
      <c r="M478" s="19">
        <v>8</v>
      </c>
      <c r="N478" s="5" t="s">
        <v>92</v>
      </c>
      <c r="O478" s="4"/>
      <c r="P478" s="18">
        <f t="array" ref="P478">IFERROR(INDEX([2]Sheet1!$F$1:$AF$65808,MATCH($D478&amp;$G478&amp;P$1,[2]Sheet1!$B$1:$B$65808&amp;[2]Sheet1!$D$1:$D$65808&amp;[2]Sheet1!$E$1:$E$65808,0),MATCH($H478,[2]Sheet1!$F$1:$AF$1,0)),0)</f>
        <v>20</v>
      </c>
      <c r="Q478" s="3"/>
      <c r="R478" s="6"/>
      <c r="S478" s="22"/>
      <c r="U478" s="23">
        <f t="shared" si="8"/>
        <v>6.7</v>
      </c>
      <c r="V478" s="24" t="s">
        <v>9</v>
      </c>
    </row>
    <row r="479" spans="1:24" ht="23.1" hidden="1" customHeight="1" x14ac:dyDescent="0.25">
      <c r="A479" s="1" t="s">
        <v>562</v>
      </c>
      <c r="D479" s="3" t="s">
        <v>782</v>
      </c>
      <c r="E479" s="15" t="s">
        <v>76</v>
      </c>
      <c r="F479" s="15" t="str">
        <f>+VLOOKUP(D479,[1]Sheet1!$D$2:$E$29166,2,0)</f>
        <v>接管嘴</v>
      </c>
      <c r="G479" s="3" t="s">
        <v>46</v>
      </c>
      <c r="H479" s="3">
        <v>35</v>
      </c>
      <c r="I479" s="18" t="str">
        <f t="array" ref="I479">INDEX([2]Sheet1!$F$1:$AF$65808,MATCH(D479&amp;G479&amp;I$1,[2]Sheet1!$B$1:$B$65808&amp;[2]Sheet1!$D$1:$D$65808&amp;[2]Sheet1!$E$1:$E$65808,0),MATCH(H479,[2]Sheet1!$F$1:$AF$1,0))</f>
        <v>35/钳工</v>
      </c>
      <c r="K479" s="3">
        <v>42</v>
      </c>
      <c r="L479" s="19">
        <v>8</v>
      </c>
      <c r="M479" s="19">
        <v>8</v>
      </c>
      <c r="N479" s="5" t="s">
        <v>783</v>
      </c>
      <c r="O479" s="4"/>
      <c r="P479" s="18">
        <f t="array" ref="P479">IFERROR(INDEX([2]Sheet1!$F$1:$AF$65808,MATCH($D479&amp;$G479&amp;P$1,[2]Sheet1!$B$1:$B$65808&amp;[2]Sheet1!$D$1:$D$65808&amp;[2]Sheet1!$E$1:$E$65808,0),MATCH($H479,[2]Sheet1!$F$1:$AF$1,0)),0)</f>
        <v>30</v>
      </c>
      <c r="Q479" s="3"/>
      <c r="R479" s="6"/>
      <c r="S479" s="22"/>
      <c r="U479" s="23">
        <f t="shared" si="8"/>
        <v>21</v>
      </c>
      <c r="V479" s="24" t="s">
        <v>9</v>
      </c>
    </row>
    <row r="480" spans="1:24" ht="23.1" hidden="1" customHeight="1" x14ac:dyDescent="0.25">
      <c r="A480" s="1" t="s">
        <v>759</v>
      </c>
      <c r="D480" s="3" t="s">
        <v>541</v>
      </c>
      <c r="E480" s="15" t="s">
        <v>120</v>
      </c>
      <c r="F480" s="15" t="str">
        <f>+VLOOKUP(D480,[1]Sheet1!$D$2:$E$29166,2,0)</f>
        <v>支架</v>
      </c>
      <c r="G480" s="3" t="s">
        <v>51</v>
      </c>
      <c r="H480" s="3">
        <v>40</v>
      </c>
      <c r="I480" s="18" t="str">
        <f t="array" ref="I480">INDEX([2]Sheet1!$F$1:$AF$65808,MATCH(D480&amp;G480&amp;I$1,[2]Sheet1!$B$1:$B$65808&amp;[2]Sheet1!$D$1:$D$65808&amp;[2]Sheet1!$E$1:$E$65808,0),MATCH(H480,[2]Sheet1!$F$1:$AF$1,0))</f>
        <v>40/钳工</v>
      </c>
      <c r="K480" s="3">
        <v>20</v>
      </c>
      <c r="L480" s="19">
        <v>8</v>
      </c>
      <c r="M480" s="19">
        <v>8</v>
      </c>
      <c r="N480" s="5" t="s">
        <v>784</v>
      </c>
      <c r="O480" s="4"/>
      <c r="P480" s="18">
        <f t="array" ref="P480">IFERROR(INDEX([2]Sheet1!$F$1:$AF$65808,MATCH($D480&amp;$G480&amp;P$1,[2]Sheet1!$B$1:$B$65808&amp;[2]Sheet1!$D$1:$D$65808&amp;[2]Sheet1!$E$1:$E$65808,0),MATCH($H480,[2]Sheet1!$F$1:$AF$1,0)),0)</f>
        <v>30</v>
      </c>
      <c r="Q480" s="3"/>
      <c r="R480" s="6"/>
      <c r="S480" s="22"/>
      <c r="U480" s="23">
        <f t="shared" si="8"/>
        <v>10</v>
      </c>
      <c r="V480" s="24" t="s">
        <v>9</v>
      </c>
    </row>
    <row r="481" spans="1:24" ht="23.1" hidden="1" customHeight="1" x14ac:dyDescent="0.25">
      <c r="A481" s="1" t="s">
        <v>48</v>
      </c>
      <c r="E481" s="15" t="s">
        <v>785</v>
      </c>
      <c r="F481" s="15" t="e">
        <f>+VLOOKUP(D481,[1]Sheet1!$D$2:$E$29166,2,0)</f>
        <v>#N/A</v>
      </c>
      <c r="I481" s="18" t="e">
        <f t="array" ref="I481">INDEX([2]Sheet1!$F$1:$AF$65808,MATCH(D481&amp;G481&amp;I$1,[2]Sheet1!$B$1:$B$65808&amp;[2]Sheet1!$D$1:$D$65808&amp;[2]Sheet1!$E$1:$E$65808,0),MATCH(H481,[2]Sheet1!$F$1:$AF$1,0))</f>
        <v>#N/A</v>
      </c>
      <c r="L481" s="19"/>
      <c r="M481" s="19"/>
      <c r="O481" s="4"/>
      <c r="P481" s="18">
        <f t="array" ref="P481">IFERROR(INDEX([2]Sheet1!$F$1:$AF$65808,MATCH($D481&amp;$G481&amp;P$1,[2]Sheet1!$B$1:$B$65808&amp;[2]Sheet1!$D$1:$D$65808&amp;[2]Sheet1!$E$1:$E$65808,0),MATCH($H481,[2]Sheet1!$F$1:$AF$1,0)),0)</f>
        <v>0</v>
      </c>
      <c r="Q481" s="3"/>
      <c r="R481" s="6"/>
      <c r="S481" s="22"/>
      <c r="T481" s="7">
        <v>16</v>
      </c>
      <c r="U481" s="23">
        <f t="shared" si="8"/>
        <v>16</v>
      </c>
      <c r="V481" s="24" t="s">
        <v>7</v>
      </c>
      <c r="W481" s="7" t="s">
        <v>786</v>
      </c>
    </row>
    <row r="482" spans="1:24" ht="23.1" hidden="1" customHeight="1" x14ac:dyDescent="0.25">
      <c r="A482" s="1" t="s">
        <v>787</v>
      </c>
      <c r="E482" s="15" t="s">
        <v>788</v>
      </c>
      <c r="F482" s="15" t="e">
        <f>+VLOOKUP(D482,[1]Sheet1!$D$2:$E$29166,2,0)</f>
        <v>#N/A</v>
      </c>
      <c r="I482" s="18" t="e">
        <f t="array" ref="I482">INDEX([2]Sheet1!$F$1:$AF$65808,MATCH(D482&amp;G482&amp;I$1,[2]Sheet1!$B$1:$B$65808&amp;[2]Sheet1!$D$1:$D$65808&amp;[2]Sheet1!$E$1:$E$65808,0),MATCH(H482,[2]Sheet1!$F$1:$AF$1,0))</f>
        <v>#N/A</v>
      </c>
      <c r="K482" s="3">
        <v>3</v>
      </c>
      <c r="L482" s="19">
        <v>8</v>
      </c>
      <c r="M482" s="19">
        <v>8</v>
      </c>
      <c r="O482" s="4"/>
      <c r="P482" s="18">
        <v>720</v>
      </c>
      <c r="Q482" s="3"/>
      <c r="R482" s="6"/>
      <c r="S482" s="22"/>
      <c r="U482" s="23">
        <f t="shared" si="8"/>
        <v>36</v>
      </c>
      <c r="V482" s="24" t="s">
        <v>7</v>
      </c>
      <c r="W482" s="7" t="s">
        <v>210</v>
      </c>
    </row>
    <row r="483" spans="1:24" ht="23.1" hidden="1" customHeight="1" x14ac:dyDescent="0.25">
      <c r="A483" s="1" t="s">
        <v>89</v>
      </c>
      <c r="E483" s="15" t="s">
        <v>789</v>
      </c>
      <c r="F483" s="15" t="e">
        <f>+VLOOKUP(D483,[1]Sheet1!$D$2:$E$29166,2,0)</f>
        <v>#N/A</v>
      </c>
      <c r="I483" s="18" t="e">
        <f t="array" ref="I483">INDEX([2]Sheet1!$F$1:$AF$65808,MATCH(D483&amp;G483&amp;I$1,[2]Sheet1!$B$1:$B$65808&amp;[2]Sheet1!$D$1:$D$65808&amp;[2]Sheet1!$E$1:$E$65808,0),MATCH(H483,[2]Sheet1!$F$1:$AF$1,0))</f>
        <v>#N/A</v>
      </c>
      <c r="K483" s="3">
        <v>2</v>
      </c>
      <c r="L483" s="19">
        <v>8</v>
      </c>
      <c r="M483" s="19"/>
      <c r="O483" s="4"/>
      <c r="P483" s="18">
        <v>60</v>
      </c>
      <c r="Q483" s="3"/>
      <c r="R483" s="6"/>
      <c r="S483" s="22"/>
      <c r="U483" s="23">
        <f t="shared" si="8"/>
        <v>2</v>
      </c>
      <c r="V483" s="24" t="s">
        <v>7</v>
      </c>
      <c r="W483" s="7" t="s">
        <v>790</v>
      </c>
    </row>
    <row r="484" spans="1:24" ht="23.1" hidden="1" customHeight="1" x14ac:dyDescent="0.25">
      <c r="A484" s="1" t="s">
        <v>103</v>
      </c>
      <c r="E484" s="15" t="s">
        <v>788</v>
      </c>
      <c r="F484" s="15" t="e">
        <f>+VLOOKUP(D484,[1]Sheet1!$D$2:$E$29166,2,0)</f>
        <v>#N/A</v>
      </c>
      <c r="I484" s="18" t="e">
        <f t="array" ref="I484">INDEX([2]Sheet1!$F$1:$AF$65808,MATCH(D484&amp;G484&amp;I$1,[2]Sheet1!$B$1:$B$65808&amp;[2]Sheet1!$D$1:$D$65808&amp;[2]Sheet1!$E$1:$E$65808,0),MATCH(H484,[2]Sheet1!$F$1:$AF$1,0))</f>
        <v>#N/A</v>
      </c>
      <c r="K484" s="3">
        <v>1</v>
      </c>
      <c r="L484" s="19">
        <v>8</v>
      </c>
      <c r="M484" s="19"/>
      <c r="O484" s="4"/>
      <c r="P484" s="18">
        <v>600</v>
      </c>
      <c r="Q484" s="3"/>
      <c r="R484" s="6"/>
      <c r="S484" s="22"/>
      <c r="U484" s="23">
        <f t="shared" si="8"/>
        <v>10</v>
      </c>
      <c r="V484" s="24" t="s">
        <v>7</v>
      </c>
      <c r="W484" s="7" t="s">
        <v>791</v>
      </c>
    </row>
    <row r="485" spans="1:24" ht="23.1" hidden="1" customHeight="1" x14ac:dyDescent="0.25">
      <c r="A485" s="1" t="s">
        <v>103</v>
      </c>
      <c r="E485" s="15" t="s">
        <v>211</v>
      </c>
      <c r="F485" s="15" t="e">
        <f>+VLOOKUP(D485,[1]Sheet1!$D$2:$E$29166,2,0)</f>
        <v>#N/A</v>
      </c>
      <c r="I485" s="18" t="e">
        <f t="array" ref="I485">INDEX([2]Sheet1!$F$1:$AF$65808,MATCH(D485&amp;G485&amp;I$1,[2]Sheet1!$B$1:$B$65808&amp;[2]Sheet1!$D$1:$D$65808&amp;[2]Sheet1!$E$1:$E$65808,0),MATCH(H485,[2]Sheet1!$F$1:$AF$1,0))</f>
        <v>#N/A</v>
      </c>
      <c r="K485" s="3">
        <v>1</v>
      </c>
      <c r="L485" s="19">
        <v>8</v>
      </c>
      <c r="M485" s="19"/>
      <c r="O485" s="4"/>
      <c r="P485" s="18">
        <v>600</v>
      </c>
      <c r="Q485" s="3"/>
      <c r="R485" s="6"/>
      <c r="S485" s="22"/>
      <c r="U485" s="23">
        <f t="shared" si="8"/>
        <v>10</v>
      </c>
      <c r="V485" s="24" t="s">
        <v>7</v>
      </c>
      <c r="W485" s="7" t="s">
        <v>792</v>
      </c>
    </row>
    <row r="486" spans="1:24" ht="23.1" hidden="1" customHeight="1" x14ac:dyDescent="0.25">
      <c r="A486" s="1" t="s">
        <v>759</v>
      </c>
      <c r="E486" s="15" t="s">
        <v>788</v>
      </c>
      <c r="F486" s="15" t="e">
        <f>+VLOOKUP(D486,[1]Sheet1!$D$2:$E$29166,2,0)</f>
        <v>#N/A</v>
      </c>
      <c r="I486" s="18" t="e">
        <f t="array" ref="I486">INDEX([2]Sheet1!$F$1:$AF$65808,MATCH(D486&amp;G486&amp;I$1,[2]Sheet1!$B$1:$B$65808&amp;[2]Sheet1!$D$1:$D$65808&amp;[2]Sheet1!$E$1:$E$65808,0),MATCH(H486,[2]Sheet1!$F$1:$AF$1,0))</f>
        <v>#N/A</v>
      </c>
      <c r="K486" s="3">
        <v>1</v>
      </c>
      <c r="L486" s="19">
        <v>8</v>
      </c>
      <c r="M486" s="19"/>
      <c r="O486" s="4"/>
      <c r="P486" s="18">
        <v>600</v>
      </c>
      <c r="Q486" s="3"/>
      <c r="R486" s="6"/>
      <c r="S486" s="22"/>
      <c r="U486" s="23">
        <f t="shared" si="8"/>
        <v>10</v>
      </c>
      <c r="V486" s="24" t="s">
        <v>7</v>
      </c>
      <c r="W486" s="7" t="s">
        <v>210</v>
      </c>
    </row>
    <row r="487" spans="1:24" ht="23.1" hidden="1" customHeight="1" x14ac:dyDescent="0.25">
      <c r="A487" s="1" t="s">
        <v>759</v>
      </c>
      <c r="E487" s="15" t="s">
        <v>793</v>
      </c>
      <c r="F487" s="15" t="e">
        <f>+VLOOKUP(D487,[1]Sheet1!$D$2:$E$29166,2,0)</f>
        <v>#N/A</v>
      </c>
      <c r="I487" s="18" t="e">
        <f t="array" ref="I487">INDEX([2]Sheet1!$F$1:$AF$65808,MATCH(D487&amp;G487&amp;I$1,[2]Sheet1!$B$1:$B$65808&amp;[2]Sheet1!$D$1:$D$65808&amp;[2]Sheet1!$E$1:$E$65808,0),MATCH(H487,[2]Sheet1!$F$1:$AF$1,0))</f>
        <v>#N/A</v>
      </c>
      <c r="K487" s="3">
        <v>3</v>
      </c>
      <c r="L487" s="19">
        <v>8</v>
      </c>
      <c r="M487" s="19"/>
      <c r="O487" s="4"/>
      <c r="P487" s="18">
        <v>900</v>
      </c>
      <c r="Q487" s="3"/>
      <c r="R487" s="6"/>
      <c r="S487" s="22"/>
      <c r="U487" s="23">
        <f t="shared" si="8"/>
        <v>45</v>
      </c>
      <c r="V487" s="24" t="s">
        <v>7</v>
      </c>
      <c r="W487" s="7" t="s">
        <v>221</v>
      </c>
    </row>
    <row r="488" spans="1:24" ht="23.1" hidden="1" customHeight="1" x14ac:dyDescent="0.25">
      <c r="A488" s="1" t="s">
        <v>759</v>
      </c>
      <c r="D488" s="3" t="s">
        <v>559</v>
      </c>
      <c r="E488" s="15" t="s">
        <v>560</v>
      </c>
      <c r="F488" s="15" t="str">
        <f>+VLOOKUP(D488,[1]Sheet1!$D$2:$E$29166,2,0)</f>
        <v>90°弯管接头</v>
      </c>
      <c r="G488" s="3" t="s">
        <v>147</v>
      </c>
      <c r="H488" s="3" t="s">
        <v>340</v>
      </c>
      <c r="I488" s="18" t="e">
        <f t="array" ref="I488">INDEX([2]Sheet1!$F$1:$AF$65808,MATCH(D488&amp;G488&amp;I$1,[2]Sheet1!$B$1:$B$65808&amp;[2]Sheet1!$D$1:$D$65808&amp;[2]Sheet1!$E$1:$E$65808,0),MATCH(H488,[2]Sheet1!$F$1:$AF$1,0))</f>
        <v>#N/A</v>
      </c>
      <c r="K488" s="3">
        <v>6</v>
      </c>
      <c r="L488" s="19">
        <v>8</v>
      </c>
      <c r="M488" s="19">
        <v>8</v>
      </c>
      <c r="O488" s="4"/>
      <c r="P488" s="18">
        <v>20</v>
      </c>
      <c r="Q488" s="3"/>
      <c r="R488" s="6"/>
      <c r="S488" s="22"/>
      <c r="U488" s="23">
        <f t="shared" si="8"/>
        <v>2</v>
      </c>
      <c r="V488" s="24" t="s">
        <v>15</v>
      </c>
      <c r="W488" s="7" t="s">
        <v>485</v>
      </c>
      <c r="X488" s="7" t="s">
        <v>203</v>
      </c>
    </row>
    <row r="489" spans="1:24" ht="23.1" hidden="1" customHeight="1" x14ac:dyDescent="0.25">
      <c r="A489" s="1" t="s">
        <v>759</v>
      </c>
      <c r="D489" s="3" t="s">
        <v>794</v>
      </c>
      <c r="E489" s="15" t="s">
        <v>87</v>
      </c>
      <c r="F489" s="15" t="str">
        <f>+VLOOKUP(D489,[1]Sheet1!$D$2:$E$29166,2,0)</f>
        <v>管接头</v>
      </c>
      <c r="G489" s="3" t="s">
        <v>46</v>
      </c>
      <c r="H489" s="3">
        <v>5</v>
      </c>
      <c r="I489" s="18" t="str">
        <f t="array" ref="I489">INDEX([2]Sheet1!$F$1:$AF$65808,MATCH(D489&amp;G489&amp;I$1,[2]Sheet1!$B$1:$B$65808&amp;[2]Sheet1!$D$1:$D$65808&amp;[2]Sheet1!$E$1:$E$65808,0),MATCH(H489,[2]Sheet1!$F$1:$AF$1,0))</f>
        <v>05/钳工</v>
      </c>
      <c r="K489" s="3">
        <v>13</v>
      </c>
      <c r="L489" s="19">
        <v>8</v>
      </c>
      <c r="M489" s="19">
        <v>8</v>
      </c>
      <c r="N489" s="5" t="s">
        <v>286</v>
      </c>
      <c r="O489" s="4"/>
      <c r="P489" s="18">
        <v>10</v>
      </c>
      <c r="Q489" s="3"/>
      <c r="R489" s="6"/>
      <c r="S489" s="22"/>
      <c r="U489" s="23">
        <f t="shared" si="8"/>
        <v>2.2000000000000002</v>
      </c>
      <c r="V489" s="24" t="s">
        <v>15</v>
      </c>
    </row>
    <row r="490" spans="1:24" ht="23.1" hidden="1" customHeight="1" x14ac:dyDescent="0.25">
      <c r="A490" s="1" t="s">
        <v>759</v>
      </c>
      <c r="D490" s="3" t="s">
        <v>795</v>
      </c>
      <c r="E490" s="15" t="s">
        <v>523</v>
      </c>
      <c r="F490" s="15" t="str">
        <f>+VLOOKUP(D490,[1]Sheet1!$D$2:$E$29166,2,0)</f>
        <v>三通管接头</v>
      </c>
      <c r="G490" s="3" t="s">
        <v>46</v>
      </c>
      <c r="H490" s="3">
        <v>5</v>
      </c>
      <c r="I490" s="18" t="str">
        <f t="array" ref="I490">INDEX([2]Sheet1!$F$1:$AF$65808,MATCH(D490&amp;G490&amp;I$1,[2]Sheet1!$B$1:$B$65808&amp;[2]Sheet1!$D$1:$D$65808&amp;[2]Sheet1!$E$1:$E$65808,0),MATCH(H490,[2]Sheet1!$F$1:$AF$1,0))</f>
        <v>5/钳工</v>
      </c>
      <c r="K490" s="3">
        <v>43</v>
      </c>
      <c r="L490" s="19">
        <v>8</v>
      </c>
      <c r="M490" s="19">
        <v>8</v>
      </c>
      <c r="N490" s="5" t="s">
        <v>508</v>
      </c>
      <c r="O490" s="4"/>
      <c r="P490" s="18">
        <f t="array" ref="P490">IFERROR(INDEX([2]Sheet1!$F$1:$AF$65808,MATCH($D490&amp;$G490&amp;P$1,[2]Sheet1!$B$1:$B$65808&amp;[2]Sheet1!$D$1:$D$65808&amp;[2]Sheet1!$E$1:$E$65808,0),MATCH($H490,[2]Sheet1!$F$1:$AF$1,0)),0)</f>
        <v>25</v>
      </c>
      <c r="Q490" s="3"/>
      <c r="R490" s="6"/>
      <c r="S490" s="22"/>
      <c r="U490" s="23">
        <f t="shared" si="8"/>
        <v>17.899999999999999</v>
      </c>
      <c r="V490" s="24" t="s">
        <v>15</v>
      </c>
    </row>
    <row r="491" spans="1:24" ht="23.1" hidden="1" customHeight="1" x14ac:dyDescent="0.25">
      <c r="A491" s="1" t="s">
        <v>759</v>
      </c>
      <c r="D491" s="3" t="s">
        <v>796</v>
      </c>
      <c r="E491" s="15" t="s">
        <v>302</v>
      </c>
      <c r="F491" s="15" t="str">
        <f>+VLOOKUP(D491,[1]Sheet1!$D$2:$E$29166,2,0)</f>
        <v>角盒</v>
      </c>
      <c r="G491" s="3" t="s">
        <v>46</v>
      </c>
      <c r="H491" s="3">
        <v>50</v>
      </c>
      <c r="I491" s="18" t="str">
        <f t="array" ref="I491">INDEX([2]Sheet1!$F$1:$AF$65808,MATCH(D491&amp;G491&amp;I$1,[2]Sheet1!$B$1:$B$65808&amp;[2]Sheet1!$D$1:$D$65808&amp;[2]Sheet1!$E$1:$E$65808,0),MATCH(H491,[2]Sheet1!$F$1:$AF$1,0))</f>
        <v>50/钳工</v>
      </c>
      <c r="K491" s="3">
        <v>5</v>
      </c>
      <c r="L491" s="19">
        <v>8</v>
      </c>
      <c r="M491" s="19">
        <v>8</v>
      </c>
      <c r="N491" s="5" t="s">
        <v>797</v>
      </c>
      <c r="O491" s="4"/>
      <c r="P491" s="18">
        <f t="array" ref="P491">IFERROR(INDEX([2]Sheet1!$F$1:$AF$65808,MATCH($D491&amp;$G491&amp;P$1,[2]Sheet1!$B$1:$B$65808&amp;[2]Sheet1!$D$1:$D$65808&amp;[2]Sheet1!$E$1:$E$65808,0),MATCH($H491,[2]Sheet1!$F$1:$AF$1,0)),0)</f>
        <v>60</v>
      </c>
      <c r="Q491" s="3"/>
      <c r="R491" s="6"/>
      <c r="S491" s="22"/>
      <c r="U491" s="23">
        <f t="shared" si="8"/>
        <v>5</v>
      </c>
      <c r="V491" s="24" t="s">
        <v>15</v>
      </c>
    </row>
    <row r="492" spans="1:24" ht="23.1" hidden="1" customHeight="1" x14ac:dyDescent="0.25">
      <c r="A492" s="1" t="s">
        <v>764</v>
      </c>
      <c r="D492" s="3" t="s">
        <v>530</v>
      </c>
      <c r="E492" s="15" t="s">
        <v>531</v>
      </c>
      <c r="F492" s="15" t="str">
        <f>+VLOOKUP(D492,[1]Sheet1!$D$2:$E$29166,2,0)</f>
        <v>转接管接头</v>
      </c>
      <c r="G492" s="3" t="s">
        <v>46</v>
      </c>
      <c r="H492" s="3">
        <v>30</v>
      </c>
      <c r="I492" s="18" t="str">
        <f t="array" ref="I492">INDEX([2]Sheet1!$F$1:$AF$65808,MATCH(D492&amp;G492&amp;I$1,[2]Sheet1!$B$1:$B$65808&amp;[2]Sheet1!$D$1:$D$65808&amp;[2]Sheet1!$E$1:$E$65808,0),MATCH(H492,[2]Sheet1!$F$1:$AF$1,0))</f>
        <v>30/钳回牙</v>
      </c>
      <c r="K492" s="3">
        <v>27</v>
      </c>
      <c r="L492" s="19">
        <v>8</v>
      </c>
      <c r="M492" s="19">
        <v>8</v>
      </c>
      <c r="N492" s="5" t="s">
        <v>88</v>
      </c>
      <c r="O492" s="4"/>
      <c r="P492" s="18" t="str">
        <f t="array" ref="P492">IFERROR(INDEX([2]Sheet1!$F$1:$AF$65808,MATCH($D492&amp;$G492&amp;P$1,[2]Sheet1!$B$1:$B$65808&amp;[2]Sheet1!$D$1:$D$65808&amp;[2]Sheet1!$E$1:$E$65808,0),MATCH($H492,[2]Sheet1!$F$1:$AF$1,0)),0)</f>
        <v>10</v>
      </c>
      <c r="Q492" s="3"/>
      <c r="R492" s="6"/>
      <c r="S492" s="22"/>
      <c r="U492" s="23">
        <f t="shared" si="8"/>
        <v>4.5</v>
      </c>
      <c r="V492" s="24" t="s">
        <v>15</v>
      </c>
    </row>
    <row r="493" spans="1:24" ht="23.1" hidden="1" customHeight="1" x14ac:dyDescent="0.25">
      <c r="A493" s="1" t="s">
        <v>764</v>
      </c>
      <c r="D493" s="3" t="s">
        <v>539</v>
      </c>
      <c r="E493" s="15" t="s">
        <v>540</v>
      </c>
      <c r="F493" s="15" t="str">
        <f>+VLOOKUP(D493,[1]Sheet1!$D$2:$E$29166,2,0)</f>
        <v>变径三通管接头</v>
      </c>
      <c r="G493" s="3" t="s">
        <v>51</v>
      </c>
      <c r="H493" s="3">
        <v>45</v>
      </c>
      <c r="I493" s="18" t="str">
        <f t="array" ref="I493">INDEX([2]Sheet1!$F$1:$AF$65808,MATCH(D493&amp;G493&amp;I$1,[2]Sheet1!$B$1:$B$65808&amp;[2]Sheet1!$D$1:$D$65808&amp;[2]Sheet1!$E$1:$E$65808,0),MATCH(H493,[2]Sheet1!$F$1:$AF$1,0))</f>
        <v>45/钳工</v>
      </c>
      <c r="K493" s="3">
        <v>38</v>
      </c>
      <c r="L493" s="19">
        <v>8</v>
      </c>
      <c r="M493" s="19">
        <v>8</v>
      </c>
      <c r="N493" s="5" t="s">
        <v>283</v>
      </c>
      <c r="O493" s="4"/>
      <c r="P493" s="18" t="str">
        <f t="array" ref="P493">IFERROR(INDEX([2]Sheet1!$F$1:$AF$65808,MATCH($D493&amp;$G493&amp;P$1,[2]Sheet1!$B$1:$B$65808&amp;[2]Sheet1!$D$1:$D$65808&amp;[2]Sheet1!$E$1:$E$65808,0),MATCH($H493,[2]Sheet1!$F$1:$AF$1,0)),0)</f>
        <v>35</v>
      </c>
      <c r="Q493" s="3"/>
      <c r="R493" s="6"/>
      <c r="S493" s="22"/>
      <c r="U493" s="23">
        <f t="shared" si="8"/>
        <v>22.2</v>
      </c>
      <c r="V493" s="24" t="s">
        <v>15</v>
      </c>
    </row>
    <row r="494" spans="1:24" ht="23.1" hidden="1" customHeight="1" x14ac:dyDescent="0.25">
      <c r="A494" s="1" t="s">
        <v>764</v>
      </c>
      <c r="D494" s="3" t="s">
        <v>798</v>
      </c>
      <c r="E494" s="15" t="s">
        <v>799</v>
      </c>
      <c r="F494" s="15" t="str">
        <f>+VLOOKUP(D494,[1]Sheet1!$D$2:$E$29166,2,0)</f>
        <v>密封圈2</v>
      </c>
      <c r="G494" s="3" t="s">
        <v>80</v>
      </c>
      <c r="H494" s="3">
        <v>15</v>
      </c>
      <c r="I494" s="18" t="e">
        <f t="array" ref="I494">INDEX([2]Sheet1!$F$1:$AF$65808,MATCH(D494&amp;G494&amp;I$1,[2]Sheet1!$B$1:$B$65808&amp;[2]Sheet1!$D$1:$D$65808&amp;[2]Sheet1!$E$1:$E$65808,0),MATCH(H494,[2]Sheet1!$F$1:$AF$1,0))</f>
        <v>#N/A</v>
      </c>
      <c r="K494" s="3">
        <v>1321</v>
      </c>
      <c r="L494" s="19">
        <v>8</v>
      </c>
      <c r="M494" s="19">
        <v>8</v>
      </c>
      <c r="N494" s="5" t="s">
        <v>192</v>
      </c>
      <c r="O494" s="4"/>
      <c r="P494" s="18">
        <v>5</v>
      </c>
      <c r="Q494" s="3"/>
      <c r="R494" s="6"/>
      <c r="S494" s="22"/>
      <c r="U494" s="23">
        <f t="shared" si="8"/>
        <v>110.1</v>
      </c>
      <c r="V494" s="24" t="s">
        <v>10</v>
      </c>
    </row>
    <row r="495" spans="1:24" ht="23.1" hidden="1" customHeight="1" x14ac:dyDescent="0.25">
      <c r="A495" s="1" t="s">
        <v>766</v>
      </c>
      <c r="D495" s="3" t="s">
        <v>549</v>
      </c>
      <c r="E495" s="15" t="s">
        <v>76</v>
      </c>
      <c r="F495" s="15" t="str">
        <f>+VLOOKUP(D495,[1]Sheet1!$D$2:$E$29166,2,0)</f>
        <v>接管嘴</v>
      </c>
      <c r="G495" s="3" t="s">
        <v>46</v>
      </c>
      <c r="H495" s="3">
        <v>35</v>
      </c>
      <c r="I495" s="18" t="str">
        <f t="array" ref="I495">INDEX([2]Sheet1!$F$1:$AF$65808,MATCH(D495&amp;G495&amp;I$1,[2]Sheet1!$B$1:$B$65808&amp;[2]Sheet1!$D$1:$D$65808&amp;[2]Sheet1!$E$1:$E$65808,0),MATCH(H495,[2]Sheet1!$F$1:$AF$1,0))</f>
        <v>35/钳工</v>
      </c>
      <c r="K495" s="3">
        <v>24</v>
      </c>
      <c r="L495" s="19">
        <v>8</v>
      </c>
      <c r="M495" s="19">
        <v>8</v>
      </c>
      <c r="N495" s="5" t="s">
        <v>550</v>
      </c>
      <c r="O495" s="4"/>
      <c r="P495" s="18">
        <f t="array" ref="P495">IFERROR(INDEX([2]Sheet1!$F$1:$AF$65808,MATCH($D495&amp;$G495&amp;P$1,[2]Sheet1!$B$1:$B$65808&amp;[2]Sheet1!$D$1:$D$65808&amp;[2]Sheet1!$E$1:$E$65808,0),MATCH($H495,[2]Sheet1!$F$1:$AF$1,0)),0)</f>
        <v>30</v>
      </c>
      <c r="Q495" s="3"/>
      <c r="R495" s="6"/>
      <c r="S495" s="22"/>
      <c r="U495" s="23">
        <f t="shared" si="8"/>
        <v>12</v>
      </c>
      <c r="V495" s="24" t="s">
        <v>10</v>
      </c>
    </row>
    <row r="496" spans="1:24" ht="23.1" hidden="1" customHeight="1" x14ac:dyDescent="0.25">
      <c r="A496" s="1" t="s">
        <v>766</v>
      </c>
      <c r="D496" s="3" t="s">
        <v>800</v>
      </c>
      <c r="E496" s="15" t="s">
        <v>55</v>
      </c>
      <c r="F496" s="15" t="str">
        <f>+VLOOKUP(D496,[1]Sheet1!$D$2:$E$29166,2,0)</f>
        <v>接头</v>
      </c>
      <c r="G496" s="3" t="s">
        <v>80</v>
      </c>
      <c r="H496" s="3">
        <v>30</v>
      </c>
      <c r="I496" s="18" t="str">
        <f t="array" ref="I496">INDEX([2]Sheet1!$F$1:$AF$65808,MATCH(D496&amp;G496&amp;I$1,[2]Sheet1!$B$1:$B$65808&amp;[2]Sheet1!$D$1:$D$65808&amp;[2]Sheet1!$E$1:$E$65808,0),MATCH(H496,[2]Sheet1!$F$1:$AF$1,0))</f>
        <v>30/钳工</v>
      </c>
      <c r="K496" s="3">
        <v>1</v>
      </c>
      <c r="L496" s="19">
        <v>8</v>
      </c>
      <c r="M496" s="19">
        <v>8</v>
      </c>
      <c r="N496" s="5" t="s">
        <v>81</v>
      </c>
      <c r="O496" s="4"/>
      <c r="P496" s="18">
        <f t="array" ref="P496">IFERROR(INDEX([2]Sheet1!$F$1:$AF$65808,MATCH($D496&amp;$G496&amp;P$1,[2]Sheet1!$B$1:$B$65808&amp;[2]Sheet1!$D$1:$D$65808&amp;[2]Sheet1!$E$1:$E$65808,0),MATCH($H496,[2]Sheet1!$F$1:$AF$1,0)),0)</f>
        <v>30</v>
      </c>
      <c r="Q496" s="3"/>
      <c r="R496" s="6"/>
      <c r="S496" s="22"/>
      <c r="U496" s="23">
        <f t="shared" si="8"/>
        <v>0.5</v>
      </c>
      <c r="V496" s="24" t="s">
        <v>10</v>
      </c>
    </row>
    <row r="497" spans="1:24" ht="23.1" hidden="1" customHeight="1" x14ac:dyDescent="0.25">
      <c r="A497" s="1" t="s">
        <v>766</v>
      </c>
      <c r="D497" s="3" t="s">
        <v>801</v>
      </c>
      <c r="E497" s="15" t="s">
        <v>55</v>
      </c>
      <c r="F497" s="15" t="str">
        <f>+VLOOKUP(D497,[1]Sheet1!$D$2:$E$29166,2,0)</f>
        <v>接头</v>
      </c>
      <c r="G497" s="3" t="s">
        <v>80</v>
      </c>
      <c r="H497" s="3">
        <v>30</v>
      </c>
      <c r="I497" s="18" t="str">
        <f t="array" ref="I497">INDEX([2]Sheet1!$F$1:$AF$65808,MATCH(D497&amp;G497&amp;I$1,[2]Sheet1!$B$1:$B$65808&amp;[2]Sheet1!$D$1:$D$65808&amp;[2]Sheet1!$E$1:$E$65808,0),MATCH(H497,[2]Sheet1!$F$1:$AF$1,0))</f>
        <v>30/钳工</v>
      </c>
      <c r="K497" s="3">
        <v>1</v>
      </c>
      <c r="L497" s="19">
        <v>8</v>
      </c>
      <c r="M497" s="19">
        <v>8</v>
      </c>
      <c r="N497" s="5" t="s">
        <v>81</v>
      </c>
      <c r="O497" s="4"/>
      <c r="P497" s="18">
        <f t="array" ref="P497">IFERROR(INDEX([2]Sheet1!$F$1:$AF$65808,MATCH($D497&amp;$G497&amp;P$1,[2]Sheet1!$B$1:$B$65808&amp;[2]Sheet1!$D$1:$D$65808&amp;[2]Sheet1!$E$1:$E$65808,0),MATCH($H497,[2]Sheet1!$F$1:$AF$1,0)),0)</f>
        <v>30</v>
      </c>
      <c r="Q497" s="3"/>
      <c r="R497" s="6"/>
      <c r="S497" s="22"/>
      <c r="U497" s="23">
        <f t="shared" si="8"/>
        <v>0.5</v>
      </c>
      <c r="V497" s="24" t="s">
        <v>10</v>
      </c>
    </row>
    <row r="498" spans="1:24" ht="23.1" hidden="1" customHeight="1" x14ac:dyDescent="0.25">
      <c r="A498" s="1" t="s">
        <v>802</v>
      </c>
      <c r="D498" s="3" t="s">
        <v>803</v>
      </c>
      <c r="E498" s="15" t="s">
        <v>804</v>
      </c>
      <c r="F498" s="15" t="str">
        <f>+VLOOKUP(D498,[1]Sheet1!$D$2:$E$29166,2,0)</f>
        <v>密封圈1</v>
      </c>
      <c r="G498" s="3" t="s">
        <v>80</v>
      </c>
      <c r="H498" s="3">
        <v>10</v>
      </c>
      <c r="I498" s="18" t="e">
        <f t="array" ref="I498">INDEX([2]Sheet1!$F$1:$AF$65808,MATCH(D498&amp;G498&amp;I$1,[2]Sheet1!$B$1:$B$65808&amp;[2]Sheet1!$D$1:$D$65808&amp;[2]Sheet1!$E$1:$E$65808,0),MATCH(H498,[2]Sheet1!$F$1:$AF$1,0))</f>
        <v>#N/A</v>
      </c>
      <c r="K498" s="3">
        <v>1363</v>
      </c>
      <c r="L498" s="19">
        <v>8</v>
      </c>
      <c r="M498" s="19">
        <v>8</v>
      </c>
      <c r="N498" s="5" t="s">
        <v>192</v>
      </c>
      <c r="O498" s="4"/>
      <c r="P498" s="18">
        <v>8</v>
      </c>
      <c r="Q498" s="3"/>
      <c r="R498" s="6"/>
      <c r="S498" s="22"/>
      <c r="U498" s="23">
        <f t="shared" si="8"/>
        <v>181.7</v>
      </c>
      <c r="V498" s="24" t="s">
        <v>2</v>
      </c>
      <c r="W498" s="7" t="s">
        <v>805</v>
      </c>
    </row>
    <row r="499" spans="1:24" ht="23.1" hidden="1" customHeight="1" x14ac:dyDescent="0.25">
      <c r="A499" s="1" t="s">
        <v>759</v>
      </c>
      <c r="D499" s="3" t="s">
        <v>806</v>
      </c>
      <c r="E499" s="15" t="s">
        <v>120</v>
      </c>
      <c r="F499" s="15" t="str">
        <f>+VLOOKUP(D499,[1]Sheet1!$D$2:$E$29166,2,0)</f>
        <v>支架</v>
      </c>
      <c r="G499" s="3" t="s">
        <v>114</v>
      </c>
      <c r="H499" s="3">
        <v>35</v>
      </c>
      <c r="I499" s="18" t="str">
        <f t="array" ref="I499">INDEX([2]Sheet1!$F$1:$AF$65808,MATCH(D499&amp;G499&amp;I$1,[2]Sheet1!$B$1:$B$65808&amp;[2]Sheet1!$D$1:$D$65808&amp;[2]Sheet1!$E$1:$E$65808,0),MATCH(H499,[2]Sheet1!$F$1:$AF$1,0))</f>
        <v>35/钳工</v>
      </c>
      <c r="K499" s="3">
        <v>21</v>
      </c>
      <c r="L499" s="19">
        <v>8</v>
      </c>
      <c r="M499" s="19">
        <v>8</v>
      </c>
      <c r="N499" s="5" t="s">
        <v>56</v>
      </c>
      <c r="O499" s="4"/>
      <c r="P499" s="18">
        <f t="array" ref="P499">IFERROR(INDEX([2]Sheet1!$F$1:$AF$65808,MATCH($D499&amp;$G499&amp;P$1,[2]Sheet1!$B$1:$B$65808&amp;[2]Sheet1!$D$1:$D$65808&amp;[2]Sheet1!$E$1:$E$65808,0),MATCH($H499,[2]Sheet1!$F$1:$AF$1,0)),0)</f>
        <v>30</v>
      </c>
      <c r="Q499" s="3"/>
      <c r="R499" s="6"/>
      <c r="S499" s="22"/>
      <c r="U499" s="23">
        <f t="shared" si="8"/>
        <v>10.5</v>
      </c>
      <c r="V499" s="24" t="s">
        <v>2</v>
      </c>
    </row>
    <row r="500" spans="1:24" ht="23.1" hidden="1" customHeight="1" x14ac:dyDescent="0.25">
      <c r="A500" s="1" t="s">
        <v>759</v>
      </c>
      <c r="D500" s="3" t="s">
        <v>807</v>
      </c>
      <c r="E500" s="15" t="s">
        <v>808</v>
      </c>
      <c r="F500" s="15" t="str">
        <f>+VLOOKUP(D500,[1]Sheet1!$D$2:$E$29166,2,0)</f>
        <v>实心块</v>
      </c>
      <c r="G500" s="3" t="s">
        <v>46</v>
      </c>
      <c r="H500" s="3">
        <v>30</v>
      </c>
      <c r="I500" s="18" t="str">
        <f t="array" ref="I500">INDEX([2]Sheet1!$F$1:$AF$65808,MATCH(D500&amp;G500&amp;I$1,[2]Sheet1!$B$1:$B$65808&amp;[2]Sheet1!$D$1:$D$65808&amp;[2]Sheet1!$E$1:$E$65808,0),MATCH(H500,[2]Sheet1!$F$1:$AF$1,0))</f>
        <v>30/钳工</v>
      </c>
      <c r="K500" s="3">
        <v>5</v>
      </c>
      <c r="L500" s="19">
        <v>8</v>
      </c>
      <c r="M500" s="19">
        <v>8</v>
      </c>
      <c r="N500" s="5" t="s">
        <v>440</v>
      </c>
      <c r="O500" s="4"/>
      <c r="P500" s="18">
        <f t="array" ref="P500">IFERROR(INDEX([2]Sheet1!$F$1:$AF$65808,MATCH($D500&amp;$G500&amp;P$1,[2]Sheet1!$B$1:$B$65808&amp;[2]Sheet1!$D$1:$D$65808&amp;[2]Sheet1!$E$1:$E$65808,0),MATCH($H500,[2]Sheet1!$F$1:$AF$1,0)),0)</f>
        <v>45</v>
      </c>
      <c r="Q500" s="3"/>
      <c r="R500" s="6"/>
      <c r="S500" s="22"/>
      <c r="U500" s="23">
        <f t="shared" si="8"/>
        <v>3.8</v>
      </c>
      <c r="V500" s="24" t="s">
        <v>2</v>
      </c>
    </row>
    <row r="501" spans="1:24" ht="23.1" hidden="1" customHeight="1" x14ac:dyDescent="0.25">
      <c r="A501" s="1" t="s">
        <v>759</v>
      </c>
      <c r="D501" s="3" t="s">
        <v>809</v>
      </c>
      <c r="E501" s="15" t="s">
        <v>808</v>
      </c>
      <c r="F501" s="15" t="str">
        <f>+VLOOKUP(D501,[1]Sheet1!$D$2:$E$29166,2,0)</f>
        <v>实心块</v>
      </c>
      <c r="G501" s="3" t="s">
        <v>46</v>
      </c>
      <c r="H501" s="3">
        <v>30</v>
      </c>
      <c r="I501" s="18" t="str">
        <f t="array" ref="I501">INDEX([2]Sheet1!$F$1:$AF$65808,MATCH(D501&amp;G501&amp;I$1,[2]Sheet1!$B$1:$B$65808&amp;[2]Sheet1!$D$1:$D$65808&amp;[2]Sheet1!$E$1:$E$65808,0),MATCH(H501,[2]Sheet1!$F$1:$AF$1,0))</f>
        <v>30/钳工</v>
      </c>
      <c r="K501" s="3">
        <v>5</v>
      </c>
      <c r="L501" s="19">
        <v>8</v>
      </c>
      <c r="M501" s="19">
        <v>8</v>
      </c>
      <c r="N501" s="5" t="s">
        <v>440</v>
      </c>
      <c r="O501" s="4"/>
      <c r="P501" s="18">
        <f t="array" ref="P501">IFERROR(INDEX([2]Sheet1!$F$1:$AF$65808,MATCH($D501&amp;$G501&amp;P$1,[2]Sheet1!$B$1:$B$65808&amp;[2]Sheet1!$D$1:$D$65808&amp;[2]Sheet1!$E$1:$E$65808,0),MATCH($H501,[2]Sheet1!$F$1:$AF$1,0)),0)</f>
        <v>45</v>
      </c>
      <c r="Q501" s="3"/>
      <c r="R501" s="6"/>
      <c r="S501" s="22"/>
      <c r="U501" s="23">
        <f t="shared" si="8"/>
        <v>3.8</v>
      </c>
      <c r="V501" s="24" t="s">
        <v>2</v>
      </c>
    </row>
    <row r="502" spans="1:24" ht="23.1" hidden="1" customHeight="1" x14ac:dyDescent="0.25">
      <c r="A502" s="1" t="s">
        <v>759</v>
      </c>
      <c r="D502" s="3" t="s">
        <v>809</v>
      </c>
      <c r="E502" s="15" t="s">
        <v>808</v>
      </c>
      <c r="F502" s="15" t="str">
        <f>+VLOOKUP(D502,[1]Sheet1!$D$2:$E$29166,2,0)</f>
        <v>实心块</v>
      </c>
      <c r="G502" s="3" t="s">
        <v>46</v>
      </c>
      <c r="H502" s="3">
        <v>30</v>
      </c>
      <c r="I502" s="18" t="str">
        <f t="array" ref="I502">INDEX([2]Sheet1!$F$1:$AF$65808,MATCH(D502&amp;G502&amp;I$1,[2]Sheet1!$B$1:$B$65808&amp;[2]Sheet1!$D$1:$D$65808&amp;[2]Sheet1!$E$1:$E$65808,0),MATCH(H502,[2]Sheet1!$F$1:$AF$1,0))</f>
        <v>30/钳工</v>
      </c>
      <c r="K502" s="3">
        <v>5</v>
      </c>
      <c r="L502" s="19">
        <v>8</v>
      </c>
      <c r="M502" s="19">
        <v>8</v>
      </c>
      <c r="N502" s="5" t="s">
        <v>56</v>
      </c>
      <c r="O502" s="4"/>
      <c r="P502" s="18">
        <f t="array" ref="P502">IFERROR(INDEX([2]Sheet1!$F$1:$AF$65808,MATCH($D502&amp;$G502&amp;P$1,[2]Sheet1!$B$1:$B$65808&amp;[2]Sheet1!$D$1:$D$65808&amp;[2]Sheet1!$E$1:$E$65808,0),MATCH($H502,[2]Sheet1!$F$1:$AF$1,0)),0)</f>
        <v>45</v>
      </c>
      <c r="Q502" s="3"/>
      <c r="R502" s="6"/>
      <c r="S502" s="22"/>
      <c r="U502" s="23">
        <f t="shared" si="8"/>
        <v>3.8</v>
      </c>
      <c r="V502" s="24" t="s">
        <v>2</v>
      </c>
    </row>
    <row r="503" spans="1:24" ht="23.1" hidden="1" customHeight="1" x14ac:dyDescent="0.25">
      <c r="A503" s="1" t="s">
        <v>759</v>
      </c>
      <c r="D503" s="3" t="s">
        <v>807</v>
      </c>
      <c r="E503" s="15" t="s">
        <v>808</v>
      </c>
      <c r="F503" s="15" t="str">
        <f>+VLOOKUP(D503,[1]Sheet1!$D$2:$E$29166,2,0)</f>
        <v>实心块</v>
      </c>
      <c r="G503" s="3" t="s">
        <v>46</v>
      </c>
      <c r="H503" s="3">
        <v>30</v>
      </c>
      <c r="I503" s="18" t="str">
        <f t="array" ref="I503">INDEX([2]Sheet1!$F$1:$AF$65808,MATCH(D503&amp;G503&amp;I$1,[2]Sheet1!$B$1:$B$65808&amp;[2]Sheet1!$D$1:$D$65808&amp;[2]Sheet1!$E$1:$E$65808,0),MATCH(H503,[2]Sheet1!$F$1:$AF$1,0))</f>
        <v>30/钳工</v>
      </c>
      <c r="K503" s="3">
        <v>5</v>
      </c>
      <c r="L503" s="19">
        <v>8</v>
      </c>
      <c r="M503" s="19">
        <v>8</v>
      </c>
      <c r="N503" s="5" t="s">
        <v>56</v>
      </c>
      <c r="O503" s="4"/>
      <c r="P503" s="18">
        <f t="array" ref="P503">IFERROR(INDEX([2]Sheet1!$F$1:$AF$65808,MATCH($D503&amp;$G503&amp;P$1,[2]Sheet1!$B$1:$B$65808&amp;[2]Sheet1!$D$1:$D$65808&amp;[2]Sheet1!$E$1:$E$65808,0),MATCH($H503,[2]Sheet1!$F$1:$AF$1,0)),0)</f>
        <v>45</v>
      </c>
      <c r="Q503" s="3"/>
      <c r="R503" s="6"/>
      <c r="S503" s="22"/>
      <c r="U503" s="23">
        <f t="shared" si="8"/>
        <v>3.8</v>
      </c>
      <c r="V503" s="24" t="s">
        <v>2</v>
      </c>
    </row>
    <row r="504" spans="1:24" ht="23.1" hidden="1" customHeight="1" x14ac:dyDescent="0.25">
      <c r="A504" s="1" t="s">
        <v>764</v>
      </c>
      <c r="D504" s="3" t="s">
        <v>810</v>
      </c>
      <c r="E504" s="15" t="s">
        <v>55</v>
      </c>
      <c r="F504" s="15" t="str">
        <f>+VLOOKUP(D504,[1]Sheet1!$D$2:$E$29166,2,0)</f>
        <v>接头</v>
      </c>
      <c r="G504" s="3" t="s">
        <v>80</v>
      </c>
      <c r="H504" s="3">
        <v>35</v>
      </c>
      <c r="I504" s="18" t="str">
        <f t="array" ref="I504">INDEX([2]Sheet1!$F$1:$AF$65808,MATCH(D504&amp;G504&amp;I$1,[2]Sheet1!$B$1:$B$65808&amp;[2]Sheet1!$D$1:$D$65808&amp;[2]Sheet1!$E$1:$E$65808,0),MATCH(H504,[2]Sheet1!$F$1:$AF$1,0))</f>
        <v>35钳工</v>
      </c>
      <c r="K504" s="3">
        <v>4</v>
      </c>
      <c r="L504" s="19">
        <v>8</v>
      </c>
      <c r="M504" s="19">
        <v>8</v>
      </c>
      <c r="N504" s="5" t="s">
        <v>81</v>
      </c>
      <c r="O504" s="4"/>
      <c r="P504" s="18">
        <f t="array" ref="P504">IFERROR(INDEX([2]Sheet1!$F$1:$AF$65808,MATCH($D504&amp;$G504&amp;P$1,[2]Sheet1!$B$1:$B$65808&amp;[2]Sheet1!$D$1:$D$65808&amp;[2]Sheet1!$E$1:$E$65808,0),MATCH($H504,[2]Sheet1!$F$1:$AF$1,0)),0)</f>
        <v>35</v>
      </c>
      <c r="Q504" s="3"/>
      <c r="R504" s="6"/>
      <c r="S504" s="22"/>
      <c r="U504" s="23">
        <f t="shared" si="8"/>
        <v>2.2999999999999998</v>
      </c>
      <c r="V504" s="24" t="s">
        <v>2</v>
      </c>
    </row>
    <row r="505" spans="1:24" ht="23.1" hidden="1" customHeight="1" x14ac:dyDescent="0.25">
      <c r="A505" s="1" t="s">
        <v>764</v>
      </c>
      <c r="D505" s="3" t="s">
        <v>811</v>
      </c>
      <c r="E505" s="15" t="s">
        <v>55</v>
      </c>
      <c r="F505" s="15" t="str">
        <f>+VLOOKUP(D505,[1]Sheet1!$D$2:$E$29166,2,0)</f>
        <v>接头</v>
      </c>
      <c r="G505" s="3" t="s">
        <v>80</v>
      </c>
      <c r="H505" s="3">
        <v>35</v>
      </c>
      <c r="I505" s="18" t="str">
        <f t="array" ref="I505">INDEX([2]Sheet1!$F$1:$AF$65808,MATCH(D505&amp;G505&amp;I$1,[2]Sheet1!$B$1:$B$65808&amp;[2]Sheet1!$D$1:$D$65808&amp;[2]Sheet1!$E$1:$E$65808,0),MATCH(H505,[2]Sheet1!$F$1:$AF$1,0))</f>
        <v>35钳工</v>
      </c>
      <c r="K505" s="3">
        <v>4</v>
      </c>
      <c r="L505" s="19">
        <v>8</v>
      </c>
      <c r="M505" s="19">
        <v>8</v>
      </c>
      <c r="N505" s="5" t="s">
        <v>81</v>
      </c>
      <c r="O505" s="4"/>
      <c r="P505" s="18">
        <f t="array" ref="P505">IFERROR(INDEX([2]Sheet1!$F$1:$AF$65808,MATCH($D505&amp;$G505&amp;P$1,[2]Sheet1!$B$1:$B$65808&amp;[2]Sheet1!$D$1:$D$65808&amp;[2]Sheet1!$E$1:$E$65808,0),MATCH($H505,[2]Sheet1!$F$1:$AF$1,0)),0)</f>
        <v>35</v>
      </c>
      <c r="Q505" s="3"/>
      <c r="R505" s="6"/>
      <c r="S505" s="22"/>
      <c r="U505" s="23">
        <f t="shared" si="8"/>
        <v>2.2999999999999998</v>
      </c>
      <c r="V505" s="24" t="s">
        <v>2</v>
      </c>
    </row>
    <row r="506" spans="1:24" ht="23.1" hidden="1" customHeight="1" x14ac:dyDescent="0.25">
      <c r="A506" s="1" t="s">
        <v>764</v>
      </c>
      <c r="D506" s="3" t="s">
        <v>549</v>
      </c>
      <c r="E506" s="15" t="s">
        <v>76</v>
      </c>
      <c r="F506" s="15" t="str">
        <f>+VLOOKUP(D506,[1]Sheet1!$D$2:$E$29166,2,0)</f>
        <v>接管嘴</v>
      </c>
      <c r="G506" s="3" t="s">
        <v>46</v>
      </c>
      <c r="H506" s="3">
        <v>35</v>
      </c>
      <c r="I506" s="18" t="str">
        <f t="array" ref="I506">INDEX([2]Sheet1!$F$1:$AF$65808,MATCH(D506&amp;G506&amp;I$1,[2]Sheet1!$B$1:$B$65808&amp;[2]Sheet1!$D$1:$D$65808&amp;[2]Sheet1!$E$1:$E$65808,0),MATCH(H506,[2]Sheet1!$F$1:$AF$1,0))</f>
        <v>35/钳工</v>
      </c>
      <c r="K506" s="3">
        <v>22</v>
      </c>
      <c r="L506" s="19">
        <v>8</v>
      </c>
      <c r="M506" s="19">
        <v>8</v>
      </c>
      <c r="N506" s="5" t="s">
        <v>812</v>
      </c>
      <c r="O506" s="4"/>
      <c r="P506" s="18">
        <f t="array" ref="P506">IFERROR(INDEX([2]Sheet1!$F$1:$AF$65808,MATCH($D506&amp;$G506&amp;P$1,[2]Sheet1!$B$1:$B$65808&amp;[2]Sheet1!$D$1:$D$65808&amp;[2]Sheet1!$E$1:$E$65808,0),MATCH($H506,[2]Sheet1!$F$1:$AF$1,0)),0)</f>
        <v>30</v>
      </c>
      <c r="Q506" s="3"/>
      <c r="R506" s="6"/>
      <c r="S506" s="22"/>
      <c r="U506" s="23">
        <f t="shared" si="8"/>
        <v>11</v>
      </c>
      <c r="V506" s="24" t="s">
        <v>2</v>
      </c>
    </row>
    <row r="507" spans="1:24" ht="23.1" hidden="1" customHeight="1" x14ac:dyDescent="0.25">
      <c r="A507" s="1" t="s">
        <v>759</v>
      </c>
      <c r="D507" s="3" t="s">
        <v>813</v>
      </c>
      <c r="E507" s="15" t="s">
        <v>814</v>
      </c>
      <c r="F507" s="15" t="str">
        <f>+VLOOKUP(D507,[1]Sheet1!$D$2:$E$29166,2,0)</f>
        <v>堵头</v>
      </c>
      <c r="G507" s="3" t="s">
        <v>46</v>
      </c>
      <c r="H507" s="3" t="s">
        <v>340</v>
      </c>
      <c r="I507" s="18" t="e">
        <f t="array" ref="I507">INDEX([2]Sheet1!$F$1:$AF$65808,MATCH(D507&amp;G507&amp;I$1,[2]Sheet1!$B$1:$B$65808&amp;[2]Sheet1!$D$1:$D$65808&amp;[2]Sheet1!$E$1:$E$65808,0),MATCH(H507,[2]Sheet1!$F$1:$AF$1,0))</f>
        <v>#N/A</v>
      </c>
      <c r="K507" s="3">
        <v>7</v>
      </c>
      <c r="L507" s="19">
        <v>8</v>
      </c>
      <c r="M507" s="19">
        <v>8</v>
      </c>
      <c r="N507" s="5" t="s">
        <v>474</v>
      </c>
      <c r="O507" s="4"/>
      <c r="P507" s="18">
        <v>50</v>
      </c>
      <c r="Q507" s="3"/>
      <c r="R507" s="6"/>
      <c r="S507" s="22"/>
      <c r="U507" s="23">
        <f t="shared" si="8"/>
        <v>5.8</v>
      </c>
      <c r="V507" s="24" t="s">
        <v>12</v>
      </c>
      <c r="W507" s="7" t="s">
        <v>545</v>
      </c>
      <c r="X507" s="7" t="s">
        <v>203</v>
      </c>
    </row>
    <row r="508" spans="1:24" ht="23.1" hidden="1" customHeight="1" x14ac:dyDescent="0.25">
      <c r="A508" s="1" t="s">
        <v>815</v>
      </c>
      <c r="D508" s="3" t="s">
        <v>816</v>
      </c>
      <c r="E508" s="15" t="s">
        <v>817</v>
      </c>
      <c r="F508" s="15" t="str">
        <f>+VLOOKUP(D508,[1]Sheet1!$D$2:$E$29166,2,0)</f>
        <v>套筒</v>
      </c>
      <c r="G508" s="3" t="s">
        <v>51</v>
      </c>
      <c r="H508" s="3">
        <v>30</v>
      </c>
      <c r="I508" s="18" t="str">
        <f t="array" ref="I508">INDEX([2]Sheet1!$F$1:$AF$65808,MATCH(D508&amp;G508&amp;I$1,[2]Sheet1!$B$1:$B$65808&amp;[2]Sheet1!$D$1:$D$65808&amp;[2]Sheet1!$E$1:$E$65808,0),MATCH(H508,[2]Sheet1!$F$1:$AF$1,0))</f>
        <v>30/钳工</v>
      </c>
      <c r="K508" s="3">
        <v>40</v>
      </c>
      <c r="L508" s="19">
        <v>8</v>
      </c>
      <c r="M508" s="19">
        <v>8</v>
      </c>
      <c r="N508" s="5" t="s">
        <v>700</v>
      </c>
      <c r="O508" s="4"/>
      <c r="P508" s="18">
        <f t="array" ref="P508">IFERROR(INDEX([2]Sheet1!$F$1:$AF$65808,MATCH($D508&amp;$G508&amp;P$1,[2]Sheet1!$B$1:$B$65808&amp;[2]Sheet1!$D$1:$D$65808&amp;[2]Sheet1!$E$1:$E$65808,0),MATCH($H508,[2]Sheet1!$F$1:$AF$1,0)),0)</f>
        <v>20</v>
      </c>
      <c r="Q508" s="3"/>
      <c r="R508" s="6"/>
      <c r="S508" s="22"/>
      <c r="U508" s="23">
        <f t="shared" si="8"/>
        <v>13.3</v>
      </c>
      <c r="V508" s="24" t="s">
        <v>12</v>
      </c>
    </row>
    <row r="509" spans="1:24" ht="23.1" hidden="1" customHeight="1" x14ac:dyDescent="0.25">
      <c r="A509" s="1" t="s">
        <v>764</v>
      </c>
      <c r="D509" s="3" t="s">
        <v>549</v>
      </c>
      <c r="E509" s="15" t="s">
        <v>76</v>
      </c>
      <c r="F509" s="15" t="str">
        <f>+VLOOKUP(D509,[1]Sheet1!$D$2:$E$29166,2,0)</f>
        <v>接管嘴</v>
      </c>
      <c r="G509" s="3" t="s">
        <v>46</v>
      </c>
      <c r="H509" s="3">
        <v>35</v>
      </c>
      <c r="I509" s="18" t="str">
        <f t="array" ref="I509">INDEX([2]Sheet1!$F$1:$AF$65808,MATCH(D509&amp;G509&amp;I$1,[2]Sheet1!$B$1:$B$65808&amp;[2]Sheet1!$D$1:$D$65808&amp;[2]Sheet1!$E$1:$E$65808,0),MATCH(H509,[2]Sheet1!$F$1:$AF$1,0))</f>
        <v>35/钳工</v>
      </c>
      <c r="K509" s="3">
        <v>22</v>
      </c>
      <c r="L509" s="19">
        <v>8</v>
      </c>
      <c r="M509" s="19">
        <v>8</v>
      </c>
      <c r="N509" s="5" t="s">
        <v>700</v>
      </c>
      <c r="O509" s="4"/>
      <c r="P509" s="18">
        <f t="array" ref="P509">IFERROR(INDEX([2]Sheet1!$F$1:$AF$65808,MATCH($D509&amp;$G509&amp;P$1,[2]Sheet1!$B$1:$B$65808&amp;[2]Sheet1!$D$1:$D$65808&amp;[2]Sheet1!$E$1:$E$65808,0),MATCH($H509,[2]Sheet1!$F$1:$AF$1,0)),0)</f>
        <v>30</v>
      </c>
      <c r="Q509" s="3"/>
      <c r="R509" s="6"/>
      <c r="S509" s="22"/>
      <c r="U509" s="23">
        <f t="shared" si="8"/>
        <v>11</v>
      </c>
      <c r="V509" s="24" t="s">
        <v>12</v>
      </c>
    </row>
    <row r="510" spans="1:24" ht="23.1" hidden="1" customHeight="1" x14ac:dyDescent="0.25">
      <c r="A510" s="1" t="s">
        <v>764</v>
      </c>
      <c r="D510" s="3" t="s">
        <v>818</v>
      </c>
      <c r="E510" s="15" t="s">
        <v>819</v>
      </c>
      <c r="F510" s="15" t="str">
        <f>+VLOOKUP(D510,[1]Sheet1!$D$2:$E$29166,2,0)</f>
        <v>盖</v>
      </c>
      <c r="G510" s="3" t="s">
        <v>46</v>
      </c>
      <c r="H510" s="3" t="s">
        <v>340</v>
      </c>
      <c r="I510" s="18" t="e">
        <f t="array" ref="I510">INDEX([2]Sheet1!$F$1:$AF$65808,MATCH(D510&amp;G510&amp;I$1,[2]Sheet1!$B$1:$B$65808&amp;[2]Sheet1!$D$1:$D$65808&amp;[2]Sheet1!$E$1:$E$65808,0),MATCH(H510,[2]Sheet1!$F$1:$AF$1,0))</f>
        <v>#N/A</v>
      </c>
      <c r="K510" s="3">
        <v>60</v>
      </c>
      <c r="L510" s="19"/>
      <c r="M510" s="19"/>
      <c r="N510" s="5" t="s">
        <v>56</v>
      </c>
      <c r="O510" s="4"/>
      <c r="P510" s="18">
        <v>15</v>
      </c>
      <c r="Q510" s="3"/>
      <c r="R510" s="6"/>
      <c r="S510" s="22"/>
      <c r="U510" s="23">
        <f t="shared" si="8"/>
        <v>15</v>
      </c>
      <c r="V510" s="24" t="s">
        <v>12</v>
      </c>
      <c r="W510" s="7" t="s">
        <v>257</v>
      </c>
      <c r="X510" s="7" t="s">
        <v>203</v>
      </c>
    </row>
    <row r="511" spans="1:24" ht="22.95" hidden="1" customHeight="1" x14ac:dyDescent="0.25">
      <c r="A511" s="1" t="s">
        <v>121</v>
      </c>
      <c r="D511" s="3" t="s">
        <v>820</v>
      </c>
      <c r="E511" s="15" t="s">
        <v>717</v>
      </c>
      <c r="F511" s="15" t="str">
        <f>+VLOOKUP(D511,[1]Sheet1!$D$2:$E$29166,2,0)</f>
        <v>耳环螺栓</v>
      </c>
      <c r="G511" s="3" t="s">
        <v>80</v>
      </c>
      <c r="H511" s="3" t="s">
        <v>340</v>
      </c>
      <c r="I511" s="18" t="e">
        <f t="array" ref="I511">INDEX([2]Sheet1!$F$1:$AF$65808,MATCH(D511&amp;G511&amp;I$1,[2]Sheet1!$B$1:$B$65808&amp;[2]Sheet1!$D$1:$D$65808&amp;[2]Sheet1!$E$1:$E$65808,0),MATCH(H511,[2]Sheet1!$F$1:$AF$1,0))</f>
        <v>#N/A</v>
      </c>
      <c r="K511" s="3">
        <v>23</v>
      </c>
      <c r="L511" s="19">
        <v>8</v>
      </c>
      <c r="M511" s="19">
        <v>8</v>
      </c>
      <c r="O511" s="4"/>
      <c r="P511" s="18">
        <f t="array" ref="P511">IFERROR(INDEX([2]Sheet1!$F$1:$AF$65808,MATCH($D511&amp;$G511&amp;P$1,[2]Sheet1!$B$1:$B$65808&amp;[2]Sheet1!$D$1:$D$65808&amp;[2]Sheet1!$E$1:$E$65808,0),MATCH($H511,[2]Sheet1!$F$1:$AF$1,0)),0)</f>
        <v>0</v>
      </c>
      <c r="Q511" s="3"/>
      <c r="R511" s="6"/>
      <c r="S511" s="22"/>
      <c r="T511" s="7">
        <v>2</v>
      </c>
      <c r="U511" s="23">
        <f t="shared" ref="U511:U542" si="9">ROUND((K511*P511+Q511*S511)/60+T511,1)</f>
        <v>2</v>
      </c>
      <c r="V511" s="24" t="s">
        <v>8</v>
      </c>
      <c r="W511" s="7" t="s">
        <v>821</v>
      </c>
      <c r="X511" s="7" t="s">
        <v>203</v>
      </c>
    </row>
    <row r="512" spans="1:24" ht="22.95" hidden="1" customHeight="1" x14ac:dyDescent="0.25">
      <c r="A512" s="1" t="s">
        <v>121</v>
      </c>
      <c r="D512" s="3" t="s">
        <v>822</v>
      </c>
      <c r="E512" s="15" t="s">
        <v>168</v>
      </c>
      <c r="F512" s="15" t="str">
        <f>+VLOOKUP(D512,[1]Sheet1!$D$2:$E$29166,2,0)</f>
        <v>介质固定块B</v>
      </c>
      <c r="G512" s="3" t="s">
        <v>80</v>
      </c>
      <c r="H512" s="3" t="s">
        <v>340</v>
      </c>
      <c r="I512" s="18" t="e">
        <f t="array" ref="I512">INDEX([2]Sheet1!$F$1:$AF$65808,MATCH(D512&amp;G512&amp;I$1,[2]Sheet1!$B$1:$B$65808&amp;[2]Sheet1!$D$1:$D$65808&amp;[2]Sheet1!$E$1:$E$65808,0),MATCH(H512,[2]Sheet1!$F$1:$AF$1,0))</f>
        <v>#N/A</v>
      </c>
      <c r="K512" s="3">
        <v>40</v>
      </c>
      <c r="L512" s="19">
        <v>8</v>
      </c>
      <c r="M512" s="19">
        <v>8</v>
      </c>
      <c r="N512" s="5" t="s">
        <v>823</v>
      </c>
      <c r="O512" s="4"/>
      <c r="P512" s="18">
        <v>10</v>
      </c>
      <c r="Q512" s="3"/>
      <c r="R512" s="6"/>
      <c r="S512" s="22"/>
      <c r="U512" s="23">
        <f t="shared" si="9"/>
        <v>6.7</v>
      </c>
      <c r="V512" s="24" t="s">
        <v>8</v>
      </c>
      <c r="W512" s="7" t="s">
        <v>518</v>
      </c>
      <c r="X512" s="7" t="s">
        <v>203</v>
      </c>
    </row>
    <row r="513" spans="1:24" ht="22.95" hidden="1" customHeight="1" x14ac:dyDescent="0.25">
      <c r="A513" s="1" t="s">
        <v>53</v>
      </c>
      <c r="D513" s="3" t="s">
        <v>824</v>
      </c>
      <c r="E513" s="15" t="s">
        <v>717</v>
      </c>
      <c r="F513" s="15" t="str">
        <f>+VLOOKUP(D513,[1]Sheet1!$D$2:$E$29166,2,0)</f>
        <v>耳环螺栓</v>
      </c>
      <c r="G513" s="3" t="s">
        <v>80</v>
      </c>
      <c r="H513" s="3" t="s">
        <v>340</v>
      </c>
      <c r="I513" s="18" t="e">
        <f t="array" ref="I513">INDEX([2]Sheet1!$F$1:$AF$65808,MATCH(D513&amp;G513&amp;I$1,[2]Sheet1!$B$1:$B$65808&amp;[2]Sheet1!$D$1:$D$65808&amp;[2]Sheet1!$E$1:$E$65808,0),MATCH(H513,[2]Sheet1!$F$1:$AF$1,0))</f>
        <v>#N/A</v>
      </c>
      <c r="K513" s="3">
        <v>24</v>
      </c>
      <c r="L513" s="19">
        <v>8</v>
      </c>
      <c r="M513" s="19">
        <v>8</v>
      </c>
      <c r="N513" s="5" t="s">
        <v>825</v>
      </c>
      <c r="O513" s="4"/>
      <c r="P513" s="18">
        <f t="array" ref="P513">IFERROR(INDEX([2]Sheet1!$F$1:$AF$65808,MATCH($D513&amp;$G513&amp;P$1,[2]Sheet1!$B$1:$B$65808&amp;[2]Sheet1!$D$1:$D$65808&amp;[2]Sheet1!$E$1:$E$65808,0),MATCH($H513,[2]Sheet1!$F$1:$AF$1,0)),0)</f>
        <v>0</v>
      </c>
      <c r="Q513" s="3"/>
      <c r="R513" s="6"/>
      <c r="S513" s="22"/>
      <c r="T513" s="7">
        <v>2</v>
      </c>
      <c r="U513" s="23">
        <f t="shared" si="9"/>
        <v>2</v>
      </c>
      <c r="V513" s="24" t="s">
        <v>8</v>
      </c>
      <c r="W513" s="7" t="s">
        <v>821</v>
      </c>
      <c r="X513" s="7" t="s">
        <v>203</v>
      </c>
    </row>
    <row r="514" spans="1:24" ht="22.95" hidden="1" customHeight="1" x14ac:dyDescent="0.25">
      <c r="A514" s="1" t="s">
        <v>82</v>
      </c>
      <c r="D514" s="3" t="s">
        <v>194</v>
      </c>
      <c r="E514" s="15" t="s">
        <v>195</v>
      </c>
      <c r="F514" s="15" t="str">
        <f>+VLOOKUP(D514,[1]Sheet1!$D$2:$E$29166,2,0)</f>
        <v>小衬套</v>
      </c>
      <c r="G514" s="3" t="s">
        <v>64</v>
      </c>
      <c r="H514" s="3" t="s">
        <v>340</v>
      </c>
      <c r="I514" s="18" t="e">
        <f t="array" ref="I514">INDEX([2]Sheet1!$F$1:$AF$65808,MATCH(D514&amp;G514&amp;I$1,[2]Sheet1!$B$1:$B$65808&amp;[2]Sheet1!$D$1:$D$65808&amp;[2]Sheet1!$E$1:$E$65808,0),MATCH(H514,[2]Sheet1!$F$1:$AF$1,0))</f>
        <v>#N/A</v>
      </c>
      <c r="K514" s="3">
        <v>37</v>
      </c>
      <c r="L514" s="19">
        <v>8</v>
      </c>
      <c r="M514" s="19">
        <v>8</v>
      </c>
      <c r="N514" s="5" t="s">
        <v>826</v>
      </c>
      <c r="O514" s="4"/>
      <c r="P514" s="18">
        <v>15</v>
      </c>
      <c r="Q514" s="3"/>
      <c r="R514" s="6"/>
      <c r="S514" s="22"/>
      <c r="U514" s="23">
        <f t="shared" si="9"/>
        <v>9.3000000000000007</v>
      </c>
      <c r="V514" s="24" t="s">
        <v>8</v>
      </c>
      <c r="W514" s="7" t="s">
        <v>257</v>
      </c>
      <c r="X514" s="7" t="s">
        <v>203</v>
      </c>
    </row>
    <row r="515" spans="1:24" ht="22.95" hidden="1" customHeight="1" x14ac:dyDescent="0.25">
      <c r="A515" s="1" t="s">
        <v>89</v>
      </c>
      <c r="D515" s="3" t="s">
        <v>198</v>
      </c>
      <c r="E515" s="15" t="s">
        <v>55</v>
      </c>
      <c r="F515" s="15" t="str">
        <f>+VLOOKUP(D515,[1]Sheet1!$D$2:$E$29166,2,0)</f>
        <v>接头</v>
      </c>
      <c r="G515" s="3" t="s">
        <v>46</v>
      </c>
      <c r="H515" s="3" t="s">
        <v>340</v>
      </c>
      <c r="I515" s="18" t="e">
        <f t="array" ref="I515">INDEX([2]Sheet1!$F$1:$AF$65808,MATCH(D515&amp;G515&amp;I$1,[2]Sheet1!$B$1:$B$65808&amp;[2]Sheet1!$D$1:$D$65808&amp;[2]Sheet1!$E$1:$E$65808,0),MATCH(H515,[2]Sheet1!$F$1:$AF$1,0))</f>
        <v>#N/A</v>
      </c>
      <c r="K515" s="3">
        <v>20</v>
      </c>
      <c r="L515" s="19">
        <v>8</v>
      </c>
      <c r="M515" s="19">
        <v>8</v>
      </c>
      <c r="N515" s="5" t="s">
        <v>56</v>
      </c>
      <c r="O515" s="4"/>
      <c r="P515" s="18">
        <v>10</v>
      </c>
      <c r="Q515" s="3"/>
      <c r="R515" s="6"/>
      <c r="S515" s="22"/>
      <c r="U515" s="23">
        <f t="shared" si="9"/>
        <v>3.3</v>
      </c>
      <c r="V515" s="24" t="s">
        <v>8</v>
      </c>
      <c r="W515" s="7" t="s">
        <v>518</v>
      </c>
      <c r="X515" s="7" t="s">
        <v>203</v>
      </c>
    </row>
    <row r="516" spans="1:24" ht="22.95" hidden="1" customHeight="1" x14ac:dyDescent="0.25">
      <c r="A516" s="1" t="s">
        <v>109</v>
      </c>
      <c r="D516" s="3" t="s">
        <v>678</v>
      </c>
      <c r="E516" s="15" t="s">
        <v>679</v>
      </c>
      <c r="F516" s="15" t="str">
        <f>+VLOOKUP(D516,[1]Sheet1!$D$2:$E$29166,2,0)</f>
        <v>喷嘴</v>
      </c>
      <c r="G516" s="3" t="s">
        <v>46</v>
      </c>
      <c r="H516" s="3" t="s">
        <v>340</v>
      </c>
      <c r="I516" s="18" t="e">
        <f t="array" ref="I516">INDEX([2]Sheet1!$F$1:$AF$65808,MATCH(D516&amp;G516&amp;I$1,[2]Sheet1!$B$1:$B$65808&amp;[2]Sheet1!$D$1:$D$65808&amp;[2]Sheet1!$E$1:$E$65808,0),MATCH(H516,[2]Sheet1!$F$1:$AF$1,0))</f>
        <v>#N/A</v>
      </c>
      <c r="K516" s="3">
        <v>80</v>
      </c>
      <c r="L516" s="19">
        <v>8</v>
      </c>
      <c r="M516" s="19">
        <v>8</v>
      </c>
      <c r="N516" s="5" t="s">
        <v>56</v>
      </c>
      <c r="O516" s="4"/>
      <c r="P516" s="18">
        <v>15</v>
      </c>
      <c r="Q516" s="3"/>
      <c r="R516" s="6"/>
      <c r="S516" s="22"/>
      <c r="U516" s="23">
        <f t="shared" si="9"/>
        <v>20</v>
      </c>
      <c r="V516" s="24" t="s">
        <v>8</v>
      </c>
      <c r="W516" s="7" t="s">
        <v>257</v>
      </c>
      <c r="X516" s="7" t="s">
        <v>203</v>
      </c>
    </row>
    <row r="517" spans="1:24" ht="22.95" hidden="1" customHeight="1" x14ac:dyDescent="0.25">
      <c r="A517" s="1" t="s">
        <v>759</v>
      </c>
      <c r="D517" s="3" t="s">
        <v>827</v>
      </c>
      <c r="E517" s="15" t="s">
        <v>170</v>
      </c>
      <c r="F517" s="15" t="str">
        <f>+VLOOKUP(D517,[1]Sheet1!$D$2:$E$29166,2,0)</f>
        <v>衬套</v>
      </c>
      <c r="G517" s="3" t="s">
        <v>46</v>
      </c>
      <c r="H517" s="3" t="s">
        <v>340</v>
      </c>
      <c r="I517" s="18" t="e">
        <f t="array" ref="I517">INDEX([2]Sheet1!$F$1:$AF$65808,MATCH(D517&amp;G517&amp;I$1,[2]Sheet1!$B$1:$B$65808&amp;[2]Sheet1!$D$1:$D$65808&amp;[2]Sheet1!$E$1:$E$65808,0),MATCH(H517,[2]Sheet1!$F$1:$AF$1,0))</f>
        <v>#N/A</v>
      </c>
      <c r="K517" s="3">
        <v>10</v>
      </c>
      <c r="L517" s="19">
        <v>8</v>
      </c>
      <c r="M517" s="19">
        <v>8</v>
      </c>
      <c r="N517" s="5" t="s">
        <v>558</v>
      </c>
      <c r="O517" s="4"/>
      <c r="P517" s="18">
        <v>6</v>
      </c>
      <c r="Q517" s="3"/>
      <c r="R517" s="6"/>
      <c r="S517" s="22"/>
      <c r="U517" s="23">
        <f t="shared" si="9"/>
        <v>1</v>
      </c>
      <c r="V517" s="24" t="s">
        <v>8</v>
      </c>
      <c r="W517" s="7" t="s">
        <v>828</v>
      </c>
      <c r="X517" s="7" t="s">
        <v>203</v>
      </c>
    </row>
    <row r="518" spans="1:24" ht="22.95" hidden="1" customHeight="1" x14ac:dyDescent="0.25">
      <c r="A518" s="1" t="s">
        <v>764</v>
      </c>
      <c r="D518" s="3" t="s">
        <v>567</v>
      </c>
      <c r="E518" s="15" t="s">
        <v>568</v>
      </c>
      <c r="F518" s="15" t="str">
        <f>+VLOOKUP(D518,[1]Sheet1!$D$2:$E$29166,2,0)</f>
        <v>销子</v>
      </c>
      <c r="H518" s="3" t="s">
        <v>340</v>
      </c>
      <c r="I518" s="18" t="e">
        <f t="array" ref="I518">INDEX([2]Sheet1!$F$1:$AF$65808,MATCH(D518&amp;G518&amp;I$1,[2]Sheet1!$B$1:$B$65808&amp;[2]Sheet1!$D$1:$D$65808&amp;[2]Sheet1!$E$1:$E$65808,0),MATCH(H518,[2]Sheet1!$F$1:$AF$1,0))</f>
        <v>#N/A</v>
      </c>
      <c r="K518" s="3">
        <v>66</v>
      </c>
      <c r="L518" s="19">
        <v>8</v>
      </c>
      <c r="M518" s="19">
        <v>8</v>
      </c>
      <c r="N518" s="5" t="s">
        <v>829</v>
      </c>
      <c r="O518" s="4"/>
      <c r="P518" s="18">
        <v>10</v>
      </c>
      <c r="Q518" s="3"/>
      <c r="R518" s="6"/>
      <c r="S518" s="22"/>
      <c r="U518" s="23">
        <f t="shared" si="9"/>
        <v>11</v>
      </c>
      <c r="V518" s="24" t="s">
        <v>8</v>
      </c>
    </row>
    <row r="519" spans="1:24" ht="22.95" hidden="1" customHeight="1" x14ac:dyDescent="0.25">
      <c r="A519" s="1" t="s">
        <v>766</v>
      </c>
      <c r="D519" s="3" t="s">
        <v>830</v>
      </c>
      <c r="E519" s="15" t="s">
        <v>831</v>
      </c>
      <c r="F519" s="15" t="str">
        <f>+VLOOKUP(D519,[1]Sheet1!$D$2:$E$29166,2,0)</f>
        <v>阳密封式法兰盘</v>
      </c>
      <c r="G519" s="3" t="s">
        <v>114</v>
      </c>
      <c r="H519" s="3" t="s">
        <v>340</v>
      </c>
      <c r="I519" s="18" t="e">
        <f t="array" ref="I519">INDEX([2]Sheet1!$F$1:$AF$65808,MATCH(D519&amp;G519&amp;I$1,[2]Sheet1!$B$1:$B$65808&amp;[2]Sheet1!$D$1:$D$65808&amp;[2]Sheet1!$E$1:$E$65808,0),MATCH(H519,[2]Sheet1!$F$1:$AF$1,0))</f>
        <v>#N/A</v>
      </c>
      <c r="K519" s="3">
        <v>34</v>
      </c>
      <c r="L519" s="19">
        <v>8</v>
      </c>
      <c r="M519" s="19">
        <v>8</v>
      </c>
      <c r="N519" s="5" t="s">
        <v>700</v>
      </c>
      <c r="O519" s="4"/>
      <c r="P519" s="18">
        <v>10</v>
      </c>
      <c r="Q519" s="3"/>
      <c r="R519" s="6"/>
      <c r="S519" s="22"/>
      <c r="U519" s="23">
        <f t="shared" si="9"/>
        <v>5.7</v>
      </c>
      <c r="V519" s="24" t="s">
        <v>8</v>
      </c>
      <c r="W519" s="7" t="s">
        <v>518</v>
      </c>
      <c r="X519" s="7" t="s">
        <v>203</v>
      </c>
    </row>
    <row r="520" spans="1:24" ht="22.95" hidden="1" customHeight="1" x14ac:dyDescent="0.25">
      <c r="A520" s="1" t="s">
        <v>764</v>
      </c>
      <c r="D520" s="3" t="s">
        <v>153</v>
      </c>
      <c r="E520" s="15" t="s">
        <v>154</v>
      </c>
      <c r="F520" s="15" t="str">
        <f>+VLOOKUP(D520,[1]Sheet1!$D$2:$E$29166,2,0)</f>
        <v>9350-11140右侧上梁</v>
      </c>
      <c r="G520" s="3" t="s">
        <v>155</v>
      </c>
      <c r="H520" s="3" t="s">
        <v>340</v>
      </c>
      <c r="I520" s="18" t="e">
        <f t="array" ref="I520">INDEX([2]Sheet1!$F$1:$AF$65808,MATCH(D520&amp;G520&amp;I$1,[2]Sheet1!$B$1:$B$65808&amp;[2]Sheet1!$D$1:$D$65808&amp;[2]Sheet1!$E$1:$E$65808,0),MATCH(H520,[2]Sheet1!$F$1:$AF$1,0))</f>
        <v>#N/A</v>
      </c>
      <c r="K520" s="3">
        <v>1</v>
      </c>
      <c r="L520" s="19">
        <v>8</v>
      </c>
      <c r="M520" s="19"/>
      <c r="N520" s="5" t="s">
        <v>491</v>
      </c>
      <c r="O520" s="4"/>
      <c r="P520" s="18">
        <v>1440</v>
      </c>
      <c r="Q520" s="3"/>
      <c r="R520" s="6"/>
      <c r="S520" s="22"/>
      <c r="U520" s="23">
        <f t="shared" si="9"/>
        <v>24</v>
      </c>
      <c r="V520" s="24" t="s">
        <v>1</v>
      </c>
    </row>
    <row r="521" spans="1:24" ht="22.95" hidden="1" customHeight="1" x14ac:dyDescent="0.25">
      <c r="A521" s="1" t="s">
        <v>764</v>
      </c>
      <c r="D521" s="3" t="s">
        <v>181</v>
      </c>
      <c r="E521" s="15" t="s">
        <v>179</v>
      </c>
      <c r="F521" s="15" t="str">
        <f>+VLOOKUP(D521,[1]Sheet1!$D$2:$E$29166,2,0)</f>
        <v>根肋后段</v>
      </c>
      <c r="G521" s="3" t="s">
        <v>46</v>
      </c>
      <c r="H521" s="3">
        <v>60</v>
      </c>
      <c r="I521" s="18" t="str">
        <f t="array" ref="I521">INDEX([2]Sheet1!$F$1:$AF$65808,MATCH(D521&amp;G521&amp;I$1,[2]Sheet1!$B$1:$B$65808&amp;[2]Sheet1!$D$1:$D$65808&amp;[2]Sheet1!$E$1:$E$65808,0),MATCH(H521,[2]Sheet1!$F$1:$AF$1,0))</f>
        <v>60/钳工</v>
      </c>
      <c r="K521" s="3">
        <v>2</v>
      </c>
      <c r="L521" s="19">
        <v>30</v>
      </c>
      <c r="M521" s="19">
        <v>30</v>
      </c>
      <c r="N521" s="5" t="s">
        <v>832</v>
      </c>
      <c r="O521" s="4"/>
      <c r="P521" s="18">
        <f t="array" ref="P521">IFERROR(INDEX([2]Sheet1!$F$1:$AF$65808,MATCH($D521&amp;$G521&amp;P$1,[2]Sheet1!$B$1:$B$65808&amp;[2]Sheet1!$D$1:$D$65808&amp;[2]Sheet1!$E$1:$E$65808,0),MATCH($H521,[2]Sheet1!$F$1:$AF$1,0)),0)</f>
        <v>420</v>
      </c>
      <c r="Q521" s="3"/>
      <c r="R521" s="6"/>
      <c r="S521" s="22"/>
      <c r="U521" s="23">
        <f t="shared" si="9"/>
        <v>14</v>
      </c>
      <c r="V521" s="24" t="s">
        <v>0</v>
      </c>
    </row>
    <row r="522" spans="1:24" ht="22.95" hidden="1" customHeight="1" x14ac:dyDescent="0.25">
      <c r="A522" s="1" t="s">
        <v>764</v>
      </c>
      <c r="D522" s="3" t="s">
        <v>178</v>
      </c>
      <c r="E522" s="15" t="s">
        <v>179</v>
      </c>
      <c r="F522" s="15" t="str">
        <f>+VLOOKUP(D522,[1]Sheet1!$D$2:$E$29166,2,0)</f>
        <v>根肋后段</v>
      </c>
      <c r="G522" s="3" t="s">
        <v>46</v>
      </c>
      <c r="H522" s="3">
        <v>60</v>
      </c>
      <c r="I522" s="18" t="str">
        <f t="array" ref="I522">INDEX([2]Sheet1!$F$1:$AF$65808,MATCH(D522&amp;G522&amp;I$1,[2]Sheet1!$B$1:$B$65808&amp;[2]Sheet1!$D$1:$D$65808&amp;[2]Sheet1!$E$1:$E$65808,0),MATCH(H522,[2]Sheet1!$F$1:$AF$1,0))</f>
        <v>60/钳工</v>
      </c>
      <c r="K522" s="3">
        <v>3</v>
      </c>
      <c r="L522" s="19">
        <v>30</v>
      </c>
      <c r="M522" s="19">
        <v>30</v>
      </c>
      <c r="N522" s="5" t="s">
        <v>833</v>
      </c>
      <c r="O522" s="4"/>
      <c r="P522" s="18">
        <f t="array" ref="P522">IFERROR(INDEX([2]Sheet1!$F$1:$AF$65808,MATCH($D522&amp;$G522&amp;P$1,[2]Sheet1!$B$1:$B$65808&amp;[2]Sheet1!$D$1:$D$65808&amp;[2]Sheet1!$E$1:$E$65808,0),MATCH($H522,[2]Sheet1!$F$1:$AF$1,0)),0)</f>
        <v>420</v>
      </c>
      <c r="Q522" s="3"/>
      <c r="R522" s="6"/>
      <c r="S522" s="22"/>
      <c r="U522" s="23">
        <f t="shared" si="9"/>
        <v>21</v>
      </c>
      <c r="V522" s="24" t="s">
        <v>0</v>
      </c>
    </row>
    <row r="523" spans="1:24" ht="22.95" hidden="1" customHeight="1" x14ac:dyDescent="0.25">
      <c r="A523" s="1" t="s">
        <v>766</v>
      </c>
      <c r="D523" s="3" t="s">
        <v>834</v>
      </c>
      <c r="E523" s="15" t="s">
        <v>835</v>
      </c>
      <c r="F523" s="15">
        <f>+VLOOKUP(D523,[1]Sheet1!$D$2:$E$29166,2,0)</f>
        <v>0</v>
      </c>
      <c r="G523" s="3" t="s">
        <v>46</v>
      </c>
      <c r="H523" s="3">
        <v>65</v>
      </c>
      <c r="I523" s="18" t="str">
        <f t="array" ref="I523">INDEX([2]Sheet1!$F$1:$AF$65808,MATCH(D523&amp;G523&amp;I$1,[2]Sheet1!$B$1:$B$65808&amp;[2]Sheet1!$D$1:$D$65808&amp;[2]Sheet1!$E$1:$E$65808,0),MATCH(H523,[2]Sheet1!$F$1:$AF$1,0))</f>
        <v>65/钳去工艺台</v>
      </c>
      <c r="K523" s="3">
        <v>4</v>
      </c>
      <c r="L523" s="19">
        <v>8</v>
      </c>
      <c r="M523" s="19">
        <v>8</v>
      </c>
      <c r="N523" s="5" t="s">
        <v>836</v>
      </c>
      <c r="O523" s="4"/>
      <c r="P523" s="18">
        <f t="array" ref="P523">IFERROR(INDEX([2]Sheet1!$F$1:$AF$65808,MATCH($D523&amp;$G523&amp;P$1,[2]Sheet1!$B$1:$B$65808&amp;[2]Sheet1!$D$1:$D$65808&amp;[2]Sheet1!$E$1:$E$65808,0),MATCH($H523,[2]Sheet1!$F$1:$AF$1,0)),0)</f>
        <v>120</v>
      </c>
      <c r="Q523" s="3"/>
      <c r="R523" s="6"/>
      <c r="S523" s="22"/>
      <c r="U523" s="23">
        <f t="shared" si="9"/>
        <v>8</v>
      </c>
      <c r="V523" s="24" t="s">
        <v>0</v>
      </c>
    </row>
    <row r="524" spans="1:24" ht="22.95" hidden="1" customHeight="1" x14ac:dyDescent="0.25">
      <c r="A524" s="1" t="s">
        <v>766</v>
      </c>
      <c r="D524" s="3" t="s">
        <v>837</v>
      </c>
      <c r="E524" s="15" t="s">
        <v>835</v>
      </c>
      <c r="F524" s="15" t="str">
        <f>+VLOOKUP(D524,[1]Sheet1!$D$2:$E$29166,2,0)</f>
        <v>樑</v>
      </c>
      <c r="G524" s="3" t="s">
        <v>46</v>
      </c>
      <c r="H524" s="3">
        <v>65</v>
      </c>
      <c r="I524" s="18" t="str">
        <f t="array" ref="I524">INDEX([2]Sheet1!$F$1:$AF$65808,MATCH(D524&amp;G524&amp;I$1,[2]Sheet1!$B$1:$B$65808&amp;[2]Sheet1!$D$1:$D$65808&amp;[2]Sheet1!$E$1:$E$65808,0),MATCH(H524,[2]Sheet1!$F$1:$AF$1,0))</f>
        <v>65/钳去工艺台</v>
      </c>
      <c r="K524" s="3">
        <v>4</v>
      </c>
      <c r="L524" s="19">
        <v>8</v>
      </c>
      <c r="M524" s="19">
        <v>8</v>
      </c>
      <c r="N524" s="5" t="s">
        <v>836</v>
      </c>
      <c r="O524" s="4"/>
      <c r="P524" s="18">
        <f t="array" ref="P524">IFERROR(INDEX([2]Sheet1!$F$1:$AF$65808,MATCH($D524&amp;$G524&amp;P$1,[2]Sheet1!$B$1:$B$65808&amp;[2]Sheet1!$D$1:$D$65808&amp;[2]Sheet1!$E$1:$E$65808,0),MATCH($H524,[2]Sheet1!$F$1:$AF$1,0)),0)</f>
        <v>120</v>
      </c>
      <c r="Q524" s="3"/>
      <c r="R524" s="6"/>
      <c r="S524" s="22"/>
      <c r="U524" s="23">
        <f t="shared" si="9"/>
        <v>8</v>
      </c>
      <c r="V524" s="24" t="s">
        <v>0</v>
      </c>
    </row>
    <row r="525" spans="1:24" ht="22.95" hidden="1" customHeight="1" x14ac:dyDescent="0.25">
      <c r="A525" s="1" t="s">
        <v>766</v>
      </c>
      <c r="D525" s="3" t="s">
        <v>838</v>
      </c>
      <c r="E525" s="15" t="s">
        <v>174</v>
      </c>
      <c r="F525" s="15" t="e">
        <f>+VLOOKUP(D525,[1]Sheet1!$D$2:$E$29166,2,0)</f>
        <v>#N/A</v>
      </c>
      <c r="G525" s="3" t="s">
        <v>46</v>
      </c>
      <c r="H525" s="3">
        <v>55</v>
      </c>
      <c r="I525" s="18" t="e">
        <f t="array" ref="I525">INDEX([2]Sheet1!$F$1:$AF$65808,MATCH(D525&amp;G525&amp;I$1,[2]Sheet1!$B$1:$B$65808&amp;[2]Sheet1!$D$1:$D$65808&amp;[2]Sheet1!$E$1:$E$65808,0),MATCH(H525,[2]Sheet1!$F$1:$AF$1,0))</f>
        <v>#N/A</v>
      </c>
      <c r="K525" s="3">
        <v>2</v>
      </c>
      <c r="L525" s="19">
        <v>30</v>
      </c>
      <c r="M525" s="19">
        <v>30</v>
      </c>
      <c r="N525" s="5" t="s">
        <v>839</v>
      </c>
      <c r="O525" s="4"/>
      <c r="P525" s="18">
        <v>420</v>
      </c>
      <c r="Q525" s="3"/>
      <c r="R525" s="6"/>
      <c r="S525" s="22"/>
      <c r="U525" s="23">
        <f t="shared" si="9"/>
        <v>14</v>
      </c>
      <c r="V525" s="24" t="s">
        <v>0</v>
      </c>
    </row>
    <row r="526" spans="1:24" ht="22.95" hidden="1" customHeight="1" x14ac:dyDescent="0.25">
      <c r="A526" s="1" t="s">
        <v>840</v>
      </c>
      <c r="D526" s="3" t="s">
        <v>841</v>
      </c>
      <c r="E526" s="15" t="s">
        <v>842</v>
      </c>
      <c r="F526" s="15" t="str">
        <f>+VLOOKUP(D526,[1]Sheet1!$D$2:$E$29166,2,0)</f>
        <v>5755横框</v>
      </c>
      <c r="G526" s="3" t="s">
        <v>114</v>
      </c>
      <c r="H526" s="3">
        <v>35</v>
      </c>
      <c r="I526" s="18" t="str">
        <f t="array" ref="I526">INDEX([2]Sheet1!$F$1:$AF$65808,MATCH(D526&amp;G526&amp;I$1,[2]Sheet1!$B$1:$B$65808&amp;[2]Sheet1!$D$1:$D$65808&amp;[2]Sheet1!$E$1:$E$65808,0),MATCH(H526,[2]Sheet1!$F$1:$AF$1,0))</f>
        <v>35/钳工</v>
      </c>
      <c r="K526" s="3">
        <v>4</v>
      </c>
      <c r="L526" s="19">
        <v>30</v>
      </c>
      <c r="M526" s="19">
        <v>30</v>
      </c>
      <c r="N526" s="5" t="s">
        <v>843</v>
      </c>
      <c r="O526" s="4"/>
      <c r="P526" s="18">
        <f t="array" ref="P526">IFERROR(INDEX([2]Sheet1!$F$1:$AF$65808,MATCH($D526&amp;$G526&amp;P$1,[2]Sheet1!$B$1:$B$65808&amp;[2]Sheet1!$D$1:$D$65808&amp;[2]Sheet1!$E$1:$E$65808,0),MATCH($H526,[2]Sheet1!$F$1:$AF$1,0)),0)</f>
        <v>120</v>
      </c>
      <c r="Q526" s="3"/>
      <c r="R526" s="6"/>
      <c r="S526" s="22"/>
      <c r="U526" s="23">
        <f t="shared" si="9"/>
        <v>8</v>
      </c>
      <c r="V526" s="24" t="s">
        <v>0</v>
      </c>
    </row>
    <row r="527" spans="1:24" ht="22.95" hidden="1" customHeight="1" x14ac:dyDescent="0.25">
      <c r="A527" s="1" t="s">
        <v>109</v>
      </c>
      <c r="D527" s="3" t="s">
        <v>844</v>
      </c>
      <c r="E527" s="15" t="s">
        <v>120</v>
      </c>
      <c r="F527" s="15" t="str">
        <f>+VLOOKUP(D527,[1]Sheet1!$D$2:$E$29166,2,0)</f>
        <v>支架</v>
      </c>
      <c r="G527" s="3" t="s">
        <v>80</v>
      </c>
      <c r="H527" s="3">
        <v>25</v>
      </c>
      <c r="I527" s="18" t="str">
        <f t="array" ref="I527">INDEX([2]Sheet1!$F$1:$AF$65808,MATCH(D527&amp;G527&amp;I$1,[2]Sheet1!$B$1:$B$65808&amp;[2]Sheet1!$D$1:$D$65808&amp;[2]Sheet1!$E$1:$E$65808,0),MATCH(H527,[2]Sheet1!$F$1:$AF$1,0))</f>
        <v>30钳工</v>
      </c>
      <c r="K527" s="3">
        <v>8</v>
      </c>
      <c r="L527" s="19">
        <v>30</v>
      </c>
      <c r="M527" s="19">
        <v>30</v>
      </c>
      <c r="N527" s="5" t="s">
        <v>81</v>
      </c>
      <c r="O527" s="4"/>
      <c r="P527" s="18">
        <f t="array" ref="P527">IFERROR(INDEX([2]Sheet1!$F$1:$AF$65808,MATCH($D527&amp;$G527&amp;P$1,[2]Sheet1!$B$1:$B$65808&amp;[2]Sheet1!$D$1:$D$65808&amp;[2]Sheet1!$E$1:$E$65808,0),MATCH($H527,[2]Sheet1!$F$1:$AF$1,0)),0)</f>
        <v>40</v>
      </c>
      <c r="Q527" s="3"/>
      <c r="R527" s="6"/>
      <c r="S527" s="22"/>
      <c r="U527" s="23">
        <f t="shared" si="9"/>
        <v>5.3</v>
      </c>
      <c r="V527" s="24" t="s">
        <v>6</v>
      </c>
    </row>
    <row r="528" spans="1:24" ht="22.95" hidden="1" customHeight="1" x14ac:dyDescent="0.25">
      <c r="A528" s="1" t="s">
        <v>109</v>
      </c>
      <c r="D528" s="3" t="s">
        <v>845</v>
      </c>
      <c r="E528" s="15" t="s">
        <v>846</v>
      </c>
      <c r="F528" s="15" t="str">
        <f>+VLOOKUP(D528,[1]Sheet1!$D$2:$E$29166,2,0)</f>
        <v>11900梁二段（右件）</v>
      </c>
      <c r="G528" s="3" t="s">
        <v>155</v>
      </c>
      <c r="H528" s="3" t="s">
        <v>340</v>
      </c>
      <c r="I528" s="18" t="e">
        <f t="array" ref="I528">INDEX([2]Sheet1!$F$1:$AF$65808,MATCH(D528&amp;G528&amp;I$1,[2]Sheet1!$B$1:$B$65808&amp;[2]Sheet1!$D$1:$D$65808&amp;[2]Sheet1!$E$1:$E$65808,0),MATCH(H528,[2]Sheet1!$F$1:$AF$1,0))</f>
        <v>#N/A</v>
      </c>
      <c r="K528" s="3">
        <v>4</v>
      </c>
      <c r="L528" s="19">
        <v>30</v>
      </c>
      <c r="M528" s="19">
        <v>30</v>
      </c>
      <c r="N528" s="5" t="s">
        <v>847</v>
      </c>
      <c r="O528" s="4"/>
      <c r="P528" s="18">
        <v>60</v>
      </c>
      <c r="Q528" s="3"/>
      <c r="R528" s="6"/>
      <c r="S528" s="22"/>
      <c r="U528" s="23">
        <f t="shared" si="9"/>
        <v>4</v>
      </c>
      <c r="V528" s="24" t="s">
        <v>6</v>
      </c>
      <c r="W528" s="7" t="s">
        <v>471</v>
      </c>
      <c r="X528" s="7" t="s">
        <v>203</v>
      </c>
    </row>
    <row r="529" spans="1:24" ht="22.95" hidden="1" customHeight="1" x14ac:dyDescent="0.25">
      <c r="A529" s="1" t="s">
        <v>109</v>
      </c>
      <c r="D529" s="3" t="s">
        <v>448</v>
      </c>
      <c r="E529" s="15" t="s">
        <v>449</v>
      </c>
      <c r="F529" s="15" t="str">
        <f>+VLOOKUP(D529,[1]Sheet1!$D$2:$E$29166,2,0)</f>
        <v>带板</v>
      </c>
      <c r="G529" s="3" t="s">
        <v>114</v>
      </c>
      <c r="H529" s="3">
        <v>40</v>
      </c>
      <c r="I529" s="18" t="str">
        <f t="array" ref="I529">INDEX([2]Sheet1!$F$1:$AF$65808,MATCH(D529&amp;G529&amp;I$1,[2]Sheet1!$B$1:$B$65808&amp;[2]Sheet1!$D$1:$D$65808&amp;[2]Sheet1!$E$1:$E$65808,0),MATCH(H529,[2]Sheet1!$F$1:$AF$1,0))</f>
        <v>40/钳工</v>
      </c>
      <c r="K529" s="3">
        <v>2</v>
      </c>
      <c r="L529" s="19">
        <v>30</v>
      </c>
      <c r="M529" s="19">
        <v>30</v>
      </c>
      <c r="N529" s="5" t="s">
        <v>848</v>
      </c>
      <c r="O529" s="4"/>
      <c r="P529" s="18">
        <f t="array" ref="P529">IFERROR(INDEX([2]Sheet1!$F$1:$AF$65808,MATCH($D529&amp;$G529&amp;P$1,[2]Sheet1!$B$1:$B$65808&amp;[2]Sheet1!$D$1:$D$65808&amp;[2]Sheet1!$E$1:$E$65808,0),MATCH($H529,[2]Sheet1!$F$1:$AF$1,0)),0)</f>
        <v>180</v>
      </c>
      <c r="Q529" s="3"/>
      <c r="R529" s="6"/>
      <c r="S529" s="22"/>
      <c r="U529" s="23">
        <f t="shared" si="9"/>
        <v>6</v>
      </c>
      <c r="V529" s="24" t="s">
        <v>6</v>
      </c>
    </row>
    <row r="530" spans="1:24" ht="22.95" hidden="1" customHeight="1" x14ac:dyDescent="0.25">
      <c r="A530" s="1" t="s">
        <v>109</v>
      </c>
      <c r="D530" s="3" t="s">
        <v>448</v>
      </c>
      <c r="E530" s="15" t="s">
        <v>449</v>
      </c>
      <c r="F530" s="15" t="str">
        <f>+VLOOKUP(D530,[1]Sheet1!$D$2:$E$29166,2,0)</f>
        <v>带板</v>
      </c>
      <c r="G530" s="3" t="s">
        <v>114</v>
      </c>
      <c r="H530" s="3">
        <v>40</v>
      </c>
      <c r="I530" s="18" t="str">
        <f t="array" ref="I530">INDEX([2]Sheet1!$F$1:$AF$65808,MATCH(D530&amp;G530&amp;I$1,[2]Sheet1!$B$1:$B$65808&amp;[2]Sheet1!$D$1:$D$65808&amp;[2]Sheet1!$E$1:$E$65808,0),MATCH(H530,[2]Sheet1!$F$1:$AF$1,0))</f>
        <v>40/钳工</v>
      </c>
      <c r="K530" s="3">
        <v>4</v>
      </c>
      <c r="L530" s="19">
        <v>30</v>
      </c>
      <c r="M530" s="19">
        <v>30</v>
      </c>
      <c r="N530" s="5" t="s">
        <v>478</v>
      </c>
      <c r="O530" s="4"/>
      <c r="P530" s="18">
        <f t="array" ref="P530">IFERROR(INDEX([2]Sheet1!$F$1:$AF$65808,MATCH($D530&amp;$G530&amp;P$1,[2]Sheet1!$B$1:$B$65808&amp;[2]Sheet1!$D$1:$D$65808&amp;[2]Sheet1!$E$1:$E$65808,0),MATCH($H530,[2]Sheet1!$F$1:$AF$1,0)),0)</f>
        <v>180</v>
      </c>
      <c r="Q530" s="3"/>
      <c r="R530" s="6"/>
      <c r="S530" s="22"/>
      <c r="U530" s="23">
        <f t="shared" si="9"/>
        <v>12</v>
      </c>
      <c r="V530" s="24" t="s">
        <v>6</v>
      </c>
    </row>
    <row r="531" spans="1:24" ht="22.95" hidden="1" customHeight="1" x14ac:dyDescent="0.25">
      <c r="A531" s="1" t="s">
        <v>116</v>
      </c>
      <c r="D531" s="3" t="s">
        <v>448</v>
      </c>
      <c r="E531" s="15" t="s">
        <v>449</v>
      </c>
      <c r="F531" s="15" t="str">
        <f>+VLOOKUP(D531,[1]Sheet1!$D$2:$E$29166,2,0)</f>
        <v>带板</v>
      </c>
      <c r="G531" s="3" t="s">
        <v>147</v>
      </c>
      <c r="H531" s="3" t="s">
        <v>340</v>
      </c>
      <c r="I531" s="18" t="e">
        <f t="array" ref="I531">INDEX([2]Sheet1!$F$1:$AF$65808,MATCH(D531&amp;G531&amp;I$1,[2]Sheet1!$B$1:$B$65808&amp;[2]Sheet1!$D$1:$D$65808&amp;[2]Sheet1!$E$1:$E$65808,0),MATCH(H531,[2]Sheet1!$F$1:$AF$1,0))</f>
        <v>#N/A</v>
      </c>
      <c r="K531" s="3">
        <v>6</v>
      </c>
      <c r="L531" s="19">
        <v>30</v>
      </c>
      <c r="M531" s="19">
        <v>30</v>
      </c>
      <c r="N531" s="5" t="s">
        <v>849</v>
      </c>
      <c r="O531" s="4"/>
      <c r="P531" s="18">
        <v>30</v>
      </c>
      <c r="Q531" s="3"/>
      <c r="R531" s="6"/>
      <c r="S531" s="22"/>
      <c r="U531" s="23">
        <f t="shared" si="9"/>
        <v>3</v>
      </c>
      <c r="V531" s="24" t="s">
        <v>6</v>
      </c>
      <c r="W531" s="7" t="s">
        <v>467</v>
      </c>
      <c r="X531" s="7" t="s">
        <v>203</v>
      </c>
    </row>
    <row r="532" spans="1:24" ht="22.95" hidden="1" customHeight="1" x14ac:dyDescent="0.25">
      <c r="A532" s="1" t="s">
        <v>116</v>
      </c>
      <c r="D532" s="3" t="s">
        <v>850</v>
      </c>
      <c r="E532" s="15" t="s">
        <v>851</v>
      </c>
      <c r="F532" s="15" t="str">
        <f>+VLOOKUP(D532,[1]Sheet1!$D$2:$E$29166,2,0)</f>
        <v>1150肋九段（左件）</v>
      </c>
      <c r="G532" s="3" t="s">
        <v>290</v>
      </c>
      <c r="H532" s="3" t="s">
        <v>340</v>
      </c>
      <c r="I532" s="18" t="e">
        <f t="array" ref="I532">INDEX([2]Sheet1!$F$1:$AF$65808,MATCH(D532&amp;G532&amp;I$1,[2]Sheet1!$B$1:$B$65808&amp;[2]Sheet1!$D$1:$D$65808&amp;[2]Sheet1!$E$1:$E$65808,0),MATCH(H532,[2]Sheet1!$F$1:$AF$1,0))</f>
        <v>#N/A</v>
      </c>
      <c r="K532" s="3">
        <v>6</v>
      </c>
      <c r="L532" s="19">
        <v>30</v>
      </c>
      <c r="M532" s="19">
        <v>30</v>
      </c>
      <c r="N532" s="5" t="s">
        <v>264</v>
      </c>
      <c r="O532" s="4"/>
      <c r="P532" s="18">
        <v>30</v>
      </c>
      <c r="Q532" s="3"/>
      <c r="R532" s="6"/>
      <c r="S532" s="22"/>
      <c r="U532" s="23">
        <f t="shared" si="9"/>
        <v>3</v>
      </c>
      <c r="V532" s="24" t="s">
        <v>6</v>
      </c>
      <c r="W532" s="7" t="s">
        <v>467</v>
      </c>
      <c r="X532" s="7" t="s">
        <v>203</v>
      </c>
    </row>
    <row r="533" spans="1:24" ht="22.95" hidden="1" customHeight="1" x14ac:dyDescent="0.25">
      <c r="A533" s="1" t="s">
        <v>116</v>
      </c>
      <c r="D533" s="3" t="s">
        <v>391</v>
      </c>
      <c r="E533" s="15" t="s">
        <v>387</v>
      </c>
      <c r="F533" s="15" t="str">
        <f>+VLOOKUP(D533,[1]Sheet1!$D$2:$E$29166,2,0)</f>
        <v>9555侧隔框</v>
      </c>
      <c r="G533" s="3" t="s">
        <v>114</v>
      </c>
      <c r="H533" s="3">
        <v>55</v>
      </c>
      <c r="I533" s="18" t="str">
        <f t="array" ref="I533">INDEX([2]Sheet1!$F$1:$AF$65808,MATCH(D533&amp;G533&amp;I$1,[2]Sheet1!$B$1:$B$65808&amp;[2]Sheet1!$D$1:$D$65808&amp;[2]Sheet1!$E$1:$E$65808,0),MATCH(H533,[2]Sheet1!$F$1:$AF$1,0))</f>
        <v>55/钳工</v>
      </c>
      <c r="K533" s="3">
        <v>3</v>
      </c>
      <c r="L533" s="19">
        <v>30</v>
      </c>
      <c r="M533" s="19">
        <v>30</v>
      </c>
      <c r="N533" s="5" t="s">
        <v>852</v>
      </c>
      <c r="O533" s="4"/>
      <c r="P533" s="18">
        <f t="array" ref="P533">IFERROR(INDEX([2]Sheet1!$F$1:$AF$65808,MATCH($D533&amp;$G533&amp;P$1,[2]Sheet1!$B$1:$B$65808&amp;[2]Sheet1!$D$1:$D$65808&amp;[2]Sheet1!$E$1:$E$65808,0),MATCH($H533,[2]Sheet1!$F$1:$AF$1,0)),0)</f>
        <v>480</v>
      </c>
      <c r="Q533" s="3"/>
      <c r="R533" s="6"/>
      <c r="S533" s="22"/>
      <c r="U533" s="23">
        <f t="shared" si="9"/>
        <v>24</v>
      </c>
      <c r="V533" s="24" t="s">
        <v>6</v>
      </c>
    </row>
    <row r="534" spans="1:24" ht="22.95" hidden="1" customHeight="1" x14ac:dyDescent="0.25">
      <c r="A534" s="1" t="s">
        <v>116</v>
      </c>
      <c r="D534" s="3" t="s">
        <v>451</v>
      </c>
      <c r="E534" s="15" t="s">
        <v>452</v>
      </c>
      <c r="F534" s="15" t="str">
        <f>+VLOOKUP(D534,[1]Sheet1!$D$2:$E$29166,2,0)</f>
        <v>前起落架舱门结构支撑梁</v>
      </c>
      <c r="G534" s="3" t="s">
        <v>46</v>
      </c>
      <c r="H534" s="3">
        <v>45</v>
      </c>
      <c r="I534" s="18" t="str">
        <f t="array" ref="I534">INDEX([2]Sheet1!$F$1:$AF$65808,MATCH(D534&amp;G534&amp;I$1,[2]Sheet1!$B$1:$B$65808&amp;[2]Sheet1!$D$1:$D$65808&amp;[2]Sheet1!$E$1:$E$65808,0),MATCH(H534,[2]Sheet1!$F$1:$AF$1,0))</f>
        <v>45/钳工</v>
      </c>
      <c r="K534" s="3">
        <v>10</v>
      </c>
      <c r="L534" s="19">
        <v>30</v>
      </c>
      <c r="M534" s="19">
        <v>30</v>
      </c>
      <c r="N534" s="5" t="s">
        <v>697</v>
      </c>
      <c r="O534" s="4"/>
      <c r="P534" s="18">
        <f t="array" ref="P534">IFERROR(INDEX([2]Sheet1!$F$1:$AF$65808,MATCH($D534&amp;$G534&amp;P$1,[2]Sheet1!$B$1:$B$65808&amp;[2]Sheet1!$D$1:$D$65808&amp;[2]Sheet1!$E$1:$E$65808,0),MATCH($H534,[2]Sheet1!$F$1:$AF$1,0)),0)</f>
        <v>90</v>
      </c>
      <c r="Q534" s="3"/>
      <c r="R534" s="6"/>
      <c r="S534" s="22"/>
      <c r="U534" s="23">
        <f t="shared" si="9"/>
        <v>15</v>
      </c>
      <c r="V534" s="24" t="s">
        <v>6</v>
      </c>
    </row>
    <row r="535" spans="1:24" ht="22.95" hidden="1" customHeight="1" x14ac:dyDescent="0.25">
      <c r="A535" s="1" t="s">
        <v>562</v>
      </c>
      <c r="D535" s="3" t="s">
        <v>379</v>
      </c>
      <c r="E535" s="15" t="s">
        <v>380</v>
      </c>
      <c r="F535" s="15" t="str">
        <f>+VLOOKUP(D535,[1]Sheet1!$D$2:$E$29166,2,0)</f>
        <v>根肋三段</v>
      </c>
      <c r="G535" s="3" t="s">
        <v>46</v>
      </c>
      <c r="H535" s="3">
        <v>70</v>
      </c>
      <c r="I535" s="18" t="str">
        <f t="array" ref="I535">INDEX([2]Sheet1!$F$1:$AF$65808,MATCH(D535&amp;G535&amp;I$1,[2]Sheet1!$B$1:$B$65808&amp;[2]Sheet1!$D$1:$D$65808&amp;[2]Sheet1!$E$1:$E$65808,0),MATCH(H535,[2]Sheet1!$F$1:$AF$1,0))</f>
        <v>70/钳工</v>
      </c>
      <c r="K535" s="3">
        <v>2</v>
      </c>
      <c r="L535" s="19">
        <v>30</v>
      </c>
      <c r="M535" s="19">
        <v>30</v>
      </c>
      <c r="N535" s="5" t="s">
        <v>853</v>
      </c>
      <c r="O535" s="4"/>
      <c r="P535" s="18">
        <f t="array" ref="P535">IFERROR(INDEX([2]Sheet1!$F$1:$AF$65808,MATCH($D535&amp;$G535&amp;P$1,[2]Sheet1!$B$1:$B$65808&amp;[2]Sheet1!$D$1:$D$65808&amp;[2]Sheet1!$E$1:$E$65808,0),MATCH($H535,[2]Sheet1!$F$1:$AF$1,0)),0)</f>
        <v>600</v>
      </c>
      <c r="Q535" s="3"/>
      <c r="R535" s="6"/>
      <c r="S535" s="22"/>
      <c r="U535" s="23">
        <f t="shared" si="9"/>
        <v>20</v>
      </c>
      <c r="V535" s="24" t="s">
        <v>6</v>
      </c>
    </row>
    <row r="536" spans="1:24" ht="22.95" hidden="1" customHeight="1" x14ac:dyDescent="0.25">
      <c r="A536" s="1" t="s">
        <v>562</v>
      </c>
      <c r="D536" s="3" t="s">
        <v>854</v>
      </c>
      <c r="E536" s="15" t="s">
        <v>855</v>
      </c>
      <c r="F536" s="15" t="str">
        <f>+VLOOKUP(D536,[1]Sheet1!$D$2:$E$29166,2,0)</f>
        <v>安装支座</v>
      </c>
      <c r="G536" s="3" t="s">
        <v>46</v>
      </c>
      <c r="H536" s="3">
        <v>30</v>
      </c>
      <c r="I536" s="18" t="str">
        <f t="array" ref="I536">INDEX([2]Sheet1!$F$1:$AF$65808,MATCH(D536&amp;G536&amp;I$1,[2]Sheet1!$B$1:$B$65808&amp;[2]Sheet1!$D$1:$D$65808&amp;[2]Sheet1!$E$1:$E$65808,0),MATCH(H536,[2]Sheet1!$F$1:$AF$1,0))</f>
        <v>30/钳工</v>
      </c>
      <c r="K536" s="3">
        <v>9</v>
      </c>
      <c r="L536" s="19">
        <v>30</v>
      </c>
      <c r="M536" s="19">
        <v>30</v>
      </c>
      <c r="N536" s="5" t="s">
        <v>376</v>
      </c>
      <c r="O536" s="4"/>
      <c r="P536" s="18">
        <f t="array" ref="P536">IFERROR(INDEX([2]Sheet1!$F$1:$AF$65808,MATCH($D536&amp;$G536&amp;P$1,[2]Sheet1!$B$1:$B$65808&amp;[2]Sheet1!$D$1:$D$65808&amp;[2]Sheet1!$E$1:$E$65808,0),MATCH($H536,[2]Sheet1!$F$1:$AF$1,0)),0)</f>
        <v>60</v>
      </c>
      <c r="Q536" s="3"/>
      <c r="R536" s="6"/>
      <c r="S536" s="22"/>
      <c r="U536" s="23">
        <f t="shared" si="9"/>
        <v>9</v>
      </c>
      <c r="V536" s="24" t="s">
        <v>6</v>
      </c>
    </row>
    <row r="537" spans="1:24" ht="22.95" hidden="1" customHeight="1" x14ac:dyDescent="0.25">
      <c r="A537" s="1" t="s">
        <v>562</v>
      </c>
      <c r="D537" s="3" t="s">
        <v>854</v>
      </c>
      <c r="E537" s="15" t="s">
        <v>855</v>
      </c>
      <c r="F537" s="15" t="str">
        <f>+VLOOKUP(D537,[1]Sheet1!$D$2:$E$29166,2,0)</f>
        <v>安装支座</v>
      </c>
      <c r="G537" s="3" t="s">
        <v>46</v>
      </c>
      <c r="H537" s="3">
        <v>30</v>
      </c>
      <c r="I537" s="18" t="str">
        <f t="array" ref="I537">INDEX([2]Sheet1!$F$1:$AF$65808,MATCH(D537&amp;G537&amp;I$1,[2]Sheet1!$B$1:$B$65808&amp;[2]Sheet1!$D$1:$D$65808&amp;[2]Sheet1!$E$1:$E$65808,0),MATCH(H537,[2]Sheet1!$F$1:$AF$1,0))</f>
        <v>30/钳工</v>
      </c>
      <c r="K537" s="3">
        <v>11</v>
      </c>
      <c r="L537" s="19">
        <v>30</v>
      </c>
      <c r="M537" s="19">
        <v>30</v>
      </c>
      <c r="N537" s="5" t="s">
        <v>357</v>
      </c>
      <c r="O537" s="4"/>
      <c r="P537" s="18">
        <f t="array" ref="P537">IFERROR(INDEX([2]Sheet1!$F$1:$AF$65808,MATCH($D537&amp;$G537&amp;P$1,[2]Sheet1!$B$1:$B$65808&amp;[2]Sheet1!$D$1:$D$65808&amp;[2]Sheet1!$E$1:$E$65808,0),MATCH($H537,[2]Sheet1!$F$1:$AF$1,0)),0)</f>
        <v>60</v>
      </c>
      <c r="Q537" s="3"/>
      <c r="R537" s="6"/>
      <c r="S537" s="22"/>
      <c r="U537" s="23">
        <f t="shared" si="9"/>
        <v>11</v>
      </c>
      <c r="V537" s="24" t="s">
        <v>6</v>
      </c>
    </row>
    <row r="538" spans="1:24" ht="22.95" hidden="1" customHeight="1" x14ac:dyDescent="0.25">
      <c r="A538" s="1" t="s">
        <v>562</v>
      </c>
      <c r="D538" s="3" t="s">
        <v>854</v>
      </c>
      <c r="E538" s="15" t="s">
        <v>855</v>
      </c>
      <c r="F538" s="15" t="str">
        <f>+VLOOKUP(D538,[1]Sheet1!$D$2:$E$29166,2,0)</f>
        <v>安装支座</v>
      </c>
      <c r="G538" s="3" t="s">
        <v>46</v>
      </c>
      <c r="H538" s="3">
        <v>30</v>
      </c>
      <c r="I538" s="18" t="str">
        <f t="array" ref="I538">INDEX([2]Sheet1!$F$1:$AF$65808,MATCH(D538&amp;G538&amp;I$1,[2]Sheet1!$B$1:$B$65808&amp;[2]Sheet1!$D$1:$D$65808&amp;[2]Sheet1!$E$1:$E$65808,0),MATCH(H538,[2]Sheet1!$F$1:$AF$1,0))</f>
        <v>30/钳工</v>
      </c>
      <c r="K538" s="3">
        <v>2</v>
      </c>
      <c r="L538" s="19">
        <v>30</v>
      </c>
      <c r="M538" s="19">
        <v>30</v>
      </c>
      <c r="N538" s="5" t="s">
        <v>663</v>
      </c>
      <c r="O538" s="4"/>
      <c r="P538" s="18">
        <f t="array" ref="P538">IFERROR(INDEX([2]Sheet1!$F$1:$AF$65808,MATCH($D538&amp;$G538&amp;P$1,[2]Sheet1!$B$1:$B$65808&amp;[2]Sheet1!$D$1:$D$65808&amp;[2]Sheet1!$E$1:$E$65808,0),MATCH($H538,[2]Sheet1!$F$1:$AF$1,0)),0)</f>
        <v>60</v>
      </c>
      <c r="Q538" s="3"/>
      <c r="R538" s="6"/>
      <c r="S538" s="22"/>
      <c r="U538" s="23">
        <f t="shared" si="9"/>
        <v>2</v>
      </c>
      <c r="V538" s="24" t="s">
        <v>6</v>
      </c>
    </row>
    <row r="539" spans="1:24" ht="22.95" hidden="1" customHeight="1" x14ac:dyDescent="0.25">
      <c r="A539" s="1" t="s">
        <v>759</v>
      </c>
      <c r="D539" s="3" t="s">
        <v>856</v>
      </c>
      <c r="E539" s="15" t="s">
        <v>380</v>
      </c>
      <c r="F539" s="15" t="str">
        <f>+VLOOKUP(D539,[1]Sheet1!$D$2:$E$29166,2,0)</f>
        <v>根肋三段</v>
      </c>
      <c r="G539" s="3" t="s">
        <v>46</v>
      </c>
      <c r="H539" s="3">
        <v>20</v>
      </c>
      <c r="I539" s="18" t="str">
        <f t="array" ref="I539">INDEX([2]Sheet1!$F$1:$AF$65808,MATCH(D539&amp;G539&amp;I$1,[2]Sheet1!$B$1:$B$65808&amp;[2]Sheet1!$D$1:$D$65808&amp;[2]Sheet1!$E$1:$E$65808,0),MATCH(H539,[2]Sheet1!$F$1:$AF$1,0))</f>
        <v>20/数铣</v>
      </c>
      <c r="K539" s="3">
        <v>2</v>
      </c>
      <c r="L539" s="19">
        <v>30</v>
      </c>
      <c r="M539" s="19">
        <v>30</v>
      </c>
      <c r="N539" s="5" t="s">
        <v>857</v>
      </c>
      <c r="O539" s="4"/>
      <c r="P539" s="18">
        <f t="array" ref="P539">IFERROR(INDEX([2]Sheet1!$F$1:$AF$65808,MATCH($D539&amp;$G539&amp;P$1,[2]Sheet1!$B$1:$B$65808&amp;[2]Sheet1!$D$1:$D$65808&amp;[2]Sheet1!$E$1:$E$65808,0),MATCH($H539,[2]Sheet1!$F$1:$AF$1,0)),0)</f>
        <v>80</v>
      </c>
      <c r="Q539" s="3"/>
      <c r="R539" s="6"/>
      <c r="S539" s="22"/>
      <c r="U539" s="23">
        <f t="shared" si="9"/>
        <v>2.7</v>
      </c>
      <c r="V539" s="24" t="s">
        <v>6</v>
      </c>
    </row>
    <row r="540" spans="1:24" ht="22.95" hidden="1" customHeight="1" x14ac:dyDescent="0.25">
      <c r="A540" s="1" t="s">
        <v>759</v>
      </c>
      <c r="D540" s="3" t="s">
        <v>841</v>
      </c>
      <c r="E540" s="15" t="s">
        <v>842</v>
      </c>
      <c r="F540" s="15" t="str">
        <f>+VLOOKUP(D540,[1]Sheet1!$D$2:$E$29166,2,0)</f>
        <v>5755横框</v>
      </c>
      <c r="G540" s="3" t="s">
        <v>114</v>
      </c>
      <c r="H540" s="3">
        <v>35</v>
      </c>
      <c r="I540" s="18" t="str">
        <f t="array" ref="I540">INDEX([2]Sheet1!$F$1:$AF$65808,MATCH(D540&amp;G540&amp;I$1,[2]Sheet1!$B$1:$B$65808&amp;[2]Sheet1!$D$1:$D$65808&amp;[2]Sheet1!$E$1:$E$65808,0),MATCH(H540,[2]Sheet1!$F$1:$AF$1,0))</f>
        <v>35/钳工</v>
      </c>
      <c r="K540" s="3">
        <v>4</v>
      </c>
      <c r="L540" s="19">
        <v>30</v>
      </c>
      <c r="M540" s="19">
        <v>30</v>
      </c>
      <c r="N540" s="5" t="s">
        <v>843</v>
      </c>
      <c r="O540" s="4"/>
      <c r="P540" s="18">
        <f t="array" ref="P540">IFERROR(INDEX([2]Sheet1!$F$1:$AF$65808,MATCH($D540&amp;$G540&amp;P$1,[2]Sheet1!$B$1:$B$65808&amp;[2]Sheet1!$D$1:$D$65808&amp;[2]Sheet1!$E$1:$E$65808,0),MATCH($H540,[2]Sheet1!$F$1:$AF$1,0)),0)</f>
        <v>120</v>
      </c>
      <c r="Q540" s="3"/>
      <c r="R540" s="6"/>
      <c r="S540" s="22"/>
      <c r="U540" s="23">
        <f t="shared" si="9"/>
        <v>8</v>
      </c>
      <c r="V540" s="24" t="s">
        <v>6</v>
      </c>
    </row>
    <row r="541" spans="1:24" ht="22.95" hidden="1" customHeight="1" x14ac:dyDescent="0.25">
      <c r="A541" s="1" t="s">
        <v>759</v>
      </c>
      <c r="D541" s="3" t="s">
        <v>841</v>
      </c>
      <c r="E541" s="15" t="s">
        <v>842</v>
      </c>
      <c r="F541" s="15" t="str">
        <f>+VLOOKUP(D541,[1]Sheet1!$D$2:$E$29166,2,0)</f>
        <v>5755横框</v>
      </c>
      <c r="G541" s="3" t="s">
        <v>114</v>
      </c>
      <c r="H541" s="3" t="s">
        <v>340</v>
      </c>
      <c r="I541" s="18" t="e">
        <f t="array" ref="I541">INDEX([2]Sheet1!$F$1:$AF$65808,MATCH(D541&amp;G541&amp;I$1,[2]Sheet1!$B$1:$B$65808&amp;[2]Sheet1!$D$1:$D$65808&amp;[2]Sheet1!$E$1:$E$65808,0),MATCH(H541,[2]Sheet1!$F$1:$AF$1,0))</f>
        <v>#N/A</v>
      </c>
      <c r="K541" s="3">
        <v>4</v>
      </c>
      <c r="L541" s="19">
        <v>30</v>
      </c>
      <c r="M541" s="19">
        <v>30</v>
      </c>
      <c r="N541" s="5" t="s">
        <v>843</v>
      </c>
      <c r="O541" s="4"/>
      <c r="P541" s="18">
        <v>30</v>
      </c>
      <c r="Q541" s="3"/>
      <c r="R541" s="6"/>
      <c r="S541" s="22"/>
      <c r="U541" s="23">
        <f t="shared" si="9"/>
        <v>2</v>
      </c>
      <c r="V541" s="24" t="s">
        <v>6</v>
      </c>
      <c r="W541" s="7" t="s">
        <v>467</v>
      </c>
      <c r="X541" s="7" t="s">
        <v>203</v>
      </c>
    </row>
    <row r="542" spans="1:24" ht="22.95" hidden="1" customHeight="1" x14ac:dyDescent="0.25">
      <c r="A542" s="1" t="s">
        <v>759</v>
      </c>
      <c r="D542" s="3" t="s">
        <v>858</v>
      </c>
      <c r="E542" s="15" t="s">
        <v>859</v>
      </c>
      <c r="F542" s="15" t="str">
        <f>+VLOOKUP(D542,[1]Sheet1!$D$2:$E$29166,2,0)</f>
        <v>1150肋根肋（右件）</v>
      </c>
      <c r="G542" s="3" t="s">
        <v>290</v>
      </c>
      <c r="H542" s="3">
        <v>70</v>
      </c>
      <c r="I542" s="18" t="str">
        <f t="array" ref="I542">INDEX([2]Sheet1!$F$1:$AF$65808,MATCH(D542&amp;G542&amp;I$1,[2]Sheet1!$B$1:$B$65808&amp;[2]Sheet1!$D$1:$D$65808&amp;[2]Sheet1!$E$1:$E$65808,0),MATCH(H542,[2]Sheet1!$F$1:$AF$1,0))</f>
        <v>70/钳工</v>
      </c>
      <c r="K542" s="3">
        <v>6</v>
      </c>
      <c r="L542" s="19">
        <v>30</v>
      </c>
      <c r="M542" s="19">
        <v>30</v>
      </c>
      <c r="N542" s="5" t="s">
        <v>699</v>
      </c>
      <c r="O542" s="4"/>
      <c r="P542" s="18">
        <f t="array" ref="P542">IFERROR(INDEX([2]Sheet1!$F$1:$AF$65808,MATCH($D542&amp;$G542&amp;P$1,[2]Sheet1!$B$1:$B$65808&amp;[2]Sheet1!$D$1:$D$65808&amp;[2]Sheet1!$E$1:$E$65808,0),MATCH($H542,[2]Sheet1!$F$1:$AF$1,0)),0)</f>
        <v>360</v>
      </c>
      <c r="Q542" s="3"/>
      <c r="R542" s="6"/>
      <c r="S542" s="22"/>
      <c r="U542" s="23">
        <f t="shared" si="9"/>
        <v>36</v>
      </c>
      <c r="V542" s="24" t="s">
        <v>6</v>
      </c>
    </row>
    <row r="543" spans="1:24" ht="22.95" hidden="1" customHeight="1" x14ac:dyDescent="0.25">
      <c r="A543" s="1" t="s">
        <v>764</v>
      </c>
      <c r="D543" s="3" t="s">
        <v>858</v>
      </c>
      <c r="E543" s="15" t="s">
        <v>859</v>
      </c>
      <c r="F543" s="15" t="str">
        <f>+VLOOKUP(D543,[1]Sheet1!$D$2:$E$29166,2,0)</f>
        <v>1150肋根肋（右件）</v>
      </c>
      <c r="G543" s="3" t="s">
        <v>290</v>
      </c>
      <c r="H543" s="3" t="s">
        <v>340</v>
      </c>
      <c r="I543" s="18" t="e">
        <f t="array" ref="I543">INDEX([2]Sheet1!$F$1:$AF$65808,MATCH(D543&amp;G543&amp;I$1,[2]Sheet1!$B$1:$B$65808&amp;[2]Sheet1!$D$1:$D$65808&amp;[2]Sheet1!$E$1:$E$65808,0),MATCH(H543,[2]Sheet1!$F$1:$AF$1,0))</f>
        <v>#N/A</v>
      </c>
      <c r="K543" s="3">
        <v>6</v>
      </c>
      <c r="L543" s="19">
        <v>30</v>
      </c>
      <c r="M543" s="19">
        <v>30</v>
      </c>
      <c r="N543" s="5" t="s">
        <v>699</v>
      </c>
      <c r="O543" s="4"/>
      <c r="P543" s="18">
        <v>30</v>
      </c>
      <c r="Q543" s="3"/>
      <c r="R543" s="6"/>
      <c r="S543" s="22"/>
      <c r="U543" s="23">
        <f t="shared" ref="U543:U574" si="10">ROUND((K543*P543+Q543*S543)/60+T543,1)</f>
        <v>3</v>
      </c>
      <c r="V543" s="24" t="s">
        <v>6</v>
      </c>
      <c r="W543" s="7" t="s">
        <v>467</v>
      </c>
      <c r="X543" s="7" t="s">
        <v>203</v>
      </c>
    </row>
    <row r="544" spans="1:24" ht="22.95" hidden="1" customHeight="1" x14ac:dyDescent="0.25">
      <c r="A544" s="1" t="s">
        <v>764</v>
      </c>
      <c r="D544" s="3" t="s">
        <v>664</v>
      </c>
      <c r="E544" s="15" t="s">
        <v>665</v>
      </c>
      <c r="F544" s="15" t="str">
        <f>+VLOOKUP(D544,[1]Sheet1!$D$2:$E$29166,2,0)</f>
        <v>前起落架水平接头</v>
      </c>
      <c r="G544" s="3" t="s">
        <v>64</v>
      </c>
      <c r="H544" s="3">
        <v>65</v>
      </c>
      <c r="I544" s="18" t="str">
        <f t="array" ref="I544">INDEX([2]Sheet1!$F$1:$AF$65808,MATCH(D544&amp;G544&amp;I$1,[2]Sheet1!$B$1:$B$65808&amp;[2]Sheet1!$D$1:$D$65808&amp;[2]Sheet1!$E$1:$E$65808,0),MATCH(H544,[2]Sheet1!$F$1:$AF$1,0))</f>
        <v>65/钳工</v>
      </c>
      <c r="K544" s="3">
        <v>20</v>
      </c>
      <c r="L544" s="19">
        <v>30</v>
      </c>
      <c r="M544" s="19">
        <v>30</v>
      </c>
      <c r="N544" s="5" t="s">
        <v>558</v>
      </c>
      <c r="O544" s="4"/>
      <c r="P544" s="18">
        <f t="array" ref="P544">IFERROR(INDEX([2]Sheet1!$F$1:$AF$65808,MATCH($D544&amp;$G544&amp;P$1,[2]Sheet1!$B$1:$B$65808&amp;[2]Sheet1!$D$1:$D$65808&amp;[2]Sheet1!$E$1:$E$65808,0),MATCH($H544,[2]Sheet1!$F$1:$AF$1,0)),0)</f>
        <v>60</v>
      </c>
      <c r="Q544" s="3"/>
      <c r="R544" s="6"/>
      <c r="S544" s="22"/>
      <c r="U544" s="23">
        <f t="shared" si="10"/>
        <v>20</v>
      </c>
      <c r="V544" s="24" t="s">
        <v>6</v>
      </c>
    </row>
    <row r="545" spans="1:24" ht="22.95" hidden="1" customHeight="1" x14ac:dyDescent="0.25">
      <c r="A545" s="1" t="s">
        <v>116</v>
      </c>
      <c r="D545" s="3" t="s">
        <v>391</v>
      </c>
      <c r="E545" s="15" t="s">
        <v>387</v>
      </c>
      <c r="F545" s="15" t="str">
        <f>+VLOOKUP(D545,[1]Sheet1!$D$2:$E$29166,2,0)</f>
        <v>9555侧隔框</v>
      </c>
      <c r="G545" s="3" t="s">
        <v>114</v>
      </c>
      <c r="H545" s="3">
        <v>55</v>
      </c>
      <c r="I545" s="18" t="str">
        <f t="array" ref="I545">INDEX([2]Sheet1!$F$1:$AF$65808,MATCH(D545&amp;G545&amp;I$1,[2]Sheet1!$B$1:$B$65808&amp;[2]Sheet1!$D$1:$D$65808&amp;[2]Sheet1!$E$1:$E$65808,0),MATCH(H545,[2]Sheet1!$F$1:$AF$1,0))</f>
        <v>55/钳工</v>
      </c>
      <c r="K545" s="3">
        <v>2</v>
      </c>
      <c r="L545" s="19">
        <v>30</v>
      </c>
      <c r="M545" s="19">
        <v>30</v>
      </c>
      <c r="N545" s="5" t="s">
        <v>457</v>
      </c>
      <c r="O545" s="4"/>
      <c r="P545" s="18">
        <f t="array" ref="P545">IFERROR(INDEX([2]Sheet1!$F$1:$AF$65808,MATCH($D545&amp;$G545&amp;P$1,[2]Sheet1!$B$1:$B$65808&amp;[2]Sheet1!$D$1:$D$65808&amp;[2]Sheet1!$E$1:$E$65808,0),MATCH($H545,[2]Sheet1!$F$1:$AF$1,0)),0)</f>
        <v>480</v>
      </c>
      <c r="Q545" s="3"/>
      <c r="R545" s="6"/>
      <c r="S545" s="22"/>
      <c r="U545" s="23">
        <f t="shared" si="10"/>
        <v>16</v>
      </c>
      <c r="V545" s="24" t="s">
        <v>6</v>
      </c>
    </row>
    <row r="546" spans="1:24" ht="22.95" hidden="1" customHeight="1" x14ac:dyDescent="0.25">
      <c r="A546" s="1" t="s">
        <v>116</v>
      </c>
      <c r="D546" s="3" t="s">
        <v>379</v>
      </c>
      <c r="E546" s="15" t="s">
        <v>380</v>
      </c>
      <c r="F546" s="15" t="str">
        <f>+VLOOKUP(D546,[1]Sheet1!$D$2:$E$29166,2,0)</f>
        <v>根肋三段</v>
      </c>
      <c r="G546" s="3" t="s">
        <v>46</v>
      </c>
      <c r="H546" s="3">
        <v>70</v>
      </c>
      <c r="I546" s="18" t="str">
        <f t="array" ref="I546">INDEX([2]Sheet1!$F$1:$AF$65808,MATCH(D546&amp;G546&amp;I$1,[2]Sheet1!$B$1:$B$65808&amp;[2]Sheet1!$D$1:$D$65808&amp;[2]Sheet1!$E$1:$E$65808,0),MATCH(H546,[2]Sheet1!$F$1:$AF$1,0))</f>
        <v>70/钳工</v>
      </c>
      <c r="K546" s="3">
        <v>1</v>
      </c>
      <c r="L546" s="19">
        <v>30</v>
      </c>
      <c r="M546" s="19">
        <v>30</v>
      </c>
      <c r="N546" s="5" t="s">
        <v>860</v>
      </c>
      <c r="O546" s="4"/>
      <c r="P546" s="18">
        <f t="array" ref="P546">IFERROR(INDEX([2]Sheet1!$F$1:$AF$65808,MATCH($D546&amp;$G546&amp;P$1,[2]Sheet1!$B$1:$B$65808&amp;[2]Sheet1!$D$1:$D$65808&amp;[2]Sheet1!$E$1:$E$65808,0),MATCH($H546,[2]Sheet1!$F$1:$AF$1,0)),0)</f>
        <v>600</v>
      </c>
      <c r="Q546" s="3"/>
      <c r="R546" s="6"/>
      <c r="S546" s="22"/>
      <c r="U546" s="23">
        <f t="shared" si="10"/>
        <v>10</v>
      </c>
      <c r="V546" s="24" t="s">
        <v>6</v>
      </c>
    </row>
    <row r="547" spans="1:24" ht="22.95" hidden="1" customHeight="1" x14ac:dyDescent="0.25">
      <c r="A547" s="1" t="s">
        <v>861</v>
      </c>
      <c r="D547" s="3" t="s">
        <v>862</v>
      </c>
      <c r="E547" s="15" t="s">
        <v>383</v>
      </c>
      <c r="F547" s="15" t="str">
        <f>+VLOOKUP(D547,[1]Sheet1!$D$2:$E$29166,2,0)</f>
        <v>1号下壁板</v>
      </c>
      <c r="G547" s="3" t="s">
        <v>51</v>
      </c>
      <c r="H547" s="3">
        <v>15</v>
      </c>
      <c r="I547" s="18" t="e">
        <f t="array" ref="I547">INDEX([2]Sheet1!$F$1:$AF$65808,MATCH(D547&amp;G547&amp;I$1,[2]Sheet1!$B$1:$B$65808&amp;[2]Sheet1!$D$1:$D$65808&amp;[2]Sheet1!$E$1:$E$65808,0),MATCH(H547,[2]Sheet1!$F$1:$AF$1,0))</f>
        <v>#N/A</v>
      </c>
      <c r="K547" s="3">
        <v>4</v>
      </c>
      <c r="L547" s="19">
        <v>30</v>
      </c>
      <c r="M547" s="19">
        <v>30</v>
      </c>
      <c r="N547" s="5" t="s">
        <v>863</v>
      </c>
      <c r="O547" s="4"/>
      <c r="P547" s="18">
        <v>720</v>
      </c>
      <c r="Q547" s="3"/>
      <c r="R547" s="6"/>
      <c r="S547" s="22"/>
      <c r="U547" s="23">
        <f t="shared" si="10"/>
        <v>48</v>
      </c>
      <c r="V547" s="24" t="s">
        <v>6</v>
      </c>
    </row>
    <row r="548" spans="1:24" ht="22.95" hidden="1" customHeight="1" x14ac:dyDescent="0.25">
      <c r="A548" s="1" t="s">
        <v>116</v>
      </c>
      <c r="D548" s="3" t="s">
        <v>619</v>
      </c>
      <c r="E548" s="15" t="s">
        <v>620</v>
      </c>
      <c r="F548" s="15" t="e">
        <f>+VLOOKUP(D548,[1]Sheet1!$D$2:$E$29166,2,0)</f>
        <v>#N/A</v>
      </c>
      <c r="H548" s="3" t="s">
        <v>340</v>
      </c>
      <c r="I548" s="18" t="e">
        <f t="array" ref="I548">INDEX([2]Sheet1!$F$1:$AF$65808,MATCH(D548&amp;G548&amp;I$1,[2]Sheet1!$B$1:$B$65808&amp;[2]Sheet1!$D$1:$D$65808&amp;[2]Sheet1!$E$1:$E$65808,0),MATCH(H548,[2]Sheet1!$F$1:$AF$1,0))</f>
        <v>#N/A</v>
      </c>
      <c r="K548" s="3">
        <v>1</v>
      </c>
      <c r="L548" s="19">
        <v>30</v>
      </c>
      <c r="M548" s="19">
        <v>30</v>
      </c>
      <c r="N548" s="5" t="s">
        <v>360</v>
      </c>
      <c r="O548" s="4"/>
      <c r="P548" s="18">
        <v>60</v>
      </c>
      <c r="Q548" s="3"/>
      <c r="R548" s="6"/>
      <c r="S548" s="22"/>
      <c r="U548" s="23">
        <f t="shared" si="10"/>
        <v>1</v>
      </c>
      <c r="V548" s="24" t="s">
        <v>6</v>
      </c>
      <c r="W548" s="7" t="s">
        <v>864</v>
      </c>
    </row>
    <row r="549" spans="1:24" ht="22.95" hidden="1" customHeight="1" x14ac:dyDescent="0.25">
      <c r="A549" s="1" t="s">
        <v>759</v>
      </c>
      <c r="D549" s="3" t="s">
        <v>856</v>
      </c>
      <c r="E549" s="15" t="s">
        <v>380</v>
      </c>
      <c r="F549" s="15" t="str">
        <f>+VLOOKUP(D549,[1]Sheet1!$D$2:$E$29166,2,0)</f>
        <v>根肋三段</v>
      </c>
      <c r="G549" s="3" t="s">
        <v>46</v>
      </c>
      <c r="H549" s="3">
        <v>70</v>
      </c>
      <c r="I549" s="18" t="str">
        <f t="array" ref="I549">INDEX([2]Sheet1!$F$1:$AF$65808,MATCH(D549&amp;G549&amp;I$1,[2]Sheet1!$B$1:$B$65808&amp;[2]Sheet1!$D$1:$D$65808&amp;[2]Sheet1!$E$1:$E$65808,0),MATCH(H549,[2]Sheet1!$F$1:$AF$1,0))</f>
        <v>70/钳工</v>
      </c>
      <c r="K549" s="3">
        <v>1</v>
      </c>
      <c r="L549" s="19">
        <v>30</v>
      </c>
      <c r="M549" s="19">
        <v>30</v>
      </c>
      <c r="N549" s="5" t="s">
        <v>833</v>
      </c>
      <c r="O549" s="4"/>
      <c r="P549" s="18">
        <f t="array" ref="P549">IFERROR(INDEX([2]Sheet1!$F$1:$AF$65808,MATCH($D549&amp;$G549&amp;P$1,[2]Sheet1!$B$1:$B$65808&amp;[2]Sheet1!$D$1:$D$65808&amp;[2]Sheet1!$E$1:$E$65808,0),MATCH($H549,[2]Sheet1!$F$1:$AF$1,0)),0)</f>
        <v>600</v>
      </c>
      <c r="Q549" s="3"/>
      <c r="R549" s="6"/>
      <c r="S549" s="22"/>
      <c r="U549" s="23">
        <f t="shared" si="10"/>
        <v>10</v>
      </c>
      <c r="V549" s="24" t="s">
        <v>5</v>
      </c>
      <c r="X549" s="7" t="s">
        <v>203</v>
      </c>
    </row>
    <row r="550" spans="1:24" ht="22.95" hidden="1" customHeight="1" x14ac:dyDescent="0.25">
      <c r="A550" s="1" t="s">
        <v>759</v>
      </c>
      <c r="D550" s="3" t="s">
        <v>865</v>
      </c>
      <c r="E550" s="15" t="s">
        <v>866</v>
      </c>
      <c r="F550" s="15" t="str">
        <f>+VLOOKUP(D550,[1]Sheet1!$D$2:$E$29166,2,0)</f>
        <v>底部连接接头</v>
      </c>
      <c r="G550" s="3" t="s">
        <v>80</v>
      </c>
      <c r="H550" s="3">
        <v>30</v>
      </c>
      <c r="I550" s="18" t="str">
        <f t="array" ref="I550">INDEX([2]Sheet1!$F$1:$AF$65808,MATCH(D550&amp;G550&amp;I$1,[2]Sheet1!$B$1:$B$65808&amp;[2]Sheet1!$D$1:$D$65808&amp;[2]Sheet1!$E$1:$E$65808,0),MATCH(H550,[2]Sheet1!$F$1:$AF$1,0))</f>
        <v>30钳工</v>
      </c>
      <c r="K550" s="3">
        <v>8</v>
      </c>
      <c r="L550" s="19">
        <v>30</v>
      </c>
      <c r="M550" s="19">
        <v>30</v>
      </c>
      <c r="N550" s="5" t="s">
        <v>81</v>
      </c>
      <c r="O550" s="4"/>
      <c r="P550" s="18">
        <f t="array" ref="P550">IFERROR(INDEX([2]Sheet1!$F$1:$AF$65808,MATCH($D550&amp;$G550&amp;P$1,[2]Sheet1!$B$1:$B$65808&amp;[2]Sheet1!$D$1:$D$65808&amp;[2]Sheet1!$E$1:$E$65808,0),MATCH($H550,[2]Sheet1!$F$1:$AF$1,0)),0)</f>
        <v>60</v>
      </c>
      <c r="Q550" s="3"/>
      <c r="R550" s="6"/>
      <c r="S550" s="22"/>
      <c r="U550" s="23">
        <f t="shared" si="10"/>
        <v>8</v>
      </c>
      <c r="V550" s="24" t="s">
        <v>5</v>
      </c>
    </row>
    <row r="551" spans="1:24" ht="22.95" hidden="1" customHeight="1" x14ac:dyDescent="0.25">
      <c r="A551" s="1" t="s">
        <v>759</v>
      </c>
      <c r="D551" s="3" t="s">
        <v>867</v>
      </c>
      <c r="E551" s="15" t="s">
        <v>490</v>
      </c>
      <c r="F551" s="15" t="str">
        <f>+VLOOKUP(D551,[1]Sheet1!$D$2:$E$29166,2,0)</f>
        <v>8815 4号加强筋</v>
      </c>
      <c r="G551" s="3" t="s">
        <v>147</v>
      </c>
      <c r="H551" s="3" t="s">
        <v>340</v>
      </c>
      <c r="I551" s="18" t="e">
        <f t="array" ref="I551">INDEX([2]Sheet1!$F$1:$AF$65808,MATCH(D551&amp;G551&amp;I$1,[2]Sheet1!$B$1:$B$65808&amp;[2]Sheet1!$D$1:$D$65808&amp;[2]Sheet1!$E$1:$E$65808,0),MATCH(H551,[2]Sheet1!$F$1:$AF$1,0))</f>
        <v>#N/A</v>
      </c>
      <c r="K551" s="3">
        <v>3</v>
      </c>
      <c r="L551" s="19">
        <v>30</v>
      </c>
      <c r="M551" s="19">
        <v>30</v>
      </c>
      <c r="N551" s="5" t="s">
        <v>868</v>
      </c>
      <c r="O551" s="4"/>
      <c r="P551" s="18">
        <v>30</v>
      </c>
      <c r="Q551" s="3"/>
      <c r="R551" s="6"/>
      <c r="S551" s="22"/>
      <c r="U551" s="23">
        <f t="shared" si="10"/>
        <v>1.5</v>
      </c>
      <c r="V551" s="24" t="s">
        <v>5</v>
      </c>
      <c r="W551" s="7" t="s">
        <v>869</v>
      </c>
    </row>
    <row r="552" spans="1:24" ht="22.95" hidden="1" customHeight="1" x14ac:dyDescent="0.25">
      <c r="A552" s="1" t="s">
        <v>759</v>
      </c>
      <c r="D552" s="3" t="s">
        <v>870</v>
      </c>
      <c r="E552" s="15" t="s">
        <v>871</v>
      </c>
      <c r="F552" s="15" t="str">
        <f>+VLOOKUP(D552,[1]Sheet1!$D$2:$E$29166,2,0)</f>
        <v>上边肋</v>
      </c>
      <c r="G552" s="3" t="s">
        <v>147</v>
      </c>
      <c r="H552" s="3">
        <v>65</v>
      </c>
      <c r="I552" s="18" t="str">
        <f t="array" ref="I552">INDEX([2]Sheet1!$F$1:$AF$65808,MATCH(D552&amp;G552&amp;I$1,[2]Sheet1!$B$1:$B$65808&amp;[2]Sheet1!$D$1:$D$65808&amp;[2]Sheet1!$E$1:$E$65808,0),MATCH(H552,[2]Sheet1!$F$1:$AF$1,0))</f>
        <v>65/钳工</v>
      </c>
      <c r="K552" s="3">
        <v>2</v>
      </c>
      <c r="L552" s="19">
        <v>30</v>
      </c>
      <c r="M552" s="19">
        <v>30</v>
      </c>
      <c r="N552" s="5" t="s">
        <v>872</v>
      </c>
      <c r="O552" s="4"/>
      <c r="P552" s="18">
        <f t="array" ref="P552">IFERROR(INDEX([2]Sheet1!$F$1:$AF$65808,MATCH($D552&amp;$G552&amp;P$1,[2]Sheet1!$B$1:$B$65808&amp;[2]Sheet1!$D$1:$D$65808&amp;[2]Sheet1!$E$1:$E$65808,0),MATCH($H552,[2]Sheet1!$F$1:$AF$1,0)),0)</f>
        <v>240</v>
      </c>
      <c r="Q552" s="3"/>
      <c r="R552" s="6"/>
      <c r="S552" s="22"/>
      <c r="U552" s="23">
        <f t="shared" si="10"/>
        <v>8</v>
      </c>
      <c r="V552" s="24" t="s">
        <v>5</v>
      </c>
    </row>
    <row r="553" spans="1:24" ht="22.95" hidden="1" customHeight="1" x14ac:dyDescent="0.25">
      <c r="A553" s="1" t="s">
        <v>759</v>
      </c>
      <c r="D553" s="3" t="s">
        <v>870</v>
      </c>
      <c r="E553" s="15" t="s">
        <v>871</v>
      </c>
      <c r="F553" s="15" t="str">
        <f>+VLOOKUP(D553,[1]Sheet1!$D$2:$E$29166,2,0)</f>
        <v>上边肋</v>
      </c>
      <c r="G553" s="3" t="s">
        <v>147</v>
      </c>
      <c r="H553" s="3">
        <v>65</v>
      </c>
      <c r="I553" s="18" t="str">
        <f t="array" ref="I553">INDEX([2]Sheet1!$F$1:$AF$65808,MATCH(D553&amp;G553&amp;I$1,[2]Sheet1!$B$1:$B$65808&amp;[2]Sheet1!$D$1:$D$65808&amp;[2]Sheet1!$E$1:$E$65808,0),MATCH(H553,[2]Sheet1!$F$1:$AF$1,0))</f>
        <v>65/钳工</v>
      </c>
      <c r="K553" s="3">
        <v>2</v>
      </c>
      <c r="L553" s="19">
        <v>30</v>
      </c>
      <c r="M553" s="19">
        <v>30</v>
      </c>
      <c r="N553" s="5" t="s">
        <v>873</v>
      </c>
      <c r="O553" s="4"/>
      <c r="P553" s="18">
        <f t="array" ref="P553">IFERROR(INDEX([2]Sheet1!$F$1:$AF$65808,MATCH($D553&amp;$G553&amp;P$1,[2]Sheet1!$B$1:$B$65808&amp;[2]Sheet1!$D$1:$D$65808&amp;[2]Sheet1!$E$1:$E$65808,0),MATCH($H553,[2]Sheet1!$F$1:$AF$1,0)),0)</f>
        <v>240</v>
      </c>
      <c r="Q553" s="3"/>
      <c r="R553" s="6"/>
      <c r="S553" s="22"/>
      <c r="U553" s="23">
        <f t="shared" si="10"/>
        <v>8</v>
      </c>
      <c r="V553" s="24" t="s">
        <v>5</v>
      </c>
    </row>
    <row r="554" spans="1:24" ht="22.95" hidden="1" customHeight="1" x14ac:dyDescent="0.25">
      <c r="A554" s="1" t="s">
        <v>759</v>
      </c>
      <c r="D554" s="3" t="s">
        <v>631</v>
      </c>
      <c r="E554" s="15" t="s">
        <v>632</v>
      </c>
      <c r="F554" s="15" t="str">
        <f>+VLOOKUP(D554,[1]Sheet1!$D$2:$E$29166,2,0)</f>
        <v>BL280侧壁（左件）</v>
      </c>
      <c r="G554" s="3" t="s">
        <v>155</v>
      </c>
      <c r="H554" s="3">
        <v>40</v>
      </c>
      <c r="I554" s="18" t="str">
        <f t="array" ref="I554">INDEX([2]Sheet1!$F$1:$AF$65808,MATCH(D554&amp;G554&amp;I$1,[2]Sheet1!$B$1:$B$65808&amp;[2]Sheet1!$D$1:$D$65808&amp;[2]Sheet1!$E$1:$E$65808,0),MATCH(H554,[2]Sheet1!$F$1:$AF$1,0))</f>
        <v>40/钳工</v>
      </c>
      <c r="K554" s="3">
        <v>3</v>
      </c>
      <c r="L554" s="19">
        <v>30</v>
      </c>
      <c r="M554" s="19">
        <v>8</v>
      </c>
      <c r="N554" s="5" t="s">
        <v>874</v>
      </c>
      <c r="O554" s="4"/>
      <c r="P554" s="18">
        <f t="array" ref="P554">IFERROR(INDEX([2]Sheet1!$F$1:$AF$65808,MATCH($D554&amp;$G554&amp;P$1,[2]Sheet1!$B$1:$B$65808&amp;[2]Sheet1!$D$1:$D$65808&amp;[2]Sheet1!$E$1:$E$65808,0),MATCH($H554,[2]Sheet1!$F$1:$AF$1,0)),0)</f>
        <v>960</v>
      </c>
      <c r="Q554" s="3"/>
      <c r="R554" s="6"/>
      <c r="S554" s="22"/>
      <c r="U554" s="23">
        <f t="shared" si="10"/>
        <v>48</v>
      </c>
      <c r="V554" s="24" t="s">
        <v>5</v>
      </c>
    </row>
    <row r="555" spans="1:24" ht="22.95" hidden="1" customHeight="1" x14ac:dyDescent="0.25">
      <c r="A555" s="1" t="s">
        <v>759</v>
      </c>
      <c r="D555" s="3" t="s">
        <v>631</v>
      </c>
      <c r="E555" s="15" t="s">
        <v>632</v>
      </c>
      <c r="F555" s="15" t="str">
        <f>+VLOOKUP(D555,[1]Sheet1!$D$2:$E$29166,2,0)</f>
        <v>BL280侧壁（左件）</v>
      </c>
      <c r="G555" s="3" t="s">
        <v>155</v>
      </c>
      <c r="H555" s="3" t="s">
        <v>340</v>
      </c>
      <c r="I555" s="18" t="e">
        <f t="array" ref="I555">INDEX([2]Sheet1!$F$1:$AF$65808,MATCH(D555&amp;G555&amp;I$1,[2]Sheet1!$B$1:$B$65808&amp;[2]Sheet1!$D$1:$D$65808&amp;[2]Sheet1!$E$1:$E$65808,0),MATCH(H555,[2]Sheet1!$F$1:$AF$1,0))</f>
        <v>#N/A</v>
      </c>
      <c r="K555" s="3">
        <v>3</v>
      </c>
      <c r="L555" s="19">
        <v>30</v>
      </c>
      <c r="M555" s="19">
        <v>30</v>
      </c>
      <c r="N555" s="5" t="s">
        <v>874</v>
      </c>
      <c r="O555" s="4"/>
      <c r="P555" s="18">
        <v>300</v>
      </c>
      <c r="Q555" s="3"/>
      <c r="R555" s="6"/>
      <c r="S555" s="22"/>
      <c r="U555" s="23">
        <f t="shared" si="10"/>
        <v>15</v>
      </c>
      <c r="V555" s="24" t="s">
        <v>5</v>
      </c>
      <c r="W555" s="7" t="s">
        <v>875</v>
      </c>
    </row>
    <row r="556" spans="1:24" ht="22.95" hidden="1" customHeight="1" x14ac:dyDescent="0.25">
      <c r="A556" s="1" t="s">
        <v>766</v>
      </c>
      <c r="D556" s="3" t="s">
        <v>153</v>
      </c>
      <c r="E556" s="15" t="s">
        <v>154</v>
      </c>
      <c r="F556" s="15" t="str">
        <f>+VLOOKUP(D556,[1]Sheet1!$D$2:$E$29166,2,0)</f>
        <v>9350-11140右侧上梁</v>
      </c>
      <c r="G556" s="3" t="s">
        <v>385</v>
      </c>
      <c r="H556" s="3">
        <v>50</v>
      </c>
      <c r="I556" s="18" t="str">
        <f t="array" ref="I556">INDEX([2]Sheet1!$F$1:$AF$65808,MATCH(D556&amp;G556&amp;I$1,[2]Sheet1!$B$1:$B$65808&amp;[2]Sheet1!$D$1:$D$65808&amp;[2]Sheet1!$E$1:$E$65808,0),MATCH(H556,[2]Sheet1!$F$1:$AF$1,0))</f>
        <v>50/钳工</v>
      </c>
      <c r="K556" s="3">
        <v>1</v>
      </c>
      <c r="L556" s="19">
        <v>30</v>
      </c>
      <c r="M556" s="19">
        <v>30</v>
      </c>
      <c r="N556" s="5" t="s">
        <v>491</v>
      </c>
      <c r="O556" s="4"/>
      <c r="P556" s="18">
        <f t="array" ref="P556">IFERROR(INDEX([2]Sheet1!$F$1:$AF$65808,MATCH($D556&amp;$G556&amp;P$1,[2]Sheet1!$B$1:$B$65808&amp;[2]Sheet1!$D$1:$D$65808&amp;[2]Sheet1!$E$1:$E$65808,0),MATCH($H556,[2]Sheet1!$F$1:$AF$1,0)),0)</f>
        <v>720</v>
      </c>
      <c r="Q556" s="3"/>
      <c r="R556" s="6"/>
      <c r="S556" s="22"/>
      <c r="U556" s="23">
        <f t="shared" si="10"/>
        <v>12</v>
      </c>
      <c r="V556" s="24" t="s">
        <v>5</v>
      </c>
    </row>
    <row r="557" spans="1:24" ht="22.95" hidden="1" customHeight="1" x14ac:dyDescent="0.25">
      <c r="A557" s="1" t="s">
        <v>840</v>
      </c>
      <c r="D557" s="3" t="s">
        <v>153</v>
      </c>
      <c r="E557" s="15" t="s">
        <v>154</v>
      </c>
      <c r="F557" s="15" t="str">
        <f>+VLOOKUP(D557,[1]Sheet1!$D$2:$E$29166,2,0)</f>
        <v>9350-11140右侧上梁</v>
      </c>
      <c r="G557" s="3" t="s">
        <v>385</v>
      </c>
      <c r="H557" s="3" t="s">
        <v>340</v>
      </c>
      <c r="I557" s="18" t="e">
        <f t="array" ref="I557">INDEX([2]Sheet1!$F$1:$AF$65808,MATCH(D557&amp;G557&amp;I$1,[2]Sheet1!$B$1:$B$65808&amp;[2]Sheet1!$D$1:$D$65808&amp;[2]Sheet1!$E$1:$E$65808,0),MATCH(H557,[2]Sheet1!$F$1:$AF$1,0))</f>
        <v>#N/A</v>
      </c>
      <c r="K557" s="3">
        <v>1</v>
      </c>
      <c r="L557" s="19">
        <v>30</v>
      </c>
      <c r="M557" s="19">
        <v>30</v>
      </c>
      <c r="N557" s="5" t="s">
        <v>491</v>
      </c>
      <c r="O557" s="4"/>
      <c r="P557" s="18">
        <v>60</v>
      </c>
      <c r="Q557" s="3"/>
      <c r="R557" s="6"/>
      <c r="S557" s="22"/>
      <c r="U557" s="23">
        <f t="shared" si="10"/>
        <v>1</v>
      </c>
      <c r="V557" s="24" t="s">
        <v>5</v>
      </c>
      <c r="W557" s="7" t="s">
        <v>875</v>
      </c>
    </row>
    <row r="558" spans="1:24" ht="22.95" hidden="1" customHeight="1" x14ac:dyDescent="0.25">
      <c r="A558" s="1" t="s">
        <v>876</v>
      </c>
      <c r="D558" s="3" t="s">
        <v>877</v>
      </c>
      <c r="E558" s="15" t="s">
        <v>878</v>
      </c>
      <c r="F558" s="15" t="e">
        <f>+VLOOKUP(D558,[1]Sheet1!$D$2:$E$29166,2,0)</f>
        <v>#N/A</v>
      </c>
      <c r="H558" s="3">
        <v>15</v>
      </c>
      <c r="I558" s="18" t="e">
        <f t="array" ref="I558">INDEX([2]Sheet1!$F$1:$AF$65808,MATCH(D558&amp;G558&amp;I$1,[2]Sheet1!$B$1:$B$65808&amp;[2]Sheet1!$D$1:$D$65808&amp;[2]Sheet1!$E$1:$E$65808,0),MATCH(H558,[2]Sheet1!$F$1:$AF$1,0))</f>
        <v>#N/A</v>
      </c>
      <c r="K558" s="3">
        <v>4</v>
      </c>
      <c r="L558" s="19">
        <v>30</v>
      </c>
      <c r="M558" s="19">
        <v>30</v>
      </c>
      <c r="N558" s="5" t="s">
        <v>349</v>
      </c>
      <c r="O558" s="4"/>
      <c r="P558" s="18">
        <v>180</v>
      </c>
      <c r="Q558" s="3"/>
      <c r="R558" s="6"/>
      <c r="S558" s="22"/>
      <c r="U558" s="23">
        <f t="shared" si="10"/>
        <v>12</v>
      </c>
      <c r="V558" s="24" t="s">
        <v>5</v>
      </c>
    </row>
    <row r="559" spans="1:24" ht="22.95" hidden="1" customHeight="1" x14ac:dyDescent="0.25">
      <c r="A559" s="1" t="s">
        <v>879</v>
      </c>
      <c r="D559" s="3" t="s">
        <v>880</v>
      </c>
      <c r="E559" s="15" t="s">
        <v>881</v>
      </c>
      <c r="F559" s="15" t="str">
        <f>+VLOOKUP(D559,[1]Sheet1!$D$2:$E$29166,2,0)</f>
        <v>后顶板</v>
      </c>
      <c r="G559" s="3" t="s">
        <v>51</v>
      </c>
      <c r="H559" s="3">
        <v>50</v>
      </c>
      <c r="I559" s="18" t="str">
        <f t="array" ref="I559">INDEX([2]Sheet1!$F$1:$AF$65808,MATCH(D559&amp;G559&amp;I$1,[2]Sheet1!$B$1:$B$65808&amp;[2]Sheet1!$D$1:$D$65808&amp;[2]Sheet1!$E$1:$E$65808,0),MATCH(H559,[2]Sheet1!$F$1:$AF$1,0))</f>
        <v>50/钳工</v>
      </c>
      <c r="K559" s="3">
        <v>1</v>
      </c>
      <c r="L559" s="19">
        <v>30</v>
      </c>
      <c r="M559" s="19">
        <v>30</v>
      </c>
      <c r="N559" s="5" t="s">
        <v>143</v>
      </c>
      <c r="O559" s="4"/>
      <c r="P559" s="18">
        <f t="array" ref="P559">IFERROR(INDEX([2]Sheet1!$F$1:$AF$65808,MATCH($D559&amp;$G559&amp;P$1,[2]Sheet1!$B$1:$B$65808&amp;[2]Sheet1!$D$1:$D$65808&amp;[2]Sheet1!$E$1:$E$65808,0),MATCH($H559,[2]Sheet1!$F$1:$AF$1,0)),0)</f>
        <v>720</v>
      </c>
      <c r="Q559" s="3"/>
      <c r="R559" s="6"/>
      <c r="S559" s="22"/>
      <c r="U559" s="23">
        <f t="shared" si="10"/>
        <v>12</v>
      </c>
      <c r="V559" s="24" t="s">
        <v>5</v>
      </c>
    </row>
    <row r="560" spans="1:24" ht="22.95" hidden="1" customHeight="1" x14ac:dyDescent="0.25">
      <c r="A560" s="1" t="s">
        <v>879</v>
      </c>
      <c r="D560" s="3" t="s">
        <v>619</v>
      </c>
      <c r="E560" s="15" t="s">
        <v>620</v>
      </c>
      <c r="F560" s="15" t="e">
        <f>+VLOOKUP(D560,[1]Sheet1!$D$2:$E$29166,2,0)</f>
        <v>#N/A</v>
      </c>
      <c r="G560" s="3" t="s">
        <v>80</v>
      </c>
      <c r="H560" s="3" t="s">
        <v>340</v>
      </c>
      <c r="I560" s="18" t="e">
        <f t="array" ref="I560">INDEX([2]Sheet1!$F$1:$AF$65808,MATCH(D560&amp;G560&amp;I$1,[2]Sheet1!$B$1:$B$65808&amp;[2]Sheet1!$D$1:$D$65808&amp;[2]Sheet1!$E$1:$E$65808,0),MATCH(H560,[2]Sheet1!$F$1:$AF$1,0))</f>
        <v>#N/A</v>
      </c>
      <c r="K560" s="3">
        <v>6</v>
      </c>
      <c r="L560" s="19">
        <v>30</v>
      </c>
      <c r="M560" s="19">
        <v>30</v>
      </c>
      <c r="N560" s="5" t="s">
        <v>882</v>
      </c>
      <c r="O560" s="4"/>
      <c r="P560" s="18">
        <v>60</v>
      </c>
      <c r="Q560" s="3"/>
      <c r="R560" s="6"/>
      <c r="S560" s="22"/>
      <c r="U560" s="23">
        <f t="shared" si="10"/>
        <v>6</v>
      </c>
      <c r="V560" s="24" t="s">
        <v>5</v>
      </c>
      <c r="W560" s="7" t="s">
        <v>883</v>
      </c>
    </row>
    <row r="561" spans="1:24" ht="22.95" hidden="1" customHeight="1" x14ac:dyDescent="0.25">
      <c r="A561" s="1" t="s">
        <v>879</v>
      </c>
      <c r="D561" s="3" t="s">
        <v>382</v>
      </c>
      <c r="E561" s="15" t="s">
        <v>383</v>
      </c>
      <c r="F561" s="15" t="str">
        <f>+VLOOKUP(D561,[1]Sheet1!$D$2:$E$29166,2,0)</f>
        <v>1号下壁板</v>
      </c>
      <c r="G561" s="3" t="s">
        <v>51</v>
      </c>
      <c r="H561" s="3">
        <v>15</v>
      </c>
      <c r="I561" s="18" t="e">
        <f t="array" ref="I561">INDEX([2]Sheet1!$F$1:$AF$65808,MATCH(D561&amp;G561&amp;I$1,[2]Sheet1!$B$1:$B$65808&amp;[2]Sheet1!$D$1:$D$65808&amp;[2]Sheet1!$E$1:$E$65808,0),MATCH(H561,[2]Sheet1!$F$1:$AF$1,0))</f>
        <v>#N/A</v>
      </c>
      <c r="K561" s="3">
        <v>2</v>
      </c>
      <c r="L561" s="19">
        <v>30</v>
      </c>
      <c r="M561" s="19">
        <v>30</v>
      </c>
      <c r="N561" s="5" t="s">
        <v>884</v>
      </c>
      <c r="O561" s="4"/>
      <c r="P561" s="18">
        <v>720</v>
      </c>
      <c r="Q561" s="3"/>
      <c r="R561" s="6"/>
      <c r="S561" s="22"/>
      <c r="U561" s="23">
        <f t="shared" si="10"/>
        <v>24</v>
      </c>
      <c r="V561" s="24" t="s">
        <v>5</v>
      </c>
    </row>
    <row r="562" spans="1:24" ht="22.95" hidden="1" customHeight="1" x14ac:dyDescent="0.25">
      <c r="A562" s="1" t="s">
        <v>879</v>
      </c>
      <c r="D562" s="3" t="s">
        <v>885</v>
      </c>
      <c r="E562" s="15" t="s">
        <v>886</v>
      </c>
      <c r="F562" s="15" t="e">
        <f>+VLOOKUP(D562,[1]Sheet1!$D$2:$E$29166,2,0)</f>
        <v>#N/A</v>
      </c>
      <c r="G562" s="3" t="s">
        <v>51</v>
      </c>
      <c r="H562" s="3">
        <v>50</v>
      </c>
      <c r="I562" s="18" t="str">
        <f t="array" ref="I562">INDEX([2]Sheet1!$F$1:$AF$65808,MATCH(D562&amp;G562&amp;I$1,[2]Sheet1!$B$1:$B$65808&amp;[2]Sheet1!$D$1:$D$65808&amp;[2]Sheet1!$E$1:$E$65808,0),MATCH(H562,[2]Sheet1!$F$1:$AF$1,0))</f>
        <v>50/钳工</v>
      </c>
      <c r="K562" s="3">
        <v>8</v>
      </c>
      <c r="L562" s="19">
        <v>30</v>
      </c>
      <c r="M562" s="19">
        <v>30</v>
      </c>
      <c r="N562" s="5" t="s">
        <v>887</v>
      </c>
      <c r="O562" s="4"/>
      <c r="P562" s="18">
        <f t="array" ref="P562">IFERROR(INDEX([2]Sheet1!$F$1:$AF$65808,MATCH($D562&amp;$G562&amp;P$1,[2]Sheet1!$B$1:$B$65808&amp;[2]Sheet1!$D$1:$D$65808&amp;[2]Sheet1!$E$1:$E$65808,0),MATCH($H562,[2]Sheet1!$F$1:$AF$1,0)),0)</f>
        <v>480</v>
      </c>
      <c r="Q562" s="3"/>
      <c r="R562" s="6"/>
      <c r="S562" s="22"/>
      <c r="U562" s="23">
        <f t="shared" si="10"/>
        <v>64</v>
      </c>
      <c r="V562" s="24" t="s">
        <v>5</v>
      </c>
    </row>
    <row r="563" spans="1:24" ht="22.95" hidden="1" customHeight="1" x14ac:dyDescent="0.25">
      <c r="A563" s="1" t="s">
        <v>876</v>
      </c>
      <c r="D563" s="3" t="s">
        <v>888</v>
      </c>
      <c r="E563" s="15" t="s">
        <v>55</v>
      </c>
      <c r="F563" s="15" t="str">
        <f>+VLOOKUP(D563,[1]Sheet1!$D$2:$E$29166,2,0)</f>
        <v>接头</v>
      </c>
      <c r="G563" s="3" t="s">
        <v>80</v>
      </c>
      <c r="H563" s="3">
        <v>35</v>
      </c>
      <c r="I563" s="18" t="str">
        <f t="array" ref="I563">INDEX([2]Sheet1!$F$1:$AF$65808,MATCH(D563&amp;G563&amp;I$1,[2]Sheet1!$B$1:$B$65808&amp;[2]Sheet1!$D$1:$D$65808&amp;[2]Sheet1!$E$1:$E$65808,0),MATCH(H563,[2]Sheet1!$F$1:$AF$1,0))</f>
        <v>35钳工</v>
      </c>
      <c r="K563" s="3">
        <v>5</v>
      </c>
      <c r="L563" s="19">
        <v>30</v>
      </c>
      <c r="M563" s="19">
        <v>30</v>
      </c>
      <c r="N563" s="5" t="s">
        <v>81</v>
      </c>
      <c r="O563" s="4"/>
      <c r="P563" s="18">
        <f t="array" ref="P563">IFERROR(INDEX([2]Sheet1!$F$1:$AF$65808,MATCH($D563&amp;$G563&amp;P$1,[2]Sheet1!$B$1:$B$65808&amp;[2]Sheet1!$D$1:$D$65808&amp;[2]Sheet1!$E$1:$E$65808,0),MATCH($H563,[2]Sheet1!$F$1:$AF$1,0)),0)</f>
        <v>90</v>
      </c>
      <c r="Q563" s="3"/>
      <c r="R563" s="6"/>
      <c r="S563" s="22"/>
      <c r="U563" s="23">
        <f t="shared" si="10"/>
        <v>7.5</v>
      </c>
      <c r="V563" s="24" t="s">
        <v>5</v>
      </c>
    </row>
    <row r="564" spans="1:24" ht="22.95" hidden="1" customHeight="1" x14ac:dyDescent="0.25">
      <c r="A564" s="1" t="s">
        <v>876</v>
      </c>
      <c r="D564" s="3" t="s">
        <v>885</v>
      </c>
      <c r="E564" s="15" t="s">
        <v>886</v>
      </c>
      <c r="F564" s="15" t="e">
        <f>+VLOOKUP(D564,[1]Sheet1!$D$2:$E$29166,2,0)</f>
        <v>#N/A</v>
      </c>
      <c r="G564" s="3" t="s">
        <v>51</v>
      </c>
      <c r="H564" s="3">
        <v>50</v>
      </c>
      <c r="I564" s="18" t="str">
        <f t="array" ref="I564">INDEX([2]Sheet1!$F$1:$AF$65808,MATCH(D564&amp;G564&amp;I$1,[2]Sheet1!$B$1:$B$65808&amp;[2]Sheet1!$D$1:$D$65808&amp;[2]Sheet1!$E$1:$E$65808,0),MATCH(H564,[2]Sheet1!$F$1:$AF$1,0))</f>
        <v>50/钳工</v>
      </c>
      <c r="K564" s="3">
        <v>4</v>
      </c>
      <c r="L564" s="19">
        <v>30</v>
      </c>
      <c r="M564" s="19">
        <v>30</v>
      </c>
      <c r="N564" s="5" t="s">
        <v>889</v>
      </c>
      <c r="O564" s="4"/>
      <c r="P564" s="18">
        <f t="array" ref="P564">IFERROR(INDEX([2]Sheet1!$F$1:$AF$65808,MATCH($D564&amp;$G564&amp;P$1,[2]Sheet1!$B$1:$B$65808&amp;[2]Sheet1!$D$1:$D$65808&amp;[2]Sheet1!$E$1:$E$65808,0),MATCH($H564,[2]Sheet1!$F$1:$AF$1,0)),0)</f>
        <v>480</v>
      </c>
      <c r="Q564" s="3"/>
      <c r="R564" s="6"/>
      <c r="S564" s="22"/>
      <c r="U564" s="23">
        <f t="shared" si="10"/>
        <v>32</v>
      </c>
      <c r="V564" s="24" t="s">
        <v>5</v>
      </c>
    </row>
    <row r="565" spans="1:24" ht="22.95" hidden="1" customHeight="1" x14ac:dyDescent="0.25">
      <c r="A565" s="1" t="s">
        <v>876</v>
      </c>
      <c r="D565" s="3" t="s">
        <v>890</v>
      </c>
      <c r="E565" s="15" t="s">
        <v>891</v>
      </c>
      <c r="F565" s="15" t="str">
        <f>+VLOOKUP(D565,[1]Sheet1!$D$2:$E$29166,2,0)</f>
        <v>法兰盘</v>
      </c>
      <c r="G565" s="3" t="s">
        <v>147</v>
      </c>
      <c r="H565" s="3" t="s">
        <v>340</v>
      </c>
      <c r="I565" s="18" t="e">
        <f t="array" ref="I565">INDEX([2]Sheet1!$F$1:$AF$65808,MATCH(D565&amp;G565&amp;I$1,[2]Sheet1!$B$1:$B$65808&amp;[2]Sheet1!$D$1:$D$65808&amp;[2]Sheet1!$E$1:$E$65808,0),MATCH(H565,[2]Sheet1!$F$1:$AF$1,0))</f>
        <v>#N/A</v>
      </c>
      <c r="K565" s="3">
        <v>10</v>
      </c>
      <c r="L565" s="19">
        <v>30</v>
      </c>
      <c r="M565" s="19">
        <v>30</v>
      </c>
      <c r="N565" s="5" t="s">
        <v>189</v>
      </c>
      <c r="O565" s="4"/>
      <c r="P565" s="18">
        <v>20</v>
      </c>
      <c r="Q565" s="3"/>
      <c r="R565" s="6"/>
      <c r="S565" s="22"/>
      <c r="U565" s="23">
        <f t="shared" si="10"/>
        <v>3.3</v>
      </c>
      <c r="V565" s="24" t="s">
        <v>5</v>
      </c>
      <c r="W565" s="7" t="s">
        <v>485</v>
      </c>
      <c r="X565" s="7" t="s">
        <v>203</v>
      </c>
    </row>
    <row r="566" spans="1:24" ht="22.95" hidden="1" customHeight="1" x14ac:dyDescent="0.25">
      <c r="A566" s="1" t="s">
        <v>74</v>
      </c>
      <c r="D566" s="3" t="s">
        <v>754</v>
      </c>
      <c r="E566" s="15" t="s">
        <v>755</v>
      </c>
      <c r="F566" s="15" t="str">
        <f>+VLOOKUP(D566,[1]Sheet1!$D$2:$E$29166,2,0)</f>
        <v>加强件</v>
      </c>
      <c r="G566" s="3" t="s">
        <v>64</v>
      </c>
      <c r="H566" s="3">
        <v>5</v>
      </c>
      <c r="I566" s="18" t="str">
        <f t="array" ref="I566">INDEX([2]Sheet1!$F$1:$AF$65808,MATCH(D566&amp;G566&amp;I$1,[2]Sheet1!$B$1:$B$65808&amp;[2]Sheet1!$D$1:$D$65808&amp;[2]Sheet1!$E$1:$E$65808,0),MATCH(H566,[2]Sheet1!$F$1:$AF$1,0))</f>
        <v>5/线切割</v>
      </c>
      <c r="K566" s="3">
        <v>3</v>
      </c>
      <c r="L566" s="19">
        <v>9</v>
      </c>
      <c r="M566" s="19">
        <v>27</v>
      </c>
      <c r="N566" s="5" t="s">
        <v>756</v>
      </c>
      <c r="O566" s="4">
        <v>60</v>
      </c>
      <c r="P566" s="18">
        <f t="array" ref="P566">IFERROR(INDEX([2]Sheet1!$F$1:$AF$65808,MATCH($D566&amp;$G566&amp;P$1,[2]Sheet1!$B$1:$B$65808&amp;[2]Sheet1!$D$1:$D$65808&amp;[2]Sheet1!$E$1:$E$65808,0),MATCH($H566,[2]Sheet1!$F$1:$AF$1,0)),0)</f>
        <v>30</v>
      </c>
      <c r="Q566" s="3"/>
      <c r="R566" s="6"/>
      <c r="S566" s="22"/>
      <c r="U566" s="23">
        <f t="shared" si="10"/>
        <v>1.5</v>
      </c>
      <c r="V566" s="24" t="s">
        <v>14</v>
      </c>
    </row>
    <row r="567" spans="1:24" ht="22.95" hidden="1" customHeight="1" x14ac:dyDescent="0.25">
      <c r="A567" s="1" t="s">
        <v>74</v>
      </c>
      <c r="D567" s="3" t="s">
        <v>754</v>
      </c>
      <c r="E567" s="15" t="s">
        <v>755</v>
      </c>
      <c r="F567" s="15" t="str">
        <f>+VLOOKUP(D567,[1]Sheet1!$D$2:$E$29166,2,0)</f>
        <v>加强件</v>
      </c>
      <c r="G567" s="3" t="s">
        <v>64</v>
      </c>
      <c r="H567" s="3">
        <v>5</v>
      </c>
      <c r="I567" s="18" t="str">
        <f t="array" ref="I567">INDEX([2]Sheet1!$F$1:$AF$65808,MATCH(D567&amp;G567&amp;I$1,[2]Sheet1!$B$1:$B$65808&amp;[2]Sheet1!$D$1:$D$65808&amp;[2]Sheet1!$E$1:$E$65808,0),MATCH(H567,[2]Sheet1!$F$1:$AF$1,0))</f>
        <v>5/线切割</v>
      </c>
      <c r="K567" s="3">
        <v>4</v>
      </c>
      <c r="L567" s="19">
        <v>19</v>
      </c>
      <c r="M567" s="19">
        <v>37</v>
      </c>
      <c r="N567" s="5" t="s">
        <v>892</v>
      </c>
      <c r="O567" s="4">
        <v>60</v>
      </c>
      <c r="P567" s="18">
        <f t="array" ref="P567">IFERROR(INDEX([2]Sheet1!$F$1:$AF$65808,MATCH($D567&amp;$G567&amp;P$1,[2]Sheet1!$B$1:$B$65808&amp;[2]Sheet1!$D$1:$D$65808&amp;[2]Sheet1!$E$1:$E$65808,0),MATCH($H567,[2]Sheet1!$F$1:$AF$1,0)),0)</f>
        <v>30</v>
      </c>
      <c r="Q567" s="3"/>
      <c r="R567" s="6"/>
      <c r="S567" s="22"/>
      <c r="U567" s="23">
        <f t="shared" si="10"/>
        <v>2</v>
      </c>
      <c r="V567" s="24" t="s">
        <v>14</v>
      </c>
    </row>
    <row r="568" spans="1:24" ht="22.95" hidden="1" customHeight="1" x14ac:dyDescent="0.25">
      <c r="A568" s="1" t="s">
        <v>82</v>
      </c>
      <c r="D568" s="3" t="s">
        <v>188</v>
      </c>
      <c r="E568" s="15" t="s">
        <v>120</v>
      </c>
      <c r="F568" s="15" t="str">
        <f>+VLOOKUP(D568,[1]Sheet1!$D$2:$E$29166,2,0)</f>
        <v>支架</v>
      </c>
      <c r="G568" s="3" t="s">
        <v>114</v>
      </c>
      <c r="H568" s="3">
        <v>10</v>
      </c>
      <c r="I568" s="18" t="str">
        <f t="array" ref="I568">INDEX([2]Sheet1!$F$1:$AF$65808,MATCH(D568&amp;G568&amp;I$1,[2]Sheet1!$B$1:$B$65808&amp;[2]Sheet1!$D$1:$D$65808&amp;[2]Sheet1!$E$1:$E$65808,0),MATCH(H568,[2]Sheet1!$F$1:$AF$1,0))</f>
        <v>10线切割</v>
      </c>
      <c r="K568" s="3">
        <v>20</v>
      </c>
      <c r="L568" s="19">
        <v>23</v>
      </c>
      <c r="M568" s="19">
        <v>28</v>
      </c>
      <c r="N568" s="5" t="s">
        <v>189</v>
      </c>
      <c r="O568" s="4">
        <v>120</v>
      </c>
      <c r="P568" s="18">
        <v>120</v>
      </c>
      <c r="Q568" s="3"/>
      <c r="R568" s="6"/>
      <c r="S568" s="22"/>
      <c r="U568" s="23">
        <f t="shared" si="10"/>
        <v>40</v>
      </c>
      <c r="V568" s="24" t="s">
        <v>14</v>
      </c>
    </row>
    <row r="569" spans="1:24" ht="22.95" hidden="1" customHeight="1" x14ac:dyDescent="0.25">
      <c r="A569" s="1" t="s">
        <v>82</v>
      </c>
      <c r="D569" s="3" t="s">
        <v>893</v>
      </c>
      <c r="E569" s="15" t="s">
        <v>894</v>
      </c>
      <c r="F569" s="15" t="str">
        <f>+VLOOKUP(D569,[1]Sheet1!$D$2:$E$29166,2,0)</f>
        <v>支臂</v>
      </c>
      <c r="G569" s="3" t="s">
        <v>46</v>
      </c>
      <c r="H569" s="3">
        <v>5</v>
      </c>
      <c r="I569" s="18" t="str">
        <f t="array" ref="I569">INDEX([2]Sheet1!$F$1:$AF$65808,MATCH(D569&amp;G569&amp;I$1,[2]Sheet1!$B$1:$B$65808&amp;[2]Sheet1!$D$1:$D$65808&amp;[2]Sheet1!$E$1:$E$65808,0),MATCH(H569,[2]Sheet1!$F$1:$AF$1,0))</f>
        <v>05线切割</v>
      </c>
      <c r="K569" s="3">
        <v>3</v>
      </c>
      <c r="L569" s="19">
        <v>23</v>
      </c>
      <c r="M569" s="19">
        <v>23</v>
      </c>
      <c r="N569" s="5" t="s">
        <v>895</v>
      </c>
      <c r="O569" s="4">
        <v>30</v>
      </c>
      <c r="P569" s="18">
        <v>30</v>
      </c>
      <c r="Q569" s="3"/>
      <c r="R569" s="6"/>
      <c r="S569" s="22"/>
      <c r="U569" s="23">
        <f t="shared" si="10"/>
        <v>1.5</v>
      </c>
      <c r="V569" s="24" t="s">
        <v>14</v>
      </c>
    </row>
    <row r="570" spans="1:24" ht="22.95" hidden="1" customHeight="1" x14ac:dyDescent="0.25">
      <c r="A570" s="1" t="s">
        <v>82</v>
      </c>
      <c r="D570" s="3" t="s">
        <v>896</v>
      </c>
      <c r="E570" s="15" t="s">
        <v>717</v>
      </c>
      <c r="F570" s="15" t="str">
        <f>+VLOOKUP(D570,[1]Sheet1!$D$2:$E$29166,2,0)</f>
        <v>耳环螺栓</v>
      </c>
      <c r="G570" s="3" t="s">
        <v>64</v>
      </c>
      <c r="H570" s="3">
        <v>10</v>
      </c>
      <c r="I570" s="18" t="str">
        <f t="array" ref="I570">INDEX([2]Sheet1!$F$1:$AF$65808,MATCH(D570&amp;G570&amp;I$1,[2]Sheet1!$B$1:$B$65808&amp;[2]Sheet1!$D$1:$D$65808&amp;[2]Sheet1!$E$1:$E$65808,0),MATCH(H570,[2]Sheet1!$F$1:$AF$1,0))</f>
        <v>10/线切割</v>
      </c>
      <c r="K570" s="3">
        <v>21</v>
      </c>
      <c r="L570" s="19">
        <v>23</v>
      </c>
      <c r="M570" s="19">
        <v>23</v>
      </c>
      <c r="N570" s="5" t="s">
        <v>897</v>
      </c>
      <c r="O570" s="4">
        <v>60</v>
      </c>
      <c r="P570" s="18">
        <v>60</v>
      </c>
      <c r="Q570" s="3"/>
      <c r="R570" s="6"/>
      <c r="S570" s="22"/>
      <c r="U570" s="23">
        <f t="shared" si="10"/>
        <v>21</v>
      </c>
      <c r="V570" s="24" t="s">
        <v>14</v>
      </c>
    </row>
    <row r="571" spans="1:24" ht="22.95" hidden="1" customHeight="1" x14ac:dyDescent="0.25">
      <c r="A571" s="1" t="s">
        <v>100</v>
      </c>
      <c r="D571" s="3" t="s">
        <v>816</v>
      </c>
      <c r="E571" s="15" t="s">
        <v>817</v>
      </c>
      <c r="F571" s="15" t="str">
        <f>+VLOOKUP(D571,[1]Sheet1!$D$2:$E$29166,2,0)</f>
        <v>套筒</v>
      </c>
      <c r="G571" s="3" t="s">
        <v>51</v>
      </c>
      <c r="H571" s="3">
        <v>29</v>
      </c>
      <c r="I571" s="18" t="e">
        <f t="array" ref="I571">INDEX([2]Sheet1!$F$1:$AF$65808,MATCH(D571&amp;G571&amp;I$1,[2]Sheet1!$B$1:$B$65808&amp;[2]Sheet1!$D$1:$D$65808&amp;[2]Sheet1!$E$1:$E$65808,0),MATCH(H571,[2]Sheet1!$F$1:$AF$1,0))</f>
        <v>#N/A</v>
      </c>
      <c r="K571" s="3">
        <v>40</v>
      </c>
      <c r="L571" s="19"/>
      <c r="M571" s="19"/>
      <c r="N571" s="5" t="s">
        <v>700</v>
      </c>
      <c r="O571" s="4">
        <v>20</v>
      </c>
      <c r="P571" s="18">
        <v>20</v>
      </c>
      <c r="Q571" s="3"/>
      <c r="R571" s="6"/>
      <c r="S571" s="22"/>
      <c r="U571" s="23">
        <f t="shared" si="10"/>
        <v>13.3</v>
      </c>
      <c r="V571" s="24" t="s">
        <v>14</v>
      </c>
      <c r="X571" s="7" t="s">
        <v>203</v>
      </c>
    </row>
    <row r="572" spans="1:24" ht="22.95" hidden="1" customHeight="1" x14ac:dyDescent="0.25">
      <c r="A572" s="1" t="s">
        <v>100</v>
      </c>
      <c r="D572" s="3" t="s">
        <v>816</v>
      </c>
      <c r="E572" s="15" t="s">
        <v>817</v>
      </c>
      <c r="F572" s="15" t="str">
        <f>+VLOOKUP(D572,[1]Sheet1!$D$2:$E$29166,2,0)</f>
        <v>套筒</v>
      </c>
      <c r="G572" s="3" t="s">
        <v>51</v>
      </c>
      <c r="H572" s="3">
        <v>29</v>
      </c>
      <c r="I572" s="18" t="e">
        <f t="array" ref="I572">INDEX([2]Sheet1!$F$1:$AF$65808,MATCH(D572&amp;G572&amp;I$1,[2]Sheet1!$B$1:$B$65808&amp;[2]Sheet1!$D$1:$D$65808&amp;[2]Sheet1!$E$1:$E$65808,0),MATCH(H572,[2]Sheet1!$F$1:$AF$1,0))</f>
        <v>#N/A</v>
      </c>
      <c r="K572" s="3">
        <v>16</v>
      </c>
      <c r="L572" s="19"/>
      <c r="M572" s="19"/>
      <c r="N572" s="5" t="s">
        <v>700</v>
      </c>
      <c r="O572" s="4">
        <v>20</v>
      </c>
      <c r="P572" s="18">
        <v>20</v>
      </c>
      <c r="Q572" s="3"/>
      <c r="R572" s="6"/>
      <c r="S572" s="22"/>
      <c r="U572" s="23">
        <f t="shared" si="10"/>
        <v>5.3</v>
      </c>
      <c r="V572" s="24" t="s">
        <v>14</v>
      </c>
      <c r="W572" s="7" t="s">
        <v>898</v>
      </c>
      <c r="X572" s="7" t="s">
        <v>203</v>
      </c>
    </row>
    <row r="573" spans="1:24" ht="22.95" hidden="1" customHeight="1" x14ac:dyDescent="0.25">
      <c r="A573" s="1" t="s">
        <v>100</v>
      </c>
      <c r="D573" s="3" t="s">
        <v>771</v>
      </c>
      <c r="E573" s="15" t="s">
        <v>55</v>
      </c>
      <c r="F573" s="15" t="str">
        <f>+VLOOKUP(D573,[1]Sheet1!$D$2:$E$29166,2,0)</f>
        <v>接头</v>
      </c>
      <c r="G573" s="3" t="s">
        <v>80</v>
      </c>
      <c r="H573" s="3">
        <v>20</v>
      </c>
      <c r="I573" s="18" t="str">
        <f t="array" ref="I573">INDEX([2]Sheet1!$F$1:$AF$65808,MATCH(D573&amp;G573&amp;I$1,[2]Sheet1!$B$1:$B$65808&amp;[2]Sheet1!$D$1:$D$65808&amp;[2]Sheet1!$E$1:$E$65808,0),MATCH(H573,[2]Sheet1!$F$1:$AF$1,0))</f>
        <v>20线切割</v>
      </c>
      <c r="K573" s="3">
        <v>4</v>
      </c>
      <c r="L573" s="19">
        <v>23</v>
      </c>
      <c r="M573" s="19">
        <v>23</v>
      </c>
      <c r="N573" s="5" t="s">
        <v>81</v>
      </c>
      <c r="O573" s="4">
        <v>60</v>
      </c>
      <c r="P573" s="18">
        <v>60</v>
      </c>
      <c r="Q573" s="3"/>
      <c r="R573" s="6"/>
      <c r="S573" s="22"/>
      <c r="U573" s="23">
        <f t="shared" si="10"/>
        <v>4</v>
      </c>
      <c r="V573" s="24" t="s">
        <v>14</v>
      </c>
    </row>
    <row r="574" spans="1:24" ht="22.95" hidden="1" customHeight="1" x14ac:dyDescent="0.25">
      <c r="A574" s="1" t="s">
        <v>103</v>
      </c>
      <c r="D574" s="3" t="s">
        <v>771</v>
      </c>
      <c r="E574" s="15" t="s">
        <v>55</v>
      </c>
      <c r="F574" s="15" t="str">
        <f>+VLOOKUP(D574,[1]Sheet1!$D$2:$E$29166,2,0)</f>
        <v>接头</v>
      </c>
      <c r="G574" s="3" t="s">
        <v>80</v>
      </c>
      <c r="H574" s="3">
        <v>20</v>
      </c>
      <c r="I574" s="18" t="str">
        <f t="array" ref="I574">INDEX([2]Sheet1!$F$1:$AF$65808,MATCH(D574&amp;G574&amp;I$1,[2]Sheet1!$B$1:$B$65808&amp;[2]Sheet1!$D$1:$D$65808&amp;[2]Sheet1!$E$1:$E$65808,0),MATCH(H574,[2]Sheet1!$F$1:$AF$1,0))</f>
        <v>20线切割</v>
      </c>
      <c r="K574" s="3">
        <v>4</v>
      </c>
      <c r="L574" s="19">
        <v>23</v>
      </c>
      <c r="M574" s="19">
        <v>23</v>
      </c>
      <c r="N574" s="5" t="s">
        <v>81</v>
      </c>
      <c r="O574" s="4">
        <v>60</v>
      </c>
      <c r="P574" s="18">
        <v>60</v>
      </c>
      <c r="Q574" s="3"/>
      <c r="R574" s="6"/>
      <c r="S574" s="22"/>
      <c r="U574" s="23">
        <f t="shared" si="10"/>
        <v>4</v>
      </c>
      <c r="V574" s="24" t="s">
        <v>14</v>
      </c>
    </row>
    <row r="575" spans="1:24" ht="22.95" hidden="1" customHeight="1" x14ac:dyDescent="0.25">
      <c r="A575" s="1" t="s">
        <v>103</v>
      </c>
      <c r="E575" s="15" t="s">
        <v>899</v>
      </c>
      <c r="F575" s="15" t="e">
        <f>+VLOOKUP(D575,[1]Sheet1!$D$2:$E$29166,2,0)</f>
        <v>#N/A</v>
      </c>
      <c r="H575" s="3" t="s">
        <v>652</v>
      </c>
      <c r="I575" s="18" t="e">
        <f t="array" ref="I575">INDEX([2]Sheet1!$F$1:$AF$65808,MATCH(D575&amp;G575&amp;I$1,[2]Sheet1!$B$1:$B$65808&amp;[2]Sheet1!$D$1:$D$65808&amp;[2]Sheet1!$E$1:$E$65808,0),MATCH(H575,[2]Sheet1!$F$1:$AF$1,0))</f>
        <v>#N/A</v>
      </c>
      <c r="K575" s="3">
        <v>4</v>
      </c>
      <c r="L575" s="19"/>
      <c r="M575" s="19"/>
      <c r="O575" s="4">
        <v>30</v>
      </c>
      <c r="P575" s="18">
        <v>30</v>
      </c>
      <c r="Q575" s="3"/>
      <c r="R575" s="6"/>
      <c r="S575" s="22"/>
      <c r="U575" s="23">
        <f t="shared" ref="U575:U607" si="11">ROUND((K575*P575+Q575*S575)/60+T575,1)</f>
        <v>2</v>
      </c>
      <c r="V575" s="24" t="s">
        <v>14</v>
      </c>
    </row>
    <row r="576" spans="1:24" ht="22.95" hidden="1" customHeight="1" x14ac:dyDescent="0.25">
      <c r="A576" s="1" t="s">
        <v>109</v>
      </c>
      <c r="E576" s="15" t="s">
        <v>899</v>
      </c>
      <c r="F576" s="15" t="e">
        <f>+VLOOKUP(D576,[1]Sheet1!$D$2:$E$29166,2,0)</f>
        <v>#N/A</v>
      </c>
      <c r="H576" s="3" t="s">
        <v>652</v>
      </c>
      <c r="I576" s="18" t="e">
        <f t="array" ref="I576">INDEX([2]Sheet1!$F$1:$AF$65808,MATCH(D576&amp;G576&amp;I$1,[2]Sheet1!$B$1:$B$65808&amp;[2]Sheet1!$D$1:$D$65808&amp;[2]Sheet1!$E$1:$E$65808,0),MATCH(H576,[2]Sheet1!$F$1:$AF$1,0))</f>
        <v>#N/A</v>
      </c>
      <c r="K576" s="3">
        <v>8</v>
      </c>
      <c r="L576" s="19"/>
      <c r="M576" s="19"/>
      <c r="O576" s="4">
        <v>20</v>
      </c>
      <c r="P576" s="18">
        <v>20</v>
      </c>
      <c r="Q576" s="3"/>
      <c r="R576" s="6"/>
      <c r="S576" s="22"/>
      <c r="U576" s="23">
        <f t="shared" si="11"/>
        <v>2.7</v>
      </c>
      <c r="V576" s="24" t="s">
        <v>14</v>
      </c>
    </row>
    <row r="577" spans="1:24" ht="22.95" hidden="1" customHeight="1" x14ac:dyDescent="0.25">
      <c r="A577" s="1" t="s">
        <v>109</v>
      </c>
      <c r="E577" s="15" t="s">
        <v>900</v>
      </c>
      <c r="F577" s="15" t="e">
        <f>+VLOOKUP(D577,[1]Sheet1!$D$2:$E$29166,2,0)</f>
        <v>#N/A</v>
      </c>
      <c r="H577" s="3" t="s">
        <v>652</v>
      </c>
      <c r="I577" s="18" t="e">
        <f t="array" ref="I577">INDEX([2]Sheet1!$F$1:$AF$65808,MATCH(D577&amp;G577&amp;I$1,[2]Sheet1!$B$1:$B$65808&amp;[2]Sheet1!$D$1:$D$65808&amp;[2]Sheet1!$E$1:$E$65808,0),MATCH(H577,[2]Sheet1!$F$1:$AF$1,0))</f>
        <v>#N/A</v>
      </c>
      <c r="K577" s="3">
        <v>1</v>
      </c>
      <c r="L577" s="19"/>
      <c r="M577" s="19"/>
      <c r="O577" s="4">
        <v>120</v>
      </c>
      <c r="P577" s="18">
        <v>120</v>
      </c>
      <c r="Q577" s="3"/>
      <c r="R577" s="6"/>
      <c r="S577" s="22"/>
      <c r="U577" s="23">
        <f t="shared" si="11"/>
        <v>2</v>
      </c>
      <c r="V577" s="24" t="s">
        <v>14</v>
      </c>
      <c r="W577" s="7" t="s">
        <v>901</v>
      </c>
    </row>
    <row r="578" spans="1:24" ht="22.95" hidden="1" customHeight="1" x14ac:dyDescent="0.25">
      <c r="A578" s="1" t="s">
        <v>109</v>
      </c>
      <c r="D578" s="3" t="s">
        <v>902</v>
      </c>
      <c r="E578" s="15" t="s">
        <v>55</v>
      </c>
      <c r="F578" s="15" t="str">
        <f>+VLOOKUP(D578,[1]Sheet1!$D$2:$E$29166,2,0)</f>
        <v>接头</v>
      </c>
      <c r="G578" s="3" t="s">
        <v>80</v>
      </c>
      <c r="H578" s="3">
        <v>20</v>
      </c>
      <c r="I578" s="18" t="str">
        <f t="array" ref="I578">INDEX([2]Sheet1!$F$1:$AF$65808,MATCH(D578&amp;G578&amp;I$1,[2]Sheet1!$B$1:$B$65808&amp;[2]Sheet1!$D$1:$D$65808&amp;[2]Sheet1!$E$1:$E$65808,0),MATCH(H578,[2]Sheet1!$F$1:$AF$1,0))</f>
        <v>20线切割</v>
      </c>
      <c r="K578" s="3">
        <v>4</v>
      </c>
      <c r="L578" s="19">
        <v>23</v>
      </c>
      <c r="M578" s="19">
        <v>23</v>
      </c>
      <c r="N578" s="5" t="s">
        <v>81</v>
      </c>
      <c r="O578" s="4">
        <v>60</v>
      </c>
      <c r="P578" s="18">
        <v>60</v>
      </c>
      <c r="Q578" s="3"/>
      <c r="R578" s="6"/>
      <c r="S578" s="22"/>
      <c r="U578" s="23">
        <f t="shared" si="11"/>
        <v>4</v>
      </c>
      <c r="V578" s="24" t="s">
        <v>14</v>
      </c>
    </row>
    <row r="579" spans="1:24" ht="22.95" hidden="1" customHeight="1" x14ac:dyDescent="0.25">
      <c r="A579" s="1" t="s">
        <v>157</v>
      </c>
      <c r="D579" s="3" t="s">
        <v>903</v>
      </c>
      <c r="E579" s="15" t="s">
        <v>904</v>
      </c>
      <c r="F579" s="15" t="str">
        <f>+VLOOKUP(D579,[1]Sheet1!$D$2:$E$29166,2,0)</f>
        <v>凸台</v>
      </c>
      <c r="G579" s="3" t="s">
        <v>51</v>
      </c>
      <c r="H579" s="3">
        <v>15</v>
      </c>
      <c r="I579" s="18" t="str">
        <f t="array" ref="I579">INDEX([2]Sheet1!$F$1:$AF$65808,MATCH(D579&amp;G579&amp;I$1,[2]Sheet1!$B$1:$B$65808&amp;[2]Sheet1!$D$1:$D$65808&amp;[2]Sheet1!$E$1:$E$65808,0),MATCH(H579,[2]Sheet1!$F$1:$AF$1,0))</f>
        <v>15/线切割</v>
      </c>
      <c r="K579" s="3">
        <v>60</v>
      </c>
      <c r="L579" s="19">
        <v>23</v>
      </c>
      <c r="M579" s="19">
        <v>28</v>
      </c>
      <c r="N579" s="5" t="s">
        <v>700</v>
      </c>
      <c r="O579" s="4">
        <v>20</v>
      </c>
      <c r="P579" s="18">
        <v>20</v>
      </c>
      <c r="Q579" s="3"/>
      <c r="R579" s="6"/>
      <c r="S579" s="22"/>
      <c r="U579" s="23">
        <f t="shared" si="11"/>
        <v>20</v>
      </c>
      <c r="V579" s="24" t="s">
        <v>14</v>
      </c>
    </row>
    <row r="580" spans="1:24" ht="22.95" hidden="1" customHeight="1" x14ac:dyDescent="0.25">
      <c r="A580" s="1" t="s">
        <v>157</v>
      </c>
      <c r="D580" s="3" t="s">
        <v>683</v>
      </c>
      <c r="E580" s="15" t="s">
        <v>681</v>
      </c>
      <c r="F580" s="15" t="str">
        <f>+VLOOKUP(D580,[1]Sheet1!$D$2:$E$29166,2,0)</f>
        <v>受剪接头</v>
      </c>
      <c r="G580" s="3" t="s">
        <v>147</v>
      </c>
      <c r="H580" s="3">
        <v>15</v>
      </c>
      <c r="I580" s="18" t="str">
        <f t="array" ref="I580">INDEX([2]Sheet1!$F$1:$AF$65808,MATCH(D580&amp;G580&amp;I$1,[2]Sheet1!$B$1:$B$65808&amp;[2]Sheet1!$D$1:$D$65808&amp;[2]Sheet1!$E$1:$E$65808,0),MATCH(H580,[2]Sheet1!$F$1:$AF$1,0))</f>
        <v>15/线切割</v>
      </c>
      <c r="K580" s="3">
        <v>13</v>
      </c>
      <c r="L580" s="19">
        <v>9</v>
      </c>
      <c r="M580" s="19">
        <v>9</v>
      </c>
      <c r="N580" s="5" t="s">
        <v>905</v>
      </c>
      <c r="O580" s="4">
        <v>60</v>
      </c>
      <c r="P580" s="18">
        <v>60</v>
      </c>
      <c r="Q580" s="3"/>
      <c r="R580" s="6"/>
      <c r="S580" s="22"/>
      <c r="U580" s="23">
        <f t="shared" si="11"/>
        <v>13</v>
      </c>
      <c r="V580" s="24" t="s">
        <v>14</v>
      </c>
    </row>
    <row r="581" spans="1:24" ht="22.95" hidden="1" customHeight="1" x14ac:dyDescent="0.25">
      <c r="A581" s="1" t="s">
        <v>116</v>
      </c>
      <c r="D581" s="3" t="s">
        <v>810</v>
      </c>
      <c r="E581" s="15" t="s">
        <v>55</v>
      </c>
      <c r="F581" s="15" t="str">
        <f>+VLOOKUP(D581,[1]Sheet1!$D$2:$E$29166,2,0)</f>
        <v>接头</v>
      </c>
      <c r="G581" s="3" t="s">
        <v>80</v>
      </c>
      <c r="H581" s="3">
        <v>20</v>
      </c>
      <c r="I581" s="18" t="str">
        <f t="array" ref="I581">INDEX([2]Sheet1!$F$1:$AF$65808,MATCH(D581&amp;G581&amp;I$1,[2]Sheet1!$B$1:$B$65808&amp;[2]Sheet1!$D$1:$D$65808&amp;[2]Sheet1!$E$1:$E$65808,0),MATCH(H581,[2]Sheet1!$F$1:$AF$1,0))</f>
        <v>20线切割</v>
      </c>
      <c r="K581" s="3">
        <v>4</v>
      </c>
      <c r="L581" s="19">
        <v>23</v>
      </c>
      <c r="M581" s="19">
        <v>23</v>
      </c>
      <c r="N581" s="5" t="s">
        <v>81</v>
      </c>
      <c r="O581" s="4">
        <v>60</v>
      </c>
      <c r="P581" s="18">
        <v>60</v>
      </c>
      <c r="Q581" s="3"/>
      <c r="R581" s="6"/>
      <c r="S581" s="22"/>
      <c r="U581" s="23">
        <f t="shared" si="11"/>
        <v>4</v>
      </c>
      <c r="V581" s="24" t="s">
        <v>14</v>
      </c>
    </row>
    <row r="582" spans="1:24" ht="22.95" hidden="1" customHeight="1" x14ac:dyDescent="0.25">
      <c r="A582" s="1" t="s">
        <v>116</v>
      </c>
      <c r="D582" s="3" t="s">
        <v>906</v>
      </c>
      <c r="E582" s="15" t="s">
        <v>55</v>
      </c>
      <c r="F582" s="15" t="str">
        <f>+VLOOKUP(D582,[1]Sheet1!$D$2:$E$29166,2,0)</f>
        <v>接头</v>
      </c>
      <c r="G582" s="3" t="s">
        <v>80</v>
      </c>
      <c r="H582" s="3">
        <v>20</v>
      </c>
      <c r="I582" s="18" t="str">
        <f t="array" ref="I582">INDEX([2]Sheet1!$F$1:$AF$65808,MATCH(D582&amp;G582&amp;I$1,[2]Sheet1!$B$1:$B$65808&amp;[2]Sheet1!$D$1:$D$65808&amp;[2]Sheet1!$E$1:$E$65808,0),MATCH(H582,[2]Sheet1!$F$1:$AF$1,0))</f>
        <v>20线切割</v>
      </c>
      <c r="K582" s="3">
        <v>1</v>
      </c>
      <c r="L582" s="19">
        <v>5</v>
      </c>
      <c r="M582" s="19"/>
      <c r="N582" s="5" t="s">
        <v>81</v>
      </c>
      <c r="O582" s="4">
        <v>60</v>
      </c>
      <c r="P582" s="18">
        <v>60</v>
      </c>
      <c r="Q582" s="3"/>
      <c r="R582" s="6"/>
      <c r="S582" s="22"/>
      <c r="U582" s="23">
        <f t="shared" si="11"/>
        <v>1</v>
      </c>
      <c r="V582" s="24" t="s">
        <v>14</v>
      </c>
    </row>
    <row r="583" spans="1:24" ht="22.95" hidden="1" customHeight="1" x14ac:dyDescent="0.25">
      <c r="A583" s="1" t="s">
        <v>562</v>
      </c>
      <c r="D583" s="3" t="s">
        <v>907</v>
      </c>
      <c r="E583" s="15" t="s">
        <v>866</v>
      </c>
      <c r="F583" s="15" t="str">
        <f>+VLOOKUP(D583,[1]Sheet1!$D$2:$E$29166,2,0)</f>
        <v>底部连接接头</v>
      </c>
      <c r="G583" s="3" t="s">
        <v>80</v>
      </c>
      <c r="H583" s="3">
        <v>15</v>
      </c>
      <c r="I583" s="18" t="str">
        <f t="array" ref="I583">INDEX([2]Sheet1!$F$1:$AF$65808,MATCH(D583&amp;G583&amp;I$1,[2]Sheet1!$B$1:$B$65808&amp;[2]Sheet1!$D$1:$D$65808&amp;[2]Sheet1!$E$1:$E$65808,0),MATCH(H583,[2]Sheet1!$F$1:$AF$1,0))</f>
        <v>15/线切割</v>
      </c>
      <c r="K583" s="3">
        <v>8</v>
      </c>
      <c r="L583" s="19">
        <v>5</v>
      </c>
      <c r="M583" s="19">
        <v>23</v>
      </c>
      <c r="N583" s="5" t="s">
        <v>81</v>
      </c>
      <c r="O583" s="4">
        <v>40</v>
      </c>
      <c r="P583" s="18">
        <v>40</v>
      </c>
      <c r="Q583" s="3"/>
      <c r="R583" s="6"/>
      <c r="S583" s="22"/>
      <c r="U583" s="23">
        <f t="shared" si="11"/>
        <v>5.3</v>
      </c>
      <c r="V583" s="24" t="s">
        <v>14</v>
      </c>
    </row>
    <row r="584" spans="1:24" ht="22.95" hidden="1" customHeight="1" x14ac:dyDescent="0.25">
      <c r="A584" s="1" t="s">
        <v>759</v>
      </c>
      <c r="D584" s="3" t="s">
        <v>908</v>
      </c>
      <c r="E584" s="15" t="s">
        <v>55</v>
      </c>
      <c r="F584" s="15" t="str">
        <f>+VLOOKUP(D584,[1]Sheet1!$D$2:$E$29166,2,0)</f>
        <v>接头</v>
      </c>
      <c r="G584" s="3" t="s">
        <v>80</v>
      </c>
      <c r="H584" s="3">
        <v>15</v>
      </c>
      <c r="I584" s="18" t="str">
        <f t="array" ref="I584">INDEX([2]Sheet1!$F$1:$AF$65808,MATCH(D584&amp;G584&amp;I$1,[2]Sheet1!$B$1:$B$65808&amp;[2]Sheet1!$D$1:$D$65808&amp;[2]Sheet1!$E$1:$E$65808,0),MATCH(H584,[2]Sheet1!$F$1:$AF$1,0))</f>
        <v>15线切割</v>
      </c>
      <c r="K584" s="3">
        <v>15</v>
      </c>
      <c r="L584" s="19">
        <v>23</v>
      </c>
      <c r="M584" s="19">
        <v>23</v>
      </c>
      <c r="N584" s="5" t="s">
        <v>81</v>
      </c>
      <c r="O584" s="4">
        <v>30</v>
      </c>
      <c r="P584" s="18">
        <v>30</v>
      </c>
      <c r="Q584" s="3"/>
      <c r="R584" s="6"/>
      <c r="S584" s="22"/>
      <c r="U584" s="23">
        <f t="shared" si="11"/>
        <v>7.5</v>
      </c>
      <c r="V584" s="24" t="s">
        <v>14</v>
      </c>
    </row>
    <row r="585" spans="1:24" ht="22.95" hidden="1" customHeight="1" x14ac:dyDescent="0.25">
      <c r="A585" s="1" t="s">
        <v>121</v>
      </c>
      <c r="D585" s="3" t="s">
        <v>813</v>
      </c>
      <c r="E585" s="15" t="s">
        <v>814</v>
      </c>
      <c r="F585" s="15" t="str">
        <f>+VLOOKUP(D585,[1]Sheet1!$D$2:$E$29166,2,0)</f>
        <v>堵头</v>
      </c>
      <c r="G585" s="3" t="s">
        <v>46</v>
      </c>
      <c r="H585" s="3">
        <v>50</v>
      </c>
      <c r="I585" s="18" t="str">
        <f t="array" ref="I585">INDEX([2]Sheet1!$F$1:$AF$65808,MATCH(D585&amp;G585&amp;I$1,[2]Sheet1!$B$1:$B$65808&amp;[2]Sheet1!$D$1:$D$65808&amp;[2]Sheet1!$E$1:$E$65808,0),MATCH(H585,[2]Sheet1!$F$1:$AF$1,0))</f>
        <v>50/钳工</v>
      </c>
      <c r="K585" s="3">
        <v>7</v>
      </c>
      <c r="L585" s="19">
        <v>30</v>
      </c>
      <c r="M585" s="19">
        <v>30</v>
      </c>
      <c r="N585" s="5" t="s">
        <v>474</v>
      </c>
      <c r="O585" s="4"/>
      <c r="P585" s="18">
        <f t="array" ref="P585">IFERROR(INDEX([2]Sheet1!$F$1:$AF$65808,MATCH($D585&amp;$G585&amp;P$1,[2]Sheet1!$B$1:$B$65808&amp;[2]Sheet1!$D$1:$D$65808&amp;[2]Sheet1!$E$1:$E$65808,0),MATCH($H585,[2]Sheet1!$F$1:$AF$1,0)),0)</f>
        <v>75</v>
      </c>
      <c r="Q585" s="3"/>
      <c r="R585" s="6"/>
      <c r="S585" s="22"/>
      <c r="U585" s="23">
        <f t="shared" si="11"/>
        <v>8.8000000000000007</v>
      </c>
      <c r="V585" s="24" t="s">
        <v>16</v>
      </c>
    </row>
    <row r="586" spans="1:24" ht="22.95" hidden="1" customHeight="1" x14ac:dyDescent="0.25">
      <c r="A586" s="1" t="s">
        <v>121</v>
      </c>
      <c r="D586" s="3" t="s">
        <v>909</v>
      </c>
      <c r="E586" s="15" t="s">
        <v>910</v>
      </c>
      <c r="F586" s="15" t="str">
        <f>+VLOOKUP(D586,[1]Sheet1!$D$2:$E$29166,2,0)</f>
        <v>根肋一段</v>
      </c>
      <c r="G586" s="3" t="s">
        <v>64</v>
      </c>
      <c r="H586" s="3" t="s">
        <v>340</v>
      </c>
      <c r="I586" s="18" t="e">
        <f t="array" ref="I586">INDEX([2]Sheet1!$F$1:$AF$65808,MATCH(D586&amp;G586&amp;I$1,[2]Sheet1!$B$1:$B$65808&amp;[2]Sheet1!$D$1:$D$65808&amp;[2]Sheet1!$E$1:$E$65808,0),MATCH(H586,[2]Sheet1!$F$1:$AF$1,0))</f>
        <v>#N/A</v>
      </c>
      <c r="K586" s="3">
        <v>8</v>
      </c>
      <c r="L586" s="19">
        <v>30</v>
      </c>
      <c r="M586" s="19">
        <v>30</v>
      </c>
      <c r="N586" s="5" t="s">
        <v>911</v>
      </c>
      <c r="O586" s="4"/>
      <c r="P586" s="18">
        <v>120</v>
      </c>
      <c r="Q586" s="3"/>
      <c r="R586" s="6"/>
      <c r="S586" s="22"/>
      <c r="U586" s="23">
        <f t="shared" si="11"/>
        <v>16</v>
      </c>
      <c r="V586" s="24" t="s">
        <v>16</v>
      </c>
      <c r="W586" s="7" t="s">
        <v>912</v>
      </c>
      <c r="X586" s="7" t="s">
        <v>203</v>
      </c>
    </row>
    <row r="587" spans="1:24" ht="22.95" hidden="1" customHeight="1" x14ac:dyDescent="0.25">
      <c r="A587" s="1" t="s">
        <v>121</v>
      </c>
      <c r="D587" s="3" t="s">
        <v>913</v>
      </c>
      <c r="E587" s="15" t="s">
        <v>914</v>
      </c>
      <c r="F587" s="15" t="str">
        <f>+VLOOKUP(D587,[1]Sheet1!$D$2:$E$29166,2,0)</f>
        <v>前隔框</v>
      </c>
      <c r="G587" s="3" t="s">
        <v>64</v>
      </c>
      <c r="H587" s="3">
        <v>45</v>
      </c>
      <c r="I587" s="18" t="str">
        <f t="array" ref="I587">INDEX([2]Sheet1!$F$1:$AF$65808,MATCH(D587&amp;G587&amp;I$1,[2]Sheet1!$B$1:$B$65808&amp;[2]Sheet1!$D$1:$D$65808&amp;[2]Sheet1!$E$1:$E$65808,0),MATCH(H587,[2]Sheet1!$F$1:$AF$1,0))</f>
        <v>45/钳工</v>
      </c>
      <c r="K587" s="3">
        <v>12</v>
      </c>
      <c r="L587" s="19">
        <v>30</v>
      </c>
      <c r="M587" s="19">
        <v>30</v>
      </c>
      <c r="N587" s="5" t="s">
        <v>915</v>
      </c>
      <c r="O587" s="4"/>
      <c r="P587" s="18">
        <f t="array" ref="P587">IFERROR(INDEX([2]Sheet1!$F$1:$AF$65808,MATCH($D587&amp;$G587&amp;P$1,[2]Sheet1!$B$1:$B$65808&amp;[2]Sheet1!$D$1:$D$65808&amp;[2]Sheet1!$E$1:$E$65808,0),MATCH($H587,[2]Sheet1!$F$1:$AF$1,0)),0)</f>
        <v>60</v>
      </c>
      <c r="Q587" s="3"/>
      <c r="R587" s="6"/>
      <c r="S587" s="22"/>
      <c r="U587" s="23">
        <f t="shared" si="11"/>
        <v>12</v>
      </c>
      <c r="V587" s="24" t="s">
        <v>16</v>
      </c>
    </row>
    <row r="588" spans="1:24" ht="22.95" hidden="1" customHeight="1" x14ac:dyDescent="0.25">
      <c r="A588" s="1" t="s">
        <v>121</v>
      </c>
      <c r="D588" s="3" t="s">
        <v>916</v>
      </c>
      <c r="E588" s="15" t="s">
        <v>914</v>
      </c>
      <c r="F588" s="15" t="str">
        <f>+VLOOKUP(D588,[1]Sheet1!$D$2:$E$29166,2,0)</f>
        <v>前隔框</v>
      </c>
      <c r="G588" s="3" t="s">
        <v>64</v>
      </c>
      <c r="H588" s="3">
        <v>45</v>
      </c>
      <c r="I588" s="18" t="str">
        <f t="array" ref="I588">INDEX([2]Sheet1!$F$1:$AF$65808,MATCH(D588&amp;G588&amp;I$1,[2]Sheet1!$B$1:$B$65808&amp;[2]Sheet1!$D$1:$D$65808&amp;[2]Sheet1!$E$1:$E$65808,0),MATCH(H588,[2]Sheet1!$F$1:$AF$1,0))</f>
        <v>45/钳工</v>
      </c>
      <c r="K588" s="3">
        <v>12</v>
      </c>
      <c r="L588" s="19">
        <v>30</v>
      </c>
      <c r="M588" s="19">
        <v>30</v>
      </c>
      <c r="N588" s="5" t="s">
        <v>915</v>
      </c>
      <c r="O588" s="4"/>
      <c r="P588" s="18">
        <f t="array" ref="P588">IFERROR(INDEX([2]Sheet1!$F$1:$AF$65808,MATCH($D588&amp;$G588&amp;P$1,[2]Sheet1!$B$1:$B$65808&amp;[2]Sheet1!$D$1:$D$65808&amp;[2]Sheet1!$E$1:$E$65808,0),MATCH($H588,[2]Sheet1!$F$1:$AF$1,0)),0)</f>
        <v>60</v>
      </c>
      <c r="Q588" s="3"/>
      <c r="R588" s="6"/>
      <c r="S588" s="22"/>
      <c r="U588" s="23">
        <f t="shared" si="11"/>
        <v>12</v>
      </c>
      <c r="V588" s="24" t="s">
        <v>16</v>
      </c>
    </row>
    <row r="589" spans="1:24" ht="22.95" hidden="1" customHeight="1" x14ac:dyDescent="0.25">
      <c r="A589" s="1" t="s">
        <v>48</v>
      </c>
      <c r="D589" s="3" t="s">
        <v>917</v>
      </c>
      <c r="E589" s="15" t="s">
        <v>918</v>
      </c>
      <c r="F589" s="15" t="str">
        <f>+VLOOKUP(D589,[1]Sheet1!$D$2:$E$29166,2,0)</f>
        <v>樑</v>
      </c>
      <c r="G589" s="3" t="s">
        <v>46</v>
      </c>
      <c r="H589" s="3">
        <v>60</v>
      </c>
      <c r="I589" s="18" t="str">
        <f t="array" ref="I589">INDEX([2]Sheet1!$F$1:$AF$65808,MATCH(D589&amp;G589&amp;I$1,[2]Sheet1!$B$1:$B$65808&amp;[2]Sheet1!$D$1:$D$65808&amp;[2]Sheet1!$E$1:$E$65808,0),MATCH(H589,[2]Sheet1!$F$1:$AF$1,0))</f>
        <v>60/钳工</v>
      </c>
      <c r="K589" s="3">
        <v>8</v>
      </c>
      <c r="L589" s="19">
        <v>8</v>
      </c>
      <c r="M589" s="19">
        <v>8</v>
      </c>
      <c r="N589" s="5" t="s">
        <v>919</v>
      </c>
      <c r="O589" s="4"/>
      <c r="P589" s="18">
        <f t="array" ref="P589">IFERROR(INDEX([2]Sheet1!$F$1:$AF$65808,MATCH($D589&amp;$G589&amp;P$1,[2]Sheet1!$B$1:$B$65808&amp;[2]Sheet1!$D$1:$D$65808&amp;[2]Sheet1!$E$1:$E$65808,0),MATCH($H589,[2]Sheet1!$F$1:$AF$1,0)),0)</f>
        <v>240</v>
      </c>
      <c r="Q589" s="3"/>
      <c r="R589" s="6"/>
      <c r="S589" s="22"/>
      <c r="U589" s="23">
        <f t="shared" si="11"/>
        <v>32</v>
      </c>
      <c r="V589" s="24" t="s">
        <v>16</v>
      </c>
    </row>
    <row r="590" spans="1:24" ht="22.95" hidden="1" customHeight="1" x14ac:dyDescent="0.25">
      <c r="A590" s="1" t="s">
        <v>48</v>
      </c>
      <c r="D590" s="3" t="s">
        <v>920</v>
      </c>
      <c r="E590" s="15" t="s">
        <v>921</v>
      </c>
      <c r="F590" s="15" t="str">
        <f>+VLOOKUP(D590,[1]Sheet1!$D$2:$E$29166,2,0)</f>
        <v>7515隔框</v>
      </c>
      <c r="G590" s="3" t="s">
        <v>80</v>
      </c>
      <c r="H590" s="3">
        <v>35</v>
      </c>
      <c r="I590" s="18" t="str">
        <f t="array" ref="I590">INDEX([2]Sheet1!$F$1:$AF$65808,MATCH(D590&amp;G590&amp;I$1,[2]Sheet1!$B$1:$B$65808&amp;[2]Sheet1!$D$1:$D$65808&amp;[2]Sheet1!$E$1:$E$65808,0),MATCH(H590,[2]Sheet1!$F$1:$AF$1,0))</f>
        <v>35/钳工</v>
      </c>
      <c r="K590" s="3">
        <v>5</v>
      </c>
      <c r="L590" s="19">
        <v>30</v>
      </c>
      <c r="M590" s="19">
        <v>30</v>
      </c>
      <c r="N590" s="5" t="s">
        <v>922</v>
      </c>
      <c r="O590" s="4"/>
      <c r="P590" s="18">
        <f t="array" ref="P590">IFERROR(INDEX([2]Sheet1!$F$1:$AF$65808,MATCH($D590&amp;$G590&amp;P$1,[2]Sheet1!$B$1:$B$65808&amp;[2]Sheet1!$D$1:$D$65808&amp;[2]Sheet1!$E$1:$E$65808,0),MATCH($H590,[2]Sheet1!$F$1:$AF$1,0)),0)</f>
        <v>90</v>
      </c>
      <c r="Q590" s="3"/>
      <c r="R590" s="6"/>
      <c r="S590" s="22"/>
      <c r="U590" s="23">
        <f t="shared" si="11"/>
        <v>7.5</v>
      </c>
      <c r="V590" s="24" t="s">
        <v>16</v>
      </c>
    </row>
    <row r="591" spans="1:24" ht="22.95" hidden="1" customHeight="1" x14ac:dyDescent="0.25">
      <c r="A591" s="1" t="s">
        <v>48</v>
      </c>
      <c r="D591" s="3" t="s">
        <v>923</v>
      </c>
      <c r="E591" s="15" t="s">
        <v>641</v>
      </c>
      <c r="F591" s="15" t="str">
        <f>+VLOOKUP(D591,[1]Sheet1!$D$2:$E$29166,2,0)</f>
        <v>座子</v>
      </c>
      <c r="G591" s="3" t="s">
        <v>64</v>
      </c>
      <c r="H591" s="3" t="s">
        <v>340</v>
      </c>
      <c r="I591" s="18" t="e">
        <f t="array" ref="I591">INDEX([2]Sheet1!$F$1:$AF$65808,MATCH(D591&amp;G591&amp;I$1,[2]Sheet1!$B$1:$B$65808&amp;[2]Sheet1!$D$1:$D$65808&amp;[2]Sheet1!$E$1:$E$65808,0),MATCH(H591,[2]Sheet1!$F$1:$AF$1,0))</f>
        <v>#N/A</v>
      </c>
      <c r="K591" s="3">
        <v>11</v>
      </c>
      <c r="L591" s="19">
        <v>30</v>
      </c>
      <c r="M591" s="19">
        <v>30</v>
      </c>
      <c r="N591" s="5" t="s">
        <v>56</v>
      </c>
      <c r="O591" s="4"/>
      <c r="P591" s="18">
        <v>8</v>
      </c>
      <c r="Q591" s="3"/>
      <c r="R591" s="6"/>
      <c r="S591" s="22"/>
      <c r="U591" s="23">
        <f t="shared" si="11"/>
        <v>1.5</v>
      </c>
      <c r="V591" s="24" t="s">
        <v>16</v>
      </c>
      <c r="W591" s="7" t="s">
        <v>924</v>
      </c>
      <c r="X591" s="7" t="s">
        <v>203</v>
      </c>
    </row>
    <row r="592" spans="1:24" ht="22.95" hidden="1" customHeight="1" x14ac:dyDescent="0.25">
      <c r="A592" s="1" t="s">
        <v>53</v>
      </c>
      <c r="D592" s="3" t="s">
        <v>925</v>
      </c>
      <c r="E592" s="15" t="s">
        <v>399</v>
      </c>
      <c r="F592" s="15" t="str">
        <f>+VLOOKUP(D592,[1]Sheet1!$D$2:$E$29166,2,0)</f>
        <v>2470肋一段</v>
      </c>
      <c r="G592" s="3" t="s">
        <v>51</v>
      </c>
      <c r="H592" s="3">
        <v>60</v>
      </c>
      <c r="I592" s="18" t="str">
        <f t="array" ref="I592">INDEX([2]Sheet1!$F$1:$AF$65808,MATCH(D592&amp;G592&amp;I$1,[2]Sheet1!$B$1:$B$65808&amp;[2]Sheet1!$D$1:$D$65808&amp;[2]Sheet1!$E$1:$E$65808,0),MATCH(H592,[2]Sheet1!$F$1:$AF$1,0))</f>
        <v>60/钳工</v>
      </c>
      <c r="K592" s="3">
        <v>5</v>
      </c>
      <c r="L592" s="19">
        <v>30</v>
      </c>
      <c r="M592" s="19">
        <v>30</v>
      </c>
      <c r="N592" s="5" t="s">
        <v>926</v>
      </c>
      <c r="O592" s="4"/>
      <c r="P592" s="18">
        <f t="array" ref="P592">IFERROR(INDEX([2]Sheet1!$F$1:$AF$65808,MATCH($D592&amp;$G592&amp;P$1,[2]Sheet1!$B$1:$B$65808&amp;[2]Sheet1!$D$1:$D$65808&amp;[2]Sheet1!$E$1:$E$65808,0),MATCH($H592,[2]Sheet1!$F$1:$AF$1,0)),0)</f>
        <v>120</v>
      </c>
      <c r="Q592" s="3"/>
      <c r="R592" s="6"/>
      <c r="S592" s="22"/>
      <c r="U592" s="23">
        <f t="shared" si="11"/>
        <v>10</v>
      </c>
      <c r="V592" s="24" t="s">
        <v>16</v>
      </c>
    </row>
    <row r="593" spans="1:24" ht="22.95" hidden="1" customHeight="1" x14ac:dyDescent="0.25">
      <c r="A593" s="1" t="s">
        <v>53</v>
      </c>
      <c r="D593" s="3" t="s">
        <v>668</v>
      </c>
      <c r="E593" s="15" t="s">
        <v>254</v>
      </c>
      <c r="F593" s="15" t="str">
        <f>+VLOOKUP(D593,[1]Sheet1!$D$2:$E$29166,2,0)</f>
        <v>支座</v>
      </c>
      <c r="G593" s="3" t="s">
        <v>80</v>
      </c>
      <c r="H593" s="3">
        <v>55</v>
      </c>
      <c r="I593" s="18" t="str">
        <f t="array" ref="I593">INDEX([2]Sheet1!$F$1:$AF$65808,MATCH(D593&amp;G593&amp;I$1,[2]Sheet1!$B$1:$B$65808&amp;[2]Sheet1!$D$1:$D$65808&amp;[2]Sheet1!$E$1:$E$65808,0),MATCH(H593,[2]Sheet1!$F$1:$AF$1,0))</f>
        <v>55钳工</v>
      </c>
      <c r="K593" s="3">
        <v>2</v>
      </c>
      <c r="L593" s="19">
        <v>30</v>
      </c>
      <c r="M593" s="19">
        <v>30</v>
      </c>
      <c r="N593" s="5" t="s">
        <v>278</v>
      </c>
      <c r="O593" s="4"/>
      <c r="P593" s="18">
        <f t="array" ref="P593">IFERROR(INDEX([2]Sheet1!$F$1:$AF$65808,MATCH($D593&amp;$G593&amp;P$1,[2]Sheet1!$B$1:$B$65808&amp;[2]Sheet1!$D$1:$D$65808&amp;[2]Sheet1!$E$1:$E$65808,0),MATCH($H593,[2]Sheet1!$F$1:$AF$1,0)),0)</f>
        <v>90</v>
      </c>
      <c r="Q593" s="3"/>
      <c r="R593" s="6"/>
      <c r="S593" s="22"/>
      <c r="U593" s="23">
        <f t="shared" si="11"/>
        <v>3</v>
      </c>
      <c r="V593" s="24" t="s">
        <v>16</v>
      </c>
    </row>
    <row r="594" spans="1:24" ht="22.95" hidden="1" customHeight="1" x14ac:dyDescent="0.25">
      <c r="A594" s="1" t="s">
        <v>53</v>
      </c>
      <c r="D594" s="3" t="s">
        <v>927</v>
      </c>
      <c r="E594" s="15" t="s">
        <v>326</v>
      </c>
      <c r="F594" s="15" t="str">
        <f>+VLOOKUP(D594,[1]Sheet1!$D$2:$E$29166,2,0)</f>
        <v>9010 4号加强筋</v>
      </c>
      <c r="G594" s="3" t="s">
        <v>114</v>
      </c>
      <c r="H594" s="3">
        <v>50</v>
      </c>
      <c r="I594" s="18" t="str">
        <f t="array" ref="I594">INDEX([2]Sheet1!$F$1:$AF$65808,MATCH(D594&amp;G594&amp;I$1,[2]Sheet1!$B$1:$B$65808&amp;[2]Sheet1!$D$1:$D$65808&amp;[2]Sheet1!$E$1:$E$65808,0),MATCH(H594,[2]Sheet1!$F$1:$AF$1,0))</f>
        <v>50/钳工</v>
      </c>
      <c r="K594" s="3">
        <v>1</v>
      </c>
      <c r="L594" s="19">
        <v>30</v>
      </c>
      <c r="M594" s="19">
        <v>30</v>
      </c>
      <c r="N594" s="5" t="s">
        <v>366</v>
      </c>
      <c r="O594" s="4"/>
      <c r="P594" s="18">
        <f t="array" ref="P594">IFERROR(INDEX([2]Sheet1!$F$1:$AF$65808,MATCH($D594&amp;$G594&amp;P$1,[2]Sheet1!$B$1:$B$65808&amp;[2]Sheet1!$D$1:$D$65808&amp;[2]Sheet1!$E$1:$E$65808,0),MATCH($H594,[2]Sheet1!$F$1:$AF$1,0)),0)</f>
        <v>420</v>
      </c>
      <c r="Q594" s="3"/>
      <c r="R594" s="6"/>
      <c r="S594" s="22"/>
      <c r="U594" s="23">
        <f t="shared" si="11"/>
        <v>7</v>
      </c>
      <c r="V594" s="24" t="s">
        <v>16</v>
      </c>
    </row>
    <row r="595" spans="1:24" ht="22.95" hidden="1" customHeight="1" x14ac:dyDescent="0.25">
      <c r="A595" s="1" t="s">
        <v>58</v>
      </c>
      <c r="D595" s="3" t="s">
        <v>928</v>
      </c>
      <c r="E595" s="15" t="s">
        <v>929</v>
      </c>
      <c r="F595" s="15" t="str">
        <f>+VLOOKUP(D595,[1]Sheet1!$D$2:$E$29166,2,0)</f>
        <v>蒙皮加强件</v>
      </c>
      <c r="G595" s="3" t="s">
        <v>46</v>
      </c>
      <c r="H595" s="3">
        <v>45</v>
      </c>
      <c r="I595" s="18" t="str">
        <f t="array" ref="I595">INDEX([2]Sheet1!$F$1:$AF$65808,MATCH(D595&amp;G595&amp;I$1,[2]Sheet1!$B$1:$B$65808&amp;[2]Sheet1!$D$1:$D$65808&amp;[2]Sheet1!$E$1:$E$65808,0),MATCH(H595,[2]Sheet1!$F$1:$AF$1,0))</f>
        <v>45/钳工</v>
      </c>
      <c r="K595" s="3">
        <v>10</v>
      </c>
      <c r="L595" s="19">
        <v>30</v>
      </c>
      <c r="M595" s="19">
        <v>30</v>
      </c>
      <c r="N595" s="5" t="s">
        <v>474</v>
      </c>
      <c r="O595" s="4"/>
      <c r="P595" s="18">
        <f t="array" ref="P595">IFERROR(INDEX([2]Sheet1!$F$1:$AF$65808,MATCH($D595&amp;$G595&amp;P$1,[2]Sheet1!$B$1:$B$65808&amp;[2]Sheet1!$D$1:$D$65808&amp;[2]Sheet1!$E$1:$E$65808,0),MATCH($H595,[2]Sheet1!$F$1:$AF$1,0)),0)</f>
        <v>360</v>
      </c>
      <c r="Q595" s="3"/>
      <c r="R595" s="6"/>
      <c r="S595" s="22"/>
      <c r="U595" s="23">
        <f t="shared" si="11"/>
        <v>60</v>
      </c>
      <c r="V595" s="24" t="s">
        <v>16</v>
      </c>
    </row>
    <row r="596" spans="1:24" ht="22.95" hidden="1" customHeight="1" x14ac:dyDescent="0.25">
      <c r="A596" s="1" t="s">
        <v>65</v>
      </c>
      <c r="D596" s="3" t="s">
        <v>930</v>
      </c>
      <c r="E596" s="15" t="s">
        <v>931</v>
      </c>
      <c r="F596" s="15" t="str">
        <f>+VLOOKUP(D596,[1]Sheet1!$D$2:$E$29166,2,0)</f>
        <v>7820~8270侧上梁</v>
      </c>
      <c r="G596" s="3" t="s">
        <v>46</v>
      </c>
      <c r="H596" s="3">
        <v>50</v>
      </c>
      <c r="I596" s="18" t="str">
        <f t="array" ref="I596">INDEX([2]Sheet1!$F$1:$AF$65808,MATCH(D596&amp;G596&amp;I$1,[2]Sheet1!$B$1:$B$65808&amp;[2]Sheet1!$D$1:$D$65808&amp;[2]Sheet1!$E$1:$E$65808,0),MATCH(H596,[2]Sheet1!$F$1:$AF$1,0))</f>
        <v>50/钳工</v>
      </c>
      <c r="K596" s="3">
        <v>10</v>
      </c>
      <c r="L596" s="19">
        <v>30</v>
      </c>
      <c r="M596" s="19">
        <v>30</v>
      </c>
      <c r="N596" s="5" t="s">
        <v>604</v>
      </c>
      <c r="O596" s="4"/>
      <c r="P596" s="18">
        <f t="array" ref="P596">IFERROR(INDEX([2]Sheet1!$F$1:$AF$65808,MATCH($D596&amp;$G596&amp;P$1,[2]Sheet1!$B$1:$B$65808&amp;[2]Sheet1!$D$1:$D$65808&amp;[2]Sheet1!$E$1:$E$65808,0),MATCH($H596,[2]Sheet1!$F$1:$AF$1,0)),0)</f>
        <v>180</v>
      </c>
      <c r="Q596" s="3"/>
      <c r="R596" s="6"/>
      <c r="S596" s="22"/>
      <c r="U596" s="23">
        <f t="shared" si="11"/>
        <v>30</v>
      </c>
      <c r="V596" s="24" t="s">
        <v>16</v>
      </c>
    </row>
    <row r="597" spans="1:24" ht="22.95" hidden="1" customHeight="1" x14ac:dyDescent="0.25">
      <c r="A597" s="1" t="s">
        <v>65</v>
      </c>
      <c r="D597" s="3" t="s">
        <v>592</v>
      </c>
      <c r="E597" s="15" t="s">
        <v>120</v>
      </c>
      <c r="F597" s="15" t="str">
        <f>+VLOOKUP(D597,[1]Sheet1!$D$2:$E$29166,2,0)</f>
        <v>支架</v>
      </c>
      <c r="G597" s="3" t="s">
        <v>51</v>
      </c>
      <c r="H597" s="3">
        <v>55</v>
      </c>
      <c r="I597" s="18" t="str">
        <f t="array" ref="I597">INDEX([2]Sheet1!$F$1:$AF$65808,MATCH(D597&amp;G597&amp;I$1,[2]Sheet1!$B$1:$B$65808&amp;[2]Sheet1!$D$1:$D$65808&amp;[2]Sheet1!$E$1:$E$65808,0),MATCH(H597,[2]Sheet1!$F$1:$AF$1,0))</f>
        <v>55/钳工</v>
      </c>
      <c r="K597" s="3">
        <v>2</v>
      </c>
      <c r="L597" s="19">
        <v>30</v>
      </c>
      <c r="M597" s="19">
        <v>30</v>
      </c>
      <c r="N597" s="5" t="s">
        <v>508</v>
      </c>
      <c r="O597" s="4"/>
      <c r="P597" s="18">
        <f t="array" ref="P597">IFERROR(INDEX([2]Sheet1!$F$1:$AF$65808,MATCH($D597&amp;$G597&amp;P$1,[2]Sheet1!$B$1:$B$65808&amp;[2]Sheet1!$D$1:$D$65808&amp;[2]Sheet1!$E$1:$E$65808,0),MATCH($H597,[2]Sheet1!$F$1:$AF$1,0)),0)</f>
        <v>30</v>
      </c>
      <c r="Q597" s="3"/>
      <c r="R597" s="6"/>
      <c r="S597" s="22"/>
      <c r="U597" s="23">
        <f t="shared" si="11"/>
        <v>1</v>
      </c>
      <c r="V597" s="24" t="s">
        <v>16</v>
      </c>
    </row>
    <row r="598" spans="1:24" ht="22.95" hidden="1" customHeight="1" x14ac:dyDescent="0.25">
      <c r="A598" s="1" t="s">
        <v>74</v>
      </c>
      <c r="D598" s="3" t="s">
        <v>930</v>
      </c>
      <c r="E598" s="15" t="s">
        <v>931</v>
      </c>
      <c r="F598" s="15" t="str">
        <f>+VLOOKUP(D598,[1]Sheet1!$D$2:$E$29166,2,0)</f>
        <v>7820~8270侧上梁</v>
      </c>
      <c r="G598" s="3" t="s">
        <v>46</v>
      </c>
      <c r="H598" s="3" t="s">
        <v>340</v>
      </c>
      <c r="I598" s="18" t="e">
        <f t="array" ref="I598">INDEX([2]Sheet1!$F$1:$AF$65808,MATCH(D598&amp;G598&amp;I$1,[2]Sheet1!$B$1:$B$65808&amp;[2]Sheet1!$D$1:$D$65808&amp;[2]Sheet1!$E$1:$E$65808,0),MATCH(H598,[2]Sheet1!$F$1:$AF$1,0))</f>
        <v>#N/A</v>
      </c>
      <c r="K598" s="3">
        <v>4</v>
      </c>
      <c r="L598" s="19">
        <v>30</v>
      </c>
      <c r="M598" s="19">
        <v>30</v>
      </c>
      <c r="N598" s="5" t="s">
        <v>932</v>
      </c>
      <c r="O598" s="4"/>
      <c r="P598" s="18">
        <v>60</v>
      </c>
      <c r="Q598" s="3"/>
      <c r="R598" s="6"/>
      <c r="S598" s="22"/>
      <c r="U598" s="23">
        <f t="shared" si="11"/>
        <v>4</v>
      </c>
      <c r="V598" s="24" t="s">
        <v>16</v>
      </c>
      <c r="W598" s="7" t="s">
        <v>471</v>
      </c>
      <c r="X598" s="7" t="s">
        <v>203</v>
      </c>
    </row>
    <row r="599" spans="1:24" ht="22.95" hidden="1" customHeight="1" x14ac:dyDescent="0.25">
      <c r="A599" s="1" t="s">
        <v>74</v>
      </c>
      <c r="D599" s="3" t="s">
        <v>486</v>
      </c>
      <c r="E599" s="15" t="s">
        <v>487</v>
      </c>
      <c r="F599" s="15" t="str">
        <f>+VLOOKUP(D599,[1]Sheet1!$D$2:$E$29166,2,0)</f>
        <v>油箱底板（中）</v>
      </c>
      <c r="G599" s="3" t="s">
        <v>46</v>
      </c>
      <c r="H599" s="3">
        <v>60</v>
      </c>
      <c r="I599" s="18" t="str">
        <f t="array" ref="I599">INDEX([2]Sheet1!$F$1:$AF$65808,MATCH(D599&amp;G599&amp;I$1,[2]Sheet1!$B$1:$B$65808&amp;[2]Sheet1!$D$1:$D$65808&amp;[2]Sheet1!$E$1:$E$65808,0),MATCH(H599,[2]Sheet1!$F$1:$AF$1,0))</f>
        <v>60/钳工</v>
      </c>
      <c r="K599" s="3">
        <v>3</v>
      </c>
      <c r="L599" s="19">
        <v>30</v>
      </c>
      <c r="M599" s="19">
        <v>30</v>
      </c>
      <c r="N599" s="5" t="s">
        <v>322</v>
      </c>
      <c r="O599" s="4"/>
      <c r="P599" s="18">
        <f t="array" ref="P599">IFERROR(INDEX([2]Sheet1!$F$1:$AF$65808,MATCH($D599&amp;$G599&amp;P$1,[2]Sheet1!$B$1:$B$65808&amp;[2]Sheet1!$D$1:$D$65808&amp;[2]Sheet1!$E$1:$E$65808,0),MATCH($H599,[2]Sheet1!$F$1:$AF$1,0)),0)</f>
        <v>240</v>
      </c>
      <c r="Q599" s="3"/>
      <c r="R599" s="6"/>
      <c r="S599" s="22"/>
      <c r="U599" s="23">
        <f t="shared" si="11"/>
        <v>12</v>
      </c>
      <c r="V599" s="24" t="s">
        <v>16</v>
      </c>
    </row>
    <row r="600" spans="1:24" ht="22.95" hidden="1" customHeight="1" x14ac:dyDescent="0.25">
      <c r="A600" s="1" t="s">
        <v>82</v>
      </c>
      <c r="D600" s="3" t="s">
        <v>867</v>
      </c>
      <c r="E600" s="15" t="s">
        <v>490</v>
      </c>
      <c r="F600" s="15" t="str">
        <f>+VLOOKUP(D600,[1]Sheet1!$D$2:$E$29166,2,0)</f>
        <v>8815 4号加强筋</v>
      </c>
      <c r="G600" s="3" t="s">
        <v>147</v>
      </c>
      <c r="H600" s="3">
        <v>40</v>
      </c>
      <c r="I600" s="18" t="str">
        <f t="array" ref="I600">INDEX([2]Sheet1!$F$1:$AF$65808,MATCH(D600&amp;G600&amp;I$1,[2]Sheet1!$B$1:$B$65808&amp;[2]Sheet1!$D$1:$D$65808&amp;[2]Sheet1!$E$1:$E$65808,0),MATCH(H600,[2]Sheet1!$F$1:$AF$1,0))</f>
        <v>40/钳工</v>
      </c>
      <c r="K600" s="3">
        <v>1</v>
      </c>
      <c r="L600" s="19">
        <v>30</v>
      </c>
      <c r="M600" s="19">
        <v>30</v>
      </c>
      <c r="N600" s="5" t="s">
        <v>491</v>
      </c>
      <c r="O600" s="4"/>
      <c r="P600" s="18">
        <f t="array" ref="P600">IFERROR(INDEX([2]Sheet1!$F$1:$AF$65808,MATCH($D600&amp;$G600&amp;P$1,[2]Sheet1!$B$1:$B$65808&amp;[2]Sheet1!$D$1:$D$65808&amp;[2]Sheet1!$E$1:$E$65808,0),MATCH($H600,[2]Sheet1!$F$1:$AF$1,0)),0)</f>
        <v>480</v>
      </c>
      <c r="Q600" s="3"/>
      <c r="R600" s="6"/>
      <c r="S600" s="22"/>
      <c r="U600" s="23">
        <f t="shared" si="11"/>
        <v>8</v>
      </c>
      <c r="V600" s="24" t="s">
        <v>16</v>
      </c>
    </row>
    <row r="601" spans="1:24" ht="22.95" hidden="1" customHeight="1" x14ac:dyDescent="0.25">
      <c r="A601" s="1" t="s">
        <v>82</v>
      </c>
      <c r="D601" s="3" t="s">
        <v>933</v>
      </c>
      <c r="E601" s="15" t="s">
        <v>396</v>
      </c>
      <c r="F601" s="15" t="str">
        <f>+VLOOKUP(D601,[1]Sheet1!$D$2:$E$29166,2,0)</f>
        <v>角片</v>
      </c>
      <c r="G601" s="3" t="s">
        <v>46</v>
      </c>
      <c r="H601" s="3">
        <v>35</v>
      </c>
      <c r="I601" s="18" t="str">
        <f t="array" ref="I601">INDEX([2]Sheet1!$F$1:$AF$65808,MATCH(D601&amp;G601&amp;I$1,[2]Sheet1!$B$1:$B$65808&amp;[2]Sheet1!$D$1:$D$65808&amp;[2]Sheet1!$E$1:$E$65808,0),MATCH(H601,[2]Sheet1!$F$1:$AF$1,0))</f>
        <v>35/钳工</v>
      </c>
      <c r="K601" s="3">
        <v>12</v>
      </c>
      <c r="L601" s="19">
        <v>30</v>
      </c>
      <c r="M601" s="19">
        <v>30</v>
      </c>
      <c r="N601" s="5" t="s">
        <v>934</v>
      </c>
      <c r="O601" s="4"/>
      <c r="P601" s="18">
        <f t="array" ref="P601">IFERROR(INDEX([2]Sheet1!$F$1:$AF$65808,MATCH($D601&amp;$G601&amp;P$1,[2]Sheet1!$B$1:$B$65808&amp;[2]Sheet1!$D$1:$D$65808&amp;[2]Sheet1!$E$1:$E$65808,0),MATCH($H601,[2]Sheet1!$F$1:$AF$1,0)),0)</f>
        <v>30</v>
      </c>
      <c r="Q601" s="3"/>
      <c r="R601" s="6"/>
      <c r="S601" s="22"/>
      <c r="U601" s="23">
        <f t="shared" si="11"/>
        <v>6</v>
      </c>
      <c r="V601" s="24" t="s">
        <v>16</v>
      </c>
    </row>
    <row r="602" spans="1:24" ht="22.95" hidden="1" customHeight="1" x14ac:dyDescent="0.25">
      <c r="A602" s="1" t="s">
        <v>89</v>
      </c>
      <c r="D602" s="3" t="s">
        <v>425</v>
      </c>
      <c r="E602" s="15" t="s">
        <v>426</v>
      </c>
      <c r="F602" s="15" t="str">
        <f>+VLOOKUP(D602,[1]Sheet1!$D$2:$E$29166,2,0)</f>
        <v>4号下壁板（右件）</v>
      </c>
      <c r="G602" s="3" t="s">
        <v>51</v>
      </c>
      <c r="H602" s="3">
        <v>20</v>
      </c>
      <c r="I602" s="18" t="str">
        <f t="array" ref="I602">INDEX([2]Sheet1!$F$1:$AF$65808,MATCH(D602&amp;G602&amp;I$1,[2]Sheet1!$B$1:$B$65808&amp;[2]Sheet1!$D$1:$D$65808&amp;[2]Sheet1!$E$1:$E$65808,0),MATCH(H602,[2]Sheet1!$F$1:$AF$1,0))</f>
        <v>20钳工</v>
      </c>
      <c r="K602" s="3">
        <v>4</v>
      </c>
      <c r="L602" s="19">
        <v>30</v>
      </c>
      <c r="M602" s="19">
        <v>30</v>
      </c>
      <c r="N602" s="5" t="s">
        <v>935</v>
      </c>
      <c r="O602" s="4"/>
      <c r="P602" s="18">
        <f t="array" ref="P602">IFERROR(INDEX([2]Sheet1!$F$1:$AF$65808,MATCH($D602&amp;$G602&amp;P$1,[2]Sheet1!$B$1:$B$65808&amp;[2]Sheet1!$D$1:$D$65808&amp;[2]Sheet1!$E$1:$E$65808,0),MATCH($H602,[2]Sheet1!$F$1:$AF$1,0)),0)</f>
        <v>120</v>
      </c>
      <c r="Q602" s="3"/>
      <c r="R602" s="6"/>
      <c r="S602" s="22"/>
      <c r="U602" s="23">
        <f t="shared" si="11"/>
        <v>8</v>
      </c>
      <c r="V602" s="24" t="s">
        <v>16</v>
      </c>
    </row>
    <row r="603" spans="1:24" ht="22.95" hidden="1" customHeight="1" x14ac:dyDescent="0.25">
      <c r="A603" s="1" t="s">
        <v>89</v>
      </c>
      <c r="D603" s="3" t="s">
        <v>423</v>
      </c>
      <c r="E603" s="15" t="s">
        <v>302</v>
      </c>
      <c r="F603" s="15" t="str">
        <f>+VLOOKUP(D603,[1]Sheet1!$D$2:$E$29166,2,0)</f>
        <v>角盒</v>
      </c>
      <c r="G603" s="3" t="s">
        <v>46</v>
      </c>
      <c r="H603" s="3">
        <v>35</v>
      </c>
      <c r="I603" s="18" t="str">
        <f t="array" ref="I603">INDEX([2]Sheet1!$F$1:$AF$65808,MATCH(D603&amp;G603&amp;I$1,[2]Sheet1!$B$1:$B$65808&amp;[2]Sheet1!$D$1:$D$65808&amp;[2]Sheet1!$E$1:$E$65808,0),MATCH(H603,[2]Sheet1!$F$1:$AF$1,0))</f>
        <v>35钳工</v>
      </c>
      <c r="K603" s="3">
        <v>1</v>
      </c>
      <c r="L603" s="19">
        <v>30</v>
      </c>
      <c r="M603" s="19">
        <v>30</v>
      </c>
      <c r="N603" s="5" t="s">
        <v>389</v>
      </c>
      <c r="O603" s="4"/>
      <c r="P603" s="18">
        <f t="array" ref="P603">IFERROR(INDEX([2]Sheet1!$F$1:$AF$65808,MATCH($D603&amp;$G603&amp;P$1,[2]Sheet1!$B$1:$B$65808&amp;[2]Sheet1!$D$1:$D$65808&amp;[2]Sheet1!$E$1:$E$65808,0),MATCH($H603,[2]Sheet1!$F$1:$AF$1,0)),0)</f>
        <v>150</v>
      </c>
      <c r="Q603" s="3"/>
      <c r="R603" s="6"/>
      <c r="S603" s="22"/>
      <c r="U603" s="23">
        <f t="shared" si="11"/>
        <v>2.5</v>
      </c>
      <c r="V603" s="24" t="s">
        <v>16</v>
      </c>
    </row>
    <row r="604" spans="1:24" ht="22.95" hidden="1" customHeight="1" x14ac:dyDescent="0.25">
      <c r="A604" s="1" t="s">
        <v>89</v>
      </c>
      <c r="D604" s="3" t="s">
        <v>425</v>
      </c>
      <c r="E604" s="15" t="s">
        <v>426</v>
      </c>
      <c r="F604" s="15" t="str">
        <f>+VLOOKUP(D604,[1]Sheet1!$D$2:$E$29166,2,0)</f>
        <v>4号下壁板（右件）</v>
      </c>
      <c r="G604" s="3" t="s">
        <v>51</v>
      </c>
      <c r="H604" s="3">
        <v>20</v>
      </c>
      <c r="I604" s="18" t="str">
        <f t="array" ref="I604">INDEX([2]Sheet1!$F$1:$AF$65808,MATCH(D604&amp;G604&amp;I$1,[2]Sheet1!$B$1:$B$65808&amp;[2]Sheet1!$D$1:$D$65808&amp;[2]Sheet1!$E$1:$E$65808,0),MATCH(H604,[2]Sheet1!$F$1:$AF$1,0))</f>
        <v>20钳工</v>
      </c>
      <c r="K604" s="3">
        <v>2</v>
      </c>
      <c r="L604" s="19">
        <v>30</v>
      </c>
      <c r="M604" s="19">
        <v>30</v>
      </c>
      <c r="N604" s="5" t="s">
        <v>435</v>
      </c>
      <c r="O604" s="4"/>
      <c r="P604" s="18">
        <f t="array" ref="P604">IFERROR(INDEX([2]Sheet1!$F$1:$AF$65808,MATCH($D604&amp;$G604&amp;P$1,[2]Sheet1!$B$1:$B$65808&amp;[2]Sheet1!$D$1:$D$65808&amp;[2]Sheet1!$E$1:$E$65808,0),MATCH($H604,[2]Sheet1!$F$1:$AF$1,0)),0)</f>
        <v>120</v>
      </c>
      <c r="Q604" s="3"/>
      <c r="R604" s="6"/>
      <c r="S604" s="22"/>
      <c r="U604" s="23">
        <f t="shared" si="11"/>
        <v>4</v>
      </c>
      <c r="V604" s="24" t="s">
        <v>16</v>
      </c>
    </row>
    <row r="605" spans="1:24" ht="22.95" hidden="1" customHeight="1" x14ac:dyDescent="0.25">
      <c r="A605" s="1" t="s">
        <v>89</v>
      </c>
      <c r="D605" s="3" t="s">
        <v>433</v>
      </c>
      <c r="E605" s="15" t="s">
        <v>434</v>
      </c>
      <c r="F605" s="15" t="str">
        <f>+VLOOKUP(D605,[1]Sheet1!$D$2:$E$29166,2,0)</f>
        <v>4号下壁板（左件）</v>
      </c>
      <c r="G605" s="3" t="s">
        <v>51</v>
      </c>
      <c r="H605" s="3">
        <v>20</v>
      </c>
      <c r="I605" s="18" t="str">
        <f t="array" ref="I605">INDEX([2]Sheet1!$F$1:$AF$65808,MATCH(D605&amp;G605&amp;I$1,[2]Sheet1!$B$1:$B$65808&amp;[2]Sheet1!$D$1:$D$65808&amp;[2]Sheet1!$E$1:$E$65808,0),MATCH(H605,[2]Sheet1!$F$1:$AF$1,0))</f>
        <v>20钳工</v>
      </c>
      <c r="K605" s="3">
        <v>4</v>
      </c>
      <c r="L605" s="19">
        <v>30</v>
      </c>
      <c r="M605" s="19">
        <v>30</v>
      </c>
      <c r="N605" s="5" t="s">
        <v>935</v>
      </c>
      <c r="O605" s="4"/>
      <c r="P605" s="18">
        <f t="array" ref="P605">IFERROR(INDEX([2]Sheet1!$F$1:$AF$65808,MATCH($D605&amp;$G605&amp;P$1,[2]Sheet1!$B$1:$B$65808&amp;[2]Sheet1!$D$1:$D$65808&amp;[2]Sheet1!$E$1:$E$65808,0),MATCH($H605,[2]Sheet1!$F$1:$AF$1,0)),0)</f>
        <v>120</v>
      </c>
      <c r="Q605" s="3"/>
      <c r="R605" s="6"/>
      <c r="S605" s="22"/>
      <c r="U605" s="23">
        <f t="shared" si="11"/>
        <v>8</v>
      </c>
      <c r="V605" s="24" t="s">
        <v>16</v>
      </c>
    </row>
    <row r="606" spans="1:24" ht="22.95" hidden="1" customHeight="1" x14ac:dyDescent="0.25">
      <c r="A606" s="1" t="s">
        <v>100</v>
      </c>
      <c r="D606" s="3" t="s">
        <v>436</v>
      </c>
      <c r="E606" s="15" t="s">
        <v>437</v>
      </c>
      <c r="F606" s="15" t="str">
        <f>+VLOOKUP(D606,[1]Sheet1!$D$2:$E$29166,2,0)</f>
        <v>10150侧隔框</v>
      </c>
      <c r="G606" s="3" t="s">
        <v>51</v>
      </c>
      <c r="H606" s="3">
        <v>55</v>
      </c>
      <c r="I606" s="18" t="str">
        <f t="array" ref="I606">INDEX([2]Sheet1!$F$1:$AF$65808,MATCH(D606&amp;G606&amp;I$1,[2]Sheet1!$B$1:$B$65808&amp;[2]Sheet1!$D$1:$D$65808&amp;[2]Sheet1!$E$1:$E$65808,0),MATCH(H606,[2]Sheet1!$F$1:$AF$1,0))</f>
        <v>55/钳工</v>
      </c>
      <c r="K606" s="3">
        <v>3</v>
      </c>
      <c r="L606" s="19">
        <v>30</v>
      </c>
      <c r="M606" s="19">
        <v>30</v>
      </c>
      <c r="N606" s="5" t="s">
        <v>936</v>
      </c>
      <c r="O606" s="4"/>
      <c r="P606" s="18">
        <f t="array" ref="P606">IFERROR(INDEX([2]Sheet1!$F$1:$AF$65808,MATCH($D606&amp;$G606&amp;P$1,[2]Sheet1!$B$1:$B$65808&amp;[2]Sheet1!$D$1:$D$65808&amp;[2]Sheet1!$E$1:$E$65808,0),MATCH($H606,[2]Sheet1!$F$1:$AF$1,0)),0)</f>
        <v>480</v>
      </c>
      <c r="Q606" s="3"/>
      <c r="R606" s="6"/>
      <c r="S606" s="22"/>
      <c r="U606" s="23">
        <f t="shared" si="11"/>
        <v>24</v>
      </c>
      <c r="V606" s="24" t="s">
        <v>16</v>
      </c>
    </row>
    <row r="607" spans="1:24" ht="22.95" hidden="1" customHeight="1" x14ac:dyDescent="0.25">
      <c r="A607" s="1" t="s">
        <v>100</v>
      </c>
      <c r="D607" s="3" t="s">
        <v>933</v>
      </c>
      <c r="E607" s="15" t="s">
        <v>396</v>
      </c>
      <c r="F607" s="15" t="str">
        <f>+VLOOKUP(D607,[1]Sheet1!$D$2:$E$29166,2,0)</f>
        <v>角片</v>
      </c>
      <c r="G607" s="3" t="s">
        <v>46</v>
      </c>
      <c r="H607" s="3" t="s">
        <v>340</v>
      </c>
      <c r="I607" s="18" t="e">
        <f t="array" ref="I607">INDEX([2]Sheet1!$F$1:$AF$65808,MATCH(D607&amp;G607&amp;I$1,[2]Sheet1!$B$1:$B$65808&amp;[2]Sheet1!$D$1:$D$65808&amp;[2]Sheet1!$E$1:$E$65808,0),MATCH(H607,[2]Sheet1!$F$1:$AF$1,0))</f>
        <v>#N/A</v>
      </c>
      <c r="K607" s="3">
        <v>8</v>
      </c>
      <c r="L607" s="19">
        <v>30</v>
      </c>
      <c r="M607" s="19">
        <v>30</v>
      </c>
      <c r="N607" s="5" t="s">
        <v>937</v>
      </c>
      <c r="O607" s="4"/>
      <c r="P607" s="18">
        <v>30</v>
      </c>
      <c r="Q607" s="3"/>
      <c r="R607" s="6"/>
      <c r="S607" s="22"/>
      <c r="U607" s="23">
        <f t="shared" si="11"/>
        <v>4</v>
      </c>
      <c r="V607" s="24" t="s">
        <v>16</v>
      </c>
      <c r="W607" s="7" t="s">
        <v>467</v>
      </c>
      <c r="X607" s="7" t="s">
        <v>203</v>
      </c>
    </row>
    <row r="608" spans="1:24" ht="22.95" hidden="1" customHeight="1" x14ac:dyDescent="0.25">
      <c r="A608" s="1" t="s">
        <v>103</v>
      </c>
      <c r="D608" s="3" t="s">
        <v>938</v>
      </c>
      <c r="E608" s="15" t="s">
        <v>939</v>
      </c>
      <c r="F608" s="15" t="str">
        <f>+VLOOKUP(D608,[1]Sheet1!$D$2:$E$29166,2,0)</f>
        <v>中推力销支座接头</v>
      </c>
      <c r="G608" s="3" t="s">
        <v>46</v>
      </c>
      <c r="H608" s="3">
        <v>70</v>
      </c>
      <c r="I608" s="18" t="str">
        <f t="array" ref="I608">INDEX([2]Sheet1!$F$1:$AF$65808,MATCH(D608&amp;G608&amp;I$1,[2]Sheet1!$B$1:$B$65808&amp;[2]Sheet1!$D$1:$D$65808&amp;[2]Sheet1!$E$1:$E$65808,0),MATCH(H608,[2]Sheet1!$F$1:$AF$1,0))</f>
        <v>70/钳工</v>
      </c>
      <c r="K608" s="3">
        <v>1</v>
      </c>
      <c r="L608" s="19">
        <v>30</v>
      </c>
      <c r="M608" s="19">
        <v>30</v>
      </c>
      <c r="N608" s="5" t="s">
        <v>389</v>
      </c>
      <c r="O608" s="4"/>
      <c r="P608" s="18">
        <f t="array" ref="P608">IFERROR(INDEX([2]Sheet1!$F$1:$AF$65808,MATCH($D608&amp;$G608&amp;P$1,[2]Sheet1!$B$1:$B$65808&amp;[2]Sheet1!$D$1:$D$65808&amp;[2]Sheet1!$E$1:$E$65808,0),MATCH($H608,[2]Sheet1!$F$1:$AF$1,0)),0)</f>
        <v>360</v>
      </c>
      <c r="Q608" s="3"/>
      <c r="R608" s="6"/>
      <c r="S608" s="22"/>
      <c r="U608" s="23">
        <f t="shared" ref="U608:U615" si="12">ROUND((K608*P608+Q608*S608)/60+T608,1)</f>
        <v>6</v>
      </c>
      <c r="V608" s="24" t="s">
        <v>16</v>
      </c>
    </row>
    <row r="609" spans="1:24" ht="22.95" hidden="1" customHeight="1" x14ac:dyDescent="0.25">
      <c r="A609" s="1" t="s">
        <v>109</v>
      </c>
      <c r="D609" s="3" t="s">
        <v>940</v>
      </c>
      <c r="E609" s="15" t="s">
        <v>635</v>
      </c>
      <c r="F609" s="15" t="str">
        <f>+VLOOKUP(D609,[1]Sheet1!$D$2:$E$29166,2,0)</f>
        <v>纵向加强件</v>
      </c>
      <c r="G609" s="3" t="s">
        <v>64</v>
      </c>
      <c r="H609" s="3">
        <v>60</v>
      </c>
      <c r="I609" s="18" t="str">
        <f t="array" ref="I609">INDEX([2]Sheet1!$F$1:$AF$65808,MATCH(D609&amp;G609&amp;I$1,[2]Sheet1!$B$1:$B$65808&amp;[2]Sheet1!$D$1:$D$65808&amp;[2]Sheet1!$E$1:$E$65808,0),MATCH(H609,[2]Sheet1!$F$1:$AF$1,0))</f>
        <v>60/钳工</v>
      </c>
      <c r="K609" s="3">
        <v>1</v>
      </c>
      <c r="L609" s="19">
        <v>30</v>
      </c>
      <c r="M609" s="19">
        <v>30</v>
      </c>
      <c r="N609" s="5" t="s">
        <v>636</v>
      </c>
      <c r="O609" s="4"/>
      <c r="P609" s="18">
        <f t="array" ref="P609">IFERROR(INDEX([2]Sheet1!$F$1:$AF$65808,MATCH($D609&amp;$G609&amp;P$1,[2]Sheet1!$B$1:$B$65808&amp;[2]Sheet1!$D$1:$D$65808&amp;[2]Sheet1!$E$1:$E$65808,0),MATCH($H609,[2]Sheet1!$F$1:$AF$1,0)),0)</f>
        <v>360</v>
      </c>
      <c r="Q609" s="3"/>
      <c r="R609" s="6"/>
      <c r="S609" s="22"/>
      <c r="U609" s="23">
        <f t="shared" si="12"/>
        <v>6</v>
      </c>
      <c r="V609" s="24" t="s">
        <v>16</v>
      </c>
    </row>
    <row r="610" spans="1:24" ht="22.95" hidden="1" customHeight="1" x14ac:dyDescent="0.25">
      <c r="A610" s="1" t="s">
        <v>109</v>
      </c>
      <c r="D610" s="3" t="s">
        <v>448</v>
      </c>
      <c r="E610" s="15" t="s">
        <v>449</v>
      </c>
      <c r="F610" s="15" t="str">
        <f>+VLOOKUP(D610,[1]Sheet1!$D$2:$E$29166,2,0)</f>
        <v>带板</v>
      </c>
      <c r="G610" s="3" t="s">
        <v>51</v>
      </c>
      <c r="H610" s="3">
        <v>40</v>
      </c>
      <c r="I610" s="18" t="str">
        <f t="array" ref="I610">INDEX([2]Sheet1!$F$1:$AF$65808,MATCH(D610&amp;G610&amp;I$1,[2]Sheet1!$B$1:$B$65808&amp;[2]Sheet1!$D$1:$D$65808&amp;[2]Sheet1!$E$1:$E$65808,0),MATCH(H610,[2]Sheet1!$F$1:$AF$1,0))</f>
        <v>40/钳工</v>
      </c>
      <c r="K610" s="3">
        <v>10</v>
      </c>
      <c r="L610" s="19">
        <v>30</v>
      </c>
      <c r="M610" s="19">
        <v>30</v>
      </c>
      <c r="N610" s="5" t="s">
        <v>604</v>
      </c>
      <c r="O610" s="4"/>
      <c r="P610" s="18">
        <f t="array" ref="P610">IFERROR(INDEX([2]Sheet1!$F$1:$AF$65808,MATCH($D610&amp;$G610&amp;P$1,[2]Sheet1!$B$1:$B$65808&amp;[2]Sheet1!$D$1:$D$65808&amp;[2]Sheet1!$E$1:$E$65808,0),MATCH($H610,[2]Sheet1!$F$1:$AF$1,0)),0)</f>
        <v>180</v>
      </c>
      <c r="Q610" s="3"/>
      <c r="R610" s="6"/>
      <c r="S610" s="22"/>
      <c r="U610" s="23">
        <f t="shared" si="12"/>
        <v>30</v>
      </c>
      <c r="V610" s="24" t="s">
        <v>16</v>
      </c>
    </row>
    <row r="611" spans="1:24" ht="22.95" hidden="1" customHeight="1" x14ac:dyDescent="0.25">
      <c r="A611" s="1" t="s">
        <v>116</v>
      </c>
      <c r="D611" s="3" t="s">
        <v>489</v>
      </c>
      <c r="E611" s="15" t="s">
        <v>490</v>
      </c>
      <c r="F611" s="15" t="str">
        <f>+VLOOKUP(D611,[1]Sheet1!$D$2:$E$29166,2,0)</f>
        <v>8815 4号加强筋</v>
      </c>
      <c r="G611" s="3" t="s">
        <v>147</v>
      </c>
      <c r="H611" s="3">
        <v>40</v>
      </c>
      <c r="I611" s="18" t="str">
        <f t="array" ref="I611">INDEX([2]Sheet1!$F$1:$AF$65808,MATCH(D611&amp;G611&amp;I$1,[2]Sheet1!$B$1:$B$65808&amp;[2]Sheet1!$D$1:$D$65808&amp;[2]Sheet1!$E$1:$E$65808,0),MATCH(H611,[2]Sheet1!$F$1:$AF$1,0))</f>
        <v>40/钳工</v>
      </c>
      <c r="K611" s="3">
        <v>3</v>
      </c>
      <c r="L611" s="19">
        <v>30</v>
      </c>
      <c r="M611" s="19">
        <v>30</v>
      </c>
      <c r="N611" s="5" t="s">
        <v>941</v>
      </c>
      <c r="O611" s="4"/>
      <c r="P611" s="18">
        <f t="array" ref="P611">IFERROR(INDEX([2]Sheet1!$F$1:$AF$65808,MATCH($D611&amp;$G611&amp;P$1,[2]Sheet1!$B$1:$B$65808&amp;[2]Sheet1!$D$1:$D$65808&amp;[2]Sheet1!$E$1:$E$65808,0),MATCH($H611,[2]Sheet1!$F$1:$AF$1,0)),0)</f>
        <v>480</v>
      </c>
      <c r="Q611" s="3"/>
      <c r="R611" s="6"/>
      <c r="S611" s="22"/>
      <c r="U611" s="23">
        <f t="shared" si="12"/>
        <v>24</v>
      </c>
      <c r="V611" s="24" t="s">
        <v>16</v>
      </c>
    </row>
    <row r="612" spans="1:24" ht="22.95" hidden="1" customHeight="1" x14ac:dyDescent="0.25">
      <c r="A612" s="1" t="s">
        <v>562</v>
      </c>
      <c r="D612" s="3" t="s">
        <v>489</v>
      </c>
      <c r="E612" s="15" t="s">
        <v>490</v>
      </c>
      <c r="F612" s="15" t="str">
        <f>+VLOOKUP(D612,[1]Sheet1!$D$2:$E$29166,2,0)</f>
        <v>8815 4号加强筋</v>
      </c>
      <c r="G612" s="3" t="s">
        <v>147</v>
      </c>
      <c r="H612" s="3">
        <v>40</v>
      </c>
      <c r="I612" s="18" t="str">
        <f t="array" ref="I612">INDEX([2]Sheet1!$F$1:$AF$65808,MATCH(D612&amp;G612&amp;I$1,[2]Sheet1!$B$1:$B$65808&amp;[2]Sheet1!$D$1:$D$65808&amp;[2]Sheet1!$E$1:$E$65808,0),MATCH(H612,[2]Sheet1!$F$1:$AF$1,0))</f>
        <v>40/钳工</v>
      </c>
      <c r="K612" s="3">
        <v>2</v>
      </c>
      <c r="L612" s="19">
        <v>30</v>
      </c>
      <c r="M612" s="19">
        <v>30</v>
      </c>
      <c r="N612" s="5" t="s">
        <v>622</v>
      </c>
      <c r="O612" s="4"/>
      <c r="P612" s="18">
        <f t="array" ref="P612">IFERROR(INDEX([2]Sheet1!$F$1:$AF$65808,MATCH($D612&amp;$G612&amp;P$1,[2]Sheet1!$B$1:$B$65808&amp;[2]Sheet1!$D$1:$D$65808&amp;[2]Sheet1!$E$1:$E$65808,0),MATCH($H612,[2]Sheet1!$F$1:$AF$1,0)),0)</f>
        <v>480</v>
      </c>
      <c r="Q612" s="3"/>
      <c r="R612" s="6"/>
      <c r="S612" s="22"/>
      <c r="U612" s="23">
        <f t="shared" si="12"/>
        <v>16</v>
      </c>
      <c r="V612" s="24" t="s">
        <v>16</v>
      </c>
    </row>
    <row r="613" spans="1:24" ht="22.95" hidden="1" customHeight="1" x14ac:dyDescent="0.25">
      <c r="A613" s="1" t="s">
        <v>562</v>
      </c>
      <c r="D613" s="3" t="s">
        <v>489</v>
      </c>
      <c r="E613" s="15" t="s">
        <v>490</v>
      </c>
      <c r="F613" s="15" t="str">
        <f>+VLOOKUP(D613,[1]Sheet1!$D$2:$E$29166,2,0)</f>
        <v>8815 4号加强筋</v>
      </c>
      <c r="G613" s="3" t="s">
        <v>147</v>
      </c>
      <c r="H613" s="3" t="s">
        <v>340</v>
      </c>
      <c r="I613" s="18" t="e">
        <f t="array" ref="I613">INDEX([2]Sheet1!$F$1:$AF$65808,MATCH(D613&amp;G613&amp;I$1,[2]Sheet1!$B$1:$B$65808&amp;[2]Sheet1!$D$1:$D$65808&amp;[2]Sheet1!$E$1:$E$65808,0),MATCH(H613,[2]Sheet1!$F$1:$AF$1,0))</f>
        <v>#N/A</v>
      </c>
      <c r="K613" s="3">
        <v>3</v>
      </c>
      <c r="L613" s="19">
        <v>30</v>
      </c>
      <c r="M613" s="19">
        <v>30</v>
      </c>
      <c r="N613" s="5" t="s">
        <v>408</v>
      </c>
      <c r="O613" s="4"/>
      <c r="P613" s="18">
        <v>60</v>
      </c>
      <c r="Q613" s="3"/>
      <c r="R613" s="6"/>
      <c r="S613" s="22"/>
      <c r="U613" s="23">
        <f t="shared" si="12"/>
        <v>3</v>
      </c>
      <c r="V613" s="24" t="s">
        <v>16</v>
      </c>
      <c r="W613" s="7" t="s">
        <v>471</v>
      </c>
      <c r="X613" s="7" t="s">
        <v>203</v>
      </c>
    </row>
    <row r="614" spans="1:24" ht="22.95" hidden="1" customHeight="1" x14ac:dyDescent="0.25">
      <c r="A614" s="1" t="s">
        <v>562</v>
      </c>
      <c r="D614" s="3" t="s">
        <v>942</v>
      </c>
      <c r="E614" s="15" t="s">
        <v>943</v>
      </c>
      <c r="F614" s="15" t="e">
        <f>+VLOOKUP(D614,[1]Sheet1!$D$2:$E$29166,2,0)</f>
        <v>#N/A</v>
      </c>
      <c r="G614" s="3" t="s">
        <v>64</v>
      </c>
      <c r="H614" s="3">
        <v>40</v>
      </c>
      <c r="I614" s="18" t="str">
        <f t="array" ref="I614">INDEX([2]Sheet1!$F$1:$AF$65808,MATCH(D614&amp;G614&amp;I$1,[2]Sheet1!$B$1:$B$65808&amp;[2]Sheet1!$D$1:$D$65808&amp;[2]Sheet1!$E$1:$E$65808,0),MATCH(H614,[2]Sheet1!$F$1:$AF$1,0))</f>
        <v>40/钳工</v>
      </c>
      <c r="K614" s="3">
        <v>22</v>
      </c>
      <c r="L614" s="19">
        <v>30</v>
      </c>
      <c r="M614" s="19">
        <v>30</v>
      </c>
      <c r="N614" s="5" t="s">
        <v>944</v>
      </c>
      <c r="O614" s="4"/>
      <c r="P614" s="18">
        <f t="array" ref="P614">IFERROR(INDEX([2]Sheet1!$F$1:$AF$65808,MATCH($D614&amp;$G614&amp;P$1,[2]Sheet1!$B$1:$B$65808&amp;[2]Sheet1!$D$1:$D$65808&amp;[2]Sheet1!$E$1:$E$65808,0),MATCH($H614,[2]Sheet1!$F$1:$AF$1,0)),0)</f>
        <v>30</v>
      </c>
      <c r="Q614" s="3"/>
      <c r="R614" s="6"/>
      <c r="S614" s="22"/>
      <c r="U614" s="23">
        <f t="shared" si="12"/>
        <v>11</v>
      </c>
      <c r="V614" s="24" t="s">
        <v>16</v>
      </c>
    </row>
    <row r="615" spans="1:24" ht="22.95" hidden="1" customHeight="1" x14ac:dyDescent="0.25">
      <c r="A615" s="1" t="s">
        <v>759</v>
      </c>
      <c r="D615" s="3" t="s">
        <v>942</v>
      </c>
      <c r="E615" s="15" t="s">
        <v>943</v>
      </c>
      <c r="F615" s="15" t="e">
        <f>+VLOOKUP(D615,[1]Sheet1!$D$2:$E$29166,2,0)</f>
        <v>#N/A</v>
      </c>
      <c r="G615" s="3" t="s">
        <v>64</v>
      </c>
      <c r="H615" s="3">
        <v>40</v>
      </c>
      <c r="I615" s="18" t="str">
        <f t="array" ref="I615">INDEX([2]Sheet1!$F$1:$AF$65808,MATCH(D615&amp;G615&amp;I$1,[2]Sheet1!$B$1:$B$65808&amp;[2]Sheet1!$D$1:$D$65808&amp;[2]Sheet1!$E$1:$E$65808,0),MATCH(H615,[2]Sheet1!$F$1:$AF$1,0))</f>
        <v>40/钳工</v>
      </c>
      <c r="K615" s="3">
        <v>22</v>
      </c>
      <c r="L615" s="19">
        <v>30</v>
      </c>
      <c r="M615" s="19">
        <v>30</v>
      </c>
      <c r="N615" s="5" t="s">
        <v>944</v>
      </c>
      <c r="O615" s="4"/>
      <c r="P615" s="18">
        <f t="array" ref="P615">IFERROR(INDEX([2]Sheet1!$F$1:$AF$65808,MATCH($D615&amp;$G615&amp;P$1,[2]Sheet1!$B$1:$B$65808&amp;[2]Sheet1!$D$1:$D$65808&amp;[2]Sheet1!$E$1:$E$65808,0),MATCH($H615,[2]Sheet1!$F$1:$AF$1,0)),0)</f>
        <v>30</v>
      </c>
      <c r="Q615" s="3"/>
      <c r="R615" s="6"/>
      <c r="S615" s="22"/>
      <c r="U615" s="23">
        <f t="shared" si="12"/>
        <v>11</v>
      </c>
      <c r="V615" s="24" t="s">
        <v>16</v>
      </c>
    </row>
    <row r="616" spans="1:24" ht="22.95" hidden="1" customHeight="1" x14ac:dyDescent="0.25">
      <c r="A616" s="1" t="s">
        <v>759</v>
      </c>
      <c r="D616" s="3" t="s">
        <v>945</v>
      </c>
      <c r="E616" s="15" t="s">
        <v>946</v>
      </c>
      <c r="F616" s="15" t="str">
        <f>+VLOOKUP(D616,[1]Sheet1!$D$2:$E$29166,2,0)</f>
        <v>球形杯</v>
      </c>
      <c r="G616" s="3" t="s">
        <v>80</v>
      </c>
      <c r="H616" s="3">
        <v>20</v>
      </c>
      <c r="I616" s="18" t="str">
        <f t="array" ref="I616">INDEX([2]Sheet1!$F$1:$AF$65808,MATCH(D616&amp;G616&amp;I$1,[2]Sheet1!$B$1:$B$65808&amp;[2]Sheet1!$D$1:$D$65808&amp;[2]Sheet1!$E$1:$E$65808,0),MATCH(H616,[2]Sheet1!$F$1:$AF$1,0))</f>
        <v>20钳工</v>
      </c>
      <c r="K616" s="3">
        <v>17</v>
      </c>
      <c r="L616" s="19">
        <v>30</v>
      </c>
      <c r="M616" s="19">
        <v>30</v>
      </c>
      <c r="N616" s="5" t="s">
        <v>81</v>
      </c>
      <c r="O616" s="4"/>
      <c r="P616" s="18">
        <f t="array" ref="P616">IFERROR(INDEX([2]Sheet1!$F$1:$AF$65808,MATCH($D616&amp;$G616&amp;P$1,[2]Sheet1!$B$1:$B$65808&amp;[2]Sheet1!$D$1:$D$65808&amp;[2]Sheet1!$E$1:$E$65808,0),MATCH($H616,[2]Sheet1!$F$1:$AF$1,0)),0)</f>
        <v>50</v>
      </c>
      <c r="Q616" s="3"/>
      <c r="R616" s="6"/>
      <c r="S616" s="22"/>
      <c r="U616" s="23">
        <f t="shared" ref="U616:U636" si="13">ROUND((K616*P616+Q616*S616)/60+T616,1)</f>
        <v>14.2</v>
      </c>
      <c r="V616" s="24" t="s">
        <v>16</v>
      </c>
    </row>
    <row r="617" spans="1:24" ht="22.95" hidden="1" customHeight="1" x14ac:dyDescent="0.25">
      <c r="A617" s="1" t="s">
        <v>759</v>
      </c>
      <c r="D617" s="3" t="s">
        <v>947</v>
      </c>
      <c r="E617" s="15" t="s">
        <v>55</v>
      </c>
      <c r="F617" s="15" t="str">
        <f>+VLOOKUP(D617,[1]Sheet1!$D$2:$E$29166,2,0)</f>
        <v>接头</v>
      </c>
      <c r="G617" s="3" t="s">
        <v>80</v>
      </c>
      <c r="H617" s="3">
        <v>30</v>
      </c>
      <c r="I617" s="18" t="str">
        <f t="array" ref="I617">INDEX([2]Sheet1!$F$1:$AF$65808,MATCH(D617&amp;G617&amp;I$1,[2]Sheet1!$B$1:$B$65808&amp;[2]Sheet1!$D$1:$D$65808&amp;[2]Sheet1!$E$1:$E$65808,0),MATCH(H617,[2]Sheet1!$F$1:$AF$1,0))</f>
        <v>30/钳工</v>
      </c>
      <c r="K617" s="3">
        <v>1</v>
      </c>
      <c r="L617" s="19">
        <v>30</v>
      </c>
      <c r="M617" s="19">
        <v>30</v>
      </c>
      <c r="N617" s="5" t="s">
        <v>81</v>
      </c>
      <c r="O617" s="4"/>
      <c r="P617" s="18">
        <f t="array" ref="P617">IFERROR(INDEX([2]Sheet1!$F$1:$AF$65808,MATCH($D617&amp;$G617&amp;P$1,[2]Sheet1!$B$1:$B$65808&amp;[2]Sheet1!$D$1:$D$65808&amp;[2]Sheet1!$E$1:$E$65808,0),MATCH($H617,[2]Sheet1!$F$1:$AF$1,0)),0)</f>
        <v>30</v>
      </c>
      <c r="Q617" s="3"/>
      <c r="R617" s="6"/>
      <c r="S617" s="22"/>
      <c r="U617" s="23">
        <f t="shared" si="13"/>
        <v>0.5</v>
      </c>
      <c r="V617" s="24" t="s">
        <v>16</v>
      </c>
    </row>
    <row r="618" spans="1:24" ht="22.95" hidden="1" customHeight="1" x14ac:dyDescent="0.25">
      <c r="A618" s="1" t="s">
        <v>759</v>
      </c>
      <c r="D618" s="3" t="s">
        <v>870</v>
      </c>
      <c r="E618" s="15" t="s">
        <v>871</v>
      </c>
      <c r="F618" s="15" t="str">
        <f>+VLOOKUP(D618,[1]Sheet1!$D$2:$E$29166,2,0)</f>
        <v>上边肋</v>
      </c>
      <c r="G618" s="3" t="s">
        <v>147</v>
      </c>
      <c r="H618" s="3">
        <v>65</v>
      </c>
      <c r="I618" s="18" t="str">
        <f t="array" ref="I618">INDEX([2]Sheet1!$F$1:$AF$65808,MATCH(D618&amp;G618&amp;I$1,[2]Sheet1!$B$1:$B$65808&amp;[2]Sheet1!$D$1:$D$65808&amp;[2]Sheet1!$E$1:$E$65808,0),MATCH(H618,[2]Sheet1!$F$1:$AF$1,0))</f>
        <v>65/钳工</v>
      </c>
      <c r="K618" s="3">
        <v>2</v>
      </c>
      <c r="L618" s="19">
        <v>30</v>
      </c>
      <c r="M618" s="19">
        <v>30</v>
      </c>
      <c r="N618" s="5" t="s">
        <v>948</v>
      </c>
      <c r="O618" s="4"/>
      <c r="P618" s="18">
        <f t="array" ref="P618">IFERROR(INDEX([2]Sheet1!$F$1:$AF$65808,MATCH($D618&amp;$G618&amp;P$1,[2]Sheet1!$B$1:$B$65808&amp;[2]Sheet1!$D$1:$D$65808&amp;[2]Sheet1!$E$1:$E$65808,0),MATCH($H618,[2]Sheet1!$F$1:$AF$1,0)),0)</f>
        <v>240</v>
      </c>
      <c r="Q618" s="3"/>
      <c r="R618" s="6"/>
      <c r="S618" s="22"/>
      <c r="U618" s="23">
        <f t="shared" si="13"/>
        <v>8</v>
      </c>
      <c r="V618" s="24" t="s">
        <v>16</v>
      </c>
    </row>
    <row r="619" spans="1:24" ht="22.95" hidden="1" customHeight="1" x14ac:dyDescent="0.25">
      <c r="A619" s="1" t="s">
        <v>764</v>
      </c>
      <c r="D619" s="3" t="s">
        <v>858</v>
      </c>
      <c r="E619" s="15" t="s">
        <v>859</v>
      </c>
      <c r="F619" s="15" t="str">
        <f>+VLOOKUP(D619,[1]Sheet1!$D$2:$E$29166,2,0)</f>
        <v>1150肋根肋（右件）</v>
      </c>
      <c r="G619" s="3" t="s">
        <v>290</v>
      </c>
      <c r="H619" s="3">
        <v>70</v>
      </c>
      <c r="I619" s="18" t="str">
        <f t="array" ref="I619">INDEX([2]Sheet1!$F$1:$AF$65808,MATCH(D619&amp;G619&amp;I$1,[2]Sheet1!$B$1:$B$65808&amp;[2]Sheet1!$D$1:$D$65808&amp;[2]Sheet1!$E$1:$E$65808,0),MATCH(H619,[2]Sheet1!$F$1:$AF$1,0))</f>
        <v>70/钳工</v>
      </c>
      <c r="K619" s="3">
        <v>6</v>
      </c>
      <c r="L619" s="19">
        <v>30</v>
      </c>
      <c r="M619" s="19">
        <v>30</v>
      </c>
      <c r="N619" s="5" t="s">
        <v>699</v>
      </c>
      <c r="O619" s="4"/>
      <c r="P619" s="18">
        <f t="array" ref="P619">IFERROR(INDEX([2]Sheet1!$F$1:$AF$65808,MATCH($D619&amp;$G619&amp;P$1,[2]Sheet1!$B$1:$B$65808&amp;[2]Sheet1!$D$1:$D$65808&amp;[2]Sheet1!$E$1:$E$65808,0),MATCH($H619,[2]Sheet1!$F$1:$AF$1,0)),0)</f>
        <v>360</v>
      </c>
      <c r="Q619" s="3"/>
      <c r="R619" s="6"/>
      <c r="S619" s="22"/>
      <c r="U619" s="23">
        <f t="shared" si="13"/>
        <v>36</v>
      </c>
      <c r="V619" s="24" t="s">
        <v>16</v>
      </c>
    </row>
    <row r="620" spans="1:24" ht="22.95" hidden="1" customHeight="1" x14ac:dyDescent="0.25">
      <c r="A620" s="1" t="s">
        <v>766</v>
      </c>
      <c r="D620" s="3" t="s">
        <v>949</v>
      </c>
      <c r="E620" s="15" t="s">
        <v>950</v>
      </c>
      <c r="F620" s="15" t="str">
        <f>+VLOOKUP(D620,[1]Sheet1!$D$2:$E$29166,2,0)</f>
        <v>根肋二段</v>
      </c>
      <c r="G620" s="3" t="s">
        <v>64</v>
      </c>
      <c r="H620" s="3">
        <v>65</v>
      </c>
      <c r="I620" s="18" t="str">
        <f t="array" ref="I620">INDEX([2]Sheet1!$F$1:$AF$65808,MATCH(D620&amp;G620&amp;I$1,[2]Sheet1!$B$1:$B$65808&amp;[2]Sheet1!$D$1:$D$65808&amp;[2]Sheet1!$E$1:$E$65808,0),MATCH(H620,[2]Sheet1!$F$1:$AF$1,0))</f>
        <v>65/钳工</v>
      </c>
      <c r="K620" s="3">
        <v>4</v>
      </c>
      <c r="L620" s="19">
        <v>30</v>
      </c>
      <c r="M620" s="19">
        <v>30</v>
      </c>
      <c r="N620" s="5" t="s">
        <v>951</v>
      </c>
      <c r="O620" s="4"/>
      <c r="P620" s="18">
        <f t="array" ref="P620">IFERROR(INDEX([2]Sheet1!$F$1:$AF$65808,MATCH($D620&amp;$G620&amp;P$1,[2]Sheet1!$B$1:$B$65808&amp;[2]Sheet1!$D$1:$D$65808&amp;[2]Sheet1!$E$1:$E$65808,0),MATCH($H620,[2]Sheet1!$F$1:$AF$1,0)),0)</f>
        <v>600</v>
      </c>
      <c r="Q620" s="3"/>
      <c r="R620" s="6"/>
      <c r="S620" s="22"/>
      <c r="U620" s="23">
        <f t="shared" si="13"/>
        <v>40</v>
      </c>
      <c r="V620" s="24" t="s">
        <v>16</v>
      </c>
    </row>
    <row r="621" spans="1:24" ht="22.95" hidden="1" customHeight="1" x14ac:dyDescent="0.25">
      <c r="A621" s="1" t="s">
        <v>766</v>
      </c>
      <c r="D621" s="3" t="s">
        <v>888</v>
      </c>
      <c r="E621" s="15" t="s">
        <v>55</v>
      </c>
      <c r="F621" s="15" t="str">
        <f>+VLOOKUP(D621,[1]Sheet1!$D$2:$E$29166,2,0)</f>
        <v>接头</v>
      </c>
      <c r="G621" s="3" t="s">
        <v>80</v>
      </c>
      <c r="H621" s="3">
        <v>35</v>
      </c>
      <c r="I621" s="18" t="str">
        <f t="array" ref="I621">INDEX([2]Sheet1!$F$1:$AF$65808,MATCH(D621&amp;G621&amp;I$1,[2]Sheet1!$B$1:$B$65808&amp;[2]Sheet1!$D$1:$D$65808&amp;[2]Sheet1!$E$1:$E$65808,0),MATCH(H621,[2]Sheet1!$F$1:$AF$1,0))</f>
        <v>35钳工</v>
      </c>
      <c r="K621" s="3">
        <v>3</v>
      </c>
      <c r="L621" s="19">
        <v>30</v>
      </c>
      <c r="M621" s="19">
        <v>30</v>
      </c>
      <c r="N621" s="5" t="s">
        <v>952</v>
      </c>
      <c r="O621" s="4"/>
      <c r="P621" s="18">
        <f t="array" ref="P621">IFERROR(INDEX([2]Sheet1!$F$1:$AF$65808,MATCH($D621&amp;$G621&amp;P$1,[2]Sheet1!$B$1:$B$65808&amp;[2]Sheet1!$D$1:$D$65808&amp;[2]Sheet1!$E$1:$E$65808,0),MATCH($H621,[2]Sheet1!$F$1:$AF$1,0)),0)</f>
        <v>90</v>
      </c>
      <c r="Q621" s="3"/>
      <c r="R621" s="6"/>
      <c r="S621" s="22"/>
      <c r="U621" s="23">
        <f t="shared" si="13"/>
        <v>4.5</v>
      </c>
      <c r="V621" s="24" t="s">
        <v>16</v>
      </c>
    </row>
    <row r="622" spans="1:24" ht="22.95" hidden="1" customHeight="1" x14ac:dyDescent="0.25">
      <c r="A622" s="1" t="s">
        <v>116</v>
      </c>
      <c r="D622" s="3" t="s">
        <v>522</v>
      </c>
      <c r="E622" s="15" t="s">
        <v>523</v>
      </c>
      <c r="F622" s="15" t="str">
        <f>+VLOOKUP(D622,[1]Sheet1!$D$2:$E$29166,2,0)</f>
        <v>三通管接头</v>
      </c>
      <c r="G622" s="3" t="s">
        <v>46</v>
      </c>
      <c r="H622" s="3" t="s">
        <v>340</v>
      </c>
      <c r="I622" s="18" t="e">
        <f t="array" ref="I622">INDEX([2]Sheet1!$F$1:$AF$65808,MATCH(D622&amp;G622&amp;I$1,[2]Sheet1!$B$1:$B$65808&amp;[2]Sheet1!$D$1:$D$65808&amp;[2]Sheet1!$E$1:$E$65808,0),MATCH(H622,[2]Sheet1!$F$1:$AF$1,0))</f>
        <v>#N/A</v>
      </c>
      <c r="K622" s="3">
        <v>2</v>
      </c>
      <c r="L622" s="19"/>
      <c r="M622" s="19"/>
      <c r="N622" s="5" t="s">
        <v>56</v>
      </c>
      <c r="O622" s="4"/>
      <c r="P622" s="18">
        <v>20</v>
      </c>
      <c r="Q622" s="3"/>
      <c r="R622" s="6"/>
      <c r="S622" s="22"/>
      <c r="U622" s="23">
        <f t="shared" si="13"/>
        <v>0.7</v>
      </c>
      <c r="V622" s="24" t="s">
        <v>4</v>
      </c>
      <c r="W622" s="7" t="s">
        <v>953</v>
      </c>
    </row>
    <row r="623" spans="1:24" ht="22.95" hidden="1" customHeight="1" x14ac:dyDescent="0.25">
      <c r="A623" s="1" t="s">
        <v>562</v>
      </c>
      <c r="D623" s="3" t="s">
        <v>724</v>
      </c>
      <c r="E623" s="15" t="s">
        <v>725</v>
      </c>
      <c r="F623" s="15" t="str">
        <f>+VLOOKUP(D623,[1]Sheet1!$D$2:$E$29166,2,0)</f>
        <v>弓形件</v>
      </c>
      <c r="G623" s="3" t="s">
        <v>147</v>
      </c>
      <c r="H623" s="3">
        <v>35</v>
      </c>
      <c r="I623" s="18" t="str">
        <f t="array" ref="I623">INDEX([2]Sheet1!$F$1:$AF$65808,MATCH(D623&amp;G623&amp;I$1,[2]Sheet1!$B$1:$B$65808&amp;[2]Sheet1!$D$1:$D$65808&amp;[2]Sheet1!$E$1:$E$65808,0),MATCH(H623,[2]Sheet1!$F$1:$AF$1,0))</f>
        <v>35钳工</v>
      </c>
      <c r="K623" s="3">
        <v>21</v>
      </c>
      <c r="L623" s="19">
        <v>8</v>
      </c>
      <c r="M623" s="19">
        <v>8</v>
      </c>
      <c r="N623" s="5" t="s">
        <v>115</v>
      </c>
      <c r="O623" s="4"/>
      <c r="P623" s="18">
        <f t="array" ref="P623">IFERROR(INDEX([2]Sheet1!$F$1:$AF$65808,MATCH($D623&amp;$G623&amp;P$1,[2]Sheet1!$B$1:$B$65808&amp;[2]Sheet1!$D$1:$D$65808&amp;[2]Sheet1!$E$1:$E$65808,0),MATCH($H623,[2]Sheet1!$F$1:$AF$1,0)),0)</f>
        <v>35</v>
      </c>
      <c r="Q623" s="3"/>
      <c r="R623" s="6"/>
      <c r="S623" s="22"/>
      <c r="U623" s="23">
        <f t="shared" si="13"/>
        <v>12.3</v>
      </c>
      <c r="V623" s="24" t="s">
        <v>4</v>
      </c>
    </row>
    <row r="624" spans="1:24" ht="22.95" hidden="1" customHeight="1" x14ac:dyDescent="0.25">
      <c r="A624" s="1" t="s">
        <v>764</v>
      </c>
      <c r="D624" s="3" t="s">
        <v>432</v>
      </c>
      <c r="E624" s="15" t="s">
        <v>55</v>
      </c>
      <c r="F624" s="15" t="str">
        <f>+VLOOKUP(D624,[1]Sheet1!$D$2:$E$29166,2,0)</f>
        <v>接头</v>
      </c>
      <c r="G624" s="3" t="s">
        <v>80</v>
      </c>
      <c r="H624" s="3">
        <v>55</v>
      </c>
      <c r="I624" s="18" t="str">
        <f t="array" ref="I624">INDEX([2]Sheet1!$F$1:$AF$65808,MATCH(D624&amp;G624&amp;I$1,[2]Sheet1!$B$1:$B$65808&amp;[2]Sheet1!$D$1:$D$65808&amp;[2]Sheet1!$E$1:$E$65808,0),MATCH(H624,[2]Sheet1!$F$1:$AF$1,0))</f>
        <v>55钳工</v>
      </c>
      <c r="K624" s="3">
        <v>1</v>
      </c>
      <c r="L624" s="19">
        <v>8</v>
      </c>
      <c r="M624" s="19">
        <v>8</v>
      </c>
      <c r="N624" s="5" t="s">
        <v>81</v>
      </c>
      <c r="O624" s="4"/>
      <c r="P624" s="18">
        <f t="array" ref="P624">IFERROR(INDEX([2]Sheet1!$F$1:$AF$65808,MATCH($D624&amp;$G624&amp;P$1,[2]Sheet1!$B$1:$B$65808&amp;[2]Sheet1!$D$1:$D$65808&amp;[2]Sheet1!$E$1:$E$65808,0),MATCH($H624,[2]Sheet1!$F$1:$AF$1,0)),0)</f>
        <v>90</v>
      </c>
      <c r="Q624" s="3"/>
      <c r="R624" s="6"/>
      <c r="S624" s="22"/>
      <c r="U624" s="23">
        <f t="shared" si="13"/>
        <v>1.5</v>
      </c>
      <c r="V624" s="24" t="s">
        <v>4</v>
      </c>
    </row>
    <row r="625" spans="1:24" ht="22.95" hidden="1" customHeight="1" x14ac:dyDescent="0.25">
      <c r="A625" s="1" t="s">
        <v>764</v>
      </c>
      <c r="D625" s="3" t="s">
        <v>504</v>
      </c>
      <c r="E625" s="15" t="s">
        <v>55</v>
      </c>
      <c r="F625" s="15" t="str">
        <f>+VLOOKUP(D625,[1]Sheet1!$D$2:$E$29166,2,0)</f>
        <v>接头</v>
      </c>
      <c r="G625" s="3" t="s">
        <v>80</v>
      </c>
      <c r="H625" s="3">
        <v>55</v>
      </c>
      <c r="I625" s="18" t="str">
        <f t="array" ref="I625">INDEX([2]Sheet1!$F$1:$AF$65808,MATCH(D625&amp;G625&amp;I$1,[2]Sheet1!$B$1:$B$65808&amp;[2]Sheet1!$D$1:$D$65808&amp;[2]Sheet1!$E$1:$E$65808,0),MATCH(H625,[2]Sheet1!$F$1:$AF$1,0))</f>
        <v>55钳工</v>
      </c>
      <c r="K625" s="3">
        <v>2</v>
      </c>
      <c r="L625" s="19">
        <v>9</v>
      </c>
      <c r="M625" s="19">
        <v>9</v>
      </c>
      <c r="N625" s="5" t="s">
        <v>81</v>
      </c>
      <c r="O625" s="4"/>
      <c r="P625" s="18">
        <f t="array" ref="P625">IFERROR(INDEX([2]Sheet1!$F$1:$AF$65808,MATCH($D625&amp;$G625&amp;P$1,[2]Sheet1!$B$1:$B$65808&amp;[2]Sheet1!$D$1:$D$65808&amp;[2]Sheet1!$E$1:$E$65808,0),MATCH($H625,[2]Sheet1!$F$1:$AF$1,0)),0)</f>
        <v>90</v>
      </c>
      <c r="Q625" s="3"/>
      <c r="R625" s="6"/>
      <c r="S625" s="22"/>
      <c r="U625" s="23">
        <f t="shared" si="13"/>
        <v>3</v>
      </c>
      <c r="V625" s="24" t="s">
        <v>4</v>
      </c>
    </row>
    <row r="626" spans="1:24" ht="22.95" hidden="1" customHeight="1" x14ac:dyDescent="0.25">
      <c r="A626" s="1" t="s">
        <v>766</v>
      </c>
      <c r="D626" s="3" t="s">
        <v>153</v>
      </c>
      <c r="E626" s="15" t="s">
        <v>154</v>
      </c>
      <c r="F626" s="15" t="str">
        <f>+VLOOKUP(D626,[1]Sheet1!$D$2:$E$29166,2,0)</f>
        <v>9350-11140右侧上梁</v>
      </c>
      <c r="G626" s="3" t="s">
        <v>385</v>
      </c>
      <c r="H626" s="3" t="s">
        <v>340</v>
      </c>
      <c r="I626" s="18" t="e">
        <f t="array" ref="I626">INDEX([2]Sheet1!$F$1:$AF$65808,MATCH(D626&amp;G626&amp;I$1,[2]Sheet1!$B$1:$B$65808&amp;[2]Sheet1!$D$1:$D$65808&amp;[2]Sheet1!$E$1:$E$65808,0),MATCH(H626,[2]Sheet1!$F$1:$AF$1,0))</f>
        <v>#N/A</v>
      </c>
      <c r="K626" s="3">
        <v>2</v>
      </c>
      <c r="L626" s="19">
        <v>8</v>
      </c>
      <c r="M626" s="19">
        <v>8</v>
      </c>
      <c r="N626" s="5" t="s">
        <v>954</v>
      </c>
      <c r="O626" s="4"/>
      <c r="P626" s="18">
        <v>1440</v>
      </c>
      <c r="Q626" s="3"/>
      <c r="R626" s="6"/>
      <c r="S626" s="22"/>
      <c r="U626" s="23">
        <f t="shared" si="13"/>
        <v>48</v>
      </c>
      <c r="V626" s="24" t="s">
        <v>1</v>
      </c>
      <c r="W626" s="7" t="s">
        <v>955</v>
      </c>
    </row>
    <row r="627" spans="1:24" ht="22.95" hidden="1" customHeight="1" x14ac:dyDescent="0.25">
      <c r="A627" s="1" t="s">
        <v>840</v>
      </c>
      <c r="D627" s="3" t="s">
        <v>956</v>
      </c>
      <c r="E627" s="15" t="s">
        <v>446</v>
      </c>
      <c r="F627" s="15" t="str">
        <f>+VLOOKUP(D627,[1]Sheet1!$D$2:$E$29166,2,0)</f>
        <v>摇臂</v>
      </c>
      <c r="G627" s="3" t="s">
        <v>114</v>
      </c>
      <c r="H627" s="3">
        <v>5</v>
      </c>
      <c r="I627" s="18" t="str">
        <f t="array" ref="I627">INDEX([2]Sheet1!$F$1:$AF$65808,MATCH(D627&amp;G627&amp;I$1,[2]Sheet1!$B$1:$B$65808&amp;[2]Sheet1!$D$1:$D$65808&amp;[2]Sheet1!$E$1:$E$65808,0),MATCH(H627,[2]Sheet1!$F$1:$AF$1,0))</f>
        <v>5/钳工</v>
      </c>
      <c r="K627" s="3">
        <v>24</v>
      </c>
      <c r="L627" s="19">
        <v>8</v>
      </c>
      <c r="M627" s="19">
        <v>8</v>
      </c>
      <c r="N627" s="5" t="s">
        <v>295</v>
      </c>
      <c r="O627" s="4"/>
      <c r="P627" s="18">
        <f t="array" ref="P627">IFERROR(INDEX([2]Sheet1!$F$1:$AF$65808,MATCH($D627&amp;$G627&amp;P$1,[2]Sheet1!$B$1:$B$65808&amp;[2]Sheet1!$D$1:$D$65808&amp;[2]Sheet1!$E$1:$E$65808,0),MATCH($H627,[2]Sheet1!$F$1:$AF$1,0)),0)</f>
        <v>20</v>
      </c>
      <c r="Q627" s="3"/>
      <c r="R627" s="6"/>
      <c r="S627" s="22"/>
      <c r="U627" s="23">
        <f t="shared" si="13"/>
        <v>8</v>
      </c>
      <c r="V627" s="24" t="s">
        <v>4</v>
      </c>
    </row>
    <row r="628" spans="1:24" ht="22.95" hidden="1" customHeight="1" x14ac:dyDescent="0.25">
      <c r="A628" s="1" t="s">
        <v>840</v>
      </c>
      <c r="D628" s="3" t="s">
        <v>122</v>
      </c>
      <c r="E628" s="15" t="s">
        <v>123</v>
      </c>
      <c r="F628" s="15" t="str">
        <f>+VLOOKUP(D628,[1]Sheet1!$D$2:$E$29166,2,0)</f>
        <v>9350-11140左侧上梁</v>
      </c>
      <c r="G628" s="3" t="s">
        <v>51</v>
      </c>
      <c r="H628" s="3" t="s">
        <v>340</v>
      </c>
      <c r="I628" s="18" t="e">
        <f t="array" ref="I628">INDEX([2]Sheet1!$F$1:$AF$65808,MATCH(D628&amp;G628&amp;I$1,[2]Sheet1!$B$1:$B$65808&amp;[2]Sheet1!$D$1:$D$65808&amp;[2]Sheet1!$E$1:$E$65808,0),MATCH(H628,[2]Sheet1!$F$1:$AF$1,0))</f>
        <v>#N/A</v>
      </c>
      <c r="K628" s="3">
        <v>1</v>
      </c>
      <c r="L628" s="19">
        <v>8</v>
      </c>
      <c r="M628" s="19">
        <v>8</v>
      </c>
      <c r="N628" s="5" t="s">
        <v>957</v>
      </c>
      <c r="O628" s="4"/>
      <c r="P628" s="18">
        <v>720</v>
      </c>
      <c r="Q628" s="3"/>
      <c r="R628" s="6"/>
      <c r="S628" s="22"/>
      <c r="U628" s="23">
        <f t="shared" si="13"/>
        <v>12</v>
      </c>
      <c r="V628" s="24" t="s">
        <v>4</v>
      </c>
      <c r="W628" s="7" t="s">
        <v>958</v>
      </c>
    </row>
    <row r="629" spans="1:24" ht="22.95" hidden="1" customHeight="1" x14ac:dyDescent="0.25">
      <c r="A629" s="1" t="s">
        <v>840</v>
      </c>
      <c r="D629" s="3" t="s">
        <v>153</v>
      </c>
      <c r="E629" s="15" t="s">
        <v>154</v>
      </c>
      <c r="F629" s="15" t="str">
        <f>+VLOOKUP(D629,[1]Sheet1!$D$2:$E$29166,2,0)</f>
        <v>9350-11140右侧上梁</v>
      </c>
      <c r="G629" s="3" t="s">
        <v>385</v>
      </c>
      <c r="H629" s="3" t="s">
        <v>340</v>
      </c>
      <c r="I629" s="18" t="e">
        <f t="array" ref="I629">INDEX([2]Sheet1!$F$1:$AF$65808,MATCH(D629&amp;G629&amp;I$1,[2]Sheet1!$B$1:$B$65808&amp;[2]Sheet1!$D$1:$D$65808&amp;[2]Sheet1!$E$1:$E$65808,0),MATCH(H629,[2]Sheet1!$F$1:$AF$1,0))</f>
        <v>#N/A</v>
      </c>
      <c r="K629" s="3">
        <v>1</v>
      </c>
      <c r="L629" s="19">
        <v>8</v>
      </c>
      <c r="M629" s="19">
        <v>8</v>
      </c>
      <c r="N629" s="5" t="s">
        <v>141</v>
      </c>
      <c r="O629" s="4"/>
      <c r="P629" s="18">
        <v>720</v>
      </c>
      <c r="Q629" s="3"/>
      <c r="R629" s="6"/>
      <c r="S629" s="22"/>
      <c r="U629" s="23">
        <f t="shared" si="13"/>
        <v>12</v>
      </c>
      <c r="V629" s="24" t="s">
        <v>4</v>
      </c>
      <c r="W629" s="7" t="s">
        <v>958</v>
      </c>
    </row>
    <row r="630" spans="1:24" ht="22.95" hidden="1" customHeight="1" x14ac:dyDescent="0.25">
      <c r="A630" s="1" t="s">
        <v>840</v>
      </c>
      <c r="D630" s="3" t="s">
        <v>370</v>
      </c>
      <c r="E630" s="15" t="s">
        <v>55</v>
      </c>
      <c r="F630" s="15" t="str">
        <f>+VLOOKUP(D630,[1]Sheet1!$D$2:$E$29166,2,0)</f>
        <v>接头</v>
      </c>
      <c r="G630" s="3" t="s">
        <v>80</v>
      </c>
      <c r="H630" s="3">
        <v>70</v>
      </c>
      <c r="I630" s="18" t="str">
        <f t="array" ref="I630">INDEX([2]Sheet1!$F$1:$AF$65808,MATCH(D630&amp;G630&amp;I$1,[2]Sheet1!$B$1:$B$65808&amp;[2]Sheet1!$D$1:$D$65808&amp;[2]Sheet1!$E$1:$E$65808,0),MATCH(H630,[2]Sheet1!$F$1:$AF$1,0))</f>
        <v>70钳工</v>
      </c>
      <c r="K630" s="3">
        <v>2</v>
      </c>
      <c r="L630" s="19">
        <v>8</v>
      </c>
      <c r="M630" s="19">
        <v>8</v>
      </c>
      <c r="N630" s="5" t="s">
        <v>81</v>
      </c>
      <c r="O630" s="4"/>
      <c r="P630" s="18">
        <f t="array" ref="P630">IFERROR(INDEX([2]Sheet1!$F$1:$AF$65808,MATCH($D630&amp;$G630&amp;P$1,[2]Sheet1!$B$1:$B$65808&amp;[2]Sheet1!$D$1:$D$65808&amp;[2]Sheet1!$E$1:$E$65808,0),MATCH($H630,[2]Sheet1!$F$1:$AF$1,0)),0)</f>
        <v>20</v>
      </c>
      <c r="Q630" s="3"/>
      <c r="R630" s="6"/>
      <c r="S630" s="22"/>
      <c r="U630" s="23">
        <f t="shared" si="13"/>
        <v>0.7</v>
      </c>
      <c r="V630" s="24" t="s">
        <v>4</v>
      </c>
    </row>
    <row r="631" spans="1:24" ht="22.95" hidden="1" customHeight="1" x14ac:dyDescent="0.25">
      <c r="A631" s="1" t="s">
        <v>959</v>
      </c>
      <c r="D631" s="3" t="s">
        <v>131</v>
      </c>
      <c r="E631" s="15" t="s">
        <v>132</v>
      </c>
      <c r="F631" s="15" t="str">
        <f>+VLOOKUP(D631,[1]Sheet1!$D$2:$E$29166,2,0)</f>
        <v>后隔框</v>
      </c>
      <c r="G631" s="3" t="s">
        <v>133</v>
      </c>
      <c r="H631" s="3">
        <v>65</v>
      </c>
      <c r="I631" s="18" t="str">
        <f t="array" ref="I631">INDEX([2]Sheet1!$F$1:$AF$65808,MATCH(D631&amp;G631&amp;I$1,[2]Sheet1!$B$1:$B$65808&amp;[2]Sheet1!$D$1:$D$65808&amp;[2]Sheet1!$E$1:$E$65808,0),MATCH(H631,[2]Sheet1!$F$1:$AF$1,0))</f>
        <v>65/钳铰孔</v>
      </c>
      <c r="K631" s="3">
        <v>5</v>
      </c>
      <c r="L631" s="19">
        <v>8</v>
      </c>
      <c r="M631" s="19">
        <v>8</v>
      </c>
      <c r="N631" s="5" t="s">
        <v>960</v>
      </c>
      <c r="O631" s="4"/>
      <c r="P631" s="18">
        <v>960</v>
      </c>
      <c r="Q631" s="3"/>
      <c r="R631" s="6"/>
      <c r="S631" s="22"/>
      <c r="U631" s="23">
        <f t="shared" si="13"/>
        <v>80</v>
      </c>
      <c r="V631" s="24" t="s">
        <v>1</v>
      </c>
      <c r="W631" s="7" t="s">
        <v>961</v>
      </c>
    </row>
    <row r="632" spans="1:24" ht="22.95" hidden="1" customHeight="1" x14ac:dyDescent="0.25">
      <c r="A632" s="27" t="s">
        <v>89</v>
      </c>
      <c r="B632" s="28"/>
      <c r="C632" s="27"/>
      <c r="D632" s="29" t="s">
        <v>238</v>
      </c>
      <c r="E632" s="30" t="s">
        <v>239</v>
      </c>
      <c r="F632" s="15" t="str">
        <f>+VLOOKUP(D632,[1]Sheet1!$D$2:$E$29166,2,0)</f>
        <v>激励器转接件</v>
      </c>
      <c r="G632" s="29" t="s">
        <v>147</v>
      </c>
      <c r="H632" s="29" t="s">
        <v>340</v>
      </c>
      <c r="I632" s="18" t="e">
        <f t="array" ref="I632">INDEX([2]Sheet1!$F$1:$AF$65808,MATCH(D632&amp;G632&amp;I$1,[2]Sheet1!$B$1:$B$65808&amp;[2]Sheet1!$D$1:$D$65808&amp;[2]Sheet1!$E$1:$E$65808,0),MATCH(H632,[2]Sheet1!$F$1:$AF$1,0))</f>
        <v>#N/A</v>
      </c>
      <c r="J632" s="29"/>
      <c r="K632" s="29">
        <v>12</v>
      </c>
      <c r="L632" s="31">
        <v>8</v>
      </c>
      <c r="M632" s="31">
        <v>8</v>
      </c>
      <c r="N632" s="32" t="s">
        <v>189</v>
      </c>
      <c r="O632" s="29"/>
      <c r="P632" s="18">
        <v>15</v>
      </c>
      <c r="Q632" s="29"/>
      <c r="R632" s="29"/>
      <c r="S632" s="31"/>
      <c r="T632" s="31"/>
      <c r="U632" s="23">
        <f t="shared" si="13"/>
        <v>3</v>
      </c>
      <c r="V632" s="33" t="s">
        <v>2</v>
      </c>
      <c r="W632" s="31" t="s">
        <v>257</v>
      </c>
      <c r="X632" s="31" t="s">
        <v>203</v>
      </c>
    </row>
    <row r="633" spans="1:24" ht="22.95" hidden="1" customHeight="1" x14ac:dyDescent="0.25">
      <c r="A633" s="1" t="s">
        <v>840</v>
      </c>
      <c r="D633" s="3" t="s">
        <v>962</v>
      </c>
      <c r="E633" s="15" t="s">
        <v>568</v>
      </c>
      <c r="F633" s="15" t="str">
        <f>+VLOOKUP(D633,[1]Sheet1!$D$2:$E$29166,2,0)</f>
        <v>雷达罩导销</v>
      </c>
      <c r="G633" s="3" t="s">
        <v>80</v>
      </c>
      <c r="H633" s="3" t="s">
        <v>340</v>
      </c>
      <c r="I633" s="18" t="e">
        <f t="array" ref="I633">INDEX([2]Sheet1!$F$1:$AF$65808,MATCH(D633&amp;G633&amp;I$1,[2]Sheet1!$B$1:$B$65808&amp;[2]Sheet1!$D$1:$D$65808&amp;[2]Sheet1!$E$1:$E$65808,0),MATCH(H633,[2]Sheet1!$F$1:$AF$1,0))</f>
        <v>#N/A</v>
      </c>
      <c r="K633" s="3">
        <v>16</v>
      </c>
      <c r="L633" s="19">
        <v>8</v>
      </c>
      <c r="M633" s="19">
        <v>8</v>
      </c>
      <c r="N633" s="5" t="s">
        <v>81</v>
      </c>
      <c r="O633" s="4"/>
      <c r="P633" s="18">
        <v>10</v>
      </c>
      <c r="Q633" s="3"/>
      <c r="R633" s="6"/>
      <c r="S633" s="22"/>
      <c r="U633" s="23">
        <f t="shared" si="13"/>
        <v>2.7</v>
      </c>
      <c r="V633" s="24" t="s">
        <v>2</v>
      </c>
      <c r="W633" s="7" t="s">
        <v>518</v>
      </c>
      <c r="X633" s="7" t="s">
        <v>203</v>
      </c>
    </row>
    <row r="634" spans="1:24" ht="22.95" hidden="1" customHeight="1" x14ac:dyDescent="0.25">
      <c r="A634" s="1" t="s">
        <v>879</v>
      </c>
      <c r="D634" s="3" t="s">
        <v>963</v>
      </c>
      <c r="E634" s="15" t="s">
        <v>964</v>
      </c>
      <c r="F634" s="15" t="str">
        <f>+VLOOKUP(D634,[1]Sheet1!$D$2:$E$29166,2,0)</f>
        <v>压板组件 Z型件</v>
      </c>
      <c r="G634" s="3" t="s">
        <v>147</v>
      </c>
      <c r="H634" s="3" t="s">
        <v>340</v>
      </c>
      <c r="I634" s="18" t="e">
        <f t="array" ref="I634">INDEX([2]Sheet1!$F$1:$AF$65808,MATCH(D634&amp;G634&amp;I$1,[2]Sheet1!$B$1:$B$65808&amp;[2]Sheet1!$D$1:$D$65808&amp;[2]Sheet1!$E$1:$E$65808,0),MATCH(H634,[2]Sheet1!$F$1:$AF$1,0))</f>
        <v>#N/A</v>
      </c>
      <c r="K634" s="3">
        <v>54</v>
      </c>
      <c r="L634" s="19">
        <v>8</v>
      </c>
      <c r="M634" s="19">
        <v>8</v>
      </c>
      <c r="O634" s="4"/>
      <c r="P634" s="18">
        <v>25</v>
      </c>
      <c r="Q634" s="3"/>
      <c r="R634" s="6"/>
      <c r="S634" s="22"/>
      <c r="U634" s="23">
        <f t="shared" si="13"/>
        <v>22.5</v>
      </c>
      <c r="V634" s="24" t="s">
        <v>2</v>
      </c>
      <c r="W634" s="7" t="s">
        <v>377</v>
      </c>
      <c r="X634" s="7" t="s">
        <v>203</v>
      </c>
    </row>
    <row r="635" spans="1:24" ht="22.95" hidden="1" customHeight="1" x14ac:dyDescent="0.25">
      <c r="A635" s="1" t="s">
        <v>840</v>
      </c>
      <c r="D635" s="3" t="s">
        <v>963</v>
      </c>
      <c r="E635" s="15" t="s">
        <v>964</v>
      </c>
      <c r="F635" s="15" t="str">
        <f>+VLOOKUP(D635,[1]Sheet1!$D$2:$E$29166,2,0)</f>
        <v>压板组件 Z型件</v>
      </c>
      <c r="G635" s="3" t="s">
        <v>147</v>
      </c>
      <c r="H635" s="3">
        <v>25</v>
      </c>
      <c r="I635" s="18" t="str">
        <f t="array" ref="I635">INDEX([2]Sheet1!$F$1:$AF$65808,MATCH(D635&amp;G635&amp;I$1,[2]Sheet1!$B$1:$B$65808&amp;[2]Sheet1!$D$1:$D$65808&amp;[2]Sheet1!$E$1:$E$65808,0),MATCH(H635,[2]Sheet1!$F$1:$AF$1,0))</f>
        <v>25/钳工</v>
      </c>
      <c r="K635" s="3">
        <v>94</v>
      </c>
      <c r="L635" s="19">
        <v>8</v>
      </c>
      <c r="M635" s="19">
        <v>8</v>
      </c>
      <c r="N635" s="5" t="s">
        <v>264</v>
      </c>
      <c r="O635" s="4"/>
      <c r="P635" s="18">
        <f t="array" ref="P635">IFERROR(INDEX([2]Sheet1!$F$1:$AF$65808,MATCH($D635&amp;$G635&amp;P$1,[2]Sheet1!$B$1:$B$65808&amp;[2]Sheet1!$D$1:$D$65808&amp;[2]Sheet1!$E$1:$E$65808,0),MATCH($H635,[2]Sheet1!$F$1:$AF$1,0)),0)</f>
        <v>20</v>
      </c>
      <c r="Q635" s="3"/>
      <c r="R635" s="6"/>
      <c r="S635" s="22"/>
      <c r="U635" s="23">
        <f t="shared" si="13"/>
        <v>31.3</v>
      </c>
      <c r="V635" s="24" t="s">
        <v>2</v>
      </c>
    </row>
    <row r="636" spans="1:24" ht="22.95" hidden="1" customHeight="1" x14ac:dyDescent="0.25">
      <c r="A636" s="1" t="s">
        <v>879</v>
      </c>
      <c r="D636" s="3" t="s">
        <v>658</v>
      </c>
      <c r="E636" s="15" t="s">
        <v>659</v>
      </c>
      <c r="F636" s="15" t="str">
        <f>+VLOOKUP(D636,[1]Sheet1!$D$2:$E$29166,2,0)</f>
        <v>角材</v>
      </c>
      <c r="G636" s="3" t="s">
        <v>46</v>
      </c>
      <c r="H636" s="3">
        <v>15</v>
      </c>
      <c r="I636" s="18" t="str">
        <f t="array" ref="I636">INDEX([2]Sheet1!$F$1:$AF$65808,MATCH(D636&amp;G636&amp;I$1,[2]Sheet1!$B$1:$B$65808&amp;[2]Sheet1!$D$1:$D$65808&amp;[2]Sheet1!$E$1:$E$65808,0),MATCH(H636,[2]Sheet1!$F$1:$AF$1,0))</f>
        <v>15/钳工</v>
      </c>
      <c r="K636" s="3">
        <v>18</v>
      </c>
      <c r="L636" s="19">
        <v>19</v>
      </c>
      <c r="M636" s="19">
        <v>30</v>
      </c>
      <c r="N636" s="5" t="s">
        <v>662</v>
      </c>
      <c r="O636" s="4"/>
      <c r="P636" s="18">
        <f t="array" ref="P636">IFERROR(INDEX([2]Sheet1!$F$1:$AF$65808,MATCH($D636&amp;$G636&amp;P$1,[2]Sheet1!$B$1:$B$65808&amp;[2]Sheet1!$D$1:$D$65808&amp;[2]Sheet1!$E$1:$E$65808,0),MATCH($H636,[2]Sheet1!$F$1:$AF$1,0)),0)</f>
        <v>20</v>
      </c>
      <c r="Q636" s="3"/>
      <c r="R636" s="6"/>
      <c r="S636" s="22"/>
      <c r="U636" s="23">
        <f t="shared" si="13"/>
        <v>6</v>
      </c>
      <c r="V636" s="24" t="s">
        <v>2</v>
      </c>
    </row>
    <row r="637" spans="1:24" ht="22.95" hidden="1" customHeight="1" x14ac:dyDescent="0.25">
      <c r="A637" s="1" t="s">
        <v>766</v>
      </c>
      <c r="D637" s="3" t="s">
        <v>841</v>
      </c>
      <c r="E637" s="15" t="s">
        <v>842</v>
      </c>
      <c r="F637" s="15" t="str">
        <f>+VLOOKUP(D637,[1]Sheet1!$D$2:$E$29166,2,0)</f>
        <v>5755横框</v>
      </c>
      <c r="G637" s="3" t="s">
        <v>114</v>
      </c>
      <c r="H637" s="3">
        <v>35</v>
      </c>
      <c r="I637" s="18" t="str">
        <f t="array" ref="I637">INDEX([2]Sheet1!$F$1:$AF$65808,MATCH(D637&amp;G637&amp;I$1,[2]Sheet1!$B$1:$B$65808&amp;[2]Sheet1!$D$1:$D$65808&amp;[2]Sheet1!$E$1:$E$65808,0),MATCH(H637,[2]Sheet1!$F$1:$AF$1,0))</f>
        <v>35/钳工</v>
      </c>
      <c r="K637" s="3">
        <v>6</v>
      </c>
      <c r="L637" s="19">
        <v>8</v>
      </c>
      <c r="M637" s="19">
        <v>8</v>
      </c>
      <c r="N637" s="5" t="s">
        <v>965</v>
      </c>
      <c r="O637" s="4"/>
      <c r="P637" s="18">
        <f t="array" ref="P637">IFERROR(INDEX([2]Sheet1!$F$1:$AF$65808,MATCH($D637&amp;$G637&amp;P$1,[2]Sheet1!$B$1:$B$65808&amp;[2]Sheet1!$D$1:$D$65808&amp;[2]Sheet1!$E$1:$E$65808,0),MATCH($H637,[2]Sheet1!$F$1:$AF$1,0)),0)</f>
        <v>120</v>
      </c>
      <c r="Q637" s="3"/>
      <c r="R637" s="6"/>
      <c r="S637" s="22"/>
      <c r="U637" s="23">
        <f t="shared" ref="U637:U662" si="14">ROUND((K637*P637+Q637*S637)/60+T637,1)</f>
        <v>12</v>
      </c>
      <c r="V637" s="24" t="s">
        <v>6</v>
      </c>
    </row>
    <row r="638" spans="1:24" ht="22.95" hidden="1" customHeight="1" x14ac:dyDescent="0.25">
      <c r="A638" s="1" t="s">
        <v>766</v>
      </c>
      <c r="D638" s="3" t="s">
        <v>841</v>
      </c>
      <c r="E638" s="15" t="s">
        <v>842</v>
      </c>
      <c r="F638" s="15" t="str">
        <f>+VLOOKUP(D638,[1]Sheet1!$D$2:$E$29166,2,0)</f>
        <v>5755横框</v>
      </c>
      <c r="G638" s="3" t="s">
        <v>114</v>
      </c>
      <c r="H638" s="3" t="s">
        <v>966</v>
      </c>
      <c r="I638" s="18" t="e">
        <f t="array" ref="I638">INDEX([2]Sheet1!$F$1:$AF$65808,MATCH(D638&amp;G638&amp;I$1,[2]Sheet1!$B$1:$B$65808&amp;[2]Sheet1!$D$1:$D$65808&amp;[2]Sheet1!$E$1:$E$65808,0),MATCH(H638,[2]Sheet1!$F$1:$AF$1,0))</f>
        <v>#N/A</v>
      </c>
      <c r="K638" s="3">
        <v>6</v>
      </c>
      <c r="L638" s="19">
        <v>30</v>
      </c>
      <c r="M638" s="19">
        <v>30</v>
      </c>
      <c r="N638" s="5" t="s">
        <v>965</v>
      </c>
      <c r="O638" s="4"/>
      <c r="P638" s="18">
        <v>30</v>
      </c>
      <c r="Q638" s="3"/>
      <c r="R638" s="6"/>
      <c r="S638" s="22"/>
      <c r="U638" s="23">
        <f t="shared" si="14"/>
        <v>3</v>
      </c>
      <c r="V638" s="24" t="s">
        <v>6</v>
      </c>
      <c r="W638" s="7" t="s">
        <v>467</v>
      </c>
      <c r="X638" s="7" t="s">
        <v>203</v>
      </c>
    </row>
    <row r="639" spans="1:24" ht="22.95" hidden="1" customHeight="1" x14ac:dyDescent="0.25">
      <c r="A639" s="1" t="s">
        <v>879</v>
      </c>
      <c r="D639" s="3" t="s">
        <v>592</v>
      </c>
      <c r="E639" s="15" t="s">
        <v>120</v>
      </c>
      <c r="F639" s="15" t="str">
        <f>+VLOOKUP(D639,[1]Sheet1!$D$2:$E$29166,2,0)</f>
        <v>支架</v>
      </c>
      <c r="G639" s="3" t="s">
        <v>51</v>
      </c>
      <c r="H639" s="3">
        <v>55</v>
      </c>
      <c r="I639" s="18" t="str">
        <f t="array" ref="I639">INDEX([2]Sheet1!$F$1:$AF$65808,MATCH(D639&amp;G639&amp;I$1,[2]Sheet1!$B$1:$B$65808&amp;[2]Sheet1!$D$1:$D$65808&amp;[2]Sheet1!$E$1:$E$65808,0),MATCH(H639,[2]Sheet1!$F$1:$AF$1,0))</f>
        <v>55/钳工</v>
      </c>
      <c r="K639" s="3">
        <v>20</v>
      </c>
      <c r="L639" s="19">
        <v>30</v>
      </c>
      <c r="M639" s="19">
        <v>30</v>
      </c>
      <c r="N639" s="5" t="s">
        <v>56</v>
      </c>
      <c r="O639" s="4"/>
      <c r="P639" s="18">
        <f t="array" ref="P639">IFERROR(INDEX([2]Sheet1!$F$1:$AF$65808,MATCH($D639&amp;$G639&amp;P$1,[2]Sheet1!$B$1:$B$65808&amp;[2]Sheet1!$D$1:$D$65808&amp;[2]Sheet1!$E$1:$E$65808,0),MATCH($H639,[2]Sheet1!$F$1:$AF$1,0)),0)</f>
        <v>30</v>
      </c>
      <c r="Q639" s="3"/>
      <c r="R639" s="6"/>
      <c r="S639" s="22"/>
      <c r="U639" s="23">
        <f t="shared" si="14"/>
        <v>10</v>
      </c>
      <c r="V639" s="24" t="s">
        <v>6</v>
      </c>
    </row>
    <row r="640" spans="1:24" ht="22.95" hidden="1" customHeight="1" x14ac:dyDescent="0.25">
      <c r="A640" s="1" t="s">
        <v>879</v>
      </c>
      <c r="D640" s="3" t="s">
        <v>592</v>
      </c>
      <c r="E640" s="15" t="s">
        <v>120</v>
      </c>
      <c r="F640" s="15" t="str">
        <f>+VLOOKUP(D640,[1]Sheet1!$D$2:$E$29166,2,0)</f>
        <v>支架</v>
      </c>
      <c r="G640" s="3" t="s">
        <v>51</v>
      </c>
      <c r="H640" s="3">
        <v>55</v>
      </c>
      <c r="I640" s="18" t="str">
        <f t="array" ref="I640">INDEX([2]Sheet1!$F$1:$AF$65808,MATCH(D640&amp;G640&amp;I$1,[2]Sheet1!$B$1:$B$65808&amp;[2]Sheet1!$D$1:$D$65808&amp;[2]Sheet1!$E$1:$E$65808,0),MATCH(H640,[2]Sheet1!$F$1:$AF$1,0))</f>
        <v>55/钳工</v>
      </c>
      <c r="K640" s="3">
        <v>6</v>
      </c>
      <c r="L640" s="19">
        <v>30</v>
      </c>
      <c r="M640" s="19">
        <v>30</v>
      </c>
      <c r="N640" s="5" t="s">
        <v>357</v>
      </c>
      <c r="O640" s="4"/>
      <c r="P640" s="18">
        <f t="array" ref="P640">IFERROR(INDEX([2]Sheet1!$F$1:$AF$65808,MATCH($D640&amp;$G640&amp;P$1,[2]Sheet1!$B$1:$B$65808&amp;[2]Sheet1!$D$1:$D$65808&amp;[2]Sheet1!$E$1:$E$65808,0),MATCH($H640,[2]Sheet1!$F$1:$AF$1,0)),0)</f>
        <v>30</v>
      </c>
      <c r="Q640" s="3"/>
      <c r="R640" s="6"/>
      <c r="S640" s="22"/>
      <c r="U640" s="23">
        <f t="shared" si="14"/>
        <v>3</v>
      </c>
      <c r="V640" s="24" t="s">
        <v>6</v>
      </c>
    </row>
    <row r="641" spans="1:24" ht="22.95" hidden="1" customHeight="1" x14ac:dyDescent="0.25">
      <c r="A641" s="1" t="s">
        <v>879</v>
      </c>
      <c r="D641" s="3" t="s">
        <v>592</v>
      </c>
      <c r="E641" s="15" t="s">
        <v>120</v>
      </c>
      <c r="F641" s="15" t="str">
        <f>+VLOOKUP(D641,[1]Sheet1!$D$2:$E$29166,2,0)</f>
        <v>支架</v>
      </c>
      <c r="G641" s="3" t="s">
        <v>51</v>
      </c>
      <c r="H641" s="3">
        <v>55</v>
      </c>
      <c r="I641" s="18" t="str">
        <f t="array" ref="I641">INDEX([2]Sheet1!$F$1:$AF$65808,MATCH(D641&amp;G641&amp;I$1,[2]Sheet1!$B$1:$B$65808&amp;[2]Sheet1!$D$1:$D$65808&amp;[2]Sheet1!$E$1:$E$65808,0),MATCH(H641,[2]Sheet1!$F$1:$AF$1,0))</f>
        <v>55/钳工</v>
      </c>
      <c r="K641" s="3">
        <v>5</v>
      </c>
      <c r="L641" s="19">
        <v>30</v>
      </c>
      <c r="M641" s="19">
        <v>30</v>
      </c>
      <c r="N641" s="5" t="s">
        <v>376</v>
      </c>
      <c r="O641" s="4"/>
      <c r="P641" s="18">
        <f t="array" ref="P641">IFERROR(INDEX([2]Sheet1!$F$1:$AF$65808,MATCH($D641&amp;$G641&amp;P$1,[2]Sheet1!$B$1:$B$65808&amp;[2]Sheet1!$D$1:$D$65808&amp;[2]Sheet1!$E$1:$E$65808,0),MATCH($H641,[2]Sheet1!$F$1:$AF$1,0)),0)</f>
        <v>30</v>
      </c>
      <c r="Q641" s="3"/>
      <c r="R641" s="6"/>
      <c r="S641" s="22"/>
      <c r="U641" s="23">
        <f t="shared" si="14"/>
        <v>2.5</v>
      </c>
      <c r="V641" s="24" t="s">
        <v>6</v>
      </c>
    </row>
    <row r="642" spans="1:24" ht="22.95" hidden="1" customHeight="1" x14ac:dyDescent="0.25">
      <c r="A642" s="1" t="s">
        <v>879</v>
      </c>
      <c r="D642" s="3" t="s">
        <v>592</v>
      </c>
      <c r="E642" s="15" t="s">
        <v>120</v>
      </c>
      <c r="F642" s="15" t="str">
        <f>+VLOOKUP(D642,[1]Sheet1!$D$2:$E$29166,2,0)</f>
        <v>支架</v>
      </c>
      <c r="G642" s="3" t="s">
        <v>51</v>
      </c>
      <c r="H642" s="3" t="s">
        <v>340</v>
      </c>
      <c r="I642" s="18" t="e">
        <f t="array" ref="I642">INDEX([2]Sheet1!$F$1:$AF$65808,MATCH(D642&amp;G642&amp;I$1,[2]Sheet1!$B$1:$B$65808&amp;[2]Sheet1!$D$1:$D$65808&amp;[2]Sheet1!$E$1:$E$65808,0),MATCH(H642,[2]Sheet1!$F$1:$AF$1,0))</f>
        <v>#N/A</v>
      </c>
      <c r="K642" s="3">
        <v>31</v>
      </c>
      <c r="L642" s="19">
        <v>30</v>
      </c>
      <c r="M642" s="19">
        <v>30</v>
      </c>
      <c r="N642" s="5" t="s">
        <v>967</v>
      </c>
      <c r="O642" s="4"/>
      <c r="P642" s="18">
        <v>10</v>
      </c>
      <c r="Q642" s="3"/>
      <c r="R642" s="6"/>
      <c r="S642" s="22"/>
      <c r="U642" s="23">
        <f t="shared" si="14"/>
        <v>5.2</v>
      </c>
      <c r="V642" s="24" t="s">
        <v>6</v>
      </c>
      <c r="W642" s="7" t="s">
        <v>518</v>
      </c>
      <c r="X642" s="7" t="s">
        <v>203</v>
      </c>
    </row>
    <row r="643" spans="1:24" ht="22.95" hidden="1" customHeight="1" x14ac:dyDescent="0.25">
      <c r="A643" s="1" t="s">
        <v>879</v>
      </c>
      <c r="D643" s="3" t="s">
        <v>968</v>
      </c>
      <c r="E643" s="15" t="s">
        <v>755</v>
      </c>
      <c r="F643" s="15" t="str">
        <f>+VLOOKUP(D643,[1]Sheet1!$D$2:$E$29166,2,0)</f>
        <v>加强件</v>
      </c>
      <c r="G643" s="3" t="s">
        <v>80</v>
      </c>
      <c r="H643" s="3">
        <v>25</v>
      </c>
      <c r="I643" s="18" t="str">
        <f t="array" ref="I643">INDEX([2]Sheet1!$F$1:$AF$65808,MATCH(D643&amp;G643&amp;I$1,[2]Sheet1!$B$1:$B$65808&amp;[2]Sheet1!$D$1:$D$65808&amp;[2]Sheet1!$E$1:$E$65808,0),MATCH(H643,[2]Sheet1!$F$1:$AF$1,0))</f>
        <v>25/钳工</v>
      </c>
      <c r="K643" s="3">
        <v>2</v>
      </c>
      <c r="L643" s="19">
        <v>30</v>
      </c>
      <c r="M643" s="19">
        <v>30</v>
      </c>
      <c r="N643" s="5" t="s">
        <v>81</v>
      </c>
      <c r="O643" s="4"/>
      <c r="P643" s="18">
        <f t="array" ref="P643">IFERROR(INDEX([2]Sheet1!$F$1:$AF$65808,MATCH($D643&amp;$G643&amp;P$1,[2]Sheet1!$B$1:$B$65808&amp;[2]Sheet1!$D$1:$D$65808&amp;[2]Sheet1!$E$1:$E$65808,0),MATCH($H643,[2]Sheet1!$F$1:$AF$1,0)),0)</f>
        <v>20</v>
      </c>
      <c r="Q643" s="3"/>
      <c r="R643" s="6"/>
      <c r="S643" s="22"/>
      <c r="U643" s="23">
        <f t="shared" si="14"/>
        <v>0.7</v>
      </c>
      <c r="V643" s="24" t="s">
        <v>6</v>
      </c>
    </row>
    <row r="644" spans="1:24" ht="22.95" hidden="1" customHeight="1" x14ac:dyDescent="0.25">
      <c r="A644" s="1" t="s">
        <v>766</v>
      </c>
      <c r="D644" s="3" t="s">
        <v>896</v>
      </c>
      <c r="E644" s="15" t="s">
        <v>717</v>
      </c>
      <c r="F644" s="15" t="str">
        <f>+VLOOKUP(D644,[1]Sheet1!$D$2:$E$29166,2,0)</f>
        <v>耳环螺栓</v>
      </c>
      <c r="G644" s="3" t="s">
        <v>64</v>
      </c>
      <c r="H644" s="3">
        <v>15</v>
      </c>
      <c r="I644" s="18" t="str">
        <f t="array" ref="I644">INDEX([2]Sheet1!$F$1:$AF$65808,MATCH(D644&amp;G644&amp;I$1,[2]Sheet1!$B$1:$B$65808&amp;[2]Sheet1!$D$1:$D$65808&amp;[2]Sheet1!$E$1:$E$65808,0),MATCH(H644,[2]Sheet1!$F$1:$AF$1,0))</f>
        <v>15/钳工</v>
      </c>
      <c r="K644" s="3">
        <v>21</v>
      </c>
      <c r="L644" s="19">
        <v>8</v>
      </c>
      <c r="M644" s="19">
        <v>8</v>
      </c>
      <c r="N644" s="5" t="s">
        <v>897</v>
      </c>
      <c r="O644" s="4"/>
      <c r="P644" s="18">
        <f t="array" ref="P644">IFERROR(INDEX([2]Sheet1!$F$1:$AF$65808,MATCH($D644&amp;$G644&amp;P$1,[2]Sheet1!$B$1:$B$65808&amp;[2]Sheet1!$D$1:$D$65808&amp;[2]Sheet1!$E$1:$E$65808,0),MATCH($H644,[2]Sheet1!$F$1:$AF$1,0)),0)</f>
        <v>15</v>
      </c>
      <c r="Q644" s="3"/>
      <c r="R644" s="6"/>
      <c r="S644" s="22"/>
      <c r="U644" s="23">
        <f t="shared" si="14"/>
        <v>5.3</v>
      </c>
      <c r="V644" s="24" t="s">
        <v>13</v>
      </c>
    </row>
    <row r="645" spans="1:24" ht="22.95" hidden="1" customHeight="1" x14ac:dyDescent="0.25">
      <c r="A645" s="1" t="s">
        <v>766</v>
      </c>
      <c r="D645" s="3" t="s">
        <v>962</v>
      </c>
      <c r="E645" s="15" t="s">
        <v>969</v>
      </c>
      <c r="F645" s="15" t="str">
        <f>+VLOOKUP(D645,[1]Sheet1!$D$2:$E$29166,2,0)</f>
        <v>雷达罩导销</v>
      </c>
      <c r="G645" s="3" t="s">
        <v>80</v>
      </c>
      <c r="H645" s="3">
        <v>50</v>
      </c>
      <c r="I645" s="18" t="str">
        <f t="array" ref="I645">INDEX([2]Sheet1!$F$1:$AF$65808,MATCH(D645&amp;G645&amp;I$1,[2]Sheet1!$B$1:$B$65808&amp;[2]Sheet1!$D$1:$D$65808&amp;[2]Sheet1!$E$1:$E$65808,0),MATCH(H645,[2]Sheet1!$F$1:$AF$1,0))</f>
        <v>50钳工</v>
      </c>
      <c r="K645" s="3">
        <v>16</v>
      </c>
      <c r="L645" s="19">
        <v>8</v>
      </c>
      <c r="M645" s="19">
        <v>8</v>
      </c>
      <c r="N645" s="5" t="s">
        <v>81</v>
      </c>
      <c r="O645" s="4"/>
      <c r="P645" s="18">
        <f t="array" ref="P645">IFERROR(INDEX([2]Sheet1!$F$1:$AF$65808,MATCH($D645&amp;$G645&amp;P$1,[2]Sheet1!$B$1:$B$65808&amp;[2]Sheet1!$D$1:$D$65808&amp;[2]Sheet1!$E$1:$E$65808,0),MATCH($H645,[2]Sheet1!$F$1:$AF$1,0)),0)</f>
        <v>20</v>
      </c>
      <c r="Q645" s="3"/>
      <c r="R645" s="6"/>
      <c r="S645" s="22"/>
      <c r="U645" s="23">
        <f t="shared" si="14"/>
        <v>5.3</v>
      </c>
      <c r="V645" s="24" t="s">
        <v>13</v>
      </c>
    </row>
    <row r="646" spans="1:24" ht="22.95" hidden="1" customHeight="1" x14ac:dyDescent="0.25">
      <c r="A646" s="1" t="s">
        <v>840</v>
      </c>
      <c r="D646" s="3" t="s">
        <v>970</v>
      </c>
      <c r="E646" s="15" t="s">
        <v>762</v>
      </c>
      <c r="F646" s="15" t="str">
        <f>+VLOOKUP(D646,[1]Sheet1!$D$2:$E$29166,2,0)</f>
        <v>垫板</v>
      </c>
      <c r="G646" s="3" t="s">
        <v>64</v>
      </c>
      <c r="H646" s="3">
        <v>15</v>
      </c>
      <c r="I646" s="18" t="str">
        <f t="array" ref="I646">INDEX([2]Sheet1!$F$1:$AF$65808,MATCH(D646&amp;G646&amp;I$1,[2]Sheet1!$B$1:$B$65808&amp;[2]Sheet1!$D$1:$D$65808&amp;[2]Sheet1!$E$1:$E$65808,0),MATCH(H646,[2]Sheet1!$F$1:$AF$1,0))</f>
        <v>15钳工</v>
      </c>
      <c r="K646" s="3">
        <v>3</v>
      </c>
      <c r="L646" s="19">
        <v>8</v>
      </c>
      <c r="M646" s="19">
        <v>8</v>
      </c>
      <c r="N646" s="5" t="s">
        <v>971</v>
      </c>
      <c r="O646" s="4"/>
      <c r="P646" s="18">
        <f t="array" ref="P646">IFERROR(INDEX([2]Sheet1!$F$1:$AF$65808,MATCH($D646&amp;$G646&amp;P$1,[2]Sheet1!$B$1:$B$65808&amp;[2]Sheet1!$D$1:$D$65808&amp;[2]Sheet1!$E$1:$E$65808,0),MATCH($H646,[2]Sheet1!$F$1:$AF$1,0)),0)</f>
        <v>45</v>
      </c>
      <c r="Q646" s="3"/>
      <c r="R646" s="6"/>
      <c r="S646" s="22"/>
      <c r="U646" s="23">
        <f t="shared" si="14"/>
        <v>2.2999999999999998</v>
      </c>
      <c r="V646" s="24" t="s">
        <v>13</v>
      </c>
    </row>
    <row r="647" spans="1:24" ht="22.95" hidden="1" customHeight="1" x14ac:dyDescent="0.25">
      <c r="A647" s="1" t="s">
        <v>840</v>
      </c>
      <c r="D647" s="3" t="s">
        <v>970</v>
      </c>
      <c r="E647" s="15" t="s">
        <v>762</v>
      </c>
      <c r="F647" s="15" t="str">
        <f>+VLOOKUP(D647,[1]Sheet1!$D$2:$E$29166,2,0)</f>
        <v>垫板</v>
      </c>
      <c r="G647" s="3" t="s">
        <v>64</v>
      </c>
      <c r="H647" s="3">
        <v>15</v>
      </c>
      <c r="I647" s="18" t="str">
        <f t="array" ref="I647">INDEX([2]Sheet1!$F$1:$AF$65808,MATCH(D647&amp;G647&amp;I$1,[2]Sheet1!$B$1:$B$65808&amp;[2]Sheet1!$D$1:$D$65808&amp;[2]Sheet1!$E$1:$E$65808,0),MATCH(H647,[2]Sheet1!$F$1:$AF$1,0))</f>
        <v>15钳工</v>
      </c>
      <c r="K647" s="3">
        <v>1</v>
      </c>
      <c r="L647" s="19">
        <v>8</v>
      </c>
      <c r="M647" s="19">
        <v>8</v>
      </c>
      <c r="N647" s="5" t="s">
        <v>81</v>
      </c>
      <c r="O647" s="4"/>
      <c r="P647" s="18">
        <f t="array" ref="P647">IFERROR(INDEX([2]Sheet1!$F$1:$AF$65808,MATCH($D647&amp;$G647&amp;P$1,[2]Sheet1!$B$1:$B$65808&amp;[2]Sheet1!$D$1:$D$65808&amp;[2]Sheet1!$E$1:$E$65808,0),MATCH($H647,[2]Sheet1!$F$1:$AF$1,0)),0)</f>
        <v>45</v>
      </c>
      <c r="Q647" s="3"/>
      <c r="R647" s="6"/>
      <c r="S647" s="22"/>
      <c r="U647" s="23">
        <f t="shared" si="14"/>
        <v>0.8</v>
      </c>
      <c r="V647" s="24" t="s">
        <v>13</v>
      </c>
    </row>
    <row r="648" spans="1:24" ht="22.95" hidden="1" customHeight="1" x14ac:dyDescent="0.25">
      <c r="A648" s="1" t="s">
        <v>840</v>
      </c>
      <c r="D648" s="3" t="s">
        <v>970</v>
      </c>
      <c r="E648" s="15" t="s">
        <v>762</v>
      </c>
      <c r="F648" s="15" t="str">
        <f>+VLOOKUP(D648,[1]Sheet1!$D$2:$E$29166,2,0)</f>
        <v>垫板</v>
      </c>
      <c r="G648" s="3" t="s">
        <v>64</v>
      </c>
      <c r="H648" s="3">
        <v>15</v>
      </c>
      <c r="I648" s="18" t="str">
        <f t="array" ref="I648">INDEX([2]Sheet1!$F$1:$AF$65808,MATCH(D648&amp;G648&amp;I$1,[2]Sheet1!$B$1:$B$65808&amp;[2]Sheet1!$D$1:$D$65808&amp;[2]Sheet1!$E$1:$E$65808,0),MATCH(H648,[2]Sheet1!$F$1:$AF$1,0))</f>
        <v>15钳工</v>
      </c>
      <c r="K648" s="3">
        <v>1</v>
      </c>
      <c r="L648" s="19">
        <v>8</v>
      </c>
      <c r="M648" s="19">
        <v>8</v>
      </c>
      <c r="N648" s="5" t="s">
        <v>952</v>
      </c>
      <c r="O648" s="4"/>
      <c r="P648" s="18">
        <f t="array" ref="P648">IFERROR(INDEX([2]Sheet1!$F$1:$AF$65808,MATCH($D648&amp;$G648&amp;P$1,[2]Sheet1!$B$1:$B$65808&amp;[2]Sheet1!$D$1:$D$65808&amp;[2]Sheet1!$E$1:$E$65808,0),MATCH($H648,[2]Sheet1!$F$1:$AF$1,0)),0)</f>
        <v>45</v>
      </c>
      <c r="Q648" s="3"/>
      <c r="R648" s="6"/>
      <c r="S648" s="22"/>
      <c r="U648" s="23">
        <f t="shared" si="14"/>
        <v>0.8</v>
      </c>
      <c r="V648" s="24" t="s">
        <v>13</v>
      </c>
    </row>
    <row r="649" spans="1:24" ht="22.95" hidden="1" customHeight="1" x14ac:dyDescent="0.25">
      <c r="A649" s="1" t="s">
        <v>840</v>
      </c>
      <c r="D649" s="3" t="s">
        <v>970</v>
      </c>
      <c r="E649" s="15" t="s">
        <v>762</v>
      </c>
      <c r="F649" s="15" t="str">
        <f>+VLOOKUP(D649,[1]Sheet1!$D$2:$E$29166,2,0)</f>
        <v>垫板</v>
      </c>
      <c r="G649" s="3" t="s">
        <v>64</v>
      </c>
      <c r="H649" s="3">
        <v>15</v>
      </c>
      <c r="I649" s="18" t="str">
        <f t="array" ref="I649">INDEX([2]Sheet1!$F$1:$AF$65808,MATCH(D649&amp;G649&amp;I$1,[2]Sheet1!$B$1:$B$65808&amp;[2]Sheet1!$D$1:$D$65808&amp;[2]Sheet1!$E$1:$E$65808,0),MATCH(H649,[2]Sheet1!$F$1:$AF$1,0))</f>
        <v>15钳工</v>
      </c>
      <c r="K649" s="3">
        <v>3</v>
      </c>
      <c r="L649" s="19">
        <v>8</v>
      </c>
      <c r="M649" s="19">
        <v>8</v>
      </c>
      <c r="N649" s="5" t="s">
        <v>972</v>
      </c>
      <c r="O649" s="4"/>
      <c r="P649" s="18">
        <f t="array" ref="P649">IFERROR(INDEX([2]Sheet1!$F$1:$AF$65808,MATCH($D649&amp;$G649&amp;P$1,[2]Sheet1!$B$1:$B$65808&amp;[2]Sheet1!$D$1:$D$65808&amp;[2]Sheet1!$E$1:$E$65808,0),MATCH($H649,[2]Sheet1!$F$1:$AF$1,0)),0)</f>
        <v>45</v>
      </c>
      <c r="Q649" s="3"/>
      <c r="R649" s="6"/>
      <c r="S649" s="22"/>
      <c r="U649" s="23">
        <f t="shared" si="14"/>
        <v>2.2999999999999998</v>
      </c>
      <c r="V649" s="24" t="s">
        <v>13</v>
      </c>
    </row>
    <row r="650" spans="1:24" ht="22.95" hidden="1" customHeight="1" x14ac:dyDescent="0.25">
      <c r="A650" s="1" t="s">
        <v>879</v>
      </c>
      <c r="D650" s="3" t="s">
        <v>903</v>
      </c>
      <c r="E650" s="15" t="s">
        <v>904</v>
      </c>
      <c r="F650" s="15" t="str">
        <f>+VLOOKUP(D650,[1]Sheet1!$D$2:$E$29166,2,0)</f>
        <v>凸台</v>
      </c>
      <c r="G650" s="3" t="s">
        <v>51</v>
      </c>
      <c r="H650" s="3">
        <v>20</v>
      </c>
      <c r="I650" s="18" t="str">
        <f t="array" ref="I650">INDEX([2]Sheet1!$F$1:$AF$65808,MATCH(D650&amp;G650&amp;I$1,[2]Sheet1!$B$1:$B$65808&amp;[2]Sheet1!$D$1:$D$65808&amp;[2]Sheet1!$E$1:$E$65808,0),MATCH(H650,[2]Sheet1!$F$1:$AF$1,0))</f>
        <v>20/钳工</v>
      </c>
      <c r="K650" s="3">
        <v>63</v>
      </c>
      <c r="L650" s="19">
        <v>8</v>
      </c>
      <c r="M650" s="19">
        <v>8</v>
      </c>
      <c r="N650" s="5" t="s">
        <v>700</v>
      </c>
      <c r="O650" s="4"/>
      <c r="P650" s="18">
        <f t="array" ref="P650">IFERROR(INDEX([2]Sheet1!$F$1:$AF$65808,MATCH($D650&amp;$G650&amp;P$1,[2]Sheet1!$B$1:$B$65808&amp;[2]Sheet1!$D$1:$D$65808&amp;[2]Sheet1!$E$1:$E$65808,0),MATCH($H650,[2]Sheet1!$F$1:$AF$1,0)),0)</f>
        <v>10</v>
      </c>
      <c r="Q650" s="3"/>
      <c r="R650" s="6"/>
      <c r="S650" s="22"/>
      <c r="U650" s="23">
        <f t="shared" si="14"/>
        <v>10.5</v>
      </c>
      <c r="V650" s="24" t="s">
        <v>13</v>
      </c>
    </row>
    <row r="651" spans="1:24" ht="22.95" hidden="1" customHeight="1" x14ac:dyDescent="0.25">
      <c r="A651" s="1" t="s">
        <v>764</v>
      </c>
      <c r="D651" s="3" t="s">
        <v>695</v>
      </c>
      <c r="E651" s="15" t="s">
        <v>696</v>
      </c>
      <c r="F651" s="15" t="str">
        <f>+VLOOKUP(D651,[1]Sheet1!$D$2:$E$29166,2,0)</f>
        <v>回收锁销接头</v>
      </c>
      <c r="G651" s="3" t="s">
        <v>80</v>
      </c>
      <c r="H651" s="3">
        <v>30</v>
      </c>
      <c r="I651" s="18" t="str">
        <f t="array" ref="I651">INDEX([2]Sheet1!$F$1:$AF$65808,MATCH(D651&amp;G651&amp;I$1,[2]Sheet1!$B$1:$B$65808&amp;[2]Sheet1!$D$1:$D$65808&amp;[2]Sheet1!$E$1:$E$65808,0),MATCH(H651,[2]Sheet1!$F$1:$AF$1,0))</f>
        <v>30钳工</v>
      </c>
      <c r="K651" s="3">
        <v>8</v>
      </c>
      <c r="L651" s="19">
        <v>8</v>
      </c>
      <c r="M651" s="19">
        <v>8</v>
      </c>
      <c r="N651" s="5" t="s">
        <v>81</v>
      </c>
      <c r="O651" s="4"/>
      <c r="P651" s="18">
        <f t="array" ref="P651">IFERROR(INDEX([2]Sheet1!$F$1:$AF$65808,MATCH($D651&amp;$G651&amp;P$1,[2]Sheet1!$B$1:$B$65808&amp;[2]Sheet1!$D$1:$D$65808&amp;[2]Sheet1!$E$1:$E$65808,0),MATCH($H651,[2]Sheet1!$F$1:$AF$1,0)),0)</f>
        <v>25</v>
      </c>
      <c r="Q651" s="3"/>
      <c r="R651" s="6"/>
      <c r="S651" s="22"/>
      <c r="U651" s="23">
        <f t="shared" si="14"/>
        <v>3.3</v>
      </c>
      <c r="V651" s="24" t="s">
        <v>9</v>
      </c>
    </row>
    <row r="652" spans="1:24" ht="22.95" hidden="1" customHeight="1" x14ac:dyDescent="0.25">
      <c r="A652" s="1" t="s">
        <v>766</v>
      </c>
      <c r="D652" s="3" t="s">
        <v>973</v>
      </c>
      <c r="E652" s="15" t="s">
        <v>55</v>
      </c>
      <c r="F652" s="15" t="str">
        <f>+VLOOKUP(D652,[1]Sheet1!$D$2:$E$29166,2,0)</f>
        <v>接头</v>
      </c>
      <c r="G652" s="3" t="s">
        <v>290</v>
      </c>
      <c r="H652" s="3">
        <v>30</v>
      </c>
      <c r="I652" s="18" t="str">
        <f t="array" ref="I652">INDEX([2]Sheet1!$F$1:$AF$65808,MATCH(D652&amp;G652&amp;I$1,[2]Sheet1!$B$1:$B$65808&amp;[2]Sheet1!$D$1:$D$65808&amp;[2]Sheet1!$E$1:$E$65808,0),MATCH(H652,[2]Sheet1!$F$1:$AF$1,0))</f>
        <v>30/钳工</v>
      </c>
      <c r="K652" s="3">
        <v>38</v>
      </c>
      <c r="L652" s="19">
        <v>8</v>
      </c>
      <c r="M652" s="19">
        <v>8</v>
      </c>
      <c r="N652" s="5" t="s">
        <v>264</v>
      </c>
      <c r="O652" s="4"/>
      <c r="P652" s="18">
        <f t="array" ref="P652">IFERROR(INDEX([2]Sheet1!$F$1:$AF$65808,MATCH($D652&amp;$G652&amp;P$1,[2]Sheet1!$B$1:$B$65808&amp;[2]Sheet1!$D$1:$D$65808&amp;[2]Sheet1!$E$1:$E$65808,0),MATCH($H652,[2]Sheet1!$F$1:$AF$1,0)),0)</f>
        <v>30</v>
      </c>
      <c r="Q652" s="3"/>
      <c r="R652" s="6"/>
      <c r="S652" s="22"/>
      <c r="U652" s="23">
        <f t="shared" si="14"/>
        <v>19</v>
      </c>
      <c r="V652" s="24" t="s">
        <v>9</v>
      </c>
    </row>
    <row r="653" spans="1:24" ht="22.95" hidden="1" customHeight="1" x14ac:dyDescent="0.25">
      <c r="A653" s="1" t="s">
        <v>840</v>
      </c>
      <c r="D653" s="3" t="s">
        <v>974</v>
      </c>
      <c r="E653" s="15" t="s">
        <v>170</v>
      </c>
      <c r="F653" s="15" t="str">
        <f>+VLOOKUP(D653,[1]Sheet1!$D$2:$E$29166,2,0)</f>
        <v>衬套</v>
      </c>
      <c r="G653" s="3" t="s">
        <v>80</v>
      </c>
      <c r="H653" s="3">
        <v>10</v>
      </c>
      <c r="I653" s="18" t="str">
        <f t="array" ref="I653">INDEX([2]Sheet1!$F$1:$AF$65808,MATCH(D653&amp;G653&amp;I$1,[2]Sheet1!$B$1:$B$65808&amp;[2]Sheet1!$D$1:$D$65808&amp;[2]Sheet1!$E$1:$E$65808,0),MATCH(H653,[2]Sheet1!$F$1:$AF$1,0))</f>
        <v>10钳工</v>
      </c>
      <c r="K653" s="3">
        <v>3</v>
      </c>
      <c r="L653" s="19">
        <v>8</v>
      </c>
      <c r="M653" s="19">
        <v>8</v>
      </c>
      <c r="N653" s="5" t="s">
        <v>95</v>
      </c>
      <c r="O653" s="4"/>
      <c r="P653" s="18">
        <f t="array" ref="P653">IFERROR(INDEX([2]Sheet1!$F$1:$AF$65808,MATCH($D653&amp;$G653&amp;P$1,[2]Sheet1!$B$1:$B$65808&amp;[2]Sheet1!$D$1:$D$65808&amp;[2]Sheet1!$E$1:$E$65808,0),MATCH($H653,[2]Sheet1!$F$1:$AF$1,0)),0)</f>
        <v>4</v>
      </c>
      <c r="Q653" s="3"/>
      <c r="R653" s="6"/>
      <c r="S653" s="22"/>
      <c r="U653" s="23">
        <f t="shared" si="14"/>
        <v>0.2</v>
      </c>
      <c r="V653" s="24" t="s">
        <v>9</v>
      </c>
      <c r="W653" s="7" t="s">
        <v>975</v>
      </c>
    </row>
    <row r="654" spans="1:24" ht="22.95" hidden="1" customHeight="1" x14ac:dyDescent="0.25">
      <c r="A654" s="1" t="s">
        <v>840</v>
      </c>
      <c r="D654" s="3" t="s">
        <v>658</v>
      </c>
      <c r="E654" s="15" t="s">
        <v>659</v>
      </c>
      <c r="F654" s="15" t="str">
        <f>+VLOOKUP(D654,[1]Sheet1!$D$2:$E$29166,2,0)</f>
        <v>角材</v>
      </c>
      <c r="G654" s="3" t="s">
        <v>46</v>
      </c>
      <c r="H654" s="3">
        <v>15</v>
      </c>
      <c r="I654" s="18" t="str">
        <f t="array" ref="I654">INDEX([2]Sheet1!$F$1:$AF$65808,MATCH(D654&amp;G654&amp;I$1,[2]Sheet1!$B$1:$B$65808&amp;[2]Sheet1!$D$1:$D$65808&amp;[2]Sheet1!$E$1:$E$65808,0),MATCH(H654,[2]Sheet1!$F$1:$AF$1,0))</f>
        <v>15/钳工</v>
      </c>
      <c r="K654" s="3">
        <v>46</v>
      </c>
      <c r="L654" s="19">
        <v>8</v>
      </c>
      <c r="M654" s="19">
        <v>8</v>
      </c>
      <c r="N654" s="5" t="s">
        <v>976</v>
      </c>
      <c r="O654" s="4"/>
      <c r="P654" s="18">
        <f t="array" ref="P654">IFERROR(INDEX([2]Sheet1!$F$1:$AF$65808,MATCH($D654&amp;$G654&amp;P$1,[2]Sheet1!$B$1:$B$65808&amp;[2]Sheet1!$D$1:$D$65808&amp;[2]Sheet1!$E$1:$E$65808,0),MATCH($H654,[2]Sheet1!$F$1:$AF$1,0)),0)</f>
        <v>20</v>
      </c>
      <c r="Q654" s="3"/>
      <c r="R654" s="6"/>
      <c r="S654" s="22"/>
      <c r="U654" s="23">
        <f t="shared" si="14"/>
        <v>15.3</v>
      </c>
      <c r="V654" s="24" t="s">
        <v>9</v>
      </c>
    </row>
    <row r="655" spans="1:24" ht="22.95" hidden="1" customHeight="1" x14ac:dyDescent="0.25">
      <c r="A655" s="1" t="s">
        <v>879</v>
      </c>
      <c r="D655" s="3" t="s">
        <v>977</v>
      </c>
      <c r="E655" s="15" t="s">
        <v>978</v>
      </c>
      <c r="F655" s="15" t="str">
        <f>+VLOOKUP(D655,[1]Sheet1!$D$2:$E$29166,2,0)</f>
        <v>心轴</v>
      </c>
      <c r="G655" s="3" t="s">
        <v>80</v>
      </c>
      <c r="H655" s="3">
        <v>10</v>
      </c>
      <c r="I655" s="18" t="str">
        <f t="array" ref="I655">INDEX([2]Sheet1!$F$1:$AF$65808,MATCH(D655&amp;G655&amp;I$1,[2]Sheet1!$B$1:$B$65808&amp;[2]Sheet1!$D$1:$D$65808&amp;[2]Sheet1!$E$1:$E$65808,0),MATCH(H655,[2]Sheet1!$F$1:$AF$1,0))</f>
        <v>10钳工</v>
      </c>
      <c r="K655" s="3">
        <v>2</v>
      </c>
      <c r="L655" s="19">
        <v>8</v>
      </c>
      <c r="M655" s="19">
        <v>8</v>
      </c>
      <c r="N655" s="5" t="s">
        <v>95</v>
      </c>
      <c r="O655" s="4"/>
      <c r="P655" s="18">
        <f t="array" ref="P655">IFERROR(INDEX([2]Sheet1!$F$1:$AF$65808,MATCH($D655&amp;$G655&amp;P$1,[2]Sheet1!$B$1:$B$65808&amp;[2]Sheet1!$D$1:$D$65808&amp;[2]Sheet1!$E$1:$E$65808,0),MATCH($H655,[2]Sheet1!$F$1:$AF$1,0)),0)</f>
        <v>4</v>
      </c>
      <c r="Q655" s="3"/>
      <c r="R655" s="6"/>
      <c r="S655" s="22"/>
      <c r="U655" s="23">
        <f t="shared" si="14"/>
        <v>0.1</v>
      </c>
      <c r="V655" s="24" t="s">
        <v>9</v>
      </c>
    </row>
    <row r="656" spans="1:24" ht="22.95" hidden="1" customHeight="1" x14ac:dyDescent="0.25">
      <c r="A656" s="1" t="s">
        <v>879</v>
      </c>
      <c r="D656" s="3" t="s">
        <v>979</v>
      </c>
      <c r="E656" s="15" t="s">
        <v>755</v>
      </c>
      <c r="F656" s="15" t="str">
        <f>+VLOOKUP(D656,[1]Sheet1!$D$2:$E$29166,2,0)</f>
        <v>10060下接头</v>
      </c>
      <c r="G656" s="3" t="s">
        <v>51</v>
      </c>
      <c r="H656" s="3">
        <v>40</v>
      </c>
      <c r="I656" s="18" t="str">
        <f t="array" ref="I656">INDEX([2]Sheet1!$F$1:$AF$65808,MATCH(D656&amp;G656&amp;I$1,[2]Sheet1!$B$1:$B$65808&amp;[2]Sheet1!$D$1:$D$65808&amp;[2]Sheet1!$E$1:$E$65808,0),MATCH(H656,[2]Sheet1!$F$1:$AF$1,0))</f>
        <v>40/钳工</v>
      </c>
      <c r="K656" s="3">
        <v>6</v>
      </c>
      <c r="L656" s="19">
        <v>30</v>
      </c>
      <c r="M656" s="19">
        <v>30</v>
      </c>
      <c r="N656" s="5" t="s">
        <v>980</v>
      </c>
      <c r="O656" s="4"/>
      <c r="P656" s="18">
        <f t="array" ref="P656">IFERROR(INDEX([2]Sheet1!$F$1:$AF$65808,MATCH($D656&amp;$G656&amp;P$1,[2]Sheet1!$B$1:$B$65808&amp;[2]Sheet1!$D$1:$D$65808&amp;[2]Sheet1!$E$1:$E$65808,0),MATCH($H656,[2]Sheet1!$F$1:$AF$1,0)),0)</f>
        <v>15</v>
      </c>
      <c r="Q656" s="3"/>
      <c r="R656" s="6"/>
      <c r="S656" s="22"/>
      <c r="U656" s="23">
        <f t="shared" si="14"/>
        <v>1.5</v>
      </c>
      <c r="V656" s="24" t="s">
        <v>9</v>
      </c>
    </row>
    <row r="657" spans="1:24" ht="22.95" hidden="1" customHeight="1" x14ac:dyDescent="0.25">
      <c r="A657" s="1" t="s">
        <v>879</v>
      </c>
      <c r="D657" s="3" t="s">
        <v>587</v>
      </c>
      <c r="E657" s="15" t="s">
        <v>981</v>
      </c>
      <c r="F657" s="15" t="str">
        <f>+VLOOKUP(D657,[1]Sheet1!$D$2:$E$29166,2,0)</f>
        <v>小盖板一</v>
      </c>
      <c r="G657" s="3" t="s">
        <v>80</v>
      </c>
      <c r="H657" s="3">
        <v>10</v>
      </c>
      <c r="I657" s="18" t="e">
        <f t="array" ref="I657">INDEX([2]Sheet1!$F$1:$AF$65808,MATCH(D657&amp;G657&amp;I$1,[2]Sheet1!$B$1:$B$65808&amp;[2]Sheet1!$D$1:$D$65808&amp;[2]Sheet1!$E$1:$E$65808,0),MATCH(H657,[2]Sheet1!$F$1:$AF$1,0))</f>
        <v>#N/A</v>
      </c>
      <c r="K657" s="3">
        <v>3380</v>
      </c>
      <c r="L657" s="19">
        <v>8</v>
      </c>
      <c r="M657" s="19">
        <v>8</v>
      </c>
      <c r="N657" s="34">
        <v>44197</v>
      </c>
      <c r="O657" s="4"/>
      <c r="P657" s="18">
        <v>3</v>
      </c>
      <c r="Q657" s="3"/>
      <c r="R657" s="6"/>
      <c r="S657" s="22"/>
      <c r="U657" s="23">
        <f t="shared" si="14"/>
        <v>169</v>
      </c>
      <c r="V657" s="24" t="s">
        <v>9</v>
      </c>
    </row>
    <row r="658" spans="1:24" ht="22.95" hidden="1" customHeight="1" x14ac:dyDescent="0.25">
      <c r="A658" s="1" t="s">
        <v>982</v>
      </c>
      <c r="E658" s="15" t="s">
        <v>983</v>
      </c>
      <c r="F658" s="15"/>
      <c r="I658" s="18" t="e">
        <f t="array" ref="I658">INDEX([2]Sheet1!$F$1:$AF$65808,MATCH(D658&amp;G658&amp;I$1,[2]Sheet1!$B$1:$B$65808&amp;[2]Sheet1!$D$1:$D$65808&amp;[2]Sheet1!$E$1:$E$65808,0),MATCH(H658,[2]Sheet1!$F$1:$AF$1,0))</f>
        <v>#N/A</v>
      </c>
      <c r="K658" s="3">
        <f>414+395+461+425</f>
        <v>1695</v>
      </c>
      <c r="L658" s="19"/>
      <c r="M658" s="19"/>
      <c r="N658" s="34"/>
      <c r="O658" s="4"/>
      <c r="P658" s="18">
        <v>4</v>
      </c>
      <c r="Q658" s="3"/>
      <c r="R658" s="6"/>
      <c r="S658" s="22"/>
      <c r="U658" s="23">
        <f t="shared" si="14"/>
        <v>113</v>
      </c>
      <c r="V658" s="24" t="s">
        <v>9</v>
      </c>
    </row>
    <row r="659" spans="1:24" ht="22.95" hidden="1" customHeight="1" x14ac:dyDescent="0.25">
      <c r="A659" s="1" t="s">
        <v>982</v>
      </c>
      <c r="E659" s="15" t="s">
        <v>984</v>
      </c>
      <c r="F659" s="15"/>
      <c r="I659" s="18" t="e">
        <f t="array" ref="I659">INDEX([2]Sheet1!$F$1:$AF$65808,MATCH(D659&amp;G659&amp;I$1,[2]Sheet1!$B$1:$B$65808&amp;[2]Sheet1!$D$1:$D$65808&amp;[2]Sheet1!$E$1:$E$65808,0),MATCH(H659,[2]Sheet1!$F$1:$AF$1,0))</f>
        <v>#N/A</v>
      </c>
      <c r="K659" s="3">
        <f>414+395+296</f>
        <v>1105</v>
      </c>
      <c r="L659" s="19"/>
      <c r="M659" s="19"/>
      <c r="N659" s="34"/>
      <c r="O659" s="4"/>
      <c r="P659" s="18">
        <v>4</v>
      </c>
      <c r="Q659" s="3"/>
      <c r="R659" s="6"/>
      <c r="S659" s="22"/>
      <c r="U659" s="23">
        <f t="shared" si="14"/>
        <v>73.7</v>
      </c>
      <c r="V659" s="24" t="s">
        <v>9</v>
      </c>
    </row>
    <row r="660" spans="1:24" ht="22.95" hidden="1" customHeight="1" x14ac:dyDescent="0.25">
      <c r="A660" s="1" t="s">
        <v>985</v>
      </c>
      <c r="D660" s="3" t="s">
        <v>986</v>
      </c>
      <c r="E660" s="15" t="s">
        <v>987</v>
      </c>
      <c r="F660" s="15" t="s">
        <v>987</v>
      </c>
      <c r="G660" s="3" t="s">
        <v>80</v>
      </c>
      <c r="H660" s="3" t="s">
        <v>340</v>
      </c>
      <c r="I660" s="18" t="e">
        <f t="array" ref="I660">INDEX([2]Sheet1!$F$1:$AF$65808,MATCH(D660&amp;G660&amp;I$1,[2]Sheet1!$B$1:$B$65808&amp;[2]Sheet1!$D$1:$D$65808&amp;[2]Sheet1!$E$1:$E$65808,0),MATCH(H660,[2]Sheet1!$F$1:$AF$1,0))</f>
        <v>#N/A</v>
      </c>
      <c r="J660" s="3">
        <v>243</v>
      </c>
      <c r="K660" s="3">
        <v>268</v>
      </c>
      <c r="L660" s="19">
        <v>8</v>
      </c>
      <c r="M660" s="19">
        <v>8</v>
      </c>
      <c r="N660" s="34" t="s">
        <v>988</v>
      </c>
      <c r="O660" s="4"/>
      <c r="P660" s="18">
        <v>5</v>
      </c>
      <c r="Q660" s="3"/>
      <c r="R660" s="6"/>
      <c r="S660" s="22"/>
      <c r="U660" s="23">
        <f t="shared" si="14"/>
        <v>22.3</v>
      </c>
      <c r="V660" s="24" t="s">
        <v>12</v>
      </c>
      <c r="W660" s="7" t="s">
        <v>257</v>
      </c>
      <c r="X660" s="7" t="s">
        <v>235</v>
      </c>
    </row>
    <row r="661" spans="1:24" ht="22.95" hidden="1" customHeight="1" x14ac:dyDescent="0.25">
      <c r="E661" s="3" t="s">
        <v>989</v>
      </c>
      <c r="I661" s="18" t="e">
        <f t="array" ref="I661">INDEX([2]Sheet1!$F$1:$AF$65808,MATCH(D661&amp;G661&amp;I$1,[2]Sheet1!$B$1:$B$65808&amp;[2]Sheet1!$D$1:$D$65808&amp;[2]Sheet1!$E$1:$E$65808,0),MATCH(H661,[2]Sheet1!$F$1:$AF$1,0))</f>
        <v>#N/A</v>
      </c>
      <c r="P661" s="18">
        <v>6</v>
      </c>
      <c r="T661" s="7">
        <v>32</v>
      </c>
      <c r="U661" s="23">
        <f t="shared" si="14"/>
        <v>32</v>
      </c>
      <c r="V661" s="3" t="s">
        <v>17</v>
      </c>
    </row>
    <row r="662" spans="1:24" ht="22.95" hidden="1" customHeight="1" x14ac:dyDescent="0.25">
      <c r="E662" s="3" t="s">
        <v>990</v>
      </c>
      <c r="I662" s="18" t="e">
        <f t="array" ref="I662">INDEX([2]Sheet1!$F$1:$AF$65808,MATCH(D662&amp;G662&amp;I$1,[2]Sheet1!$B$1:$B$65808&amp;[2]Sheet1!$D$1:$D$65808&amp;[2]Sheet1!$E$1:$E$65808,0),MATCH(H662,[2]Sheet1!$F$1:$AF$1,0))</f>
        <v>#N/A</v>
      </c>
      <c r="P662" s="18">
        <v>7</v>
      </c>
      <c r="T662" s="7">
        <v>8</v>
      </c>
      <c r="U662" s="23">
        <f t="shared" si="14"/>
        <v>8</v>
      </c>
      <c r="V662" s="24" t="s">
        <v>7</v>
      </c>
    </row>
    <row r="663" spans="1:24" ht="22.95" hidden="1" customHeight="1" x14ac:dyDescent="0.25">
      <c r="A663" s="1" t="s">
        <v>100</v>
      </c>
      <c r="D663" s="3" t="s">
        <v>991</v>
      </c>
      <c r="E663" s="15" t="s">
        <v>55</v>
      </c>
      <c r="F663" s="15" t="e">
        <f>+VLOOKUP(D663,[1]Sheet1!$D$2:$E$29166,2,0)</f>
        <v>#N/A</v>
      </c>
      <c r="G663" s="3" t="s">
        <v>80</v>
      </c>
      <c r="H663" s="3" t="s">
        <v>340</v>
      </c>
      <c r="I663" s="18" t="e">
        <f t="array" ref="I663">INDEX([2]Sheet1!$F$1:$AF$65808,MATCH(D663&amp;G663&amp;I$1,[2]Sheet1!$B$1:$B$65808&amp;[2]Sheet1!$D$1:$D$65808&amp;[2]Sheet1!$E$1:$E$65808,0),MATCH(H663,[2]Sheet1!$F$1:$AF$1,0))</f>
        <v>#N/A</v>
      </c>
      <c r="K663" s="3">
        <v>12</v>
      </c>
      <c r="L663" s="19">
        <v>30</v>
      </c>
      <c r="M663" s="19">
        <v>30</v>
      </c>
      <c r="O663" s="4"/>
      <c r="P663" s="18">
        <f t="array" ref="P663">IFERROR(INDEX([2]Sheet1!$F$1:$AF$65808,MATCH($D663&amp;$G663&amp;P$1,[2]Sheet1!$B$1:$B$65808&amp;[2]Sheet1!$D$1:$D$65808&amp;[2]Sheet1!$E$1:$E$65808,0),MATCH($H663,[2]Sheet1!$F$1:$AF$1,0)),0)</f>
        <v>0</v>
      </c>
      <c r="Q663" s="3"/>
      <c r="R663" s="6"/>
      <c r="S663" s="22"/>
      <c r="T663" s="7">
        <v>4</v>
      </c>
      <c r="U663" s="23">
        <f t="shared" ref="U663:U693" si="15">ROUND((K663*P663+Q663*S663)/60+T663,1)</f>
        <v>4</v>
      </c>
      <c r="V663" s="24" t="s">
        <v>3</v>
      </c>
      <c r="W663" s="7" t="s">
        <v>516</v>
      </c>
      <c r="X663" s="7" t="s">
        <v>733</v>
      </c>
    </row>
    <row r="664" spans="1:24" ht="22.95" hidden="1" customHeight="1" x14ac:dyDescent="0.25">
      <c r="A664" s="1" t="s">
        <v>103</v>
      </c>
      <c r="D664" s="3" t="s">
        <v>992</v>
      </c>
      <c r="E664" s="15" t="s">
        <v>356</v>
      </c>
      <c r="F664" s="15" t="str">
        <f>+VLOOKUP(D664,[1]Sheet1!$D$2:$E$29166,2,0)</f>
        <v>后端框</v>
      </c>
      <c r="G664" s="3" t="s">
        <v>147</v>
      </c>
      <c r="H664" s="3">
        <v>60</v>
      </c>
      <c r="I664" s="18" t="str">
        <f t="array" ref="I664">INDEX([2]Sheet1!$F$1:$AF$65808,MATCH(D664&amp;G664&amp;I$1,[2]Sheet1!$B$1:$B$65808&amp;[2]Sheet1!$D$1:$D$65808&amp;[2]Sheet1!$E$1:$E$65808,0),MATCH(H664,[2]Sheet1!$F$1:$AF$1,0))</f>
        <v>60/钳工</v>
      </c>
      <c r="J664" s="3">
        <v>6</v>
      </c>
      <c r="K664" s="3">
        <v>2</v>
      </c>
      <c r="L664" s="19">
        <v>30</v>
      </c>
      <c r="M664" s="19">
        <v>30</v>
      </c>
      <c r="N664" s="5" t="s">
        <v>357</v>
      </c>
      <c r="O664" s="4"/>
      <c r="P664" s="18">
        <f t="array" ref="P664">IFERROR(INDEX([2]Sheet1!$F$1:$AF$65808,MATCH($D664&amp;$G664&amp;P$1,[2]Sheet1!$B$1:$B$65808&amp;[2]Sheet1!$D$1:$D$65808&amp;[2]Sheet1!$E$1:$E$65808,0),MATCH($H664,[2]Sheet1!$F$1:$AF$1,0)),0)</f>
        <v>420</v>
      </c>
      <c r="Q664" s="3"/>
      <c r="R664" s="6"/>
      <c r="S664" s="22"/>
      <c r="U664" s="23">
        <f t="shared" si="15"/>
        <v>14</v>
      </c>
      <c r="V664" s="24" t="s">
        <v>3</v>
      </c>
    </row>
    <row r="665" spans="1:24" ht="22.95" hidden="1" customHeight="1" x14ac:dyDescent="0.25">
      <c r="A665" s="1" t="s">
        <v>103</v>
      </c>
      <c r="D665" s="3" t="s">
        <v>382</v>
      </c>
      <c r="E665" s="15" t="s">
        <v>383</v>
      </c>
      <c r="F665" s="15" t="str">
        <f>+VLOOKUP(D665,[1]Sheet1!$D$2:$E$29166,2,0)</f>
        <v>1号下壁板</v>
      </c>
      <c r="G665" s="3" t="s">
        <v>114</v>
      </c>
      <c r="H665" s="3">
        <v>15</v>
      </c>
      <c r="I665" s="18" t="str">
        <f t="array" ref="I665">INDEX([2]Sheet1!$F$1:$AF$65808,MATCH(D665&amp;G665&amp;I$1,[2]Sheet1!$B$1:$B$65808&amp;[2]Sheet1!$D$1:$D$65808&amp;[2]Sheet1!$E$1:$E$65808,0),MATCH(H665,[2]Sheet1!$F$1:$AF$1,0))</f>
        <v>15/钳工</v>
      </c>
      <c r="J665" s="3">
        <v>2</v>
      </c>
      <c r="K665" s="3">
        <v>2</v>
      </c>
      <c r="L665" s="19">
        <v>30</v>
      </c>
      <c r="M665" s="19">
        <v>30</v>
      </c>
      <c r="N665" s="5" t="s">
        <v>525</v>
      </c>
      <c r="O665" s="4"/>
      <c r="P665" s="18">
        <f t="array" ref="P665">IFERROR(INDEX([2]Sheet1!$F$1:$AF$65808,MATCH($D665&amp;$G665&amp;P$1,[2]Sheet1!$B$1:$B$65808&amp;[2]Sheet1!$D$1:$D$65808&amp;[2]Sheet1!$E$1:$E$65808,0),MATCH($H665,[2]Sheet1!$F$1:$AF$1,0)),0)</f>
        <v>720</v>
      </c>
      <c r="Q665" s="3"/>
      <c r="R665" s="6"/>
      <c r="S665" s="22"/>
      <c r="U665" s="23">
        <f t="shared" si="15"/>
        <v>24</v>
      </c>
      <c r="V665" s="24" t="s">
        <v>3</v>
      </c>
    </row>
    <row r="666" spans="1:24" ht="22.95" hidden="1" customHeight="1" x14ac:dyDescent="0.25">
      <c r="A666" s="1" t="s">
        <v>103</v>
      </c>
      <c r="D666" s="3" t="s">
        <v>631</v>
      </c>
      <c r="E666" s="15" t="s">
        <v>632</v>
      </c>
      <c r="F666" s="15" t="str">
        <f>+VLOOKUP(D666,[1]Sheet1!$D$2:$E$29166,2,0)</f>
        <v>BL280侧壁（左件）</v>
      </c>
      <c r="G666" s="3" t="s">
        <v>155</v>
      </c>
      <c r="H666" s="3">
        <v>40</v>
      </c>
      <c r="I666" s="18" t="str">
        <f t="array" ref="I666">INDEX([2]Sheet1!$F$1:$AF$65808,MATCH(D666&amp;G666&amp;I$1,[2]Sheet1!$B$1:$B$65808&amp;[2]Sheet1!$D$1:$D$65808&amp;[2]Sheet1!$E$1:$E$65808,0),MATCH(H666,[2]Sheet1!$F$1:$AF$1,0))</f>
        <v>40/钳工</v>
      </c>
      <c r="J666" s="3">
        <v>2</v>
      </c>
      <c r="K666" s="3">
        <v>1</v>
      </c>
      <c r="L666" s="19">
        <v>30</v>
      </c>
      <c r="M666" s="19">
        <v>30</v>
      </c>
      <c r="N666" s="5" t="s">
        <v>993</v>
      </c>
      <c r="O666" s="4"/>
      <c r="P666" s="18">
        <f t="array" ref="P666">IFERROR(INDEX([2]Sheet1!$F$1:$AF$65808,MATCH($D666&amp;$G666&amp;P$1,[2]Sheet1!$B$1:$B$65808&amp;[2]Sheet1!$D$1:$D$65808&amp;[2]Sheet1!$E$1:$E$65808,0),MATCH($H666,[2]Sheet1!$F$1:$AF$1,0)),0)</f>
        <v>960</v>
      </c>
      <c r="Q666" s="3"/>
      <c r="R666" s="6"/>
      <c r="S666" s="22"/>
      <c r="U666" s="23">
        <f t="shared" si="15"/>
        <v>16</v>
      </c>
      <c r="V666" s="24" t="s">
        <v>3</v>
      </c>
    </row>
    <row r="667" spans="1:24" ht="22.95" hidden="1" customHeight="1" x14ac:dyDescent="0.25">
      <c r="A667" s="1" t="s">
        <v>103</v>
      </c>
      <c r="D667" s="3" t="s">
        <v>153</v>
      </c>
      <c r="E667" s="15" t="s">
        <v>154</v>
      </c>
      <c r="F667" s="15" t="str">
        <f>+VLOOKUP(D667,[1]Sheet1!$D$2:$E$29166,2,0)</f>
        <v>9350-11140右侧上梁</v>
      </c>
      <c r="G667" s="3" t="s">
        <v>385</v>
      </c>
      <c r="H667" s="3">
        <v>50</v>
      </c>
      <c r="I667" s="18" t="str">
        <f t="array" ref="I667">INDEX([2]Sheet1!$F$1:$AF$65808,MATCH(D667&amp;G667&amp;I$1,[2]Sheet1!$B$1:$B$65808&amp;[2]Sheet1!$D$1:$D$65808&amp;[2]Sheet1!$E$1:$E$65808,0),MATCH(H667,[2]Sheet1!$F$1:$AF$1,0))</f>
        <v>50/钳工</v>
      </c>
      <c r="J667" s="3">
        <v>1</v>
      </c>
      <c r="K667" s="3">
        <v>1</v>
      </c>
      <c r="L667" s="19">
        <v>30</v>
      </c>
      <c r="M667" s="19">
        <v>30</v>
      </c>
      <c r="N667" s="5" t="s">
        <v>752</v>
      </c>
      <c r="O667" s="4"/>
      <c r="P667" s="18">
        <f t="array" ref="P667">IFERROR(INDEX([2]Sheet1!$F$1:$AF$65808,MATCH($D667&amp;$G667&amp;P$1,[2]Sheet1!$B$1:$B$65808&amp;[2]Sheet1!$D$1:$D$65808&amp;[2]Sheet1!$E$1:$E$65808,0),MATCH($H667,[2]Sheet1!$F$1:$AF$1,0)),0)</f>
        <v>720</v>
      </c>
      <c r="Q667" s="3"/>
      <c r="R667" s="6"/>
      <c r="S667" s="22"/>
      <c r="U667" s="23">
        <f t="shared" si="15"/>
        <v>12</v>
      </c>
      <c r="V667" s="24" t="s">
        <v>3</v>
      </c>
    </row>
    <row r="668" spans="1:24" ht="22.95" hidden="1" customHeight="1" x14ac:dyDescent="0.25">
      <c r="A668" s="1" t="s">
        <v>109</v>
      </c>
      <c r="D668" s="3" t="s">
        <v>358</v>
      </c>
      <c r="E668" s="15" t="s">
        <v>359</v>
      </c>
      <c r="F668" s="15" t="e">
        <f>+VLOOKUP(D668,[1]Sheet1!$D$2:$E$29166,2,0)</f>
        <v>#N/A</v>
      </c>
      <c r="G668" s="3" t="s">
        <v>46</v>
      </c>
      <c r="H668" s="3">
        <v>35</v>
      </c>
      <c r="I668" s="18" t="e">
        <f t="array" ref="I668">INDEX([2]Sheet1!$F$1:$AF$65808,MATCH(D668&amp;G668&amp;I$1,[2]Sheet1!$B$1:$B$65808&amp;[2]Sheet1!$D$1:$D$65808&amp;[2]Sheet1!$E$1:$E$65808,0),MATCH(H668,[2]Sheet1!$F$1:$AF$1,0))</f>
        <v>#N/A</v>
      </c>
      <c r="J668" s="3">
        <v>2</v>
      </c>
      <c r="K668" s="3">
        <v>2</v>
      </c>
      <c r="L668" s="19">
        <v>30</v>
      </c>
      <c r="M668" s="19">
        <v>30</v>
      </c>
      <c r="N668" s="5" t="s">
        <v>389</v>
      </c>
      <c r="O668" s="4"/>
      <c r="P668" s="18">
        <v>150</v>
      </c>
      <c r="Q668" s="3"/>
      <c r="R668" s="6"/>
      <c r="S668" s="22"/>
      <c r="U668" s="23">
        <f t="shared" si="15"/>
        <v>5</v>
      </c>
      <c r="V668" s="24" t="s">
        <v>3</v>
      </c>
    </row>
    <row r="669" spans="1:24" ht="22.95" hidden="1" customHeight="1" x14ac:dyDescent="0.25">
      <c r="A669" s="1" t="s">
        <v>109</v>
      </c>
      <c r="D669" s="3" t="s">
        <v>994</v>
      </c>
      <c r="E669" s="15" t="s">
        <v>995</v>
      </c>
      <c r="F669" s="15" t="e">
        <f>+VLOOKUP(D669,[1]Sheet1!$D$2:$E$29166,2,0)</f>
        <v>#N/A</v>
      </c>
      <c r="G669" s="3" t="s">
        <v>46</v>
      </c>
      <c r="H669" s="3">
        <v>15</v>
      </c>
      <c r="I669" s="18" t="e">
        <f t="array" ref="I669">INDEX([2]Sheet1!$F$1:$AF$65808,MATCH(D669&amp;G669&amp;I$1,[2]Sheet1!$B$1:$B$65808&amp;[2]Sheet1!$D$1:$D$65808&amp;[2]Sheet1!$E$1:$E$65808,0),MATCH(H669,[2]Sheet1!$F$1:$AF$1,0))</f>
        <v>#N/A</v>
      </c>
      <c r="J669" s="3">
        <v>4</v>
      </c>
      <c r="K669" s="3">
        <v>4</v>
      </c>
      <c r="L669" s="19">
        <v>30</v>
      </c>
      <c r="M669" s="19">
        <v>30</v>
      </c>
      <c r="N669" s="5" t="s">
        <v>996</v>
      </c>
      <c r="O669" s="4"/>
      <c r="P669" s="18">
        <v>150</v>
      </c>
      <c r="Q669" s="3"/>
      <c r="R669" s="6"/>
      <c r="S669" s="22"/>
      <c r="U669" s="23">
        <f t="shared" si="15"/>
        <v>10</v>
      </c>
      <c r="V669" s="24" t="s">
        <v>3</v>
      </c>
    </row>
    <row r="670" spans="1:24" ht="22.95" hidden="1" customHeight="1" x14ac:dyDescent="0.25">
      <c r="A670" s="1" t="s">
        <v>109</v>
      </c>
      <c r="D670" s="3" t="s">
        <v>994</v>
      </c>
      <c r="E670" s="15" t="s">
        <v>995</v>
      </c>
      <c r="F670" s="15" t="e">
        <f>+VLOOKUP(D670,[1]Sheet1!$D$2:$E$29166,2,0)</f>
        <v>#N/A</v>
      </c>
      <c r="G670" s="3" t="s">
        <v>46</v>
      </c>
      <c r="H670" s="3">
        <v>35</v>
      </c>
      <c r="I670" s="18" t="e">
        <f t="array" ref="I670">INDEX([2]Sheet1!$F$1:$AF$65808,MATCH(D670&amp;G670&amp;I$1,[2]Sheet1!$B$1:$B$65808&amp;[2]Sheet1!$D$1:$D$65808&amp;[2]Sheet1!$E$1:$E$65808,0),MATCH(H670,[2]Sheet1!$F$1:$AF$1,0))</f>
        <v>#N/A</v>
      </c>
      <c r="J670" s="3">
        <v>4</v>
      </c>
      <c r="K670" s="3">
        <v>4</v>
      </c>
      <c r="L670" s="19">
        <v>30</v>
      </c>
      <c r="M670" s="19">
        <v>30</v>
      </c>
      <c r="N670" s="5" t="s">
        <v>996</v>
      </c>
      <c r="O670" s="4"/>
      <c r="P670" s="18">
        <v>150</v>
      </c>
      <c r="Q670" s="3"/>
      <c r="R670" s="6"/>
      <c r="S670" s="22"/>
      <c r="U670" s="23">
        <f t="shared" si="15"/>
        <v>10</v>
      </c>
      <c r="V670" s="24" t="s">
        <v>3</v>
      </c>
    </row>
    <row r="671" spans="1:24" ht="22.95" hidden="1" customHeight="1" x14ac:dyDescent="0.25">
      <c r="A671" s="1" t="s">
        <v>109</v>
      </c>
      <c r="D671" s="3" t="s">
        <v>472</v>
      </c>
      <c r="E671" s="15" t="s">
        <v>473</v>
      </c>
      <c r="F671" s="15" t="str">
        <f>+VLOOKUP(D671,[1]Sheet1!$D$2:$E$29166,2,0)</f>
        <v>11140框左下半框</v>
      </c>
      <c r="G671" s="3" t="s">
        <v>147</v>
      </c>
      <c r="H671" s="3">
        <v>60</v>
      </c>
      <c r="I671" s="18" t="str">
        <f t="array" ref="I671">INDEX([2]Sheet1!$F$1:$AF$65808,MATCH(D671&amp;G671&amp;I$1,[2]Sheet1!$B$1:$B$65808&amp;[2]Sheet1!$D$1:$D$65808&amp;[2]Sheet1!$E$1:$E$65808,0),MATCH(H671,[2]Sheet1!$F$1:$AF$1,0))</f>
        <v>60/钳工</v>
      </c>
      <c r="J671" s="3">
        <v>2</v>
      </c>
      <c r="K671" s="3">
        <v>2</v>
      </c>
      <c r="L671" s="19">
        <v>30</v>
      </c>
      <c r="M671" s="19">
        <v>30</v>
      </c>
      <c r="N671" s="5" t="s">
        <v>997</v>
      </c>
      <c r="O671" s="4"/>
      <c r="P671" s="18">
        <f t="array" ref="P671">IFERROR(INDEX([2]Sheet1!$F$1:$AF$65808,MATCH($D671&amp;$G671&amp;P$1,[2]Sheet1!$B$1:$B$65808&amp;[2]Sheet1!$D$1:$D$65808&amp;[2]Sheet1!$E$1:$E$65808,0),MATCH($H671,[2]Sheet1!$F$1:$AF$1,0)),0)</f>
        <v>560</v>
      </c>
      <c r="Q671" s="3"/>
      <c r="R671" s="6"/>
      <c r="S671" s="22"/>
      <c r="U671" s="23">
        <f t="shared" si="15"/>
        <v>18.7</v>
      </c>
      <c r="V671" s="24" t="s">
        <v>3</v>
      </c>
    </row>
    <row r="672" spans="1:24" ht="22.95" hidden="1" customHeight="1" x14ac:dyDescent="0.25">
      <c r="A672" s="1" t="s">
        <v>157</v>
      </c>
      <c r="D672" s="3" t="s">
        <v>338</v>
      </c>
      <c r="E672" s="15" t="s">
        <v>339</v>
      </c>
      <c r="F672" s="15" t="str">
        <f>+VLOOKUP(D672,[1]Sheet1!$D$2:$E$29166,2,0)</f>
        <v>11140框右下半框</v>
      </c>
      <c r="G672" s="3" t="s">
        <v>147</v>
      </c>
      <c r="H672" s="3">
        <v>60</v>
      </c>
      <c r="I672" s="18" t="str">
        <f t="array" ref="I672">INDEX([2]Sheet1!$F$1:$AF$65808,MATCH(D672&amp;G672&amp;I$1,[2]Sheet1!$B$1:$B$65808&amp;[2]Sheet1!$D$1:$D$65808&amp;[2]Sheet1!$E$1:$E$65808,0),MATCH(H672,[2]Sheet1!$F$1:$AF$1,0))</f>
        <v>60/钳工</v>
      </c>
      <c r="J672" s="3">
        <v>2</v>
      </c>
      <c r="K672" s="3">
        <v>2</v>
      </c>
      <c r="L672" s="19">
        <v>30</v>
      </c>
      <c r="M672" s="19">
        <v>30</v>
      </c>
      <c r="N672" s="5" t="s">
        <v>998</v>
      </c>
      <c r="O672" s="4"/>
      <c r="P672" s="18">
        <f t="array" ref="P672">IFERROR(INDEX([2]Sheet1!$F$1:$AF$65808,MATCH($D672&amp;$G672&amp;P$1,[2]Sheet1!$B$1:$B$65808&amp;[2]Sheet1!$D$1:$D$65808&amp;[2]Sheet1!$E$1:$E$65808,0),MATCH($H672,[2]Sheet1!$F$1:$AF$1,0)),0)</f>
        <v>560</v>
      </c>
      <c r="Q672" s="3"/>
      <c r="R672" s="6"/>
      <c r="S672" s="22"/>
      <c r="U672" s="23">
        <f t="shared" si="15"/>
        <v>18.7</v>
      </c>
      <c r="V672" s="24" t="s">
        <v>3</v>
      </c>
    </row>
    <row r="673" spans="1:24" ht="22.95" hidden="1" customHeight="1" x14ac:dyDescent="0.25">
      <c r="A673" s="1" t="s">
        <v>157</v>
      </c>
      <c r="D673" s="3" t="s">
        <v>338</v>
      </c>
      <c r="E673" s="15" t="s">
        <v>339</v>
      </c>
      <c r="F673" s="15" t="str">
        <f>+VLOOKUP(D673,[1]Sheet1!$D$2:$E$29166,2,0)</f>
        <v>11140框右下半框</v>
      </c>
      <c r="G673" s="3" t="s">
        <v>147</v>
      </c>
      <c r="H673" s="3">
        <v>60</v>
      </c>
      <c r="I673" s="18" t="str">
        <f t="array" ref="I673">INDEX([2]Sheet1!$F$1:$AF$65808,MATCH(D673&amp;G673&amp;I$1,[2]Sheet1!$B$1:$B$65808&amp;[2]Sheet1!$D$1:$D$65808&amp;[2]Sheet1!$E$1:$E$65808,0),MATCH(H673,[2]Sheet1!$F$1:$AF$1,0))</f>
        <v>60/钳工</v>
      </c>
      <c r="J673" s="3">
        <v>3</v>
      </c>
      <c r="K673" s="3">
        <v>3</v>
      </c>
      <c r="L673" s="19">
        <v>30</v>
      </c>
      <c r="M673" s="19">
        <v>30</v>
      </c>
      <c r="N673" s="5" t="s">
        <v>999</v>
      </c>
      <c r="O673" s="4"/>
      <c r="P673" s="18">
        <f t="array" ref="P673">IFERROR(INDEX([2]Sheet1!$F$1:$AF$65808,MATCH($D673&amp;$G673&amp;P$1,[2]Sheet1!$B$1:$B$65808&amp;[2]Sheet1!$D$1:$D$65808&amp;[2]Sheet1!$E$1:$E$65808,0),MATCH($H673,[2]Sheet1!$F$1:$AF$1,0)),0)</f>
        <v>560</v>
      </c>
      <c r="Q673" s="3"/>
      <c r="R673" s="6"/>
      <c r="S673" s="22"/>
      <c r="U673" s="23">
        <f t="shared" si="15"/>
        <v>28</v>
      </c>
      <c r="V673" s="24" t="s">
        <v>3</v>
      </c>
    </row>
    <row r="674" spans="1:24" ht="22.95" hidden="1" customHeight="1" x14ac:dyDescent="0.25">
      <c r="A674" s="1" t="s">
        <v>157</v>
      </c>
      <c r="D674" s="3" t="s">
        <v>472</v>
      </c>
      <c r="E674" s="15" t="s">
        <v>473</v>
      </c>
      <c r="F674" s="15" t="str">
        <f>+VLOOKUP(D674,[1]Sheet1!$D$2:$E$29166,2,0)</f>
        <v>11140框左下半框</v>
      </c>
      <c r="G674" s="3" t="s">
        <v>147</v>
      </c>
      <c r="H674" s="3">
        <v>60</v>
      </c>
      <c r="I674" s="18" t="str">
        <f t="array" ref="I674">INDEX([2]Sheet1!$F$1:$AF$65808,MATCH(D674&amp;G674&amp;I$1,[2]Sheet1!$B$1:$B$65808&amp;[2]Sheet1!$D$1:$D$65808&amp;[2]Sheet1!$E$1:$E$65808,0),MATCH(H674,[2]Sheet1!$F$1:$AF$1,0))</f>
        <v>60/钳工</v>
      </c>
      <c r="J674" s="3">
        <v>3</v>
      </c>
      <c r="K674" s="3">
        <v>3</v>
      </c>
      <c r="L674" s="19">
        <v>30</v>
      </c>
      <c r="M674" s="19">
        <v>30</v>
      </c>
      <c r="N674" s="5" t="s">
        <v>999</v>
      </c>
      <c r="O674" s="4"/>
      <c r="P674" s="18">
        <f t="array" ref="P674">IFERROR(INDEX([2]Sheet1!$F$1:$AF$65808,MATCH($D674&amp;$G674&amp;P$1,[2]Sheet1!$B$1:$B$65808&amp;[2]Sheet1!$D$1:$D$65808&amp;[2]Sheet1!$E$1:$E$65808,0),MATCH($H674,[2]Sheet1!$F$1:$AF$1,0)),0)</f>
        <v>560</v>
      </c>
      <c r="Q674" s="3"/>
      <c r="R674" s="6"/>
      <c r="S674" s="22"/>
      <c r="U674" s="23">
        <f t="shared" si="15"/>
        <v>28</v>
      </c>
      <c r="V674" s="24" t="s">
        <v>3</v>
      </c>
    </row>
    <row r="675" spans="1:24" ht="22.95" hidden="1" customHeight="1" x14ac:dyDescent="0.25">
      <c r="A675" s="1" t="s">
        <v>157</v>
      </c>
      <c r="D675" s="3" t="s">
        <v>992</v>
      </c>
      <c r="E675" s="15" t="s">
        <v>356</v>
      </c>
      <c r="F675" s="15" t="str">
        <f>+VLOOKUP(D675,[1]Sheet1!$D$2:$E$29166,2,0)</f>
        <v>后端框</v>
      </c>
      <c r="G675" s="3" t="s">
        <v>147</v>
      </c>
      <c r="H675" s="3">
        <v>60</v>
      </c>
      <c r="I675" s="18" t="str">
        <f t="array" ref="I675">INDEX([2]Sheet1!$F$1:$AF$65808,MATCH(D675&amp;G675&amp;I$1,[2]Sheet1!$B$1:$B$65808&amp;[2]Sheet1!$D$1:$D$65808&amp;[2]Sheet1!$E$1:$E$65808,0),MATCH(H675,[2]Sheet1!$F$1:$AF$1,0))</f>
        <v>60/钳工</v>
      </c>
      <c r="J675" s="3">
        <v>6</v>
      </c>
      <c r="K675" s="3">
        <v>2</v>
      </c>
      <c r="L675" s="19">
        <v>30</v>
      </c>
      <c r="M675" s="19">
        <v>30</v>
      </c>
      <c r="N675" s="5" t="s">
        <v>357</v>
      </c>
      <c r="O675" s="4"/>
      <c r="P675" s="18">
        <f t="array" ref="P675">IFERROR(INDEX([2]Sheet1!$F$1:$AF$65808,MATCH($D675&amp;$G675&amp;P$1,[2]Sheet1!$B$1:$B$65808&amp;[2]Sheet1!$D$1:$D$65808&amp;[2]Sheet1!$E$1:$E$65808,0),MATCH($H675,[2]Sheet1!$F$1:$AF$1,0)),0)</f>
        <v>420</v>
      </c>
      <c r="Q675" s="3"/>
      <c r="R675" s="6"/>
      <c r="S675" s="22"/>
      <c r="U675" s="23">
        <f t="shared" si="15"/>
        <v>14</v>
      </c>
      <c r="V675" s="24" t="s">
        <v>3</v>
      </c>
    </row>
    <row r="676" spans="1:24" ht="22.95" hidden="1" customHeight="1" x14ac:dyDescent="0.25">
      <c r="A676" s="1" t="s">
        <v>116</v>
      </c>
      <c r="D676" s="3" t="s">
        <v>949</v>
      </c>
      <c r="E676" s="15" t="s">
        <v>950</v>
      </c>
      <c r="F676" s="15" t="str">
        <f>+VLOOKUP(D676,[1]Sheet1!$D$2:$E$29166,2,0)</f>
        <v>根肋二段</v>
      </c>
      <c r="G676" s="3" t="s">
        <v>64</v>
      </c>
      <c r="H676" s="3">
        <v>65</v>
      </c>
      <c r="I676" s="18" t="str">
        <f t="array" ref="I676">INDEX([2]Sheet1!$F$1:$AF$65808,MATCH(D676&amp;G676&amp;I$1,[2]Sheet1!$B$1:$B$65808&amp;[2]Sheet1!$D$1:$D$65808&amp;[2]Sheet1!$E$1:$E$65808,0),MATCH(H676,[2]Sheet1!$F$1:$AF$1,0))</f>
        <v>65/钳工</v>
      </c>
      <c r="J676" s="3">
        <v>7</v>
      </c>
      <c r="K676" s="3">
        <v>5</v>
      </c>
      <c r="L676" s="19">
        <v>30</v>
      </c>
      <c r="M676" s="19">
        <v>30</v>
      </c>
      <c r="N676" s="5" t="s">
        <v>357</v>
      </c>
      <c r="O676" s="4"/>
      <c r="P676" s="18">
        <f t="array" ref="P676">IFERROR(INDEX([2]Sheet1!$F$1:$AF$65808,MATCH($D676&amp;$G676&amp;P$1,[2]Sheet1!$B$1:$B$65808&amp;[2]Sheet1!$D$1:$D$65808&amp;[2]Sheet1!$E$1:$E$65808,0),MATCH($H676,[2]Sheet1!$F$1:$AF$1,0)),0)</f>
        <v>600</v>
      </c>
      <c r="Q676" s="3"/>
      <c r="R676" s="6"/>
      <c r="S676" s="22"/>
      <c r="U676" s="23">
        <f t="shared" si="15"/>
        <v>50</v>
      </c>
      <c r="V676" s="24" t="s">
        <v>3</v>
      </c>
    </row>
    <row r="677" spans="1:24" ht="22.95" hidden="1" customHeight="1" x14ac:dyDescent="0.25">
      <c r="A677" s="1" t="s">
        <v>116</v>
      </c>
      <c r="D677" s="25" t="s">
        <v>1000</v>
      </c>
      <c r="E677" s="15" t="s">
        <v>1001</v>
      </c>
      <c r="F677" s="15" t="e">
        <f>+VLOOKUP(D677,[1]Sheet1!$D$2:$E$29166,2,0)</f>
        <v>#N/A</v>
      </c>
      <c r="G677" s="3" t="s">
        <v>147</v>
      </c>
      <c r="H677" s="3" t="s">
        <v>340</v>
      </c>
      <c r="I677" s="18" t="e">
        <f t="array" ref="I677">INDEX([2]Sheet1!$F$1:$AF$65808,MATCH(D677&amp;G677&amp;I$1,[2]Sheet1!$B$1:$B$65808&amp;[2]Sheet1!$D$1:$D$65808&amp;[2]Sheet1!$E$1:$E$65808,0),MATCH(H677,[2]Sheet1!$F$1:$AF$1,0))</f>
        <v>#N/A</v>
      </c>
      <c r="J677" s="3">
        <v>10</v>
      </c>
      <c r="K677" s="3">
        <v>10</v>
      </c>
      <c r="L677" s="19">
        <v>30</v>
      </c>
      <c r="M677" s="19">
        <v>30</v>
      </c>
      <c r="N677" s="5" t="s">
        <v>1002</v>
      </c>
      <c r="O677" s="4"/>
      <c r="P677" s="18">
        <v>40</v>
      </c>
      <c r="Q677" s="3"/>
      <c r="R677" s="6"/>
      <c r="S677" s="22"/>
      <c r="U677" s="23">
        <f t="shared" si="15"/>
        <v>6.7</v>
      </c>
      <c r="V677" s="24" t="s">
        <v>3</v>
      </c>
      <c r="W677" s="7" t="s">
        <v>1003</v>
      </c>
      <c r="X677" s="7" t="s">
        <v>203</v>
      </c>
    </row>
    <row r="678" spans="1:24" ht="22.95" hidden="1" customHeight="1" x14ac:dyDescent="0.25">
      <c r="A678" s="1" t="s">
        <v>116</v>
      </c>
      <c r="D678" s="3" t="s">
        <v>153</v>
      </c>
      <c r="E678" s="15" t="s">
        <v>154</v>
      </c>
      <c r="F678" s="15" t="str">
        <f>+VLOOKUP(D678,[1]Sheet1!$D$2:$E$29166,2,0)</f>
        <v>9350-11140右侧上梁</v>
      </c>
      <c r="G678" s="3" t="s">
        <v>385</v>
      </c>
      <c r="H678" s="3" t="s">
        <v>340</v>
      </c>
      <c r="I678" s="18" t="e">
        <f t="array" ref="I678">INDEX([2]Sheet1!$F$1:$AF$65808,MATCH(D678&amp;G678&amp;I$1,[2]Sheet1!$B$1:$B$65808&amp;[2]Sheet1!$D$1:$D$65808&amp;[2]Sheet1!$E$1:$E$65808,0),MATCH(H678,[2]Sheet1!$F$1:$AF$1,0))</f>
        <v>#N/A</v>
      </c>
      <c r="J678" s="3">
        <v>2</v>
      </c>
      <c r="K678" s="3">
        <v>2</v>
      </c>
      <c r="L678" s="19">
        <v>30</v>
      </c>
      <c r="M678" s="19">
        <v>30</v>
      </c>
      <c r="N678" s="5" t="s">
        <v>1004</v>
      </c>
      <c r="O678" s="4"/>
      <c r="P678" s="18">
        <v>240</v>
      </c>
      <c r="Q678" s="3"/>
      <c r="R678" s="6"/>
      <c r="S678" s="22"/>
      <c r="U678" s="23">
        <f t="shared" si="15"/>
        <v>8</v>
      </c>
      <c r="V678" s="24" t="s">
        <v>3</v>
      </c>
      <c r="W678" s="7" t="s">
        <v>362</v>
      </c>
      <c r="X678" s="7" t="s">
        <v>203</v>
      </c>
    </row>
    <row r="679" spans="1:24" ht="22.95" hidden="1" customHeight="1" x14ac:dyDescent="0.25">
      <c r="A679" s="1" t="s">
        <v>116</v>
      </c>
      <c r="D679" s="3" t="s">
        <v>1005</v>
      </c>
      <c r="E679" s="15" t="s">
        <v>1006</v>
      </c>
      <c r="F679" s="15" t="e">
        <f>+VLOOKUP(D679,[1]Sheet1!$D$2:$E$29166,2,0)</f>
        <v>#N/A</v>
      </c>
      <c r="G679" s="3" t="s">
        <v>51</v>
      </c>
      <c r="H679" s="3">
        <v>45</v>
      </c>
      <c r="I679" s="18" t="str">
        <f t="array" ref="I679">INDEX([2]Sheet1!$F$1:$AF$65808,MATCH(D679&amp;G679&amp;I$1,[2]Sheet1!$B$1:$B$65808&amp;[2]Sheet1!$D$1:$D$65808&amp;[2]Sheet1!$E$1:$E$65808,0),MATCH(H679,[2]Sheet1!$F$1:$AF$1,0))</f>
        <v>45钳工</v>
      </c>
      <c r="J679" s="3">
        <v>4</v>
      </c>
      <c r="K679" s="3">
        <v>4</v>
      </c>
      <c r="L679" s="19">
        <v>30</v>
      </c>
      <c r="M679" s="19">
        <v>30</v>
      </c>
      <c r="N679" s="5" t="s">
        <v>1007</v>
      </c>
      <c r="O679" s="4"/>
      <c r="P679" s="18">
        <f t="array" ref="P679">IFERROR(INDEX([2]Sheet1!$F$1:$AF$65808,MATCH($D679&amp;$G679&amp;P$1,[2]Sheet1!$B$1:$B$65808&amp;[2]Sheet1!$D$1:$D$65808&amp;[2]Sheet1!$E$1:$E$65808,0),MATCH($H679,[2]Sheet1!$F$1:$AF$1,0)),0)</f>
        <v>270</v>
      </c>
      <c r="Q679" s="3"/>
      <c r="R679" s="6"/>
      <c r="S679" s="22"/>
      <c r="U679" s="23">
        <f t="shared" si="15"/>
        <v>18</v>
      </c>
      <c r="V679" s="24" t="s">
        <v>3</v>
      </c>
    </row>
    <row r="680" spans="1:24" ht="22.95" hidden="1" customHeight="1" x14ac:dyDescent="0.25">
      <c r="A680" s="1" t="s">
        <v>562</v>
      </c>
      <c r="D680" s="3" t="s">
        <v>153</v>
      </c>
      <c r="E680" s="15" t="s">
        <v>154</v>
      </c>
      <c r="F680" s="15" t="str">
        <f>+VLOOKUP(D680,[1]Sheet1!$D$2:$E$29166,2,0)</f>
        <v>9350-11140右侧上梁</v>
      </c>
      <c r="G680" s="3" t="s">
        <v>385</v>
      </c>
      <c r="H680" s="3">
        <v>50</v>
      </c>
      <c r="I680" s="18" t="str">
        <f t="array" ref="I680">INDEX([2]Sheet1!$F$1:$AF$65808,MATCH(D680&amp;G680&amp;I$1,[2]Sheet1!$B$1:$B$65808&amp;[2]Sheet1!$D$1:$D$65808&amp;[2]Sheet1!$E$1:$E$65808,0),MATCH(H680,[2]Sheet1!$F$1:$AF$1,0))</f>
        <v>50/钳工</v>
      </c>
      <c r="J680" s="3">
        <v>1</v>
      </c>
      <c r="K680" s="3">
        <v>1</v>
      </c>
      <c r="L680" s="19">
        <v>30</v>
      </c>
      <c r="M680" s="19">
        <v>30</v>
      </c>
      <c r="N680" s="5" t="s">
        <v>1008</v>
      </c>
      <c r="O680" s="4"/>
      <c r="P680" s="18">
        <f t="array" ref="P680">IFERROR(INDEX([2]Sheet1!$F$1:$AF$65808,MATCH($D680&amp;$G680&amp;P$1,[2]Sheet1!$B$1:$B$65808&amp;[2]Sheet1!$D$1:$D$65808&amp;[2]Sheet1!$E$1:$E$65808,0),MATCH($H680,[2]Sheet1!$F$1:$AF$1,0)),0)</f>
        <v>720</v>
      </c>
      <c r="Q680" s="3"/>
      <c r="R680" s="6"/>
      <c r="S680" s="22"/>
      <c r="U680" s="23">
        <f t="shared" si="15"/>
        <v>12</v>
      </c>
      <c r="V680" s="24" t="s">
        <v>3</v>
      </c>
    </row>
    <row r="681" spans="1:24" ht="22.95" hidden="1" customHeight="1" x14ac:dyDescent="0.25">
      <c r="A681" s="1" t="s">
        <v>562</v>
      </c>
      <c r="D681" s="3" t="s">
        <v>837</v>
      </c>
      <c r="E681" s="15" t="s">
        <v>835</v>
      </c>
      <c r="F681" s="15" t="str">
        <f>+VLOOKUP(D681,[1]Sheet1!$D$2:$E$29166,2,0)</f>
        <v>樑</v>
      </c>
      <c r="G681" s="3" t="s">
        <v>46</v>
      </c>
      <c r="H681" s="3">
        <v>80</v>
      </c>
      <c r="I681" s="18" t="str">
        <f t="array" ref="I681">INDEX([2]Sheet1!$F$1:$AF$65808,MATCH(D681&amp;G681&amp;I$1,[2]Sheet1!$B$1:$B$65808&amp;[2]Sheet1!$D$1:$D$65808&amp;[2]Sheet1!$E$1:$E$65808,0),MATCH(H681,[2]Sheet1!$F$1:$AF$1,0))</f>
        <v>80/钳工</v>
      </c>
      <c r="J681" s="3">
        <v>4</v>
      </c>
      <c r="K681" s="3">
        <v>4</v>
      </c>
      <c r="L681" s="19">
        <v>30</v>
      </c>
      <c r="M681" s="19">
        <v>30</v>
      </c>
      <c r="N681" s="5" t="s">
        <v>836</v>
      </c>
      <c r="O681" s="4"/>
      <c r="P681" s="18">
        <v>440</v>
      </c>
      <c r="Q681" s="3"/>
      <c r="R681" s="6"/>
      <c r="S681" s="22"/>
      <c r="U681" s="23">
        <f t="shared" si="15"/>
        <v>29.3</v>
      </c>
      <c r="V681" s="24" t="s">
        <v>3</v>
      </c>
    </row>
    <row r="682" spans="1:24" ht="22.95" hidden="1" customHeight="1" x14ac:dyDescent="0.25">
      <c r="A682" s="1" t="s">
        <v>562</v>
      </c>
      <c r="D682" s="3" t="s">
        <v>992</v>
      </c>
      <c r="E682" s="15" t="s">
        <v>356</v>
      </c>
      <c r="F682" s="15" t="str">
        <f>+VLOOKUP(D682,[1]Sheet1!$D$2:$E$29166,2,0)</f>
        <v>后端框</v>
      </c>
      <c r="G682" s="3" t="s">
        <v>147</v>
      </c>
      <c r="H682" s="3">
        <v>60</v>
      </c>
      <c r="I682" s="18" t="str">
        <f t="array" ref="I682">INDEX([2]Sheet1!$F$1:$AF$65808,MATCH(D682&amp;G682&amp;I$1,[2]Sheet1!$B$1:$B$65808&amp;[2]Sheet1!$D$1:$D$65808&amp;[2]Sheet1!$E$1:$E$65808,0),MATCH(H682,[2]Sheet1!$F$1:$AF$1,0))</f>
        <v>60/钳工</v>
      </c>
      <c r="J682" s="3">
        <v>6</v>
      </c>
      <c r="K682" s="3">
        <v>2</v>
      </c>
      <c r="L682" s="19">
        <v>30</v>
      </c>
      <c r="M682" s="19">
        <v>30</v>
      </c>
      <c r="N682" s="5" t="s">
        <v>357</v>
      </c>
      <c r="O682" s="4"/>
      <c r="P682" s="18">
        <f t="array" ref="P682">IFERROR(INDEX([2]Sheet1!$F$1:$AF$65808,MATCH($D682&amp;$G682&amp;P$1,[2]Sheet1!$B$1:$B$65808&amp;[2]Sheet1!$D$1:$D$65808&amp;[2]Sheet1!$E$1:$E$65808,0),MATCH($H682,[2]Sheet1!$F$1:$AF$1,0)),0)</f>
        <v>420</v>
      </c>
      <c r="Q682" s="3"/>
      <c r="R682" s="6"/>
      <c r="S682" s="22"/>
      <c r="U682" s="23">
        <f t="shared" si="15"/>
        <v>14</v>
      </c>
      <c r="V682" s="24" t="s">
        <v>3</v>
      </c>
    </row>
    <row r="683" spans="1:24" ht="22.95" hidden="1" customHeight="1" x14ac:dyDescent="0.25">
      <c r="A683" s="1" t="s">
        <v>562</v>
      </c>
      <c r="D683" s="3" t="s">
        <v>131</v>
      </c>
      <c r="E683" s="15" t="s">
        <v>132</v>
      </c>
      <c r="F683" s="15" t="str">
        <f>+VLOOKUP(D683,[1]Sheet1!$D$2:$E$29166,2,0)</f>
        <v>后隔框</v>
      </c>
      <c r="G683" s="3" t="s">
        <v>133</v>
      </c>
      <c r="H683" s="3">
        <v>75</v>
      </c>
      <c r="I683" s="18" t="str">
        <f t="array" ref="I683">INDEX([2]Sheet1!$F$1:$AF$65808,MATCH(D683&amp;G683&amp;I$1,[2]Sheet1!$B$1:$B$65808&amp;[2]Sheet1!$D$1:$D$65808&amp;[2]Sheet1!$E$1:$E$65808,0),MATCH(H683,[2]Sheet1!$F$1:$AF$1,0))</f>
        <v>75/钳工</v>
      </c>
      <c r="J683" s="3">
        <v>1</v>
      </c>
      <c r="K683" s="3">
        <v>1</v>
      </c>
      <c r="L683" s="19">
        <v>30</v>
      </c>
      <c r="M683" s="19">
        <v>30</v>
      </c>
      <c r="N683" s="5" t="s">
        <v>1009</v>
      </c>
      <c r="O683" s="4"/>
      <c r="P683" s="18">
        <f t="array" ref="P683">IFERROR(INDEX([2]Sheet1!$F$1:$AF$65808,MATCH($D683&amp;$G683&amp;P$1,[2]Sheet1!$B$1:$B$65808&amp;[2]Sheet1!$D$1:$D$65808&amp;[2]Sheet1!$E$1:$E$65808,0),MATCH($H683,[2]Sheet1!$F$1:$AF$1,0)),0)</f>
        <v>420</v>
      </c>
      <c r="Q683" s="3"/>
      <c r="R683" s="6"/>
      <c r="S683" s="22"/>
      <c r="U683" s="23">
        <f t="shared" si="15"/>
        <v>7</v>
      </c>
      <c r="V683" s="24" t="s">
        <v>3</v>
      </c>
    </row>
    <row r="684" spans="1:24" ht="22.95" hidden="1" customHeight="1" x14ac:dyDescent="0.25">
      <c r="A684" s="1" t="s">
        <v>759</v>
      </c>
      <c r="D684" s="3" t="s">
        <v>1005</v>
      </c>
      <c r="E684" s="15" t="s">
        <v>1006</v>
      </c>
      <c r="F684" s="15" t="e">
        <f>+VLOOKUP(D684,[1]Sheet1!$D$2:$E$29166,2,0)</f>
        <v>#N/A</v>
      </c>
      <c r="G684" s="3" t="s">
        <v>51</v>
      </c>
      <c r="H684" s="3" t="s">
        <v>340</v>
      </c>
      <c r="I684" s="18" t="e">
        <f t="array" ref="I684">INDEX([2]Sheet1!$F$1:$AF$65808,MATCH(D684&amp;G684&amp;I$1,[2]Sheet1!$B$1:$B$65808&amp;[2]Sheet1!$D$1:$D$65808&amp;[2]Sheet1!$E$1:$E$65808,0),MATCH(H684,[2]Sheet1!$F$1:$AF$1,0))</f>
        <v>#N/A</v>
      </c>
      <c r="J684" s="3">
        <v>4</v>
      </c>
      <c r="K684" s="3">
        <v>4</v>
      </c>
      <c r="L684" s="19">
        <v>30</v>
      </c>
      <c r="M684" s="19">
        <v>30</v>
      </c>
      <c r="N684" s="5" t="s">
        <v>1007</v>
      </c>
      <c r="O684" s="4"/>
      <c r="P684" s="18">
        <v>60</v>
      </c>
      <c r="Q684" s="3"/>
      <c r="R684" s="6"/>
      <c r="S684" s="22"/>
      <c r="U684" s="23">
        <f t="shared" si="15"/>
        <v>4</v>
      </c>
      <c r="V684" s="24" t="s">
        <v>3</v>
      </c>
      <c r="W684" s="7" t="s">
        <v>471</v>
      </c>
      <c r="X684" s="7" t="s">
        <v>203</v>
      </c>
    </row>
    <row r="685" spans="1:24" ht="22.95" hidden="1" customHeight="1" x14ac:dyDescent="0.25">
      <c r="A685" s="1" t="s">
        <v>759</v>
      </c>
      <c r="D685" s="3" t="s">
        <v>631</v>
      </c>
      <c r="E685" s="15" t="s">
        <v>632</v>
      </c>
      <c r="F685" s="15" t="str">
        <f>+VLOOKUP(D685,[1]Sheet1!$D$2:$E$29166,2,0)</f>
        <v>BL280侧壁（左件）</v>
      </c>
      <c r="G685" s="3" t="s">
        <v>155</v>
      </c>
      <c r="H685" s="3" t="s">
        <v>340</v>
      </c>
      <c r="I685" s="18" t="e">
        <f t="array" ref="I685">INDEX([2]Sheet1!$F$1:$AF$65808,MATCH(D685&amp;G685&amp;I$1,[2]Sheet1!$B$1:$B$65808&amp;[2]Sheet1!$D$1:$D$65808&amp;[2]Sheet1!$E$1:$E$65808,0),MATCH(H685,[2]Sheet1!$F$1:$AF$1,0))</f>
        <v>#N/A</v>
      </c>
      <c r="J685" s="3">
        <v>2</v>
      </c>
      <c r="K685" s="3">
        <v>2</v>
      </c>
      <c r="L685" s="19">
        <v>30</v>
      </c>
      <c r="M685" s="19">
        <v>30</v>
      </c>
      <c r="N685" s="5" t="s">
        <v>993</v>
      </c>
      <c r="O685" s="4"/>
      <c r="P685" s="18">
        <v>480</v>
      </c>
      <c r="Q685" s="3"/>
      <c r="R685" s="6"/>
      <c r="S685" s="22"/>
      <c r="U685" s="23">
        <f t="shared" si="15"/>
        <v>16</v>
      </c>
      <c r="V685" s="24" t="s">
        <v>3</v>
      </c>
      <c r="W685" s="7" t="s">
        <v>1010</v>
      </c>
      <c r="X685" s="7" t="s">
        <v>203</v>
      </c>
    </row>
    <row r="686" spans="1:24" ht="22.95" hidden="1" customHeight="1" x14ac:dyDescent="0.25">
      <c r="A686" s="1" t="s">
        <v>759</v>
      </c>
      <c r="D686" s="3" t="s">
        <v>49</v>
      </c>
      <c r="E686" s="15" t="s">
        <v>50</v>
      </c>
      <c r="F686" s="15" t="str">
        <f>+VLOOKUP(D686,[1]Sheet1!$D$2:$E$29166,2,0)</f>
        <v>10460上接头</v>
      </c>
      <c r="G686" s="3" t="s">
        <v>51</v>
      </c>
      <c r="H686" s="3">
        <v>35</v>
      </c>
      <c r="I686" s="18" t="str">
        <f t="array" ref="I686">INDEX([2]Sheet1!$F$1:$AF$65808,MATCH(D686&amp;G686&amp;I$1,[2]Sheet1!$B$1:$B$65808&amp;[2]Sheet1!$D$1:$D$65808&amp;[2]Sheet1!$E$1:$E$65808,0),MATCH(H686,[2]Sheet1!$F$1:$AF$1,0))</f>
        <v>35/钳工</v>
      </c>
      <c r="J686" s="3">
        <v>6</v>
      </c>
      <c r="K686" s="3">
        <v>6</v>
      </c>
      <c r="L686" s="19">
        <v>30</v>
      </c>
      <c r="M686" s="19">
        <v>30</v>
      </c>
      <c r="N686" s="5" t="s">
        <v>980</v>
      </c>
      <c r="O686" s="4"/>
      <c r="P686" s="18">
        <f t="array" ref="P686">IFERROR(INDEX([2]Sheet1!$F$1:$AF$65808,MATCH($D686&amp;$G686&amp;P$1,[2]Sheet1!$B$1:$B$65808&amp;[2]Sheet1!$D$1:$D$65808&amp;[2]Sheet1!$E$1:$E$65808,0),MATCH($H686,[2]Sheet1!$F$1:$AF$1,0)),0)</f>
        <v>360</v>
      </c>
      <c r="Q686" s="3"/>
      <c r="R686" s="6"/>
      <c r="S686" s="22"/>
      <c r="U686" s="23">
        <f t="shared" si="15"/>
        <v>36</v>
      </c>
      <c r="V686" s="24" t="s">
        <v>3</v>
      </c>
    </row>
    <row r="687" spans="1:24" ht="22.95" hidden="1" customHeight="1" x14ac:dyDescent="0.25">
      <c r="A687" s="1" t="s">
        <v>766</v>
      </c>
      <c r="D687" s="3" t="s">
        <v>288</v>
      </c>
      <c r="E687" s="15" t="s">
        <v>289</v>
      </c>
      <c r="F687" s="15" t="str">
        <f>+VLOOKUP(D687,[1]Sheet1!$D$2:$E$29166,2,0)</f>
        <v>拨叉</v>
      </c>
      <c r="G687" s="3" t="s">
        <v>385</v>
      </c>
      <c r="H687" s="3">
        <v>55</v>
      </c>
      <c r="I687" s="18" t="str">
        <f t="array" ref="I687">INDEX([2]Sheet1!$F$1:$AF$65808,MATCH(D687&amp;G687&amp;I$1,[2]Sheet1!$B$1:$B$65808&amp;[2]Sheet1!$D$1:$D$65808&amp;[2]Sheet1!$E$1:$E$65808,0),MATCH(H687,[2]Sheet1!$F$1:$AF$1,0))</f>
        <v>55/数铣5</v>
      </c>
      <c r="J687" s="3">
        <v>3</v>
      </c>
      <c r="K687" s="3">
        <v>3</v>
      </c>
      <c r="L687" s="19">
        <v>8</v>
      </c>
      <c r="M687" s="19">
        <v>8</v>
      </c>
      <c r="N687" s="5" t="s">
        <v>1011</v>
      </c>
      <c r="O687" s="4"/>
      <c r="P687" s="18">
        <f t="array" ref="P687">IFERROR(INDEX([2]Sheet1!$F$1:$AF$65808,MATCH($D687&amp;$G687&amp;P$1,[2]Sheet1!$B$1:$B$65808&amp;[2]Sheet1!$D$1:$D$65808&amp;[2]Sheet1!$E$1:$E$65808,0),MATCH($H687,[2]Sheet1!$F$1:$AF$1,0)),0)</f>
        <v>30</v>
      </c>
      <c r="Q687" s="3"/>
      <c r="R687" s="6"/>
      <c r="S687" s="22"/>
      <c r="U687" s="23">
        <f t="shared" si="15"/>
        <v>1.5</v>
      </c>
      <c r="V687" s="24" t="s">
        <v>10</v>
      </c>
    </row>
    <row r="688" spans="1:24" ht="22.95" hidden="1" customHeight="1" x14ac:dyDescent="0.25">
      <c r="A688" s="1" t="s">
        <v>879</v>
      </c>
      <c r="D688" s="3" t="s">
        <v>1012</v>
      </c>
      <c r="E688" s="15" t="s">
        <v>1013</v>
      </c>
      <c r="F688" s="15" t="str">
        <f>+VLOOKUP(D688,[1]Sheet1!$D$2:$E$29166,2,0)</f>
        <v>联锁摇臂</v>
      </c>
      <c r="G688" s="3" t="s">
        <v>114</v>
      </c>
      <c r="H688" s="3">
        <v>25</v>
      </c>
      <c r="I688" s="18" t="str">
        <f t="array" ref="I688">INDEX([2]Sheet1!$F$1:$AF$65808,MATCH(D688&amp;G688&amp;I$1,[2]Sheet1!$B$1:$B$65808&amp;[2]Sheet1!$D$1:$D$65808&amp;[2]Sheet1!$E$1:$E$65808,0),MATCH(H688,[2]Sheet1!$F$1:$AF$1,0))</f>
        <v>25/钳工</v>
      </c>
      <c r="J688" s="3">
        <v>20</v>
      </c>
      <c r="K688" s="3">
        <v>20</v>
      </c>
      <c r="L688" s="19">
        <v>8</v>
      </c>
      <c r="M688" s="19">
        <v>8</v>
      </c>
      <c r="N688" s="5" t="s">
        <v>700</v>
      </c>
      <c r="O688" s="4"/>
      <c r="P688" s="18">
        <f t="array" ref="P688">IFERROR(INDEX([2]Sheet1!$F$1:$AF$65808,MATCH($D688&amp;$G688&amp;P$1,[2]Sheet1!$B$1:$B$65808&amp;[2]Sheet1!$D$1:$D$65808&amp;[2]Sheet1!$E$1:$E$65808,0),MATCH($H688,[2]Sheet1!$F$1:$AF$1,0)),0)</f>
        <v>30</v>
      </c>
      <c r="Q688" s="3"/>
      <c r="R688" s="6"/>
      <c r="S688" s="22"/>
      <c r="U688" s="23">
        <f t="shared" si="15"/>
        <v>10</v>
      </c>
      <c r="V688" s="24" t="s">
        <v>10</v>
      </c>
    </row>
    <row r="689" spans="1:24" ht="22.95" hidden="1" customHeight="1" x14ac:dyDescent="0.25">
      <c r="A689" s="1" t="s">
        <v>879</v>
      </c>
      <c r="D689" s="3" t="s">
        <v>1012</v>
      </c>
      <c r="E689" s="15" t="s">
        <v>1013</v>
      </c>
      <c r="F689" s="15" t="str">
        <f>+VLOOKUP(D689,[1]Sheet1!$D$2:$E$29166,2,0)</f>
        <v>联锁摇臂</v>
      </c>
      <c r="G689" s="3" t="s">
        <v>114</v>
      </c>
      <c r="H689" s="3">
        <v>25</v>
      </c>
      <c r="I689" s="18" t="str">
        <f t="array" ref="I689">INDEX([2]Sheet1!$F$1:$AF$65808,MATCH(D689&amp;G689&amp;I$1,[2]Sheet1!$B$1:$B$65808&amp;[2]Sheet1!$D$1:$D$65808&amp;[2]Sheet1!$E$1:$E$65808,0),MATCH(H689,[2]Sheet1!$F$1:$AF$1,0))</f>
        <v>25/钳工</v>
      </c>
      <c r="J689" s="3">
        <v>28</v>
      </c>
      <c r="K689" s="3">
        <v>28</v>
      </c>
      <c r="L689" s="19">
        <v>8</v>
      </c>
      <c r="M689" s="19">
        <v>8</v>
      </c>
      <c r="N689" s="5" t="s">
        <v>699</v>
      </c>
      <c r="O689" s="4"/>
      <c r="P689" s="18">
        <f t="array" ref="P689">IFERROR(INDEX([2]Sheet1!$F$1:$AF$65808,MATCH($D689&amp;$G689&amp;P$1,[2]Sheet1!$B$1:$B$65808&amp;[2]Sheet1!$D$1:$D$65808&amp;[2]Sheet1!$E$1:$E$65808,0),MATCH($H689,[2]Sheet1!$F$1:$AF$1,0)),0)</f>
        <v>30</v>
      </c>
      <c r="Q689" s="3"/>
      <c r="R689" s="6"/>
      <c r="S689" s="22"/>
      <c r="U689" s="23">
        <f t="shared" si="15"/>
        <v>14</v>
      </c>
      <c r="V689" s="24" t="s">
        <v>10</v>
      </c>
    </row>
    <row r="690" spans="1:24" ht="22.95" hidden="1" customHeight="1" x14ac:dyDescent="0.25">
      <c r="A690" s="1" t="s">
        <v>53</v>
      </c>
      <c r="D690" s="3" t="s">
        <v>135</v>
      </c>
      <c r="E690" s="15" t="s">
        <v>136</v>
      </c>
      <c r="F690" s="15" t="str">
        <f>+VLOOKUP(D690,[1]Sheet1!$D$2:$E$29166,2,0)</f>
        <v>密封圈3</v>
      </c>
      <c r="G690" s="3" t="s">
        <v>80</v>
      </c>
      <c r="H690" s="3" t="s">
        <v>340</v>
      </c>
      <c r="I690" s="18" t="e">
        <f t="array" ref="I690">INDEX([2]Sheet1!$F$1:$AF$65808,MATCH(D690&amp;G690&amp;I$1,[2]Sheet1!$B$1:$B$65808&amp;[2]Sheet1!$D$1:$D$65808&amp;[2]Sheet1!$E$1:$E$65808,0),MATCH(H690,[2]Sheet1!$F$1:$AF$1,0))</f>
        <v>#N/A</v>
      </c>
      <c r="J690" s="3">
        <v>2299</v>
      </c>
      <c r="K690" s="3">
        <v>1200</v>
      </c>
      <c r="L690" s="19">
        <v>8</v>
      </c>
      <c r="M690" s="19">
        <v>8</v>
      </c>
      <c r="N690" s="5" t="s">
        <v>137</v>
      </c>
      <c r="O690" s="4"/>
      <c r="P690" s="18">
        <v>3</v>
      </c>
      <c r="Q690" s="3"/>
      <c r="R690" s="6"/>
      <c r="S690" s="22"/>
      <c r="U690" s="23">
        <f t="shared" si="15"/>
        <v>60</v>
      </c>
      <c r="V690" s="24" t="s">
        <v>10</v>
      </c>
      <c r="W690" s="7" t="s">
        <v>1014</v>
      </c>
      <c r="X690" s="7" t="s">
        <v>203</v>
      </c>
    </row>
    <row r="691" spans="1:24" ht="22.95" hidden="1" customHeight="1" x14ac:dyDescent="0.25">
      <c r="A691" s="1" t="s">
        <v>58</v>
      </c>
      <c r="D691" s="3" t="s">
        <v>1015</v>
      </c>
      <c r="E691" s="15" t="s">
        <v>120</v>
      </c>
      <c r="F691" s="15" t="str">
        <f>+VLOOKUP(D691,[1]Sheet1!$D$2:$E$29166,2,0)</f>
        <v>支架</v>
      </c>
      <c r="H691" s="3" t="s">
        <v>340</v>
      </c>
      <c r="I691" s="18" t="e">
        <f t="array" ref="I691">INDEX([2]Sheet1!$F$1:$AF$65808,MATCH(D691&amp;G691&amp;I$1,[2]Sheet1!$B$1:$B$65808&amp;[2]Sheet1!$D$1:$D$65808&amp;[2]Sheet1!$E$1:$E$65808,0),MATCH(H691,[2]Sheet1!$F$1:$AF$1,0))</f>
        <v>#N/A</v>
      </c>
      <c r="J691" s="3">
        <v>20</v>
      </c>
      <c r="K691" s="3">
        <v>24</v>
      </c>
      <c r="L691" s="19">
        <v>8</v>
      </c>
      <c r="M691" s="19">
        <v>8</v>
      </c>
      <c r="N691" s="5" t="s">
        <v>56</v>
      </c>
      <c r="O691" s="4"/>
      <c r="P691" s="18">
        <v>45</v>
      </c>
      <c r="Q691" s="3"/>
      <c r="R691" s="6"/>
      <c r="S691" s="22"/>
      <c r="U691" s="23">
        <f t="shared" si="15"/>
        <v>18</v>
      </c>
      <c r="V691" s="24" t="s">
        <v>10</v>
      </c>
      <c r="W691" s="7" t="s">
        <v>344</v>
      </c>
      <c r="X691" s="7" t="s">
        <v>203</v>
      </c>
    </row>
    <row r="692" spans="1:24" ht="22.95" hidden="1" customHeight="1" x14ac:dyDescent="0.25">
      <c r="A692" s="1" t="s">
        <v>58</v>
      </c>
      <c r="D692" s="3" t="s">
        <v>1015</v>
      </c>
      <c r="E692" s="15" t="s">
        <v>120</v>
      </c>
      <c r="F692" s="15" t="str">
        <f>+VLOOKUP(D692,[1]Sheet1!$D$2:$E$29166,2,0)</f>
        <v>支架</v>
      </c>
      <c r="H692" s="3" t="s">
        <v>340</v>
      </c>
      <c r="I692" s="18" t="e">
        <f t="array" ref="I692">INDEX([2]Sheet1!$F$1:$AF$65808,MATCH(D692&amp;G692&amp;I$1,[2]Sheet1!$B$1:$B$65808&amp;[2]Sheet1!$D$1:$D$65808&amp;[2]Sheet1!$E$1:$E$65808,0),MATCH(H692,[2]Sheet1!$F$1:$AF$1,0))</f>
        <v>#N/A</v>
      </c>
      <c r="J692" s="3">
        <v>6</v>
      </c>
      <c r="K692" s="3">
        <v>6</v>
      </c>
      <c r="L692" s="19">
        <v>8</v>
      </c>
      <c r="M692" s="19">
        <v>8</v>
      </c>
      <c r="N692" s="5" t="s">
        <v>357</v>
      </c>
      <c r="O692" s="4"/>
      <c r="P692" s="18">
        <v>45</v>
      </c>
      <c r="Q692" s="3"/>
      <c r="R692" s="6"/>
      <c r="S692" s="22"/>
      <c r="U692" s="23">
        <f t="shared" si="15"/>
        <v>4.5</v>
      </c>
      <c r="V692" s="24" t="s">
        <v>10</v>
      </c>
      <c r="W692" s="7" t="s">
        <v>344</v>
      </c>
      <c r="X692" s="7" t="s">
        <v>203</v>
      </c>
    </row>
    <row r="693" spans="1:24" ht="22.95" hidden="1" customHeight="1" x14ac:dyDescent="0.25">
      <c r="A693" s="1" t="s">
        <v>58</v>
      </c>
      <c r="D693" s="3" t="s">
        <v>1015</v>
      </c>
      <c r="E693" s="15" t="s">
        <v>120</v>
      </c>
      <c r="F693" s="15" t="str">
        <f>+VLOOKUP(D693,[1]Sheet1!$D$2:$E$29166,2,0)</f>
        <v>支架</v>
      </c>
      <c r="H693" s="3" t="s">
        <v>340</v>
      </c>
      <c r="I693" s="18" t="e">
        <f t="array" ref="I693">INDEX([2]Sheet1!$F$1:$AF$65808,MATCH(D693&amp;G693&amp;I$1,[2]Sheet1!$B$1:$B$65808&amp;[2]Sheet1!$D$1:$D$65808&amp;[2]Sheet1!$E$1:$E$65808,0),MATCH(H693,[2]Sheet1!$F$1:$AF$1,0))</f>
        <v>#N/A</v>
      </c>
      <c r="J693" s="3">
        <v>5</v>
      </c>
      <c r="K693" s="3">
        <v>5</v>
      </c>
      <c r="L693" s="19">
        <v>8</v>
      </c>
      <c r="M693" s="19">
        <v>8</v>
      </c>
      <c r="N693" s="5" t="s">
        <v>1016</v>
      </c>
      <c r="O693" s="4"/>
      <c r="P693" s="18">
        <v>45</v>
      </c>
      <c r="Q693" s="3"/>
      <c r="R693" s="6"/>
      <c r="S693" s="22"/>
      <c r="U693" s="23">
        <f t="shared" si="15"/>
        <v>3.8</v>
      </c>
      <c r="V693" s="24" t="s">
        <v>10</v>
      </c>
      <c r="W693" s="7" t="s">
        <v>344</v>
      </c>
      <c r="X693" s="7" t="s">
        <v>203</v>
      </c>
    </row>
    <row r="694" spans="1:24" ht="22.95" hidden="1" customHeight="1" x14ac:dyDescent="0.25">
      <c r="A694" s="1" t="s">
        <v>65</v>
      </c>
      <c r="D694" s="3" t="s">
        <v>818</v>
      </c>
      <c r="E694" s="15" t="s">
        <v>819</v>
      </c>
      <c r="F694" s="15" t="str">
        <f>+VLOOKUP(D694,[1]Sheet1!$D$2:$E$29166,2,0)</f>
        <v>盖</v>
      </c>
      <c r="G694" s="3" t="s">
        <v>46</v>
      </c>
      <c r="H694" s="3" t="s">
        <v>340</v>
      </c>
      <c r="I694" s="18" t="e">
        <f t="array" ref="I694">INDEX([2]Sheet1!$F$1:$AF$65808,MATCH(D694&amp;G694&amp;I$1,[2]Sheet1!$B$1:$B$65808&amp;[2]Sheet1!$D$1:$D$65808&amp;[2]Sheet1!$E$1:$E$65808,0),MATCH(H694,[2]Sheet1!$F$1:$AF$1,0))</f>
        <v>#N/A</v>
      </c>
      <c r="J694" s="3">
        <v>40</v>
      </c>
      <c r="K694" s="3">
        <v>40</v>
      </c>
      <c r="L694" s="19">
        <v>8</v>
      </c>
      <c r="M694" s="19">
        <v>8</v>
      </c>
      <c r="O694" s="4"/>
      <c r="P694" s="18">
        <v>20</v>
      </c>
      <c r="Q694" s="3"/>
      <c r="R694" s="6"/>
      <c r="S694" s="22"/>
      <c r="U694" s="23">
        <f t="shared" ref="U694:U725" si="16">ROUND((K694*P694+Q694*S694)/60+T694,1)</f>
        <v>13.3</v>
      </c>
      <c r="V694" s="24" t="s">
        <v>10</v>
      </c>
      <c r="W694" s="7" t="s">
        <v>485</v>
      </c>
      <c r="X694" s="7" t="s">
        <v>203</v>
      </c>
    </row>
    <row r="695" spans="1:24" ht="22.95" hidden="1" customHeight="1" x14ac:dyDescent="0.25">
      <c r="A695" s="1" t="s">
        <v>82</v>
      </c>
      <c r="D695" s="3" t="s">
        <v>279</v>
      </c>
      <c r="E695" s="15" t="s">
        <v>254</v>
      </c>
      <c r="F695" s="15" t="str">
        <f>+VLOOKUP(D695,[1]Sheet1!$D$2:$E$29166,2,0)</f>
        <v>支座</v>
      </c>
      <c r="G695" s="3" t="s">
        <v>46</v>
      </c>
      <c r="H695" s="3" t="s">
        <v>340</v>
      </c>
      <c r="I695" s="18" t="e">
        <f t="array" ref="I695">INDEX([2]Sheet1!$F$1:$AF$65808,MATCH(D695&amp;G695&amp;I$1,[2]Sheet1!$B$1:$B$65808&amp;[2]Sheet1!$D$1:$D$65808&amp;[2]Sheet1!$E$1:$E$65808,0),MATCH(H695,[2]Sheet1!$F$1:$AF$1,0))</f>
        <v>#N/A</v>
      </c>
      <c r="J695" s="3">
        <v>49</v>
      </c>
      <c r="K695" s="3">
        <v>49</v>
      </c>
      <c r="L695" s="19">
        <v>8</v>
      </c>
      <c r="M695" s="19">
        <v>8</v>
      </c>
      <c r="N695" s="5" t="s">
        <v>280</v>
      </c>
      <c r="O695" s="4"/>
      <c r="P695" s="18">
        <v>25</v>
      </c>
      <c r="Q695" s="3"/>
      <c r="R695" s="6"/>
      <c r="S695" s="22"/>
      <c r="U695" s="23">
        <f t="shared" si="16"/>
        <v>20.399999999999999</v>
      </c>
      <c r="V695" s="24" t="s">
        <v>10</v>
      </c>
      <c r="W695" s="7" t="s">
        <v>377</v>
      </c>
      <c r="X695" s="7" t="s">
        <v>203</v>
      </c>
    </row>
    <row r="696" spans="1:24" ht="22.95" hidden="1" customHeight="1" x14ac:dyDescent="0.25">
      <c r="A696" s="1" t="s">
        <v>82</v>
      </c>
      <c r="D696" s="3" t="s">
        <v>273</v>
      </c>
      <c r="E696" s="15" t="s">
        <v>274</v>
      </c>
      <c r="F696" s="15" t="str">
        <f>+VLOOKUP(D696,[1]Sheet1!$D$2:$E$29166,2,0)</f>
        <v>铰链</v>
      </c>
      <c r="G696" s="3" t="s">
        <v>46</v>
      </c>
      <c r="H696" s="3" t="s">
        <v>340</v>
      </c>
      <c r="I696" s="18" t="e">
        <f t="array" ref="I696">INDEX([2]Sheet1!$F$1:$AF$65808,MATCH(D696&amp;G696&amp;I$1,[2]Sheet1!$B$1:$B$65808&amp;[2]Sheet1!$D$1:$D$65808&amp;[2]Sheet1!$E$1:$E$65808,0),MATCH(H696,[2]Sheet1!$F$1:$AF$1,0))</f>
        <v>#N/A</v>
      </c>
      <c r="J696" s="3">
        <v>14</v>
      </c>
      <c r="K696" s="3">
        <v>14</v>
      </c>
      <c r="L696" s="19">
        <v>8</v>
      </c>
      <c r="M696" s="19">
        <v>8</v>
      </c>
      <c r="N696" s="5" t="s">
        <v>275</v>
      </c>
      <c r="O696" s="4"/>
      <c r="P696" s="18">
        <v>20</v>
      </c>
      <c r="Q696" s="3"/>
      <c r="R696" s="6"/>
      <c r="S696" s="22"/>
      <c r="U696" s="23">
        <f t="shared" si="16"/>
        <v>4.7</v>
      </c>
      <c r="V696" s="24" t="s">
        <v>10</v>
      </c>
      <c r="W696" s="7" t="s">
        <v>485</v>
      </c>
      <c r="X696" s="7" t="s">
        <v>203</v>
      </c>
    </row>
    <row r="697" spans="1:24" ht="22.95" hidden="1" customHeight="1" x14ac:dyDescent="0.25">
      <c r="A697" s="1" t="s">
        <v>116</v>
      </c>
      <c r="D697" s="3" t="s">
        <v>445</v>
      </c>
      <c r="E697" s="15" t="s">
        <v>446</v>
      </c>
      <c r="F697" s="15" t="str">
        <f>+VLOOKUP(D697,[1]Sheet1!$D$2:$E$29166,2,0)</f>
        <v>摇臂</v>
      </c>
      <c r="G697" s="3" t="s">
        <v>80</v>
      </c>
      <c r="H697" s="3" t="s">
        <v>340</v>
      </c>
      <c r="I697" s="18" t="e">
        <f t="array" ref="I697">INDEX([2]Sheet1!$F$1:$AF$65808,MATCH(D697&amp;G697&amp;I$1,[2]Sheet1!$B$1:$B$65808&amp;[2]Sheet1!$D$1:$D$65808&amp;[2]Sheet1!$E$1:$E$65808,0),MATCH(H697,[2]Sheet1!$F$1:$AF$1,0))</f>
        <v>#N/A</v>
      </c>
      <c r="K697" s="3">
        <v>3</v>
      </c>
      <c r="L697" s="19">
        <v>8</v>
      </c>
      <c r="M697" s="19">
        <v>8</v>
      </c>
      <c r="O697" s="4"/>
      <c r="P697" s="18">
        <v>40</v>
      </c>
      <c r="Q697" s="3"/>
      <c r="R697" s="6"/>
      <c r="S697" s="22"/>
      <c r="U697" s="23">
        <f t="shared" si="16"/>
        <v>2</v>
      </c>
      <c r="V697" s="24" t="s">
        <v>10</v>
      </c>
      <c r="W697" s="7" t="s">
        <v>1003</v>
      </c>
      <c r="X697" s="7" t="s">
        <v>203</v>
      </c>
    </row>
    <row r="698" spans="1:24" ht="22.95" hidden="1" customHeight="1" x14ac:dyDescent="0.25">
      <c r="A698" s="1" t="s">
        <v>876</v>
      </c>
      <c r="D698" s="3" t="s">
        <v>549</v>
      </c>
      <c r="E698" s="15" t="s">
        <v>76</v>
      </c>
      <c r="F698" s="15" t="str">
        <f>+VLOOKUP(D698,[1]Sheet1!$D$2:$E$29166,2,0)</f>
        <v>接管嘴</v>
      </c>
      <c r="G698" s="3" t="s">
        <v>46</v>
      </c>
      <c r="H698" s="3" t="s">
        <v>340</v>
      </c>
      <c r="I698" s="18" t="e">
        <f t="array" ref="I698">INDEX([2]Sheet1!$F$1:$AF$65808,MATCH(D698&amp;G698&amp;I$1,[2]Sheet1!$B$1:$B$65808&amp;[2]Sheet1!$D$1:$D$65808&amp;[2]Sheet1!$E$1:$E$65808,0),MATCH(H698,[2]Sheet1!$F$1:$AF$1,0))</f>
        <v>#N/A</v>
      </c>
      <c r="J698" s="3">
        <v>68</v>
      </c>
      <c r="K698" s="3">
        <v>68</v>
      </c>
      <c r="L698" s="19">
        <v>8</v>
      </c>
      <c r="M698" s="19">
        <v>8</v>
      </c>
      <c r="N698" s="5" t="s">
        <v>1017</v>
      </c>
      <c r="O698" s="4"/>
      <c r="P698" s="18">
        <v>15</v>
      </c>
      <c r="Q698" s="3"/>
      <c r="R698" s="6"/>
      <c r="S698" s="22"/>
      <c r="U698" s="23">
        <f t="shared" si="16"/>
        <v>17</v>
      </c>
      <c r="V698" s="24" t="s">
        <v>10</v>
      </c>
      <c r="W698" s="7" t="s">
        <v>257</v>
      </c>
      <c r="X698" s="7" t="s">
        <v>203</v>
      </c>
    </row>
    <row r="699" spans="1:24" ht="22.95" hidden="1" customHeight="1" x14ac:dyDescent="0.25">
      <c r="A699" s="1" t="s">
        <v>103</v>
      </c>
      <c r="D699" s="3" t="s">
        <v>284</v>
      </c>
      <c r="E699" s="15" t="s">
        <v>285</v>
      </c>
      <c r="F699" s="15" t="str">
        <f>+VLOOKUP(D699,[1]Sheet1!$D$2:$E$29166,2,0)</f>
        <v>压板</v>
      </c>
      <c r="G699" s="3" t="s">
        <v>64</v>
      </c>
      <c r="H699" s="3" t="s">
        <v>340</v>
      </c>
      <c r="I699" s="18" t="e">
        <f t="array" ref="I699">INDEX([2]Sheet1!$F$1:$AF$65808,MATCH(D699&amp;G699&amp;I$1,[2]Sheet1!$B$1:$B$65808&amp;[2]Sheet1!$D$1:$D$65808&amp;[2]Sheet1!$E$1:$E$65808,0),MATCH(H699,[2]Sheet1!$F$1:$AF$1,0))</f>
        <v>#N/A</v>
      </c>
      <c r="J699" s="3">
        <v>108</v>
      </c>
      <c r="K699" s="3">
        <v>108</v>
      </c>
      <c r="L699" s="19">
        <v>8</v>
      </c>
      <c r="M699" s="19">
        <v>8</v>
      </c>
      <c r="N699" s="5" t="s">
        <v>1018</v>
      </c>
      <c r="O699" s="4"/>
      <c r="P699" s="18">
        <v>15</v>
      </c>
      <c r="Q699" s="3"/>
      <c r="R699" s="6"/>
      <c r="S699" s="22"/>
      <c r="U699" s="23">
        <f t="shared" si="16"/>
        <v>27</v>
      </c>
      <c r="V699" s="24" t="s">
        <v>10</v>
      </c>
      <c r="W699" s="7" t="s">
        <v>257</v>
      </c>
      <c r="X699" s="7" t="s">
        <v>203</v>
      </c>
    </row>
    <row r="700" spans="1:24" ht="22.95" hidden="1" customHeight="1" x14ac:dyDescent="0.25">
      <c r="A700" s="1" t="s">
        <v>562</v>
      </c>
      <c r="D700" s="3" t="s">
        <v>1019</v>
      </c>
      <c r="E700" s="15" t="s">
        <v>1020</v>
      </c>
      <c r="F700" s="15" t="str">
        <f>+VLOOKUP(D700,[1]Sheet1!$D$2:$E$29166,2,0)</f>
        <v>管嘴</v>
      </c>
      <c r="G700" s="3" t="s">
        <v>46</v>
      </c>
      <c r="H700" s="3" t="s">
        <v>340</v>
      </c>
      <c r="I700" s="18" t="e">
        <f t="array" ref="I700">INDEX([2]Sheet1!$F$1:$AF$65808,MATCH(D700&amp;G700&amp;I$1,[2]Sheet1!$B$1:$B$65808&amp;[2]Sheet1!$D$1:$D$65808&amp;[2]Sheet1!$E$1:$E$65808,0),MATCH(H700,[2]Sheet1!$F$1:$AF$1,0))</f>
        <v>#N/A</v>
      </c>
      <c r="J700" s="3">
        <v>56</v>
      </c>
      <c r="K700" s="3">
        <v>47</v>
      </c>
      <c r="L700" s="19">
        <v>8</v>
      </c>
      <c r="M700" s="19">
        <v>8</v>
      </c>
      <c r="N700" s="5" t="s">
        <v>376</v>
      </c>
      <c r="O700" s="4"/>
      <c r="P700" s="18">
        <v>10</v>
      </c>
      <c r="Q700" s="3"/>
      <c r="R700" s="6"/>
      <c r="S700" s="22"/>
      <c r="U700" s="23">
        <f t="shared" si="16"/>
        <v>7.8</v>
      </c>
      <c r="V700" s="24" t="s">
        <v>10</v>
      </c>
      <c r="W700" s="7" t="s">
        <v>518</v>
      </c>
      <c r="X700" s="7" t="s">
        <v>203</v>
      </c>
    </row>
    <row r="701" spans="1:24" ht="22.95" hidden="1" customHeight="1" x14ac:dyDescent="0.25">
      <c r="A701" s="1" t="s">
        <v>840</v>
      </c>
      <c r="D701" s="3" t="s">
        <v>1021</v>
      </c>
      <c r="E701" s="15" t="s">
        <v>1006</v>
      </c>
      <c r="F701" s="15" t="str">
        <f>+VLOOKUP(D701,[1]Sheet1!$D$2:$E$29166,2,0)</f>
        <v>8455 4号加强筋</v>
      </c>
      <c r="G701" s="3" t="s">
        <v>51</v>
      </c>
      <c r="H701" s="3">
        <v>45</v>
      </c>
      <c r="I701" s="18" t="str">
        <f t="array" ref="I701">INDEX([2]Sheet1!$F$1:$AF$65808,MATCH(D701&amp;G701&amp;I$1,[2]Sheet1!$B$1:$B$65808&amp;[2]Sheet1!$D$1:$D$65808&amp;[2]Sheet1!$E$1:$E$65808,0),MATCH(H701,[2]Sheet1!$F$1:$AF$1,0))</f>
        <v>45钳工</v>
      </c>
      <c r="J701" s="3">
        <v>1</v>
      </c>
      <c r="K701" s="3">
        <v>1</v>
      </c>
      <c r="L701" s="19">
        <v>30</v>
      </c>
      <c r="M701" s="19">
        <v>30</v>
      </c>
      <c r="N701" s="5" t="s">
        <v>499</v>
      </c>
      <c r="O701" s="4"/>
      <c r="P701" s="18">
        <f t="array" ref="P701">IFERROR(INDEX([2]Sheet1!$F$1:$AF$65808,MATCH($D701&amp;$G701&amp;P$1,[2]Sheet1!$B$1:$B$65808&amp;[2]Sheet1!$D$1:$D$65808&amp;[2]Sheet1!$E$1:$E$65808,0),MATCH($H701,[2]Sheet1!$F$1:$AF$1,0)),0)</f>
        <v>270</v>
      </c>
      <c r="Q701" s="3"/>
      <c r="R701" s="6"/>
      <c r="S701" s="22"/>
      <c r="U701" s="23">
        <f t="shared" si="16"/>
        <v>4.5</v>
      </c>
      <c r="V701" s="24" t="s">
        <v>16</v>
      </c>
    </row>
    <row r="702" spans="1:24" ht="22.95" hidden="1" customHeight="1" x14ac:dyDescent="0.25">
      <c r="A702" s="1" t="s">
        <v>840</v>
      </c>
      <c r="D702" s="3" t="s">
        <v>1022</v>
      </c>
      <c r="E702" s="15" t="s">
        <v>1006</v>
      </c>
      <c r="F702" s="15" t="str">
        <f>+VLOOKUP(D702,[1]Sheet1!$D$2:$E$29166,2,0)</f>
        <v>8455 4号加强筋</v>
      </c>
      <c r="G702" s="3" t="s">
        <v>51</v>
      </c>
      <c r="H702" s="3">
        <v>45</v>
      </c>
      <c r="I702" s="18" t="str">
        <f t="array" ref="I702">INDEX([2]Sheet1!$F$1:$AF$65808,MATCH(D702&amp;G702&amp;I$1,[2]Sheet1!$B$1:$B$65808&amp;[2]Sheet1!$D$1:$D$65808&amp;[2]Sheet1!$E$1:$E$65808,0),MATCH(H702,[2]Sheet1!$F$1:$AF$1,0))</f>
        <v>45钳工</v>
      </c>
      <c r="J702" s="3">
        <v>1</v>
      </c>
      <c r="K702" s="3">
        <v>1</v>
      </c>
      <c r="L702" s="19">
        <v>30</v>
      </c>
      <c r="M702" s="19">
        <v>30</v>
      </c>
      <c r="N702" s="5" t="s">
        <v>499</v>
      </c>
      <c r="O702" s="4"/>
      <c r="P702" s="18">
        <f t="array" ref="P702">IFERROR(INDEX([2]Sheet1!$F$1:$AF$65808,MATCH($D702&amp;$G702&amp;P$1,[2]Sheet1!$B$1:$B$65808&amp;[2]Sheet1!$D$1:$D$65808&amp;[2]Sheet1!$E$1:$E$65808,0),MATCH($H702,[2]Sheet1!$F$1:$AF$1,0)),0)</f>
        <v>270</v>
      </c>
      <c r="Q702" s="3"/>
      <c r="R702" s="6"/>
      <c r="S702" s="22"/>
      <c r="U702" s="23">
        <f t="shared" si="16"/>
        <v>4.5</v>
      </c>
      <c r="V702" s="24" t="s">
        <v>16</v>
      </c>
    </row>
    <row r="703" spans="1:24" ht="22.95" hidden="1" customHeight="1" x14ac:dyDescent="0.25">
      <c r="A703" s="1" t="s">
        <v>879</v>
      </c>
      <c r="D703" s="3" t="s">
        <v>1023</v>
      </c>
      <c r="E703" s="15" t="s">
        <v>1024</v>
      </c>
      <c r="F703" s="15" t="str">
        <f>+VLOOKUP(D703,[1]Sheet1!$D$2:$E$29166,2,0)</f>
        <v>底板连接接头</v>
      </c>
      <c r="G703" s="3" t="s">
        <v>80</v>
      </c>
      <c r="H703" s="3">
        <v>30</v>
      </c>
      <c r="I703" s="18" t="str">
        <f t="array" ref="I703">INDEX([2]Sheet1!$F$1:$AF$65808,MATCH(D703&amp;G703&amp;I$1,[2]Sheet1!$B$1:$B$65808&amp;[2]Sheet1!$D$1:$D$65808&amp;[2]Sheet1!$E$1:$E$65808,0),MATCH(H703,[2]Sheet1!$F$1:$AF$1,0))</f>
        <v>30/钳工</v>
      </c>
      <c r="J703" s="3">
        <v>8</v>
      </c>
      <c r="K703" s="3">
        <v>8</v>
      </c>
      <c r="L703" s="19">
        <v>30</v>
      </c>
      <c r="M703" s="19">
        <v>30</v>
      </c>
      <c r="N703" s="5" t="s">
        <v>81</v>
      </c>
      <c r="O703" s="4"/>
      <c r="P703" s="18">
        <f t="array" ref="P703">IFERROR(INDEX([2]Sheet1!$F$1:$AF$65808,MATCH($D703&amp;$G703&amp;P$1,[2]Sheet1!$B$1:$B$65808&amp;[2]Sheet1!$D$1:$D$65808&amp;[2]Sheet1!$E$1:$E$65808,0),MATCH($H703,[2]Sheet1!$F$1:$AF$1,0)),0)</f>
        <v>60</v>
      </c>
      <c r="Q703" s="3"/>
      <c r="R703" s="6"/>
      <c r="S703" s="22"/>
      <c r="U703" s="23">
        <f t="shared" si="16"/>
        <v>8</v>
      </c>
      <c r="V703" s="24" t="s">
        <v>16</v>
      </c>
    </row>
    <row r="704" spans="1:24" ht="22.95" hidden="1" customHeight="1" x14ac:dyDescent="0.25">
      <c r="A704" s="1" t="s">
        <v>840</v>
      </c>
      <c r="D704" s="3" t="s">
        <v>1025</v>
      </c>
      <c r="E704" s="15" t="s">
        <v>120</v>
      </c>
      <c r="F704" s="15" t="str">
        <f>+VLOOKUP(D704,[1]Sheet1!$D$2:$E$29166,2,0)</f>
        <v>支架</v>
      </c>
      <c r="G704" s="3" t="s">
        <v>51</v>
      </c>
      <c r="H704" s="3">
        <v>25</v>
      </c>
      <c r="I704" s="18" t="str">
        <f t="array" ref="I704">INDEX([2]Sheet1!$F$1:$AF$65808,MATCH(D704&amp;G704&amp;I$1,[2]Sheet1!$B$1:$B$65808&amp;[2]Sheet1!$D$1:$D$65808&amp;[2]Sheet1!$E$1:$E$65808,0),MATCH(H704,[2]Sheet1!$F$1:$AF$1,0))</f>
        <v>25/钳工</v>
      </c>
      <c r="J704" s="3">
        <v>8</v>
      </c>
      <c r="K704" s="3">
        <v>8</v>
      </c>
      <c r="L704" s="19">
        <v>30</v>
      </c>
      <c r="M704" s="19">
        <v>30</v>
      </c>
      <c r="N704" s="5" t="s">
        <v>911</v>
      </c>
      <c r="O704" s="4"/>
      <c r="P704" s="18">
        <f t="array" ref="P704">IFERROR(INDEX([2]Sheet1!$F$1:$AF$65808,MATCH($D704&amp;$G704&amp;P$1,[2]Sheet1!$B$1:$B$65808&amp;[2]Sheet1!$D$1:$D$65808&amp;[2]Sheet1!$E$1:$E$65808,0),MATCH($H704,[2]Sheet1!$F$1:$AF$1,0)),0)</f>
        <v>30</v>
      </c>
      <c r="Q704" s="3"/>
      <c r="R704" s="6"/>
      <c r="S704" s="22"/>
      <c r="U704" s="23">
        <f t="shared" si="16"/>
        <v>4</v>
      </c>
      <c r="V704" s="24" t="s">
        <v>16</v>
      </c>
    </row>
    <row r="705" spans="1:24" ht="22.95" hidden="1" customHeight="1" x14ac:dyDescent="0.25">
      <c r="A705" s="1" t="s">
        <v>879</v>
      </c>
      <c r="D705" s="3" t="s">
        <v>1022</v>
      </c>
      <c r="E705" s="15" t="s">
        <v>1006</v>
      </c>
      <c r="F705" s="15" t="str">
        <f>+VLOOKUP(D705,[1]Sheet1!$D$2:$E$29166,2,0)</f>
        <v>8455 4号加强筋</v>
      </c>
      <c r="G705" s="3" t="s">
        <v>51</v>
      </c>
      <c r="H705" s="3" t="s">
        <v>340</v>
      </c>
      <c r="I705" s="18" t="e">
        <f t="array" ref="I705">INDEX([2]Sheet1!$F$1:$AF$65808,MATCH(D705&amp;G705&amp;I$1,[2]Sheet1!$B$1:$B$65808&amp;[2]Sheet1!$D$1:$D$65808&amp;[2]Sheet1!$E$1:$E$65808,0),MATCH(H705,[2]Sheet1!$F$1:$AF$1,0))</f>
        <v>#N/A</v>
      </c>
      <c r="J705" s="3">
        <v>1</v>
      </c>
      <c r="K705" s="3">
        <v>1</v>
      </c>
      <c r="L705" s="19">
        <v>30</v>
      </c>
      <c r="M705" s="19">
        <v>30</v>
      </c>
      <c r="N705" s="5" t="s">
        <v>499</v>
      </c>
      <c r="O705" s="4"/>
      <c r="P705" s="18">
        <v>60</v>
      </c>
      <c r="Q705" s="3"/>
      <c r="R705" s="6"/>
      <c r="S705" s="22"/>
      <c r="U705" s="23">
        <f t="shared" si="16"/>
        <v>1</v>
      </c>
      <c r="V705" s="24" t="s">
        <v>16</v>
      </c>
      <c r="W705" s="7" t="s">
        <v>471</v>
      </c>
      <c r="X705" s="7" t="s">
        <v>203</v>
      </c>
    </row>
    <row r="706" spans="1:24" ht="22.95" hidden="1" customHeight="1" x14ac:dyDescent="0.25">
      <c r="A706" s="1" t="s">
        <v>1026</v>
      </c>
      <c r="D706" s="3" t="s">
        <v>1027</v>
      </c>
      <c r="E706" s="15" t="s">
        <v>1028</v>
      </c>
      <c r="F706" s="15" t="str">
        <f>+VLOOKUP(D706,[1]Sheet1!$D$2:$E$29166,2,0)</f>
        <v>XXX插头绝缘子</v>
      </c>
      <c r="G706" s="3" t="s">
        <v>80</v>
      </c>
      <c r="H706" s="3">
        <v>15</v>
      </c>
      <c r="I706" s="18" t="e">
        <f t="array" ref="I706">INDEX([2]Sheet1!$F$1:$AF$65808,MATCH(D706&amp;G706&amp;I$1,[2]Sheet1!$B$1:$B$65808&amp;[2]Sheet1!$D$1:$D$65808&amp;[2]Sheet1!$E$1:$E$65808,0),MATCH(H706,[2]Sheet1!$F$1:$AF$1,0))</f>
        <v>#N/A</v>
      </c>
      <c r="J706" s="3">
        <v>660</v>
      </c>
      <c r="K706" s="3">
        <v>665</v>
      </c>
      <c r="L706" s="19">
        <v>8</v>
      </c>
      <c r="M706" s="19">
        <v>8</v>
      </c>
      <c r="N706" s="5" t="s">
        <v>192</v>
      </c>
      <c r="O706" s="4"/>
      <c r="P706" s="18">
        <v>12</v>
      </c>
      <c r="Q706" s="3"/>
      <c r="R706" s="6"/>
      <c r="S706" s="22"/>
      <c r="U706" s="23">
        <f t="shared" si="16"/>
        <v>133</v>
      </c>
      <c r="V706" s="24" t="s">
        <v>12</v>
      </c>
    </row>
    <row r="707" spans="1:24" ht="22.95" hidden="1" customHeight="1" x14ac:dyDescent="0.25">
      <c r="A707" s="1" t="s">
        <v>876</v>
      </c>
      <c r="D707" s="3" t="s">
        <v>816</v>
      </c>
      <c r="E707" s="15" t="s">
        <v>817</v>
      </c>
      <c r="F707" s="15" t="str">
        <f>+VLOOKUP(D707,[1]Sheet1!$D$2:$E$29166,2,0)</f>
        <v>套筒</v>
      </c>
      <c r="G707" s="3" t="s">
        <v>51</v>
      </c>
      <c r="H707" s="3">
        <v>30</v>
      </c>
      <c r="I707" s="18" t="str">
        <f t="array" ref="I707">INDEX([2]Sheet1!$F$1:$AF$65808,MATCH(D707&amp;G707&amp;I$1,[2]Sheet1!$B$1:$B$65808&amp;[2]Sheet1!$D$1:$D$65808&amp;[2]Sheet1!$E$1:$E$65808,0),MATCH(H707,[2]Sheet1!$F$1:$AF$1,0))</f>
        <v>30/钳工</v>
      </c>
      <c r="J707" s="3">
        <v>16</v>
      </c>
      <c r="K707" s="3">
        <v>16</v>
      </c>
      <c r="L707" s="19">
        <v>8</v>
      </c>
      <c r="M707" s="19">
        <v>8</v>
      </c>
      <c r="N707" s="5" t="s">
        <v>197</v>
      </c>
      <c r="O707" s="4"/>
      <c r="P707" s="18">
        <f t="array" ref="P707">IFERROR(INDEX([2]Sheet1!$F$1:$AF$65808,MATCH($D707&amp;$G707&amp;P$1,[2]Sheet1!$B$1:$B$65808&amp;[2]Sheet1!$D$1:$D$65808&amp;[2]Sheet1!$E$1:$E$65808,0),MATCH($H707,[2]Sheet1!$F$1:$AF$1,0)),0)</f>
        <v>20</v>
      </c>
      <c r="Q707" s="3"/>
      <c r="R707" s="6"/>
      <c r="S707" s="22"/>
      <c r="U707" s="23">
        <f t="shared" si="16"/>
        <v>5.3</v>
      </c>
      <c r="V707" s="24" t="s">
        <v>12</v>
      </c>
    </row>
    <row r="708" spans="1:24" ht="22.95" hidden="1" customHeight="1" x14ac:dyDescent="0.25">
      <c r="A708" s="1" t="s">
        <v>985</v>
      </c>
      <c r="D708" s="3" t="s">
        <v>986</v>
      </c>
      <c r="E708" s="15" t="s">
        <v>1029</v>
      </c>
      <c r="F708" s="15" t="str">
        <f>+VLOOKUP(D708,[1]Sheet1!$D$2:$E$29166,2,0)</f>
        <v>插头盖板</v>
      </c>
      <c r="G708" s="3" t="s">
        <v>80</v>
      </c>
      <c r="H708" s="3">
        <v>25</v>
      </c>
      <c r="I708" s="18" t="e">
        <f t="array" ref="I708">INDEX([2]Sheet1!$F$1:$AF$65808,MATCH(D708&amp;G708&amp;I$1,[2]Sheet1!$B$1:$B$65808&amp;[2]Sheet1!$D$1:$D$65808&amp;[2]Sheet1!$E$1:$E$65808,0),MATCH(H708,[2]Sheet1!$F$1:$AF$1,0))</f>
        <v>#N/A</v>
      </c>
      <c r="J708" s="3">
        <v>165</v>
      </c>
      <c r="K708" s="3">
        <v>178</v>
      </c>
      <c r="L708" s="19">
        <v>8</v>
      </c>
      <c r="M708" s="19">
        <v>8</v>
      </c>
      <c r="N708" s="5" t="s">
        <v>1030</v>
      </c>
      <c r="O708" s="4"/>
      <c r="P708" s="18">
        <v>4</v>
      </c>
      <c r="Q708" s="3"/>
      <c r="R708" s="6"/>
      <c r="S708" s="22"/>
      <c r="U708" s="23">
        <f t="shared" si="16"/>
        <v>11.9</v>
      </c>
      <c r="V708" s="24" t="s">
        <v>12</v>
      </c>
    </row>
    <row r="709" spans="1:24" ht="22.95" hidden="1" customHeight="1" x14ac:dyDescent="0.25">
      <c r="A709" s="1" t="s">
        <v>879</v>
      </c>
      <c r="D709" s="3" t="s">
        <v>1031</v>
      </c>
      <c r="E709" s="15" t="s">
        <v>1032</v>
      </c>
      <c r="F709" s="15" t="str">
        <f>+VLOOKUP(D709,[1]Sheet1!$D$2:$E$29166,2,0)</f>
        <v>转换安装工装</v>
      </c>
      <c r="G709" s="3" t="s">
        <v>80</v>
      </c>
      <c r="H709" s="3">
        <v>20</v>
      </c>
      <c r="I709" s="18" t="e">
        <f t="array" ref="I709">INDEX([2]Sheet1!$F$1:$AF$65808,MATCH(D709&amp;G709&amp;I$1,[2]Sheet1!$B$1:$B$65808&amp;[2]Sheet1!$D$1:$D$65808&amp;[2]Sheet1!$E$1:$E$65808,0),MATCH(H709,[2]Sheet1!$F$1:$AF$1,0))</f>
        <v>#N/A</v>
      </c>
      <c r="J709" s="3">
        <v>4</v>
      </c>
      <c r="K709" s="3">
        <v>4</v>
      </c>
      <c r="L709" s="19">
        <v>8</v>
      </c>
      <c r="M709" s="19">
        <v>8</v>
      </c>
      <c r="N709" s="5" t="s">
        <v>192</v>
      </c>
      <c r="O709" s="4"/>
      <c r="P709" s="18">
        <v>30</v>
      </c>
      <c r="Q709" s="3"/>
      <c r="R709" s="6"/>
      <c r="S709" s="22"/>
      <c r="U709" s="23">
        <f t="shared" si="16"/>
        <v>2</v>
      </c>
      <c r="V709" s="24" t="s">
        <v>12</v>
      </c>
    </row>
    <row r="710" spans="1:24" ht="22.95" hidden="1" customHeight="1" x14ac:dyDescent="0.25">
      <c r="A710" s="1" t="s">
        <v>879</v>
      </c>
      <c r="D710" s="3" t="s">
        <v>1033</v>
      </c>
      <c r="E710" s="15" t="s">
        <v>609</v>
      </c>
      <c r="F710" s="15" t="str">
        <f>+VLOOKUP(D710,[1]Sheet1!$D$2:$E$29166,2,0)</f>
        <v>提手</v>
      </c>
      <c r="G710" s="3" t="s">
        <v>80</v>
      </c>
      <c r="H710" s="3">
        <v>10</v>
      </c>
      <c r="I710" s="18" t="e">
        <f t="array" ref="I710">INDEX([2]Sheet1!$F$1:$AF$65808,MATCH(D710&amp;G710&amp;I$1,[2]Sheet1!$B$1:$B$65808&amp;[2]Sheet1!$D$1:$D$65808&amp;[2]Sheet1!$E$1:$E$65808,0),MATCH(H710,[2]Sheet1!$F$1:$AF$1,0))</f>
        <v>#N/A</v>
      </c>
      <c r="J710" s="3">
        <v>2</v>
      </c>
      <c r="K710" s="3">
        <v>2</v>
      </c>
      <c r="L710" s="19">
        <v>8</v>
      </c>
      <c r="M710" s="19">
        <v>8</v>
      </c>
      <c r="N710" s="5" t="s">
        <v>192</v>
      </c>
      <c r="O710" s="4"/>
      <c r="P710" s="18">
        <v>10</v>
      </c>
      <c r="Q710" s="3"/>
      <c r="R710" s="6"/>
      <c r="S710" s="22"/>
      <c r="U710" s="23">
        <f t="shared" si="16"/>
        <v>0.3</v>
      </c>
      <c r="V710" s="24" t="s">
        <v>12</v>
      </c>
      <c r="W710" s="7" t="s">
        <v>1034</v>
      </c>
    </row>
    <row r="711" spans="1:24" ht="22.95" hidden="1" customHeight="1" x14ac:dyDescent="0.25">
      <c r="A711" s="1" t="s">
        <v>879</v>
      </c>
      <c r="D711" s="3" t="s">
        <v>986</v>
      </c>
      <c r="E711" s="15" t="s">
        <v>1029</v>
      </c>
      <c r="F711" s="15" t="str">
        <f>+VLOOKUP(D711,[1]Sheet1!$D$2:$E$29166,2,0)</f>
        <v>插头盖板</v>
      </c>
      <c r="G711" s="3" t="s">
        <v>80</v>
      </c>
      <c r="H711" s="3" t="s">
        <v>340</v>
      </c>
      <c r="I711" s="18" t="e">
        <f t="array" ref="I711">INDEX([2]Sheet1!$F$1:$AF$65808,MATCH(D711&amp;G711&amp;I$1,[2]Sheet1!$B$1:$B$65808&amp;[2]Sheet1!$D$1:$D$65808&amp;[2]Sheet1!$E$1:$E$65808,0),MATCH(H711,[2]Sheet1!$F$1:$AF$1,0))</f>
        <v>#N/A</v>
      </c>
      <c r="J711" s="3">
        <v>243</v>
      </c>
      <c r="K711" s="3">
        <v>268</v>
      </c>
      <c r="L711" s="19">
        <v>8</v>
      </c>
      <c r="M711" s="19">
        <v>8</v>
      </c>
      <c r="N711" s="5" t="s">
        <v>1035</v>
      </c>
      <c r="O711" s="4"/>
      <c r="P711" s="18">
        <v>6</v>
      </c>
      <c r="Q711" s="3"/>
      <c r="R711" s="6"/>
      <c r="S711" s="22"/>
      <c r="U711" s="23">
        <f t="shared" si="16"/>
        <v>26.8</v>
      </c>
      <c r="V711" s="24" t="s">
        <v>12</v>
      </c>
      <c r="W711" s="7" t="s">
        <v>1036</v>
      </c>
    </row>
    <row r="712" spans="1:24" ht="22.95" hidden="1" customHeight="1" x14ac:dyDescent="0.25">
      <c r="A712" s="1" t="s">
        <v>1037</v>
      </c>
      <c r="D712" s="3" t="s">
        <v>986</v>
      </c>
      <c r="E712" s="15" t="s">
        <v>1029</v>
      </c>
      <c r="F712" s="15" t="str">
        <f>+VLOOKUP(D712,[1]Sheet1!$D$2:$E$29166,2,0)</f>
        <v>插头盖板</v>
      </c>
      <c r="G712" s="3" t="s">
        <v>80</v>
      </c>
      <c r="H712" s="3">
        <v>25</v>
      </c>
      <c r="I712" s="18" t="e">
        <f t="array" ref="I712">INDEX([2]Sheet1!$F$1:$AF$65808,MATCH(D712&amp;G712&amp;I$1,[2]Sheet1!$B$1:$B$65808&amp;[2]Sheet1!$D$1:$D$65808&amp;[2]Sheet1!$E$1:$E$65808,0),MATCH(H712,[2]Sheet1!$F$1:$AF$1,0))</f>
        <v>#N/A</v>
      </c>
      <c r="J712" s="3">
        <v>78</v>
      </c>
      <c r="K712" s="3">
        <v>90</v>
      </c>
      <c r="L712" s="19">
        <v>8</v>
      </c>
      <c r="M712" s="19">
        <v>8</v>
      </c>
      <c r="N712" s="5" t="s">
        <v>1038</v>
      </c>
      <c r="O712" s="4"/>
      <c r="P712" s="18">
        <v>4</v>
      </c>
      <c r="Q712" s="3"/>
      <c r="R712" s="6"/>
      <c r="S712" s="22"/>
      <c r="U712" s="23">
        <f t="shared" si="16"/>
        <v>6</v>
      </c>
      <c r="V712" s="24" t="s">
        <v>12</v>
      </c>
    </row>
    <row r="713" spans="1:24" ht="22.95" hidden="1" customHeight="1" x14ac:dyDescent="0.25">
      <c r="A713" s="1" t="s">
        <v>766</v>
      </c>
      <c r="E713" s="15" t="s">
        <v>211</v>
      </c>
      <c r="F713" s="15" t="e">
        <f>+VLOOKUP(D713,[1]Sheet1!$D$2:$E$29166,2,0)</f>
        <v>#N/A</v>
      </c>
      <c r="I713" s="18" t="e">
        <f t="array" ref="I713">INDEX([2]Sheet1!$F$1:$AF$65808,MATCH(D713&amp;G713&amp;I$1,[2]Sheet1!$B$1:$B$65808&amp;[2]Sheet1!$D$1:$D$65808&amp;[2]Sheet1!$E$1:$E$65808,0),MATCH(H713,[2]Sheet1!$F$1:$AF$1,0))</f>
        <v>#N/A</v>
      </c>
      <c r="J713" s="3">
        <v>1</v>
      </c>
      <c r="K713" s="3">
        <v>1</v>
      </c>
      <c r="L713" s="19">
        <v>8</v>
      </c>
      <c r="M713" s="19">
        <v>8</v>
      </c>
      <c r="O713" s="4"/>
      <c r="P713" s="18">
        <v>600</v>
      </c>
      <c r="Q713" s="3"/>
      <c r="R713" s="6"/>
      <c r="S713" s="22"/>
      <c r="U713" s="23">
        <f t="shared" si="16"/>
        <v>10</v>
      </c>
      <c r="V713" s="24" t="s">
        <v>7</v>
      </c>
      <c r="W713" s="7" t="s">
        <v>1039</v>
      </c>
    </row>
    <row r="714" spans="1:24" ht="22.95" hidden="1" customHeight="1" x14ac:dyDescent="0.25">
      <c r="A714" s="1" t="s">
        <v>766</v>
      </c>
      <c r="E714" s="15" t="s">
        <v>220</v>
      </c>
      <c r="F714" s="15" t="e">
        <f>+VLOOKUP(D714,[1]Sheet1!$D$2:$E$29166,2,0)</f>
        <v>#N/A</v>
      </c>
      <c r="I714" s="18" t="e">
        <f t="array" ref="I714">INDEX([2]Sheet1!$F$1:$AF$65808,MATCH(D714&amp;G714&amp;I$1,[2]Sheet1!$B$1:$B$65808&amp;[2]Sheet1!$D$1:$D$65808&amp;[2]Sheet1!$E$1:$E$65808,0),MATCH(H714,[2]Sheet1!$F$1:$AF$1,0))</f>
        <v>#N/A</v>
      </c>
      <c r="J714" s="3">
        <v>1</v>
      </c>
      <c r="K714" s="3">
        <v>1</v>
      </c>
      <c r="L714" s="19">
        <v>8</v>
      </c>
      <c r="M714" s="19">
        <v>8</v>
      </c>
      <c r="O714" s="4"/>
      <c r="P714" s="18">
        <v>840</v>
      </c>
      <c r="Q714" s="3"/>
      <c r="R714" s="6"/>
      <c r="S714" s="22"/>
      <c r="U714" s="23">
        <f t="shared" si="16"/>
        <v>14</v>
      </c>
      <c r="V714" s="24" t="s">
        <v>7</v>
      </c>
      <c r="W714" s="7" t="s">
        <v>791</v>
      </c>
    </row>
    <row r="715" spans="1:24" ht="22.95" hidden="1" customHeight="1" x14ac:dyDescent="0.25">
      <c r="A715" s="1" t="s">
        <v>840</v>
      </c>
      <c r="E715" s="15" t="s">
        <v>793</v>
      </c>
      <c r="F715" s="15" t="e">
        <f>+VLOOKUP(D715,[1]Sheet1!$D$2:$E$29166,2,0)</f>
        <v>#N/A</v>
      </c>
      <c r="I715" s="18" t="e">
        <f t="array" ref="I715">INDEX([2]Sheet1!$F$1:$AF$65808,MATCH(D715&amp;G715&amp;I$1,[2]Sheet1!$B$1:$B$65808&amp;[2]Sheet1!$D$1:$D$65808&amp;[2]Sheet1!$E$1:$E$65808,0),MATCH(H715,[2]Sheet1!$F$1:$AF$1,0))</f>
        <v>#N/A</v>
      </c>
      <c r="J715" s="3">
        <v>1</v>
      </c>
      <c r="K715" s="3">
        <v>1</v>
      </c>
      <c r="L715" s="19">
        <v>8</v>
      </c>
      <c r="M715" s="19">
        <v>8</v>
      </c>
      <c r="O715" s="4"/>
      <c r="P715" s="18">
        <v>900</v>
      </c>
      <c r="Q715" s="3"/>
      <c r="R715" s="6"/>
      <c r="S715" s="22"/>
      <c r="U715" s="23">
        <f t="shared" si="16"/>
        <v>15</v>
      </c>
      <c r="V715" s="24" t="s">
        <v>7</v>
      </c>
      <c r="W715" s="7" t="s">
        <v>221</v>
      </c>
    </row>
    <row r="716" spans="1:24" ht="22.95" hidden="1" customHeight="1" x14ac:dyDescent="0.25">
      <c r="A716" s="1" t="s">
        <v>879</v>
      </c>
      <c r="E716" s="15" t="s">
        <v>1040</v>
      </c>
      <c r="F716" s="15" t="e">
        <f>+VLOOKUP(D716,[1]Sheet1!$D$2:$E$29166,2,0)</f>
        <v>#N/A</v>
      </c>
      <c r="I716" s="18" t="e">
        <f t="array" ref="I716">INDEX([2]Sheet1!$F$1:$AF$65808,MATCH(D716&amp;G716&amp;I$1,[2]Sheet1!$B$1:$B$65808&amp;[2]Sheet1!$D$1:$D$65808&amp;[2]Sheet1!$E$1:$E$65808,0),MATCH(H716,[2]Sheet1!$F$1:$AF$1,0))</f>
        <v>#N/A</v>
      </c>
      <c r="J716" s="3">
        <v>1</v>
      </c>
      <c r="K716" s="3">
        <v>1</v>
      </c>
      <c r="L716" s="19">
        <v>8</v>
      </c>
      <c r="M716" s="19">
        <v>8</v>
      </c>
      <c r="O716" s="4"/>
      <c r="P716" s="18">
        <v>420</v>
      </c>
      <c r="Q716" s="3"/>
      <c r="R716" s="6"/>
      <c r="S716" s="22"/>
      <c r="U716" s="23">
        <f t="shared" si="16"/>
        <v>7</v>
      </c>
      <c r="V716" s="24" t="s">
        <v>7</v>
      </c>
      <c r="W716" s="7" t="s">
        <v>221</v>
      </c>
    </row>
    <row r="717" spans="1:24" ht="22.95" hidden="1" customHeight="1" x14ac:dyDescent="0.25">
      <c r="A717" s="1" t="s">
        <v>879</v>
      </c>
      <c r="E717" s="15" t="s">
        <v>1041</v>
      </c>
      <c r="F717" s="15" t="e">
        <f>+VLOOKUP(D717,[1]Sheet1!$D$2:$E$29166,2,0)</f>
        <v>#N/A</v>
      </c>
      <c r="I717" s="18" t="e">
        <f t="array" ref="I717">INDEX([2]Sheet1!$F$1:$AF$65808,MATCH(D717&amp;G717&amp;I$1,[2]Sheet1!$B$1:$B$65808&amp;[2]Sheet1!$D$1:$D$65808&amp;[2]Sheet1!$E$1:$E$65808,0),MATCH(H717,[2]Sheet1!$F$1:$AF$1,0))</f>
        <v>#N/A</v>
      </c>
      <c r="J717" s="3">
        <v>3</v>
      </c>
      <c r="K717" s="3">
        <v>3</v>
      </c>
      <c r="L717" s="19">
        <v>8</v>
      </c>
      <c r="M717" s="19">
        <v>8</v>
      </c>
      <c r="O717" s="4"/>
      <c r="P717" s="18">
        <v>300</v>
      </c>
      <c r="Q717" s="3"/>
      <c r="R717" s="6"/>
      <c r="S717" s="22"/>
      <c r="U717" s="23">
        <f t="shared" si="16"/>
        <v>15</v>
      </c>
      <c r="V717" s="24" t="s">
        <v>7</v>
      </c>
      <c r="W717" s="7" t="s">
        <v>217</v>
      </c>
    </row>
    <row r="718" spans="1:24" ht="22.95" hidden="1" customHeight="1" x14ac:dyDescent="0.25">
      <c r="A718" s="1" t="s">
        <v>764</v>
      </c>
      <c r="D718" s="3" t="s">
        <v>530</v>
      </c>
      <c r="E718" s="15" t="s">
        <v>531</v>
      </c>
      <c r="F718" s="15" t="str">
        <f>+VLOOKUP(D718,[1]Sheet1!$D$2:$E$29166,2,0)</f>
        <v>转接管接头</v>
      </c>
      <c r="G718" s="3" t="s">
        <v>46</v>
      </c>
      <c r="H718" s="3">
        <v>30</v>
      </c>
      <c r="I718" s="18" t="str">
        <f t="array" ref="I718">INDEX([2]Sheet1!$F$1:$AF$65808,MATCH(D718&amp;G718&amp;I$1,[2]Sheet1!$B$1:$B$65808&amp;[2]Sheet1!$D$1:$D$65808&amp;[2]Sheet1!$E$1:$E$65808,0),MATCH(H718,[2]Sheet1!$F$1:$AF$1,0))</f>
        <v>30/钳回牙</v>
      </c>
      <c r="K718" s="3">
        <v>27</v>
      </c>
      <c r="L718" s="19">
        <v>8</v>
      </c>
      <c r="M718" s="19">
        <v>8</v>
      </c>
      <c r="N718" s="5" t="s">
        <v>88</v>
      </c>
      <c r="O718" s="4"/>
      <c r="P718" s="18" t="str">
        <f t="array" ref="P718">IFERROR(INDEX([2]Sheet1!$F$1:$AF$65808,MATCH($D718&amp;$G718&amp;P$1,[2]Sheet1!$B$1:$B$65808&amp;[2]Sheet1!$D$1:$D$65808&amp;[2]Sheet1!$E$1:$E$65808,0),MATCH($H718,[2]Sheet1!$F$1:$AF$1,0)),0)</f>
        <v>10</v>
      </c>
      <c r="Q718" s="3"/>
      <c r="R718" s="6"/>
      <c r="S718" s="22"/>
      <c r="U718" s="23">
        <f t="shared" si="16"/>
        <v>4.5</v>
      </c>
      <c r="V718" s="24" t="s">
        <v>15</v>
      </c>
    </row>
    <row r="719" spans="1:24" ht="22.95" hidden="1" customHeight="1" x14ac:dyDescent="0.25">
      <c r="A719" s="1" t="s">
        <v>764</v>
      </c>
      <c r="D719" s="3" t="s">
        <v>539</v>
      </c>
      <c r="E719" s="15" t="s">
        <v>540</v>
      </c>
      <c r="F719" s="15" t="str">
        <f>+VLOOKUP(D719,[1]Sheet1!$D$2:$E$29166,2,0)</f>
        <v>变径三通管接头</v>
      </c>
      <c r="G719" s="3" t="s">
        <v>51</v>
      </c>
      <c r="H719" s="3" t="s">
        <v>340</v>
      </c>
      <c r="I719" s="18" t="e">
        <f t="array" ref="I719">INDEX([2]Sheet1!$F$1:$AF$65808,MATCH(D719&amp;G719&amp;I$1,[2]Sheet1!$B$1:$B$65808&amp;[2]Sheet1!$D$1:$D$65808&amp;[2]Sheet1!$E$1:$E$65808,0),MATCH(H719,[2]Sheet1!$F$1:$AF$1,0))</f>
        <v>#N/A</v>
      </c>
      <c r="K719" s="3">
        <v>38</v>
      </c>
      <c r="L719" s="19">
        <v>8</v>
      </c>
      <c r="M719" s="19">
        <v>8</v>
      </c>
      <c r="N719" s="5" t="s">
        <v>286</v>
      </c>
      <c r="O719" s="4"/>
      <c r="P719" s="18">
        <v>15</v>
      </c>
      <c r="Q719" s="3"/>
      <c r="R719" s="6"/>
      <c r="S719" s="22"/>
      <c r="U719" s="23">
        <f t="shared" si="16"/>
        <v>9.5</v>
      </c>
      <c r="V719" s="24" t="s">
        <v>15</v>
      </c>
      <c r="W719" s="7" t="s">
        <v>257</v>
      </c>
      <c r="X719" s="7" t="s">
        <v>203</v>
      </c>
    </row>
    <row r="720" spans="1:24" ht="22.95" hidden="1" customHeight="1" x14ac:dyDescent="0.25">
      <c r="A720" s="1" t="s">
        <v>764</v>
      </c>
      <c r="D720" s="3" t="s">
        <v>552</v>
      </c>
      <c r="E720" s="15" t="s">
        <v>553</v>
      </c>
      <c r="F720" s="15" t="str">
        <f>+VLOOKUP(D720,[1]Sheet1!$D$2:$E$29166,2,0)</f>
        <v>变径四通管接头</v>
      </c>
      <c r="G720" s="3" t="s">
        <v>51</v>
      </c>
      <c r="H720" s="3">
        <v>40</v>
      </c>
      <c r="I720" s="18" t="str">
        <f t="array" ref="I720">INDEX([2]Sheet1!$F$1:$AF$65808,MATCH(D720&amp;G720&amp;I$1,[2]Sheet1!$B$1:$B$65808&amp;[2]Sheet1!$D$1:$D$65808&amp;[2]Sheet1!$E$1:$E$65808,0),MATCH(H720,[2]Sheet1!$F$1:$AF$1,0))</f>
        <v>40/钳工</v>
      </c>
      <c r="K720" s="3">
        <v>8</v>
      </c>
      <c r="L720" s="19">
        <v>8</v>
      </c>
      <c r="M720" s="19">
        <v>8</v>
      </c>
      <c r="N720" s="5" t="s">
        <v>295</v>
      </c>
      <c r="O720" s="4"/>
      <c r="P720" s="18" t="str">
        <f t="array" ref="P720">IFERROR(INDEX([2]Sheet1!$F$1:$AF$65808,MATCH($D720&amp;$G720&amp;P$1,[2]Sheet1!$B$1:$B$65808&amp;[2]Sheet1!$D$1:$D$65808&amp;[2]Sheet1!$E$1:$E$65808,0),MATCH($H720,[2]Sheet1!$F$1:$AF$1,0)),0)</f>
        <v>45</v>
      </c>
      <c r="Q720" s="3"/>
      <c r="R720" s="6"/>
      <c r="S720" s="22"/>
      <c r="U720" s="23">
        <f t="shared" si="16"/>
        <v>6</v>
      </c>
      <c r="V720" s="24" t="s">
        <v>15</v>
      </c>
    </row>
    <row r="721" spans="1:24" ht="22.95" hidden="1" customHeight="1" x14ac:dyDescent="0.25">
      <c r="A721" s="1" t="s">
        <v>764</v>
      </c>
      <c r="D721" s="3" t="s">
        <v>271</v>
      </c>
      <c r="E721" s="15" t="s">
        <v>272</v>
      </c>
      <c r="F721" s="15" t="str">
        <f>+VLOOKUP(D721,[1]Sheet1!$D$2:$E$29166,2,0)</f>
        <v>三通管</v>
      </c>
      <c r="G721" s="3" t="s">
        <v>46</v>
      </c>
      <c r="H721" s="3">
        <v>40</v>
      </c>
      <c r="I721" s="18" t="str">
        <f t="array" ref="I721">INDEX([2]Sheet1!$F$1:$AF$65808,MATCH(D721&amp;G721&amp;I$1,[2]Sheet1!$B$1:$B$65808&amp;[2]Sheet1!$D$1:$D$65808&amp;[2]Sheet1!$E$1:$E$65808,0),MATCH(H721,[2]Sheet1!$F$1:$AF$1,0))</f>
        <v>40/钳工</v>
      </c>
      <c r="K721" s="3">
        <v>14</v>
      </c>
      <c r="L721" s="19">
        <v>8</v>
      </c>
      <c r="M721" s="19">
        <v>8</v>
      </c>
      <c r="N721" s="5" t="s">
        <v>88</v>
      </c>
      <c r="O721" s="4"/>
      <c r="P721" s="18">
        <f t="array" ref="P721">IFERROR(INDEX([2]Sheet1!$F$1:$AF$65808,MATCH($D721&amp;$G721&amp;P$1,[2]Sheet1!$B$1:$B$65808&amp;[2]Sheet1!$D$1:$D$65808&amp;[2]Sheet1!$E$1:$E$65808,0),MATCH($H721,[2]Sheet1!$F$1:$AF$1,0)),0)</f>
        <v>25</v>
      </c>
      <c r="Q721" s="3"/>
      <c r="R721" s="6"/>
      <c r="S721" s="22"/>
      <c r="U721" s="23">
        <f t="shared" si="16"/>
        <v>5.8</v>
      </c>
      <c r="V721" s="24" t="s">
        <v>15</v>
      </c>
    </row>
    <row r="722" spans="1:24" ht="22.95" hidden="1" customHeight="1" x14ac:dyDescent="0.25">
      <c r="A722" s="1" t="s">
        <v>764</v>
      </c>
      <c r="D722" s="3" t="s">
        <v>530</v>
      </c>
      <c r="E722" s="15" t="s">
        <v>531</v>
      </c>
      <c r="F722" s="15" t="str">
        <f>+VLOOKUP(D722,[1]Sheet1!$D$2:$E$29166,2,0)</f>
        <v>转接管接头</v>
      </c>
      <c r="G722" s="3" t="s">
        <v>46</v>
      </c>
      <c r="H722" s="3" t="s">
        <v>340</v>
      </c>
      <c r="I722" s="18" t="e">
        <f t="array" ref="I722">INDEX([2]Sheet1!$F$1:$AF$65808,MATCH(D722&amp;G722&amp;I$1,[2]Sheet1!$B$1:$B$65808&amp;[2]Sheet1!$D$1:$D$65808&amp;[2]Sheet1!$E$1:$E$65808,0),MATCH(H722,[2]Sheet1!$F$1:$AF$1,0))</f>
        <v>#N/A</v>
      </c>
      <c r="K722" s="3">
        <v>27</v>
      </c>
      <c r="L722" s="19">
        <v>8</v>
      </c>
      <c r="M722" s="19">
        <v>8</v>
      </c>
      <c r="N722" s="5" t="s">
        <v>88</v>
      </c>
      <c r="O722" s="4"/>
      <c r="P722" s="18">
        <v>10</v>
      </c>
      <c r="Q722" s="3"/>
      <c r="R722" s="6"/>
      <c r="S722" s="22"/>
      <c r="U722" s="23">
        <f t="shared" si="16"/>
        <v>4.5</v>
      </c>
      <c r="V722" s="24" t="s">
        <v>15</v>
      </c>
      <c r="W722" s="7" t="s">
        <v>518</v>
      </c>
      <c r="X722" s="7" t="s">
        <v>203</v>
      </c>
    </row>
    <row r="723" spans="1:24" ht="22.95" hidden="1" customHeight="1" x14ac:dyDescent="0.25">
      <c r="A723" s="1" t="s">
        <v>766</v>
      </c>
      <c r="D723" s="3" t="s">
        <v>1042</v>
      </c>
      <c r="E723" s="15" t="s">
        <v>1043</v>
      </c>
      <c r="F723" s="15" t="str">
        <f>+VLOOKUP(D723,[1]Sheet1!$D$2:$E$29166,2,0)</f>
        <v>30°拧入式管接头</v>
      </c>
      <c r="G723" s="3" t="s">
        <v>46</v>
      </c>
      <c r="H723" s="3">
        <v>40</v>
      </c>
      <c r="I723" s="18" t="str">
        <f t="array" ref="I723">INDEX([2]Sheet1!$F$1:$AF$65808,MATCH(D723&amp;G723&amp;I$1,[2]Sheet1!$B$1:$B$65808&amp;[2]Sheet1!$D$1:$D$65808&amp;[2]Sheet1!$E$1:$E$65808,0),MATCH(H723,[2]Sheet1!$F$1:$AF$1,0))</f>
        <v>40/钳工</v>
      </c>
      <c r="K723" s="3">
        <v>31</v>
      </c>
      <c r="L723" s="19">
        <v>8</v>
      </c>
      <c r="M723" s="19">
        <v>8</v>
      </c>
      <c r="N723" s="5" t="s">
        <v>295</v>
      </c>
      <c r="O723" s="4"/>
      <c r="P723" s="18">
        <f t="array" ref="P723">IFERROR(INDEX([2]Sheet1!$F$1:$AF$65808,MATCH($D723&amp;$G723&amp;P$1,[2]Sheet1!$B$1:$B$65808&amp;[2]Sheet1!$D$1:$D$65808&amp;[2]Sheet1!$E$1:$E$65808,0),MATCH($H723,[2]Sheet1!$F$1:$AF$1,0)),0)</f>
        <v>30</v>
      </c>
      <c r="Q723" s="3"/>
      <c r="R723" s="6"/>
      <c r="S723" s="22"/>
      <c r="U723" s="23">
        <f t="shared" si="16"/>
        <v>15.5</v>
      </c>
      <c r="V723" s="24" t="s">
        <v>15</v>
      </c>
    </row>
    <row r="724" spans="1:24" ht="22.95" hidden="1" customHeight="1" x14ac:dyDescent="0.25">
      <c r="A724" s="1" t="s">
        <v>766</v>
      </c>
      <c r="D724" s="3" t="s">
        <v>1042</v>
      </c>
      <c r="E724" s="15" t="s">
        <v>1043</v>
      </c>
      <c r="F724" s="15" t="str">
        <f>+VLOOKUP(D724,[1]Sheet1!$D$2:$E$29166,2,0)</f>
        <v>30°拧入式管接头</v>
      </c>
      <c r="G724" s="3" t="s">
        <v>46</v>
      </c>
      <c r="H724" s="3" t="s">
        <v>340</v>
      </c>
      <c r="I724" s="18" t="e">
        <f t="array" ref="I724">INDEX([2]Sheet1!$F$1:$AF$65808,MATCH(D724&amp;G724&amp;I$1,[2]Sheet1!$B$1:$B$65808&amp;[2]Sheet1!$D$1:$D$65808&amp;[2]Sheet1!$E$1:$E$65808,0),MATCH(H724,[2]Sheet1!$F$1:$AF$1,0))</f>
        <v>#N/A</v>
      </c>
      <c r="K724" s="3">
        <v>31</v>
      </c>
      <c r="L724" s="19">
        <v>8</v>
      </c>
      <c r="M724" s="19">
        <v>8</v>
      </c>
      <c r="N724" s="5" t="s">
        <v>295</v>
      </c>
      <c r="O724" s="4"/>
      <c r="P724" s="18">
        <v>15</v>
      </c>
      <c r="Q724" s="3"/>
      <c r="R724" s="6"/>
      <c r="S724" s="22"/>
      <c r="U724" s="23">
        <f t="shared" si="16"/>
        <v>7.8</v>
      </c>
      <c r="V724" s="24" t="s">
        <v>15</v>
      </c>
      <c r="W724" s="7" t="s">
        <v>257</v>
      </c>
      <c r="X724" s="7" t="s">
        <v>203</v>
      </c>
    </row>
    <row r="725" spans="1:24" ht="22.95" hidden="1" customHeight="1" x14ac:dyDescent="0.25">
      <c r="A725" s="1" t="s">
        <v>840</v>
      </c>
      <c r="D725" s="3" t="s">
        <v>795</v>
      </c>
      <c r="E725" s="15" t="s">
        <v>523</v>
      </c>
      <c r="F725" s="15" t="str">
        <f>+VLOOKUP(D725,[1]Sheet1!$D$2:$E$29166,2,0)</f>
        <v>三通管接头</v>
      </c>
      <c r="G725" s="3" t="s">
        <v>46</v>
      </c>
      <c r="H725" s="3">
        <v>25</v>
      </c>
      <c r="I725" s="18" t="str">
        <f t="array" ref="I725">INDEX([2]Sheet1!$F$1:$AF$65808,MATCH(D725&amp;G725&amp;I$1,[2]Sheet1!$B$1:$B$65808&amp;[2]Sheet1!$D$1:$D$65808&amp;[2]Sheet1!$E$1:$E$65808,0),MATCH(H725,[2]Sheet1!$F$1:$AF$1,0))</f>
        <v>25/钳工</v>
      </c>
      <c r="J725" s="3">
        <v>43</v>
      </c>
      <c r="K725" s="3">
        <v>43</v>
      </c>
      <c r="L725" s="19">
        <v>8</v>
      </c>
      <c r="M725" s="19">
        <v>8</v>
      </c>
      <c r="N725" s="5" t="s">
        <v>508</v>
      </c>
      <c r="O725" s="4"/>
      <c r="P725" s="18">
        <f t="array" ref="P725">IFERROR(INDEX([2]Sheet1!$F$1:$AF$65808,MATCH($D725&amp;$G725&amp;P$1,[2]Sheet1!$B$1:$B$65808&amp;[2]Sheet1!$D$1:$D$65808&amp;[2]Sheet1!$E$1:$E$65808,0),MATCH($H725,[2]Sheet1!$F$1:$AF$1,0)),0)</f>
        <v>25</v>
      </c>
      <c r="Q725" s="3"/>
      <c r="R725" s="6"/>
      <c r="S725" s="22"/>
      <c r="U725" s="23">
        <f t="shared" si="16"/>
        <v>17.899999999999999</v>
      </c>
      <c r="V725" s="24" t="s">
        <v>15</v>
      </c>
    </row>
    <row r="726" spans="1:24" ht="22.95" hidden="1" customHeight="1" x14ac:dyDescent="0.25">
      <c r="A726" s="1" t="s">
        <v>840</v>
      </c>
      <c r="D726" s="3" t="s">
        <v>768</v>
      </c>
      <c r="E726" s="15" t="s">
        <v>769</v>
      </c>
      <c r="F726" s="15" t="str">
        <f>+VLOOKUP(D726,[1]Sheet1!$D$2:$E$29166,2,0)</f>
        <v>固定板</v>
      </c>
      <c r="G726" s="3" t="s">
        <v>46</v>
      </c>
      <c r="H726" s="3">
        <v>40</v>
      </c>
      <c r="I726" s="18" t="str">
        <f t="array" ref="I726">INDEX([2]Sheet1!$F$1:$AF$65808,MATCH(D726&amp;G726&amp;I$1,[2]Sheet1!$B$1:$B$65808&amp;[2]Sheet1!$D$1:$D$65808&amp;[2]Sheet1!$E$1:$E$65808,0),MATCH(H726,[2]Sheet1!$F$1:$AF$1,0))</f>
        <v>40/钳工</v>
      </c>
      <c r="J726" s="3">
        <v>20</v>
      </c>
      <c r="K726" s="3">
        <v>17</v>
      </c>
      <c r="L726" s="19">
        <v>8</v>
      </c>
      <c r="M726" s="19">
        <v>8</v>
      </c>
      <c r="N726" s="5" t="s">
        <v>636</v>
      </c>
      <c r="O726" s="4"/>
      <c r="P726" s="18">
        <f t="array" ref="P726">IFERROR(INDEX([2]Sheet1!$F$1:$AF$65808,MATCH($D726&amp;$G726&amp;P$1,[2]Sheet1!$B$1:$B$65808&amp;[2]Sheet1!$D$1:$D$65808&amp;[2]Sheet1!$E$1:$E$65808,0),MATCH($H726,[2]Sheet1!$F$1:$AF$1,0)),0)</f>
        <v>120</v>
      </c>
      <c r="Q726" s="3"/>
      <c r="R726" s="6"/>
      <c r="S726" s="22"/>
      <c r="U726" s="23">
        <f t="shared" ref="U726:U756" si="17">ROUND((K726*P726+Q726*S726)/60+T726,1)</f>
        <v>34</v>
      </c>
      <c r="V726" s="24" t="s">
        <v>8</v>
      </c>
    </row>
    <row r="727" spans="1:24" ht="22.95" hidden="1" customHeight="1" x14ac:dyDescent="0.25">
      <c r="A727" s="1" t="s">
        <v>840</v>
      </c>
      <c r="D727" s="3" t="s">
        <v>1044</v>
      </c>
      <c r="E727" s="15" t="s">
        <v>817</v>
      </c>
      <c r="F727" s="15" t="str">
        <f>+VLOOKUP(D727,[1]Sheet1!$D$2:$E$29166,2,0)</f>
        <v>套筒</v>
      </c>
      <c r="G727" s="3" t="s">
        <v>64</v>
      </c>
      <c r="H727" s="3">
        <v>10</v>
      </c>
      <c r="I727" s="18" t="e">
        <f t="array" ref="I727">INDEX([2]Sheet1!$F$1:$AF$65808,MATCH(D727&amp;G727&amp;I$1,[2]Sheet1!$B$1:$B$65808&amp;[2]Sheet1!$D$1:$D$65808&amp;[2]Sheet1!$E$1:$E$65808,0),MATCH(H727,[2]Sheet1!$F$1:$AF$1,0))</f>
        <v>#N/A</v>
      </c>
      <c r="J727" s="3">
        <v>1</v>
      </c>
      <c r="K727" s="3">
        <v>1</v>
      </c>
      <c r="L727" s="19">
        <v>8</v>
      </c>
      <c r="M727" s="19">
        <v>8</v>
      </c>
      <c r="N727" s="5" t="s">
        <v>463</v>
      </c>
      <c r="O727" s="4"/>
      <c r="P727" s="18">
        <v>10</v>
      </c>
      <c r="Q727" s="3"/>
      <c r="R727" s="6"/>
      <c r="S727" s="22"/>
      <c r="U727" s="23">
        <f t="shared" si="17"/>
        <v>0.2</v>
      </c>
      <c r="V727" s="24" t="s">
        <v>8</v>
      </c>
      <c r="W727" s="7" t="s">
        <v>1045</v>
      </c>
    </row>
    <row r="728" spans="1:24" ht="22.95" hidden="1" customHeight="1" x14ac:dyDescent="0.25">
      <c r="A728" s="1" t="s">
        <v>879</v>
      </c>
      <c r="D728" s="3" t="s">
        <v>1046</v>
      </c>
      <c r="E728" s="15" t="s">
        <v>60</v>
      </c>
      <c r="F728" s="15" t="str">
        <f>+VLOOKUP(D728,[1]Sheet1!$D$2:$E$29166,2,0)</f>
        <v>轴</v>
      </c>
      <c r="G728" s="3" t="s">
        <v>46</v>
      </c>
      <c r="H728" s="3">
        <v>20</v>
      </c>
      <c r="I728" s="18" t="str">
        <f t="array" ref="I728">INDEX([2]Sheet1!$F$1:$AF$65808,MATCH(D728&amp;G728&amp;I$1,[2]Sheet1!$B$1:$B$65808&amp;[2]Sheet1!$D$1:$D$65808&amp;[2]Sheet1!$E$1:$E$65808,0),MATCH(H728,[2]Sheet1!$F$1:$AF$1,0))</f>
        <v>20钳毛刺</v>
      </c>
      <c r="J728" s="3">
        <v>40</v>
      </c>
      <c r="K728" s="3">
        <v>40</v>
      </c>
      <c r="L728" s="19">
        <v>8</v>
      </c>
      <c r="M728" s="19">
        <v>8</v>
      </c>
      <c r="N728" s="5" t="s">
        <v>85</v>
      </c>
      <c r="O728" s="4"/>
      <c r="P728" s="18" t="str">
        <f t="array" ref="P728">IFERROR(INDEX([2]Sheet1!$F$1:$AF$65808,MATCH($D728&amp;$G728&amp;P$1,[2]Sheet1!$B$1:$B$65808&amp;[2]Sheet1!$D$1:$D$65808&amp;[2]Sheet1!$E$1:$E$65808,0),MATCH($H728,[2]Sheet1!$F$1:$AF$1,0)),0)</f>
        <v>10</v>
      </c>
      <c r="Q728" s="3"/>
      <c r="R728" s="6"/>
      <c r="S728" s="22"/>
      <c r="U728" s="23">
        <f t="shared" si="17"/>
        <v>6.7</v>
      </c>
      <c r="V728" s="24" t="s">
        <v>8</v>
      </c>
    </row>
    <row r="729" spans="1:24" ht="22.95" hidden="1" customHeight="1" x14ac:dyDescent="0.25">
      <c r="A729" s="1" t="s">
        <v>840</v>
      </c>
      <c r="D729" s="3" t="s">
        <v>1047</v>
      </c>
      <c r="E729" s="15" t="str">
        <f t="shared" ref="E729:E732" si="18">+F729</f>
        <v>接头</v>
      </c>
      <c r="F729" s="15" t="str">
        <f>+VLOOKUP(D729,[1]Sheet1!$D$2:$E$29166,2,0)</f>
        <v>接头</v>
      </c>
      <c r="G729" s="3" t="s">
        <v>80</v>
      </c>
      <c r="H729" s="3">
        <v>30</v>
      </c>
      <c r="I729" s="18" t="str">
        <f t="array" ref="I729">INDEX([2]Sheet1!$F$1:$AF$65808,MATCH(D729&amp;G729&amp;I$1,[2]Sheet1!$B$1:$B$65808&amp;[2]Sheet1!$D$1:$D$65808&amp;[2]Sheet1!$E$1:$E$65808,0),MATCH(H729,[2]Sheet1!$F$1:$AF$1,0))</f>
        <v>30/钳工</v>
      </c>
      <c r="J729" s="3">
        <v>1</v>
      </c>
      <c r="K729" s="3">
        <v>1</v>
      </c>
      <c r="L729" s="19">
        <v>8</v>
      </c>
      <c r="M729" s="19">
        <v>8</v>
      </c>
      <c r="N729" s="5" t="s">
        <v>81</v>
      </c>
      <c r="O729" s="4"/>
      <c r="P729" s="18">
        <f t="array" ref="P729">IFERROR(INDEX([2]Sheet1!$F$1:$AF$65808,MATCH($D729&amp;$G729&amp;P$1,[2]Sheet1!$B$1:$B$65808&amp;[2]Sheet1!$D$1:$D$65808&amp;[2]Sheet1!$E$1:$E$65808,0),MATCH($H729,[2]Sheet1!$F$1:$AF$1,0)),0)</f>
        <v>30</v>
      </c>
      <c r="Q729" s="3"/>
      <c r="R729" s="6"/>
      <c r="S729" s="22"/>
      <c r="U729" s="23">
        <f t="shared" si="17"/>
        <v>0.5</v>
      </c>
      <c r="V729" s="24" t="s">
        <v>0</v>
      </c>
    </row>
    <row r="730" spans="1:24" ht="22.95" hidden="1" customHeight="1" x14ac:dyDescent="0.25">
      <c r="A730" s="1" t="s">
        <v>840</v>
      </c>
      <c r="D730" s="3" t="s">
        <v>1048</v>
      </c>
      <c r="E730" s="15" t="str">
        <f t="shared" si="18"/>
        <v>接头</v>
      </c>
      <c r="F730" s="15" t="str">
        <f>+VLOOKUP(D730,[1]Sheet1!$D$2:$E$29166,2,0)</f>
        <v>接头</v>
      </c>
      <c r="G730" s="3" t="s">
        <v>80</v>
      </c>
      <c r="H730" s="3">
        <v>30</v>
      </c>
      <c r="I730" s="18" t="str">
        <f t="array" ref="I730">INDEX([2]Sheet1!$F$1:$AF$65808,MATCH(D730&amp;G730&amp;I$1,[2]Sheet1!$B$1:$B$65808&amp;[2]Sheet1!$D$1:$D$65808&amp;[2]Sheet1!$E$1:$E$65808,0),MATCH(H730,[2]Sheet1!$F$1:$AF$1,0))</f>
        <v>30/钳工</v>
      </c>
      <c r="J730" s="3">
        <v>1</v>
      </c>
      <c r="K730" s="3">
        <v>1</v>
      </c>
      <c r="L730" s="19">
        <v>8</v>
      </c>
      <c r="M730" s="19">
        <v>8</v>
      </c>
      <c r="N730" s="5" t="s">
        <v>81</v>
      </c>
      <c r="O730" s="4"/>
      <c r="P730" s="18">
        <f t="array" ref="P730">IFERROR(INDEX([2]Sheet1!$F$1:$AF$65808,MATCH($D730&amp;$G730&amp;P$1,[2]Sheet1!$B$1:$B$65808&amp;[2]Sheet1!$D$1:$D$65808&amp;[2]Sheet1!$E$1:$E$65808,0),MATCH($H730,[2]Sheet1!$F$1:$AF$1,0)),0)</f>
        <v>40</v>
      </c>
      <c r="Q730" s="3"/>
      <c r="R730" s="6"/>
      <c r="S730" s="22"/>
      <c r="U730" s="23">
        <f t="shared" si="17"/>
        <v>0.7</v>
      </c>
      <c r="V730" s="24" t="s">
        <v>0</v>
      </c>
    </row>
    <row r="731" spans="1:24" ht="22.95" hidden="1" customHeight="1" x14ac:dyDescent="0.25">
      <c r="A731" s="1" t="s">
        <v>840</v>
      </c>
      <c r="D731" s="3" t="s">
        <v>1049</v>
      </c>
      <c r="E731" s="15" t="str">
        <f t="shared" si="18"/>
        <v>接头</v>
      </c>
      <c r="F731" s="15" t="str">
        <f>+VLOOKUP(D731,[1]Sheet1!$D$2:$E$29166,2,0)</f>
        <v>接头</v>
      </c>
      <c r="G731" s="3" t="s">
        <v>80</v>
      </c>
      <c r="H731" s="3">
        <v>30</v>
      </c>
      <c r="I731" s="18" t="str">
        <f t="array" ref="I731">INDEX([2]Sheet1!$F$1:$AF$65808,MATCH(D731&amp;G731&amp;I$1,[2]Sheet1!$B$1:$B$65808&amp;[2]Sheet1!$D$1:$D$65808&amp;[2]Sheet1!$E$1:$E$65808,0),MATCH(H731,[2]Sheet1!$F$1:$AF$1,0))</f>
        <v>30/钳工</v>
      </c>
      <c r="J731" s="3">
        <v>1</v>
      </c>
      <c r="K731" s="3">
        <v>1</v>
      </c>
      <c r="L731" s="19">
        <v>8</v>
      </c>
      <c r="M731" s="19">
        <v>8</v>
      </c>
      <c r="N731" s="5" t="s">
        <v>81</v>
      </c>
      <c r="O731" s="4"/>
      <c r="P731" s="18">
        <f t="array" ref="P731">IFERROR(INDEX([2]Sheet1!$F$1:$AF$65808,MATCH($D731&amp;$G731&amp;P$1,[2]Sheet1!$B$1:$B$65808&amp;[2]Sheet1!$D$1:$D$65808&amp;[2]Sheet1!$E$1:$E$65808,0),MATCH($H731,[2]Sheet1!$F$1:$AF$1,0)),0)</f>
        <v>40</v>
      </c>
      <c r="Q731" s="3"/>
      <c r="R731" s="6"/>
      <c r="S731" s="22"/>
      <c r="U731" s="23">
        <f t="shared" si="17"/>
        <v>0.7</v>
      </c>
      <c r="V731" s="24" t="s">
        <v>0</v>
      </c>
    </row>
    <row r="732" spans="1:24" ht="22.95" hidden="1" customHeight="1" x14ac:dyDescent="0.25">
      <c r="A732" s="1" t="s">
        <v>840</v>
      </c>
      <c r="D732" s="3" t="s">
        <v>1050</v>
      </c>
      <c r="E732" s="15" t="str">
        <f t="shared" si="18"/>
        <v>接头</v>
      </c>
      <c r="F732" s="15" t="str">
        <f>+VLOOKUP(D732,[1]Sheet1!$D$2:$E$29166,2,0)</f>
        <v>接头</v>
      </c>
      <c r="G732" s="3" t="s">
        <v>80</v>
      </c>
      <c r="H732" s="3">
        <v>55</v>
      </c>
      <c r="I732" s="18" t="str">
        <f t="array" ref="I732">INDEX([2]Sheet1!$F$1:$AF$65808,MATCH(D732&amp;G732&amp;I$1,[2]Sheet1!$B$1:$B$65808&amp;[2]Sheet1!$D$1:$D$65808&amp;[2]Sheet1!$E$1:$E$65808,0),MATCH(H732,[2]Sheet1!$F$1:$AF$1,0))</f>
        <v>55/钳工</v>
      </c>
      <c r="J732" s="3">
        <v>2</v>
      </c>
      <c r="K732" s="3">
        <v>2</v>
      </c>
      <c r="L732" s="19">
        <v>8</v>
      </c>
      <c r="M732" s="19">
        <v>8</v>
      </c>
      <c r="N732" s="5" t="s">
        <v>81</v>
      </c>
      <c r="O732" s="4"/>
      <c r="P732" s="18">
        <f t="array" ref="P732">IFERROR(INDEX([2]Sheet1!$F$1:$AF$65808,MATCH($D732&amp;$G732&amp;P$1,[2]Sheet1!$B$1:$B$65808&amp;[2]Sheet1!$D$1:$D$65808&amp;[2]Sheet1!$E$1:$E$65808,0),MATCH($H732,[2]Sheet1!$F$1:$AF$1,0)),0)</f>
        <v>30</v>
      </c>
      <c r="Q732" s="3"/>
      <c r="R732" s="6"/>
      <c r="S732" s="22"/>
      <c r="U732" s="23">
        <f t="shared" si="17"/>
        <v>1</v>
      </c>
      <c r="V732" s="24" t="s">
        <v>0</v>
      </c>
    </row>
    <row r="733" spans="1:24" ht="22.95" hidden="1" customHeight="1" x14ac:dyDescent="0.25">
      <c r="A733" s="1" t="s">
        <v>879</v>
      </c>
      <c r="D733" s="3" t="s">
        <v>841</v>
      </c>
      <c r="E733" s="15" t="s">
        <v>842</v>
      </c>
      <c r="F733" s="15" t="str">
        <f>+VLOOKUP(D733,[1]Sheet1!$D$2:$E$29166,2,0)</f>
        <v>5755横框</v>
      </c>
      <c r="G733" s="3" t="s">
        <v>114</v>
      </c>
      <c r="H733" s="3">
        <v>35</v>
      </c>
      <c r="I733" s="18" t="str">
        <f t="array" ref="I733">INDEX([2]Sheet1!$F$1:$AF$65808,MATCH(D733&amp;G733&amp;I$1,[2]Sheet1!$B$1:$B$65808&amp;[2]Sheet1!$D$1:$D$65808&amp;[2]Sheet1!$E$1:$E$65808,0),MATCH(H733,[2]Sheet1!$F$1:$AF$1,0))</f>
        <v>35/钳工</v>
      </c>
      <c r="J733" s="3">
        <v>6</v>
      </c>
      <c r="K733" s="3">
        <v>6</v>
      </c>
      <c r="L733" s="19">
        <v>8</v>
      </c>
      <c r="M733" s="19">
        <v>8</v>
      </c>
      <c r="N733" s="5" t="s">
        <v>965</v>
      </c>
      <c r="O733" s="4"/>
      <c r="P733" s="18">
        <f t="array" ref="P733">IFERROR(INDEX([2]Sheet1!$F$1:$AF$65808,MATCH($D733&amp;$G733&amp;P$1,[2]Sheet1!$B$1:$B$65808&amp;[2]Sheet1!$D$1:$D$65808&amp;[2]Sheet1!$E$1:$E$65808,0),MATCH($H733,[2]Sheet1!$F$1:$AF$1,0)),0)</f>
        <v>120</v>
      </c>
      <c r="Q733" s="3"/>
      <c r="R733" s="6"/>
      <c r="S733" s="22"/>
      <c r="U733" s="23">
        <f t="shared" si="17"/>
        <v>12</v>
      </c>
      <c r="V733" s="24" t="s">
        <v>0</v>
      </c>
    </row>
    <row r="734" spans="1:24" ht="22.95" hidden="1" customHeight="1" x14ac:dyDescent="0.25">
      <c r="A734" s="1" t="s">
        <v>562</v>
      </c>
      <c r="D734" s="3" t="s">
        <v>415</v>
      </c>
      <c r="E734" s="15" t="s">
        <v>416</v>
      </c>
      <c r="F734" s="15" t="str">
        <f>+VLOOKUP(D734,[1]Sheet1!$D$2:$E$29166,2,0)</f>
        <v>右外侧接头</v>
      </c>
      <c r="G734" s="3" t="s">
        <v>46</v>
      </c>
      <c r="H734" s="3" t="s">
        <v>340</v>
      </c>
      <c r="I734" s="18" t="e">
        <f t="array" ref="I734">INDEX([2]Sheet1!$F$1:$AF$65808,MATCH(D734&amp;G734&amp;I$1,[2]Sheet1!$B$1:$B$65808&amp;[2]Sheet1!$D$1:$D$65808&amp;[2]Sheet1!$E$1:$E$65808,0),MATCH(H734,[2]Sheet1!$F$1:$AF$1,0))</f>
        <v>#N/A</v>
      </c>
      <c r="J734" s="3">
        <v>4</v>
      </c>
      <c r="K734" s="3">
        <v>4</v>
      </c>
      <c r="L734" s="19">
        <v>30</v>
      </c>
      <c r="M734" s="19">
        <v>30</v>
      </c>
      <c r="N734" s="5" t="s">
        <v>597</v>
      </c>
      <c r="O734" s="4"/>
      <c r="P734" s="18">
        <v>240</v>
      </c>
      <c r="Q734" s="3"/>
      <c r="R734" s="6"/>
      <c r="S734" s="22"/>
      <c r="U734" s="23">
        <f t="shared" si="17"/>
        <v>16</v>
      </c>
      <c r="V734" s="24" t="s">
        <v>11</v>
      </c>
      <c r="W734" s="7" t="s">
        <v>1051</v>
      </c>
      <c r="X734" s="7" t="s">
        <v>203</v>
      </c>
    </row>
    <row r="735" spans="1:24" ht="22.95" hidden="1" customHeight="1" x14ac:dyDescent="0.25">
      <c r="A735" s="1" t="s">
        <v>562</v>
      </c>
      <c r="D735" s="3" t="s">
        <v>413</v>
      </c>
      <c r="E735" s="15" t="s">
        <v>414</v>
      </c>
      <c r="F735" s="15" t="str">
        <f>+VLOOKUP(D735,[1]Sheet1!$D$2:$E$29166,2,0)</f>
        <v>左外侧接头</v>
      </c>
      <c r="G735" s="3" t="s">
        <v>46</v>
      </c>
      <c r="H735" s="3" t="s">
        <v>340</v>
      </c>
      <c r="I735" s="18" t="e">
        <f t="array" ref="I735">INDEX([2]Sheet1!$F$1:$AF$65808,MATCH(D735&amp;G735&amp;I$1,[2]Sheet1!$B$1:$B$65808&amp;[2]Sheet1!$D$1:$D$65808&amp;[2]Sheet1!$E$1:$E$65808,0),MATCH(H735,[2]Sheet1!$F$1:$AF$1,0))</f>
        <v>#N/A</v>
      </c>
      <c r="J735" s="3">
        <v>4</v>
      </c>
      <c r="K735" s="3">
        <v>4</v>
      </c>
      <c r="L735" s="19">
        <v>30</v>
      </c>
      <c r="M735" s="19">
        <v>30</v>
      </c>
      <c r="N735" s="5" t="s">
        <v>360</v>
      </c>
      <c r="O735" s="4"/>
      <c r="P735" s="18">
        <v>240</v>
      </c>
      <c r="Q735" s="3"/>
      <c r="R735" s="6"/>
      <c r="S735" s="22"/>
      <c r="U735" s="23">
        <f t="shared" si="17"/>
        <v>16</v>
      </c>
      <c r="V735" s="24" t="s">
        <v>11</v>
      </c>
      <c r="W735" s="7" t="s">
        <v>1051</v>
      </c>
      <c r="X735" s="7" t="s">
        <v>203</v>
      </c>
    </row>
    <row r="736" spans="1:24" ht="22.95" hidden="1" customHeight="1" x14ac:dyDescent="0.25">
      <c r="A736" s="1" t="s">
        <v>764</v>
      </c>
      <c r="D736" s="3" t="s">
        <v>1052</v>
      </c>
      <c r="E736" s="15" t="str">
        <f t="shared" ref="E736:E739" si="19">+F736</f>
        <v>根肋二段</v>
      </c>
      <c r="F736" s="15" t="str">
        <f>+VLOOKUP(D736,[1]Sheet1!$D$2:$E$29166,2,0)</f>
        <v>根肋二段</v>
      </c>
      <c r="G736" s="3" t="s">
        <v>64</v>
      </c>
      <c r="H736" s="3">
        <v>65</v>
      </c>
      <c r="I736" s="18" t="str">
        <f t="array" ref="I736">INDEX([2]Sheet1!$F$1:$AF$65808,MATCH(D736&amp;G736&amp;I$1,[2]Sheet1!$B$1:$B$65808&amp;[2]Sheet1!$D$1:$D$65808&amp;[2]Sheet1!$E$1:$E$65808,0),MATCH(H736,[2]Sheet1!$F$1:$AF$1,0))</f>
        <v>65/钳工</v>
      </c>
      <c r="J736" s="3">
        <v>5</v>
      </c>
      <c r="K736" s="3">
        <v>5</v>
      </c>
      <c r="L736" s="19">
        <v>30</v>
      </c>
      <c r="M736" s="19">
        <v>30</v>
      </c>
      <c r="N736" s="5" t="s">
        <v>376</v>
      </c>
      <c r="O736" s="4"/>
      <c r="P736" s="18">
        <f t="array" ref="P736">IFERROR(INDEX([2]Sheet1!$F$1:$AF$65808,MATCH($D736&amp;$G736&amp;P$1,[2]Sheet1!$B$1:$B$65808&amp;[2]Sheet1!$D$1:$D$65808&amp;[2]Sheet1!$E$1:$E$65808,0),MATCH($H736,[2]Sheet1!$F$1:$AF$1,0)),0)</f>
        <v>600</v>
      </c>
      <c r="Q736" s="3"/>
      <c r="R736" s="6"/>
      <c r="S736" s="22"/>
      <c r="U736" s="23">
        <f t="shared" si="17"/>
        <v>50</v>
      </c>
      <c r="V736" s="24" t="s">
        <v>11</v>
      </c>
    </row>
    <row r="737" spans="1:24" ht="22.95" hidden="1" customHeight="1" x14ac:dyDescent="0.25">
      <c r="A737" s="1" t="s">
        <v>766</v>
      </c>
      <c r="D737" s="3" t="s">
        <v>1052</v>
      </c>
      <c r="E737" s="15" t="str">
        <f t="shared" si="19"/>
        <v>根肋二段</v>
      </c>
      <c r="F737" s="15" t="str">
        <f>+VLOOKUP(D737,[1]Sheet1!$D$2:$E$29166,2,0)</f>
        <v>根肋二段</v>
      </c>
      <c r="G737" s="3" t="s">
        <v>64</v>
      </c>
      <c r="H737" s="3">
        <v>65</v>
      </c>
      <c r="I737" s="18" t="str">
        <f t="array" ref="I737">INDEX([2]Sheet1!$F$1:$AF$65808,MATCH(D737&amp;G737&amp;I$1,[2]Sheet1!$B$1:$B$65808&amp;[2]Sheet1!$D$1:$D$65808&amp;[2]Sheet1!$E$1:$E$65808,0),MATCH(H737,[2]Sheet1!$F$1:$AF$1,0))</f>
        <v>65/钳工</v>
      </c>
      <c r="J737" s="3">
        <v>4</v>
      </c>
      <c r="K737" s="3">
        <v>4</v>
      </c>
      <c r="L737" s="19">
        <v>30</v>
      </c>
      <c r="M737" s="19">
        <v>30</v>
      </c>
      <c r="N737" s="5" t="s">
        <v>1053</v>
      </c>
      <c r="O737" s="4"/>
      <c r="P737" s="18">
        <f t="array" ref="P737">IFERROR(INDEX([2]Sheet1!$F$1:$AF$65808,MATCH($D737&amp;$G737&amp;P$1,[2]Sheet1!$B$1:$B$65808&amp;[2]Sheet1!$D$1:$D$65808&amp;[2]Sheet1!$E$1:$E$65808,0),MATCH($H737,[2]Sheet1!$F$1:$AF$1,0)),0)</f>
        <v>600</v>
      </c>
      <c r="Q737" s="3"/>
      <c r="R737" s="6"/>
      <c r="S737" s="22"/>
      <c r="U737" s="23">
        <f t="shared" si="17"/>
        <v>40</v>
      </c>
      <c r="V737" s="24" t="s">
        <v>11</v>
      </c>
    </row>
    <row r="738" spans="1:24" ht="22.95" hidden="1" customHeight="1" x14ac:dyDescent="0.25">
      <c r="A738" s="1" t="s">
        <v>766</v>
      </c>
      <c r="D738" s="3" t="s">
        <v>949</v>
      </c>
      <c r="E738" s="15" t="str">
        <f t="shared" si="19"/>
        <v>根肋二段</v>
      </c>
      <c r="F738" s="15" t="str">
        <f>+VLOOKUP(D738,[1]Sheet1!$D$2:$E$29166,2,0)</f>
        <v>根肋二段</v>
      </c>
      <c r="G738" s="3" t="s">
        <v>64</v>
      </c>
      <c r="H738" s="3">
        <v>65</v>
      </c>
      <c r="I738" s="18" t="str">
        <f t="array" ref="I738">INDEX([2]Sheet1!$F$1:$AF$65808,MATCH(D738&amp;G738&amp;I$1,[2]Sheet1!$B$1:$B$65808&amp;[2]Sheet1!$D$1:$D$65808&amp;[2]Sheet1!$E$1:$E$65808,0),MATCH(H738,[2]Sheet1!$F$1:$AF$1,0))</f>
        <v>65/钳工</v>
      </c>
      <c r="J738" s="3">
        <v>1</v>
      </c>
      <c r="K738" s="3">
        <v>1</v>
      </c>
      <c r="L738" s="19">
        <v>30</v>
      </c>
      <c r="M738" s="19">
        <v>30</v>
      </c>
      <c r="N738" s="5" t="s">
        <v>357</v>
      </c>
      <c r="O738" s="4"/>
      <c r="P738" s="18">
        <f t="array" ref="P738">IFERROR(INDEX([2]Sheet1!$F$1:$AF$65808,MATCH($D738&amp;$G738&amp;P$1,[2]Sheet1!$B$1:$B$65808&amp;[2]Sheet1!$D$1:$D$65808&amp;[2]Sheet1!$E$1:$E$65808,0),MATCH($H738,[2]Sheet1!$F$1:$AF$1,0)),0)</f>
        <v>600</v>
      </c>
      <c r="Q738" s="3"/>
      <c r="R738" s="6"/>
      <c r="S738" s="22"/>
      <c r="U738" s="23">
        <f t="shared" si="17"/>
        <v>10</v>
      </c>
      <c r="V738" s="24" t="s">
        <v>11</v>
      </c>
    </row>
    <row r="739" spans="1:24" ht="22.95" hidden="1" customHeight="1" x14ac:dyDescent="0.25">
      <c r="A739" s="1" t="s">
        <v>840</v>
      </c>
      <c r="D739" s="3" t="s">
        <v>949</v>
      </c>
      <c r="E739" s="15" t="str">
        <f t="shared" si="19"/>
        <v>根肋二段</v>
      </c>
      <c r="F739" s="15" t="str">
        <f>+VLOOKUP(D739,[1]Sheet1!$D$2:$E$29166,2,0)</f>
        <v>根肋二段</v>
      </c>
      <c r="G739" s="3" t="s">
        <v>64</v>
      </c>
      <c r="H739" s="3">
        <v>65</v>
      </c>
      <c r="I739" s="18" t="str">
        <f t="array" ref="I739">INDEX([2]Sheet1!$F$1:$AF$65808,MATCH(D739&amp;G739&amp;I$1,[2]Sheet1!$B$1:$B$65808&amp;[2]Sheet1!$D$1:$D$65808&amp;[2]Sheet1!$E$1:$E$65808,0),MATCH(H739,[2]Sheet1!$F$1:$AF$1,0))</f>
        <v>65/钳工</v>
      </c>
      <c r="J739" s="3">
        <v>3</v>
      </c>
      <c r="K739" s="3">
        <v>3</v>
      </c>
      <c r="L739" s="19">
        <v>30</v>
      </c>
      <c r="M739" s="19">
        <v>30</v>
      </c>
      <c r="N739" s="5" t="s">
        <v>324</v>
      </c>
      <c r="O739" s="4"/>
      <c r="P739" s="18">
        <f t="array" ref="P739">IFERROR(INDEX([2]Sheet1!$F$1:$AF$65808,MATCH($D739&amp;$G739&amp;P$1,[2]Sheet1!$B$1:$B$65808&amp;[2]Sheet1!$D$1:$D$65808&amp;[2]Sheet1!$E$1:$E$65808,0),MATCH($H739,[2]Sheet1!$F$1:$AF$1,0)),0)</f>
        <v>600</v>
      </c>
      <c r="Q739" s="3"/>
      <c r="R739" s="6"/>
      <c r="S739" s="22"/>
      <c r="U739" s="23">
        <f t="shared" si="17"/>
        <v>30</v>
      </c>
      <c r="V739" s="24" t="s">
        <v>11</v>
      </c>
    </row>
    <row r="740" spans="1:24" ht="22.95" hidden="1" customHeight="1" x14ac:dyDescent="0.25">
      <c r="A740" s="1" t="s">
        <v>840</v>
      </c>
      <c r="D740" s="3" t="s">
        <v>1022</v>
      </c>
      <c r="E740" s="15" t="s">
        <v>1006</v>
      </c>
      <c r="F740" s="15" t="str">
        <f>+VLOOKUP(D740,[1]Sheet1!$D$2:$E$29166,2,0)</f>
        <v>8455 4号加强筋</v>
      </c>
      <c r="G740" s="3" t="s">
        <v>51</v>
      </c>
      <c r="H740" s="3">
        <v>45</v>
      </c>
      <c r="I740" s="18" t="str">
        <f t="array" ref="I740">INDEX([2]Sheet1!$F$1:$AF$65808,MATCH(D740&amp;G740&amp;I$1,[2]Sheet1!$B$1:$B$65808&amp;[2]Sheet1!$D$1:$D$65808&amp;[2]Sheet1!$E$1:$E$65808,0),MATCH(H740,[2]Sheet1!$F$1:$AF$1,0))</f>
        <v>45钳工</v>
      </c>
      <c r="J740" s="3">
        <v>2</v>
      </c>
      <c r="K740" s="3">
        <v>2</v>
      </c>
      <c r="L740" s="19">
        <v>30</v>
      </c>
      <c r="M740" s="19">
        <v>30</v>
      </c>
      <c r="N740" s="5" t="s">
        <v>1054</v>
      </c>
      <c r="O740" s="4"/>
      <c r="P740" s="18">
        <f t="array" ref="P740">IFERROR(INDEX([2]Sheet1!$F$1:$AF$65808,MATCH($D740&amp;$G740&amp;P$1,[2]Sheet1!$B$1:$B$65808&amp;[2]Sheet1!$D$1:$D$65808&amp;[2]Sheet1!$E$1:$E$65808,0),MATCH($H740,[2]Sheet1!$F$1:$AF$1,0)),0)</f>
        <v>270</v>
      </c>
      <c r="Q740" s="3"/>
      <c r="R740" s="6"/>
      <c r="S740" s="22"/>
      <c r="U740" s="23">
        <f t="shared" si="17"/>
        <v>9</v>
      </c>
      <c r="V740" s="24" t="s">
        <v>11</v>
      </c>
    </row>
    <row r="741" spans="1:24" ht="22.95" hidden="1" customHeight="1" x14ac:dyDescent="0.25">
      <c r="A741" s="1" t="s">
        <v>840</v>
      </c>
      <c r="D741" s="3" t="s">
        <v>1021</v>
      </c>
      <c r="E741" s="15" t="s">
        <v>1006</v>
      </c>
      <c r="F741" s="15" t="str">
        <f>+VLOOKUP(D741,[1]Sheet1!$D$2:$E$29166,2,0)</f>
        <v>8455 4号加强筋</v>
      </c>
      <c r="G741" s="3" t="s">
        <v>51</v>
      </c>
      <c r="H741" s="3">
        <v>45</v>
      </c>
      <c r="I741" s="18" t="str">
        <f t="array" ref="I741">INDEX([2]Sheet1!$F$1:$AF$65808,MATCH(D741&amp;G741&amp;I$1,[2]Sheet1!$B$1:$B$65808&amp;[2]Sheet1!$D$1:$D$65808&amp;[2]Sheet1!$E$1:$E$65808,0),MATCH(H741,[2]Sheet1!$F$1:$AF$1,0))</f>
        <v>45钳工</v>
      </c>
      <c r="J741" s="3">
        <v>2</v>
      </c>
      <c r="K741" s="3">
        <v>2</v>
      </c>
      <c r="L741" s="19">
        <v>30</v>
      </c>
      <c r="M741" s="19">
        <v>30</v>
      </c>
      <c r="N741" s="5" t="s">
        <v>1054</v>
      </c>
      <c r="O741" s="4"/>
      <c r="P741" s="18">
        <f t="array" ref="P741">IFERROR(INDEX([2]Sheet1!$F$1:$AF$65808,MATCH($D741&amp;$G741&amp;P$1,[2]Sheet1!$B$1:$B$65808&amp;[2]Sheet1!$D$1:$D$65808&amp;[2]Sheet1!$E$1:$E$65808,0),MATCH($H741,[2]Sheet1!$F$1:$AF$1,0)),0)</f>
        <v>270</v>
      </c>
      <c r="Q741" s="3"/>
      <c r="R741" s="6"/>
      <c r="S741" s="22"/>
      <c r="U741" s="23">
        <f t="shared" si="17"/>
        <v>9</v>
      </c>
      <c r="V741" s="24" t="s">
        <v>11</v>
      </c>
    </row>
    <row r="742" spans="1:24" ht="22.95" hidden="1" customHeight="1" x14ac:dyDescent="0.25">
      <c r="A742" s="1" t="s">
        <v>879</v>
      </c>
      <c r="D742" s="3" t="s">
        <v>153</v>
      </c>
      <c r="E742" s="15" t="s">
        <v>154</v>
      </c>
      <c r="F742" s="15" t="str">
        <f>+VLOOKUP(D742,[1]Sheet1!$D$2:$E$29166,2,0)</f>
        <v>9350-11140右侧上梁</v>
      </c>
      <c r="G742" s="3" t="s">
        <v>385</v>
      </c>
      <c r="H742" s="3">
        <v>50</v>
      </c>
      <c r="I742" s="18" t="str">
        <f t="array" ref="I742">INDEX([2]Sheet1!$F$1:$AF$65808,MATCH(D742&amp;G742&amp;I$1,[2]Sheet1!$B$1:$B$65808&amp;[2]Sheet1!$D$1:$D$65808&amp;[2]Sheet1!$E$1:$E$65808,0),MATCH(H742,[2]Sheet1!$F$1:$AF$1,0))</f>
        <v>50/钳工</v>
      </c>
      <c r="J742" s="3">
        <v>1</v>
      </c>
      <c r="K742" s="3">
        <v>1</v>
      </c>
      <c r="L742" s="19">
        <v>30</v>
      </c>
      <c r="M742" s="19">
        <v>30</v>
      </c>
      <c r="N742" s="5" t="s">
        <v>1055</v>
      </c>
      <c r="O742" s="4"/>
      <c r="P742" s="18">
        <f t="array" ref="P742">IFERROR(INDEX([2]Sheet1!$F$1:$AF$65808,MATCH($D742&amp;$G742&amp;P$1,[2]Sheet1!$B$1:$B$65808&amp;[2]Sheet1!$D$1:$D$65808&amp;[2]Sheet1!$E$1:$E$65808,0),MATCH($H742,[2]Sheet1!$F$1:$AF$1,0)),0)</f>
        <v>720</v>
      </c>
      <c r="Q742" s="3"/>
      <c r="R742" s="6"/>
      <c r="S742" s="22"/>
      <c r="U742" s="23">
        <f t="shared" si="17"/>
        <v>12</v>
      </c>
      <c r="V742" s="24" t="s">
        <v>11</v>
      </c>
    </row>
    <row r="743" spans="1:24" ht="22.95" hidden="1" customHeight="1" x14ac:dyDescent="0.25">
      <c r="A743" s="1" t="s">
        <v>879</v>
      </c>
      <c r="D743" s="3" t="s">
        <v>1022</v>
      </c>
      <c r="E743" s="15" t="s">
        <v>1006</v>
      </c>
      <c r="F743" s="15" t="str">
        <f>+VLOOKUP(D743,[1]Sheet1!$D$2:$E$29166,2,0)</f>
        <v>8455 4号加强筋</v>
      </c>
      <c r="G743" s="3" t="s">
        <v>385</v>
      </c>
      <c r="H743" s="3" t="s">
        <v>340</v>
      </c>
      <c r="I743" s="18" t="e">
        <f t="array" ref="I743">INDEX([2]Sheet1!$F$1:$AF$65808,MATCH(D743&amp;G743&amp;I$1,[2]Sheet1!$B$1:$B$65808&amp;[2]Sheet1!$D$1:$D$65808&amp;[2]Sheet1!$E$1:$E$65808,0),MATCH(H743,[2]Sheet1!$F$1:$AF$1,0))</f>
        <v>#N/A</v>
      </c>
      <c r="J743" s="3">
        <v>2</v>
      </c>
      <c r="K743" s="3">
        <v>2</v>
      </c>
      <c r="L743" s="19">
        <v>30</v>
      </c>
      <c r="M743" s="19">
        <v>30</v>
      </c>
      <c r="N743" s="5" t="s">
        <v>1054</v>
      </c>
      <c r="O743" s="4"/>
      <c r="P743" s="18">
        <v>90</v>
      </c>
      <c r="Q743" s="3"/>
      <c r="R743" s="6"/>
      <c r="S743" s="22"/>
      <c r="U743" s="23">
        <f t="shared" si="17"/>
        <v>3</v>
      </c>
      <c r="V743" s="24" t="s">
        <v>11</v>
      </c>
      <c r="W743" s="7" t="s">
        <v>1056</v>
      </c>
      <c r="X743" s="7" t="s">
        <v>203</v>
      </c>
    </row>
    <row r="744" spans="1:24" ht="22.95" hidden="1" customHeight="1" x14ac:dyDescent="0.25">
      <c r="A744" s="1" t="s">
        <v>879</v>
      </c>
      <c r="D744" s="3" t="s">
        <v>1021</v>
      </c>
      <c r="E744" s="15" t="s">
        <v>1006</v>
      </c>
      <c r="F744" s="15" t="str">
        <f>+VLOOKUP(D744,[1]Sheet1!$D$2:$E$29166,2,0)</f>
        <v>8455 4号加强筋</v>
      </c>
      <c r="G744" s="3" t="s">
        <v>385</v>
      </c>
      <c r="H744" s="3" t="s">
        <v>340</v>
      </c>
      <c r="I744" s="18" t="e">
        <f t="array" ref="I744">INDEX([2]Sheet1!$F$1:$AF$65808,MATCH(D744&amp;G744&amp;I$1,[2]Sheet1!$B$1:$B$65808&amp;[2]Sheet1!$D$1:$D$65808&amp;[2]Sheet1!$E$1:$E$65808,0),MATCH(H744,[2]Sheet1!$F$1:$AF$1,0))</f>
        <v>#N/A</v>
      </c>
      <c r="J744" s="3">
        <v>2</v>
      </c>
      <c r="K744" s="3">
        <v>2</v>
      </c>
      <c r="L744" s="19">
        <v>30</v>
      </c>
      <c r="M744" s="19">
        <v>30</v>
      </c>
      <c r="N744" s="5" t="s">
        <v>1054</v>
      </c>
      <c r="O744" s="4"/>
      <c r="P744" s="18">
        <v>90</v>
      </c>
      <c r="Q744" s="3"/>
      <c r="R744" s="6"/>
      <c r="S744" s="22"/>
      <c r="U744" s="23">
        <f t="shared" si="17"/>
        <v>3</v>
      </c>
      <c r="V744" s="24" t="s">
        <v>11</v>
      </c>
      <c r="W744" s="7" t="s">
        <v>1056</v>
      </c>
      <c r="X744" s="7" t="s">
        <v>203</v>
      </c>
    </row>
    <row r="745" spans="1:24" ht="22.95" hidden="1" customHeight="1" x14ac:dyDescent="0.25">
      <c r="A745" s="1" t="s">
        <v>879</v>
      </c>
      <c r="D745" s="3" t="s">
        <v>1052</v>
      </c>
      <c r="E745" s="15" t="str">
        <f t="shared" ref="E745:E748" si="20">+F745</f>
        <v>根肋二段</v>
      </c>
      <c r="F745" s="15" t="str">
        <f>+VLOOKUP(D745,[1]Sheet1!$D$2:$E$29166,2,0)</f>
        <v>根肋二段</v>
      </c>
      <c r="H745" s="3" t="s">
        <v>340</v>
      </c>
      <c r="I745" s="18" t="e">
        <f t="array" ref="I745">INDEX([2]Sheet1!$F$1:$AF$65808,MATCH(D745&amp;G745&amp;I$1,[2]Sheet1!$B$1:$B$65808&amp;[2]Sheet1!$D$1:$D$65808&amp;[2]Sheet1!$E$1:$E$65808,0),MATCH(H745,[2]Sheet1!$F$1:$AF$1,0))</f>
        <v>#N/A</v>
      </c>
      <c r="J745" s="3">
        <v>9</v>
      </c>
      <c r="K745" s="3">
        <v>9</v>
      </c>
      <c r="L745" s="19">
        <v>30</v>
      </c>
      <c r="M745" s="19">
        <v>30</v>
      </c>
      <c r="O745" s="4"/>
      <c r="P745" s="18">
        <v>240</v>
      </c>
      <c r="Q745" s="3"/>
      <c r="R745" s="6"/>
      <c r="S745" s="22"/>
      <c r="U745" s="23">
        <f t="shared" si="17"/>
        <v>36</v>
      </c>
      <c r="V745" s="24" t="s">
        <v>11</v>
      </c>
      <c r="W745" s="7" t="s">
        <v>1057</v>
      </c>
      <c r="X745" s="7" t="s">
        <v>203</v>
      </c>
    </row>
    <row r="746" spans="1:24" ht="22.95" hidden="1" customHeight="1" x14ac:dyDescent="0.25">
      <c r="A746" s="1" t="s">
        <v>879</v>
      </c>
      <c r="D746" s="3" t="s">
        <v>949</v>
      </c>
      <c r="E746" s="15" t="str">
        <f t="shared" si="20"/>
        <v>根肋二段</v>
      </c>
      <c r="F746" s="15" t="str">
        <f>+VLOOKUP(D746,[1]Sheet1!$D$2:$E$29166,2,0)</f>
        <v>根肋二段</v>
      </c>
      <c r="H746" s="3" t="s">
        <v>340</v>
      </c>
      <c r="I746" s="18" t="e">
        <f t="array" ref="I746">INDEX([2]Sheet1!$F$1:$AF$65808,MATCH(D746&amp;G746&amp;I$1,[2]Sheet1!$B$1:$B$65808&amp;[2]Sheet1!$D$1:$D$65808&amp;[2]Sheet1!$E$1:$E$65808,0),MATCH(H746,[2]Sheet1!$F$1:$AF$1,0))</f>
        <v>#N/A</v>
      </c>
      <c r="J746" s="3">
        <v>4</v>
      </c>
      <c r="K746" s="3">
        <v>4</v>
      </c>
      <c r="L746" s="19">
        <v>30</v>
      </c>
      <c r="M746" s="19">
        <v>30</v>
      </c>
      <c r="O746" s="4"/>
      <c r="P746" s="18">
        <v>240</v>
      </c>
      <c r="Q746" s="3"/>
      <c r="R746" s="6"/>
      <c r="S746" s="22"/>
      <c r="U746" s="23">
        <f t="shared" si="17"/>
        <v>16</v>
      </c>
      <c r="V746" s="24" t="s">
        <v>11</v>
      </c>
      <c r="W746" s="7" t="s">
        <v>1057</v>
      </c>
      <c r="X746" s="7" t="s">
        <v>203</v>
      </c>
    </row>
    <row r="747" spans="1:24" ht="22.95" hidden="1" customHeight="1" x14ac:dyDescent="0.25">
      <c r="A747" s="1" t="s">
        <v>879</v>
      </c>
      <c r="D747" s="3" t="s">
        <v>1058</v>
      </c>
      <c r="E747" s="15" t="str">
        <f t="shared" si="20"/>
        <v>接头</v>
      </c>
      <c r="F747" s="15" t="str">
        <f>+VLOOKUP(D747,[1]Sheet1!$D$2:$E$29166,2,0)</f>
        <v>接头</v>
      </c>
      <c r="G747" s="3" t="s">
        <v>80</v>
      </c>
      <c r="H747" s="3">
        <v>20</v>
      </c>
      <c r="I747" s="18" t="str">
        <f t="array" ref="I747">INDEX([2]Sheet1!$F$1:$AF$65808,MATCH(D747&amp;G747&amp;I$1,[2]Sheet1!$B$1:$B$65808&amp;[2]Sheet1!$D$1:$D$65808&amp;[2]Sheet1!$E$1:$E$65808,0),MATCH(H747,[2]Sheet1!$F$1:$AF$1,0))</f>
        <v>20钳工</v>
      </c>
      <c r="J747" s="3">
        <v>1</v>
      </c>
      <c r="K747" s="3">
        <v>1</v>
      </c>
      <c r="L747" s="19">
        <v>30</v>
      </c>
      <c r="M747" s="19">
        <v>30</v>
      </c>
      <c r="N747" s="5" t="s">
        <v>81</v>
      </c>
      <c r="O747" s="4"/>
      <c r="P747" s="18">
        <f t="array" ref="P747">IFERROR(INDEX([2]Sheet1!$F$1:$AF$65808,MATCH($D747&amp;$G747&amp;P$1,[2]Sheet1!$B$1:$B$65808&amp;[2]Sheet1!$D$1:$D$65808&amp;[2]Sheet1!$E$1:$E$65808,0),MATCH($H747,[2]Sheet1!$F$1:$AF$1,0)),0)</f>
        <v>40</v>
      </c>
      <c r="Q747" s="3"/>
      <c r="R747" s="6"/>
      <c r="S747" s="22"/>
      <c r="U747" s="23">
        <f t="shared" si="17"/>
        <v>0.7</v>
      </c>
      <c r="V747" s="24" t="s">
        <v>11</v>
      </c>
    </row>
    <row r="748" spans="1:24" ht="22.95" hidden="1" customHeight="1" x14ac:dyDescent="0.25">
      <c r="A748" s="1" t="s">
        <v>879</v>
      </c>
      <c r="D748" s="3" t="s">
        <v>893</v>
      </c>
      <c r="E748" s="15" t="str">
        <f t="shared" si="20"/>
        <v>支臂</v>
      </c>
      <c r="F748" s="15" t="str">
        <f>+VLOOKUP(D748,[1]Sheet1!$D$2:$E$29166,2,0)</f>
        <v>支臂</v>
      </c>
      <c r="G748" s="3" t="s">
        <v>46</v>
      </c>
      <c r="H748" s="3">
        <v>20</v>
      </c>
      <c r="I748" s="18" t="str">
        <f t="array" ref="I748">INDEX([2]Sheet1!$F$1:$AF$65808,MATCH(D748&amp;G748&amp;I$1,[2]Sheet1!$B$1:$B$65808&amp;[2]Sheet1!$D$1:$D$65808&amp;[2]Sheet1!$E$1:$E$65808,0),MATCH(H748,[2]Sheet1!$F$1:$AF$1,0))</f>
        <v>20钳工</v>
      </c>
      <c r="J748" s="3">
        <v>2</v>
      </c>
      <c r="K748" s="3">
        <v>2</v>
      </c>
      <c r="L748" s="19">
        <v>30</v>
      </c>
      <c r="M748" s="19">
        <v>30</v>
      </c>
      <c r="N748" s="5" t="s">
        <v>895</v>
      </c>
      <c r="O748" s="4"/>
      <c r="P748" s="18">
        <f t="array" ref="P748">IFERROR(INDEX([2]Sheet1!$F$1:$AF$65808,MATCH($D748&amp;$G748&amp;P$1,[2]Sheet1!$B$1:$B$65808&amp;[2]Sheet1!$D$1:$D$65808&amp;[2]Sheet1!$E$1:$E$65808,0),MATCH($H748,[2]Sheet1!$F$1:$AF$1,0)),0)</f>
        <v>25</v>
      </c>
      <c r="Q748" s="3"/>
      <c r="R748" s="6"/>
      <c r="S748" s="22"/>
      <c r="U748" s="23">
        <f t="shared" si="17"/>
        <v>0.8</v>
      </c>
      <c r="V748" s="24" t="s">
        <v>11</v>
      </c>
    </row>
    <row r="749" spans="1:24" ht="22.95" hidden="1" customHeight="1" x14ac:dyDescent="0.25">
      <c r="A749" s="1" t="s">
        <v>764</v>
      </c>
      <c r="D749" s="3" t="s">
        <v>1059</v>
      </c>
      <c r="E749" s="15" t="s">
        <v>55</v>
      </c>
      <c r="F749" s="15" t="str">
        <f>+VLOOKUP(D749,[1]Sheet1!$D$2:$E$29166,2,0)</f>
        <v>接头</v>
      </c>
      <c r="G749" s="3" t="s">
        <v>80</v>
      </c>
      <c r="H749" s="3">
        <v>45</v>
      </c>
      <c r="I749" s="18" t="str">
        <f t="array" ref="I749">INDEX([2]Sheet1!$F$1:$AF$65808,MATCH(D749&amp;G749&amp;I$1,[2]Sheet1!$B$1:$B$65808&amp;[2]Sheet1!$D$1:$D$65808&amp;[2]Sheet1!$E$1:$E$65808,0),MATCH(H749,[2]Sheet1!$F$1:$AF$1,0))</f>
        <v>45/线切割</v>
      </c>
      <c r="K749" s="3">
        <v>1</v>
      </c>
      <c r="L749" s="19">
        <v>23</v>
      </c>
      <c r="M749" s="19">
        <v>23</v>
      </c>
      <c r="N749" s="5" t="s">
        <v>81</v>
      </c>
      <c r="O749" s="4">
        <v>30</v>
      </c>
      <c r="P749" s="18">
        <v>30</v>
      </c>
      <c r="Q749" s="3"/>
      <c r="R749" s="6"/>
      <c r="S749" s="22"/>
      <c r="U749" s="23">
        <f t="shared" si="17"/>
        <v>0.5</v>
      </c>
      <c r="V749" s="24" t="s">
        <v>14</v>
      </c>
    </row>
    <row r="750" spans="1:24" ht="22.95" hidden="1" customHeight="1" x14ac:dyDescent="0.25">
      <c r="A750" s="1" t="s">
        <v>764</v>
      </c>
      <c r="D750" s="3" t="s">
        <v>1050</v>
      </c>
      <c r="E750" s="15" t="s">
        <v>55</v>
      </c>
      <c r="F750" s="15" t="str">
        <f>+VLOOKUP(D750,[1]Sheet1!$D$2:$E$29166,2,0)</f>
        <v>接头</v>
      </c>
      <c r="G750" s="3" t="s">
        <v>80</v>
      </c>
      <c r="H750" s="3">
        <v>45</v>
      </c>
      <c r="I750" s="18" t="str">
        <f t="array" ref="I750">INDEX([2]Sheet1!$F$1:$AF$65808,MATCH(D750&amp;G750&amp;I$1,[2]Sheet1!$B$1:$B$65808&amp;[2]Sheet1!$D$1:$D$65808&amp;[2]Sheet1!$E$1:$E$65808,0),MATCH(H750,[2]Sheet1!$F$1:$AF$1,0))</f>
        <v>45/线切割</v>
      </c>
      <c r="K750" s="3">
        <v>2</v>
      </c>
      <c r="L750" s="19">
        <v>23</v>
      </c>
      <c r="M750" s="19">
        <v>23</v>
      </c>
      <c r="N750" s="5" t="s">
        <v>81</v>
      </c>
      <c r="O750" s="4">
        <v>30</v>
      </c>
      <c r="P750" s="18">
        <v>30</v>
      </c>
      <c r="Q750" s="3"/>
      <c r="R750" s="6"/>
      <c r="S750" s="22"/>
      <c r="U750" s="23">
        <f t="shared" si="17"/>
        <v>1</v>
      </c>
      <c r="V750" s="24" t="s">
        <v>14</v>
      </c>
    </row>
    <row r="751" spans="1:24" ht="22.95" hidden="1" customHeight="1" x14ac:dyDescent="0.25">
      <c r="A751" s="1" t="s">
        <v>766</v>
      </c>
      <c r="D751" s="3" t="s">
        <v>1060</v>
      </c>
      <c r="E751" s="15" t="s">
        <v>120</v>
      </c>
      <c r="F751" s="15" t="str">
        <f>+VLOOKUP(D751,[1]Sheet1!$D$2:$E$29166,2,0)</f>
        <v>支架</v>
      </c>
      <c r="G751" s="3" t="s">
        <v>80</v>
      </c>
      <c r="H751" s="3">
        <v>20</v>
      </c>
      <c r="I751" s="18" t="str">
        <f t="array" ref="I751">INDEX([2]Sheet1!$F$1:$AF$65808,MATCH(D751&amp;G751&amp;I$1,[2]Sheet1!$B$1:$B$65808&amp;[2]Sheet1!$D$1:$D$65808&amp;[2]Sheet1!$E$1:$E$65808,0),MATCH(H751,[2]Sheet1!$F$1:$AF$1,0))</f>
        <v>20线切割</v>
      </c>
      <c r="K751" s="3">
        <v>4</v>
      </c>
      <c r="L751" s="19">
        <v>23</v>
      </c>
      <c r="M751" s="19">
        <v>5</v>
      </c>
      <c r="N751" s="5" t="s">
        <v>81</v>
      </c>
      <c r="O751" s="4">
        <v>60</v>
      </c>
      <c r="P751" s="18">
        <v>60</v>
      </c>
      <c r="Q751" s="3"/>
      <c r="R751" s="6"/>
      <c r="S751" s="22"/>
      <c r="U751" s="23">
        <f t="shared" si="17"/>
        <v>4</v>
      </c>
      <c r="V751" s="24" t="s">
        <v>14</v>
      </c>
    </row>
    <row r="752" spans="1:24" ht="22.95" hidden="1" customHeight="1" x14ac:dyDescent="0.25">
      <c r="A752" s="1" t="s">
        <v>766</v>
      </c>
      <c r="D752" s="3" t="s">
        <v>956</v>
      </c>
      <c r="E752" s="15" t="s">
        <v>446</v>
      </c>
      <c r="F752" s="15" t="str">
        <f>+VLOOKUP(D752,[1]Sheet1!$D$2:$E$29166,2,0)</f>
        <v>摇臂</v>
      </c>
      <c r="G752" s="3" t="s">
        <v>114</v>
      </c>
      <c r="H752" s="3">
        <v>10</v>
      </c>
      <c r="I752" s="18" t="str">
        <f t="array" ref="I752">INDEX([2]Sheet1!$F$1:$AF$65808,MATCH(D752&amp;G752&amp;I$1,[2]Sheet1!$B$1:$B$65808&amp;[2]Sheet1!$D$1:$D$65808&amp;[2]Sheet1!$E$1:$E$65808,0),MATCH(H752,[2]Sheet1!$F$1:$AF$1,0))</f>
        <v>10/线切割</v>
      </c>
      <c r="K752" s="3">
        <v>24</v>
      </c>
      <c r="L752" s="19">
        <v>5</v>
      </c>
      <c r="M752" s="19">
        <v>28</v>
      </c>
      <c r="N752" s="5" t="s">
        <v>295</v>
      </c>
      <c r="O752" s="4">
        <v>60</v>
      </c>
      <c r="P752" s="18">
        <f t="array" ref="P752">IFERROR(INDEX([2]Sheet1!$F$1:$AF$65808,MATCH($D752&amp;$G752&amp;P$1,[2]Sheet1!$B$1:$B$65808&amp;[2]Sheet1!$D$1:$D$65808&amp;[2]Sheet1!$E$1:$E$65808,0),MATCH($H752,[2]Sheet1!$F$1:$AF$1,0)),0)</f>
        <v>20</v>
      </c>
      <c r="Q752" s="3"/>
      <c r="R752" s="6"/>
      <c r="S752" s="22"/>
      <c r="U752" s="23">
        <f t="shared" si="17"/>
        <v>8</v>
      </c>
      <c r="V752" s="24" t="s">
        <v>14</v>
      </c>
    </row>
    <row r="753" spans="1:23" ht="22.95" hidden="1" customHeight="1" x14ac:dyDescent="0.25">
      <c r="A753" s="1" t="s">
        <v>840</v>
      </c>
      <c r="D753" s="3" t="s">
        <v>1061</v>
      </c>
      <c r="E753" s="15" t="s">
        <v>120</v>
      </c>
      <c r="F753" s="15" t="str">
        <f>+VLOOKUP(D753,[1]Sheet1!$D$2:$E$29166,2,0)</f>
        <v>支架</v>
      </c>
      <c r="G753" s="3" t="s">
        <v>80</v>
      </c>
      <c r="H753" s="3">
        <v>15</v>
      </c>
      <c r="I753" s="18" t="e">
        <f t="array" ref="I753">INDEX([2]Sheet1!$F$1:$AF$65808,MATCH(D753&amp;G753&amp;I$1,[2]Sheet1!$B$1:$B$65808&amp;[2]Sheet1!$D$1:$D$65808&amp;[2]Sheet1!$E$1:$E$65808,0),MATCH(H753,[2]Sheet1!$F$1:$AF$1,0))</f>
        <v>#N/A</v>
      </c>
      <c r="K753" s="3">
        <v>8</v>
      </c>
      <c r="L753" s="19">
        <v>23</v>
      </c>
      <c r="M753" s="19">
        <v>9</v>
      </c>
      <c r="N753" s="5" t="s">
        <v>81</v>
      </c>
      <c r="O753" s="4">
        <v>30</v>
      </c>
      <c r="P753" s="18">
        <v>30</v>
      </c>
      <c r="Q753" s="3"/>
      <c r="R753" s="6"/>
      <c r="S753" s="22"/>
      <c r="U753" s="23">
        <f t="shared" si="17"/>
        <v>4</v>
      </c>
      <c r="V753" s="24" t="s">
        <v>14</v>
      </c>
    </row>
    <row r="754" spans="1:23" ht="22.95" hidden="1" customHeight="1" x14ac:dyDescent="0.25">
      <c r="A754" s="1" t="s">
        <v>876</v>
      </c>
      <c r="D754" s="3" t="s">
        <v>1062</v>
      </c>
      <c r="E754" s="15" t="s">
        <v>717</v>
      </c>
      <c r="F754" s="15" t="s">
        <v>717</v>
      </c>
      <c r="G754" s="3" t="s">
        <v>51</v>
      </c>
      <c r="H754" s="3">
        <v>15</v>
      </c>
      <c r="I754" s="18" t="str">
        <f t="array" ref="I754">INDEX([2]Sheet1!$F$1:$AF$65808,MATCH(D754&amp;G754&amp;I$1,[2]Sheet1!$B$1:$B$65808&amp;[2]Sheet1!$D$1:$D$65808&amp;[2]Sheet1!$E$1:$E$65808,0),MATCH(H754,[2]Sheet1!$F$1:$AF$1,0))</f>
        <v>15/线切割</v>
      </c>
      <c r="K754" s="3">
        <v>1</v>
      </c>
      <c r="L754" s="19">
        <v>31</v>
      </c>
      <c r="M754" s="19"/>
      <c r="N754" s="5" t="s">
        <v>1063</v>
      </c>
      <c r="O754" s="4">
        <v>30</v>
      </c>
      <c r="P754" s="18">
        <v>30</v>
      </c>
      <c r="Q754" s="3"/>
      <c r="R754" s="6"/>
      <c r="S754" s="22"/>
      <c r="U754" s="23">
        <f t="shared" si="17"/>
        <v>0.5</v>
      </c>
      <c r="V754" s="24" t="s">
        <v>14</v>
      </c>
    </row>
    <row r="755" spans="1:23" ht="22.95" hidden="1" customHeight="1" x14ac:dyDescent="0.25">
      <c r="A755" s="1" t="s">
        <v>570</v>
      </c>
      <c r="D755" s="3" t="s">
        <v>135</v>
      </c>
      <c r="E755" s="15" t="s">
        <v>136</v>
      </c>
      <c r="F755" s="15" t="str">
        <f>+VLOOKUP(D755,[1]Sheet1!$D$2:$E$29166,2,0)</f>
        <v>密封圈3</v>
      </c>
      <c r="G755" s="3" t="s">
        <v>80</v>
      </c>
      <c r="H755" s="3">
        <v>40</v>
      </c>
      <c r="I755" s="18" t="e">
        <f t="array" ref="I755">INDEX([2]Sheet1!$F$1:$AF$65808,MATCH(D755&amp;G755&amp;I$1,[2]Sheet1!$B$1:$B$65808&amp;[2]Sheet1!$D$1:$D$65808&amp;[2]Sheet1!$E$1:$E$65808,0),MATCH(H755,[2]Sheet1!$F$1:$AF$1,0))</f>
        <v>#N/A</v>
      </c>
      <c r="J755" s="3">
        <v>2300</v>
      </c>
      <c r="K755" s="3">
        <v>1100</v>
      </c>
      <c r="L755" s="19">
        <v>8</v>
      </c>
      <c r="M755" s="19">
        <v>8</v>
      </c>
      <c r="N755" s="5" t="s">
        <v>137</v>
      </c>
      <c r="O755" s="4"/>
      <c r="P755" s="18">
        <v>3</v>
      </c>
      <c r="Q755" s="3"/>
      <c r="R755" s="6"/>
      <c r="S755" s="22"/>
      <c r="U755" s="23">
        <f t="shared" si="17"/>
        <v>55</v>
      </c>
      <c r="V755" s="24" t="s">
        <v>12</v>
      </c>
    </row>
    <row r="756" spans="1:23" ht="22.95" hidden="1" customHeight="1" x14ac:dyDescent="0.25">
      <c r="D756" s="3" t="s">
        <v>1064</v>
      </c>
      <c r="E756" s="15" t="s">
        <v>1065</v>
      </c>
      <c r="G756" s="3" t="s">
        <v>64</v>
      </c>
      <c r="H756" s="3">
        <v>40</v>
      </c>
      <c r="K756" s="3">
        <v>19</v>
      </c>
      <c r="L756" s="19">
        <v>8</v>
      </c>
      <c r="M756" s="19">
        <v>8</v>
      </c>
      <c r="N756" s="5" t="s">
        <v>1066</v>
      </c>
      <c r="P756" s="18">
        <f t="array" ref="P756">IFERROR(INDEX([2]Sheet1!$F$1:$AF$65808,MATCH($D756&amp;$G756&amp;P$1,[2]Sheet1!$B$1:$B$65808&amp;[2]Sheet1!$D$1:$D$65808&amp;[2]Sheet1!$E$1:$E$65808,0),MATCH($H756,[2]Sheet1!$F$1:$AF$1,0)),0)</f>
        <v>30</v>
      </c>
      <c r="U756" s="23">
        <f t="shared" si="17"/>
        <v>9.5</v>
      </c>
      <c r="V756" s="24" t="s">
        <v>15</v>
      </c>
    </row>
    <row r="757" spans="1:23" ht="22.95" hidden="1" customHeight="1" x14ac:dyDescent="0.25">
      <c r="D757" s="3" t="s">
        <v>153</v>
      </c>
      <c r="E757" s="15" t="s">
        <v>154</v>
      </c>
      <c r="F757" s="15" t="str">
        <f>+VLOOKUP(D757,[1]Sheet1!$D$2:$E$29166,2,0)</f>
        <v>9350-11140右侧上梁</v>
      </c>
      <c r="G757" s="3" t="s">
        <v>385</v>
      </c>
      <c r="H757" s="3" t="s">
        <v>201</v>
      </c>
      <c r="N757" s="5" t="s">
        <v>1067</v>
      </c>
      <c r="T757" s="7">
        <v>40</v>
      </c>
      <c r="U757" s="23">
        <f>ROUND((K757*P757+Q757*S757)/60+T757,1)</f>
        <v>40</v>
      </c>
      <c r="V757" s="24" t="s">
        <v>4</v>
      </c>
      <c r="W757" s="7" t="s">
        <v>1068</v>
      </c>
    </row>
    <row r="758" spans="1:23" ht="22.95" customHeight="1" x14ac:dyDescent="0.25"/>
  </sheetData>
  <autoFilter ref="A1:X757">
    <filterColumn colId="7">
      <filters>
        <filter val="Q钳工"/>
        <filter val="钳工"/>
      </filters>
    </filterColumn>
    <filterColumn colId="21">
      <filters>
        <filter val="肖德仪"/>
      </filters>
    </filterColumn>
  </autoFilter>
  <phoneticPr fontId="12" type="noConversion"/>
  <conditionalFormatting sqref="H648">
    <cfRule type="expression" dxfId="494" priority="245" stopIfTrue="1">
      <formula>LEN(TRIM(H648))=0</formula>
    </cfRule>
  </conditionalFormatting>
  <conditionalFormatting sqref="H649">
    <cfRule type="expression" dxfId="493" priority="244" stopIfTrue="1">
      <formula>LEN(TRIM(H649))=0</formula>
    </cfRule>
  </conditionalFormatting>
  <conditionalFormatting sqref="E650">
    <cfRule type="expression" dxfId="492" priority="234" stopIfTrue="1">
      <formula>ISERROR(E650)</formula>
    </cfRule>
  </conditionalFormatting>
  <conditionalFormatting sqref="H650">
    <cfRule type="expression" dxfId="491" priority="225" stopIfTrue="1">
      <formula>LEN(TRIM(H650))=0</formula>
    </cfRule>
  </conditionalFormatting>
  <conditionalFormatting sqref="E651">
    <cfRule type="expression" dxfId="490" priority="233" stopIfTrue="1">
      <formula>ISERROR(E651)</formula>
    </cfRule>
  </conditionalFormatting>
  <conditionalFormatting sqref="H651">
    <cfRule type="expression" dxfId="489" priority="224" stopIfTrue="1">
      <formula>LEN(TRIM(H651))=0</formula>
    </cfRule>
  </conditionalFormatting>
  <conditionalFormatting sqref="E652">
    <cfRule type="expression" dxfId="488" priority="232" stopIfTrue="1">
      <formula>ISERROR(E652)</formula>
    </cfRule>
  </conditionalFormatting>
  <conditionalFormatting sqref="H652">
    <cfRule type="expression" dxfId="487" priority="223" stopIfTrue="1">
      <formula>LEN(TRIM(H652))=0</formula>
    </cfRule>
  </conditionalFormatting>
  <conditionalFormatting sqref="E653">
    <cfRule type="expression" dxfId="486" priority="231" stopIfTrue="1">
      <formula>ISERROR(E653)</formula>
    </cfRule>
  </conditionalFormatting>
  <conditionalFormatting sqref="H653">
    <cfRule type="expression" dxfId="485" priority="222" stopIfTrue="1">
      <formula>LEN(TRIM(H653))=0</formula>
    </cfRule>
  </conditionalFormatting>
  <conditionalFormatting sqref="E654">
    <cfRule type="expression" dxfId="484" priority="230" stopIfTrue="1">
      <formula>ISERROR(E654)</formula>
    </cfRule>
  </conditionalFormatting>
  <conditionalFormatting sqref="H654">
    <cfRule type="expression" dxfId="483" priority="221" stopIfTrue="1">
      <formula>LEN(TRIM(H654))=0</formula>
    </cfRule>
  </conditionalFormatting>
  <conditionalFormatting sqref="E655">
    <cfRule type="expression" dxfId="482" priority="229" stopIfTrue="1">
      <formula>ISERROR(E655)</formula>
    </cfRule>
  </conditionalFormatting>
  <conditionalFormatting sqref="H655">
    <cfRule type="expression" dxfId="481" priority="220" stopIfTrue="1">
      <formula>LEN(TRIM(H655))=0</formula>
    </cfRule>
  </conditionalFormatting>
  <conditionalFormatting sqref="E656">
    <cfRule type="expression" dxfId="480" priority="228" stopIfTrue="1">
      <formula>ISERROR(E656)</formula>
    </cfRule>
  </conditionalFormatting>
  <conditionalFormatting sqref="H656">
    <cfRule type="expression" dxfId="479" priority="219" stopIfTrue="1">
      <formula>LEN(TRIM(H656))=0</formula>
    </cfRule>
  </conditionalFormatting>
  <conditionalFormatting sqref="E657">
    <cfRule type="expression" dxfId="478" priority="227" stopIfTrue="1">
      <formula>ISERROR(E657)</formula>
    </cfRule>
  </conditionalFormatting>
  <conditionalFormatting sqref="H657">
    <cfRule type="expression" dxfId="477" priority="218" stopIfTrue="1">
      <formula>LEN(TRIM(H657))=0</formula>
    </cfRule>
  </conditionalFormatting>
  <conditionalFormatting sqref="E658">
    <cfRule type="expression" dxfId="476" priority="211" stopIfTrue="1">
      <formula>ISERROR(E658)</formula>
    </cfRule>
  </conditionalFormatting>
  <conditionalFormatting sqref="F658">
    <cfRule type="expression" dxfId="475" priority="216" stopIfTrue="1">
      <formula>ISERROR(F658)</formula>
    </cfRule>
  </conditionalFormatting>
  <conditionalFormatting sqref="H658">
    <cfRule type="expression" dxfId="474" priority="208" stopIfTrue="1">
      <formula>LEN(TRIM(H658))=0</formula>
    </cfRule>
  </conditionalFormatting>
  <conditionalFormatting sqref="E659">
    <cfRule type="expression" dxfId="473" priority="210" stopIfTrue="1">
      <formula>ISERROR(E659)</formula>
    </cfRule>
  </conditionalFormatting>
  <conditionalFormatting sqref="F659">
    <cfRule type="expression" dxfId="472" priority="215" stopIfTrue="1">
      <formula>ISERROR(F659)</formula>
    </cfRule>
  </conditionalFormatting>
  <conditionalFormatting sqref="H659">
    <cfRule type="expression" dxfId="471" priority="207" stopIfTrue="1">
      <formula>LEN(TRIM(H659))=0</formula>
    </cfRule>
  </conditionalFormatting>
  <conditionalFormatting sqref="E660">
    <cfRule type="expression" dxfId="470" priority="209" stopIfTrue="1">
      <formula>ISERROR(E660)</formula>
    </cfRule>
  </conditionalFormatting>
  <conditionalFormatting sqref="F660">
    <cfRule type="expression" dxfId="469" priority="205" stopIfTrue="1">
      <formula>ISERROR(F660)</formula>
    </cfRule>
  </conditionalFormatting>
  <conditionalFormatting sqref="H660">
    <cfRule type="expression" dxfId="468" priority="206" stopIfTrue="1">
      <formula>LEN(TRIM(H660))=0</formula>
    </cfRule>
  </conditionalFormatting>
  <conditionalFormatting sqref="E663">
    <cfRule type="expression" dxfId="467" priority="25" stopIfTrue="1">
      <formula>ISERROR(E663)</formula>
    </cfRule>
  </conditionalFormatting>
  <conditionalFormatting sqref="H663">
    <cfRule type="expression" dxfId="466" priority="21" stopIfTrue="1">
      <formula>LEN(TRIM(H663))=0</formula>
    </cfRule>
  </conditionalFormatting>
  <conditionalFormatting sqref="E664">
    <cfRule type="expression" dxfId="465" priority="24" stopIfTrue="1">
      <formula>ISERROR(E664)</formula>
    </cfRule>
  </conditionalFormatting>
  <conditionalFormatting sqref="H664">
    <cfRule type="expression" dxfId="464" priority="20" stopIfTrue="1">
      <formula>LEN(TRIM(H664))=0</formula>
    </cfRule>
  </conditionalFormatting>
  <conditionalFormatting sqref="E665">
    <cfRule type="expression" dxfId="463" priority="23" stopIfTrue="1">
      <formula>ISERROR(E665)</formula>
    </cfRule>
  </conditionalFormatting>
  <conditionalFormatting sqref="H665">
    <cfRule type="expression" dxfId="462" priority="19" stopIfTrue="1">
      <formula>LEN(TRIM(H665))=0</formula>
    </cfRule>
  </conditionalFormatting>
  <conditionalFormatting sqref="E666">
    <cfRule type="expression" dxfId="461" priority="172" stopIfTrue="1">
      <formula>ISERROR(E666)</formula>
    </cfRule>
  </conditionalFormatting>
  <conditionalFormatting sqref="E667">
    <cfRule type="expression" dxfId="460" priority="171" stopIfTrue="1">
      <formula>ISERROR(E667)</formula>
    </cfRule>
  </conditionalFormatting>
  <conditionalFormatting sqref="E668">
    <cfRule type="expression" dxfId="459" priority="170" stopIfTrue="1">
      <formula>ISERROR(E668)</formula>
    </cfRule>
  </conditionalFormatting>
  <conditionalFormatting sqref="E669">
    <cfRule type="expression" dxfId="458" priority="169" stopIfTrue="1">
      <formula>ISERROR(E669)</formula>
    </cfRule>
  </conditionalFormatting>
  <conditionalFormatting sqref="E670">
    <cfRule type="expression" dxfId="457" priority="168" stopIfTrue="1">
      <formula>ISERROR(E670)</formula>
    </cfRule>
  </conditionalFormatting>
  <conditionalFormatting sqref="E671">
    <cfRule type="expression" dxfId="456" priority="167" stopIfTrue="1">
      <formula>ISERROR(E671)</formula>
    </cfRule>
  </conditionalFormatting>
  <conditionalFormatting sqref="E672">
    <cfRule type="expression" dxfId="455" priority="166" stopIfTrue="1">
      <formula>ISERROR(E672)</formula>
    </cfRule>
  </conditionalFormatting>
  <conditionalFormatting sqref="E673">
    <cfRule type="expression" dxfId="454" priority="165" stopIfTrue="1">
      <formula>ISERROR(E673)</formula>
    </cfRule>
  </conditionalFormatting>
  <conditionalFormatting sqref="E674">
    <cfRule type="expression" dxfId="453" priority="164" stopIfTrue="1">
      <formula>ISERROR(E674)</formula>
    </cfRule>
  </conditionalFormatting>
  <conditionalFormatting sqref="E675">
    <cfRule type="expression" dxfId="452" priority="163" stopIfTrue="1">
      <formula>ISERROR(E675)</formula>
    </cfRule>
  </conditionalFormatting>
  <conditionalFormatting sqref="E676">
    <cfRule type="expression" dxfId="451" priority="162" stopIfTrue="1">
      <formula>ISERROR(E676)</formula>
    </cfRule>
  </conditionalFormatting>
  <conditionalFormatting sqref="E677">
    <cfRule type="expression" dxfId="450" priority="161" stopIfTrue="1">
      <formula>ISERROR(E677)</formula>
    </cfRule>
  </conditionalFormatting>
  <conditionalFormatting sqref="E678">
    <cfRule type="expression" dxfId="449" priority="160" stopIfTrue="1">
      <formula>ISERROR(E678)</formula>
    </cfRule>
  </conditionalFormatting>
  <conditionalFormatting sqref="E679">
    <cfRule type="expression" dxfId="448" priority="159" stopIfTrue="1">
      <formula>ISERROR(E679)</formula>
    </cfRule>
  </conditionalFormatting>
  <conditionalFormatting sqref="G680">
    <cfRule type="expression" dxfId="447" priority="157" stopIfTrue="1">
      <formula>LEN(TRIM(G680))=0</formula>
    </cfRule>
  </conditionalFormatting>
  <conditionalFormatting sqref="C681">
    <cfRule type="expression" dxfId="446" priority="187" stopIfTrue="1">
      <formula>LEN(TRIM(C681))=0</formula>
    </cfRule>
  </conditionalFormatting>
  <conditionalFormatting sqref="C682">
    <cfRule type="expression" dxfId="445" priority="186" stopIfTrue="1">
      <formula>LEN(TRIM(C682))=0</formula>
    </cfRule>
  </conditionalFormatting>
  <conditionalFormatting sqref="C683">
    <cfRule type="expression" dxfId="444" priority="185" stopIfTrue="1">
      <formula>LEN(TRIM(C683))=0</formula>
    </cfRule>
  </conditionalFormatting>
  <conditionalFormatting sqref="C684">
    <cfRule type="expression" dxfId="443" priority="184" stopIfTrue="1">
      <formula>LEN(TRIM(C684))=0</formula>
    </cfRule>
  </conditionalFormatting>
  <conditionalFormatting sqref="C685">
    <cfRule type="expression" dxfId="442" priority="183" stopIfTrue="1">
      <formula>LEN(TRIM(C685))=0</formula>
    </cfRule>
  </conditionalFormatting>
  <conditionalFormatting sqref="C686">
    <cfRule type="expression" dxfId="441" priority="182" stopIfTrue="1">
      <formula>LEN(TRIM(C686))=0</formula>
    </cfRule>
  </conditionalFormatting>
  <conditionalFormatting sqref="C687">
    <cfRule type="expression" dxfId="440" priority="181" stopIfTrue="1">
      <formula>LEN(TRIM(C687))=0</formula>
    </cfRule>
  </conditionalFormatting>
  <conditionalFormatting sqref="C688">
    <cfRule type="expression" dxfId="439" priority="180" stopIfTrue="1">
      <formula>LEN(TRIM(C688))=0</formula>
    </cfRule>
  </conditionalFormatting>
  <conditionalFormatting sqref="C689">
    <cfRule type="expression" dxfId="438" priority="179" stopIfTrue="1">
      <formula>LEN(TRIM(C689))=0</formula>
    </cfRule>
  </conditionalFormatting>
  <conditionalFormatting sqref="C690">
    <cfRule type="expression" dxfId="437" priority="178" stopIfTrue="1">
      <formula>LEN(TRIM(C690))=0</formula>
    </cfRule>
  </conditionalFormatting>
  <conditionalFormatting sqref="C691">
    <cfRule type="expression" dxfId="436" priority="177" stopIfTrue="1">
      <formula>LEN(TRIM(C691))=0</formula>
    </cfRule>
  </conditionalFormatting>
  <conditionalFormatting sqref="C692">
    <cfRule type="expression" dxfId="435" priority="176" stopIfTrue="1">
      <formula>LEN(TRIM(C692))=0</formula>
    </cfRule>
  </conditionalFormatting>
  <conditionalFormatting sqref="C693">
    <cfRule type="expression" dxfId="434" priority="175" stopIfTrue="1">
      <formula>LEN(TRIM(C693))=0</formula>
    </cfRule>
  </conditionalFormatting>
  <conditionalFormatting sqref="C694">
    <cfRule type="expression" dxfId="433" priority="174" stopIfTrue="1">
      <formula>LEN(TRIM(C694))=0</formula>
    </cfRule>
  </conditionalFormatting>
  <conditionalFormatting sqref="C695">
    <cfRule type="expression" dxfId="432" priority="173" stopIfTrue="1">
      <formula>LEN(TRIM(C695))=0</formula>
    </cfRule>
  </conditionalFormatting>
  <conditionalFormatting sqref="C696">
    <cfRule type="expression" dxfId="431" priority="127" stopIfTrue="1">
      <formula>LEN(TRIM(C696))=0</formula>
    </cfRule>
  </conditionalFormatting>
  <conditionalFormatting sqref="E696">
    <cfRule type="expression" dxfId="430" priority="98" stopIfTrue="1">
      <formula>ISERROR(E696)</formula>
    </cfRule>
  </conditionalFormatting>
  <conditionalFormatting sqref="C697">
    <cfRule type="expression" dxfId="429" priority="126" stopIfTrue="1">
      <formula>LEN(TRIM(C697))=0</formula>
    </cfRule>
  </conditionalFormatting>
  <conditionalFormatting sqref="E697">
    <cfRule type="expression" dxfId="428" priority="97" stopIfTrue="1">
      <formula>ISERROR(E697)</formula>
    </cfRule>
  </conditionalFormatting>
  <conditionalFormatting sqref="C698">
    <cfRule type="expression" dxfId="427" priority="125" stopIfTrue="1">
      <formula>LEN(TRIM(C698))=0</formula>
    </cfRule>
  </conditionalFormatting>
  <conditionalFormatting sqref="E698">
    <cfRule type="expression" dxfId="426" priority="96" stopIfTrue="1">
      <formula>ISERROR(E698)</formula>
    </cfRule>
  </conditionalFormatting>
  <conditionalFormatting sqref="C699">
    <cfRule type="expression" dxfId="425" priority="124" stopIfTrue="1">
      <formula>LEN(TRIM(C699))=0</formula>
    </cfRule>
  </conditionalFormatting>
  <conditionalFormatting sqref="E699">
    <cfRule type="expression" dxfId="424" priority="95" stopIfTrue="1">
      <formula>ISERROR(E699)</formula>
    </cfRule>
  </conditionalFormatting>
  <conditionalFormatting sqref="C700">
    <cfRule type="expression" dxfId="423" priority="123" stopIfTrue="1">
      <formula>LEN(TRIM(C700))=0</formula>
    </cfRule>
  </conditionalFormatting>
  <conditionalFormatting sqref="E700">
    <cfRule type="expression" dxfId="422" priority="94" stopIfTrue="1">
      <formula>ISERROR(E700)</formula>
    </cfRule>
  </conditionalFormatting>
  <conditionalFormatting sqref="C701">
    <cfRule type="expression" dxfId="421" priority="122" stopIfTrue="1">
      <formula>LEN(TRIM(C701))=0</formula>
    </cfRule>
  </conditionalFormatting>
  <conditionalFormatting sqref="C702">
    <cfRule type="expression" dxfId="420" priority="121" stopIfTrue="1">
      <formula>LEN(TRIM(C702))=0</formula>
    </cfRule>
  </conditionalFormatting>
  <conditionalFormatting sqref="C703">
    <cfRule type="expression" dxfId="419" priority="120" stopIfTrue="1">
      <formula>LEN(TRIM(C703))=0</formula>
    </cfRule>
  </conditionalFormatting>
  <conditionalFormatting sqref="E703">
    <cfRule type="expression" dxfId="418" priority="92" stopIfTrue="1">
      <formula>ISERROR(E703)</formula>
    </cfRule>
  </conditionalFormatting>
  <conditionalFormatting sqref="C704">
    <cfRule type="expression" dxfId="417" priority="119" stopIfTrue="1">
      <formula>LEN(TRIM(C704))=0</formula>
    </cfRule>
  </conditionalFormatting>
  <conditionalFormatting sqref="E704">
    <cfRule type="expression" dxfId="416" priority="91" stopIfTrue="1">
      <formula>ISERROR(E704)</formula>
    </cfRule>
  </conditionalFormatting>
  <conditionalFormatting sqref="C705">
    <cfRule type="expression" dxfId="415" priority="118" stopIfTrue="1">
      <formula>LEN(TRIM(C705))=0</formula>
    </cfRule>
  </conditionalFormatting>
  <conditionalFormatting sqref="E705">
    <cfRule type="expression" dxfId="414" priority="90" stopIfTrue="1">
      <formula>ISERROR(E705)</formula>
    </cfRule>
  </conditionalFormatting>
  <conditionalFormatting sqref="C706">
    <cfRule type="expression" dxfId="413" priority="117" stopIfTrue="1">
      <formula>LEN(TRIM(C706))=0</formula>
    </cfRule>
  </conditionalFormatting>
  <conditionalFormatting sqref="E706">
    <cfRule type="expression" dxfId="412" priority="89" stopIfTrue="1">
      <formula>ISERROR(E706)</formula>
    </cfRule>
  </conditionalFormatting>
  <conditionalFormatting sqref="C707">
    <cfRule type="expression" dxfId="411" priority="116" stopIfTrue="1">
      <formula>LEN(TRIM(C707))=0</formula>
    </cfRule>
  </conditionalFormatting>
  <conditionalFormatting sqref="E707">
    <cfRule type="expression" dxfId="410" priority="88" stopIfTrue="1">
      <formula>ISERROR(E707)</formula>
    </cfRule>
  </conditionalFormatting>
  <conditionalFormatting sqref="C708">
    <cfRule type="expression" dxfId="409" priority="115" stopIfTrue="1">
      <formula>LEN(TRIM(C708))=0</formula>
    </cfRule>
  </conditionalFormatting>
  <conditionalFormatting sqref="E708">
    <cfRule type="expression" dxfId="408" priority="87" stopIfTrue="1">
      <formula>ISERROR(E708)</formula>
    </cfRule>
  </conditionalFormatting>
  <conditionalFormatting sqref="C709">
    <cfRule type="expression" dxfId="407" priority="114" stopIfTrue="1">
      <formula>LEN(TRIM(C709))=0</formula>
    </cfRule>
  </conditionalFormatting>
  <conditionalFormatting sqref="E709">
    <cfRule type="expression" dxfId="406" priority="86" stopIfTrue="1">
      <formula>ISERROR(E709)</formula>
    </cfRule>
  </conditionalFormatting>
  <conditionalFormatting sqref="C710">
    <cfRule type="expression" dxfId="405" priority="113" stopIfTrue="1">
      <formula>LEN(TRIM(C710))=0</formula>
    </cfRule>
  </conditionalFormatting>
  <conditionalFormatting sqref="E710">
    <cfRule type="expression" dxfId="404" priority="85" stopIfTrue="1">
      <formula>ISERROR(E710)</formula>
    </cfRule>
  </conditionalFormatting>
  <conditionalFormatting sqref="C713">
    <cfRule type="expression" dxfId="403" priority="111" stopIfTrue="1">
      <formula>LEN(TRIM(C713))=0</formula>
    </cfRule>
  </conditionalFormatting>
  <conditionalFormatting sqref="E713">
    <cfRule type="expression" dxfId="402" priority="83" stopIfTrue="1">
      <formula>ISERROR(E713)</formula>
    </cfRule>
  </conditionalFormatting>
  <conditionalFormatting sqref="C714">
    <cfRule type="expression" dxfId="401" priority="110" stopIfTrue="1">
      <formula>LEN(TRIM(C714))=0</formula>
    </cfRule>
  </conditionalFormatting>
  <conditionalFormatting sqref="E714">
    <cfRule type="expression" dxfId="400" priority="82" stopIfTrue="1">
      <formula>ISERROR(E714)</formula>
    </cfRule>
  </conditionalFormatting>
  <conditionalFormatting sqref="C715">
    <cfRule type="expression" dxfId="399" priority="109" stopIfTrue="1">
      <formula>LEN(TRIM(C715))=0</formula>
    </cfRule>
  </conditionalFormatting>
  <conditionalFormatting sqref="E715">
    <cfRule type="expression" dxfId="398" priority="81" stopIfTrue="1">
      <formula>ISERROR(E715)</formula>
    </cfRule>
  </conditionalFormatting>
  <conditionalFormatting sqref="C716">
    <cfRule type="expression" dxfId="397" priority="108" stopIfTrue="1">
      <formula>LEN(TRIM(C716))=0</formula>
    </cfRule>
  </conditionalFormatting>
  <conditionalFormatting sqref="E716">
    <cfRule type="expression" dxfId="396" priority="80" stopIfTrue="1">
      <formula>ISERROR(E716)</formula>
    </cfRule>
  </conditionalFormatting>
  <conditionalFormatting sqref="C717">
    <cfRule type="expression" dxfId="395" priority="107" stopIfTrue="1">
      <formula>LEN(TRIM(C717))=0</formula>
    </cfRule>
  </conditionalFormatting>
  <conditionalFormatting sqref="E717">
    <cfRule type="expression" dxfId="394" priority="71" stopIfTrue="1">
      <formula>ISERROR(E717)</formula>
    </cfRule>
  </conditionalFormatting>
  <conditionalFormatting sqref="C718">
    <cfRule type="expression" dxfId="393" priority="106" stopIfTrue="1">
      <formula>LEN(TRIM(C718))=0</formula>
    </cfRule>
  </conditionalFormatting>
  <conditionalFormatting sqref="E718">
    <cfRule type="expression" dxfId="392" priority="79" stopIfTrue="1">
      <formula>ISERROR(E718)</formula>
    </cfRule>
  </conditionalFormatting>
  <conditionalFormatting sqref="C719">
    <cfRule type="expression" dxfId="391" priority="105" stopIfTrue="1">
      <formula>LEN(TRIM(C719))=0</formula>
    </cfRule>
  </conditionalFormatting>
  <conditionalFormatting sqref="E719">
    <cfRule type="expression" dxfId="390" priority="78" stopIfTrue="1">
      <formula>ISERROR(E719)</formula>
    </cfRule>
  </conditionalFormatting>
  <conditionalFormatting sqref="C720">
    <cfRule type="expression" dxfId="389" priority="104" stopIfTrue="1">
      <formula>LEN(TRIM(C720))=0</formula>
    </cfRule>
  </conditionalFormatting>
  <conditionalFormatting sqref="E720">
    <cfRule type="expression" dxfId="388" priority="77" stopIfTrue="1">
      <formula>ISERROR(E720)</formula>
    </cfRule>
  </conditionalFormatting>
  <conditionalFormatting sqref="C721">
    <cfRule type="expression" dxfId="387" priority="103" stopIfTrue="1">
      <formula>LEN(TRIM(C721))=0</formula>
    </cfRule>
  </conditionalFormatting>
  <conditionalFormatting sqref="E721">
    <cfRule type="expression" dxfId="386" priority="76" stopIfTrue="1">
      <formula>ISERROR(E721)</formula>
    </cfRule>
  </conditionalFormatting>
  <conditionalFormatting sqref="C722">
    <cfRule type="expression" dxfId="385" priority="102" stopIfTrue="1">
      <formula>LEN(TRIM(C722))=0</formula>
    </cfRule>
  </conditionalFormatting>
  <conditionalFormatting sqref="E722">
    <cfRule type="expression" dxfId="384" priority="75" stopIfTrue="1">
      <formula>ISERROR(E722)</formula>
    </cfRule>
  </conditionalFormatting>
  <conditionalFormatting sqref="C723">
    <cfRule type="expression" dxfId="383" priority="101" stopIfTrue="1">
      <formula>LEN(TRIM(C723))=0</formula>
    </cfRule>
  </conditionalFormatting>
  <conditionalFormatting sqref="E723">
    <cfRule type="expression" dxfId="382" priority="74" stopIfTrue="1">
      <formula>ISERROR(E723)</formula>
    </cfRule>
  </conditionalFormatting>
  <conditionalFormatting sqref="C724">
    <cfRule type="expression" dxfId="381" priority="100" stopIfTrue="1">
      <formula>LEN(TRIM(C724))=0</formula>
    </cfRule>
  </conditionalFormatting>
  <conditionalFormatting sqref="E724">
    <cfRule type="expression" dxfId="380" priority="73" stopIfTrue="1">
      <formula>ISERROR(E724)</formula>
    </cfRule>
  </conditionalFormatting>
  <conditionalFormatting sqref="C725">
    <cfRule type="expression" dxfId="379" priority="99" stopIfTrue="1">
      <formula>LEN(TRIM(C725))=0</formula>
    </cfRule>
  </conditionalFormatting>
  <conditionalFormatting sqref="E725">
    <cfRule type="expression" dxfId="378" priority="72" stopIfTrue="1">
      <formula>ISERROR(E725)</formula>
    </cfRule>
  </conditionalFormatting>
  <conditionalFormatting sqref="C726">
    <cfRule type="expression" dxfId="377" priority="60" stopIfTrue="1">
      <formula>LEN(TRIM(C726))=0</formula>
    </cfRule>
  </conditionalFormatting>
  <conditionalFormatting sqref="E726">
    <cfRule type="expression" dxfId="376" priority="37" stopIfTrue="1">
      <formula>ISERROR(E726)</formula>
    </cfRule>
  </conditionalFormatting>
  <conditionalFormatting sqref="C727">
    <cfRule type="expression" dxfId="375" priority="59" stopIfTrue="1">
      <formula>LEN(TRIM(C727))=0</formula>
    </cfRule>
  </conditionalFormatting>
  <conditionalFormatting sqref="E727">
    <cfRule type="expression" dxfId="374" priority="36" stopIfTrue="1">
      <formula>ISERROR(E727)</formula>
    </cfRule>
  </conditionalFormatting>
  <conditionalFormatting sqref="C728">
    <cfRule type="expression" dxfId="373" priority="58" stopIfTrue="1">
      <formula>LEN(TRIM(C728))=0</formula>
    </cfRule>
  </conditionalFormatting>
  <conditionalFormatting sqref="E728">
    <cfRule type="expression" dxfId="372" priority="35" stopIfTrue="1">
      <formula>ISERROR(E728)</formula>
    </cfRule>
  </conditionalFormatting>
  <conditionalFormatting sqref="C729">
    <cfRule type="expression" dxfId="371" priority="57" stopIfTrue="1">
      <formula>LEN(TRIM(C729))=0</formula>
    </cfRule>
  </conditionalFormatting>
  <conditionalFormatting sqref="C730">
    <cfRule type="expression" dxfId="370" priority="56" stopIfTrue="1">
      <formula>LEN(TRIM(C730))=0</formula>
    </cfRule>
  </conditionalFormatting>
  <conditionalFormatting sqref="C731">
    <cfRule type="expression" dxfId="369" priority="55" stopIfTrue="1">
      <formula>LEN(TRIM(C731))=0</formula>
    </cfRule>
  </conditionalFormatting>
  <conditionalFormatting sqref="C732">
    <cfRule type="expression" dxfId="368" priority="54" stopIfTrue="1">
      <formula>LEN(TRIM(C732))=0</formula>
    </cfRule>
  </conditionalFormatting>
  <conditionalFormatting sqref="C733">
    <cfRule type="expression" dxfId="367" priority="53" stopIfTrue="1">
      <formula>LEN(TRIM(C733))=0</formula>
    </cfRule>
  </conditionalFormatting>
  <conditionalFormatting sqref="E733">
    <cfRule type="expression" dxfId="366" priority="33" stopIfTrue="1">
      <formula>ISERROR(E733)</formula>
    </cfRule>
  </conditionalFormatting>
  <conditionalFormatting sqref="C734">
    <cfRule type="expression" dxfId="365" priority="52" stopIfTrue="1">
      <formula>LEN(TRIM(C734))=0</formula>
    </cfRule>
  </conditionalFormatting>
  <conditionalFormatting sqref="E734">
    <cfRule type="expression" dxfId="364" priority="32" stopIfTrue="1">
      <formula>ISERROR(E734)</formula>
    </cfRule>
  </conditionalFormatting>
  <conditionalFormatting sqref="C735">
    <cfRule type="expression" dxfId="363" priority="51" stopIfTrue="1">
      <formula>LEN(TRIM(C735))=0</formula>
    </cfRule>
  </conditionalFormatting>
  <conditionalFormatting sqref="C736">
    <cfRule type="expression" dxfId="362" priority="50" stopIfTrue="1">
      <formula>LEN(TRIM(C736))=0</formula>
    </cfRule>
  </conditionalFormatting>
  <conditionalFormatting sqref="C737">
    <cfRule type="expression" dxfId="361" priority="49" stopIfTrue="1">
      <formula>LEN(TRIM(C737))=0</formula>
    </cfRule>
  </conditionalFormatting>
  <conditionalFormatting sqref="C738">
    <cfRule type="expression" dxfId="360" priority="48" stopIfTrue="1">
      <formula>LEN(TRIM(C738))=0</formula>
    </cfRule>
  </conditionalFormatting>
  <conditionalFormatting sqref="C739">
    <cfRule type="expression" dxfId="359" priority="47" stopIfTrue="1">
      <formula>LEN(TRIM(C739))=0</formula>
    </cfRule>
  </conditionalFormatting>
  <conditionalFormatting sqref="C740">
    <cfRule type="expression" dxfId="358" priority="46" stopIfTrue="1">
      <formula>LEN(TRIM(C740))=0</formula>
    </cfRule>
  </conditionalFormatting>
  <conditionalFormatting sqref="C741">
    <cfRule type="expression" dxfId="357" priority="45" stopIfTrue="1">
      <formula>LEN(TRIM(C741))=0</formula>
    </cfRule>
  </conditionalFormatting>
  <conditionalFormatting sqref="C742">
    <cfRule type="expression" dxfId="356" priority="44" stopIfTrue="1">
      <formula>LEN(TRIM(C742))=0</formula>
    </cfRule>
  </conditionalFormatting>
  <conditionalFormatting sqref="C743">
    <cfRule type="expression" dxfId="355" priority="43" stopIfTrue="1">
      <formula>LEN(TRIM(C743))=0</formula>
    </cfRule>
  </conditionalFormatting>
  <conditionalFormatting sqref="C744">
    <cfRule type="expression" dxfId="354" priority="42" stopIfTrue="1">
      <formula>LEN(TRIM(C744))=0</formula>
    </cfRule>
  </conditionalFormatting>
  <conditionalFormatting sqref="C745">
    <cfRule type="expression" dxfId="353" priority="41" stopIfTrue="1">
      <formula>LEN(TRIM(C745))=0</formula>
    </cfRule>
  </conditionalFormatting>
  <conditionalFormatting sqref="C746">
    <cfRule type="expression" dxfId="352" priority="40" stopIfTrue="1">
      <formula>LEN(TRIM(C746))=0</formula>
    </cfRule>
  </conditionalFormatting>
  <conditionalFormatting sqref="C747">
    <cfRule type="expression" dxfId="351" priority="39" stopIfTrue="1">
      <formula>LEN(TRIM(C747))=0</formula>
    </cfRule>
  </conditionalFormatting>
  <conditionalFormatting sqref="C748">
    <cfRule type="expression" dxfId="350" priority="38" stopIfTrue="1">
      <formula>LEN(TRIM(C748))=0</formula>
    </cfRule>
  </conditionalFormatting>
  <conditionalFormatting sqref="C749">
    <cfRule type="expression" dxfId="349" priority="17" stopIfTrue="1">
      <formula>LEN(TRIM(C749))=0</formula>
    </cfRule>
  </conditionalFormatting>
  <conditionalFormatting sqref="C750">
    <cfRule type="expression" dxfId="348" priority="16" stopIfTrue="1">
      <formula>LEN(TRIM(C750))=0</formula>
    </cfRule>
  </conditionalFormatting>
  <conditionalFormatting sqref="C751">
    <cfRule type="expression" dxfId="347" priority="15" stopIfTrue="1">
      <formula>LEN(TRIM(C751))=0</formula>
    </cfRule>
  </conditionalFormatting>
  <conditionalFormatting sqref="C752">
    <cfRule type="expression" dxfId="346" priority="14" stopIfTrue="1">
      <formula>LEN(TRIM(C752))=0</formula>
    </cfRule>
  </conditionalFormatting>
  <conditionalFormatting sqref="C753">
    <cfRule type="expression" dxfId="345" priority="13" stopIfTrue="1">
      <formula>LEN(TRIM(C753))=0</formula>
    </cfRule>
  </conditionalFormatting>
  <conditionalFormatting sqref="C754">
    <cfRule type="expression" dxfId="344" priority="7" stopIfTrue="1">
      <formula>LEN(TRIM(C754))=0</formula>
    </cfRule>
  </conditionalFormatting>
  <conditionalFormatting sqref="E754">
    <cfRule type="expression" dxfId="343" priority="6" stopIfTrue="1">
      <formula>ISERROR(E754)</formula>
    </cfRule>
  </conditionalFormatting>
  <conditionalFormatting sqref="F754">
    <cfRule type="expression" dxfId="342" priority="9" stopIfTrue="1">
      <formula>ISERROR(F754)</formula>
    </cfRule>
  </conditionalFormatting>
  <conditionalFormatting sqref="E755:F755">
    <cfRule type="expression" dxfId="341" priority="11" stopIfTrue="1">
      <formula>ISERROR(E755)</formula>
    </cfRule>
  </conditionalFormatting>
  <conditionalFormatting sqref="E756">
    <cfRule type="expression" dxfId="340" priority="5" stopIfTrue="1">
      <formula>ISERROR(E756)</formula>
    </cfRule>
  </conditionalFormatting>
  <conditionalFormatting sqref="E757">
    <cfRule type="expression" dxfId="339" priority="3" stopIfTrue="1">
      <formula>ISERROR(E757)</formula>
    </cfRule>
  </conditionalFormatting>
  <conditionalFormatting sqref="F757">
    <cfRule type="expression" dxfId="338" priority="4" stopIfTrue="1">
      <formula>ISERROR(F757)</formula>
    </cfRule>
  </conditionalFormatting>
  <conditionalFormatting sqref="G757:H757">
    <cfRule type="expression" dxfId="337" priority="2" stopIfTrue="1">
      <formula>LEN(TRIM(G757))=0</formula>
    </cfRule>
  </conditionalFormatting>
  <conditionalFormatting sqref="N757">
    <cfRule type="expression" dxfId="336" priority="1" stopIfTrue="1">
      <formula>LEN(TRIM(N757))=0</formula>
    </cfRule>
  </conditionalFormatting>
  <conditionalFormatting sqref="C711:C712">
    <cfRule type="expression" dxfId="335" priority="112" stopIfTrue="1">
      <formula>LEN(TRIM(C711))=0</formula>
    </cfRule>
  </conditionalFormatting>
  <conditionalFormatting sqref="E549:E631">
    <cfRule type="expression" dxfId="334" priority="248" stopIfTrue="1">
      <formula>ISERROR(E549)</formula>
    </cfRule>
  </conditionalFormatting>
  <conditionalFormatting sqref="E632:E649">
    <cfRule type="expression" dxfId="333" priority="246" stopIfTrue="1">
      <formula>ISERROR(E632)</formula>
    </cfRule>
  </conditionalFormatting>
  <conditionalFormatting sqref="E680:E695">
    <cfRule type="expression" dxfId="332" priority="158" stopIfTrue="1">
      <formula>ISERROR(E680)</formula>
    </cfRule>
  </conditionalFormatting>
  <conditionalFormatting sqref="E701:E702">
    <cfRule type="expression" dxfId="331" priority="93" stopIfTrue="1">
      <formula>ISERROR(E701)</formula>
    </cfRule>
  </conditionalFormatting>
  <conditionalFormatting sqref="E711:E712">
    <cfRule type="expression" dxfId="330" priority="84" stopIfTrue="1">
      <formula>ISERROR(E711)</formula>
    </cfRule>
  </conditionalFormatting>
  <conditionalFormatting sqref="E729:E732">
    <cfRule type="expression" dxfId="329" priority="34" stopIfTrue="1">
      <formula>ISERROR(E729)</formula>
    </cfRule>
  </conditionalFormatting>
  <conditionalFormatting sqref="E735:E748">
    <cfRule type="expression" dxfId="328" priority="31" stopIfTrue="1">
      <formula>ISERROR(E735)</formula>
    </cfRule>
  </conditionalFormatting>
  <conditionalFormatting sqref="E749:E753">
    <cfRule type="expression" dxfId="327" priority="12" stopIfTrue="1">
      <formula>ISERROR(E749)</formula>
    </cfRule>
  </conditionalFormatting>
  <conditionalFormatting sqref="F663:F753">
    <cfRule type="expression" dxfId="326" priority="203" stopIfTrue="1">
      <formula>ISERROR(F663)</formula>
    </cfRule>
  </conditionalFormatting>
  <conditionalFormatting sqref="C1:C510 G1:H510 N1:N510 G547 C661:C662 G661:H662 N661:N662 C756:C65109 G756:H756 G758:H65109 N756 N758:N65109">
    <cfRule type="expression" dxfId="325" priority="253" stopIfTrue="1">
      <formula>LEN(TRIM(C1))=0</formula>
    </cfRule>
  </conditionalFormatting>
  <conditionalFormatting sqref="E67:E368 E1:F1 E2:E65 F2:F368 E369:F510">
    <cfRule type="expression" dxfId="324" priority="252" stopIfTrue="1">
      <formula>ISERROR(E1)</formula>
    </cfRule>
  </conditionalFormatting>
  <conditionalFormatting sqref="C511:C548 G511:H546 H547 G548:H548 N511:N548">
    <cfRule type="expression" dxfId="323" priority="250" stopIfTrue="1">
      <formula>LEN(TRIM(C511))=0</formula>
    </cfRule>
  </conditionalFormatting>
  <conditionalFormatting sqref="E511:E548 F511:F657">
    <cfRule type="expression" dxfId="322" priority="251" stopIfTrue="1">
      <formula>ISERROR(E511)</formula>
    </cfRule>
  </conditionalFormatting>
  <conditionalFormatting sqref="C549:C631 G549:H631 N549:N631">
    <cfRule type="expression" dxfId="321" priority="249" stopIfTrue="1">
      <formula>LEN(TRIM(C549))=0</formula>
    </cfRule>
  </conditionalFormatting>
  <conditionalFormatting sqref="C632:C649 G632:H647 N632:N649 G648:G649">
    <cfRule type="expression" dxfId="320" priority="247" stopIfTrue="1">
      <formula>LEN(TRIM(C632))=0</formula>
    </cfRule>
  </conditionalFormatting>
  <conditionalFormatting sqref="C650 G650 N650">
    <cfRule type="expression" dxfId="319" priority="243" stopIfTrue="1">
      <formula>LEN(TRIM(C650))=0</formula>
    </cfRule>
  </conditionalFormatting>
  <conditionalFormatting sqref="C651 G651 N651">
    <cfRule type="expression" dxfId="318" priority="242" stopIfTrue="1">
      <formula>LEN(TRIM(C651))=0</formula>
    </cfRule>
  </conditionalFormatting>
  <conditionalFormatting sqref="C652 G652 N652">
    <cfRule type="expression" dxfId="317" priority="241" stopIfTrue="1">
      <formula>LEN(TRIM(C652))=0</formula>
    </cfRule>
  </conditionalFormatting>
  <conditionalFormatting sqref="C653 G653 N653">
    <cfRule type="expression" dxfId="316" priority="240" stopIfTrue="1">
      <formula>LEN(TRIM(C653))=0</formula>
    </cfRule>
  </conditionalFormatting>
  <conditionalFormatting sqref="C654 G654 N654">
    <cfRule type="expression" dxfId="315" priority="239" stopIfTrue="1">
      <formula>LEN(TRIM(C654))=0</formula>
    </cfRule>
  </conditionalFormatting>
  <conditionalFormatting sqref="C655 G655 N655">
    <cfRule type="expression" dxfId="314" priority="238" stopIfTrue="1">
      <formula>LEN(TRIM(C655))=0</formula>
    </cfRule>
  </conditionalFormatting>
  <conditionalFormatting sqref="C656 G656 N656">
    <cfRule type="expression" dxfId="313" priority="237" stopIfTrue="1">
      <formula>LEN(TRIM(C656))=0</formula>
    </cfRule>
  </conditionalFormatting>
  <conditionalFormatting sqref="C657 G657 N657">
    <cfRule type="expression" dxfId="312" priority="236" stopIfTrue="1">
      <formula>LEN(TRIM(C657))=0</formula>
    </cfRule>
  </conditionalFormatting>
  <conditionalFormatting sqref="C658 G658 N658">
    <cfRule type="expression" dxfId="311" priority="214" stopIfTrue="1">
      <formula>LEN(TRIM(C658))=0</formula>
    </cfRule>
  </conditionalFormatting>
  <conditionalFormatting sqref="C659 G659 N659">
    <cfRule type="expression" dxfId="310" priority="213" stopIfTrue="1">
      <formula>LEN(TRIM(C659))=0</formula>
    </cfRule>
  </conditionalFormatting>
  <conditionalFormatting sqref="C660 G660 N660">
    <cfRule type="expression" dxfId="309" priority="212" stopIfTrue="1">
      <formula>LEN(TRIM(C660))=0</formula>
    </cfRule>
  </conditionalFormatting>
  <conditionalFormatting sqref="C663 G663 N663">
    <cfRule type="expression" dxfId="308" priority="29" stopIfTrue="1">
      <formula>LEN(TRIM(C663))=0</formula>
    </cfRule>
  </conditionalFormatting>
  <conditionalFormatting sqref="C664 G664 N664">
    <cfRule type="expression" dxfId="307" priority="28" stopIfTrue="1">
      <formula>LEN(TRIM(C664))=0</formula>
    </cfRule>
  </conditionalFormatting>
  <conditionalFormatting sqref="C665 G665 N665">
    <cfRule type="expression" dxfId="306" priority="27" stopIfTrue="1">
      <formula>LEN(TRIM(C665))=0</formula>
    </cfRule>
  </conditionalFormatting>
  <conditionalFormatting sqref="C666 G666:H666 N666">
    <cfRule type="expression" dxfId="305" priority="202" stopIfTrue="1">
      <formula>LEN(TRIM(C666))=0</formula>
    </cfRule>
  </conditionalFormatting>
  <conditionalFormatting sqref="C667 G667:H667 N667">
    <cfRule type="expression" dxfId="304" priority="201" stopIfTrue="1">
      <formula>LEN(TRIM(C667))=0</formula>
    </cfRule>
  </conditionalFormatting>
  <conditionalFormatting sqref="C668 G668:H668 N668">
    <cfRule type="expression" dxfId="303" priority="200" stopIfTrue="1">
      <formula>LEN(TRIM(C668))=0</formula>
    </cfRule>
  </conditionalFormatting>
  <conditionalFormatting sqref="C669 G669:H669 N669 G670">
    <cfRule type="expression" dxfId="302" priority="199" stopIfTrue="1">
      <formula>LEN(TRIM(C669))=0</formula>
    </cfRule>
  </conditionalFormatting>
  <conditionalFormatting sqref="C670 H670 N670">
    <cfRule type="expression" dxfId="301" priority="198" stopIfTrue="1">
      <formula>LEN(TRIM(C670))=0</formula>
    </cfRule>
  </conditionalFormatting>
  <conditionalFormatting sqref="C671 G671:H671 N671">
    <cfRule type="expression" dxfId="300" priority="197" stopIfTrue="1">
      <formula>LEN(TRIM(C671))=0</formula>
    </cfRule>
  </conditionalFormatting>
  <conditionalFormatting sqref="C672 G672:H672 N672">
    <cfRule type="expression" dxfId="299" priority="196" stopIfTrue="1">
      <formula>LEN(TRIM(C672))=0</formula>
    </cfRule>
  </conditionalFormatting>
  <conditionalFormatting sqref="C673 G673:H673 N673:N674">
    <cfRule type="expression" dxfId="298" priority="195" stopIfTrue="1">
      <formula>LEN(TRIM(C673))=0</formula>
    </cfRule>
  </conditionalFormatting>
  <conditionalFormatting sqref="C674 G674:H674">
    <cfRule type="expression" dxfId="297" priority="194" stopIfTrue="1">
      <formula>LEN(TRIM(C674))=0</formula>
    </cfRule>
  </conditionalFormatting>
  <conditionalFormatting sqref="C675 G675:H675 N675">
    <cfRule type="expression" dxfId="296" priority="193" stopIfTrue="1">
      <formula>LEN(TRIM(C675))=0</formula>
    </cfRule>
  </conditionalFormatting>
  <conditionalFormatting sqref="C676 G676:H676 N676">
    <cfRule type="expression" dxfId="295" priority="192" stopIfTrue="1">
      <formula>LEN(TRIM(C676))=0</formula>
    </cfRule>
  </conditionalFormatting>
  <conditionalFormatting sqref="C677 G677:H677 N677 H678">
    <cfRule type="expression" dxfId="294" priority="191" stopIfTrue="1">
      <formula>LEN(TRIM(C677))=0</formula>
    </cfRule>
  </conditionalFormatting>
  <conditionalFormatting sqref="C678 G678 N678">
    <cfRule type="expression" dxfId="293" priority="190" stopIfTrue="1">
      <formula>LEN(TRIM(C678))=0</formula>
    </cfRule>
  </conditionalFormatting>
  <conditionalFormatting sqref="C679 G679:H679 N679">
    <cfRule type="expression" dxfId="292" priority="189" stopIfTrue="1">
      <formula>LEN(TRIM(C679))=0</formula>
    </cfRule>
  </conditionalFormatting>
  <conditionalFormatting sqref="C680 H680 G681:H695 N680:N695">
    <cfRule type="expression" dxfId="291" priority="188" stopIfTrue="1">
      <formula>LEN(TRIM(C680))=0</formula>
    </cfRule>
  </conditionalFormatting>
  <conditionalFormatting sqref="G696:H696 N696 H697:H700">
    <cfRule type="expression" dxfId="290" priority="156" stopIfTrue="1">
      <formula>LEN(TRIM(G696))=0</formula>
    </cfRule>
  </conditionalFormatting>
  <conditionalFormatting sqref="G697 N697">
    <cfRule type="expression" dxfId="289" priority="155" stopIfTrue="1">
      <formula>LEN(TRIM(G697))=0</formula>
    </cfRule>
  </conditionalFormatting>
  <conditionalFormatting sqref="G698 N698">
    <cfRule type="expression" dxfId="288" priority="154" stopIfTrue="1">
      <formula>LEN(TRIM(G698))=0</formula>
    </cfRule>
  </conditionalFormatting>
  <conditionalFormatting sqref="G699 N699">
    <cfRule type="expression" dxfId="287" priority="153" stopIfTrue="1">
      <formula>LEN(TRIM(G699))=0</formula>
    </cfRule>
  </conditionalFormatting>
  <conditionalFormatting sqref="G700 N700">
    <cfRule type="expression" dxfId="286" priority="152" stopIfTrue="1">
      <formula>LEN(TRIM(G700))=0</formula>
    </cfRule>
  </conditionalFormatting>
  <conditionalFormatting sqref="G701:H701 N701">
    <cfRule type="expression" dxfId="285" priority="151" stopIfTrue="1">
      <formula>LEN(TRIM(G701))=0</formula>
    </cfRule>
  </conditionalFormatting>
  <conditionalFormatting sqref="G702:H702 N702">
    <cfRule type="expression" dxfId="284" priority="150" stopIfTrue="1">
      <formula>LEN(TRIM(G702))=0</formula>
    </cfRule>
  </conditionalFormatting>
  <conditionalFormatting sqref="G703:H703 N703">
    <cfRule type="expression" dxfId="283" priority="149" stopIfTrue="1">
      <formula>LEN(TRIM(G703))=0</formula>
    </cfRule>
  </conditionalFormatting>
  <conditionalFormatting sqref="G704:H704 N704">
    <cfRule type="expression" dxfId="282" priority="148" stopIfTrue="1">
      <formula>LEN(TRIM(G704))=0</formula>
    </cfRule>
  </conditionalFormatting>
  <conditionalFormatting sqref="G705:H705 N705">
    <cfRule type="expression" dxfId="281" priority="147" stopIfTrue="1">
      <formula>LEN(TRIM(G705))=0</formula>
    </cfRule>
  </conditionalFormatting>
  <conditionalFormatting sqref="G706:H706 N706">
    <cfRule type="expression" dxfId="280" priority="146" stopIfTrue="1">
      <formula>LEN(TRIM(G706))=0</formula>
    </cfRule>
  </conditionalFormatting>
  <conditionalFormatting sqref="G707:H707 N707">
    <cfRule type="expression" dxfId="279" priority="145" stopIfTrue="1">
      <formula>LEN(TRIM(G707))=0</formula>
    </cfRule>
  </conditionalFormatting>
  <conditionalFormatting sqref="G708:H708 N708 G709">
    <cfRule type="expression" dxfId="278" priority="144" stopIfTrue="1">
      <formula>LEN(TRIM(G708))=0</formula>
    </cfRule>
  </conditionalFormatting>
  <conditionalFormatting sqref="H709 N709">
    <cfRule type="expression" dxfId="277" priority="143" stopIfTrue="1">
      <formula>LEN(TRIM(H709))=0</formula>
    </cfRule>
  </conditionalFormatting>
  <conditionalFormatting sqref="G710:H710 N710">
    <cfRule type="expression" dxfId="276" priority="142" stopIfTrue="1">
      <formula>LEN(TRIM(G710))=0</formula>
    </cfRule>
  </conditionalFormatting>
  <conditionalFormatting sqref="G711:H712 N711:N712">
    <cfRule type="expression" dxfId="275" priority="141" stopIfTrue="1">
      <formula>LEN(TRIM(G711))=0</formula>
    </cfRule>
  </conditionalFormatting>
  <conditionalFormatting sqref="G713:H713 N713">
    <cfRule type="expression" dxfId="274" priority="140" stopIfTrue="1">
      <formula>LEN(TRIM(G713))=0</formula>
    </cfRule>
  </conditionalFormatting>
  <conditionalFormatting sqref="G714:H714 N714">
    <cfRule type="expression" dxfId="273" priority="139" stopIfTrue="1">
      <formula>LEN(TRIM(G714))=0</formula>
    </cfRule>
  </conditionalFormatting>
  <conditionalFormatting sqref="G715:H715 N715">
    <cfRule type="expression" dxfId="272" priority="138" stopIfTrue="1">
      <formula>LEN(TRIM(G715))=0</formula>
    </cfRule>
  </conditionalFormatting>
  <conditionalFormatting sqref="G716:H716 N716">
    <cfRule type="expression" dxfId="271" priority="137" stopIfTrue="1">
      <formula>LEN(TRIM(G716))=0</formula>
    </cfRule>
  </conditionalFormatting>
  <conditionalFormatting sqref="G717:H717 N717">
    <cfRule type="expression" dxfId="270" priority="136" stopIfTrue="1">
      <formula>LEN(TRIM(G717))=0</formula>
    </cfRule>
  </conditionalFormatting>
  <conditionalFormatting sqref="G718:H718 N718">
    <cfRule type="expression" dxfId="269" priority="135" stopIfTrue="1">
      <formula>LEN(TRIM(G718))=0</formula>
    </cfRule>
  </conditionalFormatting>
  <conditionalFormatting sqref="G719:H719 N719">
    <cfRule type="expression" dxfId="268" priority="134" stopIfTrue="1">
      <formula>LEN(TRIM(G719))=0</formula>
    </cfRule>
  </conditionalFormatting>
  <conditionalFormatting sqref="G720:H720 N720">
    <cfRule type="expression" dxfId="267" priority="133" stopIfTrue="1">
      <formula>LEN(TRIM(G720))=0</formula>
    </cfRule>
  </conditionalFormatting>
  <conditionalFormatting sqref="G721:H721 N721">
    <cfRule type="expression" dxfId="266" priority="132" stopIfTrue="1">
      <formula>LEN(TRIM(G721))=0</formula>
    </cfRule>
  </conditionalFormatting>
  <conditionalFormatting sqref="G722:H722 N722">
    <cfRule type="expression" dxfId="265" priority="131" stopIfTrue="1">
      <formula>LEN(TRIM(G722))=0</formula>
    </cfRule>
  </conditionalFormatting>
  <conditionalFormatting sqref="G723:H723 N723">
    <cfRule type="expression" dxfId="264" priority="130" stopIfTrue="1">
      <formula>LEN(TRIM(G723))=0</formula>
    </cfRule>
  </conditionalFormatting>
  <conditionalFormatting sqref="G724:H724 N724">
    <cfRule type="expression" dxfId="263" priority="129" stopIfTrue="1">
      <formula>LEN(TRIM(G724))=0</formula>
    </cfRule>
  </conditionalFormatting>
  <conditionalFormatting sqref="G725:H725 N725">
    <cfRule type="expression" dxfId="262" priority="128" stopIfTrue="1">
      <formula>LEN(TRIM(G725))=0</formula>
    </cfRule>
  </conditionalFormatting>
  <conditionalFormatting sqref="G726:H726 N726">
    <cfRule type="expression" dxfId="261" priority="70" stopIfTrue="1">
      <formula>LEN(TRIM(G726))=0</formula>
    </cfRule>
  </conditionalFormatting>
  <conditionalFormatting sqref="G727:H727 N727">
    <cfRule type="expression" dxfId="260" priority="69" stopIfTrue="1">
      <formula>LEN(TRIM(G727))=0</formula>
    </cfRule>
  </conditionalFormatting>
  <conditionalFormatting sqref="G728:H728 N728">
    <cfRule type="expression" dxfId="259" priority="68" stopIfTrue="1">
      <formula>LEN(TRIM(G728))=0</formula>
    </cfRule>
  </conditionalFormatting>
  <conditionalFormatting sqref="G729:H729 N729">
    <cfRule type="expression" dxfId="258" priority="67" stopIfTrue="1">
      <formula>LEN(TRIM(G729))=0</formula>
    </cfRule>
  </conditionalFormatting>
  <conditionalFormatting sqref="G730:H730 N730 H731">
    <cfRule type="expression" dxfId="257" priority="66" stopIfTrue="1">
      <formula>LEN(TRIM(G730))=0</formula>
    </cfRule>
  </conditionalFormatting>
  <conditionalFormatting sqref="G731:G732 N731">
    <cfRule type="expression" dxfId="256" priority="65" stopIfTrue="1">
      <formula>LEN(TRIM(G731))=0</formula>
    </cfRule>
  </conditionalFormatting>
  <conditionalFormatting sqref="H732 N732">
    <cfRule type="expression" dxfId="255" priority="64" stopIfTrue="1">
      <formula>LEN(TRIM(H732))=0</formula>
    </cfRule>
  </conditionalFormatting>
  <conditionalFormatting sqref="G733:H733 N733">
    <cfRule type="expression" dxfId="254" priority="63" stopIfTrue="1">
      <formula>LEN(TRIM(G733))=0</formula>
    </cfRule>
  </conditionalFormatting>
  <conditionalFormatting sqref="G734:H734 N734 H735">
    <cfRule type="expression" dxfId="253" priority="62" stopIfTrue="1">
      <formula>LEN(TRIM(G734))=0</formula>
    </cfRule>
  </conditionalFormatting>
  <conditionalFormatting sqref="G735 G736:H748 N735:N748">
    <cfRule type="expression" dxfId="252" priority="61" stopIfTrue="1">
      <formula>LEN(TRIM(G735))=0</formula>
    </cfRule>
  </conditionalFormatting>
  <conditionalFormatting sqref="G749:H753 N749:N753">
    <cfRule type="expression" dxfId="251" priority="18" stopIfTrue="1">
      <formula>LEN(TRIM(G749))=0</formula>
    </cfRule>
  </conditionalFormatting>
  <conditionalFormatting sqref="G754:H754 N754">
    <cfRule type="expression" dxfId="250" priority="8" stopIfTrue="1">
      <formula>LEN(TRIM(G754))=0</formula>
    </cfRule>
  </conditionalFormatting>
  <conditionalFormatting sqref="C755 G755:H755 N755">
    <cfRule type="expression" dxfId="249" priority="10" stopIfTrue="1">
      <formula>LEN(TRIM(C755))=0</formula>
    </cfRule>
  </conditionalFormatting>
  <dataValidations count="3">
    <dataValidation allowBlank="1" showInputMessage="1" showErrorMessage="1" sqref="O1 C660 C712 C755 C1:C368 C369:C391 C392:C510 C511:C548 C549:C607 C608:C615 C616:C631 C632:C657 C658:C659 C661:C662 C663:C711 C713:C748 C749:C754 C756:C65456"/>
    <dataValidation type="custom" showInputMessage="1" showErrorMessage="1" sqref="P1">
      <formula1>O1&lt;&gt;""</formula1>
    </dataValidation>
    <dataValidation type="list" allowBlank="1" showInputMessage="1" showErrorMessage="1" sqref="G559 G680 G691 G710 B712 G735 G742 G757 B549:B603 B604:B607 B608:B615 B616:B631 B632:B657 B663:B671 B672:B711 B713:B748 B749:B754 G549:G558 G560:G603 G604:G607 G608:G615 G616:G617 G618:G623 G624:G625 G626:G631 G632:G655 G656:G657 G663:G668 G669:G670 G671:G679 G681:G690 G692:G693 G694:G697 G698:G707 G708:G709 G711:G712 G713:G730 G731:G732 G733:G734 G736:G737 G738:G741 G743:G744 G745:G746 G747:G748 G749:G754">
      <formula1>#REF!</formula1>
    </dataValidation>
  </dataValidations>
  <pageMargins left="0.7" right="0.7" top="0.75" bottom="0.75" header="0.3" footer="0.3"/>
  <pageSetup paperSize="9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'E:\飞秋文件\冯琴(A85E455A7688)\[1月钳工工时录入.xls]机床号'!#REF!</xm:f>
          </x14:formula1>
          <xm:sqref>B755 G755</xm:sqref>
        </x14:dataValidation>
        <x14:dataValidation type="list" allowBlank="1" showInputMessage="1" showErrorMessage="1">
          <x14:formula1>
            <xm:f>'E:\飞秋文件\冯琴(A85E455A7688)\[1月钳工工时.xls]机床号'!#REF!</xm:f>
          </x14:formula1>
          <xm:sqref>G83 G548 B660 G660 G756 B1:B368 B369:B391 B392:B510 B511:B548 B658:B659 B661:B662 B756:B65109 G1:G82 G84:G166 G167:G368 G369:G391 G392:G547 G658:G659 G661:G662 G758:G65109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58"/>
  <sheetViews>
    <sheetView topLeftCell="E1" workbookViewId="0">
      <pane ySplit="1" topLeftCell="A743" activePane="bottomLeft" state="frozen"/>
      <selection pane="bottomLeft" activeCell="H756" sqref="H756"/>
    </sheetView>
  </sheetViews>
  <sheetFormatPr defaultColWidth="9" defaultRowHeight="15.6" x14ac:dyDescent="0.25"/>
  <cols>
    <col min="1" max="1" width="6.6640625" style="1" customWidth="1"/>
    <col min="2" max="2" width="4.77734375" style="2" customWidth="1"/>
    <col min="3" max="3" width="5.109375" style="1" customWidth="1"/>
    <col min="4" max="4" width="29.6640625" style="3" customWidth="1"/>
    <col min="5" max="5" width="24.88671875" style="3" customWidth="1"/>
    <col min="6" max="6" width="13.5546875" style="3" customWidth="1"/>
    <col min="7" max="7" width="11.88671875" style="3" customWidth="1"/>
    <col min="8" max="8" width="4.88671875" style="3" customWidth="1"/>
    <col min="9" max="9" width="6.109375" style="3" customWidth="1"/>
    <col min="10" max="10" width="7.6640625" style="3" customWidth="1"/>
    <col min="11" max="12" width="5.6640625" style="3" customWidth="1"/>
    <col min="13" max="14" width="4.109375" style="4" customWidth="1"/>
    <col min="15" max="15" width="13.77734375" style="5" customWidth="1"/>
    <col min="16" max="16" width="5.44140625" style="3" customWidth="1"/>
    <col min="17" max="17" width="7.6640625" style="4" customWidth="1"/>
    <col min="18" max="18" width="7.6640625" style="6" customWidth="1"/>
    <col min="19" max="19" width="7.6640625" style="3" customWidth="1"/>
    <col min="20" max="20" width="4.109375" style="6" customWidth="1"/>
    <col min="21" max="21" width="7.6640625" style="7" customWidth="1"/>
    <col min="22" max="22" width="4.33203125" style="7" customWidth="1"/>
    <col min="23" max="23" width="12.6640625" style="3" customWidth="1"/>
    <col min="24" max="24" width="31" style="7" customWidth="1"/>
    <col min="25" max="25" width="12.44140625" style="7" customWidth="1"/>
    <col min="26" max="16384" width="9" style="7"/>
  </cols>
  <sheetData>
    <row r="1" spans="1:25" ht="36" customHeight="1" x14ac:dyDescent="0.25">
      <c r="A1" s="8" t="s">
        <v>19</v>
      </c>
      <c r="B1" s="9" t="s">
        <v>20</v>
      </c>
      <c r="C1" s="10" t="s">
        <v>21</v>
      </c>
      <c r="D1" s="11" t="s">
        <v>22</v>
      </c>
      <c r="E1" s="11" t="s">
        <v>23</v>
      </c>
      <c r="F1" s="12" t="s">
        <v>24</v>
      </c>
      <c r="G1" s="12" t="s">
        <v>1165</v>
      </c>
      <c r="H1" s="11" t="s">
        <v>25</v>
      </c>
      <c r="I1" s="13" t="s">
        <v>26</v>
      </c>
      <c r="J1" s="16" t="s">
        <v>27</v>
      </c>
      <c r="K1" s="16" t="s">
        <v>28</v>
      </c>
      <c r="L1" s="16" t="s">
        <v>29</v>
      </c>
      <c r="M1" s="17" t="s">
        <v>30</v>
      </c>
      <c r="N1" s="17" t="s">
        <v>31</v>
      </c>
      <c r="O1" s="11" t="s">
        <v>32</v>
      </c>
      <c r="P1" s="16" t="s">
        <v>33</v>
      </c>
      <c r="Q1" s="17" t="s">
        <v>34</v>
      </c>
      <c r="R1" s="20" t="s">
        <v>35</v>
      </c>
      <c r="S1" s="16" t="s">
        <v>36</v>
      </c>
      <c r="T1" s="13" t="s">
        <v>37</v>
      </c>
      <c r="U1" s="16" t="s">
        <v>38</v>
      </c>
      <c r="V1" s="16" t="s">
        <v>39</v>
      </c>
      <c r="W1" s="13" t="s">
        <v>40</v>
      </c>
      <c r="X1" s="21" t="s">
        <v>41</v>
      </c>
      <c r="Y1" s="14" t="s">
        <v>42</v>
      </c>
    </row>
    <row r="2" spans="1:25" ht="23.1" customHeight="1" x14ac:dyDescent="0.25">
      <c r="A2" s="1" t="s">
        <v>43</v>
      </c>
      <c r="D2" s="14" t="s">
        <v>44</v>
      </c>
      <c r="E2" s="15" t="s">
        <v>45</v>
      </c>
      <c r="F2" s="15" t="s">
        <v>45</v>
      </c>
      <c r="G2" s="15" t="str">
        <f>IFERROR(VLOOKUP(D2,[5]成飞半成品!$A:$B,2,0),VLOOKUP(D2,[5]九院成本!$A$4:$B$48,2,0))</f>
        <v>四通接头</v>
      </c>
      <c r="H2" s="3" t="s">
        <v>46</v>
      </c>
      <c r="I2" s="3">
        <v>65</v>
      </c>
      <c r="J2" s="18" t="e">
        <v>#VALUE!</v>
      </c>
      <c r="K2" s="3">
        <v>8</v>
      </c>
      <c r="L2" s="3">
        <v>8</v>
      </c>
      <c r="M2" s="19">
        <v>8</v>
      </c>
      <c r="N2" s="19">
        <v>8</v>
      </c>
      <c r="O2" s="5" t="s">
        <v>47</v>
      </c>
      <c r="P2" s="4"/>
      <c r="Q2" s="18">
        <v>35</v>
      </c>
      <c r="R2" s="3"/>
      <c r="S2" s="6"/>
      <c r="T2" s="22"/>
      <c r="V2" s="23">
        <v>4.7</v>
      </c>
      <c r="W2" s="3" t="s">
        <v>9</v>
      </c>
    </row>
    <row r="3" spans="1:25" ht="23.1" customHeight="1" x14ac:dyDescent="0.25">
      <c r="A3" s="1" t="s">
        <v>48</v>
      </c>
      <c r="D3" s="14" t="s">
        <v>979</v>
      </c>
      <c r="E3" s="15" t="s">
        <v>50</v>
      </c>
      <c r="F3" s="15" t="s">
        <v>50</v>
      </c>
      <c r="G3" s="15" t="str">
        <f>IFERROR(VLOOKUP(D3,[5]成飞半成品!$A:$B,2,0),VLOOKUP(D3,[5]九院成本!$A$4:$B$48,2,0))</f>
        <v>10060下接头</v>
      </c>
      <c r="H3" s="3" t="s">
        <v>51</v>
      </c>
      <c r="I3" s="3">
        <v>40</v>
      </c>
      <c r="J3" s="18" t="s">
        <v>1069</v>
      </c>
      <c r="K3" s="3">
        <v>2</v>
      </c>
      <c r="L3" s="3">
        <v>2</v>
      </c>
      <c r="M3" s="19">
        <v>30</v>
      </c>
      <c r="N3" s="19">
        <v>30</v>
      </c>
      <c r="O3" s="5" t="s">
        <v>52</v>
      </c>
      <c r="P3" s="4"/>
      <c r="Q3" s="18">
        <v>15</v>
      </c>
      <c r="R3" s="3"/>
      <c r="S3" s="6"/>
      <c r="T3" s="22"/>
      <c r="V3" s="23">
        <v>0.5</v>
      </c>
      <c r="W3" s="3" t="s">
        <v>9</v>
      </c>
    </row>
    <row r="4" spans="1:25" ht="23.1" customHeight="1" x14ac:dyDescent="0.25">
      <c r="A4" s="1" t="s">
        <v>53</v>
      </c>
      <c r="D4" s="3" t="s">
        <v>54</v>
      </c>
      <c r="E4" s="15" t="s">
        <v>55</v>
      </c>
      <c r="F4" s="15" t="s">
        <v>55</v>
      </c>
      <c r="G4" s="15" t="str">
        <f>IFERROR(VLOOKUP(D4,[5]成飞半成品!$A:$B,2,0),VLOOKUP(D4,[5]九院成本!$A$4:$B$48,2,0))</f>
        <v>接头</v>
      </c>
      <c r="H4" s="3" t="s">
        <v>46</v>
      </c>
      <c r="I4" s="3">
        <v>10</v>
      </c>
      <c r="J4" s="18" t="s">
        <v>1070</v>
      </c>
      <c r="K4" s="3">
        <v>5</v>
      </c>
      <c r="L4" s="3">
        <v>5</v>
      </c>
      <c r="M4" s="19">
        <v>8</v>
      </c>
      <c r="N4" s="19">
        <v>8</v>
      </c>
      <c r="O4" s="5" t="s">
        <v>56</v>
      </c>
      <c r="P4" s="4"/>
      <c r="Q4" s="18">
        <v>15</v>
      </c>
      <c r="R4" s="3"/>
      <c r="S4" s="6"/>
      <c r="T4" s="22"/>
      <c r="V4" s="23">
        <v>1.3</v>
      </c>
      <c r="W4" s="3" t="s">
        <v>9</v>
      </c>
      <c r="X4" s="7" t="s">
        <v>57</v>
      </c>
    </row>
    <row r="5" spans="1:25" ht="23.1" customHeight="1" x14ac:dyDescent="0.25">
      <c r="A5" s="1" t="s">
        <v>58</v>
      </c>
      <c r="D5" s="3" t="s">
        <v>59</v>
      </c>
      <c r="E5" s="15" t="s">
        <v>60</v>
      </c>
      <c r="F5" s="15" t="s">
        <v>60</v>
      </c>
      <c r="G5" s="15" t="str">
        <f>IFERROR(VLOOKUP(D5,[5]成飞半成品!$A:$B,2,0),VLOOKUP(D5,[5]九院成本!$A$4:$B$48,2,0))</f>
        <v>轴</v>
      </c>
      <c r="H5" s="3" t="s">
        <v>46</v>
      </c>
      <c r="I5" s="3">
        <v>15</v>
      </c>
      <c r="J5" s="18" t="s">
        <v>1071</v>
      </c>
      <c r="K5" s="3">
        <v>2</v>
      </c>
      <c r="L5" s="3">
        <v>2</v>
      </c>
      <c r="M5" s="19">
        <v>8</v>
      </c>
      <c r="N5" s="19">
        <v>8</v>
      </c>
      <c r="O5" s="5" t="s">
        <v>61</v>
      </c>
      <c r="P5" s="4"/>
      <c r="Q5" s="18">
        <v>4</v>
      </c>
      <c r="R5" s="3"/>
      <c r="S5" s="6"/>
      <c r="T5" s="22"/>
      <c r="V5" s="23">
        <v>0.1</v>
      </c>
      <c r="W5" s="3" t="s">
        <v>9</v>
      </c>
    </row>
    <row r="6" spans="1:25" ht="23.1" customHeight="1" x14ac:dyDescent="0.25">
      <c r="A6" s="1" t="s">
        <v>58</v>
      </c>
      <c r="D6" s="3" t="s">
        <v>62</v>
      </c>
      <c r="E6" s="15" t="s">
        <v>63</v>
      </c>
      <c r="F6" s="15" t="s">
        <v>63</v>
      </c>
      <c r="G6" s="15" t="str">
        <f>IFERROR(VLOOKUP(D6,[5]成飞半成品!$A:$B,2,0),VLOOKUP(D6,[5]九院成本!$A$4:$B$48,2,0))</f>
        <v>法兰</v>
      </c>
      <c r="H6" s="3" t="s">
        <v>64</v>
      </c>
      <c r="I6" s="3">
        <v>35</v>
      </c>
      <c r="J6" s="18" t="s">
        <v>1072</v>
      </c>
      <c r="K6" s="3">
        <v>80</v>
      </c>
      <c r="L6" s="3">
        <v>80</v>
      </c>
      <c r="M6" s="19">
        <v>8</v>
      </c>
      <c r="N6" s="19">
        <v>8</v>
      </c>
      <c r="O6" s="5" t="s">
        <v>56</v>
      </c>
      <c r="P6" s="4"/>
      <c r="Q6" s="18">
        <v>25</v>
      </c>
      <c r="R6" s="3"/>
      <c r="S6" s="6"/>
      <c r="T6" s="22"/>
      <c r="V6" s="23">
        <v>33.299999999999997</v>
      </c>
      <c r="W6" s="3" t="s">
        <v>9</v>
      </c>
    </row>
    <row r="7" spans="1:25" ht="23.1" customHeight="1" x14ac:dyDescent="0.25">
      <c r="A7" s="1" t="s">
        <v>65</v>
      </c>
      <c r="D7" s="3" t="s">
        <v>66</v>
      </c>
      <c r="E7" s="15" t="s">
        <v>67</v>
      </c>
      <c r="F7" s="15" t="s">
        <v>67</v>
      </c>
      <c r="G7" s="15" t="str">
        <f>IFERROR(VLOOKUP(D7,[5]成飞半成品!$A:$B,2,0),VLOOKUP(D7,[5]九院成本!$A$4:$B$48,2,0))</f>
        <v>10060下接头</v>
      </c>
      <c r="H7" s="3" t="s">
        <v>51</v>
      </c>
      <c r="I7" s="3">
        <v>40</v>
      </c>
      <c r="J7" s="18" t="s">
        <v>1069</v>
      </c>
      <c r="K7" s="3">
        <v>2</v>
      </c>
      <c r="L7" s="3">
        <v>2</v>
      </c>
      <c r="M7" s="19">
        <v>30</v>
      </c>
      <c r="N7" s="19">
        <v>30</v>
      </c>
      <c r="O7" s="5" t="s">
        <v>68</v>
      </c>
      <c r="P7" s="4"/>
      <c r="Q7" s="18">
        <v>15</v>
      </c>
      <c r="R7" s="3"/>
      <c r="S7" s="6"/>
      <c r="T7" s="22"/>
      <c r="V7" s="23">
        <v>0.5</v>
      </c>
      <c r="W7" s="3" t="s">
        <v>9</v>
      </c>
    </row>
    <row r="8" spans="1:25" ht="23.1" customHeight="1" x14ac:dyDescent="0.25">
      <c r="A8" s="1" t="s">
        <v>65</v>
      </c>
      <c r="D8" s="3" t="s">
        <v>69</v>
      </c>
      <c r="E8" s="15" t="s">
        <v>70</v>
      </c>
      <c r="F8" s="15" t="s">
        <v>70</v>
      </c>
      <c r="G8" s="15" t="str">
        <f>IFERROR(VLOOKUP(D8,[5]成飞半成品!$A:$B,2,0),VLOOKUP(D8,[5]九院成本!$A$4:$B$48,2,0))</f>
        <v>1号护板维型肋左件</v>
      </c>
      <c r="H8" s="3" t="s">
        <v>46</v>
      </c>
      <c r="I8" s="3">
        <v>35</v>
      </c>
      <c r="J8" s="18" t="s">
        <v>1072</v>
      </c>
      <c r="K8" s="3">
        <v>23</v>
      </c>
      <c r="L8" s="3">
        <v>23</v>
      </c>
      <c r="M8" s="19">
        <v>8</v>
      </c>
      <c r="N8" s="19">
        <v>8</v>
      </c>
      <c r="O8" s="5" t="s">
        <v>56</v>
      </c>
      <c r="P8" s="4"/>
      <c r="Q8" s="18">
        <v>45</v>
      </c>
      <c r="R8" s="3"/>
      <c r="S8" s="6"/>
      <c r="T8" s="22"/>
      <c r="V8" s="23">
        <v>17.3</v>
      </c>
      <c r="W8" s="3" t="s">
        <v>9</v>
      </c>
    </row>
    <row r="9" spans="1:25" ht="23.1" customHeight="1" x14ac:dyDescent="0.25">
      <c r="A9" s="1" t="s">
        <v>71</v>
      </c>
      <c r="D9" s="3" t="s">
        <v>72</v>
      </c>
      <c r="E9" s="15" t="s">
        <v>73</v>
      </c>
      <c r="F9" s="15" t="s">
        <v>73</v>
      </c>
      <c r="G9" s="15" t="str">
        <f>IFERROR(VLOOKUP(D9,[5]成飞半成品!$A:$B,2,0),VLOOKUP(D9,[5]九院成本!$A$4:$B$48,2,0))</f>
        <v>扩压式管接头</v>
      </c>
      <c r="H9" s="3" t="s">
        <v>64</v>
      </c>
      <c r="I9" s="3">
        <v>45</v>
      </c>
      <c r="J9" s="18" t="s">
        <v>1073</v>
      </c>
      <c r="K9" s="3">
        <v>30</v>
      </c>
      <c r="L9" s="3">
        <v>30</v>
      </c>
      <c r="M9" s="19">
        <v>8</v>
      </c>
      <c r="N9" s="19">
        <v>8</v>
      </c>
      <c r="O9" s="5" t="s">
        <v>56</v>
      </c>
      <c r="P9" s="4"/>
      <c r="Q9" s="18">
        <v>40</v>
      </c>
      <c r="R9" s="3"/>
      <c r="S9" s="6"/>
      <c r="T9" s="22"/>
      <c r="V9" s="23">
        <v>20</v>
      </c>
      <c r="W9" s="3" t="s">
        <v>9</v>
      </c>
    </row>
    <row r="10" spans="1:25" ht="23.1" customHeight="1" x14ac:dyDescent="0.25">
      <c r="A10" s="1" t="s">
        <v>74</v>
      </c>
      <c r="D10" s="3" t="s">
        <v>75</v>
      </c>
      <c r="E10" s="15" t="s">
        <v>76</v>
      </c>
      <c r="F10" s="15" t="s">
        <v>76</v>
      </c>
      <c r="G10" s="15" t="str">
        <f>IFERROR(VLOOKUP(D10,[5]成飞半成品!$A:$B,2,0),VLOOKUP(D10,[5]九院成本!$A$4:$B$48,2,0))</f>
        <v>接管嘴</v>
      </c>
      <c r="H10" s="3" t="s">
        <v>46</v>
      </c>
      <c r="I10" s="3">
        <v>35</v>
      </c>
      <c r="J10" s="18" t="s">
        <v>1072</v>
      </c>
      <c r="K10" s="3">
        <v>29</v>
      </c>
      <c r="L10" s="3">
        <v>29</v>
      </c>
      <c r="M10" s="19">
        <v>8</v>
      </c>
      <c r="N10" s="19">
        <v>8</v>
      </c>
      <c r="O10" s="5" t="s">
        <v>77</v>
      </c>
      <c r="P10" s="4"/>
      <c r="Q10" s="18" t="s">
        <v>1074</v>
      </c>
      <c r="R10" s="3"/>
      <c r="S10" s="6"/>
      <c r="T10" s="22"/>
      <c r="V10" s="23">
        <v>16.899999999999999</v>
      </c>
      <c r="W10" s="3" t="s">
        <v>9</v>
      </c>
    </row>
    <row r="11" spans="1:25" ht="23.1" customHeight="1" x14ac:dyDescent="0.25">
      <c r="A11" s="1" t="s">
        <v>74</v>
      </c>
      <c r="D11" s="3" t="s">
        <v>78</v>
      </c>
      <c r="E11" s="15" t="s">
        <v>79</v>
      </c>
      <c r="F11" s="15" t="s">
        <v>79</v>
      </c>
      <c r="G11" s="15" t="str">
        <f>IFERROR(VLOOKUP(D11,[5]成飞半成品!$A:$B,2,0),VLOOKUP(D11,[5]九院成本!$A$4:$B$48,2,0))</f>
        <v>立柱加强接头</v>
      </c>
      <c r="H11" s="3" t="s">
        <v>80</v>
      </c>
      <c r="I11" s="3">
        <v>35</v>
      </c>
      <c r="J11" s="18" t="s">
        <v>1075</v>
      </c>
      <c r="K11" s="3">
        <v>9</v>
      </c>
      <c r="L11" s="3">
        <v>9</v>
      </c>
      <c r="M11" s="19">
        <v>8</v>
      </c>
      <c r="N11" s="19">
        <v>8</v>
      </c>
      <c r="O11" s="5" t="s">
        <v>81</v>
      </c>
      <c r="P11" s="4"/>
      <c r="Q11" s="18">
        <v>50</v>
      </c>
      <c r="R11" s="3"/>
      <c r="S11" s="6"/>
      <c r="T11" s="22"/>
      <c r="V11" s="23">
        <v>7.5</v>
      </c>
      <c r="W11" s="3" t="s">
        <v>9</v>
      </c>
    </row>
    <row r="12" spans="1:25" ht="23.1" customHeight="1" x14ac:dyDescent="0.25">
      <c r="A12" s="1" t="s">
        <v>82</v>
      </c>
      <c r="D12" s="3" t="s">
        <v>1189</v>
      </c>
      <c r="E12" s="15" t="s">
        <v>84</v>
      </c>
      <c r="F12" s="15" t="s">
        <v>84</v>
      </c>
      <c r="G12" s="15" t="str">
        <f>IFERROR(VLOOKUP(D12,[5]成飞半成品!$A:$B,2,0),VLOOKUP(D12,[5]九院成本!$A$4:$B$48,2,0))</f>
        <v>拉杆支座</v>
      </c>
      <c r="H12" s="3" t="s">
        <v>46</v>
      </c>
      <c r="I12" s="3">
        <v>80</v>
      </c>
      <c r="J12" s="18" t="s">
        <v>1076</v>
      </c>
      <c r="K12" s="3">
        <v>12</v>
      </c>
      <c r="L12" s="3">
        <v>12</v>
      </c>
      <c r="M12" s="19">
        <v>8</v>
      </c>
      <c r="N12" s="19">
        <v>8</v>
      </c>
      <c r="O12" s="5" t="s">
        <v>85</v>
      </c>
      <c r="P12" s="4"/>
      <c r="Q12" s="18">
        <v>0</v>
      </c>
      <c r="R12" s="3"/>
      <c r="S12" s="6"/>
      <c r="T12" s="22"/>
      <c r="V12" s="23">
        <v>0</v>
      </c>
      <c r="W12" s="3" t="s">
        <v>9</v>
      </c>
    </row>
    <row r="13" spans="1:25" ht="23.1" customHeight="1" x14ac:dyDescent="0.25">
      <c r="A13" s="1" t="s">
        <v>82</v>
      </c>
      <c r="D13" s="3" t="s">
        <v>86</v>
      </c>
      <c r="E13" s="15" t="s">
        <v>87</v>
      </c>
      <c r="F13" s="15" t="s">
        <v>87</v>
      </c>
      <c r="G13" s="15" t="str">
        <f>IFERROR(VLOOKUP(D13,[5]成飞半成品!$A:$B,2,0),VLOOKUP(D13,[5]九院成本!$A$4:$B$48,2,0))</f>
        <v>管接头</v>
      </c>
      <c r="H13" s="3" t="s">
        <v>64</v>
      </c>
      <c r="I13" s="3">
        <v>35</v>
      </c>
      <c r="J13" s="18" t="s">
        <v>1072</v>
      </c>
      <c r="K13" s="3">
        <v>60</v>
      </c>
      <c r="L13" s="3">
        <v>60</v>
      </c>
      <c r="M13" s="19">
        <v>8</v>
      </c>
      <c r="N13" s="19">
        <v>8</v>
      </c>
      <c r="O13" s="5" t="s">
        <v>88</v>
      </c>
      <c r="P13" s="4"/>
      <c r="Q13" s="18">
        <v>30</v>
      </c>
      <c r="R13" s="3"/>
      <c r="S13" s="6"/>
      <c r="T13" s="22"/>
      <c r="V13" s="23">
        <v>30</v>
      </c>
      <c r="W13" s="3" t="s">
        <v>9</v>
      </c>
    </row>
    <row r="14" spans="1:25" ht="23.1" customHeight="1" x14ac:dyDescent="0.25">
      <c r="A14" s="1" t="s">
        <v>89</v>
      </c>
      <c r="D14" s="3" t="s">
        <v>90</v>
      </c>
      <c r="E14" s="15" t="s">
        <v>91</v>
      </c>
      <c r="F14" s="15" t="s">
        <v>91</v>
      </c>
      <c r="G14" s="15" t="str">
        <f>IFERROR(VLOOKUP(D14,[5]成飞半成品!$A:$B,2,0),VLOOKUP(D14,[5]九院成本!$A$4:$B$48,2,0))</f>
        <v>螺栓</v>
      </c>
      <c r="H14" s="3" t="s">
        <v>64</v>
      </c>
      <c r="I14" s="3">
        <v>50</v>
      </c>
      <c r="J14" s="18" t="s">
        <v>1077</v>
      </c>
      <c r="K14" s="3">
        <v>20</v>
      </c>
      <c r="L14" s="3">
        <v>20</v>
      </c>
      <c r="M14" s="19">
        <v>8</v>
      </c>
      <c r="N14" s="19">
        <v>8</v>
      </c>
      <c r="O14" s="5" t="s">
        <v>92</v>
      </c>
      <c r="P14" s="4"/>
      <c r="Q14" s="18">
        <v>25</v>
      </c>
      <c r="R14" s="3"/>
      <c r="S14" s="6"/>
      <c r="T14" s="22"/>
      <c r="V14" s="23">
        <v>8.3000000000000007</v>
      </c>
      <c r="W14" s="3" t="s">
        <v>9</v>
      </c>
    </row>
    <row r="15" spans="1:25" ht="23.1" customHeight="1" x14ac:dyDescent="0.25">
      <c r="A15" s="1" t="s">
        <v>89</v>
      </c>
      <c r="D15" s="3" t="s">
        <v>93</v>
      </c>
      <c r="E15" s="15" t="s">
        <v>94</v>
      </c>
      <c r="F15" s="15" t="s">
        <v>94</v>
      </c>
      <c r="G15" s="15" t="str">
        <f>IFERROR(VLOOKUP(D15,[5]成飞半成品!$A:$B,2,0),VLOOKUP(D15,[5]九院成本!$A$4:$B$48,2,0))</f>
        <v>垫圈</v>
      </c>
      <c r="H15" s="3" t="s">
        <v>80</v>
      </c>
      <c r="I15" s="3">
        <v>10</v>
      </c>
      <c r="J15" s="18" t="s">
        <v>1078</v>
      </c>
      <c r="K15" s="3">
        <v>2</v>
      </c>
      <c r="L15" s="3">
        <v>2</v>
      </c>
      <c r="M15" s="19">
        <v>8</v>
      </c>
      <c r="N15" s="19">
        <v>8</v>
      </c>
      <c r="O15" s="5" t="s">
        <v>95</v>
      </c>
      <c r="P15" s="4"/>
      <c r="Q15" s="18">
        <v>4</v>
      </c>
      <c r="R15" s="3"/>
      <c r="S15" s="6"/>
      <c r="T15" s="22"/>
      <c r="V15" s="23">
        <v>0.1</v>
      </c>
      <c r="W15" s="3" t="s">
        <v>9</v>
      </c>
      <c r="X15" s="7" t="s">
        <v>96</v>
      </c>
    </row>
    <row r="16" spans="1:25" ht="23.1" customHeight="1" x14ac:dyDescent="0.25">
      <c r="A16" s="1" t="s">
        <v>89</v>
      </c>
      <c r="D16" s="3" t="s">
        <v>97</v>
      </c>
      <c r="E16" s="15" t="s">
        <v>98</v>
      </c>
      <c r="F16" s="15" t="s">
        <v>98</v>
      </c>
      <c r="G16" s="15" t="str">
        <f>IFERROR(VLOOKUP(D16,[5]成飞半成品!$A:$B,2,0),VLOOKUP(D16,[5]九院成本!$A$4:$B$48,2,0))</f>
        <v>短框连接块</v>
      </c>
      <c r="H16" s="3" t="s">
        <v>80</v>
      </c>
      <c r="I16" s="3">
        <v>30</v>
      </c>
      <c r="J16" s="18" t="s">
        <v>1079</v>
      </c>
      <c r="K16" s="3">
        <v>8</v>
      </c>
      <c r="L16" s="3">
        <v>8</v>
      </c>
      <c r="M16" s="19">
        <v>8</v>
      </c>
      <c r="N16" s="19">
        <v>8</v>
      </c>
      <c r="O16" s="5" t="s">
        <v>81</v>
      </c>
      <c r="P16" s="4"/>
      <c r="Q16" s="18">
        <v>50</v>
      </c>
      <c r="R16" s="3"/>
      <c r="S16" s="6"/>
      <c r="T16" s="22"/>
      <c r="V16" s="23">
        <v>6.7</v>
      </c>
      <c r="W16" s="3" t="s">
        <v>9</v>
      </c>
    </row>
    <row r="17" spans="1:23" ht="23.1" customHeight="1" x14ac:dyDescent="0.25">
      <c r="A17" s="1" t="s">
        <v>89</v>
      </c>
      <c r="D17" s="3" t="s">
        <v>66</v>
      </c>
      <c r="E17" s="15" t="s">
        <v>67</v>
      </c>
      <c r="F17" s="15" t="s">
        <v>67</v>
      </c>
      <c r="G17" s="15" t="str">
        <f>IFERROR(VLOOKUP(D17,[5]成飞半成品!$A:$B,2,0),VLOOKUP(D17,[5]九院成本!$A$4:$B$48,2,0))</f>
        <v>10060下接头</v>
      </c>
      <c r="H17" s="3" t="s">
        <v>51</v>
      </c>
      <c r="I17" s="3">
        <v>40</v>
      </c>
      <c r="J17" s="18" t="s">
        <v>1069</v>
      </c>
      <c r="K17" s="3">
        <v>6</v>
      </c>
      <c r="L17" s="3">
        <v>6</v>
      </c>
      <c r="M17" s="19">
        <v>30</v>
      </c>
      <c r="N17" s="19">
        <v>30</v>
      </c>
      <c r="O17" s="5" t="s">
        <v>99</v>
      </c>
      <c r="P17" s="4"/>
      <c r="Q17" s="18">
        <v>15</v>
      </c>
      <c r="R17" s="3"/>
      <c r="S17" s="6"/>
      <c r="T17" s="22"/>
      <c r="V17" s="23">
        <v>1.5</v>
      </c>
      <c r="W17" s="3" t="s">
        <v>9</v>
      </c>
    </row>
    <row r="18" spans="1:23" ht="23.1" customHeight="1" x14ac:dyDescent="0.25">
      <c r="A18" s="1" t="s">
        <v>100</v>
      </c>
      <c r="D18" s="3" t="s">
        <v>101</v>
      </c>
      <c r="E18" s="15" t="s">
        <v>87</v>
      </c>
      <c r="F18" s="15" t="s">
        <v>87</v>
      </c>
      <c r="G18" s="15" t="str">
        <f>IFERROR(VLOOKUP(D18,[5]成飞半成品!$A:$B,2,0),VLOOKUP(D18,[5]九院成本!$A$4:$B$48,2,0))</f>
        <v>管接头</v>
      </c>
      <c r="H18" s="3" t="s">
        <v>64</v>
      </c>
      <c r="I18" s="3">
        <v>35</v>
      </c>
      <c r="J18" s="18" t="s">
        <v>1072</v>
      </c>
      <c r="K18" s="3">
        <v>20</v>
      </c>
      <c r="L18" s="3">
        <v>20</v>
      </c>
      <c r="M18" s="19">
        <v>8</v>
      </c>
      <c r="N18" s="19">
        <v>8</v>
      </c>
      <c r="O18" s="5" t="s">
        <v>102</v>
      </c>
      <c r="P18" s="4"/>
      <c r="Q18" s="18">
        <v>30</v>
      </c>
      <c r="R18" s="3"/>
      <c r="S18" s="6"/>
      <c r="T18" s="22"/>
      <c r="V18" s="23">
        <v>10</v>
      </c>
      <c r="W18" s="3" t="s">
        <v>9</v>
      </c>
    </row>
    <row r="19" spans="1:23" ht="23.1" customHeight="1" x14ac:dyDescent="0.25">
      <c r="A19" s="1" t="s">
        <v>103</v>
      </c>
      <c r="D19" s="3" t="s">
        <v>104</v>
      </c>
      <c r="E19" s="15" t="s">
        <v>76</v>
      </c>
      <c r="F19" s="15" t="s">
        <v>76</v>
      </c>
      <c r="G19" s="15" t="str">
        <f>IFERROR(VLOOKUP(D19,[5]成飞半成品!$A:$B,2,0),VLOOKUP(D19,[5]九院成本!$A$4:$B$48,2,0))</f>
        <v>接管嘴</v>
      </c>
      <c r="H19" s="3" t="s">
        <v>46</v>
      </c>
      <c r="I19" s="3">
        <v>30</v>
      </c>
      <c r="J19" s="18" t="s">
        <v>1079</v>
      </c>
      <c r="K19" s="3">
        <v>60</v>
      </c>
      <c r="L19" s="3">
        <v>60</v>
      </c>
      <c r="M19" s="19">
        <v>8</v>
      </c>
      <c r="N19" s="19">
        <v>8</v>
      </c>
      <c r="O19" s="5" t="s">
        <v>105</v>
      </c>
      <c r="P19" s="4"/>
      <c r="Q19" s="18">
        <v>25</v>
      </c>
      <c r="R19" s="3"/>
      <c r="S19" s="6"/>
      <c r="T19" s="22"/>
      <c r="V19" s="23">
        <v>25</v>
      </c>
      <c r="W19" s="3" t="s">
        <v>9</v>
      </c>
    </row>
    <row r="20" spans="1:23" ht="23.1" customHeight="1" x14ac:dyDescent="0.25">
      <c r="A20" s="1" t="s">
        <v>103</v>
      </c>
      <c r="D20" s="3" t="s">
        <v>106</v>
      </c>
      <c r="E20" s="15" t="s">
        <v>107</v>
      </c>
      <c r="F20" s="15" t="s">
        <v>107</v>
      </c>
      <c r="G20" s="15" t="str">
        <f>IFERROR(VLOOKUP(D20,[5]成飞半成品!$A:$B,2,0),VLOOKUP(D20,[5]九院成本!$A$4:$B$48,2,0))</f>
        <v>平管嘴</v>
      </c>
      <c r="H20" s="3" t="s">
        <v>80</v>
      </c>
      <c r="I20" s="3">
        <v>10</v>
      </c>
      <c r="J20" s="18" t="s">
        <v>1078</v>
      </c>
      <c r="K20" s="3">
        <v>14</v>
      </c>
      <c r="L20" s="3">
        <v>14</v>
      </c>
      <c r="M20" s="19">
        <v>8</v>
      </c>
      <c r="N20" s="19">
        <v>8</v>
      </c>
      <c r="O20" s="5" t="s">
        <v>108</v>
      </c>
      <c r="P20" s="4"/>
      <c r="Q20" s="18">
        <v>4</v>
      </c>
      <c r="R20" s="3"/>
      <c r="S20" s="6"/>
      <c r="T20" s="22"/>
      <c r="V20" s="23">
        <v>0.9</v>
      </c>
      <c r="W20" s="3" t="s">
        <v>9</v>
      </c>
    </row>
    <row r="21" spans="1:23" ht="23.1" customHeight="1" x14ac:dyDescent="0.25">
      <c r="A21" s="1" t="s">
        <v>109</v>
      </c>
      <c r="D21" s="3" t="s">
        <v>90</v>
      </c>
      <c r="E21" s="15" t="s">
        <v>91</v>
      </c>
      <c r="F21" s="15" t="s">
        <v>91</v>
      </c>
      <c r="G21" s="15" t="str">
        <f>IFERROR(VLOOKUP(D21,[5]成飞半成品!$A:$B,2,0),VLOOKUP(D21,[5]九院成本!$A$4:$B$48,2,0))</f>
        <v>螺栓</v>
      </c>
      <c r="H21" s="3" t="s">
        <v>64</v>
      </c>
      <c r="I21" s="3">
        <v>70</v>
      </c>
      <c r="J21" s="18">
        <v>0</v>
      </c>
      <c r="K21" s="3">
        <v>20</v>
      </c>
      <c r="L21" s="3">
        <v>20</v>
      </c>
      <c r="M21" s="19">
        <v>8</v>
      </c>
      <c r="N21" s="19">
        <v>8</v>
      </c>
      <c r="O21" s="5" t="s">
        <v>92</v>
      </c>
      <c r="P21" s="4"/>
      <c r="Q21" s="18">
        <v>0</v>
      </c>
      <c r="R21" s="3"/>
      <c r="S21" s="6"/>
      <c r="T21" s="22"/>
      <c r="V21" s="23">
        <v>0</v>
      </c>
      <c r="W21" s="3" t="s">
        <v>9</v>
      </c>
    </row>
    <row r="22" spans="1:23" ht="23.1" customHeight="1" x14ac:dyDescent="0.25">
      <c r="A22" s="1" t="s">
        <v>109</v>
      </c>
      <c r="D22" s="3" t="s">
        <v>110</v>
      </c>
      <c r="E22" s="15" t="s">
        <v>76</v>
      </c>
      <c r="F22" s="15" t="s">
        <v>76</v>
      </c>
      <c r="G22" s="15" t="str">
        <f>IFERROR(VLOOKUP(D22,[5]成飞半成品!$A:$B,2,0),VLOOKUP(D22,[5]九院成本!$A$4:$B$48,2,0))</f>
        <v>接管嘴</v>
      </c>
      <c r="H22" s="3" t="s">
        <v>46</v>
      </c>
      <c r="I22" s="3">
        <v>35</v>
      </c>
      <c r="J22" s="18" t="s">
        <v>1072</v>
      </c>
      <c r="K22" s="3">
        <v>19</v>
      </c>
      <c r="L22" s="3">
        <v>19</v>
      </c>
      <c r="M22" s="19">
        <v>8</v>
      </c>
      <c r="N22" s="19">
        <v>8</v>
      </c>
      <c r="O22" s="5" t="s">
        <v>56</v>
      </c>
      <c r="P22" s="4"/>
      <c r="Q22" s="18">
        <v>15</v>
      </c>
      <c r="R22" s="3"/>
      <c r="S22" s="6"/>
      <c r="T22" s="22"/>
      <c r="V22" s="23">
        <v>4.8</v>
      </c>
      <c r="W22" s="3" t="s">
        <v>9</v>
      </c>
    </row>
    <row r="23" spans="1:23" ht="23.1" customHeight="1" x14ac:dyDescent="0.25">
      <c r="A23" s="1" t="s">
        <v>109</v>
      </c>
      <c r="D23" s="3" t="s">
        <v>111</v>
      </c>
      <c r="E23" s="15" t="s">
        <v>63</v>
      </c>
      <c r="F23" s="15" t="s">
        <v>63</v>
      </c>
      <c r="G23" s="15" t="str">
        <f>IFERROR(VLOOKUP(D23,[5]成飞半成品!$A:$B,2,0),VLOOKUP(D23,[5]九院成本!$A$4:$B$48,2,0))</f>
        <v>法兰</v>
      </c>
      <c r="H23" s="3" t="s">
        <v>64</v>
      </c>
      <c r="I23" s="3">
        <v>50</v>
      </c>
      <c r="J23" s="18" t="s">
        <v>1077</v>
      </c>
      <c r="K23" s="3">
        <v>2</v>
      </c>
      <c r="L23" s="3">
        <v>2</v>
      </c>
      <c r="M23" s="19">
        <v>8</v>
      </c>
      <c r="N23" s="19">
        <v>8</v>
      </c>
      <c r="O23" s="5" t="s">
        <v>112</v>
      </c>
      <c r="P23" s="4"/>
      <c r="Q23" s="18">
        <v>50</v>
      </c>
      <c r="R23" s="3"/>
      <c r="S23" s="6"/>
      <c r="T23" s="22"/>
      <c r="V23" s="23">
        <v>1.7</v>
      </c>
      <c r="W23" s="3" t="s">
        <v>9</v>
      </c>
    </row>
    <row r="24" spans="1:23" ht="23.1" customHeight="1" x14ac:dyDescent="0.25">
      <c r="A24" s="1" t="s">
        <v>109</v>
      </c>
      <c r="D24" s="3" t="s">
        <v>113</v>
      </c>
      <c r="E24" s="15" t="s">
        <v>55</v>
      </c>
      <c r="F24" s="15" t="s">
        <v>55</v>
      </c>
      <c r="G24" s="15" t="str">
        <f>IFERROR(VLOOKUP(D24,[5]成飞半成品!$A:$B,2,0),VLOOKUP(D24,[5]九院成本!$A$4:$B$48,2,0))</f>
        <v>接头</v>
      </c>
      <c r="H24" s="3" t="s">
        <v>114</v>
      </c>
      <c r="I24" s="3">
        <v>35</v>
      </c>
      <c r="J24" s="18" t="s">
        <v>1072</v>
      </c>
      <c r="K24" s="3">
        <v>21</v>
      </c>
      <c r="L24" s="3">
        <v>21</v>
      </c>
      <c r="M24" s="19">
        <v>8</v>
      </c>
      <c r="N24" s="19">
        <v>8</v>
      </c>
      <c r="O24" s="5" t="s">
        <v>115</v>
      </c>
      <c r="P24" s="4"/>
      <c r="Q24" s="18" t="s">
        <v>1080</v>
      </c>
      <c r="R24" s="3"/>
      <c r="S24" s="6"/>
      <c r="T24" s="22"/>
      <c r="V24" s="23">
        <v>7</v>
      </c>
      <c r="W24" s="3" t="s">
        <v>9</v>
      </c>
    </row>
    <row r="25" spans="1:23" ht="23.1" customHeight="1" x14ac:dyDescent="0.25">
      <c r="A25" s="1" t="s">
        <v>116</v>
      </c>
      <c r="D25" s="3" t="s">
        <v>117</v>
      </c>
      <c r="E25" s="15" t="s">
        <v>118</v>
      </c>
      <c r="F25" s="15" t="s">
        <v>118</v>
      </c>
      <c r="G25" s="15" t="str">
        <f>IFERROR(VLOOKUP(D25,[5]成飞半成品!$A:$B,2,0),VLOOKUP(D25,[5]九院成本!$A$4:$B$48,2,0))</f>
        <v>20-28变径直通接头</v>
      </c>
      <c r="H25" s="3" t="s">
        <v>46</v>
      </c>
      <c r="I25" s="3">
        <v>10</v>
      </c>
      <c r="J25" s="18" t="s">
        <v>1081</v>
      </c>
      <c r="K25" s="3">
        <v>20</v>
      </c>
      <c r="L25" s="3">
        <v>20</v>
      </c>
      <c r="M25" s="19">
        <v>8</v>
      </c>
      <c r="N25" s="19">
        <v>8</v>
      </c>
      <c r="O25" s="5" t="s">
        <v>88</v>
      </c>
      <c r="P25" s="4"/>
      <c r="Q25" s="18">
        <v>10</v>
      </c>
      <c r="R25" s="3"/>
      <c r="S25" s="6"/>
      <c r="T25" s="22"/>
      <c r="V25" s="23">
        <v>3.3</v>
      </c>
      <c r="W25" s="3" t="s">
        <v>9</v>
      </c>
    </row>
    <row r="26" spans="1:23" ht="23.1" customHeight="1" x14ac:dyDescent="0.25">
      <c r="A26" s="1" t="s">
        <v>116</v>
      </c>
      <c r="D26" s="3" t="s">
        <v>119</v>
      </c>
      <c r="E26" s="15" t="s">
        <v>120</v>
      </c>
      <c r="F26" s="15" t="s">
        <v>120</v>
      </c>
      <c r="G26" s="15" t="str">
        <f>IFERROR(VLOOKUP(D26,[5]成飞半成品!$A:$B,2,0),VLOOKUP(D26,[5]九院成本!$A$4:$B$48,2,0))</f>
        <v>支架</v>
      </c>
      <c r="H26" s="3" t="s">
        <v>80</v>
      </c>
      <c r="I26" s="3">
        <v>25</v>
      </c>
      <c r="J26" s="18" t="s">
        <v>1082</v>
      </c>
      <c r="K26" s="3">
        <v>4</v>
      </c>
      <c r="L26" s="3">
        <v>4</v>
      </c>
      <c r="M26" s="19">
        <v>8</v>
      </c>
      <c r="N26" s="19">
        <v>8</v>
      </c>
      <c r="O26" s="5" t="s">
        <v>81</v>
      </c>
      <c r="P26" s="4"/>
      <c r="Q26" s="18">
        <v>45</v>
      </c>
      <c r="R26" s="3"/>
      <c r="S26" s="6"/>
      <c r="T26" s="22"/>
      <c r="V26" s="23">
        <v>3</v>
      </c>
      <c r="W26" s="3" t="s">
        <v>9</v>
      </c>
    </row>
    <row r="27" spans="1:23" ht="23.1" customHeight="1" x14ac:dyDescent="0.25">
      <c r="A27" s="1" t="s">
        <v>121</v>
      </c>
      <c r="D27" s="3" t="s">
        <v>122</v>
      </c>
      <c r="E27" s="15" t="s">
        <v>123</v>
      </c>
      <c r="F27" s="15" t="s">
        <v>123</v>
      </c>
      <c r="G27" s="15" t="str">
        <f>IFERROR(VLOOKUP(D27,[5]成飞半成品!$A:$B,2,0),VLOOKUP(D27,[5]九院成本!$A$4:$B$48,2,0))</f>
        <v>9350-11140左侧上梁</v>
      </c>
      <c r="H27" s="3" t="s">
        <v>64</v>
      </c>
      <c r="I27" s="3">
        <v>40</v>
      </c>
      <c r="J27" s="18" t="e">
        <v>#N/A</v>
      </c>
      <c r="K27" s="3">
        <v>4</v>
      </c>
      <c r="L27" s="3">
        <v>4</v>
      </c>
      <c r="M27" s="19">
        <v>8</v>
      </c>
      <c r="N27" s="19">
        <v>8</v>
      </c>
      <c r="O27" s="5" t="s">
        <v>124</v>
      </c>
      <c r="P27" s="4"/>
      <c r="Q27" s="18">
        <v>1440</v>
      </c>
      <c r="R27" s="3"/>
      <c r="S27" s="6"/>
      <c r="T27" s="22"/>
      <c r="V27" s="23">
        <v>96</v>
      </c>
      <c r="W27" s="24" t="s">
        <v>1</v>
      </c>
    </row>
    <row r="28" spans="1:23" ht="23.1" customHeight="1" x14ac:dyDescent="0.25">
      <c r="A28" s="1" t="s">
        <v>48</v>
      </c>
      <c r="D28" s="3" t="s">
        <v>127</v>
      </c>
      <c r="E28" s="15" t="s">
        <v>126</v>
      </c>
      <c r="F28" s="15" t="s">
        <v>126</v>
      </c>
      <c r="G28" s="15" t="str">
        <f>IFERROR(VLOOKUP(D28,[5]成飞半成品!$A:$B,2,0),VLOOKUP(D28,[5]九院成本!$A$4:$B$48,2,0))</f>
        <v>1N-2020-10-025</v>
      </c>
      <c r="H28" s="3" t="s">
        <v>80</v>
      </c>
      <c r="I28" s="3">
        <v>8</v>
      </c>
      <c r="J28" s="18" t="e">
        <v>#N/A</v>
      </c>
      <c r="K28" s="3">
        <v>2</v>
      </c>
      <c r="L28" s="3">
        <v>2</v>
      </c>
      <c r="M28" s="19">
        <v>8</v>
      </c>
      <c r="N28" s="19">
        <v>8</v>
      </c>
      <c r="O28" s="5" t="s">
        <v>127</v>
      </c>
      <c r="P28" s="4"/>
      <c r="Q28" s="18">
        <v>60</v>
      </c>
      <c r="R28" s="3"/>
      <c r="S28" s="6"/>
      <c r="T28" s="22"/>
      <c r="V28" s="23">
        <v>2</v>
      </c>
      <c r="W28" s="24" t="s">
        <v>0</v>
      </c>
    </row>
    <row r="29" spans="1:23" ht="23.1" customHeight="1" x14ac:dyDescent="0.25">
      <c r="A29" s="1" t="s">
        <v>53</v>
      </c>
      <c r="D29" s="3" t="s">
        <v>128</v>
      </c>
      <c r="E29" s="15" t="s">
        <v>129</v>
      </c>
      <c r="F29" s="15" t="s">
        <v>129</v>
      </c>
      <c r="G29" s="15" t="str">
        <f>IFERROR(VLOOKUP(D29,[5]成飞半成品!$A:$B,2,0),VLOOKUP(D29,[5]九院成本!$A$4:$B$48,2,0))</f>
        <v>8635右隔框</v>
      </c>
      <c r="H29" s="3" t="s">
        <v>114</v>
      </c>
      <c r="I29" s="3">
        <v>35</v>
      </c>
      <c r="J29" s="18" t="s">
        <v>1072</v>
      </c>
      <c r="K29" s="3">
        <v>3</v>
      </c>
      <c r="L29" s="3">
        <v>3</v>
      </c>
      <c r="M29" s="19">
        <v>8</v>
      </c>
      <c r="N29" s="19">
        <v>8</v>
      </c>
      <c r="O29" s="5" t="s">
        <v>130</v>
      </c>
      <c r="P29" s="4"/>
      <c r="Q29" s="18">
        <v>120</v>
      </c>
      <c r="R29" s="3"/>
      <c r="S29" s="6"/>
      <c r="T29" s="22"/>
      <c r="V29" s="23">
        <v>6</v>
      </c>
      <c r="W29" s="24" t="s">
        <v>0</v>
      </c>
    </row>
    <row r="30" spans="1:23" ht="23.1" customHeight="1" x14ac:dyDescent="0.25">
      <c r="A30" s="1" t="s">
        <v>53</v>
      </c>
      <c r="D30" s="3" t="s">
        <v>1161</v>
      </c>
      <c r="E30" s="15" t="s">
        <v>132</v>
      </c>
      <c r="F30" s="15" t="s">
        <v>132</v>
      </c>
      <c r="G30" s="15" t="str">
        <f>IFERROR(VLOOKUP(D30,[5]成飞半成品!$A:$B,2,0),VLOOKUP(D30,[5]九院成本!$A$4:$B$48,2,0))</f>
        <v>工装</v>
      </c>
      <c r="H30" s="3" t="s">
        <v>133</v>
      </c>
      <c r="I30" s="3">
        <v>45</v>
      </c>
      <c r="J30" s="18" t="s">
        <v>1083</v>
      </c>
      <c r="K30" s="3">
        <v>1</v>
      </c>
      <c r="L30" s="3">
        <v>1</v>
      </c>
      <c r="M30" s="19">
        <v>8</v>
      </c>
      <c r="N30" s="19">
        <v>8</v>
      </c>
      <c r="O30" s="5" t="s">
        <v>134</v>
      </c>
      <c r="P30" s="4"/>
      <c r="Q30" s="18">
        <v>960</v>
      </c>
      <c r="R30" s="3"/>
      <c r="S30" s="6"/>
      <c r="T30" s="22"/>
      <c r="V30" s="23">
        <v>16</v>
      </c>
      <c r="W30" s="24" t="s">
        <v>1</v>
      </c>
    </row>
    <row r="31" spans="1:23" ht="23.1" customHeight="1" x14ac:dyDescent="0.25">
      <c r="A31" s="1" t="s">
        <v>53</v>
      </c>
      <c r="D31" s="3" t="str">
        <f>O31</f>
        <v>2020-07-N-67</v>
      </c>
      <c r="E31" s="15" t="s">
        <v>136</v>
      </c>
      <c r="F31" s="15" t="s">
        <v>1084</v>
      </c>
      <c r="G31" s="15" t="str">
        <f>IFERROR(VLOOKUP(D31,[5]成飞半成品!$A:$B,2,0),VLOOKUP(D31,[5]九院成本!$A$4:$B$48,2,0))</f>
        <v>1N-2020-06-067</v>
      </c>
      <c r="I31" s="3">
        <v>35</v>
      </c>
      <c r="J31" s="18" t="e">
        <v>#N/A</v>
      </c>
      <c r="K31" s="3">
        <v>2300</v>
      </c>
      <c r="L31" s="3">
        <v>1200</v>
      </c>
      <c r="M31" s="19">
        <v>8</v>
      </c>
      <c r="N31" s="19">
        <v>8</v>
      </c>
      <c r="O31" s="5" t="s">
        <v>1169</v>
      </c>
      <c r="P31" s="4"/>
      <c r="Q31" s="18">
        <v>15</v>
      </c>
      <c r="R31" s="3"/>
      <c r="S31" s="6"/>
      <c r="T31" s="22"/>
      <c r="V31" s="23">
        <v>300</v>
      </c>
      <c r="W31" s="24" t="s">
        <v>0</v>
      </c>
    </row>
    <row r="32" spans="1:23" ht="23.1" customHeight="1" x14ac:dyDescent="0.25">
      <c r="A32" s="1" t="s">
        <v>65</v>
      </c>
      <c r="D32" s="3" t="s">
        <v>138</v>
      </c>
      <c r="E32" s="15" t="s">
        <v>139</v>
      </c>
      <c r="F32" s="15" t="s">
        <v>139</v>
      </c>
      <c r="G32" s="15" t="str">
        <f>IFERROR(VLOOKUP(D32,[5]成飞半成品!$A:$B,2,0),VLOOKUP(D32,[5]九院成本!$A$4:$B$48,2,0))</f>
        <v>8635左隔框</v>
      </c>
      <c r="H32" s="3" t="s">
        <v>114</v>
      </c>
      <c r="I32" s="3">
        <v>35</v>
      </c>
      <c r="J32" s="18" t="s">
        <v>1072</v>
      </c>
      <c r="K32" s="3">
        <v>3</v>
      </c>
      <c r="L32" s="3">
        <v>3</v>
      </c>
      <c r="M32" s="19">
        <v>8</v>
      </c>
      <c r="N32" s="19">
        <v>8</v>
      </c>
      <c r="O32" s="5" t="s">
        <v>140</v>
      </c>
      <c r="P32" s="4"/>
      <c r="Q32" s="18">
        <v>120</v>
      </c>
      <c r="R32" s="3"/>
      <c r="S32" s="6"/>
      <c r="T32" s="22"/>
      <c r="V32" s="23">
        <v>6</v>
      </c>
      <c r="W32" s="24" t="s">
        <v>0</v>
      </c>
    </row>
    <row r="33" spans="1:24" ht="23.1" customHeight="1" x14ac:dyDescent="0.25">
      <c r="A33" s="1" t="s">
        <v>65</v>
      </c>
      <c r="D33" s="3" t="s">
        <v>128</v>
      </c>
      <c r="E33" s="15" t="s">
        <v>129</v>
      </c>
      <c r="F33" s="15" t="s">
        <v>129</v>
      </c>
      <c r="G33" s="15" t="str">
        <f>IFERROR(VLOOKUP(D33,[5]成飞半成品!$A:$B,2,0),VLOOKUP(D33,[5]九院成本!$A$4:$B$48,2,0))</f>
        <v>8635右隔框</v>
      </c>
      <c r="H33" s="3" t="s">
        <v>114</v>
      </c>
      <c r="I33" s="3">
        <v>45</v>
      </c>
      <c r="J33" s="18" t="s">
        <v>1073</v>
      </c>
      <c r="K33" s="3">
        <v>3</v>
      </c>
      <c r="L33" s="3">
        <v>3</v>
      </c>
      <c r="M33" s="19">
        <v>30</v>
      </c>
      <c r="N33" s="19">
        <v>30</v>
      </c>
      <c r="O33" s="5" t="s">
        <v>130</v>
      </c>
      <c r="P33" s="4"/>
      <c r="Q33" s="18">
        <v>480</v>
      </c>
      <c r="R33" s="3"/>
      <c r="S33" s="6"/>
      <c r="T33" s="22"/>
      <c r="V33" s="23">
        <v>24</v>
      </c>
      <c r="W33" s="24" t="s">
        <v>0</v>
      </c>
    </row>
    <row r="34" spans="1:24" ht="23.1" customHeight="1" x14ac:dyDescent="0.25">
      <c r="A34" s="1" t="s">
        <v>71</v>
      </c>
      <c r="D34" s="3" t="s">
        <v>138</v>
      </c>
      <c r="E34" s="15" t="s">
        <v>139</v>
      </c>
      <c r="F34" s="15" t="s">
        <v>139</v>
      </c>
      <c r="G34" s="15" t="str">
        <f>IFERROR(VLOOKUP(D34,[5]成飞半成品!$A:$B,2,0),VLOOKUP(D34,[5]九院成本!$A$4:$B$48,2,0))</f>
        <v>8635左隔框</v>
      </c>
      <c r="H34" s="3" t="s">
        <v>114</v>
      </c>
      <c r="I34" s="3">
        <v>45</v>
      </c>
      <c r="J34" s="18" t="s">
        <v>1073</v>
      </c>
      <c r="K34" s="3">
        <v>3</v>
      </c>
      <c r="L34" s="3">
        <v>3</v>
      </c>
      <c r="M34" s="19">
        <v>30</v>
      </c>
      <c r="N34" s="19">
        <v>30</v>
      </c>
      <c r="O34" s="5" t="s">
        <v>140</v>
      </c>
      <c r="P34" s="4"/>
      <c r="Q34" s="18">
        <v>480</v>
      </c>
      <c r="R34" s="3"/>
      <c r="S34" s="6"/>
      <c r="T34" s="22"/>
      <c r="V34" s="23">
        <v>24</v>
      </c>
      <c r="W34" s="24" t="s">
        <v>0</v>
      </c>
    </row>
    <row r="35" spans="1:24" ht="23.1" customHeight="1" x14ac:dyDescent="0.25">
      <c r="A35" s="1" t="s">
        <v>71</v>
      </c>
      <c r="D35" s="3" t="s">
        <v>122</v>
      </c>
      <c r="E35" s="15" t="s">
        <v>123</v>
      </c>
      <c r="F35" s="15" t="s">
        <v>123</v>
      </c>
      <c r="G35" s="15" t="str">
        <f>IFERROR(VLOOKUP(D35,[5]成飞半成品!$A:$B,2,0),VLOOKUP(D35,[5]九院成本!$A$4:$B$48,2,0))</f>
        <v>9350-11140左侧上梁</v>
      </c>
      <c r="H35" s="3" t="s">
        <v>64</v>
      </c>
      <c r="I35" s="3">
        <v>50</v>
      </c>
      <c r="J35" s="18" t="e">
        <v>#N/A</v>
      </c>
      <c r="K35" s="3">
        <v>1</v>
      </c>
      <c r="L35" s="3">
        <v>1</v>
      </c>
      <c r="M35" s="19">
        <v>8</v>
      </c>
      <c r="N35" s="19">
        <v>8</v>
      </c>
      <c r="O35" s="5" t="s">
        <v>141</v>
      </c>
      <c r="P35" s="4"/>
      <c r="Q35" s="18">
        <v>1440</v>
      </c>
      <c r="R35" s="3"/>
      <c r="S35" s="6"/>
      <c r="T35" s="22"/>
      <c r="V35" s="23">
        <v>24</v>
      </c>
      <c r="W35" s="24" t="s">
        <v>1</v>
      </c>
    </row>
    <row r="36" spans="1:24" ht="23.1" customHeight="1" x14ac:dyDescent="0.25">
      <c r="A36" s="1" t="s">
        <v>82</v>
      </c>
      <c r="D36" s="3" t="s">
        <v>122</v>
      </c>
      <c r="E36" s="15" t="s">
        <v>123</v>
      </c>
      <c r="F36" s="15" t="s">
        <v>123</v>
      </c>
      <c r="G36" s="15" t="str">
        <f>IFERROR(VLOOKUP(D36,[5]成飞半成品!$A:$B,2,0),VLOOKUP(D36,[5]九院成本!$A$4:$B$48,2,0))</f>
        <v>9350-11140左侧上梁</v>
      </c>
      <c r="H36" s="3" t="s">
        <v>64</v>
      </c>
      <c r="I36" s="3">
        <v>50</v>
      </c>
      <c r="J36" s="18" t="e">
        <v>#N/A</v>
      </c>
      <c r="K36" s="3">
        <v>1</v>
      </c>
      <c r="L36" s="3">
        <v>1</v>
      </c>
      <c r="M36" s="19">
        <v>8</v>
      </c>
      <c r="N36" s="19">
        <v>8</v>
      </c>
      <c r="O36" s="5" t="s">
        <v>142</v>
      </c>
      <c r="P36" s="4"/>
      <c r="Q36" s="18">
        <v>1440</v>
      </c>
      <c r="R36" s="3"/>
      <c r="S36" s="6"/>
      <c r="T36" s="22"/>
      <c r="V36" s="23">
        <v>24</v>
      </c>
      <c r="W36" s="24" t="s">
        <v>1</v>
      </c>
    </row>
    <row r="37" spans="1:24" ht="23.1" customHeight="1" x14ac:dyDescent="0.25">
      <c r="A37" s="1" t="s">
        <v>89</v>
      </c>
      <c r="D37" s="3" t="s">
        <v>1161</v>
      </c>
      <c r="E37" s="15" t="s">
        <v>132</v>
      </c>
      <c r="F37" s="15" t="s">
        <v>132</v>
      </c>
      <c r="G37" s="15" t="str">
        <f>IFERROR(VLOOKUP(D37,[5]成飞半成品!$A:$B,2,0),VLOOKUP(D37,[5]九院成本!$A$4:$B$48,2,0))</f>
        <v>工装</v>
      </c>
      <c r="H37" s="3" t="s">
        <v>133</v>
      </c>
      <c r="I37" s="3">
        <v>45</v>
      </c>
      <c r="J37" s="18" t="s">
        <v>1083</v>
      </c>
      <c r="K37" s="3">
        <v>1</v>
      </c>
      <c r="L37" s="3">
        <v>1</v>
      </c>
      <c r="M37" s="19">
        <v>8</v>
      </c>
      <c r="N37" s="19">
        <v>8</v>
      </c>
      <c r="O37" s="5" t="s">
        <v>143</v>
      </c>
      <c r="P37" s="4"/>
      <c r="Q37" s="18">
        <v>960</v>
      </c>
      <c r="R37" s="3"/>
      <c r="S37" s="6"/>
      <c r="T37" s="22"/>
      <c r="V37" s="23">
        <v>16</v>
      </c>
      <c r="W37" s="24" t="s">
        <v>1</v>
      </c>
    </row>
    <row r="38" spans="1:24" ht="23.1" customHeight="1" x14ac:dyDescent="0.25">
      <c r="A38" s="1" t="s">
        <v>144</v>
      </c>
      <c r="D38" s="3" t="s">
        <v>1177</v>
      </c>
      <c r="E38" s="15" t="s">
        <v>146</v>
      </c>
      <c r="F38" s="15" t="s">
        <v>146</v>
      </c>
      <c r="G38" s="15" t="str">
        <f>IFERROR(VLOOKUP(D38,[5]成飞半成品!$A:$B,2,0),VLOOKUP(D38,[5]九院成本!$A$4:$B$48,2,0))</f>
        <v>8270左隔框</v>
      </c>
      <c r="H38" s="3" t="s">
        <v>147</v>
      </c>
      <c r="I38" s="3">
        <v>75</v>
      </c>
      <c r="J38" s="18" t="s">
        <v>1085</v>
      </c>
      <c r="K38" s="3">
        <v>3</v>
      </c>
      <c r="L38" s="3">
        <v>3</v>
      </c>
      <c r="M38" s="19">
        <v>13</v>
      </c>
      <c r="N38" s="19">
        <v>13</v>
      </c>
      <c r="O38" s="5" t="s">
        <v>148</v>
      </c>
      <c r="P38" s="4"/>
      <c r="Q38" s="18">
        <v>600</v>
      </c>
      <c r="R38" s="3"/>
      <c r="S38" s="6"/>
      <c r="T38" s="22"/>
      <c r="V38" s="23">
        <v>30</v>
      </c>
      <c r="W38" s="24" t="s">
        <v>0</v>
      </c>
    </row>
    <row r="39" spans="1:24" ht="23.1" customHeight="1" x14ac:dyDescent="0.25">
      <c r="A39" s="1" t="s">
        <v>144</v>
      </c>
      <c r="D39" s="3" t="s">
        <v>1177</v>
      </c>
      <c r="E39" s="15" t="s">
        <v>146</v>
      </c>
      <c r="F39" s="15" t="s">
        <v>146</v>
      </c>
      <c r="G39" s="15" t="str">
        <f>IFERROR(VLOOKUP(D39,[5]成飞半成品!$A:$B,2,0),VLOOKUP(D39,[5]九院成本!$A$4:$B$48,2,0))</f>
        <v>8270左隔框</v>
      </c>
      <c r="H39" s="3" t="s">
        <v>147</v>
      </c>
      <c r="I39" s="3">
        <v>75</v>
      </c>
      <c r="J39" s="18" t="s">
        <v>1085</v>
      </c>
      <c r="K39" s="3">
        <v>3</v>
      </c>
      <c r="L39" s="3">
        <v>3</v>
      </c>
      <c r="M39" s="19">
        <v>8</v>
      </c>
      <c r="N39" s="19">
        <v>8</v>
      </c>
      <c r="O39" s="5" t="s">
        <v>148</v>
      </c>
      <c r="P39" s="4"/>
      <c r="Q39" s="18">
        <v>600</v>
      </c>
      <c r="R39" s="3"/>
      <c r="S39" s="6"/>
      <c r="T39" s="22"/>
      <c r="V39" s="23">
        <v>30</v>
      </c>
      <c r="W39" s="24" t="s">
        <v>0</v>
      </c>
    </row>
    <row r="40" spans="1:24" ht="23.1" customHeight="1" x14ac:dyDescent="0.25">
      <c r="A40" s="1" t="s">
        <v>144</v>
      </c>
      <c r="D40" s="3" t="s">
        <v>1178</v>
      </c>
      <c r="E40" s="15" t="s">
        <v>146</v>
      </c>
      <c r="F40" s="15" t="s">
        <v>146</v>
      </c>
      <c r="G40" s="15" t="str">
        <f>IFERROR(VLOOKUP(D40,[5]成飞半成品!$A:$B,2,0),VLOOKUP(D40,[5]九院成本!$A$4:$B$48,2,0))</f>
        <v>8270右隔框</v>
      </c>
      <c r="H40" s="3" t="s">
        <v>147</v>
      </c>
      <c r="I40" s="3">
        <v>55</v>
      </c>
      <c r="J40" s="18" t="s">
        <v>1086</v>
      </c>
      <c r="K40" s="3">
        <v>5</v>
      </c>
      <c r="L40" s="3">
        <v>5</v>
      </c>
      <c r="M40" s="19">
        <v>30</v>
      </c>
      <c r="N40" s="19">
        <v>30</v>
      </c>
      <c r="O40" s="5" t="s">
        <v>150</v>
      </c>
      <c r="P40" s="4"/>
      <c r="Q40" s="18">
        <v>120</v>
      </c>
      <c r="R40" s="3"/>
      <c r="S40" s="6"/>
      <c r="T40" s="22"/>
      <c r="V40" s="23">
        <v>10</v>
      </c>
      <c r="W40" s="24" t="s">
        <v>0</v>
      </c>
    </row>
    <row r="41" spans="1:24" ht="23.1" customHeight="1" x14ac:dyDescent="0.25">
      <c r="A41" s="1" t="s">
        <v>144</v>
      </c>
      <c r="D41" s="3" t="s">
        <v>1177</v>
      </c>
      <c r="E41" s="15" t="s">
        <v>146</v>
      </c>
      <c r="F41" s="15" t="s">
        <v>146</v>
      </c>
      <c r="G41" s="15" t="str">
        <f>IFERROR(VLOOKUP(D41,[5]成飞半成品!$A:$B,2,0),VLOOKUP(D41,[5]九院成本!$A$4:$B$48,2,0))</f>
        <v>8270左隔框</v>
      </c>
      <c r="H41" s="3" t="s">
        <v>147</v>
      </c>
      <c r="I41" s="3">
        <v>55</v>
      </c>
      <c r="J41" s="18" t="s">
        <v>1086</v>
      </c>
      <c r="K41" s="3">
        <v>5</v>
      </c>
      <c r="L41" s="3">
        <v>5</v>
      </c>
      <c r="M41" s="19">
        <v>30</v>
      </c>
      <c r="N41" s="19">
        <v>30</v>
      </c>
      <c r="O41" s="5" t="s">
        <v>150</v>
      </c>
      <c r="P41" s="4"/>
      <c r="Q41" s="18">
        <v>120</v>
      </c>
      <c r="R41" s="3"/>
      <c r="S41" s="6"/>
      <c r="T41" s="22"/>
      <c r="V41" s="23">
        <v>10</v>
      </c>
      <c r="W41" s="24" t="s">
        <v>0</v>
      </c>
    </row>
    <row r="42" spans="1:24" ht="23.1" customHeight="1" x14ac:dyDescent="0.25">
      <c r="A42" s="1" t="s">
        <v>109</v>
      </c>
      <c r="D42" s="3" t="s">
        <v>127</v>
      </c>
      <c r="E42" s="15" t="s">
        <v>152</v>
      </c>
      <c r="F42" s="15" t="s">
        <v>1087</v>
      </c>
      <c r="G42" s="15" t="str">
        <f>IFERROR(VLOOKUP(D42,[5]成飞半成品!$A:$B,2,0),VLOOKUP(D42,[5]九院成本!$A$4:$B$48,2,0))</f>
        <v>1N-2020-10-025</v>
      </c>
      <c r="H42" s="3" t="s">
        <v>80</v>
      </c>
      <c r="I42" s="3">
        <v>8</v>
      </c>
      <c r="J42" s="18" t="e">
        <v>#N/A</v>
      </c>
      <c r="K42" s="3">
        <v>2</v>
      </c>
      <c r="L42" s="3">
        <v>2</v>
      </c>
      <c r="M42" s="19">
        <v>8</v>
      </c>
      <c r="N42" s="19">
        <v>8</v>
      </c>
      <c r="O42" s="5" t="s">
        <v>127</v>
      </c>
      <c r="P42" s="4"/>
      <c r="Q42" s="18">
        <v>60</v>
      </c>
      <c r="R42" s="3"/>
      <c r="S42" s="6"/>
      <c r="T42" s="22"/>
      <c r="V42" s="23">
        <v>2</v>
      </c>
      <c r="W42" s="24" t="s">
        <v>0</v>
      </c>
    </row>
    <row r="43" spans="1:24" ht="23.1" customHeight="1" x14ac:dyDescent="0.25">
      <c r="A43" s="1" t="s">
        <v>109</v>
      </c>
      <c r="D43" s="3" t="s">
        <v>153</v>
      </c>
      <c r="E43" s="15" t="s">
        <v>154</v>
      </c>
      <c r="F43" s="15" t="s">
        <v>154</v>
      </c>
      <c r="G43" s="15" t="str">
        <f>IFERROR(VLOOKUP(D43,[5]成飞半成品!$A:$B,2,0),VLOOKUP(D43,[5]九院成本!$A$4:$B$48,2,0))</f>
        <v>9350-11140右侧上梁</v>
      </c>
      <c r="H43" s="3" t="s">
        <v>155</v>
      </c>
      <c r="I43" s="3">
        <v>45</v>
      </c>
      <c r="J43" s="18" t="s">
        <v>1088</v>
      </c>
      <c r="K43" s="3">
        <v>1</v>
      </c>
      <c r="L43" s="3">
        <v>1</v>
      </c>
      <c r="M43" s="19">
        <v>8</v>
      </c>
      <c r="N43" s="19">
        <v>8</v>
      </c>
      <c r="O43" s="5" t="s">
        <v>156</v>
      </c>
      <c r="P43" s="4"/>
      <c r="Q43" s="18">
        <v>1440</v>
      </c>
      <c r="R43" s="3"/>
      <c r="S43" s="6"/>
      <c r="T43" s="22"/>
      <c r="V43" s="23">
        <v>24</v>
      </c>
      <c r="W43" s="24" t="s">
        <v>1</v>
      </c>
    </row>
    <row r="44" spans="1:24" ht="23.1" customHeight="1" x14ac:dyDescent="0.25">
      <c r="A44" s="1" t="s">
        <v>157</v>
      </c>
      <c r="D44" s="3" t="s">
        <v>160</v>
      </c>
      <c r="E44" s="15" t="s">
        <v>159</v>
      </c>
      <c r="F44" s="15" t="s">
        <v>159</v>
      </c>
      <c r="G44" s="15" t="str">
        <f>IFERROR(VLOOKUP(D44,[5]成飞半成品!$A:$B,2,0),VLOOKUP(D44,[5]九院成本!$A$4:$B$48,2,0))</f>
        <v>1N-2020-10-071</v>
      </c>
      <c r="H44" s="3" t="s">
        <v>80</v>
      </c>
      <c r="I44" s="3">
        <v>35</v>
      </c>
      <c r="J44" s="18" t="e">
        <v>#N/A</v>
      </c>
      <c r="K44" s="3">
        <v>104</v>
      </c>
      <c r="L44" s="3">
        <v>104</v>
      </c>
      <c r="M44" s="19">
        <v>8</v>
      </c>
      <c r="N44" s="19">
        <v>8</v>
      </c>
      <c r="O44" s="5" t="s">
        <v>160</v>
      </c>
      <c r="P44" s="4"/>
      <c r="Q44" s="18">
        <v>15</v>
      </c>
      <c r="R44" s="3"/>
      <c r="S44" s="6"/>
      <c r="T44" s="22"/>
      <c r="V44" s="23">
        <v>26</v>
      </c>
      <c r="W44" s="24" t="s">
        <v>0</v>
      </c>
    </row>
    <row r="45" spans="1:24" ht="23.1" customHeight="1" x14ac:dyDescent="0.25">
      <c r="A45" s="1" t="s">
        <v>116</v>
      </c>
      <c r="D45" s="3" t="s">
        <v>160</v>
      </c>
      <c r="E45" s="15" t="s">
        <v>162</v>
      </c>
      <c r="F45" s="15" t="s">
        <v>162</v>
      </c>
      <c r="G45" s="15" t="str">
        <f>IFERROR(VLOOKUP(D45,[5]成飞半成品!$A:$B,2,0),VLOOKUP(D45,[5]九院成本!$A$4:$B$48,2,0))</f>
        <v>1N-2020-10-071</v>
      </c>
      <c r="H45" s="3" t="s">
        <v>80</v>
      </c>
      <c r="I45" s="3">
        <v>35</v>
      </c>
      <c r="J45" s="18" t="e">
        <v>#N/A</v>
      </c>
      <c r="K45" s="3">
        <v>104</v>
      </c>
      <c r="L45" s="3">
        <v>104</v>
      </c>
      <c r="M45" s="19">
        <v>8</v>
      </c>
      <c r="N45" s="19">
        <v>8</v>
      </c>
      <c r="O45" s="5" t="s">
        <v>160</v>
      </c>
      <c r="P45" s="4"/>
      <c r="Q45" s="18">
        <v>15</v>
      </c>
      <c r="R45" s="3"/>
      <c r="S45" s="6"/>
      <c r="T45" s="22"/>
      <c r="V45" s="23">
        <v>26</v>
      </c>
      <c r="W45" s="24" t="s">
        <v>0</v>
      </c>
    </row>
    <row r="46" spans="1:24" ht="23.1" customHeight="1" x14ac:dyDescent="0.25">
      <c r="A46" s="1" t="s">
        <v>121</v>
      </c>
      <c r="D46" s="3" t="str">
        <f>O46</f>
        <v>2020-04-N-39</v>
      </c>
      <c r="E46" s="15" t="s">
        <v>164</v>
      </c>
      <c r="F46" s="15" t="e">
        <v>#N/A</v>
      </c>
      <c r="G46" s="15" t="str">
        <f>IFERROR(VLOOKUP(D46,[5]成飞半成品!$A:$B,2,0),VLOOKUP(D46,[5]九院成本!$A$4:$B$48,2,0))</f>
        <v>1N-2020-04-039</v>
      </c>
      <c r="H46" s="3" t="s">
        <v>80</v>
      </c>
      <c r="I46" s="3">
        <v>10</v>
      </c>
      <c r="J46" s="18" t="e">
        <v>#N/A</v>
      </c>
      <c r="K46" s="3">
        <v>18</v>
      </c>
      <c r="L46" s="3">
        <v>20</v>
      </c>
      <c r="M46" s="19">
        <v>8</v>
      </c>
      <c r="N46" s="19">
        <v>8</v>
      </c>
      <c r="O46" s="5" t="s">
        <v>1166</v>
      </c>
      <c r="P46" s="4"/>
      <c r="Q46" s="18">
        <v>30</v>
      </c>
      <c r="R46" s="3"/>
      <c r="S46" s="6"/>
      <c r="T46" s="22"/>
      <c r="V46" s="23">
        <v>10</v>
      </c>
      <c r="W46" s="24" t="s">
        <v>8</v>
      </c>
      <c r="X46" s="7" t="s">
        <v>166</v>
      </c>
    </row>
    <row r="47" spans="1:24" ht="23.1" customHeight="1" x14ac:dyDescent="0.25">
      <c r="A47" s="1" t="s">
        <v>121</v>
      </c>
      <c r="D47" s="3" t="str">
        <f>O47</f>
        <v>2020-04-N-39</v>
      </c>
      <c r="E47" s="15" t="s">
        <v>168</v>
      </c>
      <c r="F47" s="15" t="e">
        <v>#N/A</v>
      </c>
      <c r="G47" s="15" t="str">
        <f>IFERROR(VLOOKUP(D47,[5]成飞半成品!$A:$B,2,0),VLOOKUP(D47,[5]九院成本!$A$4:$B$48,2,0))</f>
        <v>1N-2020-04-039</v>
      </c>
      <c r="H47" s="3" t="s">
        <v>80</v>
      </c>
      <c r="I47" s="3">
        <v>10</v>
      </c>
      <c r="J47" s="18" t="e">
        <v>#N/A</v>
      </c>
      <c r="K47" s="3">
        <v>18</v>
      </c>
      <c r="L47" s="3">
        <v>20</v>
      </c>
      <c r="M47" s="19">
        <v>8</v>
      </c>
      <c r="N47" s="19">
        <v>8</v>
      </c>
      <c r="O47" s="5" t="s">
        <v>1166</v>
      </c>
      <c r="P47" s="4"/>
      <c r="Q47" s="18">
        <v>30</v>
      </c>
      <c r="R47" s="3"/>
      <c r="S47" s="6"/>
      <c r="T47" s="22"/>
      <c r="V47" s="23">
        <v>10</v>
      </c>
      <c r="W47" s="24" t="s">
        <v>8</v>
      </c>
    </row>
    <row r="48" spans="1:24" ht="23.1" customHeight="1" x14ac:dyDescent="0.25">
      <c r="A48" s="1" t="s">
        <v>121</v>
      </c>
      <c r="D48" s="3" t="s">
        <v>169</v>
      </c>
      <c r="E48" s="15" t="s">
        <v>170</v>
      </c>
      <c r="F48" s="15" t="s">
        <v>170</v>
      </c>
      <c r="G48" s="15" t="str">
        <f>IFERROR(VLOOKUP(D48,[5]成飞半成品!$A:$B,2,0),VLOOKUP(D48,[5]九院成本!$A$4:$B$48,2,0))</f>
        <v>衬套</v>
      </c>
      <c r="H48" s="3" t="s">
        <v>80</v>
      </c>
      <c r="I48" s="3">
        <v>5</v>
      </c>
      <c r="J48" s="18" t="e">
        <v>#N/A</v>
      </c>
      <c r="K48" s="3">
        <v>3</v>
      </c>
      <c r="L48" s="3">
        <v>3</v>
      </c>
      <c r="M48" s="19">
        <v>8</v>
      </c>
      <c r="N48" s="19">
        <v>8</v>
      </c>
      <c r="O48" s="5" t="s">
        <v>171</v>
      </c>
      <c r="P48" s="4"/>
      <c r="Q48" s="18">
        <v>10</v>
      </c>
      <c r="R48" s="3"/>
      <c r="S48" s="6"/>
      <c r="T48" s="22"/>
      <c r="V48" s="23">
        <v>0.5</v>
      </c>
      <c r="W48" s="24" t="s">
        <v>8</v>
      </c>
      <c r="X48" s="7" t="s">
        <v>172</v>
      </c>
    </row>
    <row r="49" spans="1:25" ht="23.1" customHeight="1" x14ac:dyDescent="0.25">
      <c r="A49" s="1" t="s">
        <v>48</v>
      </c>
      <c r="D49" s="3" t="s">
        <v>173</v>
      </c>
      <c r="E49" s="15" t="s">
        <v>174</v>
      </c>
      <c r="F49" s="15" t="s">
        <v>174</v>
      </c>
      <c r="G49" s="15" t="str">
        <f>IFERROR(VLOOKUP(D49,[5]成飞半成品!$A:$B,2,0),VLOOKUP(D49,[5]九院成本!$A$4:$B$48,2,0))</f>
        <v>根肋前段</v>
      </c>
      <c r="H49" s="3" t="s">
        <v>46</v>
      </c>
      <c r="I49" s="3">
        <v>10</v>
      </c>
      <c r="J49" s="18" t="s">
        <v>1078</v>
      </c>
      <c r="K49" s="3">
        <v>6</v>
      </c>
      <c r="L49" s="3">
        <v>6</v>
      </c>
      <c r="M49" s="19">
        <v>8</v>
      </c>
      <c r="N49" s="19">
        <v>8</v>
      </c>
      <c r="O49" s="5" t="s">
        <v>175</v>
      </c>
      <c r="P49" s="4"/>
      <c r="Q49" s="18">
        <v>150</v>
      </c>
      <c r="R49" s="3"/>
      <c r="S49" s="6"/>
      <c r="T49" s="22"/>
      <c r="V49" s="23">
        <v>15</v>
      </c>
      <c r="W49" s="24" t="s">
        <v>8</v>
      </c>
    </row>
    <row r="50" spans="1:25" ht="23.1" customHeight="1" x14ac:dyDescent="0.25">
      <c r="A50" s="1" t="s">
        <v>53</v>
      </c>
      <c r="D50" s="3" t="s">
        <v>173</v>
      </c>
      <c r="E50" s="15" t="s">
        <v>174</v>
      </c>
      <c r="F50" s="15" t="s">
        <v>174</v>
      </c>
      <c r="G50" s="15" t="str">
        <f>IFERROR(VLOOKUP(D50,[5]成飞半成品!$A:$B,2,0),VLOOKUP(D50,[5]九院成本!$A$4:$B$48,2,0))</f>
        <v>根肋前段</v>
      </c>
      <c r="H50" s="3" t="s">
        <v>46</v>
      </c>
      <c r="I50" s="3">
        <v>10</v>
      </c>
      <c r="J50" s="18" t="s">
        <v>1078</v>
      </c>
      <c r="K50" s="3">
        <v>3</v>
      </c>
      <c r="L50" s="3">
        <v>3</v>
      </c>
      <c r="M50" s="19">
        <v>8</v>
      </c>
      <c r="N50" s="19">
        <v>8</v>
      </c>
      <c r="O50" s="5" t="s">
        <v>176</v>
      </c>
      <c r="P50" s="4"/>
      <c r="Q50" s="18">
        <v>150</v>
      </c>
      <c r="R50" s="3"/>
      <c r="S50" s="6"/>
      <c r="T50" s="22"/>
      <c r="V50" s="23">
        <v>7.5</v>
      </c>
      <c r="W50" s="24" t="s">
        <v>8</v>
      </c>
      <c r="X50" s="7" t="s">
        <v>177</v>
      </c>
    </row>
    <row r="51" spans="1:25" ht="23.1" customHeight="1" x14ac:dyDescent="0.25">
      <c r="A51" s="1" t="s">
        <v>53</v>
      </c>
      <c r="D51" s="3" t="s">
        <v>178</v>
      </c>
      <c r="E51" s="15" t="s">
        <v>179</v>
      </c>
      <c r="F51" s="15" t="s">
        <v>179</v>
      </c>
      <c r="G51" s="15" t="str">
        <f>IFERROR(VLOOKUP(D51,[5]成飞半成品!$A:$B,2,0),VLOOKUP(D51,[5]九院成本!$A$4:$B$48,2,0))</f>
        <v>根肋后段</v>
      </c>
      <c r="H51" s="3" t="s">
        <v>46</v>
      </c>
      <c r="I51" s="3">
        <v>10</v>
      </c>
      <c r="J51" s="18" t="s">
        <v>1070</v>
      </c>
      <c r="K51" s="3">
        <v>7</v>
      </c>
      <c r="L51" s="3">
        <v>7</v>
      </c>
      <c r="M51" s="19">
        <v>8</v>
      </c>
      <c r="N51" s="19">
        <v>8</v>
      </c>
      <c r="O51" s="5" t="s">
        <v>180</v>
      </c>
      <c r="P51" s="4"/>
      <c r="Q51" s="18">
        <v>150</v>
      </c>
      <c r="R51" s="3"/>
      <c r="S51" s="6"/>
      <c r="T51" s="22"/>
      <c r="V51" s="23">
        <v>17.5</v>
      </c>
      <c r="W51" s="24" t="s">
        <v>8</v>
      </c>
      <c r="X51" s="7" t="s">
        <v>177</v>
      </c>
    </row>
    <row r="52" spans="1:25" ht="23.1" customHeight="1" x14ac:dyDescent="0.25">
      <c r="A52" s="1" t="s">
        <v>53</v>
      </c>
      <c r="D52" s="3" t="s">
        <v>181</v>
      </c>
      <c r="E52" s="15" t="s">
        <v>179</v>
      </c>
      <c r="F52" s="15" t="s">
        <v>179</v>
      </c>
      <c r="G52" s="15" t="str">
        <f>IFERROR(VLOOKUP(D52,[5]成飞半成品!$A:$B,2,0),VLOOKUP(D52,[5]九院成本!$A$4:$B$48,2,0))</f>
        <v>根肋后段</v>
      </c>
      <c r="H52" s="3" t="s">
        <v>46</v>
      </c>
      <c r="I52" s="3">
        <v>10</v>
      </c>
      <c r="J52" s="18" t="s">
        <v>1070</v>
      </c>
      <c r="K52" s="3">
        <v>3</v>
      </c>
      <c r="L52" s="3">
        <v>3</v>
      </c>
      <c r="M52" s="19">
        <v>8</v>
      </c>
      <c r="N52" s="19">
        <v>8</v>
      </c>
      <c r="O52" s="5" t="s">
        <v>182</v>
      </c>
      <c r="P52" s="4"/>
      <c r="Q52" s="18">
        <v>150</v>
      </c>
      <c r="R52" s="3"/>
      <c r="S52" s="6"/>
      <c r="T52" s="22"/>
      <c r="V52" s="23">
        <v>7.5</v>
      </c>
      <c r="W52" s="24" t="s">
        <v>8</v>
      </c>
    </row>
    <row r="53" spans="1:25" ht="23.1" customHeight="1" x14ac:dyDescent="0.25">
      <c r="A53" s="1" t="s">
        <v>53</v>
      </c>
      <c r="D53" s="3" t="s">
        <v>183</v>
      </c>
      <c r="E53" s="15" t="s">
        <v>60</v>
      </c>
      <c r="F53" s="15" t="s">
        <v>60</v>
      </c>
      <c r="G53" s="15" t="str">
        <f>IFERROR(VLOOKUP(D53,[5]成飞半成品!$A:$B,2,0),VLOOKUP(D53,[5]九院成本!$A$4:$B$48,2,0))</f>
        <v>轴</v>
      </c>
      <c r="H53" s="3" t="s">
        <v>46</v>
      </c>
      <c r="I53" s="3">
        <v>45</v>
      </c>
      <c r="J53" s="18" t="s">
        <v>1073</v>
      </c>
      <c r="K53" s="3">
        <v>99</v>
      </c>
      <c r="L53" s="3">
        <v>99</v>
      </c>
      <c r="M53" s="19">
        <v>8</v>
      </c>
      <c r="N53" s="19">
        <v>8</v>
      </c>
      <c r="O53" s="5" t="s">
        <v>184</v>
      </c>
      <c r="P53" s="4"/>
      <c r="Q53" s="18">
        <v>15</v>
      </c>
      <c r="R53" s="3"/>
      <c r="S53" s="6"/>
      <c r="T53" s="22"/>
      <c r="V53" s="23">
        <v>24.8</v>
      </c>
      <c r="W53" s="24" t="s">
        <v>8</v>
      </c>
      <c r="X53" s="7" t="s">
        <v>185</v>
      </c>
    </row>
    <row r="54" spans="1:25" ht="23.1" customHeight="1" x14ac:dyDescent="0.25">
      <c r="A54" s="1" t="s">
        <v>58</v>
      </c>
      <c r="D54" s="3" t="s">
        <v>181</v>
      </c>
      <c r="E54" s="15" t="s">
        <v>179</v>
      </c>
      <c r="F54" s="15" t="s">
        <v>179</v>
      </c>
      <c r="G54" s="15" t="str">
        <f>IFERROR(VLOOKUP(D54,[5]成飞半成品!$A:$B,2,0),VLOOKUP(D54,[5]九院成本!$A$4:$B$48,2,0))</f>
        <v>根肋后段</v>
      </c>
      <c r="H54" s="3" t="s">
        <v>46</v>
      </c>
      <c r="I54" s="3">
        <v>10</v>
      </c>
      <c r="J54" s="18" t="s">
        <v>1070</v>
      </c>
      <c r="K54" s="3">
        <v>1</v>
      </c>
      <c r="L54" s="3">
        <v>1</v>
      </c>
      <c r="M54" s="19">
        <v>8</v>
      </c>
      <c r="N54" s="19"/>
      <c r="O54" s="5" t="s">
        <v>186</v>
      </c>
      <c r="P54" s="4"/>
      <c r="Q54" s="18">
        <v>150</v>
      </c>
      <c r="R54" s="3"/>
      <c r="S54" s="6"/>
      <c r="T54" s="22"/>
      <c r="V54" s="23">
        <v>2.5</v>
      </c>
      <c r="W54" s="24" t="s">
        <v>8</v>
      </c>
      <c r="X54" s="7" t="s">
        <v>177</v>
      </c>
    </row>
    <row r="55" spans="1:25" ht="23.1" customHeight="1" x14ac:dyDescent="0.25">
      <c r="A55" s="1" t="s">
        <v>58</v>
      </c>
      <c r="D55" s="3" t="s">
        <v>173</v>
      </c>
      <c r="E55" s="15" t="s">
        <v>174</v>
      </c>
      <c r="F55" s="15" t="s">
        <v>174</v>
      </c>
      <c r="G55" s="15" t="str">
        <f>IFERROR(VLOOKUP(D55,[5]成飞半成品!$A:$B,2,0),VLOOKUP(D55,[5]九院成本!$A$4:$B$48,2,0))</f>
        <v>根肋前段</v>
      </c>
      <c r="H55" s="3" t="s">
        <v>46</v>
      </c>
      <c r="I55" s="3">
        <v>10</v>
      </c>
      <c r="J55" s="18" t="s">
        <v>1078</v>
      </c>
      <c r="K55" s="3">
        <v>3</v>
      </c>
      <c r="L55" s="3">
        <v>3</v>
      </c>
      <c r="M55" s="19">
        <v>8</v>
      </c>
      <c r="N55" s="19">
        <v>8</v>
      </c>
      <c r="O55" s="5" t="s">
        <v>187</v>
      </c>
      <c r="P55" s="4"/>
      <c r="Q55" s="18">
        <v>150</v>
      </c>
      <c r="R55" s="3"/>
      <c r="S55" s="6"/>
      <c r="T55" s="22"/>
      <c r="V55" s="23">
        <v>7.5</v>
      </c>
      <c r="W55" s="24" t="s">
        <v>8</v>
      </c>
      <c r="X55" s="7" t="s">
        <v>177</v>
      </c>
    </row>
    <row r="56" spans="1:25" ht="23.1" customHeight="1" x14ac:dyDescent="0.25">
      <c r="A56" s="1" t="s">
        <v>74</v>
      </c>
      <c r="D56" s="3" t="s">
        <v>188</v>
      </c>
      <c r="E56" s="15" t="s">
        <v>120</v>
      </c>
      <c r="F56" s="15" t="s">
        <v>120</v>
      </c>
      <c r="G56" s="15" t="str">
        <f>IFERROR(VLOOKUP(D56,[5]成飞半成品!$A:$B,2,0),VLOOKUP(D56,[5]九院成本!$A$4:$B$48,2,0))</f>
        <v>支架</v>
      </c>
      <c r="H56" s="3" t="s">
        <v>114</v>
      </c>
      <c r="I56" s="3">
        <v>55</v>
      </c>
      <c r="J56" s="18" t="s">
        <v>1086</v>
      </c>
      <c r="K56" s="3">
        <v>24</v>
      </c>
      <c r="L56" s="3">
        <v>10</v>
      </c>
      <c r="M56" s="19">
        <v>8</v>
      </c>
      <c r="N56" s="19">
        <v>8</v>
      </c>
      <c r="O56" s="5" t="s">
        <v>189</v>
      </c>
      <c r="P56" s="4"/>
      <c r="Q56" s="18">
        <v>60</v>
      </c>
      <c r="R56" s="3"/>
      <c r="S56" s="6"/>
      <c r="T56" s="22"/>
      <c r="V56" s="23">
        <v>10</v>
      </c>
      <c r="W56" s="24" t="s">
        <v>8</v>
      </c>
    </row>
    <row r="57" spans="1:25" ht="23.1" customHeight="1" x14ac:dyDescent="0.25">
      <c r="A57" s="1" t="s">
        <v>82</v>
      </c>
      <c r="D57" s="3" t="s">
        <v>192</v>
      </c>
      <c r="E57" s="15" t="s">
        <v>191</v>
      </c>
      <c r="F57" s="15" t="s">
        <v>1089</v>
      </c>
      <c r="G57" s="15" t="str">
        <f>IFERROR(VLOOKUP(D57,[5]成飞半成品!$A:$B,2,0),VLOOKUP(D57,[5]九院成本!$A$4:$B$48,2,0))</f>
        <v>1N-2020-09-040</v>
      </c>
      <c r="H57" s="3" t="s">
        <v>80</v>
      </c>
      <c r="I57" s="3">
        <v>30</v>
      </c>
      <c r="J57" s="18" t="e">
        <v>#N/A</v>
      </c>
      <c r="K57" s="3">
        <v>660</v>
      </c>
      <c r="L57" s="3">
        <v>665</v>
      </c>
      <c r="M57" s="19">
        <v>8</v>
      </c>
      <c r="N57" s="19">
        <v>8</v>
      </c>
      <c r="O57" s="5" t="s">
        <v>192</v>
      </c>
      <c r="P57" s="4"/>
      <c r="Q57" s="18">
        <v>10</v>
      </c>
      <c r="R57" s="3"/>
      <c r="S57" s="6"/>
      <c r="T57" s="22"/>
      <c r="V57" s="23">
        <v>110.8</v>
      </c>
      <c r="W57" s="24" t="s">
        <v>8</v>
      </c>
      <c r="X57" s="7" t="s">
        <v>193</v>
      </c>
    </row>
    <row r="58" spans="1:25" ht="23.1" customHeight="1" x14ac:dyDescent="0.25">
      <c r="A58" s="1" t="s">
        <v>82</v>
      </c>
      <c r="D58" s="3" t="s">
        <v>194</v>
      </c>
      <c r="E58" s="15" t="s">
        <v>195</v>
      </c>
      <c r="F58" s="15" t="s">
        <v>195</v>
      </c>
      <c r="G58" s="15" t="str">
        <f>IFERROR(VLOOKUP(D58,[5]成飞半成品!$A:$B,2,0),VLOOKUP(D58,[5]九院成本!$A$4:$B$48,2,0))</f>
        <v>小衬套</v>
      </c>
      <c r="H58" s="3" t="s">
        <v>64</v>
      </c>
      <c r="I58" s="3">
        <v>30</v>
      </c>
      <c r="J58" s="18" t="s">
        <v>1079</v>
      </c>
      <c r="K58" s="3">
        <v>20</v>
      </c>
      <c r="L58" s="3">
        <v>25</v>
      </c>
      <c r="M58" s="19">
        <v>8</v>
      </c>
      <c r="N58" s="19">
        <v>8</v>
      </c>
      <c r="O58" s="5" t="s">
        <v>196</v>
      </c>
      <c r="P58" s="4"/>
      <c r="Q58" s="18">
        <v>20</v>
      </c>
      <c r="R58" s="3"/>
      <c r="S58" s="6"/>
      <c r="T58" s="22"/>
      <c r="V58" s="23">
        <v>8.3000000000000007</v>
      </c>
      <c r="W58" s="24" t="s">
        <v>8</v>
      </c>
    </row>
    <row r="59" spans="1:25" ht="23.1" customHeight="1" x14ac:dyDescent="0.25">
      <c r="A59" s="1" t="s">
        <v>82</v>
      </c>
      <c r="D59" s="3" t="s">
        <v>194</v>
      </c>
      <c r="E59" s="15" t="s">
        <v>195</v>
      </c>
      <c r="F59" s="15" t="s">
        <v>195</v>
      </c>
      <c r="G59" s="15" t="str">
        <f>IFERROR(VLOOKUP(D59,[5]成飞半成品!$A:$B,2,0),VLOOKUP(D59,[5]九院成本!$A$4:$B$48,2,0))</f>
        <v>小衬套</v>
      </c>
      <c r="H59" s="3" t="s">
        <v>64</v>
      </c>
      <c r="I59" s="3">
        <v>30</v>
      </c>
      <c r="J59" s="18" t="s">
        <v>1079</v>
      </c>
      <c r="K59" s="3">
        <v>8</v>
      </c>
      <c r="L59" s="3">
        <v>13</v>
      </c>
      <c r="M59" s="19">
        <v>8</v>
      </c>
      <c r="N59" s="19">
        <v>8</v>
      </c>
      <c r="O59" s="5" t="s">
        <v>197</v>
      </c>
      <c r="P59" s="4"/>
      <c r="Q59" s="18">
        <v>20</v>
      </c>
      <c r="R59" s="3"/>
      <c r="S59" s="6"/>
      <c r="T59" s="22"/>
      <c r="V59" s="23">
        <v>4.3</v>
      </c>
      <c r="W59" s="24" t="s">
        <v>8</v>
      </c>
    </row>
    <row r="60" spans="1:25" ht="23.1" customHeight="1" x14ac:dyDescent="0.25">
      <c r="A60" s="1" t="s">
        <v>89</v>
      </c>
      <c r="D60" s="3" t="s">
        <v>198</v>
      </c>
      <c r="E60" s="15" t="s">
        <v>55</v>
      </c>
      <c r="F60" s="15" t="s">
        <v>55</v>
      </c>
      <c r="G60" s="15" t="str">
        <f>IFERROR(VLOOKUP(D60,[5]成飞半成品!$A:$B,2,0),VLOOKUP(D60,[5]九院成本!$A$4:$B$48,2,0))</f>
        <v>接头</v>
      </c>
      <c r="H60" s="3" t="s">
        <v>46</v>
      </c>
      <c r="I60" s="3">
        <v>35</v>
      </c>
      <c r="J60" s="18" t="s">
        <v>1072</v>
      </c>
      <c r="K60" s="3">
        <v>20</v>
      </c>
      <c r="L60" s="3">
        <v>20</v>
      </c>
      <c r="M60" s="19">
        <v>8</v>
      </c>
      <c r="N60" s="19">
        <v>8</v>
      </c>
      <c r="O60" s="5" t="s">
        <v>56</v>
      </c>
      <c r="P60" s="4"/>
      <c r="Q60" s="18">
        <v>20</v>
      </c>
      <c r="R60" s="3"/>
      <c r="S60" s="6"/>
      <c r="T60" s="22"/>
      <c r="U60" s="7">
        <v>4</v>
      </c>
      <c r="V60" s="23">
        <v>10.7</v>
      </c>
      <c r="W60" s="24" t="s">
        <v>8</v>
      </c>
      <c r="X60" s="7" t="s">
        <v>199</v>
      </c>
    </row>
    <row r="61" spans="1:25" ht="23.1" customHeight="1" x14ac:dyDescent="0.25">
      <c r="A61" s="1" t="s">
        <v>100</v>
      </c>
      <c r="D61" s="3" t="s">
        <v>1162</v>
      </c>
      <c r="E61" s="15" t="s">
        <v>200</v>
      </c>
      <c r="F61" s="15" t="e">
        <v>#N/A</v>
      </c>
      <c r="G61" s="15" t="str">
        <f>IFERROR(VLOOKUP(D61,[5]成飞半成品!$A:$B,2,0),VLOOKUP(D61,[5]九院成本!$A$4:$B$48,2,0))</f>
        <v>工装</v>
      </c>
      <c r="I61" s="3" t="s">
        <v>201</v>
      </c>
      <c r="J61" s="18" t="e">
        <v>#N/A</v>
      </c>
      <c r="K61" s="3">
        <v>7</v>
      </c>
      <c r="L61" s="3">
        <v>7</v>
      </c>
      <c r="M61" s="19">
        <v>8</v>
      </c>
      <c r="N61" s="19">
        <v>8</v>
      </c>
      <c r="P61" s="4"/>
      <c r="Q61" s="18">
        <v>30</v>
      </c>
      <c r="R61" s="3"/>
      <c r="S61" s="6"/>
      <c r="T61" s="22"/>
      <c r="V61" s="23">
        <v>3.5</v>
      </c>
      <c r="W61" s="24" t="s">
        <v>8</v>
      </c>
      <c r="X61" s="7" t="s">
        <v>202</v>
      </c>
      <c r="Y61" s="7" t="s">
        <v>203</v>
      </c>
    </row>
    <row r="62" spans="1:25" ht="23.1" customHeight="1" x14ac:dyDescent="0.25">
      <c r="A62" s="1" t="s">
        <v>103</v>
      </c>
      <c r="D62" s="3" t="s">
        <v>1171</v>
      </c>
      <c r="E62" s="15" t="s">
        <v>205</v>
      </c>
      <c r="F62" s="15" t="e">
        <v>#N/A</v>
      </c>
      <c r="G62" s="15" t="str">
        <f>IFERROR(VLOOKUP(D62,[5]成飞半成品!$A:$B,2,0),VLOOKUP(D62,[5]九院成本!$A$4:$B$48,2,0))</f>
        <v>鸭翼伺服作动器安装支座</v>
      </c>
      <c r="H62" s="3" t="s">
        <v>80</v>
      </c>
      <c r="I62" s="3">
        <v>25</v>
      </c>
      <c r="J62" s="18" t="e">
        <v>#N/A</v>
      </c>
      <c r="K62" s="3">
        <v>14</v>
      </c>
      <c r="L62" s="3">
        <v>14</v>
      </c>
      <c r="M62" s="19">
        <v>8</v>
      </c>
      <c r="N62" s="19">
        <v>8</v>
      </c>
      <c r="O62" s="5" t="s">
        <v>206</v>
      </c>
      <c r="P62" s="4"/>
      <c r="Q62" s="18">
        <v>480</v>
      </c>
      <c r="R62" s="3"/>
      <c r="S62" s="6"/>
      <c r="T62" s="22"/>
      <c r="V62" s="23">
        <v>112</v>
      </c>
      <c r="W62" s="24" t="s">
        <v>8</v>
      </c>
      <c r="X62" s="7" t="s">
        <v>207</v>
      </c>
    </row>
    <row r="63" spans="1:25" ht="23.1" customHeight="1" x14ac:dyDescent="0.25">
      <c r="A63" s="1" t="s">
        <v>208</v>
      </c>
      <c r="D63" s="3" t="s">
        <v>1162</v>
      </c>
      <c r="E63" s="15" t="s">
        <v>209</v>
      </c>
      <c r="F63" s="15" t="e">
        <v>#N/A</v>
      </c>
      <c r="G63" s="15" t="str">
        <f>IFERROR(VLOOKUP(D63,[5]成飞半成品!$A:$B,2,0),VLOOKUP(D63,[5]九院成本!$A$4:$B$48,2,0))</f>
        <v>工装</v>
      </c>
      <c r="J63" s="18" t="e">
        <v>#N/A</v>
      </c>
      <c r="M63" s="19">
        <v>8</v>
      </c>
      <c r="N63" s="19">
        <v>8</v>
      </c>
      <c r="O63" s="5" t="s">
        <v>206</v>
      </c>
      <c r="P63" s="4"/>
      <c r="Q63" s="18">
        <v>0</v>
      </c>
      <c r="R63" s="3"/>
      <c r="S63" s="6"/>
      <c r="T63" s="22"/>
      <c r="U63" s="7">
        <v>16</v>
      </c>
      <c r="V63" s="23">
        <v>16</v>
      </c>
      <c r="W63" s="24" t="s">
        <v>7</v>
      </c>
      <c r="X63" s="7" t="s">
        <v>210</v>
      </c>
    </row>
    <row r="64" spans="1:25" ht="23.1" customHeight="1" x14ac:dyDescent="0.25">
      <c r="A64" s="1" t="s">
        <v>53</v>
      </c>
      <c r="D64" s="3" t="s">
        <v>1162</v>
      </c>
      <c r="E64" s="15" t="s">
        <v>211</v>
      </c>
      <c r="F64" s="15" t="e">
        <v>#N/A</v>
      </c>
      <c r="G64" s="15" t="str">
        <f>IFERROR(VLOOKUP(D64,[5]成飞半成品!$A:$B,2,0),VLOOKUP(D64,[5]九院成本!$A$4:$B$48,2,0))</f>
        <v>工装</v>
      </c>
      <c r="J64" s="18" t="e">
        <v>#N/A</v>
      </c>
      <c r="K64" s="3">
        <v>2</v>
      </c>
      <c r="L64" s="3">
        <v>2</v>
      </c>
      <c r="M64" s="19">
        <v>8</v>
      </c>
      <c r="N64" s="19">
        <v>8</v>
      </c>
      <c r="O64" s="5" t="s">
        <v>206</v>
      </c>
      <c r="P64" s="4"/>
      <c r="Q64" s="18">
        <v>600</v>
      </c>
      <c r="R64" s="3"/>
      <c r="S64" s="6"/>
      <c r="T64" s="22"/>
      <c r="V64" s="23">
        <v>20</v>
      </c>
      <c r="W64" s="24" t="s">
        <v>7</v>
      </c>
      <c r="X64" s="7" t="s">
        <v>212</v>
      </c>
    </row>
    <row r="65" spans="1:25" ht="23.1" customHeight="1" x14ac:dyDescent="0.25">
      <c r="A65" s="1" t="s">
        <v>213</v>
      </c>
      <c r="D65" s="25" t="s">
        <v>1162</v>
      </c>
      <c r="E65" s="15" t="s">
        <v>211</v>
      </c>
      <c r="F65" s="15" t="e">
        <v>#N/A</v>
      </c>
      <c r="G65" s="15" t="str">
        <f>IFERROR(VLOOKUP(D65,[5]成飞半成品!$A:$B,2,0),VLOOKUP(D65,[5]九院成本!$A$4:$B$48,2,0))</f>
        <v>工装</v>
      </c>
      <c r="I65" s="3">
        <v>20</v>
      </c>
      <c r="J65" s="18" t="e">
        <v>#N/A</v>
      </c>
      <c r="K65" s="3">
        <v>2</v>
      </c>
      <c r="L65" s="3">
        <v>2</v>
      </c>
      <c r="M65" s="19">
        <v>8</v>
      </c>
      <c r="N65" s="19">
        <v>8</v>
      </c>
      <c r="O65" s="5" t="s">
        <v>206</v>
      </c>
      <c r="P65" s="4"/>
      <c r="Q65" s="18">
        <v>600</v>
      </c>
      <c r="R65" s="3"/>
      <c r="S65" s="6"/>
      <c r="T65" s="22"/>
      <c r="V65" s="23">
        <v>20</v>
      </c>
      <c r="W65" s="24" t="s">
        <v>7</v>
      </c>
      <c r="X65" s="7" t="s">
        <v>215</v>
      </c>
    </row>
    <row r="66" spans="1:25" ht="23.1" customHeight="1" x14ac:dyDescent="0.25">
      <c r="A66" s="1" t="s">
        <v>58</v>
      </c>
      <c r="D66" s="3" t="s">
        <v>1162</v>
      </c>
      <c r="E66" s="3" t="s">
        <v>216</v>
      </c>
      <c r="F66" s="15" t="e">
        <v>#N/A</v>
      </c>
      <c r="G66" s="15" t="str">
        <f>IFERROR(VLOOKUP(D66,[5]成飞半成品!$A:$B,2,0),VLOOKUP(D66,[5]九院成本!$A$4:$B$48,2,0))</f>
        <v>工装</v>
      </c>
      <c r="J66" s="18" t="e">
        <v>#N/A</v>
      </c>
      <c r="K66" s="3">
        <v>2</v>
      </c>
      <c r="L66" s="3">
        <v>2</v>
      </c>
      <c r="M66" s="19">
        <v>8</v>
      </c>
      <c r="N66" s="19">
        <v>8</v>
      </c>
      <c r="O66" s="5" t="s">
        <v>206</v>
      </c>
      <c r="P66" s="4"/>
      <c r="Q66" s="18">
        <v>720</v>
      </c>
      <c r="R66" s="3"/>
      <c r="S66" s="6"/>
      <c r="T66" s="22"/>
      <c r="V66" s="23">
        <v>24</v>
      </c>
      <c r="W66" s="24" t="s">
        <v>7</v>
      </c>
      <c r="X66" s="7" t="s">
        <v>217</v>
      </c>
    </row>
    <row r="67" spans="1:25" ht="23.1" customHeight="1" x14ac:dyDescent="0.25">
      <c r="A67" s="1" t="s">
        <v>65</v>
      </c>
      <c r="D67" s="3" t="s">
        <v>1162</v>
      </c>
      <c r="E67" s="15" t="s">
        <v>218</v>
      </c>
      <c r="F67" s="15" t="e">
        <v>#N/A</v>
      </c>
      <c r="G67" s="15" t="str">
        <f>IFERROR(VLOOKUP(D67,[5]成飞半成品!$A:$B,2,0),VLOOKUP(D67,[5]九院成本!$A$4:$B$48,2,0))</f>
        <v>工装</v>
      </c>
      <c r="J67" s="18" t="e">
        <v>#N/A</v>
      </c>
      <c r="K67" s="3">
        <v>2</v>
      </c>
      <c r="L67" s="3">
        <v>2</v>
      </c>
      <c r="M67" s="19">
        <v>8</v>
      </c>
      <c r="N67" s="19">
        <v>8</v>
      </c>
      <c r="O67" s="5" t="s">
        <v>206</v>
      </c>
      <c r="P67" s="4"/>
      <c r="Q67" s="18">
        <v>600</v>
      </c>
      <c r="R67" s="3"/>
      <c r="S67" s="6"/>
      <c r="T67" s="22"/>
      <c r="V67" s="23">
        <v>20</v>
      </c>
      <c r="W67" s="24" t="s">
        <v>7</v>
      </c>
      <c r="X67" s="7" t="s">
        <v>219</v>
      </c>
    </row>
    <row r="68" spans="1:25" ht="23.1" customHeight="1" x14ac:dyDescent="0.25">
      <c r="A68" s="1" t="s">
        <v>65</v>
      </c>
      <c r="D68" s="3" t="s">
        <v>1162</v>
      </c>
      <c r="E68" s="15" t="s">
        <v>220</v>
      </c>
      <c r="F68" s="15" t="e">
        <v>#N/A</v>
      </c>
      <c r="G68" s="15" t="str">
        <f>IFERROR(VLOOKUP(D68,[5]成飞半成品!$A:$B,2,0),VLOOKUP(D68,[5]九院成本!$A$4:$B$48,2,0))</f>
        <v>工装</v>
      </c>
      <c r="J68" s="18" t="e">
        <v>#N/A</v>
      </c>
      <c r="K68" s="3">
        <v>2</v>
      </c>
      <c r="L68" s="3">
        <v>2</v>
      </c>
      <c r="M68" s="19">
        <v>8</v>
      </c>
      <c r="N68" s="19">
        <v>8</v>
      </c>
      <c r="O68" s="5" t="s">
        <v>206</v>
      </c>
      <c r="P68" s="4"/>
      <c r="Q68" s="18">
        <v>840</v>
      </c>
      <c r="R68" s="3"/>
      <c r="S68" s="6"/>
      <c r="T68" s="22"/>
      <c r="V68" s="23">
        <v>28</v>
      </c>
      <c r="W68" s="24" t="s">
        <v>7</v>
      </c>
      <c r="X68" s="7" t="s">
        <v>221</v>
      </c>
    </row>
    <row r="69" spans="1:25" ht="23.1" customHeight="1" x14ac:dyDescent="0.25">
      <c r="A69" s="1" t="s">
        <v>65</v>
      </c>
      <c r="D69" s="3" t="s">
        <v>1162</v>
      </c>
      <c r="E69" s="15" t="s">
        <v>222</v>
      </c>
      <c r="F69" s="15" t="e">
        <v>#N/A</v>
      </c>
      <c r="G69" s="15" t="str">
        <f>IFERROR(VLOOKUP(D69,[5]成飞半成品!$A:$B,2,0),VLOOKUP(D69,[5]九院成本!$A$4:$B$48,2,0))</f>
        <v>工装</v>
      </c>
      <c r="J69" s="18" t="e">
        <v>#N/A</v>
      </c>
      <c r="K69" s="3">
        <v>3</v>
      </c>
      <c r="L69" s="3">
        <v>3</v>
      </c>
      <c r="M69" s="19">
        <v>8</v>
      </c>
      <c r="N69" s="19">
        <v>8</v>
      </c>
      <c r="O69" s="5" t="s">
        <v>206</v>
      </c>
      <c r="P69" s="4"/>
      <c r="Q69" s="18">
        <v>600</v>
      </c>
      <c r="R69" s="3"/>
      <c r="S69" s="6"/>
      <c r="T69" s="22"/>
      <c r="V69" s="23">
        <v>30</v>
      </c>
      <c r="W69" s="24" t="s">
        <v>7</v>
      </c>
      <c r="X69" s="7" t="s">
        <v>221</v>
      </c>
    </row>
    <row r="70" spans="1:25" ht="23.1" customHeight="1" x14ac:dyDescent="0.25">
      <c r="A70" s="1" t="s">
        <v>71</v>
      </c>
      <c r="D70" s="3" t="s">
        <v>1162</v>
      </c>
      <c r="E70" s="15" t="s">
        <v>211</v>
      </c>
      <c r="F70" s="15" t="e">
        <v>#N/A</v>
      </c>
      <c r="G70" s="15" t="str">
        <f>IFERROR(VLOOKUP(D70,[5]成飞半成品!$A:$B,2,0),VLOOKUP(D70,[5]九院成本!$A$4:$B$48,2,0))</f>
        <v>工装</v>
      </c>
      <c r="J70" s="18" t="e">
        <v>#N/A</v>
      </c>
      <c r="K70" s="3">
        <v>2</v>
      </c>
      <c r="L70" s="3">
        <v>2</v>
      </c>
      <c r="M70" s="19">
        <v>8</v>
      </c>
      <c r="N70" s="19">
        <v>8</v>
      </c>
      <c r="O70" s="5" t="s">
        <v>206</v>
      </c>
      <c r="P70" s="4"/>
      <c r="Q70" s="18">
        <v>600</v>
      </c>
      <c r="R70" s="3"/>
      <c r="S70" s="6"/>
      <c r="T70" s="22"/>
      <c r="V70" s="23">
        <v>20</v>
      </c>
      <c r="W70" s="24" t="s">
        <v>7</v>
      </c>
      <c r="X70" s="7" t="s">
        <v>223</v>
      </c>
    </row>
    <row r="71" spans="1:25" ht="23.1" customHeight="1" x14ac:dyDescent="0.25">
      <c r="A71" s="1" t="s">
        <v>71</v>
      </c>
      <c r="D71" s="3" t="s">
        <v>1162</v>
      </c>
      <c r="E71" s="15" t="s">
        <v>224</v>
      </c>
      <c r="F71" s="15" t="e">
        <v>#N/A</v>
      </c>
      <c r="G71" s="15" t="str">
        <f>IFERROR(VLOOKUP(D71,[5]成飞半成品!$A:$B,2,0),VLOOKUP(D71,[5]九院成本!$A$4:$B$48,2,0))</f>
        <v>工装</v>
      </c>
      <c r="J71" s="18" t="e">
        <v>#N/A</v>
      </c>
      <c r="K71" s="3">
        <v>2</v>
      </c>
      <c r="L71" s="3">
        <v>2</v>
      </c>
      <c r="M71" s="19">
        <v>8</v>
      </c>
      <c r="N71" s="19">
        <v>8</v>
      </c>
      <c r="O71" s="5" t="s">
        <v>206</v>
      </c>
      <c r="P71" s="4"/>
      <c r="Q71" s="18">
        <v>720</v>
      </c>
      <c r="R71" s="3"/>
      <c r="S71" s="6"/>
      <c r="T71" s="22"/>
      <c r="V71" s="23">
        <v>24</v>
      </c>
      <c r="W71" s="24" t="s">
        <v>7</v>
      </c>
      <c r="X71" s="7" t="s">
        <v>225</v>
      </c>
    </row>
    <row r="72" spans="1:25" ht="23.1" customHeight="1" x14ac:dyDescent="0.25">
      <c r="A72" s="1" t="s">
        <v>82</v>
      </c>
      <c r="D72" s="3" t="s">
        <v>1162</v>
      </c>
      <c r="E72" s="15" t="s">
        <v>226</v>
      </c>
      <c r="F72" s="15" t="e">
        <v>#N/A</v>
      </c>
      <c r="G72" s="15" t="str">
        <f>IFERROR(VLOOKUP(D72,[5]成飞半成品!$A:$B,2,0),VLOOKUP(D72,[5]九院成本!$A$4:$B$48,2,0))</f>
        <v>工装</v>
      </c>
      <c r="J72" s="18" t="e">
        <v>#N/A</v>
      </c>
      <c r="K72" s="3">
        <v>3</v>
      </c>
      <c r="L72" s="3">
        <v>3</v>
      </c>
      <c r="M72" s="19">
        <v>8</v>
      </c>
      <c r="N72" s="19">
        <v>8</v>
      </c>
      <c r="O72" s="5" t="s">
        <v>206</v>
      </c>
      <c r="P72" s="4"/>
      <c r="Q72" s="18">
        <v>600</v>
      </c>
      <c r="R72" s="3"/>
      <c r="S72" s="6"/>
      <c r="T72" s="22"/>
      <c r="V72" s="23">
        <v>30</v>
      </c>
      <c r="W72" s="24" t="s">
        <v>7</v>
      </c>
      <c r="X72" s="7" t="s">
        <v>227</v>
      </c>
    </row>
    <row r="73" spans="1:25" ht="23.1" customHeight="1" x14ac:dyDescent="0.25">
      <c r="A73" s="1" t="s">
        <v>121</v>
      </c>
      <c r="D73" s="3" t="s">
        <v>127</v>
      </c>
      <c r="E73" s="15" t="s">
        <v>229</v>
      </c>
      <c r="F73" s="15" t="s">
        <v>229</v>
      </c>
      <c r="G73" s="15" t="str">
        <f>IFERROR(VLOOKUP(D73,[5]成飞半成品!$A:$B,2,0),VLOOKUP(D73,[5]九院成本!$A$4:$B$48,2,0))</f>
        <v>1N-2020-10-025</v>
      </c>
      <c r="H73" s="3" t="s">
        <v>80</v>
      </c>
      <c r="I73" s="3">
        <v>5</v>
      </c>
      <c r="J73" s="18" t="e">
        <v>#N/A</v>
      </c>
      <c r="K73" s="3">
        <v>1</v>
      </c>
      <c r="L73" s="3">
        <v>1</v>
      </c>
      <c r="M73" s="19">
        <v>8</v>
      </c>
      <c r="N73" s="19">
        <v>8</v>
      </c>
      <c r="O73" s="5" t="s">
        <v>127</v>
      </c>
      <c r="P73" s="4"/>
      <c r="Q73" s="18">
        <v>1750</v>
      </c>
      <c r="R73" s="3"/>
      <c r="S73" s="6"/>
      <c r="T73" s="22"/>
      <c r="V73" s="23">
        <v>29.2</v>
      </c>
      <c r="W73" s="24" t="s">
        <v>2</v>
      </c>
    </row>
    <row r="74" spans="1:25" ht="23.1" customHeight="1" x14ac:dyDescent="0.25">
      <c r="A74" s="1" t="s">
        <v>121</v>
      </c>
      <c r="D74" s="3" t="s">
        <v>127</v>
      </c>
      <c r="E74" s="15" t="s">
        <v>229</v>
      </c>
      <c r="F74" s="15" t="s">
        <v>1090</v>
      </c>
      <c r="G74" s="15" t="str">
        <f>IFERROR(VLOOKUP(D74,[5]成飞半成品!$A:$B,2,0),VLOOKUP(D74,[5]九院成本!$A$4:$B$48,2,0))</f>
        <v>1N-2020-10-025</v>
      </c>
      <c r="H74" s="3" t="s">
        <v>80</v>
      </c>
      <c r="I74" s="3">
        <v>10</v>
      </c>
      <c r="J74" s="18" t="e">
        <v>#N/A</v>
      </c>
      <c r="K74" s="3">
        <v>1</v>
      </c>
      <c r="L74" s="3">
        <v>1</v>
      </c>
      <c r="M74" s="19">
        <v>8</v>
      </c>
      <c r="N74" s="19">
        <v>8</v>
      </c>
      <c r="O74" s="5" t="s">
        <v>127</v>
      </c>
      <c r="P74" s="4"/>
      <c r="Q74" s="18">
        <v>700</v>
      </c>
      <c r="R74" s="3"/>
      <c r="S74" s="6"/>
      <c r="T74" s="22"/>
      <c r="V74" s="23">
        <v>11.7</v>
      </c>
      <c r="W74" s="24" t="s">
        <v>2</v>
      </c>
    </row>
    <row r="75" spans="1:25" ht="23.1" customHeight="1" x14ac:dyDescent="0.25">
      <c r="A75" s="1" t="s">
        <v>121</v>
      </c>
      <c r="D75" s="3" t="s">
        <v>192</v>
      </c>
      <c r="E75" s="15" t="s">
        <v>232</v>
      </c>
      <c r="F75" s="15" t="s">
        <v>232</v>
      </c>
      <c r="G75" s="15" t="str">
        <f>IFERROR(VLOOKUP(D75,[5]成飞半成品!$A:$B,2,0),VLOOKUP(D75,[5]九院成本!$A$4:$B$48,2,0))</f>
        <v>1N-2020-09-040</v>
      </c>
      <c r="H75" s="3" t="s">
        <v>80</v>
      </c>
      <c r="I75" s="3">
        <v>25</v>
      </c>
      <c r="J75" s="18" t="e">
        <v>#N/A</v>
      </c>
      <c r="K75" s="3">
        <v>660</v>
      </c>
      <c r="L75" s="3">
        <v>666</v>
      </c>
      <c r="M75" s="19">
        <v>8</v>
      </c>
      <c r="N75" s="19">
        <v>8</v>
      </c>
      <c r="O75" s="5" t="s">
        <v>192</v>
      </c>
      <c r="P75" s="4"/>
      <c r="Q75" s="18">
        <v>5</v>
      </c>
      <c r="R75" s="3"/>
      <c r="S75" s="6"/>
      <c r="T75" s="22"/>
      <c r="V75" s="23">
        <v>55.5</v>
      </c>
      <c r="W75" s="24" t="s">
        <v>2</v>
      </c>
    </row>
    <row r="76" spans="1:25" ht="23.1" customHeight="1" x14ac:dyDescent="0.25">
      <c r="A76" s="1" t="s">
        <v>48</v>
      </c>
      <c r="D76" s="3" t="s">
        <v>1162</v>
      </c>
      <c r="E76" s="15" t="s">
        <v>233</v>
      </c>
      <c r="F76" s="15" t="e">
        <v>#N/A</v>
      </c>
      <c r="G76" s="15" t="str">
        <f>IFERROR(VLOOKUP(D76,[5]成飞半成品!$A:$B,2,0),VLOOKUP(D76,[5]九院成本!$A$4:$B$48,2,0))</f>
        <v>工装</v>
      </c>
      <c r="J76" s="18" t="e">
        <v>#N/A</v>
      </c>
      <c r="K76" s="3">
        <v>1</v>
      </c>
      <c r="L76" s="3">
        <v>1</v>
      </c>
      <c r="M76" s="19">
        <v>8</v>
      </c>
      <c r="N76" s="19">
        <v>8</v>
      </c>
      <c r="P76" s="4"/>
      <c r="Q76" s="18">
        <v>0</v>
      </c>
      <c r="R76" s="3"/>
      <c r="S76" s="6"/>
      <c r="T76" s="22"/>
      <c r="U76" s="7">
        <v>8</v>
      </c>
      <c r="V76" s="23">
        <v>8</v>
      </c>
      <c r="W76" s="24" t="s">
        <v>2</v>
      </c>
      <c r="X76" s="7" t="s">
        <v>234</v>
      </c>
      <c r="Y76" s="7" t="s">
        <v>235</v>
      </c>
    </row>
    <row r="77" spans="1:25" ht="23.1" customHeight="1" x14ac:dyDescent="0.25">
      <c r="A77" s="1" t="s">
        <v>53</v>
      </c>
      <c r="D77" s="3" t="s">
        <v>192</v>
      </c>
      <c r="E77" s="15" t="s">
        <v>237</v>
      </c>
      <c r="F77" s="15" t="e">
        <v>#N/A</v>
      </c>
      <c r="G77" s="15" t="str">
        <f>IFERROR(VLOOKUP(D77,[5]成飞半成品!$A:$B,2,0),VLOOKUP(D77,[5]九院成本!$A$4:$B$48,2,0))</f>
        <v>1N-2020-09-040</v>
      </c>
      <c r="H77" s="3" t="s">
        <v>80</v>
      </c>
      <c r="I77" s="3">
        <v>25</v>
      </c>
      <c r="J77" s="18" t="e">
        <v>#N/A</v>
      </c>
      <c r="K77" s="3">
        <v>660</v>
      </c>
      <c r="L77" s="3">
        <v>521</v>
      </c>
      <c r="M77" s="19">
        <v>8</v>
      </c>
      <c r="N77" s="19">
        <v>8</v>
      </c>
      <c r="O77" s="5" t="s">
        <v>192</v>
      </c>
      <c r="P77" s="4"/>
      <c r="Q77" s="18">
        <v>4</v>
      </c>
      <c r="R77" s="3"/>
      <c r="S77" s="6"/>
      <c r="T77" s="22"/>
      <c r="V77" s="23">
        <v>34.700000000000003</v>
      </c>
      <c r="W77" s="24" t="s">
        <v>2</v>
      </c>
    </row>
    <row r="78" spans="1:25" ht="23.1" customHeight="1" x14ac:dyDescent="0.25">
      <c r="A78" s="1" t="s">
        <v>65</v>
      </c>
      <c r="D78" s="3" t="s">
        <v>238</v>
      </c>
      <c r="E78" s="15" t="s">
        <v>239</v>
      </c>
      <c r="F78" s="15" t="s">
        <v>239</v>
      </c>
      <c r="G78" s="15" t="str">
        <f>IFERROR(VLOOKUP(D78,[5]成飞半成品!$A:$B,2,0),VLOOKUP(D78,[5]九院成本!$A$4:$B$48,2,0))</f>
        <v>激励器转接件</v>
      </c>
      <c r="H78" s="3" t="s">
        <v>147</v>
      </c>
      <c r="I78" s="3">
        <v>65</v>
      </c>
      <c r="J78" s="18" t="s">
        <v>1091</v>
      </c>
      <c r="K78" s="3">
        <v>12</v>
      </c>
      <c r="L78" s="3">
        <v>12</v>
      </c>
      <c r="M78" s="19">
        <v>8</v>
      </c>
      <c r="N78" s="19">
        <v>8</v>
      </c>
      <c r="O78" s="5" t="s">
        <v>189</v>
      </c>
      <c r="P78" s="4"/>
      <c r="Q78" s="18">
        <v>60</v>
      </c>
      <c r="R78" s="3"/>
      <c r="S78" s="6"/>
      <c r="T78" s="22"/>
      <c r="V78" s="23">
        <v>12</v>
      </c>
      <c r="W78" s="24" t="s">
        <v>2</v>
      </c>
    </row>
    <row r="79" spans="1:25" ht="23.1" customHeight="1" x14ac:dyDescent="0.25">
      <c r="A79" s="1" t="s">
        <v>74</v>
      </c>
      <c r="D79" s="3" t="s">
        <v>127</v>
      </c>
      <c r="E79" s="15" t="s">
        <v>229</v>
      </c>
      <c r="F79" s="15" t="s">
        <v>1087</v>
      </c>
      <c r="G79" s="15" t="str">
        <f>IFERROR(VLOOKUP(D79,[5]成飞半成品!$A:$B,2,0),VLOOKUP(D79,[5]九院成本!$A$4:$B$48,2,0))</f>
        <v>1N-2020-10-025</v>
      </c>
      <c r="H79" s="3" t="s">
        <v>80</v>
      </c>
      <c r="I79" s="3">
        <v>10</v>
      </c>
      <c r="J79" s="18" t="e">
        <v>#N/A</v>
      </c>
      <c r="K79" s="3">
        <v>2</v>
      </c>
      <c r="L79" s="3">
        <v>2</v>
      </c>
      <c r="M79" s="19">
        <v>8</v>
      </c>
      <c r="N79" s="19">
        <v>8</v>
      </c>
      <c r="O79" s="5" t="s">
        <v>127</v>
      </c>
      <c r="P79" s="4"/>
      <c r="Q79" s="18">
        <v>960</v>
      </c>
      <c r="R79" s="3"/>
      <c r="S79" s="6"/>
      <c r="T79" s="22"/>
      <c r="V79" s="23">
        <v>32</v>
      </c>
      <c r="W79" s="24" t="s">
        <v>2</v>
      </c>
      <c r="X79" s="7">
        <v>238</v>
      </c>
    </row>
    <row r="80" spans="1:25" ht="23.1" customHeight="1" x14ac:dyDescent="0.25">
      <c r="A80" s="1" t="s">
        <v>74</v>
      </c>
      <c r="D80" s="3" t="s">
        <v>127</v>
      </c>
      <c r="E80" s="15" t="s">
        <v>241</v>
      </c>
      <c r="F80" s="15" t="s">
        <v>241</v>
      </c>
      <c r="G80" s="15" t="str">
        <f>IFERROR(VLOOKUP(D80,[5]成飞半成品!$A:$B,2,0),VLOOKUP(D80,[5]九院成本!$A$4:$B$48,2,0))</f>
        <v>1N-2020-10-025</v>
      </c>
      <c r="H80" s="3" t="s">
        <v>80</v>
      </c>
      <c r="I80" s="3">
        <v>5</v>
      </c>
      <c r="J80" s="18" t="e">
        <v>#N/A</v>
      </c>
      <c r="K80" s="3">
        <v>2</v>
      </c>
      <c r="L80" s="3">
        <v>2</v>
      </c>
      <c r="M80" s="19">
        <v>8</v>
      </c>
      <c r="N80" s="19">
        <v>8</v>
      </c>
      <c r="O80" s="5" t="s">
        <v>127</v>
      </c>
      <c r="P80" s="4"/>
      <c r="Q80" s="18">
        <v>2400</v>
      </c>
      <c r="R80" s="3"/>
      <c r="S80" s="6"/>
      <c r="T80" s="22"/>
      <c r="V80" s="23">
        <v>80</v>
      </c>
      <c r="W80" s="24" t="s">
        <v>2</v>
      </c>
      <c r="X80" s="7">
        <v>238</v>
      </c>
    </row>
    <row r="81" spans="1:25" ht="23.1" customHeight="1" x14ac:dyDescent="0.25">
      <c r="A81" s="1" t="s">
        <v>89</v>
      </c>
      <c r="D81" s="3" t="s">
        <v>127</v>
      </c>
      <c r="E81" s="15" t="s">
        <v>243</v>
      </c>
      <c r="F81" s="15" t="s">
        <v>1092</v>
      </c>
      <c r="G81" s="15" t="str">
        <f>IFERROR(VLOOKUP(D81,[5]成飞半成品!$A:$B,2,0),VLOOKUP(D81,[5]九院成本!$A$4:$B$48,2,0))</f>
        <v>1N-2020-10-025</v>
      </c>
      <c r="H81" s="3" t="s">
        <v>80</v>
      </c>
      <c r="I81" s="3">
        <v>10</v>
      </c>
      <c r="J81" s="18" t="e">
        <v>#N/A</v>
      </c>
      <c r="K81" s="3">
        <v>2</v>
      </c>
      <c r="L81" s="3">
        <v>1</v>
      </c>
      <c r="M81" s="19">
        <v>8</v>
      </c>
      <c r="N81" s="19">
        <v>8</v>
      </c>
      <c r="O81" s="5" t="s">
        <v>127</v>
      </c>
      <c r="P81" s="4"/>
      <c r="Q81" s="18">
        <v>1450</v>
      </c>
      <c r="R81" s="3"/>
      <c r="S81" s="6"/>
      <c r="T81" s="22"/>
      <c r="V81" s="23">
        <v>24.2</v>
      </c>
      <c r="W81" s="24" t="s">
        <v>2</v>
      </c>
    </row>
    <row r="82" spans="1:25" ht="23.1" customHeight="1" x14ac:dyDescent="0.25">
      <c r="A82" s="1" t="s">
        <v>89</v>
      </c>
      <c r="D82" s="3" t="s">
        <v>127</v>
      </c>
      <c r="E82" s="15" t="s">
        <v>243</v>
      </c>
      <c r="F82" s="15" t="s">
        <v>281</v>
      </c>
      <c r="G82" s="15" t="str">
        <f>IFERROR(VLOOKUP(D82,[5]成飞半成品!$A:$B,2,0),VLOOKUP(D82,[5]九院成本!$A$4:$B$48,2,0))</f>
        <v>1N-2020-10-025</v>
      </c>
      <c r="H82" s="3" t="s">
        <v>80</v>
      </c>
      <c r="I82" s="3">
        <v>5</v>
      </c>
      <c r="J82" s="18" t="e">
        <v>#N/A</v>
      </c>
      <c r="K82" s="3">
        <v>2</v>
      </c>
      <c r="L82" s="3">
        <v>1</v>
      </c>
      <c r="M82" s="19">
        <v>8</v>
      </c>
      <c r="N82" s="19">
        <v>8</v>
      </c>
      <c r="O82" s="5" t="s">
        <v>127</v>
      </c>
      <c r="P82" s="4"/>
      <c r="Q82" s="18">
        <v>580</v>
      </c>
      <c r="R82" s="3"/>
      <c r="S82" s="6"/>
      <c r="T82" s="22"/>
      <c r="V82" s="23">
        <v>9.6999999999999993</v>
      </c>
      <c r="W82" s="24" t="s">
        <v>2</v>
      </c>
    </row>
    <row r="83" spans="1:25" ht="23.1" customHeight="1" x14ac:dyDescent="0.25">
      <c r="A83" s="1" t="s">
        <v>89</v>
      </c>
      <c r="D83" s="3" t="s">
        <v>245</v>
      </c>
      <c r="E83" s="15" t="s">
        <v>246</v>
      </c>
      <c r="F83" s="15" t="s">
        <v>246</v>
      </c>
      <c r="G83" s="15" t="str">
        <f>IFERROR(VLOOKUP(D83,[5]成飞半成品!$A:$B,2,0),VLOOKUP(D83,[5]九院成本!$A$4:$B$48,2,0))</f>
        <v>环</v>
      </c>
      <c r="H83" s="3" t="s">
        <v>46</v>
      </c>
      <c r="I83" s="3">
        <v>5</v>
      </c>
      <c r="J83" s="18" t="s">
        <v>1093</v>
      </c>
      <c r="K83" s="3">
        <v>82</v>
      </c>
      <c r="L83" s="3">
        <v>124</v>
      </c>
      <c r="M83" s="19">
        <v>8</v>
      </c>
      <c r="N83" s="19">
        <v>8</v>
      </c>
      <c r="P83" s="4"/>
      <c r="Q83" s="18">
        <v>5</v>
      </c>
      <c r="R83" s="3"/>
      <c r="S83" s="6"/>
      <c r="T83" s="22"/>
      <c r="V83" s="23">
        <v>10.3</v>
      </c>
      <c r="W83" s="24" t="s">
        <v>2</v>
      </c>
      <c r="X83" s="7" t="s">
        <v>247</v>
      </c>
    </row>
    <row r="84" spans="1:25" ht="23.1" customHeight="1" x14ac:dyDescent="0.25">
      <c r="A84" s="1" t="s">
        <v>89</v>
      </c>
      <c r="D84" s="3" t="s">
        <v>248</v>
      </c>
      <c r="E84" s="15" t="s">
        <v>249</v>
      </c>
      <c r="F84" s="15" t="s">
        <v>249</v>
      </c>
      <c r="G84" s="15" t="str">
        <f>IFERROR(VLOOKUP(D84,[5]成飞半成品!$A:$B,2,0),VLOOKUP(D84,[5]九院成本!$A$4:$B$48,2,0))</f>
        <v>对穿螺栓</v>
      </c>
      <c r="H84" s="3" t="s">
        <v>46</v>
      </c>
      <c r="I84" s="3">
        <v>40</v>
      </c>
      <c r="J84" s="18" t="s">
        <v>1094</v>
      </c>
      <c r="K84" s="3">
        <v>4</v>
      </c>
      <c r="L84" s="3">
        <v>4</v>
      </c>
      <c r="M84" s="19">
        <v>8</v>
      </c>
      <c r="N84" s="19">
        <v>8</v>
      </c>
      <c r="O84" s="5" t="s">
        <v>250</v>
      </c>
      <c r="P84" s="4"/>
      <c r="Q84" s="18">
        <v>25</v>
      </c>
      <c r="R84" s="3"/>
      <c r="S84" s="6"/>
      <c r="T84" s="22"/>
      <c r="V84" s="23">
        <v>1.7</v>
      </c>
      <c r="W84" s="24" t="s">
        <v>2</v>
      </c>
    </row>
    <row r="85" spans="1:25" ht="23.1" customHeight="1" x14ac:dyDescent="0.25">
      <c r="A85" s="1" t="s">
        <v>89</v>
      </c>
      <c r="D85" s="3" t="s">
        <v>251</v>
      </c>
      <c r="E85" s="15" t="s">
        <v>252</v>
      </c>
      <c r="F85" s="15" t="s">
        <v>252</v>
      </c>
      <c r="G85" s="15" t="str">
        <f>IFERROR(VLOOKUP(D85,[5]成飞半成品!$A:$B,2,0),VLOOKUP(D85,[5]九院成本!$A$4:$B$48,2,0))</f>
        <v>卡箍扣</v>
      </c>
      <c r="H85" s="3" t="s">
        <v>46</v>
      </c>
      <c r="I85" s="3">
        <v>45</v>
      </c>
      <c r="J85" s="18" t="s">
        <v>1073</v>
      </c>
      <c r="K85" s="3">
        <v>40</v>
      </c>
      <c r="L85" s="3">
        <v>43</v>
      </c>
      <c r="M85" s="19">
        <v>8</v>
      </c>
      <c r="N85" s="19">
        <v>8</v>
      </c>
      <c r="O85" s="5" t="s">
        <v>85</v>
      </c>
      <c r="P85" s="4"/>
      <c r="Q85" s="18" t="s">
        <v>1095</v>
      </c>
      <c r="R85" s="3"/>
      <c r="S85" s="6"/>
      <c r="T85" s="22"/>
      <c r="V85" s="23">
        <v>43</v>
      </c>
      <c r="W85" s="24" t="s">
        <v>2</v>
      </c>
    </row>
    <row r="86" spans="1:25" ht="23.1" customHeight="1" x14ac:dyDescent="0.25">
      <c r="A86" s="1" t="s">
        <v>100</v>
      </c>
      <c r="D86" s="3" t="s">
        <v>1196</v>
      </c>
      <c r="E86" s="15" t="s">
        <v>254</v>
      </c>
      <c r="F86" s="15" t="e">
        <v>#N/A</v>
      </c>
      <c r="G86" s="15" t="str">
        <f>IFERROR(VLOOKUP(D86,[5]成飞半成品!$A:$B,2,0),VLOOKUP(D86,[5]九院成本!$A$4:$B$48,2,0))</f>
        <v>接头</v>
      </c>
      <c r="I86" s="3" t="s">
        <v>201</v>
      </c>
      <c r="J86" s="18" t="e">
        <v>#N/A</v>
      </c>
      <c r="L86" s="3">
        <v>23</v>
      </c>
      <c r="M86" s="19">
        <v>8</v>
      </c>
      <c r="N86" s="19">
        <v>8</v>
      </c>
      <c r="O86" s="5" t="s">
        <v>189</v>
      </c>
      <c r="P86" s="4"/>
      <c r="Q86" s="18">
        <v>70</v>
      </c>
      <c r="R86" s="3"/>
      <c r="S86" s="6"/>
      <c r="T86" s="22"/>
      <c r="V86" s="23">
        <v>26.8</v>
      </c>
      <c r="W86" s="24" t="s">
        <v>2</v>
      </c>
      <c r="X86" s="7" t="s">
        <v>255</v>
      </c>
      <c r="Y86" s="7" t="s">
        <v>235</v>
      </c>
    </row>
    <row r="87" spans="1:25" ht="23.1" customHeight="1" x14ac:dyDescent="0.25">
      <c r="A87" s="1" t="s">
        <v>100</v>
      </c>
      <c r="D87" s="3" t="s">
        <v>256</v>
      </c>
      <c r="E87" s="15" t="s">
        <v>55</v>
      </c>
      <c r="F87" s="15" t="s">
        <v>55</v>
      </c>
      <c r="G87" s="15" t="str">
        <f>IFERROR(VLOOKUP(D87,[5]成飞半成品!$A:$B,2,0),VLOOKUP(D87,[5]九院成本!$A$4:$B$48,2,0))</f>
        <v>接头</v>
      </c>
      <c r="H87" s="3" t="s">
        <v>80</v>
      </c>
      <c r="I87" s="3" t="s">
        <v>201</v>
      </c>
      <c r="J87" s="18" t="e">
        <v>#N/A</v>
      </c>
      <c r="L87" s="3">
        <v>8</v>
      </c>
      <c r="M87" s="19">
        <v>8</v>
      </c>
      <c r="N87" s="19">
        <v>8</v>
      </c>
      <c r="O87" s="5" t="s">
        <v>81</v>
      </c>
      <c r="P87" s="4"/>
      <c r="Q87" s="18">
        <v>15</v>
      </c>
      <c r="R87" s="3"/>
      <c r="S87" s="6"/>
      <c r="T87" s="22"/>
      <c r="V87" s="23">
        <v>2</v>
      </c>
      <c r="W87" s="24" t="s">
        <v>2</v>
      </c>
      <c r="X87" s="7" t="s">
        <v>257</v>
      </c>
      <c r="Y87" s="7" t="s">
        <v>203</v>
      </c>
    </row>
    <row r="88" spans="1:25" ht="23.1" customHeight="1" x14ac:dyDescent="0.25">
      <c r="A88" s="1" t="s">
        <v>48</v>
      </c>
      <c r="D88" s="3" t="str">
        <f>O88</f>
        <v>2020-07-N-67</v>
      </c>
      <c r="E88" s="15" t="s">
        <v>136</v>
      </c>
      <c r="F88" s="15" t="s">
        <v>1084</v>
      </c>
      <c r="G88" s="15" t="str">
        <f>IFERROR(VLOOKUP(D88,[5]成飞半成品!$A:$B,2,0),VLOOKUP(D88,[5]九院成本!$A$4:$B$48,2,0))</f>
        <v>1N-2020-06-067</v>
      </c>
      <c r="H88" s="3" t="s">
        <v>80</v>
      </c>
      <c r="I88" s="3">
        <v>40</v>
      </c>
      <c r="J88" s="18" t="e">
        <v>#N/A</v>
      </c>
      <c r="K88" s="3">
        <v>2299</v>
      </c>
      <c r="L88" s="3">
        <v>1200</v>
      </c>
      <c r="M88" s="19">
        <v>8</v>
      </c>
      <c r="N88" s="19">
        <v>8</v>
      </c>
      <c r="O88" s="5" t="s">
        <v>1169</v>
      </c>
      <c r="P88" s="4"/>
      <c r="Q88" s="18">
        <v>3</v>
      </c>
      <c r="R88" s="3"/>
      <c r="S88" s="6"/>
      <c r="T88" s="22"/>
      <c r="V88" s="23">
        <v>60</v>
      </c>
      <c r="W88" s="24" t="s">
        <v>10</v>
      </c>
    </row>
    <row r="89" spans="1:25" ht="23.1" customHeight="1" x14ac:dyDescent="0.25">
      <c r="A89" s="1" t="s">
        <v>58</v>
      </c>
      <c r="D89" s="3" t="s">
        <v>258</v>
      </c>
      <c r="E89" s="15" t="s">
        <v>259</v>
      </c>
      <c r="F89" s="15" t="s">
        <v>259</v>
      </c>
      <c r="G89" s="15" t="str">
        <f>IFERROR(VLOOKUP(D89,[5]成飞半成品!$A:$B,2,0),VLOOKUP(D89,[5]九院成本!$A$4:$B$48,2,0))</f>
        <v>4#下垫片</v>
      </c>
      <c r="H89" s="3" t="s">
        <v>46</v>
      </c>
      <c r="I89" s="3">
        <v>20</v>
      </c>
      <c r="J89" s="18" t="s">
        <v>1096</v>
      </c>
      <c r="K89" s="3">
        <v>20</v>
      </c>
      <c r="L89" s="3">
        <v>20</v>
      </c>
      <c r="M89" s="19">
        <v>8</v>
      </c>
      <c r="N89" s="19">
        <v>8</v>
      </c>
      <c r="O89" s="5" t="s">
        <v>260</v>
      </c>
      <c r="P89" s="4"/>
      <c r="Q89" s="18">
        <v>20</v>
      </c>
      <c r="R89" s="3"/>
      <c r="S89" s="6"/>
      <c r="T89" s="22"/>
      <c r="V89" s="23">
        <v>6.7</v>
      </c>
      <c r="W89" s="24" t="s">
        <v>10</v>
      </c>
    </row>
    <row r="90" spans="1:25" ht="23.1" customHeight="1" x14ac:dyDescent="0.25">
      <c r="A90" s="1" t="s">
        <v>58</v>
      </c>
      <c r="D90" s="3" t="s">
        <v>258</v>
      </c>
      <c r="E90" s="15" t="s">
        <v>259</v>
      </c>
      <c r="F90" s="15" t="s">
        <v>259</v>
      </c>
      <c r="G90" s="15" t="str">
        <f>IFERROR(VLOOKUP(D90,[5]成飞半成品!$A:$B,2,0),VLOOKUP(D90,[5]九院成本!$A$4:$B$48,2,0))</f>
        <v>4#下垫片</v>
      </c>
      <c r="H90" s="3" t="s">
        <v>46</v>
      </c>
      <c r="I90" s="3">
        <v>20</v>
      </c>
      <c r="J90" s="18" t="s">
        <v>1096</v>
      </c>
      <c r="K90" s="3">
        <v>20</v>
      </c>
      <c r="L90" s="3">
        <v>20</v>
      </c>
      <c r="M90" s="19">
        <v>8</v>
      </c>
      <c r="N90" s="19">
        <v>8</v>
      </c>
      <c r="O90" s="5" t="s">
        <v>261</v>
      </c>
      <c r="P90" s="4"/>
      <c r="Q90" s="18">
        <v>20</v>
      </c>
      <c r="R90" s="3"/>
      <c r="S90" s="6"/>
      <c r="T90" s="22"/>
      <c r="V90" s="23">
        <v>6.7</v>
      </c>
      <c r="W90" s="24" t="s">
        <v>10</v>
      </c>
    </row>
    <row r="91" spans="1:25" ht="23.1" customHeight="1" x14ac:dyDescent="0.25">
      <c r="A91" s="1" t="s">
        <v>58</v>
      </c>
      <c r="D91" s="3" t="s">
        <v>258</v>
      </c>
      <c r="E91" s="15" t="s">
        <v>259</v>
      </c>
      <c r="F91" s="15" t="s">
        <v>259</v>
      </c>
      <c r="G91" s="15" t="str">
        <f>IFERROR(VLOOKUP(D91,[5]成飞半成品!$A:$B,2,0),VLOOKUP(D91,[5]九院成本!$A$4:$B$48,2,0))</f>
        <v>4#下垫片</v>
      </c>
      <c r="H91" s="3" t="s">
        <v>46</v>
      </c>
      <c r="I91" s="3">
        <v>20</v>
      </c>
      <c r="J91" s="18" t="s">
        <v>1096</v>
      </c>
      <c r="K91" s="3">
        <v>20</v>
      </c>
      <c r="L91" s="3">
        <v>20</v>
      </c>
      <c r="M91" s="19">
        <v>8</v>
      </c>
      <c r="N91" s="19">
        <v>8</v>
      </c>
      <c r="O91" s="5" t="s">
        <v>262</v>
      </c>
      <c r="P91" s="4"/>
      <c r="Q91" s="18">
        <v>20</v>
      </c>
      <c r="R91" s="3"/>
      <c r="S91" s="6"/>
      <c r="T91" s="22"/>
      <c r="V91" s="23">
        <v>6.7</v>
      </c>
      <c r="W91" s="24" t="s">
        <v>10</v>
      </c>
    </row>
    <row r="92" spans="1:25" ht="23.1" customHeight="1" x14ac:dyDescent="0.25">
      <c r="A92" s="1" t="s">
        <v>58</v>
      </c>
      <c r="D92" s="3" t="s">
        <v>258</v>
      </c>
      <c r="E92" s="26" t="s">
        <v>259</v>
      </c>
      <c r="F92" s="15" t="s">
        <v>259</v>
      </c>
      <c r="G92" s="15" t="str">
        <f>IFERROR(VLOOKUP(D92,[5]成飞半成品!$A:$B,2,0),VLOOKUP(D92,[5]九院成本!$A$4:$B$48,2,0))</f>
        <v>4#下垫片</v>
      </c>
      <c r="H92" s="3" t="s">
        <v>46</v>
      </c>
      <c r="I92" s="3">
        <v>20</v>
      </c>
      <c r="J92" s="18" t="s">
        <v>1096</v>
      </c>
      <c r="K92" s="3">
        <v>20</v>
      </c>
      <c r="L92" s="3">
        <v>20</v>
      </c>
      <c r="M92" s="7"/>
      <c r="N92" s="7"/>
      <c r="O92" s="5" t="s">
        <v>263</v>
      </c>
      <c r="Q92" s="18">
        <v>20</v>
      </c>
      <c r="R92" s="3"/>
      <c r="T92" s="7"/>
      <c r="V92" s="23">
        <v>6.7</v>
      </c>
      <c r="W92" s="2" t="s">
        <v>10</v>
      </c>
    </row>
    <row r="93" spans="1:25" ht="23.1" customHeight="1" x14ac:dyDescent="0.25">
      <c r="A93" s="1" t="s">
        <v>58</v>
      </c>
      <c r="D93" s="3" t="s">
        <v>258</v>
      </c>
      <c r="E93" s="26" t="s">
        <v>259</v>
      </c>
      <c r="F93" s="15" t="s">
        <v>259</v>
      </c>
      <c r="G93" s="15" t="str">
        <f>IFERROR(VLOOKUP(D93,[5]成飞半成品!$A:$B,2,0),VLOOKUP(D93,[5]九院成本!$A$4:$B$48,2,0))</f>
        <v>4#下垫片</v>
      </c>
      <c r="H93" s="3" t="s">
        <v>46</v>
      </c>
      <c r="I93" s="3">
        <v>20</v>
      </c>
      <c r="J93" s="18" t="s">
        <v>1096</v>
      </c>
      <c r="K93" s="3">
        <v>20</v>
      </c>
      <c r="L93" s="3">
        <v>20</v>
      </c>
      <c r="M93" s="7"/>
      <c r="N93" s="7"/>
      <c r="O93" s="5" t="s">
        <v>264</v>
      </c>
      <c r="Q93" s="18">
        <v>20</v>
      </c>
      <c r="R93" s="3"/>
      <c r="T93" s="7"/>
      <c r="V93" s="23">
        <v>6.7</v>
      </c>
      <c r="W93" s="2" t="s">
        <v>10</v>
      </c>
    </row>
    <row r="94" spans="1:25" ht="23.1" customHeight="1" x14ac:dyDescent="0.25">
      <c r="A94" s="1" t="s">
        <v>65</v>
      </c>
      <c r="D94" s="3" t="s">
        <v>265</v>
      </c>
      <c r="E94" s="15" t="s">
        <v>266</v>
      </c>
      <c r="F94" s="15" t="s">
        <v>266</v>
      </c>
      <c r="G94" s="15" t="str">
        <f>IFERROR(VLOOKUP(D94,[5]成飞半成品!$A:$B,2,0),VLOOKUP(D94,[5]九院成本!$A$4:$B$48,2,0))</f>
        <v>4#上垫片</v>
      </c>
      <c r="H94" s="3" t="s">
        <v>46</v>
      </c>
      <c r="I94" s="3">
        <v>20</v>
      </c>
      <c r="J94" s="18" t="s">
        <v>1096</v>
      </c>
      <c r="K94" s="3">
        <v>20</v>
      </c>
      <c r="L94" s="3">
        <v>20</v>
      </c>
      <c r="M94" s="19">
        <v>8</v>
      </c>
      <c r="N94" s="19">
        <v>8</v>
      </c>
      <c r="O94" s="5" t="s">
        <v>263</v>
      </c>
      <c r="P94" s="4"/>
      <c r="Q94" s="18">
        <v>20</v>
      </c>
      <c r="R94" s="3"/>
      <c r="S94" s="6"/>
      <c r="T94" s="22"/>
      <c r="V94" s="23">
        <v>6.7</v>
      </c>
      <c r="W94" s="24" t="s">
        <v>10</v>
      </c>
    </row>
    <row r="95" spans="1:25" ht="23.1" customHeight="1" x14ac:dyDescent="0.25">
      <c r="A95" s="1" t="s">
        <v>65</v>
      </c>
      <c r="D95" s="3" t="s">
        <v>265</v>
      </c>
      <c r="E95" s="15" t="s">
        <v>266</v>
      </c>
      <c r="F95" s="15" t="s">
        <v>266</v>
      </c>
      <c r="G95" s="15" t="str">
        <f>IFERROR(VLOOKUP(D95,[5]成飞半成品!$A:$B,2,0),VLOOKUP(D95,[5]九院成本!$A$4:$B$48,2,0))</f>
        <v>4#上垫片</v>
      </c>
      <c r="H95" s="3" t="s">
        <v>46</v>
      </c>
      <c r="I95" s="3">
        <v>20</v>
      </c>
      <c r="J95" s="18" t="s">
        <v>1096</v>
      </c>
      <c r="K95" s="3">
        <v>20</v>
      </c>
      <c r="L95" s="3">
        <v>20</v>
      </c>
      <c r="M95" s="19">
        <v>8</v>
      </c>
      <c r="N95" s="19">
        <v>8</v>
      </c>
      <c r="O95" s="5" t="s">
        <v>262</v>
      </c>
      <c r="P95" s="4"/>
      <c r="Q95" s="18">
        <v>20</v>
      </c>
      <c r="R95" s="3"/>
      <c r="S95" s="6"/>
      <c r="T95" s="22"/>
      <c r="V95" s="23">
        <v>6.7</v>
      </c>
      <c r="W95" s="24" t="s">
        <v>10</v>
      </c>
    </row>
    <row r="96" spans="1:25" ht="23.1" customHeight="1" x14ac:dyDescent="0.25">
      <c r="A96" s="1" t="s">
        <v>65</v>
      </c>
      <c r="D96" s="3" t="s">
        <v>265</v>
      </c>
      <c r="E96" s="15" t="s">
        <v>266</v>
      </c>
      <c r="F96" s="15" t="s">
        <v>266</v>
      </c>
      <c r="G96" s="15" t="str">
        <f>IFERROR(VLOOKUP(D96,[5]成飞半成品!$A:$B,2,0),VLOOKUP(D96,[5]九院成本!$A$4:$B$48,2,0))</f>
        <v>4#上垫片</v>
      </c>
      <c r="H96" s="3" t="s">
        <v>46</v>
      </c>
      <c r="I96" s="3">
        <v>20</v>
      </c>
      <c r="J96" s="18" t="s">
        <v>1096</v>
      </c>
      <c r="K96" s="3">
        <v>20</v>
      </c>
      <c r="L96" s="3">
        <v>20</v>
      </c>
      <c r="M96" s="19">
        <v>8</v>
      </c>
      <c r="N96" s="19">
        <v>8</v>
      </c>
      <c r="O96" s="5" t="s">
        <v>261</v>
      </c>
      <c r="P96" s="4"/>
      <c r="Q96" s="18">
        <v>20</v>
      </c>
      <c r="R96" s="3"/>
      <c r="S96" s="6"/>
      <c r="T96" s="22"/>
      <c r="V96" s="23">
        <v>6.7</v>
      </c>
      <c r="W96" s="24" t="s">
        <v>10</v>
      </c>
    </row>
    <row r="97" spans="1:23" ht="23.1" customHeight="1" x14ac:dyDescent="0.25">
      <c r="A97" s="1" t="s">
        <v>65</v>
      </c>
      <c r="D97" s="3" t="s">
        <v>265</v>
      </c>
      <c r="E97" s="15" t="s">
        <v>266</v>
      </c>
      <c r="F97" s="15" t="s">
        <v>266</v>
      </c>
      <c r="G97" s="15" t="str">
        <f>IFERROR(VLOOKUP(D97,[5]成飞半成品!$A:$B,2,0),VLOOKUP(D97,[5]九院成本!$A$4:$B$48,2,0))</f>
        <v>4#上垫片</v>
      </c>
      <c r="H97" s="3" t="s">
        <v>46</v>
      </c>
      <c r="I97" s="3">
        <v>20</v>
      </c>
      <c r="J97" s="18" t="s">
        <v>1096</v>
      </c>
      <c r="K97" s="3">
        <v>20</v>
      </c>
      <c r="L97" s="3">
        <v>20</v>
      </c>
      <c r="M97" s="19">
        <v>8</v>
      </c>
      <c r="N97" s="19">
        <v>8</v>
      </c>
      <c r="O97" s="5" t="s">
        <v>260</v>
      </c>
      <c r="P97" s="4"/>
      <c r="Q97" s="18">
        <v>20</v>
      </c>
      <c r="R97" s="3"/>
      <c r="S97" s="6"/>
      <c r="T97" s="22"/>
      <c r="V97" s="23">
        <v>6.7</v>
      </c>
      <c r="W97" s="24" t="s">
        <v>10</v>
      </c>
    </row>
    <row r="98" spans="1:23" ht="23.1" customHeight="1" x14ac:dyDescent="0.25">
      <c r="A98" s="1" t="s">
        <v>65</v>
      </c>
      <c r="D98" s="3" t="s">
        <v>267</v>
      </c>
      <c r="E98" s="15" t="s">
        <v>268</v>
      </c>
      <c r="F98" s="15" t="s">
        <v>268</v>
      </c>
      <c r="G98" s="15" t="str">
        <f>IFERROR(VLOOKUP(D98,[5]成飞半成品!$A:$B,2,0),VLOOKUP(D98,[5]九院成本!$A$4:$B$48,2,0))</f>
        <v>接嘴</v>
      </c>
      <c r="H98" s="3" t="s">
        <v>46</v>
      </c>
      <c r="I98" s="3">
        <v>15</v>
      </c>
      <c r="J98" s="18" t="s">
        <v>1097</v>
      </c>
      <c r="K98" s="3">
        <v>80</v>
      </c>
      <c r="L98" s="3">
        <v>80</v>
      </c>
      <c r="M98" s="19">
        <v>8</v>
      </c>
      <c r="N98" s="19">
        <v>8</v>
      </c>
      <c r="O98" s="5" t="s">
        <v>88</v>
      </c>
      <c r="P98" s="4"/>
      <c r="Q98" s="18" t="s">
        <v>1098</v>
      </c>
      <c r="R98" s="3"/>
      <c r="S98" s="6"/>
      <c r="T98" s="22"/>
      <c r="V98" s="23">
        <v>40</v>
      </c>
      <c r="W98" s="24" t="s">
        <v>10</v>
      </c>
    </row>
    <row r="99" spans="1:23" ht="23.1" customHeight="1" x14ac:dyDescent="0.25">
      <c r="A99" s="1" t="s">
        <v>71</v>
      </c>
      <c r="D99" s="3" t="s">
        <v>269</v>
      </c>
      <c r="E99" s="15" t="s">
        <v>270</v>
      </c>
      <c r="F99" s="15" t="s">
        <v>270</v>
      </c>
      <c r="G99" s="15" t="str">
        <f>IFERROR(VLOOKUP(D99,[5]成飞半成品!$A:$B,2,0),VLOOKUP(D99,[5]九院成本!$A$4:$B$48,2,0))</f>
        <v>转接嘴</v>
      </c>
      <c r="H99" s="3" t="s">
        <v>46</v>
      </c>
      <c r="I99" s="3">
        <v>20</v>
      </c>
      <c r="J99" s="18" t="s">
        <v>1096</v>
      </c>
      <c r="K99" s="3">
        <v>20</v>
      </c>
      <c r="L99" s="3">
        <v>20</v>
      </c>
      <c r="M99" s="19">
        <v>8</v>
      </c>
      <c r="N99" s="19">
        <v>8</v>
      </c>
      <c r="O99" s="5" t="s">
        <v>88</v>
      </c>
      <c r="P99" s="4"/>
      <c r="Q99" s="18">
        <v>25</v>
      </c>
      <c r="R99" s="3"/>
      <c r="S99" s="6"/>
      <c r="T99" s="22"/>
      <c r="V99" s="23">
        <v>8.3000000000000007</v>
      </c>
      <c r="W99" s="24" t="s">
        <v>10</v>
      </c>
    </row>
    <row r="100" spans="1:23" ht="23.1" customHeight="1" x14ac:dyDescent="0.25">
      <c r="A100" s="1" t="s">
        <v>74</v>
      </c>
      <c r="D100" s="3" t="s">
        <v>267</v>
      </c>
      <c r="E100" s="15" t="s">
        <v>272</v>
      </c>
      <c r="F100" s="15" t="s">
        <v>272</v>
      </c>
      <c r="G100" s="15" t="str">
        <f>IFERROR(VLOOKUP(D100,[5]成飞半成品!$A:$B,2,0),VLOOKUP(D100,[5]九院成本!$A$4:$B$48,2,0))</f>
        <v>接嘴</v>
      </c>
      <c r="H100" s="3" t="s">
        <v>46</v>
      </c>
      <c r="I100" s="3">
        <v>25</v>
      </c>
      <c r="J100" s="18" t="s">
        <v>1099</v>
      </c>
      <c r="K100" s="3">
        <v>15</v>
      </c>
      <c r="L100" s="3">
        <v>14</v>
      </c>
      <c r="M100" s="19">
        <v>8</v>
      </c>
      <c r="N100" s="19">
        <v>8</v>
      </c>
      <c r="O100" s="5" t="s">
        <v>88</v>
      </c>
      <c r="P100" s="4"/>
      <c r="Q100" s="18">
        <v>30</v>
      </c>
      <c r="R100" s="3"/>
      <c r="S100" s="6"/>
      <c r="T100" s="22"/>
      <c r="V100" s="23">
        <v>7</v>
      </c>
      <c r="W100" s="24" t="s">
        <v>10</v>
      </c>
    </row>
    <row r="101" spans="1:23" ht="23.1" customHeight="1" x14ac:dyDescent="0.25">
      <c r="A101" s="1" t="s">
        <v>82</v>
      </c>
      <c r="D101" s="3" t="s">
        <v>273</v>
      </c>
      <c r="E101" s="15" t="s">
        <v>274</v>
      </c>
      <c r="F101" s="15" t="s">
        <v>274</v>
      </c>
      <c r="G101" s="15" t="str">
        <f>IFERROR(VLOOKUP(D101,[5]成飞半成品!$A:$B,2,0),VLOOKUP(D101,[5]九院成本!$A$4:$B$48,2,0))</f>
        <v>铰链</v>
      </c>
      <c r="H101" s="3" t="s">
        <v>46</v>
      </c>
      <c r="I101" s="3">
        <v>60</v>
      </c>
      <c r="J101" s="18" t="s">
        <v>1100</v>
      </c>
      <c r="K101" s="3">
        <v>14</v>
      </c>
      <c r="L101" s="3">
        <v>14</v>
      </c>
      <c r="M101" s="19">
        <v>8</v>
      </c>
      <c r="N101" s="19">
        <v>8</v>
      </c>
      <c r="O101" s="5" t="s">
        <v>275</v>
      </c>
      <c r="P101" s="4"/>
      <c r="Q101" s="18">
        <v>20</v>
      </c>
      <c r="R101" s="3"/>
      <c r="S101" s="6"/>
      <c r="T101" s="22"/>
      <c r="V101" s="23">
        <v>4.7</v>
      </c>
      <c r="W101" s="24" t="s">
        <v>10</v>
      </c>
    </row>
    <row r="102" spans="1:23" ht="23.1" customHeight="1" x14ac:dyDescent="0.25">
      <c r="A102" s="1" t="s">
        <v>82</v>
      </c>
      <c r="D102" s="3" t="s">
        <v>1161</v>
      </c>
      <c r="E102" s="15" t="s">
        <v>277</v>
      </c>
      <c r="F102" s="15" t="s">
        <v>277</v>
      </c>
      <c r="G102" s="15" t="str">
        <f>IFERROR(VLOOKUP(D102,[5]成飞半成品!$A:$B,2,0),VLOOKUP(D102,[5]九院成本!$A$4:$B$48,2,0))</f>
        <v>工装</v>
      </c>
      <c r="H102" s="3" t="s">
        <v>46</v>
      </c>
      <c r="I102" s="3">
        <v>45</v>
      </c>
      <c r="J102" s="18" t="s">
        <v>1073</v>
      </c>
      <c r="K102" s="3">
        <v>2</v>
      </c>
      <c r="L102" s="3">
        <v>2</v>
      </c>
      <c r="M102" s="19">
        <v>8</v>
      </c>
      <c r="N102" s="19">
        <v>8</v>
      </c>
      <c r="O102" s="5" t="s">
        <v>278</v>
      </c>
      <c r="P102" s="4"/>
      <c r="Q102" s="18">
        <v>40</v>
      </c>
      <c r="R102" s="3"/>
      <c r="S102" s="6"/>
      <c r="T102" s="22"/>
      <c r="V102" s="23">
        <v>1.3</v>
      </c>
      <c r="W102" s="24" t="s">
        <v>10</v>
      </c>
    </row>
    <row r="103" spans="1:23" ht="23.1" customHeight="1" x14ac:dyDescent="0.25">
      <c r="A103" s="1" t="s">
        <v>82</v>
      </c>
      <c r="D103" s="3" t="s">
        <v>279</v>
      </c>
      <c r="E103" s="15" t="s">
        <v>254</v>
      </c>
      <c r="F103" s="15" t="s">
        <v>254</v>
      </c>
      <c r="G103" s="15" t="str">
        <f>IFERROR(VLOOKUP(D103,[5]成飞半成品!$A:$B,2,0),VLOOKUP(D103,[5]九院成本!$A$4:$B$48,2,0))</f>
        <v>支座</v>
      </c>
      <c r="H103" s="3" t="s">
        <v>155</v>
      </c>
      <c r="I103" s="3">
        <v>30</v>
      </c>
      <c r="J103" s="18" t="s">
        <v>1079</v>
      </c>
      <c r="L103" s="3">
        <v>49</v>
      </c>
      <c r="M103" s="19">
        <v>8</v>
      </c>
      <c r="N103" s="19">
        <v>8</v>
      </c>
      <c r="O103" s="5" t="s">
        <v>280</v>
      </c>
      <c r="P103" s="4"/>
      <c r="Q103" s="18">
        <v>30</v>
      </c>
      <c r="R103" s="3"/>
      <c r="S103" s="6"/>
      <c r="T103" s="22"/>
      <c r="V103" s="23">
        <v>24.5</v>
      </c>
      <c r="W103" s="24" t="s">
        <v>10</v>
      </c>
    </row>
    <row r="104" spans="1:23" ht="23.1" customHeight="1" x14ac:dyDescent="0.25">
      <c r="A104" s="1" t="s">
        <v>82</v>
      </c>
      <c r="D104" s="3" t="s">
        <v>279</v>
      </c>
      <c r="E104" s="15" t="s">
        <v>254</v>
      </c>
      <c r="F104" s="15" t="s">
        <v>254</v>
      </c>
      <c r="G104" s="15" t="str">
        <f>IFERROR(VLOOKUP(D104,[5]成飞半成品!$A:$B,2,0),VLOOKUP(D104,[5]九院成本!$A$4:$B$48,2,0))</f>
        <v>支座</v>
      </c>
      <c r="H104" s="3" t="s">
        <v>155</v>
      </c>
      <c r="I104" s="3">
        <v>55</v>
      </c>
      <c r="J104" s="18" t="s">
        <v>1086</v>
      </c>
      <c r="L104" s="3">
        <v>49</v>
      </c>
      <c r="M104" s="19">
        <v>8</v>
      </c>
      <c r="N104" s="19">
        <v>8</v>
      </c>
      <c r="O104" s="5" t="s">
        <v>280</v>
      </c>
      <c r="P104" s="4"/>
      <c r="Q104" s="18">
        <v>50</v>
      </c>
      <c r="R104" s="3"/>
      <c r="S104" s="6"/>
      <c r="T104" s="22"/>
      <c r="V104" s="23">
        <v>40.799999999999997</v>
      </c>
      <c r="W104" s="24" t="s">
        <v>10</v>
      </c>
    </row>
    <row r="105" spans="1:23" ht="23.1" customHeight="1" x14ac:dyDescent="0.25">
      <c r="A105" s="1" t="s">
        <v>89</v>
      </c>
      <c r="D105" s="3" t="s">
        <v>127</v>
      </c>
      <c r="E105" s="15" t="s">
        <v>243</v>
      </c>
      <c r="F105" s="15" t="s">
        <v>1092</v>
      </c>
      <c r="G105" s="15" t="str">
        <f>IFERROR(VLOOKUP(D105,[5]成飞半成品!$A:$B,2,0),VLOOKUP(D105,[5]九院成本!$A$4:$B$48,2,0))</f>
        <v>1N-2020-10-025</v>
      </c>
      <c r="H105" s="3" t="s">
        <v>80</v>
      </c>
      <c r="I105" s="3">
        <v>10</v>
      </c>
      <c r="J105" s="18" t="e">
        <v>#N/A</v>
      </c>
      <c r="K105" s="3">
        <v>2</v>
      </c>
      <c r="L105" s="3">
        <v>1</v>
      </c>
      <c r="M105" s="19">
        <v>8</v>
      </c>
      <c r="N105" s="19"/>
      <c r="O105" s="5" t="s">
        <v>127</v>
      </c>
      <c r="P105" s="4"/>
      <c r="Q105" s="18">
        <v>1750</v>
      </c>
      <c r="R105" s="3"/>
      <c r="S105" s="6"/>
      <c r="T105" s="22"/>
      <c r="V105" s="23">
        <v>29.2</v>
      </c>
      <c r="W105" s="24" t="s">
        <v>10</v>
      </c>
    </row>
    <row r="106" spans="1:23" ht="23.1" customHeight="1" x14ac:dyDescent="0.25">
      <c r="A106" s="1" t="s">
        <v>89</v>
      </c>
      <c r="D106" s="3" t="s">
        <v>127</v>
      </c>
      <c r="E106" s="15" t="s">
        <v>281</v>
      </c>
      <c r="F106" s="15" t="s">
        <v>281</v>
      </c>
      <c r="G106" s="15" t="str">
        <f>IFERROR(VLOOKUP(D106,[5]成飞半成品!$A:$B,2,0),VLOOKUP(D106,[5]九院成本!$A$4:$B$48,2,0))</f>
        <v>1N-2020-10-025</v>
      </c>
      <c r="H106" s="3" t="s">
        <v>80</v>
      </c>
      <c r="I106" s="3">
        <v>5</v>
      </c>
      <c r="J106" s="18" t="e">
        <v>#N/A</v>
      </c>
      <c r="K106" s="3">
        <v>2</v>
      </c>
      <c r="L106" s="3">
        <v>1</v>
      </c>
      <c r="M106" s="19">
        <v>8</v>
      </c>
      <c r="N106" s="19"/>
      <c r="O106" s="5" t="s">
        <v>127</v>
      </c>
      <c r="P106" s="4"/>
      <c r="Q106" s="18">
        <v>700</v>
      </c>
      <c r="R106" s="3"/>
      <c r="S106" s="6"/>
      <c r="T106" s="22"/>
      <c r="V106" s="23">
        <v>11.7</v>
      </c>
      <c r="W106" s="24" t="s">
        <v>10</v>
      </c>
    </row>
    <row r="107" spans="1:23" ht="23.1" customHeight="1" x14ac:dyDescent="0.25">
      <c r="A107" s="1" t="s">
        <v>100</v>
      </c>
      <c r="D107" s="3" t="s">
        <v>282</v>
      </c>
      <c r="E107" s="15" t="s">
        <v>76</v>
      </c>
      <c r="F107" s="15" t="s">
        <v>76</v>
      </c>
      <c r="G107" s="15" t="str">
        <f>IFERROR(VLOOKUP(D107,[5]成飞半成品!$A:$B,2,0),VLOOKUP(D107,[5]九院成本!$A$4:$B$48,2,0))</f>
        <v>接管嘴</v>
      </c>
      <c r="H107" s="3" t="s">
        <v>46</v>
      </c>
      <c r="I107" s="3">
        <v>30</v>
      </c>
      <c r="J107" s="18" t="s">
        <v>1079</v>
      </c>
      <c r="K107" s="3">
        <v>19</v>
      </c>
      <c r="L107" s="3">
        <v>19</v>
      </c>
      <c r="M107" s="19">
        <v>8</v>
      </c>
      <c r="N107" s="19">
        <v>8</v>
      </c>
      <c r="O107" s="5" t="s">
        <v>283</v>
      </c>
      <c r="P107" s="4"/>
      <c r="Q107" s="18">
        <v>40</v>
      </c>
      <c r="R107" s="3"/>
      <c r="S107" s="6"/>
      <c r="T107" s="22"/>
      <c r="V107" s="23">
        <v>12.7</v>
      </c>
      <c r="W107" s="24" t="s">
        <v>10</v>
      </c>
    </row>
    <row r="108" spans="1:23" ht="23.1" customHeight="1" x14ac:dyDescent="0.25">
      <c r="A108" s="1" t="s">
        <v>100</v>
      </c>
      <c r="D108" s="3" t="s">
        <v>284</v>
      </c>
      <c r="E108" s="15" t="s">
        <v>285</v>
      </c>
      <c r="F108" s="15" t="s">
        <v>285</v>
      </c>
      <c r="G108" s="15" t="str">
        <f>IFERROR(VLOOKUP(D108,[5]成飞半成品!$A:$B,2,0),VLOOKUP(D108,[5]九院成本!$A$4:$B$48,2,0))</f>
        <v>压板</v>
      </c>
      <c r="H108" s="3" t="s">
        <v>64</v>
      </c>
      <c r="I108" s="3">
        <v>35</v>
      </c>
      <c r="J108" s="18" t="s">
        <v>1072</v>
      </c>
      <c r="K108" s="3">
        <v>18</v>
      </c>
      <c r="L108" s="3">
        <v>18</v>
      </c>
      <c r="M108" s="19">
        <v>8</v>
      </c>
      <c r="N108" s="19">
        <v>8</v>
      </c>
      <c r="O108" s="5" t="s">
        <v>286</v>
      </c>
      <c r="P108" s="4"/>
      <c r="Q108" s="18">
        <v>30</v>
      </c>
      <c r="R108" s="3"/>
      <c r="S108" s="6"/>
      <c r="T108" s="22"/>
      <c r="V108" s="23">
        <v>9</v>
      </c>
      <c r="W108" s="24" t="s">
        <v>10</v>
      </c>
    </row>
    <row r="109" spans="1:23" ht="23.1" customHeight="1" x14ac:dyDescent="0.25">
      <c r="A109" s="1" t="s">
        <v>103</v>
      </c>
      <c r="D109" s="3" t="s">
        <v>284</v>
      </c>
      <c r="E109" s="15" t="s">
        <v>285</v>
      </c>
      <c r="F109" s="15" t="s">
        <v>285</v>
      </c>
      <c r="G109" s="15" t="str">
        <f>IFERROR(VLOOKUP(D109,[5]成飞半成品!$A:$B,2,0),VLOOKUP(D109,[5]九院成本!$A$4:$B$48,2,0))</f>
        <v>压板</v>
      </c>
      <c r="H109" s="3" t="s">
        <v>64</v>
      </c>
      <c r="I109" s="3">
        <v>35</v>
      </c>
      <c r="J109" s="18" t="s">
        <v>1072</v>
      </c>
      <c r="K109" s="3">
        <v>10</v>
      </c>
      <c r="L109" s="3">
        <v>10</v>
      </c>
      <c r="M109" s="19">
        <v>8</v>
      </c>
      <c r="N109" s="19">
        <v>8</v>
      </c>
      <c r="O109" s="5" t="s">
        <v>287</v>
      </c>
      <c r="P109" s="4"/>
      <c r="Q109" s="18">
        <v>30</v>
      </c>
      <c r="R109" s="3"/>
      <c r="S109" s="6"/>
      <c r="T109" s="22"/>
      <c r="V109" s="23">
        <v>5</v>
      </c>
      <c r="W109" s="24" t="s">
        <v>10</v>
      </c>
    </row>
    <row r="110" spans="1:23" ht="23.1" customHeight="1" x14ac:dyDescent="0.25">
      <c r="A110" s="1" t="s">
        <v>103</v>
      </c>
      <c r="D110" s="3" t="s">
        <v>284</v>
      </c>
      <c r="E110" s="15" t="s">
        <v>285</v>
      </c>
      <c r="F110" s="15" t="s">
        <v>285</v>
      </c>
      <c r="G110" s="15" t="str">
        <f>IFERROR(VLOOKUP(D110,[5]成飞半成品!$A:$B,2,0),VLOOKUP(D110,[5]九院成本!$A$4:$B$48,2,0))</f>
        <v>压板</v>
      </c>
      <c r="H110" s="3" t="s">
        <v>64</v>
      </c>
      <c r="I110" s="3">
        <v>35</v>
      </c>
      <c r="J110" s="18" t="s">
        <v>1072</v>
      </c>
      <c r="K110" s="3">
        <v>18</v>
      </c>
      <c r="L110" s="3">
        <v>18</v>
      </c>
      <c r="M110" s="19">
        <v>8</v>
      </c>
      <c r="N110" s="19">
        <v>8</v>
      </c>
      <c r="O110" s="5" t="s">
        <v>286</v>
      </c>
      <c r="P110" s="4"/>
      <c r="Q110" s="18">
        <v>30</v>
      </c>
      <c r="R110" s="3"/>
      <c r="S110" s="6"/>
      <c r="T110" s="22"/>
      <c r="V110" s="23">
        <v>9</v>
      </c>
      <c r="W110" s="24" t="s">
        <v>10</v>
      </c>
    </row>
    <row r="111" spans="1:23" ht="23.1" customHeight="1" x14ac:dyDescent="0.25">
      <c r="A111" s="1" t="s">
        <v>103</v>
      </c>
      <c r="D111" s="3" t="s">
        <v>284</v>
      </c>
      <c r="E111" s="15" t="s">
        <v>285</v>
      </c>
      <c r="F111" s="15" t="s">
        <v>285</v>
      </c>
      <c r="G111" s="15" t="str">
        <f>IFERROR(VLOOKUP(D111,[5]成飞半成品!$A:$B,2,0),VLOOKUP(D111,[5]九院成本!$A$4:$B$48,2,0))</f>
        <v>压板</v>
      </c>
      <c r="H111" s="3" t="s">
        <v>64</v>
      </c>
      <c r="I111" s="3">
        <v>35</v>
      </c>
      <c r="J111" s="18" t="s">
        <v>1072</v>
      </c>
      <c r="K111" s="3">
        <v>80</v>
      </c>
      <c r="L111" s="3">
        <v>78</v>
      </c>
      <c r="M111" s="19">
        <v>8</v>
      </c>
      <c r="N111" s="19">
        <v>8</v>
      </c>
      <c r="O111" s="5" t="s">
        <v>283</v>
      </c>
      <c r="P111" s="4"/>
      <c r="Q111" s="18">
        <v>30</v>
      </c>
      <c r="R111" s="3"/>
      <c r="S111" s="6"/>
      <c r="T111" s="22"/>
      <c r="V111" s="23">
        <v>39</v>
      </c>
      <c r="W111" s="24" t="s">
        <v>10</v>
      </c>
    </row>
    <row r="112" spans="1:23" ht="23.1" customHeight="1" x14ac:dyDescent="0.25">
      <c r="A112" s="1" t="s">
        <v>116</v>
      </c>
      <c r="D112" s="3" t="s">
        <v>1175</v>
      </c>
      <c r="E112" s="15" t="s">
        <v>289</v>
      </c>
      <c r="F112" s="15" t="s">
        <v>289</v>
      </c>
      <c r="G112" s="15" t="str">
        <f>IFERROR(VLOOKUP(D112,[5]成飞半成品!$A:$B,2,0),VLOOKUP(D112,[5]九院成本!$A$4:$B$48,2,0))</f>
        <v>拨叉</v>
      </c>
      <c r="H112" s="3" t="s">
        <v>290</v>
      </c>
      <c r="I112" s="3">
        <v>65</v>
      </c>
      <c r="J112" s="18" t="s">
        <v>1091</v>
      </c>
      <c r="K112" s="3">
        <v>3</v>
      </c>
      <c r="L112" s="3">
        <v>3</v>
      </c>
      <c r="M112" s="19">
        <v>8</v>
      </c>
      <c r="N112" s="19">
        <v>8</v>
      </c>
      <c r="O112" s="5" t="s">
        <v>291</v>
      </c>
      <c r="P112" s="4"/>
      <c r="Q112" s="18">
        <v>30</v>
      </c>
      <c r="R112" s="3"/>
      <c r="S112" s="6"/>
      <c r="T112" s="22"/>
      <c r="V112" s="23">
        <v>1.5</v>
      </c>
      <c r="W112" s="24" t="s">
        <v>10</v>
      </c>
    </row>
    <row r="113" spans="1:24" ht="23.1" customHeight="1" x14ac:dyDescent="0.25">
      <c r="A113" s="1" t="s">
        <v>292</v>
      </c>
      <c r="D113" s="3" t="s">
        <v>1193</v>
      </c>
      <c r="E113" s="15" t="s">
        <v>1190</v>
      </c>
      <c r="F113" s="15" t="s">
        <v>294</v>
      </c>
      <c r="G113" s="15" t="str">
        <f>IFERROR(VLOOKUP(D113,[5]成飞半成品!$A:$B,2,0),VLOOKUP(D113,[5]九院成本!$A$4:$B$48,2,0))</f>
        <v>外侧梁</v>
      </c>
      <c r="H113" s="3" t="s">
        <v>80</v>
      </c>
      <c r="I113" s="3">
        <v>75</v>
      </c>
      <c r="J113" s="18" t="s">
        <v>1101</v>
      </c>
      <c r="K113" s="3">
        <v>1</v>
      </c>
      <c r="L113" s="3">
        <v>1</v>
      </c>
      <c r="M113" s="19">
        <v>30</v>
      </c>
      <c r="N113" s="19"/>
      <c r="O113" s="5" t="s">
        <v>295</v>
      </c>
      <c r="P113" s="4"/>
      <c r="Q113" s="18">
        <v>360</v>
      </c>
      <c r="R113" s="3"/>
      <c r="S113" s="6"/>
      <c r="T113" s="22"/>
      <c r="V113" s="23">
        <v>6</v>
      </c>
      <c r="W113" s="24" t="s">
        <v>3</v>
      </c>
    </row>
    <row r="114" spans="1:24" ht="23.1" customHeight="1" x14ac:dyDescent="0.25">
      <c r="A114" s="1" t="s">
        <v>292</v>
      </c>
      <c r="D114" s="3" t="s">
        <v>296</v>
      </c>
      <c r="E114" s="15" t="s">
        <v>297</v>
      </c>
      <c r="F114" s="15" t="e">
        <v>#N/A</v>
      </c>
      <c r="G114" s="15" t="e">
        <f>IFERROR(VLOOKUP(D114,[5]成飞半成品!$A:$B,2,0),VLOOKUP(D114,[5]九院成本!$A$4:$B$48,2,0))</f>
        <v>#N/A</v>
      </c>
      <c r="H114" s="3" t="s">
        <v>114</v>
      </c>
      <c r="I114" s="3">
        <v>55</v>
      </c>
      <c r="J114" s="18" t="s">
        <v>1086</v>
      </c>
      <c r="K114" s="3">
        <v>4</v>
      </c>
      <c r="L114" s="3">
        <v>4</v>
      </c>
      <c r="M114" s="19">
        <v>30</v>
      </c>
      <c r="N114" s="19">
        <v>30</v>
      </c>
      <c r="O114" s="5" t="s">
        <v>298</v>
      </c>
      <c r="P114" s="4"/>
      <c r="Q114" s="18">
        <v>180</v>
      </c>
      <c r="R114" s="3"/>
      <c r="S114" s="6"/>
      <c r="T114" s="22"/>
      <c r="V114" s="23">
        <v>12</v>
      </c>
      <c r="W114" s="24" t="s">
        <v>3</v>
      </c>
    </row>
    <row r="115" spans="1:24" ht="23.1" customHeight="1" x14ac:dyDescent="0.25">
      <c r="A115" s="1" t="s">
        <v>292</v>
      </c>
      <c r="D115" s="3" t="s">
        <v>299</v>
      </c>
      <c r="E115" s="15" t="s">
        <v>300</v>
      </c>
      <c r="F115" s="15" t="s">
        <v>300</v>
      </c>
      <c r="G115" s="15" t="str">
        <f>IFERROR(VLOOKUP(D115,[5]成飞半成品!$A:$B,2,0),VLOOKUP(D115,[5]九院成本!$A$4:$B$48,2,0))</f>
        <v>排气下侧壁</v>
      </c>
      <c r="H115" s="3" t="s">
        <v>64</v>
      </c>
      <c r="I115" s="3">
        <v>45</v>
      </c>
      <c r="J115" s="18" t="s">
        <v>1073</v>
      </c>
      <c r="K115" s="3">
        <v>10</v>
      </c>
      <c r="L115" s="3">
        <v>10</v>
      </c>
      <c r="M115" s="19">
        <v>30</v>
      </c>
      <c r="N115" s="19">
        <v>30</v>
      </c>
      <c r="O115" s="5" t="s">
        <v>150</v>
      </c>
      <c r="P115" s="4"/>
      <c r="Q115" s="18">
        <v>180</v>
      </c>
      <c r="R115" s="3"/>
      <c r="S115" s="6"/>
      <c r="T115" s="22"/>
      <c r="V115" s="23">
        <v>30</v>
      </c>
      <c r="W115" s="24" t="s">
        <v>3</v>
      </c>
    </row>
    <row r="116" spans="1:24" ht="23.1" customHeight="1" x14ac:dyDescent="0.25">
      <c r="A116" s="1" t="s">
        <v>292</v>
      </c>
      <c r="D116" s="3" t="s">
        <v>301</v>
      </c>
      <c r="E116" s="15" t="s">
        <v>302</v>
      </c>
      <c r="F116" s="15" t="s">
        <v>302</v>
      </c>
      <c r="G116" s="15" t="str">
        <f>IFERROR(VLOOKUP(D116,[5]成飞半成品!$A:$B,2,0),VLOOKUP(D116,[5]九院成本!$A$4:$B$48,2,0))</f>
        <v>角盒</v>
      </c>
      <c r="H116" s="3" t="s">
        <v>46</v>
      </c>
      <c r="I116" s="3">
        <v>35</v>
      </c>
      <c r="J116" s="18" t="s">
        <v>1072</v>
      </c>
      <c r="K116" s="3">
        <v>2</v>
      </c>
      <c r="L116" s="3">
        <v>2</v>
      </c>
      <c r="M116" s="19">
        <v>30</v>
      </c>
      <c r="N116" s="19">
        <v>30</v>
      </c>
      <c r="O116" s="5" t="s">
        <v>303</v>
      </c>
      <c r="P116" s="4"/>
      <c r="Q116" s="18">
        <v>40</v>
      </c>
      <c r="R116" s="3"/>
      <c r="S116" s="6"/>
      <c r="T116" s="22"/>
      <c r="V116" s="23">
        <v>1.3</v>
      </c>
      <c r="W116" s="24" t="s">
        <v>3</v>
      </c>
    </row>
    <row r="117" spans="1:24" ht="23.1" customHeight="1" x14ac:dyDescent="0.25">
      <c r="A117" s="1" t="s">
        <v>304</v>
      </c>
      <c r="D117" s="3" t="s">
        <v>1172</v>
      </c>
      <c r="E117" s="15" t="s">
        <v>306</v>
      </c>
      <c r="F117" s="15" t="s">
        <v>306</v>
      </c>
      <c r="G117" s="15" t="str">
        <f>IFERROR(VLOOKUP(D117,[5]成飞半成品!$A:$B,2,0),VLOOKUP(D117,[5]九院成本!$A$4:$B$48,2,0))</f>
        <v>STA8510~9055左上大梁</v>
      </c>
      <c r="H117" s="3" t="s">
        <v>64</v>
      </c>
      <c r="I117" s="3">
        <v>60</v>
      </c>
      <c r="J117" s="18" t="s">
        <v>1100</v>
      </c>
      <c r="K117" s="3">
        <v>4</v>
      </c>
      <c r="L117" s="3">
        <v>4</v>
      </c>
      <c r="M117" s="19">
        <v>30</v>
      </c>
      <c r="N117" s="19">
        <v>30</v>
      </c>
      <c r="O117" s="5" t="s">
        <v>307</v>
      </c>
      <c r="P117" s="4"/>
      <c r="Q117" s="18">
        <v>180</v>
      </c>
      <c r="R117" s="3"/>
      <c r="S117" s="6"/>
      <c r="T117" s="22"/>
      <c r="V117" s="23">
        <v>12</v>
      </c>
      <c r="W117" s="24" t="s">
        <v>3</v>
      </c>
    </row>
    <row r="118" spans="1:24" ht="23.1" customHeight="1" x14ac:dyDescent="0.25">
      <c r="A118" s="1" t="s">
        <v>304</v>
      </c>
      <c r="D118" s="3" t="s">
        <v>1194</v>
      </c>
      <c r="E118" s="15" t="s">
        <v>309</v>
      </c>
      <c r="F118" s="15" t="s">
        <v>1102</v>
      </c>
      <c r="G118" s="15" t="str">
        <f>IFERROR(VLOOKUP(D118,[5]成飞半成品!$A:$B,2,0),VLOOKUP(D118,[5]九院成本!$A$4:$B$48,2,0))</f>
        <v>外侧梁</v>
      </c>
      <c r="H118" s="3" t="s">
        <v>80</v>
      </c>
      <c r="I118" s="3">
        <v>75</v>
      </c>
      <c r="J118" s="18" t="s">
        <v>1101</v>
      </c>
      <c r="K118" s="3">
        <v>1</v>
      </c>
      <c r="L118" s="3">
        <v>1</v>
      </c>
      <c r="M118" s="19">
        <v>30</v>
      </c>
      <c r="N118" s="19">
        <v>30</v>
      </c>
      <c r="O118" s="5" t="s">
        <v>105</v>
      </c>
      <c r="P118" s="4"/>
      <c r="Q118" s="18">
        <v>360</v>
      </c>
      <c r="R118" s="3"/>
      <c r="S118" s="6"/>
      <c r="T118" s="22"/>
      <c r="V118" s="23">
        <v>6</v>
      </c>
      <c r="W118" s="24" t="s">
        <v>3</v>
      </c>
    </row>
    <row r="119" spans="1:24" ht="23.1" customHeight="1" x14ac:dyDescent="0.25">
      <c r="A119" s="1" t="s">
        <v>304</v>
      </c>
      <c r="D119" s="3" t="s">
        <v>1193</v>
      </c>
      <c r="E119" s="15" t="s">
        <v>294</v>
      </c>
      <c r="F119" s="15" t="s">
        <v>294</v>
      </c>
      <c r="G119" s="15" t="str">
        <f>IFERROR(VLOOKUP(D119,[5]成飞半成品!$A:$B,2,0),VLOOKUP(D119,[5]九院成本!$A$4:$B$48,2,0))</f>
        <v>外侧梁</v>
      </c>
      <c r="H119" s="3" t="s">
        <v>80</v>
      </c>
      <c r="I119" s="3">
        <v>75</v>
      </c>
      <c r="J119" s="18" t="s">
        <v>1101</v>
      </c>
      <c r="K119" s="3">
        <v>1</v>
      </c>
      <c r="L119" s="3">
        <v>1</v>
      </c>
      <c r="M119" s="19">
        <v>30</v>
      </c>
      <c r="N119" s="19">
        <v>30</v>
      </c>
      <c r="O119" s="5" t="s">
        <v>105</v>
      </c>
      <c r="P119" s="4"/>
      <c r="Q119" s="18">
        <v>360</v>
      </c>
      <c r="R119" s="3"/>
      <c r="S119" s="6"/>
      <c r="T119" s="22"/>
      <c r="V119" s="23">
        <v>6</v>
      </c>
      <c r="W119" s="24" t="s">
        <v>3</v>
      </c>
    </row>
    <row r="120" spans="1:24" ht="23.1" customHeight="1" x14ac:dyDescent="0.25">
      <c r="A120" s="1" t="s">
        <v>304</v>
      </c>
      <c r="D120" s="3" t="s">
        <v>917</v>
      </c>
      <c r="E120" s="15" t="s">
        <v>311</v>
      </c>
      <c r="F120" s="15" t="s">
        <v>311</v>
      </c>
      <c r="G120" s="15" t="str">
        <f>IFERROR(VLOOKUP(D120,[5]成飞半成品!$A:$B,2,0),VLOOKUP(D120,[5]九院成本!$A$4:$B$48,2,0))</f>
        <v>樑</v>
      </c>
      <c r="H120" s="3" t="s">
        <v>80</v>
      </c>
      <c r="I120" s="3">
        <v>65</v>
      </c>
      <c r="J120" s="18" t="s">
        <v>1091</v>
      </c>
      <c r="K120" s="3">
        <v>1</v>
      </c>
      <c r="L120" s="3">
        <v>1</v>
      </c>
      <c r="M120" s="19">
        <v>30</v>
      </c>
      <c r="N120" s="19">
        <v>30</v>
      </c>
      <c r="O120" s="5" t="s">
        <v>312</v>
      </c>
      <c r="P120" s="4"/>
      <c r="Q120" s="18">
        <v>2400</v>
      </c>
      <c r="R120" s="3"/>
      <c r="S120" s="6"/>
      <c r="T120" s="22"/>
      <c r="V120" s="23">
        <v>40</v>
      </c>
      <c r="W120" s="24" t="s">
        <v>3</v>
      </c>
      <c r="X120" s="7" t="s">
        <v>313</v>
      </c>
    </row>
    <row r="121" spans="1:24" ht="23.1" customHeight="1" x14ac:dyDescent="0.25">
      <c r="A121" s="1" t="s">
        <v>304</v>
      </c>
      <c r="D121" s="3" t="s">
        <v>314</v>
      </c>
      <c r="E121" s="15" t="s">
        <v>315</v>
      </c>
      <c r="F121" s="15" t="e">
        <v>#N/A</v>
      </c>
      <c r="G121" s="15" t="e">
        <f>IFERROR(VLOOKUP(D121,[5]成飞半成品!$A:$B,2,0),VLOOKUP(D121,[5]九院成本!$A$4:$B$48,2,0))</f>
        <v>#N/A</v>
      </c>
      <c r="H121" s="3" t="s">
        <v>80</v>
      </c>
      <c r="I121" s="3">
        <v>110</v>
      </c>
      <c r="J121" s="18" t="e">
        <v>#N/A</v>
      </c>
      <c r="K121" s="3">
        <v>2</v>
      </c>
      <c r="L121" s="3">
        <v>2</v>
      </c>
      <c r="M121" s="19">
        <v>30</v>
      </c>
      <c r="N121" s="19">
        <v>30</v>
      </c>
      <c r="O121" s="5" t="s">
        <v>316</v>
      </c>
      <c r="P121" s="4"/>
      <c r="Q121" s="18">
        <v>960</v>
      </c>
      <c r="R121" s="3"/>
      <c r="S121" s="6"/>
      <c r="T121" s="22"/>
      <c r="V121" s="23">
        <v>32</v>
      </c>
      <c r="W121" s="24" t="s">
        <v>3</v>
      </c>
      <c r="X121" s="7" t="s">
        <v>317</v>
      </c>
    </row>
    <row r="122" spans="1:24" ht="23.1" customHeight="1" x14ac:dyDescent="0.25">
      <c r="A122" s="1" t="s">
        <v>121</v>
      </c>
      <c r="D122" s="3" t="s">
        <v>1179</v>
      </c>
      <c r="E122" s="15" t="s">
        <v>319</v>
      </c>
      <c r="F122" s="15" t="s">
        <v>319</v>
      </c>
      <c r="G122" s="15" t="str">
        <f>IFERROR(VLOOKUP(D122,[5]成飞半成品!$A:$B,2,0),VLOOKUP(D122,[5]九院成本!$A$4:$B$48,2,0))</f>
        <v>根肋一段</v>
      </c>
      <c r="H122" s="3" t="s">
        <v>51</v>
      </c>
      <c r="I122" s="3">
        <v>50</v>
      </c>
      <c r="J122" s="18" t="s">
        <v>1077</v>
      </c>
      <c r="K122" s="3">
        <v>5</v>
      </c>
      <c r="L122" s="3">
        <v>5</v>
      </c>
      <c r="M122" s="19">
        <v>30</v>
      </c>
      <c r="N122" s="19">
        <v>30</v>
      </c>
      <c r="O122" s="5" t="s">
        <v>182</v>
      </c>
      <c r="P122" s="4"/>
      <c r="Q122" s="18">
        <v>240</v>
      </c>
      <c r="R122" s="3"/>
      <c r="S122" s="6"/>
      <c r="T122" s="22"/>
      <c r="V122" s="23">
        <v>20</v>
      </c>
      <c r="W122" s="24" t="s">
        <v>3</v>
      </c>
    </row>
    <row r="123" spans="1:24" ht="23.1" customHeight="1" x14ac:dyDescent="0.25">
      <c r="A123" s="1" t="s">
        <v>121</v>
      </c>
      <c r="D123" s="3" t="s">
        <v>66</v>
      </c>
      <c r="E123" s="15" t="s">
        <v>67</v>
      </c>
      <c r="F123" s="15" t="s">
        <v>67</v>
      </c>
      <c r="G123" s="15" t="str">
        <f>IFERROR(VLOOKUP(D123,[5]成飞半成品!$A:$B,2,0),VLOOKUP(D123,[5]九院成本!$A$4:$B$48,2,0))</f>
        <v>10060下接头</v>
      </c>
      <c r="H123" s="3" t="s">
        <v>51</v>
      </c>
      <c r="I123" s="3">
        <v>35</v>
      </c>
      <c r="J123" s="18" t="s">
        <v>1072</v>
      </c>
      <c r="K123" s="3">
        <v>2</v>
      </c>
      <c r="L123" s="3">
        <v>2</v>
      </c>
      <c r="M123" s="19">
        <v>30</v>
      </c>
      <c r="N123" s="19">
        <v>30</v>
      </c>
      <c r="O123" s="5" t="s">
        <v>68</v>
      </c>
      <c r="P123" s="4"/>
      <c r="Q123" s="18">
        <v>360</v>
      </c>
      <c r="R123" s="3"/>
      <c r="S123" s="6"/>
      <c r="T123" s="22"/>
      <c r="V123" s="23">
        <v>12</v>
      </c>
      <c r="W123" s="24" t="s">
        <v>3</v>
      </c>
    </row>
    <row r="124" spans="1:24" ht="23.1" customHeight="1" x14ac:dyDescent="0.25">
      <c r="A124" s="1" t="s">
        <v>121</v>
      </c>
      <c r="D124" s="3" t="s">
        <v>320</v>
      </c>
      <c r="E124" s="15" t="s">
        <v>321</v>
      </c>
      <c r="F124" s="15" t="s">
        <v>321</v>
      </c>
      <c r="G124" s="15" t="str">
        <f>IFERROR(VLOOKUP(D124,[5]成飞半成品!$A:$B,2,0),VLOOKUP(D124,[5]九院成本!$A$4:$B$48,2,0))</f>
        <v>10540中框</v>
      </c>
      <c r="H124" s="3" t="s">
        <v>114</v>
      </c>
      <c r="I124" s="3">
        <v>65</v>
      </c>
      <c r="J124" s="18" t="s">
        <v>1091</v>
      </c>
      <c r="K124" s="3">
        <v>2</v>
      </c>
      <c r="L124" s="3">
        <v>2</v>
      </c>
      <c r="M124" s="19">
        <v>30</v>
      </c>
      <c r="N124" s="19">
        <v>30</v>
      </c>
      <c r="O124" s="5" t="s">
        <v>322</v>
      </c>
      <c r="P124" s="4"/>
      <c r="Q124" s="18">
        <v>720</v>
      </c>
      <c r="R124" s="3"/>
      <c r="S124" s="6"/>
      <c r="T124" s="22"/>
      <c r="V124" s="23">
        <v>24</v>
      </c>
      <c r="W124" s="24" t="s">
        <v>3</v>
      </c>
    </row>
    <row r="125" spans="1:24" ht="23.1" customHeight="1" x14ac:dyDescent="0.25">
      <c r="A125" s="1" t="s">
        <v>121</v>
      </c>
      <c r="D125" s="3" t="s">
        <v>1179</v>
      </c>
      <c r="E125" s="15" t="s">
        <v>319</v>
      </c>
      <c r="F125" s="15" t="s">
        <v>319</v>
      </c>
      <c r="G125" s="15" t="str">
        <f>IFERROR(VLOOKUP(D125,[5]成飞半成品!$A:$B,2,0),VLOOKUP(D125,[5]九院成本!$A$4:$B$48,2,0))</f>
        <v>根肋一段</v>
      </c>
      <c r="H125" s="3" t="s">
        <v>114</v>
      </c>
      <c r="I125" s="3">
        <v>50</v>
      </c>
      <c r="J125" s="18" t="s">
        <v>1077</v>
      </c>
      <c r="K125" s="3">
        <v>6</v>
      </c>
      <c r="L125" s="3">
        <v>5</v>
      </c>
      <c r="M125" s="19">
        <v>30</v>
      </c>
      <c r="N125" s="19">
        <v>30</v>
      </c>
      <c r="O125" s="5" t="s">
        <v>324</v>
      </c>
      <c r="P125" s="4"/>
      <c r="Q125" s="18">
        <v>240</v>
      </c>
      <c r="R125" s="3"/>
      <c r="S125" s="6"/>
      <c r="T125" s="22"/>
      <c r="V125" s="23">
        <v>20</v>
      </c>
      <c r="W125" s="24" t="s">
        <v>3</v>
      </c>
    </row>
    <row r="126" spans="1:24" ht="23.1" customHeight="1" x14ac:dyDescent="0.25">
      <c r="A126" s="1" t="s">
        <v>48</v>
      </c>
      <c r="D126" s="3" t="s">
        <v>325</v>
      </c>
      <c r="E126" s="15" t="s">
        <v>326</v>
      </c>
      <c r="F126" s="15" t="e">
        <v>#N/A</v>
      </c>
      <c r="G126" s="15" t="e">
        <f>IFERROR(VLOOKUP(D126,[5]成飞半成品!$A:$B,2,0),VLOOKUP(D126,[5]九院成本!$A$4:$B$48,2,0))</f>
        <v>#N/A</v>
      </c>
      <c r="H126" s="3" t="s">
        <v>114</v>
      </c>
      <c r="I126" s="3">
        <v>50</v>
      </c>
      <c r="J126" s="18" t="s">
        <v>1077</v>
      </c>
      <c r="K126" s="3">
        <v>2</v>
      </c>
      <c r="L126" s="3">
        <v>2</v>
      </c>
      <c r="M126" s="19">
        <v>30</v>
      </c>
      <c r="N126" s="19">
        <v>30</v>
      </c>
      <c r="O126" s="5" t="s">
        <v>327</v>
      </c>
      <c r="P126" s="4"/>
      <c r="Q126" s="18">
        <v>420</v>
      </c>
      <c r="R126" s="3"/>
      <c r="S126" s="6"/>
      <c r="T126" s="22"/>
      <c r="V126" s="23">
        <v>14</v>
      </c>
      <c r="W126" s="24" t="s">
        <v>3</v>
      </c>
    </row>
    <row r="127" spans="1:24" ht="23.1" customHeight="1" x14ac:dyDescent="0.25">
      <c r="A127" s="1" t="s">
        <v>48</v>
      </c>
      <c r="D127" s="3" t="s">
        <v>328</v>
      </c>
      <c r="E127" s="15" t="s">
        <v>329</v>
      </c>
      <c r="F127" s="15" t="s">
        <v>329</v>
      </c>
      <c r="G127" s="15" t="str">
        <f>IFERROR(VLOOKUP(D127,[5]成飞半成品!$A:$B,2,0),VLOOKUP(D127,[5]九院成本!$A$4:$B$48,2,0))</f>
        <v>辅助动力舱口盖前段</v>
      </c>
      <c r="H127" s="3" t="s">
        <v>46</v>
      </c>
      <c r="I127" s="3">
        <v>50</v>
      </c>
      <c r="J127" s="18" t="s">
        <v>1077</v>
      </c>
      <c r="K127" s="3">
        <v>1</v>
      </c>
      <c r="L127" s="3">
        <v>1</v>
      </c>
      <c r="M127" s="19">
        <v>30</v>
      </c>
      <c r="N127" s="19">
        <v>30</v>
      </c>
      <c r="O127" s="5" t="s">
        <v>330</v>
      </c>
      <c r="P127" s="4"/>
      <c r="Q127" s="18">
        <v>480</v>
      </c>
      <c r="R127" s="3"/>
      <c r="S127" s="6"/>
      <c r="T127" s="22"/>
      <c r="V127" s="23">
        <v>8</v>
      </c>
      <c r="W127" s="24" t="s">
        <v>3</v>
      </c>
    </row>
    <row r="128" spans="1:24" ht="23.1" customHeight="1" x14ac:dyDescent="0.25">
      <c r="A128" s="1" t="s">
        <v>48</v>
      </c>
      <c r="D128" s="3" t="s">
        <v>328</v>
      </c>
      <c r="E128" s="15" t="s">
        <v>329</v>
      </c>
      <c r="F128" s="15" t="s">
        <v>329</v>
      </c>
      <c r="G128" s="15" t="str">
        <f>IFERROR(VLOOKUP(D128,[5]成飞半成品!$A:$B,2,0),VLOOKUP(D128,[5]九院成本!$A$4:$B$48,2,0))</f>
        <v>辅助动力舱口盖前段</v>
      </c>
      <c r="H128" s="3" t="s">
        <v>46</v>
      </c>
      <c r="I128" s="3">
        <v>52</v>
      </c>
      <c r="J128" s="18" t="e">
        <v>#N/A</v>
      </c>
      <c r="K128" s="3">
        <v>1</v>
      </c>
      <c r="L128" s="3">
        <v>1</v>
      </c>
      <c r="M128" s="19">
        <v>30</v>
      </c>
      <c r="N128" s="19">
        <v>30</v>
      </c>
      <c r="O128" s="5" t="s">
        <v>330</v>
      </c>
      <c r="P128" s="4"/>
      <c r="Q128" s="18">
        <v>120</v>
      </c>
      <c r="R128" s="3"/>
      <c r="S128" s="6"/>
      <c r="T128" s="22"/>
      <c r="V128" s="23">
        <v>2</v>
      </c>
      <c r="W128" s="24" t="s">
        <v>3</v>
      </c>
      <c r="X128" s="7" t="s">
        <v>331</v>
      </c>
    </row>
    <row r="129" spans="1:25" ht="23.1" customHeight="1" x14ac:dyDescent="0.25">
      <c r="A129" s="1" t="s">
        <v>48</v>
      </c>
      <c r="D129" s="3" t="s">
        <v>1174</v>
      </c>
      <c r="E129" s="15" t="s">
        <v>1173</v>
      </c>
      <c r="F129" s="15" t="s">
        <v>333</v>
      </c>
      <c r="G129" s="15" t="str">
        <f>IFERROR(VLOOKUP(D129,[5]成飞半成品!$A:$B,2,0),VLOOKUP(D129,[5]九院成本!$A$4:$B$48,2,0))</f>
        <v>梁（左件）</v>
      </c>
      <c r="H129" s="3" t="s">
        <v>147</v>
      </c>
      <c r="I129" s="3">
        <v>55</v>
      </c>
      <c r="J129" s="18" t="s">
        <v>1086</v>
      </c>
      <c r="K129" s="3">
        <v>2</v>
      </c>
      <c r="L129" s="3">
        <v>2</v>
      </c>
      <c r="M129" s="19">
        <v>30</v>
      </c>
      <c r="N129" s="19">
        <v>30</v>
      </c>
      <c r="O129" s="5" t="s">
        <v>334</v>
      </c>
      <c r="P129" s="4"/>
      <c r="Q129" s="18">
        <v>720</v>
      </c>
      <c r="R129" s="3"/>
      <c r="S129" s="6"/>
      <c r="T129" s="22"/>
      <c r="V129" s="23">
        <v>24</v>
      </c>
      <c r="W129" s="24" t="s">
        <v>3</v>
      </c>
    </row>
    <row r="130" spans="1:25" ht="23.1" customHeight="1" x14ac:dyDescent="0.25">
      <c r="A130" s="1" t="s">
        <v>53</v>
      </c>
      <c r="D130" s="3" t="s">
        <v>1174</v>
      </c>
      <c r="E130" s="15" t="s">
        <v>333</v>
      </c>
      <c r="F130" s="15" t="s">
        <v>333</v>
      </c>
      <c r="G130" s="15" t="str">
        <f>IFERROR(VLOOKUP(D130,[5]成飞半成品!$A:$B,2,0),VLOOKUP(D130,[5]九院成本!$A$4:$B$48,2,0))</f>
        <v>梁（左件）</v>
      </c>
      <c r="H130" s="3" t="s">
        <v>147</v>
      </c>
      <c r="I130" s="3">
        <v>55</v>
      </c>
      <c r="J130" s="18" t="s">
        <v>1086</v>
      </c>
      <c r="K130" s="3">
        <v>2</v>
      </c>
      <c r="L130" s="3">
        <v>2</v>
      </c>
      <c r="M130" s="19">
        <v>30</v>
      </c>
      <c r="N130" s="19">
        <v>30</v>
      </c>
      <c r="O130" s="5" t="s">
        <v>335</v>
      </c>
      <c r="P130" s="4"/>
      <c r="Q130" s="18">
        <v>720</v>
      </c>
      <c r="R130" s="3"/>
      <c r="S130" s="6"/>
      <c r="T130" s="22"/>
      <c r="V130" s="23">
        <v>24</v>
      </c>
      <c r="W130" s="24" t="s">
        <v>3</v>
      </c>
    </row>
    <row r="131" spans="1:25" ht="23.1" customHeight="1" x14ac:dyDescent="0.25">
      <c r="A131" s="1" t="s">
        <v>53</v>
      </c>
      <c r="D131" s="3" t="s">
        <v>917</v>
      </c>
      <c r="E131" s="15" t="s">
        <v>311</v>
      </c>
      <c r="F131" s="15" t="s">
        <v>311</v>
      </c>
      <c r="G131" s="15" t="str">
        <f>IFERROR(VLOOKUP(D131,[5]成飞半成品!$A:$B,2,0),VLOOKUP(D131,[5]九院成本!$A$4:$B$48,2,0))</f>
        <v>樑</v>
      </c>
      <c r="H131" s="3" t="s">
        <v>80</v>
      </c>
      <c r="I131" s="3" t="s">
        <v>201</v>
      </c>
      <c r="J131" s="18" t="e">
        <v>#N/A</v>
      </c>
      <c r="K131" s="3">
        <v>2</v>
      </c>
      <c r="L131" s="3">
        <v>2</v>
      </c>
      <c r="M131" s="19">
        <v>30</v>
      </c>
      <c r="N131" s="19">
        <v>30</v>
      </c>
      <c r="O131" s="5" t="s">
        <v>336</v>
      </c>
      <c r="P131" s="4"/>
      <c r="Q131" s="18">
        <v>0</v>
      </c>
      <c r="R131" s="3"/>
      <c r="S131" s="6"/>
      <c r="T131" s="22"/>
      <c r="U131" s="7">
        <v>6</v>
      </c>
      <c r="V131" s="23">
        <v>6</v>
      </c>
      <c r="W131" s="24" t="s">
        <v>3</v>
      </c>
      <c r="X131" s="7" t="s">
        <v>337</v>
      </c>
      <c r="Y131" s="7" t="s">
        <v>203</v>
      </c>
    </row>
    <row r="132" spans="1:25" ht="23.1" customHeight="1" x14ac:dyDescent="0.25">
      <c r="A132" s="1" t="s">
        <v>53</v>
      </c>
      <c r="D132" s="3" t="s">
        <v>338</v>
      </c>
      <c r="E132" s="15" t="s">
        <v>339</v>
      </c>
      <c r="F132" s="15" t="s">
        <v>339</v>
      </c>
      <c r="G132" s="15" t="str">
        <f>IFERROR(VLOOKUP(D132,[5]成飞半成品!$A:$B,2,0),VLOOKUP(D132,[5]九院成本!$A$4:$B$48,2,0))</f>
        <v>11140框右下半框</v>
      </c>
      <c r="H132" s="3" t="s">
        <v>147</v>
      </c>
      <c r="I132" s="3">
        <v>60</v>
      </c>
      <c r="J132" s="18" t="s">
        <v>1100</v>
      </c>
      <c r="K132" s="3">
        <v>2</v>
      </c>
      <c r="L132" s="3">
        <v>2</v>
      </c>
      <c r="M132" s="19">
        <v>30</v>
      </c>
      <c r="N132" s="19">
        <v>30</v>
      </c>
      <c r="O132" s="5" t="s">
        <v>335</v>
      </c>
      <c r="P132" s="4"/>
      <c r="Q132" s="18">
        <v>560</v>
      </c>
      <c r="R132" s="3"/>
      <c r="S132" s="6"/>
      <c r="T132" s="22"/>
      <c r="V132" s="23">
        <v>18.7</v>
      </c>
      <c r="W132" s="24" t="s">
        <v>3</v>
      </c>
    </row>
    <row r="133" spans="1:25" ht="23.1" customHeight="1" x14ac:dyDescent="0.25">
      <c r="A133" s="1" t="s">
        <v>53</v>
      </c>
      <c r="D133" s="3" t="s">
        <v>338</v>
      </c>
      <c r="E133" s="15" t="s">
        <v>339</v>
      </c>
      <c r="F133" s="15" t="s">
        <v>339</v>
      </c>
      <c r="G133" s="15" t="str">
        <f>IFERROR(VLOOKUP(D133,[5]成飞半成品!$A:$B,2,0),VLOOKUP(D133,[5]九院成本!$A$4:$B$48,2,0))</f>
        <v>11140框右下半框</v>
      </c>
      <c r="H133" s="3" t="s">
        <v>147</v>
      </c>
      <c r="I133" s="3" t="s">
        <v>340</v>
      </c>
      <c r="J133" s="18" t="e">
        <v>#N/A</v>
      </c>
      <c r="K133" s="3">
        <v>2</v>
      </c>
      <c r="L133" s="3">
        <v>2</v>
      </c>
      <c r="M133" s="19">
        <v>30</v>
      </c>
      <c r="N133" s="19">
        <v>30</v>
      </c>
      <c r="O133" s="5" t="s">
        <v>335</v>
      </c>
      <c r="P133" s="4"/>
      <c r="Q133" s="18">
        <v>90</v>
      </c>
      <c r="R133" s="3"/>
      <c r="S133" s="6"/>
      <c r="T133" s="22"/>
      <c r="V133" s="23">
        <v>3</v>
      </c>
      <c r="W133" s="24" t="s">
        <v>3</v>
      </c>
      <c r="X133" s="7" t="s">
        <v>341</v>
      </c>
      <c r="Y133" s="7" t="s">
        <v>203</v>
      </c>
    </row>
    <row r="134" spans="1:25" ht="23.1" customHeight="1" x14ac:dyDescent="0.25">
      <c r="A134" s="1" t="s">
        <v>213</v>
      </c>
      <c r="D134" s="3" t="s">
        <v>342</v>
      </c>
      <c r="E134" s="15" t="s">
        <v>319</v>
      </c>
      <c r="F134" s="15" t="e">
        <v>#N/A</v>
      </c>
      <c r="G134" s="15" t="e">
        <f>IFERROR(VLOOKUP(D134,[5]成飞半成品!$A:$B,2,0),VLOOKUP(D134,[5]九院成本!$A$4:$B$48,2,0))</f>
        <v>#N/A</v>
      </c>
      <c r="H134" s="3" t="s">
        <v>51</v>
      </c>
      <c r="I134" s="3" t="s">
        <v>340</v>
      </c>
      <c r="J134" s="18" t="e">
        <v>#N/A</v>
      </c>
      <c r="K134" s="3">
        <v>10</v>
      </c>
      <c r="L134" s="3">
        <v>10</v>
      </c>
      <c r="M134" s="19">
        <v>30</v>
      </c>
      <c r="N134" s="19">
        <v>30</v>
      </c>
      <c r="O134" s="5" t="s">
        <v>343</v>
      </c>
      <c r="P134" s="4"/>
      <c r="Q134" s="18">
        <v>45</v>
      </c>
      <c r="R134" s="3"/>
      <c r="S134" s="6"/>
      <c r="T134" s="22"/>
      <c r="V134" s="23">
        <v>7.5</v>
      </c>
      <c r="W134" s="24" t="s">
        <v>3</v>
      </c>
      <c r="X134" s="7" t="s">
        <v>344</v>
      </c>
      <c r="Y134" s="7" t="s">
        <v>203</v>
      </c>
    </row>
    <row r="135" spans="1:25" ht="23.1" customHeight="1" x14ac:dyDescent="0.25">
      <c r="A135" s="1" t="s">
        <v>213</v>
      </c>
      <c r="D135" s="3" t="s">
        <v>328</v>
      </c>
      <c r="E135" s="15" t="s">
        <v>329</v>
      </c>
      <c r="F135" s="15" t="s">
        <v>329</v>
      </c>
      <c r="G135" s="15" t="str">
        <f>IFERROR(VLOOKUP(D135,[5]成飞半成品!$A:$B,2,0),VLOOKUP(D135,[5]九院成本!$A$4:$B$48,2,0))</f>
        <v>辅助动力舱口盖前段</v>
      </c>
      <c r="H135" s="3" t="s">
        <v>46</v>
      </c>
      <c r="I135" s="3">
        <v>50</v>
      </c>
      <c r="J135" s="18" t="s">
        <v>1077</v>
      </c>
      <c r="K135" s="3">
        <v>2</v>
      </c>
      <c r="L135" s="3">
        <v>2</v>
      </c>
      <c r="M135" s="19">
        <v>30</v>
      </c>
      <c r="N135" s="19">
        <v>30</v>
      </c>
      <c r="O135" s="5" t="s">
        <v>343</v>
      </c>
      <c r="P135" s="4"/>
      <c r="Q135" s="18">
        <v>480</v>
      </c>
      <c r="R135" s="3"/>
      <c r="S135" s="6"/>
      <c r="T135" s="22"/>
      <c r="V135" s="23">
        <v>16</v>
      </c>
      <c r="W135" s="24" t="s">
        <v>3</v>
      </c>
    </row>
    <row r="136" spans="1:25" ht="23.1" customHeight="1" x14ac:dyDescent="0.25">
      <c r="A136" s="1" t="s">
        <v>213</v>
      </c>
      <c r="D136" s="3" t="s">
        <v>328</v>
      </c>
      <c r="E136" s="15" t="s">
        <v>329</v>
      </c>
      <c r="F136" s="15" t="s">
        <v>329</v>
      </c>
      <c r="G136" s="15" t="str">
        <f>IFERROR(VLOOKUP(D136,[5]成飞半成品!$A:$B,2,0),VLOOKUP(D136,[5]九院成本!$A$4:$B$48,2,0))</f>
        <v>辅助动力舱口盖前段</v>
      </c>
      <c r="H136" s="3" t="s">
        <v>46</v>
      </c>
      <c r="I136" s="3">
        <v>52</v>
      </c>
      <c r="J136" s="18" t="e">
        <v>#N/A</v>
      </c>
      <c r="K136" s="3">
        <v>2</v>
      </c>
      <c r="L136" s="3">
        <v>2</v>
      </c>
      <c r="M136" s="19">
        <v>30</v>
      </c>
      <c r="N136" s="19">
        <v>30</v>
      </c>
      <c r="O136" s="5" t="s">
        <v>343</v>
      </c>
      <c r="P136" s="4"/>
      <c r="Q136" s="18">
        <v>120</v>
      </c>
      <c r="R136" s="3"/>
      <c r="S136" s="6"/>
      <c r="T136" s="22"/>
      <c r="V136" s="23">
        <v>4</v>
      </c>
      <c r="W136" s="24" t="s">
        <v>3</v>
      </c>
    </row>
    <row r="137" spans="1:25" ht="23.1" customHeight="1" x14ac:dyDescent="0.25">
      <c r="A137" s="1" t="s">
        <v>213</v>
      </c>
      <c r="D137" s="3" t="s">
        <v>345</v>
      </c>
      <c r="E137" s="15" t="s">
        <v>346</v>
      </c>
      <c r="F137" s="15" t="s">
        <v>346</v>
      </c>
      <c r="G137" s="15" t="str">
        <f>IFERROR(VLOOKUP(D137,[5]成飞半成品!$A:$B,2,0),VLOOKUP(D137,[5]九院成本!$A$4:$B$48,2,0))</f>
        <v>18框前33长桁</v>
      </c>
      <c r="H137" s="3" t="s">
        <v>64</v>
      </c>
      <c r="I137" s="3">
        <v>65</v>
      </c>
      <c r="J137" s="18" t="s">
        <v>1091</v>
      </c>
      <c r="K137" s="3">
        <v>1</v>
      </c>
      <c r="L137" s="3">
        <v>1</v>
      </c>
      <c r="M137" s="19">
        <v>30</v>
      </c>
      <c r="N137" s="19">
        <v>30</v>
      </c>
      <c r="O137" s="5" t="s">
        <v>347</v>
      </c>
      <c r="P137" s="4"/>
      <c r="Q137" s="18">
        <v>390</v>
      </c>
      <c r="R137" s="3"/>
      <c r="S137" s="6"/>
      <c r="T137" s="22"/>
      <c r="V137" s="23">
        <v>6.5</v>
      </c>
      <c r="W137" s="24" t="s">
        <v>3</v>
      </c>
    </row>
    <row r="138" spans="1:25" ht="23.1" customHeight="1" x14ac:dyDescent="0.25">
      <c r="A138" s="1" t="s">
        <v>58</v>
      </c>
      <c r="D138" s="25" t="s">
        <v>1200</v>
      </c>
      <c r="E138" s="15" t="s">
        <v>302</v>
      </c>
      <c r="F138" s="15" t="e">
        <v>#N/A</v>
      </c>
      <c r="G138" s="15" t="e">
        <f>IFERROR(VLOOKUP(D138,[5]成飞半成品!$A:$B,2,0),VLOOKUP(D138,[5]九院成本!$A$4:$B$48,2,0))</f>
        <v>#N/A</v>
      </c>
      <c r="H138" s="3" t="s">
        <v>46</v>
      </c>
      <c r="I138" s="3">
        <v>35</v>
      </c>
      <c r="J138" s="18" t="e">
        <v>#N/A</v>
      </c>
      <c r="K138" s="3">
        <v>4</v>
      </c>
      <c r="L138" s="3">
        <v>4</v>
      </c>
      <c r="M138" s="19">
        <v>30</v>
      </c>
      <c r="N138" s="19">
        <v>30</v>
      </c>
      <c r="O138" s="5" t="s">
        <v>349</v>
      </c>
      <c r="P138" s="4"/>
      <c r="Q138" s="18">
        <v>150</v>
      </c>
      <c r="R138" s="3"/>
      <c r="S138" s="6"/>
      <c r="T138" s="22"/>
      <c r="V138" s="23">
        <v>10</v>
      </c>
      <c r="W138" s="24" t="s">
        <v>3</v>
      </c>
    </row>
    <row r="139" spans="1:25" ht="23.1" customHeight="1" x14ac:dyDescent="0.25">
      <c r="A139" s="1" t="s">
        <v>58</v>
      </c>
      <c r="D139" s="3" t="s">
        <v>1174</v>
      </c>
      <c r="E139" s="15" t="s">
        <v>333</v>
      </c>
      <c r="F139" s="15" t="s">
        <v>333</v>
      </c>
      <c r="G139" s="15" t="str">
        <f>IFERROR(VLOOKUP(D139,[5]成飞半成品!$A:$B,2,0),VLOOKUP(D139,[5]九院成本!$A$4:$B$48,2,0))</f>
        <v>梁（左件）</v>
      </c>
      <c r="H139" s="3" t="s">
        <v>147</v>
      </c>
      <c r="I139" s="3" t="s">
        <v>340</v>
      </c>
      <c r="J139" s="18" t="e">
        <v>#N/A</v>
      </c>
      <c r="K139" s="3">
        <v>4</v>
      </c>
      <c r="L139" s="3">
        <v>4</v>
      </c>
      <c r="M139" s="19">
        <v>30</v>
      </c>
      <c r="N139" s="19">
        <v>30</v>
      </c>
      <c r="O139" s="5" t="s">
        <v>350</v>
      </c>
      <c r="P139" s="4"/>
      <c r="Q139" s="18">
        <v>120</v>
      </c>
      <c r="R139" s="3"/>
      <c r="S139" s="6"/>
      <c r="T139" s="22"/>
      <c r="V139" s="23">
        <v>8</v>
      </c>
      <c r="W139" s="24" t="s">
        <v>3</v>
      </c>
      <c r="X139" s="7" t="s">
        <v>351</v>
      </c>
      <c r="Y139" s="7" t="s">
        <v>203</v>
      </c>
    </row>
    <row r="140" spans="1:25" ht="23.1" customHeight="1" x14ac:dyDescent="0.25">
      <c r="A140" s="1" t="s">
        <v>58</v>
      </c>
      <c r="D140" s="3" t="s">
        <v>122</v>
      </c>
      <c r="E140" s="15" t="s">
        <v>123</v>
      </c>
      <c r="F140" s="15" t="s">
        <v>123</v>
      </c>
      <c r="G140" s="15" t="str">
        <f>IFERROR(VLOOKUP(D140,[5]成飞半成品!$A:$B,2,0),VLOOKUP(D140,[5]九院成本!$A$4:$B$48,2,0))</f>
        <v>9350-11140左侧上梁</v>
      </c>
      <c r="H140" s="3" t="s">
        <v>51</v>
      </c>
      <c r="I140" s="3">
        <v>60</v>
      </c>
      <c r="J140" s="18" t="s">
        <v>1100</v>
      </c>
      <c r="K140" s="3">
        <v>1</v>
      </c>
      <c r="L140" s="3">
        <v>1</v>
      </c>
      <c r="M140" s="19">
        <v>30</v>
      </c>
      <c r="N140" s="19">
        <v>30</v>
      </c>
      <c r="O140" s="5" t="s">
        <v>141</v>
      </c>
      <c r="P140" s="4"/>
      <c r="Q140" s="18">
        <v>720</v>
      </c>
      <c r="R140" s="3"/>
      <c r="S140" s="6"/>
      <c r="T140" s="22"/>
      <c r="V140" s="23">
        <v>12</v>
      </c>
      <c r="W140" s="24" t="s">
        <v>3</v>
      </c>
    </row>
    <row r="141" spans="1:25" ht="23.1" customHeight="1" x14ac:dyDescent="0.25">
      <c r="A141" s="1" t="s">
        <v>58</v>
      </c>
      <c r="D141" s="3" t="s">
        <v>352</v>
      </c>
      <c r="E141" s="15" t="s">
        <v>353</v>
      </c>
      <c r="F141" s="15" t="s">
        <v>353</v>
      </c>
      <c r="G141" s="15" t="str">
        <f>IFERROR(VLOOKUP(D141,[5]成飞半成品!$A:$B,2,0),VLOOKUP(D141,[5]九院成本!$A$4:$B$48,2,0))</f>
        <v>前端框</v>
      </c>
      <c r="H141" s="3" t="s">
        <v>51</v>
      </c>
      <c r="I141" s="3">
        <v>60</v>
      </c>
      <c r="J141" s="18" t="s">
        <v>1100</v>
      </c>
      <c r="K141" s="3">
        <v>2</v>
      </c>
      <c r="L141" s="3">
        <v>2</v>
      </c>
      <c r="M141" s="19">
        <v>30</v>
      </c>
      <c r="N141" s="19">
        <v>30</v>
      </c>
      <c r="O141" s="5" t="s">
        <v>354</v>
      </c>
      <c r="P141" s="4"/>
      <c r="Q141" s="18">
        <v>300</v>
      </c>
      <c r="R141" s="3"/>
      <c r="S141" s="6"/>
      <c r="T141" s="22"/>
      <c r="V141" s="23">
        <v>10</v>
      </c>
      <c r="W141" s="24" t="s">
        <v>3</v>
      </c>
    </row>
    <row r="142" spans="1:25" ht="23.1" customHeight="1" x14ac:dyDescent="0.25">
      <c r="A142" s="1" t="s">
        <v>65</v>
      </c>
      <c r="D142" s="3" t="s">
        <v>355</v>
      </c>
      <c r="E142" s="15" t="s">
        <v>356</v>
      </c>
      <c r="F142" s="15" t="s">
        <v>356</v>
      </c>
      <c r="G142" s="15" t="str">
        <f>IFERROR(VLOOKUP(D142,[5]成飞半成品!$A:$B,2,0),VLOOKUP(D142,[5]九院成本!$A$4:$B$48,2,0))</f>
        <v>后端框</v>
      </c>
      <c r="H142" s="3" t="s">
        <v>147</v>
      </c>
      <c r="I142" s="3">
        <v>60</v>
      </c>
      <c r="J142" s="18" t="s">
        <v>1100</v>
      </c>
      <c r="K142" s="3">
        <v>6</v>
      </c>
      <c r="L142" s="3">
        <v>2</v>
      </c>
      <c r="M142" s="19">
        <v>30</v>
      </c>
      <c r="N142" s="19">
        <v>30</v>
      </c>
      <c r="O142" s="5" t="s">
        <v>357</v>
      </c>
      <c r="P142" s="4"/>
      <c r="Q142" s="18">
        <v>420</v>
      </c>
      <c r="R142" s="3"/>
      <c r="S142" s="6"/>
      <c r="T142" s="22"/>
      <c r="V142" s="23">
        <v>14</v>
      </c>
      <c r="W142" s="24" t="s">
        <v>3</v>
      </c>
    </row>
    <row r="143" spans="1:25" ht="23.1" customHeight="1" x14ac:dyDescent="0.25">
      <c r="A143" s="1" t="s">
        <v>65</v>
      </c>
      <c r="D143" s="3" t="s">
        <v>358</v>
      </c>
      <c r="E143" s="15" t="s">
        <v>359</v>
      </c>
      <c r="F143" s="15" t="e">
        <v>#N/A</v>
      </c>
      <c r="G143" s="15" t="e">
        <f>IFERROR(VLOOKUP(D143,[5]成飞半成品!$A:$B,2,0),VLOOKUP(D143,[5]九院成本!$A$4:$B$48,2,0))</f>
        <v>#N/A</v>
      </c>
      <c r="H143" s="3" t="s">
        <v>46</v>
      </c>
      <c r="I143" s="3">
        <v>15</v>
      </c>
      <c r="J143" s="18" t="e">
        <v>#N/A</v>
      </c>
      <c r="K143" s="3">
        <v>2</v>
      </c>
      <c r="L143" s="3">
        <v>2</v>
      </c>
      <c r="M143" s="19">
        <v>30</v>
      </c>
      <c r="N143" s="19">
        <v>30</v>
      </c>
      <c r="O143" s="5" t="s">
        <v>360</v>
      </c>
      <c r="P143" s="4"/>
      <c r="Q143" s="18">
        <v>150</v>
      </c>
      <c r="R143" s="3"/>
      <c r="S143" s="6"/>
      <c r="T143" s="22"/>
      <c r="V143" s="23">
        <v>5</v>
      </c>
      <c r="W143" s="24" t="s">
        <v>3</v>
      </c>
    </row>
    <row r="144" spans="1:25" ht="23.1" customHeight="1" x14ac:dyDescent="0.25">
      <c r="A144" s="1" t="s">
        <v>65</v>
      </c>
      <c r="D144" s="3" t="s">
        <v>122</v>
      </c>
      <c r="E144" s="15" t="s">
        <v>123</v>
      </c>
      <c r="F144" s="15" t="s">
        <v>123</v>
      </c>
      <c r="G144" s="15" t="str">
        <f>IFERROR(VLOOKUP(D144,[5]成飞半成品!$A:$B,2,0),VLOOKUP(D144,[5]九院成本!$A$4:$B$48,2,0))</f>
        <v>9350-11140左侧上梁</v>
      </c>
      <c r="H144" s="3" t="s">
        <v>51</v>
      </c>
      <c r="I144" s="3">
        <v>60</v>
      </c>
      <c r="J144" s="18" t="s">
        <v>1100</v>
      </c>
      <c r="K144" s="3">
        <v>1</v>
      </c>
      <c r="L144" s="3">
        <v>1</v>
      </c>
      <c r="M144" s="19">
        <v>30</v>
      </c>
      <c r="N144" s="19">
        <v>30</v>
      </c>
      <c r="O144" s="5" t="s">
        <v>142</v>
      </c>
      <c r="P144" s="4"/>
      <c r="Q144" s="18">
        <v>720</v>
      </c>
      <c r="R144" s="3"/>
      <c r="S144" s="6"/>
      <c r="T144" s="22"/>
      <c r="V144" s="23">
        <v>12</v>
      </c>
      <c r="W144" s="24" t="s">
        <v>3</v>
      </c>
    </row>
    <row r="145" spans="1:25" ht="23.1" customHeight="1" x14ac:dyDescent="0.25">
      <c r="A145" s="1" t="s">
        <v>65</v>
      </c>
      <c r="D145" s="3" t="s">
        <v>122</v>
      </c>
      <c r="E145" s="15" t="s">
        <v>123</v>
      </c>
      <c r="F145" s="15" t="s">
        <v>123</v>
      </c>
      <c r="G145" s="15" t="str">
        <f>IFERROR(VLOOKUP(D145,[5]成飞半成品!$A:$B,2,0),VLOOKUP(D145,[5]九院成本!$A$4:$B$48,2,0))</f>
        <v>9350-11140左侧上梁</v>
      </c>
      <c r="H145" s="3" t="s">
        <v>51</v>
      </c>
      <c r="I145" s="3" t="s">
        <v>340</v>
      </c>
      <c r="J145" s="18" t="e">
        <v>#N/A</v>
      </c>
      <c r="K145" s="3">
        <v>2</v>
      </c>
      <c r="L145" s="3">
        <v>2</v>
      </c>
      <c r="M145" s="19">
        <v>30</v>
      </c>
      <c r="N145" s="19">
        <v>30</v>
      </c>
      <c r="O145" s="5" t="s">
        <v>361</v>
      </c>
      <c r="P145" s="4"/>
      <c r="Q145" s="18">
        <v>240</v>
      </c>
      <c r="R145" s="3"/>
      <c r="S145" s="6"/>
      <c r="T145" s="22"/>
      <c r="V145" s="23">
        <v>8</v>
      </c>
      <c r="W145" s="24" t="s">
        <v>3</v>
      </c>
      <c r="X145" s="7" t="s">
        <v>362</v>
      </c>
      <c r="Y145" s="7" t="s">
        <v>203</v>
      </c>
    </row>
    <row r="146" spans="1:25" ht="23.1" customHeight="1" x14ac:dyDescent="0.25">
      <c r="A146" s="1" t="s">
        <v>71</v>
      </c>
      <c r="D146" s="3" t="s">
        <v>363</v>
      </c>
      <c r="E146" s="15" t="s">
        <v>353</v>
      </c>
      <c r="F146" s="15" t="s">
        <v>353</v>
      </c>
      <c r="G146" s="15" t="str">
        <f>IFERROR(VLOOKUP(D146,[5]成飞半成品!$A:$B,2,0),VLOOKUP(D146,[5]九院成本!$A$4:$B$48,2,0))</f>
        <v>前端框</v>
      </c>
      <c r="H146" s="3" t="s">
        <v>51</v>
      </c>
      <c r="I146" s="3">
        <v>60</v>
      </c>
      <c r="J146" s="18" t="s">
        <v>1100</v>
      </c>
      <c r="K146" s="3">
        <v>6</v>
      </c>
      <c r="L146" s="3">
        <v>6</v>
      </c>
      <c r="M146" s="19">
        <v>30</v>
      </c>
      <c r="N146" s="19">
        <v>30</v>
      </c>
      <c r="O146" s="5" t="s">
        <v>357</v>
      </c>
      <c r="P146" s="4"/>
      <c r="Q146" s="18">
        <v>300</v>
      </c>
      <c r="R146" s="3"/>
      <c r="S146" s="6"/>
      <c r="T146" s="22"/>
      <c r="V146" s="23">
        <v>30</v>
      </c>
      <c r="W146" s="24" t="s">
        <v>3</v>
      </c>
    </row>
    <row r="147" spans="1:25" ht="23.1" customHeight="1" x14ac:dyDescent="0.25">
      <c r="A147" s="1" t="s">
        <v>71</v>
      </c>
      <c r="D147" s="3" t="s">
        <v>364</v>
      </c>
      <c r="E147" s="15" t="s">
        <v>302</v>
      </c>
      <c r="F147" s="15" t="e">
        <v>#N/A</v>
      </c>
      <c r="G147" s="15" t="e">
        <f>IFERROR(VLOOKUP(D147,[5]成飞半成品!$A:$B,2,0),VLOOKUP(D147,[5]九院成本!$A$4:$B$48,2,0))</f>
        <v>#N/A</v>
      </c>
      <c r="H147" s="3" t="s">
        <v>46</v>
      </c>
      <c r="I147" s="3" t="s">
        <v>340</v>
      </c>
      <c r="J147" s="18" t="e">
        <v>#N/A</v>
      </c>
      <c r="K147" s="3">
        <v>4</v>
      </c>
      <c r="L147" s="3">
        <v>4</v>
      </c>
      <c r="M147" s="19">
        <v>30</v>
      </c>
      <c r="N147" s="19">
        <v>30</v>
      </c>
      <c r="O147" s="5" t="s">
        <v>349</v>
      </c>
      <c r="P147" s="4"/>
      <c r="Q147" s="18">
        <v>30</v>
      </c>
      <c r="R147" s="3"/>
      <c r="S147" s="6"/>
      <c r="T147" s="22"/>
      <c r="V147" s="23">
        <v>2</v>
      </c>
      <c r="W147" s="24" t="s">
        <v>3</v>
      </c>
      <c r="Y147" s="7" t="s">
        <v>203</v>
      </c>
    </row>
    <row r="148" spans="1:25" ht="23.1" customHeight="1" x14ac:dyDescent="0.25">
      <c r="A148" s="1" t="s">
        <v>71</v>
      </c>
      <c r="D148" s="3" t="s">
        <v>365</v>
      </c>
      <c r="E148" s="15" t="s">
        <v>146</v>
      </c>
      <c r="F148" s="15" t="e">
        <v>#N/A</v>
      </c>
      <c r="G148" s="15" t="e">
        <f>IFERROR(VLOOKUP(D148,[5]成飞半成品!$A:$B,2,0),VLOOKUP(D148,[5]九院成本!$A$4:$B$48,2,0))</f>
        <v>#N/A</v>
      </c>
      <c r="H148" s="3" t="s">
        <v>147</v>
      </c>
      <c r="I148" s="3">
        <v>75</v>
      </c>
      <c r="J148" s="18" t="s">
        <v>1085</v>
      </c>
      <c r="K148" s="3">
        <v>2</v>
      </c>
      <c r="L148" s="3">
        <v>2</v>
      </c>
      <c r="M148" s="19">
        <v>30</v>
      </c>
      <c r="N148" s="19">
        <v>30</v>
      </c>
      <c r="O148" s="5" t="s">
        <v>366</v>
      </c>
      <c r="P148" s="4"/>
      <c r="Q148" s="18">
        <v>600</v>
      </c>
      <c r="R148" s="3"/>
      <c r="S148" s="6"/>
      <c r="T148" s="22"/>
      <c r="V148" s="23">
        <v>20</v>
      </c>
      <c r="W148" s="24" t="s">
        <v>3</v>
      </c>
    </row>
    <row r="149" spans="1:25" ht="23.1" customHeight="1" x14ac:dyDescent="0.25">
      <c r="A149" s="1" t="s">
        <v>71</v>
      </c>
      <c r="D149" s="3" t="s">
        <v>365</v>
      </c>
      <c r="E149" s="15" t="s">
        <v>146</v>
      </c>
      <c r="F149" s="15" t="e">
        <v>#N/A</v>
      </c>
      <c r="G149" s="15" t="e">
        <f>IFERROR(VLOOKUP(D149,[5]成飞半成品!$A:$B,2,0),VLOOKUP(D149,[5]九院成本!$A$4:$B$48,2,0))</f>
        <v>#N/A</v>
      </c>
      <c r="H149" s="3" t="s">
        <v>147</v>
      </c>
      <c r="I149" s="3">
        <v>75</v>
      </c>
      <c r="J149" s="18" t="s">
        <v>1085</v>
      </c>
      <c r="K149" s="3">
        <v>4</v>
      </c>
      <c r="L149" s="3">
        <v>4</v>
      </c>
      <c r="M149" s="19">
        <v>30</v>
      </c>
      <c r="N149" s="19">
        <v>30</v>
      </c>
      <c r="O149" s="5" t="s">
        <v>367</v>
      </c>
      <c r="P149" s="4"/>
      <c r="Q149" s="18">
        <v>600</v>
      </c>
      <c r="R149" s="3"/>
      <c r="S149" s="6"/>
      <c r="T149" s="22"/>
      <c r="V149" s="23">
        <v>40</v>
      </c>
      <c r="W149" s="24" t="s">
        <v>3</v>
      </c>
    </row>
    <row r="150" spans="1:25" ht="23.1" customHeight="1" x14ac:dyDescent="0.25">
      <c r="A150" s="1" t="s">
        <v>368</v>
      </c>
      <c r="D150" s="3" t="s">
        <v>345</v>
      </c>
      <c r="E150" s="15" t="s">
        <v>346</v>
      </c>
      <c r="F150" s="15" t="s">
        <v>346</v>
      </c>
      <c r="G150" s="15" t="str">
        <f>IFERROR(VLOOKUP(D150,[5]成飞半成品!$A:$B,2,0),VLOOKUP(D150,[5]九院成本!$A$4:$B$48,2,0))</f>
        <v>18框前33长桁</v>
      </c>
      <c r="H150" s="3" t="s">
        <v>64</v>
      </c>
      <c r="I150" s="3">
        <v>65</v>
      </c>
      <c r="J150" s="18" t="s">
        <v>1091</v>
      </c>
      <c r="K150" s="3">
        <v>2</v>
      </c>
      <c r="L150" s="3">
        <v>2</v>
      </c>
      <c r="M150" s="19">
        <v>30</v>
      </c>
      <c r="N150" s="19">
        <v>30</v>
      </c>
      <c r="O150" s="5" t="s">
        <v>369</v>
      </c>
      <c r="P150" s="4"/>
      <c r="Q150" s="18">
        <v>390</v>
      </c>
      <c r="R150" s="3"/>
      <c r="S150" s="6"/>
      <c r="T150" s="22"/>
      <c r="V150" s="23">
        <v>13</v>
      </c>
      <c r="W150" s="24" t="s">
        <v>3</v>
      </c>
    </row>
    <row r="151" spans="1:25" ht="23.1" customHeight="1" x14ac:dyDescent="0.25">
      <c r="A151" s="1" t="s">
        <v>368</v>
      </c>
      <c r="D151" s="3" t="s">
        <v>370</v>
      </c>
      <c r="E151" s="15" t="s">
        <v>55</v>
      </c>
      <c r="F151" s="15" t="s">
        <v>55</v>
      </c>
      <c r="G151" s="15" t="str">
        <f>IFERROR(VLOOKUP(D151,[5]成飞半成品!$A:$B,2,0),VLOOKUP(D151,[5]九院成本!$A$4:$B$48,2,0))</f>
        <v>接头</v>
      </c>
      <c r="H151" s="3" t="s">
        <v>80</v>
      </c>
      <c r="I151" s="3">
        <v>60</v>
      </c>
      <c r="J151" s="18" t="s">
        <v>1100</v>
      </c>
      <c r="K151" s="3">
        <v>2</v>
      </c>
      <c r="L151" s="3">
        <v>2</v>
      </c>
      <c r="M151" s="19">
        <v>30</v>
      </c>
      <c r="N151" s="19">
        <v>30</v>
      </c>
      <c r="O151" s="5" t="s">
        <v>81</v>
      </c>
      <c r="P151" s="4"/>
      <c r="Q151" s="18">
        <v>90</v>
      </c>
      <c r="R151" s="3"/>
      <c r="S151" s="6"/>
      <c r="T151" s="22"/>
      <c r="V151" s="23">
        <v>3</v>
      </c>
      <c r="W151" s="24" t="s">
        <v>3</v>
      </c>
    </row>
    <row r="152" spans="1:25" ht="23.1" customHeight="1" x14ac:dyDescent="0.25">
      <c r="A152" s="1" t="s">
        <v>368</v>
      </c>
      <c r="D152" s="3" t="s">
        <v>122</v>
      </c>
      <c r="E152" s="15" t="s">
        <v>123</v>
      </c>
      <c r="F152" s="15" t="s">
        <v>123</v>
      </c>
      <c r="G152" s="15" t="str">
        <f>IFERROR(VLOOKUP(D152,[5]成飞半成品!$A:$B,2,0),VLOOKUP(D152,[5]九院成本!$A$4:$B$48,2,0))</f>
        <v>9350-11140左侧上梁</v>
      </c>
      <c r="H152" s="3" t="s">
        <v>51</v>
      </c>
      <c r="I152" s="3" t="s">
        <v>340</v>
      </c>
      <c r="J152" s="18" t="e">
        <v>#N/A</v>
      </c>
      <c r="K152" s="3">
        <v>1</v>
      </c>
      <c r="L152" s="3">
        <v>1</v>
      </c>
      <c r="M152" s="19">
        <v>30</v>
      </c>
      <c r="N152" s="19">
        <v>30</v>
      </c>
      <c r="O152" s="5" t="s">
        <v>142</v>
      </c>
      <c r="P152" s="4"/>
      <c r="Q152" s="18">
        <v>120</v>
      </c>
      <c r="R152" s="3"/>
      <c r="S152" s="6"/>
      <c r="T152" s="22"/>
      <c r="V152" s="23">
        <v>2</v>
      </c>
      <c r="W152" s="24" t="s">
        <v>3</v>
      </c>
      <c r="X152" s="7" t="s">
        <v>351</v>
      </c>
      <c r="Y152" s="7" t="s">
        <v>203</v>
      </c>
    </row>
    <row r="153" spans="1:25" ht="23.1" customHeight="1" x14ac:dyDescent="0.25">
      <c r="A153" s="1" t="s">
        <v>368</v>
      </c>
      <c r="D153" s="3" t="s">
        <v>371</v>
      </c>
      <c r="E153" s="15" t="s">
        <v>372</v>
      </c>
      <c r="F153" s="15" t="e">
        <v>#N/A</v>
      </c>
      <c r="G153" s="15" t="e">
        <f>IFERROR(VLOOKUP(D153,[5]成飞半成品!$A:$B,2,0),VLOOKUP(D153,[5]九院成本!$A$4:$B$48,2,0))</f>
        <v>#N/A</v>
      </c>
      <c r="H153" s="3" t="s">
        <v>64</v>
      </c>
      <c r="I153" s="3">
        <v>40</v>
      </c>
      <c r="J153" s="18" t="e">
        <v>#N/A</v>
      </c>
      <c r="K153" s="3">
        <v>4</v>
      </c>
      <c r="L153" s="3">
        <v>3</v>
      </c>
      <c r="M153" s="19">
        <v>8</v>
      </c>
      <c r="N153" s="19">
        <v>8</v>
      </c>
      <c r="O153" s="5" t="s">
        <v>373</v>
      </c>
      <c r="P153" s="4"/>
      <c r="Q153" s="18">
        <v>60</v>
      </c>
      <c r="R153" s="3"/>
      <c r="S153" s="6"/>
      <c r="T153" s="22"/>
      <c r="V153" s="23">
        <v>3</v>
      </c>
      <c r="W153" s="24" t="s">
        <v>3</v>
      </c>
    </row>
    <row r="154" spans="1:25" ht="23.1" customHeight="1" x14ac:dyDescent="0.25">
      <c r="A154" s="1" t="s">
        <v>74</v>
      </c>
      <c r="D154" s="3" t="s">
        <v>1177</v>
      </c>
      <c r="E154" s="15" t="s">
        <v>146</v>
      </c>
      <c r="F154" s="15" t="s">
        <v>146</v>
      </c>
      <c r="G154" s="15" t="str">
        <f>IFERROR(VLOOKUP(D154,[5]成飞半成品!$A:$B,2,0),VLOOKUP(D154,[5]九院成本!$A$4:$B$48,2,0))</f>
        <v>8270左隔框</v>
      </c>
      <c r="H154" s="3" t="s">
        <v>147</v>
      </c>
      <c r="I154" s="3" t="s">
        <v>340</v>
      </c>
      <c r="J154" s="18" t="e">
        <v>#N/A</v>
      </c>
      <c r="K154" s="3">
        <v>3</v>
      </c>
      <c r="L154" s="3">
        <v>3</v>
      </c>
      <c r="M154" s="19">
        <v>30</v>
      </c>
      <c r="N154" s="19">
        <v>30</v>
      </c>
      <c r="O154" s="5" t="s">
        <v>148</v>
      </c>
      <c r="P154" s="4"/>
      <c r="Q154" s="18">
        <v>120</v>
      </c>
      <c r="R154" s="3"/>
      <c r="S154" s="6"/>
      <c r="T154" s="22"/>
      <c r="V154" s="23">
        <v>6</v>
      </c>
      <c r="W154" s="24" t="s">
        <v>3</v>
      </c>
      <c r="X154" s="7" t="s">
        <v>351</v>
      </c>
      <c r="Y154" s="7" t="s">
        <v>203</v>
      </c>
    </row>
    <row r="155" spans="1:25" ht="23.1" customHeight="1" x14ac:dyDescent="0.25">
      <c r="A155" s="1" t="s">
        <v>74</v>
      </c>
      <c r="D155" s="3" t="s">
        <v>345</v>
      </c>
      <c r="E155" s="15" t="s">
        <v>346</v>
      </c>
      <c r="F155" s="15" t="s">
        <v>346</v>
      </c>
      <c r="G155" s="15" t="str">
        <f>IFERROR(VLOOKUP(D155,[5]成飞半成品!$A:$B,2,0),VLOOKUP(D155,[5]九院成本!$A$4:$B$48,2,0))</f>
        <v>18框前33长桁</v>
      </c>
      <c r="H155" s="3" t="s">
        <v>64</v>
      </c>
      <c r="I155" s="3" t="s">
        <v>340</v>
      </c>
      <c r="J155" s="18" t="e">
        <v>#N/A</v>
      </c>
      <c r="K155" s="3">
        <v>2</v>
      </c>
      <c r="L155" s="3">
        <v>2</v>
      </c>
      <c r="M155" s="19">
        <v>30</v>
      </c>
      <c r="N155" s="19">
        <v>30</v>
      </c>
      <c r="O155" s="5" t="s">
        <v>369</v>
      </c>
      <c r="P155" s="4"/>
      <c r="Q155" s="18">
        <v>30</v>
      </c>
      <c r="R155" s="3"/>
      <c r="S155" s="6"/>
      <c r="T155" s="22"/>
      <c r="V155" s="23">
        <v>1</v>
      </c>
      <c r="W155" s="24" t="s">
        <v>3</v>
      </c>
      <c r="Y155" s="7" t="s">
        <v>203</v>
      </c>
    </row>
    <row r="156" spans="1:25" ht="23.1" customHeight="1" x14ac:dyDescent="0.25">
      <c r="A156" s="1" t="s">
        <v>74</v>
      </c>
      <c r="D156" s="3" t="s">
        <v>374</v>
      </c>
      <c r="E156" s="15" t="s">
        <v>375</v>
      </c>
      <c r="F156" s="15" t="s">
        <v>375</v>
      </c>
      <c r="G156" s="15" t="str">
        <f>IFERROR(VLOOKUP(D156,[5]成飞半成品!$A:$B,2,0),VLOOKUP(D156,[5]九院成本!$A$4:$B$48,2,0))</f>
        <v>口盖</v>
      </c>
      <c r="H156" s="3" t="s">
        <v>147</v>
      </c>
      <c r="I156" s="3">
        <v>35</v>
      </c>
      <c r="J156" s="18" t="s">
        <v>1072</v>
      </c>
      <c r="K156" s="3">
        <v>11</v>
      </c>
      <c r="L156" s="3">
        <v>11</v>
      </c>
      <c r="M156" s="19">
        <v>30</v>
      </c>
      <c r="N156" s="19">
        <v>30</v>
      </c>
      <c r="O156" s="5" t="s">
        <v>376</v>
      </c>
      <c r="P156" s="4"/>
      <c r="Q156" s="18">
        <v>30</v>
      </c>
      <c r="R156" s="3"/>
      <c r="S156" s="6"/>
      <c r="T156" s="22"/>
      <c r="V156" s="23">
        <v>5.5</v>
      </c>
      <c r="W156" s="24" t="s">
        <v>3</v>
      </c>
    </row>
    <row r="157" spans="1:25" ht="23.1" customHeight="1" x14ac:dyDescent="0.25">
      <c r="A157" s="1" t="s">
        <v>74</v>
      </c>
      <c r="D157" s="3" t="s">
        <v>374</v>
      </c>
      <c r="E157" s="15" t="s">
        <v>375</v>
      </c>
      <c r="F157" s="15" t="s">
        <v>375</v>
      </c>
      <c r="G157" s="15" t="str">
        <f>IFERROR(VLOOKUP(D157,[5]成飞半成品!$A:$B,2,0),VLOOKUP(D157,[5]九院成本!$A$4:$B$48,2,0))</f>
        <v>口盖</v>
      </c>
      <c r="H157" s="3" t="s">
        <v>147</v>
      </c>
      <c r="I157" s="3" t="s">
        <v>340</v>
      </c>
      <c r="J157" s="18" t="e">
        <v>#N/A</v>
      </c>
      <c r="K157" s="3">
        <v>11</v>
      </c>
      <c r="L157" s="3">
        <v>11</v>
      </c>
      <c r="M157" s="19">
        <v>30</v>
      </c>
      <c r="N157" s="19">
        <v>30</v>
      </c>
      <c r="O157" s="5" t="s">
        <v>376</v>
      </c>
      <c r="P157" s="4"/>
      <c r="Q157" s="18">
        <v>25</v>
      </c>
      <c r="R157" s="3"/>
      <c r="S157" s="6"/>
      <c r="T157" s="22"/>
      <c r="V157" s="23">
        <v>4.5999999999999996</v>
      </c>
      <c r="W157" s="24" t="s">
        <v>3</v>
      </c>
      <c r="X157" s="7" t="s">
        <v>377</v>
      </c>
      <c r="Y157" s="7" t="s">
        <v>203</v>
      </c>
    </row>
    <row r="158" spans="1:25" ht="23.1" customHeight="1" x14ac:dyDescent="0.25">
      <c r="A158" s="1" t="s">
        <v>82</v>
      </c>
      <c r="D158" s="3" t="s">
        <v>355</v>
      </c>
      <c r="E158" s="15" t="s">
        <v>356</v>
      </c>
      <c r="F158" s="15" t="s">
        <v>356</v>
      </c>
      <c r="G158" s="15" t="str">
        <f>IFERROR(VLOOKUP(D158,[5]成飞半成品!$A:$B,2,0),VLOOKUP(D158,[5]九院成本!$A$4:$B$48,2,0))</f>
        <v>后端框</v>
      </c>
      <c r="H158" s="3" t="s">
        <v>147</v>
      </c>
      <c r="I158" s="3">
        <v>60</v>
      </c>
      <c r="J158" s="18" t="s">
        <v>1100</v>
      </c>
      <c r="K158" s="3">
        <v>6</v>
      </c>
      <c r="L158" s="3">
        <v>2</v>
      </c>
      <c r="M158" s="19">
        <v>30</v>
      </c>
      <c r="N158" s="19">
        <v>30</v>
      </c>
      <c r="O158" s="5" t="s">
        <v>357</v>
      </c>
      <c r="P158" s="4"/>
      <c r="Q158" s="18">
        <v>420</v>
      </c>
      <c r="R158" s="3"/>
      <c r="S158" s="6"/>
      <c r="T158" s="22"/>
      <c r="V158" s="23">
        <v>14</v>
      </c>
      <c r="W158" s="24" t="s">
        <v>3</v>
      </c>
    </row>
    <row r="159" spans="1:25" ht="23.1" customHeight="1" x14ac:dyDescent="0.25">
      <c r="A159" s="1" t="s">
        <v>82</v>
      </c>
      <c r="D159" s="3" t="s">
        <v>1161</v>
      </c>
      <c r="E159" s="15" t="s">
        <v>132</v>
      </c>
      <c r="F159" s="15" t="s">
        <v>132</v>
      </c>
      <c r="G159" s="15" t="str">
        <f>IFERROR(VLOOKUP(D159,[5]成飞半成品!$A:$B,2,0),VLOOKUP(D159,[5]九院成本!$A$4:$B$48,2,0))</f>
        <v>工装</v>
      </c>
      <c r="H159" s="3" t="s">
        <v>133</v>
      </c>
      <c r="I159" s="3">
        <v>75</v>
      </c>
      <c r="J159" s="18" t="s">
        <v>1085</v>
      </c>
      <c r="K159" s="3">
        <v>1</v>
      </c>
      <c r="L159" s="3">
        <v>1</v>
      </c>
      <c r="M159" s="19">
        <v>30</v>
      </c>
      <c r="N159" s="19">
        <v>30</v>
      </c>
      <c r="O159" s="5" t="s">
        <v>143</v>
      </c>
      <c r="P159" s="4"/>
      <c r="Q159" s="18">
        <v>420</v>
      </c>
      <c r="R159" s="3"/>
      <c r="S159" s="6"/>
      <c r="T159" s="22"/>
      <c r="V159" s="23">
        <v>7</v>
      </c>
      <c r="W159" s="24" t="s">
        <v>3</v>
      </c>
      <c r="X159" s="7" t="s">
        <v>378</v>
      </c>
    </row>
    <row r="160" spans="1:25" ht="23.1" customHeight="1" x14ac:dyDescent="0.25">
      <c r="A160" s="1" t="s">
        <v>82</v>
      </c>
      <c r="D160" s="3" t="s">
        <v>379</v>
      </c>
      <c r="E160" s="15" t="s">
        <v>380</v>
      </c>
      <c r="F160" s="15" t="s">
        <v>380</v>
      </c>
      <c r="G160" s="15" t="str">
        <f>IFERROR(VLOOKUP(D160,[5]成飞半成品!$A:$B,2,0),VLOOKUP(D160,[5]九院成本!$A$4:$B$48,2,0))</f>
        <v>根肋三段</v>
      </c>
      <c r="H160" s="3" t="s">
        <v>46</v>
      </c>
      <c r="I160" s="3">
        <v>70</v>
      </c>
      <c r="J160" s="18" t="s">
        <v>1103</v>
      </c>
      <c r="K160" s="3">
        <v>1</v>
      </c>
      <c r="L160" s="3">
        <v>1</v>
      </c>
      <c r="M160" s="19">
        <v>30</v>
      </c>
      <c r="N160" s="19">
        <v>30</v>
      </c>
      <c r="O160" s="5" t="s">
        <v>134</v>
      </c>
      <c r="P160" s="4"/>
      <c r="Q160" s="18">
        <v>600</v>
      </c>
      <c r="R160" s="3"/>
      <c r="S160" s="6"/>
      <c r="T160" s="22"/>
      <c r="V160" s="23">
        <v>10</v>
      </c>
      <c r="W160" s="24" t="s">
        <v>3</v>
      </c>
    </row>
    <row r="161" spans="1:25" ht="23.1" customHeight="1" x14ac:dyDescent="0.25">
      <c r="A161" s="1" t="s">
        <v>82</v>
      </c>
      <c r="D161" s="3" t="s">
        <v>363</v>
      </c>
      <c r="E161" s="15" t="s">
        <v>353</v>
      </c>
      <c r="F161" s="15" t="s">
        <v>353</v>
      </c>
      <c r="G161" s="15" t="str">
        <f>IFERROR(VLOOKUP(D161,[5]成飞半成品!$A:$B,2,0),VLOOKUP(D161,[5]九院成本!$A$4:$B$48,2,0))</f>
        <v>前端框</v>
      </c>
      <c r="H161" s="3" t="s">
        <v>51</v>
      </c>
      <c r="I161" s="3" t="s">
        <v>340</v>
      </c>
      <c r="J161" s="18" t="e">
        <v>#N/A</v>
      </c>
      <c r="K161" s="3">
        <v>6</v>
      </c>
      <c r="L161" s="3">
        <v>6</v>
      </c>
      <c r="M161" s="19">
        <v>30</v>
      </c>
      <c r="N161" s="19">
        <v>30</v>
      </c>
      <c r="O161" s="5" t="s">
        <v>357</v>
      </c>
      <c r="P161" s="4"/>
      <c r="Q161" s="18">
        <v>60</v>
      </c>
      <c r="R161" s="3"/>
      <c r="S161" s="6"/>
      <c r="T161" s="22"/>
      <c r="V161" s="23">
        <v>6</v>
      </c>
      <c r="W161" s="24" t="s">
        <v>3</v>
      </c>
      <c r="X161" s="7" t="s">
        <v>381</v>
      </c>
      <c r="Y161" s="7" t="s">
        <v>203</v>
      </c>
    </row>
    <row r="162" spans="1:25" ht="23.1" customHeight="1" x14ac:dyDescent="0.25">
      <c r="A162" s="1" t="s">
        <v>89</v>
      </c>
      <c r="D162" s="3" t="s">
        <v>862</v>
      </c>
      <c r="E162" s="15" t="s">
        <v>383</v>
      </c>
      <c r="F162" s="15" t="s">
        <v>383</v>
      </c>
      <c r="G162" s="15" t="str">
        <f>IFERROR(VLOOKUP(D162,[5]成飞半成品!$A:$B,2,0),VLOOKUP(D162,[5]九院成本!$A$4:$B$48,2,0))</f>
        <v>1号下壁板</v>
      </c>
      <c r="H162" s="3" t="s">
        <v>114</v>
      </c>
      <c r="I162" s="3">
        <v>15</v>
      </c>
      <c r="J162" s="18" t="s">
        <v>1071</v>
      </c>
      <c r="K162" s="3">
        <v>2</v>
      </c>
      <c r="L162" s="3">
        <v>2</v>
      </c>
      <c r="M162" s="19">
        <v>30</v>
      </c>
      <c r="N162" s="19">
        <v>30</v>
      </c>
      <c r="O162" s="5" t="s">
        <v>384</v>
      </c>
      <c r="P162" s="4"/>
      <c r="Q162" s="18">
        <v>720</v>
      </c>
      <c r="R162" s="3"/>
      <c r="S162" s="6"/>
      <c r="T162" s="22"/>
      <c r="V162" s="23">
        <v>24</v>
      </c>
      <c r="W162" s="24" t="s">
        <v>3</v>
      </c>
    </row>
    <row r="163" spans="1:25" ht="23.1" customHeight="1" x14ac:dyDescent="0.25">
      <c r="A163" s="1" t="s">
        <v>89</v>
      </c>
      <c r="D163" s="3" t="s">
        <v>153</v>
      </c>
      <c r="E163" s="15" t="s">
        <v>154</v>
      </c>
      <c r="F163" s="15" t="s">
        <v>154</v>
      </c>
      <c r="G163" s="15" t="str">
        <f>IFERROR(VLOOKUP(D163,[5]成飞半成品!$A:$B,2,0),VLOOKUP(D163,[5]九院成本!$A$4:$B$48,2,0))</f>
        <v>9350-11140右侧上梁</v>
      </c>
      <c r="H163" s="3" t="s">
        <v>385</v>
      </c>
      <c r="I163" s="3">
        <v>50</v>
      </c>
      <c r="J163" s="18" t="s">
        <v>1077</v>
      </c>
      <c r="K163" s="3">
        <v>1</v>
      </c>
      <c r="L163" s="3">
        <v>1</v>
      </c>
      <c r="M163" s="19">
        <v>30</v>
      </c>
      <c r="N163" s="19">
        <v>30</v>
      </c>
      <c r="O163" s="5" t="s">
        <v>156</v>
      </c>
      <c r="P163" s="4"/>
      <c r="Q163" s="18">
        <v>720</v>
      </c>
      <c r="R163" s="3"/>
      <c r="S163" s="6"/>
      <c r="T163" s="22"/>
      <c r="V163" s="23">
        <v>12</v>
      </c>
      <c r="W163" s="24" t="s">
        <v>3</v>
      </c>
    </row>
    <row r="164" spans="1:25" ht="23.1" customHeight="1" x14ac:dyDescent="0.25">
      <c r="A164" s="1" t="s">
        <v>89</v>
      </c>
      <c r="D164" s="3" t="s">
        <v>386</v>
      </c>
      <c r="E164" s="15" t="s">
        <v>387</v>
      </c>
      <c r="F164" s="15" t="s">
        <v>387</v>
      </c>
      <c r="G164" s="15" t="str">
        <f>IFERROR(VLOOKUP(D164,[5]成飞半成品!$A:$B,2,0),VLOOKUP(D164,[5]九院成本!$A$4:$B$48,2,0))</f>
        <v>9555侧隔框</v>
      </c>
      <c r="H164" s="3" t="s">
        <v>114</v>
      </c>
      <c r="I164" s="3">
        <v>55</v>
      </c>
      <c r="J164" s="18" t="s">
        <v>1086</v>
      </c>
      <c r="K164" s="3">
        <v>4</v>
      </c>
      <c r="L164" s="3">
        <v>4</v>
      </c>
      <c r="M164" s="19">
        <v>30</v>
      </c>
      <c r="N164" s="19">
        <v>30</v>
      </c>
      <c r="O164" s="5" t="s">
        <v>388</v>
      </c>
      <c r="P164" s="4"/>
      <c r="Q164" s="18">
        <v>480</v>
      </c>
      <c r="R164" s="3"/>
      <c r="S164" s="6"/>
      <c r="T164" s="22"/>
      <c r="V164" s="23">
        <v>32</v>
      </c>
      <c r="W164" s="24" t="s">
        <v>3</v>
      </c>
    </row>
    <row r="165" spans="1:25" ht="23.1" customHeight="1" x14ac:dyDescent="0.25">
      <c r="A165" s="1" t="s">
        <v>89</v>
      </c>
      <c r="D165" s="3" t="s">
        <v>358</v>
      </c>
      <c r="E165" s="15" t="s">
        <v>359</v>
      </c>
      <c r="F165" s="15" t="e">
        <v>#N/A</v>
      </c>
      <c r="G165" s="15" t="e">
        <f>IFERROR(VLOOKUP(D165,[5]成飞半成品!$A:$B,2,0),VLOOKUP(D165,[5]九院成本!$A$4:$B$48,2,0))</f>
        <v>#N/A</v>
      </c>
      <c r="H165" s="3" t="s">
        <v>46</v>
      </c>
      <c r="I165" s="3">
        <v>15</v>
      </c>
      <c r="J165" s="18" t="e">
        <v>#N/A</v>
      </c>
      <c r="K165" s="3">
        <v>2</v>
      </c>
      <c r="L165" s="3">
        <v>2</v>
      </c>
      <c r="M165" s="19">
        <v>30</v>
      </c>
      <c r="N165" s="19">
        <v>30</v>
      </c>
      <c r="O165" s="5" t="s">
        <v>389</v>
      </c>
      <c r="P165" s="4"/>
      <c r="Q165" s="18">
        <v>150</v>
      </c>
      <c r="R165" s="3"/>
      <c r="S165" s="6"/>
      <c r="T165" s="22"/>
      <c r="V165" s="23">
        <v>5</v>
      </c>
      <c r="W165" s="24" t="s">
        <v>3</v>
      </c>
      <c r="X165" s="7" t="s">
        <v>390</v>
      </c>
    </row>
    <row r="166" spans="1:25" ht="23.1" customHeight="1" x14ac:dyDescent="0.25">
      <c r="A166" s="1" t="s">
        <v>100</v>
      </c>
      <c r="D166" s="3" t="s">
        <v>391</v>
      </c>
      <c r="E166" s="15" t="s">
        <v>387</v>
      </c>
      <c r="F166" s="15" t="s">
        <v>387</v>
      </c>
      <c r="G166" s="15" t="str">
        <f>IFERROR(VLOOKUP(D166,[5]成飞半成品!$A:$B,2,0),VLOOKUP(D166,[5]九院成本!$A$4:$B$48,2,0))</f>
        <v>9555侧隔框</v>
      </c>
      <c r="H166" s="3" t="s">
        <v>114</v>
      </c>
      <c r="I166" s="3">
        <v>55</v>
      </c>
      <c r="J166" s="18" t="s">
        <v>1086</v>
      </c>
      <c r="K166" s="3">
        <v>1</v>
      </c>
      <c r="L166" s="3">
        <v>1</v>
      </c>
      <c r="M166" s="19">
        <v>30</v>
      </c>
      <c r="N166" s="19">
        <v>30</v>
      </c>
      <c r="O166" s="5" t="s">
        <v>392</v>
      </c>
      <c r="P166" s="4"/>
      <c r="Q166" s="18">
        <v>480</v>
      </c>
      <c r="R166" s="3"/>
      <c r="S166" s="6"/>
      <c r="T166" s="22"/>
      <c r="V166" s="23">
        <v>8</v>
      </c>
      <c r="W166" s="24" t="s">
        <v>3</v>
      </c>
    </row>
    <row r="167" spans="1:25" ht="23.1" customHeight="1" x14ac:dyDescent="0.25">
      <c r="A167" s="1" t="s">
        <v>100</v>
      </c>
      <c r="D167" s="3" t="s">
        <v>862</v>
      </c>
      <c r="E167" s="15" t="s">
        <v>383</v>
      </c>
      <c r="F167" s="15" t="s">
        <v>383</v>
      </c>
      <c r="G167" s="15" t="str">
        <f>IFERROR(VLOOKUP(D167,[5]成飞半成品!$A:$B,2,0),VLOOKUP(D167,[5]九院成本!$A$4:$B$48,2,0))</f>
        <v>1号下壁板</v>
      </c>
      <c r="H167" s="3" t="s">
        <v>51</v>
      </c>
      <c r="I167" s="3">
        <v>15</v>
      </c>
      <c r="J167" s="18" t="e">
        <v>#N/A</v>
      </c>
      <c r="K167" s="3">
        <v>2</v>
      </c>
      <c r="L167" s="3">
        <v>2</v>
      </c>
      <c r="M167" s="19">
        <v>30</v>
      </c>
      <c r="N167" s="19">
        <v>30</v>
      </c>
      <c r="O167" s="5" t="s">
        <v>393</v>
      </c>
      <c r="P167" s="4"/>
      <c r="Q167" s="18">
        <v>720</v>
      </c>
      <c r="R167" s="3"/>
      <c r="S167" s="6"/>
      <c r="T167" s="22"/>
      <c r="V167" s="23">
        <v>24</v>
      </c>
      <c r="W167" s="24" t="s">
        <v>3</v>
      </c>
    </row>
    <row r="168" spans="1:25" ht="23.1" customHeight="1" x14ac:dyDescent="0.25">
      <c r="A168" s="1" t="s">
        <v>394</v>
      </c>
      <c r="D168" s="3" t="s">
        <v>548</v>
      </c>
      <c r="E168" s="15" t="s">
        <v>396</v>
      </c>
      <c r="F168" s="15" t="s">
        <v>396</v>
      </c>
      <c r="G168" s="15" t="str">
        <f>IFERROR(VLOOKUP(D168,[5]成飞半成品!$A:$B,2,0),VLOOKUP(D168,[5]九院成本!$A$4:$B$48,2,0))</f>
        <v>三通管接头</v>
      </c>
      <c r="I168" s="3" t="s">
        <v>340</v>
      </c>
      <c r="J168" s="18" t="e">
        <v>#N/A</v>
      </c>
      <c r="K168" s="3">
        <v>20</v>
      </c>
      <c r="L168" s="3">
        <v>20</v>
      </c>
      <c r="M168" s="19">
        <v>30</v>
      </c>
      <c r="N168" s="19">
        <v>30</v>
      </c>
      <c r="O168" s="5" t="s">
        <v>85</v>
      </c>
      <c r="P168" s="4"/>
      <c r="Q168" s="18">
        <v>45</v>
      </c>
      <c r="R168" s="3"/>
      <c r="S168" s="6"/>
      <c r="T168" s="22"/>
      <c r="V168" s="23">
        <v>15</v>
      </c>
      <c r="W168" s="24" t="s">
        <v>11</v>
      </c>
      <c r="X168" s="7" t="s">
        <v>397</v>
      </c>
      <c r="Y168" s="7" t="s">
        <v>203</v>
      </c>
    </row>
    <row r="169" spans="1:25" ht="23.1" customHeight="1" x14ac:dyDescent="0.25">
      <c r="A169" s="1" t="s">
        <v>58</v>
      </c>
      <c r="D169" s="3" t="s">
        <v>909</v>
      </c>
      <c r="E169" s="15" t="s">
        <v>399</v>
      </c>
      <c r="F169" s="15" t="s">
        <v>399</v>
      </c>
      <c r="G169" s="15" t="str">
        <f>IFERROR(VLOOKUP(D169,[5]成飞半成品!$A:$B,2,0),VLOOKUP(D169,[5]九院成本!$A$4:$B$48,2,0))</f>
        <v>根肋一段</v>
      </c>
      <c r="H169" s="3" t="s">
        <v>51</v>
      </c>
      <c r="I169" s="3">
        <v>60</v>
      </c>
      <c r="J169" s="18" t="s">
        <v>1100</v>
      </c>
      <c r="K169" s="3">
        <v>6</v>
      </c>
      <c r="L169" s="3">
        <v>6</v>
      </c>
      <c r="M169" s="19">
        <v>30</v>
      </c>
      <c r="N169" s="19">
        <v>30</v>
      </c>
      <c r="O169" s="5" t="s">
        <v>324</v>
      </c>
      <c r="P169" s="4"/>
      <c r="Q169" s="18">
        <v>120</v>
      </c>
      <c r="R169" s="3"/>
      <c r="S169" s="6"/>
      <c r="T169" s="22"/>
      <c r="V169" s="23">
        <v>12</v>
      </c>
      <c r="W169" s="24" t="s">
        <v>11</v>
      </c>
    </row>
    <row r="170" spans="1:25" ht="23.1" customHeight="1" x14ac:dyDescent="0.25">
      <c r="A170" s="1" t="s">
        <v>58</v>
      </c>
      <c r="D170" s="3" t="s">
        <v>909</v>
      </c>
      <c r="E170" s="15" t="s">
        <v>399</v>
      </c>
      <c r="F170" s="15" t="s">
        <v>399</v>
      </c>
      <c r="G170" s="15" t="str">
        <f>IFERROR(VLOOKUP(D170,[5]成飞半成品!$A:$B,2,0),VLOOKUP(D170,[5]九院成本!$A$4:$B$48,2,0))</f>
        <v>根肋一段</v>
      </c>
      <c r="H170" s="3" t="s">
        <v>51</v>
      </c>
      <c r="I170" s="3" t="s">
        <v>340</v>
      </c>
      <c r="J170" s="18" t="e">
        <v>#N/A</v>
      </c>
      <c r="K170" s="3">
        <v>6</v>
      </c>
      <c r="L170" s="3">
        <v>6</v>
      </c>
      <c r="M170" s="19">
        <v>30</v>
      </c>
      <c r="N170" s="19">
        <v>30</v>
      </c>
      <c r="P170" s="4"/>
      <c r="Q170" s="18">
        <v>60</v>
      </c>
      <c r="R170" s="3"/>
      <c r="S170" s="6"/>
      <c r="T170" s="22"/>
      <c r="V170" s="23">
        <v>6</v>
      </c>
      <c r="W170" s="24" t="s">
        <v>11</v>
      </c>
      <c r="X170" s="7" t="s">
        <v>400</v>
      </c>
      <c r="Y170" s="7" t="s">
        <v>203</v>
      </c>
    </row>
    <row r="171" spans="1:25" ht="23.1" customHeight="1" x14ac:dyDescent="0.25">
      <c r="A171" s="1" t="s">
        <v>65</v>
      </c>
      <c r="D171" s="3" t="s">
        <v>401</v>
      </c>
      <c r="E171" s="15" t="s">
        <v>402</v>
      </c>
      <c r="F171" s="15" t="s">
        <v>402</v>
      </c>
      <c r="G171" s="15" t="str">
        <f>IFERROR(VLOOKUP(D171,[5]成飞半成品!$A:$B,2,0),VLOOKUP(D171,[5]九院成本!$A$4:$B$48,2,0))</f>
        <v>前肋</v>
      </c>
      <c r="H171" s="3" t="s">
        <v>46</v>
      </c>
      <c r="I171" s="3">
        <v>40</v>
      </c>
      <c r="J171" s="18" t="s">
        <v>1069</v>
      </c>
      <c r="K171" s="3">
        <v>1</v>
      </c>
      <c r="L171" s="3">
        <v>1</v>
      </c>
      <c r="M171" s="19">
        <v>30</v>
      </c>
      <c r="N171" s="19">
        <v>30</v>
      </c>
      <c r="O171" s="5" t="s">
        <v>403</v>
      </c>
      <c r="P171" s="4"/>
      <c r="Q171" s="18">
        <v>50</v>
      </c>
      <c r="R171" s="3"/>
      <c r="S171" s="6"/>
      <c r="T171" s="22"/>
      <c r="V171" s="23">
        <v>0.8</v>
      </c>
      <c r="W171" s="24" t="s">
        <v>11</v>
      </c>
    </row>
    <row r="172" spans="1:25" ht="23.1" customHeight="1" x14ac:dyDescent="0.25">
      <c r="A172" s="1" t="s">
        <v>58</v>
      </c>
      <c r="D172" s="3" t="s">
        <v>404</v>
      </c>
      <c r="E172" s="15" t="s">
        <v>405</v>
      </c>
      <c r="F172" s="15" t="s">
        <v>405</v>
      </c>
      <c r="G172" s="15" t="str">
        <f>IFERROR(VLOOKUP(D172,[5]成飞半成品!$A:$B,2,0),VLOOKUP(D172,[5]九院成本!$A$4:$B$48,2,0))</f>
        <v>主动油总管四通</v>
      </c>
      <c r="H172" s="3" t="s">
        <v>46</v>
      </c>
      <c r="I172" s="3">
        <v>60</v>
      </c>
      <c r="J172" s="18" t="s">
        <v>1100</v>
      </c>
      <c r="K172" s="3">
        <v>20</v>
      </c>
      <c r="L172" s="3">
        <v>20</v>
      </c>
      <c r="M172" s="19">
        <v>30</v>
      </c>
      <c r="N172" s="19">
        <v>30</v>
      </c>
      <c r="O172" s="5" t="s">
        <v>92</v>
      </c>
      <c r="P172" s="4"/>
      <c r="Q172" s="18">
        <v>90</v>
      </c>
      <c r="R172" s="3"/>
      <c r="S172" s="6"/>
      <c r="T172" s="22"/>
      <c r="V172" s="23">
        <v>30</v>
      </c>
      <c r="W172" s="24" t="s">
        <v>11</v>
      </c>
    </row>
    <row r="173" spans="1:25" ht="23.1" customHeight="1" x14ac:dyDescent="0.25">
      <c r="A173" s="1" t="s">
        <v>213</v>
      </c>
      <c r="D173" s="3" t="s">
        <v>406</v>
      </c>
      <c r="E173" s="15" t="s">
        <v>407</v>
      </c>
      <c r="F173" s="15" t="s">
        <v>407</v>
      </c>
      <c r="G173" s="15" t="str">
        <f>IFERROR(VLOOKUP(D173,[5]成飞半成品!$A:$B,2,0),VLOOKUP(D173,[5]九院成本!$A$4:$B$48,2,0))</f>
        <v>外侧轴承盖</v>
      </c>
      <c r="H173" s="3" t="s">
        <v>64</v>
      </c>
      <c r="I173" s="3">
        <v>50</v>
      </c>
      <c r="J173" s="18" t="s">
        <v>1077</v>
      </c>
      <c r="K173" s="3">
        <v>20</v>
      </c>
      <c r="L173" s="3">
        <v>20</v>
      </c>
      <c r="M173" s="19">
        <v>30</v>
      </c>
      <c r="N173" s="19">
        <v>30</v>
      </c>
      <c r="O173" s="5" t="s">
        <v>92</v>
      </c>
      <c r="P173" s="4"/>
      <c r="Q173" s="18">
        <v>90</v>
      </c>
      <c r="R173" s="3"/>
      <c r="S173" s="6"/>
      <c r="T173" s="22"/>
      <c r="V173" s="23">
        <v>30</v>
      </c>
      <c r="W173" s="24" t="s">
        <v>11</v>
      </c>
    </row>
    <row r="174" spans="1:25" ht="23.1" customHeight="1" x14ac:dyDescent="0.25">
      <c r="A174" s="1" t="s">
        <v>71</v>
      </c>
      <c r="D174" s="3" t="s">
        <v>138</v>
      </c>
      <c r="E174" s="15" t="s">
        <v>139</v>
      </c>
      <c r="F174" s="15" t="s">
        <v>139</v>
      </c>
      <c r="G174" s="15" t="str">
        <f>IFERROR(VLOOKUP(D174,[5]成飞半成品!$A:$B,2,0),VLOOKUP(D174,[5]九院成本!$A$4:$B$48,2,0))</f>
        <v>8635左隔框</v>
      </c>
      <c r="H174" s="3" t="s">
        <v>114</v>
      </c>
      <c r="I174" s="3">
        <v>45</v>
      </c>
      <c r="J174" s="18" t="s">
        <v>1073</v>
      </c>
      <c r="K174" s="3">
        <v>1</v>
      </c>
      <c r="L174" s="3">
        <v>1</v>
      </c>
      <c r="M174" s="19">
        <v>30</v>
      </c>
      <c r="N174" s="19">
        <v>30</v>
      </c>
      <c r="O174" s="5" t="s">
        <v>140</v>
      </c>
      <c r="P174" s="4"/>
      <c r="Q174" s="18">
        <v>480</v>
      </c>
      <c r="R174" s="3"/>
      <c r="S174" s="6"/>
      <c r="T174" s="22"/>
      <c r="V174" s="23">
        <v>8</v>
      </c>
      <c r="W174" s="24" t="s">
        <v>11</v>
      </c>
    </row>
    <row r="175" spans="1:25" ht="23.1" customHeight="1" x14ac:dyDescent="0.25">
      <c r="A175" s="1" t="s">
        <v>71</v>
      </c>
      <c r="D175" s="3" t="s">
        <v>128</v>
      </c>
      <c r="E175" s="15" t="s">
        <v>129</v>
      </c>
      <c r="F175" s="15" t="s">
        <v>129</v>
      </c>
      <c r="G175" s="15" t="str">
        <f>IFERROR(VLOOKUP(D175,[5]成飞半成品!$A:$B,2,0),VLOOKUP(D175,[5]九院成本!$A$4:$B$48,2,0))</f>
        <v>8635右隔框</v>
      </c>
      <c r="H175" s="3" t="s">
        <v>114</v>
      </c>
      <c r="I175" s="3">
        <v>45</v>
      </c>
      <c r="J175" s="18" t="s">
        <v>1073</v>
      </c>
      <c r="K175" s="3">
        <v>1</v>
      </c>
      <c r="L175" s="3">
        <v>1</v>
      </c>
      <c r="M175" s="19">
        <v>30</v>
      </c>
      <c r="N175" s="19">
        <v>30</v>
      </c>
      <c r="O175" s="5" t="s">
        <v>408</v>
      </c>
      <c r="P175" s="4"/>
      <c r="Q175" s="18">
        <v>480</v>
      </c>
      <c r="R175" s="3"/>
      <c r="S175" s="6"/>
      <c r="T175" s="22"/>
      <c r="V175" s="23">
        <v>8</v>
      </c>
      <c r="W175" s="24" t="s">
        <v>11</v>
      </c>
    </row>
    <row r="176" spans="1:25" ht="23.1" customHeight="1" x14ac:dyDescent="0.25">
      <c r="A176" s="1" t="s">
        <v>74</v>
      </c>
      <c r="D176" s="3" t="s">
        <v>909</v>
      </c>
      <c r="E176" s="15" t="s">
        <v>399</v>
      </c>
      <c r="F176" s="15" t="s">
        <v>399</v>
      </c>
      <c r="G176" s="15" t="str">
        <f>IFERROR(VLOOKUP(D176,[5]成飞半成品!$A:$B,2,0),VLOOKUP(D176,[5]九院成本!$A$4:$B$48,2,0))</f>
        <v>根肋一段</v>
      </c>
      <c r="H176" s="3" t="s">
        <v>51</v>
      </c>
      <c r="I176" s="3" t="s">
        <v>340</v>
      </c>
      <c r="J176" s="18" t="e">
        <v>#N/A</v>
      </c>
      <c r="K176" s="3">
        <v>6</v>
      </c>
      <c r="L176" s="3">
        <v>6</v>
      </c>
      <c r="M176" s="19">
        <v>30</v>
      </c>
      <c r="N176" s="19">
        <v>30</v>
      </c>
      <c r="O176" s="5" t="s">
        <v>324</v>
      </c>
      <c r="P176" s="4"/>
      <c r="Q176" s="18">
        <v>90</v>
      </c>
      <c r="R176" s="3"/>
      <c r="S176" s="6"/>
      <c r="T176" s="22"/>
      <c r="V176" s="23">
        <v>9</v>
      </c>
      <c r="W176" s="24" t="s">
        <v>11</v>
      </c>
      <c r="X176" s="7" t="s">
        <v>409</v>
      </c>
      <c r="Y176" s="7" t="s">
        <v>203</v>
      </c>
    </row>
    <row r="177" spans="1:25" ht="23.1" customHeight="1" x14ac:dyDescent="0.25">
      <c r="A177" s="1" t="s">
        <v>74</v>
      </c>
      <c r="D177" s="3" t="s">
        <v>410</v>
      </c>
      <c r="E177" s="15" t="s">
        <v>411</v>
      </c>
      <c r="F177" s="15" t="s">
        <v>411</v>
      </c>
      <c r="G177" s="15" t="str">
        <f>IFERROR(VLOOKUP(D177,[5]成飞半成品!$A:$B,2,0),VLOOKUP(D177,[5]九院成本!$A$4:$B$48,2,0))</f>
        <v>氧气瓶支架</v>
      </c>
      <c r="H177" s="3" t="s">
        <v>147</v>
      </c>
      <c r="I177" s="3">
        <v>50</v>
      </c>
      <c r="J177" s="18" t="s">
        <v>1077</v>
      </c>
      <c r="K177" s="3">
        <v>2</v>
      </c>
      <c r="L177" s="3">
        <v>2</v>
      </c>
      <c r="M177" s="19">
        <v>30</v>
      </c>
      <c r="N177" s="19">
        <v>30</v>
      </c>
      <c r="O177" s="5" t="s">
        <v>412</v>
      </c>
      <c r="P177" s="4"/>
      <c r="Q177" s="18">
        <v>600</v>
      </c>
      <c r="R177" s="3"/>
      <c r="S177" s="6"/>
      <c r="T177" s="22"/>
      <c r="V177" s="23">
        <v>20</v>
      </c>
      <c r="W177" s="24" t="s">
        <v>11</v>
      </c>
    </row>
    <row r="178" spans="1:25" ht="23.1" customHeight="1" x14ac:dyDescent="0.25">
      <c r="A178" s="1" t="s">
        <v>82</v>
      </c>
      <c r="D178" s="3" t="s">
        <v>413</v>
      </c>
      <c r="E178" s="15" t="s">
        <v>414</v>
      </c>
      <c r="F178" s="15" t="s">
        <v>414</v>
      </c>
      <c r="G178" s="15" t="str">
        <f>IFERROR(VLOOKUP(D178,[5]成飞半成品!$A:$B,2,0),VLOOKUP(D178,[5]九院成本!$A$4:$B$48,2,0))</f>
        <v>左外侧接头</v>
      </c>
      <c r="H178" s="3" t="s">
        <v>46</v>
      </c>
      <c r="I178" s="3">
        <v>100</v>
      </c>
      <c r="J178" s="18" t="s">
        <v>1104</v>
      </c>
      <c r="K178" s="3">
        <v>1</v>
      </c>
      <c r="L178" s="3">
        <v>1</v>
      </c>
      <c r="M178" s="19">
        <v>30</v>
      </c>
      <c r="N178" s="19">
        <v>30</v>
      </c>
      <c r="O178" s="5" t="s">
        <v>389</v>
      </c>
      <c r="P178" s="4"/>
      <c r="Q178" s="18">
        <v>360</v>
      </c>
      <c r="R178" s="3"/>
      <c r="S178" s="6"/>
      <c r="T178" s="22"/>
      <c r="V178" s="23">
        <v>6</v>
      </c>
      <c r="W178" s="24" t="s">
        <v>11</v>
      </c>
    </row>
    <row r="179" spans="1:25" ht="23.1" customHeight="1" x14ac:dyDescent="0.25">
      <c r="A179" s="1" t="s">
        <v>82</v>
      </c>
      <c r="D179" s="3" t="s">
        <v>415</v>
      </c>
      <c r="E179" s="15" t="s">
        <v>416</v>
      </c>
      <c r="F179" s="15" t="s">
        <v>416</v>
      </c>
      <c r="G179" s="15" t="str">
        <f>IFERROR(VLOOKUP(D179,[5]成飞半成品!$A:$B,2,0),VLOOKUP(D179,[5]九院成本!$A$4:$B$48,2,0))</f>
        <v>右外侧接头</v>
      </c>
      <c r="H179" s="3" t="s">
        <v>46</v>
      </c>
      <c r="I179" s="3">
        <v>100</v>
      </c>
      <c r="J179" s="18" t="s">
        <v>1104</v>
      </c>
      <c r="K179" s="3">
        <v>1</v>
      </c>
      <c r="L179" s="3">
        <v>1</v>
      </c>
      <c r="M179" s="19">
        <v>30</v>
      </c>
      <c r="N179" s="19">
        <v>30</v>
      </c>
      <c r="O179" s="5" t="s">
        <v>389</v>
      </c>
      <c r="P179" s="4"/>
      <c r="Q179" s="18">
        <v>360</v>
      </c>
      <c r="R179" s="3"/>
      <c r="S179" s="6"/>
      <c r="T179" s="22"/>
      <c r="V179" s="23">
        <v>6</v>
      </c>
      <c r="W179" s="24" t="s">
        <v>11</v>
      </c>
    </row>
    <row r="180" spans="1:25" ht="23.1" customHeight="1" x14ac:dyDescent="0.25">
      <c r="A180" s="1" t="s">
        <v>82</v>
      </c>
      <c r="D180" s="3" t="s">
        <v>417</v>
      </c>
      <c r="E180" s="15" t="s">
        <v>418</v>
      </c>
      <c r="F180" s="15" t="s">
        <v>418</v>
      </c>
      <c r="G180" s="15" t="str">
        <f>IFERROR(VLOOKUP(D180,[5]成飞半成品!$A:$B,2,0),VLOOKUP(D180,[5]九院成本!$A$4:$B$48,2,0))</f>
        <v>过渡板</v>
      </c>
      <c r="H180" s="3" t="s">
        <v>155</v>
      </c>
      <c r="I180" s="3">
        <v>60</v>
      </c>
      <c r="J180" s="18" t="s">
        <v>1100</v>
      </c>
      <c r="K180" s="3">
        <v>12</v>
      </c>
      <c r="L180" s="3">
        <v>12</v>
      </c>
      <c r="M180" s="19">
        <v>30</v>
      </c>
      <c r="N180" s="19">
        <v>30</v>
      </c>
      <c r="O180" s="5" t="s">
        <v>419</v>
      </c>
      <c r="P180" s="4"/>
      <c r="Q180" s="18">
        <v>40</v>
      </c>
      <c r="R180" s="3"/>
      <c r="S180" s="6"/>
      <c r="T180" s="22"/>
      <c r="V180" s="23">
        <v>8</v>
      </c>
      <c r="W180" s="24" t="s">
        <v>11</v>
      </c>
    </row>
    <row r="181" spans="1:25" ht="23.1" customHeight="1" x14ac:dyDescent="0.25">
      <c r="A181" s="1" t="s">
        <v>82</v>
      </c>
      <c r="D181" s="3" t="s">
        <v>420</v>
      </c>
      <c r="E181" s="15" t="s">
        <v>421</v>
      </c>
      <c r="F181" s="15" t="s">
        <v>421</v>
      </c>
      <c r="G181" s="15" t="str">
        <f>IFERROR(VLOOKUP(D181,[5]成飞半成品!$A:$B,2,0),VLOOKUP(D181,[5]九院成本!$A$4:$B$48,2,0))</f>
        <v>卡环</v>
      </c>
      <c r="H181" s="3" t="s">
        <v>64</v>
      </c>
      <c r="I181" s="3">
        <v>75</v>
      </c>
      <c r="J181" s="18" t="s">
        <v>1101</v>
      </c>
      <c r="K181" s="3">
        <v>1</v>
      </c>
      <c r="L181" s="3">
        <v>1</v>
      </c>
      <c r="M181" s="19">
        <v>30</v>
      </c>
      <c r="N181" s="19">
        <v>30</v>
      </c>
      <c r="O181" s="5" t="s">
        <v>422</v>
      </c>
      <c r="P181" s="4"/>
      <c r="Q181" s="18">
        <v>300</v>
      </c>
      <c r="R181" s="3"/>
      <c r="S181" s="6"/>
      <c r="T181" s="22"/>
      <c r="V181" s="23">
        <v>5</v>
      </c>
      <c r="W181" s="24" t="s">
        <v>11</v>
      </c>
    </row>
    <row r="182" spans="1:25" ht="23.1" customHeight="1" x14ac:dyDescent="0.25">
      <c r="A182" s="1" t="s">
        <v>82</v>
      </c>
      <c r="D182" s="3" t="s">
        <v>423</v>
      </c>
      <c r="E182" s="15" t="s">
        <v>302</v>
      </c>
      <c r="F182" s="15" t="s">
        <v>302</v>
      </c>
      <c r="G182" s="15" t="str">
        <f>IFERROR(VLOOKUP(D182,[5]成飞半成品!$A:$B,2,0),VLOOKUP(D182,[5]九院成本!$A$4:$B$48,2,0))</f>
        <v>角盒</v>
      </c>
      <c r="H182" s="3" t="s">
        <v>46</v>
      </c>
      <c r="I182" s="3">
        <v>35</v>
      </c>
      <c r="J182" s="18" t="s">
        <v>1075</v>
      </c>
      <c r="K182" s="3">
        <v>1</v>
      </c>
      <c r="L182" s="3">
        <v>1</v>
      </c>
      <c r="M182" s="19">
        <v>30</v>
      </c>
      <c r="N182" s="19">
        <v>30</v>
      </c>
      <c r="O182" s="5" t="s">
        <v>360</v>
      </c>
      <c r="P182" s="4"/>
      <c r="Q182" s="18">
        <v>150</v>
      </c>
      <c r="R182" s="3"/>
      <c r="S182" s="6"/>
      <c r="T182" s="22"/>
      <c r="V182" s="23">
        <v>2.5</v>
      </c>
      <c r="W182" s="24" t="s">
        <v>11</v>
      </c>
    </row>
    <row r="183" spans="1:25" ht="23.1" customHeight="1" x14ac:dyDescent="0.25">
      <c r="A183" s="1" t="s">
        <v>82</v>
      </c>
      <c r="D183" s="3" t="s">
        <v>417</v>
      </c>
      <c r="E183" s="15" t="s">
        <v>418</v>
      </c>
      <c r="F183" s="15" t="s">
        <v>418</v>
      </c>
      <c r="G183" s="15" t="str">
        <f>IFERROR(VLOOKUP(D183,[5]成飞半成品!$A:$B,2,0),VLOOKUP(D183,[5]九院成本!$A$4:$B$48,2,0))</f>
        <v>过渡板</v>
      </c>
      <c r="H183" s="3" t="s">
        <v>155</v>
      </c>
      <c r="I183" s="3" t="s">
        <v>340</v>
      </c>
      <c r="J183" s="18" t="e">
        <v>#N/A</v>
      </c>
      <c r="K183" s="3">
        <v>12</v>
      </c>
      <c r="L183" s="3">
        <v>12</v>
      </c>
      <c r="M183" s="19">
        <v>30</v>
      </c>
      <c r="N183" s="19">
        <v>30</v>
      </c>
      <c r="O183" s="5" t="s">
        <v>419</v>
      </c>
      <c r="P183" s="4"/>
      <c r="Q183" s="18">
        <v>90</v>
      </c>
      <c r="R183" s="3"/>
      <c r="S183" s="6"/>
      <c r="T183" s="22"/>
      <c r="V183" s="23">
        <v>18</v>
      </c>
      <c r="W183" s="24" t="s">
        <v>11</v>
      </c>
      <c r="X183" s="7" t="s">
        <v>424</v>
      </c>
      <c r="Y183" s="7" t="s">
        <v>203</v>
      </c>
    </row>
    <row r="184" spans="1:25" ht="23.1" customHeight="1" x14ac:dyDescent="0.25">
      <c r="A184" s="1" t="s">
        <v>82</v>
      </c>
      <c r="D184" s="3" t="s">
        <v>1181</v>
      </c>
      <c r="E184" s="15" t="s">
        <v>426</v>
      </c>
      <c r="F184" s="15" t="s">
        <v>426</v>
      </c>
      <c r="G184" s="15" t="str">
        <f>IFERROR(VLOOKUP(D184,[5]成飞半成品!$A:$B,2,0),VLOOKUP(D184,[5]九院成本!$A$4:$B$48,2,0))</f>
        <v>4号上壁板（右件）</v>
      </c>
      <c r="H184" s="3" t="s">
        <v>51</v>
      </c>
      <c r="I184" s="3">
        <v>20</v>
      </c>
      <c r="J184" s="18" t="s">
        <v>1105</v>
      </c>
      <c r="K184" s="3">
        <v>4</v>
      </c>
      <c r="L184" s="3">
        <v>4</v>
      </c>
      <c r="M184" s="19">
        <v>30</v>
      </c>
      <c r="N184" s="19">
        <v>30</v>
      </c>
      <c r="O184" s="5" t="s">
        <v>427</v>
      </c>
      <c r="P184" s="4"/>
      <c r="Q184" s="18">
        <v>120</v>
      </c>
      <c r="R184" s="3"/>
      <c r="S184" s="6"/>
      <c r="T184" s="22"/>
      <c r="V184" s="23">
        <v>8</v>
      </c>
      <c r="W184" s="24" t="s">
        <v>11</v>
      </c>
    </row>
    <row r="185" spans="1:25" ht="23.1" customHeight="1" x14ac:dyDescent="0.25">
      <c r="A185" s="1" t="s">
        <v>89</v>
      </c>
      <c r="D185" s="3" t="s">
        <v>428</v>
      </c>
      <c r="E185" s="15" t="s">
        <v>429</v>
      </c>
      <c r="F185" s="15" t="s">
        <v>429</v>
      </c>
      <c r="G185" s="15" t="str">
        <f>IFERROR(VLOOKUP(D185,[5]成飞半成品!$A:$B,2,0),VLOOKUP(D185,[5]九院成本!$A$4:$B$48,2,0))</f>
        <v>第4隔板</v>
      </c>
      <c r="H185" s="3" t="s">
        <v>46</v>
      </c>
      <c r="I185" s="3">
        <v>35</v>
      </c>
      <c r="J185" s="18" t="e">
        <v>#N/A</v>
      </c>
      <c r="K185" s="3">
        <v>1</v>
      </c>
      <c r="L185" s="3">
        <v>1</v>
      </c>
      <c r="M185" s="19">
        <v>30</v>
      </c>
      <c r="N185" s="19">
        <v>30</v>
      </c>
      <c r="O185" s="5" t="s">
        <v>430</v>
      </c>
      <c r="P185" s="4"/>
      <c r="Q185" s="18">
        <v>120</v>
      </c>
      <c r="R185" s="3"/>
      <c r="S185" s="6"/>
      <c r="T185" s="22"/>
      <c r="V185" s="23">
        <v>2</v>
      </c>
      <c r="W185" s="24" t="s">
        <v>11</v>
      </c>
    </row>
    <row r="186" spans="1:25" ht="23.1" customHeight="1" x14ac:dyDescent="0.25">
      <c r="A186" s="1" t="s">
        <v>89</v>
      </c>
      <c r="D186" s="3" t="s">
        <v>66</v>
      </c>
      <c r="E186" s="15" t="s">
        <v>67</v>
      </c>
      <c r="F186" s="15" t="s">
        <v>67</v>
      </c>
      <c r="G186" s="15" t="str">
        <f>IFERROR(VLOOKUP(D186,[5]成飞半成品!$A:$B,2,0),VLOOKUP(D186,[5]九院成本!$A$4:$B$48,2,0))</f>
        <v>10060下接头</v>
      </c>
      <c r="H186" s="3" t="s">
        <v>51</v>
      </c>
      <c r="I186" s="3">
        <v>35</v>
      </c>
      <c r="J186" s="18" t="s">
        <v>1072</v>
      </c>
      <c r="K186" s="3">
        <v>6</v>
      </c>
      <c r="L186" s="3">
        <v>6</v>
      </c>
      <c r="M186" s="19">
        <v>30</v>
      </c>
      <c r="N186" s="19">
        <v>30</v>
      </c>
      <c r="O186" s="5" t="s">
        <v>431</v>
      </c>
      <c r="P186" s="4"/>
      <c r="Q186" s="18">
        <v>360</v>
      </c>
      <c r="R186" s="3"/>
      <c r="S186" s="6"/>
      <c r="T186" s="22"/>
      <c r="V186" s="23">
        <v>36</v>
      </c>
      <c r="W186" s="24" t="s">
        <v>11</v>
      </c>
    </row>
    <row r="187" spans="1:25" ht="23.1" customHeight="1" x14ac:dyDescent="0.25">
      <c r="A187" s="1" t="s">
        <v>89</v>
      </c>
      <c r="D187" s="3" t="s">
        <v>432</v>
      </c>
      <c r="E187" s="15" t="s">
        <v>55</v>
      </c>
      <c r="F187" s="15" t="s">
        <v>55</v>
      </c>
      <c r="G187" s="15" t="str">
        <f>IFERROR(VLOOKUP(D187,[5]成飞半成品!$A:$B,2,0),VLOOKUP(D187,[5]九院成本!$A$4:$B$48,2,0))</f>
        <v>接头</v>
      </c>
      <c r="H187" s="3" t="s">
        <v>80</v>
      </c>
      <c r="I187" s="3">
        <v>45</v>
      </c>
      <c r="J187" s="18" t="s">
        <v>1106</v>
      </c>
      <c r="K187" s="3">
        <v>1</v>
      </c>
      <c r="L187" s="3">
        <v>1</v>
      </c>
      <c r="M187" s="19">
        <v>30</v>
      </c>
      <c r="N187" s="19">
        <v>30</v>
      </c>
      <c r="O187" s="5" t="s">
        <v>81</v>
      </c>
      <c r="P187" s="4"/>
      <c r="Q187" s="18">
        <v>120</v>
      </c>
      <c r="R187" s="3"/>
      <c r="S187" s="6"/>
      <c r="T187" s="22"/>
      <c r="V187" s="23">
        <v>2</v>
      </c>
      <c r="W187" s="24" t="s">
        <v>11</v>
      </c>
    </row>
    <row r="188" spans="1:25" ht="23.1" customHeight="1" x14ac:dyDescent="0.25">
      <c r="A188" s="1" t="s">
        <v>89</v>
      </c>
      <c r="D188" s="3" t="s">
        <v>1182</v>
      </c>
      <c r="E188" s="15" t="s">
        <v>434</v>
      </c>
      <c r="F188" s="15" t="s">
        <v>434</v>
      </c>
      <c r="G188" s="15" t="str">
        <f>IFERROR(VLOOKUP(D188,[5]成飞半成品!$A:$B,2,0),VLOOKUP(D188,[5]九院成本!$A$4:$B$48,2,0))</f>
        <v>4号上壁板（左件）</v>
      </c>
      <c r="H188" s="3" t="s">
        <v>51</v>
      </c>
      <c r="I188" s="3">
        <v>20</v>
      </c>
      <c r="J188" s="18" t="s">
        <v>1105</v>
      </c>
      <c r="K188" s="3">
        <v>2</v>
      </c>
      <c r="L188" s="3">
        <v>2</v>
      </c>
      <c r="M188" s="19">
        <v>30</v>
      </c>
      <c r="N188" s="19">
        <v>30</v>
      </c>
      <c r="O188" s="5" t="s">
        <v>435</v>
      </c>
      <c r="P188" s="4"/>
      <c r="Q188" s="18">
        <v>120</v>
      </c>
      <c r="R188" s="3"/>
      <c r="S188" s="6"/>
      <c r="T188" s="22"/>
      <c r="V188" s="23">
        <v>4</v>
      </c>
      <c r="W188" s="24" t="s">
        <v>11</v>
      </c>
    </row>
    <row r="189" spans="1:25" ht="23.1" customHeight="1" x14ac:dyDescent="0.25">
      <c r="A189" s="1" t="s">
        <v>100</v>
      </c>
      <c r="D189" s="3" t="s">
        <v>436</v>
      </c>
      <c r="E189" s="15" t="s">
        <v>437</v>
      </c>
      <c r="F189" s="15" t="s">
        <v>437</v>
      </c>
      <c r="G189" s="15" t="str">
        <f>IFERROR(VLOOKUP(D189,[5]成飞半成品!$A:$B,2,0),VLOOKUP(D189,[5]九院成本!$A$4:$B$48,2,0))</f>
        <v>10150侧隔框</v>
      </c>
      <c r="H189" s="3" t="s">
        <v>51</v>
      </c>
      <c r="I189" s="3">
        <v>55</v>
      </c>
      <c r="J189" s="18" t="s">
        <v>1086</v>
      </c>
      <c r="K189" s="3">
        <v>2</v>
      </c>
      <c r="L189" s="3">
        <v>2</v>
      </c>
      <c r="M189" s="19">
        <v>30</v>
      </c>
      <c r="N189" s="19">
        <v>30</v>
      </c>
      <c r="O189" s="5" t="s">
        <v>438</v>
      </c>
      <c r="P189" s="4"/>
      <c r="Q189" s="18">
        <v>480</v>
      </c>
      <c r="R189" s="3"/>
      <c r="S189" s="6"/>
      <c r="T189" s="22"/>
      <c r="V189" s="23">
        <v>16</v>
      </c>
      <c r="W189" s="24" t="s">
        <v>11</v>
      </c>
    </row>
    <row r="190" spans="1:25" ht="23.1" customHeight="1" x14ac:dyDescent="0.25">
      <c r="A190" s="1" t="s">
        <v>100</v>
      </c>
      <c r="D190" s="3" t="s">
        <v>439</v>
      </c>
      <c r="E190" s="15" t="s">
        <v>437</v>
      </c>
      <c r="F190" s="15" t="s">
        <v>437</v>
      </c>
      <c r="G190" s="15" t="str">
        <f>IFERROR(VLOOKUP(D190,[5]成飞半成品!$A:$B,2,0),VLOOKUP(D190,[5]九院成本!$A$4:$B$48,2,0))</f>
        <v>10150侧隔框</v>
      </c>
      <c r="H190" s="3" t="s">
        <v>51</v>
      </c>
      <c r="I190" s="3">
        <v>55</v>
      </c>
      <c r="J190" s="18" t="s">
        <v>1086</v>
      </c>
      <c r="K190" s="3">
        <v>1</v>
      </c>
      <c r="L190" s="3">
        <v>1</v>
      </c>
      <c r="M190" s="19">
        <v>30</v>
      </c>
      <c r="N190" s="19">
        <v>30</v>
      </c>
      <c r="O190" s="5" t="s">
        <v>440</v>
      </c>
      <c r="P190" s="4"/>
      <c r="Q190" s="18">
        <v>480</v>
      </c>
      <c r="R190" s="3"/>
      <c r="S190" s="6"/>
      <c r="T190" s="22"/>
      <c r="V190" s="23">
        <v>8</v>
      </c>
      <c r="W190" s="24" t="s">
        <v>11</v>
      </c>
    </row>
    <row r="191" spans="1:25" ht="23.1" customHeight="1" x14ac:dyDescent="0.25">
      <c r="A191" s="1" t="s">
        <v>100</v>
      </c>
      <c r="D191" s="3" t="s">
        <v>1185</v>
      </c>
      <c r="E191" s="15" t="s">
        <v>1184</v>
      </c>
      <c r="F191" s="15" t="s">
        <v>442</v>
      </c>
      <c r="G191" s="15" t="str">
        <f>IFERROR(VLOOKUP(D191,[5]成飞半成品!$A:$B,2,0),VLOOKUP(D191,[5]九院成本!$A$4:$B$48,2,0))</f>
        <v>固定前缘边肋</v>
      </c>
      <c r="H191" s="3" t="s">
        <v>155</v>
      </c>
      <c r="I191" s="3">
        <v>65</v>
      </c>
      <c r="J191" s="18" t="s">
        <v>1091</v>
      </c>
      <c r="K191" s="3">
        <v>1</v>
      </c>
      <c r="L191" s="3">
        <v>1</v>
      </c>
      <c r="M191" s="19">
        <v>30</v>
      </c>
      <c r="N191" s="19">
        <v>30</v>
      </c>
      <c r="O191" s="5" t="s">
        <v>443</v>
      </c>
      <c r="P191" s="4"/>
      <c r="Q191" s="18">
        <v>360</v>
      </c>
      <c r="R191" s="3"/>
      <c r="S191" s="6"/>
      <c r="T191" s="22"/>
      <c r="V191" s="23">
        <v>6</v>
      </c>
      <c r="W191" s="24" t="s">
        <v>11</v>
      </c>
    </row>
    <row r="192" spans="1:25" ht="23.1" customHeight="1" x14ac:dyDescent="0.25">
      <c r="A192" s="1" t="s">
        <v>100</v>
      </c>
      <c r="D192" s="3" t="s">
        <v>66</v>
      </c>
      <c r="E192" s="15" t="s">
        <v>67</v>
      </c>
      <c r="F192" s="15" t="s">
        <v>67</v>
      </c>
      <c r="G192" s="15" t="str">
        <f>IFERROR(VLOOKUP(D192,[5]成飞半成品!$A:$B,2,0),VLOOKUP(D192,[5]九院成本!$A$4:$B$48,2,0))</f>
        <v>10060下接头</v>
      </c>
      <c r="H192" s="3" t="s">
        <v>51</v>
      </c>
      <c r="I192" s="3" t="s">
        <v>340</v>
      </c>
      <c r="J192" s="18" t="e">
        <v>#N/A</v>
      </c>
      <c r="K192" s="3">
        <v>3</v>
      </c>
      <c r="L192" s="3">
        <v>3</v>
      </c>
      <c r="M192" s="19">
        <v>30</v>
      </c>
      <c r="N192" s="19">
        <v>30</v>
      </c>
      <c r="O192" s="5" t="s">
        <v>99</v>
      </c>
      <c r="P192" s="4"/>
      <c r="Q192" s="18">
        <v>30</v>
      </c>
      <c r="R192" s="3"/>
      <c r="S192" s="6"/>
      <c r="T192" s="22"/>
      <c r="V192" s="23">
        <v>1.5</v>
      </c>
      <c r="W192" s="24" t="s">
        <v>11</v>
      </c>
      <c r="X192" s="7" t="s">
        <v>444</v>
      </c>
      <c r="Y192" s="7" t="s">
        <v>203</v>
      </c>
    </row>
    <row r="193" spans="1:25" ht="23.1" customHeight="1" x14ac:dyDescent="0.25">
      <c r="A193" s="1" t="s">
        <v>100</v>
      </c>
      <c r="D193" s="3" t="s">
        <v>391</v>
      </c>
      <c r="E193" s="15" t="s">
        <v>387</v>
      </c>
      <c r="F193" s="15" t="s">
        <v>387</v>
      </c>
      <c r="G193" s="15" t="str">
        <f>IFERROR(VLOOKUP(D193,[5]成飞半成品!$A:$B,2,0),VLOOKUP(D193,[5]九院成本!$A$4:$B$48,2,0))</f>
        <v>9555侧隔框</v>
      </c>
      <c r="H193" s="3" t="s">
        <v>51</v>
      </c>
      <c r="I193" s="3" t="s">
        <v>340</v>
      </c>
      <c r="J193" s="18" t="e">
        <v>#N/A</v>
      </c>
      <c r="K193" s="3">
        <v>2</v>
      </c>
      <c r="L193" s="3">
        <v>2</v>
      </c>
      <c r="M193" s="19">
        <v>30</v>
      </c>
      <c r="N193" s="19">
        <v>30</v>
      </c>
      <c r="O193" s="5" t="s">
        <v>438</v>
      </c>
      <c r="P193" s="4"/>
      <c r="Q193" s="18">
        <v>180</v>
      </c>
      <c r="R193" s="3"/>
      <c r="S193" s="6"/>
      <c r="T193" s="22"/>
      <c r="V193" s="23">
        <v>6</v>
      </c>
      <c r="W193" s="24" t="s">
        <v>11</v>
      </c>
      <c r="X193" s="7" t="s">
        <v>444</v>
      </c>
      <c r="Y193" s="7" t="s">
        <v>203</v>
      </c>
    </row>
    <row r="194" spans="1:25" ht="23.1" customHeight="1" x14ac:dyDescent="0.25">
      <c r="A194" s="1" t="s">
        <v>100</v>
      </c>
      <c r="D194" s="3" t="s">
        <v>386</v>
      </c>
      <c r="E194" s="15" t="s">
        <v>387</v>
      </c>
      <c r="F194" s="15" t="s">
        <v>387</v>
      </c>
      <c r="G194" s="15" t="str">
        <f>IFERROR(VLOOKUP(D194,[5]成飞半成品!$A:$B,2,0),VLOOKUP(D194,[5]九院成本!$A$4:$B$48,2,0))</f>
        <v>9555侧隔框</v>
      </c>
      <c r="H194" s="3" t="s">
        <v>51</v>
      </c>
      <c r="I194" s="3" t="s">
        <v>340</v>
      </c>
      <c r="J194" s="18" t="e">
        <v>#N/A</v>
      </c>
      <c r="K194" s="3">
        <v>1</v>
      </c>
      <c r="L194" s="3">
        <v>1</v>
      </c>
      <c r="M194" s="19">
        <v>30</v>
      </c>
      <c r="N194" s="19">
        <v>30</v>
      </c>
      <c r="O194" s="5" t="s">
        <v>440</v>
      </c>
      <c r="P194" s="4"/>
      <c r="Q194" s="18">
        <v>60</v>
      </c>
      <c r="R194" s="3"/>
      <c r="S194" s="6"/>
      <c r="T194" s="22"/>
      <c r="V194" s="23">
        <v>1</v>
      </c>
      <c r="W194" s="24" t="s">
        <v>11</v>
      </c>
      <c r="Y194" s="7" t="s">
        <v>203</v>
      </c>
    </row>
    <row r="195" spans="1:25" ht="23.1" customHeight="1" x14ac:dyDescent="0.25">
      <c r="A195" s="1" t="s">
        <v>103</v>
      </c>
      <c r="D195" s="3" t="s">
        <v>445</v>
      </c>
      <c r="E195" s="15" t="s">
        <v>446</v>
      </c>
      <c r="F195" s="15" t="s">
        <v>446</v>
      </c>
      <c r="G195" s="15" t="str">
        <f>IFERROR(VLOOKUP(D195,[5]成飞半成品!$A:$B,2,0),VLOOKUP(D195,[5]九院成本!$A$4:$B$48,2,0))</f>
        <v>摇臂</v>
      </c>
      <c r="H195" s="3" t="s">
        <v>80</v>
      </c>
      <c r="I195" s="3">
        <v>80</v>
      </c>
      <c r="J195" s="18" t="s">
        <v>1107</v>
      </c>
      <c r="K195" s="3">
        <v>2</v>
      </c>
      <c r="L195" s="3">
        <v>2</v>
      </c>
      <c r="M195" s="19">
        <v>30</v>
      </c>
      <c r="N195" s="19">
        <v>30</v>
      </c>
      <c r="O195" s="5" t="s">
        <v>278</v>
      </c>
      <c r="P195" s="4"/>
      <c r="Q195" s="18">
        <v>70</v>
      </c>
      <c r="R195" s="3"/>
      <c r="S195" s="6"/>
      <c r="T195" s="22"/>
      <c r="V195" s="23">
        <v>2.2999999999999998</v>
      </c>
      <c r="W195" s="24" t="s">
        <v>11</v>
      </c>
    </row>
    <row r="196" spans="1:25" ht="23.1" customHeight="1" x14ac:dyDescent="0.25">
      <c r="A196" s="1" t="s">
        <v>103</v>
      </c>
      <c r="D196" s="3" t="s">
        <v>447</v>
      </c>
      <c r="E196" s="15" t="s">
        <v>302</v>
      </c>
      <c r="F196" s="15" t="s">
        <v>302</v>
      </c>
      <c r="G196" s="15" t="str">
        <f>IFERROR(VLOOKUP(D196,[5]成飞半成品!$A:$B,2,0),VLOOKUP(D196,[5]九院成本!$A$4:$B$48,2,0))</f>
        <v>角盒</v>
      </c>
      <c r="H196" s="3" t="s">
        <v>46</v>
      </c>
      <c r="I196" s="3">
        <v>35</v>
      </c>
      <c r="J196" s="18" t="s">
        <v>1075</v>
      </c>
      <c r="K196" s="3">
        <v>2</v>
      </c>
      <c r="L196" s="3">
        <v>2</v>
      </c>
      <c r="M196" s="19">
        <v>30</v>
      </c>
      <c r="N196" s="19">
        <v>30</v>
      </c>
      <c r="O196" s="5" t="s">
        <v>349</v>
      </c>
      <c r="P196" s="4"/>
      <c r="Q196" s="18">
        <v>150</v>
      </c>
      <c r="R196" s="3"/>
      <c r="S196" s="6"/>
      <c r="T196" s="22"/>
      <c r="V196" s="23">
        <v>5</v>
      </c>
      <c r="W196" s="24" t="s">
        <v>11</v>
      </c>
    </row>
    <row r="197" spans="1:25" ht="23.1" customHeight="1" x14ac:dyDescent="0.25">
      <c r="A197" s="1" t="s">
        <v>103</v>
      </c>
      <c r="D197" s="3" t="s">
        <v>448</v>
      </c>
      <c r="E197" s="15" t="s">
        <v>449</v>
      </c>
      <c r="F197" s="15" t="s">
        <v>449</v>
      </c>
      <c r="G197" s="15" t="str">
        <f>IFERROR(VLOOKUP(D197,[5]成飞半成品!$A:$B,2,0),VLOOKUP(D197,[5]九院成本!$A$4:$B$48,2,0))</f>
        <v>带板</v>
      </c>
      <c r="H197" s="3" t="s">
        <v>51</v>
      </c>
      <c r="I197" s="3">
        <v>40</v>
      </c>
      <c r="J197" s="18" t="s">
        <v>1069</v>
      </c>
      <c r="K197" s="3">
        <v>4</v>
      </c>
      <c r="L197" s="3">
        <v>4</v>
      </c>
      <c r="M197" s="19">
        <v>30</v>
      </c>
      <c r="N197" s="19">
        <v>30</v>
      </c>
      <c r="O197" s="5" t="s">
        <v>450</v>
      </c>
      <c r="P197" s="4"/>
      <c r="Q197" s="18">
        <v>180</v>
      </c>
      <c r="R197" s="3"/>
      <c r="S197" s="6"/>
      <c r="T197" s="22"/>
      <c r="V197" s="23">
        <v>12</v>
      </c>
      <c r="W197" s="24" t="s">
        <v>11</v>
      </c>
    </row>
    <row r="198" spans="1:25" ht="23.1" customHeight="1" x14ac:dyDescent="0.25">
      <c r="A198" s="1" t="s">
        <v>103</v>
      </c>
      <c r="D198" s="3" t="s">
        <v>374</v>
      </c>
      <c r="E198" s="15" t="s">
        <v>375</v>
      </c>
      <c r="F198" s="15" t="s">
        <v>375</v>
      </c>
      <c r="G198" s="15" t="str">
        <f>IFERROR(VLOOKUP(D198,[5]成飞半成品!$A:$B,2,0),VLOOKUP(D198,[5]九院成本!$A$4:$B$48,2,0))</f>
        <v>口盖</v>
      </c>
      <c r="H198" s="3" t="s">
        <v>147</v>
      </c>
      <c r="I198" s="3">
        <v>35</v>
      </c>
      <c r="J198" s="18" t="s">
        <v>1072</v>
      </c>
      <c r="K198" s="3">
        <v>10</v>
      </c>
      <c r="L198" s="3">
        <v>10</v>
      </c>
      <c r="M198" s="19">
        <v>30</v>
      </c>
      <c r="N198" s="19">
        <v>30</v>
      </c>
      <c r="O198" s="5" t="s">
        <v>440</v>
      </c>
      <c r="P198" s="4"/>
      <c r="Q198" s="18">
        <v>30</v>
      </c>
      <c r="R198" s="3"/>
      <c r="S198" s="6"/>
      <c r="T198" s="22"/>
      <c r="V198" s="23">
        <v>5</v>
      </c>
      <c r="W198" s="24" t="s">
        <v>11</v>
      </c>
    </row>
    <row r="199" spans="1:25" ht="23.1" customHeight="1" x14ac:dyDescent="0.25">
      <c r="A199" s="1" t="s">
        <v>109</v>
      </c>
      <c r="D199" s="3" t="s">
        <v>451</v>
      </c>
      <c r="E199" s="15" t="s">
        <v>452</v>
      </c>
      <c r="F199" s="15" t="s">
        <v>452</v>
      </c>
      <c r="G199" s="15" t="str">
        <f>IFERROR(VLOOKUP(D199,[5]成飞半成品!$A:$B,2,0),VLOOKUP(D199,[5]九院成本!$A$4:$B$48,2,0))</f>
        <v>前起落架舱门结构支撑梁</v>
      </c>
      <c r="H199" s="3" t="s">
        <v>46</v>
      </c>
      <c r="I199" s="3">
        <v>45</v>
      </c>
      <c r="J199" s="18" t="s">
        <v>1073</v>
      </c>
      <c r="K199" s="3">
        <v>10</v>
      </c>
      <c r="L199" s="3">
        <v>10</v>
      </c>
      <c r="M199" s="19">
        <v>30</v>
      </c>
      <c r="N199" s="19">
        <v>30</v>
      </c>
      <c r="O199" s="5" t="s">
        <v>453</v>
      </c>
      <c r="P199" s="4"/>
      <c r="Q199" s="18">
        <v>90</v>
      </c>
      <c r="R199" s="3"/>
      <c r="S199" s="6"/>
      <c r="T199" s="22"/>
      <c r="V199" s="23">
        <v>15</v>
      </c>
      <c r="W199" s="24" t="s">
        <v>11</v>
      </c>
    </row>
    <row r="200" spans="1:25" ht="23.1" customHeight="1" x14ac:dyDescent="0.25">
      <c r="A200" s="1" t="s">
        <v>109</v>
      </c>
      <c r="D200" s="3" t="s">
        <v>451</v>
      </c>
      <c r="E200" s="15" t="s">
        <v>452</v>
      </c>
      <c r="F200" s="15" t="s">
        <v>452</v>
      </c>
      <c r="G200" s="15" t="str">
        <f>IFERROR(VLOOKUP(D200,[5]成飞半成品!$A:$B,2,0),VLOOKUP(D200,[5]九院成本!$A$4:$B$48,2,0))</f>
        <v>前起落架舱门结构支撑梁</v>
      </c>
      <c r="H200" s="3" t="s">
        <v>46</v>
      </c>
      <c r="I200" s="3" t="s">
        <v>340</v>
      </c>
      <c r="J200" s="18" t="e">
        <v>#N/A</v>
      </c>
      <c r="K200" s="3">
        <v>10</v>
      </c>
      <c r="L200" s="3">
        <v>10</v>
      </c>
      <c r="M200" s="19">
        <v>30</v>
      </c>
      <c r="N200" s="19">
        <v>30</v>
      </c>
      <c r="O200" s="5" t="s">
        <v>453</v>
      </c>
      <c r="P200" s="4"/>
      <c r="Q200" s="18">
        <v>60</v>
      </c>
      <c r="R200" s="3"/>
      <c r="S200" s="6"/>
      <c r="T200" s="22"/>
      <c r="V200" s="23">
        <v>10</v>
      </c>
      <c r="W200" s="24" t="s">
        <v>11</v>
      </c>
      <c r="X200" s="7" t="s">
        <v>454</v>
      </c>
      <c r="Y200" s="7" t="s">
        <v>203</v>
      </c>
    </row>
    <row r="201" spans="1:25" ht="23.1" customHeight="1" x14ac:dyDescent="0.25">
      <c r="A201" s="1" t="s">
        <v>109</v>
      </c>
      <c r="D201" s="3" t="s">
        <v>455</v>
      </c>
      <c r="E201" s="15" t="s">
        <v>446</v>
      </c>
      <c r="F201" s="15" t="s">
        <v>446</v>
      </c>
      <c r="G201" s="15" t="str">
        <f>IFERROR(VLOOKUP(D201,[5]成飞半成品!$A:$B,2,0),VLOOKUP(D201,[5]九院成本!$A$4:$B$48,2,0))</f>
        <v>摇臂</v>
      </c>
      <c r="H201" s="3" t="s">
        <v>80</v>
      </c>
      <c r="I201" s="3">
        <v>110</v>
      </c>
      <c r="J201" s="18" t="s">
        <v>1108</v>
      </c>
      <c r="K201" s="3">
        <v>1</v>
      </c>
      <c r="L201" s="3">
        <v>1</v>
      </c>
      <c r="M201" s="19">
        <v>30</v>
      </c>
      <c r="N201" s="19">
        <v>30</v>
      </c>
      <c r="O201" s="5" t="s">
        <v>95</v>
      </c>
      <c r="P201" s="4"/>
      <c r="Q201" s="18">
        <v>480</v>
      </c>
      <c r="R201" s="3"/>
      <c r="S201" s="6"/>
      <c r="T201" s="22"/>
      <c r="V201" s="23">
        <v>8</v>
      </c>
      <c r="W201" s="24" t="s">
        <v>11</v>
      </c>
    </row>
    <row r="202" spans="1:25" ht="23.1" customHeight="1" x14ac:dyDescent="0.25">
      <c r="A202" s="1" t="s">
        <v>109</v>
      </c>
      <c r="D202" s="3" t="s">
        <v>456</v>
      </c>
      <c r="E202" s="15" t="s">
        <v>446</v>
      </c>
      <c r="F202" s="15" t="s">
        <v>446</v>
      </c>
      <c r="G202" s="15" t="str">
        <f>IFERROR(VLOOKUP(D202,[5]成飞半成品!$A:$B,2,0),VLOOKUP(D202,[5]九院成本!$A$4:$B$48,2,0))</f>
        <v>摇臂</v>
      </c>
      <c r="H202" s="3" t="s">
        <v>80</v>
      </c>
      <c r="I202" s="3">
        <v>110</v>
      </c>
      <c r="J202" s="18" t="s">
        <v>1108</v>
      </c>
      <c r="K202" s="3">
        <v>1</v>
      </c>
      <c r="L202" s="3">
        <v>1</v>
      </c>
      <c r="M202" s="19">
        <v>30</v>
      </c>
      <c r="N202" s="19">
        <v>30</v>
      </c>
      <c r="P202" s="4"/>
      <c r="Q202" s="18">
        <v>480</v>
      </c>
      <c r="R202" s="3"/>
      <c r="S202" s="6"/>
      <c r="T202" s="22"/>
      <c r="V202" s="23">
        <v>8</v>
      </c>
      <c r="W202" s="24" t="s">
        <v>11</v>
      </c>
    </row>
    <row r="203" spans="1:25" ht="23.1" customHeight="1" x14ac:dyDescent="0.25">
      <c r="A203" s="1" t="s">
        <v>116</v>
      </c>
      <c r="D203" s="3" t="s">
        <v>386</v>
      </c>
      <c r="E203" s="15" t="s">
        <v>387</v>
      </c>
      <c r="F203" s="15" t="s">
        <v>387</v>
      </c>
      <c r="G203" s="15" t="str">
        <f>IFERROR(VLOOKUP(D203,[5]成飞半成品!$A:$B,2,0),VLOOKUP(D203,[5]九院成本!$A$4:$B$48,2,0))</f>
        <v>9555侧隔框</v>
      </c>
      <c r="H203" s="3" t="s">
        <v>114</v>
      </c>
      <c r="I203" s="3">
        <v>55</v>
      </c>
      <c r="J203" s="18" t="s">
        <v>1086</v>
      </c>
      <c r="K203" s="3">
        <v>2</v>
      </c>
      <c r="L203" s="3">
        <v>2</v>
      </c>
      <c r="M203" s="19">
        <v>30</v>
      </c>
      <c r="N203" s="19">
        <v>30</v>
      </c>
      <c r="O203" s="5" t="s">
        <v>457</v>
      </c>
      <c r="P203" s="4"/>
      <c r="Q203" s="18">
        <v>480</v>
      </c>
      <c r="R203" s="3"/>
      <c r="S203" s="6"/>
      <c r="T203" s="22"/>
      <c r="V203" s="23">
        <v>16</v>
      </c>
      <c r="W203" s="24" t="s">
        <v>11</v>
      </c>
    </row>
    <row r="204" spans="1:25" ht="23.1" customHeight="1" x14ac:dyDescent="0.25">
      <c r="A204" s="1" t="s">
        <v>121</v>
      </c>
      <c r="D204" s="3" t="s">
        <v>458</v>
      </c>
      <c r="E204" s="15" t="s">
        <v>407</v>
      </c>
      <c r="F204" s="15" t="s">
        <v>407</v>
      </c>
      <c r="G204" s="15" t="str">
        <f>IFERROR(VLOOKUP(D204,[5]成飞半成品!$A:$B,2,0),VLOOKUP(D204,[5]九院成本!$A$4:$B$48,2,0))</f>
        <v>外侧轴承盖</v>
      </c>
      <c r="H204" s="3" t="s">
        <v>46</v>
      </c>
      <c r="I204" s="3">
        <v>50</v>
      </c>
      <c r="J204" s="18" t="s">
        <v>1077</v>
      </c>
      <c r="K204" s="3">
        <v>2</v>
      </c>
      <c r="L204" s="3">
        <v>2</v>
      </c>
      <c r="M204" s="19">
        <v>30</v>
      </c>
      <c r="N204" s="19">
        <v>30</v>
      </c>
      <c r="O204" s="5" t="s">
        <v>349</v>
      </c>
      <c r="P204" s="4"/>
      <c r="Q204" s="18">
        <v>90</v>
      </c>
      <c r="R204" s="3"/>
      <c r="S204" s="6"/>
      <c r="T204" s="22"/>
      <c r="V204" s="23">
        <v>3</v>
      </c>
      <c r="W204" s="24" t="s">
        <v>6</v>
      </c>
    </row>
    <row r="205" spans="1:25" ht="23.1" customHeight="1" x14ac:dyDescent="0.25">
      <c r="A205" s="1" t="s">
        <v>121</v>
      </c>
      <c r="D205" s="3" t="s">
        <v>459</v>
      </c>
      <c r="E205" s="15" t="s">
        <v>407</v>
      </c>
      <c r="F205" s="15" t="s">
        <v>407</v>
      </c>
      <c r="G205" s="15" t="str">
        <f>IFERROR(VLOOKUP(D205,[5]成飞半成品!$A:$B,2,0),VLOOKUP(D205,[5]九院成本!$A$4:$B$48,2,0))</f>
        <v>外侧轴承盖</v>
      </c>
      <c r="H205" s="3" t="s">
        <v>46</v>
      </c>
      <c r="I205" s="3">
        <v>50</v>
      </c>
      <c r="J205" s="18" t="s">
        <v>1077</v>
      </c>
      <c r="K205" s="3">
        <v>2</v>
      </c>
      <c r="L205" s="3">
        <v>2</v>
      </c>
      <c r="M205" s="19">
        <v>30</v>
      </c>
      <c r="N205" s="19">
        <v>30</v>
      </c>
      <c r="O205" s="5" t="s">
        <v>349</v>
      </c>
      <c r="P205" s="4"/>
      <c r="Q205" s="18">
        <v>90</v>
      </c>
      <c r="R205" s="3"/>
      <c r="S205" s="6"/>
      <c r="T205" s="22"/>
      <c r="V205" s="23">
        <v>3</v>
      </c>
      <c r="W205" s="24" t="s">
        <v>6</v>
      </c>
    </row>
    <row r="206" spans="1:25" ht="23.1" customHeight="1" x14ac:dyDescent="0.25">
      <c r="A206" s="1" t="s">
        <v>121</v>
      </c>
      <c r="D206" s="14" t="s">
        <v>979</v>
      </c>
      <c r="E206" s="15" t="s">
        <v>50</v>
      </c>
      <c r="F206" s="15" t="s">
        <v>50</v>
      </c>
      <c r="G206" s="15" t="str">
        <f>IFERROR(VLOOKUP(D206,[5]成飞半成品!$A:$B,2,0),VLOOKUP(D206,[5]九院成本!$A$4:$B$48,2,0))</f>
        <v>10060下接头</v>
      </c>
      <c r="H206" s="3" t="s">
        <v>51</v>
      </c>
      <c r="I206" s="3">
        <v>35</v>
      </c>
      <c r="J206" s="18" t="s">
        <v>1072</v>
      </c>
      <c r="K206" s="3">
        <v>2</v>
      </c>
      <c r="L206" s="3">
        <v>2</v>
      </c>
      <c r="M206" s="19">
        <v>30</v>
      </c>
      <c r="N206" s="19">
        <v>30</v>
      </c>
      <c r="O206" s="5" t="s">
        <v>52</v>
      </c>
      <c r="P206" s="4"/>
      <c r="Q206" s="18">
        <v>360</v>
      </c>
      <c r="R206" s="3"/>
      <c r="S206" s="6"/>
      <c r="T206" s="22"/>
      <c r="V206" s="23">
        <v>12</v>
      </c>
      <c r="W206" s="24" t="s">
        <v>6</v>
      </c>
    </row>
    <row r="207" spans="1:25" ht="23.1" customHeight="1" x14ac:dyDescent="0.25">
      <c r="A207" s="1" t="s">
        <v>121</v>
      </c>
      <c r="D207" s="14" t="s">
        <v>979</v>
      </c>
      <c r="E207" s="15" t="s">
        <v>50</v>
      </c>
      <c r="F207" s="15" t="s">
        <v>50</v>
      </c>
      <c r="G207" s="15" t="str">
        <f>IFERROR(VLOOKUP(D207,[5]成飞半成品!$A:$B,2,0),VLOOKUP(D207,[5]九院成本!$A$4:$B$48,2,0))</f>
        <v>10060下接头</v>
      </c>
      <c r="H207" s="3" t="s">
        <v>51</v>
      </c>
      <c r="I207" s="3">
        <v>35</v>
      </c>
      <c r="J207" s="18" t="s">
        <v>1072</v>
      </c>
      <c r="K207" s="3">
        <v>3</v>
      </c>
      <c r="L207" s="3">
        <v>3</v>
      </c>
      <c r="M207" s="19">
        <v>30</v>
      </c>
      <c r="N207" s="19">
        <v>30</v>
      </c>
      <c r="O207" s="5" t="s">
        <v>263</v>
      </c>
      <c r="P207" s="4"/>
      <c r="Q207" s="18">
        <v>360</v>
      </c>
      <c r="R207" s="3"/>
      <c r="S207" s="6"/>
      <c r="T207" s="22"/>
      <c r="V207" s="23">
        <v>18</v>
      </c>
      <c r="W207" s="24" t="s">
        <v>6</v>
      </c>
    </row>
    <row r="208" spans="1:25" ht="23.1" customHeight="1" x14ac:dyDescent="0.25">
      <c r="A208" s="1" t="s">
        <v>48</v>
      </c>
      <c r="D208" s="3" t="s">
        <v>461</v>
      </c>
      <c r="E208" s="15" t="s">
        <v>462</v>
      </c>
      <c r="F208" s="15" t="s">
        <v>462</v>
      </c>
      <c r="G208" s="15" t="str">
        <f>IFERROR(VLOOKUP(D208,[5]成飞半成品!$A:$B,2,0),VLOOKUP(D208,[5]九院成本!$A$4:$B$48,2,0))</f>
        <v>拨杆</v>
      </c>
      <c r="H208" s="3" t="s">
        <v>147</v>
      </c>
      <c r="I208" s="3">
        <v>65</v>
      </c>
      <c r="J208" s="18" t="s">
        <v>1091</v>
      </c>
      <c r="K208" s="3">
        <v>22</v>
      </c>
      <c r="L208" s="3">
        <v>22</v>
      </c>
      <c r="M208" s="19">
        <v>30</v>
      </c>
      <c r="N208" s="19">
        <v>30</v>
      </c>
      <c r="O208" s="5" t="s">
        <v>463</v>
      </c>
      <c r="P208" s="4"/>
      <c r="Q208" s="18">
        <v>10</v>
      </c>
      <c r="R208" s="3"/>
      <c r="S208" s="6"/>
      <c r="T208" s="22"/>
      <c r="V208" s="23">
        <v>3.7</v>
      </c>
      <c r="W208" s="24" t="s">
        <v>6</v>
      </c>
    </row>
    <row r="209" spans="1:25" ht="23.1" customHeight="1" x14ac:dyDescent="0.25">
      <c r="A209" s="1" t="s">
        <v>48</v>
      </c>
      <c r="D209" s="3" t="s">
        <v>461</v>
      </c>
      <c r="E209" s="15" t="s">
        <v>462</v>
      </c>
      <c r="F209" s="15" t="s">
        <v>462</v>
      </c>
      <c r="G209" s="15" t="str">
        <f>IFERROR(VLOOKUP(D209,[5]成飞半成品!$A:$B,2,0),VLOOKUP(D209,[5]九院成本!$A$4:$B$48,2,0))</f>
        <v>拨杆</v>
      </c>
      <c r="H209" s="3" t="s">
        <v>147</v>
      </c>
      <c r="I209" s="3">
        <v>65</v>
      </c>
      <c r="J209" s="18" t="s">
        <v>1091</v>
      </c>
      <c r="K209" s="3">
        <v>8</v>
      </c>
      <c r="L209" s="3">
        <v>8</v>
      </c>
      <c r="M209" s="19">
        <v>30</v>
      </c>
      <c r="N209" s="19">
        <v>30</v>
      </c>
      <c r="O209" s="5" t="s">
        <v>464</v>
      </c>
      <c r="P209" s="4"/>
      <c r="Q209" s="18">
        <v>10</v>
      </c>
      <c r="R209" s="3"/>
      <c r="S209" s="6"/>
      <c r="T209" s="22"/>
      <c r="V209" s="23">
        <v>1.3</v>
      </c>
      <c r="W209" s="24" t="s">
        <v>6</v>
      </c>
    </row>
    <row r="210" spans="1:25" ht="23.1" customHeight="1" x14ac:dyDescent="0.25">
      <c r="A210" s="1" t="s">
        <v>48</v>
      </c>
      <c r="D210" s="3" t="s">
        <v>465</v>
      </c>
      <c r="E210" s="15" t="s">
        <v>466</v>
      </c>
      <c r="F210" s="15" t="s">
        <v>466</v>
      </c>
      <c r="G210" s="15" t="str">
        <f>IFERROR(VLOOKUP(D210,[5]成飞半成品!$A:$B,2,0),VLOOKUP(D210,[5]九院成本!$A$4:$B$48,2,0))</f>
        <v>进气下侧壁</v>
      </c>
      <c r="H210" s="3" t="s">
        <v>51</v>
      </c>
      <c r="I210" s="3">
        <v>50</v>
      </c>
      <c r="J210" s="18" t="s">
        <v>1077</v>
      </c>
      <c r="K210" s="3">
        <v>8</v>
      </c>
      <c r="L210" s="3">
        <v>8</v>
      </c>
      <c r="M210" s="19">
        <v>30</v>
      </c>
      <c r="N210" s="19">
        <v>30</v>
      </c>
      <c r="O210" s="5" t="s">
        <v>376</v>
      </c>
      <c r="P210" s="4"/>
      <c r="Q210" s="18">
        <v>120</v>
      </c>
      <c r="R210" s="3"/>
      <c r="S210" s="6"/>
      <c r="T210" s="22"/>
      <c r="V210" s="23">
        <v>16</v>
      </c>
      <c r="W210" s="24" t="s">
        <v>6</v>
      </c>
    </row>
    <row r="211" spans="1:25" ht="23.1" customHeight="1" x14ac:dyDescent="0.25">
      <c r="A211" s="1" t="s">
        <v>48</v>
      </c>
      <c r="D211" s="3" t="s">
        <v>465</v>
      </c>
      <c r="E211" s="15" t="s">
        <v>466</v>
      </c>
      <c r="F211" s="15" t="s">
        <v>466</v>
      </c>
      <c r="G211" s="15" t="str">
        <f>IFERROR(VLOOKUP(D211,[5]成飞半成品!$A:$B,2,0),VLOOKUP(D211,[5]九院成本!$A$4:$B$48,2,0))</f>
        <v>进气下侧壁</v>
      </c>
      <c r="H211" s="3" t="s">
        <v>51</v>
      </c>
      <c r="I211" s="3">
        <v>50</v>
      </c>
      <c r="J211" s="18" t="s">
        <v>1077</v>
      </c>
      <c r="K211" s="3">
        <v>8</v>
      </c>
      <c r="L211" s="3">
        <v>8</v>
      </c>
      <c r="M211" s="19">
        <v>30</v>
      </c>
      <c r="N211" s="19">
        <v>30</v>
      </c>
      <c r="O211" s="5" t="s">
        <v>376</v>
      </c>
      <c r="P211" s="4"/>
      <c r="Q211" s="18">
        <v>120</v>
      </c>
      <c r="R211" s="3"/>
      <c r="S211" s="6"/>
      <c r="T211" s="22"/>
      <c r="U211" s="7">
        <v>4</v>
      </c>
      <c r="V211" s="23">
        <v>20</v>
      </c>
      <c r="W211" s="24" t="s">
        <v>6</v>
      </c>
      <c r="X211" s="7" t="s">
        <v>467</v>
      </c>
      <c r="Y211" s="7" t="s">
        <v>203</v>
      </c>
    </row>
    <row r="212" spans="1:25" ht="23.1" customHeight="1" x14ac:dyDescent="0.25">
      <c r="A212" s="1" t="s">
        <v>53</v>
      </c>
      <c r="D212" s="3" t="s">
        <v>1162</v>
      </c>
      <c r="E212" s="15" t="s">
        <v>1195</v>
      </c>
      <c r="F212" s="15" t="s">
        <v>469</v>
      </c>
      <c r="G212" s="15" t="str">
        <f>IFERROR(VLOOKUP(D212,[5]成飞半成品!$A:$B,2,0),VLOOKUP(D212,[5]九院成本!$A$4:$B$48,2,0))</f>
        <v>工装</v>
      </c>
      <c r="H212" s="3" t="s">
        <v>46</v>
      </c>
      <c r="I212" s="3">
        <v>50</v>
      </c>
      <c r="J212" s="18" t="s">
        <v>1109</v>
      </c>
      <c r="K212" s="3">
        <v>5</v>
      </c>
      <c r="L212" s="3">
        <v>5</v>
      </c>
      <c r="M212" s="19">
        <v>30</v>
      </c>
      <c r="N212" s="19">
        <v>30</v>
      </c>
      <c r="O212" s="5" t="s">
        <v>470</v>
      </c>
      <c r="P212" s="4"/>
      <c r="Q212" s="18">
        <v>30</v>
      </c>
      <c r="R212" s="3"/>
      <c r="S212" s="6"/>
      <c r="T212" s="22"/>
      <c r="V212" s="23">
        <v>2.5</v>
      </c>
      <c r="W212" s="24" t="s">
        <v>6</v>
      </c>
    </row>
    <row r="213" spans="1:25" ht="23.1" customHeight="1" x14ac:dyDescent="0.25">
      <c r="A213" s="1" t="s">
        <v>53</v>
      </c>
      <c r="D213" s="3" t="s">
        <v>1162</v>
      </c>
      <c r="E213" s="15" t="s">
        <v>469</v>
      </c>
      <c r="F213" s="15" t="s">
        <v>469</v>
      </c>
      <c r="G213" s="15" t="str">
        <f>IFERROR(VLOOKUP(D213,[5]成飞半成品!$A:$B,2,0),VLOOKUP(D213,[5]九院成本!$A$4:$B$48,2,0))</f>
        <v>工装</v>
      </c>
      <c r="H213" s="3" t="s">
        <v>46</v>
      </c>
      <c r="I213" s="3" t="s">
        <v>340</v>
      </c>
      <c r="J213" s="18" t="e">
        <v>#N/A</v>
      </c>
      <c r="K213" s="3">
        <v>5</v>
      </c>
      <c r="L213" s="3">
        <v>5</v>
      </c>
      <c r="M213" s="19">
        <v>30</v>
      </c>
      <c r="N213" s="19">
        <v>30</v>
      </c>
      <c r="O213" s="5" t="s">
        <v>470</v>
      </c>
      <c r="P213" s="4"/>
      <c r="Q213" s="18">
        <v>60</v>
      </c>
      <c r="R213" s="3"/>
      <c r="S213" s="6"/>
      <c r="T213" s="22"/>
      <c r="V213" s="23">
        <v>5</v>
      </c>
      <c r="W213" s="24" t="s">
        <v>6</v>
      </c>
      <c r="X213" s="7" t="s">
        <v>471</v>
      </c>
      <c r="Y213" s="7" t="s">
        <v>203</v>
      </c>
    </row>
    <row r="214" spans="1:25" ht="23.1" customHeight="1" x14ac:dyDescent="0.25">
      <c r="A214" s="1" t="s">
        <v>53</v>
      </c>
      <c r="D214" s="3" t="s">
        <v>1179</v>
      </c>
      <c r="E214" s="15" t="s">
        <v>319</v>
      </c>
      <c r="F214" s="15" t="s">
        <v>319</v>
      </c>
      <c r="G214" s="15" t="str">
        <f>IFERROR(VLOOKUP(D214,[5]成飞半成品!$A:$B,2,0),VLOOKUP(D214,[5]九院成本!$A$4:$B$48,2,0))</f>
        <v>根肋一段</v>
      </c>
      <c r="H214" s="3" t="s">
        <v>51</v>
      </c>
      <c r="I214" s="3">
        <v>50</v>
      </c>
      <c r="J214" s="18" t="s">
        <v>1077</v>
      </c>
      <c r="K214" s="3">
        <v>6</v>
      </c>
      <c r="L214" s="3">
        <v>6</v>
      </c>
      <c r="M214" s="19">
        <v>30</v>
      </c>
      <c r="N214" s="19">
        <v>30</v>
      </c>
      <c r="O214" s="5" t="s">
        <v>324</v>
      </c>
      <c r="P214" s="4"/>
      <c r="Q214" s="18">
        <v>240</v>
      </c>
      <c r="R214" s="3"/>
      <c r="S214" s="6"/>
      <c r="T214" s="22"/>
      <c r="V214" s="23">
        <v>24</v>
      </c>
      <c r="W214" s="24" t="s">
        <v>6</v>
      </c>
    </row>
    <row r="215" spans="1:25" ht="23.1" customHeight="1" x14ac:dyDescent="0.25">
      <c r="A215" s="1" t="s">
        <v>53</v>
      </c>
      <c r="D215" s="3" t="s">
        <v>472</v>
      </c>
      <c r="E215" s="15" t="s">
        <v>473</v>
      </c>
      <c r="F215" s="15" t="s">
        <v>473</v>
      </c>
      <c r="G215" s="15" t="str">
        <f>IFERROR(VLOOKUP(D215,[5]成飞半成品!$A:$B,2,0),VLOOKUP(D215,[5]九院成本!$A$4:$B$48,2,0))</f>
        <v>11140框左下半框</v>
      </c>
      <c r="H215" s="3" t="s">
        <v>147</v>
      </c>
      <c r="I215" s="3">
        <v>60</v>
      </c>
      <c r="J215" s="18" t="s">
        <v>1100</v>
      </c>
      <c r="K215" s="3">
        <v>1</v>
      </c>
      <c r="L215" s="3">
        <v>1</v>
      </c>
      <c r="M215" s="19">
        <v>30</v>
      </c>
      <c r="N215" s="19">
        <v>30</v>
      </c>
      <c r="O215" s="5" t="s">
        <v>440</v>
      </c>
      <c r="P215" s="4"/>
      <c r="Q215" s="18">
        <v>560</v>
      </c>
      <c r="R215" s="3"/>
      <c r="S215" s="6"/>
      <c r="T215" s="22"/>
      <c r="V215" s="23">
        <v>9.3000000000000007</v>
      </c>
      <c r="W215" s="24" t="s">
        <v>6</v>
      </c>
    </row>
    <row r="216" spans="1:25" ht="23.1" customHeight="1" x14ac:dyDescent="0.25">
      <c r="A216" s="1" t="s">
        <v>58</v>
      </c>
      <c r="D216" s="3" t="s">
        <v>472</v>
      </c>
      <c r="E216" s="15" t="s">
        <v>473</v>
      </c>
      <c r="F216" s="15" t="s">
        <v>473</v>
      </c>
      <c r="G216" s="15" t="str">
        <f>IFERROR(VLOOKUP(D216,[5]成飞半成品!$A:$B,2,0),VLOOKUP(D216,[5]九院成本!$A$4:$B$48,2,0))</f>
        <v>11140框左下半框</v>
      </c>
      <c r="H216" s="3" t="s">
        <v>147</v>
      </c>
      <c r="I216" s="3">
        <v>60</v>
      </c>
      <c r="J216" s="18" t="s">
        <v>1100</v>
      </c>
      <c r="K216" s="3">
        <v>1</v>
      </c>
      <c r="L216" s="3">
        <v>1</v>
      </c>
      <c r="M216" s="19">
        <v>30</v>
      </c>
      <c r="N216" s="19">
        <v>30</v>
      </c>
      <c r="O216" s="5" t="s">
        <v>474</v>
      </c>
      <c r="P216" s="4"/>
      <c r="Q216" s="18">
        <v>560</v>
      </c>
      <c r="R216" s="3"/>
      <c r="S216" s="6"/>
      <c r="T216" s="22"/>
      <c r="V216" s="23">
        <v>9.3000000000000007</v>
      </c>
      <c r="W216" s="24" t="s">
        <v>6</v>
      </c>
    </row>
    <row r="217" spans="1:25" ht="23.1" customHeight="1" x14ac:dyDescent="0.25">
      <c r="A217" s="1" t="s">
        <v>58</v>
      </c>
      <c r="D217" s="3" t="s">
        <v>301</v>
      </c>
      <c r="E217" s="15" t="s">
        <v>302</v>
      </c>
      <c r="F217" s="15" t="s">
        <v>302</v>
      </c>
      <c r="G217" s="15" t="str">
        <f>IFERROR(VLOOKUP(D217,[5]成飞半成品!$A:$B,2,0),VLOOKUP(D217,[5]九院成本!$A$4:$B$48,2,0))</f>
        <v>角盒</v>
      </c>
      <c r="H217" s="3" t="s">
        <v>46</v>
      </c>
      <c r="I217" s="3">
        <v>35</v>
      </c>
      <c r="J217" s="18" t="s">
        <v>1072</v>
      </c>
      <c r="K217" s="3">
        <v>4</v>
      </c>
      <c r="L217" s="3">
        <v>4</v>
      </c>
      <c r="M217" s="19">
        <v>30</v>
      </c>
      <c r="N217" s="19">
        <v>30</v>
      </c>
      <c r="O217" s="5" t="s">
        <v>475</v>
      </c>
      <c r="P217" s="4"/>
      <c r="Q217" s="18">
        <v>40</v>
      </c>
      <c r="R217" s="3"/>
      <c r="S217" s="6"/>
      <c r="T217" s="22"/>
      <c r="V217" s="23">
        <v>2.7</v>
      </c>
      <c r="W217" s="24" t="s">
        <v>6</v>
      </c>
    </row>
    <row r="218" spans="1:25" ht="23.1" customHeight="1" x14ac:dyDescent="0.25">
      <c r="A218" s="1" t="s">
        <v>58</v>
      </c>
      <c r="D218" s="3" t="s">
        <v>301</v>
      </c>
      <c r="E218" s="15" t="s">
        <v>302</v>
      </c>
      <c r="F218" s="15" t="s">
        <v>302</v>
      </c>
      <c r="G218" s="15" t="str">
        <f>IFERROR(VLOOKUP(D218,[5]成飞半成品!$A:$B,2,0),VLOOKUP(D218,[5]九院成本!$A$4:$B$48,2,0))</f>
        <v>角盒</v>
      </c>
      <c r="H218" s="3" t="s">
        <v>46</v>
      </c>
      <c r="I218" s="3">
        <v>35</v>
      </c>
      <c r="J218" s="18" t="s">
        <v>1072</v>
      </c>
      <c r="K218" s="3">
        <v>5</v>
      </c>
      <c r="L218" s="3">
        <v>5</v>
      </c>
      <c r="M218" s="19">
        <v>30</v>
      </c>
      <c r="N218" s="19">
        <v>30</v>
      </c>
      <c r="O218" s="5" t="s">
        <v>476</v>
      </c>
      <c r="P218" s="4"/>
      <c r="Q218" s="18">
        <v>40</v>
      </c>
      <c r="R218" s="3"/>
      <c r="S218" s="6"/>
      <c r="T218" s="22"/>
      <c r="V218" s="23">
        <v>3.3</v>
      </c>
      <c r="W218" s="24" t="s">
        <v>6</v>
      </c>
    </row>
    <row r="219" spans="1:25" ht="23.1" customHeight="1" x14ac:dyDescent="0.25">
      <c r="A219" s="1" t="s">
        <v>58</v>
      </c>
      <c r="D219" s="3" t="s">
        <v>301</v>
      </c>
      <c r="E219" s="15" t="s">
        <v>302</v>
      </c>
      <c r="F219" s="15" t="s">
        <v>302</v>
      </c>
      <c r="G219" s="15" t="str">
        <f>IFERROR(VLOOKUP(D219,[5]成飞半成品!$A:$B,2,0),VLOOKUP(D219,[5]九院成本!$A$4:$B$48,2,0))</f>
        <v>角盒</v>
      </c>
      <c r="H219" s="3" t="s">
        <v>46</v>
      </c>
      <c r="I219" s="3">
        <v>35</v>
      </c>
      <c r="J219" s="18" t="s">
        <v>1072</v>
      </c>
      <c r="K219" s="3">
        <v>5</v>
      </c>
      <c r="L219" s="3">
        <v>5</v>
      </c>
      <c r="M219" s="19">
        <v>30</v>
      </c>
      <c r="N219" s="19">
        <v>30</v>
      </c>
      <c r="O219" s="5" t="s">
        <v>477</v>
      </c>
      <c r="P219" s="4"/>
      <c r="Q219" s="18">
        <v>40</v>
      </c>
      <c r="R219" s="3"/>
      <c r="S219" s="6"/>
      <c r="T219" s="22"/>
      <c r="V219" s="23">
        <v>3.3</v>
      </c>
      <c r="W219" s="24" t="s">
        <v>6</v>
      </c>
    </row>
    <row r="220" spans="1:25" ht="23.1" customHeight="1" x14ac:dyDescent="0.25">
      <c r="A220" s="1" t="s">
        <v>65</v>
      </c>
      <c r="D220" s="3" t="s">
        <v>301</v>
      </c>
      <c r="E220" s="15" t="s">
        <v>302</v>
      </c>
      <c r="F220" s="15" t="s">
        <v>302</v>
      </c>
      <c r="G220" s="15" t="str">
        <f>IFERROR(VLOOKUP(D220,[5]成飞半成品!$A:$B,2,0),VLOOKUP(D220,[5]九院成本!$A$4:$B$48,2,0))</f>
        <v>角盒</v>
      </c>
      <c r="H220" s="3" t="s">
        <v>46</v>
      </c>
      <c r="I220" s="3">
        <v>35</v>
      </c>
      <c r="J220" s="18" t="s">
        <v>1072</v>
      </c>
      <c r="K220" s="3">
        <v>4</v>
      </c>
      <c r="L220" s="3">
        <v>4</v>
      </c>
      <c r="M220" s="19">
        <v>30</v>
      </c>
      <c r="N220" s="19">
        <v>30</v>
      </c>
      <c r="O220" s="5" t="s">
        <v>478</v>
      </c>
      <c r="P220" s="4"/>
      <c r="Q220" s="18">
        <v>40</v>
      </c>
      <c r="R220" s="3"/>
      <c r="S220" s="6"/>
      <c r="T220" s="22"/>
      <c r="V220" s="23">
        <v>2.7</v>
      </c>
      <c r="W220" s="24" t="s">
        <v>6</v>
      </c>
    </row>
    <row r="221" spans="1:25" ht="23.1" customHeight="1" x14ac:dyDescent="0.25">
      <c r="A221" s="1" t="s">
        <v>65</v>
      </c>
      <c r="D221" s="3" t="s">
        <v>909</v>
      </c>
      <c r="E221" s="15" t="s">
        <v>319</v>
      </c>
      <c r="F221" s="15" t="s">
        <v>319</v>
      </c>
      <c r="G221" s="15" t="str">
        <f>IFERROR(VLOOKUP(D221,[5]成飞半成品!$A:$B,2,0),VLOOKUP(D221,[5]九院成本!$A$4:$B$48,2,0))</f>
        <v>根肋一段</v>
      </c>
      <c r="H221" s="3" t="s">
        <v>51</v>
      </c>
      <c r="I221" s="3">
        <v>50</v>
      </c>
      <c r="J221" s="18" t="s">
        <v>1077</v>
      </c>
      <c r="K221" s="3">
        <v>1</v>
      </c>
      <c r="L221" s="3">
        <v>1</v>
      </c>
      <c r="M221" s="19">
        <v>30</v>
      </c>
      <c r="N221" s="19">
        <v>30</v>
      </c>
      <c r="O221" s="5" t="s">
        <v>324</v>
      </c>
      <c r="P221" s="4"/>
      <c r="Q221" s="18">
        <v>240</v>
      </c>
      <c r="R221" s="3"/>
      <c r="S221" s="6"/>
      <c r="T221" s="22"/>
      <c r="V221" s="23">
        <v>4</v>
      </c>
      <c r="W221" s="24" t="s">
        <v>6</v>
      </c>
    </row>
    <row r="222" spans="1:25" ht="23.1" customHeight="1" x14ac:dyDescent="0.25">
      <c r="A222" s="1" t="s">
        <v>65</v>
      </c>
      <c r="D222" s="3" t="s">
        <v>480</v>
      </c>
      <c r="E222" s="15" t="s">
        <v>481</v>
      </c>
      <c r="F222" s="15" t="s">
        <v>481</v>
      </c>
      <c r="G222" s="15" t="str">
        <f>IFERROR(VLOOKUP(D222,[5]成飞半成品!$A:$B,2,0),VLOOKUP(D222,[5]九院成本!$A$4:$B$48,2,0))</f>
        <v>11968下口盖</v>
      </c>
      <c r="H222" s="3" t="s">
        <v>147</v>
      </c>
      <c r="I222" s="3">
        <v>15</v>
      </c>
      <c r="J222" s="18" t="s">
        <v>1071</v>
      </c>
      <c r="K222" s="3">
        <v>10</v>
      </c>
      <c r="L222" s="3">
        <v>10</v>
      </c>
      <c r="M222" s="19">
        <v>30</v>
      </c>
      <c r="N222" s="19">
        <v>30</v>
      </c>
      <c r="O222" s="5" t="s">
        <v>263</v>
      </c>
      <c r="P222" s="4"/>
      <c r="Q222" s="18">
        <v>45</v>
      </c>
      <c r="R222" s="3"/>
      <c r="S222" s="6"/>
      <c r="T222" s="22"/>
      <c r="V222" s="23">
        <v>7.5</v>
      </c>
      <c r="W222" s="24" t="s">
        <v>6</v>
      </c>
    </row>
    <row r="223" spans="1:25" ht="23.1" customHeight="1" x14ac:dyDescent="0.25">
      <c r="A223" s="1" t="s">
        <v>65</v>
      </c>
      <c r="D223" s="3" t="s">
        <v>482</v>
      </c>
      <c r="E223" s="15" t="s">
        <v>481</v>
      </c>
      <c r="F223" s="15" t="s">
        <v>481</v>
      </c>
      <c r="G223" s="15" t="str">
        <f>IFERROR(VLOOKUP(D223,[5]成飞半成品!$A:$B,2,0),VLOOKUP(D223,[5]九院成本!$A$4:$B$48,2,0))</f>
        <v>11968下口盖</v>
      </c>
      <c r="H223" s="3" t="s">
        <v>114</v>
      </c>
      <c r="I223" s="3">
        <v>15</v>
      </c>
      <c r="J223" s="18" t="s">
        <v>1071</v>
      </c>
      <c r="K223" s="3">
        <v>10</v>
      </c>
      <c r="L223" s="3">
        <v>10</v>
      </c>
      <c r="M223" s="19">
        <v>30</v>
      </c>
      <c r="N223" s="19">
        <v>30</v>
      </c>
      <c r="O223" s="5" t="s">
        <v>263</v>
      </c>
      <c r="P223" s="4"/>
      <c r="Q223" s="18">
        <v>45</v>
      </c>
      <c r="R223" s="3"/>
      <c r="S223" s="6"/>
      <c r="T223" s="22"/>
      <c r="V223" s="23">
        <v>7.5</v>
      </c>
      <c r="W223" s="24" t="s">
        <v>6</v>
      </c>
    </row>
    <row r="224" spans="1:25" ht="23.1" customHeight="1" x14ac:dyDescent="0.25">
      <c r="A224" s="1" t="s">
        <v>71</v>
      </c>
      <c r="D224" s="3" t="s">
        <v>480</v>
      </c>
      <c r="E224" s="15" t="s">
        <v>481</v>
      </c>
      <c r="F224" s="15" t="s">
        <v>481</v>
      </c>
      <c r="G224" s="15" t="str">
        <f>IFERROR(VLOOKUP(D224,[5]成飞半成品!$A:$B,2,0),VLOOKUP(D224,[5]九院成本!$A$4:$B$48,2,0))</f>
        <v>11968下口盖</v>
      </c>
      <c r="H224" s="3" t="s">
        <v>147</v>
      </c>
      <c r="I224" s="3">
        <v>15</v>
      </c>
      <c r="J224" s="18" t="s">
        <v>1071</v>
      </c>
      <c r="K224" s="3">
        <v>10</v>
      </c>
      <c r="L224" s="3">
        <v>10</v>
      </c>
      <c r="M224" s="19">
        <v>30</v>
      </c>
      <c r="N224" s="19">
        <v>30</v>
      </c>
      <c r="O224" s="5" t="s">
        <v>264</v>
      </c>
      <c r="P224" s="4"/>
      <c r="Q224" s="18">
        <v>45</v>
      </c>
      <c r="R224" s="3"/>
      <c r="S224" s="6"/>
      <c r="T224" s="22"/>
      <c r="V224" s="23">
        <v>7.5</v>
      </c>
      <c r="W224" s="24" t="s">
        <v>6</v>
      </c>
    </row>
    <row r="225" spans="1:25" ht="23.1" customHeight="1" x14ac:dyDescent="0.25">
      <c r="A225" s="1" t="s">
        <v>71</v>
      </c>
      <c r="D225" s="3" t="s">
        <v>483</v>
      </c>
      <c r="E225" s="15" t="s">
        <v>481</v>
      </c>
      <c r="F225" s="15" t="s">
        <v>481</v>
      </c>
      <c r="G225" s="15" t="str">
        <f>IFERROR(VLOOKUP(D225,[5]成飞半成品!$A:$B,2,0),VLOOKUP(D225,[5]九院成本!$A$4:$B$48,2,0))</f>
        <v>11968下口盖</v>
      </c>
      <c r="H225" s="3" t="s">
        <v>114</v>
      </c>
      <c r="I225" s="3">
        <v>15</v>
      </c>
      <c r="J225" s="18" t="s">
        <v>1071</v>
      </c>
      <c r="K225" s="3">
        <v>10</v>
      </c>
      <c r="L225" s="3">
        <v>10</v>
      </c>
      <c r="M225" s="19">
        <v>30</v>
      </c>
      <c r="N225" s="19">
        <v>30</v>
      </c>
      <c r="O225" s="5" t="s">
        <v>264</v>
      </c>
      <c r="P225" s="4"/>
      <c r="Q225" s="18">
        <v>45</v>
      </c>
      <c r="R225" s="3"/>
      <c r="S225" s="6"/>
      <c r="T225" s="22"/>
      <c r="V225" s="23">
        <v>7.5</v>
      </c>
      <c r="W225" s="24" t="s">
        <v>6</v>
      </c>
    </row>
    <row r="226" spans="1:25" ht="23.1" customHeight="1" x14ac:dyDescent="0.25">
      <c r="A226" s="1" t="s">
        <v>71</v>
      </c>
      <c r="D226" s="3" t="s">
        <v>484</v>
      </c>
      <c r="E226" s="15" t="s">
        <v>326</v>
      </c>
      <c r="F226" s="15" t="s">
        <v>326</v>
      </c>
      <c r="G226" s="15" t="str">
        <f>IFERROR(VLOOKUP(D226,[5]成飞半成品!$A:$B,2,0),VLOOKUP(D226,[5]九院成本!$A$4:$B$48,2,0))</f>
        <v>9010 4号加强筋</v>
      </c>
      <c r="H226" s="3" t="s">
        <v>114</v>
      </c>
      <c r="I226" s="3">
        <v>50</v>
      </c>
      <c r="J226" s="18" t="s">
        <v>1077</v>
      </c>
      <c r="K226" s="3">
        <v>1</v>
      </c>
      <c r="L226" s="3">
        <v>1</v>
      </c>
      <c r="M226" s="19">
        <v>30</v>
      </c>
      <c r="N226" s="19">
        <v>30</v>
      </c>
      <c r="O226" s="5" t="s">
        <v>366</v>
      </c>
      <c r="P226" s="4"/>
      <c r="Q226" s="18">
        <v>420</v>
      </c>
      <c r="R226" s="3"/>
      <c r="S226" s="6"/>
      <c r="T226" s="22"/>
      <c r="V226" s="23">
        <v>7</v>
      </c>
      <c r="W226" s="24" t="s">
        <v>6</v>
      </c>
    </row>
    <row r="227" spans="1:25" ht="23.1" customHeight="1" x14ac:dyDescent="0.25">
      <c r="A227" s="1" t="s">
        <v>71</v>
      </c>
      <c r="D227" s="3" t="s">
        <v>138</v>
      </c>
      <c r="E227" s="15" t="s">
        <v>139</v>
      </c>
      <c r="F227" s="15" t="s">
        <v>139</v>
      </c>
      <c r="G227" s="15" t="str">
        <f>IFERROR(VLOOKUP(D227,[5]成飞半成品!$A:$B,2,0),VLOOKUP(D227,[5]九院成本!$A$4:$B$48,2,0))</f>
        <v>8635左隔框</v>
      </c>
      <c r="H227" s="3" t="s">
        <v>114</v>
      </c>
      <c r="I227" s="3">
        <v>45</v>
      </c>
      <c r="J227" s="18" t="s">
        <v>1073</v>
      </c>
      <c r="K227" s="3">
        <v>1</v>
      </c>
      <c r="L227" s="3">
        <v>1</v>
      </c>
      <c r="M227" s="19">
        <v>30</v>
      </c>
      <c r="N227" s="19">
        <v>30</v>
      </c>
      <c r="O227" s="5" t="s">
        <v>330</v>
      </c>
      <c r="P227" s="4"/>
      <c r="Q227" s="18">
        <v>480</v>
      </c>
      <c r="R227" s="3"/>
      <c r="S227" s="6"/>
      <c r="T227" s="22"/>
      <c r="V227" s="23">
        <v>8</v>
      </c>
      <c r="W227" s="24" t="s">
        <v>6</v>
      </c>
    </row>
    <row r="228" spans="1:25" ht="23.1" customHeight="1" x14ac:dyDescent="0.25">
      <c r="A228" s="1" t="s">
        <v>74</v>
      </c>
      <c r="D228" s="3" t="s">
        <v>138</v>
      </c>
      <c r="E228" s="15" t="s">
        <v>139</v>
      </c>
      <c r="F228" s="15" t="s">
        <v>139</v>
      </c>
      <c r="G228" s="15" t="str">
        <f>IFERROR(VLOOKUP(D228,[5]成飞半成品!$A:$B,2,0),VLOOKUP(D228,[5]九院成本!$A$4:$B$48,2,0))</f>
        <v>8635左隔框</v>
      </c>
      <c r="H228" s="3" t="s">
        <v>114</v>
      </c>
      <c r="I228" s="3">
        <v>45</v>
      </c>
      <c r="J228" s="18" t="s">
        <v>1073</v>
      </c>
      <c r="K228" s="3">
        <v>1</v>
      </c>
      <c r="L228" s="3">
        <v>1</v>
      </c>
      <c r="M228" s="19">
        <v>30</v>
      </c>
      <c r="N228" s="19">
        <v>30</v>
      </c>
      <c r="O228" s="5" t="s">
        <v>376</v>
      </c>
      <c r="P228" s="4"/>
      <c r="Q228" s="18">
        <v>480</v>
      </c>
      <c r="R228" s="3"/>
      <c r="S228" s="6"/>
      <c r="T228" s="22"/>
      <c r="V228" s="23">
        <v>8</v>
      </c>
      <c r="W228" s="24" t="s">
        <v>6</v>
      </c>
    </row>
    <row r="229" spans="1:25" ht="23.1" customHeight="1" x14ac:dyDescent="0.25">
      <c r="A229" s="1" t="s">
        <v>74</v>
      </c>
      <c r="D229" s="3" t="s">
        <v>480</v>
      </c>
      <c r="E229" s="15" t="s">
        <v>481</v>
      </c>
      <c r="F229" s="15" t="s">
        <v>481</v>
      </c>
      <c r="G229" s="15" t="str">
        <f>IFERROR(VLOOKUP(D229,[5]成飞半成品!$A:$B,2,0),VLOOKUP(D229,[5]九院成本!$A$4:$B$48,2,0))</f>
        <v>11968下口盖</v>
      </c>
      <c r="H229" s="3" t="s">
        <v>147</v>
      </c>
      <c r="I229" s="3" t="s">
        <v>340</v>
      </c>
      <c r="J229" s="18" t="e">
        <v>#N/A</v>
      </c>
      <c r="K229" s="3">
        <v>20</v>
      </c>
      <c r="L229" s="3">
        <v>20</v>
      </c>
      <c r="M229" s="19">
        <v>30</v>
      </c>
      <c r="N229" s="19">
        <v>30</v>
      </c>
      <c r="O229" s="5" t="s">
        <v>264</v>
      </c>
      <c r="P229" s="4"/>
      <c r="Q229" s="18">
        <v>20</v>
      </c>
      <c r="R229" s="3"/>
      <c r="S229" s="6"/>
      <c r="T229" s="22"/>
      <c r="V229" s="23">
        <v>6.7</v>
      </c>
      <c r="W229" s="24" t="s">
        <v>6</v>
      </c>
      <c r="X229" s="7" t="s">
        <v>485</v>
      </c>
      <c r="Y229" s="7" t="s">
        <v>203</v>
      </c>
    </row>
    <row r="230" spans="1:25" ht="23.1" customHeight="1" x14ac:dyDescent="0.25">
      <c r="A230" s="1" t="s">
        <v>74</v>
      </c>
      <c r="D230" s="3" t="s">
        <v>480</v>
      </c>
      <c r="E230" s="15" t="s">
        <v>481</v>
      </c>
      <c r="F230" s="15" t="s">
        <v>481</v>
      </c>
      <c r="G230" s="15" t="str">
        <f>IFERROR(VLOOKUP(D230,[5]成飞半成品!$A:$B,2,0),VLOOKUP(D230,[5]九院成本!$A$4:$B$48,2,0))</f>
        <v>11968下口盖</v>
      </c>
      <c r="H230" s="3" t="s">
        <v>147</v>
      </c>
      <c r="I230" s="3" t="s">
        <v>340</v>
      </c>
      <c r="J230" s="18" t="e">
        <v>#N/A</v>
      </c>
      <c r="K230" s="3">
        <v>40</v>
      </c>
      <c r="L230" s="3">
        <v>40</v>
      </c>
      <c r="M230" s="19">
        <v>30</v>
      </c>
      <c r="N230" s="19">
        <v>30</v>
      </c>
      <c r="O230" s="5" t="s">
        <v>263</v>
      </c>
      <c r="P230" s="4"/>
      <c r="Q230" s="18">
        <v>15</v>
      </c>
      <c r="R230" s="3"/>
      <c r="S230" s="6"/>
      <c r="T230" s="22"/>
      <c r="V230" s="23">
        <v>10</v>
      </c>
      <c r="W230" s="24" t="s">
        <v>6</v>
      </c>
      <c r="X230" s="7" t="s">
        <v>257</v>
      </c>
      <c r="Y230" s="7" t="s">
        <v>203</v>
      </c>
    </row>
    <row r="231" spans="1:25" ht="23.1" customHeight="1" x14ac:dyDescent="0.25">
      <c r="A231" s="1" t="s">
        <v>74</v>
      </c>
      <c r="D231" s="3" t="s">
        <v>486</v>
      </c>
      <c r="E231" s="15" t="s">
        <v>487</v>
      </c>
      <c r="F231" s="15" t="s">
        <v>487</v>
      </c>
      <c r="G231" s="15" t="str">
        <f>IFERROR(VLOOKUP(D231,[5]成飞半成品!$A:$B,2,0),VLOOKUP(D231,[5]九院成本!$A$4:$B$48,2,0))</f>
        <v>油箱底板（中）</v>
      </c>
      <c r="H231" s="3" t="s">
        <v>46</v>
      </c>
      <c r="I231" s="3">
        <v>60</v>
      </c>
      <c r="J231" s="18" t="s">
        <v>1100</v>
      </c>
      <c r="K231" s="3">
        <v>4</v>
      </c>
      <c r="L231" s="3">
        <v>4</v>
      </c>
      <c r="M231" s="19">
        <v>30</v>
      </c>
      <c r="N231" s="19">
        <v>30</v>
      </c>
      <c r="O231" s="5" t="s">
        <v>488</v>
      </c>
      <c r="P231" s="4"/>
      <c r="Q231" s="18">
        <v>240</v>
      </c>
      <c r="R231" s="3"/>
      <c r="S231" s="6"/>
      <c r="T231" s="22"/>
      <c r="V231" s="23">
        <v>16</v>
      </c>
      <c r="W231" s="24" t="s">
        <v>6</v>
      </c>
    </row>
    <row r="232" spans="1:25" ht="23.1" customHeight="1" x14ac:dyDescent="0.25">
      <c r="A232" s="1" t="s">
        <v>82</v>
      </c>
      <c r="D232" s="3" t="s">
        <v>486</v>
      </c>
      <c r="E232" s="15" t="s">
        <v>487</v>
      </c>
      <c r="F232" s="15" t="s">
        <v>487</v>
      </c>
      <c r="G232" s="15" t="str">
        <f>IFERROR(VLOOKUP(D232,[5]成飞半成品!$A:$B,2,0),VLOOKUP(D232,[5]九院成本!$A$4:$B$48,2,0))</f>
        <v>油箱底板（中）</v>
      </c>
      <c r="H232" s="3" t="s">
        <v>46</v>
      </c>
      <c r="I232" s="3" t="s">
        <v>340</v>
      </c>
      <c r="J232" s="18" t="e">
        <v>#N/A</v>
      </c>
      <c r="K232" s="3">
        <v>4</v>
      </c>
      <c r="L232" s="3">
        <v>4</v>
      </c>
      <c r="M232" s="19">
        <v>30</v>
      </c>
      <c r="N232" s="19">
        <v>30</v>
      </c>
      <c r="O232" s="5" t="s">
        <v>488</v>
      </c>
      <c r="P232" s="4"/>
      <c r="Q232" s="18">
        <v>60</v>
      </c>
      <c r="R232" s="3"/>
      <c r="S232" s="6"/>
      <c r="T232" s="22"/>
      <c r="V232" s="23">
        <v>4</v>
      </c>
      <c r="W232" s="24" t="s">
        <v>6</v>
      </c>
      <c r="X232" s="7" t="s">
        <v>471</v>
      </c>
      <c r="Y232" s="7" t="s">
        <v>203</v>
      </c>
    </row>
    <row r="233" spans="1:25" ht="23.1" customHeight="1" x14ac:dyDescent="0.25">
      <c r="A233" s="1" t="s">
        <v>82</v>
      </c>
      <c r="D233" s="3" t="s">
        <v>489</v>
      </c>
      <c r="E233" s="15" t="s">
        <v>490</v>
      </c>
      <c r="F233" s="15" t="s">
        <v>490</v>
      </c>
      <c r="G233" s="15" t="str">
        <f>IFERROR(VLOOKUP(D233,[5]成飞半成品!$A:$B,2,0),VLOOKUP(D233,[5]九院成本!$A$4:$B$48,2,0))</f>
        <v>8815 4号加强筋</v>
      </c>
      <c r="H233" s="3" t="s">
        <v>147</v>
      </c>
      <c r="I233" s="3">
        <v>40</v>
      </c>
      <c r="J233" s="18" t="s">
        <v>1069</v>
      </c>
      <c r="K233" s="3">
        <v>1</v>
      </c>
      <c r="L233" s="3">
        <v>1</v>
      </c>
      <c r="M233" s="19">
        <v>30</v>
      </c>
      <c r="N233" s="19">
        <v>30</v>
      </c>
      <c r="O233" s="5" t="s">
        <v>491</v>
      </c>
      <c r="P233" s="4"/>
      <c r="Q233" s="18">
        <v>480</v>
      </c>
      <c r="R233" s="3"/>
      <c r="S233" s="6"/>
      <c r="T233" s="22"/>
      <c r="V233" s="23">
        <v>8</v>
      </c>
      <c r="W233" s="24" t="s">
        <v>6</v>
      </c>
    </row>
    <row r="234" spans="1:25" ht="23.1" customHeight="1" x14ac:dyDescent="0.25">
      <c r="A234" s="1" t="s">
        <v>82</v>
      </c>
      <c r="D234" s="3" t="s">
        <v>492</v>
      </c>
      <c r="E234" s="15" t="s">
        <v>396</v>
      </c>
      <c r="F234" s="15" t="s">
        <v>396</v>
      </c>
      <c r="G234" s="15" t="str">
        <f>IFERROR(VLOOKUP(D234,[5]成飞半成品!$A:$B,2,0),VLOOKUP(D234,[5]九院成本!$A$4:$B$48,2,0))</f>
        <v>角片</v>
      </c>
      <c r="H234" s="3" t="s">
        <v>46</v>
      </c>
      <c r="I234" s="3">
        <v>35</v>
      </c>
      <c r="J234" s="18" t="s">
        <v>1072</v>
      </c>
      <c r="K234" s="3">
        <v>5</v>
      </c>
      <c r="L234" s="3">
        <v>5</v>
      </c>
      <c r="M234" s="19">
        <v>30</v>
      </c>
      <c r="N234" s="19">
        <v>30</v>
      </c>
      <c r="O234" s="5" t="s">
        <v>493</v>
      </c>
      <c r="P234" s="4"/>
      <c r="Q234" s="18">
        <v>30</v>
      </c>
      <c r="R234" s="3"/>
      <c r="S234" s="6"/>
      <c r="T234" s="22"/>
      <c r="V234" s="23">
        <v>2.5</v>
      </c>
      <c r="W234" s="24" t="s">
        <v>6</v>
      </c>
    </row>
    <row r="235" spans="1:25" ht="23.1" customHeight="1" x14ac:dyDescent="0.25">
      <c r="A235" s="1" t="s">
        <v>82</v>
      </c>
      <c r="D235" s="3" t="s">
        <v>492</v>
      </c>
      <c r="E235" s="15" t="s">
        <v>396</v>
      </c>
      <c r="F235" s="15" t="s">
        <v>396</v>
      </c>
      <c r="G235" s="15" t="str">
        <f>IFERROR(VLOOKUP(D235,[5]成飞半成品!$A:$B,2,0),VLOOKUP(D235,[5]九院成本!$A$4:$B$48,2,0))</f>
        <v>角片</v>
      </c>
      <c r="H235" s="3" t="s">
        <v>46</v>
      </c>
      <c r="I235" s="3">
        <v>35</v>
      </c>
      <c r="J235" s="18" t="s">
        <v>1072</v>
      </c>
      <c r="K235" s="3">
        <v>5</v>
      </c>
      <c r="L235" s="3">
        <v>5</v>
      </c>
      <c r="M235" s="19">
        <v>30</v>
      </c>
      <c r="N235" s="19">
        <v>30</v>
      </c>
      <c r="O235" s="5" t="s">
        <v>494</v>
      </c>
      <c r="P235" s="4"/>
      <c r="Q235" s="18">
        <v>30</v>
      </c>
      <c r="R235" s="3"/>
      <c r="S235" s="6"/>
      <c r="T235" s="22"/>
      <c r="V235" s="23">
        <v>2.5</v>
      </c>
      <c r="W235" s="24" t="s">
        <v>6</v>
      </c>
    </row>
    <row r="236" spans="1:25" ht="23.1" customHeight="1" x14ac:dyDescent="0.25">
      <c r="A236" s="1" t="s">
        <v>89</v>
      </c>
      <c r="D236" s="3" t="s">
        <v>492</v>
      </c>
      <c r="E236" s="15" t="s">
        <v>396</v>
      </c>
      <c r="F236" s="15" t="s">
        <v>396</v>
      </c>
      <c r="G236" s="15" t="str">
        <f>IFERROR(VLOOKUP(D236,[5]成飞半成品!$A:$B,2,0),VLOOKUP(D236,[5]九院成本!$A$4:$B$48,2,0))</f>
        <v>角片</v>
      </c>
      <c r="H236" s="3" t="s">
        <v>46</v>
      </c>
      <c r="I236" s="3">
        <v>35</v>
      </c>
      <c r="J236" s="18" t="s">
        <v>1072</v>
      </c>
      <c r="K236" s="3">
        <v>5</v>
      </c>
      <c r="L236" s="3">
        <v>5</v>
      </c>
      <c r="M236" s="19">
        <v>30</v>
      </c>
      <c r="N236" s="19">
        <v>30</v>
      </c>
      <c r="O236" s="5" t="s">
        <v>495</v>
      </c>
      <c r="P236" s="4"/>
      <c r="Q236" s="18">
        <v>30</v>
      </c>
      <c r="R236" s="3"/>
      <c r="S236" s="6"/>
      <c r="T236" s="22"/>
      <c r="V236" s="23">
        <v>2.5</v>
      </c>
      <c r="W236" s="24" t="s">
        <v>6</v>
      </c>
    </row>
    <row r="237" spans="1:25" ht="23.1" customHeight="1" x14ac:dyDescent="0.25">
      <c r="A237" s="1" t="s">
        <v>89</v>
      </c>
      <c r="D237" s="3" t="s">
        <v>492</v>
      </c>
      <c r="E237" s="15" t="s">
        <v>396</v>
      </c>
      <c r="F237" s="15" t="s">
        <v>396</v>
      </c>
      <c r="G237" s="15" t="str">
        <f>IFERROR(VLOOKUP(D237,[5]成飞半成品!$A:$B,2,0),VLOOKUP(D237,[5]九院成本!$A$4:$B$48,2,0))</f>
        <v>角片</v>
      </c>
      <c r="H237" s="3" t="s">
        <v>46</v>
      </c>
      <c r="I237" s="3">
        <v>35</v>
      </c>
      <c r="J237" s="18" t="s">
        <v>1072</v>
      </c>
      <c r="K237" s="3">
        <v>5</v>
      </c>
      <c r="L237" s="3">
        <v>5</v>
      </c>
      <c r="M237" s="19">
        <v>30</v>
      </c>
      <c r="N237" s="19">
        <v>30</v>
      </c>
      <c r="O237" s="5" t="s">
        <v>496</v>
      </c>
      <c r="P237" s="4"/>
      <c r="Q237" s="18">
        <v>30</v>
      </c>
      <c r="R237" s="3"/>
      <c r="S237" s="6"/>
      <c r="T237" s="22"/>
      <c r="V237" s="23">
        <v>2.5</v>
      </c>
      <c r="W237" s="24" t="s">
        <v>6</v>
      </c>
    </row>
    <row r="238" spans="1:25" ht="23.1" customHeight="1" x14ac:dyDescent="0.25">
      <c r="A238" s="1" t="s">
        <v>89</v>
      </c>
      <c r="D238" s="3" t="s">
        <v>492</v>
      </c>
      <c r="E238" s="15" t="s">
        <v>396</v>
      </c>
      <c r="F238" s="15" t="s">
        <v>396</v>
      </c>
      <c r="G238" s="15" t="str">
        <f>IFERROR(VLOOKUP(D238,[5]成飞半成品!$A:$B,2,0),VLOOKUP(D238,[5]九院成本!$A$4:$B$48,2,0))</f>
        <v>角片</v>
      </c>
      <c r="H238" s="3" t="s">
        <v>46</v>
      </c>
      <c r="I238" s="3">
        <v>35</v>
      </c>
      <c r="J238" s="18" t="s">
        <v>1072</v>
      </c>
      <c r="K238" s="3">
        <v>2</v>
      </c>
      <c r="L238" s="3">
        <v>2</v>
      </c>
      <c r="M238" s="19">
        <v>30</v>
      </c>
      <c r="N238" s="19">
        <v>30</v>
      </c>
      <c r="O238" s="5" t="s">
        <v>497</v>
      </c>
      <c r="P238" s="4"/>
      <c r="Q238" s="18">
        <v>30</v>
      </c>
      <c r="R238" s="3"/>
      <c r="S238" s="6"/>
      <c r="T238" s="22"/>
      <c r="V238" s="23">
        <v>1</v>
      </c>
      <c r="W238" s="24" t="s">
        <v>6</v>
      </c>
    </row>
    <row r="239" spans="1:25" ht="23.1" customHeight="1" x14ac:dyDescent="0.25">
      <c r="A239" s="1" t="s">
        <v>89</v>
      </c>
      <c r="D239" s="3" t="s">
        <v>492</v>
      </c>
      <c r="E239" s="15" t="s">
        <v>396</v>
      </c>
      <c r="F239" s="15" t="s">
        <v>396</v>
      </c>
      <c r="G239" s="15" t="str">
        <f>IFERROR(VLOOKUP(D239,[5]成飞半成品!$A:$B,2,0),VLOOKUP(D239,[5]九院成本!$A$4:$B$48,2,0))</f>
        <v>角片</v>
      </c>
      <c r="H239" s="3" t="s">
        <v>46</v>
      </c>
      <c r="I239" s="3">
        <v>35</v>
      </c>
      <c r="J239" s="18" t="s">
        <v>1072</v>
      </c>
      <c r="K239" s="3">
        <v>1</v>
      </c>
      <c r="L239" s="3">
        <v>1</v>
      </c>
      <c r="M239" s="19">
        <v>30</v>
      </c>
      <c r="N239" s="19">
        <v>30</v>
      </c>
      <c r="O239" s="5" t="s">
        <v>498</v>
      </c>
      <c r="P239" s="4"/>
      <c r="Q239" s="18">
        <v>30</v>
      </c>
      <c r="R239" s="3"/>
      <c r="S239" s="6"/>
      <c r="T239" s="22"/>
      <c r="V239" s="23">
        <v>0.5</v>
      </c>
      <c r="W239" s="24" t="s">
        <v>6</v>
      </c>
    </row>
    <row r="240" spans="1:25" ht="23.1" customHeight="1" x14ac:dyDescent="0.25">
      <c r="A240" s="1" t="s">
        <v>100</v>
      </c>
      <c r="D240" s="3" t="s">
        <v>492</v>
      </c>
      <c r="E240" s="15" t="s">
        <v>396</v>
      </c>
      <c r="F240" s="15" t="s">
        <v>396</v>
      </c>
      <c r="G240" s="15" t="str">
        <f>IFERROR(VLOOKUP(D240,[5]成飞半成品!$A:$B,2,0),VLOOKUP(D240,[5]九院成本!$A$4:$B$48,2,0))</f>
        <v>角片</v>
      </c>
      <c r="H240" s="3" t="s">
        <v>46</v>
      </c>
      <c r="I240" s="3">
        <v>35</v>
      </c>
      <c r="J240" s="18" t="s">
        <v>1072</v>
      </c>
      <c r="K240" s="3">
        <v>1</v>
      </c>
      <c r="L240" s="3">
        <v>2</v>
      </c>
      <c r="M240" s="19">
        <v>30</v>
      </c>
      <c r="N240" s="19">
        <v>30</v>
      </c>
      <c r="O240" s="5" t="s">
        <v>499</v>
      </c>
      <c r="P240" s="4"/>
      <c r="Q240" s="18">
        <v>30</v>
      </c>
      <c r="R240" s="3"/>
      <c r="S240" s="6"/>
      <c r="T240" s="22"/>
      <c r="V240" s="23">
        <v>1</v>
      </c>
      <c r="W240" s="24" t="s">
        <v>6</v>
      </c>
    </row>
    <row r="241" spans="1:25" ht="23.1" customHeight="1" x14ac:dyDescent="0.25">
      <c r="A241" s="1" t="s">
        <v>100</v>
      </c>
      <c r="D241" s="3" t="s">
        <v>420</v>
      </c>
      <c r="E241" s="15" t="s">
        <v>421</v>
      </c>
      <c r="F241" s="15" t="s">
        <v>421</v>
      </c>
      <c r="G241" s="15" t="str">
        <f>IFERROR(VLOOKUP(D241,[5]成飞半成品!$A:$B,2,0),VLOOKUP(D241,[5]九院成本!$A$4:$B$48,2,0))</f>
        <v>卡环</v>
      </c>
      <c r="H241" s="3" t="s">
        <v>64</v>
      </c>
      <c r="I241" s="3">
        <v>75</v>
      </c>
      <c r="J241" s="18" t="s">
        <v>1101</v>
      </c>
      <c r="K241" s="3">
        <v>3</v>
      </c>
      <c r="L241" s="3">
        <v>3</v>
      </c>
      <c r="M241" s="19">
        <v>30</v>
      </c>
      <c r="N241" s="19">
        <v>30</v>
      </c>
      <c r="O241" s="5" t="s">
        <v>500</v>
      </c>
      <c r="P241" s="4"/>
      <c r="Q241" s="18">
        <v>300</v>
      </c>
      <c r="R241" s="3"/>
      <c r="S241" s="6"/>
      <c r="T241" s="22"/>
      <c r="V241" s="23">
        <v>15</v>
      </c>
      <c r="W241" s="24" t="s">
        <v>6</v>
      </c>
    </row>
    <row r="242" spans="1:25" ht="23.1" customHeight="1" x14ac:dyDescent="0.25">
      <c r="A242" s="1" t="s">
        <v>100</v>
      </c>
      <c r="D242" s="3" t="s">
        <v>492</v>
      </c>
      <c r="E242" s="15" t="s">
        <v>396</v>
      </c>
      <c r="F242" s="15" t="s">
        <v>396</v>
      </c>
      <c r="G242" s="15" t="str">
        <f>IFERROR(VLOOKUP(D242,[5]成飞半成品!$A:$B,2,0),VLOOKUP(D242,[5]九院成本!$A$4:$B$48,2,0))</f>
        <v>角片</v>
      </c>
      <c r="H242" s="3" t="s">
        <v>46</v>
      </c>
      <c r="I242" s="3" t="s">
        <v>340</v>
      </c>
      <c r="J242" s="18" t="e">
        <v>#N/A</v>
      </c>
      <c r="K242" s="3">
        <v>10</v>
      </c>
      <c r="L242" s="3">
        <v>10</v>
      </c>
      <c r="M242" s="19">
        <v>30</v>
      </c>
      <c r="N242" s="19">
        <v>30</v>
      </c>
      <c r="O242" s="5" t="s">
        <v>501</v>
      </c>
      <c r="P242" s="4"/>
      <c r="Q242" s="18">
        <v>15</v>
      </c>
      <c r="R242" s="3"/>
      <c r="S242" s="6"/>
      <c r="T242" s="22"/>
      <c r="V242" s="23">
        <v>2.5</v>
      </c>
      <c r="W242" s="24" t="s">
        <v>6</v>
      </c>
      <c r="X242" s="7" t="s">
        <v>502</v>
      </c>
      <c r="Y242" s="7" t="s">
        <v>203</v>
      </c>
    </row>
    <row r="243" spans="1:25" ht="23.1" customHeight="1" x14ac:dyDescent="0.25">
      <c r="A243" s="1" t="s">
        <v>100</v>
      </c>
      <c r="D243" s="3" t="s">
        <v>420</v>
      </c>
      <c r="E243" s="15" t="s">
        <v>421</v>
      </c>
      <c r="F243" s="15" t="s">
        <v>421</v>
      </c>
      <c r="G243" s="15" t="str">
        <f>IFERROR(VLOOKUP(D243,[5]成飞半成品!$A:$B,2,0),VLOOKUP(D243,[5]九院成本!$A$4:$B$48,2,0))</f>
        <v>卡环</v>
      </c>
      <c r="H243" s="3" t="s">
        <v>64</v>
      </c>
      <c r="I243" s="3" t="s">
        <v>340</v>
      </c>
      <c r="J243" s="18" t="e">
        <v>#N/A</v>
      </c>
      <c r="K243" s="3">
        <v>2</v>
      </c>
      <c r="L243" s="3">
        <v>2</v>
      </c>
      <c r="M243" s="19">
        <v>30</v>
      </c>
      <c r="N243" s="19">
        <v>30</v>
      </c>
      <c r="O243" s="5" t="s">
        <v>503</v>
      </c>
      <c r="P243" s="4"/>
      <c r="Q243" s="18">
        <v>20</v>
      </c>
      <c r="R243" s="3"/>
      <c r="S243" s="6"/>
      <c r="T243" s="22"/>
      <c r="V243" s="23">
        <v>0.7</v>
      </c>
      <c r="W243" s="24" t="s">
        <v>6</v>
      </c>
      <c r="Y243" s="7" t="s">
        <v>203</v>
      </c>
    </row>
    <row r="244" spans="1:25" ht="23.1" customHeight="1" x14ac:dyDescent="0.25">
      <c r="A244" s="1" t="s">
        <v>103</v>
      </c>
      <c r="D244" s="3" t="s">
        <v>504</v>
      </c>
      <c r="E244" s="15" t="s">
        <v>55</v>
      </c>
      <c r="F244" s="15" t="s">
        <v>55</v>
      </c>
      <c r="G244" s="15" t="str">
        <f>IFERROR(VLOOKUP(D244,[5]成飞半成品!$A:$B,2,0),VLOOKUP(D244,[5]九院成本!$A$4:$B$48,2,0))</f>
        <v>接头</v>
      </c>
      <c r="H244" s="3" t="s">
        <v>80</v>
      </c>
      <c r="I244" s="3">
        <v>45</v>
      </c>
      <c r="J244" s="18" t="s">
        <v>1106</v>
      </c>
      <c r="K244" s="3">
        <v>2</v>
      </c>
      <c r="L244" s="3">
        <v>2</v>
      </c>
      <c r="M244" s="19">
        <v>30</v>
      </c>
      <c r="N244" s="19">
        <v>30</v>
      </c>
      <c r="O244" s="5" t="s">
        <v>81</v>
      </c>
      <c r="P244" s="4"/>
      <c r="Q244" s="18">
        <v>120</v>
      </c>
      <c r="R244" s="3"/>
      <c r="S244" s="6"/>
      <c r="T244" s="22"/>
      <c r="V244" s="23">
        <v>4</v>
      </c>
      <c r="W244" s="24" t="s">
        <v>6</v>
      </c>
    </row>
    <row r="245" spans="1:25" ht="23.1" customHeight="1" x14ac:dyDescent="0.25">
      <c r="A245" s="1" t="s">
        <v>103</v>
      </c>
      <c r="D245" s="3" t="s">
        <v>1182</v>
      </c>
      <c r="E245" s="15" t="s">
        <v>434</v>
      </c>
      <c r="F245" s="15" t="s">
        <v>434</v>
      </c>
      <c r="G245" s="15" t="str">
        <f>IFERROR(VLOOKUP(D245,[5]成飞半成品!$A:$B,2,0),VLOOKUP(D245,[5]九院成本!$A$4:$B$48,2,0))</f>
        <v>4号上壁板（左件）</v>
      </c>
      <c r="H245" s="3" t="s">
        <v>51</v>
      </c>
      <c r="I245" s="3">
        <v>20</v>
      </c>
      <c r="J245" s="18" t="s">
        <v>1105</v>
      </c>
      <c r="K245" s="3">
        <v>2</v>
      </c>
      <c r="L245" s="3">
        <v>2</v>
      </c>
      <c r="M245" s="19">
        <v>30</v>
      </c>
      <c r="N245" s="19">
        <v>30</v>
      </c>
      <c r="O245" s="5" t="s">
        <v>505</v>
      </c>
      <c r="P245" s="4"/>
      <c r="Q245" s="18">
        <v>120</v>
      </c>
      <c r="R245" s="3"/>
      <c r="S245" s="6"/>
      <c r="T245" s="22"/>
      <c r="V245" s="23">
        <v>4</v>
      </c>
      <c r="W245" s="24" t="s">
        <v>6</v>
      </c>
    </row>
    <row r="246" spans="1:25" ht="23.1" customHeight="1" x14ac:dyDescent="0.25">
      <c r="A246" s="1" t="s">
        <v>103</v>
      </c>
      <c r="D246" s="3" t="s">
        <v>439</v>
      </c>
      <c r="E246" s="15" t="s">
        <v>437</v>
      </c>
      <c r="F246" s="15" t="s">
        <v>437</v>
      </c>
      <c r="G246" s="15" t="str">
        <f>IFERROR(VLOOKUP(D246,[5]成飞半成品!$A:$B,2,0),VLOOKUP(D246,[5]九院成本!$A$4:$B$48,2,0))</f>
        <v>10150侧隔框</v>
      </c>
      <c r="H246" s="3" t="s">
        <v>51</v>
      </c>
      <c r="I246" s="3">
        <v>55</v>
      </c>
      <c r="J246" s="18" t="s">
        <v>1086</v>
      </c>
      <c r="K246" s="3">
        <v>1</v>
      </c>
      <c r="L246" s="3">
        <v>1</v>
      </c>
      <c r="M246" s="19">
        <v>30</v>
      </c>
      <c r="N246" s="19">
        <v>30</v>
      </c>
      <c r="O246" s="5" t="s">
        <v>88</v>
      </c>
      <c r="P246" s="4"/>
      <c r="Q246" s="18">
        <v>480</v>
      </c>
      <c r="R246" s="3"/>
      <c r="S246" s="6"/>
      <c r="T246" s="22"/>
      <c r="V246" s="23">
        <v>8</v>
      </c>
      <c r="W246" s="24" t="s">
        <v>6</v>
      </c>
    </row>
    <row r="247" spans="1:25" ht="23.1" customHeight="1" x14ac:dyDescent="0.25">
      <c r="A247" s="1" t="s">
        <v>103</v>
      </c>
      <c r="D247" s="3" t="s">
        <v>439</v>
      </c>
      <c r="E247" s="15" t="s">
        <v>437</v>
      </c>
      <c r="F247" s="15" t="s">
        <v>437</v>
      </c>
      <c r="G247" s="15" t="str">
        <f>IFERROR(VLOOKUP(D247,[5]成飞半成品!$A:$B,2,0),VLOOKUP(D247,[5]九院成本!$A$4:$B$48,2,0))</f>
        <v>10150侧隔框</v>
      </c>
      <c r="H247" s="3" t="s">
        <v>51</v>
      </c>
      <c r="I247" s="3">
        <v>55</v>
      </c>
      <c r="J247" s="18" t="s">
        <v>1086</v>
      </c>
      <c r="K247" s="3">
        <v>1</v>
      </c>
      <c r="L247" s="3">
        <v>1</v>
      </c>
      <c r="M247" s="19">
        <v>30</v>
      </c>
      <c r="N247" s="19">
        <v>30</v>
      </c>
      <c r="O247" s="5" t="s">
        <v>85</v>
      </c>
      <c r="P247" s="4"/>
      <c r="Q247" s="18">
        <v>480</v>
      </c>
      <c r="R247" s="3"/>
      <c r="S247" s="6"/>
      <c r="T247" s="22"/>
      <c r="V247" s="23">
        <v>8</v>
      </c>
      <c r="W247" s="24" t="s">
        <v>6</v>
      </c>
    </row>
    <row r="248" spans="1:25" ht="23.1" customHeight="1" x14ac:dyDescent="0.25">
      <c r="A248" s="1" t="s">
        <v>109</v>
      </c>
      <c r="D248" s="3" t="s">
        <v>439</v>
      </c>
      <c r="E248" s="15" t="s">
        <v>437</v>
      </c>
      <c r="F248" s="15" t="s">
        <v>437</v>
      </c>
      <c r="G248" s="15" t="str">
        <f>IFERROR(VLOOKUP(D248,[5]成飞半成品!$A:$B,2,0),VLOOKUP(D248,[5]九院成本!$A$4:$B$48,2,0))</f>
        <v>10150侧隔框</v>
      </c>
      <c r="H248" s="3" t="s">
        <v>51</v>
      </c>
      <c r="I248" s="3">
        <v>55</v>
      </c>
      <c r="J248" s="18" t="s">
        <v>1086</v>
      </c>
      <c r="K248" s="3">
        <v>1</v>
      </c>
      <c r="L248" s="3">
        <v>1</v>
      </c>
      <c r="M248" s="19">
        <v>30</v>
      </c>
      <c r="N248" s="19">
        <v>30</v>
      </c>
      <c r="O248" s="5" t="s">
        <v>392</v>
      </c>
      <c r="P248" s="4"/>
      <c r="Q248" s="18">
        <v>480</v>
      </c>
      <c r="R248" s="3"/>
      <c r="S248" s="6"/>
      <c r="T248" s="22"/>
      <c r="V248" s="23">
        <v>8</v>
      </c>
      <c r="W248" s="24" t="s">
        <v>6</v>
      </c>
    </row>
    <row r="249" spans="1:25" ht="23.1" customHeight="1" x14ac:dyDescent="0.25">
      <c r="A249" s="1" t="s">
        <v>109</v>
      </c>
      <c r="D249" s="3" t="s">
        <v>439</v>
      </c>
      <c r="E249" s="15" t="s">
        <v>437</v>
      </c>
      <c r="F249" s="15" t="s">
        <v>437</v>
      </c>
      <c r="G249" s="15" t="str">
        <f>IFERROR(VLOOKUP(D249,[5]成飞半成品!$A:$B,2,0),VLOOKUP(D249,[5]九院成本!$A$4:$B$48,2,0))</f>
        <v>10150侧隔框</v>
      </c>
      <c r="H249" s="3" t="s">
        <v>51</v>
      </c>
      <c r="I249" s="3" t="s">
        <v>340</v>
      </c>
      <c r="J249" s="18" t="e">
        <v>#N/A</v>
      </c>
      <c r="K249" s="3">
        <v>4</v>
      </c>
      <c r="L249" s="3">
        <v>4</v>
      </c>
      <c r="M249" s="19">
        <v>30</v>
      </c>
      <c r="N249" s="19">
        <v>30</v>
      </c>
      <c r="O249" s="5" t="s">
        <v>506</v>
      </c>
      <c r="P249" s="4"/>
      <c r="Q249" s="18">
        <v>60</v>
      </c>
      <c r="R249" s="3"/>
      <c r="S249" s="6"/>
      <c r="T249" s="22"/>
      <c r="V249" s="23">
        <v>4</v>
      </c>
      <c r="W249" s="24" t="s">
        <v>6</v>
      </c>
      <c r="X249" s="7" t="s">
        <v>507</v>
      </c>
      <c r="Y249" s="7" t="s">
        <v>203</v>
      </c>
    </row>
    <row r="250" spans="1:25" ht="23.1" customHeight="1" x14ac:dyDescent="0.25">
      <c r="A250" s="1" t="s">
        <v>109</v>
      </c>
      <c r="D250" s="3" t="s">
        <v>439</v>
      </c>
      <c r="E250" s="15" t="s">
        <v>437</v>
      </c>
      <c r="F250" s="15" t="s">
        <v>437</v>
      </c>
      <c r="G250" s="15" t="str">
        <f>IFERROR(VLOOKUP(D250,[5]成飞半成品!$A:$B,2,0),VLOOKUP(D250,[5]九院成本!$A$4:$B$48,2,0))</f>
        <v>10150侧隔框</v>
      </c>
      <c r="H250" s="3" t="s">
        <v>51</v>
      </c>
      <c r="I250" s="3">
        <v>55</v>
      </c>
      <c r="J250" s="18" t="s">
        <v>1086</v>
      </c>
      <c r="K250" s="3">
        <v>1</v>
      </c>
      <c r="L250" s="3">
        <v>1</v>
      </c>
      <c r="M250" s="19">
        <v>30</v>
      </c>
      <c r="N250" s="19">
        <v>30</v>
      </c>
      <c r="O250" s="5" t="s">
        <v>474</v>
      </c>
      <c r="P250" s="4"/>
      <c r="Q250" s="18">
        <v>480</v>
      </c>
      <c r="R250" s="3"/>
      <c r="S250" s="6"/>
      <c r="T250" s="22"/>
      <c r="V250" s="23">
        <v>8</v>
      </c>
      <c r="W250" s="24" t="s">
        <v>6</v>
      </c>
    </row>
    <row r="251" spans="1:25" ht="23.1" customHeight="1" x14ac:dyDescent="0.25">
      <c r="A251" s="1" t="s">
        <v>109</v>
      </c>
      <c r="D251" s="3" t="s">
        <v>909</v>
      </c>
      <c r="E251" s="15" t="s">
        <v>319</v>
      </c>
      <c r="F251" s="15" t="s">
        <v>319</v>
      </c>
      <c r="G251" s="15" t="str">
        <f>IFERROR(VLOOKUP(D251,[5]成飞半成品!$A:$B,2,0),VLOOKUP(D251,[5]九院成本!$A$4:$B$48,2,0))</f>
        <v>根肋一段</v>
      </c>
      <c r="H251" s="3" t="s">
        <v>114</v>
      </c>
      <c r="I251" s="3" t="s">
        <v>340</v>
      </c>
      <c r="J251" s="18" t="e">
        <v>#N/A</v>
      </c>
      <c r="K251" s="3">
        <v>11</v>
      </c>
      <c r="L251" s="3">
        <v>11</v>
      </c>
      <c r="M251" s="19">
        <v>30</v>
      </c>
      <c r="N251" s="19">
        <v>30</v>
      </c>
      <c r="O251" s="5" t="s">
        <v>508</v>
      </c>
      <c r="P251" s="4"/>
      <c r="Q251" s="18">
        <v>30</v>
      </c>
      <c r="R251" s="3"/>
      <c r="S251" s="6"/>
      <c r="T251" s="22"/>
      <c r="V251" s="23">
        <v>5.5</v>
      </c>
      <c r="W251" s="24" t="s">
        <v>6</v>
      </c>
      <c r="X251" s="7" t="s">
        <v>509</v>
      </c>
      <c r="Y251" s="7" t="s">
        <v>203</v>
      </c>
    </row>
    <row r="252" spans="1:25" ht="23.1" customHeight="1" x14ac:dyDescent="0.25">
      <c r="A252" s="1" t="s">
        <v>510</v>
      </c>
      <c r="D252" s="3" t="s">
        <v>461</v>
      </c>
      <c r="E252" s="15" t="s">
        <v>462</v>
      </c>
      <c r="F252" s="15" t="s">
        <v>462</v>
      </c>
      <c r="G252" s="15" t="str">
        <f>IFERROR(VLOOKUP(D252,[5]成飞半成品!$A:$B,2,0),VLOOKUP(D252,[5]九院成本!$A$4:$B$48,2,0))</f>
        <v>拨杆</v>
      </c>
      <c r="H252" s="3" t="s">
        <v>147</v>
      </c>
      <c r="I252" s="3" t="s">
        <v>340</v>
      </c>
      <c r="J252" s="18" t="e">
        <v>#N/A</v>
      </c>
      <c r="K252" s="3">
        <v>30</v>
      </c>
      <c r="L252" s="3">
        <v>30</v>
      </c>
      <c r="M252" s="19">
        <v>30</v>
      </c>
      <c r="N252" s="19">
        <v>30</v>
      </c>
      <c r="O252" s="5" t="s">
        <v>464</v>
      </c>
      <c r="P252" s="4"/>
      <c r="Q252" s="18">
        <v>5</v>
      </c>
      <c r="R252" s="3"/>
      <c r="S252" s="6"/>
      <c r="T252" s="22"/>
      <c r="V252" s="23">
        <v>2.5</v>
      </c>
      <c r="W252" s="24" t="s">
        <v>5</v>
      </c>
      <c r="X252" s="7" t="s">
        <v>511</v>
      </c>
      <c r="Y252" s="7" t="s">
        <v>203</v>
      </c>
    </row>
    <row r="253" spans="1:25" ht="23.1" customHeight="1" x14ac:dyDescent="0.25">
      <c r="A253" s="1" t="s">
        <v>304</v>
      </c>
      <c r="D253" s="3" t="s">
        <v>512</v>
      </c>
      <c r="E253" s="15" t="s">
        <v>513</v>
      </c>
      <c r="F253" s="15" t="s">
        <v>513</v>
      </c>
      <c r="G253" s="15" t="str">
        <f>IFERROR(VLOOKUP(D253,[5]成飞半成品!$A:$B,2,0),VLOOKUP(D253,[5]九院成本!$A$4:$B$48,2,0))</f>
        <v>5550上框</v>
      </c>
      <c r="H253" s="3" t="s">
        <v>114</v>
      </c>
      <c r="I253" s="3">
        <v>70</v>
      </c>
      <c r="J253" s="18" t="s">
        <v>1103</v>
      </c>
      <c r="K253" s="3">
        <v>2</v>
      </c>
      <c r="L253" s="3">
        <v>2</v>
      </c>
      <c r="M253" s="19">
        <v>30</v>
      </c>
      <c r="N253" s="19">
        <v>30</v>
      </c>
      <c r="O253" s="5" t="s">
        <v>514</v>
      </c>
      <c r="P253" s="4"/>
      <c r="Q253" s="18">
        <v>1440</v>
      </c>
      <c r="R253" s="3"/>
      <c r="S253" s="6"/>
      <c r="T253" s="22"/>
      <c r="V253" s="23">
        <v>48</v>
      </c>
      <c r="W253" s="24" t="s">
        <v>5</v>
      </c>
    </row>
    <row r="254" spans="1:25" ht="23.1" customHeight="1" x14ac:dyDescent="0.25">
      <c r="A254" s="1" t="s">
        <v>121</v>
      </c>
      <c r="D254" s="3" t="s">
        <v>512</v>
      </c>
      <c r="E254" s="15" t="s">
        <v>513</v>
      </c>
      <c r="F254" s="15" t="s">
        <v>513</v>
      </c>
      <c r="G254" s="15" t="str">
        <f>IFERROR(VLOOKUP(D254,[5]成飞半成品!$A:$B,2,0),VLOOKUP(D254,[5]九院成本!$A$4:$B$48,2,0))</f>
        <v>5550上框</v>
      </c>
      <c r="H254" s="3" t="s">
        <v>114</v>
      </c>
      <c r="I254" s="3" t="s">
        <v>340</v>
      </c>
      <c r="J254" s="18" t="e">
        <v>#N/A</v>
      </c>
      <c r="K254" s="3">
        <v>2</v>
      </c>
      <c r="L254" s="3">
        <v>2</v>
      </c>
      <c r="M254" s="19">
        <v>30</v>
      </c>
      <c r="N254" s="19">
        <v>30</v>
      </c>
      <c r="O254" s="5" t="s">
        <v>514</v>
      </c>
      <c r="P254" s="4"/>
      <c r="Q254" s="18">
        <v>600</v>
      </c>
      <c r="R254" s="3"/>
      <c r="S254" s="6"/>
      <c r="T254" s="22"/>
      <c r="V254" s="23">
        <v>20</v>
      </c>
      <c r="W254" s="24" t="s">
        <v>5</v>
      </c>
      <c r="X254" s="7" t="s">
        <v>515</v>
      </c>
      <c r="Y254" s="7" t="s">
        <v>203</v>
      </c>
    </row>
    <row r="255" spans="1:25" ht="23.1" customHeight="1" x14ac:dyDescent="0.25">
      <c r="A255" s="1" t="s">
        <v>121</v>
      </c>
      <c r="D255" s="3" t="s">
        <v>512</v>
      </c>
      <c r="E255" s="15" t="s">
        <v>513</v>
      </c>
      <c r="F255" s="15" t="s">
        <v>513</v>
      </c>
      <c r="G255" s="15" t="str">
        <f>IFERROR(VLOOKUP(D255,[5]成飞半成品!$A:$B,2,0),VLOOKUP(D255,[5]九院成本!$A$4:$B$48,2,0))</f>
        <v>5550上框</v>
      </c>
      <c r="H255" s="3" t="s">
        <v>114</v>
      </c>
      <c r="I255" s="3" t="s">
        <v>340</v>
      </c>
      <c r="J255" s="18" t="e">
        <v>#N/A</v>
      </c>
      <c r="K255" s="3">
        <v>2</v>
      </c>
      <c r="L255" s="3">
        <v>2</v>
      </c>
      <c r="M255" s="19"/>
      <c r="N255" s="19"/>
      <c r="O255" s="5" t="s">
        <v>491</v>
      </c>
      <c r="P255" s="4"/>
      <c r="Q255" s="18">
        <v>0</v>
      </c>
      <c r="R255" s="3"/>
      <c r="S255" s="6"/>
      <c r="T255" s="22"/>
      <c r="U255" s="7">
        <v>4</v>
      </c>
      <c r="V255" s="23">
        <v>4</v>
      </c>
      <c r="W255" s="24" t="s">
        <v>5</v>
      </c>
      <c r="X255" s="7" t="s">
        <v>516</v>
      </c>
      <c r="Y255" s="7" t="s">
        <v>203</v>
      </c>
    </row>
    <row r="256" spans="1:25" ht="23.1" customHeight="1" x14ac:dyDescent="0.25">
      <c r="A256" s="1" t="s">
        <v>121</v>
      </c>
      <c r="D256" s="3" t="s">
        <v>517</v>
      </c>
      <c r="E256" s="15" t="s">
        <v>87</v>
      </c>
      <c r="F256" s="15" t="s">
        <v>87</v>
      </c>
      <c r="G256" s="15" t="str">
        <f>IFERROR(VLOOKUP(D256,[5]成飞半成品!$A:$B,2,0),VLOOKUP(D256,[5]九院成本!$A$4:$B$48,2,0))</f>
        <v>管接头</v>
      </c>
      <c r="H256" s="3" t="s">
        <v>46</v>
      </c>
      <c r="I256" s="3" t="s">
        <v>340</v>
      </c>
      <c r="J256" s="18" t="e">
        <v>#N/A</v>
      </c>
      <c r="K256" s="3">
        <v>209</v>
      </c>
      <c r="L256" s="3">
        <v>209</v>
      </c>
      <c r="M256" s="19"/>
      <c r="N256" s="19"/>
      <c r="O256" s="5" t="s">
        <v>102</v>
      </c>
      <c r="P256" s="4"/>
      <c r="Q256" s="18">
        <v>10</v>
      </c>
      <c r="R256" s="3"/>
      <c r="S256" s="6"/>
      <c r="T256" s="22"/>
      <c r="V256" s="23">
        <v>34.799999999999997</v>
      </c>
      <c r="W256" s="24" t="s">
        <v>5</v>
      </c>
      <c r="X256" s="7" t="s">
        <v>518</v>
      </c>
      <c r="Y256" s="7" t="s">
        <v>203</v>
      </c>
    </row>
    <row r="257" spans="1:23" ht="23.1" customHeight="1" x14ac:dyDescent="0.25">
      <c r="A257" s="1" t="s">
        <v>121</v>
      </c>
      <c r="D257" s="3" t="s">
        <v>314</v>
      </c>
      <c r="E257" s="15" t="s">
        <v>315</v>
      </c>
      <c r="F257" s="15" t="e">
        <v>#N/A</v>
      </c>
      <c r="G257" s="15" t="e">
        <f>IFERROR(VLOOKUP(D257,[5]成飞半成品!$A:$B,2,0),VLOOKUP(D257,[5]九院成本!$A$4:$B$48,2,0))</f>
        <v>#N/A</v>
      </c>
      <c r="H257" s="3" t="s">
        <v>80</v>
      </c>
      <c r="I257" s="3">
        <v>75</v>
      </c>
      <c r="J257" s="18" t="e">
        <v>#N/A</v>
      </c>
      <c r="K257" s="3">
        <v>3</v>
      </c>
      <c r="L257" s="3">
        <v>3</v>
      </c>
      <c r="M257" s="19"/>
      <c r="N257" s="19"/>
      <c r="O257" s="5" t="s">
        <v>519</v>
      </c>
      <c r="P257" s="4"/>
      <c r="Q257" s="18">
        <v>360</v>
      </c>
      <c r="R257" s="3"/>
      <c r="S257" s="6"/>
      <c r="T257" s="22"/>
      <c r="V257" s="23">
        <v>18</v>
      </c>
      <c r="W257" s="24" t="s">
        <v>5</v>
      </c>
    </row>
    <row r="258" spans="1:23" ht="23.1" customHeight="1" x14ac:dyDescent="0.25">
      <c r="A258" s="1" t="s">
        <v>48</v>
      </c>
      <c r="D258" s="3" t="s">
        <v>314</v>
      </c>
      <c r="E258" s="15" t="s">
        <v>315</v>
      </c>
      <c r="F258" s="15" t="e">
        <v>#N/A</v>
      </c>
      <c r="G258" s="15" t="e">
        <f>IFERROR(VLOOKUP(D258,[5]成飞半成品!$A:$B,2,0),VLOOKUP(D258,[5]九院成本!$A$4:$B$48,2,0))</f>
        <v>#N/A</v>
      </c>
      <c r="H258" s="3" t="s">
        <v>80</v>
      </c>
      <c r="I258" s="3">
        <v>100</v>
      </c>
      <c r="J258" s="18" t="e">
        <v>#N/A</v>
      </c>
      <c r="K258" s="3">
        <v>2</v>
      </c>
      <c r="L258" s="3">
        <v>2</v>
      </c>
      <c r="M258" s="19"/>
      <c r="N258" s="19"/>
      <c r="O258" s="5" t="s">
        <v>520</v>
      </c>
      <c r="P258" s="4"/>
      <c r="Q258" s="18">
        <v>960</v>
      </c>
      <c r="R258" s="3"/>
      <c r="S258" s="6"/>
      <c r="T258" s="22"/>
      <c r="V258" s="23">
        <v>32</v>
      </c>
      <c r="W258" s="24" t="s">
        <v>5</v>
      </c>
    </row>
    <row r="259" spans="1:23" ht="23.1" customHeight="1" x14ac:dyDescent="0.25">
      <c r="A259" s="1" t="s">
        <v>53</v>
      </c>
      <c r="D259" s="3" t="s">
        <v>521</v>
      </c>
      <c r="E259" s="15" t="s">
        <v>87</v>
      </c>
      <c r="F259" s="15" t="s">
        <v>87</v>
      </c>
      <c r="G259" s="15" t="str">
        <f>IFERROR(VLOOKUP(D259,[5]成飞半成品!$A:$B,2,0),VLOOKUP(D259,[5]九院成本!$A$4:$B$48,2,0))</f>
        <v>管接头</v>
      </c>
      <c r="H259" s="3" t="s">
        <v>46</v>
      </c>
      <c r="I259" s="3">
        <v>15</v>
      </c>
      <c r="J259" s="18" t="s">
        <v>1071</v>
      </c>
      <c r="K259" s="3">
        <v>80</v>
      </c>
      <c r="L259" s="3">
        <v>80</v>
      </c>
      <c r="M259" s="19"/>
      <c r="N259" s="19"/>
      <c r="O259" s="5" t="s">
        <v>102</v>
      </c>
      <c r="P259" s="4"/>
      <c r="Q259" s="18" t="s">
        <v>1080</v>
      </c>
      <c r="R259" s="3"/>
      <c r="S259" s="6"/>
      <c r="T259" s="22"/>
      <c r="V259" s="23">
        <v>26.7</v>
      </c>
      <c r="W259" s="24" t="s">
        <v>5</v>
      </c>
    </row>
    <row r="260" spans="1:23" ht="23.1" customHeight="1" x14ac:dyDescent="0.25">
      <c r="A260" s="1" t="s">
        <v>121</v>
      </c>
      <c r="D260" s="3" t="s">
        <v>522</v>
      </c>
      <c r="E260" s="15" t="s">
        <v>523</v>
      </c>
      <c r="F260" s="15" t="s">
        <v>523</v>
      </c>
      <c r="G260" s="15" t="str">
        <f>IFERROR(VLOOKUP(D260,[5]成飞半成品!$A:$B,2,0),VLOOKUP(D260,[5]九院成本!$A$4:$B$48,2,0))</f>
        <v>三通管接头</v>
      </c>
      <c r="H260" s="3" t="s">
        <v>46</v>
      </c>
      <c r="I260" s="3">
        <v>45</v>
      </c>
      <c r="J260" s="18" t="s">
        <v>1073</v>
      </c>
      <c r="K260" s="3">
        <v>20</v>
      </c>
      <c r="L260" s="3">
        <v>20</v>
      </c>
      <c r="M260" s="19">
        <v>8</v>
      </c>
      <c r="N260" s="19">
        <v>8</v>
      </c>
      <c r="O260" s="5" t="s">
        <v>56</v>
      </c>
      <c r="P260" s="4"/>
      <c r="Q260" s="18">
        <v>35</v>
      </c>
      <c r="R260" s="3"/>
      <c r="S260" s="6"/>
      <c r="T260" s="22"/>
      <c r="V260" s="23">
        <v>11.7</v>
      </c>
      <c r="W260" s="24" t="s">
        <v>15</v>
      </c>
    </row>
    <row r="261" spans="1:23" ht="23.1" customHeight="1" x14ac:dyDescent="0.25">
      <c r="A261" s="1" t="s">
        <v>121</v>
      </c>
      <c r="D261" s="3" t="s">
        <v>524</v>
      </c>
      <c r="E261" s="15" t="s">
        <v>76</v>
      </c>
      <c r="F261" s="15" t="s">
        <v>76</v>
      </c>
      <c r="G261" s="15" t="str">
        <f>IFERROR(VLOOKUP(D261,[5]成飞半成品!$A:$B,2,0),VLOOKUP(D261,[5]九院成本!$A$4:$B$48,2,0))</f>
        <v>接管嘴</v>
      </c>
      <c r="H261" s="3" t="s">
        <v>46</v>
      </c>
      <c r="I261" s="3">
        <v>5</v>
      </c>
      <c r="J261" s="18" t="s">
        <v>1110</v>
      </c>
      <c r="K261" s="3">
        <v>5</v>
      </c>
      <c r="L261" s="3">
        <v>51</v>
      </c>
      <c r="M261" s="19">
        <v>8</v>
      </c>
      <c r="N261" s="19">
        <v>8</v>
      </c>
      <c r="O261" s="5" t="s">
        <v>525</v>
      </c>
      <c r="P261" s="4"/>
      <c r="Q261" s="18">
        <v>15</v>
      </c>
      <c r="R261" s="3"/>
      <c r="S261" s="6"/>
      <c r="T261" s="22"/>
      <c r="V261" s="23">
        <v>12.8</v>
      </c>
      <c r="W261" s="24" t="s">
        <v>15</v>
      </c>
    </row>
    <row r="262" spans="1:23" ht="23.1" customHeight="1" x14ac:dyDescent="0.25">
      <c r="A262" s="1" t="s">
        <v>121</v>
      </c>
      <c r="D262" s="3" t="s">
        <v>282</v>
      </c>
      <c r="E262" s="15" t="s">
        <v>76</v>
      </c>
      <c r="F262" s="15" t="s">
        <v>76</v>
      </c>
      <c r="G262" s="15" t="str">
        <f>IFERROR(VLOOKUP(D262,[5]成飞半成品!$A:$B,2,0),VLOOKUP(D262,[5]九院成本!$A$4:$B$48,2,0))</f>
        <v>接管嘴</v>
      </c>
      <c r="H262" s="3" t="s">
        <v>46</v>
      </c>
      <c r="I262" s="3">
        <v>5</v>
      </c>
      <c r="J262" s="18" t="s">
        <v>1110</v>
      </c>
      <c r="L262" s="3">
        <v>37</v>
      </c>
      <c r="M262" s="19">
        <v>8</v>
      </c>
      <c r="N262" s="19">
        <v>8</v>
      </c>
      <c r="O262" s="5" t="s">
        <v>283</v>
      </c>
      <c r="P262" s="4"/>
      <c r="Q262" s="18">
        <v>15</v>
      </c>
      <c r="R262" s="3"/>
      <c r="S262" s="6"/>
      <c r="T262" s="22"/>
      <c r="V262" s="23">
        <v>9.3000000000000007</v>
      </c>
      <c r="W262" s="24" t="s">
        <v>15</v>
      </c>
    </row>
    <row r="263" spans="1:23" ht="23.1" customHeight="1" x14ac:dyDescent="0.25">
      <c r="A263" s="1" t="s">
        <v>121</v>
      </c>
      <c r="D263" s="3" t="s">
        <v>526</v>
      </c>
      <c r="E263" s="15" t="s">
        <v>523</v>
      </c>
      <c r="F263" s="15" t="s">
        <v>523</v>
      </c>
      <c r="G263" s="15" t="str">
        <f>IFERROR(VLOOKUP(D263,[5]成飞半成品!$A:$B,2,0),VLOOKUP(D263,[5]九院成本!$A$4:$B$48,2,0))</f>
        <v>三通管接头</v>
      </c>
      <c r="H263" s="3" t="s">
        <v>114</v>
      </c>
      <c r="I263" s="3">
        <v>5</v>
      </c>
      <c r="J263" s="18" t="s">
        <v>1093</v>
      </c>
      <c r="L263" s="3">
        <v>5</v>
      </c>
      <c r="M263" s="19">
        <v>8</v>
      </c>
      <c r="N263" s="19">
        <v>8</v>
      </c>
      <c r="O263" s="5" t="s">
        <v>264</v>
      </c>
      <c r="P263" s="4"/>
      <c r="Q263" s="18">
        <v>15</v>
      </c>
      <c r="R263" s="3"/>
      <c r="S263" s="6"/>
      <c r="T263" s="22"/>
      <c r="V263" s="23">
        <v>1.3</v>
      </c>
      <c r="W263" s="24" t="s">
        <v>15</v>
      </c>
    </row>
    <row r="264" spans="1:23" ht="23.1" customHeight="1" x14ac:dyDescent="0.25">
      <c r="A264" s="1" t="s">
        <v>121</v>
      </c>
      <c r="D264" s="3" t="s">
        <v>527</v>
      </c>
      <c r="E264" s="15" t="s">
        <v>528</v>
      </c>
      <c r="F264" s="15" t="s">
        <v>528</v>
      </c>
      <c r="G264" s="15" t="str">
        <f>IFERROR(VLOOKUP(D264,[5]成飞半成品!$A:$B,2,0),VLOOKUP(D264,[5]九院成本!$A$4:$B$48,2,0))</f>
        <v>传感器座</v>
      </c>
      <c r="H264" s="3" t="s">
        <v>80</v>
      </c>
      <c r="I264" s="3">
        <v>50</v>
      </c>
      <c r="J264" s="18" t="e">
        <v>#N/A</v>
      </c>
      <c r="K264" s="3">
        <v>9</v>
      </c>
      <c r="L264" s="3">
        <v>9</v>
      </c>
      <c r="M264" s="19">
        <v>8</v>
      </c>
      <c r="N264" s="19">
        <v>8</v>
      </c>
      <c r="O264" s="5" t="s">
        <v>529</v>
      </c>
      <c r="P264" s="4"/>
      <c r="Q264" s="18">
        <v>40</v>
      </c>
      <c r="R264" s="3"/>
      <c r="S264" s="6"/>
      <c r="T264" s="22"/>
      <c r="V264" s="23">
        <v>6</v>
      </c>
      <c r="W264" s="24" t="s">
        <v>15</v>
      </c>
    </row>
    <row r="265" spans="1:23" ht="23.1" customHeight="1" x14ac:dyDescent="0.25">
      <c r="A265" s="1" t="s">
        <v>121</v>
      </c>
      <c r="D265" s="3" t="s">
        <v>539</v>
      </c>
      <c r="E265" s="15" t="s">
        <v>531</v>
      </c>
      <c r="F265" s="15" t="s">
        <v>531</v>
      </c>
      <c r="G265" s="15" t="str">
        <f>IFERROR(VLOOKUP(D265,[5]成飞半成品!$A:$B,2,0),VLOOKUP(D265,[5]九院成本!$A$4:$B$48,2,0))</f>
        <v>变径三通管接头</v>
      </c>
      <c r="H265" s="3" t="s">
        <v>46</v>
      </c>
      <c r="I265" s="3">
        <v>30</v>
      </c>
      <c r="J265" s="18" t="s">
        <v>1111</v>
      </c>
      <c r="K265" s="3">
        <v>27</v>
      </c>
      <c r="L265" s="3">
        <v>27</v>
      </c>
      <c r="M265" s="19">
        <v>8</v>
      </c>
      <c r="N265" s="19">
        <v>8</v>
      </c>
      <c r="O265" s="5" t="s">
        <v>88</v>
      </c>
      <c r="P265" s="4"/>
      <c r="Q265" s="18" t="s">
        <v>1112</v>
      </c>
      <c r="R265" s="3"/>
      <c r="S265" s="6"/>
      <c r="T265" s="22"/>
      <c r="V265" s="23">
        <v>4.5</v>
      </c>
      <c r="W265" s="24" t="s">
        <v>15</v>
      </c>
    </row>
    <row r="266" spans="1:23" ht="23.1" customHeight="1" x14ac:dyDescent="0.25">
      <c r="A266" s="1" t="s">
        <v>48</v>
      </c>
      <c r="D266" s="3" t="s">
        <v>532</v>
      </c>
      <c r="E266" s="15" t="s">
        <v>396</v>
      </c>
      <c r="F266" s="15" t="e">
        <v>#N/A</v>
      </c>
      <c r="G266" s="15" t="e">
        <f>IFERROR(VLOOKUP(D266,[5]成飞半成品!$A:$B,2,0),VLOOKUP(D266,[5]九院成本!$A$4:$B$48,2,0))</f>
        <v>#N/A</v>
      </c>
      <c r="H266" s="3" t="s">
        <v>46</v>
      </c>
      <c r="I266" s="3">
        <v>30</v>
      </c>
      <c r="J266" s="18" t="e">
        <v>#N/A</v>
      </c>
      <c r="L266" s="3">
        <v>20</v>
      </c>
      <c r="M266" s="19">
        <v>8</v>
      </c>
      <c r="N266" s="19">
        <v>8</v>
      </c>
      <c r="O266" s="5" t="s">
        <v>533</v>
      </c>
      <c r="P266" s="4"/>
      <c r="Q266" s="18">
        <v>30</v>
      </c>
      <c r="R266" s="3"/>
      <c r="S266" s="6"/>
      <c r="T266" s="22"/>
      <c r="V266" s="23">
        <v>10</v>
      </c>
      <c r="W266" s="24" t="s">
        <v>15</v>
      </c>
    </row>
    <row r="267" spans="1:23" ht="23.1" customHeight="1" x14ac:dyDescent="0.25">
      <c r="A267" s="1" t="s">
        <v>48</v>
      </c>
      <c r="D267" s="3" t="s">
        <v>532</v>
      </c>
      <c r="E267" s="15" t="s">
        <v>396</v>
      </c>
      <c r="F267" s="15" t="e">
        <v>#N/A</v>
      </c>
      <c r="G267" s="15" t="e">
        <f>IFERROR(VLOOKUP(D267,[5]成飞半成品!$A:$B,2,0),VLOOKUP(D267,[5]九院成本!$A$4:$B$48,2,0))</f>
        <v>#N/A</v>
      </c>
      <c r="H267" s="3" t="s">
        <v>46</v>
      </c>
      <c r="I267" s="3">
        <v>30</v>
      </c>
      <c r="J267" s="18" t="e">
        <v>#N/A</v>
      </c>
      <c r="L267" s="3">
        <v>18</v>
      </c>
      <c r="M267" s="19">
        <v>8</v>
      </c>
      <c r="N267" s="19">
        <v>8</v>
      </c>
      <c r="O267" s="5" t="s">
        <v>534</v>
      </c>
      <c r="P267" s="4"/>
      <c r="Q267" s="18">
        <v>30</v>
      </c>
      <c r="R267" s="3"/>
      <c r="S267" s="6"/>
      <c r="T267" s="22"/>
      <c r="V267" s="23">
        <v>9</v>
      </c>
      <c r="W267" s="24" t="s">
        <v>15</v>
      </c>
    </row>
    <row r="268" spans="1:23" ht="23.1" customHeight="1" x14ac:dyDescent="0.25">
      <c r="A268" s="1" t="s">
        <v>53</v>
      </c>
      <c r="D268" s="3" t="s">
        <v>535</v>
      </c>
      <c r="E268" s="15" t="s">
        <v>446</v>
      </c>
      <c r="F268" s="15" t="e">
        <v>#N/A</v>
      </c>
      <c r="G268" s="15" t="e">
        <f>IFERROR(VLOOKUP(D268,[5]成飞半成品!$A:$B,2,0),VLOOKUP(D268,[5]九院成本!$A$4:$B$48,2,0))</f>
        <v>#N/A</v>
      </c>
      <c r="H268" s="3" t="s">
        <v>80</v>
      </c>
      <c r="I268" s="3">
        <v>110</v>
      </c>
      <c r="J268" s="18" t="e">
        <v>#N/A</v>
      </c>
      <c r="L268" s="3">
        <v>2</v>
      </c>
      <c r="M268" s="19">
        <v>8</v>
      </c>
      <c r="N268" s="19">
        <v>8</v>
      </c>
      <c r="O268" s="5" t="s">
        <v>95</v>
      </c>
      <c r="P268" s="4"/>
      <c r="Q268" s="18">
        <v>480</v>
      </c>
      <c r="R268" s="3"/>
      <c r="S268" s="6"/>
      <c r="T268" s="22"/>
      <c r="V268" s="23">
        <v>16</v>
      </c>
      <c r="W268" s="24" t="s">
        <v>15</v>
      </c>
    </row>
    <row r="269" spans="1:23" ht="23.1" customHeight="1" x14ac:dyDescent="0.25">
      <c r="A269" s="1" t="s">
        <v>53</v>
      </c>
      <c r="D269" s="3" t="s">
        <v>338</v>
      </c>
      <c r="E269" s="15" t="s">
        <v>339</v>
      </c>
      <c r="F269" s="15" t="s">
        <v>339</v>
      </c>
      <c r="G269" s="15" t="str">
        <f>IFERROR(VLOOKUP(D269,[5]成飞半成品!$A:$B,2,0),VLOOKUP(D269,[5]九院成本!$A$4:$B$48,2,0))</f>
        <v>11140框右下半框</v>
      </c>
      <c r="H269" s="3" t="s">
        <v>147</v>
      </c>
      <c r="I269" s="3">
        <v>60</v>
      </c>
      <c r="J269" s="18" t="s">
        <v>1100</v>
      </c>
      <c r="L269" s="3">
        <v>1</v>
      </c>
      <c r="M269" s="19">
        <v>8</v>
      </c>
      <c r="N269" s="19">
        <v>8</v>
      </c>
      <c r="O269" s="5" t="s">
        <v>440</v>
      </c>
      <c r="P269" s="4"/>
      <c r="Q269" s="18">
        <v>560</v>
      </c>
      <c r="R269" s="3"/>
      <c r="S269" s="6"/>
      <c r="T269" s="22"/>
      <c r="V269" s="23">
        <v>9.3000000000000007</v>
      </c>
      <c r="W269" s="24" t="s">
        <v>15</v>
      </c>
    </row>
    <row r="270" spans="1:23" ht="23.1" customHeight="1" x14ac:dyDescent="0.25">
      <c r="A270" s="1" t="s">
        <v>58</v>
      </c>
      <c r="D270" s="3" t="s">
        <v>536</v>
      </c>
      <c r="E270" s="15" t="s">
        <v>87</v>
      </c>
      <c r="F270" s="15" t="s">
        <v>87</v>
      </c>
      <c r="G270" s="15" t="str">
        <f>IFERROR(VLOOKUP(D270,[5]成飞半成品!$A:$B,2,0),VLOOKUP(D270,[5]九院成本!$A$4:$B$48,2,0))</f>
        <v>管接头</v>
      </c>
      <c r="H270" s="3" t="s">
        <v>64</v>
      </c>
      <c r="I270" s="3">
        <v>35</v>
      </c>
      <c r="J270" s="18" t="s">
        <v>1072</v>
      </c>
      <c r="L270" s="3">
        <v>20</v>
      </c>
      <c r="M270" s="19">
        <v>8</v>
      </c>
      <c r="N270" s="19">
        <v>8</v>
      </c>
      <c r="O270" s="5" t="s">
        <v>105</v>
      </c>
      <c r="P270" s="4"/>
      <c r="Q270" s="18">
        <v>25</v>
      </c>
      <c r="R270" s="3"/>
      <c r="S270" s="6"/>
      <c r="T270" s="22"/>
      <c r="V270" s="23">
        <v>8.3000000000000007</v>
      </c>
      <c r="W270" s="24" t="s">
        <v>15</v>
      </c>
    </row>
    <row r="271" spans="1:23" ht="23.1" customHeight="1" x14ac:dyDescent="0.25">
      <c r="A271" s="1" t="s">
        <v>58</v>
      </c>
      <c r="D271" s="3" t="s">
        <v>537</v>
      </c>
      <c r="E271" s="15" t="s">
        <v>538</v>
      </c>
      <c r="F271" s="15" t="s">
        <v>538</v>
      </c>
      <c r="G271" s="15" t="str">
        <f>IFERROR(VLOOKUP(D271,[5]成飞半成品!$A:$B,2,0),VLOOKUP(D271,[5]九院成本!$A$4:$B$48,2,0))</f>
        <v>7号护板维型肋右件</v>
      </c>
      <c r="H271" s="3" t="s">
        <v>46</v>
      </c>
      <c r="I271" s="3">
        <v>30</v>
      </c>
      <c r="J271" s="18" t="s">
        <v>1079</v>
      </c>
      <c r="L271" s="3">
        <v>22</v>
      </c>
      <c r="M271" s="19">
        <v>8</v>
      </c>
      <c r="N271" s="19">
        <v>8</v>
      </c>
      <c r="O271" s="5" t="s">
        <v>92</v>
      </c>
      <c r="P271" s="4"/>
      <c r="Q271" s="18">
        <v>45</v>
      </c>
      <c r="R271" s="3"/>
      <c r="S271" s="6"/>
      <c r="T271" s="22"/>
      <c r="V271" s="23">
        <v>16.5</v>
      </c>
      <c r="W271" s="24" t="s">
        <v>15</v>
      </c>
    </row>
    <row r="272" spans="1:23" ht="23.1" customHeight="1" x14ac:dyDescent="0.25">
      <c r="A272" s="1" t="s">
        <v>58</v>
      </c>
      <c r="D272" s="3" t="s">
        <v>539</v>
      </c>
      <c r="E272" s="15" t="s">
        <v>540</v>
      </c>
      <c r="F272" s="15" t="s">
        <v>540</v>
      </c>
      <c r="G272" s="15" t="str">
        <f>IFERROR(VLOOKUP(D272,[5]成飞半成品!$A:$B,2,0),VLOOKUP(D272,[5]九院成本!$A$4:$B$48,2,0))</f>
        <v>变径三通管接头</v>
      </c>
      <c r="H272" s="3" t="s">
        <v>51</v>
      </c>
      <c r="I272" s="3">
        <v>45</v>
      </c>
      <c r="J272" s="18" t="s">
        <v>1073</v>
      </c>
      <c r="L272" s="3">
        <v>19</v>
      </c>
      <c r="M272" s="19">
        <v>8</v>
      </c>
      <c r="N272" s="19">
        <v>8</v>
      </c>
      <c r="O272" s="5" t="s">
        <v>286</v>
      </c>
      <c r="P272" s="4"/>
      <c r="Q272" s="18" t="s">
        <v>1074</v>
      </c>
      <c r="R272" s="3"/>
      <c r="S272" s="6"/>
      <c r="T272" s="22"/>
      <c r="V272" s="23">
        <v>11.1</v>
      </c>
      <c r="W272" s="24" t="s">
        <v>15</v>
      </c>
    </row>
    <row r="273" spans="1:25" ht="23.1" customHeight="1" x14ac:dyDescent="0.25">
      <c r="A273" s="1" t="s">
        <v>65</v>
      </c>
      <c r="D273" s="3" t="s">
        <v>541</v>
      </c>
      <c r="E273" s="15" t="s">
        <v>120</v>
      </c>
      <c r="F273" s="15" t="s">
        <v>120</v>
      </c>
      <c r="G273" s="15" t="str">
        <f>IFERROR(VLOOKUP(D273,[5]成飞半成品!$A:$B,2,0),VLOOKUP(D273,[5]九院成本!$A$4:$B$48,2,0))</f>
        <v>支架</v>
      </c>
      <c r="H273" s="3" t="s">
        <v>51</v>
      </c>
      <c r="I273" s="3">
        <v>55</v>
      </c>
      <c r="J273" s="18" t="s">
        <v>1086</v>
      </c>
      <c r="L273" s="3">
        <v>12</v>
      </c>
      <c r="M273" s="19">
        <v>8</v>
      </c>
      <c r="N273" s="19">
        <v>8</v>
      </c>
      <c r="O273" s="5" t="s">
        <v>508</v>
      </c>
      <c r="P273" s="4"/>
      <c r="Q273" s="18">
        <v>60</v>
      </c>
      <c r="R273" s="3"/>
      <c r="S273" s="6"/>
      <c r="T273" s="22"/>
      <c r="V273" s="23">
        <v>12</v>
      </c>
      <c r="W273" s="24" t="s">
        <v>15</v>
      </c>
    </row>
    <row r="274" spans="1:25" ht="23.1" customHeight="1" x14ac:dyDescent="0.25">
      <c r="A274" s="1" t="s">
        <v>71</v>
      </c>
      <c r="D274" s="3" t="s">
        <v>542</v>
      </c>
      <c r="E274" s="15" t="s">
        <v>543</v>
      </c>
      <c r="F274" s="15" t="s">
        <v>543</v>
      </c>
      <c r="G274" s="15" t="str">
        <f>IFERROR(VLOOKUP(D274,[5]成飞半成品!$A:$B,2,0),VLOOKUP(D274,[5]九院成本!$A$4:$B$48,2,0))</f>
        <v>支片5</v>
      </c>
      <c r="I274" s="3" t="s">
        <v>340</v>
      </c>
      <c r="J274" s="18" t="e">
        <v>#N/A</v>
      </c>
      <c r="L274" s="3">
        <v>24</v>
      </c>
      <c r="M274" s="19">
        <v>8</v>
      </c>
      <c r="N274" s="19">
        <v>8</v>
      </c>
      <c r="O274" s="5" t="s">
        <v>544</v>
      </c>
      <c r="P274" s="4"/>
      <c r="Q274" s="18">
        <v>50</v>
      </c>
      <c r="R274" s="3"/>
      <c r="S274" s="6"/>
      <c r="T274" s="22"/>
      <c r="V274" s="23">
        <v>20</v>
      </c>
      <c r="W274" s="24" t="s">
        <v>15</v>
      </c>
      <c r="X274" s="7" t="s">
        <v>545</v>
      </c>
      <c r="Y274" s="7" t="s">
        <v>203</v>
      </c>
    </row>
    <row r="275" spans="1:25" ht="23.1" customHeight="1" x14ac:dyDescent="0.25">
      <c r="A275" s="1" t="s">
        <v>74</v>
      </c>
      <c r="D275" s="3" t="s">
        <v>546</v>
      </c>
      <c r="E275" s="15" t="s">
        <v>547</v>
      </c>
      <c r="F275" s="15" t="s">
        <v>547</v>
      </c>
      <c r="G275" s="15" t="str">
        <f>IFERROR(VLOOKUP(D275,[5]成飞半成品!$A:$B,2,0),VLOOKUP(D275,[5]九院成本!$A$4:$B$48,2,0))</f>
        <v>壳体</v>
      </c>
      <c r="H275" s="3" t="s">
        <v>46</v>
      </c>
      <c r="I275" s="3">
        <v>25</v>
      </c>
      <c r="J275" s="18" t="s">
        <v>1099</v>
      </c>
      <c r="L275" s="3">
        <v>150</v>
      </c>
      <c r="M275" s="19">
        <v>8</v>
      </c>
      <c r="N275" s="19">
        <v>8</v>
      </c>
      <c r="O275" s="5" t="s">
        <v>520</v>
      </c>
      <c r="P275" s="4"/>
      <c r="Q275" s="18" t="s">
        <v>1098</v>
      </c>
      <c r="R275" s="3"/>
      <c r="S275" s="6"/>
      <c r="T275" s="22"/>
      <c r="V275" s="23">
        <v>75</v>
      </c>
      <c r="W275" s="24" t="s">
        <v>15</v>
      </c>
    </row>
    <row r="276" spans="1:25" ht="23.1" customHeight="1" x14ac:dyDescent="0.25">
      <c r="A276" s="1" t="s">
        <v>82</v>
      </c>
      <c r="D276" s="3" t="s">
        <v>269</v>
      </c>
      <c r="E276" s="15" t="s">
        <v>270</v>
      </c>
      <c r="F276" s="15" t="s">
        <v>270</v>
      </c>
      <c r="G276" s="15" t="str">
        <f>IFERROR(VLOOKUP(D276,[5]成飞半成品!$A:$B,2,0),VLOOKUP(D276,[5]九院成本!$A$4:$B$48,2,0))</f>
        <v>转接嘴</v>
      </c>
      <c r="H276" s="3" t="s">
        <v>46</v>
      </c>
      <c r="I276" s="3" t="s">
        <v>340</v>
      </c>
      <c r="J276" s="18" t="e">
        <v>#N/A</v>
      </c>
      <c r="L276" s="3">
        <v>22</v>
      </c>
      <c r="M276" s="19">
        <v>8</v>
      </c>
      <c r="N276" s="19">
        <v>8</v>
      </c>
      <c r="O276" s="5" t="s">
        <v>88</v>
      </c>
      <c r="P276" s="4"/>
      <c r="Q276" s="18">
        <v>5</v>
      </c>
      <c r="R276" s="3"/>
      <c r="S276" s="6"/>
      <c r="T276" s="22"/>
      <c r="V276" s="23">
        <v>1.8</v>
      </c>
      <c r="W276" s="24" t="s">
        <v>15</v>
      </c>
      <c r="X276" s="7" t="s">
        <v>511</v>
      </c>
      <c r="Y276" s="7" t="s">
        <v>203</v>
      </c>
    </row>
    <row r="277" spans="1:25" ht="23.1" customHeight="1" x14ac:dyDescent="0.25">
      <c r="A277" s="1" t="s">
        <v>82</v>
      </c>
      <c r="D277" s="3" t="s">
        <v>548</v>
      </c>
      <c r="E277" s="15" t="s">
        <v>523</v>
      </c>
      <c r="F277" s="15" t="s">
        <v>523</v>
      </c>
      <c r="G277" s="15" t="str">
        <f>IFERROR(VLOOKUP(D277,[5]成飞半成品!$A:$B,2,0),VLOOKUP(D277,[5]九院成本!$A$4:$B$48,2,0))</f>
        <v>三通管接头</v>
      </c>
      <c r="H277" s="3" t="s">
        <v>64</v>
      </c>
      <c r="I277" s="3">
        <v>10</v>
      </c>
      <c r="J277" s="18" t="s">
        <v>1093</v>
      </c>
      <c r="L277" s="3">
        <v>13</v>
      </c>
      <c r="M277" s="19">
        <v>8</v>
      </c>
      <c r="N277" s="19">
        <v>8</v>
      </c>
      <c r="O277" s="5" t="s">
        <v>295</v>
      </c>
      <c r="P277" s="4"/>
      <c r="Q277" s="18">
        <v>20</v>
      </c>
      <c r="R277" s="3"/>
      <c r="S277" s="6"/>
      <c r="T277" s="22"/>
      <c r="V277" s="23">
        <v>4.3</v>
      </c>
      <c r="W277" s="24" t="s">
        <v>15</v>
      </c>
    </row>
    <row r="278" spans="1:25" ht="23.1" customHeight="1" x14ac:dyDescent="0.25">
      <c r="A278" s="1" t="s">
        <v>89</v>
      </c>
      <c r="D278" s="3" t="s">
        <v>549</v>
      </c>
      <c r="E278" s="15" t="s">
        <v>76</v>
      </c>
      <c r="F278" s="15" t="s">
        <v>76</v>
      </c>
      <c r="G278" s="15" t="str">
        <f>IFERROR(VLOOKUP(D278,[5]成飞半成品!$A:$B,2,0),VLOOKUP(D278,[5]九院成本!$A$4:$B$48,2,0))</f>
        <v>接管嘴</v>
      </c>
      <c r="H278" s="3" t="s">
        <v>46</v>
      </c>
      <c r="I278" s="3">
        <v>5</v>
      </c>
      <c r="J278" s="18" t="s">
        <v>1110</v>
      </c>
      <c r="L278" s="3">
        <v>68</v>
      </c>
      <c r="M278" s="19">
        <v>8</v>
      </c>
      <c r="N278" s="19">
        <v>8</v>
      </c>
      <c r="O278" s="5" t="s">
        <v>550</v>
      </c>
      <c r="P278" s="4"/>
      <c r="Q278" s="18">
        <v>15</v>
      </c>
      <c r="R278" s="3"/>
      <c r="S278" s="6"/>
      <c r="T278" s="22"/>
      <c r="V278" s="23">
        <v>17</v>
      </c>
      <c r="W278" s="24" t="s">
        <v>15</v>
      </c>
    </row>
    <row r="279" spans="1:25" ht="23.1" customHeight="1" x14ac:dyDescent="0.25">
      <c r="A279" s="1" t="s">
        <v>89</v>
      </c>
      <c r="D279" s="3" t="s">
        <v>524</v>
      </c>
      <c r="E279" s="15" t="s">
        <v>76</v>
      </c>
      <c r="F279" s="15" t="s">
        <v>76</v>
      </c>
      <c r="G279" s="15" t="str">
        <f>IFERROR(VLOOKUP(D279,[5]成飞半成品!$A:$B,2,0),VLOOKUP(D279,[5]九院成本!$A$4:$B$48,2,0))</f>
        <v>接管嘴</v>
      </c>
      <c r="H279" s="3" t="s">
        <v>46</v>
      </c>
      <c r="I279" s="3">
        <v>25</v>
      </c>
      <c r="J279" s="18" t="s">
        <v>1099</v>
      </c>
      <c r="L279" s="3">
        <v>50</v>
      </c>
      <c r="M279" s="19">
        <v>8</v>
      </c>
      <c r="N279" s="19">
        <v>8</v>
      </c>
      <c r="O279" s="5" t="s">
        <v>525</v>
      </c>
      <c r="P279" s="4"/>
      <c r="Q279" s="18">
        <v>30</v>
      </c>
      <c r="R279" s="3"/>
      <c r="S279" s="6"/>
      <c r="T279" s="22"/>
      <c r="V279" s="23">
        <v>25</v>
      </c>
      <c r="W279" s="24" t="s">
        <v>15</v>
      </c>
    </row>
    <row r="280" spans="1:25" ht="23.1" customHeight="1" x14ac:dyDescent="0.25">
      <c r="A280" s="1" t="s">
        <v>100</v>
      </c>
      <c r="D280" s="3" t="s">
        <v>548</v>
      </c>
      <c r="E280" s="15" t="s">
        <v>523</v>
      </c>
      <c r="F280" s="15" t="s">
        <v>523</v>
      </c>
      <c r="G280" s="15" t="str">
        <f>IFERROR(VLOOKUP(D280,[5]成飞半成品!$A:$B,2,0),VLOOKUP(D280,[5]九院成本!$A$4:$B$48,2,0))</f>
        <v>三通管接头</v>
      </c>
      <c r="H280" s="3" t="s">
        <v>64</v>
      </c>
      <c r="I280" s="3">
        <v>35</v>
      </c>
      <c r="J280" s="18" t="s">
        <v>1113</v>
      </c>
      <c r="L280" s="3">
        <v>13</v>
      </c>
      <c r="M280" s="19">
        <v>8</v>
      </c>
      <c r="N280" s="19">
        <v>8</v>
      </c>
      <c r="O280" s="5" t="s">
        <v>295</v>
      </c>
      <c r="P280" s="4"/>
      <c r="Q280" s="18" t="s">
        <v>1098</v>
      </c>
      <c r="R280" s="3"/>
      <c r="S280" s="6"/>
      <c r="T280" s="22"/>
      <c r="V280" s="23">
        <v>6.5</v>
      </c>
      <c r="W280" s="24" t="s">
        <v>15</v>
      </c>
    </row>
    <row r="281" spans="1:25" ht="23.1" customHeight="1" x14ac:dyDescent="0.25">
      <c r="A281" s="1" t="s">
        <v>103</v>
      </c>
      <c r="D281" s="3" t="s">
        <v>282</v>
      </c>
      <c r="E281" s="15" t="s">
        <v>76</v>
      </c>
      <c r="F281" s="15" t="s">
        <v>76</v>
      </c>
      <c r="G281" s="15" t="str">
        <f>IFERROR(VLOOKUP(D281,[5]成飞半成品!$A:$B,2,0),VLOOKUP(D281,[5]九院成本!$A$4:$B$48,2,0))</f>
        <v>接管嘴</v>
      </c>
      <c r="H281" s="3" t="s">
        <v>46</v>
      </c>
      <c r="I281" s="3">
        <v>30</v>
      </c>
      <c r="J281" s="18" t="s">
        <v>1079</v>
      </c>
      <c r="L281" s="3">
        <v>18</v>
      </c>
      <c r="M281" s="19">
        <v>8</v>
      </c>
      <c r="N281" s="19">
        <v>8</v>
      </c>
      <c r="O281" s="5" t="s">
        <v>551</v>
      </c>
      <c r="P281" s="4"/>
      <c r="Q281" s="18">
        <v>40</v>
      </c>
      <c r="R281" s="3"/>
      <c r="S281" s="6"/>
      <c r="T281" s="22"/>
      <c r="V281" s="23">
        <v>12</v>
      </c>
      <c r="W281" s="24" t="s">
        <v>15</v>
      </c>
    </row>
    <row r="282" spans="1:25" ht="23.1" customHeight="1" x14ac:dyDescent="0.25">
      <c r="A282" s="1" t="s">
        <v>103</v>
      </c>
      <c r="D282" s="3" t="s">
        <v>552</v>
      </c>
      <c r="E282" s="15" t="s">
        <v>553</v>
      </c>
      <c r="F282" s="15" t="s">
        <v>553</v>
      </c>
      <c r="G282" s="15" t="str">
        <f>IFERROR(VLOOKUP(D282,[5]成飞半成品!$A:$B,2,0),VLOOKUP(D282,[5]九院成本!$A$4:$B$48,2,0))</f>
        <v>变径四通管接头</v>
      </c>
      <c r="H282" s="3" t="s">
        <v>51</v>
      </c>
      <c r="I282" s="3">
        <v>10</v>
      </c>
      <c r="J282" s="18" t="s">
        <v>1070</v>
      </c>
      <c r="L282" s="3">
        <v>8</v>
      </c>
      <c r="M282" s="19">
        <v>8</v>
      </c>
      <c r="N282" s="19">
        <v>8</v>
      </c>
      <c r="O282" s="5" t="s">
        <v>295</v>
      </c>
      <c r="P282" s="4"/>
      <c r="Q282" s="18">
        <v>20</v>
      </c>
      <c r="R282" s="3"/>
      <c r="S282" s="6"/>
      <c r="T282" s="22"/>
      <c r="V282" s="23">
        <v>2.7</v>
      </c>
      <c r="W282" s="24" t="s">
        <v>15</v>
      </c>
    </row>
    <row r="283" spans="1:25" ht="23.1" customHeight="1" x14ac:dyDescent="0.25">
      <c r="A283" s="1" t="s">
        <v>103</v>
      </c>
      <c r="D283" s="3" t="s">
        <v>554</v>
      </c>
      <c r="E283" s="15" t="s">
        <v>76</v>
      </c>
      <c r="F283" s="15" t="s">
        <v>76</v>
      </c>
      <c r="G283" s="15" t="str">
        <f>IFERROR(VLOOKUP(D283,[5]成飞半成品!$A:$B,2,0),VLOOKUP(D283,[5]九院成本!$A$4:$B$48,2,0))</f>
        <v>接管嘴</v>
      </c>
      <c r="H283" s="3" t="s">
        <v>64</v>
      </c>
      <c r="I283" s="3">
        <v>30</v>
      </c>
      <c r="J283" s="18" t="s">
        <v>1079</v>
      </c>
      <c r="L283" s="3">
        <v>33</v>
      </c>
      <c r="M283" s="19">
        <v>8</v>
      </c>
      <c r="N283" s="19">
        <v>8</v>
      </c>
      <c r="O283" s="5" t="s">
        <v>555</v>
      </c>
      <c r="P283" s="4"/>
      <c r="Q283" s="18">
        <v>30</v>
      </c>
      <c r="R283" s="3"/>
      <c r="S283" s="6"/>
      <c r="T283" s="22"/>
      <c r="V283" s="23">
        <v>16.5</v>
      </c>
      <c r="W283" s="24" t="s">
        <v>15</v>
      </c>
    </row>
    <row r="284" spans="1:25" ht="23.1" customHeight="1" x14ac:dyDescent="0.25">
      <c r="A284" s="1" t="s">
        <v>103</v>
      </c>
      <c r="D284" s="3" t="s">
        <v>556</v>
      </c>
      <c r="E284" s="15" t="s">
        <v>557</v>
      </c>
      <c r="F284" s="15" t="s">
        <v>557</v>
      </c>
      <c r="G284" s="15" t="str">
        <f>IFERROR(VLOOKUP(D284,[5]成飞半成品!$A:$B,2,0),VLOOKUP(D284,[5]九院成本!$A$4:$B$48,2,0))</f>
        <v>连接接头</v>
      </c>
      <c r="H284" s="3" t="s">
        <v>80</v>
      </c>
      <c r="I284" s="3">
        <v>30</v>
      </c>
      <c r="J284" s="18" t="s">
        <v>1114</v>
      </c>
      <c r="L284" s="3">
        <v>31</v>
      </c>
      <c r="M284" s="19">
        <v>8</v>
      </c>
      <c r="N284" s="19">
        <v>8</v>
      </c>
      <c r="O284" s="5" t="s">
        <v>81</v>
      </c>
      <c r="P284" s="4"/>
      <c r="Q284" s="18">
        <v>25</v>
      </c>
      <c r="R284" s="3"/>
      <c r="S284" s="6"/>
      <c r="T284" s="22"/>
      <c r="V284" s="23">
        <v>12.9</v>
      </c>
      <c r="W284" s="24" t="s">
        <v>15</v>
      </c>
    </row>
    <row r="285" spans="1:25" ht="23.1" customHeight="1" x14ac:dyDescent="0.25">
      <c r="A285" s="1" t="s">
        <v>109</v>
      </c>
      <c r="D285" s="3" t="s">
        <v>539</v>
      </c>
      <c r="E285" s="15" t="s">
        <v>540</v>
      </c>
      <c r="F285" s="15" t="s">
        <v>540</v>
      </c>
      <c r="G285" s="15" t="str">
        <f>IFERROR(VLOOKUP(D285,[5]成飞半成品!$A:$B,2,0),VLOOKUP(D285,[5]九院成本!$A$4:$B$48,2,0))</f>
        <v>变径三通管接头</v>
      </c>
      <c r="H285" s="3" t="s">
        <v>51</v>
      </c>
      <c r="I285" s="3">
        <v>10</v>
      </c>
      <c r="J285" s="18" t="s">
        <v>1070</v>
      </c>
      <c r="L285" s="3">
        <v>38</v>
      </c>
      <c r="M285" s="19">
        <v>8</v>
      </c>
      <c r="N285" s="19">
        <v>8</v>
      </c>
      <c r="O285" s="5" t="s">
        <v>283</v>
      </c>
      <c r="P285" s="4"/>
      <c r="Q285" s="18">
        <v>25</v>
      </c>
      <c r="R285" s="3"/>
      <c r="S285" s="6"/>
      <c r="T285" s="22"/>
      <c r="V285" s="23">
        <v>15.8</v>
      </c>
      <c r="W285" s="24" t="s">
        <v>15</v>
      </c>
    </row>
    <row r="286" spans="1:25" ht="23.1" customHeight="1" x14ac:dyDescent="0.25">
      <c r="A286" s="1" t="s">
        <v>109</v>
      </c>
      <c r="D286" s="3" t="s">
        <v>451</v>
      </c>
      <c r="E286" s="15" t="s">
        <v>452</v>
      </c>
      <c r="F286" s="15" t="s">
        <v>452</v>
      </c>
      <c r="G286" s="15" t="str">
        <f>IFERROR(VLOOKUP(D286,[5]成飞半成品!$A:$B,2,0),VLOOKUP(D286,[5]九院成本!$A$4:$B$48,2,0))</f>
        <v>前起落架舱门结构支撑梁</v>
      </c>
      <c r="H286" s="3" t="s">
        <v>46</v>
      </c>
      <c r="I286" s="3">
        <v>45</v>
      </c>
      <c r="J286" s="18" t="s">
        <v>1073</v>
      </c>
      <c r="L286" s="3">
        <v>10</v>
      </c>
      <c r="M286" s="19">
        <v>8</v>
      </c>
      <c r="N286" s="19">
        <v>8</v>
      </c>
      <c r="O286" s="5" t="s">
        <v>558</v>
      </c>
      <c r="P286" s="4"/>
      <c r="Q286" s="18">
        <v>90</v>
      </c>
      <c r="R286" s="3"/>
      <c r="S286" s="6"/>
      <c r="T286" s="22"/>
      <c r="V286" s="23">
        <v>15</v>
      </c>
      <c r="W286" s="24" t="s">
        <v>15</v>
      </c>
    </row>
    <row r="287" spans="1:25" ht="23.1" customHeight="1" x14ac:dyDescent="0.25">
      <c r="A287" s="1" t="s">
        <v>116</v>
      </c>
      <c r="D287" s="3" t="s">
        <v>282</v>
      </c>
      <c r="E287" s="15" t="s">
        <v>76</v>
      </c>
      <c r="F287" s="15" t="s">
        <v>76</v>
      </c>
      <c r="G287" s="15" t="str">
        <f>IFERROR(VLOOKUP(D287,[5]成飞半成品!$A:$B,2,0),VLOOKUP(D287,[5]九院成本!$A$4:$B$48,2,0))</f>
        <v>接管嘴</v>
      </c>
      <c r="H287" s="3" t="s">
        <v>46</v>
      </c>
      <c r="I287" s="3" t="s">
        <v>340</v>
      </c>
      <c r="J287" s="18" t="e">
        <v>#N/A</v>
      </c>
      <c r="L287" s="3">
        <v>37</v>
      </c>
      <c r="M287" s="19">
        <v>8</v>
      </c>
      <c r="N287" s="19">
        <v>8</v>
      </c>
      <c r="O287" s="5" t="s">
        <v>384</v>
      </c>
      <c r="P287" s="4"/>
      <c r="Q287" s="18">
        <v>20</v>
      </c>
      <c r="R287" s="3"/>
      <c r="S287" s="6"/>
      <c r="T287" s="22"/>
      <c r="V287" s="23">
        <v>12.3</v>
      </c>
      <c r="W287" s="24" t="s">
        <v>15</v>
      </c>
      <c r="Y287" s="7" t="s">
        <v>203</v>
      </c>
    </row>
    <row r="288" spans="1:25" ht="23.1" customHeight="1" x14ac:dyDescent="0.25">
      <c r="A288" s="1" t="s">
        <v>116</v>
      </c>
      <c r="D288" s="3" t="s">
        <v>559</v>
      </c>
      <c r="E288" s="15" t="s">
        <v>560</v>
      </c>
      <c r="F288" s="15" t="s">
        <v>560</v>
      </c>
      <c r="G288" s="15" t="str">
        <f>IFERROR(VLOOKUP(D288,[5]成飞半成品!$A:$B,2,0),VLOOKUP(D288,[5]九院成本!$A$4:$B$48,2,0))</f>
        <v>90°弯管接头</v>
      </c>
      <c r="H288" s="3" t="s">
        <v>51</v>
      </c>
      <c r="I288" s="3">
        <v>50</v>
      </c>
      <c r="J288" s="18" t="s">
        <v>1077</v>
      </c>
      <c r="L288" s="3">
        <v>35</v>
      </c>
      <c r="M288" s="19">
        <v>8</v>
      </c>
      <c r="N288" s="19">
        <v>8</v>
      </c>
      <c r="O288" s="5" t="s">
        <v>561</v>
      </c>
      <c r="P288" s="4"/>
      <c r="Q288" s="18">
        <v>10</v>
      </c>
      <c r="R288" s="3"/>
      <c r="S288" s="6"/>
      <c r="T288" s="22"/>
      <c r="V288" s="23">
        <v>5.8</v>
      </c>
      <c r="W288" s="24" t="s">
        <v>15</v>
      </c>
    </row>
    <row r="289" spans="1:25" ht="23.1" customHeight="1" x14ac:dyDescent="0.25">
      <c r="A289" s="1" t="s">
        <v>562</v>
      </c>
      <c r="D289" s="3" t="s">
        <v>563</v>
      </c>
      <c r="E289" s="15" t="s">
        <v>76</v>
      </c>
      <c r="F289" s="15" t="s">
        <v>76</v>
      </c>
      <c r="G289" s="15" t="str">
        <f>IFERROR(VLOOKUP(D289,[5]成飞半成品!$A:$B,2,0),VLOOKUP(D289,[5]九院成本!$A$4:$B$48,2,0))</f>
        <v>接管嘴</v>
      </c>
      <c r="H289" s="3" t="s">
        <v>46</v>
      </c>
      <c r="I289" s="3">
        <v>5</v>
      </c>
      <c r="J289" s="18" t="s">
        <v>1110</v>
      </c>
      <c r="L289" s="3">
        <v>61</v>
      </c>
      <c r="M289" s="19">
        <v>8</v>
      </c>
      <c r="N289" s="19">
        <v>8</v>
      </c>
      <c r="O289" s="5" t="s">
        <v>384</v>
      </c>
      <c r="P289" s="4"/>
      <c r="Q289" s="18">
        <v>15</v>
      </c>
      <c r="R289" s="3"/>
      <c r="S289" s="6"/>
      <c r="T289" s="22"/>
      <c r="V289" s="23">
        <v>15.3</v>
      </c>
      <c r="W289" s="24" t="s">
        <v>15</v>
      </c>
    </row>
    <row r="290" spans="1:25" ht="23.1" customHeight="1" x14ac:dyDescent="0.25">
      <c r="A290" s="1" t="s">
        <v>562</v>
      </c>
      <c r="D290" s="3" t="s">
        <v>564</v>
      </c>
      <c r="E290" s="15" t="s">
        <v>565</v>
      </c>
      <c r="F290" s="15" t="s">
        <v>565</v>
      </c>
      <c r="G290" s="15" t="str">
        <f>IFERROR(VLOOKUP(D290,[5]成飞半成品!$A:$B,2,0),VLOOKUP(D290,[5]九院成本!$A$4:$B$48,2,0))</f>
        <v>变径直通接头</v>
      </c>
      <c r="H290" s="3" t="s">
        <v>64</v>
      </c>
      <c r="I290" s="3">
        <v>5</v>
      </c>
      <c r="J290" s="18" t="s">
        <v>1093</v>
      </c>
      <c r="L290" s="3">
        <v>20</v>
      </c>
      <c r="M290" s="19">
        <v>8</v>
      </c>
      <c r="N290" s="19">
        <v>8</v>
      </c>
      <c r="O290" s="5" t="s">
        <v>56</v>
      </c>
      <c r="P290" s="4"/>
      <c r="Q290" s="18">
        <v>10</v>
      </c>
      <c r="R290" s="3"/>
      <c r="S290" s="6"/>
      <c r="T290" s="22"/>
      <c r="V290" s="23">
        <v>3.3</v>
      </c>
      <c r="W290" s="24" t="s">
        <v>15</v>
      </c>
    </row>
    <row r="291" spans="1:25" ht="23.1" customHeight="1" x14ac:dyDescent="0.25">
      <c r="A291" s="1" t="s">
        <v>566</v>
      </c>
      <c r="D291" s="3" t="s">
        <v>567</v>
      </c>
      <c r="E291" s="15" t="s">
        <v>568</v>
      </c>
      <c r="F291" s="15" t="s">
        <v>568</v>
      </c>
      <c r="G291" s="15" t="str">
        <f>IFERROR(VLOOKUP(D291,[5]成飞半成品!$A:$B,2,0),VLOOKUP(D291,[5]九院成本!$A$4:$B$48,2,0))</f>
        <v>销子</v>
      </c>
      <c r="H291" s="3" t="s">
        <v>80</v>
      </c>
      <c r="I291" s="3">
        <v>25</v>
      </c>
      <c r="J291" s="18" t="s">
        <v>1099</v>
      </c>
      <c r="L291" s="3">
        <v>44</v>
      </c>
      <c r="M291" s="19">
        <v>8</v>
      </c>
      <c r="N291" s="19">
        <v>8</v>
      </c>
      <c r="O291" s="5" t="s">
        <v>569</v>
      </c>
      <c r="P291" s="4"/>
      <c r="Q291" s="18">
        <v>20</v>
      </c>
      <c r="R291" s="3"/>
      <c r="S291" s="6"/>
      <c r="T291" s="22"/>
      <c r="V291" s="23">
        <v>14.7</v>
      </c>
      <c r="W291" s="24" t="s">
        <v>12</v>
      </c>
    </row>
    <row r="292" spans="1:25" ht="23.1" customHeight="1" x14ac:dyDescent="0.25">
      <c r="A292" s="1" t="s">
        <v>570</v>
      </c>
      <c r="D292" s="3" t="s">
        <v>573</v>
      </c>
      <c r="E292" s="15" t="s">
        <v>572</v>
      </c>
      <c r="F292" s="15" t="s">
        <v>1090</v>
      </c>
      <c r="G292" s="15" t="str">
        <f>IFERROR(VLOOKUP(D292,[5]成飞半成品!$A:$B,2,0),VLOOKUP(D292,[5]九院成本!$A$4:$B$48,2,0))</f>
        <v>1N-2020-11-029</v>
      </c>
      <c r="H292" s="3" t="s">
        <v>80</v>
      </c>
      <c r="I292" s="3">
        <v>35</v>
      </c>
      <c r="J292" s="18" t="e">
        <v>#N/A</v>
      </c>
      <c r="K292" s="3">
        <v>130</v>
      </c>
      <c r="L292" s="3">
        <v>67</v>
      </c>
      <c r="M292" s="19">
        <v>8</v>
      </c>
      <c r="N292" s="19">
        <v>8</v>
      </c>
      <c r="O292" s="5" t="s">
        <v>573</v>
      </c>
      <c r="P292" s="4"/>
      <c r="Q292" s="18">
        <v>20</v>
      </c>
      <c r="R292" s="3"/>
      <c r="S292" s="6"/>
      <c r="T292" s="22"/>
      <c r="V292" s="23">
        <v>22.3</v>
      </c>
      <c r="W292" s="24" t="s">
        <v>12</v>
      </c>
    </row>
    <row r="293" spans="1:25" ht="23.1" customHeight="1" x14ac:dyDescent="0.25">
      <c r="A293" s="1" t="s">
        <v>65</v>
      </c>
      <c r="D293" s="3" t="s">
        <v>482</v>
      </c>
      <c r="E293" s="15" t="s">
        <v>481</v>
      </c>
      <c r="F293" s="15" t="s">
        <v>481</v>
      </c>
      <c r="G293" s="15" t="str">
        <f>IFERROR(VLOOKUP(D293,[5]成飞半成品!$A:$B,2,0),VLOOKUP(D293,[5]九院成本!$A$4:$B$48,2,0))</f>
        <v>11968下口盖</v>
      </c>
      <c r="H293" s="3" t="s">
        <v>51</v>
      </c>
      <c r="I293" s="3">
        <v>15</v>
      </c>
      <c r="J293" s="18" t="s">
        <v>1071</v>
      </c>
      <c r="K293" s="3">
        <v>30</v>
      </c>
      <c r="L293" s="3">
        <v>30</v>
      </c>
      <c r="M293" s="19">
        <v>8</v>
      </c>
      <c r="N293" s="19">
        <v>8</v>
      </c>
      <c r="O293" s="5" t="s">
        <v>262</v>
      </c>
      <c r="P293" s="4"/>
      <c r="Q293" s="18">
        <v>45</v>
      </c>
      <c r="R293" s="3"/>
      <c r="S293" s="6"/>
      <c r="T293" s="22"/>
      <c r="V293" s="23">
        <v>22.5</v>
      </c>
      <c r="W293" s="24" t="s">
        <v>12</v>
      </c>
    </row>
    <row r="294" spans="1:25" ht="23.1" customHeight="1" x14ac:dyDescent="0.25">
      <c r="A294" s="1" t="s">
        <v>574</v>
      </c>
      <c r="D294" s="3" t="s">
        <v>160</v>
      </c>
      <c r="E294" s="15" t="s">
        <v>159</v>
      </c>
      <c r="F294" s="15" t="s">
        <v>159</v>
      </c>
      <c r="G294" s="15" t="str">
        <f>IFERROR(VLOOKUP(D294,[5]成飞半成品!$A:$B,2,0),VLOOKUP(D294,[5]九院成本!$A$4:$B$48,2,0))</f>
        <v>1N-2020-10-071</v>
      </c>
      <c r="H294" s="3" t="s">
        <v>80</v>
      </c>
      <c r="I294" s="3">
        <v>40</v>
      </c>
      <c r="J294" s="18" t="e">
        <v>#N/A</v>
      </c>
      <c r="K294" s="3">
        <v>104</v>
      </c>
      <c r="L294" s="3">
        <v>108</v>
      </c>
      <c r="M294" s="19">
        <v>8</v>
      </c>
      <c r="N294" s="19">
        <v>8</v>
      </c>
      <c r="O294" s="5" t="s">
        <v>160</v>
      </c>
      <c r="P294" s="4"/>
      <c r="Q294" s="18">
        <v>20</v>
      </c>
      <c r="R294" s="3"/>
      <c r="S294" s="6"/>
      <c r="T294" s="22"/>
      <c r="V294" s="23">
        <v>36</v>
      </c>
      <c r="W294" s="24" t="s">
        <v>12</v>
      </c>
    </row>
    <row r="295" spans="1:25" ht="23.1" customHeight="1" x14ac:dyDescent="0.25">
      <c r="A295" s="1" t="s">
        <v>71</v>
      </c>
      <c r="D295" s="3" t="s">
        <v>575</v>
      </c>
      <c r="E295" s="15" t="s">
        <v>576</v>
      </c>
      <c r="F295" s="15" t="s">
        <v>576</v>
      </c>
      <c r="G295" s="15" t="str">
        <f>IFERROR(VLOOKUP(D295,[5]成飞半成品!$A:$B,2,0),VLOOKUP(D295,[5]九院成本!$A$4:$B$48,2,0))</f>
        <v>插槽</v>
      </c>
      <c r="I295" s="3">
        <v>50</v>
      </c>
      <c r="J295" s="18" t="e">
        <v>#N/A</v>
      </c>
      <c r="K295" s="3">
        <v>2</v>
      </c>
      <c r="L295" s="3">
        <v>2</v>
      </c>
      <c r="M295" s="19">
        <v>8</v>
      </c>
      <c r="N295" s="19">
        <v>8</v>
      </c>
      <c r="P295" s="4"/>
      <c r="Q295" s="18">
        <v>0</v>
      </c>
      <c r="R295" s="3"/>
      <c r="S295" s="6"/>
      <c r="T295" s="22"/>
      <c r="V295" s="23">
        <v>0</v>
      </c>
      <c r="W295" s="24" t="s">
        <v>12</v>
      </c>
    </row>
    <row r="296" spans="1:25" ht="23.1" customHeight="1" x14ac:dyDescent="0.25">
      <c r="A296" s="1" t="s">
        <v>577</v>
      </c>
      <c r="D296" s="3" t="s">
        <v>578</v>
      </c>
      <c r="E296" s="15" t="s">
        <v>579</v>
      </c>
      <c r="F296" s="15" t="s">
        <v>579</v>
      </c>
      <c r="G296" s="15" t="str">
        <f>IFERROR(VLOOKUP(D296,[5]成飞半成品!$A:$B,2,0),VLOOKUP(D296,[5]九院成本!$A$4:$B$48,2,0))</f>
        <v>穿框管接头</v>
      </c>
      <c r="H296" s="3" t="s">
        <v>64</v>
      </c>
      <c r="I296" s="3">
        <v>35</v>
      </c>
      <c r="J296" s="18" t="s">
        <v>1072</v>
      </c>
      <c r="K296" s="3">
        <v>142</v>
      </c>
      <c r="L296" s="3">
        <v>142</v>
      </c>
      <c r="M296" s="19">
        <v>8</v>
      </c>
      <c r="N296" s="19">
        <v>8</v>
      </c>
      <c r="O296" s="5" t="s">
        <v>440</v>
      </c>
      <c r="P296" s="4"/>
      <c r="Q296" s="18">
        <v>25</v>
      </c>
      <c r="R296" s="3"/>
      <c r="S296" s="6"/>
      <c r="T296" s="22"/>
      <c r="V296" s="23">
        <v>59.2</v>
      </c>
      <c r="W296" s="24" t="s">
        <v>12</v>
      </c>
    </row>
    <row r="297" spans="1:25" ht="23.1" customHeight="1" x14ac:dyDescent="0.25">
      <c r="A297" s="1" t="s">
        <v>368</v>
      </c>
      <c r="D297" s="3" t="s">
        <v>188</v>
      </c>
      <c r="E297" s="15" t="s">
        <v>120</v>
      </c>
      <c r="F297" s="15" t="s">
        <v>120</v>
      </c>
      <c r="G297" s="15" t="str">
        <f>IFERROR(VLOOKUP(D297,[5]成飞半成品!$A:$B,2,0),VLOOKUP(D297,[5]九院成本!$A$4:$B$48,2,0))</f>
        <v>支架</v>
      </c>
      <c r="H297" s="3" t="s">
        <v>114</v>
      </c>
      <c r="I297" s="3">
        <v>55</v>
      </c>
      <c r="J297" s="18" t="s">
        <v>1086</v>
      </c>
      <c r="K297" s="3">
        <v>24</v>
      </c>
      <c r="L297" s="3">
        <v>14</v>
      </c>
      <c r="M297" s="19">
        <v>8</v>
      </c>
      <c r="N297" s="19">
        <v>8</v>
      </c>
      <c r="O297" s="5" t="s">
        <v>189</v>
      </c>
      <c r="P297" s="4"/>
      <c r="Q297" s="18">
        <v>60</v>
      </c>
      <c r="R297" s="3"/>
      <c r="S297" s="6"/>
      <c r="T297" s="22"/>
      <c r="V297" s="23">
        <v>14</v>
      </c>
      <c r="W297" s="24" t="s">
        <v>12</v>
      </c>
    </row>
    <row r="298" spans="1:25" ht="23.1" customHeight="1" x14ac:dyDescent="0.25">
      <c r="A298" s="1" t="s">
        <v>580</v>
      </c>
      <c r="D298" s="3" t="s">
        <v>160</v>
      </c>
      <c r="E298" s="15" t="s">
        <v>582</v>
      </c>
      <c r="F298" s="15" t="s">
        <v>582</v>
      </c>
      <c r="G298" s="15" t="str">
        <f>IFERROR(VLOOKUP(D298,[5]成飞半成品!$A:$B,2,0),VLOOKUP(D298,[5]九院成本!$A$4:$B$48,2,0))</f>
        <v>1N-2020-10-071</v>
      </c>
      <c r="H298" s="3" t="s">
        <v>80</v>
      </c>
      <c r="I298" s="3">
        <v>35</v>
      </c>
      <c r="J298" s="18" t="e">
        <v>#N/A</v>
      </c>
      <c r="K298" s="3">
        <v>104</v>
      </c>
      <c r="L298" s="3">
        <v>108</v>
      </c>
      <c r="M298" s="19">
        <v>8</v>
      </c>
      <c r="N298" s="19">
        <v>8</v>
      </c>
      <c r="O298" s="5" t="s">
        <v>160</v>
      </c>
      <c r="P298" s="4"/>
      <c r="Q298" s="18">
        <v>20</v>
      </c>
      <c r="R298" s="3"/>
      <c r="S298" s="6"/>
      <c r="T298" s="22"/>
      <c r="V298" s="23">
        <v>36</v>
      </c>
      <c r="W298" s="24" t="s">
        <v>12</v>
      </c>
    </row>
    <row r="299" spans="1:25" ht="23.1" customHeight="1" x14ac:dyDescent="0.25">
      <c r="A299" s="1" t="s">
        <v>89</v>
      </c>
      <c r="D299" s="3" t="s">
        <v>573</v>
      </c>
      <c r="E299" s="15" t="s">
        <v>572</v>
      </c>
      <c r="F299" s="15" t="s">
        <v>1090</v>
      </c>
      <c r="G299" s="15" t="str">
        <f>IFERROR(VLOOKUP(D299,[5]成飞半成品!$A:$B,2,0),VLOOKUP(D299,[5]九院成本!$A$4:$B$48,2,0))</f>
        <v>1N-2020-11-029</v>
      </c>
      <c r="H299" s="3" t="s">
        <v>80</v>
      </c>
      <c r="I299" s="3" t="s">
        <v>340</v>
      </c>
      <c r="J299" s="18" t="e">
        <v>#N/A</v>
      </c>
      <c r="K299" s="3">
        <v>130</v>
      </c>
      <c r="L299" s="3">
        <v>133</v>
      </c>
      <c r="M299" s="19">
        <v>8</v>
      </c>
      <c r="N299" s="19">
        <v>8</v>
      </c>
      <c r="O299" s="5" t="s">
        <v>573</v>
      </c>
      <c r="P299" s="4"/>
      <c r="Q299" s="18">
        <v>10</v>
      </c>
      <c r="R299" s="3"/>
      <c r="S299" s="6"/>
      <c r="T299" s="22"/>
      <c r="V299" s="23">
        <v>22.2</v>
      </c>
      <c r="W299" s="24" t="s">
        <v>12</v>
      </c>
      <c r="X299" s="7" t="s">
        <v>518</v>
      </c>
      <c r="Y299" s="7" t="s">
        <v>203</v>
      </c>
    </row>
    <row r="300" spans="1:25" ht="23.1" customHeight="1" x14ac:dyDescent="0.25">
      <c r="A300" s="1" t="s">
        <v>583</v>
      </c>
      <c r="D300" s="3" t="s">
        <v>160</v>
      </c>
      <c r="E300" s="15" t="s">
        <v>162</v>
      </c>
      <c r="F300" s="15" t="s">
        <v>162</v>
      </c>
      <c r="G300" s="15" t="str">
        <f>IFERROR(VLOOKUP(D300,[5]成飞半成品!$A:$B,2,0),VLOOKUP(D300,[5]九院成本!$A$4:$B$48,2,0))</f>
        <v>1N-2020-10-071</v>
      </c>
      <c r="H300" s="3" t="s">
        <v>80</v>
      </c>
      <c r="I300" s="3">
        <v>40</v>
      </c>
      <c r="J300" s="18" t="e">
        <v>#N/A</v>
      </c>
      <c r="K300" s="3">
        <v>104</v>
      </c>
      <c r="L300" s="3">
        <v>108</v>
      </c>
      <c r="M300" s="19">
        <v>8</v>
      </c>
      <c r="N300" s="19">
        <v>8</v>
      </c>
      <c r="O300" s="5" t="s">
        <v>160</v>
      </c>
      <c r="P300" s="4"/>
      <c r="Q300" s="18">
        <v>20</v>
      </c>
      <c r="R300" s="3"/>
      <c r="S300" s="6"/>
      <c r="T300" s="22"/>
      <c r="V300" s="23">
        <v>36</v>
      </c>
      <c r="W300" s="24" t="s">
        <v>12</v>
      </c>
    </row>
    <row r="301" spans="1:25" ht="23.1" customHeight="1" x14ac:dyDescent="0.25">
      <c r="A301" s="1" t="s">
        <v>584</v>
      </c>
      <c r="D301" s="3" t="s">
        <v>183</v>
      </c>
      <c r="E301" s="15" t="s">
        <v>60</v>
      </c>
      <c r="F301" s="15" t="s">
        <v>60</v>
      </c>
      <c r="G301" s="15" t="str">
        <f>IFERROR(VLOOKUP(D301,[5]成飞半成品!$A:$B,2,0),VLOOKUP(D301,[5]九院成本!$A$4:$B$48,2,0))</f>
        <v>轴</v>
      </c>
      <c r="H301" s="3" t="s">
        <v>46</v>
      </c>
      <c r="I301" s="3" t="s">
        <v>340</v>
      </c>
      <c r="J301" s="18" t="e">
        <v>#N/A</v>
      </c>
      <c r="K301" s="3">
        <v>99</v>
      </c>
      <c r="L301" s="3">
        <v>98</v>
      </c>
      <c r="M301" s="19">
        <v>8</v>
      </c>
      <c r="N301" s="19">
        <v>8</v>
      </c>
      <c r="O301" s="5" t="s">
        <v>585</v>
      </c>
      <c r="P301" s="4"/>
      <c r="Q301" s="18">
        <v>20</v>
      </c>
      <c r="R301" s="3"/>
      <c r="S301" s="6"/>
      <c r="T301" s="22"/>
      <c r="V301" s="23">
        <v>32.700000000000003</v>
      </c>
      <c r="W301" s="24" t="s">
        <v>12</v>
      </c>
      <c r="X301" s="7" t="s">
        <v>485</v>
      </c>
      <c r="Y301" s="7" t="s">
        <v>203</v>
      </c>
    </row>
    <row r="302" spans="1:25" ht="23.1" customHeight="1" x14ac:dyDescent="0.25">
      <c r="A302" s="1" t="s">
        <v>157</v>
      </c>
      <c r="D302" s="3" t="s">
        <v>198</v>
      </c>
      <c r="E302" s="15" t="s">
        <v>55</v>
      </c>
      <c r="F302" s="15" t="s">
        <v>55</v>
      </c>
      <c r="G302" s="15" t="str">
        <f>IFERROR(VLOOKUP(D302,[5]成飞半成品!$A:$B,2,0),VLOOKUP(D302,[5]九院成本!$A$4:$B$48,2,0))</f>
        <v>接头</v>
      </c>
      <c r="H302" s="3" t="s">
        <v>46</v>
      </c>
      <c r="I302" s="3" t="s">
        <v>340</v>
      </c>
      <c r="J302" s="18" t="e">
        <v>#N/A</v>
      </c>
      <c r="K302" s="3">
        <v>20</v>
      </c>
      <c r="L302" s="3">
        <v>20</v>
      </c>
      <c r="M302" s="19">
        <v>8</v>
      </c>
      <c r="N302" s="19">
        <v>8</v>
      </c>
      <c r="O302" s="5" t="s">
        <v>56</v>
      </c>
      <c r="P302" s="4"/>
      <c r="Q302" s="18">
        <v>15</v>
      </c>
      <c r="R302" s="3"/>
      <c r="S302" s="6"/>
      <c r="T302" s="22"/>
      <c r="V302" s="23">
        <v>5</v>
      </c>
      <c r="W302" s="24" t="s">
        <v>12</v>
      </c>
      <c r="X302" s="7" t="s">
        <v>257</v>
      </c>
      <c r="Y302" s="7" t="s">
        <v>203</v>
      </c>
    </row>
    <row r="303" spans="1:25" ht="23.1" customHeight="1" x14ac:dyDescent="0.25">
      <c r="A303" s="1" t="s">
        <v>586</v>
      </c>
      <c r="D303" s="3" t="s">
        <v>573</v>
      </c>
      <c r="E303" s="15" t="s">
        <v>588</v>
      </c>
      <c r="F303" s="15" t="s">
        <v>1115</v>
      </c>
      <c r="G303" s="15" t="str">
        <f>IFERROR(VLOOKUP(D303,[5]成飞半成品!$A:$B,2,0),VLOOKUP(D303,[5]九院成本!$A$4:$B$48,2,0))</f>
        <v>1N-2020-11-029</v>
      </c>
      <c r="H303" s="3" t="s">
        <v>80</v>
      </c>
      <c r="I303" s="3">
        <v>30</v>
      </c>
      <c r="J303" s="18" t="e">
        <v>#N/A</v>
      </c>
      <c r="K303" s="3">
        <v>132</v>
      </c>
      <c r="L303" s="3">
        <v>139</v>
      </c>
      <c r="M303" s="19">
        <v>8</v>
      </c>
      <c r="N303" s="19">
        <v>8</v>
      </c>
      <c r="O303" s="5" t="s">
        <v>573</v>
      </c>
      <c r="P303" s="4"/>
      <c r="Q303" s="18">
        <v>6</v>
      </c>
      <c r="R303" s="3"/>
      <c r="S303" s="6"/>
      <c r="T303" s="22"/>
      <c r="V303" s="23">
        <v>13.9</v>
      </c>
      <c r="W303" s="24" t="s">
        <v>12</v>
      </c>
    </row>
    <row r="304" spans="1:25" ht="23.1" customHeight="1" x14ac:dyDescent="0.25">
      <c r="A304" s="1" t="s">
        <v>562</v>
      </c>
      <c r="D304" s="3" t="s">
        <v>589</v>
      </c>
      <c r="E304" s="15" t="s">
        <v>91</v>
      </c>
      <c r="F304" s="15" t="s">
        <v>91</v>
      </c>
      <c r="G304" s="15" t="str">
        <f>IFERROR(VLOOKUP(D304,[5]成飞半成品!$A:$B,2,0),VLOOKUP(D304,[5]九院成本!$A$4:$B$48,2,0))</f>
        <v>螺栓</v>
      </c>
      <c r="H304" s="3" t="s">
        <v>46</v>
      </c>
      <c r="I304" s="3">
        <v>25</v>
      </c>
      <c r="J304" s="18" t="s">
        <v>1082</v>
      </c>
      <c r="K304" s="3">
        <v>26</v>
      </c>
      <c r="L304" s="3">
        <v>26</v>
      </c>
      <c r="M304" s="19">
        <v>8</v>
      </c>
      <c r="N304" s="19">
        <v>8</v>
      </c>
      <c r="O304" s="5" t="s">
        <v>590</v>
      </c>
      <c r="P304" s="4"/>
      <c r="Q304" s="18">
        <v>10</v>
      </c>
      <c r="R304" s="3"/>
      <c r="S304" s="6"/>
      <c r="T304" s="22"/>
      <c r="V304" s="23">
        <v>4.3</v>
      </c>
      <c r="W304" s="24" t="s">
        <v>12</v>
      </c>
    </row>
    <row r="305" spans="1:25" ht="23.1" customHeight="1" x14ac:dyDescent="0.25">
      <c r="A305" s="1" t="s">
        <v>53</v>
      </c>
      <c r="D305" s="3" t="s">
        <v>1172</v>
      </c>
      <c r="E305" s="15" t="s">
        <v>306</v>
      </c>
      <c r="F305" s="15" t="s">
        <v>306</v>
      </c>
      <c r="G305" s="15" t="str">
        <f>IFERROR(VLOOKUP(D305,[5]成飞半成品!$A:$B,2,0),VLOOKUP(D305,[5]九院成本!$A$4:$B$48,2,0))</f>
        <v>STA8510~9055左上大梁</v>
      </c>
      <c r="H305" s="3" t="s">
        <v>64</v>
      </c>
      <c r="I305" s="3">
        <v>60</v>
      </c>
      <c r="J305" s="18" t="s">
        <v>1100</v>
      </c>
      <c r="K305" s="3">
        <v>4</v>
      </c>
      <c r="L305" s="3">
        <v>4</v>
      </c>
      <c r="M305" s="19"/>
      <c r="N305" s="19"/>
      <c r="O305" s="5" t="s">
        <v>591</v>
      </c>
      <c r="P305" s="4"/>
      <c r="Q305" s="18">
        <v>180</v>
      </c>
      <c r="R305" s="3"/>
      <c r="S305" s="6"/>
      <c r="T305" s="22"/>
      <c r="V305" s="23">
        <v>12</v>
      </c>
      <c r="W305" s="24" t="s">
        <v>5</v>
      </c>
      <c r="Y305" s="7" t="s">
        <v>203</v>
      </c>
    </row>
    <row r="306" spans="1:25" ht="23.1" customHeight="1" x14ac:dyDescent="0.25">
      <c r="A306" s="1" t="s">
        <v>53</v>
      </c>
      <c r="D306" s="3" t="s">
        <v>592</v>
      </c>
      <c r="E306" s="15" t="s">
        <v>120</v>
      </c>
      <c r="F306" s="15" t="s">
        <v>120</v>
      </c>
      <c r="G306" s="15" t="str">
        <f>IFERROR(VLOOKUP(D306,[5]成飞半成品!$A:$B,2,0),VLOOKUP(D306,[5]九院成本!$A$4:$B$48,2,0))</f>
        <v>支架</v>
      </c>
      <c r="H306" s="3" t="s">
        <v>51</v>
      </c>
      <c r="I306" s="3">
        <v>30</v>
      </c>
      <c r="J306" s="18" t="s">
        <v>1079</v>
      </c>
      <c r="K306" s="3">
        <v>2</v>
      </c>
      <c r="L306" s="3">
        <v>2</v>
      </c>
      <c r="M306" s="19"/>
      <c r="N306" s="19"/>
      <c r="O306" s="5" t="s">
        <v>508</v>
      </c>
      <c r="P306" s="4"/>
      <c r="Q306" s="18">
        <v>15</v>
      </c>
      <c r="R306" s="3"/>
      <c r="S306" s="6"/>
      <c r="T306" s="22"/>
      <c r="V306" s="23">
        <v>0.5</v>
      </c>
      <c r="W306" s="24" t="s">
        <v>5</v>
      </c>
      <c r="Y306" s="7" t="s">
        <v>203</v>
      </c>
    </row>
    <row r="307" spans="1:25" ht="23.1" customHeight="1" x14ac:dyDescent="0.25">
      <c r="A307" s="1" t="s">
        <v>53</v>
      </c>
      <c r="D307" s="3" t="s">
        <v>593</v>
      </c>
      <c r="E307" s="15" t="s">
        <v>594</v>
      </c>
      <c r="F307" s="15" t="s">
        <v>594</v>
      </c>
      <c r="G307" s="15" t="str">
        <f>IFERROR(VLOOKUP(D307,[5]成飞半成品!$A:$B,2,0),VLOOKUP(D307,[5]九院成本!$A$4:$B$48,2,0))</f>
        <v>小轴</v>
      </c>
      <c r="H307" s="3" t="s">
        <v>64</v>
      </c>
      <c r="I307" s="3">
        <v>20</v>
      </c>
      <c r="J307" s="18" t="s">
        <v>1116</v>
      </c>
      <c r="K307" s="3">
        <v>8</v>
      </c>
      <c r="L307" s="3">
        <v>8</v>
      </c>
      <c r="M307" s="19"/>
      <c r="N307" s="19"/>
      <c r="O307" s="5" t="s">
        <v>295</v>
      </c>
      <c r="P307" s="4"/>
      <c r="Q307" s="18">
        <v>3</v>
      </c>
      <c r="R307" s="3"/>
      <c r="S307" s="6"/>
      <c r="T307" s="22"/>
      <c r="V307" s="23">
        <v>0.4</v>
      </c>
      <c r="W307" s="24" t="s">
        <v>5</v>
      </c>
      <c r="Y307" s="7" t="s">
        <v>203</v>
      </c>
    </row>
    <row r="308" spans="1:25" ht="23.1" customHeight="1" x14ac:dyDescent="0.25">
      <c r="A308" s="1" t="s">
        <v>53</v>
      </c>
      <c r="D308" s="3" t="s">
        <v>314</v>
      </c>
      <c r="E308" s="15" t="s">
        <v>315</v>
      </c>
      <c r="F308" s="15" t="e">
        <v>#N/A</v>
      </c>
      <c r="G308" s="15" t="e">
        <f>IFERROR(VLOOKUP(D308,[5]成飞半成品!$A:$B,2,0),VLOOKUP(D308,[5]九院成本!$A$4:$B$48,2,0))</f>
        <v>#N/A</v>
      </c>
      <c r="H308" s="3" t="s">
        <v>80</v>
      </c>
      <c r="I308" s="3">
        <v>100</v>
      </c>
      <c r="J308" s="18" t="e">
        <v>#N/A</v>
      </c>
      <c r="K308" s="3">
        <v>2</v>
      </c>
      <c r="L308" s="3">
        <v>2</v>
      </c>
      <c r="M308" s="19"/>
      <c r="N308" s="19"/>
      <c r="O308" s="5" t="s">
        <v>295</v>
      </c>
      <c r="P308" s="4"/>
      <c r="Q308" s="18">
        <v>960</v>
      </c>
      <c r="R308" s="3"/>
      <c r="S308" s="6"/>
      <c r="T308" s="22"/>
      <c r="V308" s="23">
        <v>32</v>
      </c>
      <c r="W308" s="24" t="s">
        <v>5</v>
      </c>
      <c r="Y308" s="7" t="s">
        <v>203</v>
      </c>
    </row>
    <row r="309" spans="1:25" ht="23.1" customHeight="1" x14ac:dyDescent="0.25">
      <c r="A309" s="1" t="s">
        <v>213</v>
      </c>
      <c r="D309" s="3" t="s">
        <v>595</v>
      </c>
      <c r="E309" s="15" t="s">
        <v>596</v>
      </c>
      <c r="F309" s="15" t="s">
        <v>596</v>
      </c>
      <c r="G309" s="15" t="str">
        <f>IFERROR(VLOOKUP(D309,[5]成飞半成品!$A:$B,2,0),VLOOKUP(D309,[5]九院成本!$A$4:$B$48,2,0))</f>
        <v>口框</v>
      </c>
      <c r="H309" s="3" t="s">
        <v>46</v>
      </c>
      <c r="I309" s="3">
        <v>25</v>
      </c>
      <c r="J309" s="18" t="s">
        <v>1082</v>
      </c>
      <c r="K309" s="3">
        <v>2</v>
      </c>
      <c r="L309" s="3">
        <v>2</v>
      </c>
      <c r="M309" s="19"/>
      <c r="N309" s="19"/>
      <c r="O309" s="5" t="s">
        <v>597</v>
      </c>
      <c r="P309" s="4"/>
      <c r="Q309" s="18">
        <v>80</v>
      </c>
      <c r="R309" s="3"/>
      <c r="S309" s="6"/>
      <c r="T309" s="22"/>
      <c r="V309" s="23">
        <v>2.7</v>
      </c>
      <c r="W309" s="24" t="s">
        <v>5</v>
      </c>
      <c r="Y309" s="7" t="s">
        <v>203</v>
      </c>
    </row>
    <row r="310" spans="1:25" ht="23.1" customHeight="1" x14ac:dyDescent="0.25">
      <c r="A310" s="1" t="s">
        <v>213</v>
      </c>
      <c r="D310" s="3" t="s">
        <v>595</v>
      </c>
      <c r="E310" s="15" t="s">
        <v>596</v>
      </c>
      <c r="F310" s="15" t="s">
        <v>596</v>
      </c>
      <c r="G310" s="15" t="str">
        <f>IFERROR(VLOOKUP(D310,[5]成飞半成品!$A:$B,2,0),VLOOKUP(D310,[5]九院成本!$A$4:$B$48,2,0))</f>
        <v>口框</v>
      </c>
      <c r="H310" s="3" t="s">
        <v>46</v>
      </c>
      <c r="I310" s="3">
        <v>30</v>
      </c>
      <c r="J310" s="18" t="s">
        <v>1117</v>
      </c>
      <c r="K310" s="3">
        <v>2</v>
      </c>
      <c r="L310" s="3">
        <v>2</v>
      </c>
      <c r="M310" s="19"/>
      <c r="N310" s="19"/>
      <c r="O310" s="5" t="s">
        <v>597</v>
      </c>
      <c r="P310" s="4"/>
      <c r="Q310" s="18">
        <v>15</v>
      </c>
      <c r="R310" s="3"/>
      <c r="S310" s="6"/>
      <c r="T310" s="22"/>
      <c r="V310" s="23">
        <v>0.5</v>
      </c>
      <c r="W310" s="24" t="s">
        <v>5</v>
      </c>
      <c r="Y310" s="7" t="s">
        <v>203</v>
      </c>
    </row>
    <row r="311" spans="1:25" ht="23.1" customHeight="1" x14ac:dyDescent="0.25">
      <c r="A311" s="1" t="s">
        <v>213</v>
      </c>
      <c r="D311" s="3" t="s">
        <v>598</v>
      </c>
      <c r="E311" s="15" t="s">
        <v>302</v>
      </c>
      <c r="F311" s="15" t="s">
        <v>302</v>
      </c>
      <c r="G311" s="15" t="str">
        <f>IFERROR(VLOOKUP(D311,[5]成飞半成品!$A:$B,2,0),VLOOKUP(D311,[5]九院成本!$A$4:$B$48,2,0))</f>
        <v>角盒</v>
      </c>
      <c r="H311" s="3" t="s">
        <v>46</v>
      </c>
      <c r="I311" s="3">
        <v>35</v>
      </c>
      <c r="J311" s="18" t="s">
        <v>1072</v>
      </c>
      <c r="K311" s="3">
        <v>16</v>
      </c>
      <c r="L311" s="3">
        <v>16</v>
      </c>
      <c r="M311" s="19"/>
      <c r="N311" s="19"/>
      <c r="O311" s="5" t="s">
        <v>599</v>
      </c>
      <c r="P311" s="4"/>
      <c r="Q311" s="18">
        <v>50</v>
      </c>
      <c r="R311" s="3"/>
      <c r="S311" s="6"/>
      <c r="T311" s="22"/>
      <c r="V311" s="23">
        <v>13.3</v>
      </c>
      <c r="W311" s="24" t="s">
        <v>5</v>
      </c>
      <c r="Y311" s="7" t="s">
        <v>203</v>
      </c>
    </row>
    <row r="312" spans="1:25" ht="23.1" customHeight="1" x14ac:dyDescent="0.25">
      <c r="A312" s="1" t="s">
        <v>213</v>
      </c>
      <c r="D312" s="3" t="s">
        <v>338</v>
      </c>
      <c r="E312" s="15" t="s">
        <v>339</v>
      </c>
      <c r="F312" s="15" t="s">
        <v>339</v>
      </c>
      <c r="G312" s="15" t="str">
        <f>IFERROR(VLOOKUP(D312,[5]成飞半成品!$A:$B,2,0),VLOOKUP(D312,[5]九院成本!$A$4:$B$48,2,0))</f>
        <v>11140框右下半框</v>
      </c>
      <c r="H312" s="3" t="s">
        <v>147</v>
      </c>
      <c r="I312" s="3">
        <v>60</v>
      </c>
      <c r="J312" s="18" t="s">
        <v>1100</v>
      </c>
      <c r="K312" s="3">
        <v>1</v>
      </c>
      <c r="L312" s="3">
        <v>1</v>
      </c>
      <c r="M312" s="19"/>
      <c r="N312" s="19"/>
      <c r="O312" s="5" t="s">
        <v>92</v>
      </c>
      <c r="P312" s="4"/>
      <c r="Q312" s="18">
        <v>560</v>
      </c>
      <c r="R312" s="3"/>
      <c r="S312" s="6"/>
      <c r="T312" s="22"/>
      <c r="V312" s="23">
        <v>9.3000000000000007</v>
      </c>
      <c r="W312" s="24" t="s">
        <v>5</v>
      </c>
      <c r="Y312" s="7" t="s">
        <v>203</v>
      </c>
    </row>
    <row r="313" spans="1:25" ht="23.1" customHeight="1" x14ac:dyDescent="0.25">
      <c r="A313" s="1" t="s">
        <v>58</v>
      </c>
      <c r="D313" s="3" t="s">
        <v>600</v>
      </c>
      <c r="E313" s="15" t="s">
        <v>254</v>
      </c>
      <c r="F313" s="15" t="s">
        <v>254</v>
      </c>
      <c r="G313" s="15" t="str">
        <f>IFERROR(VLOOKUP(D313,[5]成飞半成品!$A:$B,2,0),VLOOKUP(D313,[5]九院成本!$A$4:$B$48,2,0))</f>
        <v>支座</v>
      </c>
      <c r="H313" s="3" t="s">
        <v>46</v>
      </c>
      <c r="I313" s="3">
        <v>60</v>
      </c>
      <c r="J313" s="18" t="s">
        <v>1100</v>
      </c>
      <c r="K313" s="3">
        <v>29</v>
      </c>
      <c r="L313" s="3">
        <v>29</v>
      </c>
      <c r="M313" s="19"/>
      <c r="N313" s="19"/>
      <c r="O313" s="5" t="s">
        <v>601</v>
      </c>
      <c r="P313" s="4"/>
      <c r="Q313" s="18">
        <v>30</v>
      </c>
      <c r="R313" s="3"/>
      <c r="S313" s="6"/>
      <c r="T313" s="22"/>
      <c r="V313" s="23">
        <v>14.5</v>
      </c>
      <c r="W313" s="24" t="s">
        <v>5</v>
      </c>
      <c r="Y313" s="7" t="s">
        <v>203</v>
      </c>
    </row>
    <row r="314" spans="1:25" ht="23.1" customHeight="1" x14ac:dyDescent="0.25">
      <c r="A314" s="1" t="s">
        <v>58</v>
      </c>
      <c r="D314" s="3" t="s">
        <v>472</v>
      </c>
      <c r="E314" s="15" t="s">
        <v>473</v>
      </c>
      <c r="F314" s="15" t="s">
        <v>473</v>
      </c>
      <c r="G314" s="15" t="str">
        <f>IFERROR(VLOOKUP(D314,[5]成飞半成品!$A:$B,2,0),VLOOKUP(D314,[5]九院成本!$A$4:$B$48,2,0))</f>
        <v>11140框左下半框</v>
      </c>
      <c r="H314" s="3" t="s">
        <v>147</v>
      </c>
      <c r="I314" s="3">
        <v>60</v>
      </c>
      <c r="J314" s="18" t="s">
        <v>1100</v>
      </c>
      <c r="K314" s="3">
        <v>3</v>
      </c>
      <c r="L314" s="3">
        <v>3</v>
      </c>
      <c r="M314" s="19"/>
      <c r="N314" s="19"/>
      <c r="O314" s="5" t="s">
        <v>602</v>
      </c>
      <c r="P314" s="4"/>
      <c r="Q314" s="18">
        <v>560</v>
      </c>
      <c r="R314" s="3"/>
      <c r="S314" s="6"/>
      <c r="T314" s="22"/>
      <c r="V314" s="23">
        <v>28</v>
      </c>
      <c r="W314" s="24" t="s">
        <v>5</v>
      </c>
      <c r="Y314" s="7" t="s">
        <v>203</v>
      </c>
    </row>
    <row r="315" spans="1:25" ht="23.1" customHeight="1" x14ac:dyDescent="0.25">
      <c r="A315" s="1" t="s">
        <v>58</v>
      </c>
      <c r="D315" s="3" t="s">
        <v>603</v>
      </c>
      <c r="E315" s="15" t="s">
        <v>302</v>
      </c>
      <c r="F315" s="15" t="s">
        <v>302</v>
      </c>
      <c r="G315" s="15" t="str">
        <f>IFERROR(VLOOKUP(D315,[5]成飞半成品!$A:$B,2,0),VLOOKUP(D315,[5]九院成本!$A$4:$B$48,2,0))</f>
        <v>角盒</v>
      </c>
      <c r="H315" s="3" t="s">
        <v>46</v>
      </c>
      <c r="I315" s="3">
        <v>35</v>
      </c>
      <c r="J315" s="18" t="s">
        <v>1072</v>
      </c>
      <c r="K315" s="3">
        <v>10</v>
      </c>
      <c r="L315" s="3">
        <v>10</v>
      </c>
      <c r="M315" s="19"/>
      <c r="N315" s="19"/>
      <c r="O315" s="5" t="s">
        <v>604</v>
      </c>
      <c r="P315" s="4"/>
      <c r="Q315" s="18">
        <v>40</v>
      </c>
      <c r="R315" s="3"/>
      <c r="S315" s="6"/>
      <c r="T315" s="22"/>
      <c r="V315" s="23">
        <v>6.7</v>
      </c>
      <c r="W315" s="24" t="s">
        <v>5</v>
      </c>
      <c r="Y315" s="7" t="s">
        <v>203</v>
      </c>
    </row>
    <row r="316" spans="1:25" ht="23.1" customHeight="1" x14ac:dyDescent="0.25">
      <c r="A316" s="1" t="s">
        <v>58</v>
      </c>
      <c r="D316" s="3" t="s">
        <v>605</v>
      </c>
      <c r="E316" s="15" t="s">
        <v>87</v>
      </c>
      <c r="F316" s="15" t="s">
        <v>87</v>
      </c>
      <c r="G316" s="15" t="str">
        <f>IFERROR(VLOOKUP(D316,[5]成飞半成品!$A:$B,2,0),VLOOKUP(D316,[5]九院成本!$A$4:$B$48,2,0))</f>
        <v>管接头</v>
      </c>
      <c r="H316" s="3" t="s">
        <v>64</v>
      </c>
      <c r="I316" s="3">
        <v>35</v>
      </c>
      <c r="J316" s="18" t="s">
        <v>1072</v>
      </c>
      <c r="K316" s="3">
        <v>40</v>
      </c>
      <c r="L316" s="3">
        <v>40</v>
      </c>
      <c r="M316" s="19"/>
      <c r="N316" s="19"/>
      <c r="O316" s="5" t="s">
        <v>102</v>
      </c>
      <c r="P316" s="4"/>
      <c r="Q316" s="18">
        <v>25</v>
      </c>
      <c r="R316" s="3"/>
      <c r="S316" s="6"/>
      <c r="T316" s="22"/>
      <c r="V316" s="23">
        <v>16.7</v>
      </c>
      <c r="W316" s="24" t="s">
        <v>5</v>
      </c>
      <c r="Y316" s="7" t="s">
        <v>203</v>
      </c>
    </row>
    <row r="317" spans="1:25" ht="23.1" customHeight="1" x14ac:dyDescent="0.25">
      <c r="A317" s="1" t="s">
        <v>58</v>
      </c>
      <c r="D317" s="3" t="s">
        <v>192</v>
      </c>
      <c r="E317" s="15" t="s">
        <v>607</v>
      </c>
      <c r="F317" s="15" t="s">
        <v>1118</v>
      </c>
      <c r="G317" s="15" t="str">
        <f>IFERROR(VLOOKUP(D317,[5]成飞半成品!$A:$B,2,0),VLOOKUP(D317,[5]九院成本!$A$4:$B$48,2,0))</f>
        <v>1N-2020-09-040</v>
      </c>
      <c r="H317" s="3" t="s">
        <v>80</v>
      </c>
      <c r="I317" s="3">
        <v>20</v>
      </c>
      <c r="J317" s="18" t="e">
        <v>#N/A</v>
      </c>
      <c r="K317" s="3">
        <v>1</v>
      </c>
      <c r="L317" s="3">
        <v>1</v>
      </c>
      <c r="M317" s="19"/>
      <c r="N317" s="19"/>
      <c r="O317" s="5" t="s">
        <v>192</v>
      </c>
      <c r="P317" s="4"/>
      <c r="Q317" s="18">
        <v>5</v>
      </c>
      <c r="R317" s="3"/>
      <c r="S317" s="6"/>
      <c r="T317" s="22"/>
      <c r="V317" s="23">
        <v>0.1</v>
      </c>
      <c r="W317" s="24" t="s">
        <v>5</v>
      </c>
      <c r="Y317" s="7" t="s">
        <v>203</v>
      </c>
    </row>
    <row r="318" spans="1:25" ht="23.1" customHeight="1" x14ac:dyDescent="0.25">
      <c r="A318" s="1" t="s">
        <v>58</v>
      </c>
      <c r="D318" s="3" t="s">
        <v>192</v>
      </c>
      <c r="E318" s="15" t="s">
        <v>609</v>
      </c>
      <c r="F318" s="15" t="s">
        <v>1119</v>
      </c>
      <c r="G318" s="15" t="str">
        <f>IFERROR(VLOOKUP(D318,[5]成飞半成品!$A:$B,2,0),VLOOKUP(D318,[5]九院成本!$A$4:$B$48,2,0))</f>
        <v>1N-2020-09-040</v>
      </c>
      <c r="H318" s="3" t="s">
        <v>80</v>
      </c>
      <c r="I318" s="3">
        <v>10</v>
      </c>
      <c r="J318" s="18" t="e">
        <v>#N/A</v>
      </c>
      <c r="K318" s="3">
        <v>1</v>
      </c>
      <c r="L318" s="3">
        <v>1</v>
      </c>
      <c r="M318" s="19"/>
      <c r="N318" s="19"/>
      <c r="O318" s="5" t="s">
        <v>192</v>
      </c>
      <c r="P318" s="4"/>
      <c r="Q318" s="18">
        <v>10</v>
      </c>
      <c r="R318" s="3"/>
      <c r="S318" s="6"/>
      <c r="T318" s="22"/>
      <c r="V318" s="23">
        <v>0.2</v>
      </c>
      <c r="W318" s="24" t="s">
        <v>5</v>
      </c>
      <c r="Y318" s="7" t="s">
        <v>203</v>
      </c>
    </row>
    <row r="319" spans="1:25" ht="23.1" customHeight="1" x14ac:dyDescent="0.25">
      <c r="A319" s="1" t="s">
        <v>58</v>
      </c>
      <c r="D319" s="3" t="s">
        <v>192</v>
      </c>
      <c r="E319" s="15" t="s">
        <v>611</v>
      </c>
      <c r="F319" s="15" t="e">
        <v>#N/A</v>
      </c>
      <c r="G319" s="15" t="str">
        <f>IFERROR(VLOOKUP(D319,[5]成飞半成品!$A:$B,2,0),VLOOKUP(D319,[5]九院成本!$A$4:$B$48,2,0))</f>
        <v>1N-2020-09-040</v>
      </c>
      <c r="H319" s="3" t="s">
        <v>80</v>
      </c>
      <c r="I319" s="3">
        <v>25</v>
      </c>
      <c r="J319" s="18" t="e">
        <v>#N/A</v>
      </c>
      <c r="K319" s="3">
        <v>2</v>
      </c>
      <c r="L319" s="3">
        <v>2</v>
      </c>
      <c r="M319" s="19"/>
      <c r="N319" s="19"/>
      <c r="O319" s="5" t="s">
        <v>192</v>
      </c>
      <c r="P319" s="4"/>
      <c r="Q319" s="18">
        <v>4</v>
      </c>
      <c r="R319" s="3"/>
      <c r="S319" s="6"/>
      <c r="T319" s="22"/>
      <c r="V319" s="23">
        <v>0.1</v>
      </c>
      <c r="W319" s="24" t="s">
        <v>5</v>
      </c>
      <c r="Y319" s="7" t="s">
        <v>203</v>
      </c>
    </row>
    <row r="320" spans="1:25" ht="23.1" customHeight="1" x14ac:dyDescent="0.25">
      <c r="A320" s="1" t="s">
        <v>58</v>
      </c>
      <c r="D320" s="3" t="s">
        <v>612</v>
      </c>
      <c r="E320" s="15" t="s">
        <v>568</v>
      </c>
      <c r="F320" s="15" t="s">
        <v>568</v>
      </c>
      <c r="G320" s="15" t="str">
        <f>IFERROR(VLOOKUP(D320,[5]成飞半成品!$A:$B,2,0),VLOOKUP(D320,[5]九院成本!$A$4:$B$48,2,0))</f>
        <v>销子</v>
      </c>
      <c r="H320" s="3" t="s">
        <v>46</v>
      </c>
      <c r="I320" s="3">
        <v>25</v>
      </c>
      <c r="J320" s="18" t="s">
        <v>1082</v>
      </c>
      <c r="K320" s="3">
        <v>5</v>
      </c>
      <c r="L320" s="3">
        <v>5</v>
      </c>
      <c r="M320" s="19"/>
      <c r="N320" s="19"/>
      <c r="O320" s="5" t="s">
        <v>613</v>
      </c>
      <c r="P320" s="4"/>
      <c r="Q320" s="18">
        <v>25</v>
      </c>
      <c r="R320" s="3"/>
      <c r="S320" s="6"/>
      <c r="T320" s="22"/>
      <c r="V320" s="23">
        <v>2.1</v>
      </c>
      <c r="W320" s="24" t="s">
        <v>5</v>
      </c>
      <c r="Y320" s="7" t="s">
        <v>203</v>
      </c>
    </row>
    <row r="321" spans="1:25" ht="23.1" customHeight="1" x14ac:dyDescent="0.25">
      <c r="A321" s="1" t="s">
        <v>58</v>
      </c>
      <c r="D321" s="3" t="s">
        <v>614</v>
      </c>
      <c r="E321" s="15" t="s">
        <v>300</v>
      </c>
      <c r="F321" s="15" t="s">
        <v>300</v>
      </c>
      <c r="G321" s="15" t="str">
        <f>IFERROR(VLOOKUP(D321,[5]成飞半成品!$A:$B,2,0),VLOOKUP(D321,[5]九院成本!$A$4:$B$48,2,0))</f>
        <v>排气下侧壁</v>
      </c>
      <c r="H321" s="3" t="s">
        <v>64</v>
      </c>
      <c r="I321" s="3">
        <v>45</v>
      </c>
      <c r="J321" s="18" t="s">
        <v>1073</v>
      </c>
      <c r="K321" s="3">
        <v>11</v>
      </c>
      <c r="L321" s="3">
        <v>11</v>
      </c>
      <c r="M321" s="19"/>
      <c r="N321" s="19"/>
      <c r="O321" s="5" t="s">
        <v>150</v>
      </c>
      <c r="P321" s="4"/>
      <c r="Q321" s="18">
        <v>180</v>
      </c>
      <c r="R321" s="3"/>
      <c r="S321" s="6"/>
      <c r="T321" s="22"/>
      <c r="V321" s="23">
        <v>33</v>
      </c>
      <c r="W321" s="24" t="s">
        <v>5</v>
      </c>
      <c r="Y321" s="7" t="s">
        <v>203</v>
      </c>
    </row>
    <row r="322" spans="1:25" ht="23.1" customHeight="1" x14ac:dyDescent="0.25">
      <c r="A322" s="1" t="s">
        <v>65</v>
      </c>
      <c r="D322" s="3" t="s">
        <v>605</v>
      </c>
      <c r="E322" s="15" t="s">
        <v>87</v>
      </c>
      <c r="F322" s="15" t="s">
        <v>87</v>
      </c>
      <c r="G322" s="15" t="str">
        <f>IFERROR(VLOOKUP(D322,[5]成飞半成品!$A:$B,2,0),VLOOKUP(D322,[5]九院成本!$A$4:$B$48,2,0))</f>
        <v>管接头</v>
      </c>
      <c r="H322" s="3" t="s">
        <v>64</v>
      </c>
      <c r="I322" s="3" t="s">
        <v>340</v>
      </c>
      <c r="J322" s="18" t="e">
        <v>#N/A</v>
      </c>
      <c r="K322" s="3">
        <v>40</v>
      </c>
      <c r="L322" s="3">
        <v>40</v>
      </c>
      <c r="M322" s="19"/>
      <c r="N322" s="19"/>
      <c r="O322" s="5" t="s">
        <v>102</v>
      </c>
      <c r="P322" s="4"/>
      <c r="Q322" s="18">
        <v>10</v>
      </c>
      <c r="R322" s="3"/>
      <c r="S322" s="6"/>
      <c r="T322" s="22"/>
      <c r="V322" s="23">
        <v>6.7</v>
      </c>
      <c r="W322" s="24" t="s">
        <v>5</v>
      </c>
      <c r="X322" s="7" t="s">
        <v>615</v>
      </c>
      <c r="Y322" s="7" t="s">
        <v>203</v>
      </c>
    </row>
    <row r="323" spans="1:25" ht="23.1" customHeight="1" x14ac:dyDescent="0.25">
      <c r="A323" s="1" t="s">
        <v>65</v>
      </c>
      <c r="D323" s="3" t="s">
        <v>600</v>
      </c>
      <c r="E323" s="15" t="s">
        <v>254</v>
      </c>
      <c r="F323" s="15" t="s">
        <v>254</v>
      </c>
      <c r="G323" s="15" t="str">
        <f>IFERROR(VLOOKUP(D323,[5]成飞半成品!$A:$B,2,0),VLOOKUP(D323,[5]九院成本!$A$4:$B$48,2,0))</f>
        <v>支座</v>
      </c>
      <c r="H323" s="3" t="s">
        <v>46</v>
      </c>
      <c r="I323" s="3" t="s">
        <v>340</v>
      </c>
      <c r="J323" s="18" t="e">
        <v>#N/A</v>
      </c>
      <c r="K323" s="3">
        <v>3</v>
      </c>
      <c r="L323" s="3">
        <v>3</v>
      </c>
      <c r="M323" s="19"/>
      <c r="N323" s="19"/>
      <c r="O323" s="5" t="s">
        <v>601</v>
      </c>
      <c r="P323" s="4"/>
      <c r="Q323" s="18">
        <v>20</v>
      </c>
      <c r="R323" s="3"/>
      <c r="S323" s="6"/>
      <c r="T323" s="22"/>
      <c r="V323" s="23">
        <v>1</v>
      </c>
      <c r="W323" s="24" t="s">
        <v>5</v>
      </c>
      <c r="X323" s="7" t="s">
        <v>616</v>
      </c>
      <c r="Y323" s="7" t="s">
        <v>203</v>
      </c>
    </row>
    <row r="324" spans="1:25" ht="23.1" customHeight="1" x14ac:dyDescent="0.25">
      <c r="A324" s="1" t="s">
        <v>65</v>
      </c>
      <c r="D324" s="3" t="s">
        <v>472</v>
      </c>
      <c r="E324" s="15" t="s">
        <v>473</v>
      </c>
      <c r="F324" s="15" t="s">
        <v>473</v>
      </c>
      <c r="G324" s="15" t="str">
        <f>IFERROR(VLOOKUP(D324,[5]成飞半成品!$A:$B,2,0),VLOOKUP(D324,[5]九院成本!$A$4:$B$48,2,0))</f>
        <v>11140框左下半框</v>
      </c>
      <c r="H324" s="3" t="s">
        <v>147</v>
      </c>
      <c r="I324" s="3" t="s">
        <v>340</v>
      </c>
      <c r="J324" s="18" t="e">
        <v>#N/A</v>
      </c>
      <c r="K324" s="3">
        <v>1</v>
      </c>
      <c r="L324" s="3">
        <v>1</v>
      </c>
      <c r="M324" s="19"/>
      <c r="N324" s="19"/>
      <c r="O324" s="5" t="s">
        <v>440</v>
      </c>
      <c r="P324" s="4"/>
      <c r="Q324" s="18">
        <v>30</v>
      </c>
      <c r="R324" s="3"/>
      <c r="S324" s="6"/>
      <c r="T324" s="22"/>
      <c r="V324" s="23">
        <v>0.5</v>
      </c>
      <c r="W324" s="24" t="s">
        <v>5</v>
      </c>
      <c r="X324" s="7" t="s">
        <v>617</v>
      </c>
      <c r="Y324" s="7" t="s">
        <v>203</v>
      </c>
    </row>
    <row r="325" spans="1:25" ht="23.1" customHeight="1" x14ac:dyDescent="0.25">
      <c r="A325" s="1" t="s">
        <v>71</v>
      </c>
      <c r="D325" s="3" t="s">
        <v>128</v>
      </c>
      <c r="E325" s="15" t="s">
        <v>129</v>
      </c>
      <c r="F325" s="15" t="s">
        <v>129</v>
      </c>
      <c r="G325" s="15" t="str">
        <f>IFERROR(VLOOKUP(D325,[5]成飞半成品!$A:$B,2,0),VLOOKUP(D325,[5]九院成本!$A$4:$B$48,2,0))</f>
        <v>8635右隔框</v>
      </c>
      <c r="H325" s="3" t="s">
        <v>114</v>
      </c>
      <c r="I325" s="3">
        <v>45</v>
      </c>
      <c r="J325" s="18" t="s">
        <v>1073</v>
      </c>
      <c r="K325" s="3">
        <v>2</v>
      </c>
      <c r="L325" s="3">
        <v>2</v>
      </c>
      <c r="M325" s="19"/>
      <c r="N325" s="19"/>
      <c r="O325" s="5" t="s">
        <v>618</v>
      </c>
      <c r="P325" s="4"/>
      <c r="Q325" s="18">
        <v>480</v>
      </c>
      <c r="R325" s="3"/>
      <c r="S325" s="6"/>
      <c r="T325" s="22"/>
      <c r="V325" s="23">
        <v>16</v>
      </c>
      <c r="W325" s="24" t="s">
        <v>5</v>
      </c>
      <c r="Y325" s="7" t="s">
        <v>203</v>
      </c>
    </row>
    <row r="326" spans="1:25" ht="23.1" customHeight="1" x14ac:dyDescent="0.25">
      <c r="A326" s="1" t="s">
        <v>71</v>
      </c>
      <c r="D326" s="3" t="s">
        <v>619</v>
      </c>
      <c r="E326" s="15" t="s">
        <v>620</v>
      </c>
      <c r="F326" s="15" t="e">
        <v>#N/A</v>
      </c>
      <c r="G326" s="15" t="e">
        <f>IFERROR(VLOOKUP(D326,[5]成飞半成品!$A:$B,2,0),VLOOKUP(D326,[5]九院成本!$A$4:$B$48,2,0))</f>
        <v>#N/A</v>
      </c>
      <c r="H326" s="3" t="s">
        <v>80</v>
      </c>
      <c r="I326" s="3">
        <v>100</v>
      </c>
      <c r="J326" s="18" t="e">
        <v>#N/A</v>
      </c>
      <c r="K326" s="3">
        <v>4</v>
      </c>
      <c r="L326" s="3">
        <v>4</v>
      </c>
      <c r="M326" s="19"/>
      <c r="N326" s="19"/>
      <c r="O326" s="5" t="s">
        <v>360</v>
      </c>
      <c r="P326" s="4"/>
      <c r="Q326" s="18">
        <v>360</v>
      </c>
      <c r="R326" s="3"/>
      <c r="S326" s="6"/>
      <c r="T326" s="22"/>
      <c r="V326" s="23">
        <v>24</v>
      </c>
      <c r="W326" s="24" t="s">
        <v>5</v>
      </c>
      <c r="Y326" s="7" t="s">
        <v>203</v>
      </c>
    </row>
    <row r="327" spans="1:25" ht="23.1" customHeight="1" x14ac:dyDescent="0.25">
      <c r="A327" s="1" t="s">
        <v>71</v>
      </c>
      <c r="D327" s="3" t="s">
        <v>320</v>
      </c>
      <c r="E327" s="15" t="s">
        <v>321</v>
      </c>
      <c r="F327" s="15" t="s">
        <v>321</v>
      </c>
      <c r="G327" s="15" t="str">
        <f>IFERROR(VLOOKUP(D327,[5]成飞半成品!$A:$B,2,0),VLOOKUP(D327,[5]九院成本!$A$4:$B$48,2,0))</f>
        <v>10540中框</v>
      </c>
      <c r="H327" s="3" t="s">
        <v>114</v>
      </c>
      <c r="I327" s="3">
        <v>65</v>
      </c>
      <c r="J327" s="18" t="s">
        <v>1091</v>
      </c>
      <c r="K327" s="3">
        <v>3</v>
      </c>
      <c r="L327" s="3">
        <v>3</v>
      </c>
      <c r="M327" s="19"/>
      <c r="N327" s="19"/>
      <c r="O327" s="5" t="s">
        <v>621</v>
      </c>
      <c r="P327" s="4"/>
      <c r="Q327" s="18">
        <v>720</v>
      </c>
      <c r="R327" s="3"/>
      <c r="S327" s="6"/>
      <c r="T327" s="22"/>
      <c r="V327" s="23">
        <v>36</v>
      </c>
      <c r="W327" s="24" t="s">
        <v>5</v>
      </c>
      <c r="Y327" s="7" t="s">
        <v>203</v>
      </c>
    </row>
    <row r="328" spans="1:25" ht="23.1" customHeight="1" x14ac:dyDescent="0.25">
      <c r="A328" s="1" t="s">
        <v>71</v>
      </c>
      <c r="D328" s="3" t="s">
        <v>619</v>
      </c>
      <c r="E328" s="15" t="s">
        <v>620</v>
      </c>
      <c r="F328" s="15" t="e">
        <v>#N/A</v>
      </c>
      <c r="G328" s="15" t="e">
        <f>IFERROR(VLOOKUP(D328,[5]成飞半成品!$A:$B,2,0),VLOOKUP(D328,[5]九院成本!$A$4:$B$48,2,0))</f>
        <v>#N/A</v>
      </c>
      <c r="H328" s="3" t="s">
        <v>80</v>
      </c>
      <c r="I328" s="3">
        <v>103</v>
      </c>
      <c r="J328" s="18" t="e">
        <v>#N/A</v>
      </c>
      <c r="K328" s="3">
        <v>4</v>
      </c>
      <c r="L328" s="3">
        <v>4</v>
      </c>
      <c r="M328" s="19"/>
      <c r="N328" s="19"/>
      <c r="O328" s="5" t="s">
        <v>360</v>
      </c>
      <c r="P328" s="4"/>
      <c r="Q328" s="18">
        <v>90</v>
      </c>
      <c r="R328" s="3"/>
      <c r="S328" s="6"/>
      <c r="T328" s="22"/>
      <c r="V328" s="23">
        <v>6</v>
      </c>
      <c r="W328" s="24" t="s">
        <v>5</v>
      </c>
      <c r="Y328" s="7" t="s">
        <v>203</v>
      </c>
    </row>
    <row r="329" spans="1:25" ht="23.1" customHeight="1" x14ac:dyDescent="0.25">
      <c r="A329" s="1" t="s">
        <v>74</v>
      </c>
      <c r="D329" s="3" t="s">
        <v>328</v>
      </c>
      <c r="E329" s="15" t="s">
        <v>329</v>
      </c>
      <c r="F329" s="15" t="s">
        <v>329</v>
      </c>
      <c r="G329" s="15" t="str">
        <f>IFERROR(VLOOKUP(D329,[5]成飞半成品!$A:$B,2,0),VLOOKUP(D329,[5]九院成本!$A$4:$B$48,2,0))</f>
        <v>辅助动力舱口盖前段</v>
      </c>
      <c r="H329" s="3" t="s">
        <v>46</v>
      </c>
      <c r="I329" s="3">
        <v>50</v>
      </c>
      <c r="J329" s="18" t="s">
        <v>1077</v>
      </c>
      <c r="K329" s="3">
        <v>2</v>
      </c>
      <c r="L329" s="3">
        <v>2</v>
      </c>
      <c r="M329" s="19"/>
      <c r="N329" s="19"/>
      <c r="O329" s="5" t="s">
        <v>622</v>
      </c>
      <c r="P329" s="4"/>
      <c r="Q329" s="18">
        <v>480</v>
      </c>
      <c r="R329" s="3"/>
      <c r="S329" s="6"/>
      <c r="T329" s="22"/>
      <c r="V329" s="23">
        <v>16</v>
      </c>
      <c r="W329" s="24" t="s">
        <v>5</v>
      </c>
      <c r="Y329" s="7" t="s">
        <v>203</v>
      </c>
    </row>
    <row r="330" spans="1:25" ht="23.1" customHeight="1" x14ac:dyDescent="0.25">
      <c r="A330" s="1" t="s">
        <v>74</v>
      </c>
      <c r="D330" s="3" t="s">
        <v>328</v>
      </c>
      <c r="E330" s="15" t="s">
        <v>329</v>
      </c>
      <c r="F330" s="15" t="s">
        <v>329</v>
      </c>
      <c r="G330" s="15" t="str">
        <f>IFERROR(VLOOKUP(D330,[5]成飞半成品!$A:$B,2,0),VLOOKUP(D330,[5]九院成本!$A$4:$B$48,2,0))</f>
        <v>辅助动力舱口盖前段</v>
      </c>
      <c r="H330" s="3" t="s">
        <v>46</v>
      </c>
      <c r="I330" s="3">
        <v>52</v>
      </c>
      <c r="J330" s="18" t="e">
        <v>#N/A</v>
      </c>
      <c r="K330" s="3">
        <v>2</v>
      </c>
      <c r="L330" s="3">
        <v>2</v>
      </c>
      <c r="M330" s="19"/>
      <c r="N330" s="19"/>
      <c r="O330" s="5" t="s">
        <v>622</v>
      </c>
      <c r="P330" s="4"/>
      <c r="Q330" s="18">
        <v>120</v>
      </c>
      <c r="R330" s="3"/>
      <c r="S330" s="6"/>
      <c r="T330" s="22"/>
      <c r="V330" s="23">
        <v>4</v>
      </c>
      <c r="W330" s="24" t="s">
        <v>5</v>
      </c>
      <c r="Y330" s="7" t="s">
        <v>203</v>
      </c>
    </row>
    <row r="331" spans="1:25" ht="23.1" customHeight="1" x14ac:dyDescent="0.25">
      <c r="A331" s="1" t="s">
        <v>74</v>
      </c>
      <c r="D331" s="3" t="s">
        <v>623</v>
      </c>
      <c r="E331" s="15" t="s">
        <v>129</v>
      </c>
      <c r="F331" s="15" t="e">
        <v>#N/A</v>
      </c>
      <c r="G331" s="15" t="e">
        <f>IFERROR(VLOOKUP(D331,[5]成飞半成品!$A:$B,2,0),VLOOKUP(D331,[5]九院成本!$A$4:$B$48,2,0))</f>
        <v>#N/A</v>
      </c>
      <c r="H331" s="3" t="s">
        <v>114</v>
      </c>
      <c r="I331" s="3" t="s">
        <v>340</v>
      </c>
      <c r="J331" s="18" t="e">
        <v>#N/A</v>
      </c>
      <c r="K331" s="3">
        <v>6</v>
      </c>
      <c r="L331" s="3">
        <v>6</v>
      </c>
      <c r="M331" s="19"/>
      <c r="N331" s="19"/>
      <c r="O331" s="5" t="s">
        <v>491</v>
      </c>
      <c r="P331" s="4"/>
      <c r="Q331" s="18">
        <v>30</v>
      </c>
      <c r="R331" s="3"/>
      <c r="S331" s="6"/>
      <c r="T331" s="22"/>
      <c r="V331" s="23">
        <v>3</v>
      </c>
      <c r="W331" s="24" t="s">
        <v>5</v>
      </c>
      <c r="X331" s="7" t="s">
        <v>624</v>
      </c>
      <c r="Y331" s="7" t="s">
        <v>203</v>
      </c>
    </row>
    <row r="332" spans="1:25" ht="23.1" customHeight="1" x14ac:dyDescent="0.25">
      <c r="A332" s="1" t="s">
        <v>74</v>
      </c>
      <c r="D332" s="3" t="s">
        <v>625</v>
      </c>
      <c r="E332" s="15" t="s">
        <v>626</v>
      </c>
      <c r="F332" s="15" t="s">
        <v>626</v>
      </c>
      <c r="G332" s="15" t="str">
        <f>IFERROR(VLOOKUP(D332,[5]成飞半成品!$A:$B,2,0),VLOOKUP(D332,[5]九院成本!$A$4:$B$48,2,0))</f>
        <v>缓冲头</v>
      </c>
      <c r="H332" s="3" t="s">
        <v>46</v>
      </c>
      <c r="I332" s="3">
        <v>35</v>
      </c>
      <c r="J332" s="18" t="s">
        <v>1072</v>
      </c>
      <c r="K332" s="3">
        <v>6</v>
      </c>
      <c r="L332" s="3">
        <v>6</v>
      </c>
      <c r="M332" s="19"/>
      <c r="N332" s="19"/>
      <c r="O332" s="5" t="s">
        <v>360</v>
      </c>
      <c r="P332" s="4"/>
      <c r="Q332" s="18">
        <v>15</v>
      </c>
      <c r="R332" s="3"/>
      <c r="S332" s="6"/>
      <c r="T332" s="22"/>
      <c r="V332" s="23">
        <v>1.5</v>
      </c>
      <c r="W332" s="24" t="s">
        <v>5</v>
      </c>
      <c r="Y332" s="7" t="s">
        <v>203</v>
      </c>
    </row>
    <row r="333" spans="1:25" ht="23.1" customHeight="1" x14ac:dyDescent="0.25">
      <c r="A333" s="1" t="s">
        <v>82</v>
      </c>
      <c r="D333" s="3" t="s">
        <v>352</v>
      </c>
      <c r="E333" s="15" t="s">
        <v>353</v>
      </c>
      <c r="F333" s="15" t="s">
        <v>353</v>
      </c>
      <c r="G333" s="15" t="str">
        <f>IFERROR(VLOOKUP(D333,[5]成飞半成品!$A:$B,2,0),VLOOKUP(D333,[5]九院成本!$A$4:$B$48,2,0))</f>
        <v>前端框</v>
      </c>
      <c r="H333" s="3" t="s">
        <v>51</v>
      </c>
      <c r="I333" s="3">
        <v>60</v>
      </c>
      <c r="J333" s="18" t="s">
        <v>1100</v>
      </c>
      <c r="K333" s="3">
        <v>6</v>
      </c>
      <c r="L333" s="3">
        <v>6</v>
      </c>
      <c r="M333" s="19"/>
      <c r="N333" s="19"/>
      <c r="O333" s="5" t="s">
        <v>156</v>
      </c>
      <c r="P333" s="4"/>
      <c r="Q333" s="18">
        <v>300</v>
      </c>
      <c r="R333" s="3"/>
      <c r="S333" s="6"/>
      <c r="T333" s="22"/>
      <c r="V333" s="23">
        <v>30</v>
      </c>
      <c r="W333" s="24" t="s">
        <v>5</v>
      </c>
      <c r="Y333" s="7" t="s">
        <v>203</v>
      </c>
    </row>
    <row r="334" spans="1:25" ht="23.1" customHeight="1" x14ac:dyDescent="0.25">
      <c r="A334" s="1" t="s">
        <v>82</v>
      </c>
      <c r="D334" s="3" t="s">
        <v>78</v>
      </c>
      <c r="E334" s="15" t="s">
        <v>79</v>
      </c>
      <c r="F334" s="15" t="s">
        <v>79</v>
      </c>
      <c r="G334" s="15" t="str">
        <f>IFERROR(VLOOKUP(D334,[5]成飞半成品!$A:$B,2,0),VLOOKUP(D334,[5]九院成本!$A$4:$B$48,2,0))</f>
        <v>立柱加强接头</v>
      </c>
      <c r="H334" s="3" t="s">
        <v>80</v>
      </c>
      <c r="I334" s="3" t="s">
        <v>340</v>
      </c>
      <c r="J334" s="18" t="e">
        <v>#N/A</v>
      </c>
      <c r="K334" s="3">
        <v>7</v>
      </c>
      <c r="L334" s="3">
        <v>7</v>
      </c>
      <c r="M334" s="19"/>
      <c r="N334" s="19"/>
      <c r="O334" s="5" t="s">
        <v>81</v>
      </c>
      <c r="P334" s="4"/>
      <c r="Q334" s="18">
        <v>20</v>
      </c>
      <c r="R334" s="3"/>
      <c r="S334" s="6"/>
      <c r="T334" s="22"/>
      <c r="V334" s="23">
        <v>2.2999999999999998</v>
      </c>
      <c r="W334" s="24" t="s">
        <v>5</v>
      </c>
      <c r="X334" s="7" t="s">
        <v>627</v>
      </c>
      <c r="Y334" s="7" t="s">
        <v>203</v>
      </c>
    </row>
    <row r="335" spans="1:25" ht="23.1" customHeight="1" x14ac:dyDescent="0.25">
      <c r="A335" s="1" t="s">
        <v>82</v>
      </c>
      <c r="D335" s="3" t="s">
        <v>363</v>
      </c>
      <c r="E335" s="15" t="s">
        <v>353</v>
      </c>
      <c r="F335" s="15" t="s">
        <v>353</v>
      </c>
      <c r="G335" s="15" t="str">
        <f>IFERROR(VLOOKUP(D335,[5]成飞半成品!$A:$B,2,0),VLOOKUP(D335,[5]九院成本!$A$4:$B$48,2,0))</f>
        <v>前端框</v>
      </c>
      <c r="H335" s="3" t="s">
        <v>51</v>
      </c>
      <c r="I335" s="3">
        <v>60</v>
      </c>
      <c r="J335" s="18" t="s">
        <v>1100</v>
      </c>
      <c r="K335" s="3">
        <v>3</v>
      </c>
      <c r="L335" s="3">
        <v>3</v>
      </c>
      <c r="M335" s="19"/>
      <c r="N335" s="19"/>
      <c r="O335" s="5" t="s">
        <v>628</v>
      </c>
      <c r="P335" s="4"/>
      <c r="Q335" s="18">
        <v>300</v>
      </c>
      <c r="R335" s="3"/>
      <c r="S335" s="6"/>
      <c r="T335" s="22"/>
      <c r="V335" s="23">
        <v>15</v>
      </c>
      <c r="W335" s="24" t="s">
        <v>5</v>
      </c>
      <c r="Y335" s="7" t="s">
        <v>203</v>
      </c>
    </row>
    <row r="336" spans="1:25" ht="23.1" customHeight="1" x14ac:dyDescent="0.25">
      <c r="A336" s="1" t="s">
        <v>82</v>
      </c>
      <c r="D336" s="3" t="s">
        <v>629</v>
      </c>
      <c r="E336" s="15" t="s">
        <v>630</v>
      </c>
      <c r="F336" s="15" t="s">
        <v>630</v>
      </c>
      <c r="G336" s="15" t="str">
        <f>IFERROR(VLOOKUP(D336,[5]成飞半成品!$A:$B,2,0),VLOOKUP(D336,[5]九院成本!$A$4:$B$48,2,0))</f>
        <v>BL280侧壁（右件）</v>
      </c>
      <c r="H336" s="3" t="s">
        <v>155</v>
      </c>
      <c r="I336" s="3">
        <v>40</v>
      </c>
      <c r="J336" s="18" t="s">
        <v>1069</v>
      </c>
      <c r="K336" s="3">
        <v>2</v>
      </c>
      <c r="L336" s="3">
        <v>2</v>
      </c>
      <c r="M336" s="19"/>
      <c r="N336" s="19"/>
      <c r="O336" s="5" t="s">
        <v>335</v>
      </c>
      <c r="P336" s="4"/>
      <c r="Q336" s="18">
        <v>960</v>
      </c>
      <c r="R336" s="3"/>
      <c r="S336" s="6"/>
      <c r="T336" s="22"/>
      <c r="V336" s="23">
        <v>32</v>
      </c>
      <c r="W336" s="24" t="s">
        <v>5</v>
      </c>
      <c r="Y336" s="7" t="s">
        <v>203</v>
      </c>
    </row>
    <row r="337" spans="1:25" ht="23.1" customHeight="1" x14ac:dyDescent="0.25">
      <c r="A337" s="1" t="s">
        <v>100</v>
      </c>
      <c r="D337" s="3" t="s">
        <v>629</v>
      </c>
      <c r="E337" s="15" t="s">
        <v>630</v>
      </c>
      <c r="F337" s="15" t="s">
        <v>630</v>
      </c>
      <c r="G337" s="15" t="str">
        <f>IFERROR(VLOOKUP(D337,[5]成飞半成品!$A:$B,2,0),VLOOKUP(D337,[5]九院成本!$A$4:$B$48,2,0))</f>
        <v>BL280侧壁（右件）</v>
      </c>
      <c r="H337" s="3" t="s">
        <v>155</v>
      </c>
      <c r="I337" s="3" t="s">
        <v>340</v>
      </c>
      <c r="J337" s="18" t="e">
        <v>#N/A</v>
      </c>
      <c r="K337" s="3">
        <v>2</v>
      </c>
      <c r="L337" s="3">
        <v>2</v>
      </c>
      <c r="M337" s="19"/>
      <c r="N337" s="19"/>
      <c r="O337" s="5" t="s">
        <v>335</v>
      </c>
      <c r="P337" s="4"/>
      <c r="Q337" s="18">
        <v>300</v>
      </c>
      <c r="R337" s="3"/>
      <c r="S337" s="6"/>
      <c r="T337" s="22"/>
      <c r="V337" s="23">
        <v>10</v>
      </c>
      <c r="W337" s="24" t="s">
        <v>5</v>
      </c>
      <c r="X337" s="7" t="s">
        <v>515</v>
      </c>
      <c r="Y337" s="7" t="s">
        <v>203</v>
      </c>
    </row>
    <row r="338" spans="1:25" ht="23.1" customHeight="1" x14ac:dyDescent="0.25">
      <c r="A338" s="1" t="s">
        <v>103</v>
      </c>
      <c r="D338" s="3" t="s">
        <v>355</v>
      </c>
      <c r="E338" s="15" t="s">
        <v>356</v>
      </c>
      <c r="F338" s="15" t="s">
        <v>356</v>
      </c>
      <c r="G338" s="15" t="str">
        <f>IFERROR(VLOOKUP(D338,[5]成飞半成品!$A:$B,2,0),VLOOKUP(D338,[5]九院成本!$A$4:$B$48,2,0))</f>
        <v>后端框</v>
      </c>
      <c r="H338" s="3" t="s">
        <v>147</v>
      </c>
      <c r="I338" s="3">
        <v>60</v>
      </c>
      <c r="J338" s="18" t="s">
        <v>1100</v>
      </c>
      <c r="K338" s="3">
        <v>2</v>
      </c>
      <c r="L338" s="3">
        <v>2</v>
      </c>
      <c r="M338" s="19"/>
      <c r="N338" s="19"/>
      <c r="O338" s="5" t="s">
        <v>357</v>
      </c>
      <c r="P338" s="4"/>
      <c r="Q338" s="18">
        <v>420</v>
      </c>
      <c r="R338" s="3"/>
      <c r="S338" s="6"/>
      <c r="T338" s="22"/>
      <c r="V338" s="23">
        <v>14</v>
      </c>
      <c r="W338" s="24" t="s">
        <v>5</v>
      </c>
      <c r="Y338" s="7" t="s">
        <v>203</v>
      </c>
    </row>
    <row r="339" spans="1:25" ht="23.1" customHeight="1" x14ac:dyDescent="0.25">
      <c r="A339" s="1" t="s">
        <v>103</v>
      </c>
      <c r="D339" s="3" t="s">
        <v>631</v>
      </c>
      <c r="E339" s="15" t="s">
        <v>632</v>
      </c>
      <c r="F339" s="15" t="s">
        <v>632</v>
      </c>
      <c r="G339" s="15" t="str">
        <f>IFERROR(VLOOKUP(D339,[5]成飞半成品!$A:$B,2,0),VLOOKUP(D339,[5]九院成本!$A$4:$B$48,2,0))</f>
        <v>BL280侧壁（左件）</v>
      </c>
      <c r="H339" s="3" t="s">
        <v>155</v>
      </c>
      <c r="I339" s="3">
        <v>40</v>
      </c>
      <c r="J339" s="18" t="s">
        <v>1069</v>
      </c>
      <c r="K339" s="3">
        <v>2</v>
      </c>
      <c r="L339" s="3">
        <v>2</v>
      </c>
      <c r="M339" s="19"/>
      <c r="N339" s="19"/>
      <c r="O339" s="5" t="s">
        <v>633</v>
      </c>
      <c r="P339" s="4"/>
      <c r="Q339" s="18">
        <v>960</v>
      </c>
      <c r="R339" s="3"/>
      <c r="S339" s="6"/>
      <c r="T339" s="22"/>
      <c r="V339" s="23">
        <v>32</v>
      </c>
      <c r="W339" s="24" t="s">
        <v>5</v>
      </c>
      <c r="Y339" s="7" t="s">
        <v>203</v>
      </c>
    </row>
    <row r="340" spans="1:25" ht="23.1" customHeight="1" x14ac:dyDescent="0.25">
      <c r="A340" s="1" t="s">
        <v>103</v>
      </c>
      <c r="D340" s="3" t="s">
        <v>631</v>
      </c>
      <c r="E340" s="15" t="s">
        <v>632</v>
      </c>
      <c r="F340" s="15" t="s">
        <v>632</v>
      </c>
      <c r="G340" s="15" t="str">
        <f>IFERROR(VLOOKUP(D340,[5]成飞半成品!$A:$B,2,0),VLOOKUP(D340,[5]九院成本!$A$4:$B$48,2,0))</f>
        <v>BL280侧壁（左件）</v>
      </c>
      <c r="H340" s="3" t="s">
        <v>155</v>
      </c>
      <c r="I340" s="3" t="s">
        <v>340</v>
      </c>
      <c r="J340" s="18" t="e">
        <v>#N/A</v>
      </c>
      <c r="K340" s="3">
        <v>2</v>
      </c>
      <c r="L340" s="3">
        <v>2</v>
      </c>
      <c r="M340" s="19"/>
      <c r="N340" s="19"/>
      <c r="O340" s="5" t="s">
        <v>633</v>
      </c>
      <c r="P340" s="4"/>
      <c r="Q340" s="18">
        <v>300</v>
      </c>
      <c r="R340" s="3"/>
      <c r="S340" s="6"/>
      <c r="T340" s="22"/>
      <c r="V340" s="23">
        <v>10</v>
      </c>
      <c r="W340" s="24" t="s">
        <v>5</v>
      </c>
      <c r="X340" s="7" t="s">
        <v>515</v>
      </c>
      <c r="Y340" s="7" t="s">
        <v>203</v>
      </c>
    </row>
    <row r="341" spans="1:25" ht="23.1" customHeight="1" x14ac:dyDescent="0.25">
      <c r="A341" s="1" t="s">
        <v>109</v>
      </c>
      <c r="D341" s="3" t="s">
        <v>634</v>
      </c>
      <c r="E341" s="15" t="s">
        <v>635</v>
      </c>
      <c r="F341" s="15" t="s">
        <v>635</v>
      </c>
      <c r="G341" s="15" t="str">
        <f>IFERROR(VLOOKUP(D341,[5]成飞半成品!$A:$B,2,0),VLOOKUP(D341,[5]九院成本!$A$4:$B$48,2,0))</f>
        <v>纵向加强件</v>
      </c>
      <c r="H341" s="3" t="s">
        <v>64</v>
      </c>
      <c r="I341" s="3">
        <v>60</v>
      </c>
      <c r="J341" s="18" t="s">
        <v>1100</v>
      </c>
      <c r="K341" s="3">
        <v>1</v>
      </c>
      <c r="L341" s="3">
        <v>1</v>
      </c>
      <c r="M341" s="19"/>
      <c r="N341" s="19"/>
      <c r="O341" s="5" t="s">
        <v>636</v>
      </c>
      <c r="P341" s="4"/>
      <c r="Q341" s="18">
        <v>360</v>
      </c>
      <c r="R341" s="3"/>
      <c r="S341" s="6"/>
      <c r="T341" s="22"/>
      <c r="V341" s="23">
        <v>6</v>
      </c>
      <c r="W341" s="24" t="s">
        <v>5</v>
      </c>
      <c r="Y341" s="7" t="s">
        <v>203</v>
      </c>
    </row>
    <row r="342" spans="1:25" ht="23.1" customHeight="1" x14ac:dyDescent="0.25">
      <c r="A342" s="1" t="s">
        <v>109</v>
      </c>
      <c r="D342" s="3" t="s">
        <v>637</v>
      </c>
      <c r="E342" s="15" t="s">
        <v>638</v>
      </c>
      <c r="F342" s="15" t="s">
        <v>638</v>
      </c>
      <c r="G342" s="15" t="str">
        <f>IFERROR(VLOOKUP(D342,[5]成飞半成品!$A:$B,2,0),VLOOKUP(D342,[5]九院成本!$A$4:$B$48,2,0))</f>
        <v>连杆</v>
      </c>
      <c r="H342" s="3" t="s">
        <v>147</v>
      </c>
      <c r="I342" s="3">
        <v>60</v>
      </c>
      <c r="J342" s="18" t="s">
        <v>1100</v>
      </c>
      <c r="K342" s="3">
        <v>1</v>
      </c>
      <c r="L342" s="3">
        <v>1</v>
      </c>
      <c r="M342" s="19"/>
      <c r="N342" s="19"/>
      <c r="O342" s="5" t="s">
        <v>189</v>
      </c>
      <c r="P342" s="4"/>
      <c r="Q342" s="18">
        <v>20</v>
      </c>
      <c r="R342" s="3"/>
      <c r="S342" s="6"/>
      <c r="T342" s="22"/>
      <c r="V342" s="23">
        <v>0.3</v>
      </c>
      <c r="W342" s="24" t="s">
        <v>5</v>
      </c>
      <c r="Y342" s="7" t="s">
        <v>203</v>
      </c>
    </row>
    <row r="343" spans="1:25" ht="23.1" customHeight="1" x14ac:dyDescent="0.25">
      <c r="A343" s="1" t="s">
        <v>116</v>
      </c>
      <c r="D343" s="3" t="s">
        <v>639</v>
      </c>
      <c r="E343" s="15" t="s">
        <v>407</v>
      </c>
      <c r="F343" s="15" t="s">
        <v>407</v>
      </c>
      <c r="G343" s="15" t="str">
        <f>IFERROR(VLOOKUP(D343,[5]成飞半成品!$A:$B,2,0),VLOOKUP(D343,[5]九院成本!$A$4:$B$48,2,0))</f>
        <v>外侧轴承盖</v>
      </c>
      <c r="H343" s="3" t="s">
        <v>46</v>
      </c>
      <c r="I343" s="3">
        <v>50</v>
      </c>
      <c r="J343" s="18" t="s">
        <v>1077</v>
      </c>
      <c r="K343" s="3">
        <v>14</v>
      </c>
      <c r="L343" s="3">
        <v>14</v>
      </c>
      <c r="M343" s="19"/>
      <c r="N343" s="19"/>
      <c r="O343" s="5" t="s">
        <v>92</v>
      </c>
      <c r="P343" s="4"/>
      <c r="Q343" s="18">
        <v>90</v>
      </c>
      <c r="R343" s="3"/>
      <c r="S343" s="6"/>
      <c r="T343" s="22"/>
      <c r="V343" s="23">
        <v>21</v>
      </c>
      <c r="W343" s="24" t="s">
        <v>5</v>
      </c>
      <c r="Y343" s="7" t="s">
        <v>203</v>
      </c>
    </row>
    <row r="344" spans="1:25" ht="23.1" customHeight="1" x14ac:dyDescent="0.25">
      <c r="A344" s="1" t="s">
        <v>157</v>
      </c>
      <c r="D344" s="3" t="s">
        <v>640</v>
      </c>
      <c r="E344" s="15" t="s">
        <v>641</v>
      </c>
      <c r="F344" s="15" t="s">
        <v>641</v>
      </c>
      <c r="G344" s="15" t="str">
        <f>IFERROR(VLOOKUP(D344,[5]成飞半成品!$A:$B,2,0),VLOOKUP(D344,[5]九院成本!$A$4:$B$48,2,0))</f>
        <v>座子</v>
      </c>
      <c r="H344" s="3" t="s">
        <v>51</v>
      </c>
      <c r="I344" s="3">
        <v>40</v>
      </c>
      <c r="J344" s="18" t="s">
        <v>1069</v>
      </c>
      <c r="K344" s="3">
        <v>20</v>
      </c>
      <c r="L344" s="3">
        <v>20</v>
      </c>
      <c r="M344" s="19"/>
      <c r="N344" s="19"/>
      <c r="O344" s="5" t="s">
        <v>56</v>
      </c>
      <c r="P344" s="4"/>
      <c r="Q344" s="18">
        <v>30</v>
      </c>
      <c r="R344" s="3"/>
      <c r="S344" s="6"/>
      <c r="T344" s="22"/>
      <c r="V344" s="23">
        <v>10</v>
      </c>
      <c r="W344" s="24" t="s">
        <v>5</v>
      </c>
      <c r="Y344" s="7" t="s">
        <v>203</v>
      </c>
    </row>
    <row r="345" spans="1:25" ht="23.1" customHeight="1" x14ac:dyDescent="0.25">
      <c r="A345" s="1" t="s">
        <v>116</v>
      </c>
      <c r="D345" s="3" t="s">
        <v>642</v>
      </c>
      <c r="E345" s="15" t="s">
        <v>490</v>
      </c>
      <c r="F345" s="15" t="e">
        <v>#N/A</v>
      </c>
      <c r="G345" s="15" t="e">
        <f>IFERROR(VLOOKUP(D345,[5]成飞半成品!$A:$B,2,0),VLOOKUP(D345,[5]九院成本!$A$4:$B$48,2,0))</f>
        <v>#N/A</v>
      </c>
      <c r="H345" s="3" t="s">
        <v>147</v>
      </c>
      <c r="I345" s="3">
        <v>40</v>
      </c>
      <c r="J345" s="18" t="s">
        <v>1069</v>
      </c>
      <c r="K345" s="3">
        <v>5</v>
      </c>
      <c r="L345" s="3">
        <v>5</v>
      </c>
      <c r="M345" s="19"/>
      <c r="N345" s="19"/>
      <c r="O345" s="5" t="s">
        <v>643</v>
      </c>
      <c r="P345" s="4"/>
      <c r="Q345" s="18">
        <v>480</v>
      </c>
      <c r="R345" s="3"/>
      <c r="S345" s="6"/>
      <c r="T345" s="22"/>
      <c r="V345" s="23">
        <v>40</v>
      </c>
      <c r="W345" s="24" t="s">
        <v>5</v>
      </c>
      <c r="Y345" s="7" t="s">
        <v>203</v>
      </c>
    </row>
    <row r="346" spans="1:25" ht="23.1" customHeight="1" x14ac:dyDescent="0.25">
      <c r="A346" s="1" t="s">
        <v>562</v>
      </c>
      <c r="D346" s="3" t="s">
        <v>644</v>
      </c>
      <c r="E346" s="15" t="s">
        <v>645</v>
      </c>
      <c r="F346" s="15" t="s">
        <v>645</v>
      </c>
      <c r="G346" s="15" t="str">
        <f>IFERROR(VLOOKUP(D346,[5]成飞半成品!$A:$B,2,0),VLOOKUP(D346,[5]九院成本!$A$4:$B$48,2,0))</f>
        <v>后梁</v>
      </c>
      <c r="H346" s="3" t="s">
        <v>114</v>
      </c>
      <c r="I346" s="3">
        <v>40</v>
      </c>
      <c r="J346" s="18" t="s">
        <v>1069</v>
      </c>
      <c r="K346" s="3">
        <v>3</v>
      </c>
      <c r="L346" s="3">
        <v>3</v>
      </c>
      <c r="M346" s="19"/>
      <c r="N346" s="19"/>
      <c r="O346" s="5" t="s">
        <v>52</v>
      </c>
      <c r="P346" s="4"/>
      <c r="Q346" s="18">
        <v>420</v>
      </c>
      <c r="R346" s="3"/>
      <c r="S346" s="6"/>
      <c r="T346" s="22"/>
      <c r="V346" s="23">
        <v>21</v>
      </c>
      <c r="W346" s="24" t="s">
        <v>5</v>
      </c>
      <c r="Y346" s="7" t="s">
        <v>203</v>
      </c>
    </row>
    <row r="347" spans="1:25" ht="23.1" customHeight="1" x14ac:dyDescent="0.25">
      <c r="A347" s="1" t="s">
        <v>562</v>
      </c>
      <c r="D347" s="3" t="s">
        <v>386</v>
      </c>
      <c r="E347" s="15" t="s">
        <v>647</v>
      </c>
      <c r="F347" s="15" t="s">
        <v>647</v>
      </c>
      <c r="G347" s="15" t="str">
        <f>IFERROR(VLOOKUP(D347,[5]成飞半成品!$A:$B,2,0),VLOOKUP(D347,[5]九院成本!$A$4:$B$48,2,0))</f>
        <v>9555侧隔框</v>
      </c>
      <c r="H347" s="3" t="s">
        <v>51</v>
      </c>
      <c r="I347" s="3">
        <v>45</v>
      </c>
      <c r="J347" s="18" t="s">
        <v>1073</v>
      </c>
      <c r="K347" s="3">
        <v>12</v>
      </c>
      <c r="L347" s="3">
        <v>12</v>
      </c>
      <c r="M347" s="19"/>
      <c r="N347" s="19"/>
      <c r="O347" s="5" t="s">
        <v>648</v>
      </c>
      <c r="P347" s="4"/>
      <c r="Q347" s="18">
        <v>30</v>
      </c>
      <c r="R347" s="3"/>
      <c r="S347" s="6"/>
      <c r="T347" s="22"/>
      <c r="V347" s="23">
        <v>6</v>
      </c>
      <c r="W347" s="24" t="s">
        <v>5</v>
      </c>
      <c r="Y347" s="7" t="s">
        <v>203</v>
      </c>
    </row>
    <row r="348" spans="1:25" ht="23.1" customHeight="1" x14ac:dyDescent="0.25">
      <c r="A348" s="1" t="s">
        <v>121</v>
      </c>
      <c r="D348" s="3" t="s">
        <v>279</v>
      </c>
      <c r="E348" s="15" t="s">
        <v>254</v>
      </c>
      <c r="F348" s="15" t="s">
        <v>254</v>
      </c>
      <c r="G348" s="15" t="str">
        <f>IFERROR(VLOOKUP(D348,[5]成飞半成品!$A:$B,2,0),VLOOKUP(D348,[5]九院成本!$A$4:$B$48,2,0))</f>
        <v>支座</v>
      </c>
      <c r="H348" s="3" t="s">
        <v>155</v>
      </c>
      <c r="I348" s="3">
        <v>25</v>
      </c>
      <c r="J348" s="18" t="s">
        <v>1120</v>
      </c>
      <c r="K348" s="3">
        <v>49</v>
      </c>
      <c r="L348" s="3">
        <v>49</v>
      </c>
      <c r="M348" s="19">
        <v>26</v>
      </c>
      <c r="N348" s="19">
        <v>28</v>
      </c>
      <c r="O348" s="5" t="s">
        <v>280</v>
      </c>
      <c r="P348" s="4">
        <v>60</v>
      </c>
      <c r="Q348" s="18">
        <v>60</v>
      </c>
      <c r="R348" s="3"/>
      <c r="S348" s="6"/>
      <c r="T348" s="22"/>
      <c r="V348" s="23">
        <v>49</v>
      </c>
      <c r="W348" s="24" t="s">
        <v>14</v>
      </c>
      <c r="X348" s="7" t="s">
        <v>649</v>
      </c>
    </row>
    <row r="349" spans="1:25" ht="23.1" customHeight="1" x14ac:dyDescent="0.25">
      <c r="A349" s="1" t="s">
        <v>121</v>
      </c>
      <c r="D349" s="3" t="s">
        <v>404</v>
      </c>
      <c r="E349" s="15" t="s">
        <v>405</v>
      </c>
      <c r="F349" s="15" t="s">
        <v>405</v>
      </c>
      <c r="G349" s="15" t="str">
        <f>IFERROR(VLOOKUP(D349,[5]成飞半成品!$A:$B,2,0),VLOOKUP(D349,[5]九院成本!$A$4:$B$48,2,0))</f>
        <v>主动油总管四通</v>
      </c>
      <c r="H349" s="3" t="s">
        <v>46</v>
      </c>
      <c r="I349" s="3">
        <v>55</v>
      </c>
      <c r="J349" s="18" t="s">
        <v>1121</v>
      </c>
      <c r="K349" s="3">
        <v>20</v>
      </c>
      <c r="L349" s="3">
        <v>20</v>
      </c>
      <c r="M349" s="19">
        <v>5</v>
      </c>
      <c r="N349" s="19">
        <v>9</v>
      </c>
      <c r="O349" s="5" t="s">
        <v>92</v>
      </c>
      <c r="P349" s="4">
        <v>60</v>
      </c>
      <c r="Q349" s="18">
        <v>60</v>
      </c>
      <c r="R349" s="3"/>
      <c r="S349" s="6"/>
      <c r="T349" s="22"/>
      <c r="V349" s="23">
        <v>20</v>
      </c>
      <c r="W349" s="24" t="s">
        <v>14</v>
      </c>
      <c r="X349" s="7" t="s">
        <v>650</v>
      </c>
    </row>
    <row r="350" spans="1:25" ht="23.1" customHeight="1" x14ac:dyDescent="0.25">
      <c r="A350" s="1" t="s">
        <v>121</v>
      </c>
      <c r="D350" s="3" t="s">
        <v>1162</v>
      </c>
      <c r="E350" s="15" t="s">
        <v>651</v>
      </c>
      <c r="F350" s="15" t="e">
        <v>#N/A</v>
      </c>
      <c r="G350" s="15" t="str">
        <f>IFERROR(VLOOKUP(D350,[5]成飞半成品!$A:$B,2,0),VLOOKUP(D350,[5]九院成本!$A$4:$B$48,2,0))</f>
        <v>工装</v>
      </c>
      <c r="I350" s="3" t="s">
        <v>652</v>
      </c>
      <c r="J350" s="18" t="e">
        <v>#N/A</v>
      </c>
      <c r="K350" s="3">
        <v>360</v>
      </c>
      <c r="L350" s="3">
        <v>360</v>
      </c>
      <c r="M350" s="19"/>
      <c r="N350" s="19"/>
      <c r="P350" s="4">
        <v>60</v>
      </c>
      <c r="Q350" s="18">
        <v>60</v>
      </c>
      <c r="R350" s="3"/>
      <c r="S350" s="6"/>
      <c r="T350" s="22"/>
      <c r="V350" s="23">
        <v>360</v>
      </c>
      <c r="W350" s="24" t="s">
        <v>14</v>
      </c>
    </row>
    <row r="351" spans="1:25" ht="23.1" customHeight="1" x14ac:dyDescent="0.25">
      <c r="A351" s="1" t="s">
        <v>121</v>
      </c>
      <c r="D351" s="3" t="s">
        <v>1160</v>
      </c>
      <c r="E351" s="15" t="s">
        <v>654</v>
      </c>
      <c r="F351" s="15" t="e">
        <v>#N/A</v>
      </c>
      <c r="G351" s="15" t="str">
        <f>IFERROR(VLOOKUP(D351,[5]成飞半成品!$A:$B,2,0),VLOOKUP(D351,[5]九院成本!$A$4:$B$48,2,0))</f>
        <v>3D打印</v>
      </c>
      <c r="I351" s="3" t="s">
        <v>652</v>
      </c>
      <c r="J351" s="18" t="e">
        <v>#N/A</v>
      </c>
      <c r="K351" s="3">
        <v>2</v>
      </c>
      <c r="L351" s="3">
        <v>2</v>
      </c>
      <c r="M351" s="19"/>
      <c r="N351" s="19"/>
      <c r="P351" s="4">
        <v>60</v>
      </c>
      <c r="Q351" s="18">
        <v>60</v>
      </c>
      <c r="R351" s="3"/>
      <c r="S351" s="6"/>
      <c r="T351" s="22"/>
      <c r="V351" s="23">
        <v>2</v>
      </c>
      <c r="W351" s="24" t="s">
        <v>14</v>
      </c>
    </row>
    <row r="352" spans="1:25" ht="23.1" customHeight="1" x14ac:dyDescent="0.25">
      <c r="A352" s="1" t="s">
        <v>121</v>
      </c>
      <c r="D352" s="3" t="s">
        <v>1160</v>
      </c>
      <c r="E352" s="15" t="s">
        <v>654</v>
      </c>
      <c r="F352" s="15" t="e">
        <v>#N/A</v>
      </c>
      <c r="G352" s="15" t="str">
        <f>IFERROR(VLOOKUP(D352,[5]成飞半成品!$A:$B,2,0),VLOOKUP(D352,[5]九院成本!$A$4:$B$48,2,0))</f>
        <v>3D打印</v>
      </c>
      <c r="I352" s="3" t="s">
        <v>652</v>
      </c>
      <c r="J352" s="18" t="e">
        <v>#N/A</v>
      </c>
      <c r="K352" s="3">
        <v>2</v>
      </c>
      <c r="L352" s="3">
        <v>2</v>
      </c>
      <c r="M352" s="19"/>
      <c r="N352" s="19"/>
      <c r="P352" s="4">
        <v>60</v>
      </c>
      <c r="Q352" s="18">
        <v>60</v>
      </c>
      <c r="R352" s="3"/>
      <c r="S352" s="6"/>
      <c r="T352" s="22"/>
      <c r="V352" s="23">
        <v>2</v>
      </c>
      <c r="W352" s="24" t="s">
        <v>14</v>
      </c>
    </row>
    <row r="353" spans="1:24" ht="23.1" customHeight="1" x14ac:dyDescent="0.25">
      <c r="A353" s="1" t="s">
        <v>121</v>
      </c>
      <c r="D353" s="3" t="s">
        <v>1162</v>
      </c>
      <c r="E353" s="15" t="s">
        <v>656</v>
      </c>
      <c r="F353" s="15" t="e">
        <v>#N/A</v>
      </c>
      <c r="G353" s="15" t="str">
        <f>IFERROR(VLOOKUP(D353,[5]成飞半成品!$A:$B,2,0),VLOOKUP(D353,[5]九院成本!$A$4:$B$48,2,0))</f>
        <v>工装</v>
      </c>
      <c r="I353" s="3">
        <v>10</v>
      </c>
      <c r="J353" s="18" t="e">
        <v>#N/A</v>
      </c>
      <c r="K353" s="3">
        <v>3</v>
      </c>
      <c r="L353" s="3">
        <v>3</v>
      </c>
      <c r="M353" s="19">
        <v>9</v>
      </c>
      <c r="N353" s="19">
        <v>9</v>
      </c>
      <c r="P353" s="4">
        <v>120</v>
      </c>
      <c r="Q353" s="18">
        <v>120</v>
      </c>
      <c r="R353" s="3"/>
      <c r="S353" s="6"/>
      <c r="T353" s="22"/>
      <c r="V353" s="23">
        <v>6</v>
      </c>
      <c r="W353" s="24" t="s">
        <v>14</v>
      </c>
      <c r="X353" s="7" t="s">
        <v>657</v>
      </c>
    </row>
    <row r="354" spans="1:24" ht="23.1" customHeight="1" x14ac:dyDescent="0.25">
      <c r="A354" s="1" t="s">
        <v>48</v>
      </c>
      <c r="D354" s="3" t="s">
        <v>658</v>
      </c>
      <c r="E354" s="15" t="s">
        <v>659</v>
      </c>
      <c r="F354" s="15" t="s">
        <v>659</v>
      </c>
      <c r="G354" s="15" t="str">
        <f>IFERROR(VLOOKUP(D354,[5]成飞半成品!$A:$B,2,0),VLOOKUP(D354,[5]九院成本!$A$4:$B$48,2,0))</f>
        <v>角材</v>
      </c>
      <c r="H354" s="3" t="s">
        <v>46</v>
      </c>
      <c r="I354" s="3">
        <v>5</v>
      </c>
      <c r="J354" s="18" t="s">
        <v>1122</v>
      </c>
      <c r="K354" s="3">
        <v>18</v>
      </c>
      <c r="L354" s="3">
        <v>20</v>
      </c>
      <c r="M354" s="19">
        <v>28</v>
      </c>
      <c r="N354" s="19">
        <v>28</v>
      </c>
      <c r="O354" s="5" t="s">
        <v>660</v>
      </c>
      <c r="P354" s="4">
        <v>30</v>
      </c>
      <c r="Q354" s="18">
        <v>30</v>
      </c>
      <c r="R354" s="3"/>
      <c r="S354" s="6"/>
      <c r="T354" s="22"/>
      <c r="V354" s="23">
        <v>10</v>
      </c>
      <c r="W354" s="24" t="s">
        <v>14</v>
      </c>
    </row>
    <row r="355" spans="1:24" ht="23.1" customHeight="1" x14ac:dyDescent="0.25">
      <c r="A355" s="1" t="s">
        <v>48</v>
      </c>
      <c r="D355" s="3" t="s">
        <v>658</v>
      </c>
      <c r="E355" s="15" t="s">
        <v>659</v>
      </c>
      <c r="F355" s="15" t="s">
        <v>659</v>
      </c>
      <c r="G355" s="15" t="str">
        <f>IFERROR(VLOOKUP(D355,[5]成飞半成品!$A:$B,2,0),VLOOKUP(D355,[5]九院成本!$A$4:$B$48,2,0))</f>
        <v>角材</v>
      </c>
      <c r="H355" s="3" t="s">
        <v>46</v>
      </c>
      <c r="I355" s="3">
        <v>5</v>
      </c>
      <c r="J355" s="18" t="s">
        <v>1122</v>
      </c>
      <c r="K355" s="3">
        <v>24</v>
      </c>
      <c r="L355" s="3">
        <v>26</v>
      </c>
      <c r="M355" s="19">
        <v>28</v>
      </c>
      <c r="N355" s="19">
        <v>28</v>
      </c>
      <c r="O355" s="5" t="s">
        <v>661</v>
      </c>
      <c r="P355" s="4">
        <v>30</v>
      </c>
      <c r="Q355" s="18">
        <v>30</v>
      </c>
      <c r="R355" s="3"/>
      <c r="S355" s="6"/>
      <c r="T355" s="22"/>
      <c r="V355" s="23">
        <v>13</v>
      </c>
      <c r="W355" s="24" t="s">
        <v>14</v>
      </c>
    </row>
    <row r="356" spans="1:24" ht="23.1" customHeight="1" x14ac:dyDescent="0.25">
      <c r="A356" s="1" t="s">
        <v>48</v>
      </c>
      <c r="D356" s="3" t="s">
        <v>658</v>
      </c>
      <c r="E356" s="15" t="s">
        <v>659</v>
      </c>
      <c r="F356" s="15" t="s">
        <v>659</v>
      </c>
      <c r="G356" s="15" t="str">
        <f>IFERROR(VLOOKUP(D356,[5]成飞半成品!$A:$B,2,0),VLOOKUP(D356,[5]九院成本!$A$4:$B$48,2,0))</f>
        <v>角材</v>
      </c>
      <c r="H356" s="3" t="s">
        <v>46</v>
      </c>
      <c r="I356" s="3">
        <v>5</v>
      </c>
      <c r="J356" s="18" t="s">
        <v>1122</v>
      </c>
      <c r="K356" s="3">
        <v>18</v>
      </c>
      <c r="L356" s="3">
        <v>19</v>
      </c>
      <c r="M356" s="19">
        <v>28</v>
      </c>
      <c r="N356" s="19">
        <v>28</v>
      </c>
      <c r="O356" s="5" t="s">
        <v>662</v>
      </c>
      <c r="P356" s="4">
        <v>30</v>
      </c>
      <c r="Q356" s="18">
        <v>30</v>
      </c>
      <c r="R356" s="3"/>
      <c r="S356" s="6"/>
      <c r="T356" s="22"/>
      <c r="V356" s="23">
        <v>9.5</v>
      </c>
      <c r="W356" s="24" t="s">
        <v>14</v>
      </c>
    </row>
    <row r="357" spans="1:24" ht="23.1" customHeight="1" x14ac:dyDescent="0.25">
      <c r="A357" s="1" t="s">
        <v>48</v>
      </c>
      <c r="D357" s="3" t="s">
        <v>404</v>
      </c>
      <c r="E357" s="15" t="s">
        <v>405</v>
      </c>
      <c r="F357" s="15" t="s">
        <v>405</v>
      </c>
      <c r="G357" s="15" t="str">
        <f>IFERROR(VLOOKUP(D357,[5]成飞半成品!$A:$B,2,0),VLOOKUP(D357,[5]九院成本!$A$4:$B$48,2,0))</f>
        <v>主动油总管四通</v>
      </c>
      <c r="H357" s="3" t="s">
        <v>46</v>
      </c>
      <c r="I357" s="3">
        <v>20</v>
      </c>
      <c r="J357" s="18" t="s">
        <v>1123</v>
      </c>
      <c r="K357" s="3">
        <v>24</v>
      </c>
      <c r="L357" s="3">
        <v>28</v>
      </c>
      <c r="M357" s="19">
        <v>9</v>
      </c>
      <c r="N357" s="19">
        <v>9</v>
      </c>
      <c r="O357" s="5" t="s">
        <v>663</v>
      </c>
      <c r="P357" s="4">
        <v>90</v>
      </c>
      <c r="Q357" s="18">
        <v>90</v>
      </c>
      <c r="R357" s="3"/>
      <c r="S357" s="6"/>
      <c r="T357" s="22"/>
      <c r="V357" s="23">
        <v>42</v>
      </c>
      <c r="W357" s="24" t="s">
        <v>14</v>
      </c>
    </row>
    <row r="358" spans="1:24" ht="23.1" customHeight="1" x14ac:dyDescent="0.25">
      <c r="A358" s="1" t="s">
        <v>53</v>
      </c>
      <c r="D358" s="3" t="s">
        <v>664</v>
      </c>
      <c r="E358" s="15" t="s">
        <v>665</v>
      </c>
      <c r="F358" s="15" t="s">
        <v>665</v>
      </c>
      <c r="G358" s="15" t="str">
        <f>IFERROR(VLOOKUP(D358,[5]成飞半成品!$A:$B,2,0),VLOOKUP(D358,[5]九院成本!$A$4:$B$48,2,0))</f>
        <v>前起落架水平接头</v>
      </c>
      <c r="H358" s="3" t="s">
        <v>64</v>
      </c>
      <c r="I358" s="3">
        <v>30</v>
      </c>
      <c r="J358" s="18" t="s">
        <v>1124</v>
      </c>
      <c r="K358" s="3">
        <v>20</v>
      </c>
      <c r="L358" s="3">
        <v>20</v>
      </c>
      <c r="M358" s="19">
        <v>9</v>
      </c>
      <c r="N358" s="19">
        <v>28</v>
      </c>
      <c r="O358" s="5" t="s">
        <v>558</v>
      </c>
      <c r="P358" s="4">
        <v>120</v>
      </c>
      <c r="Q358" s="18">
        <v>120</v>
      </c>
      <c r="R358" s="3"/>
      <c r="S358" s="6"/>
      <c r="T358" s="22"/>
      <c r="V358" s="23">
        <v>40</v>
      </c>
      <c r="W358" s="24" t="s">
        <v>14</v>
      </c>
    </row>
    <row r="359" spans="1:24" ht="23.1" customHeight="1" x14ac:dyDescent="0.25">
      <c r="A359" s="1" t="s">
        <v>53</v>
      </c>
      <c r="D359" s="3" t="s">
        <v>666</v>
      </c>
      <c r="E359" s="15" t="s">
        <v>659</v>
      </c>
      <c r="F359" s="15" t="s">
        <v>659</v>
      </c>
      <c r="G359" s="15" t="str">
        <f>IFERROR(VLOOKUP(D359,[5]成飞半成品!$A:$B,2,0),VLOOKUP(D359,[5]九院成本!$A$4:$B$48,2,0))</f>
        <v>角材</v>
      </c>
      <c r="H359" s="3" t="s">
        <v>46</v>
      </c>
      <c r="I359" s="3">
        <v>5</v>
      </c>
      <c r="J359" s="18" t="s">
        <v>1122</v>
      </c>
      <c r="K359" s="3">
        <v>18</v>
      </c>
      <c r="L359" s="3">
        <v>24</v>
      </c>
      <c r="M359" s="19">
        <v>28</v>
      </c>
      <c r="N359" s="19">
        <v>28</v>
      </c>
      <c r="O359" s="5" t="s">
        <v>662</v>
      </c>
      <c r="P359" s="4">
        <v>30</v>
      </c>
      <c r="Q359" s="18">
        <v>30</v>
      </c>
      <c r="R359" s="3"/>
      <c r="S359" s="6"/>
      <c r="T359" s="22"/>
      <c r="V359" s="23">
        <v>12</v>
      </c>
      <c r="W359" s="24" t="s">
        <v>14</v>
      </c>
    </row>
    <row r="360" spans="1:24" ht="23.1" customHeight="1" x14ac:dyDescent="0.25">
      <c r="A360" s="1" t="s">
        <v>53</v>
      </c>
      <c r="D360" s="3" t="s">
        <v>575</v>
      </c>
      <c r="E360" s="15" t="s">
        <v>576</v>
      </c>
      <c r="F360" s="15" t="s">
        <v>576</v>
      </c>
      <c r="G360" s="15" t="str">
        <f>IFERROR(VLOOKUP(D360,[5]成飞半成品!$A:$B,2,0),VLOOKUP(D360,[5]九院成本!$A$4:$B$48,2,0))</f>
        <v>插槽</v>
      </c>
      <c r="H360" s="3" t="s">
        <v>80</v>
      </c>
      <c r="I360" s="3">
        <v>20</v>
      </c>
      <c r="J360" s="18" t="s">
        <v>1125</v>
      </c>
      <c r="K360" s="3">
        <v>2</v>
      </c>
      <c r="L360" s="3">
        <v>4</v>
      </c>
      <c r="M360" s="19">
        <v>28</v>
      </c>
      <c r="N360" s="19">
        <v>28</v>
      </c>
      <c r="O360" s="5" t="s">
        <v>95</v>
      </c>
      <c r="P360" s="4">
        <v>20</v>
      </c>
      <c r="Q360" s="18">
        <v>20</v>
      </c>
      <c r="R360" s="3"/>
      <c r="S360" s="6"/>
      <c r="T360" s="22"/>
      <c r="V360" s="23">
        <v>1.3</v>
      </c>
      <c r="W360" s="24" t="s">
        <v>14</v>
      </c>
    </row>
    <row r="361" spans="1:24" ht="23.1" customHeight="1" x14ac:dyDescent="0.25">
      <c r="A361" s="1" t="s">
        <v>53</v>
      </c>
      <c r="D361" s="3" t="s">
        <v>72</v>
      </c>
      <c r="E361" s="15" t="s">
        <v>73</v>
      </c>
      <c r="F361" s="15" t="s">
        <v>73</v>
      </c>
      <c r="G361" s="15" t="str">
        <f>IFERROR(VLOOKUP(D361,[5]成飞半成品!$A:$B,2,0),VLOOKUP(D361,[5]九院成本!$A$4:$B$48,2,0))</f>
        <v>扩压式管接头</v>
      </c>
      <c r="H361" s="3" t="s">
        <v>64</v>
      </c>
      <c r="I361" s="3">
        <v>35</v>
      </c>
      <c r="J361" s="18" t="s">
        <v>1126</v>
      </c>
      <c r="K361" s="3">
        <v>30</v>
      </c>
      <c r="L361" s="3">
        <v>30</v>
      </c>
      <c r="M361" s="19">
        <v>28</v>
      </c>
      <c r="N361" s="19">
        <v>9</v>
      </c>
      <c r="O361" s="5" t="s">
        <v>56</v>
      </c>
      <c r="P361" s="4">
        <v>30</v>
      </c>
      <c r="Q361" s="18">
        <v>30</v>
      </c>
      <c r="R361" s="3"/>
      <c r="S361" s="6"/>
      <c r="T361" s="22"/>
      <c r="V361" s="23">
        <v>15</v>
      </c>
      <c r="W361" s="24" t="s">
        <v>14</v>
      </c>
    </row>
    <row r="362" spans="1:24" ht="23.1" customHeight="1" x14ac:dyDescent="0.25">
      <c r="A362" s="1" t="s">
        <v>667</v>
      </c>
      <c r="D362" s="3" t="s">
        <v>1162</v>
      </c>
      <c r="E362" s="15" t="s">
        <v>211</v>
      </c>
      <c r="F362" s="15" t="e">
        <v>#N/A</v>
      </c>
      <c r="G362" s="15" t="str">
        <f>IFERROR(VLOOKUP(D362,[5]成飞半成品!$A:$B,2,0),VLOOKUP(D362,[5]九院成本!$A$4:$B$48,2,0))</f>
        <v>工装</v>
      </c>
      <c r="I362" s="3" t="s">
        <v>652</v>
      </c>
      <c r="J362" s="18" t="e">
        <v>#N/A</v>
      </c>
      <c r="K362" s="3">
        <v>29</v>
      </c>
      <c r="L362" s="3">
        <v>29</v>
      </c>
      <c r="M362" s="19"/>
      <c r="N362" s="19"/>
      <c r="P362" s="4">
        <v>90</v>
      </c>
      <c r="Q362" s="18">
        <v>90</v>
      </c>
      <c r="R362" s="3"/>
      <c r="S362" s="6"/>
      <c r="T362" s="22"/>
      <c r="V362" s="23">
        <v>43.5</v>
      </c>
      <c r="W362" s="24" t="s">
        <v>14</v>
      </c>
      <c r="X362" s="7" t="s">
        <v>202</v>
      </c>
    </row>
    <row r="363" spans="1:24" ht="23.1" customHeight="1" x14ac:dyDescent="0.25">
      <c r="A363" s="1" t="s">
        <v>53</v>
      </c>
      <c r="D363" s="3" t="s">
        <v>269</v>
      </c>
      <c r="E363" s="15" t="s">
        <v>270</v>
      </c>
      <c r="F363" s="15" t="s">
        <v>270</v>
      </c>
      <c r="G363" s="15" t="str">
        <f>IFERROR(VLOOKUP(D363,[5]成飞半成品!$A:$B,2,0),VLOOKUP(D363,[5]九院成本!$A$4:$B$48,2,0))</f>
        <v>转接嘴</v>
      </c>
      <c r="H363" s="3" t="s">
        <v>46</v>
      </c>
      <c r="I363" s="3">
        <v>15</v>
      </c>
      <c r="J363" s="18" t="s">
        <v>1127</v>
      </c>
      <c r="K363" s="3">
        <v>20</v>
      </c>
      <c r="L363" s="3">
        <v>20</v>
      </c>
      <c r="M363" s="19">
        <v>28</v>
      </c>
      <c r="N363" s="19">
        <v>9</v>
      </c>
      <c r="O363" s="5" t="s">
        <v>88</v>
      </c>
      <c r="P363" s="4">
        <v>30</v>
      </c>
      <c r="Q363" s="18">
        <v>30</v>
      </c>
      <c r="R363" s="3"/>
      <c r="S363" s="6"/>
      <c r="T363" s="22"/>
      <c r="V363" s="23">
        <v>10</v>
      </c>
      <c r="W363" s="24" t="s">
        <v>14</v>
      </c>
    </row>
    <row r="364" spans="1:24" ht="23.1" customHeight="1" x14ac:dyDescent="0.25">
      <c r="A364" s="1" t="s">
        <v>213</v>
      </c>
      <c r="D364" s="3" t="s">
        <v>668</v>
      </c>
      <c r="E364" s="15" t="s">
        <v>254</v>
      </c>
      <c r="F364" s="15" t="s">
        <v>254</v>
      </c>
      <c r="G364" s="15" t="str">
        <f>IFERROR(VLOOKUP(D364,[5]成飞半成品!$A:$B,2,0),VLOOKUP(D364,[5]九院成本!$A$4:$B$48,2,0))</f>
        <v>支座</v>
      </c>
      <c r="H364" s="3" t="s">
        <v>80</v>
      </c>
      <c r="I364" s="3">
        <v>50</v>
      </c>
      <c r="J364" s="18" t="s">
        <v>1128</v>
      </c>
      <c r="K364" s="3">
        <v>2</v>
      </c>
      <c r="L364" s="3">
        <v>2</v>
      </c>
      <c r="M364" s="19">
        <v>28</v>
      </c>
      <c r="N364" s="19">
        <v>28</v>
      </c>
      <c r="O364" s="5" t="s">
        <v>95</v>
      </c>
      <c r="P364" s="4">
        <v>90</v>
      </c>
      <c r="Q364" s="18">
        <v>90</v>
      </c>
      <c r="R364" s="3"/>
      <c r="S364" s="6"/>
      <c r="T364" s="22"/>
      <c r="V364" s="23">
        <v>3</v>
      </c>
      <c r="W364" s="24" t="s">
        <v>14</v>
      </c>
    </row>
    <row r="365" spans="1:24" ht="23.1" customHeight="1" x14ac:dyDescent="0.25">
      <c r="A365" s="1" t="s">
        <v>213</v>
      </c>
      <c r="D365" s="3" t="s">
        <v>1162</v>
      </c>
      <c r="E365" s="15" t="s">
        <v>669</v>
      </c>
      <c r="F365" s="15" t="e">
        <v>#N/A</v>
      </c>
      <c r="G365" s="15" t="str">
        <f>IFERROR(VLOOKUP(D365,[5]成飞半成品!$A:$B,2,0),VLOOKUP(D365,[5]九院成本!$A$4:$B$48,2,0))</f>
        <v>工装</v>
      </c>
      <c r="I365" s="3" t="s">
        <v>652</v>
      </c>
      <c r="J365" s="18" t="e">
        <v>#N/A</v>
      </c>
      <c r="K365" s="3">
        <v>2</v>
      </c>
      <c r="L365" s="3">
        <v>2</v>
      </c>
      <c r="M365" s="19"/>
      <c r="N365" s="19"/>
      <c r="P365" s="4">
        <v>120</v>
      </c>
      <c r="Q365" s="18">
        <v>120</v>
      </c>
      <c r="R365" s="3"/>
      <c r="S365" s="6"/>
      <c r="T365" s="22"/>
      <c r="V365" s="23">
        <v>4</v>
      </c>
      <c r="W365" s="24" t="s">
        <v>14</v>
      </c>
      <c r="X365" s="7" t="s">
        <v>202</v>
      </c>
    </row>
    <row r="366" spans="1:24" ht="23.1" customHeight="1" x14ac:dyDescent="0.25">
      <c r="A366" s="1" t="s">
        <v>213</v>
      </c>
      <c r="D366" s="3" t="s">
        <v>666</v>
      </c>
      <c r="E366" s="15" t="s">
        <v>659</v>
      </c>
      <c r="F366" s="15" t="s">
        <v>659</v>
      </c>
      <c r="G366" s="15" t="str">
        <f>IFERROR(VLOOKUP(D366,[5]成飞半成品!$A:$B,2,0),VLOOKUP(D366,[5]九院成本!$A$4:$B$48,2,0))</f>
        <v>角材</v>
      </c>
      <c r="H366" s="3" t="s">
        <v>46</v>
      </c>
      <c r="I366" s="3">
        <v>5</v>
      </c>
      <c r="J366" s="18" t="s">
        <v>1122</v>
      </c>
      <c r="K366" s="3">
        <v>18</v>
      </c>
      <c r="L366" s="3">
        <v>24</v>
      </c>
      <c r="M366" s="19">
        <v>31</v>
      </c>
      <c r="N366" s="19">
        <v>28</v>
      </c>
      <c r="O366" s="5" t="s">
        <v>660</v>
      </c>
      <c r="P366" s="4">
        <v>30</v>
      </c>
      <c r="Q366" s="18">
        <v>30</v>
      </c>
      <c r="R366" s="3"/>
      <c r="S366" s="6"/>
      <c r="T366" s="22"/>
      <c r="V366" s="23">
        <v>12</v>
      </c>
      <c r="W366" s="24" t="s">
        <v>14</v>
      </c>
    </row>
    <row r="367" spans="1:24" ht="23.1" customHeight="1" x14ac:dyDescent="0.25">
      <c r="A367" s="1" t="s">
        <v>213</v>
      </c>
      <c r="D367" s="3" t="s">
        <v>194</v>
      </c>
      <c r="E367" s="15" t="s">
        <v>195</v>
      </c>
      <c r="F367" s="15" t="s">
        <v>195</v>
      </c>
      <c r="G367" s="15" t="str">
        <f>IFERROR(VLOOKUP(D367,[5]成飞半成品!$A:$B,2,0),VLOOKUP(D367,[5]九院成本!$A$4:$B$48,2,0))</f>
        <v>小衬套</v>
      </c>
      <c r="H367" s="3" t="s">
        <v>64</v>
      </c>
      <c r="I367" s="3">
        <v>25</v>
      </c>
      <c r="J367" s="18" t="s">
        <v>1129</v>
      </c>
      <c r="K367" s="3">
        <v>8</v>
      </c>
      <c r="L367" s="3">
        <v>13</v>
      </c>
      <c r="M367" s="19">
        <v>31</v>
      </c>
      <c r="N367" s="19">
        <v>28</v>
      </c>
      <c r="O367" s="5" t="s">
        <v>197</v>
      </c>
      <c r="P367" s="4">
        <v>45</v>
      </c>
      <c r="Q367" s="18">
        <v>15</v>
      </c>
      <c r="R367" s="3"/>
      <c r="S367" s="6"/>
      <c r="T367" s="22"/>
      <c r="V367" s="23">
        <v>3.3</v>
      </c>
      <c r="W367" s="24" t="s">
        <v>14</v>
      </c>
      <c r="X367" s="7" t="s">
        <v>670</v>
      </c>
    </row>
    <row r="368" spans="1:24" ht="23.1" customHeight="1" x14ac:dyDescent="0.25">
      <c r="A368" s="1" t="s">
        <v>213</v>
      </c>
      <c r="D368" s="3" t="s">
        <v>666</v>
      </c>
      <c r="E368" s="15" t="s">
        <v>659</v>
      </c>
      <c r="F368" s="15" t="s">
        <v>659</v>
      </c>
      <c r="G368" s="15" t="str">
        <f>IFERROR(VLOOKUP(D368,[5]成飞半成品!$A:$B,2,0),VLOOKUP(D368,[5]九院成本!$A$4:$B$48,2,0))</f>
        <v>角材</v>
      </c>
      <c r="H368" s="3" t="s">
        <v>46</v>
      </c>
      <c r="I368" s="3">
        <v>5</v>
      </c>
      <c r="J368" s="18" t="s">
        <v>1122</v>
      </c>
      <c r="K368" s="3">
        <v>24</v>
      </c>
      <c r="L368" s="3">
        <v>28</v>
      </c>
      <c r="M368" s="19">
        <v>31</v>
      </c>
      <c r="N368" s="19">
        <v>28</v>
      </c>
      <c r="O368" s="5" t="s">
        <v>661</v>
      </c>
      <c r="P368" s="4">
        <v>30</v>
      </c>
      <c r="Q368" s="18">
        <v>30</v>
      </c>
      <c r="R368" s="3"/>
      <c r="S368" s="6"/>
      <c r="T368" s="22"/>
      <c r="V368" s="23">
        <v>14</v>
      </c>
      <c r="W368" s="24" t="s">
        <v>14</v>
      </c>
    </row>
    <row r="369" spans="1:24" ht="23.1" customHeight="1" x14ac:dyDescent="0.25">
      <c r="A369" s="1" t="s">
        <v>58</v>
      </c>
      <c r="D369" s="3" t="s">
        <v>1162</v>
      </c>
      <c r="E369" s="15" t="s">
        <v>277</v>
      </c>
      <c r="F369" s="15" t="s">
        <v>277</v>
      </c>
      <c r="G369" s="15" t="str">
        <f>IFERROR(VLOOKUP(D369,[5]成飞半成品!$A:$B,2,0),VLOOKUP(D369,[5]九院成本!$A$4:$B$48,2,0))</f>
        <v>工装</v>
      </c>
      <c r="H369" s="3" t="s">
        <v>46</v>
      </c>
      <c r="I369" s="3">
        <v>35</v>
      </c>
      <c r="J369" s="18" t="s">
        <v>1130</v>
      </c>
      <c r="K369" s="3">
        <v>2</v>
      </c>
      <c r="L369" s="3">
        <v>2</v>
      </c>
      <c r="M369" s="19">
        <v>31</v>
      </c>
      <c r="N369" s="19">
        <v>31</v>
      </c>
      <c r="O369" s="5" t="s">
        <v>278</v>
      </c>
      <c r="P369" s="4">
        <v>60</v>
      </c>
      <c r="Q369" s="18">
        <v>60</v>
      </c>
      <c r="R369" s="3"/>
      <c r="S369" s="6"/>
      <c r="T369" s="22"/>
      <c r="V369" s="23">
        <v>2</v>
      </c>
      <c r="W369" s="24" t="s">
        <v>14</v>
      </c>
    </row>
    <row r="370" spans="1:24" ht="23.1" customHeight="1" x14ac:dyDescent="0.25">
      <c r="A370" s="1" t="s">
        <v>58</v>
      </c>
      <c r="D370" s="3" t="s">
        <v>671</v>
      </c>
      <c r="E370" s="15" t="s">
        <v>672</v>
      </c>
      <c r="F370" s="15" t="s">
        <v>672</v>
      </c>
      <c r="G370" s="15" t="str">
        <f>IFERROR(VLOOKUP(D370,[5]成飞半成品!$A:$B,2,0),VLOOKUP(D370,[5]九院成本!$A$4:$B$48,2,0))</f>
        <v>圆柱销</v>
      </c>
      <c r="H370" s="3" t="s">
        <v>46</v>
      </c>
      <c r="I370" s="3">
        <v>10</v>
      </c>
      <c r="J370" s="18" t="e">
        <v>#N/A</v>
      </c>
      <c r="K370" s="3">
        <v>3</v>
      </c>
      <c r="L370" s="3">
        <v>3</v>
      </c>
      <c r="M370" s="19">
        <v>31</v>
      </c>
      <c r="N370" s="19">
        <v>31</v>
      </c>
      <c r="O370" s="5" t="s">
        <v>673</v>
      </c>
      <c r="P370" s="4">
        <v>60</v>
      </c>
      <c r="Q370" s="18">
        <v>60</v>
      </c>
      <c r="R370" s="3"/>
      <c r="S370" s="6"/>
      <c r="T370" s="22"/>
      <c r="V370" s="23">
        <v>3</v>
      </c>
      <c r="W370" s="24" t="s">
        <v>14</v>
      </c>
    </row>
    <row r="371" spans="1:24" ht="23.1" customHeight="1" x14ac:dyDescent="0.25">
      <c r="A371" s="1" t="s">
        <v>58</v>
      </c>
      <c r="D371" s="3" t="s">
        <v>72</v>
      </c>
      <c r="E371" s="15" t="s">
        <v>73</v>
      </c>
      <c r="F371" s="15" t="s">
        <v>73</v>
      </c>
      <c r="G371" s="15" t="str">
        <f>IFERROR(VLOOKUP(D371,[5]成飞半成品!$A:$B,2,0),VLOOKUP(D371,[5]九院成本!$A$4:$B$48,2,0))</f>
        <v>扩压式管接头</v>
      </c>
      <c r="H371" s="3" t="s">
        <v>64</v>
      </c>
      <c r="I371" s="3">
        <v>40</v>
      </c>
      <c r="J371" s="18" t="s">
        <v>1131</v>
      </c>
      <c r="K371" s="3">
        <v>30</v>
      </c>
      <c r="L371" s="3">
        <v>30</v>
      </c>
      <c r="M371" s="19">
        <v>31</v>
      </c>
      <c r="N371" s="19">
        <v>9</v>
      </c>
      <c r="O371" s="5" t="s">
        <v>56</v>
      </c>
      <c r="P371" s="4">
        <v>20</v>
      </c>
      <c r="Q371" s="18">
        <v>20</v>
      </c>
      <c r="R371" s="3"/>
      <c r="S371" s="6"/>
      <c r="T371" s="22"/>
      <c r="V371" s="23">
        <v>10</v>
      </c>
      <c r="W371" s="24" t="s">
        <v>14</v>
      </c>
    </row>
    <row r="372" spans="1:24" ht="23.1" customHeight="1" x14ac:dyDescent="0.25">
      <c r="A372" s="1" t="s">
        <v>58</v>
      </c>
      <c r="D372" s="3" t="s">
        <v>592</v>
      </c>
      <c r="E372" s="15" t="s">
        <v>120</v>
      </c>
      <c r="F372" s="15" t="s">
        <v>120</v>
      </c>
      <c r="G372" s="15" t="str">
        <f>IFERROR(VLOOKUP(D372,[5]成飞半成品!$A:$B,2,0),VLOOKUP(D372,[5]九院成本!$A$4:$B$48,2,0))</f>
        <v>支架</v>
      </c>
      <c r="H372" s="3" t="s">
        <v>51</v>
      </c>
      <c r="I372" s="3">
        <v>45</v>
      </c>
      <c r="J372" s="18" t="s">
        <v>1132</v>
      </c>
      <c r="K372" s="3">
        <v>5</v>
      </c>
      <c r="L372" s="3">
        <v>5</v>
      </c>
      <c r="M372" s="19">
        <v>31</v>
      </c>
      <c r="N372" s="19">
        <v>9</v>
      </c>
      <c r="O372" s="5" t="s">
        <v>376</v>
      </c>
      <c r="P372" s="4">
        <v>60</v>
      </c>
      <c r="Q372" s="18">
        <v>60</v>
      </c>
      <c r="R372" s="3"/>
      <c r="S372" s="6"/>
      <c r="T372" s="22"/>
      <c r="V372" s="23">
        <v>5</v>
      </c>
      <c r="W372" s="24" t="s">
        <v>14</v>
      </c>
    </row>
    <row r="373" spans="1:24" ht="23.1" customHeight="1" x14ac:dyDescent="0.25">
      <c r="A373" s="1" t="s">
        <v>58</v>
      </c>
      <c r="D373" s="3" t="s">
        <v>194</v>
      </c>
      <c r="E373" s="15" t="s">
        <v>195</v>
      </c>
      <c r="F373" s="15" t="s">
        <v>195</v>
      </c>
      <c r="G373" s="15" t="str">
        <f>IFERROR(VLOOKUP(D373,[5]成飞半成品!$A:$B,2,0),VLOOKUP(D373,[5]九院成本!$A$4:$B$48,2,0))</f>
        <v>小衬套</v>
      </c>
      <c r="H373" s="3" t="s">
        <v>64</v>
      </c>
      <c r="I373" s="3">
        <v>25</v>
      </c>
      <c r="J373" s="18" t="s">
        <v>1129</v>
      </c>
      <c r="K373" s="3">
        <v>20</v>
      </c>
      <c r="L373" s="3">
        <v>25</v>
      </c>
      <c r="M373" s="19">
        <v>31</v>
      </c>
      <c r="N373" s="19">
        <v>28</v>
      </c>
      <c r="O373" s="5" t="s">
        <v>196</v>
      </c>
      <c r="P373" s="4">
        <v>45</v>
      </c>
      <c r="Q373" s="18">
        <v>15</v>
      </c>
      <c r="R373" s="3"/>
      <c r="S373" s="6"/>
      <c r="T373" s="22"/>
      <c r="V373" s="23">
        <v>6.3</v>
      </c>
      <c r="W373" s="24" t="s">
        <v>14</v>
      </c>
      <c r="X373" s="7" t="s">
        <v>670</v>
      </c>
    </row>
    <row r="374" spans="1:24" ht="23.1" customHeight="1" x14ac:dyDescent="0.25">
      <c r="A374" s="1" t="s">
        <v>58</v>
      </c>
      <c r="D374" s="3" t="s">
        <v>674</v>
      </c>
      <c r="E374" s="15" t="s">
        <v>675</v>
      </c>
      <c r="F374" s="15" t="s">
        <v>675</v>
      </c>
      <c r="G374" s="15" t="str">
        <f>IFERROR(VLOOKUP(D374,[5]成飞半成品!$A:$B,2,0),VLOOKUP(D374,[5]九院成本!$A$4:$B$48,2,0))</f>
        <v>收紧螺母</v>
      </c>
      <c r="H374" s="3" t="s">
        <v>80</v>
      </c>
      <c r="I374" s="3">
        <v>35</v>
      </c>
      <c r="J374" s="18" t="s">
        <v>1126</v>
      </c>
      <c r="K374" s="3">
        <v>31</v>
      </c>
      <c r="L374" s="3">
        <v>31</v>
      </c>
      <c r="M374" s="19">
        <v>31</v>
      </c>
      <c r="N374" s="19">
        <v>9</v>
      </c>
      <c r="O374" s="5" t="s">
        <v>676</v>
      </c>
      <c r="P374" s="4">
        <v>20</v>
      </c>
      <c r="Q374" s="18">
        <v>20</v>
      </c>
      <c r="R374" s="3"/>
      <c r="S374" s="6"/>
      <c r="T374" s="22"/>
      <c r="V374" s="23">
        <v>10.3</v>
      </c>
      <c r="W374" s="24" t="s">
        <v>14</v>
      </c>
    </row>
    <row r="375" spans="1:24" ht="23.1" customHeight="1" x14ac:dyDescent="0.25">
      <c r="A375" s="1" t="s">
        <v>58</v>
      </c>
      <c r="D375" s="3" t="s">
        <v>592</v>
      </c>
      <c r="E375" s="15" t="s">
        <v>120</v>
      </c>
      <c r="F375" s="15" t="s">
        <v>120</v>
      </c>
      <c r="G375" s="15" t="str">
        <f>IFERROR(VLOOKUP(D375,[5]成飞半成品!$A:$B,2,0),VLOOKUP(D375,[5]九院成本!$A$4:$B$48,2,0))</f>
        <v>支架</v>
      </c>
      <c r="H375" s="3" t="s">
        <v>51</v>
      </c>
      <c r="I375" s="3">
        <v>45</v>
      </c>
      <c r="J375" s="18" t="s">
        <v>1132</v>
      </c>
      <c r="K375" s="3">
        <v>6</v>
      </c>
      <c r="L375" s="3">
        <v>6</v>
      </c>
      <c r="M375" s="19">
        <v>31</v>
      </c>
      <c r="N375" s="19">
        <v>9</v>
      </c>
      <c r="O375" s="5" t="s">
        <v>508</v>
      </c>
      <c r="P375" s="4">
        <v>40</v>
      </c>
      <c r="Q375" s="18">
        <v>40</v>
      </c>
      <c r="R375" s="3"/>
      <c r="S375" s="6"/>
      <c r="T375" s="22"/>
      <c r="V375" s="23">
        <v>4</v>
      </c>
      <c r="W375" s="24" t="s">
        <v>14</v>
      </c>
    </row>
    <row r="376" spans="1:24" ht="23.1" customHeight="1" x14ac:dyDescent="0.25">
      <c r="A376" s="1" t="s">
        <v>65</v>
      </c>
      <c r="D376" s="3" t="s">
        <v>251</v>
      </c>
      <c r="E376" s="15" t="s">
        <v>252</v>
      </c>
      <c r="F376" s="15" t="s">
        <v>252</v>
      </c>
      <c r="G376" s="15" t="str">
        <f>IFERROR(VLOOKUP(D376,[5]成飞半成品!$A:$B,2,0),VLOOKUP(D376,[5]九院成本!$A$4:$B$48,2,0))</f>
        <v>卡箍扣</v>
      </c>
      <c r="H376" s="3" t="s">
        <v>46</v>
      </c>
      <c r="I376" s="3">
        <v>25</v>
      </c>
      <c r="J376" s="18" t="s">
        <v>1120</v>
      </c>
      <c r="K376" s="3">
        <v>40</v>
      </c>
      <c r="L376" s="3">
        <v>45</v>
      </c>
      <c r="M376" s="19">
        <v>26</v>
      </c>
      <c r="N376" s="19">
        <v>26</v>
      </c>
      <c r="O376" s="5" t="s">
        <v>85</v>
      </c>
      <c r="P376" s="4">
        <v>20</v>
      </c>
      <c r="Q376" s="18">
        <v>20</v>
      </c>
      <c r="R376" s="3"/>
      <c r="S376" s="6"/>
      <c r="T376" s="22"/>
      <c r="V376" s="23">
        <v>15</v>
      </c>
      <c r="W376" s="24" t="s">
        <v>14</v>
      </c>
    </row>
    <row r="377" spans="1:24" ht="23.1" customHeight="1" x14ac:dyDescent="0.25">
      <c r="A377" s="1" t="s">
        <v>65</v>
      </c>
      <c r="D377" s="3" t="s">
        <v>75</v>
      </c>
      <c r="E377" s="15" t="s">
        <v>76</v>
      </c>
      <c r="F377" s="15" t="s">
        <v>76</v>
      </c>
      <c r="G377" s="15" t="str">
        <f>IFERROR(VLOOKUP(D377,[5]成飞半成品!$A:$B,2,0),VLOOKUP(D377,[5]九院成本!$A$4:$B$48,2,0))</f>
        <v>接管嘴</v>
      </c>
      <c r="H377" s="3" t="s">
        <v>46</v>
      </c>
      <c r="I377" s="3">
        <v>30</v>
      </c>
      <c r="J377" s="18" t="s">
        <v>1133</v>
      </c>
      <c r="K377" s="3">
        <v>22</v>
      </c>
      <c r="L377" s="3">
        <v>22</v>
      </c>
      <c r="M377" s="19">
        <v>9</v>
      </c>
      <c r="N377" s="19">
        <v>9</v>
      </c>
      <c r="O377" s="5" t="s">
        <v>85</v>
      </c>
      <c r="P377" s="4">
        <v>30</v>
      </c>
      <c r="Q377" s="18">
        <v>20</v>
      </c>
      <c r="R377" s="3"/>
      <c r="S377" s="6"/>
      <c r="T377" s="22"/>
      <c r="V377" s="23">
        <v>7.3</v>
      </c>
      <c r="W377" s="24" t="s">
        <v>14</v>
      </c>
    </row>
    <row r="378" spans="1:24" ht="23.1" customHeight="1" x14ac:dyDescent="0.25">
      <c r="A378" s="1" t="s">
        <v>65</v>
      </c>
      <c r="D378" s="3" t="s">
        <v>75</v>
      </c>
      <c r="E378" s="15" t="s">
        <v>76</v>
      </c>
      <c r="F378" s="15" t="s">
        <v>76</v>
      </c>
      <c r="G378" s="15" t="str">
        <f>IFERROR(VLOOKUP(D378,[5]成飞半成品!$A:$B,2,0),VLOOKUP(D378,[5]九院成本!$A$4:$B$48,2,0))</f>
        <v>接管嘴</v>
      </c>
      <c r="H378" s="3" t="s">
        <v>46</v>
      </c>
      <c r="I378" s="3">
        <v>30</v>
      </c>
      <c r="J378" s="18" t="s">
        <v>1133</v>
      </c>
      <c r="K378" s="3">
        <v>7</v>
      </c>
      <c r="L378" s="3">
        <v>7</v>
      </c>
      <c r="M378" s="19">
        <v>28</v>
      </c>
      <c r="N378" s="19">
        <v>9</v>
      </c>
      <c r="O378" s="5" t="s">
        <v>474</v>
      </c>
      <c r="P378" s="4">
        <v>30</v>
      </c>
      <c r="Q378" s="18">
        <v>20</v>
      </c>
      <c r="R378" s="3"/>
      <c r="S378" s="6"/>
      <c r="T378" s="22"/>
      <c r="V378" s="23">
        <v>2.2999999999999998</v>
      </c>
      <c r="W378" s="24" t="s">
        <v>14</v>
      </c>
    </row>
    <row r="379" spans="1:24" ht="23.1" customHeight="1" x14ac:dyDescent="0.25">
      <c r="A379" s="1" t="s">
        <v>71</v>
      </c>
      <c r="D379" s="3" t="s">
        <v>677</v>
      </c>
      <c r="E379" s="15" t="s">
        <v>120</v>
      </c>
      <c r="F379" s="15" t="s">
        <v>120</v>
      </c>
      <c r="G379" s="15" t="str">
        <f>IFERROR(VLOOKUP(D379,[5]成飞半成品!$A:$B,2,0),VLOOKUP(D379,[5]九院成本!$A$4:$B$48,2,0))</f>
        <v>支架</v>
      </c>
      <c r="H379" s="3" t="s">
        <v>155</v>
      </c>
      <c r="I379" s="3">
        <v>10</v>
      </c>
      <c r="J379" s="18" t="s">
        <v>1134</v>
      </c>
      <c r="K379" s="3">
        <v>20</v>
      </c>
      <c r="L379" s="3">
        <v>20</v>
      </c>
      <c r="M379" s="19">
        <v>31</v>
      </c>
      <c r="N379" s="19">
        <v>9</v>
      </c>
      <c r="O379" s="5" t="s">
        <v>115</v>
      </c>
      <c r="P379" s="4">
        <v>120</v>
      </c>
      <c r="Q379" s="18">
        <v>120</v>
      </c>
      <c r="R379" s="3"/>
      <c r="S379" s="6"/>
      <c r="T379" s="22"/>
      <c r="V379" s="23">
        <v>40</v>
      </c>
      <c r="W379" s="24" t="s">
        <v>14</v>
      </c>
    </row>
    <row r="380" spans="1:24" ht="23.1" customHeight="1" x14ac:dyDescent="0.25">
      <c r="A380" s="1" t="s">
        <v>71</v>
      </c>
      <c r="D380" s="3" t="s">
        <v>451</v>
      </c>
      <c r="E380" s="15" t="s">
        <v>452</v>
      </c>
      <c r="F380" s="15" t="s">
        <v>452</v>
      </c>
      <c r="G380" s="15" t="str">
        <f>IFERROR(VLOOKUP(D380,[5]成飞半成品!$A:$B,2,0),VLOOKUP(D380,[5]九院成本!$A$4:$B$48,2,0))</f>
        <v>前起落架舱门结构支撑梁</v>
      </c>
      <c r="H380" s="3" t="s">
        <v>46</v>
      </c>
      <c r="I380" s="3">
        <v>30</v>
      </c>
      <c r="J380" s="18" t="s">
        <v>1135</v>
      </c>
      <c r="K380" s="3">
        <v>20</v>
      </c>
      <c r="L380" s="3">
        <v>20</v>
      </c>
      <c r="M380" s="19">
        <v>31</v>
      </c>
      <c r="N380" s="19">
        <v>26</v>
      </c>
      <c r="O380" s="5" t="s">
        <v>453</v>
      </c>
      <c r="P380" s="4">
        <v>180</v>
      </c>
      <c r="Q380" s="18">
        <v>80</v>
      </c>
      <c r="R380" s="3"/>
      <c r="S380" s="6"/>
      <c r="T380" s="22"/>
      <c r="V380" s="23">
        <v>26.7</v>
      </c>
      <c r="W380" s="24" t="s">
        <v>14</v>
      </c>
    </row>
    <row r="381" spans="1:24" ht="23.1" customHeight="1" x14ac:dyDescent="0.25">
      <c r="A381" s="1" t="s">
        <v>71</v>
      </c>
      <c r="D381" s="3" t="s">
        <v>198</v>
      </c>
      <c r="E381" s="15" t="s">
        <v>55</v>
      </c>
      <c r="F381" s="15" t="s">
        <v>55</v>
      </c>
      <c r="G381" s="15" t="str">
        <f>IFERROR(VLOOKUP(D381,[5]成飞半成品!$A:$B,2,0),VLOOKUP(D381,[5]九院成本!$A$4:$B$48,2,0))</f>
        <v>接头</v>
      </c>
      <c r="H381" s="3" t="s">
        <v>46</v>
      </c>
      <c r="I381" s="3">
        <v>30</v>
      </c>
      <c r="J381" s="18" t="s">
        <v>1136</v>
      </c>
      <c r="K381" s="3">
        <v>20</v>
      </c>
      <c r="L381" s="3">
        <v>20</v>
      </c>
      <c r="M381" s="19">
        <v>19</v>
      </c>
      <c r="N381" s="19">
        <v>19</v>
      </c>
      <c r="O381" s="5" t="s">
        <v>56</v>
      </c>
      <c r="P381" s="4">
        <v>60</v>
      </c>
      <c r="Q381" s="18">
        <v>60</v>
      </c>
      <c r="R381" s="3"/>
      <c r="S381" s="6"/>
      <c r="T381" s="22"/>
      <c r="V381" s="23">
        <v>20</v>
      </c>
      <c r="W381" s="24" t="s">
        <v>14</v>
      </c>
    </row>
    <row r="382" spans="1:24" ht="23.1" customHeight="1" x14ac:dyDescent="0.25">
      <c r="A382" s="1" t="s">
        <v>71</v>
      </c>
      <c r="D382" s="3" t="s">
        <v>282</v>
      </c>
      <c r="E382" s="15" t="s">
        <v>76</v>
      </c>
      <c r="F382" s="15" t="s">
        <v>76</v>
      </c>
      <c r="G382" s="15" t="str">
        <f>IFERROR(VLOOKUP(D382,[5]成飞半成品!$A:$B,2,0),VLOOKUP(D382,[5]九院成本!$A$4:$B$48,2,0))</f>
        <v>接管嘴</v>
      </c>
      <c r="H382" s="3" t="s">
        <v>46</v>
      </c>
      <c r="I382" s="3">
        <v>25</v>
      </c>
      <c r="J382" s="18" t="s">
        <v>1120</v>
      </c>
      <c r="K382" s="3">
        <v>19</v>
      </c>
      <c r="L382" s="3">
        <v>19</v>
      </c>
      <c r="M382" s="19">
        <v>26</v>
      </c>
      <c r="N382" s="19"/>
      <c r="O382" s="5" t="s">
        <v>283</v>
      </c>
      <c r="P382" s="4">
        <v>20</v>
      </c>
      <c r="Q382" s="18">
        <v>20</v>
      </c>
      <c r="R382" s="3"/>
      <c r="S382" s="6"/>
      <c r="T382" s="22"/>
      <c r="V382" s="23">
        <v>6.3</v>
      </c>
      <c r="W382" s="24" t="s">
        <v>14</v>
      </c>
    </row>
    <row r="383" spans="1:24" ht="23.1" customHeight="1" x14ac:dyDescent="0.25">
      <c r="A383" s="1" t="s">
        <v>71</v>
      </c>
      <c r="D383" s="3" t="s">
        <v>592</v>
      </c>
      <c r="E383" s="15" t="s">
        <v>120</v>
      </c>
      <c r="F383" s="15" t="s">
        <v>120</v>
      </c>
      <c r="G383" s="15" t="str">
        <f>IFERROR(VLOOKUP(D383,[5]成飞半成品!$A:$B,2,0),VLOOKUP(D383,[5]九院成本!$A$4:$B$48,2,0))</f>
        <v>支架</v>
      </c>
      <c r="H383" s="3" t="s">
        <v>51</v>
      </c>
      <c r="I383" s="3">
        <v>45</v>
      </c>
      <c r="J383" s="18" t="s">
        <v>1132</v>
      </c>
      <c r="K383" s="3">
        <v>20</v>
      </c>
      <c r="L383" s="3">
        <v>20</v>
      </c>
      <c r="M383" s="19">
        <v>26</v>
      </c>
      <c r="N383" s="19">
        <v>26</v>
      </c>
      <c r="O383" s="5" t="s">
        <v>56</v>
      </c>
      <c r="P383" s="4">
        <v>40</v>
      </c>
      <c r="Q383" s="18">
        <v>40</v>
      </c>
      <c r="R383" s="3"/>
      <c r="S383" s="6"/>
      <c r="T383" s="22"/>
      <c r="V383" s="23">
        <v>13.3</v>
      </c>
      <c r="W383" s="24" t="s">
        <v>14</v>
      </c>
    </row>
    <row r="384" spans="1:24" ht="23.1" customHeight="1" x14ac:dyDescent="0.25">
      <c r="A384" s="1" t="s">
        <v>368</v>
      </c>
      <c r="D384" s="3" t="s">
        <v>282</v>
      </c>
      <c r="E384" s="15" t="s">
        <v>76</v>
      </c>
      <c r="F384" s="15" t="s">
        <v>76</v>
      </c>
      <c r="G384" s="15" t="str">
        <f>IFERROR(VLOOKUP(D384,[5]成飞半成品!$A:$B,2,0),VLOOKUP(D384,[5]九院成本!$A$4:$B$48,2,0))</f>
        <v>接管嘴</v>
      </c>
      <c r="H384" s="3" t="s">
        <v>46</v>
      </c>
      <c r="I384" s="3">
        <v>25</v>
      </c>
      <c r="J384" s="18" t="s">
        <v>1120</v>
      </c>
      <c r="K384" s="3">
        <v>9</v>
      </c>
      <c r="L384" s="3">
        <v>9</v>
      </c>
      <c r="M384" s="19">
        <v>26</v>
      </c>
      <c r="N384" s="19">
        <v>9</v>
      </c>
      <c r="O384" s="5" t="s">
        <v>676</v>
      </c>
      <c r="P384" s="4">
        <v>20</v>
      </c>
      <c r="Q384" s="18">
        <v>20</v>
      </c>
      <c r="R384" s="3"/>
      <c r="S384" s="6"/>
      <c r="T384" s="22"/>
      <c r="V384" s="23">
        <v>3</v>
      </c>
      <c r="W384" s="24" t="s">
        <v>14</v>
      </c>
    </row>
    <row r="385" spans="1:25" ht="23.1" customHeight="1" x14ac:dyDescent="0.25">
      <c r="A385" s="1" t="s">
        <v>368</v>
      </c>
      <c r="D385" s="3" t="s">
        <v>678</v>
      </c>
      <c r="E385" s="15" t="s">
        <v>679</v>
      </c>
      <c r="F385" s="15" t="s">
        <v>679</v>
      </c>
      <c r="G385" s="15" t="str">
        <f>IFERROR(VLOOKUP(D385,[5]成飞半成品!$A:$B,2,0),VLOOKUP(D385,[5]九院成本!$A$4:$B$48,2,0))</f>
        <v>喷嘴</v>
      </c>
      <c r="H385" s="3" t="s">
        <v>46</v>
      </c>
      <c r="I385" s="3">
        <v>40</v>
      </c>
      <c r="J385" s="18" t="s">
        <v>1137</v>
      </c>
      <c r="K385" s="3">
        <v>80</v>
      </c>
      <c r="L385" s="3">
        <v>80</v>
      </c>
      <c r="M385" s="19">
        <v>26</v>
      </c>
      <c r="N385" s="19">
        <v>26</v>
      </c>
      <c r="O385" s="5" t="s">
        <v>56</v>
      </c>
      <c r="P385" s="4">
        <v>20</v>
      </c>
      <c r="Q385" s="18">
        <v>20</v>
      </c>
      <c r="R385" s="3"/>
      <c r="S385" s="6"/>
      <c r="T385" s="22"/>
      <c r="V385" s="23">
        <v>26.7</v>
      </c>
      <c r="W385" s="24" t="s">
        <v>14</v>
      </c>
    </row>
    <row r="386" spans="1:25" ht="23.1" customHeight="1" x14ac:dyDescent="0.25">
      <c r="A386" s="1" t="s">
        <v>368</v>
      </c>
      <c r="D386" s="3" t="s">
        <v>282</v>
      </c>
      <c r="E386" s="15" t="s">
        <v>76</v>
      </c>
      <c r="F386" s="15" t="s">
        <v>76</v>
      </c>
      <c r="G386" s="15" t="str">
        <f>IFERROR(VLOOKUP(D386,[5]成飞半成品!$A:$B,2,0),VLOOKUP(D386,[5]九院成本!$A$4:$B$48,2,0))</f>
        <v>接管嘴</v>
      </c>
      <c r="H386" s="3" t="s">
        <v>46</v>
      </c>
      <c r="I386" s="3">
        <v>25</v>
      </c>
      <c r="J386" s="18" t="s">
        <v>1120</v>
      </c>
      <c r="K386" s="3">
        <v>9</v>
      </c>
      <c r="L386" s="3">
        <v>9</v>
      </c>
      <c r="M386" s="19">
        <v>9</v>
      </c>
      <c r="N386" s="19">
        <v>9</v>
      </c>
      <c r="O386" s="5" t="s">
        <v>105</v>
      </c>
      <c r="P386" s="4">
        <v>20</v>
      </c>
      <c r="Q386" s="18">
        <v>20</v>
      </c>
      <c r="R386" s="3"/>
      <c r="S386" s="6"/>
      <c r="T386" s="22"/>
      <c r="V386" s="23">
        <v>3</v>
      </c>
      <c r="W386" s="24" t="s">
        <v>14</v>
      </c>
    </row>
    <row r="387" spans="1:25" ht="23.1" customHeight="1" x14ac:dyDescent="0.25">
      <c r="A387" s="1" t="s">
        <v>74</v>
      </c>
      <c r="D387" s="3" t="s">
        <v>680</v>
      </c>
      <c r="E387" s="15" t="s">
        <v>681</v>
      </c>
      <c r="F387" s="15" t="s">
        <v>681</v>
      </c>
      <c r="G387" s="15" t="str">
        <f>IFERROR(VLOOKUP(D387,[5]成飞半成品!$A:$B,2,0),VLOOKUP(D387,[5]九院成本!$A$4:$B$48,2,0))</f>
        <v>受剪接头</v>
      </c>
      <c r="H387" s="3" t="s">
        <v>147</v>
      </c>
      <c r="I387" s="3">
        <v>15</v>
      </c>
      <c r="J387" s="18" t="s">
        <v>1138</v>
      </c>
      <c r="K387" s="3">
        <v>4</v>
      </c>
      <c r="L387" s="3">
        <v>4</v>
      </c>
      <c r="M387" s="19">
        <v>5</v>
      </c>
      <c r="N387" s="19">
        <v>5</v>
      </c>
      <c r="O387" s="5" t="s">
        <v>682</v>
      </c>
      <c r="P387" s="4">
        <v>120</v>
      </c>
      <c r="Q387" s="18">
        <v>120</v>
      </c>
      <c r="R387" s="3"/>
      <c r="S387" s="6"/>
      <c r="T387" s="22"/>
      <c r="V387" s="23">
        <v>8</v>
      </c>
      <c r="W387" s="24" t="s">
        <v>14</v>
      </c>
    </row>
    <row r="388" spans="1:25" ht="23.1" customHeight="1" x14ac:dyDescent="0.25">
      <c r="A388" s="1" t="s">
        <v>74</v>
      </c>
      <c r="D388" s="3" t="s">
        <v>256</v>
      </c>
      <c r="E388" s="15" t="s">
        <v>55</v>
      </c>
      <c r="F388" s="15" t="s">
        <v>55</v>
      </c>
      <c r="G388" s="15" t="str">
        <f>IFERROR(VLOOKUP(D388,[5]成飞半成品!$A:$B,2,0),VLOOKUP(D388,[5]九院成本!$A$4:$B$48,2,0))</f>
        <v>接头</v>
      </c>
      <c r="H388" s="3" t="s">
        <v>80</v>
      </c>
      <c r="I388" s="3">
        <v>15</v>
      </c>
      <c r="J388" s="18" t="s">
        <v>1139</v>
      </c>
      <c r="K388" s="3">
        <v>8</v>
      </c>
      <c r="L388" s="3">
        <v>8</v>
      </c>
      <c r="M388" s="19">
        <v>37</v>
      </c>
      <c r="N388" s="19">
        <v>26</v>
      </c>
      <c r="O388" s="5" t="s">
        <v>81</v>
      </c>
      <c r="P388" s="4">
        <v>30</v>
      </c>
      <c r="Q388" s="18">
        <v>30</v>
      </c>
      <c r="R388" s="3"/>
      <c r="S388" s="6"/>
      <c r="T388" s="22"/>
      <c r="V388" s="23">
        <v>4</v>
      </c>
      <c r="W388" s="24" t="s">
        <v>14</v>
      </c>
    </row>
    <row r="389" spans="1:25" ht="23.1" customHeight="1" x14ac:dyDescent="0.25">
      <c r="A389" s="1" t="s">
        <v>82</v>
      </c>
      <c r="D389" s="3" t="s">
        <v>683</v>
      </c>
      <c r="E389" s="15" t="s">
        <v>681</v>
      </c>
      <c r="F389" s="15" t="s">
        <v>681</v>
      </c>
      <c r="G389" s="15" t="str">
        <f>IFERROR(VLOOKUP(D389,[5]成飞半成品!$A:$B,2,0),VLOOKUP(D389,[5]九院成本!$A$4:$B$48,2,0))</f>
        <v>受剪接头</v>
      </c>
      <c r="H389" s="3" t="s">
        <v>147</v>
      </c>
      <c r="I389" s="3">
        <v>15</v>
      </c>
      <c r="J389" s="18" t="s">
        <v>1138</v>
      </c>
      <c r="K389" s="3">
        <v>1</v>
      </c>
      <c r="L389" s="3">
        <v>1</v>
      </c>
      <c r="M389" s="19">
        <v>23</v>
      </c>
      <c r="N389" s="19"/>
      <c r="O389" s="5" t="s">
        <v>684</v>
      </c>
      <c r="P389" s="4">
        <v>120</v>
      </c>
      <c r="Q389" s="18">
        <v>120</v>
      </c>
      <c r="R389" s="3"/>
      <c r="S389" s="6"/>
      <c r="T389" s="22"/>
      <c r="V389" s="23">
        <v>2</v>
      </c>
      <c r="W389" s="24" t="s">
        <v>14</v>
      </c>
    </row>
    <row r="390" spans="1:25" ht="23.1" customHeight="1" x14ac:dyDescent="0.25">
      <c r="A390" s="1" t="s">
        <v>82</v>
      </c>
      <c r="D390" s="3" t="s">
        <v>683</v>
      </c>
      <c r="E390" s="15" t="s">
        <v>681</v>
      </c>
      <c r="F390" s="15" t="s">
        <v>681</v>
      </c>
      <c r="G390" s="15" t="str">
        <f>IFERROR(VLOOKUP(D390,[5]成飞半成品!$A:$B,2,0),VLOOKUP(D390,[5]九院成本!$A$4:$B$48,2,0))</f>
        <v>受剪接头</v>
      </c>
      <c r="H390" s="3" t="s">
        <v>147</v>
      </c>
      <c r="I390" s="3">
        <v>15</v>
      </c>
      <c r="J390" s="18" t="s">
        <v>1138</v>
      </c>
      <c r="K390" s="3">
        <v>1</v>
      </c>
      <c r="L390" s="3">
        <v>1</v>
      </c>
      <c r="M390" s="19">
        <v>23</v>
      </c>
      <c r="N390" s="19"/>
      <c r="O390" s="5" t="s">
        <v>685</v>
      </c>
      <c r="P390" s="4">
        <v>120</v>
      </c>
      <c r="Q390" s="18">
        <v>120</v>
      </c>
      <c r="R390" s="3"/>
      <c r="S390" s="6"/>
      <c r="T390" s="22"/>
      <c r="V390" s="23">
        <v>2</v>
      </c>
      <c r="W390" s="24" t="s">
        <v>14</v>
      </c>
    </row>
    <row r="391" spans="1:25" ht="23.1" customHeight="1" x14ac:dyDescent="0.25">
      <c r="A391" s="1" t="s">
        <v>82</v>
      </c>
      <c r="D391" s="3" t="s">
        <v>683</v>
      </c>
      <c r="E391" s="15" t="s">
        <v>681</v>
      </c>
      <c r="F391" s="15" t="s">
        <v>681</v>
      </c>
      <c r="G391" s="15" t="str">
        <f>IFERROR(VLOOKUP(D391,[5]成飞半成品!$A:$B,2,0),VLOOKUP(D391,[5]九院成本!$A$4:$B$48,2,0))</f>
        <v>受剪接头</v>
      </c>
      <c r="H391" s="3" t="s">
        <v>147</v>
      </c>
      <c r="I391" s="3">
        <v>15</v>
      </c>
      <c r="J391" s="18" t="s">
        <v>1138</v>
      </c>
      <c r="K391" s="3">
        <v>1</v>
      </c>
      <c r="L391" s="3">
        <v>1</v>
      </c>
      <c r="M391" s="19">
        <v>23</v>
      </c>
      <c r="N391" s="19"/>
      <c r="O391" s="5" t="s">
        <v>686</v>
      </c>
      <c r="P391" s="4">
        <v>120</v>
      </c>
      <c r="Q391" s="18">
        <v>120</v>
      </c>
      <c r="R391" s="3"/>
      <c r="S391" s="6"/>
      <c r="T391" s="22"/>
      <c r="V391" s="23">
        <v>2</v>
      </c>
      <c r="W391" s="24" t="s">
        <v>14</v>
      </c>
    </row>
    <row r="392" spans="1:25" ht="23.1" customHeight="1" x14ac:dyDescent="0.25">
      <c r="A392" s="1" t="s">
        <v>89</v>
      </c>
      <c r="D392" s="3" t="s">
        <v>687</v>
      </c>
      <c r="E392" s="15" t="s">
        <v>688</v>
      </c>
      <c r="F392" s="15" t="s">
        <v>688</v>
      </c>
      <c r="G392" s="15" t="str">
        <f>IFERROR(VLOOKUP(D392,[5]成飞半成品!$A:$B,2,0),VLOOKUP(D392,[5]九院成本!$A$4:$B$48,2,0))</f>
        <v>管子</v>
      </c>
      <c r="H392" s="3" t="s">
        <v>147</v>
      </c>
      <c r="I392" s="3">
        <v>20</v>
      </c>
      <c r="J392" s="18" t="e">
        <v>#N/A</v>
      </c>
      <c r="K392" s="3">
        <v>20</v>
      </c>
      <c r="L392" s="3">
        <v>20</v>
      </c>
      <c r="M392" s="19">
        <v>9</v>
      </c>
      <c r="N392" s="19">
        <v>26</v>
      </c>
      <c r="O392" s="5" t="s">
        <v>189</v>
      </c>
      <c r="P392" s="4">
        <v>60</v>
      </c>
      <c r="Q392" s="18">
        <v>60</v>
      </c>
      <c r="R392" s="3"/>
      <c r="S392" s="6"/>
      <c r="T392" s="22"/>
      <c r="V392" s="23">
        <v>20</v>
      </c>
      <c r="W392" s="24" t="s">
        <v>14</v>
      </c>
    </row>
    <row r="393" spans="1:25" ht="23.1" customHeight="1" x14ac:dyDescent="0.25">
      <c r="A393" s="1" t="s">
        <v>89</v>
      </c>
      <c r="D393" s="3" t="s">
        <v>689</v>
      </c>
      <c r="E393" s="15" t="s">
        <v>690</v>
      </c>
      <c r="F393" s="15" t="s">
        <v>690</v>
      </c>
      <c r="G393" s="15" t="str">
        <f>IFERROR(VLOOKUP(D393,[5]成飞半成品!$A:$B,2,0),VLOOKUP(D393,[5]九院成本!$A$4:$B$48,2,0))</f>
        <v>单耳接头</v>
      </c>
      <c r="H393" s="3" t="s">
        <v>46</v>
      </c>
      <c r="I393" s="3">
        <v>15</v>
      </c>
      <c r="J393" s="18" t="s">
        <v>1138</v>
      </c>
      <c r="K393" s="3">
        <v>45</v>
      </c>
      <c r="L393" s="3">
        <v>47</v>
      </c>
      <c r="M393" s="19">
        <v>23</v>
      </c>
      <c r="N393" s="19">
        <v>5</v>
      </c>
      <c r="O393" s="5" t="s">
        <v>691</v>
      </c>
      <c r="P393" s="4">
        <v>20</v>
      </c>
      <c r="Q393" s="18">
        <v>20</v>
      </c>
      <c r="R393" s="3"/>
      <c r="S393" s="6"/>
      <c r="T393" s="22"/>
      <c r="V393" s="23">
        <v>15.7</v>
      </c>
      <c r="W393" s="24" t="s">
        <v>14</v>
      </c>
    </row>
    <row r="394" spans="1:25" ht="23.1" customHeight="1" x14ac:dyDescent="0.25">
      <c r="A394" s="1" t="s">
        <v>100</v>
      </c>
      <c r="D394" s="3" t="s">
        <v>104</v>
      </c>
      <c r="E394" s="15" t="s">
        <v>76</v>
      </c>
      <c r="F394" s="15" t="s">
        <v>76</v>
      </c>
      <c r="G394" s="15" t="str">
        <f>IFERROR(VLOOKUP(D394,[5]成飞半成品!$A:$B,2,0),VLOOKUP(D394,[5]九院成本!$A$4:$B$48,2,0))</f>
        <v>接管嘴</v>
      </c>
      <c r="H394" s="3" t="s">
        <v>46</v>
      </c>
      <c r="I394" s="3">
        <v>25</v>
      </c>
      <c r="J394" s="18" t="s">
        <v>1129</v>
      </c>
      <c r="K394" s="3">
        <v>60</v>
      </c>
      <c r="L394" s="3">
        <v>60</v>
      </c>
      <c r="M394" s="19">
        <v>26</v>
      </c>
      <c r="N394" s="19">
        <v>37</v>
      </c>
      <c r="O394" s="5" t="s">
        <v>105</v>
      </c>
      <c r="P394" s="4">
        <v>30</v>
      </c>
      <c r="Q394" s="18">
        <v>15</v>
      </c>
      <c r="R394" s="3"/>
      <c r="S394" s="6"/>
      <c r="T394" s="22"/>
      <c r="V394" s="23">
        <v>15</v>
      </c>
      <c r="W394" s="24" t="s">
        <v>14</v>
      </c>
    </row>
    <row r="395" spans="1:25" ht="23.1" customHeight="1" x14ac:dyDescent="0.25">
      <c r="A395" s="1" t="s">
        <v>89</v>
      </c>
      <c r="D395" s="3" t="s">
        <v>589</v>
      </c>
      <c r="E395" s="15" t="s">
        <v>91</v>
      </c>
      <c r="F395" s="15" t="s">
        <v>91</v>
      </c>
      <c r="G395" s="15" t="str">
        <f>IFERROR(VLOOKUP(D395,[5]成飞半成品!$A:$B,2,0),VLOOKUP(D395,[5]九院成本!$A$4:$B$48,2,0))</f>
        <v>螺栓</v>
      </c>
      <c r="H395" s="3" t="s">
        <v>46</v>
      </c>
      <c r="I395" s="3">
        <v>15</v>
      </c>
      <c r="J395" s="18" t="s">
        <v>1139</v>
      </c>
      <c r="K395" s="3">
        <v>8</v>
      </c>
      <c r="L395" s="3">
        <v>8</v>
      </c>
      <c r="M395" s="19">
        <v>5</v>
      </c>
      <c r="N395" s="19">
        <v>26</v>
      </c>
      <c r="O395" s="5" t="s">
        <v>692</v>
      </c>
      <c r="P395" s="4">
        <v>20</v>
      </c>
      <c r="Q395" s="18">
        <v>10</v>
      </c>
      <c r="R395" s="3"/>
      <c r="S395" s="6"/>
      <c r="T395" s="22"/>
      <c r="V395" s="23">
        <v>1.3</v>
      </c>
      <c r="W395" s="24" t="s">
        <v>14</v>
      </c>
    </row>
    <row r="396" spans="1:25" ht="23.1" customHeight="1" x14ac:dyDescent="0.25">
      <c r="A396" s="1" t="s">
        <v>89</v>
      </c>
      <c r="D396" s="3" t="s">
        <v>556</v>
      </c>
      <c r="E396" s="15" t="s">
        <v>557</v>
      </c>
      <c r="F396" s="15" t="s">
        <v>557</v>
      </c>
      <c r="G396" s="15" t="str">
        <f>IFERROR(VLOOKUP(D396,[5]成飞半成品!$A:$B,2,0),VLOOKUP(D396,[5]九院成本!$A$4:$B$48,2,0))</f>
        <v>连接接头</v>
      </c>
      <c r="H396" s="3" t="s">
        <v>80</v>
      </c>
      <c r="J396" s="18" t="s">
        <v>1140</v>
      </c>
      <c r="K396" s="3">
        <v>24</v>
      </c>
      <c r="L396" s="3">
        <v>24</v>
      </c>
      <c r="M396" s="19"/>
      <c r="N396" s="19"/>
      <c r="O396" s="5" t="s">
        <v>81</v>
      </c>
      <c r="P396" s="4">
        <v>30</v>
      </c>
      <c r="Q396" s="18">
        <v>30</v>
      </c>
      <c r="R396" s="3"/>
      <c r="S396" s="6"/>
      <c r="T396" s="22"/>
      <c r="V396" s="23">
        <v>12</v>
      </c>
      <c r="W396" s="24" t="s">
        <v>14</v>
      </c>
      <c r="X396" s="7" t="s">
        <v>693</v>
      </c>
      <c r="Y396" s="7" t="s">
        <v>203</v>
      </c>
    </row>
    <row r="397" spans="1:25" ht="23.1" customHeight="1" x14ac:dyDescent="0.25">
      <c r="A397" s="1" t="s">
        <v>100</v>
      </c>
      <c r="D397" s="3" t="s">
        <v>589</v>
      </c>
      <c r="E397" s="15" t="s">
        <v>91</v>
      </c>
      <c r="F397" s="15" t="s">
        <v>91</v>
      </c>
      <c r="G397" s="15" t="str">
        <f>IFERROR(VLOOKUP(D397,[5]成飞半成品!$A:$B,2,0),VLOOKUP(D397,[5]九院成本!$A$4:$B$48,2,0))</f>
        <v>螺栓</v>
      </c>
      <c r="H397" s="3" t="s">
        <v>46</v>
      </c>
      <c r="I397" s="3">
        <v>15</v>
      </c>
      <c r="J397" s="18" t="s">
        <v>1139</v>
      </c>
      <c r="K397" s="3">
        <v>18</v>
      </c>
      <c r="L397" s="3">
        <v>18</v>
      </c>
      <c r="M397" s="19">
        <v>26</v>
      </c>
      <c r="N397" s="19">
        <v>26</v>
      </c>
      <c r="O397" s="5" t="s">
        <v>295</v>
      </c>
      <c r="P397" s="4">
        <v>20</v>
      </c>
      <c r="Q397" s="18">
        <v>10</v>
      </c>
      <c r="R397" s="3"/>
      <c r="S397" s="6"/>
      <c r="T397" s="22"/>
      <c r="V397" s="23">
        <v>3</v>
      </c>
      <c r="W397" s="24" t="s">
        <v>14</v>
      </c>
    </row>
    <row r="398" spans="1:25" ht="23.1" customHeight="1" x14ac:dyDescent="0.25">
      <c r="A398" s="1" t="s">
        <v>100</v>
      </c>
      <c r="D398" s="3" t="s">
        <v>554</v>
      </c>
      <c r="E398" s="15" t="s">
        <v>76</v>
      </c>
      <c r="F398" s="15" t="s">
        <v>76</v>
      </c>
      <c r="G398" s="15" t="str">
        <f>IFERROR(VLOOKUP(D398,[5]成飞半成品!$A:$B,2,0),VLOOKUP(D398,[5]九院成本!$A$4:$B$48,2,0))</f>
        <v>接管嘴</v>
      </c>
      <c r="H398" s="3" t="s">
        <v>64</v>
      </c>
      <c r="I398" s="3">
        <v>25</v>
      </c>
      <c r="J398" s="18" t="s">
        <v>1120</v>
      </c>
      <c r="K398" s="3">
        <v>23</v>
      </c>
      <c r="L398" s="3">
        <v>23</v>
      </c>
      <c r="M398" s="19">
        <v>26</v>
      </c>
      <c r="N398" s="19">
        <v>9</v>
      </c>
      <c r="O398" s="5" t="s">
        <v>694</v>
      </c>
      <c r="P398" s="4">
        <v>20</v>
      </c>
      <c r="Q398" s="18">
        <v>20</v>
      </c>
      <c r="R398" s="3"/>
      <c r="S398" s="6"/>
      <c r="T398" s="22"/>
      <c r="V398" s="23">
        <v>7.7</v>
      </c>
      <c r="W398" s="24" t="s">
        <v>14</v>
      </c>
    </row>
    <row r="399" spans="1:25" ht="23.1" customHeight="1" x14ac:dyDescent="0.25">
      <c r="A399" s="1" t="s">
        <v>100</v>
      </c>
      <c r="D399" s="3" t="s">
        <v>695</v>
      </c>
      <c r="E399" s="15" t="s">
        <v>696</v>
      </c>
      <c r="F399" s="15" t="s">
        <v>696</v>
      </c>
      <c r="G399" s="15" t="str">
        <f>IFERROR(VLOOKUP(D399,[5]成飞半成品!$A:$B,2,0),VLOOKUP(D399,[5]九院成本!$A$4:$B$48,2,0))</f>
        <v>回收锁销接头</v>
      </c>
      <c r="H399" s="3" t="s">
        <v>80</v>
      </c>
      <c r="I399" s="3">
        <v>15</v>
      </c>
      <c r="J399" s="18" t="s">
        <v>1139</v>
      </c>
      <c r="K399" s="3">
        <v>8</v>
      </c>
      <c r="L399" s="3">
        <v>8</v>
      </c>
      <c r="M399" s="19">
        <v>26</v>
      </c>
      <c r="N399" s="19">
        <v>9</v>
      </c>
      <c r="O399" s="5" t="s">
        <v>81</v>
      </c>
      <c r="P399" s="4">
        <v>60</v>
      </c>
      <c r="Q399" s="18">
        <v>60</v>
      </c>
      <c r="R399" s="3"/>
      <c r="S399" s="6"/>
      <c r="T399" s="22"/>
      <c r="V399" s="23">
        <v>8</v>
      </c>
      <c r="W399" s="24" t="s">
        <v>14</v>
      </c>
    </row>
    <row r="400" spans="1:25" ht="23.1" customHeight="1" x14ac:dyDescent="0.25">
      <c r="A400" s="1" t="s">
        <v>100</v>
      </c>
      <c r="D400" s="3" t="s">
        <v>664</v>
      </c>
      <c r="E400" s="15" t="s">
        <v>665</v>
      </c>
      <c r="F400" s="15" t="s">
        <v>665</v>
      </c>
      <c r="G400" s="15" t="str">
        <f>IFERROR(VLOOKUP(D400,[5]成飞半成品!$A:$B,2,0),VLOOKUP(D400,[5]九院成本!$A$4:$B$48,2,0))</f>
        <v>前起落架水平接头</v>
      </c>
      <c r="H400" s="3" t="s">
        <v>64</v>
      </c>
      <c r="I400" s="3">
        <v>30</v>
      </c>
      <c r="J400" s="18" t="s">
        <v>1124</v>
      </c>
      <c r="K400" s="3">
        <v>20</v>
      </c>
      <c r="L400" s="3">
        <v>20</v>
      </c>
      <c r="M400" s="19">
        <v>26</v>
      </c>
      <c r="N400" s="19">
        <v>23</v>
      </c>
      <c r="O400" s="5" t="s">
        <v>697</v>
      </c>
      <c r="P400" s="4">
        <v>90</v>
      </c>
      <c r="Q400" s="18">
        <v>90</v>
      </c>
      <c r="R400" s="3"/>
      <c r="S400" s="6"/>
      <c r="T400" s="22"/>
      <c r="V400" s="23">
        <v>30</v>
      </c>
      <c r="W400" s="24" t="s">
        <v>14</v>
      </c>
    </row>
    <row r="401" spans="1:25" ht="23.1" customHeight="1" x14ac:dyDescent="0.25">
      <c r="A401" s="1" t="s">
        <v>103</v>
      </c>
      <c r="D401" s="3" t="s">
        <v>238</v>
      </c>
      <c r="E401" s="15" t="s">
        <v>239</v>
      </c>
      <c r="F401" s="15" t="s">
        <v>239</v>
      </c>
      <c r="G401" s="15" t="str">
        <f>IFERROR(VLOOKUP(D401,[5]成飞半成品!$A:$B,2,0),VLOOKUP(D401,[5]九院成本!$A$4:$B$48,2,0))</f>
        <v>激励器转接件</v>
      </c>
      <c r="H401" s="3" t="s">
        <v>155</v>
      </c>
      <c r="I401" s="3">
        <v>20</v>
      </c>
      <c r="J401" s="18" t="e">
        <v>#N/A</v>
      </c>
      <c r="K401" s="3">
        <v>20</v>
      </c>
      <c r="L401" s="3">
        <v>20</v>
      </c>
      <c r="M401" s="19">
        <v>19</v>
      </c>
      <c r="N401" s="19">
        <v>5</v>
      </c>
      <c r="O401" s="5" t="s">
        <v>115</v>
      </c>
      <c r="P401" s="4">
        <v>120</v>
      </c>
      <c r="Q401" s="18">
        <v>120</v>
      </c>
      <c r="R401" s="3"/>
      <c r="S401" s="6"/>
      <c r="T401" s="22"/>
      <c r="V401" s="23">
        <v>40</v>
      </c>
      <c r="W401" s="24" t="s">
        <v>14</v>
      </c>
    </row>
    <row r="402" spans="1:25" ht="23.1" customHeight="1" x14ac:dyDescent="0.25">
      <c r="A402" s="1" t="s">
        <v>103</v>
      </c>
      <c r="D402" s="3" t="s">
        <v>554</v>
      </c>
      <c r="E402" s="15" t="s">
        <v>76</v>
      </c>
      <c r="F402" s="15" t="s">
        <v>76</v>
      </c>
      <c r="G402" s="15" t="str">
        <f>IFERROR(VLOOKUP(D402,[5]成飞半成品!$A:$B,2,0),VLOOKUP(D402,[5]九院成本!$A$4:$B$48,2,0))</f>
        <v>接管嘴</v>
      </c>
      <c r="H402" s="3" t="s">
        <v>64</v>
      </c>
      <c r="I402" s="3">
        <v>25</v>
      </c>
      <c r="J402" s="18" t="s">
        <v>1120</v>
      </c>
      <c r="K402" s="3">
        <v>10</v>
      </c>
      <c r="L402" s="3">
        <v>10</v>
      </c>
      <c r="M402" s="19">
        <v>19</v>
      </c>
      <c r="N402" s="19">
        <v>9</v>
      </c>
      <c r="O402" s="5" t="s">
        <v>698</v>
      </c>
      <c r="P402" s="4">
        <v>20</v>
      </c>
      <c r="Q402" s="18">
        <v>20</v>
      </c>
      <c r="R402" s="3"/>
      <c r="S402" s="6"/>
      <c r="T402" s="22"/>
      <c r="V402" s="23">
        <v>3.3</v>
      </c>
      <c r="W402" s="24" t="s">
        <v>14</v>
      </c>
    </row>
    <row r="403" spans="1:25" ht="23.1" customHeight="1" x14ac:dyDescent="0.25">
      <c r="A403" s="1" t="s">
        <v>103</v>
      </c>
      <c r="D403" s="3" t="s">
        <v>245</v>
      </c>
      <c r="E403" s="15" t="s">
        <v>246</v>
      </c>
      <c r="F403" s="15" t="s">
        <v>246</v>
      </c>
      <c r="G403" s="15" t="str">
        <f>IFERROR(VLOOKUP(D403,[5]成飞半成品!$A:$B,2,0),VLOOKUP(D403,[5]九院成本!$A$4:$B$48,2,0))</f>
        <v>环</v>
      </c>
      <c r="H403" s="3" t="s">
        <v>46</v>
      </c>
      <c r="I403" s="3">
        <v>10</v>
      </c>
      <c r="J403" s="18" t="s">
        <v>1141</v>
      </c>
      <c r="K403" s="3">
        <v>1</v>
      </c>
      <c r="L403" s="3">
        <v>1</v>
      </c>
      <c r="M403" s="19">
        <v>26</v>
      </c>
      <c r="N403" s="19"/>
      <c r="O403" s="5" t="s">
        <v>102</v>
      </c>
      <c r="P403" s="4">
        <v>5</v>
      </c>
      <c r="Q403" s="18">
        <v>5</v>
      </c>
      <c r="R403" s="3"/>
      <c r="S403" s="6"/>
      <c r="T403" s="22"/>
      <c r="V403" s="23">
        <v>0.1</v>
      </c>
      <c r="W403" s="24" t="s">
        <v>14</v>
      </c>
    </row>
    <row r="404" spans="1:25" ht="23.1" customHeight="1" x14ac:dyDescent="0.25">
      <c r="A404" s="1" t="s">
        <v>103</v>
      </c>
      <c r="D404" s="3" t="s">
        <v>245</v>
      </c>
      <c r="E404" s="15" t="s">
        <v>246</v>
      </c>
      <c r="F404" s="15" t="s">
        <v>246</v>
      </c>
      <c r="G404" s="15" t="str">
        <f>IFERROR(VLOOKUP(D404,[5]成飞半成品!$A:$B,2,0),VLOOKUP(D404,[5]九院成本!$A$4:$B$48,2,0))</f>
        <v>环</v>
      </c>
      <c r="H404" s="3" t="s">
        <v>46</v>
      </c>
      <c r="I404" s="3">
        <v>10</v>
      </c>
      <c r="J404" s="18" t="s">
        <v>1141</v>
      </c>
      <c r="K404" s="3">
        <v>1</v>
      </c>
      <c r="L404" s="3">
        <v>1</v>
      </c>
      <c r="M404" s="19">
        <v>26</v>
      </c>
      <c r="N404" s="19"/>
      <c r="O404" s="5" t="s">
        <v>699</v>
      </c>
      <c r="P404" s="4">
        <v>5</v>
      </c>
      <c r="Q404" s="18">
        <v>5</v>
      </c>
      <c r="R404" s="3"/>
      <c r="S404" s="6"/>
      <c r="T404" s="22"/>
      <c r="V404" s="23">
        <v>0.1</v>
      </c>
      <c r="W404" s="24" t="s">
        <v>14</v>
      </c>
    </row>
    <row r="405" spans="1:25" ht="23.1" customHeight="1" x14ac:dyDescent="0.25">
      <c r="A405" s="1" t="s">
        <v>103</v>
      </c>
      <c r="D405" s="3" t="s">
        <v>245</v>
      </c>
      <c r="E405" s="15" t="s">
        <v>246</v>
      </c>
      <c r="F405" s="15" t="s">
        <v>246</v>
      </c>
      <c r="G405" s="15" t="str">
        <f>IFERROR(VLOOKUP(D405,[5]成飞半成品!$A:$B,2,0),VLOOKUP(D405,[5]九院成本!$A$4:$B$48,2,0))</f>
        <v>环</v>
      </c>
      <c r="H405" s="3" t="s">
        <v>46</v>
      </c>
      <c r="I405" s="3">
        <v>10</v>
      </c>
      <c r="J405" s="18" t="s">
        <v>1141</v>
      </c>
      <c r="K405" s="3">
        <v>80</v>
      </c>
      <c r="L405" s="3">
        <v>95</v>
      </c>
      <c r="M405" s="19">
        <v>26</v>
      </c>
      <c r="N405" s="19">
        <v>26</v>
      </c>
      <c r="O405" s="5" t="s">
        <v>700</v>
      </c>
      <c r="P405" s="4">
        <v>5</v>
      </c>
      <c r="Q405" s="18">
        <v>5</v>
      </c>
      <c r="R405" s="3"/>
      <c r="S405" s="6"/>
      <c r="T405" s="22"/>
      <c r="V405" s="23">
        <v>7.9</v>
      </c>
      <c r="W405" s="24" t="s">
        <v>14</v>
      </c>
    </row>
    <row r="406" spans="1:25" ht="23.1" customHeight="1" x14ac:dyDescent="0.25">
      <c r="A406" s="1" t="s">
        <v>109</v>
      </c>
      <c r="D406" s="3" t="s">
        <v>1162</v>
      </c>
      <c r="E406" s="15" t="s">
        <v>218</v>
      </c>
      <c r="F406" s="15" t="e">
        <v>#N/A</v>
      </c>
      <c r="G406" s="15" t="str">
        <f>IFERROR(VLOOKUP(D406,[5]成飞半成品!$A:$B,2,0),VLOOKUP(D406,[5]九院成本!$A$4:$B$48,2,0))</f>
        <v>工装</v>
      </c>
      <c r="I406" s="3" t="s">
        <v>701</v>
      </c>
      <c r="J406" s="18" t="e">
        <v>#N/A</v>
      </c>
      <c r="K406" s="3">
        <v>5</v>
      </c>
      <c r="L406" s="3">
        <v>5</v>
      </c>
      <c r="M406" s="19"/>
      <c r="N406" s="19"/>
      <c r="P406" s="4">
        <v>120</v>
      </c>
      <c r="Q406" s="18">
        <v>120</v>
      </c>
      <c r="R406" s="3"/>
      <c r="S406" s="6"/>
      <c r="T406" s="22"/>
      <c r="V406" s="23">
        <v>10</v>
      </c>
      <c r="W406" s="24" t="s">
        <v>14</v>
      </c>
      <c r="X406" s="7" t="s">
        <v>202</v>
      </c>
    </row>
    <row r="407" spans="1:25" ht="23.1" customHeight="1" x14ac:dyDescent="0.25">
      <c r="A407" s="1" t="s">
        <v>109</v>
      </c>
      <c r="D407" s="3" t="s">
        <v>1162</v>
      </c>
      <c r="E407" s="15" t="s">
        <v>211</v>
      </c>
      <c r="F407" s="15" t="e">
        <v>#N/A</v>
      </c>
      <c r="G407" s="15" t="str">
        <f>IFERROR(VLOOKUP(D407,[5]成飞半成品!$A:$B,2,0),VLOOKUP(D407,[5]九院成本!$A$4:$B$48,2,0))</f>
        <v>工装</v>
      </c>
      <c r="I407" s="3" t="s">
        <v>701</v>
      </c>
      <c r="J407" s="18" t="e">
        <v>#N/A</v>
      </c>
      <c r="K407" s="3">
        <v>4</v>
      </c>
      <c r="L407" s="3">
        <v>4</v>
      </c>
      <c r="M407" s="19"/>
      <c r="N407" s="19"/>
      <c r="P407" s="4">
        <v>90</v>
      </c>
      <c r="Q407" s="18">
        <v>90</v>
      </c>
      <c r="R407" s="3"/>
      <c r="S407" s="6"/>
      <c r="T407" s="22"/>
      <c r="V407" s="23">
        <v>6</v>
      </c>
      <c r="W407" s="24" t="s">
        <v>14</v>
      </c>
      <c r="X407" s="7" t="s">
        <v>202</v>
      </c>
    </row>
    <row r="408" spans="1:25" ht="23.1" customHeight="1" x14ac:dyDescent="0.25">
      <c r="A408" s="1" t="s">
        <v>109</v>
      </c>
      <c r="D408" s="3" t="s">
        <v>90</v>
      </c>
      <c r="E408" s="15" t="s">
        <v>91</v>
      </c>
      <c r="F408" s="15" t="s">
        <v>91</v>
      </c>
      <c r="G408" s="15" t="str">
        <f>IFERROR(VLOOKUP(D408,[5]成飞半成品!$A:$B,2,0),VLOOKUP(D408,[5]九院成本!$A$4:$B$48,2,0))</f>
        <v>螺栓</v>
      </c>
      <c r="H408" s="3" t="s">
        <v>64</v>
      </c>
      <c r="I408" s="3">
        <v>25</v>
      </c>
      <c r="J408" s="18" t="s">
        <v>1099</v>
      </c>
      <c r="K408" s="3">
        <v>20</v>
      </c>
      <c r="L408" s="3">
        <v>20</v>
      </c>
      <c r="M408" s="19">
        <v>9</v>
      </c>
      <c r="N408" s="19">
        <v>23</v>
      </c>
      <c r="O408" s="5" t="s">
        <v>92</v>
      </c>
      <c r="P408" s="4">
        <v>120</v>
      </c>
      <c r="Q408" s="18">
        <v>20</v>
      </c>
      <c r="R408" s="3"/>
      <c r="S408" s="6"/>
      <c r="T408" s="22"/>
      <c r="V408" s="23">
        <v>6.7</v>
      </c>
      <c r="W408" s="24" t="s">
        <v>14</v>
      </c>
      <c r="X408" s="7" t="s">
        <v>702</v>
      </c>
    </row>
    <row r="409" spans="1:25" ht="23.1" customHeight="1" x14ac:dyDescent="0.25">
      <c r="A409" s="1" t="s">
        <v>116</v>
      </c>
      <c r="D409" s="3" t="s">
        <v>111</v>
      </c>
      <c r="E409" s="15" t="s">
        <v>63</v>
      </c>
      <c r="F409" s="15" t="s">
        <v>63</v>
      </c>
      <c r="G409" s="15" t="str">
        <f>IFERROR(VLOOKUP(D409,[5]成飞半成品!$A:$B,2,0),VLOOKUP(D409,[5]九院成本!$A$4:$B$48,2,0))</f>
        <v>法兰</v>
      </c>
      <c r="H409" s="3" t="s">
        <v>64</v>
      </c>
      <c r="I409" s="3">
        <v>45</v>
      </c>
      <c r="J409" s="18" t="s">
        <v>1132</v>
      </c>
      <c r="K409" s="3">
        <v>2</v>
      </c>
      <c r="L409" s="3">
        <v>2</v>
      </c>
      <c r="M409" s="19">
        <v>9</v>
      </c>
      <c r="N409" s="19">
        <v>5</v>
      </c>
      <c r="O409" s="5" t="s">
        <v>112</v>
      </c>
      <c r="P409" s="4">
        <v>30</v>
      </c>
      <c r="Q409" s="18">
        <v>30</v>
      </c>
      <c r="R409" s="3"/>
      <c r="S409" s="6"/>
      <c r="T409" s="22"/>
      <c r="V409" s="23">
        <v>1</v>
      </c>
      <c r="W409" s="24" t="s">
        <v>14</v>
      </c>
    </row>
    <row r="410" spans="1:25" ht="23.1" customHeight="1" x14ac:dyDescent="0.25">
      <c r="A410" s="1" t="s">
        <v>116</v>
      </c>
      <c r="D410" s="3" t="s">
        <v>683</v>
      </c>
      <c r="E410" s="15" t="s">
        <v>681</v>
      </c>
      <c r="F410" s="15" t="s">
        <v>681</v>
      </c>
      <c r="G410" s="15" t="str">
        <f>IFERROR(VLOOKUP(D410,[5]成飞半成品!$A:$B,2,0),VLOOKUP(D410,[5]九院成本!$A$4:$B$48,2,0))</f>
        <v>受剪接头</v>
      </c>
      <c r="H410" s="3" t="s">
        <v>147</v>
      </c>
      <c r="I410" s="3">
        <v>15</v>
      </c>
      <c r="J410" s="18" t="s">
        <v>1138</v>
      </c>
      <c r="K410" s="3">
        <v>13</v>
      </c>
      <c r="L410" s="3">
        <v>13</v>
      </c>
      <c r="M410" s="19">
        <v>9</v>
      </c>
      <c r="N410" s="19">
        <v>9</v>
      </c>
      <c r="O410" s="5" t="s">
        <v>703</v>
      </c>
      <c r="P410" s="4">
        <v>90</v>
      </c>
      <c r="Q410" s="18">
        <v>90</v>
      </c>
      <c r="R410" s="3"/>
      <c r="S410" s="6"/>
      <c r="T410" s="22"/>
      <c r="V410" s="23">
        <v>19.5</v>
      </c>
      <c r="W410" s="24" t="s">
        <v>14</v>
      </c>
    </row>
    <row r="411" spans="1:25" ht="23.1" customHeight="1" x14ac:dyDescent="0.25">
      <c r="A411" s="1" t="s">
        <v>704</v>
      </c>
      <c r="D411" s="3" t="s">
        <v>1162</v>
      </c>
      <c r="E411" s="15" t="s">
        <v>705</v>
      </c>
      <c r="F411" s="15" t="e">
        <v>#N/A</v>
      </c>
      <c r="G411" s="15" t="str">
        <f>IFERROR(VLOOKUP(D411,[5]成飞半成品!$A:$B,2,0),VLOOKUP(D411,[5]九院成本!$A$4:$B$48,2,0))</f>
        <v>工装</v>
      </c>
      <c r="I411" s="3" t="s">
        <v>652</v>
      </c>
      <c r="J411" s="18" t="e">
        <v>#N/A</v>
      </c>
      <c r="K411" s="3">
        <v>45</v>
      </c>
      <c r="L411" s="3">
        <v>45</v>
      </c>
      <c r="M411" s="19"/>
      <c r="N411" s="19"/>
      <c r="P411" s="4">
        <v>60</v>
      </c>
      <c r="Q411" s="18">
        <v>60</v>
      </c>
      <c r="R411" s="3"/>
      <c r="S411" s="6"/>
      <c r="T411" s="22"/>
      <c r="V411" s="23">
        <v>45</v>
      </c>
      <c r="W411" s="24" t="s">
        <v>14</v>
      </c>
      <c r="X411" s="7" t="s">
        <v>706</v>
      </c>
      <c r="Y411" s="7" t="s">
        <v>203</v>
      </c>
    </row>
    <row r="412" spans="1:25" ht="23.1" customHeight="1" x14ac:dyDescent="0.25">
      <c r="A412" s="1" t="s">
        <v>704</v>
      </c>
      <c r="D412" s="3" t="s">
        <v>1162</v>
      </c>
      <c r="E412" s="15" t="s">
        <v>218</v>
      </c>
      <c r="F412" s="15" t="e">
        <v>#N/A</v>
      </c>
      <c r="G412" s="15" t="str">
        <f>IFERROR(VLOOKUP(D412,[5]成飞半成品!$A:$B,2,0),VLOOKUP(D412,[5]九院成本!$A$4:$B$48,2,0))</f>
        <v>工装</v>
      </c>
      <c r="I412" s="3" t="s">
        <v>652</v>
      </c>
      <c r="J412" s="18" t="e">
        <v>#N/A</v>
      </c>
      <c r="K412" s="3">
        <v>2</v>
      </c>
      <c r="L412" s="3">
        <v>2</v>
      </c>
      <c r="M412" s="19"/>
      <c r="N412" s="19"/>
      <c r="P412" s="4">
        <v>120</v>
      </c>
      <c r="Q412" s="18">
        <v>120</v>
      </c>
      <c r="R412" s="3"/>
      <c r="S412" s="6"/>
      <c r="T412" s="22"/>
      <c r="V412" s="23">
        <v>4</v>
      </c>
      <c r="W412" s="24" t="s">
        <v>14</v>
      </c>
      <c r="X412" s="7" t="s">
        <v>706</v>
      </c>
      <c r="Y412" s="7" t="s">
        <v>203</v>
      </c>
    </row>
    <row r="413" spans="1:25" ht="23.1" customHeight="1" x14ac:dyDescent="0.25">
      <c r="A413" s="1" t="s">
        <v>707</v>
      </c>
      <c r="D413" s="3" t="s">
        <v>1162</v>
      </c>
      <c r="E413" s="15" t="s">
        <v>709</v>
      </c>
      <c r="F413" s="15" t="e">
        <v>#N/A</v>
      </c>
      <c r="G413" s="15" t="str">
        <f>IFERROR(VLOOKUP(D413,[5]成飞半成品!$A:$B,2,0),VLOOKUP(D413,[5]九院成本!$A$4:$B$48,2,0))</f>
        <v>工装</v>
      </c>
      <c r="I413" s="3" t="s">
        <v>652</v>
      </c>
      <c r="J413" s="18" t="e">
        <v>#N/A</v>
      </c>
      <c r="K413" s="3">
        <v>300</v>
      </c>
      <c r="L413" s="3">
        <v>300</v>
      </c>
      <c r="M413" s="19"/>
      <c r="N413" s="19"/>
      <c r="P413" s="4">
        <v>20</v>
      </c>
      <c r="Q413" s="18">
        <v>20</v>
      </c>
      <c r="R413" s="3"/>
      <c r="S413" s="6"/>
      <c r="T413" s="22"/>
      <c r="V413" s="23">
        <v>100</v>
      </c>
      <c r="W413" s="24" t="s">
        <v>14</v>
      </c>
      <c r="X413" s="7" t="s">
        <v>710</v>
      </c>
    </row>
    <row r="414" spans="1:25" ht="23.1" customHeight="1" x14ac:dyDescent="0.25">
      <c r="A414" s="1" t="s">
        <v>121</v>
      </c>
      <c r="D414" s="3" t="s">
        <v>573</v>
      </c>
      <c r="E414" s="15" t="s">
        <v>572</v>
      </c>
      <c r="F414" s="15" t="s">
        <v>1090</v>
      </c>
      <c r="G414" s="15" t="str">
        <f>IFERROR(VLOOKUP(D414,[5]成飞半成品!$A:$B,2,0),VLOOKUP(D414,[5]九院成本!$A$4:$B$48,2,0))</f>
        <v>1N-2020-11-029</v>
      </c>
      <c r="H414" s="3" t="s">
        <v>80</v>
      </c>
      <c r="I414" s="3">
        <v>35</v>
      </c>
      <c r="J414" s="18" t="e">
        <v>#N/A</v>
      </c>
      <c r="K414" s="3">
        <v>130</v>
      </c>
      <c r="L414" s="3">
        <v>66</v>
      </c>
      <c r="M414" s="19">
        <v>8</v>
      </c>
      <c r="N414" s="19">
        <v>8</v>
      </c>
      <c r="O414" s="5" t="s">
        <v>573</v>
      </c>
      <c r="P414" s="4"/>
      <c r="Q414" s="18">
        <v>20</v>
      </c>
      <c r="R414" s="3"/>
      <c r="S414" s="6"/>
      <c r="T414" s="22"/>
      <c r="V414" s="23">
        <v>22</v>
      </c>
      <c r="W414" s="24" t="s">
        <v>13</v>
      </c>
    </row>
    <row r="415" spans="1:25" ht="23.1" customHeight="1" x14ac:dyDescent="0.25">
      <c r="A415" s="1" t="s">
        <v>58</v>
      </c>
      <c r="D415" s="3" t="s">
        <v>192</v>
      </c>
      <c r="E415" s="15" t="s">
        <v>237</v>
      </c>
      <c r="F415" s="15" t="s">
        <v>1090</v>
      </c>
      <c r="G415" s="15" t="str">
        <f>IFERROR(VLOOKUP(D415,[5]成飞半成品!$A:$B,2,0),VLOOKUP(D415,[5]九院成本!$A$4:$B$48,2,0))</f>
        <v>1N-2020-09-040</v>
      </c>
      <c r="H415" s="3" t="s">
        <v>80</v>
      </c>
      <c r="I415" s="3">
        <v>25</v>
      </c>
      <c r="J415" s="18" t="e">
        <v>#N/A</v>
      </c>
      <c r="K415" s="3">
        <v>659</v>
      </c>
      <c r="L415" s="3">
        <v>142</v>
      </c>
      <c r="M415" s="19">
        <v>8</v>
      </c>
      <c r="N415" s="19">
        <v>8</v>
      </c>
      <c r="O415" s="5" t="s">
        <v>192</v>
      </c>
      <c r="P415" s="4"/>
      <c r="Q415" s="18">
        <v>6</v>
      </c>
      <c r="R415" s="3"/>
      <c r="S415" s="6"/>
      <c r="T415" s="22"/>
      <c r="V415" s="23">
        <v>14.2</v>
      </c>
      <c r="W415" s="24" t="s">
        <v>13</v>
      </c>
    </row>
    <row r="416" spans="1:25" ht="23.1" customHeight="1" x14ac:dyDescent="0.25">
      <c r="A416" s="1" t="s">
        <v>65</v>
      </c>
      <c r="D416" s="3" t="s">
        <v>711</v>
      </c>
      <c r="E416" s="15" t="s">
        <v>712</v>
      </c>
      <c r="F416" s="15" t="s">
        <v>712</v>
      </c>
      <c r="G416" s="15" t="str">
        <f>IFERROR(VLOOKUP(D416,[5]成飞半成品!$A:$B,2,0),VLOOKUP(D416,[5]九院成本!$A$4:$B$48,2,0))</f>
        <v>3#下垫片</v>
      </c>
      <c r="H416" s="3" t="s">
        <v>46</v>
      </c>
      <c r="I416" s="3">
        <v>20</v>
      </c>
      <c r="J416" s="18" t="s">
        <v>1096</v>
      </c>
      <c r="K416" s="3">
        <v>20</v>
      </c>
      <c r="L416" s="3">
        <v>20</v>
      </c>
      <c r="M416" s="19">
        <v>8</v>
      </c>
      <c r="N416" s="19">
        <v>8</v>
      </c>
      <c r="O416" s="5" t="s">
        <v>713</v>
      </c>
      <c r="P416" s="4"/>
      <c r="Q416" s="18">
        <v>20</v>
      </c>
      <c r="R416" s="3"/>
      <c r="S416" s="6"/>
      <c r="T416" s="22"/>
      <c r="V416" s="23">
        <v>6.7</v>
      </c>
      <c r="W416" s="24" t="s">
        <v>13</v>
      </c>
    </row>
    <row r="417" spans="1:25" ht="23.1" customHeight="1" x14ac:dyDescent="0.25">
      <c r="A417" s="1" t="s">
        <v>71</v>
      </c>
      <c r="D417" s="3" t="s">
        <v>711</v>
      </c>
      <c r="E417" s="15" t="s">
        <v>712</v>
      </c>
      <c r="F417" s="15" t="s">
        <v>712</v>
      </c>
      <c r="G417" s="15" t="str">
        <f>IFERROR(VLOOKUP(D417,[5]成飞半成品!$A:$B,2,0),VLOOKUP(D417,[5]九院成本!$A$4:$B$48,2,0))</f>
        <v>3#下垫片</v>
      </c>
      <c r="H417" s="3" t="s">
        <v>46</v>
      </c>
      <c r="I417" s="3">
        <v>20</v>
      </c>
      <c r="J417" s="18" t="s">
        <v>1096</v>
      </c>
      <c r="K417" s="3">
        <v>20</v>
      </c>
      <c r="L417" s="3">
        <v>20</v>
      </c>
      <c r="M417" s="19">
        <v>8</v>
      </c>
      <c r="N417" s="19">
        <v>8</v>
      </c>
      <c r="O417" s="5" t="s">
        <v>262</v>
      </c>
      <c r="P417" s="4"/>
      <c r="Q417" s="18">
        <v>20</v>
      </c>
      <c r="R417" s="3"/>
      <c r="S417" s="6"/>
      <c r="T417" s="22"/>
      <c r="V417" s="23">
        <v>6.7</v>
      </c>
      <c r="W417" s="24" t="s">
        <v>13</v>
      </c>
    </row>
    <row r="418" spans="1:25" ht="23.1" customHeight="1" x14ac:dyDescent="0.25">
      <c r="A418" s="1" t="s">
        <v>71</v>
      </c>
      <c r="D418" s="3" t="s">
        <v>711</v>
      </c>
      <c r="E418" s="15" t="s">
        <v>712</v>
      </c>
      <c r="F418" s="15" t="s">
        <v>712</v>
      </c>
      <c r="G418" s="15" t="str">
        <f>IFERROR(VLOOKUP(D418,[5]成飞半成品!$A:$B,2,0),VLOOKUP(D418,[5]九院成本!$A$4:$B$48,2,0))</f>
        <v>3#下垫片</v>
      </c>
      <c r="H418" s="3" t="s">
        <v>46</v>
      </c>
      <c r="I418" s="3">
        <v>20</v>
      </c>
      <c r="J418" s="18" t="s">
        <v>1096</v>
      </c>
      <c r="K418" s="3">
        <v>20</v>
      </c>
      <c r="L418" s="3">
        <v>20</v>
      </c>
      <c r="M418" s="19">
        <v>8</v>
      </c>
      <c r="N418" s="19">
        <v>8</v>
      </c>
      <c r="O418" s="5" t="s">
        <v>260</v>
      </c>
      <c r="P418" s="4"/>
      <c r="Q418" s="18">
        <v>20</v>
      </c>
      <c r="R418" s="3"/>
      <c r="S418" s="6"/>
      <c r="T418" s="22"/>
      <c r="V418" s="23">
        <v>6.7</v>
      </c>
      <c r="W418" s="24" t="s">
        <v>13</v>
      </c>
    </row>
    <row r="419" spans="1:25" ht="23.1" customHeight="1" x14ac:dyDescent="0.25">
      <c r="A419" s="1" t="s">
        <v>71</v>
      </c>
      <c r="D419" s="3" t="s">
        <v>711</v>
      </c>
      <c r="E419" s="15" t="s">
        <v>712</v>
      </c>
      <c r="F419" s="15" t="s">
        <v>712</v>
      </c>
      <c r="G419" s="15" t="str">
        <f>IFERROR(VLOOKUP(D419,[5]成飞半成品!$A:$B,2,0),VLOOKUP(D419,[5]九院成本!$A$4:$B$48,2,0))</f>
        <v>3#下垫片</v>
      </c>
      <c r="H419" s="3" t="s">
        <v>46</v>
      </c>
      <c r="I419" s="3">
        <v>20</v>
      </c>
      <c r="J419" s="18" t="s">
        <v>1096</v>
      </c>
      <c r="K419" s="3">
        <v>20</v>
      </c>
      <c r="L419" s="3">
        <v>20</v>
      </c>
      <c r="M419" s="19">
        <v>8</v>
      </c>
      <c r="N419" s="19">
        <v>8</v>
      </c>
      <c r="O419" s="5" t="s">
        <v>261</v>
      </c>
      <c r="P419" s="4"/>
      <c r="Q419" s="18">
        <v>20</v>
      </c>
      <c r="R419" s="3"/>
      <c r="S419" s="6"/>
      <c r="T419" s="22"/>
      <c r="V419" s="23">
        <v>6.7</v>
      </c>
      <c r="W419" s="24" t="s">
        <v>13</v>
      </c>
    </row>
    <row r="420" spans="1:25" ht="23.1" customHeight="1" x14ac:dyDescent="0.25">
      <c r="A420" s="1" t="s">
        <v>71</v>
      </c>
      <c r="D420" s="3" t="s">
        <v>711</v>
      </c>
      <c r="E420" s="15" t="s">
        <v>712</v>
      </c>
      <c r="F420" s="15" t="s">
        <v>712</v>
      </c>
      <c r="G420" s="15" t="str">
        <f>IFERROR(VLOOKUP(D420,[5]成飞半成品!$A:$B,2,0),VLOOKUP(D420,[5]九院成本!$A$4:$B$48,2,0))</f>
        <v>3#下垫片</v>
      </c>
      <c r="H420" s="3" t="s">
        <v>46</v>
      </c>
      <c r="I420" s="3">
        <v>20</v>
      </c>
      <c r="J420" s="18" t="s">
        <v>1096</v>
      </c>
      <c r="K420" s="3">
        <v>4</v>
      </c>
      <c r="L420" s="3">
        <v>4</v>
      </c>
      <c r="M420" s="19">
        <v>8</v>
      </c>
      <c r="N420" s="19">
        <v>8</v>
      </c>
      <c r="O420" s="5" t="s">
        <v>263</v>
      </c>
      <c r="P420" s="4"/>
      <c r="Q420" s="18">
        <v>20</v>
      </c>
      <c r="R420" s="3"/>
      <c r="S420" s="6"/>
      <c r="T420" s="22"/>
      <c r="V420" s="23">
        <v>1.3</v>
      </c>
      <c r="W420" s="24" t="s">
        <v>13</v>
      </c>
    </row>
    <row r="421" spans="1:25" ht="23.1" customHeight="1" x14ac:dyDescent="0.25">
      <c r="A421" s="1" t="s">
        <v>71</v>
      </c>
      <c r="D421" s="3" t="s">
        <v>482</v>
      </c>
      <c r="E421" s="15" t="s">
        <v>481</v>
      </c>
      <c r="F421" s="15" t="s">
        <v>481</v>
      </c>
      <c r="G421" s="15" t="str">
        <f>IFERROR(VLOOKUP(D421,[5]成飞半成品!$A:$B,2,0),VLOOKUP(D421,[5]九院成本!$A$4:$B$48,2,0))</f>
        <v>11968下口盖</v>
      </c>
      <c r="H421" s="3" t="s">
        <v>114</v>
      </c>
      <c r="I421" s="3">
        <v>15</v>
      </c>
      <c r="J421" s="18" t="s">
        <v>1071</v>
      </c>
      <c r="K421" s="3">
        <v>10</v>
      </c>
      <c r="L421" s="3">
        <v>10</v>
      </c>
      <c r="M421" s="19">
        <v>8</v>
      </c>
      <c r="N421" s="19">
        <v>8</v>
      </c>
      <c r="O421" s="5" t="s">
        <v>261</v>
      </c>
      <c r="P421" s="4"/>
      <c r="Q421" s="18">
        <v>45</v>
      </c>
      <c r="R421" s="3"/>
      <c r="S421" s="6"/>
      <c r="T421" s="22"/>
      <c r="V421" s="23">
        <v>7.5</v>
      </c>
      <c r="W421" s="24" t="s">
        <v>13</v>
      </c>
    </row>
    <row r="422" spans="1:25" ht="23.1" customHeight="1" x14ac:dyDescent="0.25">
      <c r="A422" s="1" t="s">
        <v>74</v>
      </c>
      <c r="D422" s="3" t="s">
        <v>714</v>
      </c>
      <c r="E422" s="15" t="s">
        <v>715</v>
      </c>
      <c r="F422" s="15" t="s">
        <v>715</v>
      </c>
      <c r="G422" s="15" t="str">
        <f>IFERROR(VLOOKUP(D422,[5]成飞半成品!$A:$B,2,0),VLOOKUP(D422,[5]九院成本!$A$4:$B$48,2,0))</f>
        <v>3#上垫片</v>
      </c>
      <c r="H422" s="3" t="s">
        <v>46</v>
      </c>
      <c r="I422" s="3">
        <v>20</v>
      </c>
      <c r="J422" s="18" t="s">
        <v>1096</v>
      </c>
      <c r="K422" s="3">
        <v>20</v>
      </c>
      <c r="L422" s="3">
        <v>20</v>
      </c>
      <c r="M422" s="19">
        <v>8</v>
      </c>
      <c r="N422" s="19">
        <v>8</v>
      </c>
      <c r="O422" s="5" t="s">
        <v>261</v>
      </c>
      <c r="P422" s="4"/>
      <c r="Q422" s="18">
        <v>20</v>
      </c>
      <c r="R422" s="3"/>
      <c r="S422" s="6"/>
      <c r="T422" s="22"/>
      <c r="V422" s="23">
        <v>6.7</v>
      </c>
      <c r="W422" s="24" t="s">
        <v>13</v>
      </c>
    </row>
    <row r="423" spans="1:25" ht="23.1" customHeight="1" x14ac:dyDescent="0.25">
      <c r="A423" s="1" t="s">
        <v>74</v>
      </c>
      <c r="D423" s="3" t="s">
        <v>714</v>
      </c>
      <c r="E423" s="15" t="s">
        <v>715</v>
      </c>
      <c r="F423" s="15" t="s">
        <v>715</v>
      </c>
      <c r="G423" s="15" t="str">
        <f>IFERROR(VLOOKUP(D423,[5]成飞半成品!$A:$B,2,0),VLOOKUP(D423,[5]九院成本!$A$4:$B$48,2,0))</f>
        <v>3#上垫片</v>
      </c>
      <c r="H423" s="3" t="s">
        <v>46</v>
      </c>
      <c r="I423" s="3">
        <v>20</v>
      </c>
      <c r="J423" s="18" t="s">
        <v>1096</v>
      </c>
      <c r="K423" s="3">
        <v>20</v>
      </c>
      <c r="L423" s="3">
        <v>20</v>
      </c>
      <c r="M423" s="19">
        <v>8</v>
      </c>
      <c r="N423" s="19">
        <v>8</v>
      </c>
      <c r="O423" s="5" t="s">
        <v>260</v>
      </c>
      <c r="P423" s="4"/>
      <c r="Q423" s="18">
        <v>20</v>
      </c>
      <c r="R423" s="3"/>
      <c r="S423" s="6"/>
      <c r="T423" s="22"/>
      <c r="V423" s="23">
        <v>6.7</v>
      </c>
      <c r="W423" s="24" t="s">
        <v>13</v>
      </c>
    </row>
    <row r="424" spans="1:25" ht="23.1" customHeight="1" x14ac:dyDescent="0.25">
      <c r="A424" s="1" t="s">
        <v>74</v>
      </c>
      <c r="D424" s="3" t="s">
        <v>714</v>
      </c>
      <c r="E424" s="15" t="s">
        <v>715</v>
      </c>
      <c r="F424" s="15" t="s">
        <v>715</v>
      </c>
      <c r="G424" s="15" t="str">
        <f>IFERROR(VLOOKUP(D424,[5]成飞半成品!$A:$B,2,0),VLOOKUP(D424,[5]九院成本!$A$4:$B$48,2,0))</f>
        <v>3#上垫片</v>
      </c>
      <c r="H424" s="3" t="s">
        <v>46</v>
      </c>
      <c r="I424" s="3">
        <v>20</v>
      </c>
      <c r="J424" s="18" t="s">
        <v>1096</v>
      </c>
      <c r="K424" s="3">
        <v>20</v>
      </c>
      <c r="L424" s="3">
        <v>20</v>
      </c>
      <c r="M424" s="19">
        <v>8</v>
      </c>
      <c r="N424" s="19">
        <v>8</v>
      </c>
      <c r="O424" s="5" t="s">
        <v>262</v>
      </c>
      <c r="P424" s="4"/>
      <c r="Q424" s="18">
        <v>20</v>
      </c>
      <c r="R424" s="3"/>
      <c r="S424" s="6"/>
      <c r="T424" s="22"/>
      <c r="V424" s="23">
        <v>6.7</v>
      </c>
      <c r="W424" s="24" t="s">
        <v>13</v>
      </c>
    </row>
    <row r="425" spans="1:25" ht="23.1" customHeight="1" x14ac:dyDescent="0.25">
      <c r="A425" s="1" t="s">
        <v>82</v>
      </c>
      <c r="D425" s="3" t="s">
        <v>714</v>
      </c>
      <c r="E425" s="15" t="s">
        <v>715</v>
      </c>
      <c r="F425" s="15" t="s">
        <v>715</v>
      </c>
      <c r="G425" s="15" t="str">
        <f>IFERROR(VLOOKUP(D425,[5]成飞半成品!$A:$B,2,0),VLOOKUP(D425,[5]九院成本!$A$4:$B$48,2,0))</f>
        <v>3#上垫片</v>
      </c>
      <c r="H425" s="3" t="s">
        <v>46</v>
      </c>
      <c r="I425" s="3">
        <v>20</v>
      </c>
      <c r="J425" s="18" t="s">
        <v>1096</v>
      </c>
      <c r="K425" s="3">
        <v>20</v>
      </c>
      <c r="L425" s="3">
        <v>20</v>
      </c>
      <c r="M425" s="19">
        <v>8</v>
      </c>
      <c r="N425" s="19">
        <v>8</v>
      </c>
      <c r="O425" s="5" t="s">
        <v>263</v>
      </c>
      <c r="P425" s="4"/>
      <c r="Q425" s="18">
        <v>20</v>
      </c>
      <c r="R425" s="3"/>
      <c r="S425" s="6"/>
      <c r="T425" s="22"/>
      <c r="V425" s="23">
        <v>6.7</v>
      </c>
      <c r="W425" s="24" t="s">
        <v>13</v>
      </c>
    </row>
    <row r="426" spans="1:25" ht="23.1" customHeight="1" x14ac:dyDescent="0.25">
      <c r="A426" s="1" t="s">
        <v>82</v>
      </c>
      <c r="D426" s="3" t="s">
        <v>674</v>
      </c>
      <c r="E426" s="15" t="s">
        <v>675</v>
      </c>
      <c r="F426" s="15" t="s">
        <v>675</v>
      </c>
      <c r="G426" s="15" t="str">
        <f>IFERROR(VLOOKUP(D426,[5]成飞半成品!$A:$B,2,0),VLOOKUP(D426,[5]九院成本!$A$4:$B$48,2,0))</f>
        <v>收紧螺母</v>
      </c>
      <c r="H426" s="3" t="s">
        <v>80</v>
      </c>
      <c r="I426" s="3">
        <v>40</v>
      </c>
      <c r="J426" s="18" t="s">
        <v>1142</v>
      </c>
      <c r="K426" s="3">
        <v>34</v>
      </c>
      <c r="L426" s="3">
        <v>34</v>
      </c>
      <c r="M426" s="19">
        <v>8</v>
      </c>
      <c r="N426" s="19">
        <v>8</v>
      </c>
      <c r="O426" s="5" t="s">
        <v>676</v>
      </c>
      <c r="P426" s="4"/>
      <c r="Q426" s="18" t="s">
        <v>1080</v>
      </c>
      <c r="R426" s="3"/>
      <c r="S426" s="6"/>
      <c r="T426" s="22"/>
      <c r="U426" s="7">
        <v>6</v>
      </c>
      <c r="V426" s="23">
        <v>17.3</v>
      </c>
      <c r="W426" s="24" t="s">
        <v>13</v>
      </c>
    </row>
    <row r="427" spans="1:25" ht="23.1" customHeight="1" x14ac:dyDescent="0.25">
      <c r="A427" s="1" t="s">
        <v>100</v>
      </c>
      <c r="D427" s="3" t="s">
        <v>716</v>
      </c>
      <c r="E427" s="15" t="s">
        <v>717</v>
      </c>
      <c r="F427" s="15" t="s">
        <v>717</v>
      </c>
      <c r="G427" s="15" t="str">
        <f>IFERROR(VLOOKUP(D427,[5]成飞半成品!$A:$B,2,0),VLOOKUP(D427,[5]九院成本!$A$4:$B$48,2,0))</f>
        <v>耳环螺栓</v>
      </c>
      <c r="H427" s="3" t="s">
        <v>46</v>
      </c>
      <c r="I427" s="3">
        <v>65</v>
      </c>
      <c r="J427" s="18" t="s">
        <v>1143</v>
      </c>
      <c r="K427" s="3">
        <v>45</v>
      </c>
      <c r="L427" s="3">
        <v>45</v>
      </c>
      <c r="M427" s="19">
        <v>8</v>
      </c>
      <c r="N427" s="19">
        <v>8</v>
      </c>
      <c r="O427" s="5" t="s">
        <v>718</v>
      </c>
      <c r="P427" s="4"/>
      <c r="Q427" s="18">
        <v>30</v>
      </c>
      <c r="R427" s="3"/>
      <c r="S427" s="6"/>
      <c r="T427" s="22"/>
      <c r="V427" s="23">
        <v>22.5</v>
      </c>
      <c r="W427" s="24" t="s">
        <v>13</v>
      </c>
    </row>
    <row r="428" spans="1:25" ht="23.1" customHeight="1" x14ac:dyDescent="0.25">
      <c r="A428" s="1" t="s">
        <v>109</v>
      </c>
      <c r="D428" s="3" t="s">
        <v>719</v>
      </c>
      <c r="E428" s="15" t="s">
        <v>45</v>
      </c>
      <c r="F428" s="15" t="s">
        <v>45</v>
      </c>
      <c r="G428" s="15" t="str">
        <f>IFERROR(VLOOKUP(D428,[5]成飞半成品!$A:$B,2,0),VLOOKUP(D428,[5]九院成本!$A$4:$B$48,2,0))</f>
        <v>四通接头</v>
      </c>
      <c r="H428" s="3" t="s">
        <v>46</v>
      </c>
      <c r="I428" s="3">
        <v>85</v>
      </c>
      <c r="J428" s="18" t="s">
        <v>1144</v>
      </c>
      <c r="K428" s="3">
        <v>5</v>
      </c>
      <c r="L428" s="3">
        <v>5</v>
      </c>
      <c r="M428" s="19">
        <v>8</v>
      </c>
      <c r="N428" s="19">
        <v>8</v>
      </c>
      <c r="O428" s="5" t="s">
        <v>440</v>
      </c>
      <c r="P428" s="4"/>
      <c r="Q428" s="18">
        <v>45</v>
      </c>
      <c r="R428" s="3"/>
      <c r="S428" s="6"/>
      <c r="T428" s="22"/>
      <c r="V428" s="23">
        <v>3.8</v>
      </c>
      <c r="W428" s="24" t="s">
        <v>13</v>
      </c>
    </row>
    <row r="429" spans="1:25" ht="23.1" customHeight="1" x14ac:dyDescent="0.25">
      <c r="A429" s="1" t="s">
        <v>109</v>
      </c>
      <c r="D429" s="3" t="s">
        <v>719</v>
      </c>
      <c r="E429" s="15" t="s">
        <v>45</v>
      </c>
      <c r="F429" s="15" t="s">
        <v>45</v>
      </c>
      <c r="G429" s="15" t="str">
        <f>IFERROR(VLOOKUP(D429,[5]成飞半成品!$A:$B,2,0),VLOOKUP(D429,[5]九院成本!$A$4:$B$48,2,0))</f>
        <v>四通接头</v>
      </c>
      <c r="H429" s="3" t="s">
        <v>46</v>
      </c>
      <c r="I429" s="3">
        <v>85</v>
      </c>
      <c r="J429" s="18" t="s">
        <v>1144</v>
      </c>
      <c r="K429" s="3">
        <v>14</v>
      </c>
      <c r="L429" s="3">
        <v>14</v>
      </c>
      <c r="M429" s="19">
        <v>8</v>
      </c>
      <c r="N429" s="19">
        <v>8</v>
      </c>
      <c r="O429" s="5" t="s">
        <v>56</v>
      </c>
      <c r="P429" s="4"/>
      <c r="Q429" s="18">
        <v>45</v>
      </c>
      <c r="R429" s="3"/>
      <c r="S429" s="6"/>
      <c r="T429" s="22"/>
      <c r="V429" s="23">
        <v>10.5</v>
      </c>
      <c r="W429" s="24" t="s">
        <v>13</v>
      </c>
    </row>
    <row r="430" spans="1:25" ht="23.1" customHeight="1" x14ac:dyDescent="0.25">
      <c r="A430" s="1" t="s">
        <v>562</v>
      </c>
      <c r="D430" s="3" t="s">
        <v>245</v>
      </c>
      <c r="E430" s="15" t="s">
        <v>246</v>
      </c>
      <c r="F430" s="15" t="s">
        <v>246</v>
      </c>
      <c r="G430" s="15" t="str">
        <f>IFERROR(VLOOKUP(D430,[5]成飞半成品!$A:$B,2,0),VLOOKUP(D430,[5]九院成本!$A$4:$B$48,2,0))</f>
        <v>环</v>
      </c>
      <c r="H430" s="3" t="s">
        <v>46</v>
      </c>
      <c r="I430" s="3">
        <v>15</v>
      </c>
      <c r="J430" s="18" t="s">
        <v>1071</v>
      </c>
      <c r="K430" s="3">
        <v>100</v>
      </c>
      <c r="L430" s="3">
        <v>100</v>
      </c>
      <c r="M430" s="19">
        <v>8</v>
      </c>
      <c r="N430" s="19">
        <v>8</v>
      </c>
      <c r="O430" s="5" t="s">
        <v>196</v>
      </c>
      <c r="P430" s="4"/>
      <c r="Q430" s="18">
        <v>8</v>
      </c>
      <c r="R430" s="3"/>
      <c r="S430" s="6"/>
      <c r="T430" s="22"/>
      <c r="V430" s="23">
        <v>13.3</v>
      </c>
      <c r="W430" s="24" t="s">
        <v>13</v>
      </c>
    </row>
    <row r="431" spans="1:25" ht="23.1" customHeight="1" x14ac:dyDescent="0.25">
      <c r="A431" s="1" t="s">
        <v>562</v>
      </c>
      <c r="D431" s="3" t="s">
        <v>245</v>
      </c>
      <c r="E431" s="15" t="s">
        <v>246</v>
      </c>
      <c r="F431" s="15" t="s">
        <v>246</v>
      </c>
      <c r="G431" s="15" t="str">
        <f>IFERROR(VLOOKUP(D431,[5]成飞半成品!$A:$B,2,0),VLOOKUP(D431,[5]九院成本!$A$4:$B$48,2,0))</f>
        <v>环</v>
      </c>
      <c r="H431" s="3" t="s">
        <v>46</v>
      </c>
      <c r="I431" s="3">
        <v>15</v>
      </c>
      <c r="J431" s="18" t="s">
        <v>1071</v>
      </c>
      <c r="K431" s="3">
        <v>1</v>
      </c>
      <c r="L431" s="3">
        <v>1</v>
      </c>
      <c r="M431" s="19">
        <v>8</v>
      </c>
      <c r="N431" s="19">
        <v>8</v>
      </c>
      <c r="O431" s="5" t="s">
        <v>102</v>
      </c>
      <c r="P431" s="4"/>
      <c r="Q431" s="18">
        <v>8</v>
      </c>
      <c r="R431" s="3"/>
      <c r="S431" s="6"/>
      <c r="T431" s="22"/>
      <c r="V431" s="23">
        <v>0.1</v>
      </c>
      <c r="W431" s="24" t="s">
        <v>13</v>
      </c>
    </row>
    <row r="432" spans="1:25" ht="23.1" customHeight="1" x14ac:dyDescent="0.25">
      <c r="A432" s="1" t="s">
        <v>116</v>
      </c>
      <c r="D432" s="3" t="s">
        <v>573</v>
      </c>
      <c r="E432" s="15" t="s">
        <v>572</v>
      </c>
      <c r="F432" s="15" t="s">
        <v>1090</v>
      </c>
      <c r="G432" s="15" t="str">
        <f>IFERROR(VLOOKUP(D432,[5]成飞半成品!$A:$B,2,0),VLOOKUP(D432,[5]九院成本!$A$4:$B$48,2,0))</f>
        <v>1N-2020-11-029</v>
      </c>
      <c r="H432" s="3" t="s">
        <v>80</v>
      </c>
      <c r="I432" s="3" t="s">
        <v>340</v>
      </c>
      <c r="J432" s="18" t="e">
        <v>#N/A</v>
      </c>
      <c r="K432" s="3">
        <v>66</v>
      </c>
      <c r="L432" s="3">
        <v>66</v>
      </c>
      <c r="M432" s="19">
        <v>8</v>
      </c>
      <c r="N432" s="19">
        <v>8</v>
      </c>
      <c r="O432" s="5" t="s">
        <v>573</v>
      </c>
      <c r="P432" s="4"/>
      <c r="Q432" s="18">
        <v>10</v>
      </c>
      <c r="R432" s="3"/>
      <c r="S432" s="6"/>
      <c r="T432" s="22"/>
      <c r="V432" s="23">
        <v>11</v>
      </c>
      <c r="W432" s="24" t="s">
        <v>13</v>
      </c>
      <c r="X432" s="7" t="s">
        <v>518</v>
      </c>
      <c r="Y432" s="7" t="s">
        <v>203</v>
      </c>
    </row>
    <row r="433" spans="1:25" ht="23.1" customHeight="1" x14ac:dyDescent="0.25">
      <c r="A433" s="1" t="s">
        <v>100</v>
      </c>
      <c r="D433" s="3" t="s">
        <v>674</v>
      </c>
      <c r="E433" s="15" t="s">
        <v>675</v>
      </c>
      <c r="F433" s="15" t="s">
        <v>675</v>
      </c>
      <c r="G433" s="15" t="str">
        <f>IFERROR(VLOOKUP(D433,[5]成飞半成品!$A:$B,2,0),VLOOKUP(D433,[5]九院成本!$A$4:$B$48,2,0))</f>
        <v>收紧螺母</v>
      </c>
      <c r="H433" s="3" t="s">
        <v>80</v>
      </c>
      <c r="I433" s="3" t="s">
        <v>340</v>
      </c>
      <c r="J433" s="18" t="e">
        <v>#N/A</v>
      </c>
      <c r="K433" s="3">
        <v>34</v>
      </c>
      <c r="L433" s="3">
        <v>34</v>
      </c>
      <c r="M433" s="19">
        <v>8</v>
      </c>
      <c r="N433" s="19">
        <v>8</v>
      </c>
      <c r="O433" s="5" t="s">
        <v>676</v>
      </c>
      <c r="P433" s="4"/>
      <c r="Q433" s="18">
        <v>15</v>
      </c>
      <c r="R433" s="3"/>
      <c r="S433" s="6"/>
      <c r="T433" s="22"/>
      <c r="V433" s="23">
        <v>8.5</v>
      </c>
      <c r="W433" s="24" t="s">
        <v>13</v>
      </c>
      <c r="X433" s="7" t="s">
        <v>257</v>
      </c>
      <c r="Y433" s="7" t="s">
        <v>203</v>
      </c>
    </row>
    <row r="434" spans="1:25" ht="23.1" customHeight="1" x14ac:dyDescent="0.25">
      <c r="A434" s="1" t="s">
        <v>121</v>
      </c>
      <c r="D434" s="3" t="s">
        <v>720</v>
      </c>
      <c r="E434" s="15" t="s">
        <v>446</v>
      </c>
      <c r="F434" s="15" t="s">
        <v>446</v>
      </c>
      <c r="G434" s="15" t="str">
        <f>IFERROR(VLOOKUP(D434,[5]成飞半成品!$A:$B,2,0),VLOOKUP(D434,[5]九院成本!$A$4:$B$48,2,0))</f>
        <v>摇臂</v>
      </c>
      <c r="H434" s="3" t="s">
        <v>51</v>
      </c>
      <c r="I434" s="3" t="s">
        <v>340</v>
      </c>
      <c r="J434" s="18" t="e">
        <v>#N/A</v>
      </c>
      <c r="K434" s="3">
        <v>19</v>
      </c>
      <c r="L434" s="3">
        <v>19</v>
      </c>
      <c r="M434" s="19">
        <v>8</v>
      </c>
      <c r="N434" s="19">
        <v>8</v>
      </c>
      <c r="O434" s="5" t="s">
        <v>721</v>
      </c>
      <c r="P434" s="4"/>
      <c r="Q434" s="18">
        <v>20</v>
      </c>
      <c r="R434" s="3"/>
      <c r="S434" s="6"/>
      <c r="T434" s="22"/>
      <c r="V434" s="23">
        <v>6.3</v>
      </c>
      <c r="W434" s="24" t="s">
        <v>4</v>
      </c>
      <c r="X434" s="7" t="s">
        <v>722</v>
      </c>
    </row>
    <row r="435" spans="1:25" ht="23.1" customHeight="1" x14ac:dyDescent="0.25">
      <c r="A435" s="1" t="s">
        <v>48</v>
      </c>
      <c r="D435" s="3" t="s">
        <v>482</v>
      </c>
      <c r="E435" s="15" t="s">
        <v>481</v>
      </c>
      <c r="F435" s="15" t="s">
        <v>481</v>
      </c>
      <c r="G435" s="15" t="str">
        <f>IFERROR(VLOOKUP(D435,[5]成飞半成品!$A:$B,2,0),VLOOKUP(D435,[5]九院成本!$A$4:$B$48,2,0))</f>
        <v>11968下口盖</v>
      </c>
      <c r="H435" s="3" t="s">
        <v>114</v>
      </c>
      <c r="I435" s="3" t="s">
        <v>340</v>
      </c>
      <c r="J435" s="18" t="e">
        <v>#N/A</v>
      </c>
      <c r="K435" s="3">
        <v>40</v>
      </c>
      <c r="L435" s="3">
        <v>40</v>
      </c>
      <c r="M435" s="19">
        <v>8</v>
      </c>
      <c r="N435" s="19">
        <v>8</v>
      </c>
      <c r="O435" s="5" t="s">
        <v>264</v>
      </c>
      <c r="P435" s="4"/>
      <c r="Q435" s="18">
        <v>20</v>
      </c>
      <c r="R435" s="3"/>
      <c r="S435" s="6"/>
      <c r="T435" s="22"/>
      <c r="V435" s="23">
        <v>13.3</v>
      </c>
      <c r="W435" s="24" t="s">
        <v>4</v>
      </c>
      <c r="X435" s="7" t="s">
        <v>723</v>
      </c>
    </row>
    <row r="436" spans="1:25" ht="23.1" customHeight="1" x14ac:dyDescent="0.25">
      <c r="A436" s="1" t="s">
        <v>48</v>
      </c>
      <c r="D436" s="3" t="s">
        <v>482</v>
      </c>
      <c r="E436" s="15" t="s">
        <v>481</v>
      </c>
      <c r="F436" s="15" t="s">
        <v>481</v>
      </c>
      <c r="G436" s="15" t="str">
        <f>IFERROR(VLOOKUP(D436,[5]成飞半成品!$A:$B,2,0),VLOOKUP(D436,[5]九院成本!$A$4:$B$48,2,0))</f>
        <v>11968下口盖</v>
      </c>
      <c r="H436" s="3" t="s">
        <v>114</v>
      </c>
      <c r="I436" s="3" t="s">
        <v>340</v>
      </c>
      <c r="J436" s="18" t="e">
        <v>#N/A</v>
      </c>
      <c r="K436" s="3">
        <v>40</v>
      </c>
      <c r="L436" s="3">
        <v>40</v>
      </c>
      <c r="M436" s="19">
        <v>8</v>
      </c>
      <c r="N436" s="19">
        <v>8</v>
      </c>
      <c r="O436" s="5" t="s">
        <v>263</v>
      </c>
      <c r="P436" s="4"/>
      <c r="Q436" s="18">
        <v>20</v>
      </c>
      <c r="R436" s="3"/>
      <c r="S436" s="6"/>
      <c r="T436" s="22"/>
      <c r="V436" s="23">
        <v>13.3</v>
      </c>
      <c r="W436" s="24" t="s">
        <v>4</v>
      </c>
      <c r="X436" s="7" t="s">
        <v>723</v>
      </c>
    </row>
    <row r="437" spans="1:25" ht="23.1" customHeight="1" x14ac:dyDescent="0.25">
      <c r="A437" s="1" t="s">
        <v>48</v>
      </c>
      <c r="D437" s="3" t="s">
        <v>724</v>
      </c>
      <c r="E437" s="15" t="s">
        <v>725</v>
      </c>
      <c r="F437" s="15" t="s">
        <v>725</v>
      </c>
      <c r="G437" s="15" t="str">
        <f>IFERROR(VLOOKUP(D437,[5]成飞半成品!$A:$B,2,0),VLOOKUP(D437,[5]九院成本!$A$4:$B$48,2,0))</f>
        <v>弓形件</v>
      </c>
      <c r="H437" s="3" t="s">
        <v>147</v>
      </c>
      <c r="I437" s="3" t="s">
        <v>726</v>
      </c>
      <c r="J437" s="18" t="e">
        <v>#N/A</v>
      </c>
      <c r="K437" s="3">
        <v>13</v>
      </c>
      <c r="L437" s="3">
        <v>13</v>
      </c>
      <c r="M437" s="19">
        <v>8</v>
      </c>
      <c r="N437" s="19">
        <v>8</v>
      </c>
      <c r="O437" s="5" t="s">
        <v>727</v>
      </c>
      <c r="P437" s="4"/>
      <c r="Q437" s="18">
        <v>30</v>
      </c>
      <c r="R437" s="3"/>
      <c r="S437" s="6"/>
      <c r="T437" s="22"/>
      <c r="V437" s="23">
        <v>6.5</v>
      </c>
      <c r="W437" s="24" t="s">
        <v>4</v>
      </c>
      <c r="X437" s="7" t="s">
        <v>728</v>
      </c>
    </row>
    <row r="438" spans="1:25" ht="23.1" customHeight="1" x14ac:dyDescent="0.25">
      <c r="A438" s="1" t="s">
        <v>53</v>
      </c>
      <c r="D438" s="3" t="s">
        <v>522</v>
      </c>
      <c r="E438" s="15" t="s">
        <v>523</v>
      </c>
      <c r="F438" s="15" t="s">
        <v>523</v>
      </c>
      <c r="G438" s="15" t="str">
        <f>IFERROR(VLOOKUP(D438,[5]成飞半成品!$A:$B,2,0),VLOOKUP(D438,[5]九院成本!$A$4:$B$48,2,0))</f>
        <v>三通管接头</v>
      </c>
      <c r="H438" s="3" t="s">
        <v>46</v>
      </c>
      <c r="I438" s="3" t="s">
        <v>340</v>
      </c>
      <c r="J438" s="18" t="e">
        <v>#N/A</v>
      </c>
      <c r="K438" s="3">
        <v>20</v>
      </c>
      <c r="L438" s="3">
        <v>20</v>
      </c>
      <c r="M438" s="19">
        <v>8</v>
      </c>
      <c r="N438" s="19">
        <v>8</v>
      </c>
      <c r="O438" s="5" t="s">
        <v>56</v>
      </c>
      <c r="P438" s="4"/>
      <c r="Q438" s="18">
        <v>20</v>
      </c>
      <c r="R438" s="3"/>
      <c r="S438" s="6"/>
      <c r="T438" s="22"/>
      <c r="V438" s="23">
        <v>6.7</v>
      </c>
      <c r="W438" s="24" t="s">
        <v>4</v>
      </c>
      <c r="X438" s="7" t="s">
        <v>729</v>
      </c>
    </row>
    <row r="439" spans="1:25" ht="23.1" customHeight="1" x14ac:dyDescent="0.25">
      <c r="A439" s="1" t="s">
        <v>53</v>
      </c>
      <c r="D439" s="3" t="s">
        <v>730</v>
      </c>
      <c r="E439" s="15" t="s">
        <v>396</v>
      </c>
      <c r="F439" s="15" t="e">
        <v>#N/A</v>
      </c>
      <c r="G439" s="15" t="e">
        <f>IFERROR(VLOOKUP(D439,[5]成飞半成品!$A:$B,2,0),VLOOKUP(D439,[5]九院成本!$A$4:$B$48,2,0))</f>
        <v>#N/A</v>
      </c>
      <c r="H439" s="3" t="s">
        <v>46</v>
      </c>
      <c r="I439" s="3" t="s">
        <v>340</v>
      </c>
      <c r="J439" s="18" t="e">
        <v>#N/A</v>
      </c>
      <c r="K439" s="3">
        <v>4</v>
      </c>
      <c r="L439" s="3">
        <v>4</v>
      </c>
      <c r="M439" s="19">
        <v>8</v>
      </c>
      <c r="N439" s="19">
        <v>8</v>
      </c>
      <c r="O439" s="5" t="s">
        <v>731</v>
      </c>
      <c r="P439" s="4"/>
      <c r="Q439" s="18">
        <v>0</v>
      </c>
      <c r="R439" s="3"/>
      <c r="S439" s="6"/>
      <c r="T439" s="22"/>
      <c r="U439" s="7">
        <v>6</v>
      </c>
      <c r="V439" s="23">
        <v>6</v>
      </c>
      <c r="W439" s="24" t="s">
        <v>4</v>
      </c>
      <c r="X439" s="7" t="s">
        <v>732</v>
      </c>
      <c r="Y439" s="7" t="s">
        <v>733</v>
      </c>
    </row>
    <row r="440" spans="1:25" ht="23.1" customHeight="1" x14ac:dyDescent="0.25">
      <c r="A440" s="1" t="s">
        <v>734</v>
      </c>
      <c r="D440" s="3" t="s">
        <v>666</v>
      </c>
      <c r="E440" s="15" t="s">
        <v>659</v>
      </c>
      <c r="F440" s="15" t="s">
        <v>659</v>
      </c>
      <c r="G440" s="15" t="str">
        <f>IFERROR(VLOOKUP(D440,[5]成飞半成品!$A:$B,2,0),VLOOKUP(D440,[5]九院成本!$A$4:$B$48,2,0))</f>
        <v>角材</v>
      </c>
      <c r="H440" s="3" t="s">
        <v>46</v>
      </c>
      <c r="I440" s="3" t="s">
        <v>726</v>
      </c>
      <c r="J440" s="18" t="e">
        <v>#N/A</v>
      </c>
      <c r="K440" s="3">
        <v>18</v>
      </c>
      <c r="L440" s="3">
        <v>18</v>
      </c>
      <c r="M440" s="19">
        <v>8</v>
      </c>
      <c r="N440" s="19">
        <v>8</v>
      </c>
      <c r="O440" s="5" t="s">
        <v>662</v>
      </c>
      <c r="P440" s="4"/>
      <c r="Q440" s="18">
        <v>20</v>
      </c>
      <c r="R440" s="3"/>
      <c r="S440" s="6"/>
      <c r="T440" s="22"/>
      <c r="V440" s="23">
        <v>6</v>
      </c>
      <c r="W440" s="24" t="s">
        <v>4</v>
      </c>
    </row>
    <row r="441" spans="1:25" ht="23.1" customHeight="1" x14ac:dyDescent="0.25">
      <c r="A441" s="1" t="s">
        <v>734</v>
      </c>
      <c r="D441" s="3" t="s">
        <v>482</v>
      </c>
      <c r="E441" s="15" t="s">
        <v>481</v>
      </c>
      <c r="F441" s="15" t="s">
        <v>481</v>
      </c>
      <c r="G441" s="15" t="str">
        <f>IFERROR(VLOOKUP(D441,[5]成飞半成品!$A:$B,2,0),VLOOKUP(D441,[5]九院成本!$A$4:$B$48,2,0))</f>
        <v>11968下口盖</v>
      </c>
      <c r="H441" s="3" t="s">
        <v>114</v>
      </c>
      <c r="I441" s="3">
        <v>5</v>
      </c>
      <c r="J441" s="18" t="s">
        <v>1145</v>
      </c>
      <c r="K441" s="3">
        <v>80</v>
      </c>
      <c r="L441" s="3">
        <v>80</v>
      </c>
      <c r="M441" s="19">
        <v>8</v>
      </c>
      <c r="N441" s="19">
        <v>8</v>
      </c>
      <c r="O441" s="5" t="s">
        <v>735</v>
      </c>
      <c r="P441" s="4"/>
      <c r="Q441" s="18">
        <v>20</v>
      </c>
      <c r="R441" s="3"/>
      <c r="S441" s="6"/>
      <c r="T441" s="22"/>
      <c r="V441" s="23">
        <v>26.7</v>
      </c>
      <c r="W441" s="24" t="s">
        <v>4</v>
      </c>
      <c r="X441" s="7" t="s">
        <v>736</v>
      </c>
    </row>
    <row r="442" spans="1:25" ht="23.1" customHeight="1" x14ac:dyDescent="0.25">
      <c r="A442" s="1" t="s">
        <v>65</v>
      </c>
      <c r="D442" s="3" t="s">
        <v>737</v>
      </c>
      <c r="E442" s="15" t="s">
        <v>91</v>
      </c>
      <c r="F442" s="15" t="s">
        <v>91</v>
      </c>
      <c r="G442" s="15" t="str">
        <f>IFERROR(VLOOKUP(D442,[5]成飞半成品!$A:$B,2,0),VLOOKUP(D442,[5]九院成本!$A$4:$B$48,2,0))</f>
        <v>螺栓</v>
      </c>
      <c r="J442" s="18" t="e">
        <v>#N/A</v>
      </c>
      <c r="K442" s="3">
        <v>16</v>
      </c>
      <c r="L442" s="3">
        <v>16</v>
      </c>
      <c r="M442" s="19">
        <v>8</v>
      </c>
      <c r="N442" s="19">
        <v>8</v>
      </c>
      <c r="O442" s="5" t="s">
        <v>520</v>
      </c>
      <c r="P442" s="4"/>
      <c r="Q442" s="18">
        <v>30</v>
      </c>
      <c r="R442" s="3"/>
      <c r="S442" s="6"/>
      <c r="T442" s="22"/>
      <c r="V442" s="23">
        <v>8</v>
      </c>
      <c r="W442" s="24" t="s">
        <v>4</v>
      </c>
      <c r="X442" s="7" t="s">
        <v>738</v>
      </c>
    </row>
    <row r="443" spans="1:25" ht="23.1" customHeight="1" x14ac:dyDescent="0.25">
      <c r="A443" s="1" t="s">
        <v>65</v>
      </c>
      <c r="D443" s="3" t="s">
        <v>671</v>
      </c>
      <c r="E443" s="15" t="s">
        <v>672</v>
      </c>
      <c r="F443" s="15" t="s">
        <v>672</v>
      </c>
      <c r="G443" s="15" t="str">
        <f>IFERROR(VLOOKUP(D443,[5]成飞半成品!$A:$B,2,0),VLOOKUP(D443,[5]九院成本!$A$4:$B$48,2,0))</f>
        <v>圆柱销</v>
      </c>
      <c r="H443" s="3" t="s">
        <v>46</v>
      </c>
      <c r="I443" s="3" t="s">
        <v>340</v>
      </c>
      <c r="J443" s="18" t="e">
        <v>#N/A</v>
      </c>
      <c r="K443" s="3">
        <v>3</v>
      </c>
      <c r="L443" s="3">
        <v>3</v>
      </c>
      <c r="M443" s="19">
        <v>8</v>
      </c>
      <c r="N443" s="19">
        <v>8</v>
      </c>
      <c r="O443" s="5" t="s">
        <v>673</v>
      </c>
      <c r="P443" s="4"/>
      <c r="Q443" s="18">
        <v>20</v>
      </c>
      <c r="R443" s="3"/>
      <c r="S443" s="6"/>
      <c r="T443" s="22"/>
      <c r="V443" s="23">
        <v>1</v>
      </c>
      <c r="W443" s="24" t="s">
        <v>4</v>
      </c>
      <c r="X443" s="7" t="s">
        <v>739</v>
      </c>
    </row>
    <row r="444" spans="1:25" ht="23.1" customHeight="1" x14ac:dyDescent="0.25">
      <c r="A444" s="1" t="s">
        <v>71</v>
      </c>
      <c r="D444" s="3" t="s">
        <v>1174</v>
      </c>
      <c r="E444" s="15" t="s">
        <v>333</v>
      </c>
      <c r="F444" s="15" t="s">
        <v>333</v>
      </c>
      <c r="G444" s="15" t="str">
        <f>IFERROR(VLOOKUP(D444,[5]成飞半成品!$A:$B,2,0),VLOOKUP(D444,[5]九院成本!$A$4:$B$48,2,0))</f>
        <v>梁（左件）</v>
      </c>
      <c r="I444" s="3" t="s">
        <v>726</v>
      </c>
      <c r="J444" s="18" t="e">
        <v>#N/A</v>
      </c>
      <c r="K444" s="3">
        <v>1</v>
      </c>
      <c r="L444" s="3">
        <v>14</v>
      </c>
      <c r="M444" s="19">
        <v>8</v>
      </c>
      <c r="N444" s="19">
        <v>8</v>
      </c>
      <c r="O444" s="5" t="s">
        <v>141</v>
      </c>
      <c r="P444" s="4"/>
      <c r="Q444" s="18">
        <v>720</v>
      </c>
      <c r="R444" s="3"/>
      <c r="S444" s="6"/>
      <c r="T444" s="22"/>
      <c r="V444" s="23">
        <v>168</v>
      </c>
      <c r="W444" s="24" t="s">
        <v>4</v>
      </c>
      <c r="X444" s="7" t="s">
        <v>741</v>
      </c>
    </row>
    <row r="445" spans="1:25" ht="23.1" customHeight="1" x14ac:dyDescent="0.25">
      <c r="A445" s="1" t="s">
        <v>71</v>
      </c>
      <c r="D445" s="3" t="s">
        <v>345</v>
      </c>
      <c r="E445" s="15" t="s">
        <v>346</v>
      </c>
      <c r="F445" s="15" t="s">
        <v>346</v>
      </c>
      <c r="G445" s="15" t="str">
        <f>IFERROR(VLOOKUP(D445,[5]成飞半成品!$A:$B,2,0),VLOOKUP(D445,[5]九院成本!$A$4:$B$48,2,0))</f>
        <v>18框前33长桁</v>
      </c>
      <c r="H445" s="3" t="s">
        <v>64</v>
      </c>
      <c r="I445" s="3" t="s">
        <v>726</v>
      </c>
      <c r="J445" s="18" t="e">
        <v>#N/A</v>
      </c>
      <c r="K445" s="3">
        <v>1</v>
      </c>
      <c r="L445" s="3">
        <v>1</v>
      </c>
      <c r="M445" s="19">
        <v>8</v>
      </c>
      <c r="N445" s="19">
        <v>8</v>
      </c>
      <c r="O445" s="5" t="s">
        <v>347</v>
      </c>
      <c r="P445" s="4"/>
      <c r="Q445" s="18">
        <v>300</v>
      </c>
      <c r="R445" s="3"/>
      <c r="S445" s="6"/>
      <c r="T445" s="22"/>
      <c r="V445" s="23">
        <v>5</v>
      </c>
      <c r="W445" s="24" t="s">
        <v>4</v>
      </c>
      <c r="X445" s="7" t="s">
        <v>742</v>
      </c>
    </row>
    <row r="446" spans="1:25" ht="23.1" customHeight="1" x14ac:dyDescent="0.25">
      <c r="A446" s="1" t="s">
        <v>89</v>
      </c>
      <c r="D446" s="3" t="s">
        <v>743</v>
      </c>
      <c r="E446" s="15" t="s">
        <v>297</v>
      </c>
      <c r="F446" s="15" t="s">
        <v>297</v>
      </c>
      <c r="G446" s="15" t="str">
        <f>IFERROR(VLOOKUP(D446,[5]成飞半成品!$A:$B,2,0),VLOOKUP(D446,[5]九院成本!$A$4:$B$48,2,0))</f>
        <v>侧下梁</v>
      </c>
      <c r="I446" s="3" t="s">
        <v>340</v>
      </c>
      <c r="J446" s="18" t="e">
        <v>#N/A</v>
      </c>
      <c r="K446" s="3">
        <v>2</v>
      </c>
      <c r="L446" s="3">
        <v>2</v>
      </c>
      <c r="M446" s="19">
        <v>8</v>
      </c>
      <c r="N446" s="19">
        <v>8</v>
      </c>
      <c r="O446" s="5" t="s">
        <v>141</v>
      </c>
      <c r="P446" s="4"/>
      <c r="Q446" s="18">
        <v>120</v>
      </c>
      <c r="R446" s="3"/>
      <c r="S446" s="6"/>
      <c r="T446" s="22"/>
      <c r="V446" s="23">
        <v>4</v>
      </c>
      <c r="W446" s="24" t="s">
        <v>4</v>
      </c>
      <c r="X446" s="7" t="s">
        <v>744</v>
      </c>
    </row>
    <row r="447" spans="1:25" ht="23.1" customHeight="1" x14ac:dyDescent="0.25">
      <c r="A447" s="1" t="s">
        <v>100</v>
      </c>
      <c r="D447" s="3" t="s">
        <v>745</v>
      </c>
      <c r="E447" s="15" t="s">
        <v>297</v>
      </c>
      <c r="F447" s="15" t="s">
        <v>297</v>
      </c>
      <c r="G447" s="15" t="str">
        <f>IFERROR(VLOOKUP(D447,[5]成飞半成品!$A:$B,2,0),VLOOKUP(D447,[5]九院成本!$A$4:$B$48,2,0))</f>
        <v>侧下梁</v>
      </c>
      <c r="I447" s="3" t="s">
        <v>340</v>
      </c>
      <c r="J447" s="18" t="e">
        <v>#N/A</v>
      </c>
      <c r="K447" s="3">
        <v>2</v>
      </c>
      <c r="L447" s="3">
        <v>2</v>
      </c>
      <c r="M447" s="19">
        <v>8</v>
      </c>
      <c r="N447" s="19">
        <v>8</v>
      </c>
      <c r="O447" s="5" t="s">
        <v>141</v>
      </c>
      <c r="P447" s="4"/>
      <c r="Q447" s="18">
        <v>120</v>
      </c>
      <c r="R447" s="3"/>
      <c r="S447" s="6"/>
      <c r="T447" s="22"/>
      <c r="V447" s="23">
        <v>4</v>
      </c>
      <c r="W447" s="24" t="s">
        <v>4</v>
      </c>
      <c r="X447" s="7" t="s">
        <v>744</v>
      </c>
    </row>
    <row r="448" spans="1:25" ht="23.1" customHeight="1" x14ac:dyDescent="0.25">
      <c r="A448" s="1" t="s">
        <v>100</v>
      </c>
      <c r="D448" s="3" t="s">
        <v>746</v>
      </c>
      <c r="E448" s="15" t="s">
        <v>747</v>
      </c>
      <c r="F448" s="15" t="s">
        <v>747</v>
      </c>
      <c r="G448" s="15" t="str">
        <f>IFERROR(VLOOKUP(D448,[5]成飞半成品!$A:$B,2,0),VLOOKUP(D448,[5]九院成本!$A$4:$B$48,2,0))</f>
        <v>Z支架</v>
      </c>
      <c r="H448" s="3" t="s">
        <v>46</v>
      </c>
      <c r="I448" s="3">
        <v>55</v>
      </c>
      <c r="J448" s="18" t="s">
        <v>1086</v>
      </c>
      <c r="K448" s="3">
        <v>40</v>
      </c>
      <c r="L448" s="3">
        <v>40</v>
      </c>
      <c r="M448" s="19">
        <v>8</v>
      </c>
      <c r="N448" s="19">
        <v>8</v>
      </c>
      <c r="O448" s="5" t="s">
        <v>56</v>
      </c>
      <c r="P448" s="4"/>
      <c r="Q448" s="18">
        <v>25</v>
      </c>
      <c r="R448" s="3"/>
      <c r="S448" s="6"/>
      <c r="T448" s="22"/>
      <c r="V448" s="23">
        <v>16.7</v>
      </c>
      <c r="W448" s="24" t="s">
        <v>4</v>
      </c>
    </row>
    <row r="449" spans="1:24" ht="23.1" customHeight="1" x14ac:dyDescent="0.25">
      <c r="A449" s="1" t="s">
        <v>103</v>
      </c>
      <c r="D449" s="3" t="s">
        <v>746</v>
      </c>
      <c r="E449" s="15" t="s">
        <v>747</v>
      </c>
      <c r="F449" s="15" t="s">
        <v>747</v>
      </c>
      <c r="G449" s="15" t="str">
        <f>IFERROR(VLOOKUP(D449,[5]成飞半成品!$A:$B,2,0),VLOOKUP(D449,[5]九院成本!$A$4:$B$48,2,0))</f>
        <v>Z支架</v>
      </c>
      <c r="H449" s="3" t="s">
        <v>46</v>
      </c>
      <c r="I449" s="3" t="s">
        <v>726</v>
      </c>
      <c r="J449" s="18" t="e">
        <v>#N/A</v>
      </c>
      <c r="K449" s="3">
        <v>40</v>
      </c>
      <c r="L449" s="3">
        <v>40</v>
      </c>
      <c r="M449" s="19">
        <v>8</v>
      </c>
      <c r="N449" s="19">
        <v>8</v>
      </c>
      <c r="O449" s="5" t="s">
        <v>56</v>
      </c>
      <c r="P449" s="4"/>
      <c r="Q449" s="18">
        <v>20</v>
      </c>
      <c r="R449" s="3"/>
      <c r="S449" s="6"/>
      <c r="T449" s="22"/>
      <c r="V449" s="23">
        <v>13.3</v>
      </c>
      <c r="W449" s="24" t="s">
        <v>4</v>
      </c>
      <c r="X449" s="7" t="s">
        <v>748</v>
      </c>
    </row>
    <row r="450" spans="1:24" ht="23.1" customHeight="1" x14ac:dyDescent="0.25">
      <c r="A450" s="1" t="s">
        <v>103</v>
      </c>
      <c r="D450" s="3" t="s">
        <v>417</v>
      </c>
      <c r="E450" s="15" t="s">
        <v>418</v>
      </c>
      <c r="F450" s="15" t="s">
        <v>418</v>
      </c>
      <c r="G450" s="15" t="str">
        <f>IFERROR(VLOOKUP(D450,[5]成飞半成品!$A:$B,2,0),VLOOKUP(D450,[5]九院成本!$A$4:$B$48,2,0))</f>
        <v>过渡板</v>
      </c>
      <c r="H450" s="3" t="s">
        <v>155</v>
      </c>
      <c r="I450" s="3" t="s">
        <v>726</v>
      </c>
      <c r="J450" s="18" t="e">
        <v>#N/A</v>
      </c>
      <c r="K450" s="3">
        <v>12</v>
      </c>
      <c r="L450" s="3">
        <v>12</v>
      </c>
      <c r="M450" s="19">
        <v>8</v>
      </c>
      <c r="N450" s="19">
        <v>8</v>
      </c>
      <c r="O450" s="5" t="s">
        <v>419</v>
      </c>
      <c r="P450" s="4"/>
      <c r="Q450" s="18">
        <v>20</v>
      </c>
      <c r="R450" s="3"/>
      <c r="S450" s="6"/>
      <c r="T450" s="22"/>
      <c r="V450" s="23">
        <v>4</v>
      </c>
      <c r="W450" s="24" t="s">
        <v>4</v>
      </c>
      <c r="X450" s="7" t="s">
        <v>723</v>
      </c>
    </row>
    <row r="451" spans="1:24" ht="23.1" customHeight="1" x14ac:dyDescent="0.25">
      <c r="A451" s="1" t="s">
        <v>103</v>
      </c>
      <c r="D451" s="3" t="s">
        <v>749</v>
      </c>
      <c r="E451" s="15" t="s">
        <v>372</v>
      </c>
      <c r="F451" s="15" t="s">
        <v>372</v>
      </c>
      <c r="G451" s="15" t="str">
        <f>IFERROR(VLOOKUP(D451,[5]成飞半成品!$A:$B,2,0),VLOOKUP(D451,[5]九院成本!$A$4:$B$48,2,0))</f>
        <v>1#竖梁</v>
      </c>
      <c r="H451" s="3" t="s">
        <v>64</v>
      </c>
      <c r="I451" s="3" t="s">
        <v>726</v>
      </c>
      <c r="J451" s="18" t="e">
        <v>#N/A</v>
      </c>
      <c r="K451" s="3">
        <v>1</v>
      </c>
      <c r="L451" s="3">
        <v>1</v>
      </c>
      <c r="M451" s="19">
        <v>8</v>
      </c>
      <c r="N451" s="19">
        <v>8</v>
      </c>
      <c r="O451" s="5" t="s">
        <v>115</v>
      </c>
      <c r="P451" s="4"/>
      <c r="Q451" s="18">
        <v>20</v>
      </c>
      <c r="R451" s="3"/>
      <c r="S451" s="6"/>
      <c r="T451" s="22"/>
      <c r="V451" s="23">
        <v>0.3</v>
      </c>
      <c r="W451" s="24" t="s">
        <v>4</v>
      </c>
    </row>
    <row r="452" spans="1:24" ht="23.1" customHeight="1" x14ac:dyDescent="0.25">
      <c r="A452" s="1" t="s">
        <v>103</v>
      </c>
      <c r="D452" s="3" t="s">
        <v>750</v>
      </c>
      <c r="E452" s="15" t="s">
        <v>372</v>
      </c>
      <c r="F452" s="15" t="s">
        <v>372</v>
      </c>
      <c r="G452" s="15" t="str">
        <f>IFERROR(VLOOKUP(D452,[5]成飞半成品!$A:$B,2,0),VLOOKUP(D452,[5]九院成本!$A$4:$B$48,2,0))</f>
        <v>1#竖梁</v>
      </c>
      <c r="H452" s="3" t="s">
        <v>64</v>
      </c>
      <c r="I452" s="3" t="s">
        <v>726</v>
      </c>
      <c r="J452" s="18" t="e">
        <v>#N/A</v>
      </c>
      <c r="K452" s="3">
        <v>2</v>
      </c>
      <c r="L452" s="3">
        <v>1</v>
      </c>
      <c r="M452" s="19">
        <v>8</v>
      </c>
      <c r="N452" s="19">
        <v>8</v>
      </c>
      <c r="O452" s="5" t="s">
        <v>373</v>
      </c>
      <c r="P452" s="4"/>
      <c r="Q452" s="18">
        <v>20</v>
      </c>
      <c r="R452" s="3"/>
      <c r="S452" s="6"/>
      <c r="T452" s="22"/>
      <c r="V452" s="23">
        <v>0.3</v>
      </c>
      <c r="W452" s="24" t="s">
        <v>4</v>
      </c>
    </row>
    <row r="453" spans="1:24" ht="23.1" customHeight="1" x14ac:dyDescent="0.25">
      <c r="A453" s="1" t="s">
        <v>116</v>
      </c>
      <c r="D453" s="3" t="s">
        <v>451</v>
      </c>
      <c r="E453" s="15" t="s">
        <v>452</v>
      </c>
      <c r="F453" s="15" t="s">
        <v>452</v>
      </c>
      <c r="G453" s="15" t="str">
        <f>IFERROR(VLOOKUP(D453,[5]成飞半成品!$A:$B,2,0),VLOOKUP(D453,[5]九院成本!$A$4:$B$48,2,0))</f>
        <v>前起落架舱门结构支撑梁</v>
      </c>
      <c r="H453" s="3" t="s">
        <v>46</v>
      </c>
      <c r="I453" s="3" t="s">
        <v>340</v>
      </c>
      <c r="J453" s="18" t="e">
        <v>#N/A</v>
      </c>
      <c r="K453" s="3">
        <v>10</v>
      </c>
      <c r="L453" s="3">
        <v>10</v>
      </c>
      <c r="M453" s="19">
        <v>8</v>
      </c>
      <c r="N453" s="19">
        <v>8</v>
      </c>
      <c r="O453" s="5" t="s">
        <v>453</v>
      </c>
      <c r="P453" s="4"/>
      <c r="Q453" s="18">
        <v>60</v>
      </c>
      <c r="R453" s="3"/>
      <c r="S453" s="6"/>
      <c r="T453" s="22"/>
      <c r="V453" s="23">
        <v>10</v>
      </c>
      <c r="W453" s="24" t="s">
        <v>4</v>
      </c>
      <c r="X453" s="7" t="s">
        <v>751</v>
      </c>
    </row>
    <row r="454" spans="1:24" ht="23.1" customHeight="1" x14ac:dyDescent="0.25">
      <c r="A454" s="1" t="s">
        <v>116</v>
      </c>
      <c r="D454" s="3" t="s">
        <v>153</v>
      </c>
      <c r="E454" s="15" t="s">
        <v>154</v>
      </c>
      <c r="F454" s="15" t="s">
        <v>154</v>
      </c>
      <c r="G454" s="15" t="str">
        <f>IFERROR(VLOOKUP(D454,[5]成飞半成品!$A:$B,2,0),VLOOKUP(D454,[5]九院成本!$A$4:$B$48,2,0))</f>
        <v>9350-11140右侧上梁</v>
      </c>
      <c r="H454" s="3" t="s">
        <v>385</v>
      </c>
      <c r="I454" s="3" t="s">
        <v>340</v>
      </c>
      <c r="J454" s="18" t="e">
        <v>#N/A</v>
      </c>
      <c r="K454" s="3">
        <v>1</v>
      </c>
      <c r="L454" s="3">
        <v>1</v>
      </c>
      <c r="M454" s="19">
        <v>8</v>
      </c>
      <c r="N454" s="19">
        <v>8</v>
      </c>
      <c r="O454" s="5" t="s">
        <v>752</v>
      </c>
      <c r="P454" s="4"/>
      <c r="Q454" s="18">
        <v>30</v>
      </c>
      <c r="R454" s="3"/>
      <c r="S454" s="6"/>
      <c r="T454" s="22"/>
      <c r="V454" s="23">
        <v>0.5</v>
      </c>
      <c r="W454" s="24" t="s">
        <v>4</v>
      </c>
      <c r="X454" s="7" t="s">
        <v>753</v>
      </c>
    </row>
    <row r="455" spans="1:24" ht="23.1" customHeight="1" x14ac:dyDescent="0.25">
      <c r="A455" s="1" t="s">
        <v>562</v>
      </c>
      <c r="D455" s="3" t="s">
        <v>644</v>
      </c>
      <c r="E455" s="15" t="s">
        <v>645</v>
      </c>
      <c r="F455" s="15" t="s">
        <v>645</v>
      </c>
      <c r="G455" s="15" t="str">
        <f>IFERROR(VLOOKUP(D455,[5]成飞半成品!$A:$B,2,0),VLOOKUP(D455,[5]九院成本!$A$4:$B$48,2,0))</f>
        <v>后梁</v>
      </c>
      <c r="H455" s="3" t="s">
        <v>114</v>
      </c>
      <c r="I455" s="3" t="s">
        <v>340</v>
      </c>
      <c r="J455" s="18" t="e">
        <v>#N/A</v>
      </c>
      <c r="K455" s="3">
        <v>2</v>
      </c>
      <c r="L455" s="3">
        <v>2</v>
      </c>
      <c r="M455" s="19">
        <v>8</v>
      </c>
      <c r="N455" s="19">
        <v>8</v>
      </c>
      <c r="P455" s="4"/>
      <c r="Q455" s="18">
        <v>30</v>
      </c>
      <c r="R455" s="3"/>
      <c r="S455" s="6"/>
      <c r="T455" s="22"/>
      <c r="V455" s="23">
        <v>1</v>
      </c>
      <c r="W455" s="24" t="s">
        <v>4</v>
      </c>
    </row>
    <row r="456" spans="1:24" ht="23.1" customHeight="1" x14ac:dyDescent="0.25">
      <c r="A456" s="1" t="s">
        <v>116</v>
      </c>
      <c r="D456" s="3" t="s">
        <v>754</v>
      </c>
      <c r="E456" s="15" t="s">
        <v>755</v>
      </c>
      <c r="F456" s="15" t="s">
        <v>755</v>
      </c>
      <c r="G456" s="15" t="str">
        <f>IFERROR(VLOOKUP(D456,[5]成飞半成品!$A:$B,2,0),VLOOKUP(D456,[5]九院成本!$A$4:$B$48,2,0))</f>
        <v>加强件</v>
      </c>
      <c r="H456" s="3" t="s">
        <v>64</v>
      </c>
      <c r="I456" s="3">
        <v>25</v>
      </c>
      <c r="J456" s="18" t="s">
        <v>1099</v>
      </c>
      <c r="L456" s="3">
        <v>3</v>
      </c>
      <c r="M456" s="19">
        <v>8</v>
      </c>
      <c r="N456" s="19">
        <v>8</v>
      </c>
      <c r="O456" s="5" t="s">
        <v>756</v>
      </c>
      <c r="P456" s="4"/>
      <c r="Q456" s="18">
        <v>50</v>
      </c>
      <c r="R456" s="3"/>
      <c r="S456" s="6"/>
      <c r="T456" s="22"/>
      <c r="V456" s="23">
        <v>2.5</v>
      </c>
      <c r="W456" s="24" t="s">
        <v>8</v>
      </c>
    </row>
    <row r="457" spans="1:24" ht="23.1" customHeight="1" x14ac:dyDescent="0.25">
      <c r="A457" s="1" t="s">
        <v>562</v>
      </c>
      <c r="D457" s="3" t="s">
        <v>754</v>
      </c>
      <c r="E457" s="15" t="s">
        <v>755</v>
      </c>
      <c r="F457" s="15" t="s">
        <v>755</v>
      </c>
      <c r="G457" s="15" t="str">
        <f>IFERROR(VLOOKUP(D457,[5]成飞半成品!$A:$B,2,0),VLOOKUP(D457,[5]九院成本!$A$4:$B$48,2,0))</f>
        <v>加强件</v>
      </c>
      <c r="H457" s="3" t="s">
        <v>64</v>
      </c>
      <c r="I457" s="3">
        <v>25</v>
      </c>
      <c r="J457" s="18" t="s">
        <v>1099</v>
      </c>
      <c r="L457" s="3">
        <v>4</v>
      </c>
      <c r="M457" s="19">
        <v>8</v>
      </c>
      <c r="N457" s="19">
        <v>8</v>
      </c>
      <c r="O457" s="5" t="s">
        <v>756</v>
      </c>
      <c r="P457" s="4"/>
      <c r="Q457" s="18">
        <v>50</v>
      </c>
      <c r="R457" s="3"/>
      <c r="S457" s="6"/>
      <c r="T457" s="22"/>
      <c r="V457" s="23">
        <v>3.3</v>
      </c>
      <c r="W457" s="24" t="s">
        <v>8</v>
      </c>
    </row>
    <row r="458" spans="1:24" ht="23.1" customHeight="1" x14ac:dyDescent="0.25">
      <c r="A458" s="1" t="s">
        <v>562</v>
      </c>
      <c r="D458" s="3" t="s">
        <v>754</v>
      </c>
      <c r="E458" s="15" t="s">
        <v>755</v>
      </c>
      <c r="F458" s="15" t="s">
        <v>755</v>
      </c>
      <c r="G458" s="15" t="str">
        <f>IFERROR(VLOOKUP(D458,[5]成飞半成品!$A:$B,2,0),VLOOKUP(D458,[5]九院成本!$A$4:$B$48,2,0))</f>
        <v>加强件</v>
      </c>
      <c r="H458" s="3" t="s">
        <v>64</v>
      </c>
      <c r="I458" s="3" t="s">
        <v>340</v>
      </c>
      <c r="J458" s="18" t="e">
        <v>#N/A</v>
      </c>
      <c r="L458" s="3">
        <v>7</v>
      </c>
      <c r="M458" s="19">
        <v>8</v>
      </c>
      <c r="N458" s="19">
        <v>8</v>
      </c>
      <c r="O458" s="5" t="s">
        <v>757</v>
      </c>
      <c r="P458" s="4"/>
      <c r="Q458" s="18">
        <v>30</v>
      </c>
      <c r="R458" s="3"/>
      <c r="S458" s="6"/>
      <c r="T458" s="22"/>
      <c r="V458" s="23">
        <v>3.5</v>
      </c>
      <c r="W458" s="24" t="s">
        <v>8</v>
      </c>
      <c r="X458" s="7" t="s">
        <v>758</v>
      </c>
    </row>
    <row r="459" spans="1:24" ht="23.1" customHeight="1" x14ac:dyDescent="0.25">
      <c r="A459" s="1" t="s">
        <v>759</v>
      </c>
      <c r="D459" s="3" t="s">
        <v>678</v>
      </c>
      <c r="E459" s="15" t="s">
        <v>679</v>
      </c>
      <c r="F459" s="15" t="s">
        <v>679</v>
      </c>
      <c r="G459" s="15" t="str">
        <f>IFERROR(VLOOKUP(D459,[5]成飞半成品!$A:$B,2,0),VLOOKUP(D459,[5]九院成本!$A$4:$B$48,2,0))</f>
        <v>喷嘴</v>
      </c>
      <c r="H459" s="3" t="s">
        <v>46</v>
      </c>
      <c r="I459" s="3">
        <v>45</v>
      </c>
      <c r="J459" s="18" t="s">
        <v>1073</v>
      </c>
      <c r="L459" s="3">
        <v>80</v>
      </c>
      <c r="M459" s="19">
        <v>8</v>
      </c>
      <c r="N459" s="19">
        <v>8</v>
      </c>
      <c r="O459" s="5" t="s">
        <v>56</v>
      </c>
      <c r="P459" s="4"/>
      <c r="Q459" s="18">
        <v>35</v>
      </c>
      <c r="R459" s="3"/>
      <c r="S459" s="6"/>
      <c r="T459" s="22"/>
      <c r="V459" s="23">
        <v>46.7</v>
      </c>
      <c r="W459" s="24" t="s">
        <v>8</v>
      </c>
      <c r="X459" s="7" t="s">
        <v>760</v>
      </c>
    </row>
    <row r="460" spans="1:24" ht="23.1" customHeight="1" x14ac:dyDescent="0.25">
      <c r="A460" s="1" t="s">
        <v>759</v>
      </c>
      <c r="D460" s="3" t="s">
        <v>761</v>
      </c>
      <c r="E460" s="15" t="s">
        <v>762</v>
      </c>
      <c r="F460" s="15" t="s">
        <v>762</v>
      </c>
      <c r="G460" s="15" t="str">
        <f>IFERROR(VLOOKUP(D460,[5]成飞半成品!$A:$B,2,0),VLOOKUP(D460,[5]九院成本!$A$4:$B$48,2,0))</f>
        <v>垫板</v>
      </c>
      <c r="H460" s="3" t="s">
        <v>64</v>
      </c>
      <c r="I460" s="3">
        <v>15</v>
      </c>
      <c r="J460" s="18" t="s">
        <v>1097</v>
      </c>
      <c r="L460" s="3">
        <v>4</v>
      </c>
      <c r="M460" s="19">
        <v>8</v>
      </c>
      <c r="N460" s="19">
        <v>8</v>
      </c>
      <c r="O460" s="5" t="s">
        <v>763</v>
      </c>
      <c r="P460" s="4"/>
      <c r="Q460" s="18">
        <v>45</v>
      </c>
      <c r="R460" s="3"/>
      <c r="S460" s="6"/>
      <c r="T460" s="22"/>
      <c r="V460" s="23">
        <v>3</v>
      </c>
      <c r="W460" s="24" t="s">
        <v>8</v>
      </c>
    </row>
    <row r="461" spans="1:24" ht="23.1" customHeight="1" x14ac:dyDescent="0.25">
      <c r="A461" s="1" t="s">
        <v>764</v>
      </c>
      <c r="D461" s="3" t="s">
        <v>567</v>
      </c>
      <c r="E461" s="15" t="s">
        <v>568</v>
      </c>
      <c r="F461" s="15" t="s">
        <v>568</v>
      </c>
      <c r="G461" s="15" t="str">
        <f>IFERROR(VLOOKUP(D461,[5]成飞半成品!$A:$B,2,0),VLOOKUP(D461,[5]九院成本!$A$4:$B$48,2,0))</f>
        <v>销子</v>
      </c>
      <c r="H461" s="3" t="s">
        <v>80</v>
      </c>
      <c r="I461" s="3">
        <v>40</v>
      </c>
      <c r="J461" s="18" t="s">
        <v>1069</v>
      </c>
      <c r="L461" s="3">
        <v>43</v>
      </c>
      <c r="M461" s="19">
        <v>8</v>
      </c>
      <c r="N461" s="19">
        <v>8</v>
      </c>
      <c r="O461" s="5" t="s">
        <v>765</v>
      </c>
      <c r="P461" s="4"/>
      <c r="Q461" s="18">
        <v>10</v>
      </c>
      <c r="R461" s="3"/>
      <c r="S461" s="6"/>
      <c r="T461" s="22"/>
      <c r="V461" s="23">
        <v>7.2</v>
      </c>
      <c r="W461" s="24" t="s">
        <v>8</v>
      </c>
    </row>
    <row r="462" spans="1:24" ht="23.1" customHeight="1" x14ac:dyDescent="0.25">
      <c r="A462" s="1" t="s">
        <v>766</v>
      </c>
      <c r="D462" s="3" t="s">
        <v>567</v>
      </c>
      <c r="E462" s="15" t="s">
        <v>568</v>
      </c>
      <c r="F462" s="15" t="s">
        <v>568</v>
      </c>
      <c r="G462" s="15" t="str">
        <f>IFERROR(VLOOKUP(D462,[5]成飞半成品!$A:$B,2,0),VLOOKUP(D462,[5]九院成本!$A$4:$B$48,2,0))</f>
        <v>销子</v>
      </c>
      <c r="H462" s="3" t="s">
        <v>46</v>
      </c>
      <c r="I462" s="3" t="s">
        <v>340</v>
      </c>
      <c r="J462" s="18" t="e">
        <v>#N/A</v>
      </c>
      <c r="L462" s="3">
        <v>43</v>
      </c>
      <c r="M462" s="19"/>
      <c r="N462" s="19"/>
      <c r="P462" s="4"/>
      <c r="Q462" s="18">
        <v>10</v>
      </c>
      <c r="R462" s="3"/>
      <c r="S462" s="6"/>
      <c r="T462" s="22"/>
      <c r="V462" s="23">
        <v>7.2</v>
      </c>
      <c r="W462" s="24" t="s">
        <v>8</v>
      </c>
      <c r="X462" s="7" t="s">
        <v>767</v>
      </c>
    </row>
    <row r="463" spans="1:24" ht="23.1" customHeight="1" x14ac:dyDescent="0.25">
      <c r="A463" s="1" t="s">
        <v>766</v>
      </c>
      <c r="D463" s="3" t="s">
        <v>768</v>
      </c>
      <c r="E463" s="15" t="s">
        <v>769</v>
      </c>
      <c r="F463" s="15" t="s">
        <v>769</v>
      </c>
      <c r="G463" s="15" t="str">
        <f>IFERROR(VLOOKUP(D463,[5]成飞半成品!$A:$B,2,0),VLOOKUP(D463,[5]九院成本!$A$4:$B$48,2,0))</f>
        <v>固定板</v>
      </c>
      <c r="H463" s="3" t="s">
        <v>46</v>
      </c>
      <c r="I463" s="3">
        <v>40</v>
      </c>
      <c r="J463" s="18" t="s">
        <v>1069</v>
      </c>
      <c r="L463" s="3">
        <v>1</v>
      </c>
      <c r="M463" s="19">
        <v>8</v>
      </c>
      <c r="N463" s="19"/>
      <c r="O463" s="5" t="s">
        <v>347</v>
      </c>
      <c r="P463" s="4"/>
      <c r="Q463" s="18">
        <v>120</v>
      </c>
      <c r="R463" s="3"/>
      <c r="S463" s="6"/>
      <c r="T463" s="22"/>
      <c r="V463" s="23">
        <v>2</v>
      </c>
      <c r="W463" s="24" t="s">
        <v>8</v>
      </c>
    </row>
    <row r="464" spans="1:24" ht="23.1" customHeight="1" x14ac:dyDescent="0.25">
      <c r="A464" s="1" t="s">
        <v>116</v>
      </c>
      <c r="D464" s="3" t="s">
        <v>160</v>
      </c>
      <c r="E464" s="15" t="s">
        <v>582</v>
      </c>
      <c r="F464" s="15" t="s">
        <v>582</v>
      </c>
      <c r="G464" s="15" t="str">
        <f>IFERROR(VLOOKUP(D464,[5]成飞半成品!$A:$B,2,0),VLOOKUP(D464,[5]九院成本!$A$4:$B$48,2,0))</f>
        <v>1N-2020-10-071</v>
      </c>
      <c r="H464" s="3" t="s">
        <v>80</v>
      </c>
      <c r="I464" s="3">
        <v>30</v>
      </c>
      <c r="J464" s="18" t="e">
        <v>#N/A</v>
      </c>
      <c r="L464" s="3">
        <v>104</v>
      </c>
      <c r="M464" s="19">
        <v>8</v>
      </c>
      <c r="N464" s="19">
        <v>8</v>
      </c>
      <c r="O464" s="5" t="s">
        <v>160</v>
      </c>
      <c r="P464" s="4"/>
      <c r="Q464" s="18">
        <v>15</v>
      </c>
      <c r="R464" s="3"/>
      <c r="S464" s="6"/>
      <c r="T464" s="22"/>
      <c r="V464" s="23">
        <v>26</v>
      </c>
      <c r="W464" s="24" t="s">
        <v>0</v>
      </c>
    </row>
    <row r="465" spans="1:25" ht="23.1" customHeight="1" x14ac:dyDescent="0.25">
      <c r="A465" s="1" t="s">
        <v>759</v>
      </c>
      <c r="D465" s="3" t="s">
        <v>386</v>
      </c>
      <c r="E465" s="15" t="s">
        <v>387</v>
      </c>
      <c r="F465" s="15" t="s">
        <v>387</v>
      </c>
      <c r="G465" s="15" t="str">
        <f>IFERROR(VLOOKUP(D465,[5]成飞半成品!$A:$B,2,0),VLOOKUP(D465,[5]九院成本!$A$4:$B$48,2,0))</f>
        <v>9555侧隔框</v>
      </c>
      <c r="H465" s="3" t="s">
        <v>114</v>
      </c>
      <c r="I465" s="3">
        <v>55</v>
      </c>
      <c r="J465" s="18" t="s">
        <v>1086</v>
      </c>
      <c r="L465" s="3">
        <v>6</v>
      </c>
      <c r="M465" s="19">
        <v>6</v>
      </c>
      <c r="N465" s="19"/>
      <c r="O465" s="5" t="s">
        <v>770</v>
      </c>
      <c r="P465" s="4"/>
      <c r="Q465" s="18">
        <v>480</v>
      </c>
      <c r="R465" s="3"/>
      <c r="S465" s="6"/>
      <c r="T465" s="22"/>
      <c r="V465" s="23">
        <v>48</v>
      </c>
      <c r="W465" s="24" t="s">
        <v>0</v>
      </c>
    </row>
    <row r="466" spans="1:25" ht="23.1" customHeight="1" x14ac:dyDescent="0.25">
      <c r="A466" s="1" t="s">
        <v>759</v>
      </c>
      <c r="D466" s="3" t="s">
        <v>391</v>
      </c>
      <c r="E466" s="15" t="s">
        <v>387</v>
      </c>
      <c r="F466" s="15" t="s">
        <v>387</v>
      </c>
      <c r="G466" s="15" t="str">
        <f>IFERROR(VLOOKUP(D466,[5]成飞半成品!$A:$B,2,0),VLOOKUP(D466,[5]九院成本!$A$4:$B$48,2,0))</f>
        <v>9555侧隔框</v>
      </c>
      <c r="H466" s="3" t="s">
        <v>114</v>
      </c>
      <c r="I466" s="3">
        <v>55</v>
      </c>
      <c r="J466" s="18" t="s">
        <v>1086</v>
      </c>
      <c r="L466" s="3">
        <v>6</v>
      </c>
      <c r="M466" s="19">
        <v>30</v>
      </c>
      <c r="N466" s="19">
        <v>30</v>
      </c>
      <c r="O466" s="5" t="s">
        <v>770</v>
      </c>
      <c r="P466" s="4"/>
      <c r="Q466" s="18">
        <v>480</v>
      </c>
      <c r="R466" s="3"/>
      <c r="S466" s="6"/>
      <c r="T466" s="22"/>
      <c r="V466" s="23">
        <v>48</v>
      </c>
      <c r="W466" s="24" t="s">
        <v>0</v>
      </c>
    </row>
    <row r="467" spans="1:25" ht="23.1" customHeight="1" x14ac:dyDescent="0.25">
      <c r="A467" s="1" t="s">
        <v>562</v>
      </c>
      <c r="D467" s="3" t="s">
        <v>245</v>
      </c>
      <c r="E467" s="15" t="s">
        <v>246</v>
      </c>
      <c r="F467" s="15" t="s">
        <v>246</v>
      </c>
      <c r="G467" s="15" t="str">
        <f>IFERROR(VLOOKUP(D467,[5]成飞半成品!$A:$B,2,0),VLOOKUP(D467,[5]九院成本!$A$4:$B$48,2,0))</f>
        <v>环</v>
      </c>
      <c r="H467" s="3" t="s">
        <v>46</v>
      </c>
      <c r="I467" s="3">
        <v>15</v>
      </c>
      <c r="J467" s="18" t="s">
        <v>1071</v>
      </c>
      <c r="L467" s="3">
        <v>1</v>
      </c>
      <c r="M467" s="19">
        <v>8</v>
      </c>
      <c r="N467" s="19">
        <v>8</v>
      </c>
      <c r="O467" s="5" t="s">
        <v>699</v>
      </c>
      <c r="P467" s="4"/>
      <c r="Q467" s="18">
        <v>8</v>
      </c>
      <c r="R467" s="3"/>
      <c r="S467" s="6"/>
      <c r="T467" s="22"/>
      <c r="V467" s="23">
        <v>0.1</v>
      </c>
      <c r="W467" s="24" t="s">
        <v>13</v>
      </c>
    </row>
    <row r="468" spans="1:25" ht="23.1" customHeight="1" x14ac:dyDescent="0.25">
      <c r="A468" s="1" t="s">
        <v>562</v>
      </c>
      <c r="D468" s="3" t="s">
        <v>256</v>
      </c>
      <c r="E468" s="15" t="s">
        <v>55</v>
      </c>
      <c r="F468" s="15" t="s">
        <v>55</v>
      </c>
      <c r="G468" s="15" t="str">
        <f>IFERROR(VLOOKUP(D468,[5]成飞半成品!$A:$B,2,0),VLOOKUP(D468,[5]九院成本!$A$4:$B$48,2,0))</f>
        <v>接头</v>
      </c>
      <c r="H468" s="3" t="s">
        <v>80</v>
      </c>
      <c r="I468" s="3">
        <v>35</v>
      </c>
      <c r="J468" s="18" t="s">
        <v>1075</v>
      </c>
      <c r="L468" s="3">
        <v>8</v>
      </c>
      <c r="M468" s="19">
        <v>8</v>
      </c>
      <c r="N468" s="19"/>
      <c r="O468" s="5" t="s">
        <v>81</v>
      </c>
      <c r="P468" s="4"/>
      <c r="Q468" s="18">
        <v>25</v>
      </c>
      <c r="R468" s="3"/>
      <c r="S468" s="6"/>
      <c r="T468" s="22"/>
      <c r="V468" s="23">
        <v>3.3</v>
      </c>
      <c r="W468" s="24" t="s">
        <v>13</v>
      </c>
    </row>
    <row r="469" spans="1:25" ht="23.1" customHeight="1" x14ac:dyDescent="0.25">
      <c r="A469" s="1" t="s">
        <v>764</v>
      </c>
      <c r="D469" s="3" t="s">
        <v>771</v>
      </c>
      <c r="E469" s="15" t="s">
        <v>55</v>
      </c>
      <c r="F469" s="15" t="s">
        <v>55</v>
      </c>
      <c r="G469" s="15" t="str">
        <f>IFERROR(VLOOKUP(D469,[5]成飞半成品!$A:$B,2,0),VLOOKUP(D469,[5]九院成本!$A$4:$B$48,2,0))</f>
        <v>接头</v>
      </c>
      <c r="H469" s="3" t="s">
        <v>80</v>
      </c>
      <c r="I469" s="3">
        <v>35</v>
      </c>
      <c r="J469" s="18" t="s">
        <v>1075</v>
      </c>
      <c r="L469" s="3">
        <v>4</v>
      </c>
      <c r="M469" s="19">
        <v>8</v>
      </c>
      <c r="N469" s="19">
        <v>8</v>
      </c>
      <c r="O469" s="5" t="s">
        <v>81</v>
      </c>
      <c r="P469" s="4"/>
      <c r="Q469" s="18">
        <v>35</v>
      </c>
      <c r="R469" s="3"/>
      <c r="S469" s="6"/>
      <c r="T469" s="22"/>
      <c r="V469" s="23">
        <v>2.2999999999999998</v>
      </c>
      <c r="W469" s="24" t="s">
        <v>13</v>
      </c>
    </row>
    <row r="470" spans="1:25" ht="23.1" customHeight="1" x14ac:dyDescent="0.25">
      <c r="A470" s="1" t="s">
        <v>103</v>
      </c>
      <c r="D470" s="3" t="s">
        <v>772</v>
      </c>
      <c r="E470" s="15" t="s">
        <v>688</v>
      </c>
      <c r="F470" s="15" t="s">
        <v>688</v>
      </c>
      <c r="G470" s="15" t="str">
        <f>IFERROR(VLOOKUP(D470,[5]成飞半成品!$A:$B,2,0),VLOOKUP(D470,[5]九院成本!$A$4:$B$48,2,0))</f>
        <v>管子</v>
      </c>
      <c r="I470" s="3" t="s">
        <v>340</v>
      </c>
      <c r="J470" s="18" t="e">
        <v>#N/A</v>
      </c>
      <c r="L470" s="3">
        <v>6</v>
      </c>
      <c r="M470" s="19">
        <v>8</v>
      </c>
      <c r="N470" s="19"/>
      <c r="O470" s="5" t="s">
        <v>700</v>
      </c>
      <c r="P470" s="4"/>
      <c r="Q470" s="18">
        <v>5</v>
      </c>
      <c r="R470" s="3"/>
      <c r="S470" s="6"/>
      <c r="T470" s="22"/>
      <c r="V470" s="23">
        <v>0.5</v>
      </c>
      <c r="W470" s="24" t="s">
        <v>13</v>
      </c>
      <c r="X470" s="7" t="s">
        <v>511</v>
      </c>
      <c r="Y470" s="7" t="s">
        <v>203</v>
      </c>
    </row>
    <row r="471" spans="1:25" ht="23.1" customHeight="1" x14ac:dyDescent="0.25">
      <c r="A471" s="1" t="s">
        <v>562</v>
      </c>
      <c r="D471" s="3" t="s">
        <v>716</v>
      </c>
      <c r="E471" s="15" t="s">
        <v>717</v>
      </c>
      <c r="F471" s="15" t="s">
        <v>717</v>
      </c>
      <c r="G471" s="15" t="str">
        <f>IFERROR(VLOOKUP(D471,[5]成飞半成品!$A:$B,2,0),VLOOKUP(D471,[5]九院成本!$A$4:$B$48,2,0))</f>
        <v>耳环螺栓</v>
      </c>
      <c r="H471" s="3" t="s">
        <v>46</v>
      </c>
      <c r="I471" s="3" t="s">
        <v>340</v>
      </c>
      <c r="J471" s="18" t="e">
        <v>#N/A</v>
      </c>
      <c r="L471" s="3">
        <v>45</v>
      </c>
      <c r="M471" s="19">
        <v>8</v>
      </c>
      <c r="N471" s="19">
        <v>8</v>
      </c>
      <c r="O471" s="5" t="s">
        <v>773</v>
      </c>
      <c r="P471" s="4"/>
      <c r="Q471" s="18">
        <v>20</v>
      </c>
      <c r="R471" s="3"/>
      <c r="S471" s="6"/>
      <c r="T471" s="22"/>
      <c r="V471" s="23">
        <v>15</v>
      </c>
      <c r="W471" s="24" t="s">
        <v>13</v>
      </c>
      <c r="X471" s="7" t="s">
        <v>485</v>
      </c>
      <c r="Y471" s="7" t="s">
        <v>203</v>
      </c>
    </row>
    <row r="472" spans="1:25" ht="23.1" customHeight="1" x14ac:dyDescent="0.25">
      <c r="A472" s="1" t="s">
        <v>764</v>
      </c>
      <c r="D472" s="3" t="s">
        <v>774</v>
      </c>
      <c r="E472" s="15" t="s">
        <v>170</v>
      </c>
      <c r="F472" s="15" t="s">
        <v>170</v>
      </c>
      <c r="G472" s="15" t="str">
        <f>IFERROR(VLOOKUP(D472,[5]成飞半成品!$A:$B,2,0),VLOOKUP(D472,[5]九院成本!$A$4:$B$48,2,0))</f>
        <v>衬套</v>
      </c>
      <c r="I472" s="3" t="s">
        <v>340</v>
      </c>
      <c r="J472" s="18" t="e">
        <v>#N/A</v>
      </c>
      <c r="L472" s="3">
        <v>41</v>
      </c>
      <c r="M472" s="19">
        <v>8</v>
      </c>
      <c r="N472" s="19">
        <v>8</v>
      </c>
      <c r="O472" s="5" t="s">
        <v>775</v>
      </c>
      <c r="P472" s="4"/>
      <c r="Q472" s="18">
        <v>15</v>
      </c>
      <c r="R472" s="3"/>
      <c r="S472" s="6"/>
      <c r="T472" s="22"/>
      <c r="V472" s="23">
        <v>10.3</v>
      </c>
      <c r="W472" s="24" t="s">
        <v>13</v>
      </c>
      <c r="X472" s="7" t="s">
        <v>257</v>
      </c>
      <c r="Y472" s="7" t="s">
        <v>203</v>
      </c>
    </row>
    <row r="473" spans="1:25" ht="23.1" customHeight="1" x14ac:dyDescent="0.25">
      <c r="A473" s="1" t="s">
        <v>764</v>
      </c>
      <c r="D473" s="3" t="s">
        <v>776</v>
      </c>
      <c r="E473" s="15" t="s">
        <v>170</v>
      </c>
      <c r="F473" s="15" t="s">
        <v>170</v>
      </c>
      <c r="G473" s="15" t="str">
        <f>IFERROR(VLOOKUP(D473,[5]成飞半成品!$A:$B,2,0),VLOOKUP(D473,[5]九院成本!$A$4:$B$48,2,0))</f>
        <v>衬套</v>
      </c>
      <c r="I473" s="3" t="s">
        <v>340</v>
      </c>
      <c r="J473" s="18" t="e">
        <v>#N/A</v>
      </c>
      <c r="L473" s="3">
        <v>16</v>
      </c>
      <c r="M473" s="19">
        <v>8</v>
      </c>
      <c r="N473" s="19">
        <v>8</v>
      </c>
      <c r="O473" s="5" t="s">
        <v>197</v>
      </c>
      <c r="P473" s="4"/>
      <c r="Q473" s="18">
        <v>5</v>
      </c>
      <c r="R473" s="3"/>
      <c r="S473" s="6"/>
      <c r="T473" s="22"/>
      <c r="V473" s="23">
        <v>1.3</v>
      </c>
      <c r="W473" s="24" t="s">
        <v>13</v>
      </c>
      <c r="X473" s="7" t="s">
        <v>511</v>
      </c>
      <c r="Y473" s="7" t="s">
        <v>203</v>
      </c>
    </row>
    <row r="474" spans="1:25" ht="23.1" customHeight="1" x14ac:dyDescent="0.25">
      <c r="A474" s="1" t="s">
        <v>764</v>
      </c>
      <c r="D474" s="3" t="s">
        <v>774</v>
      </c>
      <c r="E474" s="15" t="s">
        <v>170</v>
      </c>
      <c r="F474" s="15" t="s">
        <v>170</v>
      </c>
      <c r="G474" s="15" t="str">
        <f>IFERROR(VLOOKUP(D474,[5]成飞半成品!$A:$B,2,0),VLOOKUP(D474,[5]九院成本!$A$4:$B$48,2,0))</f>
        <v>衬套</v>
      </c>
      <c r="I474" s="3" t="s">
        <v>340</v>
      </c>
      <c r="J474" s="18" t="e">
        <v>#N/A</v>
      </c>
      <c r="L474" s="3">
        <v>4</v>
      </c>
      <c r="M474" s="19">
        <v>8</v>
      </c>
      <c r="N474" s="19"/>
      <c r="O474" s="5" t="s">
        <v>474</v>
      </c>
      <c r="P474" s="4"/>
      <c r="Q474" s="18">
        <v>5</v>
      </c>
      <c r="R474" s="3"/>
      <c r="S474" s="6"/>
      <c r="T474" s="22"/>
      <c r="V474" s="23">
        <v>0.3</v>
      </c>
      <c r="W474" s="24" t="s">
        <v>13</v>
      </c>
      <c r="X474" s="7" t="s">
        <v>511</v>
      </c>
      <c r="Y474" s="7" t="s">
        <v>203</v>
      </c>
    </row>
    <row r="475" spans="1:25" ht="23.1" customHeight="1" x14ac:dyDescent="0.25">
      <c r="A475" s="1" t="s">
        <v>764</v>
      </c>
      <c r="D475" s="3" t="s">
        <v>777</v>
      </c>
      <c r="E475" s="15" t="s">
        <v>170</v>
      </c>
      <c r="F475" s="15" t="s">
        <v>170</v>
      </c>
      <c r="G475" s="15" t="str">
        <f>IFERROR(VLOOKUP(D475,[5]成飞半成品!$A:$B,2,0),VLOOKUP(D475,[5]九院成本!$A$4:$B$48,2,0))</f>
        <v>衬套</v>
      </c>
      <c r="I475" s="3" t="s">
        <v>340</v>
      </c>
      <c r="J475" s="18" t="e">
        <v>#N/A</v>
      </c>
      <c r="L475" s="3">
        <v>4</v>
      </c>
      <c r="M475" s="19">
        <v>8</v>
      </c>
      <c r="N475" s="19"/>
      <c r="O475" s="5" t="s">
        <v>474</v>
      </c>
      <c r="P475" s="4"/>
      <c r="Q475" s="18">
        <v>5</v>
      </c>
      <c r="R475" s="3"/>
      <c r="S475" s="6"/>
      <c r="T475" s="22"/>
      <c r="V475" s="23">
        <v>0.3</v>
      </c>
      <c r="W475" s="24" t="s">
        <v>13</v>
      </c>
      <c r="X475" s="7" t="s">
        <v>511</v>
      </c>
      <c r="Y475" s="7" t="s">
        <v>203</v>
      </c>
    </row>
    <row r="476" spans="1:25" ht="23.1" customHeight="1" x14ac:dyDescent="0.25">
      <c r="A476" s="1" t="s">
        <v>562</v>
      </c>
      <c r="D476" s="3" t="s">
        <v>776</v>
      </c>
      <c r="E476" s="15" t="s">
        <v>170</v>
      </c>
      <c r="F476" s="15" t="s">
        <v>170</v>
      </c>
      <c r="G476" s="15" t="str">
        <f>IFERROR(VLOOKUP(D476,[5]成飞半成品!$A:$B,2,0),VLOOKUP(D476,[5]九院成本!$A$4:$B$48,2,0))</f>
        <v>衬套</v>
      </c>
      <c r="I476" s="3" t="s">
        <v>340</v>
      </c>
      <c r="J476" s="18" t="e">
        <v>#N/A</v>
      </c>
      <c r="L476" s="3">
        <v>44</v>
      </c>
      <c r="M476" s="19">
        <v>8</v>
      </c>
      <c r="N476" s="19">
        <v>8</v>
      </c>
      <c r="O476" s="5" t="s">
        <v>700</v>
      </c>
      <c r="P476" s="4"/>
      <c r="Q476" s="18">
        <v>16</v>
      </c>
      <c r="R476" s="3"/>
      <c r="S476" s="6"/>
      <c r="T476" s="22"/>
      <c r="V476" s="23">
        <v>11.7</v>
      </c>
      <c r="W476" s="24" t="s">
        <v>13</v>
      </c>
      <c r="X476" s="7" t="s">
        <v>778</v>
      </c>
      <c r="Y476" s="7" t="s">
        <v>203</v>
      </c>
    </row>
    <row r="477" spans="1:25" ht="23.1" customHeight="1" x14ac:dyDescent="0.25">
      <c r="A477" s="1" t="s">
        <v>116</v>
      </c>
      <c r="D477" s="3" t="s">
        <v>779</v>
      </c>
      <c r="E477" s="15" t="s">
        <v>688</v>
      </c>
      <c r="F477" s="15" t="s">
        <v>688</v>
      </c>
      <c r="G477" s="15" t="str">
        <f>IFERROR(VLOOKUP(D477,[5]成飞半成品!$A:$B,2,0),VLOOKUP(D477,[5]九院成本!$A$4:$B$48,2,0))</f>
        <v>管子</v>
      </c>
      <c r="H477" s="3" t="s">
        <v>46</v>
      </c>
      <c r="I477" s="3">
        <v>45</v>
      </c>
      <c r="J477" s="18" t="s">
        <v>1073</v>
      </c>
      <c r="L477" s="3">
        <v>10</v>
      </c>
      <c r="M477" s="19">
        <v>8</v>
      </c>
      <c r="N477" s="19">
        <v>8</v>
      </c>
      <c r="O477" s="5" t="s">
        <v>780</v>
      </c>
      <c r="P477" s="4"/>
      <c r="Q477" s="18">
        <v>20</v>
      </c>
      <c r="R477" s="3"/>
      <c r="S477" s="6"/>
      <c r="T477" s="22"/>
      <c r="V477" s="23">
        <v>3.3</v>
      </c>
      <c r="W477" s="24" t="s">
        <v>9</v>
      </c>
    </row>
    <row r="478" spans="1:25" ht="23.1" customHeight="1" x14ac:dyDescent="0.25">
      <c r="A478" s="1" t="s">
        <v>562</v>
      </c>
      <c r="D478" s="3" t="s">
        <v>781</v>
      </c>
      <c r="E478" s="15" t="s">
        <v>91</v>
      </c>
      <c r="F478" s="15" t="s">
        <v>91</v>
      </c>
      <c r="G478" s="15" t="str">
        <f>IFERROR(VLOOKUP(D478,[5]成飞半成品!$A:$B,2,0),VLOOKUP(D478,[5]九院成本!$A$4:$B$48,2,0))</f>
        <v>螺栓</v>
      </c>
      <c r="H478" s="3" t="s">
        <v>46</v>
      </c>
      <c r="I478" s="3">
        <v>30</v>
      </c>
      <c r="J478" s="18" t="s">
        <v>1079</v>
      </c>
      <c r="L478" s="3">
        <v>20</v>
      </c>
      <c r="M478" s="19">
        <v>8</v>
      </c>
      <c r="N478" s="19">
        <v>8</v>
      </c>
      <c r="O478" s="5" t="s">
        <v>92</v>
      </c>
      <c r="P478" s="4"/>
      <c r="Q478" s="18">
        <v>20</v>
      </c>
      <c r="R478" s="3"/>
      <c r="S478" s="6"/>
      <c r="T478" s="22"/>
      <c r="V478" s="23">
        <v>6.7</v>
      </c>
      <c r="W478" s="24" t="s">
        <v>9</v>
      </c>
    </row>
    <row r="479" spans="1:25" ht="23.1" customHeight="1" x14ac:dyDescent="0.25">
      <c r="A479" s="1" t="s">
        <v>562</v>
      </c>
      <c r="D479" s="3" t="s">
        <v>782</v>
      </c>
      <c r="E479" s="15" t="s">
        <v>76</v>
      </c>
      <c r="F479" s="15" t="s">
        <v>76</v>
      </c>
      <c r="G479" s="15" t="str">
        <f>IFERROR(VLOOKUP(D479,[5]成飞半成品!$A:$B,2,0),VLOOKUP(D479,[5]九院成本!$A$4:$B$48,2,0))</f>
        <v>接管嘴</v>
      </c>
      <c r="H479" s="3" t="s">
        <v>46</v>
      </c>
      <c r="I479" s="3">
        <v>35</v>
      </c>
      <c r="J479" s="18" t="s">
        <v>1072</v>
      </c>
      <c r="L479" s="3">
        <v>42</v>
      </c>
      <c r="M479" s="19">
        <v>8</v>
      </c>
      <c r="N479" s="19">
        <v>8</v>
      </c>
      <c r="O479" s="5" t="s">
        <v>783</v>
      </c>
      <c r="P479" s="4"/>
      <c r="Q479" s="18">
        <v>30</v>
      </c>
      <c r="R479" s="3"/>
      <c r="S479" s="6"/>
      <c r="T479" s="22"/>
      <c r="V479" s="23">
        <v>21</v>
      </c>
      <c r="W479" s="24" t="s">
        <v>9</v>
      </c>
    </row>
    <row r="480" spans="1:25" ht="23.1" customHeight="1" x14ac:dyDescent="0.25">
      <c r="A480" s="1" t="s">
        <v>759</v>
      </c>
      <c r="D480" s="3" t="s">
        <v>541</v>
      </c>
      <c r="E480" s="15" t="s">
        <v>120</v>
      </c>
      <c r="F480" s="15" t="s">
        <v>120</v>
      </c>
      <c r="G480" s="15" t="str">
        <f>IFERROR(VLOOKUP(D480,[5]成飞半成品!$A:$B,2,0),VLOOKUP(D480,[5]九院成本!$A$4:$B$48,2,0))</f>
        <v>支架</v>
      </c>
      <c r="H480" s="3" t="s">
        <v>51</v>
      </c>
      <c r="I480" s="3">
        <v>40</v>
      </c>
      <c r="J480" s="18" t="s">
        <v>1069</v>
      </c>
      <c r="L480" s="3">
        <v>20</v>
      </c>
      <c r="M480" s="19">
        <v>8</v>
      </c>
      <c r="N480" s="19">
        <v>8</v>
      </c>
      <c r="O480" s="5" t="s">
        <v>784</v>
      </c>
      <c r="P480" s="4"/>
      <c r="Q480" s="18">
        <v>30</v>
      </c>
      <c r="R480" s="3"/>
      <c r="S480" s="6"/>
      <c r="T480" s="22"/>
      <c r="V480" s="23">
        <v>10</v>
      </c>
      <c r="W480" s="24" t="s">
        <v>9</v>
      </c>
    </row>
    <row r="481" spans="1:25" ht="23.1" customHeight="1" x14ac:dyDescent="0.25">
      <c r="A481" s="1" t="s">
        <v>48</v>
      </c>
      <c r="D481" s="3" t="s">
        <v>1162</v>
      </c>
      <c r="E481" s="15" t="s">
        <v>785</v>
      </c>
      <c r="F481" s="15" t="e">
        <v>#N/A</v>
      </c>
      <c r="G481" s="15" t="str">
        <f>IFERROR(VLOOKUP(D481,[5]成飞半成品!$A:$B,2,0),VLOOKUP(D481,[5]九院成本!$A$4:$B$48,2,0))</f>
        <v>工装</v>
      </c>
      <c r="J481" s="18" t="e">
        <v>#N/A</v>
      </c>
      <c r="M481" s="19"/>
      <c r="N481" s="19"/>
      <c r="P481" s="4"/>
      <c r="Q481" s="18">
        <v>0</v>
      </c>
      <c r="R481" s="3"/>
      <c r="S481" s="6"/>
      <c r="T481" s="22"/>
      <c r="U481" s="7">
        <v>16</v>
      </c>
      <c r="V481" s="23">
        <v>16</v>
      </c>
      <c r="W481" s="24" t="s">
        <v>7</v>
      </c>
      <c r="X481" s="7" t="s">
        <v>786</v>
      </c>
    </row>
    <row r="482" spans="1:25" ht="23.1" customHeight="1" x14ac:dyDescent="0.25">
      <c r="A482" s="1" t="s">
        <v>787</v>
      </c>
      <c r="D482" s="3" t="s">
        <v>1162</v>
      </c>
      <c r="E482" s="15" t="s">
        <v>788</v>
      </c>
      <c r="F482" s="15" t="e">
        <v>#N/A</v>
      </c>
      <c r="G482" s="15" t="str">
        <f>IFERROR(VLOOKUP(D482,[5]成飞半成品!$A:$B,2,0),VLOOKUP(D482,[5]九院成本!$A$4:$B$48,2,0))</f>
        <v>工装</v>
      </c>
      <c r="J482" s="18" t="e">
        <v>#N/A</v>
      </c>
      <c r="L482" s="3">
        <v>3</v>
      </c>
      <c r="M482" s="19">
        <v>8</v>
      </c>
      <c r="N482" s="19">
        <v>8</v>
      </c>
      <c r="P482" s="4"/>
      <c r="Q482" s="18">
        <v>720</v>
      </c>
      <c r="R482" s="3"/>
      <c r="S482" s="6"/>
      <c r="T482" s="22"/>
      <c r="V482" s="23">
        <v>36</v>
      </c>
      <c r="W482" s="24" t="s">
        <v>7</v>
      </c>
      <c r="X482" s="7" t="s">
        <v>210</v>
      </c>
    </row>
    <row r="483" spans="1:25" ht="23.1" customHeight="1" x14ac:dyDescent="0.25">
      <c r="A483" s="1" t="s">
        <v>89</v>
      </c>
      <c r="D483" s="3" t="s">
        <v>1162</v>
      </c>
      <c r="E483" s="15" t="s">
        <v>789</v>
      </c>
      <c r="F483" s="15" t="e">
        <v>#N/A</v>
      </c>
      <c r="G483" s="15" t="str">
        <f>IFERROR(VLOOKUP(D483,[5]成飞半成品!$A:$B,2,0),VLOOKUP(D483,[5]九院成本!$A$4:$B$48,2,0))</f>
        <v>工装</v>
      </c>
      <c r="J483" s="18" t="e">
        <v>#N/A</v>
      </c>
      <c r="L483" s="3">
        <v>2</v>
      </c>
      <c r="M483" s="19">
        <v>8</v>
      </c>
      <c r="N483" s="19"/>
      <c r="P483" s="4"/>
      <c r="Q483" s="18">
        <v>60</v>
      </c>
      <c r="R483" s="3"/>
      <c r="S483" s="6"/>
      <c r="T483" s="22"/>
      <c r="V483" s="23">
        <v>2</v>
      </c>
      <c r="W483" s="24" t="s">
        <v>7</v>
      </c>
      <c r="X483" s="7" t="s">
        <v>790</v>
      </c>
    </row>
    <row r="484" spans="1:25" ht="23.1" customHeight="1" x14ac:dyDescent="0.25">
      <c r="A484" s="1" t="s">
        <v>103</v>
      </c>
      <c r="D484" s="3" t="s">
        <v>1162</v>
      </c>
      <c r="E484" s="15" t="s">
        <v>788</v>
      </c>
      <c r="F484" s="15" t="e">
        <v>#N/A</v>
      </c>
      <c r="G484" s="15" t="str">
        <f>IFERROR(VLOOKUP(D484,[5]成飞半成品!$A:$B,2,0),VLOOKUP(D484,[5]九院成本!$A$4:$B$48,2,0))</f>
        <v>工装</v>
      </c>
      <c r="J484" s="18" t="e">
        <v>#N/A</v>
      </c>
      <c r="L484" s="3">
        <v>1</v>
      </c>
      <c r="M484" s="19">
        <v>8</v>
      </c>
      <c r="N484" s="19"/>
      <c r="P484" s="4"/>
      <c r="Q484" s="18">
        <v>600</v>
      </c>
      <c r="R484" s="3"/>
      <c r="S484" s="6"/>
      <c r="T484" s="22"/>
      <c r="V484" s="23">
        <v>10</v>
      </c>
      <c r="W484" s="24" t="s">
        <v>7</v>
      </c>
      <c r="X484" s="7" t="s">
        <v>791</v>
      </c>
    </row>
    <row r="485" spans="1:25" ht="23.1" customHeight="1" x14ac:dyDescent="0.25">
      <c r="A485" s="1" t="s">
        <v>103</v>
      </c>
      <c r="D485" s="3" t="s">
        <v>1162</v>
      </c>
      <c r="E485" s="15" t="s">
        <v>211</v>
      </c>
      <c r="F485" s="15" t="e">
        <v>#N/A</v>
      </c>
      <c r="G485" s="15" t="str">
        <f>IFERROR(VLOOKUP(D485,[5]成飞半成品!$A:$B,2,0),VLOOKUP(D485,[5]九院成本!$A$4:$B$48,2,0))</f>
        <v>工装</v>
      </c>
      <c r="J485" s="18" t="e">
        <v>#N/A</v>
      </c>
      <c r="L485" s="3">
        <v>1</v>
      </c>
      <c r="M485" s="19">
        <v>8</v>
      </c>
      <c r="N485" s="19"/>
      <c r="P485" s="4"/>
      <c r="Q485" s="18">
        <v>600</v>
      </c>
      <c r="R485" s="3"/>
      <c r="S485" s="6"/>
      <c r="T485" s="22"/>
      <c r="V485" s="23">
        <v>10</v>
      </c>
      <c r="W485" s="24" t="s">
        <v>7</v>
      </c>
      <c r="X485" s="7" t="s">
        <v>792</v>
      </c>
    </row>
    <row r="486" spans="1:25" ht="23.1" customHeight="1" x14ac:dyDescent="0.25">
      <c r="A486" s="1" t="s">
        <v>759</v>
      </c>
      <c r="D486" s="3" t="s">
        <v>1162</v>
      </c>
      <c r="E486" s="15" t="s">
        <v>788</v>
      </c>
      <c r="F486" s="15" t="e">
        <v>#N/A</v>
      </c>
      <c r="G486" s="15" t="str">
        <f>IFERROR(VLOOKUP(D486,[5]成飞半成品!$A:$B,2,0),VLOOKUP(D486,[5]九院成本!$A$4:$B$48,2,0))</f>
        <v>工装</v>
      </c>
      <c r="J486" s="18" t="e">
        <v>#N/A</v>
      </c>
      <c r="L486" s="3">
        <v>1</v>
      </c>
      <c r="M486" s="19">
        <v>8</v>
      </c>
      <c r="N486" s="19"/>
      <c r="P486" s="4"/>
      <c r="Q486" s="18">
        <v>600</v>
      </c>
      <c r="R486" s="3"/>
      <c r="S486" s="6"/>
      <c r="T486" s="22"/>
      <c r="V486" s="23">
        <v>10</v>
      </c>
      <c r="W486" s="24" t="s">
        <v>7</v>
      </c>
      <c r="X486" s="7" t="s">
        <v>210</v>
      </c>
    </row>
    <row r="487" spans="1:25" ht="23.1" customHeight="1" x14ac:dyDescent="0.25">
      <c r="A487" s="1" t="s">
        <v>759</v>
      </c>
      <c r="D487" s="3" t="s">
        <v>1162</v>
      </c>
      <c r="E487" s="15" t="s">
        <v>793</v>
      </c>
      <c r="F487" s="15" t="e">
        <v>#N/A</v>
      </c>
      <c r="G487" s="15" t="str">
        <f>IFERROR(VLOOKUP(D487,[5]成飞半成品!$A:$B,2,0),VLOOKUP(D487,[5]九院成本!$A$4:$B$48,2,0))</f>
        <v>工装</v>
      </c>
      <c r="J487" s="18" t="e">
        <v>#N/A</v>
      </c>
      <c r="L487" s="3">
        <v>3</v>
      </c>
      <c r="M487" s="19">
        <v>8</v>
      </c>
      <c r="N487" s="19"/>
      <c r="P487" s="4"/>
      <c r="Q487" s="18">
        <v>900</v>
      </c>
      <c r="R487" s="3"/>
      <c r="S487" s="6"/>
      <c r="T487" s="22"/>
      <c r="V487" s="23">
        <v>45</v>
      </c>
      <c r="W487" s="24" t="s">
        <v>7</v>
      </c>
      <c r="X487" s="7" t="s">
        <v>221</v>
      </c>
    </row>
    <row r="488" spans="1:25" ht="23.1" customHeight="1" x14ac:dyDescent="0.25">
      <c r="A488" s="1" t="s">
        <v>759</v>
      </c>
      <c r="D488" s="3" t="s">
        <v>559</v>
      </c>
      <c r="E488" s="15" t="s">
        <v>560</v>
      </c>
      <c r="F488" s="15" t="s">
        <v>560</v>
      </c>
      <c r="G488" s="15" t="str">
        <f>IFERROR(VLOOKUP(D488,[5]成飞半成品!$A:$B,2,0),VLOOKUP(D488,[5]九院成本!$A$4:$B$48,2,0))</f>
        <v>90°弯管接头</v>
      </c>
      <c r="H488" s="3" t="s">
        <v>147</v>
      </c>
      <c r="I488" s="3" t="s">
        <v>340</v>
      </c>
      <c r="J488" s="18" t="e">
        <v>#N/A</v>
      </c>
      <c r="L488" s="3">
        <v>6</v>
      </c>
      <c r="M488" s="19">
        <v>8</v>
      </c>
      <c r="N488" s="19">
        <v>8</v>
      </c>
      <c r="P488" s="4"/>
      <c r="Q488" s="18">
        <v>20</v>
      </c>
      <c r="R488" s="3"/>
      <c r="S488" s="6"/>
      <c r="T488" s="22"/>
      <c r="V488" s="23">
        <v>2</v>
      </c>
      <c r="W488" s="24" t="s">
        <v>15</v>
      </c>
      <c r="X488" s="7" t="s">
        <v>485</v>
      </c>
      <c r="Y488" s="7" t="s">
        <v>203</v>
      </c>
    </row>
    <row r="489" spans="1:25" ht="23.1" customHeight="1" x14ac:dyDescent="0.25">
      <c r="A489" s="1" t="s">
        <v>759</v>
      </c>
      <c r="D489" s="3" t="s">
        <v>794</v>
      </c>
      <c r="E489" s="15" t="s">
        <v>87</v>
      </c>
      <c r="F489" s="15" t="s">
        <v>87</v>
      </c>
      <c r="G489" s="15" t="str">
        <f>IFERROR(VLOOKUP(D489,[5]成飞半成品!$A:$B,2,0),VLOOKUP(D489,[5]九院成本!$A$4:$B$48,2,0))</f>
        <v>管接头</v>
      </c>
      <c r="H489" s="3" t="s">
        <v>46</v>
      </c>
      <c r="I489" s="3">
        <v>5</v>
      </c>
      <c r="J489" s="18" t="s">
        <v>1110</v>
      </c>
      <c r="L489" s="3">
        <v>13</v>
      </c>
      <c r="M489" s="19">
        <v>8</v>
      </c>
      <c r="N489" s="19">
        <v>8</v>
      </c>
      <c r="O489" s="5" t="s">
        <v>286</v>
      </c>
      <c r="P489" s="4"/>
      <c r="Q489" s="18">
        <v>10</v>
      </c>
      <c r="R489" s="3"/>
      <c r="S489" s="6"/>
      <c r="T489" s="22"/>
      <c r="V489" s="23">
        <v>2.2000000000000002</v>
      </c>
      <c r="W489" s="24" t="s">
        <v>15</v>
      </c>
    </row>
    <row r="490" spans="1:25" ht="23.1" customHeight="1" x14ac:dyDescent="0.25">
      <c r="A490" s="1" t="s">
        <v>759</v>
      </c>
      <c r="D490" s="3" t="s">
        <v>795</v>
      </c>
      <c r="E490" s="15" t="s">
        <v>523</v>
      </c>
      <c r="F490" s="15" t="s">
        <v>523</v>
      </c>
      <c r="G490" s="15" t="str">
        <f>IFERROR(VLOOKUP(D490,[5]成飞半成品!$A:$B,2,0),VLOOKUP(D490,[5]九院成本!$A$4:$B$48,2,0))</f>
        <v>三通管接头</v>
      </c>
      <c r="H490" s="3" t="s">
        <v>46</v>
      </c>
      <c r="I490" s="3">
        <v>5</v>
      </c>
      <c r="J490" s="18" t="s">
        <v>1093</v>
      </c>
      <c r="L490" s="3">
        <v>43</v>
      </c>
      <c r="M490" s="19">
        <v>8</v>
      </c>
      <c r="N490" s="19">
        <v>8</v>
      </c>
      <c r="O490" s="5" t="s">
        <v>508</v>
      </c>
      <c r="P490" s="4"/>
      <c r="Q490" s="18">
        <v>25</v>
      </c>
      <c r="R490" s="3"/>
      <c r="S490" s="6"/>
      <c r="T490" s="22"/>
      <c r="V490" s="23">
        <v>17.899999999999999</v>
      </c>
      <c r="W490" s="24" t="s">
        <v>15</v>
      </c>
    </row>
    <row r="491" spans="1:25" ht="23.1" customHeight="1" x14ac:dyDescent="0.25">
      <c r="A491" s="1" t="s">
        <v>759</v>
      </c>
      <c r="D491" s="3" t="s">
        <v>796</v>
      </c>
      <c r="E491" s="15" t="s">
        <v>302</v>
      </c>
      <c r="F491" s="15" t="s">
        <v>302</v>
      </c>
      <c r="G491" s="15" t="str">
        <f>IFERROR(VLOOKUP(D491,[5]成飞半成品!$A:$B,2,0),VLOOKUP(D491,[5]九院成本!$A$4:$B$48,2,0))</f>
        <v>角盒</v>
      </c>
      <c r="H491" s="3" t="s">
        <v>46</v>
      </c>
      <c r="I491" s="3">
        <v>50</v>
      </c>
      <c r="J491" s="18" t="s">
        <v>1077</v>
      </c>
      <c r="L491" s="3">
        <v>5</v>
      </c>
      <c r="M491" s="19">
        <v>8</v>
      </c>
      <c r="N491" s="19">
        <v>8</v>
      </c>
      <c r="O491" s="5" t="s">
        <v>797</v>
      </c>
      <c r="P491" s="4"/>
      <c r="Q491" s="18">
        <v>60</v>
      </c>
      <c r="R491" s="3"/>
      <c r="S491" s="6"/>
      <c r="T491" s="22"/>
      <c r="V491" s="23">
        <v>5</v>
      </c>
      <c r="W491" s="24" t="s">
        <v>15</v>
      </c>
    </row>
    <row r="492" spans="1:25" ht="23.1" customHeight="1" x14ac:dyDescent="0.25">
      <c r="A492" s="1" t="s">
        <v>764</v>
      </c>
      <c r="D492" s="3" t="s">
        <v>539</v>
      </c>
      <c r="E492" s="15" t="s">
        <v>531</v>
      </c>
      <c r="F492" s="15" t="s">
        <v>531</v>
      </c>
      <c r="G492" s="15" t="str">
        <f>IFERROR(VLOOKUP(D492,[5]成飞半成品!$A:$B,2,0),VLOOKUP(D492,[5]九院成本!$A$4:$B$48,2,0))</f>
        <v>变径三通管接头</v>
      </c>
      <c r="H492" s="3" t="s">
        <v>46</v>
      </c>
      <c r="I492" s="3">
        <v>30</v>
      </c>
      <c r="J492" s="18" t="s">
        <v>1111</v>
      </c>
      <c r="L492" s="3">
        <v>27</v>
      </c>
      <c r="M492" s="19">
        <v>8</v>
      </c>
      <c r="N492" s="19">
        <v>8</v>
      </c>
      <c r="O492" s="5" t="s">
        <v>88</v>
      </c>
      <c r="P492" s="4"/>
      <c r="Q492" s="18" t="s">
        <v>1112</v>
      </c>
      <c r="R492" s="3"/>
      <c r="S492" s="6"/>
      <c r="T492" s="22"/>
      <c r="V492" s="23">
        <v>4.5</v>
      </c>
      <c r="W492" s="24" t="s">
        <v>15</v>
      </c>
    </row>
    <row r="493" spans="1:25" ht="23.1" customHeight="1" x14ac:dyDescent="0.25">
      <c r="A493" s="1" t="s">
        <v>764</v>
      </c>
      <c r="D493" s="3" t="s">
        <v>539</v>
      </c>
      <c r="E493" s="15" t="s">
        <v>540</v>
      </c>
      <c r="F493" s="15" t="s">
        <v>540</v>
      </c>
      <c r="G493" s="15" t="str">
        <f>IFERROR(VLOOKUP(D493,[5]成飞半成品!$A:$B,2,0),VLOOKUP(D493,[5]九院成本!$A$4:$B$48,2,0))</f>
        <v>变径三通管接头</v>
      </c>
      <c r="H493" s="3" t="s">
        <v>51</v>
      </c>
      <c r="I493" s="3">
        <v>45</v>
      </c>
      <c r="J493" s="18" t="s">
        <v>1073</v>
      </c>
      <c r="L493" s="3">
        <v>38</v>
      </c>
      <c r="M493" s="19">
        <v>8</v>
      </c>
      <c r="N493" s="19">
        <v>8</v>
      </c>
      <c r="O493" s="5" t="s">
        <v>283</v>
      </c>
      <c r="P493" s="4"/>
      <c r="Q493" s="18" t="s">
        <v>1074</v>
      </c>
      <c r="R493" s="3"/>
      <c r="S493" s="6"/>
      <c r="T493" s="22"/>
      <c r="V493" s="23">
        <v>22.2</v>
      </c>
      <c r="W493" s="24" t="s">
        <v>15</v>
      </c>
    </row>
    <row r="494" spans="1:25" ht="23.1" customHeight="1" x14ac:dyDescent="0.25">
      <c r="A494" s="1" t="s">
        <v>764</v>
      </c>
      <c r="D494" s="3" t="s">
        <v>192</v>
      </c>
      <c r="E494" s="15" t="s">
        <v>799</v>
      </c>
      <c r="F494" s="15" t="s">
        <v>1146</v>
      </c>
      <c r="G494" s="15" t="str">
        <f>IFERROR(VLOOKUP(D494,[5]成飞半成品!$A:$B,2,0),VLOOKUP(D494,[5]九院成本!$A$4:$B$48,2,0))</f>
        <v>1N-2020-09-040</v>
      </c>
      <c r="H494" s="3" t="s">
        <v>80</v>
      </c>
      <c r="I494" s="3">
        <v>15</v>
      </c>
      <c r="J494" s="18" t="e">
        <v>#N/A</v>
      </c>
      <c r="L494" s="3">
        <v>1321</v>
      </c>
      <c r="M494" s="19">
        <v>8</v>
      </c>
      <c r="N494" s="19">
        <v>8</v>
      </c>
      <c r="O494" s="5" t="s">
        <v>192</v>
      </c>
      <c r="P494" s="4"/>
      <c r="Q494" s="18">
        <v>5</v>
      </c>
      <c r="R494" s="3"/>
      <c r="S494" s="6"/>
      <c r="T494" s="22"/>
      <c r="V494" s="23">
        <v>110.1</v>
      </c>
      <c r="W494" s="24" t="s">
        <v>10</v>
      </c>
    </row>
    <row r="495" spans="1:25" ht="23.1" customHeight="1" x14ac:dyDescent="0.25">
      <c r="A495" s="1" t="s">
        <v>766</v>
      </c>
      <c r="D495" s="3" t="s">
        <v>549</v>
      </c>
      <c r="E495" s="15" t="s">
        <v>76</v>
      </c>
      <c r="F495" s="15" t="s">
        <v>76</v>
      </c>
      <c r="G495" s="15" t="str">
        <f>IFERROR(VLOOKUP(D495,[5]成飞半成品!$A:$B,2,0),VLOOKUP(D495,[5]九院成本!$A$4:$B$48,2,0))</f>
        <v>接管嘴</v>
      </c>
      <c r="H495" s="3" t="s">
        <v>46</v>
      </c>
      <c r="I495" s="3">
        <v>35</v>
      </c>
      <c r="J495" s="18" t="s">
        <v>1072</v>
      </c>
      <c r="L495" s="3">
        <v>24</v>
      </c>
      <c r="M495" s="19">
        <v>8</v>
      </c>
      <c r="N495" s="19">
        <v>8</v>
      </c>
      <c r="O495" s="5" t="s">
        <v>550</v>
      </c>
      <c r="P495" s="4"/>
      <c r="Q495" s="18">
        <v>30</v>
      </c>
      <c r="R495" s="3"/>
      <c r="S495" s="6"/>
      <c r="T495" s="22"/>
      <c r="V495" s="23">
        <v>12</v>
      </c>
      <c r="W495" s="24" t="s">
        <v>10</v>
      </c>
    </row>
    <row r="496" spans="1:25" ht="23.1" customHeight="1" x14ac:dyDescent="0.25">
      <c r="A496" s="1" t="s">
        <v>766</v>
      </c>
      <c r="D496" s="3" t="s">
        <v>800</v>
      </c>
      <c r="E496" s="15" t="s">
        <v>55</v>
      </c>
      <c r="F496" s="15" t="s">
        <v>55</v>
      </c>
      <c r="G496" s="15" t="str">
        <f>IFERROR(VLOOKUP(D496,[5]成飞半成品!$A:$B,2,0),VLOOKUP(D496,[5]九院成本!$A$4:$B$48,2,0))</f>
        <v>接头</v>
      </c>
      <c r="H496" s="3" t="s">
        <v>80</v>
      </c>
      <c r="I496" s="3">
        <v>30</v>
      </c>
      <c r="J496" s="18" t="s">
        <v>1079</v>
      </c>
      <c r="L496" s="3">
        <v>1</v>
      </c>
      <c r="M496" s="19">
        <v>8</v>
      </c>
      <c r="N496" s="19">
        <v>8</v>
      </c>
      <c r="O496" s="5" t="s">
        <v>81</v>
      </c>
      <c r="P496" s="4"/>
      <c r="Q496" s="18">
        <v>30</v>
      </c>
      <c r="R496" s="3"/>
      <c r="S496" s="6"/>
      <c r="T496" s="22"/>
      <c r="V496" s="23">
        <v>0.5</v>
      </c>
      <c r="W496" s="24" t="s">
        <v>10</v>
      </c>
    </row>
    <row r="497" spans="1:25" ht="23.1" customHeight="1" x14ac:dyDescent="0.25">
      <c r="A497" s="1" t="s">
        <v>766</v>
      </c>
      <c r="D497" s="3" t="s">
        <v>801</v>
      </c>
      <c r="E497" s="15" t="s">
        <v>55</v>
      </c>
      <c r="F497" s="15" t="s">
        <v>55</v>
      </c>
      <c r="G497" s="15" t="str">
        <f>IFERROR(VLOOKUP(D497,[5]成飞半成品!$A:$B,2,0),VLOOKUP(D497,[5]九院成本!$A$4:$B$48,2,0))</f>
        <v>接头</v>
      </c>
      <c r="H497" s="3" t="s">
        <v>80</v>
      </c>
      <c r="I497" s="3">
        <v>30</v>
      </c>
      <c r="J497" s="18" t="s">
        <v>1079</v>
      </c>
      <c r="L497" s="3">
        <v>1</v>
      </c>
      <c r="M497" s="19">
        <v>8</v>
      </c>
      <c r="N497" s="19">
        <v>8</v>
      </c>
      <c r="O497" s="5" t="s">
        <v>81</v>
      </c>
      <c r="P497" s="4"/>
      <c r="Q497" s="18">
        <v>30</v>
      </c>
      <c r="R497" s="3"/>
      <c r="S497" s="6"/>
      <c r="T497" s="22"/>
      <c r="V497" s="23">
        <v>0.5</v>
      </c>
      <c r="W497" s="24" t="s">
        <v>10</v>
      </c>
    </row>
    <row r="498" spans="1:25" ht="23.1" customHeight="1" x14ac:dyDescent="0.25">
      <c r="A498" s="1" t="s">
        <v>802</v>
      </c>
      <c r="D498" s="3" t="s">
        <v>192</v>
      </c>
      <c r="E498" s="15" t="s">
        <v>804</v>
      </c>
      <c r="F498" s="15" t="s">
        <v>1147</v>
      </c>
      <c r="G498" s="15" t="str">
        <f>IFERROR(VLOOKUP(D498,[5]成飞半成品!$A:$B,2,0),VLOOKUP(D498,[5]九院成本!$A$4:$B$48,2,0))</f>
        <v>1N-2020-09-040</v>
      </c>
      <c r="H498" s="3" t="s">
        <v>80</v>
      </c>
      <c r="I498" s="3">
        <v>10</v>
      </c>
      <c r="J498" s="18" t="e">
        <v>#N/A</v>
      </c>
      <c r="L498" s="3">
        <v>1363</v>
      </c>
      <c r="M498" s="19">
        <v>8</v>
      </c>
      <c r="N498" s="19">
        <v>8</v>
      </c>
      <c r="O498" s="5" t="s">
        <v>192</v>
      </c>
      <c r="P498" s="4"/>
      <c r="Q498" s="18">
        <v>8</v>
      </c>
      <c r="R498" s="3"/>
      <c r="S498" s="6"/>
      <c r="T498" s="22"/>
      <c r="V498" s="23">
        <v>181.7</v>
      </c>
      <c r="W498" s="24" t="s">
        <v>2</v>
      </c>
      <c r="X498" s="7" t="s">
        <v>805</v>
      </c>
    </row>
    <row r="499" spans="1:25" ht="23.1" customHeight="1" x14ac:dyDescent="0.25">
      <c r="A499" s="1" t="s">
        <v>759</v>
      </c>
      <c r="D499" s="3" t="s">
        <v>806</v>
      </c>
      <c r="E499" s="15" t="s">
        <v>120</v>
      </c>
      <c r="F499" s="15" t="s">
        <v>120</v>
      </c>
      <c r="G499" s="15" t="str">
        <f>IFERROR(VLOOKUP(D499,[5]成飞半成品!$A:$B,2,0),VLOOKUP(D499,[5]九院成本!$A$4:$B$48,2,0))</f>
        <v>支架</v>
      </c>
      <c r="H499" s="3" t="s">
        <v>114</v>
      </c>
      <c r="I499" s="3">
        <v>35</v>
      </c>
      <c r="J499" s="18" t="s">
        <v>1072</v>
      </c>
      <c r="L499" s="3">
        <v>21</v>
      </c>
      <c r="M499" s="19">
        <v>8</v>
      </c>
      <c r="N499" s="19">
        <v>8</v>
      </c>
      <c r="O499" s="5" t="s">
        <v>56</v>
      </c>
      <c r="P499" s="4"/>
      <c r="Q499" s="18">
        <v>30</v>
      </c>
      <c r="R499" s="3"/>
      <c r="S499" s="6"/>
      <c r="T499" s="22"/>
      <c r="V499" s="23">
        <v>10.5</v>
      </c>
      <c r="W499" s="24" t="s">
        <v>2</v>
      </c>
    </row>
    <row r="500" spans="1:25" ht="23.1" customHeight="1" x14ac:dyDescent="0.25">
      <c r="A500" s="1" t="s">
        <v>759</v>
      </c>
      <c r="D500" s="3" t="s">
        <v>807</v>
      </c>
      <c r="E500" s="15" t="s">
        <v>808</v>
      </c>
      <c r="F500" s="15" t="s">
        <v>808</v>
      </c>
      <c r="G500" s="15" t="str">
        <f>IFERROR(VLOOKUP(D500,[5]成飞半成品!$A:$B,2,0),VLOOKUP(D500,[5]九院成本!$A$4:$B$48,2,0))</f>
        <v>实心块</v>
      </c>
      <c r="H500" s="3" t="s">
        <v>46</v>
      </c>
      <c r="I500" s="3">
        <v>30</v>
      </c>
      <c r="J500" s="18" t="s">
        <v>1079</v>
      </c>
      <c r="L500" s="3">
        <v>5</v>
      </c>
      <c r="M500" s="19">
        <v>8</v>
      </c>
      <c r="N500" s="19">
        <v>8</v>
      </c>
      <c r="O500" s="5" t="s">
        <v>440</v>
      </c>
      <c r="P500" s="4"/>
      <c r="Q500" s="18">
        <v>45</v>
      </c>
      <c r="R500" s="3"/>
      <c r="S500" s="6"/>
      <c r="T500" s="22"/>
      <c r="V500" s="23">
        <v>3.8</v>
      </c>
      <c r="W500" s="24" t="s">
        <v>2</v>
      </c>
    </row>
    <row r="501" spans="1:25" ht="23.1" customHeight="1" x14ac:dyDescent="0.25">
      <c r="A501" s="1" t="s">
        <v>759</v>
      </c>
      <c r="D501" s="3" t="s">
        <v>809</v>
      </c>
      <c r="E501" s="15" t="s">
        <v>808</v>
      </c>
      <c r="F501" s="15" t="s">
        <v>808</v>
      </c>
      <c r="G501" s="15" t="str">
        <f>IFERROR(VLOOKUP(D501,[5]成飞半成品!$A:$B,2,0),VLOOKUP(D501,[5]九院成本!$A$4:$B$48,2,0))</f>
        <v>实心块</v>
      </c>
      <c r="H501" s="3" t="s">
        <v>46</v>
      </c>
      <c r="I501" s="3">
        <v>30</v>
      </c>
      <c r="J501" s="18" t="s">
        <v>1079</v>
      </c>
      <c r="L501" s="3">
        <v>5</v>
      </c>
      <c r="M501" s="19">
        <v>8</v>
      </c>
      <c r="N501" s="19">
        <v>8</v>
      </c>
      <c r="O501" s="5" t="s">
        <v>440</v>
      </c>
      <c r="P501" s="4"/>
      <c r="Q501" s="18">
        <v>45</v>
      </c>
      <c r="R501" s="3"/>
      <c r="S501" s="6"/>
      <c r="T501" s="22"/>
      <c r="V501" s="23">
        <v>3.8</v>
      </c>
      <c r="W501" s="24" t="s">
        <v>2</v>
      </c>
    </row>
    <row r="502" spans="1:25" ht="23.1" customHeight="1" x14ac:dyDescent="0.25">
      <c r="A502" s="1" t="s">
        <v>759</v>
      </c>
      <c r="D502" s="3" t="s">
        <v>809</v>
      </c>
      <c r="E502" s="15" t="s">
        <v>808</v>
      </c>
      <c r="F502" s="15" t="s">
        <v>808</v>
      </c>
      <c r="G502" s="15" t="str">
        <f>IFERROR(VLOOKUP(D502,[5]成飞半成品!$A:$B,2,0),VLOOKUP(D502,[5]九院成本!$A$4:$B$48,2,0))</f>
        <v>实心块</v>
      </c>
      <c r="H502" s="3" t="s">
        <v>46</v>
      </c>
      <c r="I502" s="3">
        <v>30</v>
      </c>
      <c r="J502" s="18" t="s">
        <v>1079</v>
      </c>
      <c r="L502" s="3">
        <v>5</v>
      </c>
      <c r="M502" s="19">
        <v>8</v>
      </c>
      <c r="N502" s="19">
        <v>8</v>
      </c>
      <c r="O502" s="5" t="s">
        <v>56</v>
      </c>
      <c r="P502" s="4"/>
      <c r="Q502" s="18">
        <v>45</v>
      </c>
      <c r="R502" s="3"/>
      <c r="S502" s="6"/>
      <c r="T502" s="22"/>
      <c r="V502" s="23">
        <v>3.8</v>
      </c>
      <c r="W502" s="24" t="s">
        <v>2</v>
      </c>
    </row>
    <row r="503" spans="1:25" ht="23.1" customHeight="1" x14ac:dyDescent="0.25">
      <c r="A503" s="1" t="s">
        <v>759</v>
      </c>
      <c r="D503" s="3" t="s">
        <v>807</v>
      </c>
      <c r="E503" s="15" t="s">
        <v>808</v>
      </c>
      <c r="F503" s="15" t="s">
        <v>808</v>
      </c>
      <c r="G503" s="15" t="str">
        <f>IFERROR(VLOOKUP(D503,[5]成飞半成品!$A:$B,2,0),VLOOKUP(D503,[5]九院成本!$A$4:$B$48,2,0))</f>
        <v>实心块</v>
      </c>
      <c r="H503" s="3" t="s">
        <v>46</v>
      </c>
      <c r="I503" s="3">
        <v>30</v>
      </c>
      <c r="J503" s="18" t="s">
        <v>1079</v>
      </c>
      <c r="L503" s="3">
        <v>5</v>
      </c>
      <c r="M503" s="19">
        <v>8</v>
      </c>
      <c r="N503" s="19">
        <v>8</v>
      </c>
      <c r="O503" s="5" t="s">
        <v>56</v>
      </c>
      <c r="P503" s="4"/>
      <c r="Q503" s="18">
        <v>45</v>
      </c>
      <c r="R503" s="3"/>
      <c r="S503" s="6"/>
      <c r="T503" s="22"/>
      <c r="V503" s="23">
        <v>3.8</v>
      </c>
      <c r="W503" s="24" t="s">
        <v>2</v>
      </c>
    </row>
    <row r="504" spans="1:25" ht="23.1" customHeight="1" x14ac:dyDescent="0.25">
      <c r="A504" s="1" t="s">
        <v>764</v>
      </c>
      <c r="D504" s="3" t="s">
        <v>810</v>
      </c>
      <c r="E504" s="15" t="s">
        <v>55</v>
      </c>
      <c r="F504" s="15" t="s">
        <v>55</v>
      </c>
      <c r="G504" s="15" t="str">
        <f>IFERROR(VLOOKUP(D504,[5]成飞半成品!$A:$B,2,0),VLOOKUP(D504,[5]九院成本!$A$4:$B$48,2,0))</f>
        <v>接头</v>
      </c>
      <c r="H504" s="3" t="s">
        <v>80</v>
      </c>
      <c r="I504" s="3">
        <v>35</v>
      </c>
      <c r="J504" s="18" t="s">
        <v>1075</v>
      </c>
      <c r="L504" s="3">
        <v>4</v>
      </c>
      <c r="M504" s="19">
        <v>8</v>
      </c>
      <c r="N504" s="19">
        <v>8</v>
      </c>
      <c r="O504" s="5" t="s">
        <v>81</v>
      </c>
      <c r="P504" s="4"/>
      <c r="Q504" s="18">
        <v>35</v>
      </c>
      <c r="R504" s="3"/>
      <c r="S504" s="6"/>
      <c r="T504" s="22"/>
      <c r="V504" s="23">
        <v>2.2999999999999998</v>
      </c>
      <c r="W504" s="24" t="s">
        <v>2</v>
      </c>
    </row>
    <row r="505" spans="1:25" ht="23.1" customHeight="1" x14ac:dyDescent="0.25">
      <c r="A505" s="1" t="s">
        <v>764</v>
      </c>
      <c r="D505" s="3" t="s">
        <v>811</v>
      </c>
      <c r="E505" s="15" t="s">
        <v>55</v>
      </c>
      <c r="F505" s="15" t="s">
        <v>55</v>
      </c>
      <c r="G505" s="15" t="str">
        <f>IFERROR(VLOOKUP(D505,[5]成飞半成品!$A:$B,2,0),VLOOKUP(D505,[5]九院成本!$A$4:$B$48,2,0))</f>
        <v>接头</v>
      </c>
      <c r="H505" s="3" t="s">
        <v>80</v>
      </c>
      <c r="I505" s="3">
        <v>35</v>
      </c>
      <c r="J505" s="18" t="s">
        <v>1075</v>
      </c>
      <c r="L505" s="3">
        <v>4</v>
      </c>
      <c r="M505" s="19">
        <v>8</v>
      </c>
      <c r="N505" s="19">
        <v>8</v>
      </c>
      <c r="O505" s="5" t="s">
        <v>81</v>
      </c>
      <c r="P505" s="4"/>
      <c r="Q505" s="18">
        <v>35</v>
      </c>
      <c r="R505" s="3"/>
      <c r="S505" s="6"/>
      <c r="T505" s="22"/>
      <c r="V505" s="23">
        <v>2.2999999999999998</v>
      </c>
      <c r="W505" s="24" t="s">
        <v>2</v>
      </c>
    </row>
    <row r="506" spans="1:25" ht="23.1" customHeight="1" x14ac:dyDescent="0.25">
      <c r="A506" s="1" t="s">
        <v>764</v>
      </c>
      <c r="D506" s="3" t="s">
        <v>549</v>
      </c>
      <c r="E506" s="15" t="s">
        <v>76</v>
      </c>
      <c r="F506" s="15" t="s">
        <v>76</v>
      </c>
      <c r="G506" s="15" t="str">
        <f>IFERROR(VLOOKUP(D506,[5]成飞半成品!$A:$B,2,0),VLOOKUP(D506,[5]九院成本!$A$4:$B$48,2,0))</f>
        <v>接管嘴</v>
      </c>
      <c r="H506" s="3" t="s">
        <v>46</v>
      </c>
      <c r="I506" s="3">
        <v>35</v>
      </c>
      <c r="J506" s="18" t="s">
        <v>1072</v>
      </c>
      <c r="L506" s="3">
        <v>22</v>
      </c>
      <c r="M506" s="19">
        <v>8</v>
      </c>
      <c r="N506" s="19">
        <v>8</v>
      </c>
      <c r="O506" s="5" t="s">
        <v>812</v>
      </c>
      <c r="P506" s="4"/>
      <c r="Q506" s="18">
        <v>30</v>
      </c>
      <c r="R506" s="3"/>
      <c r="S506" s="6"/>
      <c r="T506" s="22"/>
      <c r="V506" s="23">
        <v>11</v>
      </c>
      <c r="W506" s="24" t="s">
        <v>2</v>
      </c>
    </row>
    <row r="507" spans="1:25" ht="23.1" customHeight="1" x14ac:dyDescent="0.25">
      <c r="A507" s="1" t="s">
        <v>759</v>
      </c>
      <c r="D507" s="3" t="s">
        <v>1183</v>
      </c>
      <c r="E507" s="15" t="s">
        <v>814</v>
      </c>
      <c r="F507" s="15" t="s">
        <v>814</v>
      </c>
      <c r="G507" s="15" t="str">
        <f>IFERROR(VLOOKUP(D507,[5]成飞半成品!$A:$B,2,0),VLOOKUP(D507,[5]九院成本!$A$4:$B$48,2,0))</f>
        <v>支臂</v>
      </c>
      <c r="H507" s="3" t="s">
        <v>46</v>
      </c>
      <c r="I507" s="3" t="s">
        <v>340</v>
      </c>
      <c r="J507" s="18" t="e">
        <v>#N/A</v>
      </c>
      <c r="L507" s="3">
        <v>7</v>
      </c>
      <c r="M507" s="19">
        <v>8</v>
      </c>
      <c r="N507" s="19">
        <v>8</v>
      </c>
      <c r="O507" s="5" t="s">
        <v>474</v>
      </c>
      <c r="P507" s="4"/>
      <c r="Q507" s="18">
        <v>50</v>
      </c>
      <c r="R507" s="3"/>
      <c r="S507" s="6"/>
      <c r="T507" s="22"/>
      <c r="V507" s="23">
        <v>5.8</v>
      </c>
      <c r="W507" s="24" t="s">
        <v>12</v>
      </c>
      <c r="X507" s="7" t="s">
        <v>545</v>
      </c>
      <c r="Y507" s="7" t="s">
        <v>203</v>
      </c>
    </row>
    <row r="508" spans="1:25" ht="23.1" customHeight="1" x14ac:dyDescent="0.25">
      <c r="A508" s="1" t="s">
        <v>815</v>
      </c>
      <c r="D508" s="3" t="s">
        <v>816</v>
      </c>
      <c r="E508" s="15" t="s">
        <v>817</v>
      </c>
      <c r="F508" s="15" t="s">
        <v>817</v>
      </c>
      <c r="G508" s="15" t="str">
        <f>IFERROR(VLOOKUP(D508,[5]成飞半成品!$A:$B,2,0),VLOOKUP(D508,[5]九院成本!$A$4:$B$48,2,0))</f>
        <v>套筒</v>
      </c>
      <c r="H508" s="3" t="s">
        <v>51</v>
      </c>
      <c r="I508" s="3">
        <v>30</v>
      </c>
      <c r="J508" s="18" t="s">
        <v>1079</v>
      </c>
      <c r="L508" s="3">
        <v>40</v>
      </c>
      <c r="M508" s="19">
        <v>8</v>
      </c>
      <c r="N508" s="19">
        <v>8</v>
      </c>
      <c r="O508" s="5" t="s">
        <v>700</v>
      </c>
      <c r="P508" s="4"/>
      <c r="Q508" s="18">
        <v>20</v>
      </c>
      <c r="R508" s="3"/>
      <c r="S508" s="6"/>
      <c r="T508" s="22"/>
      <c r="V508" s="23">
        <v>13.3</v>
      </c>
      <c r="W508" s="24" t="s">
        <v>12</v>
      </c>
    </row>
    <row r="509" spans="1:25" ht="23.1" customHeight="1" x14ac:dyDescent="0.25">
      <c r="A509" s="1" t="s">
        <v>764</v>
      </c>
      <c r="D509" s="3" t="s">
        <v>549</v>
      </c>
      <c r="E509" s="15" t="s">
        <v>76</v>
      </c>
      <c r="F509" s="15" t="s">
        <v>76</v>
      </c>
      <c r="G509" s="15" t="str">
        <f>IFERROR(VLOOKUP(D509,[5]成飞半成品!$A:$B,2,0),VLOOKUP(D509,[5]九院成本!$A$4:$B$48,2,0))</f>
        <v>接管嘴</v>
      </c>
      <c r="H509" s="3" t="s">
        <v>46</v>
      </c>
      <c r="I509" s="3">
        <v>35</v>
      </c>
      <c r="J509" s="18" t="s">
        <v>1072</v>
      </c>
      <c r="L509" s="3">
        <v>22</v>
      </c>
      <c r="M509" s="19">
        <v>8</v>
      </c>
      <c r="N509" s="19">
        <v>8</v>
      </c>
      <c r="O509" s="5" t="s">
        <v>700</v>
      </c>
      <c r="P509" s="4"/>
      <c r="Q509" s="18">
        <v>30</v>
      </c>
      <c r="R509" s="3"/>
      <c r="S509" s="6"/>
      <c r="T509" s="22"/>
      <c r="V509" s="23">
        <v>11</v>
      </c>
      <c r="W509" s="24" t="s">
        <v>12</v>
      </c>
    </row>
    <row r="510" spans="1:25" ht="23.1" customHeight="1" x14ac:dyDescent="0.25">
      <c r="A510" s="1" t="s">
        <v>764</v>
      </c>
      <c r="D510" s="3" t="s">
        <v>818</v>
      </c>
      <c r="E510" s="15" t="s">
        <v>819</v>
      </c>
      <c r="F510" s="15" t="s">
        <v>819</v>
      </c>
      <c r="G510" s="15" t="str">
        <f>IFERROR(VLOOKUP(D510,[5]成飞半成品!$A:$B,2,0),VLOOKUP(D510,[5]九院成本!$A$4:$B$48,2,0))</f>
        <v>盖</v>
      </c>
      <c r="H510" s="3" t="s">
        <v>46</v>
      </c>
      <c r="I510" s="3" t="s">
        <v>340</v>
      </c>
      <c r="J510" s="18" t="e">
        <v>#N/A</v>
      </c>
      <c r="L510" s="3">
        <v>60</v>
      </c>
      <c r="M510" s="19"/>
      <c r="N510" s="19"/>
      <c r="O510" s="5" t="s">
        <v>56</v>
      </c>
      <c r="P510" s="4"/>
      <c r="Q510" s="18">
        <v>15</v>
      </c>
      <c r="R510" s="3"/>
      <c r="S510" s="6"/>
      <c r="T510" s="22"/>
      <c r="V510" s="23">
        <v>15</v>
      </c>
      <c r="W510" s="24" t="s">
        <v>12</v>
      </c>
      <c r="X510" s="7" t="s">
        <v>257</v>
      </c>
      <c r="Y510" s="7" t="s">
        <v>203</v>
      </c>
    </row>
    <row r="511" spans="1:25" ht="22.95" customHeight="1" x14ac:dyDescent="0.25">
      <c r="A511" s="1" t="s">
        <v>121</v>
      </c>
      <c r="D511" s="3" t="s">
        <v>820</v>
      </c>
      <c r="E511" s="15" t="s">
        <v>717</v>
      </c>
      <c r="F511" s="15" t="s">
        <v>717</v>
      </c>
      <c r="G511" s="15" t="str">
        <f>IFERROR(VLOOKUP(D511,[5]成飞半成品!$A:$B,2,0),VLOOKUP(D511,[5]九院成本!$A$4:$B$48,2,0))</f>
        <v>耳环螺栓</v>
      </c>
      <c r="H511" s="3" t="s">
        <v>80</v>
      </c>
      <c r="I511" s="3" t="s">
        <v>340</v>
      </c>
      <c r="J511" s="18" t="e">
        <v>#N/A</v>
      </c>
      <c r="L511" s="3">
        <v>23</v>
      </c>
      <c r="M511" s="19">
        <v>8</v>
      </c>
      <c r="N511" s="19">
        <v>8</v>
      </c>
      <c r="P511" s="4"/>
      <c r="Q511" s="18">
        <v>0</v>
      </c>
      <c r="R511" s="3"/>
      <c r="S511" s="6"/>
      <c r="T511" s="22"/>
      <c r="U511" s="7">
        <v>2</v>
      </c>
      <c r="V511" s="23">
        <v>2</v>
      </c>
      <c r="W511" s="24" t="s">
        <v>8</v>
      </c>
      <c r="X511" s="7" t="s">
        <v>821</v>
      </c>
      <c r="Y511" s="7" t="s">
        <v>203</v>
      </c>
    </row>
    <row r="512" spans="1:25" ht="22.95" customHeight="1" x14ac:dyDescent="0.25">
      <c r="A512" s="1" t="s">
        <v>121</v>
      </c>
      <c r="D512" s="3" t="str">
        <f>O512</f>
        <v>2020-01-N-03</v>
      </c>
      <c r="E512" s="15" t="s">
        <v>168</v>
      </c>
      <c r="F512" s="15" t="s">
        <v>168</v>
      </c>
      <c r="G512" s="15" t="str">
        <f>IFERROR(VLOOKUP(D512,[5]成飞半成品!$A:$B,2,0),VLOOKUP(D512,[5]九院成本!$A$4:$B$48,2,0))</f>
        <v>1N-2019-12-032</v>
      </c>
      <c r="H512" s="3" t="s">
        <v>80</v>
      </c>
      <c r="I512" s="3" t="s">
        <v>340</v>
      </c>
      <c r="J512" s="18" t="e">
        <v>#N/A</v>
      </c>
      <c r="L512" s="3">
        <v>40</v>
      </c>
      <c r="M512" s="19">
        <v>8</v>
      </c>
      <c r="N512" s="19">
        <v>8</v>
      </c>
      <c r="O512" s="5" t="s">
        <v>1167</v>
      </c>
      <c r="P512" s="4"/>
      <c r="Q512" s="18">
        <v>10</v>
      </c>
      <c r="R512" s="3"/>
      <c r="S512" s="6"/>
      <c r="T512" s="22"/>
      <c r="V512" s="23">
        <v>6.7</v>
      </c>
      <c r="W512" s="24" t="s">
        <v>8</v>
      </c>
      <c r="X512" s="7" t="s">
        <v>518</v>
      </c>
      <c r="Y512" s="7" t="s">
        <v>203</v>
      </c>
    </row>
    <row r="513" spans="1:25" ht="22.95" customHeight="1" x14ac:dyDescent="0.25">
      <c r="A513" s="1" t="s">
        <v>53</v>
      </c>
      <c r="D513" s="3" t="s">
        <v>824</v>
      </c>
      <c r="E513" s="15" t="s">
        <v>717</v>
      </c>
      <c r="F513" s="15" t="s">
        <v>717</v>
      </c>
      <c r="G513" s="15" t="str">
        <f>IFERROR(VLOOKUP(D513,[5]成飞半成品!$A:$B,2,0),VLOOKUP(D513,[5]九院成本!$A$4:$B$48,2,0))</f>
        <v>耳环螺栓</v>
      </c>
      <c r="H513" s="3" t="s">
        <v>80</v>
      </c>
      <c r="I513" s="3" t="s">
        <v>340</v>
      </c>
      <c r="J513" s="18" t="e">
        <v>#N/A</v>
      </c>
      <c r="L513" s="3">
        <v>24</v>
      </c>
      <c r="M513" s="19">
        <v>8</v>
      </c>
      <c r="N513" s="19">
        <v>8</v>
      </c>
      <c r="O513" s="5" t="s">
        <v>825</v>
      </c>
      <c r="P513" s="4"/>
      <c r="Q513" s="18">
        <v>0</v>
      </c>
      <c r="R513" s="3"/>
      <c r="S513" s="6"/>
      <c r="T513" s="22"/>
      <c r="U513" s="7">
        <v>2</v>
      </c>
      <c r="V513" s="23">
        <v>2</v>
      </c>
      <c r="W513" s="24" t="s">
        <v>8</v>
      </c>
      <c r="X513" s="7" t="s">
        <v>821</v>
      </c>
      <c r="Y513" s="7" t="s">
        <v>203</v>
      </c>
    </row>
    <row r="514" spans="1:25" ht="22.95" customHeight="1" x14ac:dyDescent="0.25">
      <c r="A514" s="1" t="s">
        <v>82</v>
      </c>
      <c r="D514" s="3" t="s">
        <v>194</v>
      </c>
      <c r="E514" s="15" t="s">
        <v>195</v>
      </c>
      <c r="F514" s="15" t="s">
        <v>195</v>
      </c>
      <c r="G514" s="15" t="str">
        <f>IFERROR(VLOOKUP(D514,[5]成飞半成品!$A:$B,2,0),VLOOKUP(D514,[5]九院成本!$A$4:$B$48,2,0))</f>
        <v>小衬套</v>
      </c>
      <c r="H514" s="3" t="s">
        <v>64</v>
      </c>
      <c r="I514" s="3" t="s">
        <v>340</v>
      </c>
      <c r="J514" s="18" t="e">
        <v>#N/A</v>
      </c>
      <c r="L514" s="3">
        <v>37</v>
      </c>
      <c r="M514" s="19">
        <v>8</v>
      </c>
      <c r="N514" s="19">
        <v>8</v>
      </c>
      <c r="O514" s="5" t="s">
        <v>826</v>
      </c>
      <c r="P514" s="4"/>
      <c r="Q514" s="18">
        <v>15</v>
      </c>
      <c r="R514" s="3"/>
      <c r="S514" s="6"/>
      <c r="T514" s="22"/>
      <c r="V514" s="23">
        <v>9.3000000000000007</v>
      </c>
      <c r="W514" s="24" t="s">
        <v>8</v>
      </c>
      <c r="X514" s="7" t="s">
        <v>257</v>
      </c>
      <c r="Y514" s="7" t="s">
        <v>203</v>
      </c>
    </row>
    <row r="515" spans="1:25" ht="22.95" customHeight="1" x14ac:dyDescent="0.25">
      <c r="A515" s="1" t="s">
        <v>89</v>
      </c>
      <c r="D515" s="3" t="s">
        <v>198</v>
      </c>
      <c r="E515" s="15" t="s">
        <v>55</v>
      </c>
      <c r="F515" s="15" t="s">
        <v>55</v>
      </c>
      <c r="G515" s="15" t="str">
        <f>IFERROR(VLOOKUP(D515,[5]成飞半成品!$A:$B,2,0),VLOOKUP(D515,[5]九院成本!$A$4:$B$48,2,0))</f>
        <v>接头</v>
      </c>
      <c r="H515" s="3" t="s">
        <v>46</v>
      </c>
      <c r="I515" s="3" t="s">
        <v>340</v>
      </c>
      <c r="J515" s="18" t="e">
        <v>#N/A</v>
      </c>
      <c r="L515" s="3">
        <v>20</v>
      </c>
      <c r="M515" s="19">
        <v>8</v>
      </c>
      <c r="N515" s="19">
        <v>8</v>
      </c>
      <c r="O515" s="5" t="s">
        <v>56</v>
      </c>
      <c r="P515" s="4"/>
      <c r="Q515" s="18">
        <v>10</v>
      </c>
      <c r="R515" s="3"/>
      <c r="S515" s="6"/>
      <c r="T515" s="22"/>
      <c r="V515" s="23">
        <v>3.3</v>
      </c>
      <c r="W515" s="24" t="s">
        <v>8</v>
      </c>
      <c r="X515" s="7" t="s">
        <v>518</v>
      </c>
      <c r="Y515" s="7" t="s">
        <v>203</v>
      </c>
    </row>
    <row r="516" spans="1:25" ht="22.95" customHeight="1" x14ac:dyDescent="0.25">
      <c r="A516" s="1" t="s">
        <v>109</v>
      </c>
      <c r="D516" s="3" t="s">
        <v>678</v>
      </c>
      <c r="E516" s="15" t="s">
        <v>679</v>
      </c>
      <c r="F516" s="15" t="s">
        <v>679</v>
      </c>
      <c r="G516" s="15" t="str">
        <f>IFERROR(VLOOKUP(D516,[5]成飞半成品!$A:$B,2,0),VLOOKUP(D516,[5]九院成本!$A$4:$B$48,2,0))</f>
        <v>喷嘴</v>
      </c>
      <c r="H516" s="3" t="s">
        <v>46</v>
      </c>
      <c r="I516" s="3" t="s">
        <v>340</v>
      </c>
      <c r="J516" s="18" t="e">
        <v>#N/A</v>
      </c>
      <c r="L516" s="3">
        <v>80</v>
      </c>
      <c r="M516" s="19">
        <v>8</v>
      </c>
      <c r="N516" s="19">
        <v>8</v>
      </c>
      <c r="O516" s="5" t="s">
        <v>56</v>
      </c>
      <c r="P516" s="4"/>
      <c r="Q516" s="18">
        <v>15</v>
      </c>
      <c r="R516" s="3"/>
      <c r="S516" s="6"/>
      <c r="T516" s="22"/>
      <c r="V516" s="23">
        <v>20</v>
      </c>
      <c r="W516" s="24" t="s">
        <v>8</v>
      </c>
      <c r="X516" s="7" t="s">
        <v>257</v>
      </c>
      <c r="Y516" s="7" t="s">
        <v>203</v>
      </c>
    </row>
    <row r="517" spans="1:25" ht="22.95" customHeight="1" x14ac:dyDescent="0.25">
      <c r="A517" s="1" t="s">
        <v>759</v>
      </c>
      <c r="D517" s="3" t="s">
        <v>827</v>
      </c>
      <c r="E517" s="15" t="s">
        <v>170</v>
      </c>
      <c r="F517" s="15" t="s">
        <v>170</v>
      </c>
      <c r="G517" s="15" t="str">
        <f>IFERROR(VLOOKUP(D517,[5]成飞半成品!$A:$B,2,0),VLOOKUP(D517,[5]九院成本!$A$4:$B$48,2,0))</f>
        <v>衬套</v>
      </c>
      <c r="H517" s="3" t="s">
        <v>46</v>
      </c>
      <c r="I517" s="3" t="s">
        <v>340</v>
      </c>
      <c r="J517" s="18" t="e">
        <v>#N/A</v>
      </c>
      <c r="L517" s="3">
        <v>10</v>
      </c>
      <c r="M517" s="19">
        <v>8</v>
      </c>
      <c r="N517" s="19">
        <v>8</v>
      </c>
      <c r="O517" s="5" t="s">
        <v>558</v>
      </c>
      <c r="P517" s="4"/>
      <c r="Q517" s="18">
        <v>6</v>
      </c>
      <c r="R517" s="3"/>
      <c r="S517" s="6"/>
      <c r="T517" s="22"/>
      <c r="V517" s="23">
        <v>1</v>
      </c>
      <c r="W517" s="24" t="s">
        <v>8</v>
      </c>
      <c r="X517" s="7" t="s">
        <v>828</v>
      </c>
      <c r="Y517" s="7" t="s">
        <v>203</v>
      </c>
    </row>
    <row r="518" spans="1:25" ht="22.95" customHeight="1" x14ac:dyDescent="0.25">
      <c r="A518" s="1" t="s">
        <v>764</v>
      </c>
      <c r="D518" s="3" t="s">
        <v>567</v>
      </c>
      <c r="E518" s="15" t="s">
        <v>568</v>
      </c>
      <c r="F518" s="15" t="s">
        <v>568</v>
      </c>
      <c r="G518" s="15" t="str">
        <f>IFERROR(VLOOKUP(D518,[5]成飞半成品!$A:$B,2,0),VLOOKUP(D518,[5]九院成本!$A$4:$B$48,2,0))</f>
        <v>销子</v>
      </c>
      <c r="I518" s="3" t="s">
        <v>340</v>
      </c>
      <c r="J518" s="18" t="e">
        <v>#N/A</v>
      </c>
      <c r="L518" s="3">
        <v>66</v>
      </c>
      <c r="M518" s="19">
        <v>8</v>
      </c>
      <c r="N518" s="19">
        <v>8</v>
      </c>
      <c r="O518" s="5" t="s">
        <v>829</v>
      </c>
      <c r="P518" s="4"/>
      <c r="Q518" s="18">
        <v>10</v>
      </c>
      <c r="R518" s="3"/>
      <c r="S518" s="6"/>
      <c r="T518" s="22"/>
      <c r="V518" s="23">
        <v>11</v>
      </c>
      <c r="W518" s="24" t="s">
        <v>8</v>
      </c>
    </row>
    <row r="519" spans="1:25" ht="22.95" customHeight="1" x14ac:dyDescent="0.25">
      <c r="A519" s="1" t="s">
        <v>766</v>
      </c>
      <c r="D519" s="3" t="s">
        <v>830</v>
      </c>
      <c r="E519" s="15" t="s">
        <v>831</v>
      </c>
      <c r="F519" s="15" t="s">
        <v>831</v>
      </c>
      <c r="G519" s="15" t="str">
        <f>IFERROR(VLOOKUP(D519,[5]成飞半成品!$A:$B,2,0),VLOOKUP(D519,[5]九院成本!$A$4:$B$48,2,0))</f>
        <v>阳密封式法兰盘</v>
      </c>
      <c r="H519" s="3" t="s">
        <v>114</v>
      </c>
      <c r="I519" s="3" t="s">
        <v>340</v>
      </c>
      <c r="J519" s="18" t="e">
        <v>#N/A</v>
      </c>
      <c r="L519" s="3">
        <v>34</v>
      </c>
      <c r="M519" s="19">
        <v>8</v>
      </c>
      <c r="N519" s="19">
        <v>8</v>
      </c>
      <c r="O519" s="5" t="s">
        <v>700</v>
      </c>
      <c r="P519" s="4"/>
      <c r="Q519" s="18">
        <v>10</v>
      </c>
      <c r="R519" s="3"/>
      <c r="S519" s="6"/>
      <c r="T519" s="22"/>
      <c r="V519" s="23">
        <v>5.7</v>
      </c>
      <c r="W519" s="24" t="s">
        <v>8</v>
      </c>
      <c r="X519" s="7" t="s">
        <v>518</v>
      </c>
      <c r="Y519" s="7" t="s">
        <v>203</v>
      </c>
    </row>
    <row r="520" spans="1:25" ht="22.95" customHeight="1" x14ac:dyDescent="0.25">
      <c r="A520" s="1" t="s">
        <v>764</v>
      </c>
      <c r="D520" s="3" t="s">
        <v>153</v>
      </c>
      <c r="E520" s="15" t="s">
        <v>154</v>
      </c>
      <c r="F520" s="15" t="s">
        <v>154</v>
      </c>
      <c r="G520" s="15" t="str">
        <f>IFERROR(VLOOKUP(D520,[5]成飞半成品!$A:$B,2,0),VLOOKUP(D520,[5]九院成本!$A$4:$B$48,2,0))</f>
        <v>9350-11140右侧上梁</v>
      </c>
      <c r="H520" s="3" t="s">
        <v>155</v>
      </c>
      <c r="I520" s="3" t="s">
        <v>340</v>
      </c>
      <c r="J520" s="18" t="e">
        <v>#N/A</v>
      </c>
      <c r="L520" s="3">
        <v>1</v>
      </c>
      <c r="M520" s="19">
        <v>8</v>
      </c>
      <c r="N520" s="19"/>
      <c r="O520" s="5" t="s">
        <v>491</v>
      </c>
      <c r="P520" s="4"/>
      <c r="Q520" s="18">
        <v>1440</v>
      </c>
      <c r="R520" s="3"/>
      <c r="S520" s="6"/>
      <c r="T520" s="22"/>
      <c r="V520" s="23">
        <v>24</v>
      </c>
      <c r="W520" s="24" t="s">
        <v>1</v>
      </c>
    </row>
    <row r="521" spans="1:25" ht="22.95" customHeight="1" x14ac:dyDescent="0.25">
      <c r="A521" s="1" t="s">
        <v>764</v>
      </c>
      <c r="D521" s="3" t="s">
        <v>181</v>
      </c>
      <c r="E521" s="15" t="s">
        <v>179</v>
      </c>
      <c r="F521" s="15" t="s">
        <v>179</v>
      </c>
      <c r="G521" s="15" t="str">
        <f>IFERROR(VLOOKUP(D521,[5]成飞半成品!$A:$B,2,0),VLOOKUP(D521,[5]九院成本!$A$4:$B$48,2,0))</f>
        <v>根肋后段</v>
      </c>
      <c r="H521" s="3" t="s">
        <v>46</v>
      </c>
      <c r="I521" s="3">
        <v>60</v>
      </c>
      <c r="J521" s="18" t="s">
        <v>1100</v>
      </c>
      <c r="L521" s="3">
        <v>2</v>
      </c>
      <c r="M521" s="19">
        <v>30</v>
      </c>
      <c r="N521" s="19">
        <v>30</v>
      </c>
      <c r="O521" s="5" t="s">
        <v>832</v>
      </c>
      <c r="P521" s="4"/>
      <c r="Q521" s="18">
        <v>420</v>
      </c>
      <c r="R521" s="3"/>
      <c r="S521" s="6"/>
      <c r="T521" s="22"/>
      <c r="V521" s="23">
        <v>14</v>
      </c>
      <c r="W521" s="24" t="s">
        <v>0</v>
      </c>
    </row>
    <row r="522" spans="1:25" ht="22.95" customHeight="1" x14ac:dyDescent="0.25">
      <c r="A522" s="1" t="s">
        <v>764</v>
      </c>
      <c r="D522" s="3" t="s">
        <v>178</v>
      </c>
      <c r="E522" s="15" t="s">
        <v>179</v>
      </c>
      <c r="F522" s="15" t="s">
        <v>179</v>
      </c>
      <c r="G522" s="15" t="str">
        <f>IFERROR(VLOOKUP(D522,[5]成飞半成品!$A:$B,2,0),VLOOKUP(D522,[5]九院成本!$A$4:$B$48,2,0))</f>
        <v>根肋后段</v>
      </c>
      <c r="H522" s="3" t="s">
        <v>46</v>
      </c>
      <c r="I522" s="3">
        <v>60</v>
      </c>
      <c r="J522" s="18" t="s">
        <v>1100</v>
      </c>
      <c r="L522" s="3">
        <v>3</v>
      </c>
      <c r="M522" s="19">
        <v>30</v>
      </c>
      <c r="N522" s="19">
        <v>30</v>
      </c>
      <c r="O522" s="5" t="s">
        <v>833</v>
      </c>
      <c r="P522" s="4"/>
      <c r="Q522" s="18">
        <v>420</v>
      </c>
      <c r="R522" s="3"/>
      <c r="S522" s="6"/>
      <c r="T522" s="22"/>
      <c r="V522" s="23">
        <v>21</v>
      </c>
      <c r="W522" s="24" t="s">
        <v>0</v>
      </c>
    </row>
    <row r="523" spans="1:25" ht="22.95" customHeight="1" x14ac:dyDescent="0.25">
      <c r="A523" s="1" t="s">
        <v>766</v>
      </c>
      <c r="D523" s="3" t="s">
        <v>834</v>
      </c>
      <c r="E523" s="15" t="s">
        <v>835</v>
      </c>
      <c r="F523" s="15">
        <v>0</v>
      </c>
      <c r="G523" s="15" t="str">
        <f>IFERROR(VLOOKUP(D523,[5]成飞半成品!$A:$B,2,0),VLOOKUP(D523,[5]九院成本!$A$4:$B$48,2,0))</f>
        <v>斜横梁</v>
      </c>
      <c r="H523" s="3" t="s">
        <v>46</v>
      </c>
      <c r="I523" s="3">
        <v>65</v>
      </c>
      <c r="J523" s="18" t="s">
        <v>1148</v>
      </c>
      <c r="L523" s="3">
        <v>4</v>
      </c>
      <c r="M523" s="19">
        <v>8</v>
      </c>
      <c r="N523" s="19">
        <v>8</v>
      </c>
      <c r="O523" s="5" t="s">
        <v>836</v>
      </c>
      <c r="P523" s="4"/>
      <c r="Q523" s="18">
        <v>120</v>
      </c>
      <c r="R523" s="3"/>
      <c r="S523" s="6"/>
      <c r="T523" s="22"/>
      <c r="V523" s="23">
        <v>8</v>
      </c>
      <c r="W523" s="24" t="s">
        <v>0</v>
      </c>
    </row>
    <row r="524" spans="1:25" ht="22.95" customHeight="1" x14ac:dyDescent="0.25">
      <c r="A524" s="1" t="s">
        <v>766</v>
      </c>
      <c r="D524" s="3" t="s">
        <v>837</v>
      </c>
      <c r="E524" s="15" t="s">
        <v>835</v>
      </c>
      <c r="F524" s="15">
        <v>0</v>
      </c>
      <c r="G524" s="15" t="str">
        <f>IFERROR(VLOOKUP(D524,[5]成飞半成品!$A:$B,2,0),VLOOKUP(D524,[5]九院成本!$A$4:$B$48,2,0))</f>
        <v>斜横梁</v>
      </c>
      <c r="H524" s="3" t="s">
        <v>46</v>
      </c>
      <c r="I524" s="3">
        <v>65</v>
      </c>
      <c r="J524" s="18" t="s">
        <v>1148</v>
      </c>
      <c r="L524" s="3">
        <v>4</v>
      </c>
      <c r="M524" s="19">
        <v>8</v>
      </c>
      <c r="N524" s="19">
        <v>8</v>
      </c>
      <c r="O524" s="5" t="s">
        <v>836</v>
      </c>
      <c r="P524" s="4"/>
      <c r="Q524" s="18">
        <v>120</v>
      </c>
      <c r="R524" s="3"/>
      <c r="S524" s="6"/>
      <c r="T524" s="22"/>
      <c r="V524" s="23">
        <v>8</v>
      </c>
      <c r="W524" s="24" t="s">
        <v>0</v>
      </c>
    </row>
    <row r="525" spans="1:25" ht="22.95" customHeight="1" x14ac:dyDescent="0.25">
      <c r="A525" s="1" t="s">
        <v>766</v>
      </c>
      <c r="D525" s="3" t="s">
        <v>838</v>
      </c>
      <c r="E525" s="15" t="s">
        <v>174</v>
      </c>
      <c r="F525" s="15" t="e">
        <v>#N/A</v>
      </c>
      <c r="G525" s="15" t="e">
        <f>IFERROR(VLOOKUP(D525,[5]成飞半成品!$A:$B,2,0),VLOOKUP(D525,[5]九院成本!$A$4:$B$48,2,0))</f>
        <v>#N/A</v>
      </c>
      <c r="H525" s="3" t="s">
        <v>46</v>
      </c>
      <c r="I525" s="3">
        <v>55</v>
      </c>
      <c r="J525" s="18" t="e">
        <v>#N/A</v>
      </c>
      <c r="L525" s="3">
        <v>2</v>
      </c>
      <c r="M525" s="19">
        <v>30</v>
      </c>
      <c r="N525" s="19">
        <v>30</v>
      </c>
      <c r="O525" s="5" t="s">
        <v>839</v>
      </c>
      <c r="P525" s="4"/>
      <c r="Q525" s="18">
        <v>420</v>
      </c>
      <c r="R525" s="3"/>
      <c r="S525" s="6"/>
      <c r="T525" s="22"/>
      <c r="V525" s="23">
        <v>14</v>
      </c>
      <c r="W525" s="24" t="s">
        <v>0</v>
      </c>
    </row>
    <row r="526" spans="1:25" ht="22.95" customHeight="1" x14ac:dyDescent="0.25">
      <c r="A526" s="1" t="s">
        <v>840</v>
      </c>
      <c r="D526" s="3" t="s">
        <v>841</v>
      </c>
      <c r="E526" s="15" t="s">
        <v>842</v>
      </c>
      <c r="F526" s="15" t="s">
        <v>842</v>
      </c>
      <c r="G526" s="15" t="str">
        <f>IFERROR(VLOOKUP(D526,[5]成飞半成品!$A:$B,2,0),VLOOKUP(D526,[5]九院成本!$A$4:$B$48,2,0))</f>
        <v>5755横框</v>
      </c>
      <c r="H526" s="3" t="s">
        <v>114</v>
      </c>
      <c r="I526" s="3">
        <v>35</v>
      </c>
      <c r="J526" s="18" t="s">
        <v>1072</v>
      </c>
      <c r="L526" s="3">
        <v>4</v>
      </c>
      <c r="M526" s="19">
        <v>30</v>
      </c>
      <c r="N526" s="19">
        <v>30</v>
      </c>
      <c r="O526" s="5" t="s">
        <v>843</v>
      </c>
      <c r="P526" s="4"/>
      <c r="Q526" s="18">
        <v>120</v>
      </c>
      <c r="R526" s="3"/>
      <c r="S526" s="6"/>
      <c r="T526" s="22"/>
      <c r="V526" s="23">
        <v>8</v>
      </c>
      <c r="W526" s="24" t="s">
        <v>0</v>
      </c>
    </row>
    <row r="527" spans="1:25" ht="22.95" customHeight="1" x14ac:dyDescent="0.25">
      <c r="A527" s="1" t="s">
        <v>109</v>
      </c>
      <c r="D527" s="3" t="s">
        <v>844</v>
      </c>
      <c r="E527" s="15" t="s">
        <v>120</v>
      </c>
      <c r="F527" s="15" t="s">
        <v>120</v>
      </c>
      <c r="G527" s="15" t="str">
        <f>IFERROR(VLOOKUP(D527,[5]成飞半成品!$A:$B,2,0),VLOOKUP(D527,[5]九院成本!$A$4:$B$48,2,0))</f>
        <v>支架</v>
      </c>
      <c r="H527" s="3" t="s">
        <v>80</v>
      </c>
      <c r="I527" s="3">
        <v>25</v>
      </c>
      <c r="J527" s="18" t="s">
        <v>1114</v>
      </c>
      <c r="L527" s="3">
        <v>8</v>
      </c>
      <c r="M527" s="19">
        <v>30</v>
      </c>
      <c r="N527" s="19">
        <v>30</v>
      </c>
      <c r="O527" s="5" t="s">
        <v>81</v>
      </c>
      <c r="P527" s="4"/>
      <c r="Q527" s="18">
        <v>40</v>
      </c>
      <c r="R527" s="3"/>
      <c r="S527" s="6"/>
      <c r="T527" s="22"/>
      <c r="V527" s="23">
        <v>5.3</v>
      </c>
      <c r="W527" s="24" t="s">
        <v>6</v>
      </c>
    </row>
    <row r="528" spans="1:25" ht="22.95" customHeight="1" x14ac:dyDescent="0.25">
      <c r="A528" s="1" t="s">
        <v>109</v>
      </c>
      <c r="D528" s="3" t="s">
        <v>845</v>
      </c>
      <c r="E528" s="15" t="s">
        <v>846</v>
      </c>
      <c r="F528" s="15" t="s">
        <v>846</v>
      </c>
      <c r="G528" s="15" t="str">
        <f>IFERROR(VLOOKUP(D528,[5]成飞半成品!$A:$B,2,0),VLOOKUP(D528,[5]九院成本!$A$4:$B$48,2,0))</f>
        <v>11900梁二段</v>
      </c>
      <c r="H528" s="3" t="s">
        <v>155</v>
      </c>
      <c r="I528" s="3" t="s">
        <v>340</v>
      </c>
      <c r="J528" s="18" t="e">
        <v>#N/A</v>
      </c>
      <c r="L528" s="3">
        <v>4</v>
      </c>
      <c r="M528" s="19">
        <v>30</v>
      </c>
      <c r="N528" s="19">
        <v>30</v>
      </c>
      <c r="O528" s="5" t="s">
        <v>847</v>
      </c>
      <c r="P528" s="4"/>
      <c r="Q528" s="18">
        <v>60</v>
      </c>
      <c r="R528" s="3"/>
      <c r="S528" s="6"/>
      <c r="T528" s="22"/>
      <c r="V528" s="23">
        <v>4</v>
      </c>
      <c r="W528" s="24" t="s">
        <v>6</v>
      </c>
      <c r="X528" s="7" t="s">
        <v>471</v>
      </c>
      <c r="Y528" s="7" t="s">
        <v>203</v>
      </c>
    </row>
    <row r="529" spans="1:25" ht="22.95" customHeight="1" x14ac:dyDescent="0.25">
      <c r="A529" s="1" t="s">
        <v>109</v>
      </c>
      <c r="D529" s="3" t="s">
        <v>448</v>
      </c>
      <c r="E529" s="15" t="s">
        <v>449</v>
      </c>
      <c r="F529" s="15" t="s">
        <v>449</v>
      </c>
      <c r="G529" s="15" t="str">
        <f>IFERROR(VLOOKUP(D529,[5]成飞半成品!$A:$B,2,0),VLOOKUP(D529,[5]九院成本!$A$4:$B$48,2,0))</f>
        <v>带板</v>
      </c>
      <c r="H529" s="3" t="s">
        <v>114</v>
      </c>
      <c r="I529" s="3">
        <v>40</v>
      </c>
      <c r="J529" s="18" t="s">
        <v>1069</v>
      </c>
      <c r="L529" s="3">
        <v>2</v>
      </c>
      <c r="M529" s="19">
        <v>30</v>
      </c>
      <c r="N529" s="19">
        <v>30</v>
      </c>
      <c r="O529" s="5" t="s">
        <v>848</v>
      </c>
      <c r="P529" s="4"/>
      <c r="Q529" s="18">
        <v>180</v>
      </c>
      <c r="R529" s="3"/>
      <c r="S529" s="6"/>
      <c r="T529" s="22"/>
      <c r="V529" s="23">
        <v>6</v>
      </c>
      <c r="W529" s="24" t="s">
        <v>6</v>
      </c>
    </row>
    <row r="530" spans="1:25" ht="22.95" customHeight="1" x14ac:dyDescent="0.25">
      <c r="A530" s="1" t="s">
        <v>109</v>
      </c>
      <c r="D530" s="3" t="s">
        <v>448</v>
      </c>
      <c r="E530" s="15" t="s">
        <v>449</v>
      </c>
      <c r="F530" s="15" t="s">
        <v>449</v>
      </c>
      <c r="G530" s="15" t="str">
        <f>IFERROR(VLOOKUP(D530,[5]成飞半成品!$A:$B,2,0),VLOOKUP(D530,[5]九院成本!$A$4:$B$48,2,0))</f>
        <v>带板</v>
      </c>
      <c r="H530" s="3" t="s">
        <v>114</v>
      </c>
      <c r="I530" s="3">
        <v>40</v>
      </c>
      <c r="J530" s="18" t="s">
        <v>1069</v>
      </c>
      <c r="L530" s="3">
        <v>4</v>
      </c>
      <c r="M530" s="19">
        <v>30</v>
      </c>
      <c r="N530" s="19">
        <v>30</v>
      </c>
      <c r="O530" s="5" t="s">
        <v>478</v>
      </c>
      <c r="P530" s="4"/>
      <c r="Q530" s="18">
        <v>180</v>
      </c>
      <c r="R530" s="3"/>
      <c r="S530" s="6"/>
      <c r="T530" s="22"/>
      <c r="V530" s="23">
        <v>12</v>
      </c>
      <c r="W530" s="24" t="s">
        <v>6</v>
      </c>
    </row>
    <row r="531" spans="1:25" ht="22.95" customHeight="1" x14ac:dyDescent="0.25">
      <c r="A531" s="1" t="s">
        <v>116</v>
      </c>
      <c r="D531" s="3" t="s">
        <v>448</v>
      </c>
      <c r="E531" s="15" t="s">
        <v>449</v>
      </c>
      <c r="F531" s="15" t="s">
        <v>449</v>
      </c>
      <c r="G531" s="15" t="str">
        <f>IFERROR(VLOOKUP(D531,[5]成飞半成品!$A:$B,2,0),VLOOKUP(D531,[5]九院成本!$A$4:$B$48,2,0))</f>
        <v>带板</v>
      </c>
      <c r="H531" s="3" t="s">
        <v>147</v>
      </c>
      <c r="I531" s="3" t="s">
        <v>340</v>
      </c>
      <c r="J531" s="18" t="e">
        <v>#N/A</v>
      </c>
      <c r="L531" s="3">
        <v>6</v>
      </c>
      <c r="M531" s="19">
        <v>30</v>
      </c>
      <c r="N531" s="19">
        <v>30</v>
      </c>
      <c r="O531" s="5" t="s">
        <v>849</v>
      </c>
      <c r="P531" s="4"/>
      <c r="Q531" s="18">
        <v>30</v>
      </c>
      <c r="R531" s="3"/>
      <c r="S531" s="6"/>
      <c r="T531" s="22"/>
      <c r="V531" s="23">
        <v>3</v>
      </c>
      <c r="W531" s="24" t="s">
        <v>6</v>
      </c>
      <c r="X531" s="7" t="s">
        <v>467</v>
      </c>
      <c r="Y531" s="7" t="s">
        <v>203</v>
      </c>
    </row>
    <row r="532" spans="1:25" ht="22.95" customHeight="1" x14ac:dyDescent="0.25">
      <c r="A532" s="1" t="s">
        <v>116</v>
      </c>
      <c r="D532" s="3" t="s">
        <v>850</v>
      </c>
      <c r="E532" s="15" t="s">
        <v>851</v>
      </c>
      <c r="F532" s="15" t="s">
        <v>851</v>
      </c>
      <c r="G532" s="15" t="str">
        <f>IFERROR(VLOOKUP(D532,[5]成飞半成品!$A:$B,2,0),VLOOKUP(D532,[5]九院成本!$A$4:$B$48,2,0))</f>
        <v>1150肋九段</v>
      </c>
      <c r="H532" s="3" t="s">
        <v>290</v>
      </c>
      <c r="I532" s="3" t="s">
        <v>340</v>
      </c>
      <c r="J532" s="18" t="e">
        <v>#N/A</v>
      </c>
      <c r="L532" s="3">
        <v>6</v>
      </c>
      <c r="M532" s="19">
        <v>30</v>
      </c>
      <c r="N532" s="19">
        <v>30</v>
      </c>
      <c r="O532" s="5" t="s">
        <v>264</v>
      </c>
      <c r="P532" s="4"/>
      <c r="Q532" s="18">
        <v>30</v>
      </c>
      <c r="R532" s="3"/>
      <c r="S532" s="6"/>
      <c r="T532" s="22"/>
      <c r="V532" s="23">
        <v>3</v>
      </c>
      <c r="W532" s="24" t="s">
        <v>6</v>
      </c>
      <c r="X532" s="7" t="s">
        <v>467</v>
      </c>
      <c r="Y532" s="7" t="s">
        <v>203</v>
      </c>
    </row>
    <row r="533" spans="1:25" ht="22.95" customHeight="1" x14ac:dyDescent="0.25">
      <c r="A533" s="1" t="s">
        <v>116</v>
      </c>
      <c r="D533" s="3" t="s">
        <v>391</v>
      </c>
      <c r="E533" s="15" t="s">
        <v>387</v>
      </c>
      <c r="F533" s="15" t="s">
        <v>387</v>
      </c>
      <c r="G533" s="15" t="str">
        <f>IFERROR(VLOOKUP(D533,[5]成飞半成品!$A:$B,2,0),VLOOKUP(D533,[5]九院成本!$A$4:$B$48,2,0))</f>
        <v>9555侧隔框</v>
      </c>
      <c r="H533" s="3" t="s">
        <v>114</v>
      </c>
      <c r="I533" s="3">
        <v>55</v>
      </c>
      <c r="J533" s="18" t="s">
        <v>1086</v>
      </c>
      <c r="L533" s="3">
        <v>3</v>
      </c>
      <c r="M533" s="19">
        <v>30</v>
      </c>
      <c r="N533" s="19">
        <v>30</v>
      </c>
      <c r="O533" s="5" t="s">
        <v>852</v>
      </c>
      <c r="P533" s="4"/>
      <c r="Q533" s="18">
        <v>480</v>
      </c>
      <c r="R533" s="3"/>
      <c r="S533" s="6"/>
      <c r="T533" s="22"/>
      <c r="V533" s="23">
        <v>24</v>
      </c>
      <c r="W533" s="24" t="s">
        <v>6</v>
      </c>
    </row>
    <row r="534" spans="1:25" ht="22.95" customHeight="1" x14ac:dyDescent="0.25">
      <c r="A534" s="1" t="s">
        <v>116</v>
      </c>
      <c r="D534" s="3" t="s">
        <v>451</v>
      </c>
      <c r="E534" s="15" t="s">
        <v>452</v>
      </c>
      <c r="F534" s="15" t="s">
        <v>452</v>
      </c>
      <c r="G534" s="15" t="str">
        <f>IFERROR(VLOOKUP(D534,[5]成飞半成品!$A:$B,2,0),VLOOKUP(D534,[5]九院成本!$A$4:$B$48,2,0))</f>
        <v>前起落架舱门结构支撑梁</v>
      </c>
      <c r="H534" s="3" t="s">
        <v>46</v>
      </c>
      <c r="I534" s="3">
        <v>45</v>
      </c>
      <c r="J534" s="18" t="s">
        <v>1073</v>
      </c>
      <c r="L534" s="3">
        <v>10</v>
      </c>
      <c r="M534" s="19">
        <v>30</v>
      </c>
      <c r="N534" s="19">
        <v>30</v>
      </c>
      <c r="O534" s="5" t="s">
        <v>697</v>
      </c>
      <c r="P534" s="4"/>
      <c r="Q534" s="18">
        <v>90</v>
      </c>
      <c r="R534" s="3"/>
      <c r="S534" s="6"/>
      <c r="T534" s="22"/>
      <c r="V534" s="23">
        <v>15</v>
      </c>
      <c r="W534" s="24" t="s">
        <v>6</v>
      </c>
    </row>
    <row r="535" spans="1:25" ht="22.95" customHeight="1" x14ac:dyDescent="0.25">
      <c r="A535" s="1" t="s">
        <v>562</v>
      </c>
      <c r="D535" s="3" t="s">
        <v>379</v>
      </c>
      <c r="E535" s="15" t="s">
        <v>380</v>
      </c>
      <c r="F535" s="15" t="s">
        <v>380</v>
      </c>
      <c r="G535" s="15" t="str">
        <f>IFERROR(VLOOKUP(D535,[5]成飞半成品!$A:$B,2,0),VLOOKUP(D535,[5]九院成本!$A$4:$B$48,2,0))</f>
        <v>根肋三段</v>
      </c>
      <c r="H535" s="3" t="s">
        <v>46</v>
      </c>
      <c r="I535" s="3">
        <v>70</v>
      </c>
      <c r="J535" s="18" t="s">
        <v>1103</v>
      </c>
      <c r="L535" s="3">
        <v>2</v>
      </c>
      <c r="M535" s="19">
        <v>30</v>
      </c>
      <c r="N535" s="19">
        <v>30</v>
      </c>
      <c r="O535" s="5" t="s">
        <v>853</v>
      </c>
      <c r="P535" s="4"/>
      <c r="Q535" s="18">
        <v>600</v>
      </c>
      <c r="R535" s="3"/>
      <c r="S535" s="6"/>
      <c r="T535" s="22"/>
      <c r="V535" s="23">
        <v>20</v>
      </c>
      <c r="W535" s="24" t="s">
        <v>6</v>
      </c>
    </row>
    <row r="536" spans="1:25" ht="22.95" customHeight="1" x14ac:dyDescent="0.25">
      <c r="A536" s="1" t="s">
        <v>562</v>
      </c>
      <c r="D536" s="3" t="s">
        <v>854</v>
      </c>
      <c r="E536" s="15" t="s">
        <v>855</v>
      </c>
      <c r="F536" s="15" t="s">
        <v>855</v>
      </c>
      <c r="G536" s="15" t="str">
        <f>IFERROR(VLOOKUP(D536,[5]成飞半成品!$A:$B,2,0),VLOOKUP(D536,[5]九院成本!$A$4:$B$48,2,0))</f>
        <v>安装支座</v>
      </c>
      <c r="H536" s="3" t="s">
        <v>46</v>
      </c>
      <c r="I536" s="3">
        <v>30</v>
      </c>
      <c r="J536" s="18" t="s">
        <v>1079</v>
      </c>
      <c r="L536" s="3">
        <v>9</v>
      </c>
      <c r="M536" s="19">
        <v>30</v>
      </c>
      <c r="N536" s="19">
        <v>30</v>
      </c>
      <c r="O536" s="5" t="s">
        <v>376</v>
      </c>
      <c r="P536" s="4"/>
      <c r="Q536" s="18">
        <v>60</v>
      </c>
      <c r="R536" s="3"/>
      <c r="S536" s="6"/>
      <c r="T536" s="22"/>
      <c r="V536" s="23">
        <v>9</v>
      </c>
      <c r="W536" s="24" t="s">
        <v>6</v>
      </c>
    </row>
    <row r="537" spans="1:25" ht="22.95" customHeight="1" x14ac:dyDescent="0.25">
      <c r="A537" s="1" t="s">
        <v>562</v>
      </c>
      <c r="D537" s="3" t="s">
        <v>854</v>
      </c>
      <c r="E537" s="15" t="s">
        <v>855</v>
      </c>
      <c r="F537" s="15" t="s">
        <v>855</v>
      </c>
      <c r="G537" s="15" t="str">
        <f>IFERROR(VLOOKUP(D537,[5]成飞半成品!$A:$B,2,0),VLOOKUP(D537,[5]九院成本!$A$4:$B$48,2,0))</f>
        <v>安装支座</v>
      </c>
      <c r="H537" s="3" t="s">
        <v>46</v>
      </c>
      <c r="I537" s="3">
        <v>30</v>
      </c>
      <c r="J537" s="18" t="s">
        <v>1079</v>
      </c>
      <c r="L537" s="3">
        <v>11</v>
      </c>
      <c r="M537" s="19">
        <v>30</v>
      </c>
      <c r="N537" s="19">
        <v>30</v>
      </c>
      <c r="O537" s="5" t="s">
        <v>357</v>
      </c>
      <c r="P537" s="4"/>
      <c r="Q537" s="18">
        <v>60</v>
      </c>
      <c r="R537" s="3"/>
      <c r="S537" s="6"/>
      <c r="T537" s="22"/>
      <c r="V537" s="23">
        <v>11</v>
      </c>
      <c r="W537" s="24" t="s">
        <v>6</v>
      </c>
    </row>
    <row r="538" spans="1:25" ht="22.95" customHeight="1" x14ac:dyDescent="0.25">
      <c r="A538" s="1" t="s">
        <v>562</v>
      </c>
      <c r="D538" s="3" t="s">
        <v>854</v>
      </c>
      <c r="E538" s="15" t="s">
        <v>855</v>
      </c>
      <c r="F538" s="15" t="s">
        <v>855</v>
      </c>
      <c r="G538" s="15" t="str">
        <f>IFERROR(VLOOKUP(D538,[5]成飞半成品!$A:$B,2,0),VLOOKUP(D538,[5]九院成本!$A$4:$B$48,2,0))</f>
        <v>安装支座</v>
      </c>
      <c r="H538" s="3" t="s">
        <v>46</v>
      </c>
      <c r="I538" s="3">
        <v>30</v>
      </c>
      <c r="J538" s="18" t="s">
        <v>1079</v>
      </c>
      <c r="L538" s="3">
        <v>2</v>
      </c>
      <c r="M538" s="19">
        <v>30</v>
      </c>
      <c r="N538" s="19">
        <v>30</v>
      </c>
      <c r="O538" s="5" t="s">
        <v>663</v>
      </c>
      <c r="P538" s="4"/>
      <c r="Q538" s="18">
        <v>60</v>
      </c>
      <c r="R538" s="3"/>
      <c r="S538" s="6"/>
      <c r="T538" s="22"/>
      <c r="V538" s="23">
        <v>2</v>
      </c>
      <c r="W538" s="24" t="s">
        <v>6</v>
      </c>
    </row>
    <row r="539" spans="1:25" ht="22.95" customHeight="1" x14ac:dyDescent="0.25">
      <c r="A539" s="1" t="s">
        <v>759</v>
      </c>
      <c r="D539" s="3" t="s">
        <v>856</v>
      </c>
      <c r="E539" s="15" t="s">
        <v>380</v>
      </c>
      <c r="F539" s="15" t="s">
        <v>380</v>
      </c>
      <c r="G539" s="15" t="str">
        <f>IFERROR(VLOOKUP(D539,[5]成飞半成品!$A:$B,2,0),VLOOKUP(D539,[5]九院成本!$A$4:$B$48,2,0))</f>
        <v>根肋三段</v>
      </c>
      <c r="H539" s="3" t="s">
        <v>46</v>
      </c>
      <c r="I539" s="3">
        <v>20</v>
      </c>
      <c r="J539" s="18" t="s">
        <v>1149</v>
      </c>
      <c r="L539" s="3">
        <v>2</v>
      </c>
      <c r="M539" s="19">
        <v>30</v>
      </c>
      <c r="N539" s="19">
        <v>30</v>
      </c>
      <c r="O539" s="5" t="s">
        <v>857</v>
      </c>
      <c r="P539" s="4"/>
      <c r="Q539" s="18">
        <v>80</v>
      </c>
      <c r="R539" s="3"/>
      <c r="S539" s="6"/>
      <c r="T539" s="22"/>
      <c r="V539" s="23">
        <v>2.7</v>
      </c>
      <c r="W539" s="24" t="s">
        <v>6</v>
      </c>
    </row>
    <row r="540" spans="1:25" ht="22.95" customHeight="1" x14ac:dyDescent="0.25">
      <c r="A540" s="1" t="s">
        <v>759</v>
      </c>
      <c r="D540" s="3" t="s">
        <v>841</v>
      </c>
      <c r="E540" s="15" t="s">
        <v>842</v>
      </c>
      <c r="F540" s="15" t="s">
        <v>842</v>
      </c>
      <c r="G540" s="15" t="str">
        <f>IFERROR(VLOOKUP(D540,[5]成飞半成品!$A:$B,2,0),VLOOKUP(D540,[5]九院成本!$A$4:$B$48,2,0))</f>
        <v>5755横框</v>
      </c>
      <c r="H540" s="3" t="s">
        <v>114</v>
      </c>
      <c r="I540" s="3">
        <v>35</v>
      </c>
      <c r="J540" s="18" t="s">
        <v>1072</v>
      </c>
      <c r="L540" s="3">
        <v>4</v>
      </c>
      <c r="M540" s="19">
        <v>30</v>
      </c>
      <c r="N540" s="19">
        <v>30</v>
      </c>
      <c r="O540" s="5" t="s">
        <v>843</v>
      </c>
      <c r="P540" s="4"/>
      <c r="Q540" s="18">
        <v>120</v>
      </c>
      <c r="R540" s="3"/>
      <c r="S540" s="6"/>
      <c r="T540" s="22"/>
      <c r="V540" s="23">
        <v>8</v>
      </c>
      <c r="W540" s="24" t="s">
        <v>6</v>
      </c>
    </row>
    <row r="541" spans="1:25" ht="22.95" customHeight="1" x14ac:dyDescent="0.25">
      <c r="A541" s="1" t="s">
        <v>759</v>
      </c>
      <c r="D541" s="3" t="s">
        <v>841</v>
      </c>
      <c r="E541" s="15" t="s">
        <v>842</v>
      </c>
      <c r="F541" s="15" t="s">
        <v>842</v>
      </c>
      <c r="G541" s="15" t="str">
        <f>IFERROR(VLOOKUP(D541,[5]成飞半成品!$A:$B,2,0),VLOOKUP(D541,[5]九院成本!$A$4:$B$48,2,0))</f>
        <v>5755横框</v>
      </c>
      <c r="H541" s="3" t="s">
        <v>114</v>
      </c>
      <c r="I541" s="3" t="s">
        <v>340</v>
      </c>
      <c r="J541" s="18" t="e">
        <v>#N/A</v>
      </c>
      <c r="L541" s="3">
        <v>4</v>
      </c>
      <c r="M541" s="19">
        <v>30</v>
      </c>
      <c r="N541" s="19">
        <v>30</v>
      </c>
      <c r="O541" s="5" t="s">
        <v>843</v>
      </c>
      <c r="P541" s="4"/>
      <c r="Q541" s="18">
        <v>30</v>
      </c>
      <c r="R541" s="3"/>
      <c r="S541" s="6"/>
      <c r="T541" s="22"/>
      <c r="V541" s="23">
        <v>2</v>
      </c>
      <c r="W541" s="24" t="s">
        <v>6</v>
      </c>
      <c r="X541" s="7" t="s">
        <v>467</v>
      </c>
      <c r="Y541" s="7" t="s">
        <v>203</v>
      </c>
    </row>
    <row r="542" spans="1:25" ht="22.95" customHeight="1" x14ac:dyDescent="0.25">
      <c r="A542" s="1" t="s">
        <v>759</v>
      </c>
      <c r="D542" s="3" t="s">
        <v>858</v>
      </c>
      <c r="E542" s="15" t="s">
        <v>859</v>
      </c>
      <c r="F542" s="15" t="s">
        <v>859</v>
      </c>
      <c r="G542" s="15" t="str">
        <f>IFERROR(VLOOKUP(D542,[5]成飞半成品!$A:$B,2,0),VLOOKUP(D542,[5]九院成本!$A$4:$B$48,2,0))</f>
        <v>1150肋根肋</v>
      </c>
      <c r="H542" s="3" t="s">
        <v>290</v>
      </c>
      <c r="I542" s="3">
        <v>70</v>
      </c>
      <c r="J542" s="18" t="s">
        <v>1103</v>
      </c>
      <c r="L542" s="3">
        <v>6</v>
      </c>
      <c r="M542" s="19">
        <v>30</v>
      </c>
      <c r="N542" s="19">
        <v>30</v>
      </c>
      <c r="O542" s="5" t="s">
        <v>699</v>
      </c>
      <c r="P542" s="4"/>
      <c r="Q542" s="18">
        <v>360</v>
      </c>
      <c r="R542" s="3"/>
      <c r="S542" s="6"/>
      <c r="T542" s="22"/>
      <c r="V542" s="23">
        <v>36</v>
      </c>
      <c r="W542" s="24" t="s">
        <v>6</v>
      </c>
    </row>
    <row r="543" spans="1:25" ht="22.95" customHeight="1" x14ac:dyDescent="0.25">
      <c r="A543" s="1" t="s">
        <v>764</v>
      </c>
      <c r="D543" s="3" t="s">
        <v>858</v>
      </c>
      <c r="E543" s="15" t="s">
        <v>859</v>
      </c>
      <c r="F543" s="15" t="s">
        <v>859</v>
      </c>
      <c r="G543" s="15" t="str">
        <f>IFERROR(VLOOKUP(D543,[5]成飞半成品!$A:$B,2,0),VLOOKUP(D543,[5]九院成本!$A$4:$B$48,2,0))</f>
        <v>1150肋根肋</v>
      </c>
      <c r="H543" s="3" t="s">
        <v>290</v>
      </c>
      <c r="I543" s="3" t="s">
        <v>340</v>
      </c>
      <c r="J543" s="18" t="e">
        <v>#N/A</v>
      </c>
      <c r="L543" s="3">
        <v>6</v>
      </c>
      <c r="M543" s="19">
        <v>30</v>
      </c>
      <c r="N543" s="19">
        <v>30</v>
      </c>
      <c r="O543" s="5" t="s">
        <v>699</v>
      </c>
      <c r="P543" s="4"/>
      <c r="Q543" s="18">
        <v>30</v>
      </c>
      <c r="R543" s="3"/>
      <c r="S543" s="6"/>
      <c r="T543" s="22"/>
      <c r="V543" s="23">
        <v>3</v>
      </c>
      <c r="W543" s="24" t="s">
        <v>6</v>
      </c>
      <c r="X543" s="7" t="s">
        <v>467</v>
      </c>
      <c r="Y543" s="7" t="s">
        <v>203</v>
      </c>
    </row>
    <row r="544" spans="1:25" ht="22.95" customHeight="1" x14ac:dyDescent="0.25">
      <c r="A544" s="1" t="s">
        <v>764</v>
      </c>
      <c r="D544" s="3" t="s">
        <v>664</v>
      </c>
      <c r="E544" s="15" t="s">
        <v>665</v>
      </c>
      <c r="F544" s="15" t="s">
        <v>665</v>
      </c>
      <c r="G544" s="15" t="str">
        <f>IFERROR(VLOOKUP(D544,[5]成飞半成品!$A:$B,2,0),VLOOKUP(D544,[5]九院成本!$A$4:$B$48,2,0))</f>
        <v>前起落架水平接头</v>
      </c>
      <c r="H544" s="3" t="s">
        <v>64</v>
      </c>
      <c r="I544" s="3">
        <v>65</v>
      </c>
      <c r="J544" s="18" t="s">
        <v>1091</v>
      </c>
      <c r="L544" s="3">
        <v>20</v>
      </c>
      <c r="M544" s="19">
        <v>30</v>
      </c>
      <c r="N544" s="19">
        <v>30</v>
      </c>
      <c r="O544" s="5" t="s">
        <v>558</v>
      </c>
      <c r="P544" s="4"/>
      <c r="Q544" s="18">
        <v>60</v>
      </c>
      <c r="R544" s="3"/>
      <c r="S544" s="6"/>
      <c r="T544" s="22"/>
      <c r="V544" s="23">
        <v>20</v>
      </c>
      <c r="W544" s="24" t="s">
        <v>6</v>
      </c>
    </row>
    <row r="545" spans="1:25" ht="22.95" customHeight="1" x14ac:dyDescent="0.25">
      <c r="A545" s="1" t="s">
        <v>116</v>
      </c>
      <c r="D545" s="3" t="s">
        <v>391</v>
      </c>
      <c r="E545" s="15" t="s">
        <v>387</v>
      </c>
      <c r="F545" s="15" t="s">
        <v>387</v>
      </c>
      <c r="G545" s="15" t="str">
        <f>IFERROR(VLOOKUP(D545,[5]成飞半成品!$A:$B,2,0),VLOOKUP(D545,[5]九院成本!$A$4:$B$48,2,0))</f>
        <v>9555侧隔框</v>
      </c>
      <c r="H545" s="3" t="s">
        <v>114</v>
      </c>
      <c r="I545" s="3">
        <v>55</v>
      </c>
      <c r="J545" s="18" t="s">
        <v>1086</v>
      </c>
      <c r="L545" s="3">
        <v>2</v>
      </c>
      <c r="M545" s="19">
        <v>30</v>
      </c>
      <c r="N545" s="19">
        <v>30</v>
      </c>
      <c r="O545" s="5" t="s">
        <v>457</v>
      </c>
      <c r="P545" s="4"/>
      <c r="Q545" s="18">
        <v>480</v>
      </c>
      <c r="R545" s="3"/>
      <c r="S545" s="6"/>
      <c r="T545" s="22"/>
      <c r="V545" s="23">
        <v>16</v>
      </c>
      <c r="W545" s="24" t="s">
        <v>6</v>
      </c>
    </row>
    <row r="546" spans="1:25" ht="22.95" customHeight="1" x14ac:dyDescent="0.25">
      <c r="A546" s="1" t="s">
        <v>116</v>
      </c>
      <c r="D546" s="3" t="s">
        <v>379</v>
      </c>
      <c r="E546" s="15" t="s">
        <v>380</v>
      </c>
      <c r="F546" s="15" t="s">
        <v>380</v>
      </c>
      <c r="G546" s="15" t="str">
        <f>IFERROR(VLOOKUP(D546,[5]成飞半成品!$A:$B,2,0),VLOOKUP(D546,[5]九院成本!$A$4:$B$48,2,0))</f>
        <v>根肋三段</v>
      </c>
      <c r="H546" s="3" t="s">
        <v>46</v>
      </c>
      <c r="I546" s="3">
        <v>70</v>
      </c>
      <c r="J546" s="18" t="s">
        <v>1103</v>
      </c>
      <c r="L546" s="3">
        <v>1</v>
      </c>
      <c r="M546" s="19">
        <v>30</v>
      </c>
      <c r="N546" s="19">
        <v>30</v>
      </c>
      <c r="O546" s="5" t="s">
        <v>860</v>
      </c>
      <c r="P546" s="4"/>
      <c r="Q546" s="18">
        <v>600</v>
      </c>
      <c r="R546" s="3"/>
      <c r="S546" s="6"/>
      <c r="T546" s="22"/>
      <c r="V546" s="23">
        <v>10</v>
      </c>
      <c r="W546" s="24" t="s">
        <v>6</v>
      </c>
    </row>
    <row r="547" spans="1:25" ht="22.95" customHeight="1" x14ac:dyDescent="0.25">
      <c r="A547" s="1" t="s">
        <v>861</v>
      </c>
      <c r="D547" s="3" t="s">
        <v>862</v>
      </c>
      <c r="E547" s="15" t="s">
        <v>383</v>
      </c>
      <c r="F547" s="15" t="s">
        <v>383</v>
      </c>
      <c r="G547" s="15" t="str">
        <f>IFERROR(VLOOKUP(D547,[5]成飞半成品!$A:$B,2,0),VLOOKUP(D547,[5]九院成本!$A$4:$B$48,2,0))</f>
        <v>1号下壁板</v>
      </c>
      <c r="H547" s="3" t="s">
        <v>51</v>
      </c>
      <c r="I547" s="3">
        <v>15</v>
      </c>
      <c r="J547" s="18" t="e">
        <v>#N/A</v>
      </c>
      <c r="L547" s="3">
        <v>4</v>
      </c>
      <c r="M547" s="19">
        <v>30</v>
      </c>
      <c r="N547" s="19">
        <v>30</v>
      </c>
      <c r="O547" s="5" t="s">
        <v>863</v>
      </c>
      <c r="P547" s="4"/>
      <c r="Q547" s="18">
        <v>720</v>
      </c>
      <c r="R547" s="3"/>
      <c r="S547" s="6"/>
      <c r="T547" s="22"/>
      <c r="V547" s="23">
        <v>48</v>
      </c>
      <c r="W547" s="24" t="s">
        <v>6</v>
      </c>
    </row>
    <row r="548" spans="1:25" ht="22.95" customHeight="1" x14ac:dyDescent="0.25">
      <c r="A548" s="1" t="s">
        <v>116</v>
      </c>
      <c r="D548" s="3" t="s">
        <v>619</v>
      </c>
      <c r="E548" s="15" t="s">
        <v>620</v>
      </c>
      <c r="F548" s="15" t="e">
        <v>#N/A</v>
      </c>
      <c r="G548" s="15" t="e">
        <f>IFERROR(VLOOKUP(D548,[5]成飞半成品!$A:$B,2,0),VLOOKUP(D548,[5]九院成本!$A$4:$B$48,2,0))</f>
        <v>#N/A</v>
      </c>
      <c r="I548" s="3" t="s">
        <v>340</v>
      </c>
      <c r="J548" s="18" t="e">
        <v>#N/A</v>
      </c>
      <c r="L548" s="3">
        <v>1</v>
      </c>
      <c r="M548" s="19">
        <v>30</v>
      </c>
      <c r="N548" s="19">
        <v>30</v>
      </c>
      <c r="O548" s="5" t="s">
        <v>360</v>
      </c>
      <c r="P548" s="4"/>
      <c r="Q548" s="18">
        <v>60</v>
      </c>
      <c r="R548" s="3"/>
      <c r="S548" s="6"/>
      <c r="T548" s="22"/>
      <c r="V548" s="23">
        <v>1</v>
      </c>
      <c r="W548" s="24" t="s">
        <v>6</v>
      </c>
      <c r="X548" s="7" t="s">
        <v>864</v>
      </c>
    </row>
    <row r="549" spans="1:25" ht="22.95" customHeight="1" x14ac:dyDescent="0.25">
      <c r="A549" s="1" t="s">
        <v>759</v>
      </c>
      <c r="D549" s="3" t="s">
        <v>856</v>
      </c>
      <c r="E549" s="15" t="s">
        <v>380</v>
      </c>
      <c r="F549" s="15" t="s">
        <v>380</v>
      </c>
      <c r="G549" s="15" t="str">
        <f>IFERROR(VLOOKUP(D549,[5]成飞半成品!$A:$B,2,0),VLOOKUP(D549,[5]九院成本!$A$4:$B$48,2,0))</f>
        <v>根肋三段</v>
      </c>
      <c r="H549" s="3" t="s">
        <v>46</v>
      </c>
      <c r="I549" s="3">
        <v>70</v>
      </c>
      <c r="J549" s="18" t="s">
        <v>1103</v>
      </c>
      <c r="L549" s="3">
        <v>1</v>
      </c>
      <c r="M549" s="19">
        <v>30</v>
      </c>
      <c r="N549" s="19">
        <v>30</v>
      </c>
      <c r="O549" s="5" t="s">
        <v>833</v>
      </c>
      <c r="P549" s="4"/>
      <c r="Q549" s="18">
        <v>600</v>
      </c>
      <c r="R549" s="3"/>
      <c r="S549" s="6"/>
      <c r="T549" s="22"/>
      <c r="V549" s="23">
        <v>10</v>
      </c>
      <c r="W549" s="24" t="s">
        <v>5</v>
      </c>
      <c r="Y549" s="7" t="s">
        <v>203</v>
      </c>
    </row>
    <row r="550" spans="1:25" ht="22.95" customHeight="1" x14ac:dyDescent="0.25">
      <c r="A550" s="1" t="s">
        <v>759</v>
      </c>
      <c r="D550" s="3" t="s">
        <v>865</v>
      </c>
      <c r="E550" s="15" t="s">
        <v>866</v>
      </c>
      <c r="F550" s="15" t="s">
        <v>866</v>
      </c>
      <c r="G550" s="15" t="str">
        <f>IFERROR(VLOOKUP(D550,[5]成飞半成品!$A:$B,2,0),VLOOKUP(D550,[5]九院成本!$A$4:$B$48,2,0))</f>
        <v>底部连接接头</v>
      </c>
      <c r="H550" s="3" t="s">
        <v>80</v>
      </c>
      <c r="I550" s="3">
        <v>30</v>
      </c>
      <c r="J550" s="18" t="s">
        <v>1114</v>
      </c>
      <c r="L550" s="3">
        <v>8</v>
      </c>
      <c r="M550" s="19">
        <v>30</v>
      </c>
      <c r="N550" s="19">
        <v>30</v>
      </c>
      <c r="O550" s="5" t="s">
        <v>81</v>
      </c>
      <c r="P550" s="4"/>
      <c r="Q550" s="18">
        <v>60</v>
      </c>
      <c r="R550" s="3"/>
      <c r="S550" s="6"/>
      <c r="T550" s="22"/>
      <c r="V550" s="23">
        <v>8</v>
      </c>
      <c r="W550" s="24" t="s">
        <v>5</v>
      </c>
    </row>
    <row r="551" spans="1:25" ht="22.95" customHeight="1" x14ac:dyDescent="0.25">
      <c r="A551" s="1" t="s">
        <v>759</v>
      </c>
      <c r="D551" s="3" t="s">
        <v>867</v>
      </c>
      <c r="E551" s="15" t="s">
        <v>490</v>
      </c>
      <c r="F551" s="15" t="s">
        <v>490</v>
      </c>
      <c r="G551" s="15" t="str">
        <f>IFERROR(VLOOKUP(D551,[5]成飞半成品!$A:$B,2,0),VLOOKUP(D551,[5]九院成本!$A$4:$B$48,2,0))</f>
        <v>8815 4号加强筋</v>
      </c>
      <c r="H551" s="3" t="s">
        <v>147</v>
      </c>
      <c r="I551" s="3" t="s">
        <v>340</v>
      </c>
      <c r="J551" s="18" t="e">
        <v>#N/A</v>
      </c>
      <c r="L551" s="3">
        <v>3</v>
      </c>
      <c r="M551" s="19">
        <v>30</v>
      </c>
      <c r="N551" s="19">
        <v>30</v>
      </c>
      <c r="O551" s="5" t="s">
        <v>868</v>
      </c>
      <c r="P551" s="4"/>
      <c r="Q551" s="18">
        <v>30</v>
      </c>
      <c r="R551" s="3"/>
      <c r="S551" s="6"/>
      <c r="T551" s="22"/>
      <c r="V551" s="23">
        <v>1.5</v>
      </c>
      <c r="W551" s="24" t="s">
        <v>5</v>
      </c>
      <c r="X551" s="7" t="s">
        <v>869</v>
      </c>
    </row>
    <row r="552" spans="1:25" ht="22.95" customHeight="1" x14ac:dyDescent="0.25">
      <c r="A552" s="1" t="s">
        <v>759</v>
      </c>
      <c r="D552" s="3" t="s">
        <v>870</v>
      </c>
      <c r="E552" s="15" t="s">
        <v>871</v>
      </c>
      <c r="F552" s="15" t="s">
        <v>871</v>
      </c>
      <c r="G552" s="15" t="str">
        <f>IFERROR(VLOOKUP(D552,[5]成飞半成品!$A:$B,2,0),VLOOKUP(D552,[5]九院成本!$A$4:$B$48,2,0))</f>
        <v>上边肋</v>
      </c>
      <c r="H552" s="3" t="s">
        <v>147</v>
      </c>
      <c r="I552" s="3">
        <v>65</v>
      </c>
      <c r="J552" s="18" t="s">
        <v>1091</v>
      </c>
      <c r="L552" s="3">
        <v>2</v>
      </c>
      <c r="M552" s="19">
        <v>30</v>
      </c>
      <c r="N552" s="19">
        <v>30</v>
      </c>
      <c r="O552" s="5" t="s">
        <v>872</v>
      </c>
      <c r="P552" s="4"/>
      <c r="Q552" s="18">
        <v>240</v>
      </c>
      <c r="R552" s="3"/>
      <c r="S552" s="6"/>
      <c r="T552" s="22"/>
      <c r="V552" s="23">
        <v>8</v>
      </c>
      <c r="W552" s="24" t="s">
        <v>5</v>
      </c>
    </row>
    <row r="553" spans="1:25" ht="22.95" customHeight="1" x14ac:dyDescent="0.25">
      <c r="A553" s="1" t="s">
        <v>759</v>
      </c>
      <c r="D553" s="3" t="s">
        <v>870</v>
      </c>
      <c r="E553" s="15" t="s">
        <v>871</v>
      </c>
      <c r="F553" s="15" t="s">
        <v>871</v>
      </c>
      <c r="G553" s="15" t="str">
        <f>IFERROR(VLOOKUP(D553,[5]成飞半成品!$A:$B,2,0),VLOOKUP(D553,[5]九院成本!$A$4:$B$48,2,0))</f>
        <v>上边肋</v>
      </c>
      <c r="H553" s="3" t="s">
        <v>147</v>
      </c>
      <c r="I553" s="3">
        <v>65</v>
      </c>
      <c r="J553" s="18" t="s">
        <v>1091</v>
      </c>
      <c r="L553" s="3">
        <v>2</v>
      </c>
      <c r="M553" s="19">
        <v>30</v>
      </c>
      <c r="N553" s="19">
        <v>30</v>
      </c>
      <c r="O553" s="5" t="s">
        <v>873</v>
      </c>
      <c r="P553" s="4"/>
      <c r="Q553" s="18">
        <v>240</v>
      </c>
      <c r="R553" s="3"/>
      <c r="S553" s="6"/>
      <c r="T553" s="22"/>
      <c r="V553" s="23">
        <v>8</v>
      </c>
      <c r="W553" s="24" t="s">
        <v>5</v>
      </c>
    </row>
    <row r="554" spans="1:25" ht="22.95" customHeight="1" x14ac:dyDescent="0.25">
      <c r="A554" s="1" t="s">
        <v>759</v>
      </c>
      <c r="D554" s="3" t="s">
        <v>631</v>
      </c>
      <c r="E554" s="15" t="s">
        <v>632</v>
      </c>
      <c r="F554" s="15" t="s">
        <v>632</v>
      </c>
      <c r="G554" s="15" t="str">
        <f>IFERROR(VLOOKUP(D554,[5]成飞半成品!$A:$B,2,0),VLOOKUP(D554,[5]九院成本!$A$4:$B$48,2,0))</f>
        <v>BL280侧壁（左件）</v>
      </c>
      <c r="H554" s="3" t="s">
        <v>155</v>
      </c>
      <c r="I554" s="3">
        <v>40</v>
      </c>
      <c r="J554" s="18" t="s">
        <v>1069</v>
      </c>
      <c r="L554" s="3">
        <v>3</v>
      </c>
      <c r="M554" s="19">
        <v>30</v>
      </c>
      <c r="N554" s="19">
        <v>8</v>
      </c>
      <c r="O554" s="5" t="s">
        <v>874</v>
      </c>
      <c r="P554" s="4"/>
      <c r="Q554" s="18">
        <v>960</v>
      </c>
      <c r="R554" s="3"/>
      <c r="S554" s="6"/>
      <c r="T554" s="22"/>
      <c r="V554" s="23">
        <v>48</v>
      </c>
      <c r="W554" s="24" t="s">
        <v>5</v>
      </c>
    </row>
    <row r="555" spans="1:25" ht="22.95" customHeight="1" x14ac:dyDescent="0.25">
      <c r="A555" s="1" t="s">
        <v>759</v>
      </c>
      <c r="D555" s="3" t="s">
        <v>631</v>
      </c>
      <c r="E555" s="15" t="s">
        <v>632</v>
      </c>
      <c r="F555" s="15" t="s">
        <v>632</v>
      </c>
      <c r="G555" s="15" t="str">
        <f>IFERROR(VLOOKUP(D555,[5]成飞半成品!$A:$B,2,0),VLOOKUP(D555,[5]九院成本!$A$4:$B$48,2,0))</f>
        <v>BL280侧壁（左件）</v>
      </c>
      <c r="H555" s="3" t="s">
        <v>155</v>
      </c>
      <c r="I555" s="3" t="s">
        <v>340</v>
      </c>
      <c r="J555" s="18" t="e">
        <v>#N/A</v>
      </c>
      <c r="L555" s="3">
        <v>3</v>
      </c>
      <c r="M555" s="19">
        <v>30</v>
      </c>
      <c r="N555" s="19">
        <v>30</v>
      </c>
      <c r="O555" s="5" t="s">
        <v>874</v>
      </c>
      <c r="P555" s="4"/>
      <c r="Q555" s="18">
        <v>300</v>
      </c>
      <c r="R555" s="3"/>
      <c r="S555" s="6"/>
      <c r="T555" s="22"/>
      <c r="V555" s="23">
        <v>15</v>
      </c>
      <c r="W555" s="24" t="s">
        <v>5</v>
      </c>
      <c r="X555" s="7" t="s">
        <v>875</v>
      </c>
    </row>
    <row r="556" spans="1:25" ht="22.95" customHeight="1" x14ac:dyDescent="0.25">
      <c r="A556" s="1" t="s">
        <v>766</v>
      </c>
      <c r="D556" s="3" t="s">
        <v>153</v>
      </c>
      <c r="E556" s="15" t="s">
        <v>154</v>
      </c>
      <c r="F556" s="15" t="s">
        <v>154</v>
      </c>
      <c r="G556" s="15" t="str">
        <f>IFERROR(VLOOKUP(D556,[5]成飞半成品!$A:$B,2,0),VLOOKUP(D556,[5]九院成本!$A$4:$B$48,2,0))</f>
        <v>9350-11140右侧上梁</v>
      </c>
      <c r="H556" s="3" t="s">
        <v>385</v>
      </c>
      <c r="I556" s="3">
        <v>50</v>
      </c>
      <c r="J556" s="18" t="s">
        <v>1077</v>
      </c>
      <c r="L556" s="3">
        <v>1</v>
      </c>
      <c r="M556" s="19">
        <v>30</v>
      </c>
      <c r="N556" s="19">
        <v>30</v>
      </c>
      <c r="O556" s="5" t="s">
        <v>491</v>
      </c>
      <c r="P556" s="4"/>
      <c r="Q556" s="18">
        <v>720</v>
      </c>
      <c r="R556" s="3"/>
      <c r="S556" s="6"/>
      <c r="T556" s="22"/>
      <c r="V556" s="23">
        <v>12</v>
      </c>
      <c r="W556" s="24" t="s">
        <v>5</v>
      </c>
    </row>
    <row r="557" spans="1:25" ht="22.95" customHeight="1" x14ac:dyDescent="0.25">
      <c r="A557" s="1" t="s">
        <v>840</v>
      </c>
      <c r="D557" s="3" t="s">
        <v>153</v>
      </c>
      <c r="E557" s="15" t="s">
        <v>154</v>
      </c>
      <c r="F557" s="15" t="s">
        <v>154</v>
      </c>
      <c r="G557" s="15" t="str">
        <f>IFERROR(VLOOKUP(D557,[5]成飞半成品!$A:$B,2,0),VLOOKUP(D557,[5]九院成本!$A$4:$B$48,2,0))</f>
        <v>9350-11140右侧上梁</v>
      </c>
      <c r="H557" s="3" t="s">
        <v>385</v>
      </c>
      <c r="I557" s="3" t="s">
        <v>340</v>
      </c>
      <c r="J557" s="18" t="e">
        <v>#N/A</v>
      </c>
      <c r="L557" s="3">
        <v>1</v>
      </c>
      <c r="M557" s="19">
        <v>30</v>
      </c>
      <c r="N557" s="19">
        <v>30</v>
      </c>
      <c r="O557" s="5" t="s">
        <v>491</v>
      </c>
      <c r="P557" s="4"/>
      <c r="Q557" s="18">
        <v>60</v>
      </c>
      <c r="R557" s="3"/>
      <c r="S557" s="6"/>
      <c r="T557" s="22"/>
      <c r="V557" s="23">
        <v>1</v>
      </c>
      <c r="W557" s="24" t="s">
        <v>5</v>
      </c>
      <c r="X557" s="7" t="s">
        <v>875</v>
      </c>
    </row>
    <row r="558" spans="1:25" ht="22.95" customHeight="1" x14ac:dyDescent="0.25">
      <c r="A558" s="1" t="s">
        <v>876</v>
      </c>
      <c r="D558" s="3" t="s">
        <v>877</v>
      </c>
      <c r="E558" s="15" t="s">
        <v>878</v>
      </c>
      <c r="F558" s="15" t="e">
        <v>#N/A</v>
      </c>
      <c r="G558" s="15" t="e">
        <f>IFERROR(VLOOKUP(D558,[5]成飞半成品!$A:$B,2,0),VLOOKUP(D558,[5]九院成本!$A$4:$B$48,2,0))</f>
        <v>#N/A</v>
      </c>
      <c r="I558" s="3">
        <v>15</v>
      </c>
      <c r="J558" s="18" t="e">
        <v>#N/A</v>
      </c>
      <c r="L558" s="3">
        <v>4</v>
      </c>
      <c r="M558" s="19">
        <v>30</v>
      </c>
      <c r="N558" s="19">
        <v>30</v>
      </c>
      <c r="O558" s="5" t="s">
        <v>349</v>
      </c>
      <c r="P558" s="4"/>
      <c r="Q558" s="18">
        <v>180</v>
      </c>
      <c r="R558" s="3"/>
      <c r="S558" s="6"/>
      <c r="T558" s="22"/>
      <c r="V558" s="23">
        <v>12</v>
      </c>
      <c r="W558" s="24" t="s">
        <v>5</v>
      </c>
    </row>
    <row r="559" spans="1:25" ht="22.95" customHeight="1" x14ac:dyDescent="0.25">
      <c r="A559" s="1" t="s">
        <v>879</v>
      </c>
      <c r="D559" s="3" t="s">
        <v>880</v>
      </c>
      <c r="E559" s="15" t="s">
        <v>881</v>
      </c>
      <c r="F559" s="15" t="s">
        <v>881</v>
      </c>
      <c r="G559" s="15" t="str">
        <f>IFERROR(VLOOKUP(D559,[5]成飞半成品!$A:$B,2,0),VLOOKUP(D559,[5]九院成本!$A$4:$B$48,2,0))</f>
        <v>后顶板</v>
      </c>
      <c r="H559" s="3" t="s">
        <v>51</v>
      </c>
      <c r="I559" s="3">
        <v>50</v>
      </c>
      <c r="J559" s="18" t="s">
        <v>1077</v>
      </c>
      <c r="L559" s="3">
        <v>1</v>
      </c>
      <c r="M559" s="19">
        <v>30</v>
      </c>
      <c r="N559" s="19">
        <v>30</v>
      </c>
      <c r="O559" s="5" t="s">
        <v>143</v>
      </c>
      <c r="P559" s="4"/>
      <c r="Q559" s="18">
        <v>720</v>
      </c>
      <c r="R559" s="3"/>
      <c r="S559" s="6"/>
      <c r="T559" s="22"/>
      <c r="V559" s="23">
        <v>12</v>
      </c>
      <c r="W559" s="24" t="s">
        <v>5</v>
      </c>
    </row>
    <row r="560" spans="1:25" ht="22.95" customHeight="1" x14ac:dyDescent="0.25">
      <c r="A560" s="1" t="s">
        <v>879</v>
      </c>
      <c r="D560" s="3" t="s">
        <v>619</v>
      </c>
      <c r="E560" s="15" t="s">
        <v>620</v>
      </c>
      <c r="F560" s="15" t="e">
        <v>#N/A</v>
      </c>
      <c r="G560" s="15" t="e">
        <f>IFERROR(VLOOKUP(D560,[5]成飞半成品!$A:$B,2,0),VLOOKUP(D560,[5]九院成本!$A$4:$B$48,2,0))</f>
        <v>#N/A</v>
      </c>
      <c r="H560" s="3" t="s">
        <v>80</v>
      </c>
      <c r="I560" s="3" t="s">
        <v>340</v>
      </c>
      <c r="J560" s="18" t="e">
        <v>#N/A</v>
      </c>
      <c r="L560" s="3">
        <v>6</v>
      </c>
      <c r="M560" s="19">
        <v>30</v>
      </c>
      <c r="N560" s="19">
        <v>30</v>
      </c>
      <c r="O560" s="5" t="s">
        <v>882</v>
      </c>
      <c r="P560" s="4"/>
      <c r="Q560" s="18">
        <v>60</v>
      </c>
      <c r="R560" s="3"/>
      <c r="S560" s="6"/>
      <c r="T560" s="22"/>
      <c r="V560" s="23">
        <v>6</v>
      </c>
      <c r="W560" s="24" t="s">
        <v>5</v>
      </c>
      <c r="X560" s="7" t="s">
        <v>883</v>
      </c>
    </row>
    <row r="561" spans="1:25" ht="22.95" customHeight="1" x14ac:dyDescent="0.25">
      <c r="A561" s="1" t="s">
        <v>879</v>
      </c>
      <c r="D561" s="3" t="s">
        <v>862</v>
      </c>
      <c r="E561" s="15" t="s">
        <v>383</v>
      </c>
      <c r="F561" s="15" t="s">
        <v>383</v>
      </c>
      <c r="G561" s="15" t="str">
        <f>IFERROR(VLOOKUP(D561,[5]成飞半成品!$A:$B,2,0),VLOOKUP(D561,[5]九院成本!$A$4:$B$48,2,0))</f>
        <v>1号下壁板</v>
      </c>
      <c r="H561" s="3" t="s">
        <v>51</v>
      </c>
      <c r="I561" s="3">
        <v>15</v>
      </c>
      <c r="J561" s="18" t="e">
        <v>#N/A</v>
      </c>
      <c r="L561" s="3">
        <v>2</v>
      </c>
      <c r="M561" s="19">
        <v>30</v>
      </c>
      <c r="N561" s="19">
        <v>30</v>
      </c>
      <c r="O561" s="5" t="s">
        <v>884</v>
      </c>
      <c r="P561" s="4"/>
      <c r="Q561" s="18">
        <v>720</v>
      </c>
      <c r="R561" s="3"/>
      <c r="S561" s="6"/>
      <c r="T561" s="22"/>
      <c r="V561" s="23">
        <v>24</v>
      </c>
      <c r="W561" s="24" t="s">
        <v>5</v>
      </c>
    </row>
    <row r="562" spans="1:25" ht="22.95" customHeight="1" x14ac:dyDescent="0.25">
      <c r="A562" s="1" t="s">
        <v>879</v>
      </c>
      <c r="D562" s="3" t="s">
        <v>885</v>
      </c>
      <c r="E562" s="15" t="s">
        <v>886</v>
      </c>
      <c r="F562" s="15" t="e">
        <v>#N/A</v>
      </c>
      <c r="G562" s="15" t="e">
        <f>IFERROR(VLOOKUP(D562,[5]成飞半成品!$A:$B,2,0),VLOOKUP(D562,[5]九院成本!$A$4:$B$48,2,0))</f>
        <v>#N/A</v>
      </c>
      <c r="H562" s="3" t="s">
        <v>51</v>
      </c>
      <c r="I562" s="3">
        <v>50</v>
      </c>
      <c r="J562" s="18" t="s">
        <v>1077</v>
      </c>
      <c r="L562" s="3">
        <v>8</v>
      </c>
      <c r="M562" s="19">
        <v>30</v>
      </c>
      <c r="N562" s="19">
        <v>30</v>
      </c>
      <c r="O562" s="5" t="s">
        <v>887</v>
      </c>
      <c r="P562" s="4"/>
      <c r="Q562" s="18">
        <v>480</v>
      </c>
      <c r="R562" s="3"/>
      <c r="S562" s="6"/>
      <c r="T562" s="22"/>
      <c r="V562" s="23">
        <v>64</v>
      </c>
      <c r="W562" s="24" t="s">
        <v>5</v>
      </c>
    </row>
    <row r="563" spans="1:25" ht="22.95" customHeight="1" x14ac:dyDescent="0.25">
      <c r="A563" s="1" t="s">
        <v>876</v>
      </c>
      <c r="D563" s="3" t="s">
        <v>888</v>
      </c>
      <c r="E563" s="15" t="s">
        <v>55</v>
      </c>
      <c r="F563" s="15" t="s">
        <v>55</v>
      </c>
      <c r="G563" s="15" t="str">
        <f>IFERROR(VLOOKUP(D563,[5]成飞半成品!$A:$B,2,0),VLOOKUP(D563,[5]九院成本!$A$4:$B$48,2,0))</f>
        <v>接头</v>
      </c>
      <c r="H563" s="3" t="s">
        <v>80</v>
      </c>
      <c r="I563" s="3">
        <v>35</v>
      </c>
      <c r="J563" s="18" t="s">
        <v>1075</v>
      </c>
      <c r="L563" s="3">
        <v>5</v>
      </c>
      <c r="M563" s="19">
        <v>30</v>
      </c>
      <c r="N563" s="19">
        <v>30</v>
      </c>
      <c r="O563" s="5" t="s">
        <v>81</v>
      </c>
      <c r="P563" s="4"/>
      <c r="Q563" s="18">
        <v>90</v>
      </c>
      <c r="R563" s="3"/>
      <c r="S563" s="6"/>
      <c r="T563" s="22"/>
      <c r="V563" s="23">
        <v>7.5</v>
      </c>
      <c r="W563" s="24" t="s">
        <v>5</v>
      </c>
    </row>
    <row r="564" spans="1:25" ht="22.95" customHeight="1" x14ac:dyDescent="0.25">
      <c r="A564" s="1" t="s">
        <v>876</v>
      </c>
      <c r="D564" s="3" t="s">
        <v>885</v>
      </c>
      <c r="E564" s="15" t="s">
        <v>886</v>
      </c>
      <c r="F564" s="15" t="e">
        <v>#N/A</v>
      </c>
      <c r="G564" s="15" t="e">
        <f>IFERROR(VLOOKUP(D564,[5]成飞半成品!$A:$B,2,0),VLOOKUP(D564,[5]九院成本!$A$4:$B$48,2,0))</f>
        <v>#N/A</v>
      </c>
      <c r="H564" s="3" t="s">
        <v>51</v>
      </c>
      <c r="I564" s="3">
        <v>50</v>
      </c>
      <c r="J564" s="18" t="s">
        <v>1077</v>
      </c>
      <c r="L564" s="3">
        <v>4</v>
      </c>
      <c r="M564" s="19">
        <v>30</v>
      </c>
      <c r="N564" s="19">
        <v>30</v>
      </c>
      <c r="O564" s="5" t="s">
        <v>889</v>
      </c>
      <c r="P564" s="4"/>
      <c r="Q564" s="18">
        <v>480</v>
      </c>
      <c r="R564" s="3"/>
      <c r="S564" s="6"/>
      <c r="T564" s="22"/>
      <c r="V564" s="23">
        <v>32</v>
      </c>
      <c r="W564" s="24" t="s">
        <v>5</v>
      </c>
    </row>
    <row r="565" spans="1:25" ht="22.95" customHeight="1" x14ac:dyDescent="0.25">
      <c r="A565" s="1" t="s">
        <v>876</v>
      </c>
      <c r="D565" s="3" t="s">
        <v>890</v>
      </c>
      <c r="E565" s="15" t="s">
        <v>891</v>
      </c>
      <c r="F565" s="15" t="s">
        <v>891</v>
      </c>
      <c r="G565" s="15" t="str">
        <f>IFERROR(VLOOKUP(D565,[5]成飞半成品!$A:$B,2,0),VLOOKUP(D565,[5]九院成本!$A$4:$B$48,2,0))</f>
        <v>法兰盘</v>
      </c>
      <c r="H565" s="3" t="s">
        <v>147</v>
      </c>
      <c r="I565" s="3" t="s">
        <v>340</v>
      </c>
      <c r="J565" s="18" t="e">
        <v>#N/A</v>
      </c>
      <c r="L565" s="3">
        <v>10</v>
      </c>
      <c r="M565" s="19">
        <v>30</v>
      </c>
      <c r="N565" s="19">
        <v>30</v>
      </c>
      <c r="O565" s="5" t="s">
        <v>189</v>
      </c>
      <c r="P565" s="4"/>
      <c r="Q565" s="18">
        <v>20</v>
      </c>
      <c r="R565" s="3"/>
      <c r="S565" s="6"/>
      <c r="T565" s="22"/>
      <c r="V565" s="23">
        <v>3.3</v>
      </c>
      <c r="W565" s="24" t="s">
        <v>5</v>
      </c>
      <c r="X565" s="7" t="s">
        <v>485</v>
      </c>
      <c r="Y565" s="7" t="s">
        <v>203</v>
      </c>
    </row>
    <row r="566" spans="1:25" ht="22.95" customHeight="1" x14ac:dyDescent="0.25">
      <c r="A566" s="1" t="s">
        <v>74</v>
      </c>
      <c r="D566" s="3" t="s">
        <v>754</v>
      </c>
      <c r="E566" s="15" t="s">
        <v>755</v>
      </c>
      <c r="F566" s="15" t="s">
        <v>755</v>
      </c>
      <c r="G566" s="15" t="str">
        <f>IFERROR(VLOOKUP(D566,[5]成飞半成品!$A:$B,2,0),VLOOKUP(D566,[5]九院成本!$A$4:$B$48,2,0))</f>
        <v>加强件</v>
      </c>
      <c r="H566" s="3" t="s">
        <v>64</v>
      </c>
      <c r="I566" s="3">
        <v>5</v>
      </c>
      <c r="J566" s="18" t="s">
        <v>1122</v>
      </c>
      <c r="L566" s="3">
        <v>3</v>
      </c>
      <c r="M566" s="19">
        <v>9</v>
      </c>
      <c r="N566" s="19">
        <v>27</v>
      </c>
      <c r="O566" s="5" t="s">
        <v>756</v>
      </c>
      <c r="P566" s="4">
        <v>60</v>
      </c>
      <c r="Q566" s="18">
        <v>30</v>
      </c>
      <c r="R566" s="3"/>
      <c r="S566" s="6"/>
      <c r="T566" s="22"/>
      <c r="V566" s="23">
        <v>1.5</v>
      </c>
      <c r="W566" s="24" t="s">
        <v>14</v>
      </c>
    </row>
    <row r="567" spans="1:25" ht="22.95" customHeight="1" x14ac:dyDescent="0.25">
      <c r="A567" s="1" t="s">
        <v>74</v>
      </c>
      <c r="D567" s="3" t="s">
        <v>754</v>
      </c>
      <c r="E567" s="15" t="s">
        <v>755</v>
      </c>
      <c r="F567" s="15" t="s">
        <v>755</v>
      </c>
      <c r="G567" s="15" t="str">
        <f>IFERROR(VLOOKUP(D567,[5]成飞半成品!$A:$B,2,0),VLOOKUP(D567,[5]九院成本!$A$4:$B$48,2,0))</f>
        <v>加强件</v>
      </c>
      <c r="H567" s="3" t="s">
        <v>64</v>
      </c>
      <c r="I567" s="3">
        <v>5</v>
      </c>
      <c r="J567" s="18" t="s">
        <v>1122</v>
      </c>
      <c r="L567" s="3">
        <v>4</v>
      </c>
      <c r="M567" s="19">
        <v>19</v>
      </c>
      <c r="N567" s="19">
        <v>37</v>
      </c>
      <c r="O567" s="5" t="s">
        <v>892</v>
      </c>
      <c r="P567" s="4">
        <v>60</v>
      </c>
      <c r="Q567" s="18">
        <v>30</v>
      </c>
      <c r="R567" s="3"/>
      <c r="S567" s="6"/>
      <c r="T567" s="22"/>
      <c r="V567" s="23">
        <v>2</v>
      </c>
      <c r="W567" s="24" t="s">
        <v>14</v>
      </c>
    </row>
    <row r="568" spans="1:25" ht="22.95" customHeight="1" x14ac:dyDescent="0.25">
      <c r="A568" s="1" t="s">
        <v>82</v>
      </c>
      <c r="D568" s="3" t="s">
        <v>188</v>
      </c>
      <c r="E568" s="15" t="s">
        <v>120</v>
      </c>
      <c r="F568" s="15" t="s">
        <v>120</v>
      </c>
      <c r="G568" s="15" t="str">
        <f>IFERROR(VLOOKUP(D568,[5]成飞半成品!$A:$B,2,0),VLOOKUP(D568,[5]九院成本!$A$4:$B$48,2,0))</f>
        <v>支架</v>
      </c>
      <c r="H568" s="3" t="s">
        <v>114</v>
      </c>
      <c r="I568" s="3">
        <v>10</v>
      </c>
      <c r="J568" s="18" t="s">
        <v>1134</v>
      </c>
      <c r="L568" s="3">
        <v>20</v>
      </c>
      <c r="M568" s="19">
        <v>23</v>
      </c>
      <c r="N568" s="19">
        <v>28</v>
      </c>
      <c r="O568" s="5" t="s">
        <v>189</v>
      </c>
      <c r="P568" s="4">
        <v>120</v>
      </c>
      <c r="Q568" s="18">
        <v>120</v>
      </c>
      <c r="R568" s="3"/>
      <c r="S568" s="6"/>
      <c r="T568" s="22"/>
      <c r="V568" s="23">
        <v>40</v>
      </c>
      <c r="W568" s="24" t="s">
        <v>14</v>
      </c>
    </row>
    <row r="569" spans="1:25" ht="22.95" customHeight="1" x14ac:dyDescent="0.25">
      <c r="A569" s="1" t="s">
        <v>82</v>
      </c>
      <c r="D569" s="3" t="s">
        <v>893</v>
      </c>
      <c r="E569" s="15" t="s">
        <v>894</v>
      </c>
      <c r="F569" s="15" t="s">
        <v>894</v>
      </c>
      <c r="G569" s="15" t="str">
        <f>IFERROR(VLOOKUP(D569,[5]成飞半成品!$A:$B,2,0),VLOOKUP(D569,[5]九院成本!$A$4:$B$48,2,0))</f>
        <v>支臂</v>
      </c>
      <c r="H569" s="3" t="s">
        <v>46</v>
      </c>
      <c r="I569" s="3">
        <v>5</v>
      </c>
      <c r="J569" s="18" t="s">
        <v>1150</v>
      </c>
      <c r="L569" s="3">
        <v>3</v>
      </c>
      <c r="M569" s="19">
        <v>23</v>
      </c>
      <c r="N569" s="19">
        <v>23</v>
      </c>
      <c r="O569" s="5" t="s">
        <v>895</v>
      </c>
      <c r="P569" s="4">
        <v>30</v>
      </c>
      <c r="Q569" s="18">
        <v>30</v>
      </c>
      <c r="R569" s="3"/>
      <c r="S569" s="6"/>
      <c r="T569" s="22"/>
      <c r="V569" s="23">
        <v>1.5</v>
      </c>
      <c r="W569" s="24" t="s">
        <v>14</v>
      </c>
    </row>
    <row r="570" spans="1:25" ht="22.95" customHeight="1" x14ac:dyDescent="0.25">
      <c r="A570" s="1" t="s">
        <v>82</v>
      </c>
      <c r="D570" s="3" t="s">
        <v>896</v>
      </c>
      <c r="E570" s="15" t="s">
        <v>717</v>
      </c>
      <c r="F570" s="15" t="s">
        <v>717</v>
      </c>
      <c r="G570" s="15" t="str">
        <f>IFERROR(VLOOKUP(D570,[5]成飞半成品!$A:$B,2,0),VLOOKUP(D570,[5]九院成本!$A$4:$B$48,2,0))</f>
        <v>耳环螺栓</v>
      </c>
      <c r="H570" s="3" t="s">
        <v>64</v>
      </c>
      <c r="I570" s="3">
        <v>10</v>
      </c>
      <c r="J570" s="18" t="s">
        <v>1141</v>
      </c>
      <c r="L570" s="3">
        <v>21</v>
      </c>
      <c r="M570" s="19">
        <v>23</v>
      </c>
      <c r="N570" s="19">
        <v>23</v>
      </c>
      <c r="O570" s="5" t="s">
        <v>897</v>
      </c>
      <c r="P570" s="4">
        <v>60</v>
      </c>
      <c r="Q570" s="18">
        <v>60</v>
      </c>
      <c r="R570" s="3"/>
      <c r="S570" s="6"/>
      <c r="T570" s="22"/>
      <c r="V570" s="23">
        <v>21</v>
      </c>
      <c r="W570" s="24" t="s">
        <v>14</v>
      </c>
    </row>
    <row r="571" spans="1:25" ht="22.95" customHeight="1" x14ac:dyDescent="0.25">
      <c r="A571" s="1" t="s">
        <v>100</v>
      </c>
      <c r="D571" s="3" t="s">
        <v>816</v>
      </c>
      <c r="E571" s="15" t="s">
        <v>817</v>
      </c>
      <c r="F571" s="15" t="s">
        <v>817</v>
      </c>
      <c r="G571" s="15" t="str">
        <f>IFERROR(VLOOKUP(D571,[5]成飞半成品!$A:$B,2,0),VLOOKUP(D571,[5]九院成本!$A$4:$B$48,2,0))</f>
        <v>套筒</v>
      </c>
      <c r="H571" s="3" t="s">
        <v>51</v>
      </c>
      <c r="I571" s="3">
        <v>29</v>
      </c>
      <c r="J571" s="18" t="e">
        <v>#N/A</v>
      </c>
      <c r="L571" s="3">
        <v>40</v>
      </c>
      <c r="M571" s="19"/>
      <c r="N571" s="19"/>
      <c r="O571" s="5" t="s">
        <v>700</v>
      </c>
      <c r="P571" s="4">
        <v>20</v>
      </c>
      <c r="Q571" s="18">
        <v>20</v>
      </c>
      <c r="R571" s="3"/>
      <c r="S571" s="6"/>
      <c r="T571" s="22"/>
      <c r="V571" s="23">
        <v>13.3</v>
      </c>
      <c r="W571" s="24" t="s">
        <v>14</v>
      </c>
      <c r="Y571" s="7" t="s">
        <v>203</v>
      </c>
    </row>
    <row r="572" spans="1:25" ht="22.95" customHeight="1" x14ac:dyDescent="0.25">
      <c r="A572" s="1" t="s">
        <v>100</v>
      </c>
      <c r="D572" s="3" t="s">
        <v>816</v>
      </c>
      <c r="E572" s="15" t="s">
        <v>817</v>
      </c>
      <c r="F572" s="15" t="s">
        <v>817</v>
      </c>
      <c r="G572" s="15" t="str">
        <f>IFERROR(VLOOKUP(D572,[5]成飞半成品!$A:$B,2,0),VLOOKUP(D572,[5]九院成本!$A$4:$B$48,2,0))</f>
        <v>套筒</v>
      </c>
      <c r="H572" s="3" t="s">
        <v>51</v>
      </c>
      <c r="I572" s="3">
        <v>29</v>
      </c>
      <c r="J572" s="18" t="e">
        <v>#N/A</v>
      </c>
      <c r="L572" s="3">
        <v>16</v>
      </c>
      <c r="M572" s="19"/>
      <c r="N572" s="19"/>
      <c r="O572" s="5" t="s">
        <v>700</v>
      </c>
      <c r="P572" s="4">
        <v>20</v>
      </c>
      <c r="Q572" s="18">
        <v>20</v>
      </c>
      <c r="R572" s="3"/>
      <c r="S572" s="6"/>
      <c r="T572" s="22"/>
      <c r="V572" s="23">
        <v>5.3</v>
      </c>
      <c r="W572" s="24" t="s">
        <v>14</v>
      </c>
      <c r="X572" s="7" t="s">
        <v>898</v>
      </c>
      <c r="Y572" s="7" t="s">
        <v>203</v>
      </c>
    </row>
    <row r="573" spans="1:25" ht="22.95" customHeight="1" x14ac:dyDescent="0.25">
      <c r="A573" s="1" t="s">
        <v>100</v>
      </c>
      <c r="D573" s="3" t="s">
        <v>771</v>
      </c>
      <c r="E573" s="15" t="s">
        <v>55</v>
      </c>
      <c r="F573" s="15" t="s">
        <v>55</v>
      </c>
      <c r="G573" s="15" t="str">
        <f>IFERROR(VLOOKUP(D573,[5]成飞半成品!$A:$B,2,0),VLOOKUP(D573,[5]九院成本!$A$4:$B$48,2,0))</f>
        <v>接头</v>
      </c>
      <c r="H573" s="3" t="s">
        <v>80</v>
      </c>
      <c r="I573" s="3">
        <v>20</v>
      </c>
      <c r="J573" s="18" t="s">
        <v>1125</v>
      </c>
      <c r="L573" s="3">
        <v>4</v>
      </c>
      <c r="M573" s="19">
        <v>23</v>
      </c>
      <c r="N573" s="19">
        <v>23</v>
      </c>
      <c r="O573" s="5" t="s">
        <v>81</v>
      </c>
      <c r="P573" s="4">
        <v>60</v>
      </c>
      <c r="Q573" s="18">
        <v>60</v>
      </c>
      <c r="R573" s="3"/>
      <c r="S573" s="6"/>
      <c r="T573" s="22"/>
      <c r="V573" s="23">
        <v>4</v>
      </c>
      <c r="W573" s="24" t="s">
        <v>14</v>
      </c>
    </row>
    <row r="574" spans="1:25" ht="22.95" customHeight="1" x14ac:dyDescent="0.25">
      <c r="A574" s="1" t="s">
        <v>103</v>
      </c>
      <c r="D574" s="3" t="s">
        <v>771</v>
      </c>
      <c r="E574" s="15" t="s">
        <v>55</v>
      </c>
      <c r="F574" s="15" t="s">
        <v>55</v>
      </c>
      <c r="G574" s="15" t="str">
        <f>IFERROR(VLOOKUP(D574,[5]成飞半成品!$A:$B,2,0),VLOOKUP(D574,[5]九院成本!$A$4:$B$48,2,0))</f>
        <v>接头</v>
      </c>
      <c r="H574" s="3" t="s">
        <v>80</v>
      </c>
      <c r="I574" s="3">
        <v>20</v>
      </c>
      <c r="J574" s="18" t="s">
        <v>1125</v>
      </c>
      <c r="L574" s="3">
        <v>4</v>
      </c>
      <c r="M574" s="19">
        <v>23</v>
      </c>
      <c r="N574" s="19">
        <v>23</v>
      </c>
      <c r="O574" s="5" t="s">
        <v>81</v>
      </c>
      <c r="P574" s="4">
        <v>60</v>
      </c>
      <c r="Q574" s="18">
        <v>60</v>
      </c>
      <c r="R574" s="3"/>
      <c r="S574" s="6"/>
      <c r="T574" s="22"/>
      <c r="V574" s="23">
        <v>4</v>
      </c>
      <c r="W574" s="24" t="s">
        <v>14</v>
      </c>
    </row>
    <row r="575" spans="1:25" ht="22.95" customHeight="1" x14ac:dyDescent="0.25">
      <c r="A575" s="1" t="s">
        <v>103</v>
      </c>
      <c r="D575" s="3" t="s">
        <v>1162</v>
      </c>
      <c r="E575" s="15" t="s">
        <v>899</v>
      </c>
      <c r="F575" s="15" t="e">
        <v>#N/A</v>
      </c>
      <c r="G575" s="15" t="str">
        <f>IFERROR(VLOOKUP(D575,[5]成飞半成品!$A:$B,2,0),VLOOKUP(D575,[5]九院成本!$A$4:$B$48,2,0))</f>
        <v>工装</v>
      </c>
      <c r="I575" s="3" t="s">
        <v>652</v>
      </c>
      <c r="J575" s="18" t="e">
        <v>#N/A</v>
      </c>
      <c r="L575" s="3">
        <v>4</v>
      </c>
      <c r="M575" s="19"/>
      <c r="N575" s="19"/>
      <c r="P575" s="4">
        <v>30</v>
      </c>
      <c r="Q575" s="18">
        <v>30</v>
      </c>
      <c r="R575" s="3"/>
      <c r="S575" s="6"/>
      <c r="T575" s="22"/>
      <c r="V575" s="23">
        <v>2</v>
      </c>
      <c r="W575" s="24" t="s">
        <v>14</v>
      </c>
    </row>
    <row r="576" spans="1:25" ht="22.95" customHeight="1" x14ac:dyDescent="0.25">
      <c r="A576" s="1" t="s">
        <v>109</v>
      </c>
      <c r="D576" s="3" t="s">
        <v>1162</v>
      </c>
      <c r="E576" s="15" t="s">
        <v>899</v>
      </c>
      <c r="F576" s="15" t="e">
        <v>#N/A</v>
      </c>
      <c r="G576" s="15" t="str">
        <f>IFERROR(VLOOKUP(D576,[5]成飞半成品!$A:$B,2,0),VLOOKUP(D576,[5]九院成本!$A$4:$B$48,2,0))</f>
        <v>工装</v>
      </c>
      <c r="I576" s="3" t="s">
        <v>652</v>
      </c>
      <c r="J576" s="18" t="e">
        <v>#N/A</v>
      </c>
      <c r="L576" s="3">
        <v>8</v>
      </c>
      <c r="M576" s="19"/>
      <c r="N576" s="19"/>
      <c r="P576" s="4">
        <v>20</v>
      </c>
      <c r="Q576" s="18">
        <v>20</v>
      </c>
      <c r="R576" s="3"/>
      <c r="S576" s="6"/>
      <c r="T576" s="22"/>
      <c r="V576" s="23">
        <v>2.7</v>
      </c>
      <c r="W576" s="24" t="s">
        <v>14</v>
      </c>
    </row>
    <row r="577" spans="1:25" ht="22.95" customHeight="1" x14ac:dyDescent="0.25">
      <c r="A577" s="1" t="s">
        <v>109</v>
      </c>
      <c r="D577" s="3" t="s">
        <v>1162</v>
      </c>
      <c r="E577" s="15" t="s">
        <v>900</v>
      </c>
      <c r="F577" s="15" t="e">
        <v>#N/A</v>
      </c>
      <c r="G577" s="15" t="str">
        <f>IFERROR(VLOOKUP(D577,[5]成飞半成品!$A:$B,2,0),VLOOKUP(D577,[5]九院成本!$A$4:$B$48,2,0))</f>
        <v>工装</v>
      </c>
      <c r="I577" s="3" t="s">
        <v>652</v>
      </c>
      <c r="J577" s="18" t="e">
        <v>#N/A</v>
      </c>
      <c r="L577" s="3">
        <v>1</v>
      </c>
      <c r="M577" s="19"/>
      <c r="N577" s="19"/>
      <c r="P577" s="4">
        <v>120</v>
      </c>
      <c r="Q577" s="18">
        <v>120</v>
      </c>
      <c r="R577" s="3"/>
      <c r="S577" s="6"/>
      <c r="T577" s="22"/>
      <c r="V577" s="23">
        <v>2</v>
      </c>
      <c r="W577" s="24" t="s">
        <v>14</v>
      </c>
      <c r="X577" s="7" t="s">
        <v>901</v>
      </c>
    </row>
    <row r="578" spans="1:25" ht="22.95" customHeight="1" x14ac:dyDescent="0.25">
      <c r="A578" s="1" t="s">
        <v>109</v>
      </c>
      <c r="D578" s="3" t="s">
        <v>902</v>
      </c>
      <c r="E578" s="15" t="s">
        <v>55</v>
      </c>
      <c r="F578" s="15" t="s">
        <v>55</v>
      </c>
      <c r="G578" s="15" t="str">
        <f>IFERROR(VLOOKUP(D578,[5]成飞半成品!$A:$B,2,0),VLOOKUP(D578,[5]九院成本!$A$4:$B$48,2,0))</f>
        <v>接头</v>
      </c>
      <c r="H578" s="3" t="s">
        <v>80</v>
      </c>
      <c r="I578" s="3">
        <v>20</v>
      </c>
      <c r="J578" s="18" t="s">
        <v>1125</v>
      </c>
      <c r="L578" s="3">
        <v>4</v>
      </c>
      <c r="M578" s="19">
        <v>23</v>
      </c>
      <c r="N578" s="19">
        <v>23</v>
      </c>
      <c r="O578" s="5" t="s">
        <v>81</v>
      </c>
      <c r="P578" s="4">
        <v>60</v>
      </c>
      <c r="Q578" s="18">
        <v>60</v>
      </c>
      <c r="R578" s="3"/>
      <c r="S578" s="6"/>
      <c r="T578" s="22"/>
      <c r="V578" s="23">
        <v>4</v>
      </c>
      <c r="W578" s="24" t="s">
        <v>14</v>
      </c>
    </row>
    <row r="579" spans="1:25" ht="22.95" customHeight="1" x14ac:dyDescent="0.25">
      <c r="A579" s="1" t="s">
        <v>157</v>
      </c>
      <c r="D579" s="3" t="s">
        <v>903</v>
      </c>
      <c r="E579" s="15" t="s">
        <v>904</v>
      </c>
      <c r="F579" s="15" t="s">
        <v>904</v>
      </c>
      <c r="G579" s="15" t="str">
        <f>IFERROR(VLOOKUP(D579,[5]成飞半成品!$A:$B,2,0),VLOOKUP(D579,[5]九院成本!$A$4:$B$48,2,0))</f>
        <v>凸台</v>
      </c>
      <c r="H579" s="3" t="s">
        <v>51</v>
      </c>
      <c r="I579" s="3">
        <v>15</v>
      </c>
      <c r="J579" s="18" t="s">
        <v>1138</v>
      </c>
      <c r="L579" s="3">
        <v>60</v>
      </c>
      <c r="M579" s="19">
        <v>23</v>
      </c>
      <c r="N579" s="19">
        <v>28</v>
      </c>
      <c r="O579" s="5" t="s">
        <v>700</v>
      </c>
      <c r="P579" s="4">
        <v>20</v>
      </c>
      <c r="Q579" s="18">
        <v>20</v>
      </c>
      <c r="R579" s="3"/>
      <c r="S579" s="6"/>
      <c r="T579" s="22"/>
      <c r="V579" s="23">
        <v>20</v>
      </c>
      <c r="W579" s="24" t="s">
        <v>14</v>
      </c>
    </row>
    <row r="580" spans="1:25" ht="22.95" customHeight="1" x14ac:dyDescent="0.25">
      <c r="A580" s="1" t="s">
        <v>157</v>
      </c>
      <c r="D580" s="3" t="s">
        <v>683</v>
      </c>
      <c r="E580" s="15" t="s">
        <v>681</v>
      </c>
      <c r="F580" s="15" t="s">
        <v>681</v>
      </c>
      <c r="G580" s="15" t="str">
        <f>IFERROR(VLOOKUP(D580,[5]成飞半成品!$A:$B,2,0),VLOOKUP(D580,[5]九院成本!$A$4:$B$48,2,0))</f>
        <v>受剪接头</v>
      </c>
      <c r="H580" s="3" t="s">
        <v>147</v>
      </c>
      <c r="I580" s="3">
        <v>15</v>
      </c>
      <c r="J580" s="18" t="s">
        <v>1138</v>
      </c>
      <c r="L580" s="3">
        <v>13</v>
      </c>
      <c r="M580" s="19">
        <v>9</v>
      </c>
      <c r="N580" s="19">
        <v>9</v>
      </c>
      <c r="O580" s="5" t="s">
        <v>905</v>
      </c>
      <c r="P580" s="4">
        <v>60</v>
      </c>
      <c r="Q580" s="18">
        <v>60</v>
      </c>
      <c r="R580" s="3"/>
      <c r="S580" s="6"/>
      <c r="T580" s="22"/>
      <c r="V580" s="23">
        <v>13</v>
      </c>
      <c r="W580" s="24" t="s">
        <v>14</v>
      </c>
    </row>
    <row r="581" spans="1:25" ht="22.95" customHeight="1" x14ac:dyDescent="0.25">
      <c r="A581" s="1" t="s">
        <v>116</v>
      </c>
      <c r="D581" s="3" t="s">
        <v>810</v>
      </c>
      <c r="E581" s="15" t="s">
        <v>55</v>
      </c>
      <c r="F581" s="15" t="s">
        <v>55</v>
      </c>
      <c r="G581" s="15" t="str">
        <f>IFERROR(VLOOKUP(D581,[5]成飞半成品!$A:$B,2,0),VLOOKUP(D581,[5]九院成本!$A$4:$B$48,2,0))</f>
        <v>接头</v>
      </c>
      <c r="H581" s="3" t="s">
        <v>80</v>
      </c>
      <c r="I581" s="3">
        <v>20</v>
      </c>
      <c r="J581" s="18" t="s">
        <v>1125</v>
      </c>
      <c r="L581" s="3">
        <v>4</v>
      </c>
      <c r="M581" s="19">
        <v>23</v>
      </c>
      <c r="N581" s="19">
        <v>23</v>
      </c>
      <c r="O581" s="5" t="s">
        <v>81</v>
      </c>
      <c r="P581" s="4">
        <v>60</v>
      </c>
      <c r="Q581" s="18">
        <v>60</v>
      </c>
      <c r="R581" s="3"/>
      <c r="S581" s="6"/>
      <c r="T581" s="22"/>
      <c r="V581" s="23">
        <v>4</v>
      </c>
      <c r="W581" s="24" t="s">
        <v>14</v>
      </c>
    </row>
    <row r="582" spans="1:25" ht="22.95" customHeight="1" x14ac:dyDescent="0.25">
      <c r="A582" s="1" t="s">
        <v>116</v>
      </c>
      <c r="D582" s="3" t="s">
        <v>906</v>
      </c>
      <c r="E582" s="15" t="s">
        <v>55</v>
      </c>
      <c r="F582" s="15" t="s">
        <v>55</v>
      </c>
      <c r="G582" s="15" t="str">
        <f>IFERROR(VLOOKUP(D582,[5]成飞半成品!$A:$B,2,0),VLOOKUP(D582,[5]九院成本!$A$4:$B$48,2,0))</f>
        <v>接头</v>
      </c>
      <c r="H582" s="3" t="s">
        <v>80</v>
      </c>
      <c r="I582" s="3">
        <v>20</v>
      </c>
      <c r="J582" s="18" t="s">
        <v>1125</v>
      </c>
      <c r="L582" s="3">
        <v>1</v>
      </c>
      <c r="M582" s="19">
        <v>5</v>
      </c>
      <c r="N582" s="19"/>
      <c r="O582" s="5" t="s">
        <v>81</v>
      </c>
      <c r="P582" s="4">
        <v>60</v>
      </c>
      <c r="Q582" s="18">
        <v>60</v>
      </c>
      <c r="R582" s="3"/>
      <c r="S582" s="6"/>
      <c r="T582" s="22"/>
      <c r="V582" s="23">
        <v>1</v>
      </c>
      <c r="W582" s="24" t="s">
        <v>14</v>
      </c>
    </row>
    <row r="583" spans="1:25" ht="22.95" customHeight="1" x14ac:dyDescent="0.25">
      <c r="A583" s="1" t="s">
        <v>562</v>
      </c>
      <c r="D583" s="3" t="s">
        <v>907</v>
      </c>
      <c r="E583" s="15" t="s">
        <v>866</v>
      </c>
      <c r="F583" s="15" t="s">
        <v>866</v>
      </c>
      <c r="G583" s="15" t="str">
        <f>IFERROR(VLOOKUP(D583,[5]成飞半成品!$A:$B,2,0),VLOOKUP(D583,[5]九院成本!$A$4:$B$48,2,0))</f>
        <v>底部连接接头</v>
      </c>
      <c r="H583" s="3" t="s">
        <v>80</v>
      </c>
      <c r="I583" s="3">
        <v>15</v>
      </c>
      <c r="J583" s="18" t="s">
        <v>1138</v>
      </c>
      <c r="L583" s="3">
        <v>8</v>
      </c>
      <c r="M583" s="19">
        <v>5</v>
      </c>
      <c r="N583" s="19">
        <v>23</v>
      </c>
      <c r="O583" s="5" t="s">
        <v>81</v>
      </c>
      <c r="P583" s="4">
        <v>40</v>
      </c>
      <c r="Q583" s="18">
        <v>40</v>
      </c>
      <c r="R583" s="3"/>
      <c r="S583" s="6"/>
      <c r="T583" s="22"/>
      <c r="V583" s="23">
        <v>5.3</v>
      </c>
      <c r="W583" s="24" t="s">
        <v>14</v>
      </c>
    </row>
    <row r="584" spans="1:25" ht="22.95" customHeight="1" x14ac:dyDescent="0.25">
      <c r="A584" s="1" t="s">
        <v>759</v>
      </c>
      <c r="D584" s="3" t="s">
        <v>908</v>
      </c>
      <c r="E584" s="15" t="s">
        <v>55</v>
      </c>
      <c r="F584" s="15" t="s">
        <v>55</v>
      </c>
      <c r="G584" s="15" t="str">
        <f>IFERROR(VLOOKUP(D584,[5]成飞半成品!$A:$B,2,0),VLOOKUP(D584,[5]九院成本!$A$4:$B$48,2,0))</f>
        <v>接头</v>
      </c>
      <c r="H584" s="3" t="s">
        <v>80</v>
      </c>
      <c r="I584" s="3">
        <v>15</v>
      </c>
      <c r="J584" s="18" t="s">
        <v>1139</v>
      </c>
      <c r="L584" s="3">
        <v>15</v>
      </c>
      <c r="M584" s="19">
        <v>23</v>
      </c>
      <c r="N584" s="19">
        <v>23</v>
      </c>
      <c r="O584" s="5" t="s">
        <v>81</v>
      </c>
      <c r="P584" s="4">
        <v>30</v>
      </c>
      <c r="Q584" s="18">
        <v>30</v>
      </c>
      <c r="R584" s="3"/>
      <c r="S584" s="6"/>
      <c r="T584" s="22"/>
      <c r="V584" s="23">
        <v>7.5</v>
      </c>
      <c r="W584" s="24" t="s">
        <v>14</v>
      </c>
    </row>
    <row r="585" spans="1:25" ht="22.95" customHeight="1" x14ac:dyDescent="0.25">
      <c r="A585" s="1" t="s">
        <v>121</v>
      </c>
      <c r="D585" s="3" t="s">
        <v>1183</v>
      </c>
      <c r="E585" s="15" t="s">
        <v>814</v>
      </c>
      <c r="F585" s="15" t="s">
        <v>814</v>
      </c>
      <c r="G585" s="15" t="str">
        <f>IFERROR(VLOOKUP(D585,[5]成飞半成品!$A:$B,2,0),VLOOKUP(D585,[5]九院成本!$A$4:$B$48,2,0))</f>
        <v>支臂</v>
      </c>
      <c r="H585" s="3" t="s">
        <v>46</v>
      </c>
      <c r="I585" s="3">
        <v>50</v>
      </c>
      <c r="J585" s="18" t="s">
        <v>1077</v>
      </c>
      <c r="L585" s="3">
        <v>7</v>
      </c>
      <c r="M585" s="19">
        <v>30</v>
      </c>
      <c r="N585" s="19">
        <v>30</v>
      </c>
      <c r="O585" s="5" t="s">
        <v>474</v>
      </c>
      <c r="P585" s="4"/>
      <c r="Q585" s="18">
        <v>75</v>
      </c>
      <c r="R585" s="3"/>
      <c r="S585" s="6"/>
      <c r="T585" s="22"/>
      <c r="V585" s="23">
        <v>8.8000000000000007</v>
      </c>
      <c r="W585" s="24" t="s">
        <v>16</v>
      </c>
    </row>
    <row r="586" spans="1:25" ht="22.95" customHeight="1" x14ac:dyDescent="0.25">
      <c r="A586" s="1" t="s">
        <v>121</v>
      </c>
      <c r="D586" s="3" t="s">
        <v>909</v>
      </c>
      <c r="E586" s="15" t="s">
        <v>910</v>
      </c>
      <c r="F586" s="15" t="s">
        <v>910</v>
      </c>
      <c r="G586" s="15" t="str">
        <f>IFERROR(VLOOKUP(D586,[5]成飞半成品!$A:$B,2,0),VLOOKUP(D586,[5]九院成本!$A$4:$B$48,2,0))</f>
        <v>根肋一段</v>
      </c>
      <c r="H586" s="3" t="s">
        <v>64</v>
      </c>
      <c r="I586" s="3" t="s">
        <v>340</v>
      </c>
      <c r="J586" s="18" t="e">
        <v>#N/A</v>
      </c>
      <c r="L586" s="3">
        <v>8</v>
      </c>
      <c r="M586" s="19">
        <v>30</v>
      </c>
      <c r="N586" s="19">
        <v>30</v>
      </c>
      <c r="O586" s="5" t="s">
        <v>911</v>
      </c>
      <c r="P586" s="4"/>
      <c r="Q586" s="18">
        <v>120</v>
      </c>
      <c r="R586" s="3"/>
      <c r="S586" s="6"/>
      <c r="T586" s="22"/>
      <c r="V586" s="23">
        <v>16</v>
      </c>
      <c r="W586" s="24" t="s">
        <v>16</v>
      </c>
      <c r="X586" s="7" t="s">
        <v>912</v>
      </c>
      <c r="Y586" s="7" t="s">
        <v>203</v>
      </c>
    </row>
    <row r="587" spans="1:25" ht="22.95" customHeight="1" x14ac:dyDescent="0.25">
      <c r="A587" s="1" t="s">
        <v>121</v>
      </c>
      <c r="D587" s="3" t="s">
        <v>913</v>
      </c>
      <c r="E587" s="15" t="s">
        <v>914</v>
      </c>
      <c r="F587" s="15" t="s">
        <v>914</v>
      </c>
      <c r="G587" s="15" t="str">
        <f>IFERROR(VLOOKUP(D587,[5]成飞半成品!$A:$B,2,0),VLOOKUP(D587,[5]九院成本!$A$4:$B$48,2,0))</f>
        <v>前隔框</v>
      </c>
      <c r="H587" s="3" t="s">
        <v>64</v>
      </c>
      <c r="I587" s="3">
        <v>45</v>
      </c>
      <c r="J587" s="18" t="s">
        <v>1073</v>
      </c>
      <c r="L587" s="3">
        <v>12</v>
      </c>
      <c r="M587" s="19">
        <v>30</v>
      </c>
      <c r="N587" s="19">
        <v>30</v>
      </c>
      <c r="O587" s="5" t="s">
        <v>915</v>
      </c>
      <c r="P587" s="4"/>
      <c r="Q587" s="18">
        <v>60</v>
      </c>
      <c r="R587" s="3"/>
      <c r="S587" s="6"/>
      <c r="T587" s="22"/>
      <c r="V587" s="23">
        <v>12</v>
      </c>
      <c r="W587" s="24" t="s">
        <v>16</v>
      </c>
    </row>
    <row r="588" spans="1:25" ht="22.95" customHeight="1" x14ac:dyDescent="0.25">
      <c r="A588" s="1" t="s">
        <v>121</v>
      </c>
      <c r="D588" s="3" t="s">
        <v>916</v>
      </c>
      <c r="E588" s="15" t="s">
        <v>914</v>
      </c>
      <c r="F588" s="15" t="s">
        <v>914</v>
      </c>
      <c r="G588" s="15" t="str">
        <f>IFERROR(VLOOKUP(D588,[5]成飞半成品!$A:$B,2,0),VLOOKUP(D588,[5]九院成本!$A$4:$B$48,2,0))</f>
        <v>前隔框</v>
      </c>
      <c r="H588" s="3" t="s">
        <v>64</v>
      </c>
      <c r="I588" s="3">
        <v>45</v>
      </c>
      <c r="J588" s="18" t="s">
        <v>1073</v>
      </c>
      <c r="L588" s="3">
        <v>12</v>
      </c>
      <c r="M588" s="19">
        <v>30</v>
      </c>
      <c r="N588" s="19">
        <v>30</v>
      </c>
      <c r="O588" s="5" t="s">
        <v>915</v>
      </c>
      <c r="P588" s="4"/>
      <c r="Q588" s="18">
        <v>60</v>
      </c>
      <c r="R588" s="3"/>
      <c r="S588" s="6"/>
      <c r="T588" s="22"/>
      <c r="V588" s="23">
        <v>12</v>
      </c>
      <c r="W588" s="24" t="s">
        <v>16</v>
      </c>
    </row>
    <row r="589" spans="1:25" ht="22.95" customHeight="1" x14ac:dyDescent="0.25">
      <c r="A589" s="1" t="s">
        <v>48</v>
      </c>
      <c r="D589" s="3" t="s">
        <v>917</v>
      </c>
      <c r="E589" s="15" t="s">
        <v>918</v>
      </c>
      <c r="F589" s="15" t="s">
        <v>918</v>
      </c>
      <c r="G589" s="15" t="str">
        <f>IFERROR(VLOOKUP(D589,[5]成飞半成品!$A:$B,2,0),VLOOKUP(D589,[5]九院成本!$A$4:$B$48,2,0))</f>
        <v>樑</v>
      </c>
      <c r="H589" s="3" t="s">
        <v>46</v>
      </c>
      <c r="I589" s="3">
        <v>60</v>
      </c>
      <c r="J589" s="18" t="s">
        <v>1100</v>
      </c>
      <c r="L589" s="3">
        <v>8</v>
      </c>
      <c r="M589" s="19">
        <v>8</v>
      </c>
      <c r="N589" s="19">
        <v>8</v>
      </c>
      <c r="O589" s="5" t="s">
        <v>919</v>
      </c>
      <c r="P589" s="4"/>
      <c r="Q589" s="18">
        <v>240</v>
      </c>
      <c r="R589" s="3"/>
      <c r="S589" s="6"/>
      <c r="T589" s="22"/>
      <c r="V589" s="23">
        <v>32</v>
      </c>
      <c r="W589" s="24" t="s">
        <v>16</v>
      </c>
    </row>
    <row r="590" spans="1:25" ht="22.95" customHeight="1" x14ac:dyDescent="0.25">
      <c r="A590" s="1" t="s">
        <v>48</v>
      </c>
      <c r="D590" s="3" t="s">
        <v>1162</v>
      </c>
      <c r="E590" s="15" t="s">
        <v>921</v>
      </c>
      <c r="F590" s="15" t="s">
        <v>921</v>
      </c>
      <c r="G590" s="15" t="str">
        <f>IFERROR(VLOOKUP(D590,[5]成飞半成品!$A:$B,2,0),VLOOKUP(D590,[5]九院成本!$A$4:$B$48,2,0))</f>
        <v>工装</v>
      </c>
      <c r="H590" s="3" t="s">
        <v>80</v>
      </c>
      <c r="I590" s="3">
        <v>35</v>
      </c>
      <c r="J590" s="18" t="s">
        <v>1072</v>
      </c>
      <c r="L590" s="3">
        <v>5</v>
      </c>
      <c r="M590" s="19">
        <v>30</v>
      </c>
      <c r="N590" s="19">
        <v>30</v>
      </c>
      <c r="O590" s="5" t="s">
        <v>922</v>
      </c>
      <c r="P590" s="4"/>
      <c r="Q590" s="18">
        <v>90</v>
      </c>
      <c r="R590" s="3"/>
      <c r="S590" s="6"/>
      <c r="T590" s="22"/>
      <c r="V590" s="23">
        <v>7.5</v>
      </c>
      <c r="W590" s="24" t="s">
        <v>16</v>
      </c>
    </row>
    <row r="591" spans="1:25" ht="22.95" customHeight="1" x14ac:dyDescent="0.25">
      <c r="A591" s="1" t="s">
        <v>48</v>
      </c>
      <c r="D591" s="3" t="s">
        <v>640</v>
      </c>
      <c r="E591" s="15" t="s">
        <v>641</v>
      </c>
      <c r="F591" s="15" t="s">
        <v>641</v>
      </c>
      <c r="G591" s="15" t="str">
        <f>IFERROR(VLOOKUP(D591,[5]成飞半成品!$A:$B,2,0),VLOOKUP(D591,[5]九院成本!$A$4:$B$48,2,0))</f>
        <v>座子</v>
      </c>
      <c r="H591" s="3" t="s">
        <v>64</v>
      </c>
      <c r="I591" s="3" t="s">
        <v>340</v>
      </c>
      <c r="J591" s="18" t="e">
        <v>#N/A</v>
      </c>
      <c r="L591" s="3">
        <v>11</v>
      </c>
      <c r="M591" s="19">
        <v>30</v>
      </c>
      <c r="N591" s="19">
        <v>30</v>
      </c>
      <c r="O591" s="5" t="s">
        <v>56</v>
      </c>
      <c r="P591" s="4"/>
      <c r="Q591" s="18">
        <v>8</v>
      </c>
      <c r="R591" s="3"/>
      <c r="S591" s="6"/>
      <c r="T591" s="22"/>
      <c r="V591" s="23">
        <v>1.5</v>
      </c>
      <c r="W591" s="24" t="s">
        <v>16</v>
      </c>
      <c r="X591" s="7" t="s">
        <v>924</v>
      </c>
      <c r="Y591" s="7" t="s">
        <v>203</v>
      </c>
    </row>
    <row r="592" spans="1:25" ht="22.95" customHeight="1" x14ac:dyDescent="0.25">
      <c r="A592" s="1" t="s">
        <v>53</v>
      </c>
      <c r="D592" s="3" t="s">
        <v>1180</v>
      </c>
      <c r="E592" s="15" t="s">
        <v>399</v>
      </c>
      <c r="F592" s="15" t="s">
        <v>399</v>
      </c>
      <c r="G592" s="15" t="str">
        <f>IFERROR(VLOOKUP(D592,[5]成飞半成品!$A:$B,2,0),VLOOKUP(D592,[5]九院成本!$A$4:$B$48,2,0))</f>
        <v>根肋一段</v>
      </c>
      <c r="H592" s="3" t="s">
        <v>51</v>
      </c>
      <c r="I592" s="3">
        <v>60</v>
      </c>
      <c r="J592" s="18" t="s">
        <v>1100</v>
      </c>
      <c r="L592" s="3">
        <v>5</v>
      </c>
      <c r="M592" s="19">
        <v>30</v>
      </c>
      <c r="N592" s="19">
        <v>30</v>
      </c>
      <c r="O592" s="5" t="s">
        <v>926</v>
      </c>
      <c r="P592" s="4"/>
      <c r="Q592" s="18">
        <v>120</v>
      </c>
      <c r="R592" s="3"/>
      <c r="S592" s="6"/>
      <c r="T592" s="22"/>
      <c r="V592" s="23">
        <v>10</v>
      </c>
      <c r="W592" s="24" t="s">
        <v>16</v>
      </c>
    </row>
    <row r="593" spans="1:25" ht="22.95" customHeight="1" x14ac:dyDescent="0.25">
      <c r="A593" s="1" t="s">
        <v>53</v>
      </c>
      <c r="D593" s="3" t="s">
        <v>668</v>
      </c>
      <c r="E593" s="15" t="s">
        <v>254</v>
      </c>
      <c r="F593" s="15" t="s">
        <v>254</v>
      </c>
      <c r="G593" s="15" t="str">
        <f>IFERROR(VLOOKUP(D593,[5]成飞半成品!$A:$B,2,0),VLOOKUP(D593,[5]九院成本!$A$4:$B$48,2,0))</f>
        <v>支座</v>
      </c>
      <c r="H593" s="3" t="s">
        <v>80</v>
      </c>
      <c r="I593" s="3">
        <v>55</v>
      </c>
      <c r="J593" s="18" t="s">
        <v>1151</v>
      </c>
      <c r="L593" s="3">
        <v>2</v>
      </c>
      <c r="M593" s="19">
        <v>30</v>
      </c>
      <c r="N593" s="19">
        <v>30</v>
      </c>
      <c r="O593" s="5" t="s">
        <v>278</v>
      </c>
      <c r="P593" s="4"/>
      <c r="Q593" s="18">
        <v>90</v>
      </c>
      <c r="R593" s="3"/>
      <c r="S593" s="6"/>
      <c r="T593" s="22"/>
      <c r="V593" s="23">
        <v>3</v>
      </c>
      <c r="W593" s="24" t="s">
        <v>16</v>
      </c>
    </row>
    <row r="594" spans="1:25" ht="22.95" customHeight="1" x14ac:dyDescent="0.25">
      <c r="A594" s="1" t="s">
        <v>53</v>
      </c>
      <c r="D594" s="3" t="s">
        <v>927</v>
      </c>
      <c r="E594" s="15" t="s">
        <v>326</v>
      </c>
      <c r="F594" s="15" t="s">
        <v>326</v>
      </c>
      <c r="G594" s="15" t="str">
        <f>IFERROR(VLOOKUP(D594,[5]成飞半成品!$A:$B,2,0),VLOOKUP(D594,[5]九院成本!$A$4:$B$48,2,0))</f>
        <v>9010 4号加强筋</v>
      </c>
      <c r="H594" s="3" t="s">
        <v>114</v>
      </c>
      <c r="I594" s="3">
        <v>50</v>
      </c>
      <c r="J594" s="18" t="s">
        <v>1077</v>
      </c>
      <c r="L594" s="3">
        <v>1</v>
      </c>
      <c r="M594" s="19">
        <v>30</v>
      </c>
      <c r="N594" s="19">
        <v>30</v>
      </c>
      <c r="O594" s="5" t="s">
        <v>366</v>
      </c>
      <c r="P594" s="4"/>
      <c r="Q594" s="18">
        <v>420</v>
      </c>
      <c r="R594" s="3"/>
      <c r="S594" s="6"/>
      <c r="T594" s="22"/>
      <c r="V594" s="23">
        <v>7</v>
      </c>
      <c r="W594" s="24" t="s">
        <v>16</v>
      </c>
    </row>
    <row r="595" spans="1:25" ht="22.95" customHeight="1" x14ac:dyDescent="0.25">
      <c r="A595" s="1" t="s">
        <v>58</v>
      </c>
      <c r="D595" s="3" t="s">
        <v>928</v>
      </c>
      <c r="E595" s="15" t="s">
        <v>929</v>
      </c>
      <c r="F595" s="15" t="s">
        <v>929</v>
      </c>
      <c r="G595" s="15" t="str">
        <f>IFERROR(VLOOKUP(D595,[5]成飞半成品!$A:$B,2,0),VLOOKUP(D595,[5]九院成本!$A$4:$B$48,2,0))</f>
        <v>蒙皮加强件</v>
      </c>
      <c r="H595" s="3" t="s">
        <v>46</v>
      </c>
      <c r="I595" s="3">
        <v>45</v>
      </c>
      <c r="J595" s="18" t="s">
        <v>1073</v>
      </c>
      <c r="L595" s="3">
        <v>10</v>
      </c>
      <c r="M595" s="19">
        <v>30</v>
      </c>
      <c r="N595" s="19">
        <v>30</v>
      </c>
      <c r="O595" s="5" t="s">
        <v>474</v>
      </c>
      <c r="P595" s="4"/>
      <c r="Q595" s="18">
        <v>360</v>
      </c>
      <c r="R595" s="3"/>
      <c r="S595" s="6"/>
      <c r="T595" s="22"/>
      <c r="V595" s="23">
        <v>60</v>
      </c>
      <c r="W595" s="24" t="s">
        <v>16</v>
      </c>
    </row>
    <row r="596" spans="1:25" ht="22.95" customHeight="1" x14ac:dyDescent="0.25">
      <c r="A596" s="1" t="s">
        <v>65</v>
      </c>
      <c r="D596" s="3" t="s">
        <v>930</v>
      </c>
      <c r="E596" s="15" t="s">
        <v>931</v>
      </c>
      <c r="F596" s="15" t="s">
        <v>931</v>
      </c>
      <c r="G596" s="15" t="str">
        <f>IFERROR(VLOOKUP(D596,[5]成飞半成品!$A:$B,2,0),VLOOKUP(D596,[5]九院成本!$A$4:$B$48,2,0))</f>
        <v>7820~8270侧上梁</v>
      </c>
      <c r="H596" s="3" t="s">
        <v>46</v>
      </c>
      <c r="I596" s="3">
        <v>50</v>
      </c>
      <c r="J596" s="18" t="s">
        <v>1077</v>
      </c>
      <c r="L596" s="3">
        <v>10</v>
      </c>
      <c r="M596" s="19">
        <v>30</v>
      </c>
      <c r="N596" s="19">
        <v>30</v>
      </c>
      <c r="O596" s="5" t="s">
        <v>604</v>
      </c>
      <c r="P596" s="4"/>
      <c r="Q596" s="18">
        <v>180</v>
      </c>
      <c r="R596" s="3"/>
      <c r="S596" s="6"/>
      <c r="T596" s="22"/>
      <c r="V596" s="23">
        <v>30</v>
      </c>
      <c r="W596" s="24" t="s">
        <v>16</v>
      </c>
    </row>
    <row r="597" spans="1:25" ht="22.95" customHeight="1" x14ac:dyDescent="0.25">
      <c r="A597" s="1" t="s">
        <v>65</v>
      </c>
      <c r="D597" s="3" t="s">
        <v>592</v>
      </c>
      <c r="E597" s="15" t="s">
        <v>120</v>
      </c>
      <c r="F597" s="15" t="s">
        <v>120</v>
      </c>
      <c r="G597" s="15" t="str">
        <f>IFERROR(VLOOKUP(D597,[5]成飞半成品!$A:$B,2,0),VLOOKUP(D597,[5]九院成本!$A$4:$B$48,2,0))</f>
        <v>支架</v>
      </c>
      <c r="H597" s="3" t="s">
        <v>51</v>
      </c>
      <c r="I597" s="3">
        <v>55</v>
      </c>
      <c r="J597" s="18" t="s">
        <v>1086</v>
      </c>
      <c r="L597" s="3">
        <v>2</v>
      </c>
      <c r="M597" s="19">
        <v>30</v>
      </c>
      <c r="N597" s="19">
        <v>30</v>
      </c>
      <c r="O597" s="5" t="s">
        <v>508</v>
      </c>
      <c r="P597" s="4"/>
      <c r="Q597" s="18">
        <v>30</v>
      </c>
      <c r="R597" s="3"/>
      <c r="S597" s="6"/>
      <c r="T597" s="22"/>
      <c r="V597" s="23">
        <v>1</v>
      </c>
      <c r="W597" s="24" t="s">
        <v>16</v>
      </c>
    </row>
    <row r="598" spans="1:25" ht="22.95" customHeight="1" x14ac:dyDescent="0.25">
      <c r="A598" s="1" t="s">
        <v>74</v>
      </c>
      <c r="D598" s="3" t="s">
        <v>930</v>
      </c>
      <c r="E598" s="15" t="s">
        <v>931</v>
      </c>
      <c r="F598" s="15" t="s">
        <v>931</v>
      </c>
      <c r="G598" s="15" t="str">
        <f>IFERROR(VLOOKUP(D598,[5]成飞半成品!$A:$B,2,0),VLOOKUP(D598,[5]九院成本!$A$4:$B$48,2,0))</f>
        <v>7820~8270侧上梁</v>
      </c>
      <c r="H598" s="3" t="s">
        <v>46</v>
      </c>
      <c r="I598" s="3" t="s">
        <v>340</v>
      </c>
      <c r="J598" s="18" t="e">
        <v>#N/A</v>
      </c>
      <c r="L598" s="3">
        <v>4</v>
      </c>
      <c r="M598" s="19">
        <v>30</v>
      </c>
      <c r="N598" s="19">
        <v>30</v>
      </c>
      <c r="O598" s="5" t="s">
        <v>932</v>
      </c>
      <c r="P598" s="4"/>
      <c r="Q598" s="18">
        <v>60</v>
      </c>
      <c r="R598" s="3"/>
      <c r="S598" s="6"/>
      <c r="T598" s="22"/>
      <c r="V598" s="23">
        <v>4</v>
      </c>
      <c r="W598" s="24" t="s">
        <v>16</v>
      </c>
      <c r="X598" s="7" t="s">
        <v>471</v>
      </c>
      <c r="Y598" s="7" t="s">
        <v>203</v>
      </c>
    </row>
    <row r="599" spans="1:25" ht="22.95" customHeight="1" x14ac:dyDescent="0.25">
      <c r="A599" s="1" t="s">
        <v>74</v>
      </c>
      <c r="D599" s="3" t="s">
        <v>486</v>
      </c>
      <c r="E599" s="15" t="s">
        <v>487</v>
      </c>
      <c r="F599" s="15" t="s">
        <v>487</v>
      </c>
      <c r="G599" s="15" t="str">
        <f>IFERROR(VLOOKUP(D599,[5]成飞半成品!$A:$B,2,0),VLOOKUP(D599,[5]九院成本!$A$4:$B$48,2,0))</f>
        <v>油箱底板（中）</v>
      </c>
      <c r="H599" s="3" t="s">
        <v>46</v>
      </c>
      <c r="I599" s="3">
        <v>60</v>
      </c>
      <c r="J599" s="18" t="s">
        <v>1100</v>
      </c>
      <c r="L599" s="3">
        <v>3</v>
      </c>
      <c r="M599" s="19">
        <v>30</v>
      </c>
      <c r="N599" s="19">
        <v>30</v>
      </c>
      <c r="O599" s="5" t="s">
        <v>322</v>
      </c>
      <c r="P599" s="4"/>
      <c r="Q599" s="18">
        <v>240</v>
      </c>
      <c r="R599" s="3"/>
      <c r="S599" s="6"/>
      <c r="T599" s="22"/>
      <c r="V599" s="23">
        <v>12</v>
      </c>
      <c r="W599" s="24" t="s">
        <v>16</v>
      </c>
    </row>
    <row r="600" spans="1:25" ht="22.95" customHeight="1" x14ac:dyDescent="0.25">
      <c r="A600" s="1" t="s">
        <v>82</v>
      </c>
      <c r="D600" s="3" t="s">
        <v>867</v>
      </c>
      <c r="E600" s="15" t="s">
        <v>490</v>
      </c>
      <c r="F600" s="15" t="s">
        <v>490</v>
      </c>
      <c r="G600" s="15" t="str">
        <f>IFERROR(VLOOKUP(D600,[5]成飞半成品!$A:$B,2,0),VLOOKUP(D600,[5]九院成本!$A$4:$B$48,2,0))</f>
        <v>8815 4号加强筋</v>
      </c>
      <c r="H600" s="3" t="s">
        <v>147</v>
      </c>
      <c r="I600" s="3">
        <v>40</v>
      </c>
      <c r="J600" s="18" t="s">
        <v>1069</v>
      </c>
      <c r="L600" s="3">
        <v>1</v>
      </c>
      <c r="M600" s="19">
        <v>30</v>
      </c>
      <c r="N600" s="19">
        <v>30</v>
      </c>
      <c r="O600" s="5" t="s">
        <v>491</v>
      </c>
      <c r="P600" s="4"/>
      <c r="Q600" s="18">
        <v>480</v>
      </c>
      <c r="R600" s="3"/>
      <c r="S600" s="6"/>
      <c r="T600" s="22"/>
      <c r="V600" s="23">
        <v>8</v>
      </c>
      <c r="W600" s="24" t="s">
        <v>16</v>
      </c>
    </row>
    <row r="601" spans="1:25" ht="22.95" customHeight="1" x14ac:dyDescent="0.25">
      <c r="A601" s="1" t="s">
        <v>82</v>
      </c>
      <c r="D601" s="3" t="s">
        <v>933</v>
      </c>
      <c r="E601" s="15" t="s">
        <v>396</v>
      </c>
      <c r="F601" s="15" t="s">
        <v>396</v>
      </c>
      <c r="G601" s="15" t="str">
        <f>IFERROR(VLOOKUP(D601,[5]成飞半成品!$A:$B,2,0),VLOOKUP(D601,[5]九院成本!$A$4:$B$48,2,0))</f>
        <v>角片</v>
      </c>
      <c r="H601" s="3" t="s">
        <v>46</v>
      </c>
      <c r="I601" s="3">
        <v>35</v>
      </c>
      <c r="J601" s="18" t="s">
        <v>1072</v>
      </c>
      <c r="L601" s="3">
        <v>12</v>
      </c>
      <c r="M601" s="19">
        <v>30</v>
      </c>
      <c r="N601" s="19">
        <v>30</v>
      </c>
      <c r="O601" s="5" t="s">
        <v>934</v>
      </c>
      <c r="P601" s="4"/>
      <c r="Q601" s="18">
        <v>30</v>
      </c>
      <c r="R601" s="3"/>
      <c r="S601" s="6"/>
      <c r="T601" s="22"/>
      <c r="V601" s="23">
        <v>6</v>
      </c>
      <c r="W601" s="24" t="s">
        <v>16</v>
      </c>
    </row>
    <row r="602" spans="1:25" ht="22.95" customHeight="1" x14ac:dyDescent="0.25">
      <c r="A602" s="1" t="s">
        <v>89</v>
      </c>
      <c r="D602" s="3" t="s">
        <v>1181</v>
      </c>
      <c r="E602" s="15" t="s">
        <v>426</v>
      </c>
      <c r="F602" s="15" t="s">
        <v>426</v>
      </c>
      <c r="G602" s="15" t="str">
        <f>IFERROR(VLOOKUP(D602,[5]成飞半成品!$A:$B,2,0),VLOOKUP(D602,[5]九院成本!$A$4:$B$48,2,0))</f>
        <v>4号上壁板（右件）</v>
      </c>
      <c r="H602" s="3" t="s">
        <v>51</v>
      </c>
      <c r="I602" s="3">
        <v>20</v>
      </c>
      <c r="J602" s="18" t="s">
        <v>1105</v>
      </c>
      <c r="L602" s="3">
        <v>4</v>
      </c>
      <c r="M602" s="19">
        <v>30</v>
      </c>
      <c r="N602" s="19">
        <v>30</v>
      </c>
      <c r="O602" s="5" t="s">
        <v>935</v>
      </c>
      <c r="P602" s="4"/>
      <c r="Q602" s="18">
        <v>120</v>
      </c>
      <c r="R602" s="3"/>
      <c r="S602" s="6"/>
      <c r="T602" s="22"/>
      <c r="V602" s="23">
        <v>8</v>
      </c>
      <c r="W602" s="24" t="s">
        <v>16</v>
      </c>
    </row>
    <row r="603" spans="1:25" ht="22.95" customHeight="1" x14ac:dyDescent="0.25">
      <c r="A603" s="1" t="s">
        <v>89</v>
      </c>
      <c r="D603" s="3" t="s">
        <v>423</v>
      </c>
      <c r="E603" s="15" t="s">
        <v>302</v>
      </c>
      <c r="F603" s="15" t="s">
        <v>302</v>
      </c>
      <c r="G603" s="15" t="str">
        <f>IFERROR(VLOOKUP(D603,[5]成飞半成品!$A:$B,2,0),VLOOKUP(D603,[5]九院成本!$A$4:$B$48,2,0))</f>
        <v>角盒</v>
      </c>
      <c r="H603" s="3" t="s">
        <v>46</v>
      </c>
      <c r="I603" s="3">
        <v>35</v>
      </c>
      <c r="J603" s="18" t="s">
        <v>1075</v>
      </c>
      <c r="L603" s="3">
        <v>1</v>
      </c>
      <c r="M603" s="19">
        <v>30</v>
      </c>
      <c r="N603" s="19">
        <v>30</v>
      </c>
      <c r="O603" s="5" t="s">
        <v>389</v>
      </c>
      <c r="P603" s="4"/>
      <c r="Q603" s="18">
        <v>150</v>
      </c>
      <c r="R603" s="3"/>
      <c r="S603" s="6"/>
      <c r="T603" s="22"/>
      <c r="V603" s="23">
        <v>2.5</v>
      </c>
      <c r="W603" s="24" t="s">
        <v>16</v>
      </c>
    </row>
    <row r="604" spans="1:25" ht="22.95" customHeight="1" x14ac:dyDescent="0.25">
      <c r="A604" s="1" t="s">
        <v>89</v>
      </c>
      <c r="D604" s="3" t="s">
        <v>1181</v>
      </c>
      <c r="E604" s="15" t="s">
        <v>426</v>
      </c>
      <c r="F604" s="15" t="s">
        <v>426</v>
      </c>
      <c r="G604" s="15" t="str">
        <f>IFERROR(VLOOKUP(D604,[5]成飞半成品!$A:$B,2,0),VLOOKUP(D604,[5]九院成本!$A$4:$B$48,2,0))</f>
        <v>4号上壁板（右件）</v>
      </c>
      <c r="H604" s="3" t="s">
        <v>51</v>
      </c>
      <c r="I604" s="3">
        <v>20</v>
      </c>
      <c r="J604" s="18" t="s">
        <v>1105</v>
      </c>
      <c r="L604" s="3">
        <v>2</v>
      </c>
      <c r="M604" s="19">
        <v>30</v>
      </c>
      <c r="N604" s="19">
        <v>30</v>
      </c>
      <c r="O604" s="5" t="s">
        <v>435</v>
      </c>
      <c r="P604" s="4"/>
      <c r="Q604" s="18">
        <v>120</v>
      </c>
      <c r="R604" s="3"/>
      <c r="S604" s="6"/>
      <c r="T604" s="22"/>
      <c r="V604" s="23">
        <v>4</v>
      </c>
      <c r="W604" s="24" t="s">
        <v>16</v>
      </c>
    </row>
    <row r="605" spans="1:25" ht="22.95" customHeight="1" x14ac:dyDescent="0.25">
      <c r="A605" s="1" t="s">
        <v>89</v>
      </c>
      <c r="D605" s="3" t="s">
        <v>1182</v>
      </c>
      <c r="E605" s="15" t="s">
        <v>434</v>
      </c>
      <c r="F605" s="15" t="s">
        <v>434</v>
      </c>
      <c r="G605" s="15" t="str">
        <f>IFERROR(VLOOKUP(D605,[5]成飞半成品!$A:$B,2,0),VLOOKUP(D605,[5]九院成本!$A$4:$B$48,2,0))</f>
        <v>4号上壁板（左件）</v>
      </c>
      <c r="H605" s="3" t="s">
        <v>51</v>
      </c>
      <c r="I605" s="3">
        <v>20</v>
      </c>
      <c r="J605" s="18" t="s">
        <v>1105</v>
      </c>
      <c r="L605" s="3">
        <v>4</v>
      </c>
      <c r="M605" s="19">
        <v>30</v>
      </c>
      <c r="N605" s="19">
        <v>30</v>
      </c>
      <c r="O605" s="5" t="s">
        <v>935</v>
      </c>
      <c r="P605" s="4"/>
      <c r="Q605" s="18">
        <v>120</v>
      </c>
      <c r="R605" s="3"/>
      <c r="S605" s="6"/>
      <c r="T605" s="22"/>
      <c r="V605" s="23">
        <v>8</v>
      </c>
      <c r="W605" s="24" t="s">
        <v>16</v>
      </c>
    </row>
    <row r="606" spans="1:25" ht="22.95" customHeight="1" x14ac:dyDescent="0.25">
      <c r="A606" s="1" t="s">
        <v>100</v>
      </c>
      <c r="D606" s="3" t="s">
        <v>436</v>
      </c>
      <c r="E606" s="15" t="s">
        <v>437</v>
      </c>
      <c r="F606" s="15" t="s">
        <v>437</v>
      </c>
      <c r="G606" s="15" t="str">
        <f>IFERROR(VLOOKUP(D606,[5]成飞半成品!$A:$B,2,0),VLOOKUP(D606,[5]九院成本!$A$4:$B$48,2,0))</f>
        <v>10150侧隔框</v>
      </c>
      <c r="H606" s="3" t="s">
        <v>51</v>
      </c>
      <c r="I606" s="3">
        <v>55</v>
      </c>
      <c r="J606" s="18" t="s">
        <v>1086</v>
      </c>
      <c r="L606" s="3">
        <v>3</v>
      </c>
      <c r="M606" s="19">
        <v>30</v>
      </c>
      <c r="N606" s="19">
        <v>30</v>
      </c>
      <c r="O606" s="5" t="s">
        <v>936</v>
      </c>
      <c r="P606" s="4"/>
      <c r="Q606" s="18">
        <v>480</v>
      </c>
      <c r="R606" s="3"/>
      <c r="S606" s="6"/>
      <c r="T606" s="22"/>
      <c r="V606" s="23">
        <v>24</v>
      </c>
      <c r="W606" s="24" t="s">
        <v>16</v>
      </c>
    </row>
    <row r="607" spans="1:25" ht="22.95" customHeight="1" x14ac:dyDescent="0.25">
      <c r="A607" s="1" t="s">
        <v>100</v>
      </c>
      <c r="D607" s="3" t="s">
        <v>933</v>
      </c>
      <c r="E607" s="15" t="s">
        <v>396</v>
      </c>
      <c r="F607" s="15" t="s">
        <v>396</v>
      </c>
      <c r="G607" s="15" t="str">
        <f>IFERROR(VLOOKUP(D607,[5]成飞半成品!$A:$B,2,0),VLOOKUP(D607,[5]九院成本!$A$4:$B$48,2,0))</f>
        <v>角片</v>
      </c>
      <c r="H607" s="3" t="s">
        <v>46</v>
      </c>
      <c r="I607" s="3" t="s">
        <v>340</v>
      </c>
      <c r="J607" s="18" t="e">
        <v>#N/A</v>
      </c>
      <c r="L607" s="3">
        <v>8</v>
      </c>
      <c r="M607" s="19">
        <v>30</v>
      </c>
      <c r="N607" s="19">
        <v>30</v>
      </c>
      <c r="O607" s="5" t="s">
        <v>937</v>
      </c>
      <c r="P607" s="4"/>
      <c r="Q607" s="18">
        <v>30</v>
      </c>
      <c r="R607" s="3"/>
      <c r="S607" s="6"/>
      <c r="T607" s="22"/>
      <c r="V607" s="23">
        <v>4</v>
      </c>
      <c r="W607" s="24" t="s">
        <v>16</v>
      </c>
      <c r="X607" s="7" t="s">
        <v>467</v>
      </c>
      <c r="Y607" s="7" t="s">
        <v>203</v>
      </c>
    </row>
    <row r="608" spans="1:25" ht="22.95" customHeight="1" x14ac:dyDescent="0.25">
      <c r="A608" s="1" t="s">
        <v>103</v>
      </c>
      <c r="D608" s="3" t="s">
        <v>938</v>
      </c>
      <c r="E608" s="15" t="s">
        <v>939</v>
      </c>
      <c r="F608" s="15" t="s">
        <v>939</v>
      </c>
      <c r="G608" s="15" t="str">
        <f>IFERROR(VLOOKUP(D608,[5]成飞半成品!$A:$B,2,0),VLOOKUP(D608,[5]九院成本!$A$4:$B$48,2,0))</f>
        <v>中推力销支座接头</v>
      </c>
      <c r="H608" s="3" t="s">
        <v>46</v>
      </c>
      <c r="I608" s="3">
        <v>70</v>
      </c>
      <c r="J608" s="18" t="s">
        <v>1103</v>
      </c>
      <c r="L608" s="3">
        <v>1</v>
      </c>
      <c r="M608" s="19">
        <v>30</v>
      </c>
      <c r="N608" s="19">
        <v>30</v>
      </c>
      <c r="O608" s="5" t="s">
        <v>389</v>
      </c>
      <c r="P608" s="4"/>
      <c r="Q608" s="18">
        <v>360</v>
      </c>
      <c r="R608" s="3"/>
      <c r="S608" s="6"/>
      <c r="T608" s="22"/>
      <c r="V608" s="23">
        <v>6</v>
      </c>
      <c r="W608" s="24" t="s">
        <v>16</v>
      </c>
    </row>
    <row r="609" spans="1:25" ht="22.95" customHeight="1" x14ac:dyDescent="0.25">
      <c r="A609" s="1" t="s">
        <v>109</v>
      </c>
      <c r="D609" s="3" t="s">
        <v>940</v>
      </c>
      <c r="E609" s="15" t="s">
        <v>635</v>
      </c>
      <c r="F609" s="15" t="s">
        <v>635</v>
      </c>
      <c r="G609" s="15" t="str">
        <f>IFERROR(VLOOKUP(D609,[5]成飞半成品!$A:$B,2,0),VLOOKUP(D609,[5]九院成本!$A$4:$B$48,2,0))</f>
        <v>纵向加强件</v>
      </c>
      <c r="H609" s="3" t="s">
        <v>64</v>
      </c>
      <c r="I609" s="3">
        <v>60</v>
      </c>
      <c r="J609" s="18" t="s">
        <v>1100</v>
      </c>
      <c r="L609" s="3">
        <v>1</v>
      </c>
      <c r="M609" s="19">
        <v>30</v>
      </c>
      <c r="N609" s="19">
        <v>30</v>
      </c>
      <c r="O609" s="5" t="s">
        <v>636</v>
      </c>
      <c r="P609" s="4"/>
      <c r="Q609" s="18">
        <v>360</v>
      </c>
      <c r="R609" s="3"/>
      <c r="S609" s="6"/>
      <c r="T609" s="22"/>
      <c r="V609" s="23">
        <v>6</v>
      </c>
      <c r="W609" s="24" t="s">
        <v>16</v>
      </c>
    </row>
    <row r="610" spans="1:25" ht="22.95" customHeight="1" x14ac:dyDescent="0.25">
      <c r="A610" s="1" t="s">
        <v>109</v>
      </c>
      <c r="D610" s="3" t="s">
        <v>448</v>
      </c>
      <c r="E610" s="15" t="s">
        <v>449</v>
      </c>
      <c r="F610" s="15" t="s">
        <v>449</v>
      </c>
      <c r="G610" s="15" t="str">
        <f>IFERROR(VLOOKUP(D610,[5]成飞半成品!$A:$B,2,0),VLOOKUP(D610,[5]九院成本!$A$4:$B$48,2,0))</f>
        <v>带板</v>
      </c>
      <c r="H610" s="3" t="s">
        <v>51</v>
      </c>
      <c r="I610" s="3">
        <v>40</v>
      </c>
      <c r="J610" s="18" t="s">
        <v>1069</v>
      </c>
      <c r="L610" s="3">
        <v>10</v>
      </c>
      <c r="M610" s="19">
        <v>30</v>
      </c>
      <c r="N610" s="19">
        <v>30</v>
      </c>
      <c r="O610" s="5" t="s">
        <v>604</v>
      </c>
      <c r="P610" s="4"/>
      <c r="Q610" s="18">
        <v>180</v>
      </c>
      <c r="R610" s="3"/>
      <c r="S610" s="6"/>
      <c r="T610" s="22"/>
      <c r="V610" s="23">
        <v>30</v>
      </c>
      <c r="W610" s="24" t="s">
        <v>16</v>
      </c>
    </row>
    <row r="611" spans="1:25" ht="22.95" customHeight="1" x14ac:dyDescent="0.25">
      <c r="A611" s="1" t="s">
        <v>116</v>
      </c>
      <c r="D611" s="3" t="s">
        <v>489</v>
      </c>
      <c r="E611" s="15" t="s">
        <v>490</v>
      </c>
      <c r="F611" s="15" t="s">
        <v>490</v>
      </c>
      <c r="G611" s="15" t="str">
        <f>IFERROR(VLOOKUP(D611,[5]成飞半成品!$A:$B,2,0),VLOOKUP(D611,[5]九院成本!$A$4:$B$48,2,0))</f>
        <v>8815 4号加强筋</v>
      </c>
      <c r="H611" s="3" t="s">
        <v>147</v>
      </c>
      <c r="I611" s="3">
        <v>40</v>
      </c>
      <c r="J611" s="18" t="s">
        <v>1069</v>
      </c>
      <c r="L611" s="3">
        <v>3</v>
      </c>
      <c r="M611" s="19">
        <v>30</v>
      </c>
      <c r="N611" s="19">
        <v>30</v>
      </c>
      <c r="O611" s="5" t="s">
        <v>941</v>
      </c>
      <c r="P611" s="4"/>
      <c r="Q611" s="18">
        <v>480</v>
      </c>
      <c r="R611" s="3"/>
      <c r="S611" s="6"/>
      <c r="T611" s="22"/>
      <c r="V611" s="23">
        <v>24</v>
      </c>
      <c r="W611" s="24" t="s">
        <v>16</v>
      </c>
    </row>
    <row r="612" spans="1:25" ht="22.95" customHeight="1" x14ac:dyDescent="0.25">
      <c r="A612" s="1" t="s">
        <v>562</v>
      </c>
      <c r="D612" s="3" t="s">
        <v>489</v>
      </c>
      <c r="E612" s="15" t="s">
        <v>490</v>
      </c>
      <c r="F612" s="15" t="s">
        <v>490</v>
      </c>
      <c r="G612" s="15" t="str">
        <f>IFERROR(VLOOKUP(D612,[5]成飞半成品!$A:$B,2,0),VLOOKUP(D612,[5]九院成本!$A$4:$B$48,2,0))</f>
        <v>8815 4号加强筋</v>
      </c>
      <c r="H612" s="3" t="s">
        <v>147</v>
      </c>
      <c r="I612" s="3">
        <v>40</v>
      </c>
      <c r="J612" s="18" t="s">
        <v>1069</v>
      </c>
      <c r="L612" s="3">
        <v>2</v>
      </c>
      <c r="M612" s="19">
        <v>30</v>
      </c>
      <c r="N612" s="19">
        <v>30</v>
      </c>
      <c r="O612" s="5" t="s">
        <v>622</v>
      </c>
      <c r="P612" s="4"/>
      <c r="Q612" s="18">
        <v>480</v>
      </c>
      <c r="R612" s="3"/>
      <c r="S612" s="6"/>
      <c r="T612" s="22"/>
      <c r="V612" s="23">
        <v>16</v>
      </c>
      <c r="W612" s="24" t="s">
        <v>16</v>
      </c>
    </row>
    <row r="613" spans="1:25" ht="22.95" customHeight="1" x14ac:dyDescent="0.25">
      <c r="A613" s="1" t="s">
        <v>562</v>
      </c>
      <c r="D613" s="3" t="s">
        <v>489</v>
      </c>
      <c r="E613" s="15" t="s">
        <v>490</v>
      </c>
      <c r="F613" s="15" t="s">
        <v>490</v>
      </c>
      <c r="G613" s="15" t="str">
        <f>IFERROR(VLOOKUP(D613,[5]成飞半成品!$A:$B,2,0),VLOOKUP(D613,[5]九院成本!$A$4:$B$48,2,0))</f>
        <v>8815 4号加强筋</v>
      </c>
      <c r="H613" s="3" t="s">
        <v>147</v>
      </c>
      <c r="I613" s="3" t="s">
        <v>340</v>
      </c>
      <c r="J613" s="18" t="e">
        <v>#N/A</v>
      </c>
      <c r="L613" s="3">
        <v>3</v>
      </c>
      <c r="M613" s="19">
        <v>30</v>
      </c>
      <c r="N613" s="19">
        <v>30</v>
      </c>
      <c r="O613" s="5" t="s">
        <v>408</v>
      </c>
      <c r="P613" s="4"/>
      <c r="Q613" s="18">
        <v>60</v>
      </c>
      <c r="R613" s="3"/>
      <c r="S613" s="6"/>
      <c r="T613" s="22"/>
      <c r="V613" s="23">
        <v>3</v>
      </c>
      <c r="W613" s="24" t="s">
        <v>16</v>
      </c>
      <c r="X613" s="7" t="s">
        <v>471</v>
      </c>
      <c r="Y613" s="7" t="s">
        <v>203</v>
      </c>
    </row>
    <row r="614" spans="1:25" ht="22.95" customHeight="1" x14ac:dyDescent="0.25">
      <c r="A614" s="1" t="s">
        <v>562</v>
      </c>
      <c r="D614" s="3" t="s">
        <v>942</v>
      </c>
      <c r="E614" s="15" t="s">
        <v>943</v>
      </c>
      <c r="F614" s="15" t="e">
        <v>#N/A</v>
      </c>
      <c r="G614" s="15" t="e">
        <f>IFERROR(VLOOKUP(D614,[5]成飞半成品!$A:$B,2,0),VLOOKUP(D614,[5]九院成本!$A$4:$B$48,2,0))</f>
        <v>#N/A</v>
      </c>
      <c r="H614" s="3" t="s">
        <v>64</v>
      </c>
      <c r="I614" s="3">
        <v>40</v>
      </c>
      <c r="J614" s="18" t="s">
        <v>1069</v>
      </c>
      <c r="L614" s="3">
        <v>22</v>
      </c>
      <c r="M614" s="19">
        <v>30</v>
      </c>
      <c r="N614" s="19">
        <v>30</v>
      </c>
      <c r="O614" s="5" t="s">
        <v>944</v>
      </c>
      <c r="P614" s="4"/>
      <c r="Q614" s="18">
        <v>30</v>
      </c>
      <c r="R614" s="3"/>
      <c r="S614" s="6"/>
      <c r="T614" s="22"/>
      <c r="V614" s="23">
        <v>11</v>
      </c>
      <c r="W614" s="24" t="s">
        <v>16</v>
      </c>
    </row>
    <row r="615" spans="1:25" ht="22.95" customHeight="1" x14ac:dyDescent="0.25">
      <c r="A615" s="1" t="s">
        <v>759</v>
      </c>
      <c r="D615" s="3" t="s">
        <v>942</v>
      </c>
      <c r="E615" s="15" t="s">
        <v>943</v>
      </c>
      <c r="F615" s="15" t="e">
        <v>#N/A</v>
      </c>
      <c r="G615" s="15" t="e">
        <f>IFERROR(VLOOKUP(D615,[5]成飞半成品!$A:$B,2,0),VLOOKUP(D615,[5]九院成本!$A$4:$B$48,2,0))</f>
        <v>#N/A</v>
      </c>
      <c r="H615" s="3" t="s">
        <v>64</v>
      </c>
      <c r="I615" s="3">
        <v>40</v>
      </c>
      <c r="J615" s="18" t="s">
        <v>1069</v>
      </c>
      <c r="L615" s="3">
        <v>22</v>
      </c>
      <c r="M615" s="19">
        <v>30</v>
      </c>
      <c r="N615" s="19">
        <v>30</v>
      </c>
      <c r="O615" s="5" t="s">
        <v>944</v>
      </c>
      <c r="P615" s="4"/>
      <c r="Q615" s="18">
        <v>30</v>
      </c>
      <c r="R615" s="3"/>
      <c r="S615" s="6"/>
      <c r="T615" s="22"/>
      <c r="V615" s="23">
        <v>11</v>
      </c>
      <c r="W615" s="24" t="s">
        <v>16</v>
      </c>
    </row>
    <row r="616" spans="1:25" ht="22.95" customHeight="1" x14ac:dyDescent="0.25">
      <c r="A616" s="1" t="s">
        <v>759</v>
      </c>
      <c r="D616" s="3" t="s">
        <v>945</v>
      </c>
      <c r="E616" s="15" t="s">
        <v>946</v>
      </c>
      <c r="F616" s="15" t="s">
        <v>946</v>
      </c>
      <c r="G616" s="15" t="str">
        <f>IFERROR(VLOOKUP(D616,[5]成飞半成品!$A:$B,2,0),VLOOKUP(D616,[5]九院成本!$A$4:$B$48,2,0))</f>
        <v>球形杯</v>
      </c>
      <c r="H616" s="3" t="s">
        <v>80</v>
      </c>
      <c r="I616" s="3">
        <v>20</v>
      </c>
      <c r="J616" s="18" t="s">
        <v>1105</v>
      </c>
      <c r="L616" s="3">
        <v>17</v>
      </c>
      <c r="M616" s="19">
        <v>30</v>
      </c>
      <c r="N616" s="19">
        <v>30</v>
      </c>
      <c r="O616" s="5" t="s">
        <v>81</v>
      </c>
      <c r="P616" s="4"/>
      <c r="Q616" s="18">
        <v>50</v>
      </c>
      <c r="R616" s="3"/>
      <c r="S616" s="6"/>
      <c r="T616" s="22"/>
      <c r="V616" s="23">
        <v>14.2</v>
      </c>
      <c r="W616" s="24" t="s">
        <v>16</v>
      </c>
    </row>
    <row r="617" spans="1:25" ht="22.95" customHeight="1" x14ac:dyDescent="0.25">
      <c r="A617" s="1" t="s">
        <v>759</v>
      </c>
      <c r="D617" s="3" t="s">
        <v>947</v>
      </c>
      <c r="E617" s="15" t="s">
        <v>55</v>
      </c>
      <c r="F617" s="15" t="s">
        <v>55</v>
      </c>
      <c r="G617" s="15" t="str">
        <f>IFERROR(VLOOKUP(D617,[5]成飞半成品!$A:$B,2,0),VLOOKUP(D617,[5]九院成本!$A$4:$B$48,2,0))</f>
        <v>接头</v>
      </c>
      <c r="H617" s="3" t="s">
        <v>80</v>
      </c>
      <c r="I617" s="3">
        <v>30</v>
      </c>
      <c r="J617" s="18" t="s">
        <v>1079</v>
      </c>
      <c r="L617" s="3">
        <v>1</v>
      </c>
      <c r="M617" s="19">
        <v>30</v>
      </c>
      <c r="N617" s="19">
        <v>30</v>
      </c>
      <c r="O617" s="5" t="s">
        <v>81</v>
      </c>
      <c r="P617" s="4"/>
      <c r="Q617" s="18">
        <v>30</v>
      </c>
      <c r="R617" s="3"/>
      <c r="S617" s="6"/>
      <c r="T617" s="22"/>
      <c r="V617" s="23">
        <v>0.5</v>
      </c>
      <c r="W617" s="24" t="s">
        <v>16</v>
      </c>
    </row>
    <row r="618" spans="1:25" ht="22.95" customHeight="1" x14ac:dyDescent="0.25">
      <c r="A618" s="1" t="s">
        <v>759</v>
      </c>
      <c r="D618" s="3" t="s">
        <v>870</v>
      </c>
      <c r="E618" s="15" t="s">
        <v>871</v>
      </c>
      <c r="F618" s="15" t="s">
        <v>871</v>
      </c>
      <c r="G618" s="15" t="str">
        <f>IFERROR(VLOOKUP(D618,[5]成飞半成品!$A:$B,2,0),VLOOKUP(D618,[5]九院成本!$A$4:$B$48,2,0))</f>
        <v>上边肋</v>
      </c>
      <c r="H618" s="3" t="s">
        <v>147</v>
      </c>
      <c r="I618" s="3">
        <v>65</v>
      </c>
      <c r="J618" s="18" t="s">
        <v>1091</v>
      </c>
      <c r="L618" s="3">
        <v>2</v>
      </c>
      <c r="M618" s="19">
        <v>30</v>
      </c>
      <c r="N618" s="19">
        <v>30</v>
      </c>
      <c r="O618" s="5" t="s">
        <v>948</v>
      </c>
      <c r="P618" s="4"/>
      <c r="Q618" s="18">
        <v>240</v>
      </c>
      <c r="R618" s="3"/>
      <c r="S618" s="6"/>
      <c r="T618" s="22"/>
      <c r="V618" s="23">
        <v>8</v>
      </c>
      <c r="W618" s="24" t="s">
        <v>16</v>
      </c>
    </row>
    <row r="619" spans="1:25" ht="22.95" customHeight="1" x14ac:dyDescent="0.25">
      <c r="A619" s="1" t="s">
        <v>764</v>
      </c>
      <c r="D619" s="3" t="s">
        <v>858</v>
      </c>
      <c r="E619" s="15" t="s">
        <v>859</v>
      </c>
      <c r="F619" s="15" t="s">
        <v>859</v>
      </c>
      <c r="G619" s="15" t="str">
        <f>IFERROR(VLOOKUP(D619,[5]成飞半成品!$A:$B,2,0),VLOOKUP(D619,[5]九院成本!$A$4:$B$48,2,0))</f>
        <v>1150肋根肋</v>
      </c>
      <c r="H619" s="3" t="s">
        <v>290</v>
      </c>
      <c r="I619" s="3">
        <v>70</v>
      </c>
      <c r="J619" s="18" t="s">
        <v>1103</v>
      </c>
      <c r="L619" s="3">
        <v>6</v>
      </c>
      <c r="M619" s="19">
        <v>30</v>
      </c>
      <c r="N619" s="19">
        <v>30</v>
      </c>
      <c r="O619" s="5" t="s">
        <v>699</v>
      </c>
      <c r="P619" s="4"/>
      <c r="Q619" s="18">
        <v>360</v>
      </c>
      <c r="R619" s="3"/>
      <c r="S619" s="6"/>
      <c r="T619" s="22"/>
      <c r="V619" s="23">
        <v>36</v>
      </c>
      <c r="W619" s="24" t="s">
        <v>16</v>
      </c>
    </row>
    <row r="620" spans="1:25" ht="22.95" customHeight="1" x14ac:dyDescent="0.25">
      <c r="A620" s="1" t="s">
        <v>766</v>
      </c>
      <c r="D620" s="3" t="s">
        <v>949</v>
      </c>
      <c r="E620" s="15" t="s">
        <v>950</v>
      </c>
      <c r="F620" s="15" t="s">
        <v>950</v>
      </c>
      <c r="G620" s="15" t="str">
        <f>IFERROR(VLOOKUP(D620,[5]成飞半成品!$A:$B,2,0),VLOOKUP(D620,[5]九院成本!$A$4:$B$48,2,0))</f>
        <v>根肋二段</v>
      </c>
      <c r="H620" s="3" t="s">
        <v>64</v>
      </c>
      <c r="I620" s="3">
        <v>65</v>
      </c>
      <c r="J620" s="18" t="s">
        <v>1091</v>
      </c>
      <c r="L620" s="3">
        <v>4</v>
      </c>
      <c r="M620" s="19">
        <v>30</v>
      </c>
      <c r="N620" s="19">
        <v>30</v>
      </c>
      <c r="O620" s="5" t="s">
        <v>951</v>
      </c>
      <c r="P620" s="4"/>
      <c r="Q620" s="18">
        <v>600</v>
      </c>
      <c r="R620" s="3"/>
      <c r="S620" s="6"/>
      <c r="T620" s="22"/>
      <c r="V620" s="23">
        <v>40</v>
      </c>
      <c r="W620" s="24" t="s">
        <v>16</v>
      </c>
    </row>
    <row r="621" spans="1:25" ht="22.95" customHeight="1" x14ac:dyDescent="0.25">
      <c r="A621" s="1" t="s">
        <v>766</v>
      </c>
      <c r="D621" s="3" t="s">
        <v>888</v>
      </c>
      <c r="E621" s="15" t="s">
        <v>55</v>
      </c>
      <c r="F621" s="15" t="s">
        <v>55</v>
      </c>
      <c r="G621" s="15" t="str">
        <f>IFERROR(VLOOKUP(D621,[5]成飞半成品!$A:$B,2,0),VLOOKUP(D621,[5]九院成本!$A$4:$B$48,2,0))</f>
        <v>接头</v>
      </c>
      <c r="H621" s="3" t="s">
        <v>80</v>
      </c>
      <c r="I621" s="3">
        <v>35</v>
      </c>
      <c r="J621" s="18" t="s">
        <v>1075</v>
      </c>
      <c r="L621" s="3">
        <v>3</v>
      </c>
      <c r="M621" s="19">
        <v>30</v>
      </c>
      <c r="N621" s="19">
        <v>30</v>
      </c>
      <c r="O621" s="5" t="s">
        <v>952</v>
      </c>
      <c r="P621" s="4"/>
      <c r="Q621" s="18">
        <v>90</v>
      </c>
      <c r="R621" s="3"/>
      <c r="S621" s="6"/>
      <c r="T621" s="22"/>
      <c r="V621" s="23">
        <v>4.5</v>
      </c>
      <c r="W621" s="24" t="s">
        <v>16</v>
      </c>
    </row>
    <row r="622" spans="1:25" ht="22.95" customHeight="1" x14ac:dyDescent="0.25">
      <c r="A622" s="1" t="s">
        <v>116</v>
      </c>
      <c r="D622" s="3" t="s">
        <v>522</v>
      </c>
      <c r="E622" s="15" t="s">
        <v>523</v>
      </c>
      <c r="F622" s="15" t="s">
        <v>523</v>
      </c>
      <c r="G622" s="15" t="str">
        <f>IFERROR(VLOOKUP(D622,[5]成飞半成品!$A:$B,2,0),VLOOKUP(D622,[5]九院成本!$A$4:$B$48,2,0))</f>
        <v>三通管接头</v>
      </c>
      <c r="H622" s="3" t="s">
        <v>46</v>
      </c>
      <c r="I622" s="3" t="s">
        <v>340</v>
      </c>
      <c r="J622" s="18" t="e">
        <v>#N/A</v>
      </c>
      <c r="L622" s="3">
        <v>2</v>
      </c>
      <c r="M622" s="19"/>
      <c r="N622" s="19"/>
      <c r="O622" s="5" t="s">
        <v>56</v>
      </c>
      <c r="P622" s="4"/>
      <c r="Q622" s="18">
        <v>20</v>
      </c>
      <c r="R622" s="3"/>
      <c r="S622" s="6"/>
      <c r="T622" s="22"/>
      <c r="V622" s="23">
        <v>0.7</v>
      </c>
      <c r="W622" s="24" t="s">
        <v>4</v>
      </c>
      <c r="X622" s="7" t="s">
        <v>953</v>
      </c>
    </row>
    <row r="623" spans="1:25" ht="22.95" customHeight="1" x14ac:dyDescent="0.25">
      <c r="A623" s="1" t="s">
        <v>562</v>
      </c>
      <c r="D623" s="3" t="s">
        <v>724</v>
      </c>
      <c r="E623" s="15" t="s">
        <v>725</v>
      </c>
      <c r="F623" s="15" t="s">
        <v>725</v>
      </c>
      <c r="G623" s="15" t="str">
        <f>IFERROR(VLOOKUP(D623,[5]成飞半成品!$A:$B,2,0),VLOOKUP(D623,[5]九院成本!$A$4:$B$48,2,0))</f>
        <v>弓形件</v>
      </c>
      <c r="H623" s="3" t="s">
        <v>147</v>
      </c>
      <c r="I623" s="3">
        <v>35</v>
      </c>
      <c r="J623" s="18" t="s">
        <v>1075</v>
      </c>
      <c r="L623" s="3">
        <v>21</v>
      </c>
      <c r="M623" s="19">
        <v>8</v>
      </c>
      <c r="N623" s="19">
        <v>8</v>
      </c>
      <c r="O623" s="5" t="s">
        <v>115</v>
      </c>
      <c r="P623" s="4"/>
      <c r="Q623" s="18">
        <v>35</v>
      </c>
      <c r="R623" s="3"/>
      <c r="S623" s="6"/>
      <c r="T623" s="22"/>
      <c r="V623" s="23">
        <v>12.3</v>
      </c>
      <c r="W623" s="24" t="s">
        <v>4</v>
      </c>
    </row>
    <row r="624" spans="1:25" ht="22.95" customHeight="1" x14ac:dyDescent="0.25">
      <c r="A624" s="1" t="s">
        <v>764</v>
      </c>
      <c r="D624" s="3" t="s">
        <v>432</v>
      </c>
      <c r="E624" s="15" t="s">
        <v>55</v>
      </c>
      <c r="F624" s="15" t="s">
        <v>55</v>
      </c>
      <c r="G624" s="15" t="str">
        <f>IFERROR(VLOOKUP(D624,[5]成飞半成品!$A:$B,2,0),VLOOKUP(D624,[5]九院成本!$A$4:$B$48,2,0))</f>
        <v>接头</v>
      </c>
      <c r="H624" s="3" t="s">
        <v>80</v>
      </c>
      <c r="I624" s="3">
        <v>55</v>
      </c>
      <c r="J624" s="18" t="s">
        <v>1151</v>
      </c>
      <c r="L624" s="3">
        <v>1</v>
      </c>
      <c r="M624" s="19">
        <v>8</v>
      </c>
      <c r="N624" s="19">
        <v>8</v>
      </c>
      <c r="O624" s="5" t="s">
        <v>81</v>
      </c>
      <c r="P624" s="4"/>
      <c r="Q624" s="18">
        <v>90</v>
      </c>
      <c r="R624" s="3"/>
      <c r="S624" s="6"/>
      <c r="T624" s="22"/>
      <c r="V624" s="23">
        <v>1.5</v>
      </c>
      <c r="W624" s="24" t="s">
        <v>4</v>
      </c>
    </row>
    <row r="625" spans="1:25" ht="22.95" customHeight="1" x14ac:dyDescent="0.25">
      <c r="A625" s="1" t="s">
        <v>764</v>
      </c>
      <c r="D625" s="3" t="s">
        <v>504</v>
      </c>
      <c r="E625" s="15" t="s">
        <v>55</v>
      </c>
      <c r="F625" s="15" t="s">
        <v>55</v>
      </c>
      <c r="G625" s="15" t="str">
        <f>IFERROR(VLOOKUP(D625,[5]成飞半成品!$A:$B,2,0),VLOOKUP(D625,[5]九院成本!$A$4:$B$48,2,0))</f>
        <v>接头</v>
      </c>
      <c r="H625" s="3" t="s">
        <v>80</v>
      </c>
      <c r="I625" s="3">
        <v>55</v>
      </c>
      <c r="J625" s="18" t="s">
        <v>1151</v>
      </c>
      <c r="L625" s="3">
        <v>2</v>
      </c>
      <c r="M625" s="19">
        <v>9</v>
      </c>
      <c r="N625" s="19">
        <v>9</v>
      </c>
      <c r="O625" s="5" t="s">
        <v>81</v>
      </c>
      <c r="P625" s="4"/>
      <c r="Q625" s="18">
        <v>90</v>
      </c>
      <c r="R625" s="3"/>
      <c r="S625" s="6"/>
      <c r="T625" s="22"/>
      <c r="V625" s="23">
        <v>3</v>
      </c>
      <c r="W625" s="24" t="s">
        <v>4</v>
      </c>
    </row>
    <row r="626" spans="1:25" ht="22.95" customHeight="1" x14ac:dyDescent="0.25">
      <c r="A626" s="1" t="s">
        <v>766</v>
      </c>
      <c r="D626" s="3" t="s">
        <v>153</v>
      </c>
      <c r="E626" s="15" t="s">
        <v>154</v>
      </c>
      <c r="F626" s="15" t="s">
        <v>154</v>
      </c>
      <c r="G626" s="15" t="str">
        <f>IFERROR(VLOOKUP(D626,[5]成飞半成品!$A:$B,2,0),VLOOKUP(D626,[5]九院成本!$A$4:$B$48,2,0))</f>
        <v>9350-11140右侧上梁</v>
      </c>
      <c r="H626" s="3" t="s">
        <v>385</v>
      </c>
      <c r="I626" s="3" t="s">
        <v>340</v>
      </c>
      <c r="J626" s="18" t="e">
        <v>#N/A</v>
      </c>
      <c r="L626" s="3">
        <v>2</v>
      </c>
      <c r="M626" s="19">
        <v>8</v>
      </c>
      <c r="N626" s="19">
        <v>8</v>
      </c>
      <c r="O626" s="5" t="s">
        <v>954</v>
      </c>
      <c r="P626" s="4"/>
      <c r="Q626" s="18">
        <v>1440</v>
      </c>
      <c r="R626" s="3"/>
      <c r="S626" s="6"/>
      <c r="T626" s="22"/>
      <c r="V626" s="23">
        <v>48</v>
      </c>
      <c r="W626" s="24" t="s">
        <v>1</v>
      </c>
      <c r="X626" s="7" t="s">
        <v>955</v>
      </c>
    </row>
    <row r="627" spans="1:25" ht="22.95" customHeight="1" x14ac:dyDescent="0.25">
      <c r="A627" s="1" t="s">
        <v>840</v>
      </c>
      <c r="D627" s="3" t="s">
        <v>956</v>
      </c>
      <c r="E627" s="15" t="s">
        <v>446</v>
      </c>
      <c r="F627" s="15" t="s">
        <v>446</v>
      </c>
      <c r="G627" s="15" t="str">
        <f>IFERROR(VLOOKUP(D627,[5]成飞半成品!$A:$B,2,0),VLOOKUP(D627,[5]九院成本!$A$4:$B$48,2,0))</f>
        <v>摇臂</v>
      </c>
      <c r="H627" s="3" t="s">
        <v>114</v>
      </c>
      <c r="I627" s="3">
        <v>5</v>
      </c>
      <c r="J627" s="18" t="s">
        <v>1093</v>
      </c>
      <c r="L627" s="3">
        <v>24</v>
      </c>
      <c r="M627" s="19">
        <v>8</v>
      </c>
      <c r="N627" s="19">
        <v>8</v>
      </c>
      <c r="O627" s="5" t="s">
        <v>295</v>
      </c>
      <c r="P627" s="4"/>
      <c r="Q627" s="18">
        <v>20</v>
      </c>
      <c r="R627" s="3"/>
      <c r="S627" s="6"/>
      <c r="T627" s="22"/>
      <c r="V627" s="23">
        <v>8</v>
      </c>
      <c r="W627" s="24" t="s">
        <v>4</v>
      </c>
    </row>
    <row r="628" spans="1:25" ht="22.95" customHeight="1" x14ac:dyDescent="0.25">
      <c r="A628" s="1" t="s">
        <v>840</v>
      </c>
      <c r="D628" s="3" t="s">
        <v>122</v>
      </c>
      <c r="E628" s="15" t="s">
        <v>123</v>
      </c>
      <c r="F628" s="15" t="s">
        <v>123</v>
      </c>
      <c r="G628" s="15" t="str">
        <f>IFERROR(VLOOKUP(D628,[5]成飞半成品!$A:$B,2,0),VLOOKUP(D628,[5]九院成本!$A$4:$B$48,2,0))</f>
        <v>9350-11140左侧上梁</v>
      </c>
      <c r="H628" s="3" t="s">
        <v>51</v>
      </c>
      <c r="I628" s="3" t="s">
        <v>340</v>
      </c>
      <c r="J628" s="18" t="e">
        <v>#N/A</v>
      </c>
      <c r="L628" s="3">
        <v>1</v>
      </c>
      <c r="M628" s="19">
        <v>8</v>
      </c>
      <c r="N628" s="19">
        <v>8</v>
      </c>
      <c r="O628" s="5" t="s">
        <v>957</v>
      </c>
      <c r="P628" s="4"/>
      <c r="Q628" s="18">
        <v>720</v>
      </c>
      <c r="R628" s="3"/>
      <c r="S628" s="6"/>
      <c r="T628" s="22"/>
      <c r="V628" s="23">
        <v>12</v>
      </c>
      <c r="W628" s="24" t="s">
        <v>4</v>
      </c>
      <c r="X628" s="7" t="s">
        <v>958</v>
      </c>
    </row>
    <row r="629" spans="1:25" ht="22.95" customHeight="1" x14ac:dyDescent="0.25">
      <c r="A629" s="1" t="s">
        <v>840</v>
      </c>
      <c r="D629" s="3" t="s">
        <v>153</v>
      </c>
      <c r="E629" s="15" t="s">
        <v>154</v>
      </c>
      <c r="F629" s="15" t="s">
        <v>154</v>
      </c>
      <c r="G629" s="15" t="str">
        <f>IFERROR(VLOOKUP(D629,[5]成飞半成品!$A:$B,2,0),VLOOKUP(D629,[5]九院成本!$A$4:$B$48,2,0))</f>
        <v>9350-11140右侧上梁</v>
      </c>
      <c r="H629" s="3" t="s">
        <v>385</v>
      </c>
      <c r="I629" s="3" t="s">
        <v>340</v>
      </c>
      <c r="J629" s="18" t="e">
        <v>#N/A</v>
      </c>
      <c r="L629" s="3">
        <v>1</v>
      </c>
      <c r="M629" s="19">
        <v>8</v>
      </c>
      <c r="N629" s="19">
        <v>8</v>
      </c>
      <c r="O629" s="5" t="s">
        <v>141</v>
      </c>
      <c r="P629" s="4"/>
      <c r="Q629" s="18">
        <v>720</v>
      </c>
      <c r="R629" s="3"/>
      <c r="S629" s="6"/>
      <c r="T629" s="22"/>
      <c r="V629" s="23">
        <v>12</v>
      </c>
      <c r="W629" s="24" t="s">
        <v>4</v>
      </c>
      <c r="X629" s="7" t="s">
        <v>958</v>
      </c>
    </row>
    <row r="630" spans="1:25" ht="22.95" customHeight="1" x14ac:dyDescent="0.25">
      <c r="A630" s="1" t="s">
        <v>840</v>
      </c>
      <c r="D630" s="3" t="s">
        <v>370</v>
      </c>
      <c r="E630" s="15" t="s">
        <v>55</v>
      </c>
      <c r="F630" s="15" t="s">
        <v>55</v>
      </c>
      <c r="G630" s="15" t="str">
        <f>IFERROR(VLOOKUP(D630,[5]成飞半成品!$A:$B,2,0),VLOOKUP(D630,[5]九院成本!$A$4:$B$48,2,0))</f>
        <v>接头</v>
      </c>
      <c r="H630" s="3" t="s">
        <v>80</v>
      </c>
      <c r="I630" s="3">
        <v>70</v>
      </c>
      <c r="J630" s="18" t="s">
        <v>1152</v>
      </c>
      <c r="L630" s="3">
        <v>2</v>
      </c>
      <c r="M630" s="19">
        <v>8</v>
      </c>
      <c r="N630" s="19">
        <v>8</v>
      </c>
      <c r="O630" s="5" t="s">
        <v>81</v>
      </c>
      <c r="P630" s="4"/>
      <c r="Q630" s="18">
        <v>20</v>
      </c>
      <c r="R630" s="3"/>
      <c r="S630" s="6"/>
      <c r="T630" s="22"/>
      <c r="V630" s="23">
        <v>0.7</v>
      </c>
      <c r="W630" s="24" t="s">
        <v>4</v>
      </c>
    </row>
    <row r="631" spans="1:25" ht="22.95" customHeight="1" x14ac:dyDescent="0.25">
      <c r="A631" s="1" t="s">
        <v>959</v>
      </c>
      <c r="D631" s="3" t="s">
        <v>1161</v>
      </c>
      <c r="E631" s="15" t="s">
        <v>132</v>
      </c>
      <c r="F631" s="15" t="s">
        <v>132</v>
      </c>
      <c r="G631" s="15" t="str">
        <f>IFERROR(VLOOKUP(D631,[5]成飞半成品!$A:$B,2,0),VLOOKUP(D631,[5]九院成本!$A$4:$B$48,2,0))</f>
        <v>工装</v>
      </c>
      <c r="H631" s="3" t="s">
        <v>133</v>
      </c>
      <c r="I631" s="3">
        <v>65</v>
      </c>
      <c r="J631" s="18" t="s">
        <v>1153</v>
      </c>
      <c r="L631" s="3">
        <v>5</v>
      </c>
      <c r="M631" s="19">
        <v>8</v>
      </c>
      <c r="N631" s="19">
        <v>8</v>
      </c>
      <c r="O631" s="5" t="s">
        <v>960</v>
      </c>
      <c r="P631" s="4"/>
      <c r="Q631" s="18">
        <v>960</v>
      </c>
      <c r="R631" s="3"/>
      <c r="S631" s="6"/>
      <c r="T631" s="22"/>
      <c r="V631" s="23">
        <v>80</v>
      </c>
      <c r="W631" s="24" t="s">
        <v>1</v>
      </c>
      <c r="X631" s="7" t="s">
        <v>961</v>
      </c>
    </row>
    <row r="632" spans="1:25" ht="22.95" customHeight="1" x14ac:dyDescent="0.25">
      <c r="A632" s="27" t="s">
        <v>89</v>
      </c>
      <c r="B632" s="28"/>
      <c r="C632" s="27"/>
      <c r="D632" s="29" t="s">
        <v>238</v>
      </c>
      <c r="E632" s="30" t="s">
        <v>239</v>
      </c>
      <c r="F632" s="15" t="s">
        <v>239</v>
      </c>
      <c r="G632" s="15" t="str">
        <f>IFERROR(VLOOKUP(D632,[5]成飞半成品!$A:$B,2,0),VLOOKUP(D632,[5]九院成本!$A$4:$B$48,2,0))</f>
        <v>激励器转接件</v>
      </c>
      <c r="H632" s="29" t="s">
        <v>147</v>
      </c>
      <c r="I632" s="29" t="s">
        <v>340</v>
      </c>
      <c r="J632" s="18" t="e">
        <v>#N/A</v>
      </c>
      <c r="K632" s="29"/>
      <c r="L632" s="29">
        <v>12</v>
      </c>
      <c r="M632" s="31">
        <v>8</v>
      </c>
      <c r="N632" s="31">
        <v>8</v>
      </c>
      <c r="O632" s="32" t="s">
        <v>189</v>
      </c>
      <c r="P632" s="29"/>
      <c r="Q632" s="18">
        <v>15</v>
      </c>
      <c r="R632" s="29"/>
      <c r="S632" s="29"/>
      <c r="T632" s="31"/>
      <c r="U632" s="31"/>
      <c r="V632" s="23">
        <v>3</v>
      </c>
      <c r="W632" s="33" t="s">
        <v>2</v>
      </c>
      <c r="X632" s="31" t="s">
        <v>257</v>
      </c>
      <c r="Y632" s="31" t="s">
        <v>203</v>
      </c>
    </row>
    <row r="633" spans="1:25" ht="22.95" customHeight="1" x14ac:dyDescent="0.25">
      <c r="A633" s="1" t="s">
        <v>840</v>
      </c>
      <c r="D633" s="3" t="s">
        <v>962</v>
      </c>
      <c r="E633" s="15" t="s">
        <v>568</v>
      </c>
      <c r="F633" s="15" t="s">
        <v>969</v>
      </c>
      <c r="G633" s="15" t="str">
        <f>IFERROR(VLOOKUP(D633,[5]成飞半成品!$A:$B,2,0),VLOOKUP(D633,[5]九院成本!$A$4:$B$48,2,0))</f>
        <v>雷达罩导销</v>
      </c>
      <c r="H633" s="3" t="s">
        <v>80</v>
      </c>
      <c r="I633" s="3" t="s">
        <v>340</v>
      </c>
      <c r="J633" s="18" t="e">
        <v>#N/A</v>
      </c>
      <c r="L633" s="3">
        <v>16</v>
      </c>
      <c r="M633" s="19">
        <v>8</v>
      </c>
      <c r="N633" s="19">
        <v>8</v>
      </c>
      <c r="O633" s="5" t="s">
        <v>81</v>
      </c>
      <c r="P633" s="4"/>
      <c r="Q633" s="18">
        <v>10</v>
      </c>
      <c r="R633" s="3"/>
      <c r="S633" s="6"/>
      <c r="T633" s="22"/>
      <c r="V633" s="23">
        <v>2.7</v>
      </c>
      <c r="W633" s="24" t="s">
        <v>2</v>
      </c>
      <c r="X633" s="7" t="s">
        <v>518</v>
      </c>
      <c r="Y633" s="7" t="s">
        <v>203</v>
      </c>
    </row>
    <row r="634" spans="1:25" ht="22.95" customHeight="1" x14ac:dyDescent="0.25">
      <c r="A634" s="1" t="s">
        <v>879</v>
      </c>
      <c r="D634" s="3" t="s">
        <v>963</v>
      </c>
      <c r="E634" s="15" t="s">
        <v>964</v>
      </c>
      <c r="F634" s="15" t="s">
        <v>964</v>
      </c>
      <c r="G634" s="15" t="str">
        <f>IFERROR(VLOOKUP(D634,[5]成飞半成品!$A:$B,2,0),VLOOKUP(D634,[5]九院成本!$A$4:$B$48,2,0))</f>
        <v>Z型件</v>
      </c>
      <c r="H634" s="3" t="s">
        <v>147</v>
      </c>
      <c r="I634" s="3" t="s">
        <v>340</v>
      </c>
      <c r="J634" s="18" t="e">
        <v>#N/A</v>
      </c>
      <c r="L634" s="3">
        <v>54</v>
      </c>
      <c r="M634" s="19">
        <v>8</v>
      </c>
      <c r="N634" s="19">
        <v>8</v>
      </c>
      <c r="P634" s="4"/>
      <c r="Q634" s="18">
        <v>25</v>
      </c>
      <c r="R634" s="3"/>
      <c r="S634" s="6"/>
      <c r="T634" s="22"/>
      <c r="V634" s="23">
        <v>22.5</v>
      </c>
      <c r="W634" s="24" t="s">
        <v>2</v>
      </c>
      <c r="X634" s="7" t="s">
        <v>377</v>
      </c>
      <c r="Y634" s="7" t="s">
        <v>203</v>
      </c>
    </row>
    <row r="635" spans="1:25" ht="22.95" customHeight="1" x14ac:dyDescent="0.25">
      <c r="A635" s="1" t="s">
        <v>840</v>
      </c>
      <c r="D635" s="3" t="s">
        <v>963</v>
      </c>
      <c r="E635" s="15" t="s">
        <v>964</v>
      </c>
      <c r="F635" s="15" t="s">
        <v>964</v>
      </c>
      <c r="G635" s="15" t="str">
        <f>IFERROR(VLOOKUP(D635,[5]成飞半成品!$A:$B,2,0),VLOOKUP(D635,[5]九院成本!$A$4:$B$48,2,0))</f>
        <v>Z型件</v>
      </c>
      <c r="H635" s="3" t="s">
        <v>147</v>
      </c>
      <c r="I635" s="3">
        <v>25</v>
      </c>
      <c r="J635" s="18" t="s">
        <v>1099</v>
      </c>
      <c r="L635" s="3">
        <v>94</v>
      </c>
      <c r="M635" s="19">
        <v>8</v>
      </c>
      <c r="N635" s="19">
        <v>8</v>
      </c>
      <c r="O635" s="5" t="s">
        <v>264</v>
      </c>
      <c r="P635" s="4"/>
      <c r="Q635" s="18">
        <v>30</v>
      </c>
      <c r="R635" s="3"/>
      <c r="S635" s="6"/>
      <c r="T635" s="22"/>
      <c r="V635" s="23">
        <v>47</v>
      </c>
      <c r="W635" s="24" t="s">
        <v>2</v>
      </c>
    </row>
    <row r="636" spans="1:25" ht="22.95" customHeight="1" x14ac:dyDescent="0.25">
      <c r="A636" s="1" t="s">
        <v>879</v>
      </c>
      <c r="D636" s="3" t="s">
        <v>658</v>
      </c>
      <c r="E636" s="15" t="s">
        <v>659</v>
      </c>
      <c r="F636" s="15" t="s">
        <v>659</v>
      </c>
      <c r="G636" s="15" t="str">
        <f>IFERROR(VLOOKUP(D636,[5]成飞半成品!$A:$B,2,0),VLOOKUP(D636,[5]九院成本!$A$4:$B$48,2,0))</f>
        <v>角材</v>
      </c>
      <c r="H636" s="3" t="s">
        <v>46</v>
      </c>
      <c r="I636" s="3">
        <v>15</v>
      </c>
      <c r="J636" s="18" t="s">
        <v>1071</v>
      </c>
      <c r="L636" s="3">
        <v>18</v>
      </c>
      <c r="M636" s="19">
        <v>19</v>
      </c>
      <c r="N636" s="19">
        <v>30</v>
      </c>
      <c r="O636" s="5" t="s">
        <v>662</v>
      </c>
      <c r="P636" s="4"/>
      <c r="Q636" s="18">
        <v>20</v>
      </c>
      <c r="R636" s="3"/>
      <c r="S636" s="6"/>
      <c r="T636" s="22"/>
      <c r="V636" s="23">
        <v>6</v>
      </c>
      <c r="W636" s="24" t="s">
        <v>2</v>
      </c>
    </row>
    <row r="637" spans="1:25" ht="22.95" customHeight="1" x14ac:dyDescent="0.25">
      <c r="A637" s="1" t="s">
        <v>766</v>
      </c>
      <c r="D637" s="3" t="s">
        <v>841</v>
      </c>
      <c r="E637" s="15" t="s">
        <v>842</v>
      </c>
      <c r="F637" s="15" t="s">
        <v>842</v>
      </c>
      <c r="G637" s="15" t="str">
        <f>IFERROR(VLOOKUP(D637,[5]成飞半成品!$A:$B,2,0),VLOOKUP(D637,[5]九院成本!$A$4:$B$48,2,0))</f>
        <v>5755横框</v>
      </c>
      <c r="H637" s="3" t="s">
        <v>114</v>
      </c>
      <c r="I637" s="3">
        <v>35</v>
      </c>
      <c r="J637" s="18" t="s">
        <v>1072</v>
      </c>
      <c r="L637" s="3">
        <v>6</v>
      </c>
      <c r="M637" s="19">
        <v>8</v>
      </c>
      <c r="N637" s="19">
        <v>8</v>
      </c>
      <c r="O637" s="5" t="s">
        <v>965</v>
      </c>
      <c r="P637" s="4"/>
      <c r="Q637" s="18">
        <v>120</v>
      </c>
      <c r="R637" s="3"/>
      <c r="S637" s="6"/>
      <c r="T637" s="22"/>
      <c r="V637" s="23">
        <v>12</v>
      </c>
      <c r="W637" s="24" t="s">
        <v>6</v>
      </c>
    </row>
    <row r="638" spans="1:25" ht="22.95" customHeight="1" x14ac:dyDescent="0.25">
      <c r="A638" s="1" t="s">
        <v>766</v>
      </c>
      <c r="D638" s="3" t="s">
        <v>841</v>
      </c>
      <c r="E638" s="15" t="s">
        <v>842</v>
      </c>
      <c r="F638" s="15" t="s">
        <v>842</v>
      </c>
      <c r="G638" s="15" t="str">
        <f>IFERROR(VLOOKUP(D638,[5]成飞半成品!$A:$B,2,0),VLOOKUP(D638,[5]九院成本!$A$4:$B$48,2,0))</f>
        <v>5755横框</v>
      </c>
      <c r="H638" s="3" t="s">
        <v>114</v>
      </c>
      <c r="I638" s="3" t="s">
        <v>966</v>
      </c>
      <c r="J638" s="18" t="e">
        <v>#N/A</v>
      </c>
      <c r="L638" s="3">
        <v>6</v>
      </c>
      <c r="M638" s="19">
        <v>30</v>
      </c>
      <c r="N638" s="19">
        <v>30</v>
      </c>
      <c r="O638" s="5" t="s">
        <v>965</v>
      </c>
      <c r="P638" s="4"/>
      <c r="Q638" s="18">
        <v>30</v>
      </c>
      <c r="R638" s="3"/>
      <c r="S638" s="6"/>
      <c r="T638" s="22"/>
      <c r="V638" s="23">
        <v>3</v>
      </c>
      <c r="W638" s="24" t="s">
        <v>6</v>
      </c>
      <c r="X638" s="7" t="s">
        <v>467</v>
      </c>
      <c r="Y638" s="7" t="s">
        <v>203</v>
      </c>
    </row>
    <row r="639" spans="1:25" ht="22.95" customHeight="1" x14ac:dyDescent="0.25">
      <c r="A639" s="1" t="s">
        <v>879</v>
      </c>
      <c r="D639" s="3" t="s">
        <v>592</v>
      </c>
      <c r="E639" s="15" t="s">
        <v>120</v>
      </c>
      <c r="F639" s="15" t="s">
        <v>120</v>
      </c>
      <c r="G639" s="15" t="str">
        <f>IFERROR(VLOOKUP(D639,[5]成飞半成品!$A:$B,2,0),VLOOKUP(D639,[5]九院成本!$A$4:$B$48,2,0))</f>
        <v>支架</v>
      </c>
      <c r="H639" s="3" t="s">
        <v>51</v>
      </c>
      <c r="I639" s="3">
        <v>55</v>
      </c>
      <c r="J639" s="18" t="s">
        <v>1086</v>
      </c>
      <c r="L639" s="3">
        <v>20</v>
      </c>
      <c r="M639" s="19">
        <v>30</v>
      </c>
      <c r="N639" s="19">
        <v>30</v>
      </c>
      <c r="O639" s="5" t="s">
        <v>56</v>
      </c>
      <c r="P639" s="4"/>
      <c r="Q639" s="18">
        <v>30</v>
      </c>
      <c r="R639" s="3"/>
      <c r="S639" s="6"/>
      <c r="T639" s="22"/>
      <c r="V639" s="23">
        <v>10</v>
      </c>
      <c r="W639" s="24" t="s">
        <v>6</v>
      </c>
    </row>
    <row r="640" spans="1:25" ht="22.95" customHeight="1" x14ac:dyDescent="0.25">
      <c r="A640" s="1" t="s">
        <v>879</v>
      </c>
      <c r="D640" s="3" t="s">
        <v>592</v>
      </c>
      <c r="E640" s="15" t="s">
        <v>120</v>
      </c>
      <c r="F640" s="15" t="s">
        <v>120</v>
      </c>
      <c r="G640" s="15" t="str">
        <f>IFERROR(VLOOKUP(D640,[5]成飞半成品!$A:$B,2,0),VLOOKUP(D640,[5]九院成本!$A$4:$B$48,2,0))</f>
        <v>支架</v>
      </c>
      <c r="H640" s="3" t="s">
        <v>51</v>
      </c>
      <c r="I640" s="3">
        <v>55</v>
      </c>
      <c r="J640" s="18" t="s">
        <v>1086</v>
      </c>
      <c r="L640" s="3">
        <v>6</v>
      </c>
      <c r="M640" s="19">
        <v>30</v>
      </c>
      <c r="N640" s="19">
        <v>30</v>
      </c>
      <c r="O640" s="5" t="s">
        <v>357</v>
      </c>
      <c r="P640" s="4"/>
      <c r="Q640" s="18">
        <v>30</v>
      </c>
      <c r="R640" s="3"/>
      <c r="S640" s="6"/>
      <c r="T640" s="22"/>
      <c r="V640" s="23">
        <v>3</v>
      </c>
      <c r="W640" s="24" t="s">
        <v>6</v>
      </c>
    </row>
    <row r="641" spans="1:25" ht="22.95" customHeight="1" x14ac:dyDescent="0.25">
      <c r="A641" s="1" t="s">
        <v>879</v>
      </c>
      <c r="D641" s="3" t="s">
        <v>592</v>
      </c>
      <c r="E641" s="15" t="s">
        <v>120</v>
      </c>
      <c r="F641" s="15" t="s">
        <v>120</v>
      </c>
      <c r="G641" s="15" t="str">
        <f>IFERROR(VLOOKUP(D641,[5]成飞半成品!$A:$B,2,0),VLOOKUP(D641,[5]九院成本!$A$4:$B$48,2,0))</f>
        <v>支架</v>
      </c>
      <c r="H641" s="3" t="s">
        <v>51</v>
      </c>
      <c r="I641" s="3">
        <v>55</v>
      </c>
      <c r="J641" s="18" t="s">
        <v>1086</v>
      </c>
      <c r="L641" s="3">
        <v>5</v>
      </c>
      <c r="M641" s="19">
        <v>30</v>
      </c>
      <c r="N641" s="19">
        <v>30</v>
      </c>
      <c r="O641" s="5" t="s">
        <v>376</v>
      </c>
      <c r="P641" s="4"/>
      <c r="Q641" s="18">
        <v>30</v>
      </c>
      <c r="R641" s="3"/>
      <c r="S641" s="6"/>
      <c r="T641" s="22"/>
      <c r="V641" s="23">
        <v>2.5</v>
      </c>
      <c r="W641" s="24" t="s">
        <v>6</v>
      </c>
    </row>
    <row r="642" spans="1:25" ht="22.95" customHeight="1" x14ac:dyDescent="0.25">
      <c r="A642" s="1" t="s">
        <v>879</v>
      </c>
      <c r="D642" s="3" t="s">
        <v>592</v>
      </c>
      <c r="E642" s="15" t="s">
        <v>120</v>
      </c>
      <c r="F642" s="15" t="s">
        <v>120</v>
      </c>
      <c r="G642" s="15" t="str">
        <f>IFERROR(VLOOKUP(D642,[5]成飞半成品!$A:$B,2,0),VLOOKUP(D642,[5]九院成本!$A$4:$B$48,2,0))</f>
        <v>支架</v>
      </c>
      <c r="H642" s="3" t="s">
        <v>51</v>
      </c>
      <c r="I642" s="3" t="s">
        <v>340</v>
      </c>
      <c r="J642" s="18" t="e">
        <v>#N/A</v>
      </c>
      <c r="L642" s="3">
        <v>31</v>
      </c>
      <c r="M642" s="19">
        <v>30</v>
      </c>
      <c r="N642" s="19">
        <v>30</v>
      </c>
      <c r="O642" s="5" t="s">
        <v>967</v>
      </c>
      <c r="P642" s="4"/>
      <c r="Q642" s="18">
        <v>10</v>
      </c>
      <c r="R642" s="3"/>
      <c r="S642" s="6"/>
      <c r="T642" s="22"/>
      <c r="V642" s="23">
        <v>5.2</v>
      </c>
      <c r="W642" s="24" t="s">
        <v>6</v>
      </c>
      <c r="X642" s="7" t="s">
        <v>518</v>
      </c>
      <c r="Y642" s="7" t="s">
        <v>203</v>
      </c>
    </row>
    <row r="643" spans="1:25" ht="22.95" customHeight="1" x14ac:dyDescent="0.25">
      <c r="A643" s="1" t="s">
        <v>879</v>
      </c>
      <c r="D643" s="3" t="s">
        <v>968</v>
      </c>
      <c r="E643" s="15" t="s">
        <v>755</v>
      </c>
      <c r="F643" s="15" t="s">
        <v>755</v>
      </c>
      <c r="G643" s="15" t="str">
        <f>IFERROR(VLOOKUP(D643,[5]成飞半成品!$A:$B,2,0),VLOOKUP(D643,[5]九院成本!$A$4:$B$48,2,0))</f>
        <v>加强件</v>
      </c>
      <c r="H643" s="3" t="s">
        <v>80</v>
      </c>
      <c r="I643" s="3">
        <v>25</v>
      </c>
      <c r="J643" s="18" t="s">
        <v>1099</v>
      </c>
      <c r="L643" s="3">
        <v>2</v>
      </c>
      <c r="M643" s="19">
        <v>30</v>
      </c>
      <c r="N643" s="19">
        <v>30</v>
      </c>
      <c r="O643" s="5" t="s">
        <v>81</v>
      </c>
      <c r="P643" s="4"/>
      <c r="Q643" s="18">
        <v>20</v>
      </c>
      <c r="R643" s="3"/>
      <c r="S643" s="6"/>
      <c r="T643" s="22"/>
      <c r="V643" s="23">
        <v>0.7</v>
      </c>
      <c r="W643" s="24" t="s">
        <v>6</v>
      </c>
    </row>
    <row r="644" spans="1:25" ht="22.95" customHeight="1" x14ac:dyDescent="0.25">
      <c r="A644" s="1" t="s">
        <v>766</v>
      </c>
      <c r="D644" s="3" t="s">
        <v>896</v>
      </c>
      <c r="E644" s="15" t="s">
        <v>717</v>
      </c>
      <c r="F644" s="15" t="s">
        <v>717</v>
      </c>
      <c r="G644" s="15" t="str">
        <f>IFERROR(VLOOKUP(D644,[5]成飞半成品!$A:$B,2,0),VLOOKUP(D644,[5]九院成本!$A$4:$B$48,2,0))</f>
        <v>耳环螺栓</v>
      </c>
      <c r="H644" s="3" t="s">
        <v>64</v>
      </c>
      <c r="I644" s="3">
        <v>15</v>
      </c>
      <c r="J644" s="18" t="s">
        <v>1071</v>
      </c>
      <c r="L644" s="3">
        <v>21</v>
      </c>
      <c r="M644" s="19">
        <v>8</v>
      </c>
      <c r="N644" s="19">
        <v>8</v>
      </c>
      <c r="O644" s="5" t="s">
        <v>897</v>
      </c>
      <c r="P644" s="4"/>
      <c r="Q644" s="18">
        <v>15</v>
      </c>
      <c r="R644" s="3"/>
      <c r="S644" s="6"/>
      <c r="T644" s="22"/>
      <c r="V644" s="23">
        <v>5.3</v>
      </c>
      <c r="W644" s="24" t="s">
        <v>13</v>
      </c>
    </row>
    <row r="645" spans="1:25" ht="22.95" customHeight="1" x14ac:dyDescent="0.25">
      <c r="A645" s="1" t="s">
        <v>766</v>
      </c>
      <c r="D645" s="3" t="s">
        <v>962</v>
      </c>
      <c r="E645" s="15" t="s">
        <v>969</v>
      </c>
      <c r="F645" s="15" t="s">
        <v>969</v>
      </c>
      <c r="G645" s="15" t="str">
        <f>IFERROR(VLOOKUP(D645,[5]成飞半成品!$A:$B,2,0),VLOOKUP(D645,[5]九院成本!$A$4:$B$48,2,0))</f>
        <v>雷达罩导销</v>
      </c>
      <c r="H645" s="3" t="s">
        <v>80</v>
      </c>
      <c r="I645" s="3">
        <v>50</v>
      </c>
      <c r="J645" s="18" t="s">
        <v>1154</v>
      </c>
      <c r="L645" s="3">
        <v>16</v>
      </c>
      <c r="M645" s="19">
        <v>8</v>
      </c>
      <c r="N645" s="19">
        <v>8</v>
      </c>
      <c r="O645" s="5" t="s">
        <v>81</v>
      </c>
      <c r="P645" s="4"/>
      <c r="Q645" s="18">
        <v>20</v>
      </c>
      <c r="R645" s="3"/>
      <c r="S645" s="6"/>
      <c r="T645" s="22"/>
      <c r="V645" s="23">
        <v>5.3</v>
      </c>
      <c r="W645" s="24" t="s">
        <v>13</v>
      </c>
    </row>
    <row r="646" spans="1:25" ht="22.95" customHeight="1" x14ac:dyDescent="0.25">
      <c r="A646" s="1" t="s">
        <v>840</v>
      </c>
      <c r="D646" s="3" t="s">
        <v>970</v>
      </c>
      <c r="E646" s="15" t="s">
        <v>762</v>
      </c>
      <c r="F646" s="15" t="s">
        <v>762</v>
      </c>
      <c r="G646" s="15" t="str">
        <f>IFERROR(VLOOKUP(D646,[5]成飞半成品!$A:$B,2,0),VLOOKUP(D646,[5]九院成本!$A$4:$B$48,2,0))</f>
        <v>垫板</v>
      </c>
      <c r="H646" s="3" t="s">
        <v>64</v>
      </c>
      <c r="I646" s="3">
        <v>15</v>
      </c>
      <c r="J646" s="18" t="s">
        <v>1097</v>
      </c>
      <c r="L646" s="3">
        <v>3</v>
      </c>
      <c r="M646" s="19">
        <v>8</v>
      </c>
      <c r="N646" s="19">
        <v>8</v>
      </c>
      <c r="O646" s="5" t="s">
        <v>971</v>
      </c>
      <c r="P646" s="4"/>
      <c r="Q646" s="18">
        <v>45</v>
      </c>
      <c r="R646" s="3"/>
      <c r="S646" s="6"/>
      <c r="T646" s="22"/>
      <c r="V646" s="23">
        <v>2.2999999999999998</v>
      </c>
      <c r="W646" s="24" t="s">
        <v>13</v>
      </c>
    </row>
    <row r="647" spans="1:25" ht="22.95" customHeight="1" x14ac:dyDescent="0.25">
      <c r="A647" s="1" t="s">
        <v>840</v>
      </c>
      <c r="D647" s="3" t="s">
        <v>970</v>
      </c>
      <c r="E647" s="15" t="s">
        <v>762</v>
      </c>
      <c r="F647" s="15" t="s">
        <v>762</v>
      </c>
      <c r="G647" s="15" t="str">
        <f>IFERROR(VLOOKUP(D647,[5]成飞半成品!$A:$B,2,0),VLOOKUP(D647,[5]九院成本!$A$4:$B$48,2,0))</f>
        <v>垫板</v>
      </c>
      <c r="H647" s="3" t="s">
        <v>64</v>
      </c>
      <c r="I647" s="3">
        <v>15</v>
      </c>
      <c r="J647" s="18" t="s">
        <v>1097</v>
      </c>
      <c r="L647" s="3">
        <v>1</v>
      </c>
      <c r="M647" s="19">
        <v>8</v>
      </c>
      <c r="N647" s="19">
        <v>8</v>
      </c>
      <c r="O647" s="5" t="s">
        <v>81</v>
      </c>
      <c r="P647" s="4"/>
      <c r="Q647" s="18">
        <v>45</v>
      </c>
      <c r="R647" s="3"/>
      <c r="S647" s="6"/>
      <c r="T647" s="22"/>
      <c r="V647" s="23">
        <v>0.8</v>
      </c>
      <c r="W647" s="24" t="s">
        <v>13</v>
      </c>
    </row>
    <row r="648" spans="1:25" ht="22.95" customHeight="1" x14ac:dyDescent="0.25">
      <c r="A648" s="1" t="s">
        <v>840</v>
      </c>
      <c r="D648" s="3" t="s">
        <v>970</v>
      </c>
      <c r="E648" s="15" t="s">
        <v>762</v>
      </c>
      <c r="F648" s="15" t="s">
        <v>762</v>
      </c>
      <c r="G648" s="15" t="str">
        <f>IFERROR(VLOOKUP(D648,[5]成飞半成品!$A:$B,2,0),VLOOKUP(D648,[5]九院成本!$A$4:$B$48,2,0))</f>
        <v>垫板</v>
      </c>
      <c r="H648" s="3" t="s">
        <v>64</v>
      </c>
      <c r="I648" s="3">
        <v>15</v>
      </c>
      <c r="J648" s="18" t="s">
        <v>1097</v>
      </c>
      <c r="L648" s="3">
        <v>1</v>
      </c>
      <c r="M648" s="19">
        <v>8</v>
      </c>
      <c r="N648" s="19">
        <v>8</v>
      </c>
      <c r="O648" s="5" t="s">
        <v>952</v>
      </c>
      <c r="P648" s="4"/>
      <c r="Q648" s="18">
        <v>45</v>
      </c>
      <c r="R648" s="3"/>
      <c r="S648" s="6"/>
      <c r="T648" s="22"/>
      <c r="V648" s="23">
        <v>0.8</v>
      </c>
      <c r="W648" s="24" t="s">
        <v>13</v>
      </c>
    </row>
    <row r="649" spans="1:25" ht="22.95" customHeight="1" x14ac:dyDescent="0.25">
      <c r="A649" s="1" t="s">
        <v>840</v>
      </c>
      <c r="D649" s="3" t="s">
        <v>970</v>
      </c>
      <c r="E649" s="15" t="s">
        <v>762</v>
      </c>
      <c r="F649" s="15" t="s">
        <v>762</v>
      </c>
      <c r="G649" s="15" t="str">
        <f>IFERROR(VLOOKUP(D649,[5]成飞半成品!$A:$B,2,0),VLOOKUP(D649,[5]九院成本!$A$4:$B$48,2,0))</f>
        <v>垫板</v>
      </c>
      <c r="H649" s="3" t="s">
        <v>64</v>
      </c>
      <c r="I649" s="3">
        <v>15</v>
      </c>
      <c r="J649" s="18" t="s">
        <v>1097</v>
      </c>
      <c r="L649" s="3">
        <v>3</v>
      </c>
      <c r="M649" s="19">
        <v>8</v>
      </c>
      <c r="N649" s="19">
        <v>8</v>
      </c>
      <c r="O649" s="5" t="s">
        <v>972</v>
      </c>
      <c r="P649" s="4"/>
      <c r="Q649" s="18">
        <v>45</v>
      </c>
      <c r="R649" s="3"/>
      <c r="S649" s="6"/>
      <c r="T649" s="22"/>
      <c r="V649" s="23">
        <v>2.2999999999999998</v>
      </c>
      <c r="W649" s="24" t="s">
        <v>13</v>
      </c>
    </row>
    <row r="650" spans="1:25" ht="22.95" customHeight="1" x14ac:dyDescent="0.25">
      <c r="A650" s="1" t="s">
        <v>879</v>
      </c>
      <c r="D650" s="3" t="s">
        <v>903</v>
      </c>
      <c r="E650" s="15" t="s">
        <v>904</v>
      </c>
      <c r="F650" s="15" t="s">
        <v>904</v>
      </c>
      <c r="G650" s="15" t="str">
        <f>IFERROR(VLOOKUP(D650,[5]成飞半成品!$A:$B,2,0),VLOOKUP(D650,[5]九院成本!$A$4:$B$48,2,0))</f>
        <v>凸台</v>
      </c>
      <c r="H650" s="3" t="s">
        <v>51</v>
      </c>
      <c r="I650" s="3">
        <v>20</v>
      </c>
      <c r="J650" s="18" t="s">
        <v>1096</v>
      </c>
      <c r="L650" s="3">
        <v>63</v>
      </c>
      <c r="M650" s="19">
        <v>8</v>
      </c>
      <c r="N650" s="19">
        <v>8</v>
      </c>
      <c r="O650" s="5" t="s">
        <v>700</v>
      </c>
      <c r="P650" s="4"/>
      <c r="Q650" s="18">
        <v>15</v>
      </c>
      <c r="R650" s="3"/>
      <c r="S650" s="6"/>
      <c r="T650" s="22"/>
      <c r="V650" s="23">
        <v>15.8</v>
      </c>
      <c r="W650" s="24" t="s">
        <v>13</v>
      </c>
    </row>
    <row r="651" spans="1:25" ht="22.95" customHeight="1" x14ac:dyDescent="0.25">
      <c r="A651" s="1" t="s">
        <v>764</v>
      </c>
      <c r="D651" s="3" t="s">
        <v>695</v>
      </c>
      <c r="E651" s="15" t="s">
        <v>696</v>
      </c>
      <c r="F651" s="15" t="s">
        <v>696</v>
      </c>
      <c r="G651" s="15" t="str">
        <f>IFERROR(VLOOKUP(D651,[5]成飞半成品!$A:$B,2,0),VLOOKUP(D651,[5]九院成本!$A$4:$B$48,2,0))</f>
        <v>回收锁销接头</v>
      </c>
      <c r="H651" s="3" t="s">
        <v>80</v>
      </c>
      <c r="I651" s="3">
        <v>30</v>
      </c>
      <c r="J651" s="18" t="s">
        <v>1114</v>
      </c>
      <c r="L651" s="3">
        <v>8</v>
      </c>
      <c r="M651" s="19">
        <v>8</v>
      </c>
      <c r="N651" s="19">
        <v>8</v>
      </c>
      <c r="O651" s="5" t="s">
        <v>81</v>
      </c>
      <c r="P651" s="4"/>
      <c r="Q651" s="18">
        <v>25</v>
      </c>
      <c r="R651" s="3"/>
      <c r="S651" s="6"/>
      <c r="T651" s="22"/>
      <c r="V651" s="23">
        <v>3.3</v>
      </c>
      <c r="W651" s="24" t="s">
        <v>9</v>
      </c>
    </row>
    <row r="652" spans="1:25" ht="22.95" customHeight="1" x14ac:dyDescent="0.25">
      <c r="A652" s="1" t="s">
        <v>766</v>
      </c>
      <c r="D652" s="3" t="s">
        <v>973</v>
      </c>
      <c r="E652" s="15" t="s">
        <v>55</v>
      </c>
      <c r="F652" s="15" t="s">
        <v>55</v>
      </c>
      <c r="G652" s="15" t="str">
        <f>IFERROR(VLOOKUP(D652,[5]成飞半成品!$A:$B,2,0),VLOOKUP(D652,[5]九院成本!$A$4:$B$48,2,0))</f>
        <v>接头</v>
      </c>
      <c r="H652" s="3" t="s">
        <v>290</v>
      </c>
      <c r="I652" s="3">
        <v>30</v>
      </c>
      <c r="J652" s="18" t="s">
        <v>1079</v>
      </c>
      <c r="L652" s="3">
        <v>38</v>
      </c>
      <c r="M652" s="19">
        <v>8</v>
      </c>
      <c r="N652" s="19">
        <v>8</v>
      </c>
      <c r="O652" s="5" t="s">
        <v>264</v>
      </c>
      <c r="P652" s="4"/>
      <c r="Q652" s="18">
        <v>30</v>
      </c>
      <c r="R652" s="3"/>
      <c r="S652" s="6"/>
      <c r="T652" s="22"/>
      <c r="V652" s="23">
        <v>19</v>
      </c>
      <c r="W652" s="24" t="s">
        <v>9</v>
      </c>
    </row>
    <row r="653" spans="1:25" ht="22.95" customHeight="1" x14ac:dyDescent="0.25">
      <c r="A653" s="1" t="s">
        <v>840</v>
      </c>
      <c r="D653" s="3" t="s">
        <v>974</v>
      </c>
      <c r="E653" s="15" t="s">
        <v>170</v>
      </c>
      <c r="F653" s="15" t="s">
        <v>170</v>
      </c>
      <c r="G653" s="15" t="str">
        <f>IFERROR(VLOOKUP(D653,[5]成飞半成品!$A:$B,2,0),VLOOKUP(D653,[5]九院成本!$A$4:$B$48,2,0))</f>
        <v>衬套</v>
      </c>
      <c r="H653" s="3" t="s">
        <v>80</v>
      </c>
      <c r="I653" s="3">
        <v>10</v>
      </c>
      <c r="J653" s="18" t="s">
        <v>1078</v>
      </c>
      <c r="L653" s="3">
        <v>3</v>
      </c>
      <c r="M653" s="19">
        <v>8</v>
      </c>
      <c r="N653" s="19">
        <v>8</v>
      </c>
      <c r="O653" s="5" t="s">
        <v>95</v>
      </c>
      <c r="P653" s="4"/>
      <c r="Q653" s="18">
        <v>4</v>
      </c>
      <c r="R653" s="3"/>
      <c r="S653" s="6"/>
      <c r="T653" s="22"/>
      <c r="V653" s="23">
        <v>0.2</v>
      </c>
      <c r="W653" s="24" t="s">
        <v>9</v>
      </c>
      <c r="X653" s="7" t="s">
        <v>975</v>
      </c>
    </row>
    <row r="654" spans="1:25" ht="22.95" customHeight="1" x14ac:dyDescent="0.25">
      <c r="A654" s="1" t="s">
        <v>840</v>
      </c>
      <c r="D654" s="3" t="s">
        <v>658</v>
      </c>
      <c r="E654" s="15" t="s">
        <v>659</v>
      </c>
      <c r="F654" s="15" t="s">
        <v>659</v>
      </c>
      <c r="G654" s="15" t="str">
        <f>IFERROR(VLOOKUP(D654,[5]成飞半成品!$A:$B,2,0),VLOOKUP(D654,[5]九院成本!$A$4:$B$48,2,0))</f>
        <v>角材</v>
      </c>
      <c r="H654" s="3" t="s">
        <v>46</v>
      </c>
      <c r="I654" s="3">
        <v>15</v>
      </c>
      <c r="J654" s="18" t="s">
        <v>1071</v>
      </c>
      <c r="L654" s="3">
        <v>46</v>
      </c>
      <c r="M654" s="19">
        <v>8</v>
      </c>
      <c r="N654" s="19">
        <v>8</v>
      </c>
      <c r="O654" s="5" t="s">
        <v>976</v>
      </c>
      <c r="P654" s="4"/>
      <c r="Q654" s="18">
        <v>20</v>
      </c>
      <c r="R654" s="3"/>
      <c r="S654" s="6"/>
      <c r="T654" s="22"/>
      <c r="V654" s="23">
        <v>15.3</v>
      </c>
      <c r="W654" s="24" t="s">
        <v>9</v>
      </c>
    </row>
    <row r="655" spans="1:25" ht="22.95" customHeight="1" x14ac:dyDescent="0.25">
      <c r="A655" s="1" t="s">
        <v>879</v>
      </c>
      <c r="D655" s="3" t="s">
        <v>977</v>
      </c>
      <c r="E655" s="15" t="s">
        <v>978</v>
      </c>
      <c r="F655" s="15" t="s">
        <v>978</v>
      </c>
      <c r="G655" s="15" t="str">
        <f>IFERROR(VLOOKUP(D655,[5]成飞半成品!$A:$B,2,0),VLOOKUP(D655,[5]九院成本!$A$4:$B$48,2,0))</f>
        <v>心轴</v>
      </c>
      <c r="H655" s="3" t="s">
        <v>80</v>
      </c>
      <c r="I655" s="3">
        <v>10</v>
      </c>
      <c r="J655" s="18" t="s">
        <v>1078</v>
      </c>
      <c r="L655" s="3">
        <v>2</v>
      </c>
      <c r="M655" s="19">
        <v>8</v>
      </c>
      <c r="N655" s="19">
        <v>8</v>
      </c>
      <c r="O655" s="5" t="s">
        <v>95</v>
      </c>
      <c r="P655" s="4"/>
      <c r="Q655" s="18">
        <v>4</v>
      </c>
      <c r="R655" s="3"/>
      <c r="S655" s="6"/>
      <c r="T655" s="22"/>
      <c r="V655" s="23">
        <v>0.1</v>
      </c>
      <c r="W655" s="24" t="s">
        <v>9</v>
      </c>
    </row>
    <row r="656" spans="1:25" ht="22.95" customHeight="1" x14ac:dyDescent="0.25">
      <c r="A656" s="1" t="s">
        <v>879</v>
      </c>
      <c r="D656" s="3" t="s">
        <v>979</v>
      </c>
      <c r="E656" s="15" t="s">
        <v>755</v>
      </c>
      <c r="F656" s="15" t="s">
        <v>67</v>
      </c>
      <c r="G656" s="15" t="str">
        <f>IFERROR(VLOOKUP(D656,[5]成飞半成品!$A:$B,2,0),VLOOKUP(D656,[5]九院成本!$A$4:$B$48,2,0))</f>
        <v>10060下接头</v>
      </c>
      <c r="H656" s="3" t="s">
        <v>51</v>
      </c>
      <c r="I656" s="3">
        <v>40</v>
      </c>
      <c r="J656" s="18" t="s">
        <v>1069</v>
      </c>
      <c r="L656" s="3">
        <v>6</v>
      </c>
      <c r="M656" s="19">
        <v>30</v>
      </c>
      <c r="N656" s="19">
        <v>30</v>
      </c>
      <c r="O656" s="5" t="s">
        <v>980</v>
      </c>
      <c r="P656" s="4"/>
      <c r="Q656" s="18">
        <v>15</v>
      </c>
      <c r="R656" s="3"/>
      <c r="S656" s="6"/>
      <c r="T656" s="22"/>
      <c r="V656" s="23">
        <v>1.5</v>
      </c>
      <c r="W656" s="24" t="s">
        <v>9</v>
      </c>
    </row>
    <row r="657" spans="1:25" ht="22.95" customHeight="1" x14ac:dyDescent="0.25">
      <c r="A657" s="1" t="s">
        <v>879</v>
      </c>
      <c r="D657" s="3" t="str">
        <f>O657</f>
        <v>2020-01-N-12</v>
      </c>
      <c r="E657" s="15" t="s">
        <v>981</v>
      </c>
      <c r="F657" s="15" t="s">
        <v>1115</v>
      </c>
      <c r="G657" s="15" t="str">
        <f>IFERROR(VLOOKUP(D657,[5]成飞半成品!$A:$B,2,0),VLOOKUP(D657,[5]九院成本!$A$4:$B$48,2,0))</f>
        <v>1N-2019-12-029</v>
      </c>
      <c r="H657" s="3" t="s">
        <v>80</v>
      </c>
      <c r="I657" s="3">
        <v>10</v>
      </c>
      <c r="J657" s="18" t="e">
        <v>#N/A</v>
      </c>
      <c r="L657" s="3">
        <v>3380</v>
      </c>
      <c r="M657" s="19">
        <v>8</v>
      </c>
      <c r="N657" s="19">
        <v>8</v>
      </c>
      <c r="O657" s="5" t="s">
        <v>1168</v>
      </c>
      <c r="P657" s="4"/>
      <c r="Q657" s="18">
        <v>3</v>
      </c>
      <c r="R657" s="3"/>
      <c r="S657" s="6"/>
      <c r="T657" s="22"/>
      <c r="V657" s="23">
        <v>169</v>
      </c>
      <c r="W657" s="24" t="s">
        <v>9</v>
      </c>
    </row>
    <row r="658" spans="1:25" ht="22.95" customHeight="1" x14ac:dyDescent="0.25">
      <c r="A658" s="1" t="s">
        <v>982</v>
      </c>
      <c r="D658" s="3" t="s">
        <v>1162</v>
      </c>
      <c r="E658" s="15" t="s">
        <v>983</v>
      </c>
      <c r="F658" s="15"/>
      <c r="G658" s="15" t="str">
        <f>IFERROR(VLOOKUP(D658,[5]成飞半成品!$A:$B,2,0),VLOOKUP(D658,[5]九院成本!$A$4:$B$48,2,0))</f>
        <v>工装</v>
      </c>
      <c r="J658" s="18" t="e">
        <v>#N/A</v>
      </c>
      <c r="L658" s="3">
        <v>1695</v>
      </c>
      <c r="M658" s="19"/>
      <c r="N658" s="19"/>
      <c r="O658" s="34"/>
      <c r="P658" s="4"/>
      <c r="Q658" s="18">
        <v>4</v>
      </c>
      <c r="R658" s="3"/>
      <c r="S658" s="6"/>
      <c r="T658" s="22"/>
      <c r="V658" s="23">
        <v>113</v>
      </c>
      <c r="W658" s="24" t="s">
        <v>9</v>
      </c>
    </row>
    <row r="659" spans="1:25" ht="22.95" customHeight="1" x14ac:dyDescent="0.25">
      <c r="A659" s="1" t="s">
        <v>982</v>
      </c>
      <c r="D659" s="3" t="s">
        <v>1162</v>
      </c>
      <c r="E659" s="15" t="s">
        <v>984</v>
      </c>
      <c r="F659" s="15"/>
      <c r="G659" s="15" t="str">
        <f>IFERROR(VLOOKUP(D659,[5]成飞半成品!$A:$B,2,0),VLOOKUP(D659,[5]九院成本!$A$4:$B$48,2,0))</f>
        <v>工装</v>
      </c>
      <c r="J659" s="18" t="e">
        <v>#N/A</v>
      </c>
      <c r="L659" s="3">
        <v>1105</v>
      </c>
      <c r="M659" s="19"/>
      <c r="N659" s="19"/>
      <c r="O659" s="34"/>
      <c r="P659" s="4"/>
      <c r="Q659" s="18">
        <v>4</v>
      </c>
      <c r="R659" s="3"/>
      <c r="S659" s="6"/>
      <c r="T659" s="22"/>
      <c r="V659" s="23">
        <v>73.7</v>
      </c>
      <c r="W659" s="24" t="s">
        <v>9</v>
      </c>
    </row>
    <row r="660" spans="1:25" ht="22.95" customHeight="1" x14ac:dyDescent="0.25">
      <c r="A660" s="1" t="s">
        <v>985</v>
      </c>
      <c r="D660" s="3" t="s">
        <v>1038</v>
      </c>
      <c r="E660" s="15" t="s">
        <v>987</v>
      </c>
      <c r="F660" s="15" t="s">
        <v>987</v>
      </c>
      <c r="G660" s="15" t="str">
        <f>IFERROR(VLOOKUP(D660,[5]成飞半成品!$A:$B,2,0),VLOOKUP(D660,[5]九院成本!$A$4:$B$48,2,0))</f>
        <v>1N-2020-11-076</v>
      </c>
      <c r="H660" s="3" t="s">
        <v>80</v>
      </c>
      <c r="I660" s="3" t="s">
        <v>340</v>
      </c>
      <c r="J660" s="18" t="e">
        <v>#N/A</v>
      </c>
      <c r="K660" s="3">
        <v>243</v>
      </c>
      <c r="L660" s="3">
        <v>268</v>
      </c>
      <c r="M660" s="19">
        <v>8</v>
      </c>
      <c r="N660" s="19">
        <v>8</v>
      </c>
      <c r="O660" s="34" t="s">
        <v>1163</v>
      </c>
      <c r="P660" s="4"/>
      <c r="Q660" s="18">
        <v>5</v>
      </c>
      <c r="R660" s="3"/>
      <c r="S660" s="6"/>
      <c r="T660" s="22"/>
      <c r="V660" s="23">
        <v>22.3</v>
      </c>
      <c r="W660" s="24" t="s">
        <v>12</v>
      </c>
      <c r="X660" s="7" t="s">
        <v>257</v>
      </c>
      <c r="Y660" s="7" t="s">
        <v>235</v>
      </c>
    </row>
    <row r="661" spans="1:25" ht="22.95" customHeight="1" x14ac:dyDescent="0.25">
      <c r="D661" s="3" t="s">
        <v>1162</v>
      </c>
      <c r="E661" s="3" t="s">
        <v>989</v>
      </c>
      <c r="G661" s="15" t="str">
        <f>IFERROR(VLOOKUP(D661,[5]成飞半成品!$A:$B,2,0),VLOOKUP(D661,[5]九院成本!$A$4:$B$48,2,0))</f>
        <v>工装</v>
      </c>
      <c r="J661" s="18" t="e">
        <v>#N/A</v>
      </c>
      <c r="Q661" s="18">
        <v>6</v>
      </c>
      <c r="U661" s="7">
        <v>32</v>
      </c>
      <c r="V661" s="23">
        <v>32</v>
      </c>
      <c r="W661" s="3" t="s">
        <v>17</v>
      </c>
    </row>
    <row r="662" spans="1:25" ht="22.95" customHeight="1" x14ac:dyDescent="0.25">
      <c r="D662" s="3" t="s">
        <v>1160</v>
      </c>
      <c r="E662" s="3" t="s">
        <v>990</v>
      </c>
      <c r="G662" s="15" t="str">
        <f>IFERROR(VLOOKUP(D662,[5]成飞半成品!$A:$B,2,0),VLOOKUP(D662,[5]九院成本!$A$4:$B$48,2,0))</f>
        <v>3D打印</v>
      </c>
      <c r="J662" s="18" t="e">
        <v>#N/A</v>
      </c>
      <c r="Q662" s="18">
        <v>7</v>
      </c>
      <c r="U662" s="7">
        <v>8</v>
      </c>
      <c r="V662" s="23">
        <v>8</v>
      </c>
      <c r="W662" s="24" t="s">
        <v>7</v>
      </c>
    </row>
    <row r="663" spans="1:25" ht="22.95" customHeight="1" x14ac:dyDescent="0.25">
      <c r="A663" s="1" t="s">
        <v>100</v>
      </c>
      <c r="D663" s="3" t="s">
        <v>1188</v>
      </c>
      <c r="E663" s="15" t="s">
        <v>55</v>
      </c>
      <c r="F663" s="15" t="e">
        <v>#N/A</v>
      </c>
      <c r="G663" s="15" t="e">
        <f>IFERROR(VLOOKUP(D663,[5]成飞半成品!$A:$B,2,0),VLOOKUP(D663,[5]九院成本!$A$4:$B$48,2,0))</f>
        <v>#N/A</v>
      </c>
      <c r="H663" s="3" t="s">
        <v>80</v>
      </c>
      <c r="I663" s="3" t="s">
        <v>340</v>
      </c>
      <c r="J663" s="18" t="e">
        <v>#N/A</v>
      </c>
      <c r="L663" s="3">
        <v>12</v>
      </c>
      <c r="M663" s="19">
        <v>30</v>
      </c>
      <c r="N663" s="19">
        <v>30</v>
      </c>
      <c r="P663" s="4"/>
      <c r="Q663" s="18">
        <v>0</v>
      </c>
      <c r="R663" s="3"/>
      <c r="S663" s="6"/>
      <c r="T663" s="22"/>
      <c r="U663" s="7">
        <v>4</v>
      </c>
      <c r="V663" s="23">
        <v>4</v>
      </c>
      <c r="W663" s="24" t="s">
        <v>3</v>
      </c>
      <c r="X663" s="7" t="s">
        <v>516</v>
      </c>
      <c r="Y663" s="7" t="s">
        <v>733</v>
      </c>
    </row>
    <row r="664" spans="1:25" ht="22.95" customHeight="1" x14ac:dyDescent="0.25">
      <c r="A664" s="1" t="s">
        <v>103</v>
      </c>
      <c r="D664" s="3" t="s">
        <v>992</v>
      </c>
      <c r="E664" s="15" t="s">
        <v>356</v>
      </c>
      <c r="F664" s="15" t="s">
        <v>356</v>
      </c>
      <c r="G664" s="15" t="str">
        <f>IFERROR(VLOOKUP(D664,[5]成飞半成品!$A:$B,2,0),VLOOKUP(D664,[5]九院成本!$A$4:$B$48,2,0))</f>
        <v>后端框</v>
      </c>
      <c r="H664" s="3" t="s">
        <v>147</v>
      </c>
      <c r="I664" s="3">
        <v>60</v>
      </c>
      <c r="J664" s="18" t="s">
        <v>1100</v>
      </c>
      <c r="K664" s="3">
        <v>6</v>
      </c>
      <c r="L664" s="3">
        <v>2</v>
      </c>
      <c r="M664" s="19">
        <v>30</v>
      </c>
      <c r="N664" s="19">
        <v>30</v>
      </c>
      <c r="O664" s="5" t="s">
        <v>357</v>
      </c>
      <c r="P664" s="4"/>
      <c r="Q664" s="18">
        <v>420</v>
      </c>
      <c r="R664" s="3"/>
      <c r="S664" s="6"/>
      <c r="T664" s="22"/>
      <c r="V664" s="23">
        <v>14</v>
      </c>
      <c r="W664" s="24" t="s">
        <v>3</v>
      </c>
    </row>
    <row r="665" spans="1:25" ht="22.95" customHeight="1" x14ac:dyDescent="0.25">
      <c r="A665" s="1" t="s">
        <v>103</v>
      </c>
      <c r="D665" s="3" t="s">
        <v>862</v>
      </c>
      <c r="E665" s="15" t="s">
        <v>383</v>
      </c>
      <c r="F665" s="15" t="s">
        <v>383</v>
      </c>
      <c r="G665" s="15" t="str">
        <f>IFERROR(VLOOKUP(D665,[5]成飞半成品!$A:$B,2,0),VLOOKUP(D665,[5]九院成本!$A$4:$B$48,2,0))</f>
        <v>1号下壁板</v>
      </c>
      <c r="H665" s="3" t="s">
        <v>114</v>
      </c>
      <c r="I665" s="3">
        <v>15</v>
      </c>
      <c r="J665" s="18" t="s">
        <v>1071</v>
      </c>
      <c r="K665" s="3">
        <v>2</v>
      </c>
      <c r="L665" s="3">
        <v>2</v>
      </c>
      <c r="M665" s="19">
        <v>30</v>
      </c>
      <c r="N665" s="19">
        <v>30</v>
      </c>
      <c r="O665" s="5" t="s">
        <v>525</v>
      </c>
      <c r="P665" s="4"/>
      <c r="Q665" s="18">
        <v>720</v>
      </c>
      <c r="R665" s="3"/>
      <c r="S665" s="6"/>
      <c r="T665" s="22"/>
      <c r="V665" s="23">
        <v>24</v>
      </c>
      <c r="W665" s="24" t="s">
        <v>3</v>
      </c>
    </row>
    <row r="666" spans="1:25" ht="22.95" customHeight="1" x14ac:dyDescent="0.25">
      <c r="A666" s="1" t="s">
        <v>103</v>
      </c>
      <c r="D666" s="3" t="s">
        <v>631</v>
      </c>
      <c r="E666" s="15" t="s">
        <v>632</v>
      </c>
      <c r="F666" s="15" t="s">
        <v>632</v>
      </c>
      <c r="G666" s="15" t="str">
        <f>IFERROR(VLOOKUP(D666,[5]成飞半成品!$A:$B,2,0),VLOOKUP(D666,[5]九院成本!$A$4:$B$48,2,0))</f>
        <v>BL280侧壁（左件）</v>
      </c>
      <c r="H666" s="3" t="s">
        <v>155</v>
      </c>
      <c r="I666" s="3">
        <v>40</v>
      </c>
      <c r="J666" s="18" t="s">
        <v>1069</v>
      </c>
      <c r="K666" s="3">
        <v>2</v>
      </c>
      <c r="L666" s="3">
        <v>1</v>
      </c>
      <c r="M666" s="19">
        <v>30</v>
      </c>
      <c r="N666" s="19">
        <v>30</v>
      </c>
      <c r="O666" s="5" t="s">
        <v>993</v>
      </c>
      <c r="P666" s="4"/>
      <c r="Q666" s="18">
        <v>960</v>
      </c>
      <c r="R666" s="3"/>
      <c r="S666" s="6"/>
      <c r="T666" s="22"/>
      <c r="V666" s="23">
        <v>16</v>
      </c>
      <c r="W666" s="24" t="s">
        <v>3</v>
      </c>
    </row>
    <row r="667" spans="1:25" ht="22.95" customHeight="1" x14ac:dyDescent="0.25">
      <c r="A667" s="1" t="s">
        <v>103</v>
      </c>
      <c r="D667" s="3" t="s">
        <v>153</v>
      </c>
      <c r="E667" s="15" t="s">
        <v>154</v>
      </c>
      <c r="F667" s="15" t="s">
        <v>154</v>
      </c>
      <c r="G667" s="15" t="str">
        <f>IFERROR(VLOOKUP(D667,[5]成飞半成品!$A:$B,2,0),VLOOKUP(D667,[5]九院成本!$A$4:$B$48,2,0))</f>
        <v>9350-11140右侧上梁</v>
      </c>
      <c r="H667" s="3" t="s">
        <v>385</v>
      </c>
      <c r="I667" s="3">
        <v>50</v>
      </c>
      <c r="J667" s="18" t="s">
        <v>1077</v>
      </c>
      <c r="K667" s="3">
        <v>1</v>
      </c>
      <c r="L667" s="3">
        <v>1</v>
      </c>
      <c r="M667" s="19">
        <v>30</v>
      </c>
      <c r="N667" s="19">
        <v>30</v>
      </c>
      <c r="O667" s="5" t="s">
        <v>752</v>
      </c>
      <c r="P667" s="4"/>
      <c r="Q667" s="18">
        <v>720</v>
      </c>
      <c r="R667" s="3"/>
      <c r="S667" s="6"/>
      <c r="T667" s="22"/>
      <c r="V667" s="23">
        <v>12</v>
      </c>
      <c r="W667" s="24" t="s">
        <v>3</v>
      </c>
    </row>
    <row r="668" spans="1:25" ht="22.95" customHeight="1" x14ac:dyDescent="0.25">
      <c r="A668" s="1" t="s">
        <v>109</v>
      </c>
      <c r="D668" s="3" t="s">
        <v>358</v>
      </c>
      <c r="E668" s="15" t="s">
        <v>359</v>
      </c>
      <c r="F668" s="15" t="e">
        <v>#N/A</v>
      </c>
      <c r="G668" s="15" t="e">
        <f>IFERROR(VLOOKUP(D668,[5]成飞半成品!$A:$B,2,0),VLOOKUP(D668,[5]九院成本!$A$4:$B$48,2,0))</f>
        <v>#N/A</v>
      </c>
      <c r="H668" s="3" t="s">
        <v>46</v>
      </c>
      <c r="I668" s="3">
        <v>35</v>
      </c>
      <c r="J668" s="18" t="e">
        <v>#N/A</v>
      </c>
      <c r="K668" s="3">
        <v>2</v>
      </c>
      <c r="L668" s="3">
        <v>2</v>
      </c>
      <c r="M668" s="19">
        <v>30</v>
      </c>
      <c r="N668" s="19">
        <v>30</v>
      </c>
      <c r="O668" s="5" t="s">
        <v>389</v>
      </c>
      <c r="P668" s="4"/>
      <c r="Q668" s="18">
        <v>150</v>
      </c>
      <c r="R668" s="3"/>
      <c r="S668" s="6"/>
      <c r="T668" s="22"/>
      <c r="V668" s="23">
        <v>5</v>
      </c>
      <c r="W668" s="24" t="s">
        <v>3</v>
      </c>
    </row>
    <row r="669" spans="1:25" ht="22.95" customHeight="1" x14ac:dyDescent="0.25">
      <c r="A669" s="1" t="s">
        <v>109</v>
      </c>
      <c r="D669" s="3" t="s">
        <v>994</v>
      </c>
      <c r="E669" s="15" t="s">
        <v>995</v>
      </c>
      <c r="F669" s="15" t="e">
        <v>#N/A</v>
      </c>
      <c r="G669" s="15" t="e">
        <f>IFERROR(VLOOKUP(D669,[5]成飞半成品!$A:$B,2,0),VLOOKUP(D669,[5]九院成本!$A$4:$B$48,2,0))</f>
        <v>#N/A</v>
      </c>
      <c r="H669" s="3" t="s">
        <v>46</v>
      </c>
      <c r="I669" s="3">
        <v>15</v>
      </c>
      <c r="J669" s="18" t="e">
        <v>#N/A</v>
      </c>
      <c r="K669" s="3">
        <v>4</v>
      </c>
      <c r="L669" s="3">
        <v>4</v>
      </c>
      <c r="M669" s="19">
        <v>30</v>
      </c>
      <c r="N669" s="19">
        <v>30</v>
      </c>
      <c r="O669" s="5" t="s">
        <v>996</v>
      </c>
      <c r="P669" s="4"/>
      <c r="Q669" s="18">
        <v>150</v>
      </c>
      <c r="R669" s="3"/>
      <c r="S669" s="6"/>
      <c r="T669" s="22"/>
      <c r="V669" s="23">
        <v>10</v>
      </c>
      <c r="W669" s="24" t="s">
        <v>3</v>
      </c>
    </row>
    <row r="670" spans="1:25" ht="22.95" customHeight="1" x14ac:dyDescent="0.25">
      <c r="A670" s="1" t="s">
        <v>109</v>
      </c>
      <c r="D670" s="3" t="s">
        <v>994</v>
      </c>
      <c r="E670" s="15" t="s">
        <v>995</v>
      </c>
      <c r="F670" s="15" t="e">
        <v>#N/A</v>
      </c>
      <c r="G670" s="15" t="e">
        <f>IFERROR(VLOOKUP(D670,[5]成飞半成品!$A:$B,2,0),VLOOKUP(D670,[5]九院成本!$A$4:$B$48,2,0))</f>
        <v>#N/A</v>
      </c>
      <c r="H670" s="3" t="s">
        <v>46</v>
      </c>
      <c r="I670" s="3">
        <v>35</v>
      </c>
      <c r="J670" s="18" t="e">
        <v>#N/A</v>
      </c>
      <c r="K670" s="3">
        <v>4</v>
      </c>
      <c r="L670" s="3">
        <v>4</v>
      </c>
      <c r="M670" s="19">
        <v>30</v>
      </c>
      <c r="N670" s="19">
        <v>30</v>
      </c>
      <c r="O670" s="5" t="s">
        <v>996</v>
      </c>
      <c r="P670" s="4"/>
      <c r="Q670" s="18">
        <v>150</v>
      </c>
      <c r="R670" s="3"/>
      <c r="S670" s="6"/>
      <c r="T670" s="22"/>
      <c r="V670" s="23">
        <v>10</v>
      </c>
      <c r="W670" s="24" t="s">
        <v>3</v>
      </c>
    </row>
    <row r="671" spans="1:25" ht="22.95" customHeight="1" x14ac:dyDescent="0.25">
      <c r="A671" s="1" t="s">
        <v>109</v>
      </c>
      <c r="D671" s="3" t="s">
        <v>472</v>
      </c>
      <c r="E671" s="15" t="s">
        <v>473</v>
      </c>
      <c r="F671" s="15" t="s">
        <v>473</v>
      </c>
      <c r="G671" s="15" t="str">
        <f>IFERROR(VLOOKUP(D671,[5]成飞半成品!$A:$B,2,0),VLOOKUP(D671,[5]九院成本!$A$4:$B$48,2,0))</f>
        <v>11140框左下半框</v>
      </c>
      <c r="H671" s="3" t="s">
        <v>147</v>
      </c>
      <c r="I671" s="3">
        <v>60</v>
      </c>
      <c r="J671" s="18" t="s">
        <v>1100</v>
      </c>
      <c r="K671" s="3">
        <v>2</v>
      </c>
      <c r="L671" s="3">
        <v>2</v>
      </c>
      <c r="M671" s="19">
        <v>30</v>
      </c>
      <c r="N671" s="19">
        <v>30</v>
      </c>
      <c r="O671" s="5" t="s">
        <v>997</v>
      </c>
      <c r="P671" s="4"/>
      <c r="Q671" s="18">
        <v>560</v>
      </c>
      <c r="R671" s="3"/>
      <c r="S671" s="6"/>
      <c r="T671" s="22"/>
      <c r="V671" s="23">
        <v>18.7</v>
      </c>
      <c r="W671" s="24" t="s">
        <v>3</v>
      </c>
    </row>
    <row r="672" spans="1:25" ht="22.95" customHeight="1" x14ac:dyDescent="0.25">
      <c r="A672" s="1" t="s">
        <v>157</v>
      </c>
      <c r="D672" s="3" t="s">
        <v>338</v>
      </c>
      <c r="E672" s="15" t="s">
        <v>339</v>
      </c>
      <c r="F672" s="15" t="s">
        <v>339</v>
      </c>
      <c r="G672" s="15" t="str">
        <f>IFERROR(VLOOKUP(D672,[5]成飞半成品!$A:$B,2,0),VLOOKUP(D672,[5]九院成本!$A$4:$B$48,2,0))</f>
        <v>11140框右下半框</v>
      </c>
      <c r="H672" s="3" t="s">
        <v>147</v>
      </c>
      <c r="I672" s="3">
        <v>60</v>
      </c>
      <c r="J672" s="18" t="s">
        <v>1100</v>
      </c>
      <c r="K672" s="3">
        <v>2</v>
      </c>
      <c r="L672" s="3">
        <v>2</v>
      </c>
      <c r="M672" s="19">
        <v>30</v>
      </c>
      <c r="N672" s="19">
        <v>30</v>
      </c>
      <c r="O672" s="5" t="s">
        <v>998</v>
      </c>
      <c r="P672" s="4"/>
      <c r="Q672" s="18">
        <v>560</v>
      </c>
      <c r="R672" s="3"/>
      <c r="S672" s="6"/>
      <c r="T672" s="22"/>
      <c r="V672" s="23">
        <v>18.7</v>
      </c>
      <c r="W672" s="24" t="s">
        <v>3</v>
      </c>
    </row>
    <row r="673" spans="1:25" ht="22.95" customHeight="1" x14ac:dyDescent="0.25">
      <c r="A673" s="1" t="s">
        <v>157</v>
      </c>
      <c r="D673" s="3" t="s">
        <v>338</v>
      </c>
      <c r="E673" s="15" t="s">
        <v>339</v>
      </c>
      <c r="F673" s="15" t="s">
        <v>339</v>
      </c>
      <c r="G673" s="15" t="str">
        <f>IFERROR(VLOOKUP(D673,[5]成飞半成品!$A:$B,2,0),VLOOKUP(D673,[5]九院成本!$A$4:$B$48,2,0))</f>
        <v>11140框右下半框</v>
      </c>
      <c r="H673" s="3" t="s">
        <v>147</v>
      </c>
      <c r="I673" s="3">
        <v>60</v>
      </c>
      <c r="J673" s="18" t="s">
        <v>1100</v>
      </c>
      <c r="K673" s="3">
        <v>3</v>
      </c>
      <c r="L673" s="3">
        <v>3</v>
      </c>
      <c r="M673" s="19">
        <v>30</v>
      </c>
      <c r="N673" s="19">
        <v>30</v>
      </c>
      <c r="O673" s="5" t="s">
        <v>999</v>
      </c>
      <c r="P673" s="4"/>
      <c r="Q673" s="18">
        <v>560</v>
      </c>
      <c r="R673" s="3"/>
      <c r="S673" s="6"/>
      <c r="T673" s="22"/>
      <c r="V673" s="23">
        <v>28</v>
      </c>
      <c r="W673" s="24" t="s">
        <v>3</v>
      </c>
    </row>
    <row r="674" spans="1:25" ht="22.95" customHeight="1" x14ac:dyDescent="0.25">
      <c r="A674" s="1" t="s">
        <v>157</v>
      </c>
      <c r="D674" s="3" t="s">
        <v>472</v>
      </c>
      <c r="E674" s="15" t="s">
        <v>473</v>
      </c>
      <c r="F674" s="15" t="s">
        <v>473</v>
      </c>
      <c r="G674" s="15" t="str">
        <f>IFERROR(VLOOKUP(D674,[5]成飞半成品!$A:$B,2,0),VLOOKUP(D674,[5]九院成本!$A$4:$B$48,2,0))</f>
        <v>11140框左下半框</v>
      </c>
      <c r="H674" s="3" t="s">
        <v>147</v>
      </c>
      <c r="I674" s="3">
        <v>60</v>
      </c>
      <c r="J674" s="18" t="s">
        <v>1100</v>
      </c>
      <c r="K674" s="3">
        <v>3</v>
      </c>
      <c r="L674" s="3">
        <v>3</v>
      </c>
      <c r="M674" s="19">
        <v>30</v>
      </c>
      <c r="N674" s="19">
        <v>30</v>
      </c>
      <c r="O674" s="5" t="s">
        <v>999</v>
      </c>
      <c r="P674" s="4"/>
      <c r="Q674" s="18">
        <v>560</v>
      </c>
      <c r="R674" s="3"/>
      <c r="S674" s="6"/>
      <c r="T674" s="22"/>
      <c r="V674" s="23">
        <v>28</v>
      </c>
      <c r="W674" s="24" t="s">
        <v>3</v>
      </c>
    </row>
    <row r="675" spans="1:25" ht="22.95" customHeight="1" x14ac:dyDescent="0.25">
      <c r="A675" s="1" t="s">
        <v>157</v>
      </c>
      <c r="D675" s="3" t="s">
        <v>992</v>
      </c>
      <c r="E675" s="15" t="s">
        <v>356</v>
      </c>
      <c r="F675" s="15" t="s">
        <v>356</v>
      </c>
      <c r="G675" s="15" t="str">
        <f>IFERROR(VLOOKUP(D675,[5]成飞半成品!$A:$B,2,0),VLOOKUP(D675,[5]九院成本!$A$4:$B$48,2,0))</f>
        <v>后端框</v>
      </c>
      <c r="H675" s="3" t="s">
        <v>147</v>
      </c>
      <c r="I675" s="3">
        <v>60</v>
      </c>
      <c r="J675" s="18" t="s">
        <v>1100</v>
      </c>
      <c r="K675" s="3">
        <v>6</v>
      </c>
      <c r="L675" s="3">
        <v>2</v>
      </c>
      <c r="M675" s="19">
        <v>30</v>
      </c>
      <c r="N675" s="19">
        <v>30</v>
      </c>
      <c r="O675" s="5" t="s">
        <v>357</v>
      </c>
      <c r="P675" s="4"/>
      <c r="Q675" s="18">
        <v>420</v>
      </c>
      <c r="R675" s="3"/>
      <c r="S675" s="6"/>
      <c r="T675" s="22"/>
      <c r="V675" s="23">
        <v>14</v>
      </c>
      <c r="W675" s="24" t="s">
        <v>3</v>
      </c>
    </row>
    <row r="676" spans="1:25" ht="22.95" customHeight="1" x14ac:dyDescent="0.25">
      <c r="A676" s="1" t="s">
        <v>116</v>
      </c>
      <c r="D676" s="3" t="s">
        <v>949</v>
      </c>
      <c r="E676" s="15" t="s">
        <v>950</v>
      </c>
      <c r="F676" s="15" t="s">
        <v>950</v>
      </c>
      <c r="G676" s="15" t="str">
        <f>IFERROR(VLOOKUP(D676,[5]成飞半成品!$A:$B,2,0),VLOOKUP(D676,[5]九院成本!$A$4:$B$48,2,0))</f>
        <v>根肋二段</v>
      </c>
      <c r="H676" s="3" t="s">
        <v>64</v>
      </c>
      <c r="I676" s="3">
        <v>65</v>
      </c>
      <c r="J676" s="18" t="s">
        <v>1091</v>
      </c>
      <c r="K676" s="3">
        <v>7</v>
      </c>
      <c r="L676" s="3">
        <v>5</v>
      </c>
      <c r="M676" s="19">
        <v>30</v>
      </c>
      <c r="N676" s="19">
        <v>30</v>
      </c>
      <c r="O676" s="5" t="s">
        <v>357</v>
      </c>
      <c r="P676" s="4"/>
      <c r="Q676" s="18">
        <v>600</v>
      </c>
      <c r="R676" s="3"/>
      <c r="S676" s="6"/>
      <c r="T676" s="22"/>
      <c r="V676" s="23">
        <v>50</v>
      </c>
      <c r="W676" s="24" t="s">
        <v>3</v>
      </c>
    </row>
    <row r="677" spans="1:25" ht="22.95" customHeight="1" x14ac:dyDescent="0.25">
      <c r="A677" s="1" t="s">
        <v>116</v>
      </c>
      <c r="D677" s="25" t="s">
        <v>1198</v>
      </c>
      <c r="E677" s="15" t="s">
        <v>1001</v>
      </c>
      <c r="F677" s="15" t="e">
        <v>#N/A</v>
      </c>
      <c r="G677" s="15" t="e">
        <f>IFERROR(VLOOKUP(D677,[5]成飞半成品!$A:$B,2,0),VLOOKUP(D677,[5]九院成本!$A$4:$B$48,2,0))</f>
        <v>#N/A</v>
      </c>
      <c r="H677" s="3" t="s">
        <v>147</v>
      </c>
      <c r="I677" s="3" t="s">
        <v>340</v>
      </c>
      <c r="J677" s="18" t="e">
        <v>#N/A</v>
      </c>
      <c r="K677" s="3">
        <v>10</v>
      </c>
      <c r="L677" s="3">
        <v>10</v>
      </c>
      <c r="M677" s="19">
        <v>30</v>
      </c>
      <c r="N677" s="19">
        <v>30</v>
      </c>
      <c r="O677" s="5" t="s">
        <v>1002</v>
      </c>
      <c r="P677" s="4"/>
      <c r="Q677" s="18">
        <v>40</v>
      </c>
      <c r="R677" s="3"/>
      <c r="S677" s="6"/>
      <c r="T677" s="22"/>
      <c r="V677" s="23">
        <v>6.7</v>
      </c>
      <c r="W677" s="24" t="s">
        <v>3</v>
      </c>
      <c r="X677" s="7" t="s">
        <v>1003</v>
      </c>
      <c r="Y677" s="7" t="s">
        <v>203</v>
      </c>
    </row>
    <row r="678" spans="1:25" ht="22.95" customHeight="1" x14ac:dyDescent="0.25">
      <c r="A678" s="1" t="s">
        <v>116</v>
      </c>
      <c r="D678" s="3" t="s">
        <v>153</v>
      </c>
      <c r="E678" s="15" t="s">
        <v>154</v>
      </c>
      <c r="F678" s="15" t="s">
        <v>154</v>
      </c>
      <c r="G678" s="15" t="str">
        <f>IFERROR(VLOOKUP(D678,[5]成飞半成品!$A:$B,2,0),VLOOKUP(D678,[5]九院成本!$A$4:$B$48,2,0))</f>
        <v>9350-11140右侧上梁</v>
      </c>
      <c r="H678" s="3" t="s">
        <v>385</v>
      </c>
      <c r="I678" s="3" t="s">
        <v>340</v>
      </c>
      <c r="J678" s="18" t="e">
        <v>#N/A</v>
      </c>
      <c r="K678" s="3">
        <v>2</v>
      </c>
      <c r="L678" s="3">
        <v>2</v>
      </c>
      <c r="M678" s="19">
        <v>30</v>
      </c>
      <c r="N678" s="19">
        <v>30</v>
      </c>
      <c r="O678" s="5" t="s">
        <v>1004</v>
      </c>
      <c r="P678" s="4"/>
      <c r="Q678" s="18">
        <v>240</v>
      </c>
      <c r="R678" s="3"/>
      <c r="S678" s="6"/>
      <c r="T678" s="22"/>
      <c r="V678" s="23">
        <v>8</v>
      </c>
      <c r="W678" s="24" t="s">
        <v>3</v>
      </c>
      <c r="X678" s="7" t="s">
        <v>362</v>
      </c>
      <c r="Y678" s="7" t="s">
        <v>203</v>
      </c>
    </row>
    <row r="679" spans="1:25" ht="22.95" customHeight="1" x14ac:dyDescent="0.25">
      <c r="A679" s="1" t="s">
        <v>116</v>
      </c>
      <c r="D679" s="3" t="s">
        <v>1005</v>
      </c>
      <c r="E679" s="15" t="s">
        <v>1006</v>
      </c>
      <c r="F679" s="15" t="e">
        <v>#N/A</v>
      </c>
      <c r="G679" s="15" t="e">
        <f>IFERROR(VLOOKUP(D679,[5]成飞半成品!$A:$B,2,0),VLOOKUP(D679,[5]九院成本!$A$4:$B$48,2,0))</f>
        <v>#N/A</v>
      </c>
      <c r="H679" s="3" t="s">
        <v>51</v>
      </c>
      <c r="I679" s="3">
        <v>45</v>
      </c>
      <c r="J679" s="18" t="s">
        <v>1106</v>
      </c>
      <c r="K679" s="3">
        <v>4</v>
      </c>
      <c r="L679" s="3">
        <v>4</v>
      </c>
      <c r="M679" s="19">
        <v>30</v>
      </c>
      <c r="N679" s="19">
        <v>30</v>
      </c>
      <c r="O679" s="5" t="s">
        <v>1007</v>
      </c>
      <c r="P679" s="4"/>
      <c r="Q679" s="18">
        <v>270</v>
      </c>
      <c r="R679" s="3"/>
      <c r="S679" s="6"/>
      <c r="T679" s="22"/>
      <c r="V679" s="23">
        <v>18</v>
      </c>
      <c r="W679" s="24" t="s">
        <v>3</v>
      </c>
    </row>
    <row r="680" spans="1:25" ht="22.95" customHeight="1" x14ac:dyDescent="0.25">
      <c r="A680" s="1" t="s">
        <v>562</v>
      </c>
      <c r="D680" s="3" t="s">
        <v>153</v>
      </c>
      <c r="E680" s="15" t="s">
        <v>154</v>
      </c>
      <c r="F680" s="15" t="s">
        <v>154</v>
      </c>
      <c r="G680" s="15" t="str">
        <f>IFERROR(VLOOKUP(D680,[5]成飞半成品!$A:$B,2,0),VLOOKUP(D680,[5]九院成本!$A$4:$B$48,2,0))</f>
        <v>9350-11140右侧上梁</v>
      </c>
      <c r="H680" s="3" t="s">
        <v>385</v>
      </c>
      <c r="I680" s="3">
        <v>50</v>
      </c>
      <c r="J680" s="18" t="s">
        <v>1077</v>
      </c>
      <c r="K680" s="3">
        <v>1</v>
      </c>
      <c r="L680" s="3">
        <v>1</v>
      </c>
      <c r="M680" s="19">
        <v>30</v>
      </c>
      <c r="N680" s="19">
        <v>30</v>
      </c>
      <c r="O680" s="5" t="s">
        <v>1008</v>
      </c>
      <c r="P680" s="4"/>
      <c r="Q680" s="18">
        <v>720</v>
      </c>
      <c r="R680" s="3"/>
      <c r="S680" s="6"/>
      <c r="T680" s="22"/>
      <c r="V680" s="23">
        <v>12</v>
      </c>
      <c r="W680" s="24" t="s">
        <v>3</v>
      </c>
    </row>
    <row r="681" spans="1:25" ht="22.95" customHeight="1" x14ac:dyDescent="0.25">
      <c r="A681" s="1" t="s">
        <v>562</v>
      </c>
      <c r="D681" s="3" t="s">
        <v>837</v>
      </c>
      <c r="E681" s="15" t="s">
        <v>835</v>
      </c>
      <c r="F681" s="15">
        <v>0</v>
      </c>
      <c r="G681" s="15" t="str">
        <f>IFERROR(VLOOKUP(D681,[5]成飞半成品!$A:$B,2,0),VLOOKUP(D681,[5]九院成本!$A$4:$B$48,2,0))</f>
        <v>斜横梁</v>
      </c>
      <c r="H681" s="3" t="s">
        <v>46</v>
      </c>
      <c r="I681" s="3">
        <v>80</v>
      </c>
      <c r="J681" s="18" t="s">
        <v>1155</v>
      </c>
      <c r="K681" s="3">
        <v>4</v>
      </c>
      <c r="L681" s="3">
        <v>4</v>
      </c>
      <c r="M681" s="19">
        <v>30</v>
      </c>
      <c r="N681" s="19">
        <v>30</v>
      </c>
      <c r="O681" s="5" t="s">
        <v>836</v>
      </c>
      <c r="P681" s="4"/>
      <c r="Q681" s="18">
        <v>440</v>
      </c>
      <c r="R681" s="3"/>
      <c r="S681" s="6"/>
      <c r="T681" s="22"/>
      <c r="V681" s="23">
        <v>29.3</v>
      </c>
      <c r="W681" s="24" t="s">
        <v>3</v>
      </c>
    </row>
    <row r="682" spans="1:25" ht="22.95" customHeight="1" x14ac:dyDescent="0.25">
      <c r="A682" s="1" t="s">
        <v>562</v>
      </c>
      <c r="D682" s="3" t="s">
        <v>992</v>
      </c>
      <c r="E682" s="15" t="s">
        <v>356</v>
      </c>
      <c r="F682" s="15" t="s">
        <v>356</v>
      </c>
      <c r="G682" s="15" t="str">
        <f>IFERROR(VLOOKUP(D682,[5]成飞半成品!$A:$B,2,0),VLOOKUP(D682,[5]九院成本!$A$4:$B$48,2,0))</f>
        <v>后端框</v>
      </c>
      <c r="H682" s="3" t="s">
        <v>147</v>
      </c>
      <c r="I682" s="3">
        <v>60</v>
      </c>
      <c r="J682" s="18" t="s">
        <v>1100</v>
      </c>
      <c r="K682" s="3">
        <v>6</v>
      </c>
      <c r="L682" s="3">
        <v>2</v>
      </c>
      <c r="M682" s="19">
        <v>30</v>
      </c>
      <c r="N682" s="19">
        <v>30</v>
      </c>
      <c r="O682" s="5" t="s">
        <v>357</v>
      </c>
      <c r="P682" s="4"/>
      <c r="Q682" s="18">
        <v>420</v>
      </c>
      <c r="R682" s="3"/>
      <c r="S682" s="6"/>
      <c r="T682" s="22"/>
      <c r="V682" s="23">
        <v>14</v>
      </c>
      <c r="W682" s="24" t="s">
        <v>3</v>
      </c>
    </row>
    <row r="683" spans="1:25" ht="22.95" customHeight="1" x14ac:dyDescent="0.25">
      <c r="A683" s="1" t="s">
        <v>562</v>
      </c>
      <c r="D683" s="3" t="s">
        <v>1161</v>
      </c>
      <c r="E683" s="15" t="s">
        <v>132</v>
      </c>
      <c r="F683" s="15" t="s">
        <v>132</v>
      </c>
      <c r="G683" s="15" t="str">
        <f>IFERROR(VLOOKUP(D683,[5]成飞半成品!$A:$B,2,0),VLOOKUP(D683,[5]九院成本!$A$4:$B$48,2,0))</f>
        <v>工装</v>
      </c>
      <c r="H683" s="3" t="s">
        <v>133</v>
      </c>
      <c r="I683" s="3">
        <v>75</v>
      </c>
      <c r="J683" s="18" t="s">
        <v>1085</v>
      </c>
      <c r="K683" s="3">
        <v>1</v>
      </c>
      <c r="L683" s="3">
        <v>1</v>
      </c>
      <c r="M683" s="19">
        <v>30</v>
      </c>
      <c r="N683" s="19">
        <v>30</v>
      </c>
      <c r="O683" s="5" t="s">
        <v>1009</v>
      </c>
      <c r="P683" s="4"/>
      <c r="Q683" s="18">
        <v>420</v>
      </c>
      <c r="R683" s="3"/>
      <c r="S683" s="6"/>
      <c r="T683" s="22"/>
      <c r="V683" s="23">
        <v>7</v>
      </c>
      <c r="W683" s="24" t="s">
        <v>3</v>
      </c>
    </row>
    <row r="684" spans="1:25" ht="22.95" customHeight="1" x14ac:dyDescent="0.25">
      <c r="A684" s="1" t="s">
        <v>759</v>
      </c>
      <c r="D684" s="3" t="s">
        <v>1005</v>
      </c>
      <c r="E684" s="15" t="s">
        <v>1006</v>
      </c>
      <c r="F684" s="15" t="e">
        <v>#N/A</v>
      </c>
      <c r="G684" s="15" t="e">
        <f>IFERROR(VLOOKUP(D684,[5]成飞半成品!$A:$B,2,0),VLOOKUP(D684,[5]九院成本!$A$4:$B$48,2,0))</f>
        <v>#N/A</v>
      </c>
      <c r="H684" s="3" t="s">
        <v>51</v>
      </c>
      <c r="I684" s="3" t="s">
        <v>340</v>
      </c>
      <c r="J684" s="18" t="e">
        <v>#N/A</v>
      </c>
      <c r="K684" s="3">
        <v>4</v>
      </c>
      <c r="L684" s="3">
        <v>4</v>
      </c>
      <c r="M684" s="19">
        <v>30</v>
      </c>
      <c r="N684" s="19">
        <v>30</v>
      </c>
      <c r="O684" s="5" t="s">
        <v>1007</v>
      </c>
      <c r="P684" s="4"/>
      <c r="Q684" s="18">
        <v>60</v>
      </c>
      <c r="R684" s="3"/>
      <c r="S684" s="6"/>
      <c r="T684" s="22"/>
      <c r="V684" s="23">
        <v>4</v>
      </c>
      <c r="W684" s="24" t="s">
        <v>3</v>
      </c>
      <c r="X684" s="7" t="s">
        <v>471</v>
      </c>
      <c r="Y684" s="7" t="s">
        <v>203</v>
      </c>
    </row>
    <row r="685" spans="1:25" ht="22.95" customHeight="1" x14ac:dyDescent="0.25">
      <c r="A685" s="1" t="s">
        <v>759</v>
      </c>
      <c r="D685" s="3" t="s">
        <v>631</v>
      </c>
      <c r="E685" s="15" t="s">
        <v>632</v>
      </c>
      <c r="F685" s="15" t="s">
        <v>632</v>
      </c>
      <c r="G685" s="15" t="str">
        <f>IFERROR(VLOOKUP(D685,[5]成飞半成品!$A:$B,2,0),VLOOKUP(D685,[5]九院成本!$A$4:$B$48,2,0))</f>
        <v>BL280侧壁（左件）</v>
      </c>
      <c r="H685" s="3" t="s">
        <v>155</v>
      </c>
      <c r="I685" s="3" t="s">
        <v>340</v>
      </c>
      <c r="J685" s="18" t="e">
        <v>#N/A</v>
      </c>
      <c r="K685" s="3">
        <v>2</v>
      </c>
      <c r="L685" s="3">
        <v>2</v>
      </c>
      <c r="M685" s="19">
        <v>30</v>
      </c>
      <c r="N685" s="19">
        <v>30</v>
      </c>
      <c r="O685" s="5" t="s">
        <v>993</v>
      </c>
      <c r="P685" s="4"/>
      <c r="Q685" s="18">
        <v>480</v>
      </c>
      <c r="R685" s="3"/>
      <c r="S685" s="6"/>
      <c r="T685" s="22"/>
      <c r="V685" s="23">
        <v>16</v>
      </c>
      <c r="W685" s="24" t="s">
        <v>3</v>
      </c>
      <c r="X685" s="7" t="s">
        <v>1010</v>
      </c>
      <c r="Y685" s="7" t="s">
        <v>203</v>
      </c>
    </row>
    <row r="686" spans="1:25" ht="22.95" customHeight="1" x14ac:dyDescent="0.25">
      <c r="A686" s="1" t="s">
        <v>759</v>
      </c>
      <c r="D686" s="14" t="s">
        <v>979</v>
      </c>
      <c r="E686" s="15" t="s">
        <v>50</v>
      </c>
      <c r="F686" s="15" t="s">
        <v>50</v>
      </c>
      <c r="G686" s="15" t="str">
        <f>IFERROR(VLOOKUP(D686,[5]成飞半成品!$A:$B,2,0),VLOOKUP(D686,[5]九院成本!$A$4:$B$48,2,0))</f>
        <v>10060下接头</v>
      </c>
      <c r="H686" s="3" t="s">
        <v>51</v>
      </c>
      <c r="I686" s="3">
        <v>35</v>
      </c>
      <c r="J686" s="18" t="s">
        <v>1072</v>
      </c>
      <c r="K686" s="3">
        <v>6</v>
      </c>
      <c r="L686" s="3">
        <v>6</v>
      </c>
      <c r="M686" s="19">
        <v>30</v>
      </c>
      <c r="N686" s="19">
        <v>30</v>
      </c>
      <c r="O686" s="5" t="s">
        <v>980</v>
      </c>
      <c r="P686" s="4"/>
      <c r="Q686" s="18">
        <v>360</v>
      </c>
      <c r="R686" s="3"/>
      <c r="S686" s="6"/>
      <c r="T686" s="22"/>
      <c r="V686" s="23">
        <v>36</v>
      </c>
      <c r="W686" s="24" t="s">
        <v>3</v>
      </c>
    </row>
    <row r="687" spans="1:25" ht="22.95" customHeight="1" x14ac:dyDescent="0.25">
      <c r="A687" s="1" t="s">
        <v>766</v>
      </c>
      <c r="D687" s="3" t="s">
        <v>1175</v>
      </c>
      <c r="E687" s="15" t="s">
        <v>289</v>
      </c>
      <c r="F687" s="15" t="s">
        <v>289</v>
      </c>
      <c r="G687" s="15" t="str">
        <f>IFERROR(VLOOKUP(D687,[5]成飞半成品!$A:$B,2,0),VLOOKUP(D687,[5]九院成本!$A$4:$B$48,2,0))</f>
        <v>拨叉</v>
      </c>
      <c r="H687" s="3" t="s">
        <v>385</v>
      </c>
      <c r="I687" s="3">
        <v>55</v>
      </c>
      <c r="J687" s="18" t="s">
        <v>1156</v>
      </c>
      <c r="K687" s="3">
        <v>3</v>
      </c>
      <c r="L687" s="3">
        <v>3</v>
      </c>
      <c r="M687" s="19">
        <v>8</v>
      </c>
      <c r="N687" s="19">
        <v>8</v>
      </c>
      <c r="O687" s="5" t="s">
        <v>1011</v>
      </c>
      <c r="P687" s="4"/>
      <c r="Q687" s="18">
        <v>30</v>
      </c>
      <c r="R687" s="3"/>
      <c r="S687" s="6"/>
      <c r="T687" s="22"/>
      <c r="V687" s="23">
        <v>1.5</v>
      </c>
      <c r="W687" s="24" t="s">
        <v>10</v>
      </c>
    </row>
    <row r="688" spans="1:25" ht="22.95" customHeight="1" x14ac:dyDescent="0.25">
      <c r="A688" s="1" t="s">
        <v>879</v>
      </c>
      <c r="D688" s="3" t="s">
        <v>1012</v>
      </c>
      <c r="E688" s="15" t="s">
        <v>1013</v>
      </c>
      <c r="F688" s="15" t="s">
        <v>1013</v>
      </c>
      <c r="G688" s="15" t="str">
        <f>IFERROR(VLOOKUP(D688,[5]成飞半成品!$A:$B,2,0),VLOOKUP(D688,[5]九院成本!$A$4:$B$48,2,0))</f>
        <v>联锁摇臂</v>
      </c>
      <c r="H688" s="3" t="s">
        <v>114</v>
      </c>
      <c r="I688" s="3">
        <v>25</v>
      </c>
      <c r="J688" s="18" t="s">
        <v>1099</v>
      </c>
      <c r="K688" s="3">
        <v>20</v>
      </c>
      <c r="L688" s="3">
        <v>20</v>
      </c>
      <c r="M688" s="19">
        <v>8</v>
      </c>
      <c r="N688" s="19">
        <v>8</v>
      </c>
      <c r="O688" s="5" t="s">
        <v>700</v>
      </c>
      <c r="P688" s="4"/>
      <c r="Q688" s="18">
        <v>30</v>
      </c>
      <c r="R688" s="3"/>
      <c r="S688" s="6"/>
      <c r="T688" s="22"/>
      <c r="V688" s="23">
        <v>10</v>
      </c>
      <c r="W688" s="24" t="s">
        <v>10</v>
      </c>
    </row>
    <row r="689" spans="1:25" ht="22.95" customHeight="1" x14ac:dyDescent="0.25">
      <c r="A689" s="1" t="s">
        <v>879</v>
      </c>
      <c r="D689" s="3" t="s">
        <v>1012</v>
      </c>
      <c r="E689" s="15" t="s">
        <v>1013</v>
      </c>
      <c r="F689" s="15" t="s">
        <v>1013</v>
      </c>
      <c r="G689" s="15" t="str">
        <f>IFERROR(VLOOKUP(D689,[5]成飞半成品!$A:$B,2,0),VLOOKUP(D689,[5]九院成本!$A$4:$B$48,2,0))</f>
        <v>联锁摇臂</v>
      </c>
      <c r="H689" s="3" t="s">
        <v>114</v>
      </c>
      <c r="I689" s="3">
        <v>25</v>
      </c>
      <c r="J689" s="18" t="s">
        <v>1099</v>
      </c>
      <c r="K689" s="3">
        <v>28</v>
      </c>
      <c r="L689" s="3">
        <v>28</v>
      </c>
      <c r="M689" s="19">
        <v>8</v>
      </c>
      <c r="N689" s="19">
        <v>8</v>
      </c>
      <c r="O689" s="5" t="s">
        <v>699</v>
      </c>
      <c r="P689" s="4"/>
      <c r="Q689" s="18">
        <v>30</v>
      </c>
      <c r="R689" s="3"/>
      <c r="S689" s="6"/>
      <c r="T689" s="22"/>
      <c r="V689" s="23">
        <v>14</v>
      </c>
      <c r="W689" s="24" t="s">
        <v>10</v>
      </c>
    </row>
    <row r="690" spans="1:25" ht="22.95" customHeight="1" x14ac:dyDescent="0.25">
      <c r="A690" s="1" t="s">
        <v>53</v>
      </c>
      <c r="D690" s="3" t="str">
        <f>O690</f>
        <v>2020-07-N-67</v>
      </c>
      <c r="E690" s="15" t="s">
        <v>136</v>
      </c>
      <c r="F690" s="15" t="s">
        <v>1084</v>
      </c>
      <c r="G690" s="15" t="str">
        <f>IFERROR(VLOOKUP(D690,[5]成飞半成品!$A:$B,2,0),VLOOKUP(D690,[5]九院成本!$A$4:$B$48,2,0))</f>
        <v>1N-2020-06-067</v>
      </c>
      <c r="H690" s="3" t="s">
        <v>80</v>
      </c>
      <c r="I690" s="3" t="s">
        <v>340</v>
      </c>
      <c r="J690" s="18" t="e">
        <v>#N/A</v>
      </c>
      <c r="K690" s="3">
        <v>2299</v>
      </c>
      <c r="L690" s="3">
        <v>1200</v>
      </c>
      <c r="M690" s="19">
        <v>8</v>
      </c>
      <c r="N690" s="19">
        <v>8</v>
      </c>
      <c r="O690" s="5" t="s">
        <v>1169</v>
      </c>
      <c r="P690" s="4"/>
      <c r="Q690" s="18">
        <v>3</v>
      </c>
      <c r="R690" s="3"/>
      <c r="S690" s="6"/>
      <c r="T690" s="22"/>
      <c r="V690" s="23">
        <v>60</v>
      </c>
      <c r="W690" s="24" t="s">
        <v>10</v>
      </c>
      <c r="X690" s="7" t="s">
        <v>1014</v>
      </c>
      <c r="Y690" s="7" t="s">
        <v>203</v>
      </c>
    </row>
    <row r="691" spans="1:25" ht="22.95" customHeight="1" x14ac:dyDescent="0.25">
      <c r="A691" s="1" t="s">
        <v>58</v>
      </c>
      <c r="D691" s="3" t="s">
        <v>1015</v>
      </c>
      <c r="E691" s="15" t="s">
        <v>120</v>
      </c>
      <c r="F691" s="15" t="s">
        <v>120</v>
      </c>
      <c r="G691" s="15" t="str">
        <f>IFERROR(VLOOKUP(D691,[5]成飞半成品!$A:$B,2,0),VLOOKUP(D691,[5]九院成本!$A$4:$B$48,2,0))</f>
        <v>支架</v>
      </c>
      <c r="I691" s="3" t="s">
        <v>340</v>
      </c>
      <c r="J691" s="18" t="e">
        <v>#N/A</v>
      </c>
      <c r="K691" s="3">
        <v>20</v>
      </c>
      <c r="L691" s="3">
        <v>24</v>
      </c>
      <c r="M691" s="19">
        <v>8</v>
      </c>
      <c r="N691" s="19">
        <v>8</v>
      </c>
      <c r="O691" s="5" t="s">
        <v>56</v>
      </c>
      <c r="P691" s="4"/>
      <c r="Q691" s="18">
        <v>45</v>
      </c>
      <c r="R691" s="3"/>
      <c r="S691" s="6"/>
      <c r="T691" s="22"/>
      <c r="V691" s="23">
        <v>18</v>
      </c>
      <c r="W691" s="24" t="s">
        <v>10</v>
      </c>
      <c r="X691" s="7" t="s">
        <v>344</v>
      </c>
      <c r="Y691" s="7" t="s">
        <v>203</v>
      </c>
    </row>
    <row r="692" spans="1:25" ht="22.95" customHeight="1" x14ac:dyDescent="0.25">
      <c r="A692" s="1" t="s">
        <v>58</v>
      </c>
      <c r="D692" s="3" t="s">
        <v>1015</v>
      </c>
      <c r="E692" s="15" t="s">
        <v>120</v>
      </c>
      <c r="F692" s="15" t="s">
        <v>120</v>
      </c>
      <c r="G692" s="15" t="str">
        <f>IFERROR(VLOOKUP(D692,[5]成飞半成品!$A:$B,2,0),VLOOKUP(D692,[5]九院成本!$A$4:$B$48,2,0))</f>
        <v>支架</v>
      </c>
      <c r="I692" s="3" t="s">
        <v>340</v>
      </c>
      <c r="J692" s="18" t="e">
        <v>#N/A</v>
      </c>
      <c r="K692" s="3">
        <v>6</v>
      </c>
      <c r="L692" s="3">
        <v>6</v>
      </c>
      <c r="M692" s="19">
        <v>8</v>
      </c>
      <c r="N692" s="19">
        <v>8</v>
      </c>
      <c r="O692" s="5" t="s">
        <v>357</v>
      </c>
      <c r="P692" s="4"/>
      <c r="Q692" s="18">
        <v>45</v>
      </c>
      <c r="R692" s="3"/>
      <c r="S692" s="6"/>
      <c r="T692" s="22"/>
      <c r="V692" s="23">
        <v>4.5</v>
      </c>
      <c r="W692" s="24" t="s">
        <v>10</v>
      </c>
      <c r="X692" s="7" t="s">
        <v>344</v>
      </c>
      <c r="Y692" s="7" t="s">
        <v>203</v>
      </c>
    </row>
    <row r="693" spans="1:25" ht="22.95" customHeight="1" x14ac:dyDescent="0.25">
      <c r="A693" s="1" t="s">
        <v>58</v>
      </c>
      <c r="D693" s="3" t="s">
        <v>1015</v>
      </c>
      <c r="E693" s="15" t="s">
        <v>120</v>
      </c>
      <c r="F693" s="15" t="s">
        <v>120</v>
      </c>
      <c r="G693" s="15" t="str">
        <f>IFERROR(VLOOKUP(D693,[5]成飞半成品!$A:$B,2,0),VLOOKUP(D693,[5]九院成本!$A$4:$B$48,2,0))</f>
        <v>支架</v>
      </c>
      <c r="I693" s="3" t="s">
        <v>340</v>
      </c>
      <c r="J693" s="18" t="e">
        <v>#N/A</v>
      </c>
      <c r="K693" s="3">
        <v>5</v>
      </c>
      <c r="L693" s="3">
        <v>5</v>
      </c>
      <c r="M693" s="19">
        <v>8</v>
      </c>
      <c r="N693" s="19">
        <v>8</v>
      </c>
      <c r="O693" s="5" t="s">
        <v>1016</v>
      </c>
      <c r="P693" s="4"/>
      <c r="Q693" s="18">
        <v>45</v>
      </c>
      <c r="R693" s="3"/>
      <c r="S693" s="6"/>
      <c r="T693" s="22"/>
      <c r="V693" s="23">
        <v>3.8</v>
      </c>
      <c r="W693" s="24" t="s">
        <v>10</v>
      </c>
      <c r="X693" s="7" t="s">
        <v>344</v>
      </c>
      <c r="Y693" s="7" t="s">
        <v>203</v>
      </c>
    </row>
    <row r="694" spans="1:25" ht="22.95" customHeight="1" x14ac:dyDescent="0.25">
      <c r="A694" s="1" t="s">
        <v>65</v>
      </c>
      <c r="D694" s="3" t="s">
        <v>818</v>
      </c>
      <c r="E694" s="15" t="s">
        <v>819</v>
      </c>
      <c r="F694" s="15" t="s">
        <v>819</v>
      </c>
      <c r="G694" s="15" t="str">
        <f>IFERROR(VLOOKUP(D694,[5]成飞半成品!$A:$B,2,0),VLOOKUP(D694,[5]九院成本!$A$4:$B$48,2,0))</f>
        <v>盖</v>
      </c>
      <c r="H694" s="3" t="s">
        <v>46</v>
      </c>
      <c r="I694" s="3" t="s">
        <v>340</v>
      </c>
      <c r="J694" s="18" t="e">
        <v>#N/A</v>
      </c>
      <c r="K694" s="3">
        <v>40</v>
      </c>
      <c r="L694" s="3">
        <v>40</v>
      </c>
      <c r="M694" s="19">
        <v>8</v>
      </c>
      <c r="N694" s="19">
        <v>8</v>
      </c>
      <c r="P694" s="4"/>
      <c r="Q694" s="18">
        <v>20</v>
      </c>
      <c r="R694" s="3"/>
      <c r="S694" s="6"/>
      <c r="T694" s="22"/>
      <c r="V694" s="23">
        <v>13.3</v>
      </c>
      <c r="W694" s="24" t="s">
        <v>10</v>
      </c>
      <c r="X694" s="7" t="s">
        <v>485</v>
      </c>
      <c r="Y694" s="7" t="s">
        <v>203</v>
      </c>
    </row>
    <row r="695" spans="1:25" ht="22.95" customHeight="1" x14ac:dyDescent="0.25">
      <c r="A695" s="1" t="s">
        <v>82</v>
      </c>
      <c r="D695" s="3" t="s">
        <v>279</v>
      </c>
      <c r="E695" s="15" t="s">
        <v>254</v>
      </c>
      <c r="F695" s="15" t="s">
        <v>254</v>
      </c>
      <c r="G695" s="15" t="str">
        <f>IFERROR(VLOOKUP(D695,[5]成飞半成品!$A:$B,2,0),VLOOKUP(D695,[5]九院成本!$A$4:$B$48,2,0))</f>
        <v>支座</v>
      </c>
      <c r="H695" s="3" t="s">
        <v>46</v>
      </c>
      <c r="I695" s="3" t="s">
        <v>340</v>
      </c>
      <c r="J695" s="18" t="e">
        <v>#N/A</v>
      </c>
      <c r="K695" s="3">
        <v>49</v>
      </c>
      <c r="L695" s="3">
        <v>49</v>
      </c>
      <c r="M695" s="19">
        <v>8</v>
      </c>
      <c r="N695" s="19">
        <v>8</v>
      </c>
      <c r="O695" s="5" t="s">
        <v>280</v>
      </c>
      <c r="P695" s="4"/>
      <c r="Q695" s="18">
        <v>25</v>
      </c>
      <c r="R695" s="3"/>
      <c r="S695" s="6"/>
      <c r="T695" s="22"/>
      <c r="V695" s="23">
        <v>20.399999999999999</v>
      </c>
      <c r="W695" s="24" t="s">
        <v>10</v>
      </c>
      <c r="X695" s="7" t="s">
        <v>377</v>
      </c>
      <c r="Y695" s="7" t="s">
        <v>203</v>
      </c>
    </row>
    <row r="696" spans="1:25" ht="22.95" customHeight="1" x14ac:dyDescent="0.25">
      <c r="A696" s="1" t="s">
        <v>82</v>
      </c>
      <c r="D696" s="3" t="s">
        <v>273</v>
      </c>
      <c r="E696" s="15" t="s">
        <v>274</v>
      </c>
      <c r="F696" s="15" t="s">
        <v>274</v>
      </c>
      <c r="G696" s="15" t="str">
        <f>IFERROR(VLOOKUP(D696,[5]成飞半成品!$A:$B,2,0),VLOOKUP(D696,[5]九院成本!$A$4:$B$48,2,0))</f>
        <v>铰链</v>
      </c>
      <c r="H696" s="3" t="s">
        <v>46</v>
      </c>
      <c r="I696" s="3" t="s">
        <v>340</v>
      </c>
      <c r="J696" s="18" t="e">
        <v>#N/A</v>
      </c>
      <c r="K696" s="3">
        <v>14</v>
      </c>
      <c r="L696" s="3">
        <v>14</v>
      </c>
      <c r="M696" s="19">
        <v>8</v>
      </c>
      <c r="N696" s="19">
        <v>8</v>
      </c>
      <c r="O696" s="5" t="s">
        <v>275</v>
      </c>
      <c r="P696" s="4"/>
      <c r="Q696" s="18">
        <v>20</v>
      </c>
      <c r="R696" s="3"/>
      <c r="S696" s="6"/>
      <c r="T696" s="22"/>
      <c r="V696" s="23">
        <v>4.7</v>
      </c>
      <c r="W696" s="24" t="s">
        <v>10</v>
      </c>
      <c r="X696" s="7" t="s">
        <v>485</v>
      </c>
      <c r="Y696" s="7" t="s">
        <v>203</v>
      </c>
    </row>
    <row r="697" spans="1:25" ht="22.95" customHeight="1" x14ac:dyDescent="0.25">
      <c r="A697" s="1" t="s">
        <v>116</v>
      </c>
      <c r="D697" s="3" t="s">
        <v>445</v>
      </c>
      <c r="E697" s="15" t="s">
        <v>446</v>
      </c>
      <c r="F697" s="15" t="s">
        <v>446</v>
      </c>
      <c r="G697" s="15" t="str">
        <f>IFERROR(VLOOKUP(D697,[5]成飞半成品!$A:$B,2,0),VLOOKUP(D697,[5]九院成本!$A$4:$B$48,2,0))</f>
        <v>摇臂</v>
      </c>
      <c r="H697" s="3" t="s">
        <v>80</v>
      </c>
      <c r="I697" s="3" t="s">
        <v>340</v>
      </c>
      <c r="J697" s="18" t="e">
        <v>#N/A</v>
      </c>
      <c r="L697" s="3">
        <v>3</v>
      </c>
      <c r="M697" s="19">
        <v>8</v>
      </c>
      <c r="N697" s="19">
        <v>8</v>
      </c>
      <c r="P697" s="4"/>
      <c r="Q697" s="18">
        <v>40</v>
      </c>
      <c r="R697" s="3"/>
      <c r="S697" s="6"/>
      <c r="T697" s="22"/>
      <c r="V697" s="23">
        <v>2</v>
      </c>
      <c r="W697" s="24" t="s">
        <v>10</v>
      </c>
      <c r="X697" s="7" t="s">
        <v>1003</v>
      </c>
      <c r="Y697" s="7" t="s">
        <v>203</v>
      </c>
    </row>
    <row r="698" spans="1:25" ht="22.95" customHeight="1" x14ac:dyDescent="0.25">
      <c r="A698" s="1" t="s">
        <v>876</v>
      </c>
      <c r="D698" s="3" t="s">
        <v>549</v>
      </c>
      <c r="E698" s="15" t="s">
        <v>76</v>
      </c>
      <c r="F698" s="15" t="s">
        <v>76</v>
      </c>
      <c r="G698" s="15" t="str">
        <f>IFERROR(VLOOKUP(D698,[5]成飞半成品!$A:$B,2,0),VLOOKUP(D698,[5]九院成本!$A$4:$B$48,2,0))</f>
        <v>接管嘴</v>
      </c>
      <c r="H698" s="3" t="s">
        <v>46</v>
      </c>
      <c r="I698" s="3" t="s">
        <v>340</v>
      </c>
      <c r="J698" s="18" t="e">
        <v>#N/A</v>
      </c>
      <c r="K698" s="3">
        <v>68</v>
      </c>
      <c r="L698" s="3">
        <v>68</v>
      </c>
      <c r="M698" s="19">
        <v>8</v>
      </c>
      <c r="N698" s="19">
        <v>8</v>
      </c>
      <c r="O698" s="5" t="s">
        <v>1017</v>
      </c>
      <c r="P698" s="4"/>
      <c r="Q698" s="18">
        <v>15</v>
      </c>
      <c r="R698" s="3"/>
      <c r="S698" s="6"/>
      <c r="T698" s="22"/>
      <c r="V698" s="23">
        <v>17</v>
      </c>
      <c r="W698" s="24" t="s">
        <v>10</v>
      </c>
      <c r="X698" s="7" t="s">
        <v>257</v>
      </c>
      <c r="Y698" s="7" t="s">
        <v>203</v>
      </c>
    </row>
    <row r="699" spans="1:25" ht="22.95" customHeight="1" x14ac:dyDescent="0.25">
      <c r="A699" s="1" t="s">
        <v>103</v>
      </c>
      <c r="D699" s="3" t="s">
        <v>284</v>
      </c>
      <c r="E699" s="15" t="s">
        <v>285</v>
      </c>
      <c r="F699" s="15" t="s">
        <v>285</v>
      </c>
      <c r="G699" s="15" t="str">
        <f>IFERROR(VLOOKUP(D699,[5]成飞半成品!$A:$B,2,0),VLOOKUP(D699,[5]九院成本!$A$4:$B$48,2,0))</f>
        <v>压板</v>
      </c>
      <c r="H699" s="3" t="s">
        <v>64</v>
      </c>
      <c r="I699" s="3" t="s">
        <v>340</v>
      </c>
      <c r="J699" s="18" t="e">
        <v>#N/A</v>
      </c>
      <c r="K699" s="3">
        <v>108</v>
      </c>
      <c r="L699" s="3">
        <v>108</v>
      </c>
      <c r="M699" s="19">
        <v>8</v>
      </c>
      <c r="N699" s="19">
        <v>8</v>
      </c>
      <c r="O699" s="5" t="s">
        <v>1018</v>
      </c>
      <c r="P699" s="4"/>
      <c r="Q699" s="18">
        <v>15</v>
      </c>
      <c r="R699" s="3"/>
      <c r="S699" s="6"/>
      <c r="T699" s="22"/>
      <c r="V699" s="23">
        <v>27</v>
      </c>
      <c r="W699" s="24" t="s">
        <v>10</v>
      </c>
      <c r="X699" s="7" t="s">
        <v>257</v>
      </c>
      <c r="Y699" s="7" t="s">
        <v>203</v>
      </c>
    </row>
    <row r="700" spans="1:25" ht="22.95" customHeight="1" x14ac:dyDescent="0.25">
      <c r="A700" s="1" t="s">
        <v>562</v>
      </c>
      <c r="D700" s="3" t="s">
        <v>110</v>
      </c>
      <c r="E700" s="15" t="s">
        <v>1186</v>
      </c>
      <c r="F700" s="15" t="s">
        <v>1020</v>
      </c>
      <c r="G700" s="15" t="str">
        <f>IFERROR(VLOOKUP(D700,[5]成飞半成品!$A:$B,2,0),VLOOKUP(D700,[5]九院成本!$A$4:$B$48,2,0))</f>
        <v>接管嘴</v>
      </c>
      <c r="H700" s="3" t="s">
        <v>46</v>
      </c>
      <c r="I700" s="3" t="s">
        <v>340</v>
      </c>
      <c r="J700" s="18" t="e">
        <v>#N/A</v>
      </c>
      <c r="K700" s="3">
        <v>56</v>
      </c>
      <c r="L700" s="3">
        <v>47</v>
      </c>
      <c r="M700" s="19">
        <v>8</v>
      </c>
      <c r="N700" s="19">
        <v>8</v>
      </c>
      <c r="O700" s="5" t="s">
        <v>376</v>
      </c>
      <c r="P700" s="4"/>
      <c r="Q700" s="18">
        <v>10</v>
      </c>
      <c r="R700" s="3"/>
      <c r="S700" s="6"/>
      <c r="T700" s="22"/>
      <c r="V700" s="23">
        <v>7.8</v>
      </c>
      <c r="W700" s="24" t="s">
        <v>10</v>
      </c>
      <c r="X700" s="7" t="s">
        <v>518</v>
      </c>
      <c r="Y700" s="7" t="s">
        <v>203</v>
      </c>
    </row>
    <row r="701" spans="1:25" ht="22.95" customHeight="1" x14ac:dyDescent="0.25">
      <c r="A701" s="1" t="s">
        <v>840</v>
      </c>
      <c r="D701" s="3" t="s">
        <v>1021</v>
      </c>
      <c r="E701" s="15" t="s">
        <v>1006</v>
      </c>
      <c r="F701" s="15" t="s">
        <v>1006</v>
      </c>
      <c r="G701" s="15" t="str">
        <f>IFERROR(VLOOKUP(D701,[5]成飞半成品!$A:$B,2,0),VLOOKUP(D701,[5]九院成本!$A$4:$B$48,2,0))</f>
        <v>8455 4号加强筋</v>
      </c>
      <c r="H701" s="3" t="s">
        <v>51</v>
      </c>
      <c r="I701" s="3">
        <v>45</v>
      </c>
      <c r="J701" s="18" t="s">
        <v>1106</v>
      </c>
      <c r="K701" s="3">
        <v>1</v>
      </c>
      <c r="L701" s="3">
        <v>1</v>
      </c>
      <c r="M701" s="19">
        <v>30</v>
      </c>
      <c r="N701" s="19">
        <v>30</v>
      </c>
      <c r="O701" s="5" t="s">
        <v>499</v>
      </c>
      <c r="P701" s="4"/>
      <c r="Q701" s="18">
        <v>270</v>
      </c>
      <c r="R701" s="3"/>
      <c r="S701" s="6"/>
      <c r="T701" s="22"/>
      <c r="V701" s="23">
        <v>4.5</v>
      </c>
      <c r="W701" s="24" t="s">
        <v>16</v>
      </c>
    </row>
    <row r="702" spans="1:25" ht="22.95" customHeight="1" x14ac:dyDescent="0.25">
      <c r="A702" s="1" t="s">
        <v>840</v>
      </c>
      <c r="D702" s="3" t="s">
        <v>1022</v>
      </c>
      <c r="E702" s="15" t="s">
        <v>1006</v>
      </c>
      <c r="F702" s="15" t="s">
        <v>1006</v>
      </c>
      <c r="G702" s="15" t="str">
        <f>IFERROR(VLOOKUP(D702,[5]成飞半成品!$A:$B,2,0),VLOOKUP(D702,[5]九院成本!$A$4:$B$48,2,0))</f>
        <v>8455 4号加强筋</v>
      </c>
      <c r="H702" s="3" t="s">
        <v>51</v>
      </c>
      <c r="I702" s="3">
        <v>45</v>
      </c>
      <c r="J702" s="18" t="s">
        <v>1106</v>
      </c>
      <c r="K702" s="3">
        <v>1</v>
      </c>
      <c r="L702" s="3">
        <v>1</v>
      </c>
      <c r="M702" s="19">
        <v>30</v>
      </c>
      <c r="N702" s="19">
        <v>30</v>
      </c>
      <c r="O702" s="5" t="s">
        <v>499</v>
      </c>
      <c r="P702" s="4"/>
      <c r="Q702" s="18">
        <v>270</v>
      </c>
      <c r="R702" s="3"/>
      <c r="S702" s="6"/>
      <c r="T702" s="22"/>
      <c r="V702" s="23">
        <v>4.5</v>
      </c>
      <c r="W702" s="24" t="s">
        <v>16</v>
      </c>
    </row>
    <row r="703" spans="1:25" ht="22.95" customHeight="1" x14ac:dyDescent="0.25">
      <c r="A703" s="1" t="s">
        <v>879</v>
      </c>
      <c r="D703" s="3" t="s">
        <v>1023</v>
      </c>
      <c r="E703" s="15" t="s">
        <v>1024</v>
      </c>
      <c r="F703" s="15" t="s">
        <v>1024</v>
      </c>
      <c r="G703" s="15" t="str">
        <f>IFERROR(VLOOKUP(D703,[5]成飞半成品!$A:$B,2,0),VLOOKUP(D703,[5]九院成本!$A$4:$B$48,2,0))</f>
        <v>底板连接接头</v>
      </c>
      <c r="H703" s="3" t="s">
        <v>80</v>
      </c>
      <c r="I703" s="3">
        <v>30</v>
      </c>
      <c r="J703" s="18" t="s">
        <v>1079</v>
      </c>
      <c r="K703" s="3">
        <v>8</v>
      </c>
      <c r="L703" s="3">
        <v>8</v>
      </c>
      <c r="M703" s="19">
        <v>30</v>
      </c>
      <c r="N703" s="19">
        <v>30</v>
      </c>
      <c r="O703" s="5" t="s">
        <v>81</v>
      </c>
      <c r="P703" s="4"/>
      <c r="Q703" s="18">
        <v>60</v>
      </c>
      <c r="R703" s="3"/>
      <c r="S703" s="6"/>
      <c r="T703" s="22"/>
      <c r="V703" s="23">
        <v>8</v>
      </c>
      <c r="W703" s="24" t="s">
        <v>16</v>
      </c>
    </row>
    <row r="704" spans="1:25" ht="22.95" customHeight="1" x14ac:dyDescent="0.25">
      <c r="A704" s="1" t="s">
        <v>840</v>
      </c>
      <c r="D704" s="3" t="s">
        <v>1025</v>
      </c>
      <c r="E704" s="15" t="s">
        <v>120</v>
      </c>
      <c r="F704" s="15" t="s">
        <v>120</v>
      </c>
      <c r="G704" s="15" t="str">
        <f>IFERROR(VLOOKUP(D704,[5]成飞半成品!$A:$B,2,0),VLOOKUP(D704,[5]九院成本!$A$4:$B$48,2,0))</f>
        <v>支架</v>
      </c>
      <c r="H704" s="3" t="s">
        <v>51</v>
      </c>
      <c r="I704" s="3">
        <v>25</v>
      </c>
      <c r="J704" s="18" t="s">
        <v>1099</v>
      </c>
      <c r="K704" s="3">
        <v>8</v>
      </c>
      <c r="L704" s="3">
        <v>8</v>
      </c>
      <c r="M704" s="19">
        <v>30</v>
      </c>
      <c r="N704" s="19">
        <v>30</v>
      </c>
      <c r="O704" s="5" t="s">
        <v>911</v>
      </c>
      <c r="P704" s="4"/>
      <c r="Q704" s="18">
        <v>30</v>
      </c>
      <c r="R704" s="3"/>
      <c r="S704" s="6"/>
      <c r="T704" s="22"/>
      <c r="V704" s="23">
        <v>4</v>
      </c>
      <c r="W704" s="24" t="s">
        <v>16</v>
      </c>
    </row>
    <row r="705" spans="1:25" ht="22.95" customHeight="1" x14ac:dyDescent="0.25">
      <c r="A705" s="1" t="s">
        <v>879</v>
      </c>
      <c r="D705" s="3" t="s">
        <v>1022</v>
      </c>
      <c r="E705" s="15" t="s">
        <v>1006</v>
      </c>
      <c r="F705" s="15" t="s">
        <v>1006</v>
      </c>
      <c r="G705" s="15" t="str">
        <f>IFERROR(VLOOKUP(D705,[5]成飞半成品!$A:$B,2,0),VLOOKUP(D705,[5]九院成本!$A$4:$B$48,2,0))</f>
        <v>8455 4号加强筋</v>
      </c>
      <c r="H705" s="3" t="s">
        <v>51</v>
      </c>
      <c r="I705" s="3" t="s">
        <v>340</v>
      </c>
      <c r="J705" s="18" t="e">
        <v>#N/A</v>
      </c>
      <c r="K705" s="3">
        <v>1</v>
      </c>
      <c r="L705" s="3">
        <v>1</v>
      </c>
      <c r="M705" s="19">
        <v>30</v>
      </c>
      <c r="N705" s="19">
        <v>30</v>
      </c>
      <c r="O705" s="5" t="s">
        <v>499</v>
      </c>
      <c r="P705" s="4"/>
      <c r="Q705" s="18">
        <v>60</v>
      </c>
      <c r="R705" s="3"/>
      <c r="S705" s="6"/>
      <c r="T705" s="22"/>
      <c r="V705" s="23">
        <v>1</v>
      </c>
      <c r="W705" s="24" t="s">
        <v>16</v>
      </c>
      <c r="X705" s="7" t="s">
        <v>471</v>
      </c>
      <c r="Y705" s="7" t="s">
        <v>203</v>
      </c>
    </row>
    <row r="706" spans="1:25" ht="22.95" customHeight="1" x14ac:dyDescent="0.25">
      <c r="A706" s="1" t="s">
        <v>1026</v>
      </c>
      <c r="D706" s="3" t="s">
        <v>192</v>
      </c>
      <c r="E706" s="15" t="s">
        <v>1028</v>
      </c>
      <c r="F706" s="15" t="s">
        <v>1157</v>
      </c>
      <c r="G706" s="15" t="str">
        <f>IFERROR(VLOOKUP(D706,[5]成飞半成品!$A:$B,2,0),VLOOKUP(D706,[5]九院成本!$A$4:$B$48,2,0))</f>
        <v>1N-2020-09-040</v>
      </c>
      <c r="H706" s="3" t="s">
        <v>80</v>
      </c>
      <c r="I706" s="3">
        <v>15</v>
      </c>
      <c r="J706" s="18" t="e">
        <v>#N/A</v>
      </c>
      <c r="K706" s="3">
        <v>660</v>
      </c>
      <c r="L706" s="3">
        <v>665</v>
      </c>
      <c r="M706" s="19">
        <v>8</v>
      </c>
      <c r="N706" s="19">
        <v>8</v>
      </c>
      <c r="O706" s="5" t="s">
        <v>192</v>
      </c>
      <c r="P706" s="4"/>
      <c r="Q706" s="18">
        <v>12</v>
      </c>
      <c r="R706" s="3"/>
      <c r="S706" s="6"/>
      <c r="T706" s="22"/>
      <c r="V706" s="23">
        <v>133</v>
      </c>
      <c r="W706" s="24" t="s">
        <v>12</v>
      </c>
    </row>
    <row r="707" spans="1:25" ht="22.95" customHeight="1" x14ac:dyDescent="0.25">
      <c r="A707" s="1" t="s">
        <v>876</v>
      </c>
      <c r="D707" s="3" t="s">
        <v>816</v>
      </c>
      <c r="E707" s="15" t="s">
        <v>817</v>
      </c>
      <c r="F707" s="15" t="s">
        <v>817</v>
      </c>
      <c r="G707" s="15" t="str">
        <f>IFERROR(VLOOKUP(D707,[5]成飞半成品!$A:$B,2,0),VLOOKUP(D707,[5]九院成本!$A$4:$B$48,2,0))</f>
        <v>套筒</v>
      </c>
      <c r="H707" s="3" t="s">
        <v>51</v>
      </c>
      <c r="I707" s="3">
        <v>30</v>
      </c>
      <c r="J707" s="18" t="s">
        <v>1079</v>
      </c>
      <c r="K707" s="3">
        <v>16</v>
      </c>
      <c r="L707" s="3">
        <v>16</v>
      </c>
      <c r="M707" s="19">
        <v>8</v>
      </c>
      <c r="N707" s="19">
        <v>8</v>
      </c>
      <c r="O707" s="5" t="s">
        <v>197</v>
      </c>
      <c r="P707" s="4"/>
      <c r="Q707" s="18">
        <v>20</v>
      </c>
      <c r="R707" s="3"/>
      <c r="S707" s="6"/>
      <c r="T707" s="22"/>
      <c r="V707" s="23">
        <v>5.3</v>
      </c>
      <c r="W707" s="24" t="s">
        <v>12</v>
      </c>
    </row>
    <row r="708" spans="1:25" ht="22.95" customHeight="1" x14ac:dyDescent="0.25">
      <c r="A708" s="1" t="s">
        <v>985</v>
      </c>
      <c r="D708" s="3" t="s">
        <v>1030</v>
      </c>
      <c r="E708" s="15" t="s">
        <v>1029</v>
      </c>
      <c r="F708" s="15" t="s">
        <v>1029</v>
      </c>
      <c r="G708" s="15" t="str">
        <f>IFERROR(VLOOKUP(D708,[5]成飞半成品!$A:$B,2,0),VLOOKUP(D708,[5]九院成本!$A$4:$B$48,2,0))</f>
        <v>1N-2020-11-027</v>
      </c>
      <c r="H708" s="3" t="s">
        <v>80</v>
      </c>
      <c r="I708" s="3">
        <v>25</v>
      </c>
      <c r="J708" s="18" t="e">
        <v>#N/A</v>
      </c>
      <c r="K708" s="3">
        <v>165</v>
      </c>
      <c r="L708" s="3">
        <v>178</v>
      </c>
      <c r="M708" s="19">
        <v>8</v>
      </c>
      <c r="N708" s="19">
        <v>8</v>
      </c>
      <c r="O708" s="5" t="s">
        <v>1030</v>
      </c>
      <c r="P708" s="4"/>
      <c r="Q708" s="18">
        <v>4</v>
      </c>
      <c r="R708" s="3"/>
      <c r="S708" s="6"/>
      <c r="T708" s="22"/>
      <c r="V708" s="23">
        <v>11.9</v>
      </c>
      <c r="W708" s="24" t="s">
        <v>12</v>
      </c>
    </row>
    <row r="709" spans="1:25" ht="22.95" customHeight="1" x14ac:dyDescent="0.25">
      <c r="A709" s="1" t="s">
        <v>879</v>
      </c>
      <c r="D709" s="3" t="s">
        <v>1162</v>
      </c>
      <c r="E709" s="15" t="s">
        <v>1032</v>
      </c>
      <c r="F709" s="15" t="s">
        <v>1032</v>
      </c>
      <c r="G709" s="15" t="str">
        <f>IFERROR(VLOOKUP(D709,[5]成飞半成品!$A:$B,2,0),VLOOKUP(D709,[5]九院成本!$A$4:$B$48,2,0))</f>
        <v>工装</v>
      </c>
      <c r="H709" s="3" t="s">
        <v>80</v>
      </c>
      <c r="I709" s="3">
        <v>20</v>
      </c>
      <c r="J709" s="18" t="e">
        <v>#N/A</v>
      </c>
      <c r="K709" s="3">
        <v>4</v>
      </c>
      <c r="L709" s="3">
        <v>4</v>
      </c>
      <c r="M709" s="19">
        <v>8</v>
      </c>
      <c r="N709" s="19">
        <v>8</v>
      </c>
      <c r="O709" s="5" t="s">
        <v>192</v>
      </c>
      <c r="P709" s="4"/>
      <c r="Q709" s="18">
        <v>30</v>
      </c>
      <c r="R709" s="3"/>
      <c r="S709" s="6"/>
      <c r="T709" s="22"/>
      <c r="V709" s="23">
        <v>2</v>
      </c>
      <c r="W709" s="24" t="s">
        <v>12</v>
      </c>
    </row>
    <row r="710" spans="1:25" ht="22.95" customHeight="1" x14ac:dyDescent="0.25">
      <c r="A710" s="1" t="s">
        <v>879</v>
      </c>
      <c r="D710" s="3" t="s">
        <v>192</v>
      </c>
      <c r="E710" s="15" t="s">
        <v>609</v>
      </c>
      <c r="F710" s="15" t="s">
        <v>609</v>
      </c>
      <c r="G710" s="15" t="str">
        <f>IFERROR(VLOOKUP(D710,[5]成飞半成品!$A:$B,2,0),VLOOKUP(D710,[5]九院成本!$A$4:$B$48,2,0))</f>
        <v>1N-2020-09-040</v>
      </c>
      <c r="H710" s="3" t="s">
        <v>80</v>
      </c>
      <c r="I710" s="3">
        <v>10</v>
      </c>
      <c r="J710" s="18" t="e">
        <v>#N/A</v>
      </c>
      <c r="K710" s="3">
        <v>2</v>
      </c>
      <c r="L710" s="3">
        <v>2</v>
      </c>
      <c r="M710" s="19">
        <v>8</v>
      </c>
      <c r="N710" s="19">
        <v>8</v>
      </c>
      <c r="O710" s="5" t="s">
        <v>192</v>
      </c>
      <c r="P710" s="4"/>
      <c r="Q710" s="18">
        <v>10</v>
      </c>
      <c r="R710" s="3"/>
      <c r="S710" s="6"/>
      <c r="T710" s="22"/>
      <c r="V710" s="23">
        <v>0.3</v>
      </c>
      <c r="W710" s="24" t="s">
        <v>12</v>
      </c>
      <c r="X710" s="7" t="s">
        <v>1034</v>
      </c>
    </row>
    <row r="711" spans="1:25" ht="22.95" customHeight="1" x14ac:dyDescent="0.25">
      <c r="A711" s="1" t="s">
        <v>879</v>
      </c>
      <c r="D711" s="3" t="s">
        <v>1030</v>
      </c>
      <c r="E711" s="15" t="s">
        <v>1029</v>
      </c>
      <c r="F711" s="15" t="s">
        <v>1029</v>
      </c>
      <c r="G711" s="15" t="str">
        <f>IFERROR(VLOOKUP(D711,[5]成飞半成品!$A:$B,2,0),VLOOKUP(D711,[5]九院成本!$A$4:$B$48,2,0))</f>
        <v>1N-2020-11-027</v>
      </c>
      <c r="H711" s="3" t="s">
        <v>80</v>
      </c>
      <c r="I711" s="3" t="s">
        <v>340</v>
      </c>
      <c r="J711" s="18" t="e">
        <v>#N/A</v>
      </c>
      <c r="K711" s="3">
        <v>243</v>
      </c>
      <c r="L711" s="3">
        <v>268</v>
      </c>
      <c r="M711" s="19">
        <v>8</v>
      </c>
      <c r="N711" s="19">
        <v>8</v>
      </c>
      <c r="O711" s="5" t="s">
        <v>1164</v>
      </c>
      <c r="P711" s="4"/>
      <c r="Q711" s="18">
        <v>6</v>
      </c>
      <c r="R711" s="3"/>
      <c r="S711" s="6"/>
      <c r="T711" s="22"/>
      <c r="V711" s="23">
        <v>26.8</v>
      </c>
      <c r="W711" s="24" t="s">
        <v>12</v>
      </c>
      <c r="X711" s="7" t="s">
        <v>1036</v>
      </c>
    </row>
    <row r="712" spans="1:25" ht="22.95" customHeight="1" x14ac:dyDescent="0.25">
      <c r="A712" s="1" t="s">
        <v>1037</v>
      </c>
      <c r="D712" s="3" t="s">
        <v>1038</v>
      </c>
      <c r="E712" s="15" t="s">
        <v>1029</v>
      </c>
      <c r="F712" s="15" t="s">
        <v>1029</v>
      </c>
      <c r="G712" s="15" t="str">
        <f>IFERROR(VLOOKUP(D712,[5]成飞半成品!$A:$B,2,0),VLOOKUP(D712,[5]九院成本!$A$4:$B$48,2,0))</f>
        <v>1N-2020-11-076</v>
      </c>
      <c r="H712" s="3" t="s">
        <v>80</v>
      </c>
      <c r="I712" s="3">
        <v>25</v>
      </c>
      <c r="J712" s="18" t="e">
        <v>#N/A</v>
      </c>
      <c r="K712" s="3">
        <v>78</v>
      </c>
      <c r="L712" s="3">
        <v>90</v>
      </c>
      <c r="M712" s="19">
        <v>8</v>
      </c>
      <c r="N712" s="19">
        <v>8</v>
      </c>
      <c r="O712" s="5" t="s">
        <v>1038</v>
      </c>
      <c r="P712" s="4"/>
      <c r="Q712" s="18">
        <v>4</v>
      </c>
      <c r="R712" s="3"/>
      <c r="S712" s="6"/>
      <c r="T712" s="22"/>
      <c r="V712" s="23">
        <v>6</v>
      </c>
      <c r="W712" s="24" t="s">
        <v>12</v>
      </c>
    </row>
    <row r="713" spans="1:25" ht="22.95" customHeight="1" x14ac:dyDescent="0.25">
      <c r="A713" s="1" t="s">
        <v>766</v>
      </c>
      <c r="D713" s="3" t="s">
        <v>1162</v>
      </c>
      <c r="E713" s="15" t="s">
        <v>211</v>
      </c>
      <c r="F713" s="15" t="e">
        <v>#N/A</v>
      </c>
      <c r="G713" s="15" t="str">
        <f>IFERROR(VLOOKUP(D713,[5]成飞半成品!$A:$B,2,0),VLOOKUP(D713,[5]九院成本!$A$4:$B$48,2,0))</f>
        <v>工装</v>
      </c>
      <c r="J713" s="18" t="e">
        <v>#N/A</v>
      </c>
      <c r="K713" s="3">
        <v>1</v>
      </c>
      <c r="L713" s="3">
        <v>1</v>
      </c>
      <c r="M713" s="19">
        <v>8</v>
      </c>
      <c r="N713" s="19">
        <v>8</v>
      </c>
      <c r="P713" s="4"/>
      <c r="Q713" s="18">
        <v>600</v>
      </c>
      <c r="R713" s="3"/>
      <c r="S713" s="6"/>
      <c r="T713" s="22"/>
      <c r="V713" s="23">
        <v>10</v>
      </c>
      <c r="W713" s="24" t="s">
        <v>7</v>
      </c>
      <c r="X713" s="7" t="s">
        <v>1039</v>
      </c>
    </row>
    <row r="714" spans="1:25" ht="22.95" customHeight="1" x14ac:dyDescent="0.25">
      <c r="A714" s="1" t="s">
        <v>766</v>
      </c>
      <c r="D714" s="3" t="s">
        <v>1162</v>
      </c>
      <c r="E714" s="15" t="s">
        <v>220</v>
      </c>
      <c r="F714" s="15" t="e">
        <v>#N/A</v>
      </c>
      <c r="G714" s="15" t="str">
        <f>IFERROR(VLOOKUP(D714,[5]成飞半成品!$A:$B,2,0),VLOOKUP(D714,[5]九院成本!$A$4:$B$48,2,0))</f>
        <v>工装</v>
      </c>
      <c r="J714" s="18" t="e">
        <v>#N/A</v>
      </c>
      <c r="K714" s="3">
        <v>1</v>
      </c>
      <c r="L714" s="3">
        <v>1</v>
      </c>
      <c r="M714" s="19">
        <v>8</v>
      </c>
      <c r="N714" s="19">
        <v>8</v>
      </c>
      <c r="P714" s="4"/>
      <c r="Q714" s="18">
        <v>840</v>
      </c>
      <c r="R714" s="3"/>
      <c r="S714" s="6"/>
      <c r="T714" s="22"/>
      <c r="V714" s="23">
        <v>14</v>
      </c>
      <c r="W714" s="24" t="s">
        <v>7</v>
      </c>
      <c r="X714" s="7" t="s">
        <v>791</v>
      </c>
    </row>
    <row r="715" spans="1:25" ht="22.95" customHeight="1" x14ac:dyDescent="0.25">
      <c r="A715" s="1" t="s">
        <v>840</v>
      </c>
      <c r="D715" s="3" t="s">
        <v>1162</v>
      </c>
      <c r="E715" s="15" t="s">
        <v>793</v>
      </c>
      <c r="F715" s="15" t="e">
        <v>#N/A</v>
      </c>
      <c r="G715" s="15" t="str">
        <f>IFERROR(VLOOKUP(D715,[5]成飞半成品!$A:$B,2,0),VLOOKUP(D715,[5]九院成本!$A$4:$B$48,2,0))</f>
        <v>工装</v>
      </c>
      <c r="J715" s="18" t="e">
        <v>#N/A</v>
      </c>
      <c r="K715" s="3">
        <v>1</v>
      </c>
      <c r="L715" s="3">
        <v>1</v>
      </c>
      <c r="M715" s="19">
        <v>8</v>
      </c>
      <c r="N715" s="19">
        <v>8</v>
      </c>
      <c r="P715" s="4"/>
      <c r="Q715" s="18">
        <v>900</v>
      </c>
      <c r="R715" s="3"/>
      <c r="S715" s="6"/>
      <c r="T715" s="22"/>
      <c r="V715" s="23">
        <v>15</v>
      </c>
      <c r="W715" s="24" t="s">
        <v>7</v>
      </c>
      <c r="X715" s="7" t="s">
        <v>221</v>
      </c>
    </row>
    <row r="716" spans="1:25" ht="22.95" customHeight="1" x14ac:dyDescent="0.25">
      <c r="A716" s="1" t="s">
        <v>879</v>
      </c>
      <c r="D716" s="3" t="s">
        <v>1162</v>
      </c>
      <c r="E716" s="15" t="s">
        <v>1040</v>
      </c>
      <c r="F716" s="15" t="e">
        <v>#N/A</v>
      </c>
      <c r="G716" s="15" t="str">
        <f>IFERROR(VLOOKUP(D716,[5]成飞半成品!$A:$B,2,0),VLOOKUP(D716,[5]九院成本!$A$4:$B$48,2,0))</f>
        <v>工装</v>
      </c>
      <c r="J716" s="18" t="e">
        <v>#N/A</v>
      </c>
      <c r="K716" s="3">
        <v>1</v>
      </c>
      <c r="L716" s="3">
        <v>1</v>
      </c>
      <c r="M716" s="19">
        <v>8</v>
      </c>
      <c r="N716" s="19">
        <v>8</v>
      </c>
      <c r="P716" s="4"/>
      <c r="Q716" s="18">
        <v>420</v>
      </c>
      <c r="R716" s="3"/>
      <c r="S716" s="6"/>
      <c r="T716" s="22"/>
      <c r="V716" s="23">
        <v>7</v>
      </c>
      <c r="W716" s="24" t="s">
        <v>7</v>
      </c>
      <c r="X716" s="7" t="s">
        <v>221</v>
      </c>
    </row>
    <row r="717" spans="1:25" ht="22.95" customHeight="1" x14ac:dyDescent="0.25">
      <c r="A717" s="1" t="s">
        <v>879</v>
      </c>
      <c r="D717" s="3" t="s">
        <v>1162</v>
      </c>
      <c r="E717" s="15" t="s">
        <v>1041</v>
      </c>
      <c r="F717" s="15" t="e">
        <v>#N/A</v>
      </c>
      <c r="G717" s="15" t="str">
        <f>IFERROR(VLOOKUP(D717,[5]成飞半成品!$A:$B,2,0),VLOOKUP(D717,[5]九院成本!$A$4:$B$48,2,0))</f>
        <v>工装</v>
      </c>
      <c r="J717" s="18" t="e">
        <v>#N/A</v>
      </c>
      <c r="K717" s="3">
        <v>3</v>
      </c>
      <c r="L717" s="3">
        <v>3</v>
      </c>
      <c r="M717" s="19">
        <v>8</v>
      </c>
      <c r="N717" s="19">
        <v>8</v>
      </c>
      <c r="P717" s="4"/>
      <c r="Q717" s="18">
        <v>300</v>
      </c>
      <c r="R717" s="3"/>
      <c r="S717" s="6"/>
      <c r="T717" s="22"/>
      <c r="V717" s="23">
        <v>15</v>
      </c>
      <c r="W717" s="24" t="s">
        <v>7</v>
      </c>
      <c r="X717" s="7" t="s">
        <v>217</v>
      </c>
    </row>
    <row r="718" spans="1:25" ht="22.95" customHeight="1" x14ac:dyDescent="0.25">
      <c r="A718" s="1" t="s">
        <v>764</v>
      </c>
      <c r="D718" s="3" t="s">
        <v>539</v>
      </c>
      <c r="E718" s="15" t="s">
        <v>531</v>
      </c>
      <c r="F718" s="15" t="s">
        <v>531</v>
      </c>
      <c r="G718" s="15" t="str">
        <f>IFERROR(VLOOKUP(D718,[5]成飞半成品!$A:$B,2,0),VLOOKUP(D718,[5]九院成本!$A$4:$B$48,2,0))</f>
        <v>变径三通管接头</v>
      </c>
      <c r="H718" s="3" t="s">
        <v>46</v>
      </c>
      <c r="I718" s="3">
        <v>30</v>
      </c>
      <c r="J718" s="18" t="s">
        <v>1111</v>
      </c>
      <c r="L718" s="3">
        <v>27</v>
      </c>
      <c r="M718" s="19">
        <v>8</v>
      </c>
      <c r="N718" s="19">
        <v>8</v>
      </c>
      <c r="O718" s="5" t="s">
        <v>88</v>
      </c>
      <c r="P718" s="4"/>
      <c r="Q718" s="18" t="s">
        <v>1112</v>
      </c>
      <c r="R718" s="3"/>
      <c r="S718" s="6"/>
      <c r="T718" s="22"/>
      <c r="V718" s="23">
        <v>4.5</v>
      </c>
      <c r="W718" s="24" t="s">
        <v>15</v>
      </c>
    </row>
    <row r="719" spans="1:25" ht="22.95" customHeight="1" x14ac:dyDescent="0.25">
      <c r="A719" s="1" t="s">
        <v>764</v>
      </c>
      <c r="D719" s="3" t="s">
        <v>539</v>
      </c>
      <c r="E719" s="15" t="s">
        <v>540</v>
      </c>
      <c r="F719" s="15" t="s">
        <v>540</v>
      </c>
      <c r="G719" s="15" t="str">
        <f>IFERROR(VLOOKUP(D719,[5]成飞半成品!$A:$B,2,0),VLOOKUP(D719,[5]九院成本!$A$4:$B$48,2,0))</f>
        <v>变径三通管接头</v>
      </c>
      <c r="H719" s="3" t="s">
        <v>51</v>
      </c>
      <c r="I719" s="3" t="s">
        <v>340</v>
      </c>
      <c r="J719" s="18" t="e">
        <v>#N/A</v>
      </c>
      <c r="L719" s="3">
        <v>38</v>
      </c>
      <c r="M719" s="19">
        <v>8</v>
      </c>
      <c r="N719" s="19">
        <v>8</v>
      </c>
      <c r="O719" s="5" t="s">
        <v>286</v>
      </c>
      <c r="P719" s="4"/>
      <c r="Q719" s="18">
        <v>15</v>
      </c>
      <c r="R719" s="3"/>
      <c r="S719" s="6"/>
      <c r="T719" s="22"/>
      <c r="V719" s="23">
        <v>9.5</v>
      </c>
      <c r="W719" s="24" t="s">
        <v>15</v>
      </c>
      <c r="X719" s="7" t="s">
        <v>257</v>
      </c>
      <c r="Y719" s="7" t="s">
        <v>203</v>
      </c>
    </row>
    <row r="720" spans="1:25" ht="22.95" customHeight="1" x14ac:dyDescent="0.25">
      <c r="A720" s="1" t="s">
        <v>764</v>
      </c>
      <c r="D720" s="3" t="s">
        <v>552</v>
      </c>
      <c r="E720" s="15" t="s">
        <v>553</v>
      </c>
      <c r="F720" s="15" t="s">
        <v>553</v>
      </c>
      <c r="G720" s="15" t="str">
        <f>IFERROR(VLOOKUP(D720,[5]成飞半成品!$A:$B,2,0),VLOOKUP(D720,[5]九院成本!$A$4:$B$48,2,0))</f>
        <v>变径四通管接头</v>
      </c>
      <c r="H720" s="3" t="s">
        <v>51</v>
      </c>
      <c r="I720" s="3">
        <v>40</v>
      </c>
      <c r="J720" s="18" t="s">
        <v>1069</v>
      </c>
      <c r="L720" s="3">
        <v>8</v>
      </c>
      <c r="M720" s="19">
        <v>8</v>
      </c>
      <c r="N720" s="19">
        <v>8</v>
      </c>
      <c r="O720" s="5" t="s">
        <v>295</v>
      </c>
      <c r="P720" s="4"/>
      <c r="Q720" s="18" t="s">
        <v>1158</v>
      </c>
      <c r="R720" s="3"/>
      <c r="S720" s="6"/>
      <c r="T720" s="22"/>
      <c r="V720" s="23">
        <v>6</v>
      </c>
      <c r="W720" s="24" t="s">
        <v>15</v>
      </c>
    </row>
    <row r="721" spans="1:25" ht="22.95" customHeight="1" x14ac:dyDescent="0.25">
      <c r="A721" s="1" t="s">
        <v>764</v>
      </c>
      <c r="D721" s="3" t="s">
        <v>267</v>
      </c>
      <c r="E721" s="15" t="s">
        <v>272</v>
      </c>
      <c r="F721" s="15" t="s">
        <v>272</v>
      </c>
      <c r="G721" s="15" t="str">
        <f>IFERROR(VLOOKUP(D721,[5]成飞半成品!$A:$B,2,0),VLOOKUP(D721,[5]九院成本!$A$4:$B$48,2,0))</f>
        <v>接嘴</v>
      </c>
      <c r="H721" s="3" t="s">
        <v>46</v>
      </c>
      <c r="I721" s="3">
        <v>40</v>
      </c>
      <c r="J721" s="18" t="s">
        <v>1069</v>
      </c>
      <c r="L721" s="3">
        <v>14</v>
      </c>
      <c r="M721" s="19">
        <v>8</v>
      </c>
      <c r="N721" s="19">
        <v>8</v>
      </c>
      <c r="O721" s="5" t="s">
        <v>88</v>
      </c>
      <c r="P721" s="4"/>
      <c r="Q721" s="18">
        <v>25</v>
      </c>
      <c r="R721" s="3"/>
      <c r="S721" s="6"/>
      <c r="T721" s="22"/>
      <c r="V721" s="23">
        <v>5.8</v>
      </c>
      <c r="W721" s="24" t="s">
        <v>15</v>
      </c>
    </row>
    <row r="722" spans="1:25" ht="22.95" customHeight="1" x14ac:dyDescent="0.25">
      <c r="A722" s="1" t="s">
        <v>764</v>
      </c>
      <c r="D722" s="3" t="s">
        <v>539</v>
      </c>
      <c r="E722" s="15" t="s">
        <v>531</v>
      </c>
      <c r="F722" s="15" t="s">
        <v>531</v>
      </c>
      <c r="G722" s="15" t="str">
        <f>IFERROR(VLOOKUP(D722,[5]成飞半成品!$A:$B,2,0),VLOOKUP(D722,[5]九院成本!$A$4:$B$48,2,0))</f>
        <v>变径三通管接头</v>
      </c>
      <c r="H722" s="3" t="s">
        <v>46</v>
      </c>
      <c r="I722" s="3" t="s">
        <v>340</v>
      </c>
      <c r="J722" s="18" t="e">
        <v>#N/A</v>
      </c>
      <c r="L722" s="3">
        <v>27</v>
      </c>
      <c r="M722" s="19">
        <v>8</v>
      </c>
      <c r="N722" s="19">
        <v>8</v>
      </c>
      <c r="O722" s="5" t="s">
        <v>88</v>
      </c>
      <c r="P722" s="4"/>
      <c r="Q722" s="18">
        <v>10</v>
      </c>
      <c r="R722" s="3"/>
      <c r="S722" s="6"/>
      <c r="T722" s="22"/>
      <c r="V722" s="23">
        <v>4.5</v>
      </c>
      <c r="W722" s="24" t="s">
        <v>15</v>
      </c>
      <c r="X722" s="7" t="s">
        <v>518</v>
      </c>
      <c r="Y722" s="7" t="s">
        <v>203</v>
      </c>
    </row>
    <row r="723" spans="1:25" ht="22.95" customHeight="1" x14ac:dyDescent="0.25">
      <c r="A723" s="1" t="s">
        <v>766</v>
      </c>
      <c r="D723" s="3" t="s">
        <v>1161</v>
      </c>
      <c r="E723" s="15" t="s">
        <v>1176</v>
      </c>
      <c r="F723" s="15" t="s">
        <v>1043</v>
      </c>
      <c r="G723" s="15" t="str">
        <f>IFERROR(VLOOKUP(D723,[5]成飞半成品!$A:$B,2,0),VLOOKUP(D723,[5]九院成本!$A$4:$B$48,2,0))</f>
        <v>工装</v>
      </c>
      <c r="H723" s="3" t="s">
        <v>46</v>
      </c>
      <c r="I723" s="3">
        <v>40</v>
      </c>
      <c r="J723" s="18" t="s">
        <v>1069</v>
      </c>
      <c r="L723" s="3">
        <v>31</v>
      </c>
      <c r="M723" s="19">
        <v>8</v>
      </c>
      <c r="N723" s="19">
        <v>8</v>
      </c>
      <c r="O723" s="5" t="s">
        <v>295</v>
      </c>
      <c r="P723" s="4"/>
      <c r="Q723" s="18">
        <v>30</v>
      </c>
      <c r="R723" s="3"/>
      <c r="S723" s="6"/>
      <c r="T723" s="22"/>
      <c r="V723" s="23">
        <v>15.5</v>
      </c>
      <c r="W723" s="24" t="s">
        <v>15</v>
      </c>
    </row>
    <row r="724" spans="1:25" ht="22.95" customHeight="1" x14ac:dyDescent="0.25">
      <c r="A724" s="1" t="s">
        <v>766</v>
      </c>
      <c r="D724" s="3" t="s">
        <v>1161</v>
      </c>
      <c r="E724" s="15" t="s">
        <v>1043</v>
      </c>
      <c r="F724" s="15" t="s">
        <v>1043</v>
      </c>
      <c r="G724" s="15" t="str">
        <f>IFERROR(VLOOKUP(D724,[5]成飞半成品!$A:$B,2,0),VLOOKUP(D724,[5]九院成本!$A$4:$B$48,2,0))</f>
        <v>工装</v>
      </c>
      <c r="H724" s="3" t="s">
        <v>46</v>
      </c>
      <c r="I724" s="3" t="s">
        <v>340</v>
      </c>
      <c r="J724" s="18" t="e">
        <v>#N/A</v>
      </c>
      <c r="L724" s="3">
        <v>31</v>
      </c>
      <c r="M724" s="19">
        <v>8</v>
      </c>
      <c r="N724" s="19">
        <v>8</v>
      </c>
      <c r="O724" s="5" t="s">
        <v>295</v>
      </c>
      <c r="P724" s="4"/>
      <c r="Q724" s="18">
        <v>15</v>
      </c>
      <c r="R724" s="3"/>
      <c r="S724" s="6"/>
      <c r="T724" s="22"/>
      <c r="V724" s="23">
        <v>7.8</v>
      </c>
      <c r="W724" s="24" t="s">
        <v>15</v>
      </c>
      <c r="X724" s="7" t="s">
        <v>257</v>
      </c>
      <c r="Y724" s="7" t="s">
        <v>203</v>
      </c>
    </row>
    <row r="725" spans="1:25" ht="22.95" customHeight="1" x14ac:dyDescent="0.25">
      <c r="A725" s="1" t="s">
        <v>840</v>
      </c>
      <c r="D725" s="3" t="s">
        <v>795</v>
      </c>
      <c r="E725" s="15" t="s">
        <v>523</v>
      </c>
      <c r="F725" s="15" t="s">
        <v>523</v>
      </c>
      <c r="G725" s="15" t="str">
        <f>IFERROR(VLOOKUP(D725,[5]成飞半成品!$A:$B,2,0),VLOOKUP(D725,[5]九院成本!$A$4:$B$48,2,0))</f>
        <v>三通管接头</v>
      </c>
      <c r="H725" s="3" t="s">
        <v>46</v>
      </c>
      <c r="I725" s="3">
        <v>25</v>
      </c>
      <c r="J725" s="18" t="s">
        <v>1099</v>
      </c>
      <c r="K725" s="3">
        <v>43</v>
      </c>
      <c r="L725" s="3">
        <v>43</v>
      </c>
      <c r="M725" s="19">
        <v>8</v>
      </c>
      <c r="N725" s="19">
        <v>8</v>
      </c>
      <c r="O725" s="5" t="s">
        <v>508</v>
      </c>
      <c r="P725" s="4"/>
      <c r="Q725" s="18">
        <v>25</v>
      </c>
      <c r="R725" s="3"/>
      <c r="S725" s="6"/>
      <c r="T725" s="22"/>
      <c r="V725" s="23">
        <v>17.899999999999999</v>
      </c>
      <c r="W725" s="24" t="s">
        <v>15</v>
      </c>
    </row>
    <row r="726" spans="1:25" ht="22.95" customHeight="1" x14ac:dyDescent="0.25">
      <c r="A726" s="1" t="s">
        <v>840</v>
      </c>
      <c r="D726" s="3" t="s">
        <v>768</v>
      </c>
      <c r="E726" s="15" t="s">
        <v>769</v>
      </c>
      <c r="F726" s="15" t="s">
        <v>769</v>
      </c>
      <c r="G726" s="15" t="str">
        <f>IFERROR(VLOOKUP(D726,[5]成飞半成品!$A:$B,2,0),VLOOKUP(D726,[5]九院成本!$A$4:$B$48,2,0))</f>
        <v>固定板</v>
      </c>
      <c r="H726" s="3" t="s">
        <v>46</v>
      </c>
      <c r="I726" s="3">
        <v>40</v>
      </c>
      <c r="J726" s="18" t="s">
        <v>1069</v>
      </c>
      <c r="K726" s="3">
        <v>20</v>
      </c>
      <c r="L726" s="3">
        <v>17</v>
      </c>
      <c r="M726" s="19">
        <v>8</v>
      </c>
      <c r="N726" s="19">
        <v>8</v>
      </c>
      <c r="O726" s="5" t="s">
        <v>636</v>
      </c>
      <c r="P726" s="4"/>
      <c r="Q726" s="18">
        <v>120</v>
      </c>
      <c r="R726" s="3"/>
      <c r="S726" s="6"/>
      <c r="T726" s="22"/>
      <c r="V726" s="23">
        <v>34</v>
      </c>
      <c r="W726" s="24" t="s">
        <v>8</v>
      </c>
    </row>
    <row r="727" spans="1:25" ht="22.95" customHeight="1" x14ac:dyDescent="0.25">
      <c r="A727" s="1" t="s">
        <v>840</v>
      </c>
      <c r="D727" s="3" t="s">
        <v>1044</v>
      </c>
      <c r="E727" s="15" t="s">
        <v>817</v>
      </c>
      <c r="F727" s="15" t="s">
        <v>817</v>
      </c>
      <c r="G727" s="15" t="str">
        <f>IFERROR(VLOOKUP(D727,[5]成飞半成品!$A:$B,2,0),VLOOKUP(D727,[5]九院成本!$A$4:$B$48,2,0))</f>
        <v>套筒</v>
      </c>
      <c r="H727" s="3" t="s">
        <v>64</v>
      </c>
      <c r="I727" s="3">
        <v>10</v>
      </c>
      <c r="J727" s="18" t="e">
        <v>#N/A</v>
      </c>
      <c r="K727" s="3">
        <v>1</v>
      </c>
      <c r="L727" s="3">
        <v>1</v>
      </c>
      <c r="M727" s="19">
        <v>8</v>
      </c>
      <c r="N727" s="19">
        <v>8</v>
      </c>
      <c r="O727" s="5" t="s">
        <v>463</v>
      </c>
      <c r="P727" s="4"/>
      <c r="Q727" s="18">
        <v>10</v>
      </c>
      <c r="R727" s="3"/>
      <c r="S727" s="6"/>
      <c r="T727" s="22"/>
      <c r="V727" s="23">
        <v>0.2</v>
      </c>
      <c r="W727" s="24" t="s">
        <v>8</v>
      </c>
      <c r="X727" s="7" t="s">
        <v>1045</v>
      </c>
    </row>
    <row r="728" spans="1:25" ht="22.95" customHeight="1" x14ac:dyDescent="0.25">
      <c r="A728" s="1" t="s">
        <v>879</v>
      </c>
      <c r="D728" s="3" t="s">
        <v>1046</v>
      </c>
      <c r="E728" s="15" t="s">
        <v>60</v>
      </c>
      <c r="F728" s="15" t="s">
        <v>60</v>
      </c>
      <c r="G728" s="15" t="str">
        <f>IFERROR(VLOOKUP(D728,[5]成飞半成品!$A:$B,2,0),VLOOKUP(D728,[5]九院成本!$A$4:$B$48,2,0))</f>
        <v>轴</v>
      </c>
      <c r="H728" s="3" t="s">
        <v>46</v>
      </c>
      <c r="I728" s="3">
        <v>20</v>
      </c>
      <c r="J728" s="18" t="s">
        <v>1159</v>
      </c>
      <c r="K728" s="3">
        <v>40</v>
      </c>
      <c r="L728" s="3">
        <v>40</v>
      </c>
      <c r="M728" s="19">
        <v>8</v>
      </c>
      <c r="N728" s="19">
        <v>8</v>
      </c>
      <c r="O728" s="5" t="s">
        <v>85</v>
      </c>
      <c r="P728" s="4"/>
      <c r="Q728" s="18" t="s">
        <v>1112</v>
      </c>
      <c r="R728" s="3"/>
      <c r="S728" s="6"/>
      <c r="T728" s="22"/>
      <c r="V728" s="23">
        <v>6.7</v>
      </c>
      <c r="W728" s="24" t="s">
        <v>8</v>
      </c>
    </row>
    <row r="729" spans="1:25" ht="22.95" customHeight="1" x14ac:dyDescent="0.25">
      <c r="A729" s="1" t="s">
        <v>840</v>
      </c>
      <c r="D729" s="3" t="s">
        <v>1047</v>
      </c>
      <c r="E729" s="15" t="s">
        <v>55</v>
      </c>
      <c r="F729" s="15" t="s">
        <v>55</v>
      </c>
      <c r="G729" s="15" t="str">
        <f>IFERROR(VLOOKUP(D729,[5]成飞半成品!$A:$B,2,0),VLOOKUP(D729,[5]九院成本!$A$4:$B$48,2,0))</f>
        <v>接头</v>
      </c>
      <c r="H729" s="3" t="s">
        <v>80</v>
      </c>
      <c r="I729" s="3">
        <v>30</v>
      </c>
      <c r="J729" s="18" t="s">
        <v>1079</v>
      </c>
      <c r="K729" s="3">
        <v>1</v>
      </c>
      <c r="L729" s="3">
        <v>1</v>
      </c>
      <c r="M729" s="19">
        <v>8</v>
      </c>
      <c r="N729" s="19">
        <v>8</v>
      </c>
      <c r="O729" s="5" t="s">
        <v>81</v>
      </c>
      <c r="P729" s="4"/>
      <c r="Q729" s="18">
        <v>30</v>
      </c>
      <c r="R729" s="3"/>
      <c r="S729" s="6"/>
      <c r="T729" s="22"/>
      <c r="V729" s="23">
        <v>0.5</v>
      </c>
      <c r="W729" s="24" t="s">
        <v>0</v>
      </c>
    </row>
    <row r="730" spans="1:25" ht="22.95" customHeight="1" x14ac:dyDescent="0.25">
      <c r="A730" s="1" t="s">
        <v>840</v>
      </c>
      <c r="D730" s="3" t="s">
        <v>1048</v>
      </c>
      <c r="E730" s="15" t="s">
        <v>55</v>
      </c>
      <c r="F730" s="15" t="s">
        <v>55</v>
      </c>
      <c r="G730" s="15" t="str">
        <f>IFERROR(VLOOKUP(D730,[5]成飞半成品!$A:$B,2,0),VLOOKUP(D730,[5]九院成本!$A$4:$B$48,2,0))</f>
        <v>接头</v>
      </c>
      <c r="H730" s="3" t="s">
        <v>80</v>
      </c>
      <c r="I730" s="3">
        <v>30</v>
      </c>
      <c r="J730" s="18" t="s">
        <v>1079</v>
      </c>
      <c r="K730" s="3">
        <v>1</v>
      </c>
      <c r="L730" s="3">
        <v>1</v>
      </c>
      <c r="M730" s="19">
        <v>8</v>
      </c>
      <c r="N730" s="19">
        <v>8</v>
      </c>
      <c r="O730" s="5" t="s">
        <v>81</v>
      </c>
      <c r="P730" s="4"/>
      <c r="Q730" s="18">
        <v>40</v>
      </c>
      <c r="R730" s="3"/>
      <c r="S730" s="6"/>
      <c r="T730" s="22"/>
      <c r="V730" s="23">
        <v>0.7</v>
      </c>
      <c r="W730" s="24" t="s">
        <v>0</v>
      </c>
    </row>
    <row r="731" spans="1:25" ht="22.95" customHeight="1" x14ac:dyDescent="0.25">
      <c r="A731" s="1" t="s">
        <v>840</v>
      </c>
      <c r="D731" s="3" t="s">
        <v>1049</v>
      </c>
      <c r="E731" s="15" t="s">
        <v>55</v>
      </c>
      <c r="F731" s="15" t="s">
        <v>55</v>
      </c>
      <c r="G731" s="15" t="str">
        <f>IFERROR(VLOOKUP(D731,[5]成飞半成品!$A:$B,2,0),VLOOKUP(D731,[5]九院成本!$A$4:$B$48,2,0))</f>
        <v>接头</v>
      </c>
      <c r="H731" s="3" t="s">
        <v>80</v>
      </c>
      <c r="I731" s="3">
        <v>30</v>
      </c>
      <c r="J731" s="18" t="s">
        <v>1079</v>
      </c>
      <c r="K731" s="3">
        <v>1</v>
      </c>
      <c r="L731" s="3">
        <v>1</v>
      </c>
      <c r="M731" s="19">
        <v>8</v>
      </c>
      <c r="N731" s="19">
        <v>8</v>
      </c>
      <c r="O731" s="5" t="s">
        <v>81</v>
      </c>
      <c r="P731" s="4"/>
      <c r="Q731" s="18">
        <v>40</v>
      </c>
      <c r="R731" s="3"/>
      <c r="S731" s="6"/>
      <c r="T731" s="22"/>
      <c r="V731" s="23">
        <v>0.7</v>
      </c>
      <c r="W731" s="24" t="s">
        <v>0</v>
      </c>
    </row>
    <row r="732" spans="1:25" ht="22.95" customHeight="1" x14ac:dyDescent="0.25">
      <c r="A732" s="1" t="s">
        <v>840</v>
      </c>
      <c r="D732" s="3" t="s">
        <v>1050</v>
      </c>
      <c r="E732" s="15" t="s">
        <v>55</v>
      </c>
      <c r="F732" s="15" t="s">
        <v>55</v>
      </c>
      <c r="G732" s="15" t="str">
        <f>IFERROR(VLOOKUP(D732,[5]成飞半成品!$A:$B,2,0),VLOOKUP(D732,[5]九院成本!$A$4:$B$48,2,0))</f>
        <v>接头</v>
      </c>
      <c r="H732" s="3" t="s">
        <v>80</v>
      </c>
      <c r="I732" s="3">
        <v>55</v>
      </c>
      <c r="J732" s="18" t="s">
        <v>1086</v>
      </c>
      <c r="K732" s="3">
        <v>2</v>
      </c>
      <c r="L732" s="3">
        <v>2</v>
      </c>
      <c r="M732" s="19">
        <v>8</v>
      </c>
      <c r="N732" s="19">
        <v>8</v>
      </c>
      <c r="O732" s="5" t="s">
        <v>81</v>
      </c>
      <c r="P732" s="4"/>
      <c r="Q732" s="18">
        <v>30</v>
      </c>
      <c r="R732" s="3"/>
      <c r="S732" s="6"/>
      <c r="T732" s="22"/>
      <c r="V732" s="23">
        <v>1</v>
      </c>
      <c r="W732" s="24" t="s">
        <v>0</v>
      </c>
    </row>
    <row r="733" spans="1:25" ht="22.95" customHeight="1" x14ac:dyDescent="0.25">
      <c r="A733" s="1" t="s">
        <v>879</v>
      </c>
      <c r="D733" s="3" t="s">
        <v>841</v>
      </c>
      <c r="E733" s="15" t="s">
        <v>842</v>
      </c>
      <c r="F733" s="15" t="s">
        <v>842</v>
      </c>
      <c r="G733" s="15" t="str">
        <f>IFERROR(VLOOKUP(D733,[5]成飞半成品!$A:$B,2,0),VLOOKUP(D733,[5]九院成本!$A$4:$B$48,2,0))</f>
        <v>5755横框</v>
      </c>
      <c r="H733" s="3" t="s">
        <v>114</v>
      </c>
      <c r="I733" s="3">
        <v>35</v>
      </c>
      <c r="J733" s="18" t="s">
        <v>1072</v>
      </c>
      <c r="K733" s="3">
        <v>6</v>
      </c>
      <c r="L733" s="3">
        <v>6</v>
      </c>
      <c r="M733" s="19">
        <v>8</v>
      </c>
      <c r="N733" s="19">
        <v>8</v>
      </c>
      <c r="O733" s="5" t="s">
        <v>965</v>
      </c>
      <c r="P733" s="4"/>
      <c r="Q733" s="18">
        <v>120</v>
      </c>
      <c r="R733" s="3"/>
      <c r="S733" s="6"/>
      <c r="T733" s="22"/>
      <c r="V733" s="23">
        <v>12</v>
      </c>
      <c r="W733" s="24" t="s">
        <v>0</v>
      </c>
    </row>
    <row r="734" spans="1:25" ht="22.95" customHeight="1" x14ac:dyDescent="0.25">
      <c r="A734" s="1" t="s">
        <v>562</v>
      </c>
      <c r="D734" s="3" t="s">
        <v>415</v>
      </c>
      <c r="E734" s="15" t="s">
        <v>416</v>
      </c>
      <c r="F734" s="15" t="s">
        <v>416</v>
      </c>
      <c r="G734" s="15" t="str">
        <f>IFERROR(VLOOKUP(D734,[5]成飞半成品!$A:$B,2,0),VLOOKUP(D734,[5]九院成本!$A$4:$B$48,2,0))</f>
        <v>右外侧接头</v>
      </c>
      <c r="H734" s="3" t="s">
        <v>46</v>
      </c>
      <c r="I734" s="3" t="s">
        <v>340</v>
      </c>
      <c r="J734" s="18" t="e">
        <v>#N/A</v>
      </c>
      <c r="K734" s="3">
        <v>4</v>
      </c>
      <c r="L734" s="3">
        <v>4</v>
      </c>
      <c r="M734" s="19">
        <v>30</v>
      </c>
      <c r="N734" s="19">
        <v>30</v>
      </c>
      <c r="O734" s="5" t="s">
        <v>597</v>
      </c>
      <c r="P734" s="4"/>
      <c r="Q734" s="18">
        <v>240</v>
      </c>
      <c r="R734" s="3"/>
      <c r="S734" s="6"/>
      <c r="T734" s="22"/>
      <c r="V734" s="23">
        <v>16</v>
      </c>
      <c r="W734" s="24" t="s">
        <v>11</v>
      </c>
      <c r="X734" s="7" t="s">
        <v>1051</v>
      </c>
      <c r="Y734" s="7" t="s">
        <v>203</v>
      </c>
    </row>
    <row r="735" spans="1:25" ht="22.95" customHeight="1" x14ac:dyDescent="0.25">
      <c r="A735" s="1" t="s">
        <v>562</v>
      </c>
      <c r="D735" s="3" t="s">
        <v>413</v>
      </c>
      <c r="E735" s="15" t="s">
        <v>414</v>
      </c>
      <c r="F735" s="15" t="s">
        <v>414</v>
      </c>
      <c r="G735" s="15" t="str">
        <f>IFERROR(VLOOKUP(D735,[5]成飞半成品!$A:$B,2,0),VLOOKUP(D735,[5]九院成本!$A$4:$B$48,2,0))</f>
        <v>左外侧接头</v>
      </c>
      <c r="H735" s="3" t="s">
        <v>46</v>
      </c>
      <c r="I735" s="3" t="s">
        <v>340</v>
      </c>
      <c r="J735" s="18" t="e">
        <v>#N/A</v>
      </c>
      <c r="K735" s="3">
        <v>4</v>
      </c>
      <c r="L735" s="3">
        <v>4</v>
      </c>
      <c r="M735" s="19">
        <v>30</v>
      </c>
      <c r="N735" s="19">
        <v>30</v>
      </c>
      <c r="O735" s="5" t="s">
        <v>360</v>
      </c>
      <c r="P735" s="4"/>
      <c r="Q735" s="18">
        <v>240</v>
      </c>
      <c r="R735" s="3"/>
      <c r="S735" s="6"/>
      <c r="T735" s="22"/>
      <c r="V735" s="23">
        <v>16</v>
      </c>
      <c r="W735" s="24" t="s">
        <v>11</v>
      </c>
      <c r="X735" s="7" t="s">
        <v>1051</v>
      </c>
      <c r="Y735" s="7" t="s">
        <v>203</v>
      </c>
    </row>
    <row r="736" spans="1:25" ht="22.95" customHeight="1" x14ac:dyDescent="0.25">
      <c r="A736" s="1" t="s">
        <v>764</v>
      </c>
      <c r="D736" s="3" t="s">
        <v>1052</v>
      </c>
      <c r="E736" s="15" t="s">
        <v>950</v>
      </c>
      <c r="F736" s="15" t="s">
        <v>950</v>
      </c>
      <c r="G736" s="15" t="str">
        <f>IFERROR(VLOOKUP(D736,[5]成飞半成品!$A:$B,2,0),VLOOKUP(D736,[5]九院成本!$A$4:$B$48,2,0))</f>
        <v>根肋二段</v>
      </c>
      <c r="H736" s="3" t="s">
        <v>64</v>
      </c>
      <c r="I736" s="3">
        <v>65</v>
      </c>
      <c r="J736" s="18" t="s">
        <v>1091</v>
      </c>
      <c r="K736" s="3">
        <v>5</v>
      </c>
      <c r="L736" s="3">
        <v>5</v>
      </c>
      <c r="M736" s="19">
        <v>30</v>
      </c>
      <c r="N736" s="19">
        <v>30</v>
      </c>
      <c r="O736" s="5" t="s">
        <v>376</v>
      </c>
      <c r="P736" s="4"/>
      <c r="Q736" s="18">
        <v>600</v>
      </c>
      <c r="R736" s="3"/>
      <c r="S736" s="6"/>
      <c r="T736" s="22"/>
      <c r="V736" s="23">
        <v>50</v>
      </c>
      <c r="W736" s="24" t="s">
        <v>11</v>
      </c>
    </row>
    <row r="737" spans="1:25" ht="22.95" customHeight="1" x14ac:dyDescent="0.25">
      <c r="A737" s="1" t="s">
        <v>766</v>
      </c>
      <c r="D737" s="3" t="s">
        <v>1052</v>
      </c>
      <c r="E737" s="15" t="s">
        <v>950</v>
      </c>
      <c r="F737" s="15" t="s">
        <v>950</v>
      </c>
      <c r="G737" s="15" t="str">
        <f>IFERROR(VLOOKUP(D737,[5]成飞半成品!$A:$B,2,0),VLOOKUP(D737,[5]九院成本!$A$4:$B$48,2,0))</f>
        <v>根肋二段</v>
      </c>
      <c r="H737" s="3" t="s">
        <v>64</v>
      </c>
      <c r="I737" s="3">
        <v>65</v>
      </c>
      <c r="J737" s="18" t="s">
        <v>1091</v>
      </c>
      <c r="K737" s="3">
        <v>4</v>
      </c>
      <c r="L737" s="3">
        <v>4</v>
      </c>
      <c r="M737" s="19">
        <v>30</v>
      </c>
      <c r="N737" s="19">
        <v>30</v>
      </c>
      <c r="O737" s="5" t="s">
        <v>1053</v>
      </c>
      <c r="P737" s="4"/>
      <c r="Q737" s="18">
        <v>600</v>
      </c>
      <c r="R737" s="3"/>
      <c r="S737" s="6"/>
      <c r="T737" s="22"/>
      <c r="V737" s="23">
        <v>40</v>
      </c>
      <c r="W737" s="24" t="s">
        <v>11</v>
      </c>
    </row>
    <row r="738" spans="1:25" ht="22.95" customHeight="1" x14ac:dyDescent="0.25">
      <c r="A738" s="1" t="s">
        <v>766</v>
      </c>
      <c r="D738" s="3" t="s">
        <v>949</v>
      </c>
      <c r="E738" s="15" t="s">
        <v>950</v>
      </c>
      <c r="F738" s="15" t="s">
        <v>950</v>
      </c>
      <c r="G738" s="15" t="str">
        <f>IFERROR(VLOOKUP(D738,[5]成飞半成品!$A:$B,2,0),VLOOKUP(D738,[5]九院成本!$A$4:$B$48,2,0))</f>
        <v>根肋二段</v>
      </c>
      <c r="H738" s="3" t="s">
        <v>64</v>
      </c>
      <c r="I738" s="3">
        <v>65</v>
      </c>
      <c r="J738" s="18" t="s">
        <v>1091</v>
      </c>
      <c r="K738" s="3">
        <v>1</v>
      </c>
      <c r="L738" s="3">
        <v>1</v>
      </c>
      <c r="M738" s="19">
        <v>30</v>
      </c>
      <c r="N738" s="19">
        <v>30</v>
      </c>
      <c r="O738" s="5" t="s">
        <v>357</v>
      </c>
      <c r="P738" s="4"/>
      <c r="Q738" s="18">
        <v>600</v>
      </c>
      <c r="R738" s="3"/>
      <c r="S738" s="6"/>
      <c r="T738" s="22"/>
      <c r="V738" s="23">
        <v>10</v>
      </c>
      <c r="W738" s="24" t="s">
        <v>11</v>
      </c>
    </row>
    <row r="739" spans="1:25" ht="22.95" customHeight="1" x14ac:dyDescent="0.25">
      <c r="A739" s="1" t="s">
        <v>840</v>
      </c>
      <c r="D739" s="3" t="s">
        <v>949</v>
      </c>
      <c r="E739" s="15" t="s">
        <v>950</v>
      </c>
      <c r="F739" s="15" t="s">
        <v>950</v>
      </c>
      <c r="G739" s="15" t="str">
        <f>IFERROR(VLOOKUP(D739,[5]成飞半成品!$A:$B,2,0),VLOOKUP(D739,[5]九院成本!$A$4:$B$48,2,0))</f>
        <v>根肋二段</v>
      </c>
      <c r="H739" s="3" t="s">
        <v>64</v>
      </c>
      <c r="I739" s="3">
        <v>65</v>
      </c>
      <c r="J739" s="18" t="s">
        <v>1091</v>
      </c>
      <c r="K739" s="3">
        <v>3</v>
      </c>
      <c r="L739" s="3">
        <v>3</v>
      </c>
      <c r="M739" s="19">
        <v>30</v>
      </c>
      <c r="N739" s="19">
        <v>30</v>
      </c>
      <c r="O739" s="5" t="s">
        <v>324</v>
      </c>
      <c r="P739" s="4"/>
      <c r="Q739" s="18">
        <v>600</v>
      </c>
      <c r="R739" s="3"/>
      <c r="S739" s="6"/>
      <c r="T739" s="22"/>
      <c r="V739" s="23">
        <v>30</v>
      </c>
      <c r="W739" s="24" t="s">
        <v>11</v>
      </c>
    </row>
    <row r="740" spans="1:25" ht="22.95" customHeight="1" x14ac:dyDescent="0.25">
      <c r="A740" s="1" t="s">
        <v>840</v>
      </c>
      <c r="D740" s="3" t="s">
        <v>1022</v>
      </c>
      <c r="E740" s="15" t="s">
        <v>1006</v>
      </c>
      <c r="F740" s="15" t="s">
        <v>1006</v>
      </c>
      <c r="G740" s="15" t="str">
        <f>IFERROR(VLOOKUP(D740,[5]成飞半成品!$A:$B,2,0),VLOOKUP(D740,[5]九院成本!$A$4:$B$48,2,0))</f>
        <v>8455 4号加强筋</v>
      </c>
      <c r="H740" s="3" t="s">
        <v>51</v>
      </c>
      <c r="I740" s="3">
        <v>45</v>
      </c>
      <c r="J740" s="18" t="s">
        <v>1106</v>
      </c>
      <c r="K740" s="3">
        <v>2</v>
      </c>
      <c r="L740" s="3">
        <v>2</v>
      </c>
      <c r="M740" s="19">
        <v>30</v>
      </c>
      <c r="N740" s="19">
        <v>30</v>
      </c>
      <c r="O740" s="5" t="s">
        <v>1054</v>
      </c>
      <c r="P740" s="4"/>
      <c r="Q740" s="18">
        <v>270</v>
      </c>
      <c r="R740" s="3"/>
      <c r="S740" s="6"/>
      <c r="T740" s="22"/>
      <c r="V740" s="23">
        <v>9</v>
      </c>
      <c r="W740" s="24" t="s">
        <v>11</v>
      </c>
    </row>
    <row r="741" spans="1:25" ht="22.95" customHeight="1" x14ac:dyDescent="0.25">
      <c r="A741" s="1" t="s">
        <v>840</v>
      </c>
      <c r="D741" s="3" t="s">
        <v>1021</v>
      </c>
      <c r="E741" s="15" t="s">
        <v>1006</v>
      </c>
      <c r="F741" s="15" t="s">
        <v>1006</v>
      </c>
      <c r="G741" s="15" t="str">
        <f>IFERROR(VLOOKUP(D741,[5]成飞半成品!$A:$B,2,0),VLOOKUP(D741,[5]九院成本!$A$4:$B$48,2,0))</f>
        <v>8455 4号加强筋</v>
      </c>
      <c r="H741" s="3" t="s">
        <v>51</v>
      </c>
      <c r="I741" s="3">
        <v>45</v>
      </c>
      <c r="J741" s="18" t="s">
        <v>1106</v>
      </c>
      <c r="K741" s="3">
        <v>2</v>
      </c>
      <c r="L741" s="3">
        <v>2</v>
      </c>
      <c r="M741" s="19">
        <v>30</v>
      </c>
      <c r="N741" s="19">
        <v>30</v>
      </c>
      <c r="O741" s="5" t="s">
        <v>1054</v>
      </c>
      <c r="P741" s="4"/>
      <c r="Q741" s="18">
        <v>270</v>
      </c>
      <c r="R741" s="3"/>
      <c r="S741" s="6"/>
      <c r="T741" s="22"/>
      <c r="V741" s="23">
        <v>9</v>
      </c>
      <c r="W741" s="24" t="s">
        <v>11</v>
      </c>
    </row>
    <row r="742" spans="1:25" ht="22.95" customHeight="1" x14ac:dyDescent="0.25">
      <c r="A742" s="1" t="s">
        <v>879</v>
      </c>
      <c r="D742" s="3" t="s">
        <v>153</v>
      </c>
      <c r="E742" s="15" t="s">
        <v>154</v>
      </c>
      <c r="F742" s="15" t="s">
        <v>154</v>
      </c>
      <c r="G742" s="15" t="str">
        <f>IFERROR(VLOOKUP(D742,[5]成飞半成品!$A:$B,2,0),VLOOKUP(D742,[5]九院成本!$A$4:$B$48,2,0))</f>
        <v>9350-11140右侧上梁</v>
      </c>
      <c r="H742" s="3" t="s">
        <v>385</v>
      </c>
      <c r="I742" s="3">
        <v>50</v>
      </c>
      <c r="J742" s="18" t="s">
        <v>1077</v>
      </c>
      <c r="K742" s="3">
        <v>1</v>
      </c>
      <c r="L742" s="3">
        <v>1</v>
      </c>
      <c r="M742" s="19">
        <v>30</v>
      </c>
      <c r="N742" s="19">
        <v>30</v>
      </c>
      <c r="O742" s="5" t="s">
        <v>1055</v>
      </c>
      <c r="P742" s="4"/>
      <c r="Q742" s="18">
        <v>720</v>
      </c>
      <c r="R742" s="3"/>
      <c r="S742" s="6"/>
      <c r="T742" s="22"/>
      <c r="V742" s="23">
        <v>12</v>
      </c>
      <c r="W742" s="24" t="s">
        <v>11</v>
      </c>
    </row>
    <row r="743" spans="1:25" ht="22.95" customHeight="1" x14ac:dyDescent="0.25">
      <c r="A743" s="1" t="s">
        <v>879</v>
      </c>
      <c r="D743" s="3" t="s">
        <v>1022</v>
      </c>
      <c r="E743" s="15" t="s">
        <v>1006</v>
      </c>
      <c r="F743" s="15" t="s">
        <v>1006</v>
      </c>
      <c r="G743" s="15" t="str">
        <f>IFERROR(VLOOKUP(D743,[5]成飞半成品!$A:$B,2,0),VLOOKUP(D743,[5]九院成本!$A$4:$B$48,2,0))</f>
        <v>8455 4号加强筋</v>
      </c>
      <c r="H743" s="3" t="s">
        <v>385</v>
      </c>
      <c r="I743" s="3" t="s">
        <v>340</v>
      </c>
      <c r="J743" s="18" t="e">
        <v>#N/A</v>
      </c>
      <c r="K743" s="3">
        <v>2</v>
      </c>
      <c r="L743" s="3">
        <v>2</v>
      </c>
      <c r="M743" s="19">
        <v>30</v>
      </c>
      <c r="N743" s="19">
        <v>30</v>
      </c>
      <c r="O743" s="5" t="s">
        <v>1054</v>
      </c>
      <c r="P743" s="4"/>
      <c r="Q743" s="18">
        <v>90</v>
      </c>
      <c r="R743" s="3"/>
      <c r="S743" s="6"/>
      <c r="T743" s="22"/>
      <c r="V743" s="23">
        <v>3</v>
      </c>
      <c r="W743" s="24" t="s">
        <v>11</v>
      </c>
      <c r="X743" s="7" t="s">
        <v>1056</v>
      </c>
      <c r="Y743" s="7" t="s">
        <v>203</v>
      </c>
    </row>
    <row r="744" spans="1:25" ht="22.95" customHeight="1" x14ac:dyDescent="0.25">
      <c r="A744" s="1" t="s">
        <v>879</v>
      </c>
      <c r="D744" s="3" t="s">
        <v>1021</v>
      </c>
      <c r="E744" s="15" t="s">
        <v>1006</v>
      </c>
      <c r="F744" s="15" t="s">
        <v>1006</v>
      </c>
      <c r="G744" s="15" t="str">
        <f>IFERROR(VLOOKUP(D744,[5]成飞半成品!$A:$B,2,0),VLOOKUP(D744,[5]九院成本!$A$4:$B$48,2,0))</f>
        <v>8455 4号加强筋</v>
      </c>
      <c r="H744" s="3" t="s">
        <v>385</v>
      </c>
      <c r="I744" s="3" t="s">
        <v>340</v>
      </c>
      <c r="J744" s="18" t="e">
        <v>#N/A</v>
      </c>
      <c r="K744" s="3">
        <v>2</v>
      </c>
      <c r="L744" s="3">
        <v>2</v>
      </c>
      <c r="M744" s="19">
        <v>30</v>
      </c>
      <c r="N744" s="19">
        <v>30</v>
      </c>
      <c r="O744" s="5" t="s">
        <v>1054</v>
      </c>
      <c r="P744" s="4"/>
      <c r="Q744" s="18">
        <v>90</v>
      </c>
      <c r="R744" s="3"/>
      <c r="S744" s="6"/>
      <c r="T744" s="22"/>
      <c r="V744" s="23">
        <v>3</v>
      </c>
      <c r="W744" s="24" t="s">
        <v>11</v>
      </c>
      <c r="X744" s="7" t="s">
        <v>1056</v>
      </c>
      <c r="Y744" s="7" t="s">
        <v>203</v>
      </c>
    </row>
    <row r="745" spans="1:25" ht="22.95" customHeight="1" x14ac:dyDescent="0.25">
      <c r="A745" s="1" t="s">
        <v>879</v>
      </c>
      <c r="D745" s="3" t="s">
        <v>1052</v>
      </c>
      <c r="E745" s="15" t="s">
        <v>950</v>
      </c>
      <c r="F745" s="15" t="s">
        <v>950</v>
      </c>
      <c r="G745" s="15" t="str">
        <f>IFERROR(VLOOKUP(D745,[5]成飞半成品!$A:$B,2,0),VLOOKUP(D745,[5]九院成本!$A$4:$B$48,2,0))</f>
        <v>根肋二段</v>
      </c>
      <c r="I745" s="3" t="s">
        <v>340</v>
      </c>
      <c r="J745" s="18" t="e">
        <v>#N/A</v>
      </c>
      <c r="K745" s="3">
        <v>9</v>
      </c>
      <c r="L745" s="3">
        <v>9</v>
      </c>
      <c r="M745" s="19">
        <v>30</v>
      </c>
      <c r="N745" s="19">
        <v>30</v>
      </c>
      <c r="P745" s="4"/>
      <c r="Q745" s="18">
        <v>240</v>
      </c>
      <c r="R745" s="3"/>
      <c r="S745" s="6"/>
      <c r="T745" s="22"/>
      <c r="V745" s="23">
        <v>36</v>
      </c>
      <c r="W745" s="24" t="s">
        <v>11</v>
      </c>
      <c r="X745" s="7" t="s">
        <v>1057</v>
      </c>
      <c r="Y745" s="7" t="s">
        <v>203</v>
      </c>
    </row>
    <row r="746" spans="1:25" ht="22.95" customHeight="1" x14ac:dyDescent="0.25">
      <c r="A746" s="1" t="s">
        <v>879</v>
      </c>
      <c r="D746" s="3" t="s">
        <v>949</v>
      </c>
      <c r="E746" s="15" t="s">
        <v>950</v>
      </c>
      <c r="F746" s="15" t="s">
        <v>950</v>
      </c>
      <c r="G746" s="15" t="str">
        <f>IFERROR(VLOOKUP(D746,[5]成飞半成品!$A:$B,2,0),VLOOKUP(D746,[5]九院成本!$A$4:$B$48,2,0))</f>
        <v>根肋二段</v>
      </c>
      <c r="I746" s="3" t="s">
        <v>340</v>
      </c>
      <c r="J746" s="18" t="e">
        <v>#N/A</v>
      </c>
      <c r="K746" s="3">
        <v>4</v>
      </c>
      <c r="L746" s="3">
        <v>4</v>
      </c>
      <c r="M746" s="19">
        <v>30</v>
      </c>
      <c r="N746" s="19">
        <v>30</v>
      </c>
      <c r="P746" s="4"/>
      <c r="Q746" s="18">
        <v>240</v>
      </c>
      <c r="R746" s="3"/>
      <c r="S746" s="6"/>
      <c r="T746" s="22"/>
      <c r="V746" s="23">
        <v>16</v>
      </c>
      <c r="W746" s="24" t="s">
        <v>11</v>
      </c>
      <c r="X746" s="7" t="s">
        <v>1057</v>
      </c>
      <c r="Y746" s="7" t="s">
        <v>203</v>
      </c>
    </row>
    <row r="747" spans="1:25" ht="22.95" customHeight="1" x14ac:dyDescent="0.25">
      <c r="A747" s="1" t="s">
        <v>879</v>
      </c>
      <c r="D747" s="3" t="s">
        <v>1058</v>
      </c>
      <c r="E747" s="15" t="s">
        <v>55</v>
      </c>
      <c r="F747" s="15" t="s">
        <v>55</v>
      </c>
      <c r="G747" s="15" t="str">
        <f>IFERROR(VLOOKUP(D747,[5]成飞半成品!$A:$B,2,0),VLOOKUP(D747,[5]九院成本!$A$4:$B$48,2,0))</f>
        <v>接头</v>
      </c>
      <c r="H747" s="3" t="s">
        <v>80</v>
      </c>
      <c r="I747" s="3">
        <v>20</v>
      </c>
      <c r="J747" s="18" t="s">
        <v>1105</v>
      </c>
      <c r="K747" s="3">
        <v>1</v>
      </c>
      <c r="L747" s="3">
        <v>1</v>
      </c>
      <c r="M747" s="19">
        <v>30</v>
      </c>
      <c r="N747" s="19">
        <v>30</v>
      </c>
      <c r="O747" s="5" t="s">
        <v>81</v>
      </c>
      <c r="P747" s="4"/>
      <c r="Q747" s="18">
        <v>40</v>
      </c>
      <c r="R747" s="3"/>
      <c r="S747" s="6"/>
      <c r="T747" s="22"/>
      <c r="V747" s="23">
        <v>0.7</v>
      </c>
      <c r="W747" s="24" t="s">
        <v>11</v>
      </c>
    </row>
    <row r="748" spans="1:25" ht="22.95" customHeight="1" x14ac:dyDescent="0.25">
      <c r="A748" s="1" t="s">
        <v>879</v>
      </c>
      <c r="D748" s="3" t="s">
        <v>893</v>
      </c>
      <c r="E748" s="15" t="s">
        <v>894</v>
      </c>
      <c r="F748" s="15" t="s">
        <v>894</v>
      </c>
      <c r="G748" s="15" t="str">
        <f>IFERROR(VLOOKUP(D748,[5]成飞半成品!$A:$B,2,0),VLOOKUP(D748,[5]九院成本!$A$4:$B$48,2,0))</f>
        <v>支臂</v>
      </c>
      <c r="H748" s="3" t="s">
        <v>46</v>
      </c>
      <c r="I748" s="3">
        <v>20</v>
      </c>
      <c r="J748" s="18" t="s">
        <v>1105</v>
      </c>
      <c r="K748" s="3">
        <v>2</v>
      </c>
      <c r="L748" s="3">
        <v>2</v>
      </c>
      <c r="M748" s="19">
        <v>30</v>
      </c>
      <c r="N748" s="19">
        <v>30</v>
      </c>
      <c r="O748" s="5" t="s">
        <v>895</v>
      </c>
      <c r="P748" s="4"/>
      <c r="Q748" s="18">
        <v>25</v>
      </c>
      <c r="R748" s="3"/>
      <c r="S748" s="6"/>
      <c r="T748" s="22"/>
      <c r="V748" s="23">
        <v>0.8</v>
      </c>
      <c r="W748" s="24" t="s">
        <v>11</v>
      </c>
    </row>
    <row r="749" spans="1:25" ht="22.95" customHeight="1" x14ac:dyDescent="0.25">
      <c r="A749" s="1" t="s">
        <v>764</v>
      </c>
      <c r="D749" s="3" t="s">
        <v>1059</v>
      </c>
      <c r="E749" s="15" t="s">
        <v>55</v>
      </c>
      <c r="F749" s="15" t="s">
        <v>55</v>
      </c>
      <c r="G749" s="15" t="str">
        <f>IFERROR(VLOOKUP(D749,[5]成飞半成品!$A:$B,2,0),VLOOKUP(D749,[5]九院成本!$A$4:$B$48,2,0))</f>
        <v>接头</v>
      </c>
      <c r="H749" s="3" t="s">
        <v>80</v>
      </c>
      <c r="I749" s="3">
        <v>45</v>
      </c>
      <c r="J749" s="18" t="s">
        <v>1132</v>
      </c>
      <c r="L749" s="3">
        <v>1</v>
      </c>
      <c r="M749" s="19">
        <v>23</v>
      </c>
      <c r="N749" s="19">
        <v>23</v>
      </c>
      <c r="O749" s="5" t="s">
        <v>81</v>
      </c>
      <c r="P749" s="4">
        <v>30</v>
      </c>
      <c r="Q749" s="18">
        <v>30</v>
      </c>
      <c r="R749" s="3"/>
      <c r="S749" s="6"/>
      <c r="T749" s="22"/>
      <c r="V749" s="23">
        <v>0.5</v>
      </c>
      <c r="W749" s="24" t="s">
        <v>14</v>
      </c>
    </row>
    <row r="750" spans="1:25" ht="22.95" customHeight="1" x14ac:dyDescent="0.25">
      <c r="A750" s="1" t="s">
        <v>764</v>
      </c>
      <c r="D750" s="3" t="s">
        <v>1050</v>
      </c>
      <c r="E750" s="15" t="s">
        <v>55</v>
      </c>
      <c r="F750" s="15" t="s">
        <v>55</v>
      </c>
      <c r="G750" s="15" t="str">
        <f>IFERROR(VLOOKUP(D750,[5]成飞半成品!$A:$B,2,0),VLOOKUP(D750,[5]九院成本!$A$4:$B$48,2,0))</f>
        <v>接头</v>
      </c>
      <c r="H750" s="3" t="s">
        <v>80</v>
      </c>
      <c r="I750" s="3">
        <v>45</v>
      </c>
      <c r="J750" s="18" t="s">
        <v>1132</v>
      </c>
      <c r="L750" s="3">
        <v>2</v>
      </c>
      <c r="M750" s="19">
        <v>23</v>
      </c>
      <c r="N750" s="19">
        <v>23</v>
      </c>
      <c r="O750" s="5" t="s">
        <v>81</v>
      </c>
      <c r="P750" s="4">
        <v>30</v>
      </c>
      <c r="Q750" s="18">
        <v>30</v>
      </c>
      <c r="R750" s="3"/>
      <c r="S750" s="6"/>
      <c r="T750" s="22"/>
      <c r="V750" s="23">
        <v>1</v>
      </c>
      <c r="W750" s="24" t="s">
        <v>14</v>
      </c>
    </row>
    <row r="751" spans="1:25" ht="22.95" customHeight="1" x14ac:dyDescent="0.25">
      <c r="A751" s="1" t="s">
        <v>766</v>
      </c>
      <c r="D751" s="3" t="s">
        <v>1060</v>
      </c>
      <c r="E751" s="15" t="s">
        <v>120</v>
      </c>
      <c r="F751" s="15" t="s">
        <v>120</v>
      </c>
      <c r="G751" s="15" t="str">
        <f>IFERROR(VLOOKUP(D751,[5]成飞半成品!$A:$B,2,0),VLOOKUP(D751,[5]九院成本!$A$4:$B$48,2,0))</f>
        <v>支架</v>
      </c>
      <c r="H751" s="3" t="s">
        <v>80</v>
      </c>
      <c r="I751" s="3">
        <v>20</v>
      </c>
      <c r="J751" s="18" t="s">
        <v>1125</v>
      </c>
      <c r="L751" s="3">
        <v>4</v>
      </c>
      <c r="M751" s="19">
        <v>23</v>
      </c>
      <c r="N751" s="19">
        <v>5</v>
      </c>
      <c r="O751" s="5" t="s">
        <v>81</v>
      </c>
      <c r="P751" s="4">
        <v>60</v>
      </c>
      <c r="Q751" s="18">
        <v>60</v>
      </c>
      <c r="R751" s="3"/>
      <c r="S751" s="6"/>
      <c r="T751" s="22"/>
      <c r="V751" s="23">
        <v>4</v>
      </c>
      <c r="W751" s="24" t="s">
        <v>14</v>
      </c>
    </row>
    <row r="752" spans="1:25" ht="22.95" customHeight="1" x14ac:dyDescent="0.25">
      <c r="A752" s="1" t="s">
        <v>766</v>
      </c>
      <c r="D752" s="3" t="s">
        <v>956</v>
      </c>
      <c r="E752" s="15" t="s">
        <v>446</v>
      </c>
      <c r="F752" s="15" t="s">
        <v>446</v>
      </c>
      <c r="G752" s="15" t="str">
        <f>IFERROR(VLOOKUP(D752,[5]成飞半成品!$A:$B,2,0),VLOOKUP(D752,[5]九院成本!$A$4:$B$48,2,0))</f>
        <v>摇臂</v>
      </c>
      <c r="H752" s="3" t="s">
        <v>114</v>
      </c>
      <c r="I752" s="3">
        <v>10</v>
      </c>
      <c r="J752" s="18" t="s">
        <v>1141</v>
      </c>
      <c r="L752" s="3">
        <v>24</v>
      </c>
      <c r="M752" s="19">
        <v>5</v>
      </c>
      <c r="N752" s="19">
        <v>28</v>
      </c>
      <c r="O752" s="5" t="s">
        <v>295</v>
      </c>
      <c r="P752" s="4">
        <v>60</v>
      </c>
      <c r="Q752" s="18">
        <v>20</v>
      </c>
      <c r="R752" s="3"/>
      <c r="S752" s="6"/>
      <c r="T752" s="22"/>
      <c r="V752" s="23">
        <v>8</v>
      </c>
      <c r="W752" s="24" t="s">
        <v>14</v>
      </c>
    </row>
    <row r="753" spans="1:24" ht="22.95" customHeight="1" x14ac:dyDescent="0.25">
      <c r="A753" s="1" t="s">
        <v>840</v>
      </c>
      <c r="D753" s="3" t="s">
        <v>1061</v>
      </c>
      <c r="E753" s="15" t="s">
        <v>120</v>
      </c>
      <c r="F753" s="15" t="s">
        <v>120</v>
      </c>
      <c r="G753" s="15" t="str">
        <f>IFERROR(VLOOKUP(D753,[5]成飞半成品!$A:$B,2,0),VLOOKUP(D753,[5]九院成本!$A$4:$B$48,2,0))</f>
        <v>支架</v>
      </c>
      <c r="H753" s="3" t="s">
        <v>80</v>
      </c>
      <c r="I753" s="3">
        <v>15</v>
      </c>
      <c r="J753" s="18" t="e">
        <v>#N/A</v>
      </c>
      <c r="L753" s="3">
        <v>8</v>
      </c>
      <c r="M753" s="19">
        <v>23</v>
      </c>
      <c r="N753" s="19">
        <v>9</v>
      </c>
      <c r="O753" s="5" t="s">
        <v>81</v>
      </c>
      <c r="P753" s="4">
        <v>30</v>
      </c>
      <c r="Q753" s="18">
        <v>30</v>
      </c>
      <c r="R753" s="3"/>
      <c r="S753" s="6"/>
      <c r="T753" s="22"/>
      <c r="V753" s="23">
        <v>4</v>
      </c>
      <c r="W753" s="24" t="s">
        <v>14</v>
      </c>
    </row>
    <row r="754" spans="1:24" ht="22.95" customHeight="1" x14ac:dyDescent="0.25">
      <c r="A754" s="1" t="s">
        <v>876</v>
      </c>
      <c r="D754" s="3" t="s">
        <v>1062</v>
      </c>
      <c r="E754" s="15" t="s">
        <v>717</v>
      </c>
      <c r="F754" s="15" t="s">
        <v>717</v>
      </c>
      <c r="G754" s="15" t="str">
        <f>IFERROR(VLOOKUP(D754,[5]成飞半成品!$A:$B,2,0),VLOOKUP(D754,[5]九院成本!$A$4:$B$48,2,0))</f>
        <v>耳环螺栓</v>
      </c>
      <c r="H754" s="3" t="s">
        <v>51</v>
      </c>
      <c r="I754" s="3">
        <v>15</v>
      </c>
      <c r="J754" s="18" t="s">
        <v>1138</v>
      </c>
      <c r="L754" s="3">
        <v>1</v>
      </c>
      <c r="M754" s="19">
        <v>31</v>
      </c>
      <c r="N754" s="19"/>
      <c r="O754" s="5" t="s">
        <v>1063</v>
      </c>
      <c r="P754" s="4">
        <v>30</v>
      </c>
      <c r="Q754" s="18">
        <v>30</v>
      </c>
      <c r="R754" s="3"/>
      <c r="S754" s="6"/>
      <c r="T754" s="22"/>
      <c r="V754" s="23">
        <v>0.5</v>
      </c>
      <c r="W754" s="24" t="s">
        <v>14</v>
      </c>
    </row>
    <row r="755" spans="1:24" ht="22.95" customHeight="1" x14ac:dyDescent="0.25">
      <c r="A755" s="1" t="s">
        <v>570</v>
      </c>
      <c r="D755" s="3" t="str">
        <f>O755</f>
        <v>2020-07-N-67</v>
      </c>
      <c r="E755" s="15" t="s">
        <v>136</v>
      </c>
      <c r="F755" s="15" t="s">
        <v>1084</v>
      </c>
      <c r="G755" s="15" t="str">
        <f>IFERROR(VLOOKUP(D755,[5]成飞半成品!$A:$B,2,0),VLOOKUP(D755,[5]九院成本!$A$4:$B$48,2,0))</f>
        <v>1N-2020-06-067</v>
      </c>
      <c r="H755" s="3" t="s">
        <v>80</v>
      </c>
      <c r="I755" s="3">
        <v>40</v>
      </c>
      <c r="J755" s="18" t="e">
        <v>#N/A</v>
      </c>
      <c r="K755" s="3">
        <v>2300</v>
      </c>
      <c r="L755" s="3">
        <v>1100</v>
      </c>
      <c r="M755" s="19">
        <v>8</v>
      </c>
      <c r="N755" s="19">
        <v>8</v>
      </c>
      <c r="O755" s="5" t="s">
        <v>1169</v>
      </c>
      <c r="P755" s="4"/>
      <c r="Q755" s="18">
        <v>3</v>
      </c>
      <c r="R755" s="3"/>
      <c r="S755" s="6"/>
      <c r="T755" s="22"/>
      <c r="V755" s="23">
        <v>55</v>
      </c>
      <c r="W755" s="24" t="s">
        <v>12</v>
      </c>
    </row>
    <row r="756" spans="1:24" ht="22.95" customHeight="1" x14ac:dyDescent="0.25">
      <c r="D756" s="3" t="s">
        <v>1064</v>
      </c>
      <c r="E756" s="15" t="s">
        <v>1065</v>
      </c>
      <c r="G756" s="15" t="str">
        <f>IFERROR(VLOOKUP(D756,[5]成飞半成品!$A:$B,2,0),VLOOKUP(D756,[5]九院成本!$A$4:$B$48,2,0))</f>
        <v>传感器底座</v>
      </c>
      <c r="H756" s="3" t="s">
        <v>64</v>
      </c>
      <c r="I756" s="3">
        <v>40</v>
      </c>
      <c r="L756" s="3">
        <v>19</v>
      </c>
      <c r="M756" s="19">
        <v>8</v>
      </c>
      <c r="N756" s="19">
        <v>8</v>
      </c>
      <c r="O756" s="5" t="s">
        <v>1066</v>
      </c>
      <c r="Q756" s="18">
        <v>30</v>
      </c>
      <c r="V756" s="23">
        <v>9.5</v>
      </c>
      <c r="W756" s="24" t="s">
        <v>15</v>
      </c>
    </row>
    <row r="757" spans="1:24" ht="22.95" customHeight="1" x14ac:dyDescent="0.25">
      <c r="D757" s="3" t="s">
        <v>153</v>
      </c>
      <c r="E757" s="15" t="s">
        <v>154</v>
      </c>
      <c r="F757" s="15" t="s">
        <v>154</v>
      </c>
      <c r="G757" s="15" t="str">
        <f>IFERROR(VLOOKUP(D757,[5]成飞半成品!$A:$B,2,0),VLOOKUP(D757,[5]九院成本!$A$4:$B$48,2,0))</f>
        <v>9350-11140右侧上梁</v>
      </c>
      <c r="H757" s="3" t="s">
        <v>385</v>
      </c>
      <c r="I757" s="3" t="s">
        <v>201</v>
      </c>
      <c r="O757" s="5" t="s">
        <v>1067</v>
      </c>
      <c r="U757" s="7">
        <v>40</v>
      </c>
      <c r="V757" s="23">
        <v>40</v>
      </c>
      <c r="W757" s="24" t="s">
        <v>4</v>
      </c>
      <c r="X757" s="7" t="s">
        <v>1068</v>
      </c>
    </row>
    <row r="758" spans="1:24" ht="22.95" customHeight="1" x14ac:dyDescent="0.25"/>
  </sheetData>
  <phoneticPr fontId="12" type="noConversion"/>
  <dataValidations count="3">
    <dataValidation type="list" allowBlank="1" showInputMessage="1" showErrorMessage="1" sqref="H549:H657 H757 B549:B657 B663:B754 H663:H754">
      <formula1>#REF!</formula1>
    </dataValidation>
    <dataValidation type="custom" showInputMessage="1" showErrorMessage="1" sqref="Q1">
      <formula1>P1&lt;&gt;""</formula1>
    </dataValidation>
    <dataValidation allowBlank="1" showInputMessage="1" showErrorMessage="1" sqref="P1 C1:C65456"/>
  </dataValidations>
  <pageMargins left="0.7" right="0.7" top="0.75" bottom="0.75" header="0.3" footer="0.3"/>
  <pageSetup paperSize="9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'E:\飞秋文件\冯琴(A85E455A7688)\[1月钳工工时.xls]机床号'!#REF!</xm:f>
          </x14:formula1>
          <xm:sqref>H1:H548 B658:B662 H658:H662 H756 B1:B548 B756:B65109 H758:H65109</xm:sqref>
        </x14:dataValidation>
        <x14:dataValidation type="list" allowBlank="1" showInputMessage="1" showErrorMessage="1">
          <x14:formula1>
            <xm:f>'E:\飞秋文件\冯琴(A85E455A7688)\[1月钳工工时录入.xls]机床号'!#REF!</xm:f>
          </x14:formula1>
          <xm:sqref>B755 H755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05"/>
  <sheetViews>
    <sheetView tabSelected="1" workbookViewId="0">
      <selection activeCell="D15" sqref="D15"/>
    </sheetView>
  </sheetViews>
  <sheetFormatPr defaultRowHeight="14.4" x14ac:dyDescent="0.25"/>
  <cols>
    <col min="2" max="2" width="41.33203125" customWidth="1"/>
    <col min="3" max="3" width="28" customWidth="1"/>
    <col min="4" max="4" width="18.109375" bestFit="1" customWidth="1"/>
    <col min="5" max="5" width="13.5546875" bestFit="1" customWidth="1"/>
    <col min="6" max="6" width="14.77734375" bestFit="1" customWidth="1"/>
  </cols>
  <sheetData>
    <row r="3" spans="1:8" x14ac:dyDescent="0.25">
      <c r="A3" s="38" t="s">
        <v>21</v>
      </c>
      <c r="B3" s="38" t="s">
        <v>22</v>
      </c>
      <c r="C3" s="39" t="s">
        <v>23</v>
      </c>
      <c r="D3" s="40" t="s">
        <v>1201</v>
      </c>
      <c r="E3" s="40" t="s">
        <v>1202</v>
      </c>
      <c r="F3" s="41" t="s">
        <v>1203</v>
      </c>
      <c r="G3" s="39" t="s">
        <v>1204</v>
      </c>
      <c r="H3" s="42"/>
    </row>
    <row r="4" spans="1:8" x14ac:dyDescent="0.25">
      <c r="B4" s="35" t="s">
        <v>1167</v>
      </c>
      <c r="C4" s="35"/>
      <c r="D4" s="36">
        <v>40</v>
      </c>
      <c r="E4" s="36">
        <v>6.7</v>
      </c>
      <c r="F4" s="37">
        <v>5.9945601603321192E-4</v>
      </c>
    </row>
    <row r="5" spans="1:8" x14ac:dyDescent="0.25">
      <c r="B5" s="35" t="s">
        <v>1168</v>
      </c>
      <c r="C5" s="35"/>
      <c r="D5" s="36">
        <v>3380</v>
      </c>
      <c r="E5" s="36">
        <v>169</v>
      </c>
      <c r="F5" s="37">
        <v>1.5120606971584001E-2</v>
      </c>
    </row>
    <row r="6" spans="1:8" x14ac:dyDescent="0.25">
      <c r="B6" s="35" t="s">
        <v>1166</v>
      </c>
      <c r="C6" s="35"/>
      <c r="D6" s="36">
        <v>40</v>
      </c>
      <c r="E6" s="36">
        <v>20</v>
      </c>
      <c r="F6" s="37">
        <v>1.7894209433827221E-3</v>
      </c>
    </row>
    <row r="7" spans="1:8" x14ac:dyDescent="0.25">
      <c r="B7" s="35" t="s">
        <v>1169</v>
      </c>
      <c r="C7" s="35"/>
      <c r="D7" s="36">
        <v>4700</v>
      </c>
      <c r="E7" s="36">
        <v>475</v>
      </c>
      <c r="F7" s="37">
        <v>4.2498747405339647E-2</v>
      </c>
    </row>
    <row r="8" spans="1:8" x14ac:dyDescent="0.25">
      <c r="B8" s="35" t="s">
        <v>192</v>
      </c>
      <c r="C8" s="35"/>
      <c r="D8" s="36">
        <v>5349</v>
      </c>
      <c r="E8" s="36">
        <v>640.69999999999982</v>
      </c>
      <c r="F8" s="37">
        <v>5.7324099921265484E-2</v>
      </c>
    </row>
    <row r="9" spans="1:8" x14ac:dyDescent="0.25">
      <c r="B9" s="35" t="s">
        <v>127</v>
      </c>
      <c r="C9" s="35"/>
      <c r="D9" s="36">
        <v>14</v>
      </c>
      <c r="E9" s="36">
        <v>231.69999999999996</v>
      </c>
      <c r="F9" s="37">
        <v>2.0730441629088832E-2</v>
      </c>
    </row>
    <row r="10" spans="1:8" x14ac:dyDescent="0.25">
      <c r="B10" s="35" t="s">
        <v>160</v>
      </c>
      <c r="C10" s="35"/>
      <c r="D10" s="36">
        <v>636</v>
      </c>
      <c r="E10" s="36">
        <v>186</v>
      </c>
      <c r="F10" s="37">
        <v>1.6641614773459316E-2</v>
      </c>
    </row>
    <row r="11" spans="1:8" x14ac:dyDescent="0.25">
      <c r="B11" s="35" t="s">
        <v>1030</v>
      </c>
      <c r="C11" s="35"/>
      <c r="D11" s="36">
        <v>446</v>
      </c>
      <c r="E11" s="36">
        <v>38.700000000000003</v>
      </c>
      <c r="F11" s="37">
        <v>3.4625295254455675E-3</v>
      </c>
    </row>
    <row r="12" spans="1:8" x14ac:dyDescent="0.25">
      <c r="B12" s="35" t="s">
        <v>573</v>
      </c>
      <c r="C12" s="35"/>
      <c r="D12" s="36">
        <v>471</v>
      </c>
      <c r="E12" s="36">
        <v>91.4</v>
      </c>
      <c r="F12" s="37">
        <v>8.1776537112590395E-3</v>
      </c>
    </row>
    <row r="13" spans="1:8" x14ac:dyDescent="0.25">
      <c r="B13" s="35" t="s">
        <v>1038</v>
      </c>
      <c r="C13" s="35"/>
      <c r="D13" s="36">
        <v>358</v>
      </c>
      <c r="E13" s="36">
        <v>28.3</v>
      </c>
      <c r="F13" s="37">
        <v>2.532030634886552E-3</v>
      </c>
    </row>
    <row r="14" spans="1:8" x14ac:dyDescent="0.25">
      <c r="B14" s="35" t="s">
        <v>827</v>
      </c>
      <c r="C14" s="35"/>
      <c r="D14" s="36">
        <v>10</v>
      </c>
      <c r="E14" s="36">
        <v>1</v>
      </c>
      <c r="F14" s="37">
        <v>8.9471047169136108E-5</v>
      </c>
    </row>
    <row r="15" spans="1:8" x14ac:dyDescent="0.25">
      <c r="B15" s="35" t="s">
        <v>971</v>
      </c>
      <c r="C15" s="35"/>
      <c r="D15" s="36">
        <v>4</v>
      </c>
      <c r="E15" s="36">
        <v>12</v>
      </c>
      <c r="F15" s="37">
        <v>1.0736525660296331E-3</v>
      </c>
    </row>
    <row r="16" spans="1:8" x14ac:dyDescent="0.25">
      <c r="B16" s="35" t="s">
        <v>945</v>
      </c>
      <c r="C16" s="35"/>
      <c r="D16" s="36">
        <v>17</v>
      </c>
      <c r="E16" s="36">
        <v>14.2</v>
      </c>
      <c r="F16" s="37">
        <v>1.2704888698017325E-3</v>
      </c>
    </row>
    <row r="17" spans="2:6" x14ac:dyDescent="0.25">
      <c r="B17" s="35" t="s">
        <v>779</v>
      </c>
      <c r="C17" s="35"/>
      <c r="D17" s="36">
        <v>10</v>
      </c>
      <c r="E17" s="36">
        <v>3.3</v>
      </c>
      <c r="F17" s="37">
        <v>2.9525445565814913E-4</v>
      </c>
    </row>
    <row r="18" spans="2:6" x14ac:dyDescent="0.25">
      <c r="B18" s="35" t="s">
        <v>970</v>
      </c>
      <c r="C18" s="35"/>
      <c r="D18" s="36">
        <v>8</v>
      </c>
      <c r="E18" s="36">
        <v>6.1999999999999993</v>
      </c>
      <c r="F18" s="37">
        <v>5.5472049244864379E-4</v>
      </c>
    </row>
    <row r="19" spans="2:6" x14ac:dyDescent="0.25">
      <c r="B19" s="35" t="s">
        <v>761</v>
      </c>
      <c r="C19" s="35"/>
      <c r="D19" s="36">
        <v>4</v>
      </c>
      <c r="E19" s="36">
        <v>3</v>
      </c>
      <c r="F19" s="37">
        <v>2.6841314150740828E-4</v>
      </c>
    </row>
    <row r="20" spans="2:6" x14ac:dyDescent="0.25">
      <c r="B20" s="35" t="s">
        <v>962</v>
      </c>
      <c r="C20" s="35"/>
      <c r="D20" s="36">
        <v>32</v>
      </c>
      <c r="E20" s="36">
        <v>8</v>
      </c>
      <c r="F20" s="37">
        <v>7.1576837735308886E-4</v>
      </c>
    </row>
    <row r="21" spans="2:6" x14ac:dyDescent="0.25">
      <c r="B21" s="35" t="s">
        <v>1048</v>
      </c>
      <c r="C21" s="35"/>
      <c r="D21" s="36">
        <v>1</v>
      </c>
      <c r="E21" s="36">
        <v>0.7</v>
      </c>
      <c r="F21" s="37">
        <v>6.2629733018395263E-5</v>
      </c>
    </row>
    <row r="22" spans="2:6" x14ac:dyDescent="0.25">
      <c r="B22" s="35" t="s">
        <v>1049</v>
      </c>
      <c r="C22" s="35"/>
      <c r="D22" s="36">
        <v>1</v>
      </c>
      <c r="E22" s="36">
        <v>0.7</v>
      </c>
      <c r="F22" s="37">
        <v>6.2629733018395263E-5</v>
      </c>
    </row>
    <row r="23" spans="2:6" x14ac:dyDescent="0.25">
      <c r="B23" s="35" t="s">
        <v>1058</v>
      </c>
      <c r="C23" s="35"/>
      <c r="D23" s="36">
        <v>1</v>
      </c>
      <c r="E23" s="36">
        <v>0.7</v>
      </c>
      <c r="F23" s="37">
        <v>6.2629733018395263E-5</v>
      </c>
    </row>
    <row r="24" spans="2:6" x14ac:dyDescent="0.25">
      <c r="B24" s="35" t="s">
        <v>968</v>
      </c>
      <c r="C24" s="35"/>
      <c r="D24" s="36">
        <v>2</v>
      </c>
      <c r="E24" s="36">
        <v>0.7</v>
      </c>
      <c r="F24" s="37">
        <v>6.2629733018395263E-5</v>
      </c>
    </row>
    <row r="25" spans="2:6" x14ac:dyDescent="0.25">
      <c r="B25" s="35" t="s">
        <v>1050</v>
      </c>
      <c r="C25" s="35"/>
      <c r="D25" s="36">
        <v>4</v>
      </c>
      <c r="E25" s="36">
        <v>2</v>
      </c>
      <c r="F25" s="37">
        <v>1.7894209433827222E-4</v>
      </c>
    </row>
    <row r="26" spans="2:6" x14ac:dyDescent="0.25">
      <c r="B26" s="35" t="s">
        <v>1059</v>
      </c>
      <c r="C26" s="35"/>
      <c r="D26" s="36">
        <v>1</v>
      </c>
      <c r="E26" s="36">
        <v>0.5</v>
      </c>
      <c r="F26" s="37">
        <v>4.4735523584568054E-5</v>
      </c>
    </row>
    <row r="27" spans="2:6" x14ac:dyDescent="0.25">
      <c r="B27" s="35" t="s">
        <v>947</v>
      </c>
      <c r="C27" s="35"/>
      <c r="D27" s="36">
        <v>1</v>
      </c>
      <c r="E27" s="36">
        <v>0.5</v>
      </c>
      <c r="F27" s="37">
        <v>4.4735523584568054E-5</v>
      </c>
    </row>
    <row r="28" spans="2:6" x14ac:dyDescent="0.25">
      <c r="B28" s="35" t="s">
        <v>1047</v>
      </c>
      <c r="C28" s="35"/>
      <c r="D28" s="36">
        <v>1</v>
      </c>
      <c r="E28" s="36">
        <v>0.5</v>
      </c>
      <c r="F28" s="37">
        <v>4.4735523584568054E-5</v>
      </c>
    </row>
    <row r="29" spans="2:6" x14ac:dyDescent="0.25">
      <c r="B29" s="35" t="s">
        <v>800</v>
      </c>
      <c r="C29" s="35"/>
      <c r="D29" s="36">
        <v>1</v>
      </c>
      <c r="E29" s="36">
        <v>0.5</v>
      </c>
      <c r="F29" s="37">
        <v>4.4735523584568054E-5</v>
      </c>
    </row>
    <row r="30" spans="2:6" x14ac:dyDescent="0.25">
      <c r="B30" s="35" t="s">
        <v>801</v>
      </c>
      <c r="C30" s="35"/>
      <c r="D30" s="36">
        <v>1</v>
      </c>
      <c r="E30" s="36">
        <v>0.5</v>
      </c>
      <c r="F30" s="37">
        <v>4.4735523584568054E-5</v>
      </c>
    </row>
    <row r="31" spans="2:6" x14ac:dyDescent="0.25">
      <c r="B31" s="35" t="s">
        <v>432</v>
      </c>
      <c r="C31" s="35"/>
      <c r="D31" s="36">
        <v>2</v>
      </c>
      <c r="E31" s="36">
        <v>3.5</v>
      </c>
      <c r="F31" s="37">
        <v>3.1314866509197636E-4</v>
      </c>
    </row>
    <row r="32" spans="2:6" x14ac:dyDescent="0.25">
      <c r="B32" s="35" t="s">
        <v>504</v>
      </c>
      <c r="C32" s="35"/>
      <c r="D32" s="36">
        <v>4</v>
      </c>
      <c r="E32" s="36">
        <v>7</v>
      </c>
      <c r="F32" s="37">
        <v>6.2629733018395271E-4</v>
      </c>
    </row>
    <row r="33" spans="2:6" x14ac:dyDescent="0.25">
      <c r="B33" s="35" t="s">
        <v>370</v>
      </c>
      <c r="C33" s="35"/>
      <c r="D33" s="36">
        <v>4</v>
      </c>
      <c r="E33" s="36">
        <v>3.7</v>
      </c>
      <c r="F33" s="37">
        <v>3.3104287452580359E-4</v>
      </c>
    </row>
    <row r="34" spans="2:6" x14ac:dyDescent="0.25">
      <c r="B34" s="35" t="s">
        <v>695</v>
      </c>
      <c r="C34" s="35"/>
      <c r="D34" s="36">
        <v>16</v>
      </c>
      <c r="E34" s="36">
        <v>11.3</v>
      </c>
      <c r="F34" s="37">
        <v>1.011022833011238E-3</v>
      </c>
    </row>
    <row r="35" spans="2:6" x14ac:dyDescent="0.25">
      <c r="B35" s="35" t="s">
        <v>78</v>
      </c>
      <c r="C35" s="35"/>
      <c r="D35" s="36">
        <v>16</v>
      </c>
      <c r="E35" s="36">
        <v>9.8000000000000007</v>
      </c>
      <c r="F35" s="37">
        <v>8.7681626225753382E-4</v>
      </c>
    </row>
    <row r="36" spans="2:6" x14ac:dyDescent="0.25">
      <c r="B36" s="35" t="s">
        <v>888</v>
      </c>
      <c r="C36" s="35"/>
      <c r="D36" s="36">
        <v>8</v>
      </c>
      <c r="E36" s="36">
        <v>12</v>
      </c>
      <c r="F36" s="37">
        <v>1.0736525660296331E-3</v>
      </c>
    </row>
    <row r="37" spans="2:6" x14ac:dyDescent="0.25">
      <c r="B37" s="35" t="s">
        <v>256</v>
      </c>
      <c r="C37" s="35"/>
      <c r="D37" s="36">
        <v>24</v>
      </c>
      <c r="E37" s="36">
        <v>9.3000000000000007</v>
      </c>
      <c r="F37" s="37">
        <v>8.320807386729658E-4</v>
      </c>
    </row>
    <row r="38" spans="2:6" x14ac:dyDescent="0.25">
      <c r="B38" s="35" t="s">
        <v>906</v>
      </c>
      <c r="C38" s="35"/>
      <c r="D38" s="36">
        <v>1</v>
      </c>
      <c r="E38" s="36">
        <v>1</v>
      </c>
      <c r="F38" s="37">
        <v>8.9471047169136108E-5</v>
      </c>
    </row>
    <row r="39" spans="2:6" x14ac:dyDescent="0.25">
      <c r="B39" s="35" t="s">
        <v>1060</v>
      </c>
      <c r="C39" s="35"/>
      <c r="D39" s="36">
        <v>4</v>
      </c>
      <c r="E39" s="36">
        <v>4</v>
      </c>
      <c r="F39" s="37">
        <v>3.5788418867654443E-4</v>
      </c>
    </row>
    <row r="40" spans="2:6" x14ac:dyDescent="0.25">
      <c r="B40" s="35" t="s">
        <v>119</v>
      </c>
      <c r="C40" s="35"/>
      <c r="D40" s="36">
        <v>4</v>
      </c>
      <c r="E40" s="36">
        <v>3</v>
      </c>
      <c r="F40" s="37">
        <v>2.6841314150740828E-4</v>
      </c>
    </row>
    <row r="41" spans="2:6" x14ac:dyDescent="0.25">
      <c r="B41" s="35" t="s">
        <v>810</v>
      </c>
      <c r="C41" s="35"/>
      <c r="D41" s="36">
        <v>8</v>
      </c>
      <c r="E41" s="36">
        <v>6.3</v>
      </c>
      <c r="F41" s="37">
        <v>5.6366759716555746E-4</v>
      </c>
    </row>
    <row r="42" spans="2:6" x14ac:dyDescent="0.25">
      <c r="B42" s="35" t="s">
        <v>902</v>
      </c>
      <c r="C42" s="35"/>
      <c r="D42" s="36">
        <v>4</v>
      </c>
      <c r="E42" s="36">
        <v>4</v>
      </c>
      <c r="F42" s="37">
        <v>3.5788418867654443E-4</v>
      </c>
    </row>
    <row r="43" spans="2:6" x14ac:dyDescent="0.25">
      <c r="B43" s="35" t="s">
        <v>908</v>
      </c>
      <c r="C43" s="35"/>
      <c r="D43" s="36">
        <v>15</v>
      </c>
      <c r="E43" s="36">
        <v>7.5</v>
      </c>
      <c r="F43" s="37">
        <v>6.7103285376852073E-4</v>
      </c>
    </row>
    <row r="44" spans="2:6" x14ac:dyDescent="0.25">
      <c r="B44" s="35" t="s">
        <v>771</v>
      </c>
      <c r="C44" s="35"/>
      <c r="D44" s="36">
        <v>12</v>
      </c>
      <c r="E44" s="36">
        <v>10.3</v>
      </c>
      <c r="F44" s="37">
        <v>9.2155178584210195E-4</v>
      </c>
    </row>
    <row r="45" spans="2:6" x14ac:dyDescent="0.25">
      <c r="B45" s="35" t="s">
        <v>811</v>
      </c>
      <c r="C45" s="35"/>
      <c r="D45" s="36">
        <v>4</v>
      </c>
      <c r="E45" s="36">
        <v>2.2999999999999998</v>
      </c>
      <c r="F45" s="37">
        <v>2.0578340848901303E-4</v>
      </c>
    </row>
    <row r="46" spans="2:6" x14ac:dyDescent="0.25">
      <c r="B46" s="35" t="s">
        <v>1061</v>
      </c>
      <c r="C46" s="35"/>
      <c r="D46" s="36">
        <v>8</v>
      </c>
      <c r="E46" s="36">
        <v>4</v>
      </c>
      <c r="F46" s="37">
        <v>3.5788418867654443E-4</v>
      </c>
    </row>
    <row r="47" spans="2:6" x14ac:dyDescent="0.25">
      <c r="B47" s="35" t="s">
        <v>556</v>
      </c>
      <c r="C47" s="35"/>
      <c r="D47" s="36">
        <v>55</v>
      </c>
      <c r="E47" s="36">
        <v>24.9</v>
      </c>
      <c r="F47" s="37">
        <v>2.2278290745114887E-3</v>
      </c>
    </row>
    <row r="48" spans="2:6" x14ac:dyDescent="0.25">
      <c r="B48" s="35" t="s">
        <v>1187</v>
      </c>
      <c r="C48" s="35"/>
      <c r="D48" s="36">
        <v>12</v>
      </c>
      <c r="E48" s="36">
        <v>4</v>
      </c>
      <c r="F48" s="37">
        <v>3.5788418867654443E-4</v>
      </c>
    </row>
    <row r="49" spans="2:6" x14ac:dyDescent="0.25">
      <c r="B49" s="35" t="s">
        <v>844</v>
      </c>
      <c r="C49" s="35"/>
      <c r="D49" s="36">
        <v>8</v>
      </c>
      <c r="E49" s="36">
        <v>5.3</v>
      </c>
      <c r="F49" s="37">
        <v>4.7419654999642132E-4</v>
      </c>
    </row>
    <row r="50" spans="2:6" x14ac:dyDescent="0.25">
      <c r="B50" s="35" t="s">
        <v>97</v>
      </c>
      <c r="C50" s="35"/>
      <c r="D50" s="36">
        <v>8</v>
      </c>
      <c r="E50" s="36">
        <v>6.7</v>
      </c>
      <c r="F50" s="37">
        <v>5.9945601603321192E-4</v>
      </c>
    </row>
    <row r="51" spans="2:6" x14ac:dyDescent="0.25">
      <c r="B51" s="35" t="s">
        <v>907</v>
      </c>
      <c r="C51" s="35"/>
      <c r="D51" s="36">
        <v>8</v>
      </c>
      <c r="E51" s="36">
        <v>5.3</v>
      </c>
      <c r="F51" s="37">
        <v>4.7419654999642132E-4</v>
      </c>
    </row>
    <row r="52" spans="2:6" x14ac:dyDescent="0.25">
      <c r="B52" s="35" t="s">
        <v>865</v>
      </c>
      <c r="C52" s="35"/>
      <c r="D52" s="36">
        <v>8</v>
      </c>
      <c r="E52" s="36">
        <v>8</v>
      </c>
      <c r="F52" s="37">
        <v>7.1576837735308886E-4</v>
      </c>
    </row>
    <row r="53" spans="2:6" x14ac:dyDescent="0.25">
      <c r="B53" s="35" t="s">
        <v>1023</v>
      </c>
      <c r="C53" s="35"/>
      <c r="D53" s="36">
        <v>8</v>
      </c>
      <c r="E53" s="36">
        <v>8</v>
      </c>
      <c r="F53" s="37">
        <v>7.1576837735308886E-4</v>
      </c>
    </row>
    <row r="54" spans="2:6" x14ac:dyDescent="0.25">
      <c r="B54" s="35" t="s">
        <v>664</v>
      </c>
      <c r="C54" s="35"/>
      <c r="D54" s="36">
        <v>60</v>
      </c>
      <c r="E54" s="36">
        <v>90</v>
      </c>
      <c r="F54" s="37">
        <v>8.0523942452222497E-3</v>
      </c>
    </row>
    <row r="55" spans="2:6" x14ac:dyDescent="0.25">
      <c r="B55" s="35" t="s">
        <v>451</v>
      </c>
      <c r="C55" s="35"/>
      <c r="D55" s="36">
        <v>70</v>
      </c>
      <c r="E55" s="36">
        <v>91.7</v>
      </c>
      <c r="F55" s="37">
        <v>8.2044950254097811E-3</v>
      </c>
    </row>
    <row r="56" spans="2:6" x14ac:dyDescent="0.25">
      <c r="B56" s="35" t="s">
        <v>671</v>
      </c>
      <c r="C56" s="35"/>
      <c r="D56" s="36">
        <v>6</v>
      </c>
      <c r="E56" s="36">
        <v>4</v>
      </c>
      <c r="F56" s="37">
        <v>3.5788418867654443E-4</v>
      </c>
    </row>
    <row r="57" spans="2:6" x14ac:dyDescent="0.25">
      <c r="B57" s="35" t="s">
        <v>527</v>
      </c>
      <c r="C57" s="35"/>
      <c r="D57" s="36">
        <v>9</v>
      </c>
      <c r="E57" s="36">
        <v>6</v>
      </c>
      <c r="F57" s="37">
        <v>5.3682628301481657E-4</v>
      </c>
    </row>
    <row r="58" spans="2:6" x14ac:dyDescent="0.25">
      <c r="B58" s="35" t="s">
        <v>111</v>
      </c>
      <c r="C58" s="35"/>
      <c r="D58" s="36">
        <v>4</v>
      </c>
      <c r="E58" s="36">
        <v>2.7</v>
      </c>
      <c r="F58" s="37">
        <v>2.4157182735666749E-4</v>
      </c>
    </row>
    <row r="59" spans="2:6" x14ac:dyDescent="0.25">
      <c r="B59" s="35" t="s">
        <v>1064</v>
      </c>
      <c r="C59" s="35"/>
      <c r="D59" s="36">
        <v>19</v>
      </c>
      <c r="E59" s="36">
        <v>9.5</v>
      </c>
      <c r="F59" s="37">
        <v>8.4997494810679292E-4</v>
      </c>
    </row>
    <row r="60" spans="2:6" x14ac:dyDescent="0.25">
      <c r="B60" s="35" t="s">
        <v>893</v>
      </c>
      <c r="C60" s="35"/>
      <c r="D60" s="36">
        <v>5</v>
      </c>
      <c r="E60" s="36">
        <v>2.2999999999999998</v>
      </c>
      <c r="F60" s="37">
        <v>2.0578340848901303E-4</v>
      </c>
    </row>
    <row r="61" spans="2:6" x14ac:dyDescent="0.25">
      <c r="B61" s="35" t="s">
        <v>625</v>
      </c>
      <c r="C61" s="35"/>
      <c r="D61" s="36">
        <v>6</v>
      </c>
      <c r="E61" s="36">
        <v>1.5</v>
      </c>
      <c r="F61" s="37">
        <v>1.3420657075370414E-4</v>
      </c>
    </row>
    <row r="62" spans="2:6" x14ac:dyDescent="0.25">
      <c r="B62" s="35" t="s">
        <v>169</v>
      </c>
      <c r="C62" s="35"/>
      <c r="D62" s="36">
        <v>3</v>
      </c>
      <c r="E62" s="36">
        <v>0.5</v>
      </c>
      <c r="F62" s="37">
        <v>4.4735523584568054E-5</v>
      </c>
    </row>
    <row r="63" spans="2:6" x14ac:dyDescent="0.25">
      <c r="B63" s="35" t="s">
        <v>445</v>
      </c>
      <c r="C63" s="35"/>
      <c r="D63" s="36">
        <v>5</v>
      </c>
      <c r="E63" s="36">
        <v>4.3</v>
      </c>
      <c r="F63" s="37">
        <v>3.8472550282728522E-4</v>
      </c>
    </row>
    <row r="64" spans="2:6" x14ac:dyDescent="0.25">
      <c r="B64" s="35" t="s">
        <v>668</v>
      </c>
      <c r="C64" s="35"/>
      <c r="D64" s="36">
        <v>4</v>
      </c>
      <c r="E64" s="36">
        <v>6</v>
      </c>
      <c r="F64" s="37">
        <v>5.3682628301481657E-4</v>
      </c>
    </row>
    <row r="65" spans="2:6" x14ac:dyDescent="0.25">
      <c r="B65" s="35" t="s">
        <v>575</v>
      </c>
      <c r="C65" s="35"/>
      <c r="D65" s="36">
        <v>6</v>
      </c>
      <c r="E65" s="36">
        <v>1.3</v>
      </c>
      <c r="F65" s="37">
        <v>1.1631236131987694E-4</v>
      </c>
    </row>
    <row r="66" spans="2:6" x14ac:dyDescent="0.25">
      <c r="B66" s="35" t="s">
        <v>1044</v>
      </c>
      <c r="C66" s="35"/>
      <c r="D66" s="36">
        <v>1</v>
      </c>
      <c r="E66" s="36">
        <v>0.2</v>
      </c>
      <c r="F66" s="37">
        <v>1.7894209433827223E-5</v>
      </c>
    </row>
    <row r="67" spans="2:6" x14ac:dyDescent="0.25">
      <c r="B67" s="35" t="s">
        <v>248</v>
      </c>
      <c r="C67" s="35"/>
      <c r="D67" s="36">
        <v>4</v>
      </c>
      <c r="E67" s="36">
        <v>1.7</v>
      </c>
      <c r="F67" s="37">
        <v>1.5210078018753137E-4</v>
      </c>
    </row>
    <row r="68" spans="2:6" x14ac:dyDescent="0.25">
      <c r="B68" s="35" t="s">
        <v>401</v>
      </c>
      <c r="C68" s="35"/>
      <c r="D68" s="36">
        <v>1</v>
      </c>
      <c r="E68" s="36">
        <v>0.8</v>
      </c>
      <c r="F68" s="37">
        <v>7.1576837735308892E-5</v>
      </c>
    </row>
    <row r="69" spans="2:6" x14ac:dyDescent="0.25">
      <c r="B69" s="35" t="s">
        <v>896</v>
      </c>
      <c r="C69" s="35"/>
      <c r="D69" s="36">
        <v>42</v>
      </c>
      <c r="E69" s="36">
        <v>26.3</v>
      </c>
      <c r="F69" s="37">
        <v>2.3530885405482795E-3</v>
      </c>
    </row>
    <row r="70" spans="2:6" x14ac:dyDescent="0.25">
      <c r="B70" s="35" t="s">
        <v>1062</v>
      </c>
      <c r="C70" s="35"/>
      <c r="D70" s="36">
        <v>1</v>
      </c>
      <c r="E70" s="36">
        <v>0.5</v>
      </c>
      <c r="F70" s="37">
        <v>4.4735523584568054E-5</v>
      </c>
    </row>
    <row r="71" spans="2:6" x14ac:dyDescent="0.25">
      <c r="B71" s="35" t="s">
        <v>183</v>
      </c>
      <c r="C71" s="35"/>
      <c r="D71" s="36">
        <v>197</v>
      </c>
      <c r="E71" s="36">
        <v>57.5</v>
      </c>
      <c r="F71" s="37">
        <v>5.144585212225326E-3</v>
      </c>
    </row>
    <row r="72" spans="2:6" x14ac:dyDescent="0.25">
      <c r="B72" s="35" t="s">
        <v>106</v>
      </c>
      <c r="C72" s="35"/>
      <c r="D72" s="36">
        <v>14</v>
      </c>
      <c r="E72" s="36">
        <v>0.9</v>
      </c>
      <c r="F72" s="37">
        <v>8.0523942452222493E-5</v>
      </c>
    </row>
    <row r="73" spans="2:6" x14ac:dyDescent="0.25">
      <c r="B73" s="35" t="s">
        <v>977</v>
      </c>
      <c r="C73" s="35"/>
      <c r="D73" s="36">
        <v>2</v>
      </c>
      <c r="E73" s="36">
        <v>0.1</v>
      </c>
      <c r="F73" s="37">
        <v>8.9471047169136115E-6</v>
      </c>
    </row>
    <row r="74" spans="2:6" x14ac:dyDescent="0.25">
      <c r="B74" s="35" t="s">
        <v>974</v>
      </c>
      <c r="C74" s="35"/>
      <c r="D74" s="36">
        <v>3</v>
      </c>
      <c r="E74" s="36">
        <v>0.2</v>
      </c>
      <c r="F74" s="37">
        <v>1.7894209433827223E-5</v>
      </c>
    </row>
    <row r="75" spans="2:6" x14ac:dyDescent="0.25">
      <c r="B75" s="35" t="s">
        <v>93</v>
      </c>
      <c r="C75" s="35"/>
      <c r="D75" s="36">
        <v>2</v>
      </c>
      <c r="E75" s="36">
        <v>0.1</v>
      </c>
      <c r="F75" s="37">
        <v>8.9471047169136115E-6</v>
      </c>
    </row>
    <row r="76" spans="2:6" x14ac:dyDescent="0.25">
      <c r="B76" s="35" t="s">
        <v>358</v>
      </c>
      <c r="C76" s="35"/>
      <c r="D76" s="36">
        <v>6</v>
      </c>
      <c r="E76" s="36">
        <v>15</v>
      </c>
      <c r="F76" s="37">
        <v>1.3420657075370415E-3</v>
      </c>
    </row>
    <row r="77" spans="2:6" x14ac:dyDescent="0.25">
      <c r="B77" s="35" t="s">
        <v>1191</v>
      </c>
      <c r="C77" s="35"/>
      <c r="D77" s="36">
        <v>1</v>
      </c>
      <c r="E77" s="36">
        <v>6</v>
      </c>
      <c r="F77" s="37">
        <v>5.3682628301481657E-4</v>
      </c>
    </row>
    <row r="78" spans="2:6" x14ac:dyDescent="0.25">
      <c r="B78" s="35" t="s">
        <v>1192</v>
      </c>
      <c r="C78" s="35"/>
      <c r="D78" s="36">
        <v>2</v>
      </c>
      <c r="E78" s="36">
        <v>12</v>
      </c>
      <c r="F78" s="37">
        <v>1.0736525660296331E-3</v>
      </c>
    </row>
    <row r="79" spans="2:6" x14ac:dyDescent="0.25">
      <c r="B79" s="35" t="s">
        <v>994</v>
      </c>
      <c r="C79" s="35"/>
      <c r="D79" s="36">
        <v>8</v>
      </c>
      <c r="E79" s="36">
        <v>20</v>
      </c>
      <c r="F79" s="37">
        <v>1.7894209433827221E-3</v>
      </c>
    </row>
    <row r="80" spans="2:6" x14ac:dyDescent="0.25">
      <c r="B80" s="35" t="s">
        <v>459</v>
      </c>
      <c r="C80" s="35"/>
      <c r="D80" s="36">
        <v>2</v>
      </c>
      <c r="E80" s="36">
        <v>3</v>
      </c>
      <c r="F80" s="37">
        <v>2.6841314150740828E-4</v>
      </c>
    </row>
    <row r="81" spans="2:6" x14ac:dyDescent="0.25">
      <c r="B81" s="35" t="s">
        <v>458</v>
      </c>
      <c r="C81" s="35"/>
      <c r="D81" s="36">
        <v>2</v>
      </c>
      <c r="E81" s="36">
        <v>3</v>
      </c>
      <c r="F81" s="37">
        <v>2.6841314150740828E-4</v>
      </c>
    </row>
    <row r="82" spans="2:6" x14ac:dyDescent="0.25">
      <c r="B82" s="35" t="s">
        <v>619</v>
      </c>
      <c r="C82" s="35"/>
      <c r="D82" s="36">
        <v>15</v>
      </c>
      <c r="E82" s="36">
        <v>37</v>
      </c>
      <c r="F82" s="37">
        <v>3.3104287452580356E-3</v>
      </c>
    </row>
    <row r="83" spans="2:6" x14ac:dyDescent="0.25">
      <c r="B83" s="35" t="s">
        <v>420</v>
      </c>
      <c r="C83" s="35"/>
      <c r="D83" s="36">
        <v>6</v>
      </c>
      <c r="E83" s="36">
        <v>20.7</v>
      </c>
      <c r="F83" s="37">
        <v>1.8520506764011172E-3</v>
      </c>
    </row>
    <row r="84" spans="2:6" x14ac:dyDescent="0.25">
      <c r="B84" s="35" t="s">
        <v>413</v>
      </c>
      <c r="C84" s="35"/>
      <c r="D84" s="36">
        <v>5</v>
      </c>
      <c r="E84" s="36">
        <v>22</v>
      </c>
      <c r="F84" s="37">
        <v>1.9683630377209942E-3</v>
      </c>
    </row>
    <row r="85" spans="2:6" x14ac:dyDescent="0.25">
      <c r="B85" s="35" t="s">
        <v>415</v>
      </c>
      <c r="C85" s="35"/>
      <c r="D85" s="36">
        <v>5</v>
      </c>
      <c r="E85" s="36">
        <v>22</v>
      </c>
      <c r="F85" s="37">
        <v>1.9683630377209942E-3</v>
      </c>
    </row>
    <row r="86" spans="2:6" x14ac:dyDescent="0.25">
      <c r="B86" s="35" t="s">
        <v>938</v>
      </c>
      <c r="C86" s="35"/>
      <c r="D86" s="36">
        <v>1</v>
      </c>
      <c r="E86" s="36">
        <v>6</v>
      </c>
      <c r="F86" s="37">
        <v>5.3682628301481657E-4</v>
      </c>
    </row>
    <row r="87" spans="2:6" x14ac:dyDescent="0.25">
      <c r="B87" s="35" t="s">
        <v>595</v>
      </c>
      <c r="C87" s="35"/>
      <c r="D87" s="36">
        <v>4</v>
      </c>
      <c r="E87" s="36">
        <v>3.2</v>
      </c>
      <c r="F87" s="37">
        <v>2.8630735094123557E-4</v>
      </c>
    </row>
    <row r="88" spans="2:6" x14ac:dyDescent="0.25">
      <c r="B88" s="35" t="s">
        <v>364</v>
      </c>
      <c r="C88" s="35"/>
      <c r="D88" s="36">
        <v>4</v>
      </c>
      <c r="E88" s="36">
        <v>2</v>
      </c>
      <c r="F88" s="37">
        <v>1.7894209433827222E-4</v>
      </c>
    </row>
    <row r="89" spans="2:6" x14ac:dyDescent="0.25">
      <c r="B89" s="35" t="s">
        <v>1199</v>
      </c>
      <c r="C89" s="35"/>
      <c r="D89" s="36">
        <v>4</v>
      </c>
      <c r="E89" s="36">
        <v>10</v>
      </c>
      <c r="F89" s="37">
        <v>8.9471047169136105E-4</v>
      </c>
    </row>
    <row r="90" spans="2:6" x14ac:dyDescent="0.25">
      <c r="B90" s="35" t="s">
        <v>423</v>
      </c>
      <c r="C90" s="35"/>
      <c r="D90" s="36">
        <v>2</v>
      </c>
      <c r="E90" s="36">
        <v>5</v>
      </c>
      <c r="F90" s="37">
        <v>4.4735523584568053E-4</v>
      </c>
    </row>
    <row r="91" spans="2:6" x14ac:dyDescent="0.25">
      <c r="B91" s="35" t="s">
        <v>447</v>
      </c>
      <c r="C91" s="35"/>
      <c r="D91" s="36">
        <v>2</v>
      </c>
      <c r="E91" s="36">
        <v>5</v>
      </c>
      <c r="F91" s="37">
        <v>4.4735523584568053E-4</v>
      </c>
    </row>
    <row r="92" spans="2:6" x14ac:dyDescent="0.25">
      <c r="B92" s="35" t="s">
        <v>535</v>
      </c>
      <c r="C92" s="35"/>
      <c r="D92" s="36">
        <v>2</v>
      </c>
      <c r="E92" s="36">
        <v>16</v>
      </c>
      <c r="F92" s="37">
        <v>1.4315367547061777E-3</v>
      </c>
    </row>
    <row r="93" spans="2:6" x14ac:dyDescent="0.25">
      <c r="B93" s="35" t="s">
        <v>455</v>
      </c>
      <c r="C93" s="35"/>
      <c r="D93" s="36">
        <v>1</v>
      </c>
      <c r="E93" s="36">
        <v>8</v>
      </c>
      <c r="F93" s="37">
        <v>7.1576837735308886E-4</v>
      </c>
    </row>
    <row r="94" spans="2:6" x14ac:dyDescent="0.25">
      <c r="B94" s="35" t="s">
        <v>456</v>
      </c>
      <c r="C94" s="35"/>
      <c r="D94" s="36">
        <v>1</v>
      </c>
      <c r="E94" s="36">
        <v>8</v>
      </c>
      <c r="F94" s="37">
        <v>7.1576837735308886E-4</v>
      </c>
    </row>
    <row r="95" spans="2:6" x14ac:dyDescent="0.25">
      <c r="B95" s="35" t="s">
        <v>877</v>
      </c>
      <c r="C95" s="35"/>
      <c r="D95" s="36">
        <v>4</v>
      </c>
      <c r="E95" s="36">
        <v>12</v>
      </c>
      <c r="F95" s="37">
        <v>1.0736525660296331E-3</v>
      </c>
    </row>
    <row r="96" spans="2:6" x14ac:dyDescent="0.25">
      <c r="B96" s="35" t="s">
        <v>564</v>
      </c>
      <c r="C96" s="35"/>
      <c r="D96" s="36">
        <v>20</v>
      </c>
      <c r="E96" s="36">
        <v>3.3</v>
      </c>
      <c r="F96" s="37">
        <v>2.9525445565814913E-4</v>
      </c>
    </row>
    <row r="97" spans="2:6" x14ac:dyDescent="0.25">
      <c r="B97" s="35" t="s">
        <v>110</v>
      </c>
      <c r="C97" s="35"/>
      <c r="D97" s="36">
        <v>66</v>
      </c>
      <c r="E97" s="36">
        <v>12.6</v>
      </c>
      <c r="F97" s="37">
        <v>1.1273351943311149E-3</v>
      </c>
    </row>
    <row r="98" spans="2:6" x14ac:dyDescent="0.25">
      <c r="B98" s="35" t="s">
        <v>54</v>
      </c>
      <c r="C98" s="35"/>
      <c r="D98" s="36">
        <v>5</v>
      </c>
      <c r="E98" s="36">
        <v>1.3</v>
      </c>
      <c r="F98" s="37">
        <v>1.1631236131987694E-4</v>
      </c>
    </row>
    <row r="99" spans="2:6" x14ac:dyDescent="0.25">
      <c r="B99" s="35" t="s">
        <v>542</v>
      </c>
      <c r="C99" s="35"/>
      <c r="D99" s="36">
        <v>24</v>
      </c>
      <c r="E99" s="36">
        <v>20</v>
      </c>
      <c r="F99" s="37">
        <v>1.7894209433827221E-3</v>
      </c>
    </row>
    <row r="100" spans="2:6" x14ac:dyDescent="0.25">
      <c r="B100" s="35" t="s">
        <v>795</v>
      </c>
      <c r="C100" s="35"/>
      <c r="D100" s="36">
        <v>86</v>
      </c>
      <c r="E100" s="36">
        <v>35.799999999999997</v>
      </c>
      <c r="F100" s="37">
        <v>3.2030634886550721E-3</v>
      </c>
    </row>
    <row r="101" spans="2:6" x14ac:dyDescent="0.25">
      <c r="B101" s="35" t="s">
        <v>678</v>
      </c>
      <c r="C101" s="35"/>
      <c r="D101" s="36">
        <v>240</v>
      </c>
      <c r="E101" s="36">
        <v>93.4</v>
      </c>
      <c r="F101" s="37">
        <v>8.3565958055973125E-3</v>
      </c>
    </row>
    <row r="102" spans="2:6" x14ac:dyDescent="0.25">
      <c r="B102" s="35" t="s">
        <v>62</v>
      </c>
      <c r="C102" s="35"/>
      <c r="D102" s="36">
        <v>80</v>
      </c>
      <c r="E102" s="36">
        <v>33.299999999999997</v>
      </c>
      <c r="F102" s="37">
        <v>2.9793858707322322E-3</v>
      </c>
    </row>
    <row r="103" spans="2:6" x14ac:dyDescent="0.25">
      <c r="B103" s="35" t="s">
        <v>59</v>
      </c>
      <c r="C103" s="35"/>
      <c r="D103" s="36">
        <v>2</v>
      </c>
      <c r="E103" s="36">
        <v>0.1</v>
      </c>
      <c r="F103" s="37">
        <v>8.9471047169136115E-6</v>
      </c>
    </row>
    <row r="104" spans="2:6" x14ac:dyDescent="0.25">
      <c r="B104" s="35" t="s">
        <v>578</v>
      </c>
      <c r="C104" s="35"/>
      <c r="D104" s="36">
        <v>142</v>
      </c>
      <c r="E104" s="36">
        <v>59.2</v>
      </c>
      <c r="F104" s="37">
        <v>5.2966859924128574E-3</v>
      </c>
    </row>
    <row r="105" spans="2:6" x14ac:dyDescent="0.25">
      <c r="B105" s="35" t="s">
        <v>44</v>
      </c>
      <c r="C105" s="35"/>
      <c r="D105" s="36">
        <v>8</v>
      </c>
      <c r="E105" s="36">
        <v>4.7</v>
      </c>
      <c r="F105" s="37">
        <v>4.2051392169493968E-4</v>
      </c>
    </row>
    <row r="106" spans="2:6" x14ac:dyDescent="0.25">
      <c r="B106" s="35" t="s">
        <v>719</v>
      </c>
      <c r="C106" s="35"/>
      <c r="D106" s="36">
        <v>19</v>
      </c>
      <c r="E106" s="36">
        <v>14.3</v>
      </c>
      <c r="F106" s="37">
        <v>1.2794359745186463E-3</v>
      </c>
    </row>
    <row r="107" spans="2:6" x14ac:dyDescent="0.25">
      <c r="B107" s="35" t="s">
        <v>404</v>
      </c>
      <c r="C107" s="35"/>
      <c r="D107" s="36">
        <v>68</v>
      </c>
      <c r="E107" s="36">
        <v>92</v>
      </c>
      <c r="F107" s="37">
        <v>8.2313363395605209E-3</v>
      </c>
    </row>
    <row r="108" spans="2:6" x14ac:dyDescent="0.25">
      <c r="B108" s="35" t="s">
        <v>198</v>
      </c>
      <c r="C108" s="35"/>
      <c r="D108" s="36">
        <v>80</v>
      </c>
      <c r="E108" s="36">
        <v>39</v>
      </c>
      <c r="F108" s="37">
        <v>3.4893708395963082E-3</v>
      </c>
    </row>
    <row r="109" spans="2:6" x14ac:dyDescent="0.25">
      <c r="B109" s="35" t="s">
        <v>1025</v>
      </c>
      <c r="C109" s="35"/>
      <c r="D109" s="36">
        <v>8</v>
      </c>
      <c r="E109" s="36">
        <v>4</v>
      </c>
      <c r="F109" s="37">
        <v>3.5788418867654443E-4</v>
      </c>
    </row>
    <row r="110" spans="2:6" x14ac:dyDescent="0.25">
      <c r="B110" s="35" t="s">
        <v>818</v>
      </c>
      <c r="C110" s="35"/>
      <c r="D110" s="36">
        <v>100</v>
      </c>
      <c r="E110" s="36">
        <v>28.3</v>
      </c>
      <c r="F110" s="37">
        <v>2.532030634886552E-3</v>
      </c>
    </row>
    <row r="111" spans="2:6" x14ac:dyDescent="0.25">
      <c r="B111" s="35" t="s">
        <v>854</v>
      </c>
      <c r="C111" s="35"/>
      <c r="D111" s="36">
        <v>22</v>
      </c>
      <c r="E111" s="36">
        <v>22</v>
      </c>
      <c r="F111" s="37">
        <v>1.9683630377209942E-3</v>
      </c>
    </row>
    <row r="112" spans="2:6" x14ac:dyDescent="0.25">
      <c r="B112" s="35" t="s">
        <v>640</v>
      </c>
      <c r="C112" s="35"/>
      <c r="D112" s="36">
        <v>31</v>
      </c>
      <c r="E112" s="36">
        <v>11.5</v>
      </c>
      <c r="F112" s="37">
        <v>1.0289170424450651E-3</v>
      </c>
    </row>
    <row r="113" spans="2:6" x14ac:dyDescent="0.25">
      <c r="B113" s="35" t="s">
        <v>1015</v>
      </c>
      <c r="C113" s="35"/>
      <c r="D113" s="36">
        <v>35</v>
      </c>
      <c r="E113" s="36">
        <v>26.3</v>
      </c>
      <c r="F113" s="37">
        <v>2.3530885405482795E-3</v>
      </c>
    </row>
    <row r="114" spans="2:6" x14ac:dyDescent="0.25">
      <c r="B114" s="35" t="s">
        <v>806</v>
      </c>
      <c r="C114" s="35"/>
      <c r="D114" s="36">
        <v>21</v>
      </c>
      <c r="E114" s="36">
        <v>10.5</v>
      </c>
      <c r="F114" s="37">
        <v>9.3944599527592907E-4</v>
      </c>
    </row>
    <row r="115" spans="2:6" x14ac:dyDescent="0.25">
      <c r="B115" s="35" t="s">
        <v>461</v>
      </c>
      <c r="C115" s="35"/>
      <c r="D115" s="36">
        <v>60</v>
      </c>
      <c r="E115" s="36">
        <v>7.5</v>
      </c>
      <c r="F115" s="37">
        <v>6.7103285376852073E-4</v>
      </c>
    </row>
    <row r="116" spans="2:6" x14ac:dyDescent="0.25">
      <c r="B116" s="35" t="s">
        <v>720</v>
      </c>
      <c r="C116" s="35"/>
      <c r="D116" s="36">
        <v>19</v>
      </c>
      <c r="E116" s="36">
        <v>6.3</v>
      </c>
      <c r="F116" s="37">
        <v>5.6366759716555746E-4</v>
      </c>
    </row>
    <row r="117" spans="2:6" x14ac:dyDescent="0.25">
      <c r="B117" s="35" t="s">
        <v>746</v>
      </c>
      <c r="C117" s="35"/>
      <c r="D117" s="36">
        <v>80</v>
      </c>
      <c r="E117" s="36">
        <v>30</v>
      </c>
      <c r="F117" s="37">
        <v>2.6841314150740829E-3</v>
      </c>
    </row>
    <row r="118" spans="2:6" x14ac:dyDescent="0.25">
      <c r="B118" s="35" t="s">
        <v>592</v>
      </c>
      <c r="C118" s="35"/>
      <c r="D118" s="36">
        <v>97</v>
      </c>
      <c r="E118" s="36">
        <v>44.5</v>
      </c>
      <c r="F118" s="37">
        <v>3.9814615990265562E-3</v>
      </c>
    </row>
    <row r="119" spans="2:6" x14ac:dyDescent="0.25">
      <c r="B119" s="35" t="s">
        <v>541</v>
      </c>
      <c r="C119" s="35"/>
      <c r="D119" s="36">
        <v>32</v>
      </c>
      <c r="E119" s="36">
        <v>22</v>
      </c>
      <c r="F119" s="37">
        <v>1.9683630377209942E-3</v>
      </c>
    </row>
    <row r="120" spans="2:6" x14ac:dyDescent="0.25">
      <c r="B120" s="35" t="s">
        <v>72</v>
      </c>
      <c r="C120" s="35"/>
      <c r="D120" s="36">
        <v>90</v>
      </c>
      <c r="E120" s="36">
        <v>45</v>
      </c>
      <c r="F120" s="37">
        <v>4.0261971226111248E-3</v>
      </c>
    </row>
    <row r="121" spans="2:6" x14ac:dyDescent="0.25">
      <c r="B121" s="35" t="s">
        <v>522</v>
      </c>
      <c r="C121" s="35"/>
      <c r="D121" s="36">
        <v>42</v>
      </c>
      <c r="E121" s="36">
        <v>19.099999999999998</v>
      </c>
      <c r="F121" s="37">
        <v>1.7088970009304994E-3</v>
      </c>
    </row>
    <row r="122" spans="2:6" x14ac:dyDescent="0.25">
      <c r="B122" s="35" t="s">
        <v>512</v>
      </c>
      <c r="C122" s="35"/>
      <c r="D122" s="36">
        <v>6</v>
      </c>
      <c r="E122" s="36">
        <v>72</v>
      </c>
      <c r="F122" s="37">
        <v>6.4419153961777992E-3</v>
      </c>
    </row>
    <row r="123" spans="2:6" x14ac:dyDescent="0.25">
      <c r="B123" s="35" t="s">
        <v>880</v>
      </c>
      <c r="C123" s="35"/>
      <c r="D123" s="36">
        <v>1</v>
      </c>
      <c r="E123" s="36">
        <v>12</v>
      </c>
      <c r="F123" s="37">
        <v>1.0736525660296331E-3</v>
      </c>
    </row>
    <row r="124" spans="2:6" x14ac:dyDescent="0.25">
      <c r="B124" s="35" t="s">
        <v>928</v>
      </c>
      <c r="C124" s="35"/>
      <c r="D124" s="36">
        <v>10</v>
      </c>
      <c r="E124" s="36">
        <v>60</v>
      </c>
      <c r="F124" s="37">
        <v>5.3682628301481659E-3</v>
      </c>
    </row>
    <row r="125" spans="2:6" x14ac:dyDescent="0.25">
      <c r="B125" s="35" t="s">
        <v>465</v>
      </c>
      <c r="C125" s="35"/>
      <c r="D125" s="36">
        <v>16</v>
      </c>
      <c r="E125" s="36">
        <v>36</v>
      </c>
      <c r="F125" s="37">
        <v>3.2209576980888996E-3</v>
      </c>
    </row>
    <row r="126" spans="2:6" x14ac:dyDescent="0.25">
      <c r="B126" s="35" t="s">
        <v>299</v>
      </c>
      <c r="C126" s="35"/>
      <c r="D126" s="36">
        <v>10</v>
      </c>
      <c r="E126" s="36">
        <v>30</v>
      </c>
      <c r="F126" s="37">
        <v>2.6841314150740829E-3</v>
      </c>
    </row>
    <row r="127" spans="2:6" x14ac:dyDescent="0.25">
      <c r="B127" s="35" t="s">
        <v>614</v>
      </c>
      <c r="C127" s="35"/>
      <c r="D127" s="36">
        <v>11</v>
      </c>
      <c r="E127" s="36">
        <v>33</v>
      </c>
      <c r="F127" s="37">
        <v>2.9525445565814915E-3</v>
      </c>
    </row>
    <row r="128" spans="2:6" x14ac:dyDescent="0.25">
      <c r="B128" s="35" t="s">
        <v>374</v>
      </c>
      <c r="C128" s="35"/>
      <c r="D128" s="36">
        <v>32</v>
      </c>
      <c r="E128" s="36">
        <v>15.1</v>
      </c>
      <c r="F128" s="37">
        <v>1.351012812253955E-3</v>
      </c>
    </row>
    <row r="129" spans="2:6" x14ac:dyDescent="0.25">
      <c r="B129" s="35" t="s">
        <v>472</v>
      </c>
      <c r="C129" s="35"/>
      <c r="D129" s="36">
        <v>11</v>
      </c>
      <c r="E129" s="36">
        <v>93.8</v>
      </c>
      <c r="F129" s="37">
        <v>8.3923842244649667E-3</v>
      </c>
    </row>
    <row r="130" spans="2:6" x14ac:dyDescent="0.25">
      <c r="B130" s="35" t="s">
        <v>1197</v>
      </c>
      <c r="C130" s="35"/>
      <c r="D130" s="36">
        <v>10</v>
      </c>
      <c r="E130" s="36">
        <v>6.7</v>
      </c>
      <c r="F130" s="37">
        <v>5.9945601603321192E-4</v>
      </c>
    </row>
    <row r="131" spans="2:6" x14ac:dyDescent="0.25">
      <c r="B131" s="35" t="s">
        <v>338</v>
      </c>
      <c r="C131" s="35"/>
      <c r="D131" s="36">
        <v>11</v>
      </c>
      <c r="E131" s="36">
        <v>87</v>
      </c>
      <c r="F131" s="37">
        <v>7.7839811037148411E-3</v>
      </c>
    </row>
    <row r="132" spans="2:6" x14ac:dyDescent="0.25">
      <c r="B132" s="35" t="s">
        <v>930</v>
      </c>
      <c r="C132" s="35"/>
      <c r="D132" s="36">
        <v>14</v>
      </c>
      <c r="E132" s="36">
        <v>34</v>
      </c>
      <c r="F132" s="37">
        <v>3.0420156037506275E-3</v>
      </c>
    </row>
    <row r="133" spans="2:6" x14ac:dyDescent="0.25">
      <c r="B133" s="35" t="s">
        <v>320</v>
      </c>
      <c r="C133" s="35"/>
      <c r="D133" s="36">
        <v>5</v>
      </c>
      <c r="E133" s="36">
        <v>60</v>
      </c>
      <c r="F133" s="37">
        <v>5.3682628301481659E-3</v>
      </c>
    </row>
    <row r="134" spans="2:6" x14ac:dyDescent="0.25">
      <c r="B134" s="35" t="s">
        <v>122</v>
      </c>
      <c r="C134" s="35"/>
      <c r="D134" s="36">
        <v>12</v>
      </c>
      <c r="E134" s="36">
        <v>190</v>
      </c>
      <c r="F134" s="37">
        <v>1.6999498962135859E-2</v>
      </c>
    </row>
    <row r="135" spans="2:6" x14ac:dyDescent="0.25">
      <c r="B135" s="35" t="s">
        <v>153</v>
      </c>
      <c r="C135" s="35"/>
      <c r="D135" s="36">
        <v>14</v>
      </c>
      <c r="E135" s="36">
        <v>217.5</v>
      </c>
      <c r="F135" s="37">
        <v>1.9459952759287101E-2</v>
      </c>
    </row>
    <row r="136" spans="2:6" x14ac:dyDescent="0.25">
      <c r="B136" s="35" t="s">
        <v>639</v>
      </c>
      <c r="C136" s="35"/>
      <c r="D136" s="36">
        <v>14</v>
      </c>
      <c r="E136" s="36">
        <v>21</v>
      </c>
      <c r="F136" s="37">
        <v>1.8788919905518581E-3</v>
      </c>
    </row>
    <row r="137" spans="2:6" x14ac:dyDescent="0.25">
      <c r="B137" s="35" t="s">
        <v>406</v>
      </c>
      <c r="C137" s="35"/>
      <c r="D137" s="36">
        <v>20</v>
      </c>
      <c r="E137" s="36">
        <v>30</v>
      </c>
      <c r="F137" s="37">
        <v>2.6841314150740829E-3</v>
      </c>
    </row>
    <row r="138" spans="2:6" x14ac:dyDescent="0.25">
      <c r="B138" s="35" t="s">
        <v>598</v>
      </c>
      <c r="C138" s="35"/>
      <c r="D138" s="36">
        <v>16</v>
      </c>
      <c r="E138" s="36">
        <v>13.3</v>
      </c>
      <c r="F138" s="37">
        <v>1.1899649273495103E-3</v>
      </c>
    </row>
    <row r="139" spans="2:6" x14ac:dyDescent="0.25">
      <c r="B139" s="35" t="s">
        <v>942</v>
      </c>
      <c r="C139" s="35"/>
      <c r="D139" s="36">
        <v>44</v>
      </c>
      <c r="E139" s="36">
        <v>22</v>
      </c>
      <c r="F139" s="37">
        <v>1.9683630377209942E-3</v>
      </c>
    </row>
    <row r="140" spans="2:6" x14ac:dyDescent="0.25">
      <c r="B140" s="35" t="s">
        <v>448</v>
      </c>
      <c r="C140" s="35"/>
      <c r="D140" s="36">
        <v>26</v>
      </c>
      <c r="E140" s="36">
        <v>63</v>
      </c>
      <c r="F140" s="37">
        <v>5.6366759716555744E-3</v>
      </c>
    </row>
    <row r="141" spans="2:6" x14ac:dyDescent="0.25">
      <c r="B141" s="35" t="s">
        <v>486</v>
      </c>
      <c r="C141" s="35"/>
      <c r="D141" s="36">
        <v>11</v>
      </c>
      <c r="E141" s="36">
        <v>32</v>
      </c>
      <c r="F141" s="37">
        <v>2.8630735094123554E-3</v>
      </c>
    </row>
    <row r="142" spans="2:6" x14ac:dyDescent="0.25">
      <c r="B142" s="35" t="s">
        <v>296</v>
      </c>
      <c r="C142" s="35"/>
      <c r="D142" s="36">
        <v>4</v>
      </c>
      <c r="E142" s="36">
        <v>12</v>
      </c>
      <c r="F142" s="37">
        <v>1.0736525660296331E-3</v>
      </c>
    </row>
    <row r="143" spans="2:6" x14ac:dyDescent="0.25">
      <c r="B143" s="35" t="s">
        <v>745</v>
      </c>
      <c r="C143" s="35"/>
      <c r="D143" s="36">
        <v>2</v>
      </c>
      <c r="E143" s="36">
        <v>4</v>
      </c>
      <c r="F143" s="37">
        <v>3.5788418867654443E-4</v>
      </c>
    </row>
    <row r="144" spans="2:6" x14ac:dyDescent="0.25">
      <c r="B144" s="35" t="s">
        <v>743</v>
      </c>
      <c r="C144" s="35"/>
      <c r="D144" s="36">
        <v>2</v>
      </c>
      <c r="E144" s="36">
        <v>4</v>
      </c>
      <c r="F144" s="37">
        <v>3.5788418867654443E-4</v>
      </c>
    </row>
    <row r="145" spans="2:6" x14ac:dyDescent="0.25">
      <c r="B145" s="35" t="s">
        <v>352</v>
      </c>
      <c r="C145" s="35"/>
      <c r="D145" s="36">
        <v>8</v>
      </c>
      <c r="E145" s="36">
        <v>40</v>
      </c>
      <c r="F145" s="37">
        <v>3.5788418867654442E-3</v>
      </c>
    </row>
    <row r="146" spans="2:6" x14ac:dyDescent="0.25">
      <c r="B146" s="35" t="s">
        <v>363</v>
      </c>
      <c r="C146" s="35"/>
      <c r="D146" s="36">
        <v>15</v>
      </c>
      <c r="E146" s="36">
        <v>51</v>
      </c>
      <c r="F146" s="37">
        <v>4.5630234056259411E-3</v>
      </c>
    </row>
    <row r="147" spans="2:6" x14ac:dyDescent="0.25">
      <c r="B147" s="35" t="s">
        <v>992</v>
      </c>
      <c r="C147" s="35"/>
      <c r="D147" s="36">
        <v>6</v>
      </c>
      <c r="E147" s="36">
        <v>42</v>
      </c>
      <c r="F147" s="37">
        <v>3.7577839811037163E-3</v>
      </c>
    </row>
    <row r="148" spans="2:6" x14ac:dyDescent="0.25">
      <c r="B148" s="35" t="s">
        <v>355</v>
      </c>
      <c r="C148" s="35"/>
      <c r="D148" s="36">
        <v>6</v>
      </c>
      <c r="E148" s="36">
        <v>42</v>
      </c>
      <c r="F148" s="37">
        <v>3.7577839811037163E-3</v>
      </c>
    </row>
    <row r="149" spans="2:6" x14ac:dyDescent="0.25">
      <c r="B149" s="35" t="s">
        <v>328</v>
      </c>
      <c r="C149" s="35"/>
      <c r="D149" s="36">
        <v>10</v>
      </c>
      <c r="E149" s="36">
        <v>50</v>
      </c>
      <c r="F149" s="37">
        <v>4.4735523584568055E-3</v>
      </c>
    </row>
    <row r="150" spans="2:6" x14ac:dyDescent="0.25">
      <c r="B150" s="35" t="s">
        <v>885</v>
      </c>
      <c r="C150" s="35"/>
      <c r="D150" s="36">
        <v>12</v>
      </c>
      <c r="E150" s="36">
        <v>96</v>
      </c>
      <c r="F150" s="37">
        <v>8.589220528237065E-3</v>
      </c>
    </row>
    <row r="151" spans="2:6" x14ac:dyDescent="0.25">
      <c r="B151" s="35" t="s">
        <v>1005</v>
      </c>
      <c r="C151" s="35"/>
      <c r="D151" s="36">
        <v>8</v>
      </c>
      <c r="E151" s="36">
        <v>22</v>
      </c>
      <c r="F151" s="37">
        <v>1.9683630377209942E-3</v>
      </c>
    </row>
    <row r="152" spans="2:6" x14ac:dyDescent="0.25">
      <c r="B152" s="35" t="s">
        <v>1021</v>
      </c>
      <c r="C152" s="35"/>
      <c r="D152" s="36">
        <v>5</v>
      </c>
      <c r="E152" s="36">
        <v>16.5</v>
      </c>
      <c r="F152" s="37">
        <v>1.4762722782907457E-3</v>
      </c>
    </row>
    <row r="153" spans="2:6" x14ac:dyDescent="0.25">
      <c r="B153" s="35" t="s">
        <v>1022</v>
      </c>
      <c r="C153" s="35"/>
      <c r="D153" s="36">
        <v>6</v>
      </c>
      <c r="E153" s="36">
        <v>17.5</v>
      </c>
      <c r="F153" s="37">
        <v>1.5657433254598818E-3</v>
      </c>
    </row>
    <row r="154" spans="2:6" x14ac:dyDescent="0.25">
      <c r="B154" s="35" t="s">
        <v>642</v>
      </c>
      <c r="C154" s="35"/>
      <c r="D154" s="36">
        <v>5</v>
      </c>
      <c r="E154" s="36">
        <v>40</v>
      </c>
      <c r="F154" s="37">
        <v>3.5788418867654442E-3</v>
      </c>
    </row>
    <row r="155" spans="2:6" x14ac:dyDescent="0.25">
      <c r="B155" s="35" t="s">
        <v>489</v>
      </c>
      <c r="C155" s="35"/>
      <c r="D155" s="36">
        <v>9</v>
      </c>
      <c r="E155" s="36">
        <v>51</v>
      </c>
      <c r="F155" s="37">
        <v>4.5630234056259411E-3</v>
      </c>
    </row>
    <row r="156" spans="2:6" x14ac:dyDescent="0.25">
      <c r="B156" s="35" t="s">
        <v>867</v>
      </c>
      <c r="C156" s="35"/>
      <c r="D156" s="36">
        <v>4</v>
      </c>
      <c r="E156" s="36">
        <v>9.5</v>
      </c>
      <c r="F156" s="37">
        <v>8.4997494810679292E-4</v>
      </c>
    </row>
    <row r="157" spans="2:6" x14ac:dyDescent="0.25">
      <c r="B157" s="35" t="s">
        <v>325</v>
      </c>
      <c r="C157" s="35"/>
      <c r="D157" s="36">
        <v>2</v>
      </c>
      <c r="E157" s="36">
        <v>14</v>
      </c>
      <c r="F157" s="37">
        <v>1.2525946603679054E-3</v>
      </c>
    </row>
    <row r="158" spans="2:6" x14ac:dyDescent="0.25">
      <c r="B158" s="35" t="s">
        <v>484</v>
      </c>
      <c r="C158" s="35"/>
      <c r="D158" s="36">
        <v>1</v>
      </c>
      <c r="E158" s="36">
        <v>7</v>
      </c>
      <c r="F158" s="37">
        <v>6.2629733018395271E-4</v>
      </c>
    </row>
    <row r="159" spans="2:6" x14ac:dyDescent="0.25">
      <c r="B159" s="35" t="s">
        <v>927</v>
      </c>
      <c r="C159" s="35"/>
      <c r="D159" s="36">
        <v>1</v>
      </c>
      <c r="E159" s="36">
        <v>7</v>
      </c>
      <c r="F159" s="37">
        <v>6.2629733018395271E-4</v>
      </c>
    </row>
    <row r="160" spans="2:6" x14ac:dyDescent="0.25">
      <c r="B160" s="35" t="s">
        <v>1177</v>
      </c>
      <c r="C160" s="35"/>
      <c r="D160" s="36">
        <v>14</v>
      </c>
      <c r="E160" s="36">
        <v>76</v>
      </c>
      <c r="F160" s="37">
        <v>6.7997995848543434E-3</v>
      </c>
    </row>
    <row r="161" spans="2:6" x14ac:dyDescent="0.25">
      <c r="B161" s="35" t="s">
        <v>1178</v>
      </c>
      <c r="C161" s="35"/>
      <c r="D161" s="36">
        <v>5</v>
      </c>
      <c r="E161" s="36">
        <v>10</v>
      </c>
      <c r="F161" s="37">
        <v>8.9471047169136105E-4</v>
      </c>
    </row>
    <row r="162" spans="2:6" x14ac:dyDescent="0.25">
      <c r="B162" s="35" t="s">
        <v>138</v>
      </c>
      <c r="C162" s="35"/>
      <c r="D162" s="36">
        <v>9</v>
      </c>
      <c r="E162" s="36">
        <v>54</v>
      </c>
      <c r="F162" s="37">
        <v>4.8314365471333496E-3</v>
      </c>
    </row>
    <row r="163" spans="2:6" x14ac:dyDescent="0.25">
      <c r="B163" s="35" t="s">
        <v>623</v>
      </c>
      <c r="C163" s="35"/>
      <c r="D163" s="36">
        <v>6</v>
      </c>
      <c r="E163" s="36">
        <v>3</v>
      </c>
      <c r="F163" s="37">
        <v>2.6841314150740828E-4</v>
      </c>
    </row>
    <row r="164" spans="2:6" x14ac:dyDescent="0.25">
      <c r="B164" s="35" t="s">
        <v>128</v>
      </c>
      <c r="C164" s="35"/>
      <c r="D164" s="36">
        <v>9</v>
      </c>
      <c r="E164" s="36">
        <v>54</v>
      </c>
      <c r="F164" s="37">
        <v>4.8314365471333496E-3</v>
      </c>
    </row>
    <row r="165" spans="2:6" x14ac:dyDescent="0.25">
      <c r="B165" s="35" t="s">
        <v>365</v>
      </c>
      <c r="C165" s="35"/>
      <c r="D165" s="36">
        <v>6</v>
      </c>
      <c r="E165" s="36">
        <v>60</v>
      </c>
      <c r="F165" s="37">
        <v>5.3682628301481659E-3</v>
      </c>
    </row>
    <row r="166" spans="2:6" x14ac:dyDescent="0.25">
      <c r="B166" s="35" t="s">
        <v>386</v>
      </c>
      <c r="C166" s="35"/>
      <c r="D166" s="36">
        <v>25</v>
      </c>
      <c r="E166" s="36">
        <v>103</v>
      </c>
      <c r="F166" s="37">
        <v>9.2155178584210178E-3</v>
      </c>
    </row>
    <row r="167" spans="2:6" x14ac:dyDescent="0.25">
      <c r="B167" s="35" t="s">
        <v>391</v>
      </c>
      <c r="C167" s="35"/>
      <c r="D167" s="36">
        <v>14</v>
      </c>
      <c r="E167" s="36">
        <v>102</v>
      </c>
      <c r="F167" s="37">
        <v>9.1260468112518821E-3</v>
      </c>
    </row>
    <row r="168" spans="2:6" x14ac:dyDescent="0.25">
      <c r="B168" s="35" t="s">
        <v>439</v>
      </c>
      <c r="C168" s="35"/>
      <c r="D168" s="36">
        <v>9</v>
      </c>
      <c r="E168" s="36">
        <v>44</v>
      </c>
      <c r="F168" s="37">
        <v>3.9367260754419884E-3</v>
      </c>
    </row>
    <row r="169" spans="2:6" x14ac:dyDescent="0.25">
      <c r="B169" s="35" t="s">
        <v>436</v>
      </c>
      <c r="C169" s="35"/>
      <c r="D169" s="36">
        <v>5</v>
      </c>
      <c r="E169" s="36">
        <v>40</v>
      </c>
      <c r="F169" s="37">
        <v>3.5788418867654442E-3</v>
      </c>
    </row>
    <row r="170" spans="2:6" x14ac:dyDescent="0.25">
      <c r="B170" s="35" t="s">
        <v>69</v>
      </c>
      <c r="C170" s="35"/>
      <c r="D170" s="36">
        <v>23</v>
      </c>
      <c r="E170" s="36">
        <v>17.3</v>
      </c>
      <c r="F170" s="37">
        <v>1.5478491160260547E-3</v>
      </c>
    </row>
    <row r="171" spans="2:6" x14ac:dyDescent="0.25">
      <c r="B171" s="35" t="s">
        <v>537</v>
      </c>
      <c r="C171" s="35"/>
      <c r="D171" s="36">
        <v>22</v>
      </c>
      <c r="E171" s="36">
        <v>16.5</v>
      </c>
      <c r="F171" s="37">
        <v>1.4762722782907457E-3</v>
      </c>
    </row>
    <row r="172" spans="2:6" x14ac:dyDescent="0.25">
      <c r="B172" s="35" t="s">
        <v>173</v>
      </c>
      <c r="C172" s="35"/>
      <c r="D172" s="36">
        <v>12</v>
      </c>
      <c r="E172" s="36">
        <v>30</v>
      </c>
      <c r="F172" s="37">
        <v>2.6841314150740829E-3</v>
      </c>
    </row>
    <row r="173" spans="2:6" x14ac:dyDescent="0.25">
      <c r="B173" s="35" t="s">
        <v>838</v>
      </c>
      <c r="C173" s="35"/>
      <c r="D173" s="36">
        <v>2</v>
      </c>
      <c r="E173" s="36">
        <v>14</v>
      </c>
      <c r="F173" s="37">
        <v>1.2525946603679054E-3</v>
      </c>
    </row>
    <row r="174" spans="2:6" x14ac:dyDescent="0.25">
      <c r="B174" s="35" t="s">
        <v>178</v>
      </c>
      <c r="C174" s="35"/>
      <c r="D174" s="36">
        <v>10</v>
      </c>
      <c r="E174" s="36">
        <v>38.5</v>
      </c>
      <c r="F174" s="37">
        <v>3.4446353160117399E-3</v>
      </c>
    </row>
    <row r="175" spans="2:6" x14ac:dyDescent="0.25">
      <c r="B175" s="35" t="s">
        <v>181</v>
      </c>
      <c r="C175" s="35"/>
      <c r="D175" s="36">
        <v>6</v>
      </c>
      <c r="E175" s="36">
        <v>24</v>
      </c>
      <c r="F175" s="37">
        <v>2.1473051320592663E-3</v>
      </c>
    </row>
    <row r="176" spans="2:6" x14ac:dyDescent="0.25">
      <c r="B176" s="35" t="s">
        <v>301</v>
      </c>
      <c r="C176" s="35"/>
      <c r="D176" s="36">
        <v>20</v>
      </c>
      <c r="E176" s="36">
        <v>13.3</v>
      </c>
      <c r="F176" s="37">
        <v>1.1899649273495103E-3</v>
      </c>
    </row>
    <row r="177" spans="2:6" x14ac:dyDescent="0.25">
      <c r="B177" s="35" t="s">
        <v>603</v>
      </c>
      <c r="C177" s="35"/>
      <c r="D177" s="36">
        <v>10</v>
      </c>
      <c r="E177" s="36">
        <v>6.7</v>
      </c>
      <c r="F177" s="37">
        <v>5.9945601603321192E-4</v>
      </c>
    </row>
    <row r="178" spans="2:6" x14ac:dyDescent="0.25">
      <c r="B178" s="35" t="s">
        <v>796</v>
      </c>
      <c r="C178" s="35"/>
      <c r="D178" s="36">
        <v>5</v>
      </c>
      <c r="E178" s="36">
        <v>5</v>
      </c>
      <c r="F178" s="37">
        <v>4.4735523584568053E-4</v>
      </c>
    </row>
    <row r="179" spans="2:6" x14ac:dyDescent="0.25">
      <c r="B179" s="35" t="s">
        <v>807</v>
      </c>
      <c r="C179" s="35"/>
      <c r="D179" s="36">
        <v>10</v>
      </c>
      <c r="E179" s="36">
        <v>7.6</v>
      </c>
      <c r="F179" s="37">
        <v>6.7997995848543429E-4</v>
      </c>
    </row>
    <row r="180" spans="2:6" x14ac:dyDescent="0.25">
      <c r="B180" s="35" t="s">
        <v>809</v>
      </c>
      <c r="C180" s="35"/>
      <c r="D180" s="36">
        <v>10</v>
      </c>
      <c r="E180" s="36">
        <v>7.6</v>
      </c>
      <c r="F180" s="37">
        <v>6.7997995848543429E-4</v>
      </c>
    </row>
    <row r="181" spans="2:6" x14ac:dyDescent="0.25">
      <c r="B181" s="35" t="s">
        <v>1179</v>
      </c>
      <c r="C181" s="35"/>
      <c r="D181" s="36">
        <v>21</v>
      </c>
      <c r="E181" s="36">
        <v>74</v>
      </c>
      <c r="F181" s="37">
        <v>6.6208574905160713E-3</v>
      </c>
    </row>
    <row r="182" spans="2:6" x14ac:dyDescent="0.25">
      <c r="B182" s="35" t="s">
        <v>909</v>
      </c>
      <c r="C182" s="35"/>
      <c r="D182" s="36">
        <v>38</v>
      </c>
      <c r="E182" s="36">
        <v>52.5</v>
      </c>
      <c r="F182" s="37">
        <v>4.6972299763796454E-3</v>
      </c>
    </row>
    <row r="183" spans="2:6" x14ac:dyDescent="0.25">
      <c r="B183" s="35" t="s">
        <v>949</v>
      </c>
      <c r="C183" s="35"/>
      <c r="D183" s="36">
        <v>17</v>
      </c>
      <c r="E183" s="36">
        <v>146</v>
      </c>
      <c r="F183" s="37">
        <v>1.3062772886693871E-2</v>
      </c>
    </row>
    <row r="184" spans="2:6" x14ac:dyDescent="0.25">
      <c r="B184" s="35" t="s">
        <v>1052</v>
      </c>
      <c r="C184" s="35"/>
      <c r="D184" s="36">
        <v>18</v>
      </c>
      <c r="E184" s="36">
        <v>126</v>
      </c>
      <c r="F184" s="37">
        <v>1.1273351943311149E-2</v>
      </c>
    </row>
    <row r="185" spans="2:6" x14ac:dyDescent="0.25">
      <c r="B185" s="35" t="s">
        <v>856</v>
      </c>
      <c r="C185" s="35"/>
      <c r="D185" s="36">
        <v>3</v>
      </c>
      <c r="E185" s="36">
        <v>12.7</v>
      </c>
      <c r="F185" s="37">
        <v>1.1362822990480285E-3</v>
      </c>
    </row>
    <row r="186" spans="2:6" x14ac:dyDescent="0.25">
      <c r="B186" s="35" t="s">
        <v>379</v>
      </c>
      <c r="C186" s="35"/>
      <c r="D186" s="36">
        <v>4</v>
      </c>
      <c r="E186" s="36">
        <v>40</v>
      </c>
      <c r="F186" s="37">
        <v>3.5788418867654442E-3</v>
      </c>
    </row>
    <row r="187" spans="2:6" x14ac:dyDescent="0.25">
      <c r="B187" s="35" t="s">
        <v>342</v>
      </c>
      <c r="C187" s="35"/>
      <c r="D187" s="36">
        <v>10</v>
      </c>
      <c r="E187" s="36">
        <v>7.5</v>
      </c>
      <c r="F187" s="37">
        <v>6.7103285376852073E-4</v>
      </c>
    </row>
    <row r="188" spans="2:6" x14ac:dyDescent="0.25">
      <c r="B188" s="35" t="s">
        <v>1185</v>
      </c>
      <c r="C188" s="35"/>
      <c r="D188" s="36">
        <v>1</v>
      </c>
      <c r="E188" s="36">
        <v>6</v>
      </c>
      <c r="F188" s="37">
        <v>5.3682628301481657E-4</v>
      </c>
    </row>
    <row r="189" spans="2:6" x14ac:dyDescent="0.25">
      <c r="B189" s="35" t="s">
        <v>781</v>
      </c>
      <c r="C189" s="35"/>
      <c r="D189" s="36">
        <v>20</v>
      </c>
      <c r="E189" s="36">
        <v>6.7</v>
      </c>
      <c r="F189" s="37">
        <v>5.9945601603321192E-4</v>
      </c>
    </row>
    <row r="190" spans="2:6" x14ac:dyDescent="0.25">
      <c r="B190" s="35" t="s">
        <v>90</v>
      </c>
      <c r="C190" s="35"/>
      <c r="D190" s="36">
        <v>60</v>
      </c>
      <c r="E190" s="36">
        <v>15</v>
      </c>
      <c r="F190" s="37">
        <v>1.3420657075370415E-3</v>
      </c>
    </row>
    <row r="191" spans="2:6" x14ac:dyDescent="0.25">
      <c r="B191" s="35" t="s">
        <v>933</v>
      </c>
      <c r="C191" s="35"/>
      <c r="D191" s="36">
        <v>20</v>
      </c>
      <c r="E191" s="36">
        <v>10</v>
      </c>
      <c r="F191" s="37">
        <v>8.9471047169136105E-4</v>
      </c>
    </row>
    <row r="192" spans="2:6" x14ac:dyDescent="0.25">
      <c r="B192" s="35" t="s">
        <v>492</v>
      </c>
      <c r="C192" s="35"/>
      <c r="D192" s="36">
        <v>35</v>
      </c>
      <c r="E192" s="36">
        <v>15</v>
      </c>
      <c r="F192" s="37">
        <v>1.3420657075370415E-3</v>
      </c>
    </row>
    <row r="193" spans="2:6" x14ac:dyDescent="0.25">
      <c r="B193" s="35" t="s">
        <v>730</v>
      </c>
      <c r="C193" s="35"/>
      <c r="D193" s="36">
        <v>4</v>
      </c>
      <c r="E193" s="36">
        <v>6</v>
      </c>
      <c r="F193" s="37">
        <v>5.3682628301481657E-4</v>
      </c>
    </row>
    <row r="194" spans="2:6" x14ac:dyDescent="0.25">
      <c r="B194" s="35" t="s">
        <v>532</v>
      </c>
      <c r="C194" s="35"/>
      <c r="D194" s="36">
        <v>38</v>
      </c>
      <c r="E194" s="36">
        <v>19</v>
      </c>
      <c r="F194" s="37">
        <v>1.6999498962135858E-3</v>
      </c>
    </row>
    <row r="195" spans="2:6" x14ac:dyDescent="0.25">
      <c r="B195" s="35" t="s">
        <v>612</v>
      </c>
      <c r="C195" s="35"/>
      <c r="D195" s="36">
        <v>5</v>
      </c>
      <c r="E195" s="36">
        <v>2.1</v>
      </c>
      <c r="F195" s="37">
        <v>1.8788919905518583E-4</v>
      </c>
    </row>
    <row r="196" spans="2:6" x14ac:dyDescent="0.25">
      <c r="B196" s="35" t="s">
        <v>689</v>
      </c>
      <c r="C196" s="35"/>
      <c r="D196" s="36">
        <v>47</v>
      </c>
      <c r="E196" s="36">
        <v>15.7</v>
      </c>
      <c r="F196" s="37">
        <v>1.4046954405554368E-3</v>
      </c>
    </row>
    <row r="197" spans="2:6" x14ac:dyDescent="0.25">
      <c r="B197" s="35" t="s">
        <v>973</v>
      </c>
      <c r="C197" s="35"/>
      <c r="D197" s="36">
        <v>38</v>
      </c>
      <c r="E197" s="36">
        <v>19</v>
      </c>
      <c r="F197" s="37">
        <v>1.6999498962135858E-3</v>
      </c>
    </row>
    <row r="198" spans="2:6" x14ac:dyDescent="0.25">
      <c r="B198" s="35" t="s">
        <v>314</v>
      </c>
      <c r="C198" s="35"/>
      <c r="D198" s="36">
        <v>9</v>
      </c>
      <c r="E198" s="36">
        <v>114</v>
      </c>
      <c r="F198" s="37">
        <v>1.0199699377281516E-2</v>
      </c>
    </row>
    <row r="199" spans="2:6" x14ac:dyDescent="0.25">
      <c r="B199" s="35" t="s">
        <v>680</v>
      </c>
      <c r="C199" s="35"/>
      <c r="D199" s="36">
        <v>4</v>
      </c>
      <c r="E199" s="36">
        <v>8</v>
      </c>
      <c r="F199" s="37">
        <v>7.1576837735308886E-4</v>
      </c>
    </row>
    <row r="200" spans="2:6" x14ac:dyDescent="0.25">
      <c r="B200" s="35" t="s">
        <v>683</v>
      </c>
      <c r="C200" s="35"/>
      <c r="D200" s="36">
        <v>29</v>
      </c>
      <c r="E200" s="36">
        <v>38.5</v>
      </c>
      <c r="F200" s="37">
        <v>3.4446353160117399E-3</v>
      </c>
    </row>
    <row r="201" spans="2:6" x14ac:dyDescent="0.25">
      <c r="B201" s="35" t="s">
        <v>1181</v>
      </c>
      <c r="C201" s="35"/>
      <c r="D201" s="36">
        <v>10</v>
      </c>
      <c r="E201" s="36">
        <v>20</v>
      </c>
      <c r="F201" s="37">
        <v>1.7894209433827221E-3</v>
      </c>
    </row>
    <row r="202" spans="2:6" x14ac:dyDescent="0.25">
      <c r="B202" s="35" t="s">
        <v>1182</v>
      </c>
      <c r="C202" s="35"/>
      <c r="D202" s="36">
        <v>8</v>
      </c>
      <c r="E202" s="36">
        <v>16</v>
      </c>
      <c r="F202" s="37">
        <v>1.4315367547061777E-3</v>
      </c>
    </row>
    <row r="203" spans="2:6" x14ac:dyDescent="0.25">
      <c r="B203" s="35" t="s">
        <v>845</v>
      </c>
      <c r="C203" s="35"/>
      <c r="D203" s="36">
        <v>4</v>
      </c>
      <c r="E203" s="36">
        <v>4</v>
      </c>
      <c r="F203" s="37">
        <v>3.5788418867654443E-4</v>
      </c>
    </row>
    <row r="204" spans="2:6" x14ac:dyDescent="0.25">
      <c r="B204" s="35" t="s">
        <v>714</v>
      </c>
      <c r="C204" s="35"/>
      <c r="D204" s="36">
        <v>80</v>
      </c>
      <c r="E204" s="36">
        <v>26.8</v>
      </c>
      <c r="F204" s="37">
        <v>2.3978240641328477E-3</v>
      </c>
    </row>
    <row r="205" spans="2:6" x14ac:dyDescent="0.25">
      <c r="B205" s="35" t="s">
        <v>711</v>
      </c>
      <c r="C205" s="35"/>
      <c r="D205" s="36">
        <v>84</v>
      </c>
      <c r="E205" s="36">
        <v>28.1</v>
      </c>
      <c r="F205" s="37">
        <v>2.5141364254527244E-3</v>
      </c>
    </row>
    <row r="206" spans="2:6" x14ac:dyDescent="0.25">
      <c r="B206" s="35" t="s">
        <v>265</v>
      </c>
      <c r="C206" s="35"/>
      <c r="D206" s="36">
        <v>80</v>
      </c>
      <c r="E206" s="36">
        <v>26.8</v>
      </c>
      <c r="F206" s="37">
        <v>2.3978240641328477E-3</v>
      </c>
    </row>
    <row r="207" spans="2:6" x14ac:dyDescent="0.25">
      <c r="B207" s="35" t="s">
        <v>258</v>
      </c>
      <c r="C207" s="35"/>
      <c r="D207" s="36">
        <v>100</v>
      </c>
      <c r="E207" s="36">
        <v>33.5</v>
      </c>
      <c r="F207" s="37">
        <v>2.9972800801660593E-3</v>
      </c>
    </row>
    <row r="208" spans="2:6" x14ac:dyDescent="0.25">
      <c r="B208" s="35" t="s">
        <v>862</v>
      </c>
      <c r="C208" s="35"/>
      <c r="D208" s="36">
        <v>12</v>
      </c>
      <c r="E208" s="36">
        <v>144</v>
      </c>
      <c r="F208" s="37">
        <v>1.2883830792355598E-2</v>
      </c>
    </row>
    <row r="209" spans="2:6" x14ac:dyDescent="0.25">
      <c r="B209" s="35" t="s">
        <v>66</v>
      </c>
      <c r="C209" s="35"/>
      <c r="D209" s="36">
        <v>19</v>
      </c>
      <c r="E209" s="36">
        <v>51.5</v>
      </c>
      <c r="F209" s="37">
        <v>4.6077589292105089E-3</v>
      </c>
    </row>
    <row r="210" spans="2:6" x14ac:dyDescent="0.25">
      <c r="B210" s="35" t="s">
        <v>979</v>
      </c>
      <c r="C210" s="35"/>
      <c r="D210" s="36">
        <v>19</v>
      </c>
      <c r="E210" s="36">
        <v>68</v>
      </c>
      <c r="F210" s="37">
        <v>6.0840312075012551E-3</v>
      </c>
    </row>
    <row r="211" spans="2:6" x14ac:dyDescent="0.25">
      <c r="B211" s="35" t="s">
        <v>850</v>
      </c>
      <c r="C211" s="35"/>
      <c r="D211" s="36">
        <v>6</v>
      </c>
      <c r="E211" s="36">
        <v>3</v>
      </c>
      <c r="F211" s="37">
        <v>2.6841314150740828E-4</v>
      </c>
    </row>
    <row r="212" spans="2:6" x14ac:dyDescent="0.25">
      <c r="B212" s="35" t="s">
        <v>858</v>
      </c>
      <c r="C212" s="35"/>
      <c r="D212" s="36">
        <v>18</v>
      </c>
      <c r="E212" s="36">
        <v>75</v>
      </c>
      <c r="F212" s="37">
        <v>6.7103285376852078E-3</v>
      </c>
    </row>
    <row r="213" spans="2:6" x14ac:dyDescent="0.25">
      <c r="B213" s="35" t="s">
        <v>483</v>
      </c>
      <c r="C213" s="35"/>
      <c r="D213" s="36">
        <v>10</v>
      </c>
      <c r="E213" s="36">
        <v>7.5</v>
      </c>
      <c r="F213" s="37">
        <v>6.7103285376852073E-4</v>
      </c>
    </row>
    <row r="214" spans="2:6" x14ac:dyDescent="0.25">
      <c r="B214" s="35" t="s">
        <v>482</v>
      </c>
      <c r="C214" s="35"/>
      <c r="D214" s="36">
        <v>210</v>
      </c>
      <c r="E214" s="36">
        <v>90.8</v>
      </c>
      <c r="F214" s="37">
        <v>8.1239710829575582E-3</v>
      </c>
    </row>
    <row r="215" spans="2:6" x14ac:dyDescent="0.25">
      <c r="B215" s="35" t="s">
        <v>480</v>
      </c>
      <c r="C215" s="35"/>
      <c r="D215" s="36">
        <v>80</v>
      </c>
      <c r="E215" s="36">
        <v>31.7</v>
      </c>
      <c r="F215" s="37">
        <v>2.8362321952616143E-3</v>
      </c>
    </row>
    <row r="216" spans="2:6" x14ac:dyDescent="0.25">
      <c r="B216" s="35" t="s">
        <v>644</v>
      </c>
      <c r="C216" s="35"/>
      <c r="D216" s="36">
        <v>5</v>
      </c>
      <c r="E216" s="36">
        <v>22</v>
      </c>
      <c r="F216" s="37">
        <v>1.9683630377209942E-3</v>
      </c>
    </row>
    <row r="217" spans="2:6" x14ac:dyDescent="0.25">
      <c r="B217" s="35" t="s">
        <v>870</v>
      </c>
      <c r="C217" s="35"/>
      <c r="D217" s="36">
        <v>6</v>
      </c>
      <c r="E217" s="36">
        <v>24</v>
      </c>
      <c r="F217" s="37">
        <v>2.1473051320592663E-3</v>
      </c>
    </row>
    <row r="218" spans="2:6" x14ac:dyDescent="0.25">
      <c r="B218" s="35" t="s">
        <v>567</v>
      </c>
      <c r="C218" s="35"/>
      <c r="D218" s="36">
        <v>196</v>
      </c>
      <c r="E218" s="36">
        <v>40.099999999999994</v>
      </c>
      <c r="F218" s="37">
        <v>3.5877889914823573E-3</v>
      </c>
    </row>
    <row r="219" spans="2:6" x14ac:dyDescent="0.25">
      <c r="B219" s="35" t="s">
        <v>1012</v>
      </c>
      <c r="C219" s="35"/>
      <c r="D219" s="36">
        <v>48</v>
      </c>
      <c r="E219" s="36">
        <v>24</v>
      </c>
      <c r="F219" s="37">
        <v>2.1473051320592663E-3</v>
      </c>
    </row>
    <row r="220" spans="2:6" x14ac:dyDescent="0.25">
      <c r="B220" s="35" t="s">
        <v>1175</v>
      </c>
      <c r="C220" s="35"/>
      <c r="D220" s="36">
        <v>6</v>
      </c>
      <c r="E220" s="36">
        <v>3</v>
      </c>
      <c r="F220" s="37">
        <v>2.6841314150740828E-4</v>
      </c>
    </row>
    <row r="221" spans="2:6" x14ac:dyDescent="0.25">
      <c r="B221" s="35" t="s">
        <v>1170</v>
      </c>
      <c r="C221" s="35"/>
      <c r="D221" s="36">
        <v>14</v>
      </c>
      <c r="E221" s="36">
        <v>112</v>
      </c>
      <c r="F221" s="37">
        <v>1.0020757282943243E-2</v>
      </c>
    </row>
    <row r="222" spans="2:6" x14ac:dyDescent="0.25">
      <c r="B222" s="35" t="s">
        <v>794</v>
      </c>
      <c r="C222" s="35"/>
      <c r="D222" s="36">
        <v>13</v>
      </c>
      <c r="E222" s="36">
        <v>2.2000000000000002</v>
      </c>
      <c r="F222" s="37">
        <v>1.9683630377209945E-4</v>
      </c>
    </row>
    <row r="223" spans="2:6" x14ac:dyDescent="0.25">
      <c r="B223" s="35" t="s">
        <v>772</v>
      </c>
      <c r="C223" s="35"/>
      <c r="D223" s="36">
        <v>6</v>
      </c>
      <c r="E223" s="36">
        <v>0.5</v>
      </c>
      <c r="F223" s="37">
        <v>4.4735523584568054E-5</v>
      </c>
    </row>
    <row r="224" spans="2:6" x14ac:dyDescent="0.25">
      <c r="B224" s="35" t="s">
        <v>524</v>
      </c>
      <c r="C224" s="35"/>
      <c r="D224" s="36">
        <v>101</v>
      </c>
      <c r="E224" s="36">
        <v>37.799999999999997</v>
      </c>
      <c r="F224" s="37">
        <v>3.3820055829933446E-3</v>
      </c>
    </row>
    <row r="225" spans="2:6" x14ac:dyDescent="0.25">
      <c r="B225" s="35" t="s">
        <v>716</v>
      </c>
      <c r="C225" s="35"/>
      <c r="D225" s="36">
        <v>90</v>
      </c>
      <c r="E225" s="36">
        <v>37.5</v>
      </c>
      <c r="F225" s="37">
        <v>3.3551642688426039E-3</v>
      </c>
    </row>
    <row r="226" spans="2:6" x14ac:dyDescent="0.25">
      <c r="B226" s="35" t="s">
        <v>554</v>
      </c>
      <c r="C226" s="35"/>
      <c r="D226" s="36">
        <v>66</v>
      </c>
      <c r="E226" s="36">
        <v>27.5</v>
      </c>
      <c r="F226" s="37">
        <v>2.4604537971512426E-3</v>
      </c>
    </row>
    <row r="227" spans="2:6" x14ac:dyDescent="0.25">
      <c r="B227" s="35" t="s">
        <v>820</v>
      </c>
      <c r="C227" s="35"/>
      <c r="D227" s="36">
        <v>23</v>
      </c>
      <c r="E227" s="36">
        <v>2</v>
      </c>
      <c r="F227" s="37">
        <v>1.7894209433827222E-4</v>
      </c>
    </row>
    <row r="228" spans="2:6" x14ac:dyDescent="0.25">
      <c r="B228" s="35" t="s">
        <v>563</v>
      </c>
      <c r="C228" s="35"/>
      <c r="D228" s="36">
        <v>61</v>
      </c>
      <c r="E228" s="36">
        <v>15.3</v>
      </c>
      <c r="F228" s="37">
        <v>1.3689070216877824E-3</v>
      </c>
    </row>
    <row r="229" spans="2:6" x14ac:dyDescent="0.25">
      <c r="B229" s="35" t="s">
        <v>282</v>
      </c>
      <c r="C229" s="35"/>
      <c r="D229" s="36">
        <v>148</v>
      </c>
      <c r="E229" s="36">
        <v>58.599999999999994</v>
      </c>
      <c r="F229" s="37">
        <v>5.2430033641113752E-3</v>
      </c>
    </row>
    <row r="230" spans="2:6" x14ac:dyDescent="0.25">
      <c r="B230" s="35" t="s">
        <v>824</v>
      </c>
      <c r="C230" s="35"/>
      <c r="D230" s="36">
        <v>24</v>
      </c>
      <c r="E230" s="36">
        <v>2</v>
      </c>
      <c r="F230" s="37">
        <v>1.7894209433827222E-4</v>
      </c>
    </row>
    <row r="231" spans="2:6" x14ac:dyDescent="0.25">
      <c r="B231" s="35" t="s">
        <v>194</v>
      </c>
      <c r="C231" s="35"/>
      <c r="D231" s="36">
        <v>113</v>
      </c>
      <c r="E231" s="36">
        <v>31.500000000000004</v>
      </c>
      <c r="F231" s="37">
        <v>2.8183379858277876E-3</v>
      </c>
    </row>
    <row r="232" spans="2:6" x14ac:dyDescent="0.25">
      <c r="B232" s="35" t="s">
        <v>549</v>
      </c>
      <c r="C232" s="35"/>
      <c r="D232" s="36">
        <v>204</v>
      </c>
      <c r="E232" s="36">
        <v>68</v>
      </c>
      <c r="F232" s="37">
        <v>6.0840312075012551E-3</v>
      </c>
    </row>
    <row r="233" spans="2:6" x14ac:dyDescent="0.25">
      <c r="B233" s="35" t="s">
        <v>548</v>
      </c>
      <c r="C233" s="35"/>
      <c r="D233" s="36">
        <v>46</v>
      </c>
      <c r="E233" s="36">
        <v>25.8</v>
      </c>
      <c r="F233" s="37">
        <v>2.3083530169637117E-3</v>
      </c>
    </row>
    <row r="234" spans="2:6" x14ac:dyDescent="0.25">
      <c r="B234" s="35" t="s">
        <v>526</v>
      </c>
      <c r="C234" s="35"/>
      <c r="D234" s="36">
        <v>5</v>
      </c>
      <c r="E234" s="36">
        <v>1.3</v>
      </c>
      <c r="F234" s="37">
        <v>1.1631236131987694E-4</v>
      </c>
    </row>
    <row r="235" spans="2:6" x14ac:dyDescent="0.25">
      <c r="B235" s="35" t="s">
        <v>956</v>
      </c>
      <c r="C235" s="35"/>
      <c r="D235" s="36">
        <v>48</v>
      </c>
      <c r="E235" s="36">
        <v>16</v>
      </c>
      <c r="F235" s="37">
        <v>1.4315367547061777E-3</v>
      </c>
    </row>
    <row r="236" spans="2:6" x14ac:dyDescent="0.25">
      <c r="B236" s="35" t="s">
        <v>552</v>
      </c>
      <c r="C236" s="35"/>
      <c r="D236" s="36">
        <v>16</v>
      </c>
      <c r="E236" s="36">
        <v>8.6999999999999993</v>
      </c>
      <c r="F236" s="37">
        <v>7.78398110371484E-4</v>
      </c>
    </row>
    <row r="237" spans="2:6" x14ac:dyDescent="0.25">
      <c r="B237" s="35" t="s">
        <v>539</v>
      </c>
      <c r="C237" s="35"/>
      <c r="D237" s="36">
        <v>241</v>
      </c>
      <c r="E237" s="36">
        <v>76.599999999999994</v>
      </c>
      <c r="F237" s="37">
        <v>6.8534822131558247E-3</v>
      </c>
    </row>
    <row r="238" spans="2:6" x14ac:dyDescent="0.25">
      <c r="B238" s="35" t="s">
        <v>737</v>
      </c>
      <c r="C238" s="35"/>
      <c r="D238" s="36">
        <v>16</v>
      </c>
      <c r="E238" s="36">
        <v>8</v>
      </c>
      <c r="F238" s="37">
        <v>7.1576837735308886E-4</v>
      </c>
    </row>
    <row r="239" spans="2:6" x14ac:dyDescent="0.25">
      <c r="B239" s="35" t="s">
        <v>593</v>
      </c>
      <c r="C239" s="35"/>
      <c r="D239" s="36">
        <v>8</v>
      </c>
      <c r="E239" s="36">
        <v>0.4</v>
      </c>
      <c r="F239" s="37">
        <v>3.5788418867654446E-5</v>
      </c>
    </row>
    <row r="240" spans="2:6" x14ac:dyDescent="0.25">
      <c r="B240" s="35" t="s">
        <v>674</v>
      </c>
      <c r="C240" s="35"/>
      <c r="D240" s="36">
        <v>99</v>
      </c>
      <c r="E240" s="36">
        <v>36.1</v>
      </c>
      <c r="F240" s="37">
        <v>3.2299048028058136E-3</v>
      </c>
    </row>
    <row r="241" spans="2:6" x14ac:dyDescent="0.25">
      <c r="B241" s="35" t="s">
        <v>776</v>
      </c>
      <c r="C241" s="35"/>
      <c r="D241" s="36">
        <v>60</v>
      </c>
      <c r="E241" s="36">
        <v>13</v>
      </c>
      <c r="F241" s="37">
        <v>1.1631236131987694E-3</v>
      </c>
    </row>
    <row r="242" spans="2:6" x14ac:dyDescent="0.25">
      <c r="B242" s="35" t="s">
        <v>605</v>
      </c>
      <c r="C242" s="35"/>
      <c r="D242" s="36">
        <v>80</v>
      </c>
      <c r="E242" s="36">
        <v>23.4</v>
      </c>
      <c r="F242" s="37">
        <v>2.0936225037577845E-3</v>
      </c>
    </row>
    <row r="243" spans="2:6" x14ac:dyDescent="0.25">
      <c r="B243" s="35" t="s">
        <v>589</v>
      </c>
      <c r="C243" s="35"/>
      <c r="D243" s="36">
        <v>52</v>
      </c>
      <c r="E243" s="36">
        <v>8.6</v>
      </c>
      <c r="F243" s="37">
        <v>7.6945100565457044E-4</v>
      </c>
    </row>
    <row r="244" spans="2:6" x14ac:dyDescent="0.25">
      <c r="B244" s="35" t="s">
        <v>284</v>
      </c>
      <c r="C244" s="35"/>
      <c r="D244" s="36">
        <v>232</v>
      </c>
      <c r="E244" s="36">
        <v>89</v>
      </c>
      <c r="F244" s="37">
        <v>7.9629231980531123E-3</v>
      </c>
    </row>
    <row r="245" spans="2:6" x14ac:dyDescent="0.25">
      <c r="B245" s="35" t="s">
        <v>536</v>
      </c>
      <c r="C245" s="35"/>
      <c r="D245" s="36">
        <v>20</v>
      </c>
      <c r="E245" s="36">
        <v>8.3000000000000007</v>
      </c>
      <c r="F245" s="37">
        <v>7.4260969150382976E-4</v>
      </c>
    </row>
    <row r="246" spans="2:6" x14ac:dyDescent="0.25">
      <c r="B246" s="35" t="s">
        <v>104</v>
      </c>
      <c r="C246" s="35"/>
      <c r="D246" s="36">
        <v>120</v>
      </c>
      <c r="E246" s="36">
        <v>40</v>
      </c>
      <c r="F246" s="37">
        <v>3.5788418867654442E-3</v>
      </c>
    </row>
    <row r="247" spans="2:6" x14ac:dyDescent="0.25">
      <c r="B247" s="35" t="s">
        <v>782</v>
      </c>
      <c r="C247" s="35"/>
      <c r="D247" s="36">
        <v>42</v>
      </c>
      <c r="E247" s="36">
        <v>21</v>
      </c>
      <c r="F247" s="37">
        <v>1.8788919905518581E-3</v>
      </c>
    </row>
    <row r="248" spans="2:6" x14ac:dyDescent="0.25">
      <c r="B248" s="35" t="s">
        <v>101</v>
      </c>
      <c r="C248" s="35"/>
      <c r="D248" s="36">
        <v>20</v>
      </c>
      <c r="E248" s="36">
        <v>10</v>
      </c>
      <c r="F248" s="37">
        <v>8.9471047169136105E-4</v>
      </c>
    </row>
    <row r="249" spans="2:6" x14ac:dyDescent="0.25">
      <c r="B249" s="35" t="s">
        <v>546</v>
      </c>
      <c r="C249" s="35"/>
      <c r="D249" s="36">
        <v>150</v>
      </c>
      <c r="E249" s="36">
        <v>75</v>
      </c>
      <c r="F249" s="37">
        <v>6.7103285376852078E-3</v>
      </c>
    </row>
    <row r="250" spans="2:6" x14ac:dyDescent="0.25">
      <c r="B250" s="35" t="s">
        <v>521</v>
      </c>
      <c r="C250" s="35"/>
      <c r="D250" s="36">
        <v>80</v>
      </c>
      <c r="E250" s="36">
        <v>26.7</v>
      </c>
      <c r="F250" s="37">
        <v>2.3888769594159337E-3</v>
      </c>
    </row>
    <row r="251" spans="2:6" x14ac:dyDescent="0.25">
      <c r="B251" s="35" t="s">
        <v>830</v>
      </c>
      <c r="C251" s="35"/>
      <c r="D251" s="36">
        <v>34</v>
      </c>
      <c r="E251" s="36">
        <v>5.7</v>
      </c>
      <c r="F251" s="37">
        <v>5.0998496886407577E-4</v>
      </c>
    </row>
    <row r="252" spans="2:6" x14ac:dyDescent="0.25">
      <c r="B252" s="35" t="s">
        <v>963</v>
      </c>
      <c r="C252" s="35"/>
      <c r="D252" s="36">
        <v>148</v>
      </c>
      <c r="E252" s="36">
        <v>69.5</v>
      </c>
      <c r="F252" s="37">
        <v>6.2182377782549593E-3</v>
      </c>
    </row>
    <row r="253" spans="2:6" x14ac:dyDescent="0.25">
      <c r="B253" s="35" t="s">
        <v>816</v>
      </c>
      <c r="C253" s="35"/>
      <c r="D253" s="36">
        <v>112</v>
      </c>
      <c r="E253" s="36">
        <v>37.200000000000003</v>
      </c>
      <c r="F253" s="37">
        <v>3.3283229546918632E-3</v>
      </c>
    </row>
    <row r="254" spans="2:6" x14ac:dyDescent="0.25">
      <c r="B254" s="35" t="s">
        <v>273</v>
      </c>
      <c r="C254" s="35"/>
      <c r="D254" s="36">
        <v>28</v>
      </c>
      <c r="E254" s="36">
        <v>9.4</v>
      </c>
      <c r="F254" s="37">
        <v>8.4102784338987936E-4</v>
      </c>
    </row>
    <row r="255" spans="2:6" x14ac:dyDescent="0.25">
      <c r="B255" s="35" t="s">
        <v>903</v>
      </c>
      <c r="C255" s="35"/>
      <c r="D255" s="36">
        <v>123</v>
      </c>
      <c r="E255" s="36">
        <v>35.799999999999997</v>
      </c>
      <c r="F255" s="37">
        <v>3.2030634886550721E-3</v>
      </c>
    </row>
    <row r="256" spans="2:6" x14ac:dyDescent="0.25">
      <c r="B256" s="35" t="s">
        <v>279</v>
      </c>
      <c r="C256" s="35"/>
      <c r="D256" s="36">
        <v>196</v>
      </c>
      <c r="E256" s="36">
        <v>134.69999999999999</v>
      </c>
      <c r="F256" s="37">
        <v>1.2051750053682631E-2</v>
      </c>
    </row>
    <row r="257" spans="2:6" x14ac:dyDescent="0.25">
      <c r="B257" s="35" t="s">
        <v>245</v>
      </c>
      <c r="C257" s="35"/>
      <c r="D257" s="36">
        <v>323</v>
      </c>
      <c r="E257" s="36">
        <v>31.900000000000002</v>
      </c>
      <c r="F257" s="37">
        <v>2.8541264046954419E-3</v>
      </c>
    </row>
    <row r="258" spans="2:6" x14ac:dyDescent="0.25">
      <c r="B258" s="35" t="s">
        <v>517</v>
      </c>
      <c r="C258" s="35"/>
      <c r="D258" s="36">
        <v>209</v>
      </c>
      <c r="E258" s="36">
        <v>34.799999999999997</v>
      </c>
      <c r="F258" s="37">
        <v>3.113592441485936E-3</v>
      </c>
    </row>
    <row r="259" spans="2:6" x14ac:dyDescent="0.25">
      <c r="B259" s="35" t="s">
        <v>666</v>
      </c>
      <c r="C259" s="35"/>
      <c r="D259" s="36">
        <v>94</v>
      </c>
      <c r="E259" s="36">
        <v>44</v>
      </c>
      <c r="F259" s="37">
        <v>3.9367260754419884E-3</v>
      </c>
    </row>
    <row r="260" spans="2:6" x14ac:dyDescent="0.25">
      <c r="B260" s="35" t="s">
        <v>658</v>
      </c>
      <c r="C260" s="35"/>
      <c r="D260" s="36">
        <v>129</v>
      </c>
      <c r="E260" s="36">
        <v>53.8</v>
      </c>
      <c r="F260" s="37">
        <v>4.8135423376995216E-3</v>
      </c>
    </row>
    <row r="261" spans="2:6" x14ac:dyDescent="0.25">
      <c r="B261" s="35" t="s">
        <v>629</v>
      </c>
      <c r="C261" s="35"/>
      <c r="D261" s="36">
        <v>4</v>
      </c>
      <c r="E261" s="36">
        <v>42</v>
      </c>
      <c r="F261" s="37">
        <v>3.7577839811037163E-3</v>
      </c>
    </row>
    <row r="262" spans="2:6" x14ac:dyDescent="0.25">
      <c r="B262" s="35" t="s">
        <v>631</v>
      </c>
      <c r="C262" s="35"/>
      <c r="D262" s="36">
        <v>13</v>
      </c>
      <c r="E262" s="36">
        <v>137</v>
      </c>
      <c r="F262" s="37">
        <v>1.2257533462171646E-2</v>
      </c>
    </row>
    <row r="263" spans="2:6" x14ac:dyDescent="0.25">
      <c r="B263" s="35" t="s">
        <v>841</v>
      </c>
      <c r="C263" s="35"/>
      <c r="D263" s="36">
        <v>30</v>
      </c>
      <c r="E263" s="36">
        <v>45</v>
      </c>
      <c r="F263" s="37">
        <v>4.0261971226111248E-3</v>
      </c>
    </row>
    <row r="264" spans="2:6" x14ac:dyDescent="0.25">
      <c r="B264" s="35" t="s">
        <v>834</v>
      </c>
      <c r="C264" s="35"/>
      <c r="D264" s="36">
        <v>4</v>
      </c>
      <c r="E264" s="36">
        <v>8</v>
      </c>
      <c r="F264" s="37">
        <v>7.1576837735308886E-4</v>
      </c>
    </row>
    <row r="265" spans="2:6" x14ac:dyDescent="0.25">
      <c r="B265" s="35" t="s">
        <v>837</v>
      </c>
      <c r="C265" s="35"/>
      <c r="D265" s="36">
        <v>8</v>
      </c>
      <c r="E265" s="36">
        <v>37.299999999999997</v>
      </c>
      <c r="F265" s="37">
        <v>3.3372700594087763E-3</v>
      </c>
    </row>
    <row r="266" spans="2:6" x14ac:dyDescent="0.25">
      <c r="B266" s="35" t="s">
        <v>913</v>
      </c>
      <c r="C266" s="35"/>
      <c r="D266" s="36">
        <v>12</v>
      </c>
      <c r="E266" s="36">
        <v>12</v>
      </c>
      <c r="F266" s="37">
        <v>1.0736525660296331E-3</v>
      </c>
    </row>
    <row r="267" spans="2:6" x14ac:dyDescent="0.25">
      <c r="B267" s="35" t="s">
        <v>916</v>
      </c>
      <c r="C267" s="35"/>
      <c r="D267" s="36">
        <v>12</v>
      </c>
      <c r="E267" s="36">
        <v>12</v>
      </c>
      <c r="F267" s="37">
        <v>1.0736525660296331E-3</v>
      </c>
    </row>
    <row r="268" spans="2:6" x14ac:dyDescent="0.25">
      <c r="B268" s="35" t="s">
        <v>1174</v>
      </c>
      <c r="C268" s="35"/>
      <c r="D268" s="36">
        <v>22</v>
      </c>
      <c r="E268" s="36">
        <v>224</v>
      </c>
      <c r="F268" s="37">
        <v>2.0041514565886487E-2</v>
      </c>
    </row>
    <row r="269" spans="2:6" x14ac:dyDescent="0.25">
      <c r="B269" s="35" t="s">
        <v>428</v>
      </c>
      <c r="C269" s="35"/>
      <c r="D269" s="36">
        <v>1</v>
      </c>
      <c r="E269" s="36">
        <v>2</v>
      </c>
      <c r="F269" s="37">
        <v>1.7894209433827222E-4</v>
      </c>
    </row>
    <row r="270" spans="2:6" x14ac:dyDescent="0.25">
      <c r="B270" s="35" t="s">
        <v>1046</v>
      </c>
      <c r="C270" s="35"/>
      <c r="D270" s="36">
        <v>40</v>
      </c>
      <c r="E270" s="36">
        <v>6.7</v>
      </c>
      <c r="F270" s="37">
        <v>5.9945601603321192E-4</v>
      </c>
    </row>
    <row r="271" spans="2:6" x14ac:dyDescent="0.25">
      <c r="B271" s="35" t="s">
        <v>417</v>
      </c>
      <c r="C271" s="35"/>
      <c r="D271" s="36">
        <v>36</v>
      </c>
      <c r="E271" s="36">
        <v>30</v>
      </c>
      <c r="F271" s="37">
        <v>2.6841314150740829E-3</v>
      </c>
    </row>
    <row r="272" spans="2:6" x14ac:dyDescent="0.25">
      <c r="B272" s="35" t="s">
        <v>559</v>
      </c>
      <c r="C272" s="35"/>
      <c r="D272" s="36">
        <v>41</v>
      </c>
      <c r="E272" s="36">
        <v>7.8</v>
      </c>
      <c r="F272" s="37">
        <v>6.9787416791926163E-4</v>
      </c>
    </row>
    <row r="273" spans="2:6" x14ac:dyDescent="0.25">
      <c r="B273" s="35" t="s">
        <v>1196</v>
      </c>
      <c r="C273" s="35"/>
      <c r="D273" s="36">
        <v>23</v>
      </c>
      <c r="E273" s="36">
        <v>26.8</v>
      </c>
      <c r="F273" s="37">
        <v>2.3978240641328477E-3</v>
      </c>
    </row>
    <row r="274" spans="2:6" x14ac:dyDescent="0.25">
      <c r="B274" s="35" t="s">
        <v>86</v>
      </c>
      <c r="C274" s="35"/>
      <c r="D274" s="36">
        <v>60</v>
      </c>
      <c r="E274" s="36">
        <v>30</v>
      </c>
      <c r="F274" s="37">
        <v>2.6841314150740829E-3</v>
      </c>
    </row>
    <row r="275" spans="2:6" x14ac:dyDescent="0.25">
      <c r="B275" s="35" t="s">
        <v>113</v>
      </c>
      <c r="C275" s="35"/>
      <c r="D275" s="36">
        <v>21</v>
      </c>
      <c r="E275" s="36">
        <v>7</v>
      </c>
      <c r="F275" s="37">
        <v>6.2629733018395271E-4</v>
      </c>
    </row>
    <row r="276" spans="2:6" x14ac:dyDescent="0.25">
      <c r="B276" s="35" t="s">
        <v>890</v>
      </c>
      <c r="C276" s="35"/>
      <c r="D276" s="36">
        <v>10</v>
      </c>
      <c r="E276" s="36">
        <v>3.3</v>
      </c>
      <c r="F276" s="37">
        <v>2.9525445565814913E-4</v>
      </c>
    </row>
    <row r="277" spans="2:6" x14ac:dyDescent="0.25">
      <c r="B277" s="35" t="s">
        <v>637</v>
      </c>
      <c r="C277" s="35"/>
      <c r="D277" s="36">
        <v>1</v>
      </c>
      <c r="E277" s="36">
        <v>0.3</v>
      </c>
      <c r="F277" s="37">
        <v>2.6841314150740831E-5</v>
      </c>
    </row>
    <row r="278" spans="2:6" x14ac:dyDescent="0.25">
      <c r="B278" s="35" t="s">
        <v>687</v>
      </c>
      <c r="C278" s="35"/>
      <c r="D278" s="36">
        <v>20</v>
      </c>
      <c r="E278" s="36">
        <v>20</v>
      </c>
      <c r="F278" s="37">
        <v>1.7894209433827221E-3</v>
      </c>
    </row>
    <row r="279" spans="2:6" x14ac:dyDescent="0.25">
      <c r="B279" s="35" t="s">
        <v>768</v>
      </c>
      <c r="C279" s="35"/>
      <c r="D279" s="36">
        <v>18</v>
      </c>
      <c r="E279" s="36">
        <v>36</v>
      </c>
      <c r="F279" s="37">
        <v>3.2209576980888996E-3</v>
      </c>
    </row>
    <row r="280" spans="2:6" x14ac:dyDescent="0.25">
      <c r="B280" s="35" t="s">
        <v>724</v>
      </c>
      <c r="C280" s="35"/>
      <c r="D280" s="36">
        <v>34</v>
      </c>
      <c r="E280" s="36">
        <v>18.8</v>
      </c>
      <c r="F280" s="37">
        <v>1.6820556867797587E-3</v>
      </c>
    </row>
    <row r="281" spans="2:6" x14ac:dyDescent="0.25">
      <c r="B281" s="35" t="s">
        <v>917</v>
      </c>
      <c r="C281" s="35"/>
      <c r="D281" s="36">
        <v>11</v>
      </c>
      <c r="E281" s="36">
        <v>78</v>
      </c>
      <c r="F281" s="37">
        <v>6.9787416791926163E-3</v>
      </c>
    </row>
    <row r="282" spans="2:6" x14ac:dyDescent="0.25">
      <c r="B282" s="35" t="s">
        <v>251</v>
      </c>
      <c r="C282" s="35"/>
      <c r="D282" s="36">
        <v>88</v>
      </c>
      <c r="E282" s="36">
        <v>58</v>
      </c>
      <c r="F282" s="37">
        <v>5.1893207358098938E-3</v>
      </c>
    </row>
    <row r="283" spans="2:6" x14ac:dyDescent="0.25">
      <c r="B283" s="35" t="s">
        <v>238</v>
      </c>
      <c r="C283" s="35"/>
      <c r="D283" s="36">
        <v>44</v>
      </c>
      <c r="E283" s="36">
        <v>55</v>
      </c>
      <c r="F283" s="37">
        <v>4.9209075943024852E-3</v>
      </c>
    </row>
    <row r="284" spans="2:6" x14ac:dyDescent="0.25">
      <c r="B284" s="35" t="s">
        <v>1183</v>
      </c>
      <c r="C284" s="35"/>
      <c r="D284" s="36">
        <v>14</v>
      </c>
      <c r="E284" s="36">
        <v>14.600000000000001</v>
      </c>
      <c r="F284" s="37">
        <v>1.3062772886693872E-3</v>
      </c>
    </row>
    <row r="285" spans="2:6" x14ac:dyDescent="0.25">
      <c r="B285" s="35" t="s">
        <v>75</v>
      </c>
      <c r="C285" s="35"/>
      <c r="D285" s="36">
        <v>58</v>
      </c>
      <c r="E285" s="36">
        <v>26.5</v>
      </c>
      <c r="F285" s="37">
        <v>2.3709827499821066E-3</v>
      </c>
    </row>
    <row r="286" spans="2:6" x14ac:dyDescent="0.25">
      <c r="B286" s="35" t="s">
        <v>777</v>
      </c>
      <c r="C286" s="35"/>
      <c r="D286" s="36">
        <v>4</v>
      </c>
      <c r="E286" s="36">
        <v>0.3</v>
      </c>
      <c r="F286" s="37">
        <v>2.6841314150740831E-5</v>
      </c>
    </row>
    <row r="287" spans="2:6" x14ac:dyDescent="0.25">
      <c r="B287" s="35" t="s">
        <v>1189</v>
      </c>
      <c r="C287" s="35"/>
      <c r="D287" s="36">
        <v>12</v>
      </c>
      <c r="E287" s="36">
        <v>0</v>
      </c>
      <c r="F287" s="37">
        <v>0</v>
      </c>
    </row>
    <row r="288" spans="2:6" x14ac:dyDescent="0.25">
      <c r="B288" s="35" t="s">
        <v>774</v>
      </c>
      <c r="C288" s="35"/>
      <c r="D288" s="36">
        <v>45</v>
      </c>
      <c r="E288" s="36">
        <v>10.600000000000001</v>
      </c>
      <c r="F288" s="37">
        <v>9.4839309999284285E-4</v>
      </c>
    </row>
    <row r="289" spans="2:6" x14ac:dyDescent="0.25">
      <c r="B289" s="35" t="s">
        <v>188</v>
      </c>
      <c r="C289" s="35"/>
      <c r="D289" s="36">
        <v>44</v>
      </c>
      <c r="E289" s="36">
        <v>64</v>
      </c>
      <c r="F289" s="37">
        <v>5.7261470188247109E-3</v>
      </c>
    </row>
    <row r="290" spans="2:6" x14ac:dyDescent="0.25">
      <c r="B290" s="35" t="s">
        <v>677</v>
      </c>
      <c r="C290" s="35"/>
      <c r="D290" s="36">
        <v>20</v>
      </c>
      <c r="E290" s="36">
        <v>40</v>
      </c>
      <c r="F290" s="37">
        <v>3.5788418867654442E-3</v>
      </c>
    </row>
    <row r="291" spans="2:6" x14ac:dyDescent="0.25">
      <c r="B291" s="35" t="s">
        <v>117</v>
      </c>
      <c r="C291" s="35"/>
      <c r="D291" s="36">
        <v>20</v>
      </c>
      <c r="E291" s="36">
        <v>3.3</v>
      </c>
      <c r="F291" s="37">
        <v>2.9525445565814913E-4</v>
      </c>
    </row>
    <row r="292" spans="2:6" x14ac:dyDescent="0.25">
      <c r="B292" s="35" t="s">
        <v>600</v>
      </c>
      <c r="C292" s="35"/>
      <c r="D292" s="36">
        <v>32</v>
      </c>
      <c r="E292" s="36">
        <v>15.5</v>
      </c>
      <c r="F292" s="37">
        <v>1.3868012311216095E-3</v>
      </c>
    </row>
    <row r="293" spans="2:6" x14ac:dyDescent="0.25">
      <c r="B293" s="35" t="s">
        <v>267</v>
      </c>
      <c r="C293" s="35"/>
      <c r="D293" s="36">
        <v>108</v>
      </c>
      <c r="E293" s="36">
        <v>52.8</v>
      </c>
      <c r="F293" s="37">
        <v>4.724071290530386E-3</v>
      </c>
    </row>
    <row r="294" spans="2:6" x14ac:dyDescent="0.25">
      <c r="B294" s="35" t="s">
        <v>269</v>
      </c>
      <c r="C294" s="35"/>
      <c r="D294" s="36">
        <v>62</v>
      </c>
      <c r="E294" s="36">
        <v>20.100000000000001</v>
      </c>
      <c r="F294" s="37">
        <v>1.7983680480996359E-3</v>
      </c>
    </row>
    <row r="295" spans="2:6" x14ac:dyDescent="0.25">
      <c r="B295" s="35" t="s">
        <v>1172</v>
      </c>
      <c r="C295" s="35"/>
      <c r="D295" s="36">
        <v>8</v>
      </c>
      <c r="E295" s="36">
        <v>24</v>
      </c>
      <c r="F295" s="37">
        <v>2.1473051320592663E-3</v>
      </c>
    </row>
    <row r="296" spans="2:6" x14ac:dyDescent="0.25">
      <c r="B296" s="35" t="s">
        <v>410</v>
      </c>
      <c r="C296" s="35"/>
      <c r="D296" s="36">
        <v>2</v>
      </c>
      <c r="E296" s="36">
        <v>20</v>
      </c>
      <c r="F296" s="37">
        <v>1.7894209433827221E-3</v>
      </c>
    </row>
    <row r="297" spans="2:6" x14ac:dyDescent="0.25">
      <c r="B297" s="35" t="s">
        <v>345</v>
      </c>
      <c r="C297" s="35"/>
      <c r="D297" s="36">
        <v>6</v>
      </c>
      <c r="E297" s="36">
        <v>25.5</v>
      </c>
      <c r="F297" s="37">
        <v>2.2815117028129705E-3</v>
      </c>
    </row>
    <row r="298" spans="2:6" x14ac:dyDescent="0.25">
      <c r="B298" s="35" t="s">
        <v>634</v>
      </c>
      <c r="C298" s="35"/>
      <c r="D298" s="36">
        <v>1</v>
      </c>
      <c r="E298" s="36">
        <v>6</v>
      </c>
      <c r="F298" s="37">
        <v>5.3682628301481657E-4</v>
      </c>
    </row>
    <row r="299" spans="2:6" x14ac:dyDescent="0.25">
      <c r="B299" s="35" t="s">
        <v>940</v>
      </c>
      <c r="C299" s="35"/>
      <c r="D299" s="36">
        <v>1</v>
      </c>
      <c r="E299" s="36">
        <v>6</v>
      </c>
      <c r="F299" s="37">
        <v>5.3682628301481657E-4</v>
      </c>
    </row>
    <row r="300" spans="2:6" x14ac:dyDescent="0.25">
      <c r="B300" s="35" t="s">
        <v>750</v>
      </c>
      <c r="C300" s="35"/>
      <c r="D300" s="36">
        <v>1</v>
      </c>
      <c r="E300" s="36">
        <v>0.3</v>
      </c>
      <c r="F300" s="37">
        <v>2.6841314150740831E-5</v>
      </c>
    </row>
    <row r="301" spans="2:6" x14ac:dyDescent="0.25">
      <c r="B301" s="35" t="s">
        <v>371</v>
      </c>
      <c r="C301" s="35"/>
      <c r="D301" s="36">
        <v>3</v>
      </c>
      <c r="E301" s="36">
        <v>3</v>
      </c>
      <c r="F301" s="37">
        <v>2.6841314150740828E-4</v>
      </c>
    </row>
    <row r="302" spans="2:6" x14ac:dyDescent="0.25">
      <c r="B302" s="35" t="s">
        <v>749</v>
      </c>
      <c r="C302" s="35"/>
      <c r="D302" s="36">
        <v>1</v>
      </c>
      <c r="E302" s="36">
        <v>0.3</v>
      </c>
      <c r="F302" s="37">
        <v>2.6841314150740831E-5</v>
      </c>
    </row>
    <row r="303" spans="2:6" x14ac:dyDescent="0.25">
      <c r="B303" s="35" t="s">
        <v>754</v>
      </c>
      <c r="C303" s="35"/>
      <c r="D303" s="36">
        <v>21</v>
      </c>
      <c r="E303" s="36">
        <v>12.8</v>
      </c>
      <c r="F303" s="37">
        <v>1.1452294037649423E-3</v>
      </c>
    </row>
    <row r="304" spans="2:6" x14ac:dyDescent="0.25">
      <c r="B304" s="35" t="s">
        <v>1161</v>
      </c>
      <c r="C304" s="35"/>
      <c r="D304" s="36">
        <v>3703</v>
      </c>
      <c r="E304" s="36">
        <v>1407</v>
      </c>
      <c r="F304" s="37">
        <v>0.12588576336697449</v>
      </c>
    </row>
    <row r="305" spans="2:6" x14ac:dyDescent="0.25">
      <c r="B305" s="35" t="s">
        <v>18</v>
      </c>
      <c r="C305" s="35"/>
      <c r="D305" s="36">
        <v>28159</v>
      </c>
      <c r="E305" s="36">
        <v>11176.799999999996</v>
      </c>
      <c r="F305" s="37">
        <v>1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数据源</vt:lpstr>
      <vt:lpstr>数据源 (整理)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ZHOUTQ</dc:creator>
  <cp:lastModifiedBy>微软用户</cp:lastModifiedBy>
  <dcterms:created xsi:type="dcterms:W3CDTF">2021-01-23T05:28:00Z</dcterms:created>
  <dcterms:modified xsi:type="dcterms:W3CDTF">2021-02-19T06:22:45Z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